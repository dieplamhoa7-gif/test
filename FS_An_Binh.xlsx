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belgroupvn.sharepoint.com/sites/Phngut/Shared Documents/Investment Department/BeeGroup/03. DU LIEU PHONG/Dự án/2. Bình Dương/Thuận An/2.8 ha Kim Oanh/4. Phuong an dau tu/PA 2700 dan/"/>
    </mc:Choice>
  </mc:AlternateContent>
  <xr:revisionPtr revIDLastSave="10772" documentId="13_ncr:1_{7BE8F5B9-BDCE-41E8-8DDF-D0C057F9E4B8}" xr6:coauthVersionLast="47" xr6:coauthVersionMax="47" xr10:uidLastSave="{161D7CCA-CAE0-420F-96EC-5374CFF52D9E}"/>
  <bookViews>
    <workbookView xWindow="-120" yWindow="-120" windowWidth="29040" windowHeight="15720" tabRatio="782" xr2:uid="{00000000-000D-0000-FFFF-FFFF00000000}"/>
  </bookViews>
  <sheets>
    <sheet name="Summary" sheetId="113" r:id="rId1"/>
    <sheet name="1. thong tin quy hoach" sheetId="55" r:id="rId2"/>
    <sheet name="2.Tien do" sheetId="4" r:id="rId3"/>
    <sheet name="3.Du toan" sheetId="5" r:id="rId4"/>
    <sheet name="5.Doanh thu" sheetId="7" r:id="rId5"/>
    <sheet name="4.Chi phi hoat dong" sheetId="6" r:id="rId6"/>
    <sheet name="6.Vay von" sheetId="8" r:id="rId7"/>
    <sheet name="7.CF" sheetId="9" r:id="rId8"/>
    <sheet name="TSDĐ" sheetId="128" r:id="rId9"/>
    <sheet name="8.ĐO NHAY" sheetId="11" r:id="rId10"/>
    <sheet name="QĐGB" sheetId="31" r:id="rId11"/>
  </sheets>
  <definedNames>
    <definedName name="____________________a1" localSheetId="0" hidden="1">{"'Sheet1'!$L$16"}</definedName>
    <definedName name="____________________a1" localSheetId="8" hidden="1">{"'Sheet1'!$L$16"}</definedName>
    <definedName name="____________________a1" hidden="1">{"'Sheet1'!$L$16"}</definedName>
    <definedName name="___________________a1" localSheetId="0" hidden="1">{"'Sheet1'!$L$16"}</definedName>
    <definedName name="___________________a1" localSheetId="8" hidden="1">{"'Sheet1'!$L$16"}</definedName>
    <definedName name="___________________a1" hidden="1">{"'Sheet1'!$L$16"}</definedName>
    <definedName name="___________________CN1" localSheetId="0" hidden="1">{"'Sheet1'!$L$16"}</definedName>
    <definedName name="___________________CN1" localSheetId="8" hidden="1">{"'Sheet1'!$L$16"}</definedName>
    <definedName name="___________________CN1" hidden="1">{"'Sheet1'!$L$16"}</definedName>
    <definedName name="___________________Goi8" localSheetId="0" hidden="1">{"'Sheet1'!$L$16"}</definedName>
    <definedName name="___________________Goi8" localSheetId="8" hidden="1">{"'Sheet1'!$L$16"}</definedName>
    <definedName name="___________________Goi8" hidden="1">{"'Sheet1'!$L$16"}</definedName>
    <definedName name="___________________SCL4" localSheetId="0" hidden="1">{"'Sheet1'!$L$16"}</definedName>
    <definedName name="___________________SCL4" localSheetId="8" hidden="1">{"'Sheet1'!$L$16"}</definedName>
    <definedName name="___________________SCL4" hidden="1">{"'Sheet1'!$L$16"}</definedName>
    <definedName name="__________________a1" localSheetId="0" hidden="1">{"'Sheet1'!$L$16"}</definedName>
    <definedName name="__________________a1" localSheetId="8" hidden="1">{"'Sheet1'!$L$16"}</definedName>
    <definedName name="__________________a1" hidden="1">{"'Sheet1'!$L$16"}</definedName>
    <definedName name="__________________BG12" localSheetId="0" hidden="1">{"'Sheet1'!$L$16"}</definedName>
    <definedName name="__________________BG12" localSheetId="8" hidden="1">{"'Sheet1'!$L$16"}</definedName>
    <definedName name="__________________BG12" hidden="1">{"'Sheet1'!$L$16"}</definedName>
    <definedName name="_________________a1" localSheetId="0" hidden="1">{"'Sheet1'!$L$16"}</definedName>
    <definedName name="_________________a1" localSheetId="8" hidden="1">{"'Sheet1'!$L$16"}</definedName>
    <definedName name="_________________a1" hidden="1">{"'Sheet1'!$L$16"}</definedName>
    <definedName name="_________________CN1" localSheetId="0" hidden="1">{"'Sheet1'!$L$16"}</definedName>
    <definedName name="_________________CN1" localSheetId="8" hidden="1">{"'Sheet1'!$L$16"}</definedName>
    <definedName name="_________________CN1" hidden="1">{"'Sheet1'!$L$16"}</definedName>
    <definedName name="_________________Goi8" localSheetId="0" hidden="1">{"'Sheet1'!$L$16"}</definedName>
    <definedName name="_________________Goi8" localSheetId="8" hidden="1">{"'Sheet1'!$L$16"}</definedName>
    <definedName name="_________________Goi8" hidden="1">{"'Sheet1'!$L$16"}</definedName>
    <definedName name="_________________SCL4" localSheetId="0" hidden="1">{"'Sheet1'!$L$16"}</definedName>
    <definedName name="_________________SCL4" localSheetId="8" hidden="1">{"'Sheet1'!$L$16"}</definedName>
    <definedName name="_________________SCL4" hidden="1">{"'Sheet1'!$L$16"}</definedName>
    <definedName name="________________a1" localSheetId="0" hidden="1">{"'Sheet1'!$L$16"}</definedName>
    <definedName name="________________a1" localSheetId="8" hidden="1">{"'Sheet1'!$L$16"}</definedName>
    <definedName name="________________a1" hidden="1">{"'Sheet1'!$L$16"}</definedName>
    <definedName name="________________BG12" localSheetId="0" hidden="1">{"'Sheet1'!$L$16"}</definedName>
    <definedName name="________________BG12" localSheetId="8" hidden="1">{"'Sheet1'!$L$16"}</definedName>
    <definedName name="________________BG12" hidden="1">{"'Sheet1'!$L$16"}</definedName>
    <definedName name="________________CN1" localSheetId="0" hidden="1">{"'Sheet1'!$L$16"}</definedName>
    <definedName name="________________CN1" localSheetId="8" hidden="1">{"'Sheet1'!$L$16"}</definedName>
    <definedName name="________________CN1" hidden="1">{"'Sheet1'!$L$16"}</definedName>
    <definedName name="_______________a1" localSheetId="0" hidden="1">{"'Sheet1'!$L$16"}</definedName>
    <definedName name="_______________a1" localSheetId="8" hidden="1">{"'Sheet1'!$L$16"}</definedName>
    <definedName name="_______________a1" hidden="1">{"'Sheet1'!$L$16"}</definedName>
    <definedName name="_______________BG12" localSheetId="0" hidden="1">{"'Sheet1'!$L$16"}</definedName>
    <definedName name="_______________BG12" localSheetId="8" hidden="1">{"'Sheet1'!$L$16"}</definedName>
    <definedName name="_______________BG12" hidden="1">{"'Sheet1'!$L$16"}</definedName>
    <definedName name="_______________CN1" localSheetId="0" hidden="1">{"'Sheet1'!$L$16"}</definedName>
    <definedName name="_______________CN1" localSheetId="8" hidden="1">{"'Sheet1'!$L$16"}</definedName>
    <definedName name="_______________CN1" hidden="1">{"'Sheet1'!$L$16"}</definedName>
    <definedName name="_______________PA3" localSheetId="0" hidden="1">{"'Sheet1'!$L$16"}</definedName>
    <definedName name="_______________PA3" localSheetId="8" hidden="1">{"'Sheet1'!$L$16"}</definedName>
    <definedName name="_______________PA3" hidden="1">{"'Sheet1'!$L$16"}</definedName>
    <definedName name="_______________xlfn.BAHTTEXT" hidden="1">#NAME?</definedName>
    <definedName name="______________a1" localSheetId="0" hidden="1">{"'Sheet1'!$L$16"}</definedName>
    <definedName name="______________a1" localSheetId="8" hidden="1">{"'Sheet1'!$L$16"}</definedName>
    <definedName name="______________a1" hidden="1">{"'Sheet1'!$L$16"}</definedName>
    <definedName name="______________BG12" localSheetId="0" hidden="1">{"'Sheet1'!$L$16"}</definedName>
    <definedName name="______________BG12" localSheetId="8" hidden="1">{"'Sheet1'!$L$16"}</definedName>
    <definedName name="______________BG12" hidden="1">{"'Sheet1'!$L$16"}</definedName>
    <definedName name="______________CN1" localSheetId="0" hidden="1">{"'Sheet1'!$L$16"}</definedName>
    <definedName name="______________CN1" localSheetId="8" hidden="1">{"'Sheet1'!$L$16"}</definedName>
    <definedName name="______________CN1" hidden="1">{"'Sheet1'!$L$16"}</definedName>
    <definedName name="______________Goi8" localSheetId="0" hidden="1">{"'Sheet1'!$L$16"}</definedName>
    <definedName name="______________Goi8" localSheetId="8" hidden="1">{"'Sheet1'!$L$16"}</definedName>
    <definedName name="______________Goi8" hidden="1">{"'Sheet1'!$L$16"}</definedName>
    <definedName name="______________SCL4" localSheetId="0" hidden="1">{"'Sheet1'!$L$16"}</definedName>
    <definedName name="______________SCL4" localSheetId="8" hidden="1">{"'Sheet1'!$L$16"}</definedName>
    <definedName name="______________SCL4" hidden="1">{"'Sheet1'!$L$16"}</definedName>
    <definedName name="______________xlfn.BAHTTEXT" hidden="1">#NAME?</definedName>
    <definedName name="_____________a1" localSheetId="0" hidden="1">{"'Sheet1'!$L$16"}</definedName>
    <definedName name="_____________a1" localSheetId="8" hidden="1">{"'Sheet1'!$L$16"}</definedName>
    <definedName name="_____________a1" hidden="1">{"'Sheet1'!$L$16"}</definedName>
    <definedName name="_____________BG12" localSheetId="0" hidden="1">{"'Sheet1'!$L$16"}</definedName>
    <definedName name="_____________BG12" localSheetId="8" hidden="1">{"'Sheet1'!$L$16"}</definedName>
    <definedName name="_____________BG12" hidden="1">{"'Sheet1'!$L$16"}</definedName>
    <definedName name="_____________CN1" localSheetId="0" hidden="1">{"'Sheet1'!$L$16"}</definedName>
    <definedName name="_____________CN1" localSheetId="8" hidden="1">{"'Sheet1'!$L$16"}</definedName>
    <definedName name="_____________CN1" hidden="1">{"'Sheet1'!$L$16"}</definedName>
    <definedName name="_____________Goi8" localSheetId="0" hidden="1">{"'Sheet1'!$L$16"}</definedName>
    <definedName name="_____________Goi8" localSheetId="8" hidden="1">{"'Sheet1'!$L$16"}</definedName>
    <definedName name="_____________Goi8" hidden="1">{"'Sheet1'!$L$16"}</definedName>
    <definedName name="_____________PA3" localSheetId="0" hidden="1">{"'Sheet1'!$L$16"}</definedName>
    <definedName name="_____________PA3" localSheetId="8" hidden="1">{"'Sheet1'!$L$16"}</definedName>
    <definedName name="_____________PA3" hidden="1">{"'Sheet1'!$L$16"}</definedName>
    <definedName name="_____________SCL4" localSheetId="0" hidden="1">{"'Sheet1'!$L$16"}</definedName>
    <definedName name="_____________SCL4" localSheetId="8" hidden="1">{"'Sheet1'!$L$16"}</definedName>
    <definedName name="_____________SCL4" hidden="1">{"'Sheet1'!$L$16"}</definedName>
    <definedName name="_____________xlfn.BAHTTEXT" hidden="1">#NAME?</definedName>
    <definedName name="____________a1" localSheetId="0" hidden="1">{"'Sheet1'!$L$16"}</definedName>
    <definedName name="____________a1" localSheetId="8" hidden="1">{"'Sheet1'!$L$16"}</definedName>
    <definedName name="____________a1" hidden="1">{"'Sheet1'!$L$16"}</definedName>
    <definedName name="____________BG12" localSheetId="0" hidden="1">{"'Sheet1'!$L$16"}</definedName>
    <definedName name="____________BG12" localSheetId="8" hidden="1">{"'Sheet1'!$L$16"}</definedName>
    <definedName name="____________BG12" hidden="1">{"'Sheet1'!$L$16"}</definedName>
    <definedName name="____________CN1" localSheetId="0" hidden="1">{"'Sheet1'!$L$16"}</definedName>
    <definedName name="____________CN1" localSheetId="8" hidden="1">{"'Sheet1'!$L$16"}</definedName>
    <definedName name="____________CN1" hidden="1">{"'Sheet1'!$L$16"}</definedName>
    <definedName name="____________Goi8" localSheetId="0" hidden="1">{"'Sheet1'!$L$16"}</definedName>
    <definedName name="____________Goi8" localSheetId="8" hidden="1">{"'Sheet1'!$L$16"}</definedName>
    <definedName name="____________Goi8" hidden="1">{"'Sheet1'!$L$16"}</definedName>
    <definedName name="____________SCL4" localSheetId="0" hidden="1">{"'Sheet1'!$L$16"}</definedName>
    <definedName name="____________SCL4" localSheetId="8" hidden="1">{"'Sheet1'!$L$16"}</definedName>
    <definedName name="____________SCL4" hidden="1">{"'Sheet1'!$L$16"}</definedName>
    <definedName name="____________xlfn.BAHTTEXT" hidden="1">#NAME?</definedName>
    <definedName name="___________a1" localSheetId="0" hidden="1">{"'Sheet1'!$L$16"}</definedName>
    <definedName name="___________a1" localSheetId="8" hidden="1">{"'Sheet1'!$L$16"}</definedName>
    <definedName name="___________a1" hidden="1">{"'Sheet1'!$L$16"}</definedName>
    <definedName name="___________BG12" localSheetId="0" hidden="1">{"'Sheet1'!$L$16"}</definedName>
    <definedName name="___________BG12" localSheetId="8" hidden="1">{"'Sheet1'!$L$16"}</definedName>
    <definedName name="___________BG12" hidden="1">{"'Sheet1'!$L$16"}</definedName>
    <definedName name="___________CN1" localSheetId="0" hidden="1">{"'Sheet1'!$L$16"}</definedName>
    <definedName name="___________CN1" localSheetId="8" hidden="1">{"'Sheet1'!$L$16"}</definedName>
    <definedName name="___________CN1" hidden="1">{"'Sheet1'!$L$16"}</definedName>
    <definedName name="___________Goi8" localSheetId="0" hidden="1">{"'Sheet1'!$L$16"}</definedName>
    <definedName name="___________Goi8" localSheetId="8" hidden="1">{"'Sheet1'!$L$16"}</definedName>
    <definedName name="___________Goi8" hidden="1">{"'Sheet1'!$L$16"}</definedName>
    <definedName name="___________PA3" localSheetId="0" hidden="1">{"'Sheet1'!$L$16"}</definedName>
    <definedName name="___________PA3" localSheetId="8" hidden="1">{"'Sheet1'!$L$16"}</definedName>
    <definedName name="___________PA3" hidden="1">{"'Sheet1'!$L$16"}</definedName>
    <definedName name="___________SCL4" localSheetId="0" hidden="1">{"'Sheet1'!$L$16"}</definedName>
    <definedName name="___________SCL4" localSheetId="8" hidden="1">{"'Sheet1'!$L$16"}</definedName>
    <definedName name="___________SCL4" hidden="1">{"'Sheet1'!$L$16"}</definedName>
    <definedName name="___________xlfn.BAHTTEXT" hidden="1">#NAME?</definedName>
    <definedName name="__________a1" localSheetId="0" hidden="1">{"'Sheet1'!$L$16"}</definedName>
    <definedName name="__________a1" localSheetId="8" hidden="1">{"'Sheet1'!$L$16"}</definedName>
    <definedName name="__________a1" hidden="1">{"'Sheet1'!$L$16"}</definedName>
    <definedName name="__________BG12" localSheetId="0" hidden="1">{"'Sheet1'!$L$16"}</definedName>
    <definedName name="__________BG12" localSheetId="8" hidden="1">{"'Sheet1'!$L$16"}</definedName>
    <definedName name="__________BG12" hidden="1">{"'Sheet1'!$L$16"}</definedName>
    <definedName name="__________CN1" localSheetId="0" hidden="1">{"'Sheet1'!$L$16"}</definedName>
    <definedName name="__________CN1" localSheetId="8" hidden="1">{"'Sheet1'!$L$16"}</definedName>
    <definedName name="__________CN1" hidden="1">{"'Sheet1'!$L$16"}</definedName>
    <definedName name="__________Goi8" localSheetId="0" hidden="1">{"'Sheet1'!$L$16"}</definedName>
    <definedName name="__________Goi8" localSheetId="8" hidden="1">{"'Sheet1'!$L$16"}</definedName>
    <definedName name="__________Goi8" hidden="1">{"'Sheet1'!$L$16"}</definedName>
    <definedName name="__________SCL4" localSheetId="0" hidden="1">{"'Sheet1'!$L$16"}</definedName>
    <definedName name="__________SCL4" localSheetId="8" hidden="1">{"'Sheet1'!$L$16"}</definedName>
    <definedName name="__________SCL4" hidden="1">{"'Sheet1'!$L$16"}</definedName>
    <definedName name="__________xlfn.BAHTTEXT" hidden="1">#NAME?</definedName>
    <definedName name="_________a1" localSheetId="0" hidden="1">{"'Sheet1'!$L$16"}</definedName>
    <definedName name="_________a1" localSheetId="8" hidden="1">{"'Sheet1'!$L$16"}</definedName>
    <definedName name="_________a1" hidden="1">{"'Sheet1'!$L$16"}</definedName>
    <definedName name="_________BG12" localSheetId="0" hidden="1">{"'Sheet1'!$L$16"}</definedName>
    <definedName name="_________BG12" localSheetId="8" hidden="1">{"'Sheet1'!$L$16"}</definedName>
    <definedName name="_________BG12" hidden="1">{"'Sheet1'!$L$16"}</definedName>
    <definedName name="_________CN1" localSheetId="0" hidden="1">{"'Sheet1'!$L$16"}</definedName>
    <definedName name="_________CN1" localSheetId="8" hidden="1">{"'Sheet1'!$L$16"}</definedName>
    <definedName name="_________CN1" hidden="1">{"'Sheet1'!$L$16"}</definedName>
    <definedName name="_________Goi8" localSheetId="0" hidden="1">{"'Sheet1'!$L$16"}</definedName>
    <definedName name="_________Goi8" localSheetId="8" hidden="1">{"'Sheet1'!$L$16"}</definedName>
    <definedName name="_________Goi8" hidden="1">{"'Sheet1'!$L$16"}</definedName>
    <definedName name="_________NSO2" hidden="1">{"'Sheet1'!$L$16"}</definedName>
    <definedName name="_________PA3" localSheetId="0" hidden="1">{"'Sheet1'!$L$16"}</definedName>
    <definedName name="_________PA3" localSheetId="8" hidden="1">{"'Sheet1'!$L$16"}</definedName>
    <definedName name="_________PA3" hidden="1">{"'Sheet1'!$L$16"}</definedName>
    <definedName name="_________SCL4" localSheetId="0" hidden="1">{"'Sheet1'!$L$16"}</definedName>
    <definedName name="_________SCL4" localSheetId="8" hidden="1">{"'Sheet1'!$L$16"}</definedName>
    <definedName name="_________SCL4" hidden="1">{"'Sheet1'!$L$16"}</definedName>
    <definedName name="_________xlfn.BAHTTEXT" hidden="1">#NAME?</definedName>
    <definedName name="________a1" localSheetId="0" hidden="1">{"'Sheet1'!$L$16"}</definedName>
    <definedName name="________a1" localSheetId="8" hidden="1">{"'Sheet1'!$L$16"}</definedName>
    <definedName name="________a1" hidden="1">{"'Sheet1'!$L$16"}</definedName>
    <definedName name="________BG12" localSheetId="0" hidden="1">{"'Sheet1'!$L$16"}</definedName>
    <definedName name="________BG12" localSheetId="8" hidden="1">{"'Sheet1'!$L$16"}</definedName>
    <definedName name="________BG12" hidden="1">{"'Sheet1'!$L$16"}</definedName>
    <definedName name="________CN1" localSheetId="0" hidden="1">{"'Sheet1'!$L$16"}</definedName>
    <definedName name="________CN1" localSheetId="8" hidden="1">{"'Sheet1'!$L$16"}</definedName>
    <definedName name="________CN1" hidden="1">{"'Sheet1'!$L$16"}</definedName>
    <definedName name="________Goi8" localSheetId="0" hidden="1">{"'Sheet1'!$L$16"}</definedName>
    <definedName name="________Goi8" localSheetId="8" hidden="1">{"'Sheet1'!$L$16"}</definedName>
    <definedName name="________Goi8" hidden="1">{"'Sheet1'!$L$16"}</definedName>
    <definedName name="________NSO2" hidden="1">{"'Sheet1'!$L$16"}</definedName>
    <definedName name="________SCL4" localSheetId="0" hidden="1">{"'Sheet1'!$L$16"}</definedName>
    <definedName name="________SCL4" localSheetId="8" hidden="1">{"'Sheet1'!$L$16"}</definedName>
    <definedName name="________SCL4" hidden="1">{"'Sheet1'!$L$16"}</definedName>
    <definedName name="________xlfn.BAHTTEXT" hidden="1">#NAME?</definedName>
    <definedName name="_______a1" localSheetId="0" hidden="1">{"'Sheet1'!$L$16"}</definedName>
    <definedName name="_______a1" localSheetId="8" hidden="1">{"'Sheet1'!$L$16"}</definedName>
    <definedName name="_______a1" hidden="1">{"'Sheet1'!$L$16"}</definedName>
    <definedName name="_______BG12" localSheetId="0" hidden="1">{"'Sheet1'!$L$16"}</definedName>
    <definedName name="_______BG12" localSheetId="8" hidden="1">{"'Sheet1'!$L$16"}</definedName>
    <definedName name="_______BG12" hidden="1">{"'Sheet1'!$L$16"}</definedName>
    <definedName name="_______CN1" localSheetId="0" hidden="1">{"'Sheet1'!$L$16"}</definedName>
    <definedName name="_______CN1" localSheetId="8" hidden="1">{"'Sheet1'!$L$16"}</definedName>
    <definedName name="_______CN1" hidden="1">{"'Sheet1'!$L$16"}</definedName>
    <definedName name="_______Goi8" localSheetId="0" hidden="1">{"'Sheet1'!$L$16"}</definedName>
    <definedName name="_______Goi8" localSheetId="8" hidden="1">{"'Sheet1'!$L$16"}</definedName>
    <definedName name="_______Goi8" hidden="1">{"'Sheet1'!$L$16"}</definedName>
    <definedName name="_______NSO2" hidden="1">{"'Sheet1'!$L$16"}</definedName>
    <definedName name="_______PA3" localSheetId="0" hidden="1">{"'Sheet1'!$L$16"}</definedName>
    <definedName name="_______PA3" localSheetId="8" hidden="1">{"'Sheet1'!$L$16"}</definedName>
    <definedName name="_______PA3" hidden="1">{"'Sheet1'!$L$16"}</definedName>
    <definedName name="_______SCL4" localSheetId="0" hidden="1">{"'Sheet1'!$L$16"}</definedName>
    <definedName name="_______SCL4" localSheetId="8" hidden="1">{"'Sheet1'!$L$16"}</definedName>
    <definedName name="_______SCL4" hidden="1">{"'Sheet1'!$L$16"}</definedName>
    <definedName name="_______xlfn.BAHTTEXT" hidden="1">#NAME?</definedName>
    <definedName name="______a1" localSheetId="0" hidden="1">{"'Sheet1'!$L$16"}</definedName>
    <definedName name="______a1" localSheetId="8" hidden="1">{"'Sheet1'!$L$16"}</definedName>
    <definedName name="______a1" hidden="1">{"'Sheet1'!$L$16"}</definedName>
    <definedName name="______BG12" localSheetId="0" hidden="1">{"'Sheet1'!$L$16"}</definedName>
    <definedName name="______BG12" localSheetId="8" hidden="1">{"'Sheet1'!$L$16"}</definedName>
    <definedName name="______BG12" hidden="1">{"'Sheet1'!$L$16"}</definedName>
    <definedName name="______CN1" localSheetId="0" hidden="1">{"'Sheet1'!$L$16"}</definedName>
    <definedName name="______CN1" localSheetId="8" hidden="1">{"'Sheet1'!$L$16"}</definedName>
    <definedName name="______CN1" hidden="1">{"'Sheet1'!$L$16"}</definedName>
    <definedName name="______Goi8" localSheetId="0" hidden="1">{"'Sheet1'!$L$16"}</definedName>
    <definedName name="______Goi8" localSheetId="8" hidden="1">{"'Sheet1'!$L$16"}</definedName>
    <definedName name="______Goi8" hidden="1">{"'Sheet1'!$L$16"}</definedName>
    <definedName name="______NSO2" hidden="1">{"'Sheet1'!$L$16"}</definedName>
    <definedName name="______SCL4" localSheetId="0" hidden="1">{"'Sheet1'!$L$16"}</definedName>
    <definedName name="______SCL4" localSheetId="8" hidden="1">{"'Sheet1'!$L$16"}</definedName>
    <definedName name="______SCL4" hidden="1">{"'Sheet1'!$L$16"}</definedName>
    <definedName name="______xlfn.BAHTTEXT" hidden="1">#NAME?</definedName>
    <definedName name="_____a1" localSheetId="0" hidden="1">{"'Sheet1'!$L$16"}</definedName>
    <definedName name="_____a1" localSheetId="8" hidden="1">{"'Sheet1'!$L$16"}</definedName>
    <definedName name="_____a1" hidden="1">{"'Sheet1'!$L$16"}</definedName>
    <definedName name="_____BG12" localSheetId="0" hidden="1">{"'Sheet1'!$L$16"}</definedName>
    <definedName name="_____BG12" localSheetId="8" hidden="1">{"'Sheet1'!$L$16"}</definedName>
    <definedName name="_____BG12" hidden="1">{"'Sheet1'!$L$16"}</definedName>
    <definedName name="_____CN1" localSheetId="0" hidden="1">{"'Sheet1'!$L$16"}</definedName>
    <definedName name="_____CN1" localSheetId="8" hidden="1">{"'Sheet1'!$L$16"}</definedName>
    <definedName name="_____CN1" hidden="1">{"'Sheet1'!$L$16"}</definedName>
    <definedName name="_____Goi8" localSheetId="0" hidden="1">{"'Sheet1'!$L$16"}</definedName>
    <definedName name="_____Goi8" localSheetId="8" hidden="1">{"'Sheet1'!$L$16"}</definedName>
    <definedName name="_____Goi8" hidden="1">{"'Sheet1'!$L$16"}</definedName>
    <definedName name="_____NSO2" hidden="1">{"'Sheet1'!$L$16"}</definedName>
    <definedName name="_____PA3" localSheetId="0" hidden="1">{"'Sheet1'!$L$16"}</definedName>
    <definedName name="_____PA3" localSheetId="8" hidden="1">{"'Sheet1'!$L$16"}</definedName>
    <definedName name="_____PA3" hidden="1">{"'Sheet1'!$L$16"}</definedName>
    <definedName name="_____SCL4" localSheetId="0" hidden="1">{"'Sheet1'!$L$16"}</definedName>
    <definedName name="_____SCL4" localSheetId="8" hidden="1">{"'Sheet1'!$L$16"}</definedName>
    <definedName name="_____SCL4" hidden="1">{"'Sheet1'!$L$16"}</definedName>
    <definedName name="_____xlfn.BAHTTEXT" hidden="1">#NAME?</definedName>
    <definedName name="____a1" localSheetId="0" hidden="1">{"'Sheet1'!$L$16"}</definedName>
    <definedName name="____a1" localSheetId="8" hidden="1">{"'Sheet1'!$L$16"}</definedName>
    <definedName name="____a1" hidden="1">{"'Sheet1'!$L$16"}</definedName>
    <definedName name="____BG12" localSheetId="0" hidden="1">{"'Sheet1'!$L$16"}</definedName>
    <definedName name="____BG12" localSheetId="8" hidden="1">{"'Sheet1'!$L$16"}</definedName>
    <definedName name="____BG12" hidden="1">{"'Sheet1'!$L$16"}</definedName>
    <definedName name="____CN1" localSheetId="0" hidden="1">{"'Sheet1'!$L$16"}</definedName>
    <definedName name="____CN1" localSheetId="8" hidden="1">{"'Sheet1'!$L$16"}</definedName>
    <definedName name="____CN1" hidden="1">{"'Sheet1'!$L$16"}</definedName>
    <definedName name="____Goi8" localSheetId="0" hidden="1">{"'Sheet1'!$L$16"}</definedName>
    <definedName name="____Goi8" localSheetId="8" hidden="1">{"'Sheet1'!$L$16"}</definedName>
    <definedName name="____Goi8" hidden="1">{"'Sheet1'!$L$16"}</definedName>
    <definedName name="____NSO2" hidden="1">{"'Sheet1'!$L$16"}</definedName>
    <definedName name="____PPP3" localSheetId="0" hidden="1">{#N/A,#N/A,FALSE,"特殊室（ＢＱ表）"}</definedName>
    <definedName name="____PPP3" localSheetId="8" hidden="1">{#N/A,#N/A,FALSE,"特殊室（ＢＱ表）"}</definedName>
    <definedName name="____PPP3" hidden="1">{#N/A,#N/A,FALSE,"特殊室（ＢＱ表）"}</definedName>
    <definedName name="____PPP33" localSheetId="0" hidden="1">{#N/A,#N/A,FALSE,"特殊室（ＢＱ表）"}</definedName>
    <definedName name="____PPP33" localSheetId="8" hidden="1">{#N/A,#N/A,FALSE,"特殊室（ＢＱ表）"}</definedName>
    <definedName name="____PPP33" hidden="1">{#N/A,#N/A,FALSE,"特殊室（ＢＱ表）"}</definedName>
    <definedName name="____ppp34" localSheetId="0" hidden="1">{#N/A,#N/A,FALSE,"特殊室（ＢＱ表）"}</definedName>
    <definedName name="____ppp34" localSheetId="8" hidden="1">{#N/A,#N/A,FALSE,"特殊室（ＢＱ表）"}</definedName>
    <definedName name="____ppp34" hidden="1">{#N/A,#N/A,FALSE,"特殊室（ＢＱ表）"}</definedName>
    <definedName name="____ppp3444" localSheetId="0" hidden="1">{#N/A,#N/A,FALSE,"特殊室（ＢＱ表）"}</definedName>
    <definedName name="____ppp3444" localSheetId="8" hidden="1">{#N/A,#N/A,FALSE,"特殊室（ＢＱ表）"}</definedName>
    <definedName name="____ppp3444" hidden="1">{#N/A,#N/A,FALSE,"特殊室（ＢＱ表）"}</definedName>
    <definedName name="____SCL4" localSheetId="0" hidden="1">{"'Sheet1'!$L$16"}</definedName>
    <definedName name="____SCL4" localSheetId="8" hidden="1">{"'Sheet1'!$L$16"}</definedName>
    <definedName name="____SCL4" hidden="1">{"'Sheet1'!$L$16"}</definedName>
    <definedName name="____xlfn.BAHTTEXT" hidden="1">#NAME?</definedName>
    <definedName name="___a129" localSheetId="0" hidden="1">{"Offgrid",#N/A,FALSE,"OFFGRID";"Region",#N/A,FALSE,"REGION";"Offgrid -2",#N/A,FALSE,"OFFGRID";"WTP",#N/A,FALSE,"WTP";"WTP -2",#N/A,FALSE,"WTP";"Project",#N/A,FALSE,"PROJECT";"Summary -2",#N/A,FALSE,"SUMMARY"}</definedName>
    <definedName name="___a129" localSheetId="8"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localSheetId="8"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BG12" localSheetId="0" hidden="1">{"'Sheet1'!$L$16"}</definedName>
    <definedName name="___BG12" localSheetId="8" hidden="1">{"'Sheet1'!$L$16"}</definedName>
    <definedName name="___BG12" hidden="1">{"'Sheet1'!$L$16"}</definedName>
    <definedName name="___CN1" localSheetId="0" hidden="1">{"'Sheet1'!$L$16"}</definedName>
    <definedName name="___CN1" localSheetId="8" hidden="1">{"'Sheet1'!$L$16"}</definedName>
    <definedName name="___CN1" hidden="1">{"'Sheet1'!$L$16"}</definedName>
    <definedName name="___CT3" hidden="1">{"'Sheet1'!$L$16"}</definedName>
    <definedName name="___Goi8" localSheetId="0" hidden="1">{"'Sheet1'!$L$16"}</definedName>
    <definedName name="___Goi8" localSheetId="8" hidden="1">{"'Sheet1'!$L$16"}</definedName>
    <definedName name="___Goi8" hidden="1">{"'Sheet1'!$L$16"}</definedName>
    <definedName name="___MCC3" localSheetId="0" hidden="1">{#N/A,#N/A,FALSE,"CCTV"}</definedName>
    <definedName name="___MCC3" localSheetId="8" hidden="1">{#N/A,#N/A,FALSE,"CCTV"}</definedName>
    <definedName name="___MCC3" hidden="1">{#N/A,#N/A,FALSE,"CCTV"}</definedName>
    <definedName name="___P3" localSheetId="0" hidden="1">{#N/A,#N/A,FALSE,"特殊室（ＢＱ表）"}</definedName>
    <definedName name="___P3" localSheetId="8" hidden="1">{#N/A,#N/A,FALSE,"特殊室（ＢＱ表）"}</definedName>
    <definedName name="___P3" hidden="1">{#N/A,#N/A,FALSE,"特殊室（ＢＱ表）"}</definedName>
    <definedName name="___PA3" localSheetId="0" hidden="1">{"'Sheet1'!$L$16"}</definedName>
    <definedName name="___PA3" localSheetId="8" hidden="1">{"'Sheet1'!$L$16"}</definedName>
    <definedName name="___PA3" hidden="1">{"'Sheet1'!$L$16"}</definedName>
    <definedName name="___PPP3" localSheetId="0" hidden="1">{#N/A,#N/A,FALSE,"特殊室（ＢＱ表）"}</definedName>
    <definedName name="___PPP3" localSheetId="8" hidden="1">{#N/A,#N/A,FALSE,"特殊室（ＢＱ表）"}</definedName>
    <definedName name="___PPP3" hidden="1">{#N/A,#N/A,FALSE,"特殊室（ＢＱ表）"}</definedName>
    <definedName name="___PPP33" localSheetId="0" hidden="1">{#N/A,#N/A,FALSE,"特殊室（ＢＱ表）"}</definedName>
    <definedName name="___PPP33" localSheetId="8" hidden="1">{#N/A,#N/A,FALSE,"特殊室（ＢＱ表）"}</definedName>
    <definedName name="___PPP33" hidden="1">{#N/A,#N/A,FALSE,"特殊室（ＢＱ表）"}</definedName>
    <definedName name="___ppp34" localSheetId="0" hidden="1">{#N/A,#N/A,FALSE,"特殊室（ＢＱ表）"}</definedName>
    <definedName name="___ppp34" localSheetId="8" hidden="1">{#N/A,#N/A,FALSE,"特殊室（ＢＱ表）"}</definedName>
    <definedName name="___ppp34" hidden="1">{#N/A,#N/A,FALSE,"特殊室（ＢＱ表）"}</definedName>
    <definedName name="___ppp3444" localSheetId="0" hidden="1">{#N/A,#N/A,FALSE,"特殊室（ＢＱ表）"}</definedName>
    <definedName name="___ppp3444" localSheetId="8" hidden="1">{#N/A,#N/A,FALSE,"特殊室（ＢＱ表）"}</definedName>
    <definedName name="___ppp3444" hidden="1">{#N/A,#N/A,FALSE,"特殊室（ＢＱ表）"}</definedName>
    <definedName name="___SCL4" localSheetId="0" hidden="1">{"'Sheet1'!$L$16"}</definedName>
    <definedName name="___SCL4" localSheetId="8" hidden="1">{"'Sheet1'!$L$16"}</definedName>
    <definedName name="___SCL4" hidden="1">{"'Sheet1'!$L$16"}</definedName>
    <definedName name="___tt3" localSheetId="0" hidden="1">{"'Sheet1'!$L$16"}</definedName>
    <definedName name="___tt3" localSheetId="8" hidden="1">{"'Sheet1'!$L$16"}</definedName>
    <definedName name="___tt3" hidden="1">{"'Sheet1'!$L$16"}</definedName>
    <definedName name="___xlfn.BAHTTEXT" hidden="1">#NAME?</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URRENT"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C" hidden="1">#REF!</definedName>
    <definedName name="__123Graph_D" hidden="1">#REF!</definedName>
    <definedName name="__123Graph_E" hidden="1">#REF!</definedName>
    <definedName name="__123Graph_F"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a1" localSheetId="0" hidden="1">{"'Sheet1'!$L$16"}</definedName>
    <definedName name="__a1" localSheetId="8" hidden="1">{"'Sheet1'!$L$16"}</definedName>
    <definedName name="__a1" hidden="1">{"'Sheet1'!$L$16"}</definedName>
    <definedName name="__a129" localSheetId="0" hidden="1">{"Offgrid",#N/A,FALSE,"OFFGRID";"Region",#N/A,FALSE,"REGION";"Offgrid -2",#N/A,FALSE,"OFFGRID";"WTP",#N/A,FALSE,"WTP";"WTP -2",#N/A,FALSE,"WTP";"Project",#N/A,FALSE,"PROJECT";"Summary -2",#N/A,FALSE,"SUMMARY"}</definedName>
    <definedName name="__a129" localSheetId="8"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localSheetId="8"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localSheetId="0" hidden="1">{"'Sheet1'!$L$16"}</definedName>
    <definedName name="__a2" localSheetId="8" hidden="1">{"'Sheet1'!$L$16"}</definedName>
    <definedName name="__a2" hidden="1">{"'Sheet1'!$L$16"}</definedName>
    <definedName name="__a9" localSheetId="0" hidden="1">{"'Sheet1'!$L$16"}</definedName>
    <definedName name="__a9" localSheetId="8" hidden="1">{"'Sheet1'!$L$16"}</definedName>
    <definedName name="__a9" hidden="1">{"'Sheet1'!$L$16"}</definedName>
    <definedName name="__BG12" localSheetId="0" hidden="1">{"'Sheet1'!$L$16"}</definedName>
    <definedName name="__BG12" localSheetId="8" hidden="1">{"'Sheet1'!$L$16"}</definedName>
    <definedName name="__BG12" hidden="1">{"'Sheet1'!$L$16"}</definedName>
    <definedName name="__CN1" localSheetId="0" hidden="1">{"'Sheet1'!$L$16"}</definedName>
    <definedName name="__CN1" localSheetId="8" hidden="1">{"'Sheet1'!$L$16"}</definedName>
    <definedName name="__CN1" hidden="1">{"'Sheet1'!$L$16"}</definedName>
    <definedName name="__CT3" hidden="1">{"'Sheet1'!$L$16"}</definedName>
    <definedName name="__DCF1" localSheetId="0" hidden="1">{#N/A,#N/A,FALSE,"DCF Summary";#N/A,#N/A,FALSE,"Casema";#N/A,#N/A,FALSE,"Casema NoTel";#N/A,#N/A,FALSE,"UK";#N/A,#N/A,FALSE,"RCF";#N/A,#N/A,FALSE,"Intercable CZ";#N/A,#N/A,FALSE,"Interkabel P"}</definedName>
    <definedName name="__DCF1" localSheetId="8" hidden="1">{#N/A,#N/A,FALSE,"DCF Summary";#N/A,#N/A,FALSE,"Casema";#N/A,#N/A,FALSE,"Casema NoTel";#N/A,#N/A,FALSE,"UK";#N/A,#N/A,FALSE,"RCF";#N/A,#N/A,FALSE,"Intercable CZ";#N/A,#N/A,FALSE,"Interkabel P"}</definedName>
    <definedName name="__DCF1" hidden="1">{#N/A,#N/A,FALSE,"DCF Summary";#N/A,#N/A,FALSE,"Casema";#N/A,#N/A,FALSE,"Casema NoTel";#N/A,#N/A,FALSE,"UK";#N/A,#N/A,FALSE,"RCF";#N/A,#N/A,FALSE,"Intercable CZ";#N/A,#N/A,FALSE,"Interkabel P"}</definedName>
    <definedName name="__f5" localSheetId="0" hidden="1">{"'Sheet1'!$L$16"}</definedName>
    <definedName name="__f5" localSheetId="8" hidden="1">{"'Sheet1'!$L$16"}</definedName>
    <definedName name="__f5" hidden="1">{"'Sheet1'!$L$16"}</definedName>
    <definedName name="__FDS_HYPERLINK_TOGGLE_STATE__" hidden="1">"ON"</definedName>
    <definedName name="__Goi8" localSheetId="0" hidden="1">{"'Sheet1'!$L$16"}</definedName>
    <definedName name="__Goi8" localSheetId="8" hidden="1">{"'Sheet1'!$L$16"}</definedName>
    <definedName name="__Goi8" hidden="1">{"'Sheet1'!$L$16"}</definedName>
    <definedName name="__h1" localSheetId="0" hidden="1">{"'Sheet1'!$L$16"}</definedName>
    <definedName name="__h1" localSheetId="8" hidden="1">{"'Sheet1'!$L$16"}</definedName>
    <definedName name="__h1" hidden="1">{"'Sheet1'!$L$16"}</definedName>
    <definedName name="__hu1" localSheetId="0" hidden="1">{"'Sheet1'!$L$16"}</definedName>
    <definedName name="__hu1" localSheetId="8" hidden="1">{"'Sheet1'!$L$16"}</definedName>
    <definedName name="__hu1" hidden="1">{"'Sheet1'!$L$16"}</definedName>
    <definedName name="__hu2" localSheetId="0" hidden="1">{"'Sheet1'!$L$16"}</definedName>
    <definedName name="__hu2" localSheetId="8" hidden="1">{"'Sheet1'!$L$16"}</definedName>
    <definedName name="__hu2" hidden="1">{"'Sheet1'!$L$16"}</definedName>
    <definedName name="__hu5" localSheetId="0" hidden="1">{"'Sheet1'!$L$16"}</definedName>
    <definedName name="__hu5" localSheetId="8" hidden="1">{"'Sheet1'!$L$16"}</definedName>
    <definedName name="__hu5" hidden="1">{"'Sheet1'!$L$16"}</definedName>
    <definedName name="__hu6" localSheetId="0" hidden="1">{"'Sheet1'!$L$16"}</definedName>
    <definedName name="__hu6" localSheetId="8" hidden="1">{"'Sheet1'!$L$16"}</definedName>
    <definedName name="__hu6" hidden="1">{"'Sheet1'!$L$16"}</definedName>
    <definedName name="__IntlFixup" hidden="1">TRUE</definedName>
    <definedName name="__MCC3" localSheetId="0" hidden="1">{#N/A,#N/A,FALSE,"CCTV"}</definedName>
    <definedName name="__MCC3" localSheetId="8" hidden="1">{#N/A,#N/A,FALSE,"CCTV"}</definedName>
    <definedName name="__MCC3" hidden="1">{#N/A,#N/A,FALSE,"CCTV"}</definedName>
    <definedName name="__NSO2" localSheetId="0" hidden="1">{"'Sheet1'!$L$16"}</definedName>
    <definedName name="__NSO2" localSheetId="8" hidden="1">{"'Sheet1'!$L$16"}</definedName>
    <definedName name="__NSO2" hidden="1">{"'Sheet1'!$L$16"}</definedName>
    <definedName name="__PA3" localSheetId="0" hidden="1">{"'Sheet1'!$L$16"}</definedName>
    <definedName name="__PA3" localSheetId="8" hidden="1">{"'Sheet1'!$L$16"}</definedName>
    <definedName name="__PA3" hidden="1">{"'Sheet1'!$L$16"}</definedName>
    <definedName name="__PPP3" localSheetId="0" hidden="1">{#N/A,#N/A,FALSE,"特殊室（ＢＱ表）"}</definedName>
    <definedName name="__PPP3" localSheetId="8" hidden="1">{#N/A,#N/A,FALSE,"特殊室（ＢＱ表）"}</definedName>
    <definedName name="__PPP3" hidden="1">{#N/A,#N/A,FALSE,"特殊室（ＢＱ表）"}</definedName>
    <definedName name="__PPP33" localSheetId="0" hidden="1">{#N/A,#N/A,FALSE,"特殊室（ＢＱ表）"}</definedName>
    <definedName name="__PPP33" localSheetId="8" hidden="1">{#N/A,#N/A,FALSE,"特殊室（ＢＱ表）"}</definedName>
    <definedName name="__PPP33" hidden="1">{#N/A,#N/A,FALSE,"特殊室（ＢＱ表）"}</definedName>
    <definedName name="__ppp34" localSheetId="0" hidden="1">{#N/A,#N/A,FALSE,"特殊室（ＢＱ表）"}</definedName>
    <definedName name="__ppp34" localSheetId="8" hidden="1">{#N/A,#N/A,FALSE,"特殊室（ＢＱ表）"}</definedName>
    <definedName name="__ppp34" hidden="1">{#N/A,#N/A,FALSE,"特殊室（ＢＱ表）"}</definedName>
    <definedName name="__ppp3444" localSheetId="0" hidden="1">{#N/A,#N/A,FALSE,"特殊室（ＢＱ表）"}</definedName>
    <definedName name="__ppp3444" localSheetId="8" hidden="1">{#N/A,#N/A,FALSE,"特殊室（ＢＱ表）"}</definedName>
    <definedName name="__ppp3444" hidden="1">{#N/A,#N/A,FALSE,"特殊室（ＢＱ表）"}</definedName>
    <definedName name="__SCL4" localSheetId="0" hidden="1">{"'Sheet1'!$L$16"}</definedName>
    <definedName name="__SCL4" localSheetId="8" hidden="1">{"'Sheet1'!$L$16"}</definedName>
    <definedName name="__SCL4" hidden="1">{"'Sheet1'!$L$16"}</definedName>
    <definedName name="__tt3" localSheetId="0" hidden="1">{"'Sheet1'!$L$16"}</definedName>
    <definedName name="__tt3" localSheetId="8" hidden="1">{"'Sheet1'!$L$16"}</definedName>
    <definedName name="__tt3" hidden="1">{"'Sheet1'!$L$16"}</definedName>
    <definedName name="__xlfn.BAHTTEXT" hidden="1">#NAME?</definedName>
    <definedName name="_1__123Graph_A????_1" hidden="1">#REF!</definedName>
    <definedName name="_1__123Graph_Aｸﾞﾗﾌ_1" hidden="1">#REF!</definedName>
    <definedName name="_1_0_F" localSheetId="0" hidden="1">#REF!</definedName>
    <definedName name="_1_0_F" localSheetId="8" hidden="1">#REF!</definedName>
    <definedName name="_1_0_F" hidden="1">#REF!</definedName>
    <definedName name="_10__123Graph_Aｸﾞﾗﾌ_2" localSheetId="0" hidden="1">#REF!</definedName>
    <definedName name="_10__123Graph_Aｸﾞﾗﾌ_2" localSheetId="8" hidden="1">#REF!</definedName>
    <definedName name="_10__123Graph_Aｸﾞﾗﾌ_2" hidden="1">#REF!</definedName>
    <definedName name="_10__123Graph_Aｸﾞﾗﾌ_5" localSheetId="8" hidden="1">#REF!</definedName>
    <definedName name="_10__123Graph_Aｸﾞﾗﾌ_5" hidden="1">#REF!</definedName>
    <definedName name="_10__123Graph_Xｸﾞﾗﾌ_5" hidden="1">#REF!</definedName>
    <definedName name="_100__123Graph_Xｸﾞﾗﾌ_3" hidden="1">#REF!</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__123Graph_Aｸﾞﾗﾌ_3" hidden="1">#REF!</definedName>
    <definedName name="_11__123Graph_X????_1" hidden="1">#REF!</definedName>
    <definedName name="_112__123Graph_Xｸﾞﾗﾌ_5" hidden="1">#REF!</definedName>
    <definedName name="_116__123Graph_Xｸﾞﾗﾌ_1" hidden="1">#REF!</definedName>
    <definedName name="_11P3_" localSheetId="0" hidden="1">{#N/A,#N/A,FALSE,"特殊室（ＢＱ表）"}</definedName>
    <definedName name="_11P3_" localSheetId="8" hidden="1">{#N/A,#N/A,FALSE,"特殊室（ＢＱ表）"}</definedName>
    <definedName name="_11P3_" hidden="1">{#N/A,#N/A,FALSE,"特殊室（ＢＱ表）"}</definedName>
    <definedName name="_12__123Graph_A????_2" localSheetId="0" hidden="1">#REF!</definedName>
    <definedName name="_12__123Graph_A????_2" localSheetId="8" hidden="1">#REF!</definedName>
    <definedName name="_12__123Graph_A????_2" hidden="1">#REF!</definedName>
    <definedName name="_12__123Graph_Aｸﾞﾗﾌ_4" localSheetId="8" hidden="1">#REF!</definedName>
    <definedName name="_12__123Graph_Aｸﾞﾗﾌ_4" hidden="1">#REF!</definedName>
    <definedName name="_12__123Graph_X????_2" hidden="1">#REF!</definedName>
    <definedName name="_124__123Graph_Xｸﾞﾗﾌ_2" hidden="1">#REF!</definedName>
    <definedName name="_13__123Graph_Aｸﾞﾗﾌ_5" hidden="1">#REF!</definedName>
    <definedName name="_13__123Graph_X????_3" hidden="1">#REF!</definedName>
    <definedName name="_132__123Graph_Xｸﾞﾗﾌ_3" hidden="1">#REF!</definedName>
    <definedName name="_14__123Graph_X????_1" hidden="1">#REF!</definedName>
    <definedName name="_14__123Graph_X????_4" hidden="1">#REF!</definedName>
    <definedName name="_140__123Graph_Xｸﾞﾗﾌ_4" hidden="1">#REF!</definedName>
    <definedName name="_148__123Graph_Xｸﾞﾗﾌ_5" hidden="1">#REF!</definedName>
    <definedName name="_15__123Graph_X????_2" hidden="1">#REF!</definedName>
    <definedName name="_15__123Graph_X????_5" hidden="1">#REF!</definedName>
    <definedName name="_16__123Graph_X????_3" hidden="1">#REF!</definedName>
    <definedName name="_16__123Graph_Xｸﾞﾗﾌ_1" hidden="1">#REF!</definedName>
    <definedName name="_17__123Graph_A????_1" hidden="1">#REF!</definedName>
    <definedName name="_17__123Graph_A????_3" hidden="1">#REF!</definedName>
    <definedName name="_17__123Graph_X????_4" hidden="1">#REF!</definedName>
    <definedName name="_17__123Graph_Xｸﾞﾗﾌ_2" hidden="1">#REF!</definedName>
    <definedName name="_18__123Graph_X????_5" localSheetId="0" hidden="1">#REF!</definedName>
    <definedName name="_18__123Graph_X????_5" localSheetId="8" hidden="1">#REF!</definedName>
    <definedName name="_18__123Graph_X????_5" hidden="1">#REF!</definedName>
    <definedName name="_18__123Graph_Xｸﾞﾗﾌ_3" localSheetId="8" hidden="1">#REF!</definedName>
    <definedName name="_18__123Graph_Xｸﾞﾗﾌ_3" hidden="1">#REF!</definedName>
    <definedName name="_19__123Graph_Xｸﾞﾗﾌ_1" localSheetId="0" hidden="1">#REF!</definedName>
    <definedName name="_19__123Graph_Xｸﾞﾗﾌ_1" localSheetId="8" hidden="1">#REF!</definedName>
    <definedName name="_19__123Graph_Xｸﾞﾗﾌ_1" hidden="1">#REF!</definedName>
    <definedName name="_19__123Graph_Xｸﾞﾗﾌ_4" localSheetId="8" hidden="1">#REF!</definedName>
    <definedName name="_19__123Graph_Xｸﾞﾗﾌ_4" hidden="1">#REF!</definedName>
    <definedName name="_1P3_" localSheetId="0" hidden="1">{#N/A,#N/A,FALSE,"特殊室（ＢＱ表）"}</definedName>
    <definedName name="_1P3_" localSheetId="8" hidden="1">{#N/A,#N/A,FALSE,"特殊室（ＢＱ表）"}</definedName>
    <definedName name="_1P3_" hidden="1">{#N/A,#N/A,FALSE,"特殊室（ＢＱ表）"}</definedName>
    <definedName name="_2__123Graph_A????_2" localSheetId="0" hidden="1">#REF!</definedName>
    <definedName name="_2__123Graph_A????_2" localSheetId="8" hidden="1">#REF!</definedName>
    <definedName name="_2__123Graph_A????_2" hidden="1">#REF!</definedName>
    <definedName name="_2__123Graph_Aｸﾞﾗﾌ_2" localSheetId="8" hidden="1">#REF!</definedName>
    <definedName name="_2__123Graph_Aｸﾞﾗﾌ_2" hidden="1">#REF!</definedName>
    <definedName name="_2_0_0_F" localSheetId="0" hidden="1">#REF!</definedName>
    <definedName name="_2_0_0_F" localSheetId="8" hidden="1">#REF!</definedName>
    <definedName name="_2_0_0_F" hidden="1">#REF!</definedName>
    <definedName name="_20__123Graph_Xｸﾞﾗﾌ_2" localSheetId="0" hidden="1">#REF!</definedName>
    <definedName name="_20__123Graph_Xｸﾞﾗﾌ_2" localSheetId="8" hidden="1">#REF!</definedName>
    <definedName name="_20__123Graph_Xｸﾞﾗﾌ_2" hidden="1">#REF!</definedName>
    <definedName name="_20__123Graph_Xｸﾞﾗﾌ_5" localSheetId="8" hidden="1">#REF!</definedName>
    <definedName name="_20__123Graph_Xｸﾞﾗﾌ_5" hidden="1">#REF!</definedName>
    <definedName name="_21__123Graph_A????_2" localSheetId="0" hidden="1">#REF!</definedName>
    <definedName name="_21__123Graph_A????_2" localSheetId="8" hidden="1">#REF!</definedName>
    <definedName name="_21__123Graph_A????_2" hidden="1">#REF!</definedName>
    <definedName name="_21__123Graph_Xｸﾞﾗﾌ_3" localSheetId="8" hidden="1">#REF!</definedName>
    <definedName name="_21__123Graph_Xｸﾞﾗﾌ_3" hidden="1">#REF!</definedName>
    <definedName name="_22__123Graph_A????_4" localSheetId="0" hidden="1">#REF!</definedName>
    <definedName name="_22__123Graph_A????_4" localSheetId="8" hidden="1">#REF!</definedName>
    <definedName name="_22__123Graph_A????_4" hidden="1">#REF!</definedName>
    <definedName name="_22__123Graph_Xｸﾞﾗﾌ_4" localSheetId="8" hidden="1">#REF!</definedName>
    <definedName name="_22__123Graph_Xｸﾞﾗﾌ_4" hidden="1">#REF!</definedName>
    <definedName name="_23__123Graph_A????_1" localSheetId="0" hidden="1">#REF!</definedName>
    <definedName name="_23__123Graph_A????_1" localSheetId="8" hidden="1">#REF!</definedName>
    <definedName name="_23__123Graph_A????_1" hidden="1">#REF!</definedName>
    <definedName name="_23__123Graph_Xｸﾞﾗﾌ_5" localSheetId="8" hidden="1">#REF!</definedName>
    <definedName name="_23__123Graph_Xｸﾞﾗﾌ_5" hidden="1">#REF!</definedName>
    <definedName name="_25__123Graph_A????_3" localSheetId="0" hidden="1">#REF!</definedName>
    <definedName name="_25__123Graph_A????_3" localSheetId="8" hidden="1">#REF!</definedName>
    <definedName name="_25__123Graph_A????_3" hidden="1">#REF!</definedName>
    <definedName name="_27__123Graph_A????_5" hidden="1">#REF!</definedName>
    <definedName name="_28__123Graph_A????_2" hidden="1">#REF!</definedName>
    <definedName name="_29__123Graph_A????_4" hidden="1">#REF!</definedName>
    <definedName name="_3__123Graph_A????_3" localSheetId="0" hidden="1">#REF!</definedName>
    <definedName name="_3__123Graph_A????_3" localSheetId="8" hidden="1">#REF!</definedName>
    <definedName name="_3__123Graph_A????_3" hidden="1">#REF!</definedName>
    <definedName name="_3__123Graph_Aｸﾞﾗﾌ_3" localSheetId="8" hidden="1">#REF!</definedName>
    <definedName name="_3__123Graph_Aｸﾞﾗﾌ_3" hidden="1">#REF!</definedName>
    <definedName name="_3_2_0_Parse" localSheetId="0" hidden="1">#REF!</definedName>
    <definedName name="_3_2_0_Parse" localSheetId="8" hidden="1">#REF!</definedName>
    <definedName name="_3_2_0_Parse" hidden="1">#REF!</definedName>
    <definedName name="_33__123Graph_A????_3" localSheetId="0" hidden="1">#REF!</definedName>
    <definedName name="_33__123Graph_A????_3" localSheetId="8" hidden="1">#REF!</definedName>
    <definedName name="_33__123Graph_A????_3" hidden="1">#REF!</definedName>
    <definedName name="_33__123Graph_A????_5" localSheetId="8" hidden="1">#REF!</definedName>
    <definedName name="_33__123Graph_A????_5" hidden="1">#REF!</definedName>
    <definedName name="_33__123Graph_Aｸﾞﾗﾌ_1" hidden="1">#REF!</definedName>
    <definedName name="_38__123Graph_A????_4" localSheetId="0" hidden="1">#REF!</definedName>
    <definedName name="_38__123Graph_A????_4" localSheetId="8" hidden="1">#REF!</definedName>
    <definedName name="_38__123Graph_A????_4" hidden="1">#REF!</definedName>
    <definedName name="_38__123Graph_Aｸﾞﾗﾌ_1" localSheetId="8" hidden="1">#REF!</definedName>
    <definedName name="_38__123Graph_Aｸﾞﾗﾌ_1" hidden="1">#REF!</definedName>
    <definedName name="_39__123Graph_Aｸﾞﾗﾌ_2" hidden="1">#REF!</definedName>
    <definedName name="_4__123Graph_A????_1" hidden="1">#REF!</definedName>
    <definedName name="_4__123Graph_A????_4" hidden="1">#REF!</definedName>
    <definedName name="_4__123Graph_Aｸﾞﾗﾌ_4" hidden="1">#REF!</definedName>
    <definedName name="_43__123Graph_A????_5" localSheetId="0" hidden="1">#REF!</definedName>
    <definedName name="_43__123Graph_A????_5" localSheetId="8" hidden="1">#REF!</definedName>
    <definedName name="_43__123Graph_A????_5" hidden="1">#REF!</definedName>
    <definedName name="_43__123Graph_Aｸﾞﾗﾌ_2" localSheetId="8" hidden="1">#REF!</definedName>
    <definedName name="_43__123Graph_Aｸﾞﾗﾌ_2" hidden="1">#REF!</definedName>
    <definedName name="_45__123Graph_Aｸﾞﾗﾌ_3" hidden="1">#REF!</definedName>
    <definedName name="_48__123Graph_Aｸﾞﾗﾌ_3" hidden="1">#REF!</definedName>
    <definedName name="_5__123Graph_A????_2" localSheetId="0" hidden="1">#REF!</definedName>
    <definedName name="_5__123Graph_A????_2" localSheetId="8" hidden="1">#REF!</definedName>
    <definedName name="_5__123Graph_A????_2" hidden="1">#REF!</definedName>
    <definedName name="_5__123Graph_A????_5" localSheetId="8" hidden="1">#REF!</definedName>
    <definedName name="_5__123Graph_A????_5" hidden="1">#REF!</definedName>
    <definedName name="_5__123Graph_Aｸﾞﾗﾌ_5" hidden="1">#REF!</definedName>
    <definedName name="_51__123Graph_Aｸﾞﾗﾌ_1" hidden="1">#REF!</definedName>
    <definedName name="_51__123Graph_Aｸﾞﾗﾌ_4" hidden="1">#REF!</definedName>
    <definedName name="_53__123Graph_Aｸﾞﾗﾌ_4" hidden="1">#REF!</definedName>
    <definedName name="_57__123Graph_Aｸﾞﾗﾌ_5" hidden="1">#REF!</definedName>
    <definedName name="_58__123Graph_Aｸﾞﾗﾌ_5" hidden="1">#REF!</definedName>
    <definedName name="_59__123Graph_Aｸﾞﾗﾌ_2" hidden="1">#REF!</definedName>
    <definedName name="_6__123Graph_A????_3" hidden="1">#REF!</definedName>
    <definedName name="_6__123Graph_Aｸﾞﾗﾌ_1" hidden="1">#REF!</definedName>
    <definedName name="_6__123Graph_Xｸﾞﾗﾌ_1" hidden="1">#REF!</definedName>
    <definedName name="_62__123Graph_X????_1" localSheetId="0" hidden="1">#REF!</definedName>
    <definedName name="_62__123Graph_X????_1" localSheetId="8" hidden="1">#REF!</definedName>
    <definedName name="_62__123Graph_X????_1" hidden="1">#REF!</definedName>
    <definedName name="_66__123Graph_X????_2" localSheetId="8" hidden="1">#REF!</definedName>
    <definedName name="_66__123Graph_X????_2" hidden="1">#REF!</definedName>
    <definedName name="_67__123Graph_Aｸﾞﾗﾌ_3" hidden="1">#REF!</definedName>
    <definedName name="_67__123Graph_X????_2" hidden="1">#REF!</definedName>
    <definedName name="_7__123Graph_A????_1" localSheetId="0" hidden="1">#REF!</definedName>
    <definedName name="_7__123Graph_A????_1" localSheetId="8" hidden="1">#REF!</definedName>
    <definedName name="_7__123Graph_A????_1" hidden="1">#REF!</definedName>
    <definedName name="_7__123Graph_A????_4" localSheetId="8" hidden="1">#REF!</definedName>
    <definedName name="_7__123Graph_A????_4" hidden="1">#REF!</definedName>
    <definedName name="_7__123Graph_Aｸﾞﾗﾌ_2" hidden="1">#REF!</definedName>
    <definedName name="_7__123Graph_Xｸﾞﾗﾌ_2" hidden="1">#REF!</definedName>
    <definedName name="_70__123Graph_X????_3" localSheetId="0" hidden="1">#REF!</definedName>
    <definedName name="_70__123Graph_X????_3" localSheetId="8" hidden="1">#REF!</definedName>
    <definedName name="_70__123Graph_X????_3" hidden="1">#REF!</definedName>
    <definedName name="_72__123Graph_X????_3" localSheetId="8" hidden="1">#REF!</definedName>
    <definedName name="_72__123Graph_X????_3" hidden="1">#REF!</definedName>
    <definedName name="_74__123Graph_X????_4" hidden="1">#REF!</definedName>
    <definedName name="_75__123Graph_Aｸﾞﾗﾌ_4" hidden="1">#REF!</definedName>
    <definedName name="_77__123Graph_X????_4" hidden="1">#REF!</definedName>
    <definedName name="_78__123Graph_X????_5" hidden="1">#REF!</definedName>
    <definedName name="_8__123Graph_A????_5" localSheetId="0" hidden="1">#REF!</definedName>
    <definedName name="_8__123Graph_A????_5" localSheetId="8" hidden="1">#REF!</definedName>
    <definedName name="_8__123Graph_A????_5" hidden="1">#REF!</definedName>
    <definedName name="_8__123Graph_Aｸﾞﾗﾌ_3" localSheetId="8" hidden="1">#REF!</definedName>
    <definedName name="_8__123Graph_Aｸﾞﾗﾌ_3" hidden="1">#REF!</definedName>
    <definedName name="_8__123Graph_Xｸﾞﾗﾌ_3"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__123Graph_Aｸﾞﾗﾌ_1" hidden="1">#REF!</definedName>
    <definedName name="_9__123Graph_Aｸﾞﾗﾌ_4" hidden="1">#REF!</definedName>
    <definedName name="_9__123Graph_Xｸﾞﾗﾌ_4"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localSheetId="0" hidden="1">{"'Sheet1'!$L$16"}</definedName>
    <definedName name="_a1" localSheetId="8" hidden="1">{"'Sheet1'!$L$16"}</definedName>
    <definedName name="_a1" hidden="1">{"'Sheet1'!$L$16"}</definedName>
    <definedName name="_a10" localSheetId="0" hidden="1">{"'Sheet1'!$L$16"}</definedName>
    <definedName name="_a10" localSheetId="8" hidden="1">{"'Sheet1'!$L$16"}</definedName>
    <definedName name="_a10" hidden="1">{"'Sheet1'!$L$16"}</definedName>
    <definedName name="_a11" localSheetId="0" hidden="1">{"'Sheet1'!$L$16"}</definedName>
    <definedName name="_a11" localSheetId="8" hidden="1">{"'Sheet1'!$L$16"}</definedName>
    <definedName name="_a11" hidden="1">{"'Sheet1'!$L$16"}</definedName>
    <definedName name="_a12" localSheetId="0" hidden="1">{"'Sheet1'!$L$16"}</definedName>
    <definedName name="_a12" localSheetId="8" hidden="1">{"'Sheet1'!$L$16"}</definedName>
    <definedName name="_a12" hidden="1">{"'Sheet1'!$L$16"}</definedName>
    <definedName name="_a129" localSheetId="0" hidden="1">{"Offgrid",#N/A,FALSE,"OFFGRID";"Region",#N/A,FALSE,"REGION";"Offgrid -2",#N/A,FALSE,"OFFGRID";"WTP",#N/A,FALSE,"WTP";"WTP -2",#N/A,FALSE,"WTP";"Project",#N/A,FALSE,"PROJECT";"Summary -2",#N/A,FALSE,"SUMMARY"}</definedName>
    <definedName name="_a129" localSheetId="8"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8"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{"'Sheet1'!$L$16"}</definedName>
    <definedName name="_a2" localSheetId="8" hidden="1">{"'Sheet1'!$L$16"}</definedName>
    <definedName name="_a2" hidden="1">{"'Sheet1'!$L$16"}</definedName>
    <definedName name="_a3" localSheetId="0" hidden="1">{"'Sheet1'!$L$16"}</definedName>
    <definedName name="_a3" localSheetId="8" hidden="1">{"'Sheet1'!$L$16"}</definedName>
    <definedName name="_a3" hidden="1">{"'Sheet1'!$L$16"}</definedName>
    <definedName name="_a4" localSheetId="0" hidden="1">{"'Sheet1'!$L$16"}</definedName>
    <definedName name="_a4" localSheetId="8" hidden="1">{"'Sheet1'!$L$16"}</definedName>
    <definedName name="_a4" hidden="1">{"'Sheet1'!$L$16"}</definedName>
    <definedName name="_a5" localSheetId="0" hidden="1">{"'Sheet1'!$L$16"}</definedName>
    <definedName name="_a5" localSheetId="8" hidden="1">{"'Sheet1'!$L$16"}</definedName>
    <definedName name="_a5" hidden="1">{"'Sheet1'!$L$16"}</definedName>
    <definedName name="_a7" localSheetId="0" hidden="1">{"'Sheet1'!$L$16"}</definedName>
    <definedName name="_a7" localSheetId="8" hidden="1">{"'Sheet1'!$L$16"}</definedName>
    <definedName name="_a7" hidden="1">{"'Sheet1'!$L$16"}</definedName>
    <definedName name="_a8" localSheetId="0" hidden="1">{"'Sheet1'!$L$16"}</definedName>
    <definedName name="_a8" localSheetId="8" hidden="1">{"'Sheet1'!$L$16"}</definedName>
    <definedName name="_a8" hidden="1">{"'Sheet1'!$L$16"}</definedName>
    <definedName name="_a9" localSheetId="0" hidden="1">{"'Sheet1'!$L$16"}</definedName>
    <definedName name="_a9" localSheetId="8" hidden="1">{"'Sheet1'!$L$16"}</definedName>
    <definedName name="_a9" hidden="1">{"'Sheet1'!$L$16"}</definedName>
    <definedName name="_BG12" localSheetId="0" hidden="1">{"'Sheet1'!$L$16"}</definedName>
    <definedName name="_BG12" localSheetId="8" hidden="1">{"'Sheet1'!$L$16"}</definedName>
    <definedName name="_BG12" hidden="1">{"'Sheet1'!$L$16"}</definedName>
    <definedName name="_bht6" localSheetId="0" hidden="1">{"'Sheet1'!$L$16"}</definedName>
    <definedName name="_bht6" localSheetId="8" hidden="1">{"'Sheet1'!$L$16"}</definedName>
    <definedName name="_bht6" hidden="1">{"'Sheet1'!$L$16"}</definedName>
    <definedName name="_Builtin155" hidden="1">#N/A</definedName>
    <definedName name="_CN1" localSheetId="0" hidden="1">{"'Sheet1'!$L$16"}</definedName>
    <definedName name="_CN1" localSheetId="8" hidden="1">{"'Sheet1'!$L$16"}</definedName>
    <definedName name="_CN1" hidden="1">{"'Sheet1'!$L$16"}</definedName>
    <definedName name="_CT3" hidden="1">{"'Sheet1'!$L$16"}</definedName>
    <definedName name="_d1500" localSheetId="0" hidden="1">{"'Sheet1'!$L$16"}</definedName>
    <definedName name="_d1500" localSheetId="8" hidden="1">{"'Sheet1'!$L$16"}</definedName>
    <definedName name="_d1500" hidden="1">{"'Sheet1'!$L$16"}</definedName>
    <definedName name="_f5" localSheetId="0" hidden="1">{"'Sheet1'!$L$16"}</definedName>
    <definedName name="_f5" localSheetId="8" hidden="1">{"'Sheet1'!$L$16"}</definedName>
    <definedName name="_f5" hidden="1">{"'Sheet1'!$L$16"}</definedName>
    <definedName name="_Fill" localSheetId="8" hidden="1">#REF!</definedName>
    <definedName name="_Fill" hidden="1">#REF!</definedName>
    <definedName name="_Fill1" localSheetId="0" hidden="1">#REF!</definedName>
    <definedName name="_Fill1" localSheetId="8" hidden="1">#REF!</definedName>
    <definedName name="_Fill1" hidden="1">#REF!</definedName>
    <definedName name="_Fill2" localSheetId="8" hidden="1">#REF!</definedName>
    <definedName name="_Fill2" hidden="1">#REF!</definedName>
    <definedName name="_xlnm._FilterDatabase" localSheetId="2" hidden="1">'2.Tien do'!$A$3:$AK$83</definedName>
    <definedName name="_xlnm._FilterDatabase" localSheetId="4" hidden="1">'5.Doanh thu'!$B$9:$CG$118</definedName>
    <definedName name="_xlnm._FilterDatabase" localSheetId="9" hidden="1">'8.ĐO NHAY'!$A$8:$A$36</definedName>
    <definedName name="_xlnm._FilterDatabase" localSheetId="0" hidden="1">#REF!</definedName>
    <definedName name="_xlnm._FilterDatabase" localSheetId="8" hidden="1">#REF!</definedName>
    <definedName name="_xlnm._FilterDatabase" hidden="1">#REF!</definedName>
    <definedName name="_Goi8" localSheetId="0" hidden="1">{"'Sheet1'!$L$16"}</definedName>
    <definedName name="_Goi8" localSheetId="8" hidden="1">{"'Sheet1'!$L$16"}</definedName>
    <definedName name="_Goi8" hidden="1">{"'Sheet1'!$L$16"}</definedName>
    <definedName name="_h1" localSheetId="0" hidden="1">{"'Sheet1'!$L$16"}</definedName>
    <definedName name="_h1" localSheetId="8" hidden="1">{"'Sheet1'!$L$16"}</definedName>
    <definedName name="_h1" hidden="1">{"'Sheet1'!$L$16"}</definedName>
    <definedName name="_hh1219" localSheetId="0" hidden="1">{"'Sheet1'!$L$16"}</definedName>
    <definedName name="_hh1219" localSheetId="8" hidden="1">{"'Sheet1'!$L$16"}</definedName>
    <definedName name="_hh1219" hidden="1">{"'Sheet1'!$L$16"}</definedName>
    <definedName name="_hu1" localSheetId="0" hidden="1">{"'Sheet1'!$L$16"}</definedName>
    <definedName name="_hu1" localSheetId="8" hidden="1">{"'Sheet1'!$L$16"}</definedName>
    <definedName name="_hu1" hidden="1">{"'Sheet1'!$L$16"}</definedName>
    <definedName name="_hu2" localSheetId="0" hidden="1">{"'Sheet1'!$L$16"}</definedName>
    <definedName name="_hu2" localSheetId="8" hidden="1">{"'Sheet1'!$L$16"}</definedName>
    <definedName name="_hu2" hidden="1">{"'Sheet1'!$L$16"}</definedName>
    <definedName name="_hu5" localSheetId="0" hidden="1">{"'Sheet1'!$L$16"}</definedName>
    <definedName name="_hu5" localSheetId="8" hidden="1">{"'Sheet1'!$L$16"}</definedName>
    <definedName name="_hu5" hidden="1">{"'Sheet1'!$L$16"}</definedName>
    <definedName name="_hu6" localSheetId="0" hidden="1">{"'Sheet1'!$L$16"}</definedName>
    <definedName name="_hu6" localSheetId="8" hidden="1">{"'Sheet1'!$L$16"}</definedName>
    <definedName name="_hu6" hidden="1">{"'Sheet1'!$L$16"}</definedName>
    <definedName name="_Key1" localSheetId="8" hidden="1">#REF!</definedName>
    <definedName name="_Key1" hidden="1">#REF!</definedName>
    <definedName name="_kEY11" localSheetId="8" hidden="1">#REF!</definedName>
    <definedName name="_kEY11" hidden="1">#REF!</definedName>
    <definedName name="_KEY12" localSheetId="8" hidden="1">#REF!</definedName>
    <definedName name="_KEY12" hidden="1">#REF!</definedName>
    <definedName name="_Key2" localSheetId="8" hidden="1">#REF!</definedName>
    <definedName name="_Key2" hidden="1">#REF!</definedName>
    <definedName name="_Lan1" localSheetId="0" hidden="1">{"'Sheet1'!$L$16"}</definedName>
    <definedName name="_Lan1" localSheetId="8" hidden="1">{"'Sheet1'!$L$16"}</definedName>
    <definedName name="_Lan1" hidden="1">{"'Sheet1'!$L$16"}</definedName>
    <definedName name="_LAN3" localSheetId="0" hidden="1">{"'Sheet1'!$L$16"}</definedName>
    <definedName name="_LAN3" localSheetId="8" hidden="1">{"'Sheet1'!$L$16"}</definedName>
    <definedName name="_LAN3" hidden="1">{"'Sheet1'!$L$16"}</definedName>
    <definedName name="_M2" localSheetId="0" hidden="1">{"'Sheet1'!$L$16"}</definedName>
    <definedName name="_M2" localSheetId="8" hidden="1">{"'Sheet1'!$L$16"}</definedName>
    <definedName name="_M2" hidden="1">{"'Sheet1'!$L$16"}</definedName>
    <definedName name="_MatInverse_In" localSheetId="0" hidden="1">#REF!</definedName>
    <definedName name="_MatInverse_In" localSheetId="8" hidden="1">#REF!</definedName>
    <definedName name="_MatInverse_In" hidden="1">#REF!</definedName>
    <definedName name="_MCC3" localSheetId="0" hidden="1">{#N/A,#N/A,FALSE,"CCTV"}</definedName>
    <definedName name="_MCC3" localSheetId="8" hidden="1">{#N/A,#N/A,FALSE,"CCTV"}</definedName>
    <definedName name="_MCC3" hidden="1">{#N/A,#N/A,FALSE,"CCTV"}</definedName>
    <definedName name="_NO2" localSheetId="0" hidden="1">#REF!</definedName>
    <definedName name="_NO2" localSheetId="8" hidden="1">#REF!</definedName>
    <definedName name="_NO2" hidden="1">#REF!</definedName>
    <definedName name="_NSO2" localSheetId="0" hidden="1">{"'Sheet1'!$L$16"}</definedName>
    <definedName name="_NSO2" localSheetId="8" hidden="1">{"'Sheet1'!$L$16"}</definedName>
    <definedName name="_NSO2" hidden="1">{"'Sheet1'!$L$16"}</definedName>
    <definedName name="_Order1" hidden="1">255</definedName>
    <definedName name="_Order2" hidden="1">255</definedName>
    <definedName name="_P3" localSheetId="0" hidden="1">{#N/A,#N/A,FALSE,"特殊室（ＢＱ表）"}</definedName>
    <definedName name="_P3" localSheetId="8" hidden="1">{#N/A,#N/A,FALSE,"特殊室（ＢＱ表）"}</definedName>
    <definedName name="_P3" hidden="1">{#N/A,#N/A,FALSE,"特殊室（ＢＱ表）"}</definedName>
    <definedName name="_PA3" localSheetId="0" hidden="1">{"'Sheet1'!$L$16"}</definedName>
    <definedName name="_PA3" localSheetId="8" hidden="1">{"'Sheet1'!$L$16"}</definedName>
    <definedName name="_PA3" hidden="1">{"'Sheet1'!$L$16"}</definedName>
    <definedName name="_Parse_In" localSheetId="8" hidden="1">#REF!</definedName>
    <definedName name="_Parse_In" hidden="1">#REF!</definedName>
    <definedName name="_Parse_Out" hidden="1">#REF!</definedName>
    <definedName name="_PPP3" localSheetId="0" hidden="1">{#N/A,#N/A,FALSE,"特殊室（ＢＱ表）"}</definedName>
    <definedName name="_PPP3" localSheetId="8" hidden="1">{#N/A,#N/A,FALSE,"特殊室（ＢＱ表）"}</definedName>
    <definedName name="_PPP3" hidden="1">{#N/A,#N/A,FALSE,"特殊室（ＢＱ表）"}</definedName>
    <definedName name="_PPP33" localSheetId="0" hidden="1">{#N/A,#N/A,FALSE,"特殊室（ＢＱ表）"}</definedName>
    <definedName name="_PPP33" localSheetId="8" hidden="1">{#N/A,#N/A,FALSE,"特殊室（ＢＱ表）"}</definedName>
    <definedName name="_PPP33" hidden="1">{#N/A,#N/A,FALSE,"特殊室（ＢＱ表）"}</definedName>
    <definedName name="_ppp34" localSheetId="0" hidden="1">{#N/A,#N/A,FALSE,"特殊室（ＢＱ表）"}</definedName>
    <definedName name="_ppp34" localSheetId="8" hidden="1">{#N/A,#N/A,FALSE,"特殊室（ＢＱ表）"}</definedName>
    <definedName name="_ppp34" hidden="1">{#N/A,#N/A,FALSE,"特殊室（ＢＱ表）"}</definedName>
    <definedName name="_ppp3444" localSheetId="0" hidden="1">{#N/A,#N/A,FALSE,"特殊室（ＢＱ表）"}</definedName>
    <definedName name="_ppp3444" localSheetId="8" hidden="1">{#N/A,#N/A,FALSE,"特殊室（ＢＱ表）"}</definedName>
    <definedName name="_ppp3444" hidden="1">{#N/A,#N/A,FALSE,"特殊室（ＢＱ表）"}</definedName>
    <definedName name="_Regression_Int" hidden="1">1</definedName>
    <definedName name="_Regression_Out" localSheetId="8" hidden="1">#REF!</definedName>
    <definedName name="_Regression_Out" hidden="1">#REF!</definedName>
    <definedName name="_Regression_X" localSheetId="8" hidden="1">#REF!</definedName>
    <definedName name="_Regression_X" hidden="1">#REF!</definedName>
    <definedName name="_Regression_Y" localSheetId="8" hidden="1">#REF!</definedName>
    <definedName name="_Regression_Y" hidden="1">#REF!</definedName>
    <definedName name="_REV1" localSheetId="0" hidden="1">{#N/A,#N/A,TRUE,"Str.";#N/A,#N/A,TRUE,"Steel &amp; Roof";#N/A,#N/A,TRUE,"Arc.";#N/A,#N/A,TRUE,"Preliminary";#N/A,#N/A,TRUE,"Sum_Prelim"}</definedName>
    <definedName name="_REV1" localSheetId="8" hidden="1">{#N/A,#N/A,TRUE,"Str.";#N/A,#N/A,TRUE,"Steel &amp; Roof";#N/A,#N/A,TRUE,"Arc.";#N/A,#N/A,TRUE,"Preliminary";#N/A,#N/A,TRUE,"Sum_Prelim"}</definedName>
    <definedName name="_REV1" hidden="1">{#N/A,#N/A,TRUE,"Str.";#N/A,#N/A,TRUE,"Steel &amp; Roof";#N/A,#N/A,TRUE,"Arc.";#N/A,#N/A,TRUE,"Preliminary";#N/A,#N/A,TRUE,"Sum_Prelim"}</definedName>
    <definedName name="_SCL4" localSheetId="0" hidden="1">{"'Sheet1'!$L$16"}</definedName>
    <definedName name="_SCL4" localSheetId="8" hidden="1">{"'Sheet1'!$L$16"}</definedName>
    <definedName name="_SCL4" hidden="1">{"'Sheet1'!$L$16"}</definedName>
    <definedName name="_Sort" hidden="1">#REF!</definedName>
    <definedName name="_sxt5" localSheetId="0" hidden="1">{"'Sheet1'!$L$16"}</definedName>
    <definedName name="_sxt5" localSheetId="8" hidden="1">{"'Sheet1'!$L$16"}</definedName>
    <definedName name="_sxt5" hidden="1">{"'Sheet1'!$L$16"}</definedName>
    <definedName name="_T1" localSheetId="0" hidden="1">{#N/A,#N/A,FALSE,"Chi tiÆt"}</definedName>
    <definedName name="_T1" localSheetId="8" hidden="1">{#N/A,#N/A,FALSE,"Chi tiÆt"}</definedName>
    <definedName name="_T1" hidden="1">{#N/A,#N/A,FALSE,"Chi tiÆt"}</definedName>
    <definedName name="_Table1_In1" localSheetId="0" hidden="1">#REF!</definedName>
    <definedName name="_Table1_In1" localSheetId="8" hidden="1">#REF!</definedName>
    <definedName name="_Table1_In1" hidden="1">#REF!</definedName>
    <definedName name="_Table1_Out" localSheetId="0" hidden="1">#REF!</definedName>
    <definedName name="_Table1_Out" localSheetId="8" hidden="1">#REF!</definedName>
    <definedName name="_Table1_Out" hidden="1">#REF!</definedName>
    <definedName name="_Table2_In1" localSheetId="0" hidden="1">#REF!</definedName>
    <definedName name="_Table2_In1" localSheetId="8" hidden="1">#REF!</definedName>
    <definedName name="_Table2_In1" hidden="1">#REF!</definedName>
    <definedName name="_Table2_In2" localSheetId="0" hidden="1">#REF!</definedName>
    <definedName name="_Table2_In2" localSheetId="8" hidden="1">#REF!</definedName>
    <definedName name="_Table2_In2" hidden="1">#REF!</definedName>
    <definedName name="_Table2_Out" localSheetId="0" hidden="1">#REF!</definedName>
    <definedName name="_Table2_Out" localSheetId="8" hidden="1">#REF!</definedName>
    <definedName name="_Table2_Out" hidden="1">#REF!</definedName>
    <definedName name="_TM2" localSheetId="0" hidden="1">{"'Sheet1'!$L$16"}</definedName>
    <definedName name="_TM2" localSheetId="8" hidden="1">{"'Sheet1'!$L$16"}</definedName>
    <definedName name="_TM2" hidden="1">{"'Sheet1'!$L$16"}</definedName>
    <definedName name="_tt3" localSheetId="0" hidden="1">{"'Sheet1'!$L$16"}</definedName>
    <definedName name="_tt3" localSheetId="8" hidden="1">{"'Sheet1'!$L$16"}</definedName>
    <definedName name="_tt3" hidden="1">{"'Sheet1'!$L$16"}</definedName>
    <definedName name="_Unknown_User_Defined_Name_0" localSheetId="0" hidden="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pt5" localSheetId="0" hidden="1">{"'Sheet1'!$L$16"}</definedName>
    <definedName name="_vpt5" localSheetId="8" hidden="1">{"'Sheet1'!$L$16"}</definedName>
    <definedName name="_vpt5" hidden="1">{"'Sheet1'!$L$16"}</definedName>
    <definedName name="_vpt6" localSheetId="0" hidden="1">{"'Sheet1'!$L$16"}</definedName>
    <definedName name="_vpt6" localSheetId="8" hidden="1">{"'Sheet1'!$L$16"}</definedName>
    <definedName name="_vpt6" hidden="1">{"'Sheet1'!$L$16"}</definedName>
    <definedName name="_ww2" localSheetId="0" hidden="1">{#N/A,#N/A,FALSE,"Admin";#N/A,#N/A,FALSE,"Other"}</definedName>
    <definedName name="_ww2" localSheetId="8" hidden="1">{#N/A,#N/A,FALSE,"Admin";#N/A,#N/A,FALSE,"Other"}</definedName>
    <definedName name="_ww2" hidden="1">{#N/A,#N/A,FALSE,"Admin";#N/A,#N/A,FALSE,"Other"}</definedName>
    <definedName name="¸df" localSheetId="0" hidden="1">#REF!</definedName>
    <definedName name="¸df" localSheetId="8" hidden="1">#REF!</definedName>
    <definedName name="¸df" hidden="1">#REF!</definedName>
    <definedName name="a" localSheetId="8" hidden="1">#REF!</definedName>
    <definedName name="â" localSheetId="0" hidden="1">{"'Sheet1'!$L$16"}</definedName>
    <definedName name="â" localSheetId="8" hidden="1">{"'Sheet1'!$L$16"}</definedName>
    <definedName name="â" hidden="1">{"'Sheet1'!$L$16"}</definedName>
    <definedName name="ầ" localSheetId="0" hidden="1">{"'Sheet1'!$L$16"}</definedName>
    <definedName name="ầ" localSheetId="8" hidden="1">{"'Sheet1'!$L$16"}</definedName>
    <definedName name="ầ" hidden="1">{"'Sheet1'!$L$16"}</definedName>
    <definedName name="a129_xoa" localSheetId="0" hidden="1">{"Offgrid",#N/A,FALSE,"OFFGRID";"Region",#N/A,FALSE,"REGION";"Offgrid -2",#N/A,FALSE,"OFFGRID";"WTP",#N/A,FALSE,"WTP";"WTP -2",#N/A,FALSE,"WTP";"Project",#N/A,FALSE,"PROJECT";"Summary -2",#N/A,FALSE,"SUMMARY"}</definedName>
    <definedName name="a129_xoa" localSheetId="8" hidden="1">{"Offgrid",#N/A,FALSE,"OFFGRID";"Region",#N/A,FALSE,"REGION";"Offgrid -2",#N/A,FALSE,"OFFGRID";"WTP",#N/A,FALSE,"WTP";"WTP -2",#N/A,FALSE,"WTP";"Project",#N/A,FALSE,"PROJECT";"Summary -2",#N/A,FALSE,"SUMMARY"}</definedName>
    <definedName name="a129_xoa"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29_xoaxoa" localSheetId="8"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 localSheetId="8"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30_xoaxoa" localSheetId="8"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moi" localSheetId="0" hidden="1">{"'Sheet1'!$L$16"}</definedName>
    <definedName name="a1moi" localSheetId="8" hidden="1">{"'Sheet1'!$L$16"}</definedName>
    <definedName name="a1moi" hidden="1">{"'Sheet1'!$L$16"}</definedName>
    <definedName name="a3rt" localSheetId="0" hidden="1">{"'Sheet1'!$L$16"}</definedName>
    <definedName name="a3rt" localSheetId="8" hidden="1">{"'Sheet1'!$L$16"}</definedName>
    <definedName name="a3rt" hidden="1">{"'Sheet1'!$L$16"}</definedName>
    <definedName name="AAA_DOCTOPS" hidden="1">"AAA_SET"</definedName>
    <definedName name="AAA_duser" hidden="1">"OFF"</definedName>
    <definedName name="aaaa" localSheetId="0" hidden="1">{"'Sheet1'!$L$16"}</definedName>
    <definedName name="aaaa" localSheetId="8" hidden="1">{"'Sheet1'!$L$16"}</definedName>
    <definedName name="aaaa" hidden="1">{"'Sheet1'!$L$16"}</definedName>
    <definedName name="AAB_Addin5" hidden="1">"AAB_Description for addin 5,Description for addin 5,Description for addin 5,Description for addin 5,Description for addin 5,Description for addin 5"</definedName>
    <definedName name="aassdffgb" localSheetId="0" hidden="1">#REF!</definedName>
    <definedName name="aassdffgb" localSheetId="8" hidden="1">#REF!</definedName>
    <definedName name="aassdffgb" hidden="1">#REF!</definedName>
    <definedName name="abc" localSheetId="0" hidden="1">{"'Sheet1'!$L$16"}</definedName>
    <definedName name="abc" localSheetId="8" hidden="1">{"'Sheet1'!$L$16"}</definedName>
    <definedName name="abc" hidden="1">{"'Sheet1'!$L$16"}</definedName>
    <definedName name="AccessDatabase" hidden="1">"C:\My Documents\LeBinh\Xls\VP Cong ty\FORM.mdb"</definedName>
    <definedName name="ACMV" localSheetId="0" hidden="1">{"'Sheet1'!$L$16"}</definedName>
    <definedName name="ACMV" localSheetId="8" hidden="1">{"'Sheet1'!$L$16"}</definedName>
    <definedName name="ACMV" hidden="1">{"'Sheet1'!$L$16"}</definedName>
    <definedName name="AD" hidden="1">#REF!</definedName>
    <definedName name="ád" hidden="1">#REF!</definedName>
    <definedName name="adc" localSheetId="0" hidden="1">{#N/A,#N/A,FALSE,"CCTV"}</definedName>
    <definedName name="adc" localSheetId="8" hidden="1">{#N/A,#N/A,FALSE,"CCTV"}</definedName>
    <definedName name="adc" hidden="1">{#N/A,#N/A,FALSE,"CCTV"}</definedName>
    <definedName name="ádfas" localSheetId="0" hidden="1">#REF!</definedName>
    <definedName name="ádfas" hidden="1">#REF!</definedName>
    <definedName name="ádsấ" localSheetId="0" hidden="1">{#N/A,#N/A,FALSE,"Tabelle2";#N/A,#N/A,FALSE,"Tabelle1"}</definedName>
    <definedName name="ádsấ" localSheetId="8" hidden="1">{#N/A,#N/A,FALSE,"Tabelle2";#N/A,#N/A,FALSE,"Tabelle1"}</definedName>
    <definedName name="ádsấ" hidden="1">{#N/A,#N/A,FALSE,"Tabelle2";#N/A,#N/A,FALSE,"Tabelle1"}</definedName>
    <definedName name="adsadsa" localSheetId="0" hidden="1">{#N/A,#N/A,TRUE,"CS&amp;SS(AG)";#N/A,#N/A,TRUE,"CS(UG)";#N/A,#N/A,TRUE,"CSCL(UG)";#N/A,#N/A,TRUE,"KYNAR";#N/A,#N/A,TRUE,"ALLOY904";#N/A,#N/A,TRUE,"TITANIUM";#N/A,#N/A,TRUE,"STMTRACE"}</definedName>
    <definedName name="adsadsa" localSheetId="8" hidden="1">{#N/A,#N/A,TRUE,"CS&amp;SS(AG)";#N/A,#N/A,TRUE,"CS(UG)";#N/A,#N/A,TRUE,"CSCL(UG)";#N/A,#N/A,TRUE,"KYNAR";#N/A,#N/A,TRUE,"ALLOY904";#N/A,#N/A,TRUE,"TITANIUM";#N/A,#N/A,TRUE,"STMTRACE"}</definedName>
    <definedName name="adsadsa" hidden="1">{#N/A,#N/A,TRUE,"CS&amp;SS(AG)";#N/A,#N/A,TRUE,"CS(UG)";#N/A,#N/A,TRUE,"CSCL(UG)";#N/A,#N/A,TRUE,"KYNAR";#N/A,#N/A,TRUE,"ALLOY904";#N/A,#N/A,TRUE,"TITANIUM";#N/A,#N/A,TRUE,"STMTRACE"}</definedName>
    <definedName name="ae" localSheetId="0" hidden="1">{"HK PR",#N/A,FALSE,"HK";"SUMMARY",#N/A,FALSE,"PAYROLL";"SUMMARY",#N/A,FALSE,"PAYROLL";"HK PR",#N/A,FALSE,"HK"}</definedName>
    <definedName name="ae" localSheetId="8" hidden="1">{"HK PR",#N/A,FALSE,"HK";"SUMMARY",#N/A,FALSE,"PAYROLL";"SUMMARY",#N/A,FALSE,"PAYROLL";"HK PR",#N/A,FALSE,"HK"}</definedName>
    <definedName name="ae" hidden="1">{"HK PR",#N/A,FALSE,"HK";"SUMMARY",#N/A,FALSE,"PAYROLL";"SUMMARY",#N/A,FALSE,"PAYROLL";"HK PR",#N/A,FALSE,"HK"}</definedName>
    <definedName name="aesde" localSheetId="0" hidden="1">{#N/A,#N/A,FALSE,"CCTV"}</definedName>
    <definedName name="aesde" localSheetId="8" hidden="1">{#N/A,#N/A,FALSE,"CCTV"}</definedName>
    <definedName name="aesde" hidden="1">{#N/A,#N/A,FALSE,"CCTV"}</definedName>
    <definedName name="AHGA" localSheetId="0" hidden="1">{"'Sheet1'!$L$16"}</definedName>
    <definedName name="AHGA" localSheetId="8" hidden="1">{"'Sheet1'!$L$16"}</definedName>
    <definedName name="AHGA" hidden="1">{"'Sheet1'!$L$16"}</definedName>
    <definedName name="ahtjht" localSheetId="0" hidden="1">{"'Sheet1'!$L$16"}</definedName>
    <definedName name="ahtjht" localSheetId="8" hidden="1">{"'Sheet1'!$L$16"}</definedName>
    <definedName name="ahtjht" hidden="1">{"'Sheet1'!$L$16"}</definedName>
    <definedName name="akdk" localSheetId="0" hidden="1">#REF!</definedName>
    <definedName name="akdk" localSheetId="8" hidden="1">#REF!</definedName>
    <definedName name="akdk" hidden="1">#REF!</definedName>
    <definedName name="anscount" hidden="1">1</definedName>
    <definedName name="appendix4" localSheetId="0" hidden="1">{#N/A,#N/A,TRUE,"Cover sheet";#N/A,#N/A,TRUE,"Summary";#N/A,#N/A,TRUE,"Key Assumptions";#N/A,#N/A,TRUE,"Profit &amp; Loss";#N/A,#N/A,TRUE,"Balance Sheet";#N/A,#N/A,TRUE,"Cashflow";#N/A,#N/A,TRUE,"IRR";#N/A,#N/A,TRUE,"Ratios";#N/A,#N/A,TRUE,"Debt analysis"}</definedName>
    <definedName name="appendix4" localSheetId="8" hidden="1">{#N/A,#N/A,TRUE,"Cover sheet";#N/A,#N/A,TRUE,"Summary";#N/A,#N/A,TRUE,"Key Assumptions";#N/A,#N/A,TRUE,"Profit &amp; Loss";#N/A,#N/A,TRUE,"Balance Sheet";#N/A,#N/A,TRUE,"Cashflow";#N/A,#N/A,TRUE,"IRR";#N/A,#N/A,TRUE,"Ratios";#N/A,#N/A,TRUE,"Debt analysis"}</definedName>
    <definedName name="appendix4" hidden="1">{#N/A,#N/A,TRUE,"Cover sheet";#N/A,#N/A,TRUE,"Summary";#N/A,#N/A,TRUE,"Key Assumptions";#N/A,#N/A,TRUE,"Profit &amp; Loss";#N/A,#N/A,TRUE,"Balance Sheet";#N/A,#N/A,TRUE,"Cashflow";#N/A,#N/A,TRUE,"IRR";#N/A,#N/A,TRUE,"Ratios";#N/A,#N/A,TRUE,"Debt analysis"}</definedName>
    <definedName name="AS" localSheetId="0" hidden="1">#REF!</definedName>
    <definedName name="AS" localSheetId="8" hidden="1">#REF!</definedName>
    <definedName name="AS" hidden="1">#REF!</definedName>
    <definedName name="AS2DocOpenMode" hidden="1">"AS2DocumentEdit"</definedName>
    <definedName name="AS2ReportLS" hidden="1">1</definedName>
    <definedName name="AS2SyncStepLS" hidden="1">0</definedName>
    <definedName name="AS2TickmarkLS" localSheetId="8" hidden="1">#REF!</definedName>
    <definedName name="AS2TickmarkLS" hidden="1">#REF!</definedName>
    <definedName name="AS2VersionLS" hidden="1">300</definedName>
    <definedName name="asas" localSheetId="0" hidden="1">{#N/A,#N/A,FALSE,"Sheet2";#N/A,#N/A,FALSE,"Sheet4";#N/A,#N/A,FALSE,"Sheet6"}</definedName>
    <definedName name="asas" localSheetId="8" hidden="1">{#N/A,#N/A,FALSE,"Sheet2";#N/A,#N/A,FALSE,"Sheet4";#N/A,#N/A,FALSE,"Sheet6"}</definedName>
    <definedName name="asas" hidden="1">{#N/A,#N/A,FALSE,"Sheet2";#N/A,#N/A,FALSE,"Sheet4";#N/A,#N/A,FALSE,"Sheet6"}</definedName>
    <definedName name="asdf" localSheetId="0" hidden="1">{#N/A,#N/A,TRUE,"Cover sheet";#N/A,#N/A,TRUE,"INPUTS";#N/A,#N/A,TRUE,"OUTPUTS";#N/A,#N/A,TRUE,"VALUATION"}</definedName>
    <definedName name="asdf" localSheetId="8" hidden="1">{#N/A,#N/A,TRUE,"Cover sheet";#N/A,#N/A,TRUE,"INPUTS";#N/A,#N/A,TRUE,"OUTPUTS";#N/A,#N/A,TRUE,"VALUATION"}</definedName>
    <definedName name="asdf" hidden="1">{#N/A,#N/A,TRUE,"Cover sheet";#N/A,#N/A,TRUE,"INPUTS";#N/A,#N/A,TRUE,"OUTPUTS";#N/A,#N/A,TRUE,"VALUATION"}</definedName>
    <definedName name="asdfasdfds" localSheetId="8" hidden="1">#REF!</definedName>
    <definedName name="asdfasdfds" hidden="1">#REF!</definedName>
    <definedName name="asdfg" localSheetId="0" hidden="1">{"'Sheet1'!$L$16"}</definedName>
    <definedName name="asdfg" localSheetId="8" hidden="1">{"'Sheet1'!$L$16"}</definedName>
    <definedName name="asdfg" hidden="1">{"'Sheet1'!$L$16"}</definedName>
    <definedName name="ASDSVCSV" localSheetId="8" hidden="1">#REF!</definedName>
    <definedName name="ASDSVCSV" hidden="1">#REF!</definedName>
    <definedName name="assss" hidden="1">#REF!</definedName>
    <definedName name="AT" localSheetId="0" hidden="1">#REF!</definedName>
    <definedName name="AT" localSheetId="8" hidden="1">#REF!</definedName>
    <definedName name="AT" hidden="1">#REF!</definedName>
    <definedName name="ATGT" localSheetId="0" hidden="1">{"'Sheet1'!$L$16"}</definedName>
    <definedName name="ATGT" localSheetId="8" hidden="1">{"'Sheet1'!$L$16"}</definedName>
    <definedName name="ATGT" hidden="1">{"'Sheet1'!$L$16"}</definedName>
    <definedName name="aws" localSheetId="0" hidden="1">#REF!</definedName>
    <definedName name="aws" localSheetId="8" hidden="1">#REF!</definedName>
    <definedName name="aws" hidden="1">#REF!</definedName>
    <definedName name="BB" localSheetId="0" hidden="1">{#N/A,#N/A,FALSE,"Sheet1";#N/A,#N/A,FALSE,"Sheet3";#N/A,#N/A,FALSE,"Sheet5"}</definedName>
    <definedName name="BB" localSheetId="8" hidden="1">{#N/A,#N/A,FALSE,"Sheet1";#N/A,#N/A,FALSE,"Sheet3";#N/A,#N/A,FALSE,"Sheet5"}</definedName>
    <definedName name="BB" hidden="1">{#N/A,#N/A,FALSE,"Sheet1";#N/A,#N/A,FALSE,"Sheet3";#N/A,#N/A,FALSE,"Sheet5"}</definedName>
    <definedName name="BBB" localSheetId="0" hidden="1">{"'Sheet1'!$L$16"}</definedName>
    <definedName name="BBB" localSheetId="8" hidden="1">{"'Sheet1'!$L$16"}</definedName>
    <definedName name="BBB" hidden="1">{"'Sheet1'!$L$16"}</definedName>
    <definedName name="ｂｂｂ" localSheetId="0" hidden="1">{"'Sheet1'!$L$16"}</definedName>
    <definedName name="ｂｂｂ" localSheetId="8" hidden="1">{"'Sheet1'!$L$16"}</definedName>
    <definedName name="ｂｂｂ" hidden="1">{"'Sheet1'!$L$16"}</definedName>
    <definedName name="ｂｂｂｂ" localSheetId="0" hidden="1">{"'Sheet1'!$L$16"}</definedName>
    <definedName name="ｂｂｂｂ" localSheetId="8" hidden="1">{"'Sheet1'!$L$16"}</definedName>
    <definedName name="ｂｂｂｂ" hidden="1">{"'Sheet1'!$L$16"}</definedName>
    <definedName name="ｂｂｂｂｂ" localSheetId="0" hidden="1">{"'Sheet1'!$L$16"}</definedName>
    <definedName name="ｂｂｂｂｂ" localSheetId="8" hidden="1">{"'Sheet1'!$L$16"}</definedName>
    <definedName name="ｂｂｂｂｂ" hidden="1">{"'Sheet1'!$L$16"}</definedName>
    <definedName name="bc" localSheetId="0" hidden="1">{"'Sheet1'!$L$16"}</definedName>
    <definedName name="bc" localSheetId="8" hidden="1">{"'Sheet1'!$L$16"}</definedName>
    <definedName name="bc" hidden="1">{"'Sheet1'!$L$16"}</definedName>
    <definedName name="BCBo" hidden="1">{"'Sheet1'!$L$16"}</definedName>
    <definedName name="BCTQ" localSheetId="0" hidden="1">{"'Sheet1'!$L$16"}</definedName>
    <definedName name="BCTQ" localSheetId="8" hidden="1">{"'Sheet1'!$L$16"}</definedName>
    <definedName name="BCTQ" hidden="1">{"'Sheet1'!$L$16"}</definedName>
    <definedName name="bg" localSheetId="0" hidden="1">{"'Sheet1'!$L$16"}</definedName>
    <definedName name="bg" localSheetId="8" hidden="1">{"'Sheet1'!$L$16"}</definedName>
    <definedName name="bg" hidden="1">{"'Sheet1'!$L$16"}</definedName>
    <definedName name="BG_Del" hidden="1">15</definedName>
    <definedName name="BG_Ins" hidden="1">4</definedName>
    <definedName name="BG_Mod" hidden="1">6</definedName>
    <definedName name="Bgiang" localSheetId="0" hidden="1">{"'Sheet1'!$L$16"}</definedName>
    <definedName name="Bgiang" localSheetId="8" hidden="1">{"'Sheet1'!$L$16"}</definedName>
    <definedName name="Bgiang" hidden="1">{"'Sheet1'!$L$16"}</definedName>
    <definedName name="bhthang6" localSheetId="0" hidden="1">{"'Sheet1'!$L$16"}</definedName>
    <definedName name="bhthang6" localSheetId="8" hidden="1">{"'Sheet1'!$L$16"}</definedName>
    <definedName name="bhthang6" hidden="1">{"'Sheet1'!$L$16"}</definedName>
    <definedName name="bi" localSheetId="0" hidden="1">{"HK PR",#N/A,FALSE,"HK";"SUMMARY",#N/A,FALSE,"PAYROLL";"SUMMARY",#N/A,FALSE,"PAYROLL";"HK PR",#N/A,FALSE,"HK"}</definedName>
    <definedName name="bi" localSheetId="8" hidden="1">{"HK PR",#N/A,FALSE,"HK";"SUMMARY",#N/A,FALSE,"PAYROLL";"SUMMARY",#N/A,FALSE,"PAYROLL";"HK PR",#N/A,FALSE,"HK"}</definedName>
    <definedName name="bi" hidden="1">{"HK PR",#N/A,FALSE,"HK";"SUMMARY",#N/A,FALSE,"PAYROLL";"SUMMARY",#N/A,FALSE,"PAYROLL";"HK PR",#N/A,FALSE,"HK"}</definedName>
    <definedName name="BIGC" localSheetId="0" hidden="1">{#N/A,#N/A,TRUE,"Str.";#N/A,#N/A,TRUE,"Steel &amp; Roof";#N/A,#N/A,TRUE,"Arc.";#N/A,#N/A,TRUE,"Preliminary";#N/A,#N/A,TRUE,"Sum_Prelim"}</definedName>
    <definedName name="BIGC" localSheetId="8" hidden="1">{#N/A,#N/A,TRUE,"Str.";#N/A,#N/A,TRUE,"Steel &amp; Roof";#N/A,#N/A,TRUE,"Arc.";#N/A,#N/A,TRUE,"Preliminary";#N/A,#N/A,TRUE,"Sum_Prelim"}</definedName>
    <definedName name="BIGC" hidden="1">{#N/A,#N/A,TRUE,"Str.";#N/A,#N/A,TRUE,"Steel &amp; Roof";#N/A,#N/A,TRUE,"Arc.";#N/A,#N/A,TRUE,"Preliminary";#N/A,#N/A,TRUE,"Sum_Prelim"}</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N" localSheetId="0" hidden="1">{"'Sheet1'!$L$16"}</definedName>
    <definedName name="BN" localSheetId="8" hidden="1">{"'Sheet1'!$L$16"}</definedName>
    <definedName name="BN" hidden="1">{"'Sheet1'!$L$16"}</definedName>
    <definedName name="BOQCongtruong" localSheetId="0" hidden="1">#REF!</definedName>
    <definedName name="BOQCongtruong" localSheetId="8" hidden="1">#REF!</definedName>
    <definedName name="BOQCongtruong" hidden="1">#REF!</definedName>
    <definedName name="BREAK" localSheetId="0" hidden="1">{#N/A,#N/A,FALSE,"CCTV"}</definedName>
    <definedName name="BREAK" localSheetId="8" hidden="1">{#N/A,#N/A,FALSE,"CCTV"}</definedName>
    <definedName name="BREAK" hidden="1">{#N/A,#N/A,FALSE,"CCTV"}</definedName>
    <definedName name="btl" localSheetId="0" hidden="1">{"'Sheet1'!$L$16"}</definedName>
    <definedName name="btl" localSheetId="8" hidden="1">{"'Sheet1'!$L$16"}</definedName>
    <definedName name="btl" hidden="1">{"'Sheet1'!$L$16"}</definedName>
    <definedName name="bvhjggj" localSheetId="0" hidden="1">#REF!</definedName>
    <definedName name="bvhjggj" localSheetId="8" hidden="1">#REF!</definedName>
    <definedName name="bvhjggj" hidden="1">#REF!</definedName>
    <definedName name="ca" localSheetId="0" hidden="1">{"'Sheet1'!$L$16"}</definedName>
    <definedName name="ca" localSheetId="8" hidden="1">{"'Sheet1'!$L$16"}</definedName>
    <definedName name="ca" hidden="1">{"'Sheet1'!$L$16"}</definedName>
    <definedName name="cald" localSheetId="0" hidden="1">{#N/A,#N/A,FALSE,"CCTV"}</definedName>
    <definedName name="cald" localSheetId="8" hidden="1">{#N/A,#N/A,FALSE,"CCTV"}</definedName>
    <definedName name="cald" hidden="1">{#N/A,#N/A,FALSE,"CCTV"}</definedName>
    <definedName name="CAP1B"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RL" localSheetId="0" hidden="1">{#N/A,#N/A,FALSE,"CCTV"}</definedName>
    <definedName name="CARL" localSheetId="8" hidden="1">{#N/A,#N/A,FALSE,"CCTV"}</definedName>
    <definedName name="CARL" hidden="1">{#N/A,#N/A,FALSE,"CCTV"}</definedName>
    <definedName name="CARL1" localSheetId="0" hidden="1">{#N/A,#N/A,FALSE,"CCTV"}</definedName>
    <definedName name="CARL1" localSheetId="8" hidden="1">{#N/A,#N/A,FALSE,"CCTV"}</definedName>
    <definedName name="CARL1" hidden="1">{#N/A,#N/A,FALSE,"CCTV"}</definedName>
    <definedName name="CARL2" localSheetId="0" hidden="1">{#N/A,#N/A,FALSE,"CCTV"}</definedName>
    <definedName name="CARL2" localSheetId="8" hidden="1">{#N/A,#N/A,FALSE,"CCTV"}</definedName>
    <definedName name="CARL2" hidden="1">{#N/A,#N/A,FALSE,"CCTV"}</definedName>
    <definedName name="cb_sChart16EBA7BA_opts" hidden="1">"1, 1, 1, False, 2, True, False, , 0, False, True, 1, 2"</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CD" localSheetId="8" hidden="1">#REF!</definedName>
    <definedName name="CCD" hidden="1">#REF!</definedName>
    <definedName name="CD" localSheetId="0" hidden="1">#REF!</definedName>
    <definedName name="CD" hidden="1">#REF!</definedName>
    <definedName name="cds" hidden="1">#REF!</definedName>
    <definedName name="Chart3" localSheetId="0" hidden="1">{"'Sheet1'!$L$16"}</definedName>
    <definedName name="Chart3" localSheetId="8" hidden="1">{"'Sheet1'!$L$16"}</definedName>
    <definedName name="Chart3" hidden="1">{"'Sheet1'!$L$16"}</definedName>
    <definedName name="chitietbgiang2" localSheetId="0" hidden="1">{"'Sheet1'!$L$16"}</definedName>
    <definedName name="chitietbgiang2" localSheetId="8" hidden="1">{"'Sheet1'!$L$16"}</definedName>
    <definedName name="chitietbgiang2" hidden="1">{"'Sheet1'!$L$16"}</definedName>
    <definedName name="CH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uyen" localSheetId="0" hidden="1">{"'Sheet1'!$L$16"}</definedName>
    <definedName name="chuyen" localSheetId="8" hidden="1">{"'Sheet1'!$L$16"}</definedName>
    <definedName name="chuyen" hidden="1">{"'Sheet1'!$L$16"}</definedName>
    <definedName name="CIQWBGuid" hidden="1">"31f98984-787e-48fc-adc8-ee1c3151ce60"</definedName>
    <definedName name="cjh" localSheetId="0" hidden="1">#REF!</definedName>
    <definedName name="cjh" localSheetId="8" hidden="1">#REF!</definedName>
    <definedName name="cjh" hidden="1">#REF!</definedName>
    <definedName name="Code" localSheetId="0" hidden="1">#REF!</definedName>
    <definedName name="Code" localSheetId="8" hidden="1">#REF!</definedName>
    <definedName name="Code" hidden="1">#REF!</definedName>
    <definedName name="column" hidden="1">#REF!</definedName>
    <definedName name="CONGPA1" localSheetId="0" hidden="1">{"'Sheet1'!$L$16"}</definedName>
    <definedName name="CONGPA1" localSheetId="8" hidden="1">{"'Sheet1'!$L$16"}</definedName>
    <definedName name="CONGPA1" hidden="1">{"'Sheet1'!$L$16"}</definedName>
    <definedName name="coping" localSheetId="0" hidden="1">{"ECA Qtrs C",#N/A,TRUE,"ECA_Qtrs_C";"ECA Qtrs D",#N/A,TRUE,"ECA_Qtrs_D";"ECA Qtrs F",#N/A,TRUE,"ECA_Qtrs_F";"ECA Qtrs G",#N/A,TRUE,"ECA_Qtrs_G";"ECA SisterApt",#N/A,TRUE,"ECA_SisterApt";"ECA Nurses",#N/A,TRUE,"ECA_NursesHostel"}</definedName>
    <definedName name="coping" localSheetId="8" hidden="1">{"ECA Qtrs C",#N/A,TRUE,"ECA_Qtrs_C";"ECA Qtrs D",#N/A,TRUE,"ECA_Qtrs_D";"ECA Qtrs F",#N/A,TRUE,"ECA_Qtrs_F";"ECA Qtrs G",#N/A,TRUE,"ECA_Qtrs_G";"ECA SisterApt",#N/A,TRUE,"ECA_SisterApt";"ECA Nurses",#N/A,TRUE,"ECA_NursesHostel"}</definedName>
    <definedName name="coping" hidden="1">{"ECA Qtrs C",#N/A,TRUE,"ECA_Qtrs_C";"ECA Qtrs D",#N/A,TRUE,"ECA_Qtrs_D";"ECA Qtrs F",#N/A,TRUE,"ECA_Qtrs_F";"ECA Qtrs G",#N/A,TRUE,"ECA_Qtrs_G";"ECA SisterApt",#N/A,TRUE,"ECA_SisterApt";"ECA Nurses",#N/A,TRUE,"ECA_NursesHostel"}</definedName>
    <definedName name="CP" localSheetId="0" hidden="1">#REF!</definedName>
    <definedName name="CP" localSheetId="8" hidden="1">#REF!</definedName>
    <definedName name="CP" hidden="1">#REF!</definedName>
    <definedName name="CPXD" localSheetId="0" hidden="1">{"'Sheet1'!$L$16"}</definedName>
    <definedName name="CPXD" localSheetId="8" hidden="1">{"'Sheet1'!$L$16"}</definedName>
    <definedName name="CPXD" hidden="1">{"'Sheet1'!$L$16"}</definedName>
    <definedName name="_xlnm.Criteria" localSheetId="0" hidden="1">#REF!</definedName>
    <definedName name="_xlnm.Criteria" localSheetId="8" hidden="1">#REF!</definedName>
    <definedName name="_xlnm.Criteria" hidden="1">#REF!</definedName>
    <definedName name="ctbbt" localSheetId="0" hidden="1">{"'Sheet1'!$L$16"}</definedName>
    <definedName name="ctbbt" localSheetId="8" hidden="1">{"'Sheet1'!$L$16"}</definedName>
    <definedName name="ctbbt" hidden="1">{"'Sheet1'!$L$16"}</definedName>
    <definedName name="CTCT1" localSheetId="0" hidden="1">{"'Sheet1'!$L$16"}</definedName>
    <definedName name="CTCT1" localSheetId="8" hidden="1">{"'Sheet1'!$L$16"}</definedName>
    <definedName name="CTCT1" hidden="1">{"'Sheet1'!$L$16"}</definedName>
    <definedName name="Ð" localSheetId="0" hidden="1">{"'Sheet1'!$L$16"}</definedName>
    <definedName name="Ð" localSheetId="8" hidden="1">{"'Sheet1'!$L$16"}</definedName>
    <definedName name="Ð" hidden="1">{"'Sheet1'!$L$16"}</definedName>
    <definedName name="đấ" hidden="1">#REF!</definedName>
    <definedName name="dase" localSheetId="0" hidden="1">{#N/A,#N/A,FALSE,"CCTV"}</definedName>
    <definedName name="dase" localSheetId="8" hidden="1">{#N/A,#N/A,FALSE,"CCTV"}</definedName>
    <definedName name="dase" hidden="1">{#N/A,#N/A,FALSE,"CCTV"}</definedName>
    <definedName name="data1" localSheetId="8" hidden="1">#REF!</definedName>
    <definedName name="data1" hidden="1">#REF!</definedName>
    <definedName name="data2" localSheetId="8" hidden="1">#REF!</definedName>
    <definedName name="data2" hidden="1">#REF!</definedName>
    <definedName name="data3" localSheetId="8" hidden="1">#REF!</definedName>
    <definedName name="data3" hidden="1">#REF!</definedName>
    <definedName name="_xlnm.Database" hidden="1">#REF!</definedName>
    <definedName name="dc" localSheetId="0" hidden="1">{"'Sheet1'!$L$16"}</definedName>
    <definedName name="dc" localSheetId="8" hidden="1">{"'Sheet1'!$L$16"}</definedName>
    <definedName name="dc" hidden="1">{"'Sheet1'!$L$16"}</definedName>
    <definedName name="DCF" localSheetId="0" hidden="1">{#N/A,#N/A,TRUE,"Cover sheet";#N/A,#N/A,TRUE,"INPUTS";#N/A,#N/A,TRUE,"OUTPUTS";#N/A,#N/A,TRUE,"VALUATION"}</definedName>
    <definedName name="DCF" localSheetId="8" hidden="1">{#N/A,#N/A,TRUE,"Cover sheet";#N/A,#N/A,TRUE,"INPUTS";#N/A,#N/A,TRUE,"OUTPUTS";#N/A,#N/A,TRUE,"VALUATION"}</definedName>
    <definedName name="DCF" hidden="1">{#N/A,#N/A,TRUE,"Cover sheet";#N/A,#N/A,TRUE,"INPUTS";#N/A,#N/A,TRUE,"OUTPUTS";#N/A,#N/A,TRUE,"VALUATION"}</definedName>
    <definedName name="dd" localSheetId="0" hidden="1">{"'Sheet1'!$L$16"}</definedName>
    <definedName name="dd" localSheetId="8" hidden="1">{"'Sheet1'!$L$16"}</definedName>
    <definedName name="dd" hidden="1">{"'Sheet1'!$L$16"}</definedName>
    <definedName name="ddc" localSheetId="0" hidden="1">{"'Sheet1'!$L$16"}</definedName>
    <definedName name="ddc" localSheetId="8" hidden="1">{"'Sheet1'!$L$16"}</definedName>
    <definedName name="ddc" hidden="1">{"'Sheet1'!$L$16"}</definedName>
    <definedName name="ddd" localSheetId="0" hidden="1">{"'Sheet1'!$L$16"}</definedName>
    <definedName name="ddd" localSheetId="8" hidden="1">{"'Sheet1'!$L$16"}</definedName>
    <definedName name="ddd" hidden="1">{"'Sheet1'!$L$16"}</definedName>
    <definedName name="dddd" localSheetId="0" hidden="1">{"'Sheet1'!$L$16"}</definedName>
    <definedName name="dddd" hidden="1">{"'Sheet1'!$L$16"}</definedName>
    <definedName name="DenDK" localSheetId="0" hidden="1">{"'Sheet1'!$L$16"}</definedName>
    <definedName name="DenDK" localSheetId="8" hidden="1">{"'Sheet1'!$L$16"}</definedName>
    <definedName name="DenDK" hidden="1">{"'Sheet1'!$L$16"}</definedName>
    <definedName name="deviation" localSheetId="0" hidden="1">{#N/A,#N/A,FALSE,"CCTV"}</definedName>
    <definedName name="deviation" localSheetId="8" hidden="1">{#N/A,#N/A,FALSE,"CCTV"}</definedName>
    <definedName name="deviation" hidden="1">{#N/A,#N/A,FALSE,"CCTV"}</definedName>
    <definedName name="df" localSheetId="8" hidden="1">#REF!</definedName>
    <definedName name="df" hidden="1">#REF!</definedName>
    <definedName name="dfafa" localSheetId="0" hidden="1">Main.SAPF4Help()</definedName>
    <definedName name="dfafa" localSheetId="8" hidden="1">Main.SAPF4Help()</definedName>
    <definedName name="dfafa" hidden="1">Main.SAPF4Help()</definedName>
    <definedName name="dfd" localSheetId="0" hidden="1">{#N/A,#N/A,FALSE,"Sheet1";#N/A,#N/A,FALSE,"Sheet3";#N/A,#N/A,FALSE,"Sheet5"}</definedName>
    <definedName name="dfd" localSheetId="8" hidden="1">{#N/A,#N/A,FALSE,"Sheet1";#N/A,#N/A,FALSE,"Sheet3";#N/A,#N/A,FALSE,"Sheet5"}</definedName>
    <definedName name="dfd" hidden="1">{#N/A,#N/A,FALSE,"Sheet1";#N/A,#N/A,FALSE,"Sheet3";#N/A,#N/A,FALSE,"Sheet5"}</definedName>
    <definedName name="DFDF" localSheetId="0" hidden="1">{"ECA Qtrs C",#N/A,TRUE,"ECA_Qtrs_C";"ECA Qtrs D",#N/A,TRUE,"ECA_Qtrs_D";"ECA Qtrs F",#N/A,TRUE,"ECA_Qtrs_F";"ECA Qtrs G",#N/A,TRUE,"ECA_Qtrs_G";"ECA SisterApt",#N/A,TRUE,"ECA_SisterApt";"ECA Nurses",#N/A,TRUE,"ECA_NursesHostel"}</definedName>
    <definedName name="DFDF" localSheetId="8" hidden="1">{"ECA Qtrs C",#N/A,TRUE,"ECA_Qtrs_C";"ECA Qtrs D",#N/A,TRUE,"ECA_Qtrs_D";"ECA Qtrs F",#N/A,TRUE,"ECA_Qtrs_F";"ECA Qtrs G",#N/A,TRUE,"ECA_Qtrs_G";"ECA SisterApt",#N/A,TRUE,"ECA_SisterApt";"ECA Nurses",#N/A,TRUE,"ECA_NursesHostel"}</definedName>
    <definedName name="DFDF" hidden="1">{"ECA Qtrs C",#N/A,TRUE,"ECA_Qtrs_C";"ECA Qtrs D",#N/A,TRUE,"ECA_Qtrs_D";"ECA Qtrs F",#N/A,TRUE,"ECA_Qtrs_F";"ECA Qtrs G",#N/A,TRUE,"ECA_Qtrs_G";"ECA SisterApt",#N/A,TRUE,"ECA_SisterApt";"ECA Nurses",#N/A,TRUE,"ECA_NursesHostel"}</definedName>
    <definedName name="dfdsfsdfds" localSheetId="0" hidden="1">{"HK PR",#N/A,FALSE,"HK";"SUMMARY",#N/A,FALSE,"PAYROLL";"SUMMARY",#N/A,FALSE,"PAYROLL";"HK PR",#N/A,FALSE,"HK"}</definedName>
    <definedName name="dfdsfsdfds" localSheetId="8" hidden="1">{"HK PR",#N/A,FALSE,"HK";"SUMMARY",#N/A,FALSE,"PAYROLL";"SUMMARY",#N/A,FALSE,"PAYROLL";"HK PR",#N/A,FALSE,"HK"}</definedName>
    <definedName name="dfdsfsdfds" hidden="1">{"HK PR",#N/A,FALSE,"HK";"SUMMARY",#N/A,FALSE,"PAYROLL";"SUMMARY",#N/A,FALSE,"PAYROLL";"HK PR",#N/A,FALSE,"HK"}</definedName>
    <definedName name="dfg" localSheetId="0" hidden="1">{#N/A,#N/A,TRUE,"Cover sheet";#N/A,#N/A,TRUE,"INPUTS";#N/A,#N/A,TRUE,"OUTPUTS";#N/A,#N/A,TRUE,"VALUATION"}</definedName>
    <definedName name="dfg" localSheetId="8" hidden="1">{#N/A,#N/A,TRUE,"Cover sheet";#N/A,#N/A,TRUE,"INPUTS";#N/A,#N/A,TRUE,"OUTPUTS";#N/A,#N/A,TRUE,"VALUATION"}</definedName>
    <definedName name="dfg" hidden="1">{#N/A,#N/A,TRUE,"Cover sheet";#N/A,#N/A,TRUE,"INPUTS";#N/A,#N/A,TRUE,"OUTPUTS";#N/A,#N/A,TRUE,"VALUATION"}</definedName>
    <definedName name="dfsd" localSheetId="0" hidden="1">{"HK PR",#N/A,FALSE,"HK";"SUMMARY",#N/A,FALSE,"PAYROLL";"SUMMARY",#N/A,FALSE,"PAYROLL";"HK PR",#N/A,FALSE,"HK"}</definedName>
    <definedName name="dfsd" localSheetId="8" hidden="1">{"HK PR",#N/A,FALSE,"HK";"SUMMARY",#N/A,FALSE,"PAYROLL";"SUMMARY",#N/A,FALSE,"PAYROLL";"HK PR",#N/A,FALSE,"HK"}</definedName>
    <definedName name="dfsd" hidden="1">{"HK PR",#N/A,FALSE,"HK";"SUMMARY",#N/A,FALSE,"PAYROLL";"SUMMARY",#N/A,FALSE,"PAYROLL";"HK PR",#N/A,FALSE,"HK"}</definedName>
    <definedName name="dfsdfsdf" localSheetId="0" hidden="1">{"HK PR",#N/A,FALSE,"HK";"SUMMARY",#N/A,FALSE,"PAYROLL";"SUMMARY",#N/A,FALSE,"PAYROLL";"HK PR",#N/A,FALSE,"HK"}</definedName>
    <definedName name="dfsdfsdf" localSheetId="8" hidden="1">{"HK PR",#N/A,FALSE,"HK";"SUMMARY",#N/A,FALSE,"PAYROLL";"SUMMARY",#N/A,FALSE,"PAYROLL";"HK PR",#N/A,FALSE,"HK"}</definedName>
    <definedName name="dfsdfsdf" hidden="1">{"HK PR",#N/A,FALSE,"HK";"SUMMARY",#N/A,FALSE,"PAYROLL";"SUMMARY",#N/A,FALSE,"PAYROLL";"HK PR",#N/A,FALSE,"HK"}</definedName>
    <definedName name="dfsdsd" localSheetId="0" hidden="1">{"HK PR",#N/A,FALSE,"HK";"SUMMARY",#N/A,FALSE,"PAYROLL";"SUMMARY",#N/A,FALSE,"PAYROLL";"HK PR",#N/A,FALSE,"HK"}</definedName>
    <definedName name="dfsdsd" localSheetId="8" hidden="1">{"HK PR",#N/A,FALSE,"HK";"SUMMARY",#N/A,FALSE,"PAYROLL";"SUMMARY",#N/A,FALSE,"PAYROLL";"HK PR",#N/A,FALSE,"HK"}</definedName>
    <definedName name="dfsdsd" hidden="1">{"HK PR",#N/A,FALSE,"HK";"SUMMARY",#N/A,FALSE,"PAYROLL";"SUMMARY",#N/A,FALSE,"PAYROLL";"HK PR",#N/A,FALSE,"HK"}</definedName>
    <definedName name="dghjyuk" localSheetId="0" hidden="1">{"'Sheet1'!$L$16"}</definedName>
    <definedName name="dghjyuk" localSheetId="8" hidden="1">{"'Sheet1'!$L$16"}</definedName>
    <definedName name="dghjyuk" hidden="1">{"'Sheet1'!$L$16"}</definedName>
    <definedName name="DGKL" hidden="1">#REF!</definedName>
    <definedName name="dhfggfkw"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hfggfkw"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hfggfkw"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hfsg" hidden="1">#REF!</definedName>
    <definedName name="Diag_DCF" localSheetId="0" hidden="1">{#N/A,#N/A,TRUE,"Cover sheet";#N/A,#N/A,TRUE,"INPUTS";#N/A,#N/A,TRUE,"OUTPUTS";#N/A,#N/A,TRUE,"VALUATION"}</definedName>
    <definedName name="Diag_DCF" localSheetId="8" hidden="1">{#N/A,#N/A,TRUE,"Cover sheet";#N/A,#N/A,TRUE,"INPUTS";#N/A,#N/A,TRUE,"OUTPUTS";#N/A,#N/A,TRUE,"VALUATION"}</definedName>
    <definedName name="Diag_DCF" hidden="1">{#N/A,#N/A,TRUE,"Cover sheet";#N/A,#N/A,TRUE,"INPUTS";#N/A,#N/A,TRUE,"OUTPUTS";#N/A,#N/A,TRUE,"VALUATION"}</definedName>
    <definedName name="Diag_min_max2" localSheetId="0" hidden="1">{#N/A,#N/A,TRUE,"Cover sheet";#N/A,#N/A,TRUE,"INPUTS";#N/A,#N/A,TRUE,"OUTPUTS";#N/A,#N/A,TRUE,"VALUATION"}</definedName>
    <definedName name="Diag_min_max2" localSheetId="8" hidden="1">{#N/A,#N/A,TRUE,"Cover sheet";#N/A,#N/A,TRUE,"INPUTS";#N/A,#N/A,TRUE,"OUTPUTS";#N/A,#N/A,TRUE,"VALUATION"}</definedName>
    <definedName name="Diag_min_max2" hidden="1">{#N/A,#N/A,TRUE,"Cover sheet";#N/A,#N/A,TRUE,"INPUTS";#N/A,#N/A,TRUE,"OUTPUTS";#N/A,#N/A,TRUE,"VALUATION"}</definedName>
    <definedName name="Discount" localSheetId="0" hidden="1">#REF!</definedName>
    <definedName name="Discount" localSheetId="8" hidden="1">#REF!</definedName>
    <definedName name="Discount" hidden="1">#REF!</definedName>
    <definedName name="display_area_2" localSheetId="8" hidden="1">#REF!</definedName>
    <definedName name="display_area_2" hidden="1">#REF!</definedName>
    <definedName name="DN1_CT5" localSheetId="0" hidden="1">{"'Sheet1'!$L$16"}</definedName>
    <definedName name="DN1_CT5" localSheetId="8" hidden="1">{"'Sheet1'!$L$16"}</definedName>
    <definedName name="DN1_CT5" hidden="1">{"'Sheet1'!$L$16"}</definedName>
    <definedName name="dsds" localSheetId="0" hidden="1">{#N/A,#N/A,FALSE,"Title";#N/A,#N/A,FALSE,"Bal.sheet";#N/A,#N/A,FALSE,"Income";#N/A,#N/A,FALSE,"sale";#N/A,#N/A,FALSE,"cash";#N/A,#N/A,FALSE,"AR";#N/A,#N/A,FALSE,"AR-other";#N/A,#N/A,FALSE,"asset";#N/A,#N/A,FALSE,"Pre-Op";#N/A,#N/A,FALSE,"AP";#N/A,#N/A,FALSE,"Parent";#N/A,#N/A,FALSE,"Qty";#N/A,#N/A,FALSE,"COGS";#N/A,#N/A,FALSE,"GOH-Sell";#N/A,#N/A,FALSE,"Interest"}</definedName>
    <definedName name="dsds" localSheetId="8" hidden="1">{#N/A,#N/A,FALSE,"Title";#N/A,#N/A,FALSE,"Bal.sheet";#N/A,#N/A,FALSE,"Income";#N/A,#N/A,FALSE,"sale";#N/A,#N/A,FALSE,"cash";#N/A,#N/A,FALSE,"AR";#N/A,#N/A,FALSE,"AR-other";#N/A,#N/A,FALSE,"asset";#N/A,#N/A,FALSE,"Pre-Op";#N/A,#N/A,FALSE,"AP";#N/A,#N/A,FALSE,"Parent";#N/A,#N/A,FALSE,"Qty";#N/A,#N/A,FALSE,"COGS";#N/A,#N/A,FALSE,"GOH-Sell";#N/A,#N/A,FALSE,"Interest"}</definedName>
    <definedName name="dsds" hidden="1">{#N/A,#N/A,FALSE,"Title";#N/A,#N/A,FALSE,"Bal.sheet";#N/A,#N/A,FALSE,"Income";#N/A,#N/A,FALSE,"sale";#N/A,#N/A,FALSE,"cash";#N/A,#N/A,FALSE,"AR";#N/A,#N/A,FALSE,"AR-other";#N/A,#N/A,FALSE,"asset";#N/A,#N/A,FALSE,"Pre-Op";#N/A,#N/A,FALSE,"AP";#N/A,#N/A,FALSE,"Parent";#N/A,#N/A,FALSE,"Qty";#N/A,#N/A,FALSE,"COGS";#N/A,#N/A,FALSE,"GOH-Sell";#N/A,#N/A,FALSE,"Interest"}</definedName>
    <definedName name="DSFDS" localSheetId="0" hidden="1">{"'Sheet1'!$L$16"}</definedName>
    <definedName name="DSFDS" localSheetId="8" hidden="1">{"'Sheet1'!$L$16"}</definedName>
    <definedName name="DSFDS" hidden="1">{"'Sheet1'!$L$16"}</definedName>
    <definedName name="dsggggggggggggggg" localSheetId="8" hidden="1">#REF!</definedName>
    <definedName name="dsggggggggggggggg" hidden="1">#REF!</definedName>
    <definedName name="dsovd" localSheetId="0" hidden="1">{"'Sheet1'!$L$16"}</definedName>
    <definedName name="dsovd" localSheetId="8" hidden="1">{"'Sheet1'!$L$16"}</definedName>
    <definedName name="dsovd" hidden="1">{"'Sheet1'!$L$16"}</definedName>
    <definedName name="duc" localSheetId="0" hidden="1">{"'Sheet1'!$L$16"}</definedName>
    <definedName name="duc" localSheetId="8" hidden="1">{"'Sheet1'!$L$16"}</definedName>
    <definedName name="duc" hidden="1">{"'Sheet1'!$L$16"}</definedName>
    <definedName name="dumbwaiter" localSheetId="0" hidden="1">{#N/A,#N/A,FALSE,"Sheet1";#N/A,#N/A,FALSE,"Sheet3";#N/A,#N/A,FALSE,"Sheet5"}</definedName>
    <definedName name="dumbwaiter" localSheetId="8" hidden="1">{#N/A,#N/A,FALSE,"Sheet1";#N/A,#N/A,FALSE,"Sheet3";#N/A,#N/A,FALSE,"Sheet5"}</definedName>
    <definedName name="dumbwaiter" hidden="1">{#N/A,#N/A,FALSE,"Sheet1";#N/A,#N/A,FALSE,"Sheet3";#N/A,#N/A,FALSE,"Sheet5"}</definedName>
    <definedName name="dutruchiphi" localSheetId="0" hidden="1">{"NGUYEN QUI THIEP - Personal View",#N/A,FALSE,"XDCB.HT.FUR."}</definedName>
    <definedName name="dutruchiphi" localSheetId="8" hidden="1">{"NGUYEN QUI THIEP - Personal View",#N/A,FALSE,"XDCB.HT.FUR."}</definedName>
    <definedName name="dutruchiphi" hidden="1">{"NGUYEN QUI THIEP - Personal View",#N/A,FALSE,"XDCB.HT.FUR."}</definedName>
    <definedName name="DWPRICE" hidden="1">#REF!</definedName>
    <definedName name="E" localSheetId="0" hidden="1">{#N/A,#N/A,FALSE,"CCTV"}</definedName>
    <definedName name="E" localSheetId="8" hidden="1">{#N/A,#N/A,FALSE,"CCTV"}</definedName>
    <definedName name="E" hidden="1">{#N/A,#N/A,FALSE,"CCTV"}</definedName>
    <definedName name="ED" localSheetId="0" hidden="1">{#N/A,#N/A,FALSE,"CCTV"}</definedName>
    <definedName name="ED" localSheetId="8" hidden="1">{#N/A,#N/A,FALSE,"CCTV"}</definedName>
    <definedName name="ED" hidden="1">{#N/A,#N/A,FALSE,"CCTV"}</definedName>
    <definedName name="edqseqweqwe" localSheetId="8" hidden="1">#REF!</definedName>
    <definedName name="edqseqweqwe" hidden="1">#REF!</definedName>
    <definedName name="ee" localSheetId="0" hidden="1">{#N/A,#N/A,TRUE,"Cover sheet";#N/A,#N/A,TRUE,"Summary";#N/A,#N/A,TRUE,"Key Assumptions";#N/A,#N/A,TRUE,"Profit &amp; Loss";#N/A,#N/A,TRUE,"Balance Sheet";#N/A,#N/A,TRUE,"Cashflow";#N/A,#N/A,TRUE,"IRR";#N/A,#N/A,TRUE,"Ratios";#N/A,#N/A,TRUE,"Debt analysis"}</definedName>
    <definedName name="ee" localSheetId="8" hidden="1">{#N/A,#N/A,TRUE,"Cover sheet";#N/A,#N/A,TRUE,"Summary";#N/A,#N/A,TRUE,"Key Assumptions";#N/A,#N/A,TRUE,"Profit &amp; Loss";#N/A,#N/A,TRUE,"Balance Sheet";#N/A,#N/A,TRUE,"Cashflow";#N/A,#N/A,TRUE,"IRR";#N/A,#N/A,TRUE,"Ratios";#N/A,#N/A,TRUE,"Debt analysis"}</definedName>
    <definedName name="ee" hidden="1">{#N/A,#N/A,TRUE,"Cover sheet";#N/A,#N/A,TRUE,"Summary";#N/A,#N/A,TRUE,"Key Assumptions";#N/A,#N/A,TRUE,"Profit &amp; Loss";#N/A,#N/A,TRUE,"Balance Sheet";#N/A,#N/A,TRUE,"Cashflow";#N/A,#N/A,TRUE,"IRR";#N/A,#N/A,TRUE,"Ratios";#N/A,#N/A,TRUE,"Debt analysis"}</definedName>
    <definedName name="EEE" localSheetId="0" hidden="1">{#N/A,#N/A,TRUE,"Cover sheet";#N/A,#N/A,TRUE,"DCF analysis";#N/A,#N/A,TRUE,"WACC calculation"}</definedName>
    <definedName name="EEE" localSheetId="8" hidden="1">{#N/A,#N/A,TRUE,"Cover sheet";#N/A,#N/A,TRUE,"DCF analysis";#N/A,#N/A,TRUE,"WACC calculation"}</definedName>
    <definedName name="EEE" hidden="1">{#N/A,#N/A,TRUE,"Cover sheet";#N/A,#N/A,TRUE,"DCF analysis";#N/A,#N/A,TRUE,"WACC calculation"}</definedName>
    <definedName name="eeeeeeeeeee" hidden="1">#REF!</definedName>
    <definedName name="eef" localSheetId="0" hidden="1">{"'Sheet1'!$L$16"}</definedName>
    <definedName name="eef" localSheetId="8" hidden="1">{"'Sheet1'!$L$16"}</definedName>
    <definedName name="eef" hidden="1">{"'Sheet1'!$L$16"}</definedName>
    <definedName name="eer" localSheetId="0" hidden="1">{#N/A,#N/A,TRUE,"Cover sheet";#N/A,#N/A,TRUE,"Summary";#N/A,#N/A,TRUE,"Key Assumptions";#N/A,#N/A,TRUE,"Profit &amp; Loss";#N/A,#N/A,TRUE,"Balance Sheet";#N/A,#N/A,TRUE,"Cashflow";#N/A,#N/A,TRUE,"IRR";#N/A,#N/A,TRUE,"Ratios";#N/A,#N/A,TRUE,"Debt analysis"}</definedName>
    <definedName name="eer" localSheetId="8" hidden="1">{#N/A,#N/A,TRUE,"Cover sheet";#N/A,#N/A,TRUE,"Summary";#N/A,#N/A,TRUE,"Key Assumptions";#N/A,#N/A,TRUE,"Profit &amp; Loss";#N/A,#N/A,TRUE,"Balance Sheet";#N/A,#N/A,TRUE,"Cashflow";#N/A,#N/A,TRUE,"IRR";#N/A,#N/A,TRUE,"Ratios";#N/A,#N/A,TRUE,"Debt analysis"}</definedName>
    <definedName name="eer" hidden="1">{#N/A,#N/A,TRUE,"Cover sheet";#N/A,#N/A,TRUE,"Summary";#N/A,#N/A,TRUE,"Key Assumptions";#N/A,#N/A,TRUE,"Profit &amp; Loss";#N/A,#N/A,TRUE,"Balance Sheet";#N/A,#N/A,TRUE,"Cashflow";#N/A,#N/A,TRUE,"IRR";#N/A,#N/A,TRUE,"Ratios";#N/A,#N/A,TRUE,"Debt analysis"}</definedName>
    <definedName name="EF" localSheetId="0" hidden="1">{#N/A,#N/A,TRUE,"Cover sheet";#N/A,#N/A,TRUE,"DCF analysis";#N/A,#N/A,TRUE,"WACC calculation"}</definedName>
    <definedName name="EF" localSheetId="8" hidden="1">{#N/A,#N/A,TRUE,"Cover sheet";#N/A,#N/A,TRUE,"DCF analysis";#N/A,#N/A,TRUE,"WACC calculation"}</definedName>
    <definedName name="EF" hidden="1">{#N/A,#N/A,TRUE,"Cover sheet";#N/A,#N/A,TRUE,"DCF analysis";#N/A,#N/A,TRUE,"WACC calculation"}</definedName>
    <definedName name="ELLEN1" localSheetId="0" hidden="1">{#N/A,#N/A,FALSE,"CCTV"}</definedName>
    <definedName name="ELLEN1" localSheetId="8" hidden="1">{#N/A,#N/A,FALSE,"CCTV"}</definedName>
    <definedName name="ELLEN1" hidden="1">{#N/A,#N/A,FALSE,"CCTV"}</definedName>
    <definedName name="ELLEN10" localSheetId="0" hidden="1">{#N/A,#N/A,FALSE,"CCTV"}</definedName>
    <definedName name="ELLEN10" localSheetId="8" hidden="1">{#N/A,#N/A,FALSE,"CCTV"}</definedName>
    <definedName name="ELLEN10" hidden="1">{#N/A,#N/A,FALSE,"CCTV"}</definedName>
    <definedName name="ELLEN11" localSheetId="0" hidden="1">{#N/A,#N/A,FALSE,"CCTV"}</definedName>
    <definedName name="ELLEN11" localSheetId="8" hidden="1">{#N/A,#N/A,FALSE,"CCTV"}</definedName>
    <definedName name="ELLEN11" hidden="1">{#N/A,#N/A,FALSE,"CCTV"}</definedName>
    <definedName name="ELLEN12" localSheetId="0" hidden="1">{#N/A,#N/A,FALSE,"CCTV"}</definedName>
    <definedName name="ELLEN12" localSheetId="8" hidden="1">{#N/A,#N/A,FALSE,"CCTV"}</definedName>
    <definedName name="ELLEN12" hidden="1">{#N/A,#N/A,FALSE,"CCTV"}</definedName>
    <definedName name="ELLEN13" localSheetId="0" hidden="1">{#N/A,#N/A,FALSE,"CCTV"}</definedName>
    <definedName name="ELLEN13" localSheetId="8" hidden="1">{#N/A,#N/A,FALSE,"CCTV"}</definedName>
    <definedName name="ELLEN13" hidden="1">{#N/A,#N/A,FALSE,"CCTV"}</definedName>
    <definedName name="ELLEN14" localSheetId="0" hidden="1">{#N/A,#N/A,FALSE,"CCTV"}</definedName>
    <definedName name="ELLEN14" localSheetId="8" hidden="1">{#N/A,#N/A,FALSE,"CCTV"}</definedName>
    <definedName name="ELLEN14" hidden="1">{#N/A,#N/A,FALSE,"CCTV"}</definedName>
    <definedName name="ELLEN15" localSheetId="0" hidden="1">{#N/A,#N/A,FALSE,"CCTV"}</definedName>
    <definedName name="ELLEN15" localSheetId="8" hidden="1">{#N/A,#N/A,FALSE,"CCTV"}</definedName>
    <definedName name="ELLEN15" hidden="1">{#N/A,#N/A,FALSE,"CCTV"}</definedName>
    <definedName name="ELLEN16" localSheetId="0" hidden="1">{#N/A,#N/A,FALSE,"CCTV"}</definedName>
    <definedName name="ELLEN16" localSheetId="8" hidden="1">{#N/A,#N/A,FALSE,"CCTV"}</definedName>
    <definedName name="ELLEN16" hidden="1">{#N/A,#N/A,FALSE,"CCTV"}</definedName>
    <definedName name="ELLEN17" localSheetId="0" hidden="1">{#N/A,#N/A,FALSE,"CCTV"}</definedName>
    <definedName name="ELLEN17" localSheetId="8" hidden="1">{#N/A,#N/A,FALSE,"CCTV"}</definedName>
    <definedName name="ELLEN17" hidden="1">{#N/A,#N/A,FALSE,"CCTV"}</definedName>
    <definedName name="ELLEN18" localSheetId="0" hidden="1">{#N/A,#N/A,FALSE,"CCTV"}</definedName>
    <definedName name="ELLEN18" localSheetId="8" hidden="1">{#N/A,#N/A,FALSE,"CCTV"}</definedName>
    <definedName name="ELLEN18" hidden="1">{#N/A,#N/A,FALSE,"CCTV"}</definedName>
    <definedName name="ELLEN19" localSheetId="0" hidden="1">{#N/A,#N/A,FALSE,"CCTV"}</definedName>
    <definedName name="ELLEN19" localSheetId="8" hidden="1">{#N/A,#N/A,FALSE,"CCTV"}</definedName>
    <definedName name="ELLEN19" hidden="1">{#N/A,#N/A,FALSE,"CCTV"}</definedName>
    <definedName name="ELLEN2" localSheetId="0" hidden="1">{#N/A,#N/A,FALSE,"CCTV"}</definedName>
    <definedName name="ELLEN2" localSheetId="8" hidden="1">{#N/A,#N/A,FALSE,"CCTV"}</definedName>
    <definedName name="ELLEN2" hidden="1">{#N/A,#N/A,FALSE,"CCTV"}</definedName>
    <definedName name="ELLEN3" localSheetId="0" hidden="1">{#N/A,#N/A,FALSE,"CCTV"}</definedName>
    <definedName name="ELLEN3" localSheetId="8" hidden="1">{#N/A,#N/A,FALSE,"CCTV"}</definedName>
    <definedName name="ELLEN3" hidden="1">{#N/A,#N/A,FALSE,"CCTV"}</definedName>
    <definedName name="ELLEN4" localSheetId="0" hidden="1">{#N/A,#N/A,FALSE,"CCTV"}</definedName>
    <definedName name="ELLEN4" localSheetId="8" hidden="1">{#N/A,#N/A,FALSE,"CCTV"}</definedName>
    <definedName name="ELLEN4" hidden="1">{#N/A,#N/A,FALSE,"CCTV"}</definedName>
    <definedName name="ELLEN5" localSheetId="0" hidden="1">{#N/A,#N/A,FALSE,"CCTV"}</definedName>
    <definedName name="ELLEN5" localSheetId="8" hidden="1">{#N/A,#N/A,FALSE,"CCTV"}</definedName>
    <definedName name="ELLEN5" hidden="1">{#N/A,#N/A,FALSE,"CCTV"}</definedName>
    <definedName name="ELLEN6" localSheetId="0" hidden="1">{#N/A,#N/A,FALSE,"CCTV"}</definedName>
    <definedName name="ELLEN6" localSheetId="8" hidden="1">{#N/A,#N/A,FALSE,"CCTV"}</definedName>
    <definedName name="ELLEN6" hidden="1">{#N/A,#N/A,FALSE,"CCTV"}</definedName>
    <definedName name="ELLEN7" localSheetId="0" hidden="1">{#N/A,#N/A,FALSE,"CCTV"}</definedName>
    <definedName name="ELLEN7" localSheetId="8" hidden="1">{#N/A,#N/A,FALSE,"CCTV"}</definedName>
    <definedName name="ELLEN7" hidden="1">{#N/A,#N/A,FALSE,"CCTV"}</definedName>
    <definedName name="ELLEN8" localSheetId="0" hidden="1">{#N/A,#N/A,FALSE,"CCTV"}</definedName>
    <definedName name="ELLEN8" localSheetId="8" hidden="1">{#N/A,#N/A,FALSE,"CCTV"}</definedName>
    <definedName name="ELLEN8" hidden="1">{#N/A,#N/A,FALSE,"CCTV"}</definedName>
    <definedName name="ELLEN9" localSheetId="0" hidden="1">{#N/A,#N/A,FALSE,"CCTV"}</definedName>
    <definedName name="ELLEN9" localSheetId="8" hidden="1">{#N/A,#N/A,FALSE,"CCTV"}</definedName>
    <definedName name="ELLEN9" hidden="1">{#N/A,#N/A,FALSE,"CCTV"}</definedName>
    <definedName name="eqeqe" localSheetId="8" hidden="1">#REF!</definedName>
    <definedName name="eqeqe" hidden="1">#REF!</definedName>
    <definedName name="ERT" localSheetId="0" hidden="1">{"'Sheet1'!$L$16"}</definedName>
    <definedName name="ERT" localSheetId="8" hidden="1">{"'Sheet1'!$L$16"}</definedName>
    <definedName name="ERT" hidden="1">{"'Sheet1'!$L$16"}</definedName>
    <definedName name="eryhrtgabqergerggbvrth" hidden="1">#REF!</definedName>
    <definedName name="es" localSheetId="0" hidden="1">{"'Sheet1'!$L$16"}</definedName>
    <definedName name="es" localSheetId="8" hidden="1">{"'Sheet1'!$L$16"}</definedName>
    <definedName name="es" hidden="1">{"'Sheet1'!$L$16"}</definedName>
    <definedName name="etuiuti" localSheetId="0" hidden="1">{"'Sheet1'!$L$16"}</definedName>
    <definedName name="etuiuti" localSheetId="8" hidden="1">{"'Sheet1'!$L$16"}</definedName>
    <definedName name="etuiuti" hidden="1">{"'Sheet1'!$L$16"}</definedName>
    <definedName name="ewrfqewrrefeqrftr" localSheetId="0" hidden="1">{"'Sheet1'!$L$16"}</definedName>
    <definedName name="ewrfqewrrefeqrftr" localSheetId="8" hidden="1">{"'Sheet1'!$L$16"}</definedName>
    <definedName name="ewrfqewrrefeqrftr" hidden="1">{"'Sheet1'!$L$16"}</definedName>
    <definedName name="ExactAddinConnection" hidden="1">"001"</definedName>
    <definedName name="ExactAddinConnection.001" hidden="1">"SO-W2K-PRO;005;jank;1"</definedName>
    <definedName name="FCode" localSheetId="8" hidden="1">#REF!</definedName>
    <definedName name="FCode" hidden="1">#REF!</definedName>
    <definedName name="fdasfds" localSheetId="0" hidden="1">{#N/A,#N/A,TRUE,"Cover sheet";#N/A,#N/A,TRUE,"INPUTS";#N/A,#N/A,TRUE,"OUTPUTS";#N/A,#N/A,TRUE,"VALUATION"}</definedName>
    <definedName name="fdasfds" localSheetId="8" hidden="1">{#N/A,#N/A,TRUE,"Cover sheet";#N/A,#N/A,TRUE,"INPUTS";#N/A,#N/A,TRUE,"OUTPUTS";#N/A,#N/A,TRUE,"VALUATION"}</definedName>
    <definedName name="fdasfds" hidden="1">{#N/A,#N/A,TRUE,"Cover sheet";#N/A,#N/A,TRUE,"INPUTS";#N/A,#N/A,TRUE,"OUTPUTS";#N/A,#N/A,TRUE,"VALUATION"}</definedName>
    <definedName name="fdf" localSheetId="0" hidden="1">{#N/A,#N/A,FALSE,"CCTV"}</definedName>
    <definedName name="fdf" localSheetId="8" hidden="1">{#N/A,#N/A,FALSE,"CCTV"}</definedName>
    <definedName name="fdf" hidden="1">{#N/A,#N/A,FALSE,"CCTV"}</definedName>
    <definedName name="fdfdf" localSheetId="0" hidden="1">{"HK PR",#N/A,FALSE,"HK";"SUMMARY",#N/A,FALSE,"PAYROLL";"SUMMARY",#N/A,FALSE,"PAYROLL";"HK PR",#N/A,FALSE,"HK"}</definedName>
    <definedName name="fdfdf" localSheetId="8" hidden="1">{"HK PR",#N/A,FALSE,"HK";"SUMMARY",#N/A,FALSE,"PAYROLL";"SUMMARY",#N/A,FALSE,"PAYROLL";"HK PR",#N/A,FALSE,"HK"}</definedName>
    <definedName name="fdfdf" hidden="1">{"HK PR",#N/A,FALSE,"HK";"SUMMARY",#N/A,FALSE,"PAYROLL";"SUMMARY",#N/A,FALSE,"PAYROLL";"HK PR",#N/A,FALSE,"HK"}</definedName>
    <definedName name="fdsaf" localSheetId="0" hidden="1">{#N/A,#N/A,TRUE,"Cover sheet";#N/A,#N/A,TRUE,"INPUTS";#N/A,#N/A,TRUE,"OUTPUTS";#N/A,#N/A,TRUE,"VALUATION"}</definedName>
    <definedName name="fdsaf" localSheetId="8" hidden="1">{#N/A,#N/A,TRUE,"Cover sheet";#N/A,#N/A,TRUE,"INPUTS";#N/A,#N/A,TRUE,"OUTPUTS";#N/A,#N/A,TRUE,"VALUATION"}</definedName>
    <definedName name="fdsaf" hidden="1">{#N/A,#N/A,TRUE,"Cover sheet";#N/A,#N/A,TRUE,"INPUTS";#N/A,#N/A,TRUE,"OUTPUTS";#N/A,#N/A,TRUE,"VALUATION"}</definedName>
    <definedName name="ff" localSheetId="0" hidden="1">#REF!</definedName>
    <definedName name="ff" localSheetId="8" hidden="1">#REF!</definedName>
    <definedName name="ff" hidden="1">#REF!</definedName>
    <definedName name="fff" localSheetId="0" hidden="1">{"'Sheet1'!$L$16"}</definedName>
    <definedName name="fff" localSheetId="8" hidden="1">{"'Sheet1'!$L$16"}</definedName>
    <definedName name="fff" hidden="1">{"'Sheet1'!$L$16"}</definedName>
    <definedName name="ffff" localSheetId="0"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ffff" localSheetId="8"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ffff"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fgdtrff" localSheetId="0" hidden="1">{#N/A,#N/A,FALSE,"Admin";#N/A,#N/A,FALSE,"Other"}</definedName>
    <definedName name="fgdtrff" localSheetId="8" hidden="1">{#N/A,#N/A,FALSE,"Admin";#N/A,#N/A,FALSE,"Other"}</definedName>
    <definedName name="fgdtrff" hidden="1">{#N/A,#N/A,FALSE,"Admin";#N/A,#N/A,FALSE,"Other"}</definedName>
    <definedName name="FGF" localSheetId="0" hidden="1">{#N/A,#N/A,FALSE,"Sheet2";#N/A,#N/A,FALSE,"Sheet4";#N/A,#N/A,FALSE,"Sheet6"}</definedName>
    <definedName name="FGF" localSheetId="8" hidden="1">{#N/A,#N/A,FALSE,"Sheet2";#N/A,#N/A,FALSE,"Sheet4";#N/A,#N/A,FALSE,"Sheet6"}</definedName>
    <definedName name="FGF" hidden="1">{#N/A,#N/A,FALSE,"Sheet2";#N/A,#N/A,FALSE,"Sheet4";#N/A,#N/A,FALSE,"Sheet6"}</definedName>
    <definedName name="fgff" localSheetId="0" hidden="1">{#N/A,#N/A,TRUE,"SUM";#N/A,#N/A,TRUE,"EE";#N/A,#N/A,TRUE,"AC";#N/A,#N/A,TRUE,"SN"}</definedName>
    <definedName name="fgff" localSheetId="8" hidden="1">{#N/A,#N/A,TRUE,"SUM";#N/A,#N/A,TRUE,"EE";#N/A,#N/A,TRUE,"AC";#N/A,#N/A,TRUE,"SN"}</definedName>
    <definedName name="fgff" hidden="1">{#N/A,#N/A,TRUE,"SUM";#N/A,#N/A,TRUE,"EE";#N/A,#N/A,TRUE,"AC";#N/A,#N/A,TRUE,"SN"}</definedName>
    <definedName name="fgfgfgfg" localSheetId="8" hidden="1">#REF!</definedName>
    <definedName name="fgfgfgfg" hidden="1">#REF!</definedName>
    <definedName name="fggdfg" localSheetId="0" hidden="1">{"HK PR",#N/A,FALSE,"HK";"SUMMARY",#N/A,FALSE,"PAYROLL";"SUMMARY",#N/A,FALSE,"PAYROLL";"HK PR",#N/A,FALSE,"HK"}</definedName>
    <definedName name="fggdfg" localSheetId="8" hidden="1">{"HK PR",#N/A,FALSE,"HK";"SUMMARY",#N/A,FALSE,"PAYROLL";"SUMMARY",#N/A,FALSE,"PAYROLL";"HK PR",#N/A,FALSE,"HK"}</definedName>
    <definedName name="fggdfg" hidden="1">{"HK PR",#N/A,FALSE,"HK";"SUMMARY",#N/A,FALSE,"PAYROLL";"SUMMARY",#N/A,FALSE,"PAYROLL";"HK PR",#N/A,FALSE,"HK"}</definedName>
    <definedName name="fill" localSheetId="0" hidden="1">#REF!</definedName>
    <definedName name="fill" localSheetId="8" hidden="1">#REF!</definedName>
    <definedName name="fill" hidden="1">#REF!</definedName>
    <definedName name="FILLL" localSheetId="8" hidden="1">#REF!</definedName>
    <definedName name="FILLL" hidden="1">#REF!</definedName>
    <definedName name="fjdalöfjdsalköfdjsalö" localSheetId="0" hidden="1">{#N/A,#N/A,TRUE,"Cover sheet";#N/A,#N/A,TRUE,"INPUTS";#N/A,#N/A,TRUE,"OUTPUTS";#N/A,#N/A,TRUE,"VALUATION"}</definedName>
    <definedName name="fjdalöfjdsalköfdjsalö" localSheetId="8" hidden="1">{#N/A,#N/A,TRUE,"Cover sheet";#N/A,#N/A,TRUE,"INPUTS";#N/A,#N/A,TRUE,"OUTPUTS";#N/A,#N/A,TRUE,"VALUATION"}</definedName>
    <definedName name="fjdalöfjdsalköfdjsalö" hidden="1">{#N/A,#N/A,TRUE,"Cover sheet";#N/A,#N/A,TRUE,"INPUTS";#N/A,#N/A,TRUE,"OUTPUTS";#N/A,#N/A,TRUE,"VALUATION"}</definedName>
    <definedName name="FOR" localSheetId="0" hidden="1">{#N/A,#N/A,FALSE,"CCTV"}</definedName>
    <definedName name="FOR" localSheetId="8" hidden="1">{#N/A,#N/A,FALSE,"CCTV"}</definedName>
    <definedName name="FOR" hidden="1">{#N/A,#N/A,FALSE,"CCTV"}</definedName>
    <definedName name="FORMAT" localSheetId="0" hidden="1">{#N/A,#N/A,FALSE,"CCTV"}</definedName>
    <definedName name="FORMAT" localSheetId="8" hidden="1">{#N/A,#N/A,FALSE,"CCTV"}</definedName>
    <definedName name="FORMAT" hidden="1">{#N/A,#N/A,FALSE,"CCTV"}</definedName>
    <definedName name="fre"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e"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e"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sdfdsf" localSheetId="0" hidden="1">{"'Sheet1'!$L$16"}</definedName>
    <definedName name="fsdfdsf" localSheetId="8" hidden="1">{"'Sheet1'!$L$16"}</definedName>
    <definedName name="fsdfdsf" hidden="1">{"'Sheet1'!$L$16"}</definedName>
    <definedName name="ga" localSheetId="0" hidden="1">{"'Sheet1'!$L$16"}</definedName>
    <definedName name="ga" localSheetId="8" hidden="1">{"'Sheet1'!$L$16"}</definedName>
    <definedName name="ga" hidden="1">{"'Sheet1'!$L$16"}</definedName>
    <definedName name="gegE" hidden="1">#REF!</definedName>
    <definedName name="GG" localSheetId="0" hidden="1">#REF!</definedName>
    <definedName name="GG" localSheetId="8" hidden="1">#REF!</definedName>
    <definedName name="GG" hidden="1">#REF!</definedName>
    <definedName name="GGG" localSheetId="8" hidden="1">#REF!</definedName>
    <definedName name="GGG" hidden="1">#REF!</definedName>
    <definedName name="GGGG" hidden="1">#REF!</definedName>
    <definedName name="GH" hidden="1">#REF!</definedName>
    <definedName name="ghdfgdf" localSheetId="0" hidden="1">{"HK PR",#N/A,FALSE,"HK";"SUMMARY",#N/A,FALSE,"PAYROLL";"SUMMARY",#N/A,FALSE,"PAYROLL";"HK PR",#N/A,FALSE,"HK"}</definedName>
    <definedName name="ghdfgdf" localSheetId="8" hidden="1">{"HK PR",#N/A,FALSE,"HK";"SUMMARY",#N/A,FALSE,"PAYROLL";"SUMMARY",#N/A,FALSE,"PAYROLL";"HK PR",#N/A,FALSE,"HK"}</definedName>
    <definedName name="ghdfgdf" hidden="1">{"HK PR",#N/A,FALSE,"HK";"SUMMARY",#N/A,FALSE,"PAYROLL";"SUMMARY",#N/A,FALSE,"PAYROLL";"HK PR",#N/A,FALSE,"HK"}</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 localSheetId="8" hidden="1">#REF!</definedName>
    <definedName name="gia" hidden="1">#REF!</definedName>
    <definedName name="GiáTTTM" localSheetId="0" hidden="1">#REF!</definedName>
    <definedName name="GiáTTTM" localSheetId="8" hidden="1">#REF!</definedName>
    <definedName name="GiáTTTM" hidden="1">#REF!</definedName>
    <definedName name="gnfg" localSheetId="0" hidden="1">{"HK PR",#N/A,FALSE,"HK";"SUMMARY",#N/A,FALSE,"PAYROLL";"SUMMARY",#N/A,FALSE,"PAYROLL";"HK PR",#N/A,FALSE,"HK"}</definedName>
    <definedName name="gnfg" localSheetId="8" hidden="1">{"HK PR",#N/A,FALSE,"HK";"SUMMARY",#N/A,FALSE,"PAYROLL";"SUMMARY",#N/A,FALSE,"PAYROLL";"HK PR",#N/A,FALSE,"HK"}</definedName>
    <definedName name="gnfg" hidden="1">{"HK PR",#N/A,FALSE,"HK";"SUMMARY",#N/A,FALSE,"PAYROLL";"SUMMARY",#N/A,FALSE,"PAYROLL";"HK PR",#N/A,FALSE,"HK"}</definedName>
    <definedName name="GTH" hidden="1">#REF!</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 localSheetId="0" hidden="1">{"'Sheet1'!$L$16"}</definedName>
    <definedName name="h" localSheetId="8" hidden="1">{"'Sheet1'!$L$16"}</definedName>
    <definedName name="h" hidden="1">{"'Sheet1'!$L$16"}</definedName>
    <definedName name="h_xoa" localSheetId="0" hidden="1">{"'Sheet1'!$L$16"}</definedName>
    <definedName name="h_xoa" localSheetId="8" hidden="1">{"'Sheet1'!$L$16"}</definedName>
    <definedName name="h_xoa" hidden="1">{"'Sheet1'!$L$16"}</definedName>
    <definedName name="h_xoa2" localSheetId="0" hidden="1">{"'Sheet1'!$L$16"}</definedName>
    <definedName name="h_xoa2" localSheetId="8" hidden="1">{"'Sheet1'!$L$16"}</definedName>
    <definedName name="h_xoa2" hidden="1">{"'Sheet1'!$L$16"}</definedName>
    <definedName name="HA" localSheetId="0" hidden="1">{"'Sheet1'!$L$16"}</definedName>
    <definedName name="HA" localSheetId="8" hidden="1">{"'Sheet1'!$L$16"}</definedName>
    <definedName name="HA" hidden="1">{"'Sheet1'!$L$16"}</definedName>
    <definedName name="hanh" localSheetId="0" hidden="1">{"'Sheet1'!$L$16"}</definedName>
    <definedName name="hanh" localSheetId="8" hidden="1">{"'Sheet1'!$L$16"}</definedName>
    <definedName name="hanh" hidden="1">{"'Sheet1'!$L$16"}</definedName>
    <definedName name="hb" localSheetId="0" hidden="1">{"'Sheet1'!$L$16"}</definedName>
    <definedName name="hb" localSheetId="8" hidden="1">{"'Sheet1'!$L$16"}</definedName>
    <definedName name="hb" hidden="1">{"'Sheet1'!$L$16"}</definedName>
    <definedName name="hbbbbbb" localSheetId="0" hidden="1">{"'Sheet1'!$L$16"}</definedName>
    <definedName name="hbbbbbb" localSheetId="8" hidden="1">{"'Sheet1'!$L$16"}</definedName>
    <definedName name="hbbbbbb" hidden="1">{"'Sheet1'!$L$16"}</definedName>
    <definedName name="hfgsdf" localSheetId="0" hidden="1">{"'Sheet1'!$L$16"}</definedName>
    <definedName name="hfgsdf" localSheetId="8" hidden="1">{"'Sheet1'!$L$16"}</definedName>
    <definedName name="hfgsdf" hidden="1">{"'Sheet1'!$L$16"}</definedName>
    <definedName name="hg" localSheetId="0" hidden="1">{"'Sheet1'!$L$16"}</definedName>
    <definedName name="hg" localSheetId="8" hidden="1">{"'Sheet1'!$L$16"}</definedName>
    <definedName name="hg" hidden="1">{"'Sheet1'!$L$16"}</definedName>
    <definedName name="hgfagl" localSheetId="0" hidden="1">#REF!</definedName>
    <definedName name="hgfagl" localSheetId="8" hidden="1">#REF!</definedName>
    <definedName name="hgfagl" hidden="1">#REF!</definedName>
    <definedName name="HG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hghg" localSheetId="0" hidden="1">{"HK PR",#N/A,FALSE,"HK";"SUMMARY",#N/A,FALSE,"PAYROLL";"SUMMARY",#N/A,FALSE,"PAYROLL";"HK PR",#N/A,FALSE,"HK"}</definedName>
    <definedName name="hghghg" localSheetId="8" hidden="1">{"HK PR",#N/A,FALSE,"HK";"SUMMARY",#N/A,FALSE,"PAYROLL";"SUMMARY",#N/A,FALSE,"PAYROLL";"HK PR",#N/A,FALSE,"HK"}</definedName>
    <definedName name="hghghg" hidden="1">{"HK PR",#N/A,FALSE,"HK";"SUMMARY",#N/A,FALSE,"PAYROLL";"SUMMARY",#N/A,FALSE,"PAYROLL";"HK PR",#N/A,FALSE,"HK"}</definedName>
    <definedName name="hghghghg" localSheetId="0" hidden="1">{"'Sheet1'!$L$16"}</definedName>
    <definedName name="hghghghg" localSheetId="8" hidden="1">{"'Sheet1'!$L$16"}</definedName>
    <definedName name="hghghghg" hidden="1">{"'Sheet1'!$L$16"}</definedName>
    <definedName name="hh" localSheetId="0" hidden="1">{"'Sheet1'!$L$16"}</definedName>
    <definedName name="hh" localSheetId="8" hidden="1">{"'Sheet1'!$L$16"}</definedName>
    <definedName name="hh" hidden="1">{"'Sheet1'!$L$16"}</definedName>
    <definedName name="hhb" localSheetId="0" hidden="1">{"'Sheet1'!$L$16"}</definedName>
    <definedName name="hhb" localSheetId="8" hidden="1">{"'Sheet1'!$L$16"}</definedName>
    <definedName name="hhb" hidden="1">{"'Sheet1'!$L$16"}</definedName>
    <definedName name="hhh" localSheetId="8" hidden="1">#REF!</definedName>
    <definedName name="hhh" hidden="1">#REF!</definedName>
    <definedName name="hhhh" localSheetId="0" hidden="1">{"'Sheet1'!$L$16"}</definedName>
    <definedName name="hhhh" localSheetId="8" hidden="1">{"'Sheet1'!$L$16"}</definedName>
    <definedName name="hhhh" hidden="1">{"'Sheet1'!$L$16"}</definedName>
    <definedName name="hhhhh" localSheetId="8" hidden="1">#REF!</definedName>
    <definedName name="hhhhh" hidden="1">#REF!</definedName>
    <definedName name="hhhhhh" localSheetId="0" hidden="1">{"'Sheet1'!$L$16"}</definedName>
    <definedName name="hhhhhh" localSheetId="8" hidden="1">{"'Sheet1'!$L$16"}</definedName>
    <definedName name="hhhhhh" hidden="1">{"'Sheet1'!$L$16"}</definedName>
    <definedName name="HiddenRows" localSheetId="0" hidden="1">#REF!</definedName>
    <definedName name="HiddenRows" localSheetId="8" hidden="1">#REF!</definedName>
    <definedName name="HiddenRows" hidden="1">#REF!</definedName>
    <definedName name="HIEU" hidden="1">{"'Sheet1'!$L$16"}</definedName>
    <definedName name="HJHH" localSheetId="0" hidden="1">{"ECA Qtrs C",#N/A,TRUE,"ECA_Qtrs_C";"ECA Qtrs D",#N/A,TRUE,"ECA_Qtrs_D";"ECA Qtrs F",#N/A,TRUE,"ECA_Qtrs_F";"ECA Qtrs G",#N/A,TRUE,"ECA_Qtrs_G";"ECA SisterApt",#N/A,TRUE,"ECA_SisterApt";"ECA Nurses",#N/A,TRUE,"ECA_NursesHostel"}</definedName>
    <definedName name="HJHH" localSheetId="8" hidden="1">{"ECA Qtrs C",#N/A,TRUE,"ECA_Qtrs_C";"ECA Qtrs D",#N/A,TRUE,"ECA_Qtrs_D";"ECA Qtrs F",#N/A,TRUE,"ECA_Qtrs_F";"ECA Qtrs G",#N/A,TRUE,"ECA_Qtrs_G";"ECA SisterApt",#N/A,TRUE,"ECA_SisterApt";"ECA Nurses",#N/A,TRUE,"ECA_NursesHostel"}</definedName>
    <definedName name="HJHH" hidden="1">{"ECA Qtrs C",#N/A,TRUE,"ECA_Qtrs_C";"ECA Qtrs D",#N/A,TRUE,"ECA_Qtrs_D";"ECA Qtrs F",#N/A,TRUE,"ECA_Qtrs_F";"ECA Qtrs G",#N/A,TRUE,"ECA_Qtrs_G";"ECA SisterApt",#N/A,TRUE,"ECA_SisterApt";"ECA Nurses",#N/A,TRUE,"ECA_NursesHostel"}</definedName>
    <definedName name="hjjkl" localSheetId="0" hidden="1">{"'Sheet1'!$L$16"}</definedName>
    <definedName name="hjjkl" localSheetId="8" hidden="1">{"'Sheet1'!$L$16"}</definedName>
    <definedName name="hjjkl" hidden="1">{"'Sheet1'!$L$16"}</definedName>
    <definedName name="HK" localSheetId="0" hidden="1">{"Reader",#N/A,FALSE,"Summary";"Reader",#N/A,FALSE,"Buildup";"Reader",#N/A,FALSE,"Financials";"Reader",#N/A,FALSE,"Debt &amp; Other"}</definedName>
    <definedName name="HK" localSheetId="8" hidden="1">{"Reader",#N/A,FALSE,"Summary";"Reader",#N/A,FALSE,"Buildup";"Reader",#N/A,FALSE,"Financials";"Reader",#N/A,FALSE,"Debt &amp; Other"}</definedName>
    <definedName name="HK" hidden="1">{"Reader",#N/A,FALSE,"Summary";"Reader",#N/A,FALSE,"Buildup";"Reader",#N/A,FALSE,"Financials";"Reader",#N/A,FALSE,"Debt &amp; Other"}</definedName>
    <definedName name="hka" localSheetId="0" hidden="1">{"Reader",#N/A,FALSE,"Summary";"Reader",#N/A,FALSE,"Buildup";"Reader",#N/A,FALSE,"Financials";"Reader",#N/A,FALSE,"Debt &amp; Other"}</definedName>
    <definedName name="hka" localSheetId="8" hidden="1">{"Reader",#N/A,FALSE,"Summary";"Reader",#N/A,FALSE,"Buildup";"Reader",#N/A,FALSE,"Financials";"Reader",#N/A,FALSE,"Debt &amp; Other"}</definedName>
    <definedName name="hka" hidden="1">{"Reader",#N/A,FALSE,"Summary";"Reader",#N/A,FALSE,"Buildup";"Reader",#N/A,FALSE,"Financials";"Reader",#N/A,FALSE,"Debt &amp; Other"}</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p" localSheetId="0" hidden="1">{"Reader",#N/A,FALSE,"Summary";"Reader",#N/A,FALSE,"Buildup";"Reader",#N/A,FALSE,"Financials";"Reader",#N/A,FALSE,"Debt &amp; Other"}</definedName>
    <definedName name="hp" localSheetId="8" hidden="1">{"Reader",#N/A,FALSE,"Summary";"Reader",#N/A,FALSE,"Buildup";"Reader",#N/A,FALSE,"Financials";"Reader",#N/A,FALSE,"Debt &amp; Other"}</definedName>
    <definedName name="hp" hidden="1">{"Reader",#N/A,FALSE,"Summary";"Reader",#N/A,FALSE,"Buildup";"Reader",#N/A,FALSE,"Financials";"Reader",#N/A,FALSE,"Debt &amp; Other"}</definedName>
    <definedName name="hþ" localSheetId="0" hidden="1">{"'Sheet1'!$L$16"}</definedName>
    <definedName name="hþ" localSheetId="8" hidden="1">{"'Sheet1'!$L$16"}</definedName>
    <definedName name="hþ" hidden="1">{"'Sheet1'!$L$16"}</definedName>
    <definedName name="hþwr" localSheetId="0" hidden="1">{"'Sheet1'!$L$16"}</definedName>
    <definedName name="hþwr" localSheetId="8" hidden="1">{"'Sheet1'!$L$16"}</definedName>
    <definedName name="hþwr" hidden="1">{"'Sheet1'!$L$16"}</definedName>
    <definedName name="htlm" localSheetId="0" hidden="1">{"'Sheet1'!$L$16"}</definedName>
    <definedName name="htlm" localSheetId="8" hidden="1">{"'Sheet1'!$L$16"}</definedName>
    <definedName name="htlm" hidden="1">{"'Sheet1'!$L$16"}</definedName>
    <definedName name="HTML_CodePage" hidden="1">1252</definedName>
    <definedName name="HTML_Control" localSheetId="0" hidden="1">{"'Sheet1'!$L$16"}</definedName>
    <definedName name="HTML_Control" localSheetId="8" hidden="1">{"'Sheet1'!$L$16"}</definedName>
    <definedName name="HTML_Control" hidden="1">{"'Sheet1'!$L$16"}</definedName>
    <definedName name="html_control_xoa2" localSheetId="0" hidden="1">{"'Sheet1'!$L$16"}</definedName>
    <definedName name="html_control_xoa2" localSheetId="8" hidden="1">{"'Sheet1'!$L$16"}</definedName>
    <definedName name="html_control_xoa2" hidden="1">{"'Sheet1'!$L$16"}</definedName>
    <definedName name="HTML_Control1" localSheetId="0" hidden="1">{"'Sheet1'!$L$16"}</definedName>
    <definedName name="HTML_Control1" localSheetId="8" hidden="1">{"'Sheet1'!$L$16"}</definedName>
    <definedName name="HTML_Control1" hidden="1">{"'Sheet1'!$L$16"}</definedName>
    <definedName name="HTML_Controlmoi" localSheetId="0" hidden="1">{"'Sheet1'!$L$16"}</definedName>
    <definedName name="HTML_Controlmoi" localSheetId="8" hidden="1">{"'Sheet1'!$L$16"}</definedName>
    <definedName name="HTML_Controlmoi" hidden="1">{"'Sheet1'!$L$16"}</definedName>
    <definedName name="HTML_Description" hidden="1">""</definedName>
    <definedName name="HTML_Email" hidden="1">""</definedName>
    <definedName name="HTML_Header" hidden="1">"A"</definedName>
    <definedName name="HTML_LastUpdate" hidden="1">"20/7/98"</definedName>
    <definedName name="HTML_LineAfter" hidden="1">FALSE</definedName>
    <definedName name="HTML_LineBefore" hidden="1">FALSE</definedName>
    <definedName name="HTML_Name" hidden="1">"Chiew Ean"</definedName>
    <definedName name="HTML_OBDlg2" hidden="1">TRUE</definedName>
    <definedName name="HTML_OBDlg4" hidden="1">TRUE</definedName>
    <definedName name="HTML_OS" hidden="1">0</definedName>
    <definedName name="HTML_PathFile" hidden="1">"C:\BUDGET\GRP\BUDCONPL9798\MyHTML.htm"</definedName>
    <definedName name="HTML_Title" hidden="1">"b8man10"</definedName>
    <definedName name="HTMLcpnmtrol" localSheetId="0" hidden="1">{"'Sheet1'!$L$16"}</definedName>
    <definedName name="HTMLcpnmtrol" localSheetId="8" hidden="1">{"'Sheet1'!$L$16"}</definedName>
    <definedName name="HTMLcpnmtrol" hidden="1">{"'Sheet1'!$L$16"}</definedName>
    <definedName name="htmll" localSheetId="0" hidden="1">{"'Sheet1'!$L$16"}</definedName>
    <definedName name="htmll" localSheetId="8" hidden="1">{"'Sheet1'!$L$16"}</definedName>
    <definedName name="htmll" hidden="1">{"'Sheet1'!$L$16"}</definedName>
    <definedName name="hu" localSheetId="0" hidden="1">{"'Sheet1'!$L$16"}</definedName>
    <definedName name="hu" localSheetId="8" hidden="1">{"'Sheet1'!$L$16"}</definedName>
    <definedName name="hu" hidden="1">{"'Sheet1'!$L$16"}</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ong" localSheetId="0" hidden="1">{"HK PR",#N/A,FALSE,"HK";"SUMMARY",#N/A,FALSE,"PAYROLL";"SUMMARY",#N/A,FALSE,"PAYROLL";"HK PR",#N/A,FALSE,"HK"}</definedName>
    <definedName name="huong" localSheetId="8" hidden="1">{"HK PR",#N/A,FALSE,"HK";"SUMMARY",#N/A,FALSE,"PAYROLL";"SUMMARY",#N/A,FALSE,"PAYROLL";"HK PR",#N/A,FALSE,"HK"}</definedName>
    <definedName name="huong" hidden="1">{"HK PR",#N/A,FALSE,"HK";"SUMMARY",#N/A,FALSE,"PAYROLL";"SUMMARY",#N/A,FALSE,"PAYROLL";"HK PR",#N/A,FALSE,"HK"}</definedName>
    <definedName name="huongu" localSheetId="0" hidden="1">{"HK PR",#N/A,FALSE,"HK";"SUMMARY",#N/A,FALSE,"PAYROLL";"SUMMARY",#N/A,FALSE,"PAYROLL";"HK PR",#N/A,FALSE,"HK"}</definedName>
    <definedName name="huongu" localSheetId="8" hidden="1">{"HK PR",#N/A,FALSE,"HK";"SUMMARY",#N/A,FALSE,"PAYROLL";"SUMMARY",#N/A,FALSE,"PAYROLL";"HK PR",#N/A,FALSE,"HK"}</definedName>
    <definedName name="huongu" hidden="1">{"HK PR",#N/A,FALSE,"HK";"SUMMARY",#N/A,FALSE,"PAYROLL";"SUMMARY",#N/A,FALSE,"PAYROLL";"HK PR",#N/A,FALSE,"HK"}</definedName>
    <definedName name="huy" localSheetId="0" hidden="1">{"'Sheet1'!$L$16"}</definedName>
    <definedName name="huy" localSheetId="8" hidden="1">{"'Sheet1'!$L$16"}</definedName>
    <definedName name="huy" hidden="1">{"'Sheet1'!$L$16"}</definedName>
    <definedName name="huy_xoa" localSheetId="0" hidden="1">{"'Sheet1'!$L$16"}</definedName>
    <definedName name="huy_xoa" localSheetId="8" hidden="1">{"'Sheet1'!$L$16"}</definedName>
    <definedName name="huy_xoa" hidden="1">{"'Sheet1'!$L$16"}</definedName>
    <definedName name="huy_xoa2" localSheetId="0" hidden="1">{"'Sheet1'!$L$16"}</definedName>
    <definedName name="huy_xoa2" localSheetId="8" hidden="1">{"'Sheet1'!$L$16"}</definedName>
    <definedName name="huy_xoa2" hidden="1">{"'Sheet1'!$L$16"}</definedName>
    <definedName name="huymoi" localSheetId="0" hidden="1">{"'Sheet1'!$L$16"}</definedName>
    <definedName name="huymoi" localSheetId="8" hidden="1">{"'Sheet1'!$L$16"}</definedName>
    <definedName name="huymoi" hidden="1">{"'Sheet1'!$L$16"}</definedName>
    <definedName name="HUYØ" localSheetId="0" hidden="1">{"'Sheet1'!$L$16"}</definedName>
    <definedName name="HUYØ" localSheetId="8" hidden="1">{"'Sheet1'!$L$16"}</definedName>
    <definedName name="HUYØ" hidden="1">{"'Sheet1'!$L$16"}</definedName>
    <definedName name="huyy" localSheetId="0" hidden="1">{"'Sheet1'!$L$16"}</definedName>
    <definedName name="huyy" localSheetId="8" hidden="1">{"'Sheet1'!$L$16"}</definedName>
    <definedName name="huyy" hidden="1">{"'Sheet1'!$L$16"}</definedName>
    <definedName name="huyyy" localSheetId="0" hidden="1">{"'Sheet1'!$L$16"}</definedName>
    <definedName name="huyyy" localSheetId="8" hidden="1">{"'Sheet1'!$L$16"}</definedName>
    <definedName name="huyyy" hidden="1">{"'Sheet1'!$L$16"}</definedName>
    <definedName name="hy" localSheetId="0" hidden="1">{"'Sheet1'!$L$16"}</definedName>
    <definedName name="hy" localSheetId="8" hidden="1">{"'Sheet1'!$L$16"}</definedName>
    <definedName name="hy" hidden="1">{"'Sheet1'!$L$16"}</definedName>
    <definedName name="Hyundai" localSheetId="0" hidden="1">{#N/A,#N/A,TRUE,"Cover sheet";#N/A,#N/A,TRUE,"INPUTS";#N/A,#N/A,TRUE,"OUTPUTS";#N/A,#N/A,TRUE,"VALUATION"}</definedName>
    <definedName name="Hyundai" localSheetId="8" hidden="1">{#N/A,#N/A,TRUE,"Cover sheet";#N/A,#N/A,TRUE,"INPUTS";#N/A,#N/A,TRUE,"OUTPUTS";#N/A,#N/A,TRUE,"VALUATION"}</definedName>
    <definedName name="Hyundai" hidden="1">{#N/A,#N/A,TRUE,"Cover sheet";#N/A,#N/A,TRUE,"INPUTS";#N/A,#N/A,TRUE,"OUTPUTS";#N/A,#N/A,TRUE,"VALUATION"}</definedName>
    <definedName name="ii"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n" localSheetId="8" hidden="1">#REF!</definedName>
    <definedName name="in" hidden="1">#REF!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 hidden="1">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 hidden="1">5000</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AILY" hidden="1">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 hidden="1">2000</definedName>
    <definedName name="IQ_LTMMONTH" hidden="1">120000</definedName>
    <definedName name="IQ_MERGER_BR" hidden="1">"c715"</definedName>
    <definedName name="IQ_MERGER_RESTRUCTURE_BR" hidden="1">"c721"</definedName>
    <definedName name="IQ_MINORITY_INTEREST_BR" hidden="1">"c729"</definedName>
    <definedName name="IQ_MONTH" hidden="1">15000</definedName>
    <definedName name="IQ_MTD" hidden="1">800000</definedName>
    <definedName name="IQ_NAMES_REVISION_DATE_" hidden="1">42584.6056944444</definedName>
    <definedName name="IQ_NET_DEBT_ISSUED_BR" hidden="1">"c753"</definedName>
    <definedName name="IQ_NET_INT_INC_BR" hidden="1">"c765"</definedName>
    <definedName name="IQ_NTM" hidden="1">6000</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"c83"</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 hidden="1">50000</definedName>
    <definedName name="IQ_YTD" hidden="1">3000</definedName>
    <definedName name="IQ_YTDMONTH" hidden="1">130000</definedName>
    <definedName name="IS" localSheetId="0" hidden="1">{"HK PR",#N/A,FALSE,"HK";"SUMMARY",#N/A,FALSE,"PAYROLL";"SUMMARY",#N/A,FALSE,"PAYROLL";"HK PR",#N/A,FALSE,"HK"}</definedName>
    <definedName name="IS" localSheetId="8" hidden="1">{"HK PR",#N/A,FALSE,"HK";"SUMMARY",#N/A,FALSE,"PAYROLL";"SUMMARY",#N/A,FALSE,"PAYROLL";"HK PR",#N/A,FALSE,"HK"}</definedName>
    <definedName name="IS" hidden="1">{"HK PR",#N/A,FALSE,"HK";"SUMMARY",#N/A,FALSE,"PAYROLL";"SUMMARY",#N/A,FALSE,"PAYROLL";"HK PR",#N/A,FALSE,"HK"}</definedName>
    <definedName name="iuliupoui" localSheetId="0" hidden="1">{"'Sheet1'!$L$16"}</definedName>
    <definedName name="iuliupoui" localSheetId="8" hidden="1">{"'Sheet1'!$L$16"}</definedName>
    <definedName name="iuliupoui" hidden="1">{"'Sheet1'!$L$16"}</definedName>
    <definedName name="iwer" localSheetId="0" hidden="1">{"'Sheet1'!$L$16"}</definedName>
    <definedName name="iwer" localSheetId="8" hidden="1">{"'Sheet1'!$L$16"}</definedName>
    <definedName name="iwer" hidden="1">{"'Sheet1'!$L$16"}</definedName>
    <definedName name="iylryi" localSheetId="0" hidden="1">{"'Sheet1'!$L$16"}</definedName>
    <definedName name="iylryi" localSheetId="8" hidden="1">{"'Sheet1'!$L$16"}</definedName>
    <definedName name="iylryi" hidden="1">{"'Sheet1'!$L$16"}</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j"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j"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jjj"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jk" localSheetId="0" hidden="1">{"'Sheet1'!$L$16"}</definedName>
    <definedName name="jkjk" localSheetId="8" hidden="1">{"'Sheet1'!$L$16"}</definedName>
    <definedName name="jkjk" hidden="1">{"'Sheet1'!$L$16"}</definedName>
    <definedName name="jsryj" localSheetId="0" hidden="1">{"'Sheet1'!$L$16"}</definedName>
    <definedName name="jsryj" localSheetId="8" hidden="1">{"'Sheet1'!$L$16"}</definedName>
    <definedName name="jsryj" hidden="1">{"'Sheet1'!$L$16"}</definedName>
    <definedName name="jt" localSheetId="0" hidden="1">{"'Sheet1'!$L$16"}</definedName>
    <definedName name="jt" localSheetId="8" hidden="1">{"'Sheet1'!$L$16"}</definedName>
    <definedName name="jt" hidden="1">{"'Sheet1'!$L$16"}</definedName>
    <definedName name="jtru" localSheetId="0" hidden="1">{"'Sheet1'!$L$16"}</definedName>
    <definedName name="jtru" localSheetId="8" hidden="1">{"'Sheet1'!$L$16"}</definedName>
    <definedName name="jtru" hidden="1">{"'Sheet1'!$L$16"}</definedName>
    <definedName name="jtyk" localSheetId="0" hidden="1">{"'Sheet1'!$L$16"}</definedName>
    <definedName name="jtyk" localSheetId="8" hidden="1">{"'Sheet1'!$L$16"}</definedName>
    <definedName name="jtyk" hidden="1">{"'Sheet1'!$L$16"}</definedName>
    <definedName name="jyuk" localSheetId="0" hidden="1">{"'Sheet1'!$L$16"}</definedName>
    <definedName name="jyuk" localSheetId="8" hidden="1">{"'Sheet1'!$L$16"}</definedName>
    <definedName name="jyuk" hidden="1">{"'Sheet1'!$L$16"}</definedName>
    <definedName name="k" localSheetId="0" hidden="1">{"Offgrid",#N/A,FALSE,"OFFGRID";"Region",#N/A,FALSE,"REGION";"Offgrid -2",#N/A,FALSE,"OFFGRID";"WTP",#N/A,FALSE,"WTP";"WTP -2",#N/A,FALSE,"WTP";"Project",#N/A,FALSE,"PROJECT";"Summary -2",#N/A,FALSE,"SUMMARY"}</definedName>
    <definedName name="k" hidden="1">{"Offgrid",#N/A,FALSE,"OFFGRID";"Region",#N/A,FALSE,"REGION";"Offgrid -2",#N/A,FALSE,"OFFGRID";"WTP",#N/A,FALSE,"WTP";"WTP -2",#N/A,FALSE,"WTP";"Project",#N/A,FALSE,"PROJECT";"Summary -2",#N/A,FALSE,"SUMMARY"}</definedName>
    <definedName name="k_xoa" localSheetId="0" hidden="1">{"Offgrid",#N/A,FALSE,"OFFGRID";"Region",#N/A,FALSE,"REGION";"Offgrid -2",#N/A,FALSE,"OFFGRID";"WTP",#N/A,FALSE,"WTP";"WTP -2",#N/A,FALSE,"WTP";"Project",#N/A,FALSE,"PROJECT";"Summary -2",#N/A,FALSE,"SUMMARY"}</definedName>
    <definedName name="k_xoa" localSheetId="8" hidden="1">{"Offgrid",#N/A,FALSE,"OFFGRID";"Region",#N/A,FALSE,"REGION";"Offgrid -2",#N/A,FALSE,"OFFGRID";"WTP",#N/A,FALSE,"WTP";"WTP -2",#N/A,FALSE,"WTP";"Project",#N/A,FALSE,"PROJECT";"Summary -2",#N/A,FALSE,"SUMMARY"}</definedName>
    <definedName name="k_xoa"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_xoa2" localSheetId="8"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CThep" localSheetId="0" hidden="1">{"'Sheet1'!$L$16"}</definedName>
    <definedName name="KCThep" localSheetId="8" hidden="1">{"'Sheet1'!$L$16"}</definedName>
    <definedName name="KCThep" hidden="1">{"'Sheet1'!$L$16"}</definedName>
    <definedName name="khoi" hidden="1">{"'Sheet1'!$L$16"}</definedName>
    <definedName name="khongtruotgia" localSheetId="0" hidden="1">{"'Sheet1'!$L$16"}</definedName>
    <definedName name="khongtruotgia" localSheetId="8" hidden="1">{"'Sheet1'!$L$16"}</definedName>
    <definedName name="khongtruotgia" hidden="1">{"'Sheet1'!$L$16"}</definedName>
    <definedName name="ki" localSheetId="0" hidden="1">{#N/A,#N/A,TRUE,"Cover sheet";#N/A,#N/A,TRUE,"Summary";#N/A,#N/A,TRUE,"Key Assumptions";#N/A,#N/A,TRUE,"Profit &amp; Loss";#N/A,#N/A,TRUE,"Balance Sheet";#N/A,#N/A,TRUE,"Cashflow";#N/A,#N/A,TRUE,"IRR";#N/A,#N/A,TRUE,"Ratios";#N/A,#N/A,TRUE,"Debt analysis"}</definedName>
    <definedName name="ki" localSheetId="8" hidden="1">{#N/A,#N/A,TRUE,"Cover sheet";#N/A,#N/A,TRUE,"Summary";#N/A,#N/A,TRUE,"Key Assumptions";#N/A,#N/A,TRUE,"Profit &amp; Loss";#N/A,#N/A,TRUE,"Balance Sheet";#N/A,#N/A,TRUE,"Cashflow";#N/A,#N/A,TRUE,"IRR";#N/A,#N/A,TRUE,"Ratios";#N/A,#N/A,TRUE,"Debt analysis"}</definedName>
    <definedName name="ki" hidden="1">{#N/A,#N/A,TRUE,"Cover sheet";#N/A,#N/A,TRUE,"Summary";#N/A,#N/A,TRUE,"Key Assumptions";#N/A,#N/A,TRUE,"Profit &amp; Loss";#N/A,#N/A,TRUE,"Balance Sheet";#N/A,#N/A,TRUE,"Cashflow";#N/A,#N/A,TRUE,"IRR";#N/A,#N/A,TRUE,"Ratios";#N/A,#N/A,TRUE,"Debt analysis"}</definedName>
    <definedName name="kkk" localSheetId="0" hidden="1">{#N/A,#N/A,FALSE,"特殊室（ＢＱ表）"}</definedName>
    <definedName name="kkk" localSheetId="8" hidden="1">{#N/A,#N/A,FALSE,"特殊室（ＢＱ表）"}</definedName>
    <definedName name="kkk" hidden="1">{#N/A,#N/A,FALSE,"特殊室（ＢＱ表）"}</definedName>
    <definedName name="ｋｋｋ" localSheetId="0" hidden="1">{"'Sheet1'!$L$16"}</definedName>
    <definedName name="ｋｋｋ" localSheetId="8" hidden="1">{"'Sheet1'!$L$16"}</definedName>
    <definedName name="ｋｋｋ" hidden="1">{"'Sheet1'!$L$16"}</definedName>
    <definedName name="klkklk" localSheetId="0" hidden="1">{#N/A,#N/A,FALSE,"Sheet1";#N/A,#N/A,FALSE,"Sheet3";#N/A,#N/A,FALSE,"Sheet5"}</definedName>
    <definedName name="klkklk" localSheetId="8" hidden="1">{#N/A,#N/A,FALSE,"Sheet1";#N/A,#N/A,FALSE,"Sheet3";#N/A,#N/A,FALSE,"Sheet5"}</definedName>
    <definedName name="klkklk" hidden="1">{#N/A,#N/A,FALSE,"Sheet1";#N/A,#N/A,FALSE,"Sheet3";#N/A,#N/A,FALSE,"Sheet5"}</definedName>
    <definedName name="KNDAT_CHUA_SU_DUNG" localSheetId="0" hidden="1">#REF!</definedName>
    <definedName name="KNDAT_CHUA_SU_DUNG" hidden="1">#REF!</definedName>
    <definedName name="ks" localSheetId="0" hidden="1">{"'Sheet1'!$L$16"}</definedName>
    <definedName name="ks" localSheetId="8" hidden="1">{"'Sheet1'!$L$16"}</definedName>
    <definedName name="ks" hidden="1">{"'Sheet1'!$L$16"}</definedName>
    <definedName name="ksbn" localSheetId="0" hidden="1">{"'Sheet1'!$L$16"}</definedName>
    <definedName name="ksbn" localSheetId="8" hidden="1">{"'Sheet1'!$L$16"}</definedName>
    <definedName name="ksbn" hidden="1">{"'Sheet1'!$L$16"}</definedName>
    <definedName name="kshn" localSheetId="0" hidden="1">{"'Sheet1'!$L$16"}</definedName>
    <definedName name="kshn" localSheetId="8" hidden="1">{"'Sheet1'!$L$16"}</definedName>
    <definedName name="kshn" hidden="1">{"'Sheet1'!$L$16"}</definedName>
    <definedName name="ksls" localSheetId="0" hidden="1">{"'Sheet1'!$L$16"}</definedName>
    <definedName name="ksls" localSheetId="8" hidden="1">{"'Sheet1'!$L$16"}</definedName>
    <definedName name="ksls" hidden="1">{"'Sheet1'!$L$16"}</definedName>
    <definedName name="kt" localSheetId="8" hidden="1">#REF!</definedName>
    <definedName name="kt" hidden="1">#REF!</definedName>
    <definedName name="kukek" localSheetId="0" hidden="1">{"'Sheet1'!$L$16"}</definedName>
    <definedName name="kukek" localSheetId="8" hidden="1">{"'Sheet1'!$L$16"}</definedName>
    <definedName name="kukek" hidden="1">{"'Sheet1'!$L$16"}</definedName>
    <definedName name="kuklk" localSheetId="0" hidden="1">{"'Sheet1'!$L$16"}</definedName>
    <definedName name="kuklk" localSheetId="8" hidden="1">{"'Sheet1'!$L$16"}</definedName>
    <definedName name="kuklk" hidden="1">{"'Sheet1'!$L$16"}</definedName>
    <definedName name="kutkuk" localSheetId="0" hidden="1">{"'Sheet1'!$L$16"}</definedName>
    <definedName name="kutkuk" localSheetId="8" hidden="1">{"'Sheet1'!$L$16"}</definedName>
    <definedName name="kutkuk" hidden="1">{"'Sheet1'!$L$16"}</definedName>
    <definedName name="lan" localSheetId="0" hidden="1">{#N/A,#N/A,TRUE,"BT M200 da 10x20"}</definedName>
    <definedName name="lan" localSheetId="8" hidden="1">{#N/A,#N/A,TRUE,"BT M200 da 10x20"}</definedName>
    <definedName name="lan" hidden="1">{#N/A,#N/A,TRUE,"BT M200 da 10x20"}</definedName>
    <definedName name="langson" localSheetId="0" hidden="1">{"'Sheet1'!$L$16"}</definedName>
    <definedName name="langson" localSheetId="8" hidden="1">{"'Sheet1'!$L$16"}</definedName>
    <definedName name="langson" hidden="1">{"'Sheet1'!$L$16"}</definedName>
    <definedName name="le" localSheetId="0" hidden="1">{"'Sheet1'!$L$16"}</definedName>
    <definedName name="le" localSheetId="8" hidden="1">{"'Sheet1'!$L$16"}</definedName>
    <definedName name="le" hidden="1">{"'Sheet1'!$L$16"}</definedName>
    <definedName name="ll" localSheetId="0" hidden="1">{#N/A,#N/A,TRUE,"Cover sheet";#N/A,#N/A,TRUE,"Summary";#N/A,#N/A,TRUE,"Key Assumptions";#N/A,#N/A,TRUE,"Profit &amp; Loss";#N/A,#N/A,TRUE,"Balance Sheet";#N/A,#N/A,TRUE,"Cashflow";#N/A,#N/A,TRUE,"IRR";#N/A,#N/A,TRUE,"Ratios";#N/A,#N/A,TRUE,"Debt analysis"}</definedName>
    <definedName name="ll" localSheetId="8" hidden="1">{#N/A,#N/A,TRUE,"Cover sheet";#N/A,#N/A,TRUE,"Summary";#N/A,#N/A,TRUE,"Key Assumptions";#N/A,#N/A,TRUE,"Profit &amp; Loss";#N/A,#N/A,TRUE,"Balance Sheet";#N/A,#N/A,TRUE,"Cashflow";#N/A,#N/A,TRUE,"IRR";#N/A,#N/A,TRUE,"Ratios";#N/A,#N/A,TRUE,"Debt analysis"}</definedName>
    <definedName name="ll" hidden="1">{#N/A,#N/A,TRUE,"Cover sheet";#N/A,#N/A,TRUE,"Summary";#N/A,#N/A,TRUE,"Key Assumptions";#N/A,#N/A,TRUE,"Profit &amp; Loss";#N/A,#N/A,TRUE,"Balance Sheet";#N/A,#N/A,TRUE,"Cashflow";#N/A,#N/A,TRUE,"IRR";#N/A,#N/A,TRUE,"Ratios";#N/A,#N/A,TRUE,"Debt analysis"}</definedName>
    <definedName name="lll" localSheetId="0" hidden="1">{#N/A,#N/A,FALSE,"特殊室（ＢＱ表）"}</definedName>
    <definedName name="lll" localSheetId="8" hidden="1">{#N/A,#N/A,FALSE,"特殊室（ＢＱ表）"}</definedName>
    <definedName name="lll" hidden="1">{#N/A,#N/A,FALSE,"特殊室（ＢＱ表）"}</definedName>
    <definedName name="LLLLL" hidden="1">{#N/A,#N/A,FALSE,"Chi tiÆt"}</definedName>
    <definedName name="Loan" localSheetId="8" hidden="1">#REF!</definedName>
    <definedName name="Loan" hidden="1">#REF!</definedName>
    <definedName name="Long" localSheetId="0" hidden="1">{"'Sheet1'!$L$16"}</definedName>
    <definedName name="Long" localSheetId="8" hidden="1">{"'Sheet1'!$L$16"}</definedName>
    <definedName name="Long" hidden="1">{"'Sheet1'!$L$16"}</definedName>
    <definedName name="luan" localSheetId="0" hidden="1">{"'Sheet1'!$L$16"}</definedName>
    <definedName name="luan" localSheetId="8" hidden="1">{"'Sheet1'!$L$16"}</definedName>
    <definedName name="luan" hidden="1">{"'Sheet1'!$L$16"}</definedName>
    <definedName name="luong" localSheetId="0" hidden="1">{"'Sheet1'!$L$16"}</definedName>
    <definedName name="luong" localSheetId="8" hidden="1">{"'Sheet1'!$L$16"}</definedName>
    <definedName name="luong" hidden="1">{"'Sheet1'!$L$16"}</definedName>
    <definedName name="M10." localSheetId="0" hidden="1">{"'Sheet1'!$L$16"}</definedName>
    <definedName name="M10." localSheetId="8" hidden="1">{"'Sheet1'!$L$16"}</definedName>
    <definedName name="M10." hidden="1">{"'Sheet1'!$L$16"}</definedName>
    <definedName name="MAU" localSheetId="0" hidden="1">{"'Sheet1'!$L$16"}</definedName>
    <definedName name="MAU" localSheetId="8" hidden="1">{"'Sheet1'!$L$16"}</definedName>
    <definedName name="MAU" hidden="1">{"'Sheet1'!$L$16"}</definedName>
    <definedName name="mccb" localSheetId="0" hidden="1">{#N/A,#N/A,FALSE,"CCTV"}</definedName>
    <definedName name="mccb" localSheetId="8" hidden="1">{#N/A,#N/A,FALSE,"CCTV"}</definedName>
    <definedName name="mccb" hidden="1">{#N/A,#N/A,FALSE,"CCTV"}</definedName>
    <definedName name="MCCO" localSheetId="0" hidden="1">{#N/A,#N/A,FALSE,"CCTV"}</definedName>
    <definedName name="MCCO" localSheetId="8" hidden="1">{#N/A,#N/A,FALSE,"CCTV"}</definedName>
    <definedName name="MCCO" hidden="1">{#N/A,#N/A,FALSE,"CCTV"}</definedName>
    <definedName name="MCCO10" localSheetId="0" hidden="1">{#N/A,#N/A,FALSE,"CCTV"}</definedName>
    <definedName name="MCCO10" localSheetId="8" hidden="1">{#N/A,#N/A,FALSE,"CCTV"}</definedName>
    <definedName name="MCCO10" hidden="1">{#N/A,#N/A,FALSE,"CCTV"}</definedName>
    <definedName name="MCCO11" localSheetId="0" hidden="1">{#N/A,#N/A,FALSE,"CCTV"}</definedName>
    <definedName name="MCCO11" localSheetId="8" hidden="1">{#N/A,#N/A,FALSE,"CCTV"}</definedName>
    <definedName name="MCCO11" hidden="1">{#N/A,#N/A,FALSE,"CCTV"}</definedName>
    <definedName name="MCCO12" localSheetId="0" hidden="1">{#N/A,#N/A,FALSE,"CCTV"}</definedName>
    <definedName name="MCCO12" localSheetId="8" hidden="1">{#N/A,#N/A,FALSE,"CCTV"}</definedName>
    <definedName name="MCCO12" hidden="1">{#N/A,#N/A,FALSE,"CCTV"}</definedName>
    <definedName name="MCCO13" localSheetId="0" hidden="1">{#N/A,#N/A,FALSE,"CCTV"}</definedName>
    <definedName name="MCCO13" localSheetId="8" hidden="1">{#N/A,#N/A,FALSE,"CCTV"}</definedName>
    <definedName name="MCCO13" hidden="1">{#N/A,#N/A,FALSE,"CCTV"}</definedName>
    <definedName name="MCCO3" localSheetId="0" hidden="1">{#N/A,#N/A,FALSE,"CCTV"}</definedName>
    <definedName name="MCCO3" localSheetId="8" hidden="1">{#N/A,#N/A,FALSE,"CCTV"}</definedName>
    <definedName name="MCCO3" hidden="1">{#N/A,#N/A,FALSE,"CCTV"}</definedName>
    <definedName name="MCCO4" localSheetId="0" hidden="1">{#N/A,#N/A,FALSE,"CCTV"}</definedName>
    <definedName name="MCCO4" localSheetId="8" hidden="1">{#N/A,#N/A,FALSE,"CCTV"}</definedName>
    <definedName name="MCCO4" hidden="1">{#N/A,#N/A,FALSE,"CCTV"}</definedName>
    <definedName name="MCCO5" localSheetId="0" hidden="1">{#N/A,#N/A,FALSE,"CCTV"}</definedName>
    <definedName name="MCCO5" localSheetId="8" hidden="1">{#N/A,#N/A,FALSE,"CCTV"}</definedName>
    <definedName name="MCCO5" hidden="1">{#N/A,#N/A,FALSE,"CCTV"}</definedName>
    <definedName name="MCCO6" localSheetId="0" hidden="1">{#N/A,#N/A,FALSE,"CCTV"}</definedName>
    <definedName name="MCCO6" localSheetId="8" hidden="1">{#N/A,#N/A,FALSE,"CCTV"}</definedName>
    <definedName name="MCCO6" hidden="1">{#N/A,#N/A,FALSE,"CCTV"}</definedName>
    <definedName name="MCCO7" localSheetId="0" hidden="1">{#N/A,#N/A,FALSE,"CCTV"}</definedName>
    <definedName name="MCCO7" localSheetId="8" hidden="1">{#N/A,#N/A,FALSE,"CCTV"}</definedName>
    <definedName name="MCCO7" hidden="1">{#N/A,#N/A,FALSE,"CCTV"}</definedName>
    <definedName name="MCCO8" localSheetId="0" hidden="1">{#N/A,#N/A,FALSE,"CCTV"}</definedName>
    <definedName name="MCCO8" localSheetId="8" hidden="1">{#N/A,#N/A,FALSE,"CCTV"}</definedName>
    <definedName name="MCCO8" hidden="1">{#N/A,#N/A,FALSE,"CCTV"}</definedName>
    <definedName name="MCCO9" localSheetId="0" hidden="1">{#N/A,#N/A,FALSE,"CCTV"}</definedName>
    <definedName name="MCCO9" localSheetId="8" hidden="1">{#N/A,#N/A,FALSE,"CCTV"}</definedName>
    <definedName name="MCCO9" hidden="1">{#N/A,#N/A,FALSE,"CCTV"}</definedName>
    <definedName name="MCCOÙ" localSheetId="0" hidden="1">{#N/A,#N/A,FALSE,"CCTV"}</definedName>
    <definedName name="MCCOÙ" localSheetId="8" hidden="1">{#N/A,#N/A,FALSE,"CCTV"}</definedName>
    <definedName name="MCCOÙ" hidden="1">{#N/A,#N/A,FALSE,"CCTV"}</definedName>
    <definedName name="mco" localSheetId="0" hidden="1">{"'Sheet1'!$L$16"}</definedName>
    <definedName name="mco" localSheetId="8" hidden="1">{"'Sheet1'!$L$16"}</definedName>
    <definedName name="mco" hidden="1">{"'Sheet1'!$L$16"}</definedName>
    <definedName name="ｍｍｍ" localSheetId="0" hidden="1">{"'Sheet1'!$L$16"}</definedName>
    <definedName name="ｍｍｍ" localSheetId="8" hidden="1">{"'Sheet1'!$L$16"}</definedName>
    <definedName name="ｍｍｍ" hidden="1">{"'Sheet1'!$L$16"}</definedName>
    <definedName name="ｍｍｍｍ" localSheetId="0" hidden="1">{"'Sheet1'!$L$16"}</definedName>
    <definedName name="ｍｍｍｍ" localSheetId="8" hidden="1">{"'Sheet1'!$L$16"}</definedName>
    <definedName name="ｍｍｍｍ" hidden="1">{"'Sheet1'!$L$16"}</definedName>
    <definedName name="mo" localSheetId="0" hidden="1">{"'Sheet1'!$L$16"}</definedName>
    <definedName name="mo" localSheetId="8" hidden="1">{"'Sheet1'!$L$16"}</definedName>
    <definedName name="mo" hidden="1">{"'Sheet1'!$L$16"}</definedName>
    <definedName name="moi" localSheetId="0" hidden="1">{"'Sheet1'!$L$16"}</definedName>
    <definedName name="moi" localSheetId="8" hidden="1">{"'Sheet1'!$L$16"}</definedName>
    <definedName name="moi" hidden="1">{"'Sheet1'!$L$16"}</definedName>
    <definedName name="mua" localSheetId="0" hidden="1">{"'Sheet1'!$L$16"}</definedName>
    <definedName name="mua" localSheetId="8" hidden="1">{"'Sheet1'!$L$16"}</definedName>
    <definedName name="mua" hidden="1">{"'Sheet1'!$L$16"}</definedName>
    <definedName name="MV" localSheetId="0" hidden="1">{#N/A,#N/A,FALSE,"Sheet1";#N/A,#N/A,FALSE,"Sheet3";#N/A,#N/A,FALSE,"Sheet5"}</definedName>
    <definedName name="MV" localSheetId="8" hidden="1">{#N/A,#N/A,FALSE,"Sheet1";#N/A,#N/A,FALSE,"Sheet3";#N/A,#N/A,FALSE,"Sheet5"}</definedName>
    <definedName name="MV" hidden="1">{#N/A,#N/A,FALSE,"Sheet1";#N/A,#N/A,FALSE,"Sheet3";#N/A,#N/A,FALSE,"Sheet5"}</definedName>
    <definedName name="n" localSheetId="0" hidden="1">#REF!</definedName>
    <definedName name="n" localSheetId="8" hidden="1">#REF!</definedName>
    <definedName name="n" hidden="1">#REF!</definedName>
    <definedName name="Na" localSheetId="0" hidden="1">{"'Sheet1'!$L$16"}</definedName>
    <definedName name="Na" localSheetId="8" hidden="1">{"'Sheet1'!$L$16"}</definedName>
    <definedName name="Na" hidden="1">{"'Sheet1'!$L$16"}</definedName>
    <definedName name="nam" localSheetId="0" hidden="1">{"'Sheet1'!$L$16"}</definedName>
    <definedName name="nam" localSheetId="8" hidden="1">{"'Sheet1'!$L$16"}</definedName>
    <definedName name="nam" hidden="1">{"'Sheet1'!$L$16"}</definedName>
    <definedName name="NB" localSheetId="0" hidden="1">{#N/A,#N/A,FALSE,"Sheet2";#N/A,#N/A,FALSE,"Sheet4";#N/A,#N/A,FALSE,"Sheet6"}</definedName>
    <definedName name="NB" localSheetId="8" hidden="1">{#N/A,#N/A,FALSE,"Sheet2";#N/A,#N/A,FALSE,"Sheet4";#N/A,#N/A,FALSE,"Sheet6"}</definedName>
    <definedName name="NB" hidden="1">{#N/A,#N/A,FALSE,"Sheet2";#N/A,#N/A,FALSE,"Sheet4";#N/A,#N/A,FALSE,"Sheet6"}</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 localSheetId="0" hidden="1">{#N/A,#N/A,FALSE,"Chi tiÆt"}</definedName>
    <definedName name="NEW" localSheetId="8" hidden="1">{#N/A,#N/A,FALSE,"Chi tiÆt"}</definedName>
    <definedName name="NEW" hidden="1">{#N/A,#N/A,FALSE,"Chi tiÆt"}</definedName>
    <definedName name="NEWNAME" localSheetId="0" hidden="1">{#N/A,#N/A,FALSE,"CCTV"}</definedName>
    <definedName name="NEWNAME" localSheetId="8" hidden="1">{#N/A,#N/A,FALSE,"CCTV"}</definedName>
    <definedName name="NEWNAME" hidden="1">{#N/A,#N/A,FALSE,"CCTV"}</definedName>
    <definedName name="nharac" localSheetId="0" hidden="1">{#N/A,#N/A,FALSE,"Chi tiÆt"}</definedName>
    <definedName name="nharac" localSheetId="8" hidden="1">{#N/A,#N/A,FALSE,"Chi tiÆt"}</definedName>
    <definedName name="nharac" hidden="1">{#N/A,#N/A,FALSE,"Chi tiÆt"}</definedName>
    <definedName name="nnnn"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nnnn"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nnnn"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nothing" localSheetId="0" hidden="1">{"'Sheet1'!$L$16"}</definedName>
    <definedName name="nothing" localSheetId="8" hidden="1">{"'Sheet1'!$L$16"}</definedName>
    <definedName name="nothing" hidden="1">{"'Sheet1'!$L$16"}</definedName>
    <definedName name="NUOCHKHOAN" localSheetId="0" hidden="1">{"'Sheet1'!$L$16"}</definedName>
    <definedName name="NUOCHKHOAN" localSheetId="8" hidden="1">{"'Sheet1'!$L$16"}</definedName>
    <definedName name="NUOCHKHOAN" hidden="1">{"'Sheet1'!$L$16"}</definedName>
    <definedName name="NUOCHKHOANMOI" localSheetId="0" hidden="1">{"'Sheet1'!$L$16"}</definedName>
    <definedName name="NUOCHKHOANMOI" localSheetId="8" hidden="1">{"'Sheet1'!$L$16"}</definedName>
    <definedName name="NUOCHKHOANMOI" hidden="1">{"'Sheet1'!$L$16"}</definedName>
    <definedName name="oa" localSheetId="0" hidden="1">#REF!</definedName>
    <definedName name="oa" localSheetId="8" hidden="1">#REF!</definedName>
    <definedName name="oa" hidden="1">#REF!</definedName>
    <definedName name="OC" localSheetId="0" hidden="1">{"'Sheet1'!$L$16"}</definedName>
    <definedName name="OC" localSheetId="8" hidden="1">{"'Sheet1'!$L$16"}</definedName>
    <definedName name="OC" hidden="1">{"'Sheet1'!$L$16"}</definedName>
    <definedName name="oo" localSheetId="0" hidden="1">{#N/A,#N/A,TRUE,"Cover sheet";#N/A,#N/A,TRUE,"Summary";#N/A,#N/A,TRUE,"Key Assumptions";#N/A,#N/A,TRUE,"Profit &amp; Loss";#N/A,#N/A,TRUE,"Balance Sheet";#N/A,#N/A,TRUE,"Cashflow";#N/A,#N/A,TRUE,"IRR";#N/A,#N/A,TRUE,"Ratios";#N/A,#N/A,TRUE,"Debt analysis"}</definedName>
    <definedName name="oo" localSheetId="8" hidden="1">{#N/A,#N/A,TRUE,"Cover sheet";#N/A,#N/A,TRUE,"Summary";#N/A,#N/A,TRUE,"Key Assumptions";#N/A,#N/A,TRUE,"Profit &amp; Loss";#N/A,#N/A,TRUE,"Balance Sheet";#N/A,#N/A,TRUE,"Cashflow";#N/A,#N/A,TRUE,"IRR";#N/A,#N/A,TRUE,"Ratios";#N/A,#N/A,TRUE,"Debt analysis"}</definedName>
    <definedName name="oo" hidden="1">{#N/A,#N/A,TRUE,"Cover sheet";#N/A,#N/A,TRUE,"Summary";#N/A,#N/A,TRUE,"Key Assumptions";#N/A,#N/A,TRUE,"Profit &amp; Loss";#N/A,#N/A,TRUE,"Balance Sheet";#N/A,#N/A,TRUE,"Cashflow";#N/A,#N/A,TRUE,"IRR";#N/A,#N/A,TRUE,"Ratios";#N/A,#N/A,TRUE,"Debt analysis"}</definedName>
    <definedName name="oooo" localSheetId="0" hidden="1">{#N/A,#N/A,TRUE,"Cover sheet";#N/A,#N/A,TRUE,"Summary";#N/A,#N/A,TRUE,"Key Assumptions";#N/A,#N/A,TRUE,"Profit &amp; Loss";#N/A,#N/A,TRUE,"Balance Sheet";#N/A,#N/A,TRUE,"Cashflow";#N/A,#N/A,TRUE,"IRR";#N/A,#N/A,TRUE,"Ratios";#N/A,#N/A,TRUE,"Debt analysis"}</definedName>
    <definedName name="oooo" localSheetId="8" hidden="1">{#N/A,#N/A,TRUE,"Cover sheet";#N/A,#N/A,TRUE,"Summary";#N/A,#N/A,TRUE,"Key Assumptions";#N/A,#N/A,TRUE,"Profit &amp; Loss";#N/A,#N/A,TRUE,"Balance Sheet";#N/A,#N/A,TRUE,"Cashflow";#N/A,#N/A,TRUE,"IRR";#N/A,#N/A,TRUE,"Ratios";#N/A,#N/A,TRUE,"Debt analysis"}</definedName>
    <definedName name="oooo" hidden="1">{#N/A,#N/A,TRUE,"Cover sheet";#N/A,#N/A,TRUE,"Summary";#N/A,#N/A,TRUE,"Key Assumptions";#N/A,#N/A,TRUE,"Profit &amp; Loss";#N/A,#N/A,TRUE,"Balance Sheet";#N/A,#N/A,TRUE,"Cashflow";#N/A,#N/A,TRUE,"IRR";#N/A,#N/A,TRUE,"Ratios";#N/A,#N/A,TRUE,"Debt analysis"}</definedName>
    <definedName name="oooooooooooo" localSheetId="0" hidden="1">{#N/A,#N/A,TRUE,"Cover sheet";#N/A,#N/A,TRUE,"Summary";#N/A,#N/A,TRUE,"Key Assumptions";#N/A,#N/A,TRUE,"Profit &amp; Loss";#N/A,#N/A,TRUE,"Balance Sheet";#N/A,#N/A,TRUE,"Cashflow";#N/A,#N/A,TRUE,"IRR";#N/A,#N/A,TRUE,"Ratios";#N/A,#N/A,TRUE,"Debt analysis"}</definedName>
    <definedName name="oooooooooooo" localSheetId="8" hidden="1">{#N/A,#N/A,TRUE,"Cover sheet";#N/A,#N/A,TRUE,"Summary";#N/A,#N/A,TRUE,"Key Assumptions";#N/A,#N/A,TRUE,"Profit &amp; Loss";#N/A,#N/A,TRUE,"Balance Sheet";#N/A,#N/A,TRUE,"Cashflow";#N/A,#N/A,TRUE,"IRR";#N/A,#N/A,TRUE,"Ratios";#N/A,#N/A,TRUE,"Debt analysis"}</definedName>
    <definedName name="oooooooooooo" hidden="1">{#N/A,#N/A,TRUE,"Cover sheet";#N/A,#N/A,TRUE,"Summary";#N/A,#N/A,TRUE,"Key Assumptions";#N/A,#N/A,TRUE,"Profit &amp; Loss";#N/A,#N/A,TRUE,"Balance Sheet";#N/A,#N/A,TRUE,"Cashflow";#N/A,#N/A,TRUE,"IRR";#N/A,#N/A,TRUE,"Ratios";#N/A,#N/A,TRUE,"Debt analysis"}</definedName>
    <definedName name="OrderTable" localSheetId="0" hidden="1">#REF!</definedName>
    <definedName name="OrderTable" localSheetId="8" hidden="1">#REF!</definedName>
    <definedName name="OrderTable" hidden="1">#REF!</definedName>
    <definedName name="PAIII_" localSheetId="0" hidden="1">{"'Sheet1'!$L$16"}</definedName>
    <definedName name="PAIII_" localSheetId="8" hidden="1">{"'Sheet1'!$L$16"}</definedName>
    <definedName name="PAIII_" hidden="1">{"'Sheet1'!$L$16"}</definedName>
    <definedName name="phantich3" localSheetId="0" hidden="1">{"'Sheet1'!$L$16"}</definedName>
    <definedName name="phantich3" localSheetId="8" hidden="1">{"'Sheet1'!$L$16"}</definedName>
    <definedName name="phantich3" hidden="1">{"'Sheet1'!$L$16"}</definedName>
    <definedName name="Phil" localSheetId="0" hidden="1">{#N/A,#N/A,FALSE,"DCF Summary";#N/A,#N/A,FALSE,"Casema";#N/A,#N/A,FALSE,"Casema NoTel";#N/A,#N/A,FALSE,"UK";#N/A,#N/A,FALSE,"RCF";#N/A,#N/A,FALSE,"Intercable CZ";#N/A,#N/A,FALSE,"Interkabel P"}</definedName>
    <definedName name="Phil" localSheetId="8" hidden="1">{#N/A,#N/A,FALSE,"DCF Summary";#N/A,#N/A,FALSE,"Casema";#N/A,#N/A,FALSE,"Casema NoTel";#N/A,#N/A,FALSE,"UK";#N/A,#N/A,FALSE,"RCF";#N/A,#N/A,FALSE,"Intercable CZ";#N/A,#N/A,FALSE,"Interkabel P"}</definedName>
    <definedName name="Phil" hidden="1">{#N/A,#N/A,FALSE,"DCF Summary";#N/A,#N/A,FALSE,"Casema";#N/A,#N/A,FALSE,"Casema NoTel";#N/A,#N/A,FALSE,"UK";#N/A,#N/A,FALSE,"RCF";#N/A,#N/A,FALSE,"Intercable CZ";#N/A,#N/A,FALSE,"Interkabel P"}</definedName>
    <definedName name="Pipe" localSheetId="0" hidden="1">{#N/A,#N/A,FALSE,"CCTV"}</definedName>
    <definedName name="Pipe" localSheetId="8" hidden="1">{#N/A,#N/A,FALSE,"CCTV"}</definedName>
    <definedName name="Pipe" hidden="1">{#N/A,#N/A,FALSE,"CCTV"}</definedName>
    <definedName name="pitch" localSheetId="0" hidden="1">{#N/A,#N/A,TRUE,"Cover sheet";#N/A,#N/A,TRUE,"INPUTS";#N/A,#N/A,TRUE,"OUTPUTS";#N/A,#N/A,TRUE,"VALUATION"}</definedName>
    <definedName name="pitch" localSheetId="8" hidden="1">{#N/A,#N/A,TRUE,"Cover sheet";#N/A,#N/A,TRUE,"INPUTS";#N/A,#N/A,TRUE,"OUTPUTS";#N/A,#N/A,TRUE,"VALUATION"}</definedName>
    <definedName name="pitch" hidden="1">{#N/A,#N/A,TRUE,"Cover sheet";#N/A,#N/A,TRUE,"INPUTS";#N/A,#N/A,TRUE,"OUTPUTS";#N/A,#N/A,TRUE,"VALUATION"}</definedName>
    <definedName name="PMS" localSheetId="0" hidden="1">{"'Sheet1'!$L$16"}</definedName>
    <definedName name="PMS" localSheetId="8" hidden="1">{"'Sheet1'!$L$16"}</definedName>
    <definedName name="PMS" hidden="1">{"'Sheet1'!$L$16"}</definedName>
    <definedName name="PONL" localSheetId="0" hidden="1">{#N/A,#N/A,TRUE,"Cover sheet";#N/A,#N/A,TRUE,"INPUTS";#N/A,#N/A,TRUE,"OUTPUTS";#N/A,#N/A,TRUE,"VALUATION"}</definedName>
    <definedName name="PONL" localSheetId="8" hidden="1">{#N/A,#N/A,TRUE,"Cover sheet";#N/A,#N/A,TRUE,"INPUTS";#N/A,#N/A,TRUE,"OUTPUTS";#N/A,#N/A,TRUE,"VALUATION"}</definedName>
    <definedName name="PONL" hidden="1">{#N/A,#N/A,TRUE,"Cover sheet";#N/A,#N/A,TRUE,"INPUTS";#N/A,#N/A,TRUE,"OUTPUTS";#N/A,#N/A,TRUE,"VALUATION"}</definedName>
    <definedName name="Port1" localSheetId="0" hidden="1">{#N/A,#N/A,FALSE,"特殊室（ＢＱ表）"}</definedName>
    <definedName name="Port1" localSheetId="8" hidden="1">{#N/A,#N/A,FALSE,"特殊室（ＢＱ表）"}</definedName>
    <definedName name="Port1" hidden="1">{#N/A,#N/A,FALSE,"特殊室（ＢＱ表）"}</definedName>
    <definedName name="port11" localSheetId="0" hidden="1">{#N/A,#N/A,FALSE,"特殊室（ＢＱ表）"}</definedName>
    <definedName name="port11" localSheetId="8" hidden="1">{#N/A,#N/A,FALSE,"特殊室（ＢＱ表）"}</definedName>
    <definedName name="port11" hidden="1">{#N/A,#N/A,FALSE,"特殊室（ＢＱ表）"}</definedName>
    <definedName name="pp" localSheetId="0" hidden="1">{#N/A,#N/A,FALSE,"OUTPUT SHEET "}</definedName>
    <definedName name="pp" localSheetId="8" hidden="1">{#N/A,#N/A,FALSE,"OUTPUT SHEET "}</definedName>
    <definedName name="pp" hidden="1">{#N/A,#N/A,FALSE,"OUTPUT SHEET "}</definedName>
    <definedName name="PPPP" localSheetId="0" hidden="1">{"'Sheet1'!$L$16"}</definedName>
    <definedName name="PPPP" localSheetId="8" hidden="1">{"'Sheet1'!$L$16"}</definedName>
    <definedName name="PPPP" hidden="1">{"'Sheet1'!$L$16"}</definedName>
    <definedName name="ｐｐｐｐ" localSheetId="0" hidden="1">{"'Sheet1'!$L$16"}</definedName>
    <definedName name="ｐｐｐｐ" localSheetId="8" hidden="1">{"'Sheet1'!$L$16"}</definedName>
    <definedName name="ｐｐｐｐ" hidden="1">{"'Sheet1'!$L$16"}</definedName>
    <definedName name="Pres" localSheetId="0" hidden="1">{#N/A,#N/A,TRUE,"Cover sheet";#N/A,#N/A,TRUE,"Summary";#N/A,#N/A,TRUE,"Key Assumptions";#N/A,#N/A,TRUE,"Profit &amp; Loss";#N/A,#N/A,TRUE,"Balance Sheet";#N/A,#N/A,TRUE,"Cashflow";#N/A,#N/A,TRUE,"IRR";#N/A,#N/A,TRUE,"Ratios";#N/A,#N/A,TRUE,"Debt analysis"}</definedName>
    <definedName name="Pres" localSheetId="8"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PRESA" localSheetId="0" hidden="1">{#N/A,#N/A,TRUE,"Cover sheet";#N/A,#N/A,TRUE,"Summary";#N/A,#N/A,TRUE,"Key Assumptions";#N/A,#N/A,TRUE,"Profit &amp; Loss";#N/A,#N/A,TRUE,"Balance Sheet";#N/A,#N/A,TRUE,"Cashflow";#N/A,#N/A,TRUE,"IRR";#N/A,#N/A,TRUE,"Ratios";#N/A,#N/A,TRUE,"Debt analysis"}</definedName>
    <definedName name="PRESA" localSheetId="8" hidden="1">{#N/A,#N/A,TRUE,"Cover sheet";#N/A,#N/A,TRUE,"Summary";#N/A,#N/A,TRUE,"Key Assumptions";#N/A,#N/A,TRUE,"Profit &amp; Loss";#N/A,#N/A,TRUE,"Balance Sheet";#N/A,#N/A,TRUE,"Cashflow";#N/A,#N/A,TRUE,"IRR";#N/A,#N/A,TRUE,"Ratios";#N/A,#N/A,TRUE,"Debt analysis"}</definedName>
    <definedName name="PRESA" hidden="1">{#N/A,#N/A,TRUE,"Cover sheet";#N/A,#N/A,TRUE,"Summary";#N/A,#N/A,TRUE,"Key Assumptions";#N/A,#N/A,TRUE,"Profit &amp; Loss";#N/A,#N/A,TRUE,"Balance Sheet";#N/A,#N/A,TRUE,"Cashflow";#N/A,#N/A,TRUE,"IRR";#N/A,#N/A,TRUE,"Ratios";#N/A,#N/A,TRUE,"Debt analysis"}</definedName>
    <definedName name="Present" localSheetId="0" hidden="1">{#N/A,#N/A,TRUE,"Cover sheet";#N/A,#N/A,TRUE,"Summary";#N/A,#N/A,TRUE,"Key Assumptions";#N/A,#N/A,TRUE,"Profit &amp; Loss";#N/A,#N/A,TRUE,"Balance Sheet";#N/A,#N/A,TRUE,"Cashflow";#N/A,#N/A,TRUE,"IRR";#N/A,#N/A,TRUE,"Ratios";#N/A,#N/A,TRUE,"Debt analysis"}</definedName>
    <definedName name="Present" localSheetId="8" hidden="1">{#N/A,#N/A,TRUE,"Cover sheet";#N/A,#N/A,TRUE,"Summary";#N/A,#N/A,TRUE,"Key Assumptions";#N/A,#N/A,TRUE,"Profit &amp; Loss";#N/A,#N/A,TRUE,"Balance Sheet";#N/A,#N/A,TRUE,"Cashflow";#N/A,#N/A,TRUE,"IRR";#N/A,#N/A,TRUE,"Ratios";#N/A,#N/A,TRUE,"Debt analysis"}</definedName>
    <definedName name="Present" hidden="1">{#N/A,#N/A,TRUE,"Cover sheet";#N/A,#N/A,TRUE,"Summary";#N/A,#N/A,TRUE,"Key Assumptions";#N/A,#N/A,TRUE,"Profit &amp; Loss";#N/A,#N/A,TRUE,"Balance Sheet";#N/A,#N/A,TRUE,"Cashflow";#N/A,#N/A,TRUE,"IRR";#N/A,#N/A,TRUE,"Ratios";#N/A,#N/A,TRUE,"Debt analysis"}</definedName>
    <definedName name="_xlnm.Print_Area" localSheetId="1">'1. thong tin quy hoach'!$B$1:$E$117</definedName>
    <definedName name="_xlnm.Print_Area" localSheetId="7">'7.CF'!$B$6:$U$35</definedName>
    <definedName name="_xlnm.Print_Area" localSheetId="0">Summary!$A$1:$T$147</definedName>
    <definedName name="ProdForm" localSheetId="8" hidden="1">#REF!</definedName>
    <definedName name="ProdForm" hidden="1">#REF!</definedName>
    <definedName name="Product" localSheetId="8" hidden="1">#REF!</definedName>
    <definedName name="Product" hidden="1">#REF!</definedName>
    <definedName name="ptich" localSheetId="0" hidden="1">{#N/A,#N/A,TRUE,"Cover sheet";#N/A,#N/A,TRUE,"INPUTS";#N/A,#N/A,TRUE,"OUTPUTS";#N/A,#N/A,TRUE,"VALUATION"}</definedName>
    <definedName name="ptich" localSheetId="8" hidden="1">{#N/A,#N/A,TRUE,"Cover sheet";#N/A,#N/A,TRUE,"INPUTS";#N/A,#N/A,TRUE,"OUTPUTS";#N/A,#N/A,TRUE,"VALUATION"}</definedName>
    <definedName name="ptich" hidden="1">{#N/A,#N/A,TRUE,"Cover sheet";#N/A,#N/A,TRUE,"INPUTS";#N/A,#N/A,TRUE,"OUTPUTS";#N/A,#N/A,TRUE,"VALUATION"}</definedName>
    <definedName name="ptich3" localSheetId="0" hidden="1">{"'Sheet1'!$L$16"}</definedName>
    <definedName name="ptich3" localSheetId="8" hidden="1">{"'Sheet1'!$L$16"}</definedName>
    <definedName name="ptich3" hidden="1">{"'Sheet1'!$L$16"}</definedName>
    <definedName name="q" localSheetId="0" hidden="1">{"'Sheet1'!$L$16"}</definedName>
    <definedName name="q" localSheetId="8" hidden="1">{"'Sheet1'!$L$16"}</definedName>
    <definedName name="q" hidden="1">{"'Sheet1'!$L$16"}</definedName>
    <definedName name="qd10_gt" localSheetId="0" hidden="1">{"'Sheet1'!$L$16"}</definedName>
    <definedName name="qd10_gt" localSheetId="8" hidden="1">{"'Sheet1'!$L$16"}</definedName>
    <definedName name="qd10_gt" hidden="1">{"'Sheet1'!$L$16"}</definedName>
    <definedName name="qẽrwdsfdfwfwdfw" localSheetId="0" hidden="1">{"'Sheet1'!$L$16"}</definedName>
    <definedName name="qẽrwdsfdfwfwdfw" localSheetId="8" hidden="1">{"'Sheet1'!$L$16"}</definedName>
    <definedName name="qẽrwdsfdfwfwdfw" hidden="1">{"'Sheet1'!$L$16"}</definedName>
    <definedName name="QH" localSheetId="0" hidden="1">{"'Sheet1'!$L$16"}</definedName>
    <definedName name="QH" localSheetId="8" hidden="1">{"'Sheet1'!$L$16"}</definedName>
    <definedName name="QH" hidden="1">{"'Sheet1'!$L$16"}</definedName>
    <definedName name="qncjstkdehdwhrud" localSheetId="0" hidden="1">{#N/A,#N/A,TRUE,"1";#N/A,#N/A,TRUE,"2";#N/A,#N/A,TRUE,"3";#N/A,#N/A,TRUE,"4";#N/A,#N/A,TRUE,"5";#N/A,#N/A,TRUE,"6";#N/A,#N/A,TRUE,"7"}</definedName>
    <definedName name="qncjstkdehdwhrud" localSheetId="8" hidden="1">{#N/A,#N/A,TRUE,"1";#N/A,#N/A,TRUE,"2";#N/A,#N/A,TRUE,"3";#N/A,#N/A,TRUE,"4";#N/A,#N/A,TRUE,"5";#N/A,#N/A,TRUE,"6";#N/A,#N/A,TRUE,"7"}</definedName>
    <definedName name="qncjstkdehdwhrud" hidden="1">{#N/A,#N/A,TRUE,"1";#N/A,#N/A,TRUE,"2";#N/A,#N/A,TRUE,"3";#N/A,#N/A,TRUE,"4";#N/A,#N/A,TRUE,"5";#N/A,#N/A,TRUE,"6";#N/A,#N/A,TRUE,"7"}</definedName>
    <definedName name="qq" localSheetId="0" hidden="1">{"'Sheet1'!$L$16"}</definedName>
    <definedName name="qq" localSheetId="8" hidden="1">{"'Sheet1'!$L$16"}</definedName>
    <definedName name="qq" hidden="1">{"'Sheet1'!$L$16"}</definedName>
    <definedName name="QQQ" localSheetId="0" hidden="1">{"'Sheet1'!$L$16"}</definedName>
    <definedName name="QQQ" localSheetId="8" hidden="1">{"'Sheet1'!$L$16"}</definedName>
    <definedName name="QQQ" hidden="1">{"'Sheet1'!$L$16"}</definedName>
    <definedName name="ｑｑｑ" localSheetId="0" hidden="1">{"'Sheet1'!$L$16"}</definedName>
    <definedName name="ｑｑｑ" localSheetId="8" hidden="1">{"'Sheet1'!$L$16"}</definedName>
    <definedName name="ｑｑｑ" hidden="1">{"'Sheet1'!$L$16"}</definedName>
    <definedName name="ｑｑｑｑ" localSheetId="0" hidden="1">{"'Sheet1'!$L$16"}</definedName>
    <definedName name="ｑｑｑｑ" localSheetId="8" hidden="1">{"'Sheet1'!$L$16"}</definedName>
    <definedName name="ｑｑｑｑ" hidden="1">{"'Sheet1'!$L$16"}</definedName>
    <definedName name="qrw" localSheetId="0" hidden="1">{#N/A,#N/A,FALSE,"Sheet2";#N/A,#N/A,FALSE,"Sheet4";#N/A,#N/A,FALSE,"Sheet6"}</definedName>
    <definedName name="qrw" localSheetId="8" hidden="1">{#N/A,#N/A,FALSE,"Sheet2";#N/A,#N/A,FALSE,"Sheet4";#N/A,#N/A,FALSE,"Sheet6"}</definedName>
    <definedName name="qrw" hidden="1">{#N/A,#N/A,FALSE,"Sheet2";#N/A,#N/A,FALSE,"Sheet4";#N/A,#N/A,FALSE,"Sheet6"}</definedName>
    <definedName name="qweqwerqwer" localSheetId="8" hidden="1">#REF!</definedName>
    <definedName name="qweqwerqwer" hidden="1">#REF!</definedName>
    <definedName name="qwer" localSheetId="0" hidden="1">{"'Sheet1'!$L$16"}</definedName>
    <definedName name="qwer" localSheetId="8" hidden="1">{"'Sheet1'!$L$16"}</definedName>
    <definedName name="qwer" hidden="1">{"'Sheet1'!$L$16"}</definedName>
    <definedName name="qwwqe" localSheetId="0" hidden="1">{"'Sheet1'!$L$16"}</definedName>
    <definedName name="qwwqe" localSheetId="8" hidden="1">{"'Sheet1'!$L$16"}</definedName>
    <definedName name="qwwqe" hidden="1">{"'Sheet1'!$L$16"}</definedName>
    <definedName name="RCArea" localSheetId="0" hidden="1">#REF!</definedName>
    <definedName name="RCArea" localSheetId="8" hidden="1">#REF!</definedName>
    <definedName name="RCArea" hidden="1">#REF!</definedName>
    <definedName name="_xlnm.Recorder" hidden="1">#REF!</definedName>
    <definedName name="refg" localSheetId="0" hidden="1">{#N/A,#N/A,TRUE,"Cover sheet";#N/A,#N/A,TRUE,"INPUTS";#N/A,#N/A,TRUE,"OUTPUTS";#N/A,#N/A,TRUE,"VALUATION"}</definedName>
    <definedName name="refg" localSheetId="8" hidden="1">{#N/A,#N/A,TRUE,"Cover sheet";#N/A,#N/A,TRUE,"INPUTS";#N/A,#N/A,TRUE,"OUTPUTS";#N/A,#N/A,TRUE,"VALUATION"}</definedName>
    <definedName name="refg" hidden="1">{#N/A,#N/A,TRUE,"Cover sheet";#N/A,#N/A,TRUE,"INPUTS";#N/A,#N/A,TRUE,"OUTPUTS";#N/A,#N/A,TRUE,"VALUATION"}</definedName>
    <definedName name="report1" localSheetId="0" hidden="1">{#N/A,#N/A,FALSE,"特殊室（ＢＱ表）"}</definedName>
    <definedName name="report1" localSheetId="8" hidden="1">{#N/A,#N/A,FALSE,"特殊室（ＢＱ表）"}</definedName>
    <definedName name="report1" hidden="1">{#N/A,#N/A,FALSE,"特殊室（ＢＱ表）"}</definedName>
    <definedName name="report2" localSheetId="0" hidden="1">{#N/A,#N/A,FALSE,"特殊室（ＢＱ表）"}</definedName>
    <definedName name="report2" localSheetId="8" hidden="1">{#N/A,#N/A,FALSE,"特殊室（ＢＱ表）"}</definedName>
    <definedName name="report2" hidden="1">{#N/A,#N/A,FALSE,"特殊室（ＢＱ表）"}</definedName>
    <definedName name="rẻr34rwer" localSheetId="0" hidden="1">{"HK PR",#N/A,FALSE,"HK";"SUMMARY",#N/A,FALSE,"PAYROLL";"SUMMARY",#N/A,FALSE,"PAYROLL";"HK PR",#N/A,FALSE,"HK"}</definedName>
    <definedName name="rẻr34rwer" localSheetId="8" hidden="1">{"HK PR",#N/A,FALSE,"HK";"SUMMARY",#N/A,FALSE,"PAYROLL";"SUMMARY",#N/A,FALSE,"PAYROLL";"HK PR",#N/A,FALSE,"HK"}</definedName>
    <definedName name="rẻr34rwer" hidden="1">{"HK PR",#N/A,FALSE,"HK";"SUMMARY",#N/A,FALSE,"PAYROLL";"SUMMARY",#N/A,FALSE,"PAYROLL";"HK PR",#N/A,FALSE,"HK"}</definedName>
    <definedName name="Result21" localSheetId="0" hidden="1">{"'Sheet1'!$L$16"}</definedName>
    <definedName name="Result21" localSheetId="8" hidden="1">{"'Sheet1'!$L$16"}</definedName>
    <definedName name="Result21" hidden="1">{"'Sheet1'!$L$16"}</definedName>
    <definedName name="rewr" localSheetId="0" hidden="1">{"'Sheet1'!$L$16"}</definedName>
    <definedName name="rewr" localSheetId="8" hidden="1">{"'Sheet1'!$L$16"}</definedName>
    <definedName name="rewr" hidden="1">{"'Sheet1'!$L$16"}</definedName>
    <definedName name="RHODIA" localSheetId="0" hidden="1">{"'DocTypeCode'!$A$142:$A$226"}</definedName>
    <definedName name="RHODIA" localSheetId="8" hidden="1">{"'DocTypeCode'!$A$142:$A$226"}</definedName>
    <definedName name="RHODIA" hidden="1">{"'DocTypeCode'!$A$142:$A$226"}</definedName>
    <definedName name="rkd" localSheetId="0" hidden="1">{#N/A,#N/A,FALSE,"CCTV"}</definedName>
    <definedName name="rkd" localSheetId="8" hidden="1">{#N/A,#N/A,FALSE,"CCTV"}</definedName>
    <definedName name="rkd" hidden="1">{#N/A,#N/A,FALSE,"CCTV"}</definedName>
    <definedName name="row" localSheetId="0" hidden="1">#REF!</definedName>
    <definedName name="row" localSheetId="8" hidden="1">#REF!</definedName>
    <definedName name="row" hidden="1">#REF!</definedName>
    <definedName name="RPTs1" localSheetId="0" hidden="1">{#N/A,#N/A,FALSE,"Title";#N/A,#N/A,FALSE,"Bal.sheet";#N/A,#N/A,FALSE,"Income";#N/A,#N/A,FALSE,"sale";#N/A,#N/A,FALSE,"cash";#N/A,#N/A,FALSE,"AR";#N/A,#N/A,FALSE,"AR-other";#N/A,#N/A,FALSE,"asset";#N/A,#N/A,FALSE,"Pre-Op";#N/A,#N/A,FALSE,"AP";#N/A,#N/A,FALSE,"Parent";#N/A,#N/A,FALSE,"Qty";#N/A,#N/A,FALSE,"COGS";#N/A,#N/A,FALSE,"GOH-Sell";#N/A,#N/A,FALSE,"Interest"}</definedName>
    <definedName name="RPTs1" localSheetId="8" hidden="1">{#N/A,#N/A,FALSE,"Title";#N/A,#N/A,FALSE,"Bal.sheet";#N/A,#N/A,FALSE,"Income";#N/A,#N/A,FALSE,"sale";#N/A,#N/A,FALSE,"cash";#N/A,#N/A,FALSE,"AR";#N/A,#N/A,FALSE,"AR-other";#N/A,#N/A,FALSE,"asset";#N/A,#N/A,FALSE,"Pre-Op";#N/A,#N/A,FALSE,"AP";#N/A,#N/A,FALSE,"Parent";#N/A,#N/A,FALSE,"Qty";#N/A,#N/A,FALSE,"COGS";#N/A,#N/A,FALSE,"GOH-Sell";#N/A,#N/A,FALSE,"Interest"}</definedName>
    <definedName name="RPTs1" hidden="1">{#N/A,#N/A,FALSE,"Title";#N/A,#N/A,FALSE,"Bal.sheet";#N/A,#N/A,FALSE,"Income";#N/A,#N/A,FALSE,"sale";#N/A,#N/A,FALSE,"cash";#N/A,#N/A,FALSE,"AR";#N/A,#N/A,FALSE,"AR-other";#N/A,#N/A,FALSE,"asset";#N/A,#N/A,FALSE,"Pre-Op";#N/A,#N/A,FALSE,"AP";#N/A,#N/A,FALSE,"Parent";#N/A,#N/A,FALSE,"Qty";#N/A,#N/A,FALSE,"COGS";#N/A,#N/A,FALSE,"GOH-Sell";#N/A,#N/A,FALSE,"Interest"}</definedName>
    <definedName name="rr" localSheetId="0" hidden="1">{#N/A,#N/A,TRUE,"Cover sheet";#N/A,#N/A,TRUE,"Summary";#N/A,#N/A,TRUE,"Key Assumptions";#N/A,#N/A,TRUE,"Profit &amp; Loss";#N/A,#N/A,TRUE,"Balance Sheet";#N/A,#N/A,TRUE,"Cashflow";#N/A,#N/A,TRUE,"IRR";#N/A,#N/A,TRUE,"Ratios";#N/A,#N/A,TRUE,"Debt analysis"}</definedName>
    <definedName name="rr" localSheetId="8" hidden="1">{#N/A,#N/A,TRUE,"Cover sheet";#N/A,#N/A,TRUE,"Summary";#N/A,#N/A,TRUE,"Key Assumptions";#N/A,#N/A,TRUE,"Profit &amp; Loss";#N/A,#N/A,TRUE,"Balance Sheet";#N/A,#N/A,TRUE,"Cashflow";#N/A,#N/A,TRUE,"IRR";#N/A,#N/A,TRUE,"Ratios";#N/A,#N/A,TRUE,"Debt analysis"}</definedName>
    <definedName name="rr" hidden="1">{#N/A,#N/A,TRUE,"Cover sheet";#N/A,#N/A,TRUE,"Summary";#N/A,#N/A,TRUE,"Key Assumptions";#N/A,#N/A,TRUE,"Profit &amp; Loss";#N/A,#N/A,TRUE,"Balance Sheet";#N/A,#N/A,TRUE,"Cashflow";#N/A,#N/A,TRUE,"IRR";#N/A,#N/A,TRUE,"Ratios";#N/A,#N/A,TRUE,"Debt analysis"}</definedName>
    <definedName name="rrr" localSheetId="0" hidden="1">{"'Sheet1'!$L$16"}</definedName>
    <definedName name="rrr" localSheetId="8" hidden="1">{"'Sheet1'!$L$16"}</definedName>
    <definedName name="rrr" hidden="1">{"'Sheet1'!$L$16"}</definedName>
    <definedName name="ｒｒｒｒ" localSheetId="0" hidden="1">{"'Sheet1'!$L$16"}</definedName>
    <definedName name="ｒｒｒｒ" localSheetId="8" hidden="1">{"'Sheet1'!$L$16"}</definedName>
    <definedName name="ｒｒｒｒ" hidden="1">{"'Sheet1'!$L$16"}</definedName>
    <definedName name="rt" localSheetId="0" hidden="1">{#N/A,#N/A,TRUE,"Cover sheet";#N/A,#N/A,TRUE,"Summary";#N/A,#N/A,TRUE,"Key Assumptions";#N/A,#N/A,TRUE,"Profit &amp; Loss";#N/A,#N/A,TRUE,"Balance Sheet";#N/A,#N/A,TRUE,"Cashflow";#N/A,#N/A,TRUE,"IRR";#N/A,#N/A,TRUE,"Ratios";#N/A,#N/A,TRUE,"Debt analysis"}</definedName>
    <definedName name="rt" localSheetId="8" hidden="1">{#N/A,#N/A,TRUE,"Cover sheet";#N/A,#N/A,TRUE,"Summary";#N/A,#N/A,TRUE,"Key Assumptions";#N/A,#N/A,TRUE,"Profit &amp; Loss";#N/A,#N/A,TRUE,"Balance Sheet";#N/A,#N/A,TRUE,"Cashflow";#N/A,#N/A,TRUE,"IRR";#N/A,#N/A,TRUE,"Ratios";#N/A,#N/A,TRUE,"Debt analysis"}</definedName>
    <definedName name="rt" hidden="1">{#N/A,#N/A,TRUE,"Cover sheet";#N/A,#N/A,TRUE,"Summary";#N/A,#N/A,TRUE,"Key Assumptions";#N/A,#N/A,TRUE,"Profit &amp; Loss";#N/A,#N/A,TRUE,"Balance Sheet";#N/A,#N/A,TRUE,"Cashflow";#N/A,#N/A,TRUE,"IRR";#N/A,#N/A,TRUE,"Ratios";#N/A,#N/A,TRUE,"Debt analysis"}</definedName>
    <definedName name="rtyrtyt" localSheetId="0" hidden="1">#REF!</definedName>
    <definedName name="rtyrtyt" localSheetId="8" hidden="1">#REF!</definedName>
    <definedName name="rtyrtyt" hidden="1">#REF!</definedName>
    <definedName name="rtytry" localSheetId="8" hidden="1">#REF!</definedName>
    <definedName name="rtytry" hidden="1">#REF!</definedName>
    <definedName name="sa" localSheetId="0" hidden="1">{"'Sheet1'!$L$16"}</definedName>
    <definedName name="sa" localSheetId="8" hidden="1">{"'Sheet1'!$L$16"}</definedName>
    <definedName name="sa" hidden="1">{"'Sheet1'!$L$16"}</definedName>
    <definedName name="saa" localSheetId="0" hidden="1">{#N/A,#N/A,FALSE,"Sheet2";#N/A,#N/A,FALSE,"Sheet4";#N/A,#N/A,FALSE,"Sheet6"}</definedName>
    <definedName name="saa" localSheetId="8" hidden="1">{#N/A,#N/A,FALSE,"Sheet2";#N/A,#N/A,FALSE,"Sheet4";#N/A,#N/A,FALSE,"Sheet6"}</definedName>
    <definedName name="saa" hidden="1">{#N/A,#N/A,FALSE,"Sheet2";#N/A,#N/A,FALSE,"Sheet4";#N/A,#N/A,FALSE,"Sheet6"}</definedName>
    <definedName name="sadasdsad" localSheetId="8" hidden="1">#REF!</definedName>
    <definedName name="sadasdsad" hidden="1">#REF!</definedName>
    <definedName name="sagawa" localSheetId="8" hidden="1">#REF!</definedName>
    <definedName name="sagawa" hidden="1">#REF!</definedName>
    <definedName name="SAPFuncF4Help" localSheetId="0" hidden="1">Main.SAPF4Help()</definedName>
    <definedName name="SAPFuncF4Help" localSheetId="8" hidden="1">Main.SAPF4Help()</definedName>
    <definedName name="SAPFuncF4Help" hidden="1">Main.SAPF4Help()</definedName>
    <definedName name="sasa" localSheetId="0" hidden="1">{#N/A,#N/A,FALSE,"Sheet1";#N/A,#N/A,FALSE,"Sheet3";#N/A,#N/A,FALSE,"Sheet5"}</definedName>
    <definedName name="sasa" localSheetId="8" hidden="1">{#N/A,#N/A,FALSE,"Sheet1";#N/A,#N/A,FALSE,"Sheet3";#N/A,#N/A,FALSE,"Sheet5"}</definedName>
    <definedName name="sasa" hidden="1">{#N/A,#N/A,FALSE,"Sheet1";#N/A,#N/A,FALSE,"Sheet3";#N/A,#N/A,FALSE,"Sheet5"}</definedName>
    <definedName name="SD" localSheetId="0" hidden="1">{"'ELEC'!$A$2:$H$216","'ELEC'!$C$2:$D$2"}</definedName>
    <definedName name="SD" localSheetId="8" hidden="1">{"'ELEC'!$A$2:$H$216","'ELEC'!$C$2:$D$2"}</definedName>
    <definedName name="SD" hidden="1">{"'ELEC'!$A$2:$H$216","'ELEC'!$C$2:$D$2"}</definedName>
    <definedName name="sdadss" localSheetId="0" hidden="1">{"HK PR",#N/A,FALSE,"HK";"SUMMARY",#N/A,FALSE,"PAYROLL";"SUMMARY",#N/A,FALSE,"PAYROLL";"HK PR",#N/A,FALSE,"HK"}</definedName>
    <definedName name="sdadss" localSheetId="8" hidden="1">{"HK PR",#N/A,FALSE,"HK";"SUMMARY",#N/A,FALSE,"PAYROLL";"SUMMARY",#N/A,FALSE,"PAYROLL";"HK PR",#N/A,FALSE,"HK"}</definedName>
    <definedName name="sdadss" hidden="1">{"HK PR",#N/A,FALSE,"HK";"SUMMARY",#N/A,FALSE,"PAYROLL";"SUMMARY",#N/A,FALSE,"PAYROLL";"HK PR",#N/A,FALSE,"HK"}</definedName>
    <definedName name="sdasdasds" localSheetId="8" hidden="1">#REF!</definedName>
    <definedName name="sdasdasds" hidden="1">#REF!</definedName>
    <definedName name="sdd" localSheetId="0" hidden="1">{"'Sheet1'!$L$16"}</definedName>
    <definedName name="sdd" localSheetId="8" hidden="1">{"'Sheet1'!$L$16"}</definedName>
    <definedName name="sdd" hidden="1">{"'Sheet1'!$L$16"}</definedName>
    <definedName name="sdf" localSheetId="0" hidden="1">{"'Sheet1'!$L$16"}</definedName>
    <definedName name="sdf" hidden="1">{"'Sheet1'!$L$16"}</definedName>
    <definedName name="sdfda" localSheetId="0" hidden="1">{"'Sheet1'!$L$16"}</definedName>
    <definedName name="sdfda" localSheetId="8" hidden="1">{"'Sheet1'!$L$16"}</definedName>
    <definedName name="sdfda" hidden="1">{"'Sheet1'!$L$16"}</definedName>
    <definedName name="SDS" localSheetId="0" hidden="1">{#N/A,#N/A,FALSE,"Sheet1";#N/A,#N/A,FALSE,"Sheet3";#N/A,#N/A,FALSE,"Sheet5"}</definedName>
    <definedName name="SDS" localSheetId="8" hidden="1">{#N/A,#N/A,FALSE,"Sheet1";#N/A,#N/A,FALSE,"Sheet3";#N/A,#N/A,FALSE,"Sheet5"}</definedName>
    <definedName name="SDS" hidden="1">{#N/A,#N/A,FALSE,"Sheet1";#N/A,#N/A,FALSE,"Sheet3";#N/A,#N/A,FALSE,"Sheet5"}</definedName>
    <definedName name="SDSD" localSheetId="0" hidden="1">{#N/A,#N/A,FALSE,"Sheet1";#N/A,#N/A,FALSE,"Sheet3";#N/A,#N/A,FALSE,"Sheet5"}</definedName>
    <definedName name="SDSD" localSheetId="8" hidden="1">{#N/A,#N/A,FALSE,"Sheet1";#N/A,#N/A,FALSE,"Sheet3";#N/A,#N/A,FALSE,"Sheet5"}</definedName>
    <definedName name="SDSD" hidden="1">{#N/A,#N/A,FALSE,"Sheet1";#N/A,#N/A,FALSE,"Sheet3";#N/A,#N/A,FALSE,"Sheet5"}</definedName>
    <definedName name="sdsdasd" localSheetId="0" hidden="1">{"HK PR",#N/A,FALSE,"HK";"SUMMARY",#N/A,FALSE,"PAYROLL";"SUMMARY",#N/A,FALSE,"PAYROLL";"HK PR",#N/A,FALSE,"HK"}</definedName>
    <definedName name="sdsdasd" localSheetId="8" hidden="1">{"HK PR",#N/A,FALSE,"HK";"SUMMARY",#N/A,FALSE,"PAYROLL";"SUMMARY",#N/A,FALSE,"PAYROLL";"HK PR",#N/A,FALSE,"HK"}</definedName>
    <definedName name="sdsdasd" hidden="1">{"HK PR",#N/A,FALSE,"HK";"SUMMARY",#N/A,FALSE,"PAYROLL";"SUMMARY",#N/A,FALSE,"PAYROLL";"HK PR",#N/A,FALSE,"HK"}</definedName>
    <definedName name="sdsds" localSheetId="0" hidden="1">{"HK PR",#N/A,FALSE,"HK";"SUMMARY",#N/A,FALSE,"PAYROLL";"SUMMARY",#N/A,FALSE,"PAYROLL";"HK PR",#N/A,FALSE,"HK"}</definedName>
    <definedName name="sdsds" localSheetId="8" hidden="1">{"HK PR",#N/A,FALSE,"HK";"SUMMARY",#N/A,FALSE,"PAYROLL";"SUMMARY",#N/A,FALSE,"PAYROLL";"HK PR",#N/A,FALSE,"HK"}</definedName>
    <definedName name="sdsds" hidden="1">{"HK PR",#N/A,FALSE,"HK";"SUMMARY",#N/A,FALSE,"PAYROLL";"SUMMARY",#N/A,FALSE,"PAYROLL";"HK PR",#N/A,FALSE,"HK"}</definedName>
    <definedName name="sencount" hidden="1">1</definedName>
    <definedName name="SEVE" localSheetId="8" hidden="1">#REF!</definedName>
    <definedName name="SEVE" hidden="1">#REF!</definedName>
    <definedName name="SFA" localSheetId="8" hidden="1">#REF!</definedName>
    <definedName name="SFA" hidden="1">#REF!</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sd" localSheetId="0" hidden="1">{"'Sheet1'!$L$16"}</definedName>
    <definedName name="sfsd" localSheetId="8" hidden="1">{"'Sheet1'!$L$16"}</definedName>
    <definedName name="sfsd" hidden="1">{"'Sheet1'!$L$16"}</definedName>
    <definedName name="sfsgsfhg" localSheetId="0" hidden="1">{"'Sheet1'!$L$16"}</definedName>
    <definedName name="sfsgsfhg" localSheetId="8" hidden="1">{"'Sheet1'!$L$16"}</definedName>
    <definedName name="sfsgsfhg" hidden="1">{"'Sheet1'!$L$16"}</definedName>
    <definedName name="SGG" localSheetId="0" hidden="1">{"'Sheet1'!$L$16"}</definedName>
    <definedName name="SGG" localSheetId="8" hidden="1">{"'Sheet1'!$L$16"}</definedName>
    <definedName name="SGG" hidden="1">{"'Sheet1'!$L$16"}</definedName>
    <definedName name="sgjhk" localSheetId="0" hidden="1">{"'Sheet1'!$L$16"}</definedName>
    <definedName name="sgjhk" localSheetId="8" hidden="1">{"'Sheet1'!$L$16"}</definedName>
    <definedName name="sgjhk" hidden="1">{"'Sheet1'!$L$16"}</definedName>
    <definedName name="sheet3" localSheetId="0" hidden="1">{"NGUYEN QUI THIEP - Personal View",#N/A,FALSE,"XDCB.HT.FUR."}</definedName>
    <definedName name="sheet3" localSheetId="8" hidden="1">{"NGUYEN QUI THIEP - Personal View",#N/A,FALSE,"XDCB.HT.FUR."}</definedName>
    <definedName name="sheet3" hidden="1">{"NGUYEN QUI THIEP - Personal View",#N/A,FALSE,"XDCB.HT.FUR."}</definedName>
    <definedName name="solver_adj" hidden="1">#REF!</definedName>
    <definedName name="solver_lhs1" hidden="1">#REF!</definedName>
    <definedName name="solver_lin" hidden="1">0</definedName>
    <definedName name="solver_num" hidden="1">1</definedName>
    <definedName name="solver_opt" hidden="1">#REF!</definedName>
    <definedName name="solver_rel1" hidden="1">1</definedName>
    <definedName name="solver_rhs1" hidden="1">0.15</definedName>
    <definedName name="solver_tmp" hidden="1">0.15</definedName>
    <definedName name="solver_typ" hidden="1">3</definedName>
    <definedName name="solver_val" hidden="1">0.25</definedName>
    <definedName name="sort" localSheetId="0" hidden="1">#REF!</definedName>
    <definedName name="sort" localSheetId="8" hidden="1">#REF!</definedName>
    <definedName name="sort" hidden="1">#REF!</definedName>
    <definedName name="SpecialPrice" localSheetId="0" hidden="1">#REF!</definedName>
    <definedName name="SpecialPrice" localSheetId="8" hidden="1">#REF!</definedName>
    <definedName name="SpecialPrice" hidden="1">#REF!</definedName>
    <definedName name="ss" localSheetId="0" hidden="1">#REF!</definedName>
    <definedName name="ss" localSheetId="8" hidden="1">#REF!</definedName>
    <definedName name="ss" hidden="1">#REF!</definedName>
    <definedName name="sssdsdsd" localSheetId="8" hidden="1">#REF!</definedName>
    <definedName name="sssdsdsd" hidden="1">#REF!</definedName>
    <definedName name="ssss" localSheetId="0" hidden="1">{"ECA Qtrs C",#N/A,TRUE,"ECA_Qtrs_C";"ECA Qtrs D",#N/A,TRUE,"ECA_Qtrs_D";"ECA Qtrs F",#N/A,TRUE,"ECA_Qtrs_F";"ECA Qtrs G",#N/A,TRUE,"ECA_Qtrs_G";"ECA SisterApt",#N/A,TRUE,"ECA_SisterApt";"ECA Nurses",#N/A,TRUE,"ECA_NursesHostel"}</definedName>
    <definedName name="ssss" localSheetId="8" hidden="1">{"ECA Qtrs C",#N/A,TRUE,"ECA_Qtrs_C";"ECA Qtrs D",#N/A,TRUE,"ECA_Qtrs_D";"ECA Qtrs F",#N/A,TRUE,"ECA_Qtrs_F";"ECA Qtrs G",#N/A,TRUE,"ECA_Qtrs_G";"ECA SisterApt",#N/A,TRUE,"ECA_SisterApt";"ECA Nurses",#N/A,TRUE,"ECA_NursesHostel"}</definedName>
    <definedName name="ssss" hidden="1">{"ECA Qtrs C",#N/A,TRUE,"ECA_Qtrs_C";"ECA Qtrs D",#N/A,TRUE,"ECA_Qtrs_D";"ECA Qtrs F",#N/A,TRUE,"ECA_Qtrs_F";"ECA Qtrs G",#N/A,TRUE,"ECA_Qtrs_G";"ECA SisterApt",#N/A,TRUE,"ECA_SisterApt";"ECA Nurses",#N/A,TRUE,"ECA_NursesHostel"}</definedName>
    <definedName name="SSSSS" localSheetId="0" hidden="1">{#N/A,#N/A,TRUE,"Cover sheet";#N/A,#N/A,TRUE,"Summary";#N/A,#N/A,TRUE,"Key Assumptions";#N/A,#N/A,TRUE,"Profit &amp; Loss";#N/A,#N/A,TRUE,"Balance Sheet";#N/A,#N/A,TRUE,"Cashflow";#N/A,#N/A,TRUE,"IRR";#N/A,#N/A,TRUE,"Ratios";#N/A,#N/A,TRUE,"Debt analysis"}</definedName>
    <definedName name="SSSSS" localSheetId="8" hidden="1">{#N/A,#N/A,TRUE,"Cover sheet";#N/A,#N/A,TRUE,"Summary";#N/A,#N/A,TRUE,"Key Assumptions";#N/A,#N/A,TRUE,"Profit &amp; Loss";#N/A,#N/A,TRUE,"Balance Sheet";#N/A,#N/A,TRUE,"Cashflow";#N/A,#N/A,TRUE,"IRR";#N/A,#N/A,TRUE,"Ratios";#N/A,#N/A,TRUE,"Debt analysis"}</definedName>
    <definedName name="SSSSS" hidden="1">{#N/A,#N/A,TRUE,"Cover sheet";#N/A,#N/A,TRUE,"Summary";#N/A,#N/A,TRUE,"Key Assumptions";#N/A,#N/A,TRUE,"Profit &amp; Loss";#N/A,#N/A,TRUE,"Balance Sheet";#N/A,#N/A,TRUE,"Cashflow";#N/A,#N/A,TRUE,"IRR";#N/A,#N/A,TRUE,"Ratios";#N/A,#N/A,TRUE,"Debt analysis"}</definedName>
    <definedName name="ssxsdcdsfcdsf" localSheetId="0" hidden="1">{"HK PR",#N/A,FALSE,"HK";"SUMMARY",#N/A,FALSE,"PAYROLL";"SUMMARY",#N/A,FALSE,"PAYROLL";"HK PR",#N/A,FALSE,"HK"}</definedName>
    <definedName name="ssxsdcdsfcdsf" localSheetId="8" hidden="1">{"HK PR",#N/A,FALSE,"HK";"SUMMARY",#N/A,FALSE,"PAYROLL";"SUMMARY",#N/A,FALSE,"PAYROLL";"HK PR",#N/A,FALSE,"HK"}</definedName>
    <definedName name="ssxsdcdsfcdsf" hidden="1">{"HK PR",#N/A,FALSE,"HK";"SUMMARY",#N/A,FALSE,"PAYROLL";"SUMMARY",#N/A,FALSE,"PAYROLL";"HK PR",#N/A,FALSE,"HK"}</definedName>
    <definedName name="stef" localSheetId="0" hidden="1">{#N/A,#N/A,TRUE,"Cover sheet";#N/A,#N/A,TRUE,"Summary";#N/A,#N/A,TRUE,"Key Assumptions";#N/A,#N/A,TRUE,"Profit &amp; Loss";#N/A,#N/A,TRUE,"Balance Sheet";#N/A,#N/A,TRUE,"Cashflow";#N/A,#N/A,TRUE,"IRR";#N/A,#N/A,TRUE,"Ratios";#N/A,#N/A,TRUE,"Debt analysis"}</definedName>
    <definedName name="stef" localSheetId="8" hidden="1">{#N/A,#N/A,TRUE,"Cover sheet";#N/A,#N/A,TRUE,"Summary";#N/A,#N/A,TRUE,"Key Assumptions";#N/A,#N/A,TRUE,"Profit &amp; Loss";#N/A,#N/A,TRUE,"Balance Sheet";#N/A,#N/A,TRUE,"Cashflow";#N/A,#N/A,TRUE,"IRR";#N/A,#N/A,TRUE,"Ratios";#N/A,#N/A,TRUE,"Debt analysis"}</definedName>
    <definedName name="stef" hidden="1">{#N/A,#N/A,TRUE,"Cover sheet";#N/A,#N/A,TRUE,"Summary";#N/A,#N/A,TRUE,"Key Assumptions";#N/A,#N/A,TRUE,"Profit &amp; Loss";#N/A,#N/A,TRUE,"Balance Sheet";#N/A,#N/A,TRUE,"Cashflow";#N/A,#N/A,TRUE,"IRR";#N/A,#N/A,TRUE,"Ratios";#N/A,#N/A,TRUE,"Debt analysis"}</definedName>
    <definedName name="Tan" localSheetId="0" hidden="1">{"'Sheet1'!$L$16"}</definedName>
    <definedName name="Tan" localSheetId="8" hidden="1">{"'Sheet1'!$L$16"}</definedName>
    <definedName name="Tan" hidden="1">{"'Sheet1'!$L$16"}</definedName>
    <definedName name="tbl_ProdInfo" localSheetId="8" hidden="1">#REF!</definedName>
    <definedName name="tbl_ProdInfo" hidden="1">#REF!</definedName>
    <definedName name="TextRefCopyRangeCount" hidden="1">3</definedName>
    <definedName name="tha" localSheetId="0" hidden="1">{"'Sheet1'!$L$16"}</definedName>
    <definedName name="tha" localSheetId="8" hidden="1">{"'Sheet1'!$L$16"}</definedName>
    <definedName name="tha" hidden="1">{"'Sheet1'!$L$16"}</definedName>
    <definedName name="thang" localSheetId="0" hidden="1">{"'Sheet1'!$L$16"}</definedName>
    <definedName name="thang" hidden="1">{"'Sheet1'!$L$16"}</definedName>
    <definedName name="THANH" localSheetId="0" hidden="1">{"'Sheet1'!$L$16"}</definedName>
    <definedName name="THANH" localSheetId="8" hidden="1">{"'Sheet1'!$L$16"}</definedName>
    <definedName name="THANH" hidden="1">{"'Sheet1'!$L$16"}</definedName>
    <definedName name="THC" localSheetId="0" hidden="1">{"'Sheet1'!$L$16"}</definedName>
    <definedName name="THC" localSheetId="8" hidden="1">{"'Sheet1'!$L$16"}</definedName>
    <definedName name="THC" hidden="1">{"'Sheet1'!$L$16"}</definedName>
    <definedName name="THDT" localSheetId="0" hidden="1">{"'Sheet1'!$L$16"}</definedName>
    <definedName name="THDT" localSheetId="8" hidden="1">{"'Sheet1'!$L$16"}</definedName>
    <definedName name="THDT" hidden="1">{"'Sheet1'!$L$16"}</definedName>
    <definedName name="THKP7YT" localSheetId="0" hidden="1">{"'Sheet1'!$L$16"}</definedName>
    <definedName name="THKP7YT" localSheetId="8" hidden="1">{"'Sheet1'!$L$16"}</definedName>
    <definedName name="THKP7YT" hidden="1">{"'Sheet1'!$L$16"}</definedName>
    <definedName name="THKPM8" localSheetId="0" hidden="1">{"'Sheet1'!$L$16"}</definedName>
    <definedName name="THKPM8" localSheetId="8" hidden="1">{"'Sheet1'!$L$16"}</definedName>
    <definedName name="THKPM8" hidden="1">{"'Sheet1'!$L$16"}</definedName>
    <definedName name="thu" localSheetId="0" hidden="1">{"'Sheet1'!$L$16"}</definedName>
    <definedName name="thu" localSheetId="8" hidden="1">{"'Sheet1'!$L$16"}</definedName>
    <definedName name="thu" hidden="1">{"'Sheet1'!$L$16"}</definedName>
    <definedName name="thuy" localSheetId="0" hidden="1">{"'Sheet1'!$L$16"}</definedName>
    <definedName name="thuy" localSheetId="8" hidden="1">{"'Sheet1'!$L$16"}</definedName>
    <definedName name="thuy" hidden="1">{"'Sheet1'!$L$16"}</definedName>
    <definedName name="thvlmoi" localSheetId="0" hidden="1">{"'Sheet1'!$L$16"}</definedName>
    <definedName name="thvlmoi" localSheetId="8" hidden="1">{"'Sheet1'!$L$16"}</definedName>
    <definedName name="thvlmoi" hidden="1">{"'Sheet1'!$L$16"}</definedName>
    <definedName name="thvlmoimoi" localSheetId="0" hidden="1">{"'Sheet1'!$L$16"}</definedName>
    <definedName name="thvlmoimoi" localSheetId="8" hidden="1">{"'Sheet1'!$L$16"}</definedName>
    <definedName name="thvlmoimoi" hidden="1">{"'Sheet1'!$L$16"}</definedName>
    <definedName name="TINH" localSheetId="0" hidden="1">{#N/A,#N/A,FALSE,"CCTV"}</definedName>
    <definedName name="TINH" localSheetId="8" hidden="1">{#N/A,#N/A,FALSE,"CCTV"}</definedName>
    <definedName name="TINH" hidden="1">{#N/A,#N/A,FALSE,"CCTV"}</definedName>
    <definedName name="Tonghop" localSheetId="0" hidden="1">{"'Sheet1'!$L$16"}</definedName>
    <definedName name="Tonghop" localSheetId="8" hidden="1">{"'Sheet1'!$L$16"}</definedName>
    <definedName name="Tonghop" hidden="1">{"'Sheet1'!$L$16"}</definedName>
    <definedName name="ttt" localSheetId="0" hidden="1">{"Teacher",#N/A,FALSE,"Summary";"Teacher",#N/A,FALSE,"Assumptions";"Teacher",#N/A,FALSE,"Buildup";"Teacher",#N/A,FALSE,"Financials";"Teacher",#N/A,FALSE,"Debt &amp; Other"}</definedName>
    <definedName name="ttt" hidden="1">{"Teacher",#N/A,FALSE,"Summary";"Teacher",#N/A,FALSE,"Assumptions";"Teacher",#N/A,FALSE,"Buildup";"Teacher",#N/A,FALSE,"Financials";"Teacher",#N/A,FALSE,"Debt &amp; Other"}</definedName>
    <definedName name="tttt" localSheetId="0" hidden="1">{"'Sheet1'!$L$16"}</definedName>
    <definedName name="tttt" localSheetId="8" hidden="1">{"'Sheet1'!$L$16"}</definedName>
    <definedName name="tttt" hidden="1">{"'Sheet1'!$L$16"}</definedName>
    <definedName name="ttttt" localSheetId="0" hidden="1">{"Reader",#N/A,FALSE,"Summary";"Reader",#N/A,FALSE,"Buildup";"Reader",#N/A,FALSE,"Financials";"Reader",#N/A,FALSE,"Debt &amp; Other"}</definedName>
    <definedName name="ttttt" localSheetId="8" hidden="1">{"Reader",#N/A,FALSE,"Summary";"Reader",#N/A,FALSE,"Buildup";"Reader",#N/A,FALSE,"Financials";"Reader",#N/A,FALSE,"Debt &amp; Other"}</definedName>
    <definedName name="ttttt" hidden="1">{"Reader",#N/A,FALSE,"Summary";"Reader",#N/A,FALSE,"Buildup";"Reader",#N/A,FALSE,"Financials";"Reader",#N/A,FALSE,"Debt &amp; Other"}</definedName>
    <definedName name="ｔｔｔｔｔ" localSheetId="0" hidden="1">{"'Sheet1'!$L$16"}</definedName>
    <definedName name="ｔｔｔｔｔ" localSheetId="8" hidden="1">{"'Sheet1'!$L$16"}</definedName>
    <definedName name="ｔｔｔｔｔ" hidden="1">{"'Sheet1'!$L$16"}</definedName>
    <definedName name="TUANKHANHTUYET45" localSheetId="0" hidden="1">{0}</definedName>
    <definedName name="TUANKHANHTUYET45" localSheetId="8" hidden="1">{0}</definedName>
    <definedName name="TUANKHANHTUYET45" hidden="1">{0}</definedName>
    <definedName name="tuy" localSheetId="0" hidden="1">{"'Sheet1'!$L$16"}</definedName>
    <definedName name="tuy" localSheetId="8" hidden="1">{"'Sheet1'!$L$16"}</definedName>
    <definedName name="tuy" hidden="1">{"'Sheet1'!$L$16"}</definedName>
    <definedName name="tuyennhanh" localSheetId="0" hidden="1">{"'Sheet1'!$L$16"}</definedName>
    <definedName name="tuyennhanh" localSheetId="8" hidden="1">{"'Sheet1'!$L$16"}</definedName>
    <definedName name="tuyennhanh" hidden="1">{"'Sheet1'!$L$16"}</definedName>
    <definedName name="ty" localSheetId="0" hidden="1">{#N/A,#N/A,TRUE,"Cover sheet";#N/A,#N/A,TRUE,"Summary";#N/A,#N/A,TRUE,"Key Assumptions";#N/A,#N/A,TRUE,"Profit &amp; Loss";#N/A,#N/A,TRUE,"Balance Sheet";#N/A,#N/A,TRUE,"Cashflow";#N/A,#N/A,TRUE,"IRR";#N/A,#N/A,TRUE,"Ratios";#N/A,#N/A,TRUE,"Debt analysis"}</definedName>
    <definedName name="ty" localSheetId="8" hidden="1">{#N/A,#N/A,TRUE,"Cover sheet";#N/A,#N/A,TRUE,"Summary";#N/A,#N/A,TRUE,"Key Assumptions";#N/A,#N/A,TRUE,"Profit &amp; Loss";#N/A,#N/A,TRUE,"Balance Sheet";#N/A,#N/A,TRUE,"Cashflow";#N/A,#N/A,TRUE,"IRR";#N/A,#N/A,TRUE,"Ratios";#N/A,#N/A,TRUE,"Debt analysis"}</definedName>
    <definedName name="ty" hidden="1">{#N/A,#N/A,TRUE,"Cover sheet";#N/A,#N/A,TRUE,"Summary";#N/A,#N/A,TRUE,"Key Assumptions";#N/A,#N/A,TRUE,"Profit &amp; Loss";#N/A,#N/A,TRUE,"Balance Sheet";#N/A,#N/A,TRUE,"Cashflow";#N/A,#N/A,TRUE,"IRR";#N/A,#N/A,TRUE,"Ratios";#N/A,#N/A,TRUE,"Debt analysis"}</definedName>
    <definedName name="Types" localSheetId="8" hidden="1">#REF!</definedName>
    <definedName name="Types" hidden="1">#REF!</definedName>
    <definedName name="ukluy" localSheetId="0" hidden="1">{"'Sheet1'!$L$16"}</definedName>
    <definedName name="ukluy" localSheetId="8" hidden="1">{"'Sheet1'!$L$16"}</definedName>
    <definedName name="ukluy" hidden="1">{"'Sheet1'!$L$16"}</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u" localSheetId="0" hidden="1">{#N/A,#N/A,TRUE,"Cover sheet";#N/A,#N/A,TRUE,"Summary";#N/A,#N/A,TRUE,"Key Assumptions";#N/A,#N/A,TRUE,"Profit &amp; Loss";#N/A,#N/A,TRUE,"Balance Sheet";#N/A,#N/A,TRUE,"Cashflow";#N/A,#N/A,TRUE,"IRR";#N/A,#N/A,TRUE,"Ratios";#N/A,#N/A,TRUE,"Debt analysis"}</definedName>
    <definedName name="uu" localSheetId="8" hidden="1">{#N/A,#N/A,TRUE,"Cover sheet";#N/A,#N/A,TRUE,"Summary";#N/A,#N/A,TRUE,"Key Assumptions";#N/A,#N/A,TRUE,"Profit &amp; Loss";#N/A,#N/A,TRUE,"Balance Sheet";#N/A,#N/A,TRUE,"Cashflow";#N/A,#N/A,TRUE,"IRR";#N/A,#N/A,TRUE,"Ratios";#N/A,#N/A,TRUE,"Debt analysis"}</definedName>
    <definedName name="uu" hidden="1">{#N/A,#N/A,TRUE,"Cover sheet";#N/A,#N/A,TRUE,"Summary";#N/A,#N/A,TRUE,"Key Assumptions";#N/A,#N/A,TRUE,"Profit &amp; Loss";#N/A,#N/A,TRUE,"Balance Sheet";#N/A,#N/A,TRUE,"Cashflow";#N/A,#N/A,TRUE,"IRR";#N/A,#N/A,TRUE,"Ratios";#N/A,#N/A,TRUE,"Debt analysis"}</definedName>
    <definedName name="V8.Refresh" localSheetId="0" hidden="1">{"NGUYEN QUI THIEP - Personal View",#N/A,FALSE,"XDCB.HT.FUR."}</definedName>
    <definedName name="V8.Refresh" localSheetId="8" hidden="1">{"NGUYEN QUI THIEP - Personal View",#N/A,FALSE,"XDCB.HT.FUR."}</definedName>
    <definedName name="V8.Refresh" hidden="1">{"NGUYEN QUI THIEP - Personal View",#N/A,FALSE,"XDCB.HT.FUR."}</definedName>
    <definedName name="ValuationBAAMultiple" localSheetId="0" hidden="1">{#N/A,#N/A,TRUE,"Cover sheet";#N/A,#N/A,TRUE,"INPUTS";#N/A,#N/A,TRUE,"OUTPUTS";#N/A,#N/A,TRUE,"VALUATION"}</definedName>
    <definedName name="ValuationBAAMultiple" localSheetId="8" hidden="1">{#N/A,#N/A,TRUE,"Cover sheet";#N/A,#N/A,TRUE,"INPUTS";#N/A,#N/A,TRUE,"OUTPUTS";#N/A,#N/A,TRUE,"VALUATION"}</definedName>
    <definedName name="ValuationBAAMultiple" hidden="1">{#N/A,#N/A,TRUE,"Cover sheet";#N/A,#N/A,TRUE,"INPUTS";#N/A,#N/A,TRUE,"OUTPUTS";#N/A,#N/A,TRUE,"VALUATION"}</definedName>
    <definedName name="Valve" localSheetId="0" hidden="1">{"'Sheet1'!$L$16"}</definedName>
    <definedName name="Valve" localSheetId="8" hidden="1">{"'Sheet1'!$L$16"}</definedName>
    <definedName name="Valve" hidden="1">{"'Sheet1'!$L$16"}</definedName>
    <definedName name="VATM" localSheetId="0" hidden="1">{"'Sheet1'!$L$16"}</definedName>
    <definedName name="VATM" localSheetId="8" hidden="1">{"'Sheet1'!$L$16"}</definedName>
    <definedName name="VATM" hidden="1">{"'Sheet1'!$L$16"}</definedName>
    <definedName name="vcoto" localSheetId="0" hidden="1">{"'Sheet1'!$L$16"}</definedName>
    <definedName name="vcoto" localSheetId="8" hidden="1">{"'Sheet1'!$L$16"}</definedName>
    <definedName name="vcoto" hidden="1">{"'Sheet1'!$L$16"}</definedName>
    <definedName name="vcvvvv" localSheetId="0" hidden="1">{#N/A,#N/A,FALSE,"Title";#N/A,#N/A,FALSE,"Bal.sheet";#N/A,#N/A,FALSE,"Income";#N/A,#N/A,FALSE,"sale";#N/A,#N/A,FALSE,"cash";#N/A,#N/A,FALSE,"AR";#N/A,#N/A,FALSE,"AR-other";#N/A,#N/A,FALSE,"asset";#N/A,#N/A,FALSE,"Pre-Op";#N/A,#N/A,FALSE,"AP";#N/A,#N/A,FALSE,"Parent";#N/A,#N/A,FALSE,"Qty";#N/A,#N/A,FALSE,"COGS";#N/A,#N/A,FALSE,"GOH-Sell";#N/A,#N/A,FALSE,"Interest"}</definedName>
    <definedName name="vcvvvv" localSheetId="8" hidden="1">{#N/A,#N/A,FALSE,"Title";#N/A,#N/A,FALSE,"Bal.sheet";#N/A,#N/A,FALSE,"Income";#N/A,#N/A,FALSE,"sale";#N/A,#N/A,FALSE,"cash";#N/A,#N/A,FALSE,"AR";#N/A,#N/A,FALSE,"AR-other";#N/A,#N/A,FALSE,"asset";#N/A,#N/A,FALSE,"Pre-Op";#N/A,#N/A,FALSE,"AP";#N/A,#N/A,FALSE,"Parent";#N/A,#N/A,FALSE,"Qty";#N/A,#N/A,FALSE,"COGS";#N/A,#N/A,FALSE,"GOH-Sell";#N/A,#N/A,FALSE,"Interest"}</definedName>
    <definedName name="vcvvvv" hidden="1">{#N/A,#N/A,FALSE,"Title";#N/A,#N/A,FALSE,"Bal.sheet";#N/A,#N/A,FALSE,"Income";#N/A,#N/A,FALSE,"sale";#N/A,#N/A,FALSE,"cash";#N/A,#N/A,FALSE,"AR";#N/A,#N/A,FALSE,"AR-other";#N/A,#N/A,FALSE,"asset";#N/A,#N/A,FALSE,"Pre-Op";#N/A,#N/A,FALSE,"AP";#N/A,#N/A,FALSE,"Parent";#N/A,#N/A,FALSE,"Qty";#N/A,#N/A,FALSE,"COGS";#N/A,#N/A,FALSE,"GOH-Sell";#N/A,#N/A,FALSE,"Interest"}</definedName>
    <definedName name="vd" localSheetId="0" hidden="1">{"'Sheet1'!$L$16"}</definedName>
    <definedName name="vd" localSheetId="8" hidden="1">{"'Sheet1'!$L$16"}</definedName>
    <definedName name="vd" hidden="1">{"'Sheet1'!$L$16"}</definedName>
    <definedName name="VF" localSheetId="0" hidden="1">{#N/A,#N/A,FALSE,"Sheet2";#N/A,#N/A,FALSE,"Sheet4";#N/A,#N/A,FALSE,"Sheet6"}</definedName>
    <definedName name="VF" localSheetId="8" hidden="1">{#N/A,#N/A,FALSE,"Sheet2";#N/A,#N/A,FALSE,"Sheet4";#N/A,#N/A,FALSE,"Sheet6"}</definedName>
    <definedName name="VF" hidden="1">{#N/A,#N/A,FALSE,"Sheet2";#N/A,#N/A,FALSE,"Sheet4";#N/A,#N/A,FALSE,"Sheet6"}</definedName>
    <definedName name="vg" localSheetId="0" hidden="1">{#N/A,#N/A,TRUE,"Cover sheet";#N/A,#N/A,TRUE,"DCF analysis";#N/A,#N/A,TRUE,"WACC calculation"}</definedName>
    <definedName name="vg" localSheetId="8" hidden="1">{#N/A,#N/A,TRUE,"Cover sheet";#N/A,#N/A,TRUE,"DCF analysis";#N/A,#N/A,TRUE,"WACC calculation"}</definedName>
    <definedName name="vg" hidden="1">{#N/A,#N/A,TRUE,"Cover sheet";#N/A,#N/A,TRUE,"DCF analysis";#N/A,#N/A,TRUE,"WACC calculation"}</definedName>
    <definedName name="Viet" localSheetId="0" hidden="1">{"'Sheet1'!$L$16"}</definedName>
    <definedName name="Viet" localSheetId="8" hidden="1">{"'Sheet1'!$L$16"}</definedName>
    <definedName name="Viet" hidden="1">{"'Sheet1'!$L$16"}</definedName>
    <definedName name="VOLTAGE" localSheetId="0" hidden="1">{#N/A,#N/A,FALSE,"Sheet1";#N/A,#N/A,FALSE,"Sheet3";#N/A,#N/A,FALSE,"Sheet5"}</definedName>
    <definedName name="VOLTAGE" localSheetId="8" hidden="1">{#N/A,#N/A,FALSE,"Sheet1";#N/A,#N/A,FALSE,"Sheet3";#N/A,#N/A,FALSE,"Sheet5"}</definedName>
    <definedName name="VOLTAGE" hidden="1">{#N/A,#N/A,FALSE,"Sheet1";#N/A,#N/A,FALSE,"Sheet3";#N/A,#N/A,FALSE,"Sheet5"}</definedName>
    <definedName name="vv" localSheetId="0" hidden="1">{#N/A,#N/A,TRUE,"Cover sheet";#N/A,#N/A,TRUE,"Summary";#N/A,#N/A,TRUE,"Key Assumptions";#N/A,#N/A,TRUE,"Profit &amp; Loss";#N/A,#N/A,TRUE,"Balance Sheet";#N/A,#N/A,TRUE,"Cashflow";#N/A,#N/A,TRUE,"IRR";#N/A,#N/A,TRUE,"Ratios";#N/A,#N/A,TRUE,"Debt analysis"}</definedName>
    <definedName name="vv" localSheetId="8" hidden="1">{#N/A,#N/A,TRUE,"Cover sheet";#N/A,#N/A,TRUE,"Summary";#N/A,#N/A,TRUE,"Key Assumptions";#N/A,#N/A,TRUE,"Profit &amp; Loss";#N/A,#N/A,TRUE,"Balance Sheet";#N/A,#N/A,TRUE,"Cashflow";#N/A,#N/A,TRUE,"IRR";#N/A,#N/A,TRUE,"Ratios";#N/A,#N/A,TRUE,"Debt analysis"}</definedName>
    <definedName name="vv" hidden="1">{#N/A,#N/A,TRUE,"Cover sheet";#N/A,#N/A,TRUE,"Summary";#N/A,#N/A,TRUE,"Key Assumptions";#N/A,#N/A,TRUE,"Profit &amp; Loss";#N/A,#N/A,TRUE,"Balance Sheet";#N/A,#N/A,TRUE,"Cashflow";#N/A,#N/A,TRUE,"IRR";#N/A,#N/A,TRUE,"Ratios";#N/A,#N/A,TRUE,"Debt analysis"}</definedName>
    <definedName name="ｖｖｖ" localSheetId="0" hidden="1">{"'Sheet1'!$L$16"}</definedName>
    <definedName name="ｖｖｖ" localSheetId="8" hidden="1">{"'Sheet1'!$L$16"}</definedName>
    <definedName name="ｖｖｖ" hidden="1">{"'Sheet1'!$L$16"}</definedName>
    <definedName name="ｖｖｖｖｖ" localSheetId="0" hidden="1">{"'Sheet1'!$L$16"}</definedName>
    <definedName name="ｖｖｖｖｖ" localSheetId="8" hidden="1">{"'Sheet1'!$L$16"}</definedName>
    <definedName name="ｖｖｖｖｖ" hidden="1">{"'Sheet1'!$L$16"}</definedName>
    <definedName name="wdeqkwrjqekr" localSheetId="8" hidden="1">#REF!</definedName>
    <definedName name="wdeqkwrjqekr" hidden="1">#REF!</definedName>
    <definedName name="we" localSheetId="8" hidden="1">#REF!</definedName>
    <definedName name="we" hidden="1">#REF!</definedName>
    <definedName name="WERWERWER" localSheetId="8" hidden="1">#REF!</definedName>
    <definedName name="WERWERWER" hidden="1">#REF!</definedName>
    <definedName name="window" localSheetId="0" hidden="1">{"ECA Qtrs C",#N/A,TRUE,"ECA_Qtrs_C";"ECA Qtrs D",#N/A,TRUE,"ECA_Qtrs_D";"ECA Qtrs F",#N/A,TRUE,"ECA_Qtrs_F";"ECA Qtrs G",#N/A,TRUE,"ECA_Qtrs_G";"ECA SisterApt",#N/A,TRUE,"ECA_SisterApt";"ECA Nurses",#N/A,TRUE,"ECA_NursesHostel"}</definedName>
    <definedName name="window" localSheetId="8" hidden="1">{"ECA Qtrs C",#N/A,TRUE,"ECA_Qtrs_C";"ECA Qtrs D",#N/A,TRUE,"ECA_Qtrs_D";"ECA Qtrs F",#N/A,TRUE,"ECA_Qtrs_F";"ECA Qtrs G",#N/A,TRUE,"ECA_Qtrs_G";"ECA SisterApt",#N/A,TRUE,"ECA_SisterApt";"ECA Nurses",#N/A,TRUE,"ECA_NursesHostel"}</definedName>
    <definedName name="window" hidden="1">{"ECA Qtrs C",#N/A,TRUE,"ECA_Qtrs_C";"ECA Qtrs D",#N/A,TRUE,"ECA_Qtrs_D";"ECA Qtrs F",#N/A,TRUE,"ECA_Qtrs_F";"ECA Qtrs G",#N/A,TRUE,"ECA_Qtrs_G";"ECA SisterApt",#N/A,TRUE,"ECA_SisterApt";"ECA Nurses",#N/A,TRUE,"ECA_NursesHostel"}</definedName>
    <definedName name="wis" localSheetId="0" hidden="1">#REF!</definedName>
    <definedName name="wis" localSheetId="8" hidden="1">#REF!</definedName>
    <definedName name="wis" hidden="1">#REF!</definedName>
    <definedName name="WRITE" localSheetId="0" hidden="1">{#N/A,#N/A,FALSE,"CCTV"}</definedName>
    <definedName name="WRITE" localSheetId="8" hidden="1">{#N/A,#N/A,FALSE,"CCTV"}</definedName>
    <definedName name="WRITE" hidden="1">{#N/A,#N/A,FALSE,"CCTV"}</definedName>
    <definedName name="WRN" localSheetId="0" hidden="1">{#N/A,#N/A,FALSE,"CCTV"}</definedName>
    <definedName name="WRN" localSheetId="8" hidden="1">{#N/A,#N/A,FALSE,"CCTV"}</definedName>
    <definedName name="WRN" hidden="1">{#N/A,#N/A,FALSE,"CCTV"}</definedName>
    <definedName name="wrn.97년._.사업계획._.및._.예산지침." localSheetId="0" hidden="1">{#N/A,#N/A,TRUE,"1";#N/A,#N/A,TRUE,"2";#N/A,#N/A,TRUE,"3";#N/A,#N/A,TRUE,"4";#N/A,#N/A,TRUE,"5";#N/A,#N/A,TRUE,"6";#N/A,#N/A,TRUE,"7"}</definedName>
    <definedName name="wrn.97년._.사업계획._.및._.예산지침." localSheetId="8" hidden="1">{#N/A,#N/A,TRUE,"1";#N/A,#N/A,TRUE,"2";#N/A,#N/A,TRUE,"3";#N/A,#N/A,TRUE,"4";#N/A,#N/A,TRUE,"5";#N/A,#N/A,TRUE,"6";#N/A,#N/A,TRUE,"7"}</definedName>
    <definedName name="wrn.97년._.사업계획._.및._.예산지침." hidden="1">{#N/A,#N/A,TRUE,"1";#N/A,#N/A,TRUE,"2";#N/A,#N/A,TRUE,"3";#N/A,#N/A,TRUE,"4";#N/A,#N/A,TRUE,"5";#N/A,#N/A,TRUE,"6";#N/A,#N/A,TRUE,"7"}</definedName>
    <definedName name="wrn.A." localSheetId="0" hidden="1">{#N/A,#N/A,TRUE,"SUM";#N/A,#N/A,TRUE,"EE";#N/A,#N/A,TRUE,"AC";#N/A,#N/A,TRUE,"SN"}</definedName>
    <definedName name="wrn.A." localSheetId="8" hidden="1">{#N/A,#N/A,TRUE,"SUM";#N/A,#N/A,TRUE,"EE";#N/A,#N/A,TRUE,"AC";#N/A,#N/A,TRUE,"SN"}</definedName>
    <definedName name="wrn.A." hidden="1">{#N/A,#N/A,TRUE,"SUM";#N/A,#N/A,TRUE,"EE";#N/A,#N/A,TRUE,"AC";#N/A,#N/A,TRUE,"SN"}</definedName>
    <definedName name="wrn.aaa." localSheetId="0" hidden="1">{#N/A,#N/A,FALSE,"Sheet1";#N/A,#N/A,FALSE,"Sheet1";#N/A,#N/A,FALSE,"Sheet1"}</definedName>
    <definedName name="wrn.aaa." localSheetId="8" hidden="1">{#N/A,#N/A,FALSE,"Sheet1";#N/A,#N/A,FALSE,"Sheet1";#N/A,#N/A,FALSE,"Sheet1"}</definedName>
    <definedName name="wrn.aaa." hidden="1">{#N/A,#N/A,FALSE,"Sheet1";#N/A,#N/A,FALSE,"Sheet1";#N/A,#N/A,FALSE,"Sheet1"}</definedName>
    <definedName name="wrn.ACCRUE._.PAYROLL." localSheetId="0" hidden="1">{"HK PR",#N/A,FALSE,"HK";"SUMMARY",#N/A,FALSE,"PAYROLL";"SUMMARY",#N/A,FALSE,"PAYROLL";"HK PR",#N/A,FALSE,"HK"}</definedName>
    <definedName name="wrn.ACCRUE._.PAYROLL." localSheetId="8" hidden="1">{"HK PR",#N/A,FALSE,"HK";"SUMMARY",#N/A,FALSE,"PAYROLL";"SUMMARY",#N/A,FALSE,"PAYROLL";"HK PR",#N/A,FALSE,"HK"}</definedName>
    <definedName name="wrn.ACCRUE._.PAYROLL." hidden="1">{"HK PR",#N/A,FALSE,"HK";"SUMMARY",#N/A,FALSE,"PAYROLL";"SUMMARY",#N/A,FALSE,"PAYROLL";"HK PR",#N/A,FALSE,"HK"}</definedName>
    <definedName name="wrn.Acquisition_matrix." localSheetId="0" hidden="1">{"Acq_matrix",#N/A,FALSE,"Acquisition Matrix"}</definedName>
    <definedName name="wrn.Acquisition_matrix." localSheetId="8" hidden="1">{"Acq_matrix",#N/A,FALSE,"Acquisition Matrix"}</definedName>
    <definedName name="wrn.Acquisition_matrix." hidden="1">{"Acq_matrix",#N/A,FALSE,"Acquisition Matrix"}</definedName>
    <definedName name="wrn.adj95." localSheetId="0" hidden="1">{"adj95mult",#N/A,FALSE,"COMPCO";"adj95est",#N/A,FALSE,"COMPCO"}</definedName>
    <definedName name="wrn.adj95." localSheetId="8" hidden="1">{"adj95mult",#N/A,FALSE,"COMPCO";"adj95est",#N/A,FALSE,"COMPCO"}</definedName>
    <definedName name="wrn.adj95." hidden="1">{"adj95mult",#N/A,FALSE,"COMPCO";"adj95est",#N/A,FALSE,"COMPCO"}</definedName>
    <definedName name="wrn.ALL." localSheetId="0" hidden="1">{"WHOLE",#N/A,FALSE,"Roll-Up";"DCF",#N/A,FALSE,"SLC ";"DCF",#N/A,FALSE,"El Paso";"DCF",#N/A,FALSE,"Phoenix";"DCF",#N/A,FALSE,"Boise";"DCF",#N/A,FALSE,"Albuquerque";"DCF",#N/A,FALSE,"SLC -- Peter and Idaho Falls";"DCF",#N/A,FALSE,"Great Way";"DCF",#N/A,FALSE,"Great Way-Leavitt Ins.";"DCF",#N/A,FALSE,"Sapp Brothers"}</definedName>
    <definedName name="wrn.ALL." localSheetId="8" hidden="1">{"WHOLE",#N/A,FALSE,"Roll-Up";"DCF",#N/A,FALSE,"SLC ";"DCF",#N/A,FALSE,"El Paso";"DCF",#N/A,FALSE,"Phoenix";"DCF",#N/A,FALSE,"Boise";"DCF",#N/A,FALSE,"Albuquerque";"DCF",#N/A,FALSE,"SLC -- Peter and Idaho Falls";"DCF",#N/A,FALSE,"Great Way";"DCF",#N/A,FALSE,"Great Way-Leavitt Ins.";"DCF",#N/A,FALSE,"Sapp Brothers"}</definedName>
    <definedName name="wrn.ALL." hidden="1">{"WHOLE",#N/A,FALSE,"Roll-Up";"DCF",#N/A,FALSE,"SLC ";"DCF",#N/A,FALSE,"El Paso";"DCF",#N/A,FALSE,"Phoenix";"DCF",#N/A,FALSE,"Boise";"DCF",#N/A,FALSE,"Albuquerque";"DCF",#N/A,FALSE,"SLC -- Peter and Idaho Falls";"DCF",#N/A,FALSE,"Great Way";"DCF",#N/A,FALSE,"Great Way-Leavitt Ins.";"DCF",#N/A,FALSE,"Sapp Brothers"}</definedName>
    <definedName name="wrn.all._.print." localSheetId="0" hidden="1">{#N/A,#N/A,FALSE,"Summary";#N/A,#N/A,FALSE,"Edit";#N/A,#N/A,FALSE,"MedProf";#N/A,#N/A,FALSE,"Proj Mgt";#N/A,#N/A,FALSE,"Creat Svc";#N/A,#N/A,FALSE,"Meet Svc";#N/A,#N/A,FALSE,"Non-OCC";#N/A,#N/A,FALSE,"Client Svc";#N/A,#N/A,FALSE,"Bus Dev";#N/A,#N/A,FALSE,"Indirect"}</definedName>
    <definedName name="wrn.all._.print." localSheetId="8" hidden="1">{#N/A,#N/A,FALSE,"Summary";#N/A,#N/A,FALSE,"Edit";#N/A,#N/A,FALSE,"MedProf";#N/A,#N/A,FALSE,"Proj Mgt";#N/A,#N/A,FALSE,"Creat Svc";#N/A,#N/A,FALSE,"Meet Svc";#N/A,#N/A,FALSE,"Non-OCC";#N/A,#N/A,FALSE,"Client Svc";#N/A,#N/A,FALSE,"Bus Dev";#N/A,#N/A,FALSE,"Indirect"}</definedName>
    <definedName name="wrn.all._.print." hidden="1">{#N/A,#N/A,FALSE,"Summary";#N/A,#N/A,FALSE,"Edit";#N/A,#N/A,FALSE,"MedProf";#N/A,#N/A,FALSE,"Proj Mgt";#N/A,#N/A,FALSE,"Creat Svc";#N/A,#N/A,FALSE,"Meet Svc";#N/A,#N/A,FALSE,"Non-OCC";#N/A,#N/A,FALSE,"Client Svc";#N/A,#N/A,FALSE,"Bus Dev";#N/A,#N/A,FALSE,"Indirect"}</definedName>
    <definedName name="wrn.AQUIROR._.DCF." localSheetId="0" hidden="1">{"AQUIRORDCF",#N/A,FALSE,"Merger consequences";"Acquirorassns",#N/A,FALSE,"Merger consequences"}</definedName>
    <definedName name="wrn.AQUIROR._.DCF." localSheetId="8" hidden="1">{"AQUIRORDCF",#N/A,FALSE,"Merger consequences";"Acquirorassns",#N/A,FALSE,"Merger consequences"}</definedName>
    <definedName name="wrn.AQUIROR._.DCF." hidden="1">{"AQUIRORDCF",#N/A,FALSE,"Merger consequences";"Acquirorassns",#N/A,FALSE,"Merger consequences"}</definedName>
    <definedName name="wrn.Bang._.ke._.nhan._.hang." localSheetId="0" hidden="1">{#N/A,#N/A,FALSE,"Ke khai NH"}</definedName>
    <definedName name="wrn.Bang._.ke._.nhan._.hang." localSheetId="8" hidden="1">{#N/A,#N/A,FALSE,"Ke khai NH"}</definedName>
    <definedName name="wrn.Bang._.ke._.nhan._.hang." hidden="1">{#N/A,#N/A,FALSE,"Ke khai NH"}</definedName>
    <definedName name="wrn.BIDSUM." localSheetId="0" hidden="1">{#N/A,#N/A,TRUE,"SUMMARY";#N/A,#N/A,TRUE,"ISBL";#N/A,#N/A,TRUE,"OSBL";#N/A,#N/A,TRUE,"OFFSITE";#N/A,#N/A,TRUE,"STEAM"}</definedName>
    <definedName name="wrn.BIDSUM." localSheetId="8" hidden="1">{#N/A,#N/A,TRUE,"SUMMARY";#N/A,#N/A,TRUE,"ISBL";#N/A,#N/A,TRUE,"OSBL";#N/A,#N/A,TRUE,"OFFSITE";#N/A,#N/A,TRUE,"STEAM"}</definedName>
    <definedName name="wrn.BIDSUM." hidden="1">{#N/A,#N/A,TRUE,"SUMMARY";#N/A,#N/A,TRUE,"ISBL";#N/A,#N/A,TRUE,"OSBL";#N/A,#N/A,TRUE,"OFFSITE";#N/A,#N/A,TRUE,"STEAM"}</definedName>
    <definedName name="wrn.BILLS._.OF._.QUANTITY." localSheetId="0" hidden="1">{#N/A,#N/A,TRUE,"Str.";#N/A,#N/A,TRUE,"Steel &amp; Roof";#N/A,#N/A,TRUE,"Arc.";#N/A,#N/A,TRUE,"Preliminary";#N/A,#N/A,TRUE,"Sum_Prelim"}</definedName>
    <definedName name="wrn.BILLS._.OF._.QUANTITY." localSheetId="8" hidden="1">{#N/A,#N/A,TRUE,"Str.";#N/A,#N/A,TRUE,"Steel &amp; Roof";#N/A,#N/A,TRUE,"Arc.";#N/A,#N/A,TRUE,"Preliminary";#N/A,#N/A,TRUE,"Sum_Prelim"}</definedName>
    <definedName name="wrn.BILLS._.OF._.QUANTITY." hidden="1">{#N/A,#N/A,TRUE,"Str.";#N/A,#N/A,TRUE,"Steel &amp; Roof";#N/A,#N/A,TRUE,"Arc.";#N/A,#N/A,TRUE,"Preliminary";#N/A,#N/A,TRUE,"Sum_Prelim"}</definedName>
    <definedName name="wrn.BM." localSheetId="0" hidden="1">{#N/A,#N/A,FALSE,"CCTV"}</definedName>
    <definedName name="wrn.BM." localSheetId="8" hidden="1">{#N/A,#N/A,FALSE,"CCTV"}</definedName>
    <definedName name="wrn.BM." hidden="1">{#N/A,#N/A,FALSE,"CCTV"}</definedName>
    <definedName name="wrn.Che._.do._.duoc._.huong." localSheetId="0" hidden="1">{#N/A,#N/A,FALSE,"BN (2)"}</definedName>
    <definedName name="wrn.Che._.do._.duoc._.huong." localSheetId="8" hidden="1">{#N/A,#N/A,FALSE,"BN (2)"}</definedName>
    <definedName name="wrn.Che._.do._.duoc._.huong." hidden="1">{#N/A,#N/A,FALSE,"BN (2)"}</definedName>
    <definedName name="wrn.chi._.tiÆt." localSheetId="0" hidden="1">{#N/A,#N/A,FALSE,"Chi tiÆt"}</definedName>
    <definedName name="wrn.chi._.tiÆt." localSheetId="8" hidden="1">{#N/A,#N/A,FALSE,"Chi tiÆt"}</definedName>
    <definedName name="wrn.chi._.tiÆt." hidden="1">{#N/A,#N/A,FALSE,"Chi tiÆt"}</definedName>
    <definedName name="wrn.compco." localSheetId="0" hidden="1">{"mult96",#N/A,FALSE,"PETCOMP";"est96",#N/A,FALSE,"PETCOMP";"mult95",#N/A,FALSE,"PETCOMP";"est95",#N/A,FALSE,"PETCOMP";"multltm",#N/A,FALSE,"PETCOMP";"resultltm",#N/A,FALSE,"PETCOMP"}</definedName>
    <definedName name="wrn.compco." localSheetId="8" hidden="1">{"mult96",#N/A,FALSE,"PETCOMP";"est96",#N/A,FALSE,"PETCOMP";"mult95",#N/A,FALSE,"PETCOMP";"est95",#N/A,FALSE,"PETCOMP";"multltm",#N/A,FALSE,"PETCOMP";"resultltm",#N/A,FALSE,"PETCOMP"}</definedName>
    <definedName name="wrn.compco." hidden="1">{"mult96",#N/A,FALSE,"PETCOMP";"est96",#N/A,FALSE,"PETCOMP";"mult95",#N/A,FALSE,"PETCOMP";"est95",#N/A,FALSE,"PETCOMP";"multltm",#N/A,FALSE,"PETCOMP";"resultltm",#N/A,FALSE,"PETCOMP"}</definedName>
    <definedName name="wrn.Complete." localSheetId="0" hidden="1">{#N/A,#N/A,TRUE,"DCF Summary";#N/A,#N/A,TRUE,"Casema";#N/A,#N/A,TRUE,"UK";#N/A,#N/A,TRUE,"RCF";#N/A,#N/A,TRUE,"Intercable CZ";#N/A,#N/A,TRUE,"Interkabel P";#N/A,#N/A,TRUE,"LBO-Total";#N/A,#N/A,TRUE,"LBO-Casema"}</definedName>
    <definedName name="wrn.Complete." localSheetId="8"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cong." localSheetId="0" hidden="1">{#N/A,#N/A,FALSE,"Sheet1"}</definedName>
    <definedName name="wrn.cong." localSheetId="8" hidden="1">{#N/A,#N/A,FALSE,"Sheet1"}</definedName>
    <definedName name="wrn.cong." hidden="1">{#N/A,#N/A,FALSE,"Sheet1"}</definedName>
    <definedName name="wrn.DCF." localSheetId="0" hidden="1">{"DCF1",#N/A,FALSE,"SIERRA DCF";"MATRIX1",#N/A,FALSE,"SIERRA DCF"}</definedName>
    <definedName name="wrn.DCF." localSheetId="8" hidden="1">{"DCF1",#N/A,FALSE,"SIERRA DCF";"MATRIX1",#N/A,FALSE,"SIERRA DCF"}</definedName>
    <definedName name="wrn.DCF." hidden="1">{"DCF1",#N/A,FALSE,"SIERRA DCF";"MATRIX1",#N/A,FALSE,"SIERRA DCF"}</definedName>
    <definedName name="wrn.DCF._.III._.Report." localSheetId="0" hidden="1">{#N/A,#N/A,FALSE,"Cover";#N/A,#N/A,FALSE,"Pres ";#N/A,#N/A,FALSE,"Outputs";#N/A,#N/A,FALSE,"DCF ";#N/A,#N/A,FALSE,"CFS";#N/A,#N/A,FALSE,"BS";#N/A,#N/A,FALSE,"PL";#N/A,#N/A,FALSE,"Control (In)";#N/A,#N/A,FALSE,"Broker (In)";#N/A,#N/A,FALSE,"In-House (In)";#N/A,#N/A,FALSE,"WACC";#N/A,#N/A,FALSE,"Ass";#N/A,#N/A,FALSE,"Check"}</definedName>
    <definedName name="wrn.DCF._.III._.Report." localSheetId="8" hidden="1">{#N/A,#N/A,FALSE,"Cover";#N/A,#N/A,FALSE,"Pres ";#N/A,#N/A,FALSE,"Outputs";#N/A,#N/A,FALSE,"DCF ";#N/A,#N/A,FALSE,"CFS";#N/A,#N/A,FALSE,"BS";#N/A,#N/A,FALSE,"PL";#N/A,#N/A,FALSE,"Control (In)";#N/A,#N/A,FALSE,"Broker (In)";#N/A,#N/A,FALSE,"In-House (In)";#N/A,#N/A,FALSE,"WACC";#N/A,#N/A,FALSE,"Ass";#N/A,#N/A,FALSE,"Check"}</definedName>
    <definedName name="wrn.DCF._.III._.Report." hidden="1">{#N/A,#N/A,FALSE,"Cover";#N/A,#N/A,FALSE,"Pres ";#N/A,#N/A,FALSE,"Outputs";#N/A,#N/A,FALSE,"DCF ";#N/A,#N/A,FALSE,"CFS";#N/A,#N/A,FALSE,"BS";#N/A,#N/A,FALSE,"PL";#N/A,#N/A,FALSE,"Control (In)";#N/A,#N/A,FALSE,"Broker (In)";#N/A,#N/A,FALSE,"In-House (In)";#N/A,#N/A,FALSE,"WACC";#N/A,#N/A,FALSE,"Ass";#N/A,#N/A,FALSE,"Check"}</definedName>
    <definedName name="wrn.DCF._.Only." localSheetId="0" hidden="1">{#N/A,#N/A,FALSE,"DCF Summary";#N/A,#N/A,FALSE,"Casema";#N/A,#N/A,FALSE,"Casema NoTel";#N/A,#N/A,FALSE,"UK";#N/A,#N/A,FALSE,"RCF";#N/A,#N/A,FALSE,"Intercable CZ";#N/A,#N/A,FALSE,"Interkabel P"}</definedName>
    <definedName name="wrn.DCF._.Only." localSheetId="8"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CF_Terminal_Value_qchm." localSheetId="0" hidden="1">{"qchm_dcf",#N/A,FALSE,"QCHMDCF2";"qchm_terminal",#N/A,FALSE,"QCHMDCF2"}</definedName>
    <definedName name="wrn.DCF_Terminal_Value_qchm." localSheetId="8" hidden="1">{"qchm_dcf",#N/A,FALSE,"QCHMDCF2";"qchm_terminal",#N/A,FALSE,"QCHMDCF2"}</definedName>
    <definedName name="wrn.DCF_Terminal_Value_qchm." hidden="1">{"qchm_dcf",#N/A,FALSE,"QCHMDCF2";"qchm_terminal",#N/A,FALSE,"QCHMDCF2"}</definedName>
    <definedName name="wrn.DIRLABR." localSheetId="0" hidden="1">{#N/A,#N/A,TRUE,"CS&amp;SS(AG)";#N/A,#N/A,TRUE,"CS(UG)";#N/A,#N/A,TRUE,"CSCL(UG)";#N/A,#N/A,TRUE,"KYNAR";#N/A,#N/A,TRUE,"ALLOY904";#N/A,#N/A,TRUE,"TITANIUM";#N/A,#N/A,TRUE,"STMTRACE"}</definedName>
    <definedName name="wrn.DIRLABR." localSheetId="8" hidden="1">{#N/A,#N/A,TRUE,"CS&amp;SS(AG)";#N/A,#N/A,TRUE,"CS(UG)";#N/A,#N/A,TRUE,"CSCL(UG)";#N/A,#N/A,TRUE,"KYNAR";#N/A,#N/A,TRUE,"ALLOY904";#N/A,#N/A,TRUE,"TITANIUM";#N/A,#N/A,TRUE,"STMTRACE"}</definedName>
    <definedName name="wrn.DIRLABR." hidden="1">{#N/A,#N/A,TRUE,"CS&amp;SS(AG)";#N/A,#N/A,TRUE,"CS(UG)";#N/A,#N/A,TRUE,"CSCL(UG)";#N/A,#N/A,TRUE,"KYNAR";#N/A,#N/A,TRUE,"ALLOY904";#N/A,#N/A,TRUE,"TITANIUM";#N/A,#N/A,TRUE,"STMTRACE"}</definedName>
    <definedName name="wrn.Economic._.Value._.Added._.Analysis." localSheetId="0" hidden="1">{"EVA",#N/A,FALSE,"EVA";"WACC",#N/A,FALSE,"WACC"}</definedName>
    <definedName name="wrn.Economic._.Value._.Added._.Analysis." localSheetId="8" hidden="1">{"EVA",#N/A,FALSE,"EVA";"WACC",#N/A,FALSE,"WACC"}</definedName>
    <definedName name="wrn.Economic._.Value._.Added._.Analysis." hidden="1">{"EVA",#N/A,FALSE,"EVA";"WACC",#N/A,FALSE,"WACC"}</definedName>
    <definedName name="wrn.full." localSheetId="0" hidden="1">{#N/A,#N/A,FALSE,"Cover";#N/A,#N/A,FALSE,"Pres ";#N/A,#N/A,FALSE,"Scope";#N/A,#N/A,FALSE,"Summary";#N/A,#N/A,FALSE,"Summary (2)";#N/A,#N/A,FALSE,"Control (In)";#N/A,#N/A,FALSE,"Financials (In)";#N/A,#N/A,FALSE,"Returns"}</definedName>
    <definedName name="wrn.full." localSheetId="8" hidden="1">{#N/A,#N/A,FALSE,"Cover";#N/A,#N/A,FALSE,"Pres ";#N/A,#N/A,FALSE,"Scope";#N/A,#N/A,FALSE,"Summary";#N/A,#N/A,FALSE,"Summary (2)";#N/A,#N/A,FALSE,"Control (In)";#N/A,#N/A,FALSE,"Financials (In)";#N/A,#N/A,FALSE,"Returns"}</definedName>
    <definedName name="wrn.full." hidden="1">{#N/A,#N/A,FALSE,"Cover";#N/A,#N/A,FALSE,"Pres ";#N/A,#N/A,FALSE,"Scope";#N/A,#N/A,FALSE,"Summary";#N/A,#N/A,FALSE,"Summary (2)";#N/A,#N/A,FALSE,"Control (In)";#N/A,#N/A,FALSE,"Financials (In)";#N/A,#N/A,FALSE,"Returns"}</definedName>
    <definedName name="wrn.Full._.model." localSheetId="0" hidden="1">{#N/A,#N/A,TRUE,"Cover sheet";#N/A,#N/A,TRUE,"Summary";#N/A,#N/A,TRUE,"Key Assumptions";#N/A,#N/A,TRUE,"Profit &amp; Loss";#N/A,#N/A,TRUE,"Balance Sheet";#N/A,#N/A,TRUE,"Cashflow";#N/A,#N/A,TRUE,"IRR";#N/A,#N/A,TRUE,"Ratios";#N/A,#N/A,TRUE,"Debt analysis"}</definedName>
    <definedName name="wrn.Full._.model." localSheetId="8" hidden="1">{#N/A,#N/A,TRUE,"Cover sheet";#N/A,#N/A,TRUE,"Summary";#N/A,#N/A,TRUE,"Key Assumptions";#N/A,#N/A,TRUE,"Profit &amp; Loss";#N/A,#N/A,TRUE,"Balance Sheet";#N/A,#N/A,TRUE,"Cashflow";#N/A,#N/A,TRUE,"IRR";#N/A,#N/A,TRUE,"Ratios";#N/A,#N/A,TRUE,"Debt analysis"}</definedName>
    <definedName name="wrn.Full._.model." hidden="1">{#N/A,#N/A,TRUE,"Cover sheet";#N/A,#N/A,TRUE,"Summary";#N/A,#N/A,TRUE,"Key Assumptions";#N/A,#N/A,TRUE,"Profit &amp; Loss";#N/A,#N/A,TRUE,"Balance Sheet";#N/A,#N/A,TRUE,"Cashflow";#N/A,#N/A,TRUE,"IRR";#N/A,#N/A,TRUE,"Ratios";#N/A,#N/A,TRUE,"Debt analysis"}</definedName>
    <definedName name="wrn.Full._.without._.data." localSheetId="0"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8"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Giáy._.bao._.no." localSheetId="0" hidden="1">{#N/A,#N/A,FALSE,"BN"}</definedName>
    <definedName name="wrn.Giáy._.bao._.no." localSheetId="8" hidden="1">{#N/A,#N/A,FALSE,"BN"}</definedName>
    <definedName name="wrn.Giáy._.bao._.no." hidden="1">{#N/A,#N/A,FALSE,"BN"}</definedName>
    <definedName name="wrn.het." localSheetId="0" hidden="1">{#N/A,#N/A,FALSE,"Title";#N/A,#N/A,FALSE,"Bal.sheet";#N/A,#N/A,FALSE,"Income";#N/A,#N/A,FALSE,"sale";#N/A,#N/A,FALSE,"cash";#N/A,#N/A,FALSE,"AR";#N/A,#N/A,FALSE,"AR-other";#N/A,#N/A,FALSE,"asset";#N/A,#N/A,FALSE,"Pre-Op";#N/A,#N/A,FALSE,"AP";#N/A,#N/A,FALSE,"Parent";#N/A,#N/A,FALSE,"Qty";#N/A,#N/A,FALSE,"COGS";#N/A,#N/A,FALSE,"GOH-Sell";#N/A,#N/A,FALSE,"Interest"}</definedName>
    <definedName name="wrn.het." localSheetId="8" hidden="1">{#N/A,#N/A,FALSE,"Title";#N/A,#N/A,FALSE,"Bal.sheet";#N/A,#N/A,FALSE,"Income";#N/A,#N/A,FALSE,"sale";#N/A,#N/A,FALSE,"cash";#N/A,#N/A,FALSE,"AR";#N/A,#N/A,FALSE,"AR-other";#N/A,#N/A,FALSE,"asset";#N/A,#N/A,FALSE,"Pre-Op";#N/A,#N/A,FALSE,"AP";#N/A,#N/A,FALSE,"Parent";#N/A,#N/A,FALSE,"Qty";#N/A,#N/A,FALSE,"COGS";#N/A,#N/A,FALSE,"GOH-Sell";#N/A,#N/A,FALSE,"Interest"}</definedName>
    <definedName name="wrn.het." hidden="1">{#N/A,#N/A,FALSE,"Title";#N/A,#N/A,FALSE,"Bal.sheet";#N/A,#N/A,FALSE,"Income";#N/A,#N/A,FALSE,"sale";#N/A,#N/A,FALSE,"cash";#N/A,#N/A,FALSE,"AR";#N/A,#N/A,FALSE,"AR-other";#N/A,#N/A,FALSE,"asset";#N/A,#N/A,FALSE,"Pre-Op";#N/A,#N/A,FALSE,"AP";#N/A,#N/A,FALSE,"Parent";#N/A,#N/A,FALSE,"Qty";#N/A,#N/A,FALSE,"COGS";#N/A,#N/A,FALSE,"GOH-Sell";#N/A,#N/A,FALSE,"Interest"}</definedName>
    <definedName name="wrn.iIMPRESSION._.DOC."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MPRESSION._.RP2."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NDIRCOS." localSheetId="0" hidden="1">{#N/A,#N/A,TRUE,"FIELDOFF";#N/A,#N/A,TRUE,"SCAFF";#N/A,#N/A,TRUE,"CONSTEQP";#N/A,#N/A,TRUE,"FUELUBE";#N/A,#N/A,TRUE,"CONSUME";#N/A,#N/A,TRUE,"FIELDEXP";#N/A,#N/A,TRUE,"MANPLAN";#N/A,#N/A,TRUE,"EQPLAN"}</definedName>
    <definedName name="wrn.INDIRCOS." localSheetId="8" hidden="1">{#N/A,#N/A,TRUE,"FIELDOFF";#N/A,#N/A,TRUE,"SCAFF";#N/A,#N/A,TRUE,"CONSTEQP";#N/A,#N/A,TRUE,"FUELUBE";#N/A,#N/A,TRUE,"CONSUME";#N/A,#N/A,TRUE,"FIELDEXP";#N/A,#N/A,TRUE,"MANPLAN";#N/A,#N/A,TRUE,"EQPLAN"}</definedName>
    <definedName name="wrn.INDIRCOS." hidden="1">{#N/A,#N/A,TRUE,"FIELDOFF";#N/A,#N/A,TRUE,"SCAFF";#N/A,#N/A,TRUE,"CONSTEQP";#N/A,#N/A,TRUE,"FUELUBE";#N/A,#N/A,TRUE,"CONSUME";#N/A,#N/A,TRUE,"FIELDEXP";#N/A,#N/A,TRUE,"MANPLAN";#N/A,#N/A,TRUE,"EQPLAN"}</definedName>
    <definedName name="wrn.mai._.khanh." localSheetId="0" hidden="1">{"NGUYEN QUI THIEP - Personal View",#N/A,FALSE,"XDCB.HT.FUR."}</definedName>
    <definedName name="wrn.mai._.khanh." localSheetId="8" hidden="1">{"NGUYEN QUI THIEP - Personal View",#N/A,FALSE,"XDCB.HT.FUR."}</definedName>
    <definedName name="wrn.mai._.khanh." hidden="1">{"NGUYEN QUI THIEP - Personal View",#N/A,FALSE,"XDCB.HT.FUR."}</definedName>
    <definedName name="wrn.Monthly._.Statement." localSheetId="0" hidden="1">{#N/A,#N/A,FALSE,"Tabelle2";#N/A,#N/A,FALSE,"Tabelle1"}</definedName>
    <definedName name="wrn.Monthly._.Statement." localSheetId="8" hidden="1">{#N/A,#N/A,FALSE,"Tabelle2";#N/A,#N/A,FALSE,"Tabelle1"}</definedName>
    <definedName name="wrn.Monthly._.Statement." hidden="1">{#N/A,#N/A,FALSE,"Tabelle2";#N/A,#N/A,FALSE,"Tabelle1"}</definedName>
    <definedName name="wrn.MTD1." localSheetId="0" hidden="1">{#N/A,#N/A,FALSE,"Sheet1";#N/A,#N/A,FALSE,"Sheet3";#N/A,#N/A,FALSE,"Sheet5"}</definedName>
    <definedName name="wrn.MTD1." localSheetId="8" hidden="1">{#N/A,#N/A,FALSE,"Sheet1";#N/A,#N/A,FALSE,"Sheet3";#N/A,#N/A,FALSE,"Sheet5"}</definedName>
    <definedName name="wrn.MTD1." hidden="1">{#N/A,#N/A,FALSE,"Sheet1";#N/A,#N/A,FALSE,"Sheet3";#N/A,#N/A,FALSE,"Sheet5"}</definedName>
    <definedName name="wrn.MTD2." localSheetId="0" hidden="1">{#N/A,#N/A,FALSE,"Sheet2";#N/A,#N/A,FALSE,"Sheet4";#N/A,#N/A,FALSE,"Sheet6"}</definedName>
    <definedName name="wrn.MTD2." localSheetId="8" hidden="1">{#N/A,#N/A,FALSE,"Sheet2";#N/A,#N/A,FALSE,"Sheet4";#N/A,#N/A,FALSE,"Sheet6"}</definedName>
    <definedName name="wrn.MTD2." hidden="1">{#N/A,#N/A,FALSE,"Sheet2";#N/A,#N/A,FALSE,"Sheet4";#N/A,#N/A,FALSE,"Sheet6"}</definedName>
    <definedName name="wrn.OUTPUT." localSheetId="0" hidden="1">{"DCF","UPSIDE CASE",FALSE,"Sheet1";"DCF","BASE CASE",FALSE,"Sheet1";"DCF","DOWNSIDE CASE",FALSE,"Sheet1"}</definedName>
    <definedName name="wrn.OUTPUT." localSheetId="8" hidden="1">{"DCF","UPSIDE CASE",FALSE,"Sheet1";"DCF","BASE CASE",FALSE,"Sheet1";"DCF","DOWNSIDE CASE",FALSE,"Sheet1"}</definedName>
    <definedName name="wrn.OUTPUT." hidden="1">{"DCF","UPSIDE CASE",FALSE,"Sheet1";"DCF","BASE CASE",FALSE,"Sheet1";"DCF","DOWNSIDE CASE",FALSE,"Sheet1"}</definedName>
    <definedName name="wrn.phak." localSheetId="0" hidden="1">{#N/A,#N/A,TRUE,"Tæng hîp"}</definedName>
    <definedName name="wrn.phak." localSheetId="8" hidden="1">{#N/A,#N/A,TRUE,"Tæng hîp"}</definedName>
    <definedName name="wrn.phak." hidden="1">{#N/A,#N/A,TRUE,"Tæng hîp"}</definedName>
    <definedName name="wrn.print." localSheetId="0" hidden="1">{#N/A,#N/A,FALSE,"Admin";#N/A,#N/A,FALSE,"Other"}</definedName>
    <definedName name="wrn.print." localSheetId="8" hidden="1">{#N/A,#N/A,FALSE,"Admin";#N/A,#N/A,FALSE,"Other"}</definedName>
    <definedName name="wrn.print." hidden="1">{#N/A,#N/A,FALSE,"Admin";#N/A,#N/A,FALSE,"Other"}</definedName>
    <definedName name="wrn.Print._.Output." localSheetId="0" hidden="1">{#N/A,#N/A,FALSE,"OUTPUT SHEET "}</definedName>
    <definedName name="wrn.Print._.Output." localSheetId="8" hidden="1">{#N/A,#N/A,FALSE,"OUTPUT SHEET "}</definedName>
    <definedName name="wrn.Print._.Output." hidden="1">{#N/A,#N/A,FALSE,"OUTPUT SHEET "}</definedName>
    <definedName name="wrn.re_xoa2" localSheetId="0" hidden="1">{"Offgrid",#N/A,FALSE,"OFFGRID";"Region",#N/A,FALSE,"REGION";"Offgrid -2",#N/A,FALSE,"OFFGRID";"WTP",#N/A,FALSE,"WTP";"WTP -2",#N/A,FALSE,"WTP";"Project",#N/A,FALSE,"PROJECT";"Summary -2",#N/A,FALSE,"SUMMARY"}</definedName>
    <definedName name="wrn.re_xoa2" localSheetId="8" hidden="1">{"Offgrid",#N/A,FALSE,"OFFGRID";"Region",#N/A,FALSE,"REGION";"Offgrid -2",#N/A,FALSE,"OFFGRID";"WTP",#N/A,FALSE,"WTP";"WTP -2",#N/A,FALSE,"WTP";"Project",#N/A,FALSE,"PROJECT";"Summary -2",#N/A,FALSE,"SUMMARY"}</definedName>
    <definedName name="wrn.re_xoa2" hidden="1">{"Offgrid",#N/A,FALSE,"OFFGRID";"Region",#N/A,FALSE,"REGION";"Offgrid -2",#N/A,FALSE,"OFFGRID";"WTP",#N/A,FALSE,"WTP";"WTP -2",#N/A,FALSE,"WTP";"Project",#N/A,FALSE,"PROJECT";"Summary -2",#N/A,FALSE,"SUMMARY"}</definedName>
    <definedName name="wrn.Reader." localSheetId="0" hidden="1">{"Reader",#N/A,FALSE,"Summary";"Reader",#N/A,FALSE,"Buildup";"Reader",#N/A,FALSE,"Financials";"Reader",#N/A,FALSE,"Debt &amp; Other"}</definedName>
    <definedName name="wrn.Reader." localSheetId="8" hidden="1">{"Reader",#N/A,FALSE,"Summary";"Reader",#N/A,FALSE,"Buildup";"Reader",#N/A,FALSE,"Financials";"Reader",#N/A,FALSE,"Debt &amp; Other"}</definedName>
    <definedName name="wrn.Reader." hidden="1">{"Reader",#N/A,FALSE,"Summary";"Reader",#N/A,FALSE,"Buildup";"Reader",#N/A,FALSE,"Financials";"Reader",#N/A,FALSE,"Debt &amp; Other"}</definedName>
    <definedName name="wrn.Report." localSheetId="0" hidden="1">{"Offgrid",#N/A,FALSE,"OFFGRID";"Region",#N/A,FALSE,"REGION";"Offgrid -2",#N/A,FALSE,"OFFGRID";"WTP",#N/A,FALSE,"WTP";"WTP -2",#N/A,FALSE,"WTP";"Project",#N/A,FALSE,"PROJECT";"Summary -2",#N/A,FALSE,"SUMMARY"}</definedName>
    <definedName name="wrn.Report." localSheetId="8"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localSheetId="0" hidden="1">{#N/A,#N/A,FALSE,"特殊室（ＢＱ表）"}</definedName>
    <definedName name="wrn.report1." localSheetId="8" hidden="1">{#N/A,#N/A,FALSE,"特殊室（ＢＱ表）"}</definedName>
    <definedName name="wrn.report1." hidden="1">{#N/A,#N/A,FALSE,"特殊室（ＢＱ表）"}</definedName>
    <definedName name="wrn.Residential." localSheetId="0" hidden="1">{"ECA Qtrs C",#N/A,TRUE,"ECA_Qtrs_C";"ECA Qtrs D",#N/A,TRUE,"ECA_Qtrs_D";"ECA Qtrs F",#N/A,TRUE,"ECA_Qtrs_F";"ECA Qtrs G",#N/A,TRUE,"ECA_Qtrs_G";"ECA SisterApt",#N/A,TRUE,"ECA_SisterApt";"ECA Nurses",#N/A,TRUE,"ECA_NursesHostel"}</definedName>
    <definedName name="wrn.Residential." localSheetId="8"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SummaryReport." localSheetId="0" hidden="1">{"Header",#N/A,TRUE,"Summary";"ProjectInfo",#N/A,TRUE,"Total Value"}</definedName>
    <definedName name="wrn.SummaryReport." localSheetId="8" hidden="1">{"Header",#N/A,TRUE,"Summary";"ProjectInfo",#N/A,TRUE,"Total Value"}</definedName>
    <definedName name="wrn.SummaryReport." hidden="1">{"Header",#N/A,TRUE,"Summary";"ProjectInfo",#N/A,TRUE,"Total Value"}</definedName>
    <definedName name="wrn.TARGET._.DCF." localSheetId="0" hidden="1">{"targetdcf",#N/A,FALSE,"Merger consequences";"TARGETASSU",#N/A,FALSE,"Merger consequences";"TERMINAL VALUE",#N/A,FALSE,"Merger consequences"}</definedName>
    <definedName name="wrn.TARGET._.DCF." localSheetId="8"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t." localSheetId="0"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8"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eacher." localSheetId="0" hidden="1">{"Teacher",#N/A,FALSE,"Summary";"Teacher",#N/A,FALSE,"Assumptions";"Teacher",#N/A,FALSE,"Buildup";"Teacher",#N/A,FALSE,"Financials";"Teacher",#N/A,FALSE,"Debt &amp; Other"}</definedName>
    <definedName name="wrn.Teacher." localSheetId="8" hidden="1">{"Teacher",#N/A,FALSE,"Summary";"Teacher",#N/A,FALSE,"Assumptions";"Teacher",#N/A,FALSE,"Buildup";"Teacher",#N/A,FALSE,"Financials";"Teacher",#N/A,FALSE,"Debt &amp; Other"}</definedName>
    <definedName name="wrn.Teacher." hidden="1">{"Teacher",#N/A,FALSE,"Summary";"Teacher",#N/A,FALSE,"Assumptions";"Teacher",#N/A,FALSE,"Buildup";"Teacher",#N/A,FALSE,"Financials";"Teacher",#N/A,FALSE,"Debt &amp; Other"}</definedName>
    <definedName name="wrn.vd." localSheetId="0" hidden="1">{#N/A,#N/A,TRUE,"BT M200 da 10x20"}</definedName>
    <definedName name="wrn.vd." localSheetId="8" hidden="1">{#N/A,#N/A,TRUE,"BT M200 da 10x20"}</definedName>
    <definedName name="wrn.vd." hidden="1">{#N/A,#N/A,TRUE,"BT M200 da 10x20"}</definedName>
    <definedName name="WRN.VOLTAGE." localSheetId="0" hidden="1">{#N/A,#N/A,FALSE,"Sheet2";#N/A,#N/A,FALSE,"Sheet4";#N/A,#N/A,FALSE,"Sheet6"}</definedName>
    <definedName name="WRN.VOLTAGE." localSheetId="8" hidden="1">{#N/A,#N/A,FALSE,"Sheet2";#N/A,#N/A,FALSE,"Sheet4";#N/A,#N/A,FALSE,"Sheet6"}</definedName>
    <definedName name="WRN.VOLTAGE." hidden="1">{#N/A,#N/A,FALSE,"Sheet2";#N/A,#N/A,FALSE,"Sheet4";#N/A,#N/A,FALSE,"Sheet6"}</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8"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실행품의." localSheetId="0" hidden="1">{#N/A,#N/A,FALSE,"갑지";#N/A,#N/A,FALSE,"개요";#N/A,#N/A,FALSE,"비목별";#N/A,#N/A,FALSE,"건물별";#N/A,#N/A,FALSE,"기구표";#N/A,#N/A,FALSE,"직원투입"}</definedName>
    <definedName name="wrn.실행품의." localSheetId="8"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진각빌딩." localSheetId="0" hidden="1">{#N/A,#N/A,FALSE,"품의서";#N/A,#N/A,FALSE,"견적실행대비분석표";#N/A,#N/A,FALSE,"공종별도급대비견적실행";#N/A,#N/A,FALSE,"외주공사 추정금액";#N/A,#N/A,FALSE,"공종별도급대비계약현황"}</definedName>
    <definedName name="wrn.진각빌딩." localSheetId="8" hidden="1">{#N/A,#N/A,FALSE,"품의서";#N/A,#N/A,FALSE,"견적실행대비분석표";#N/A,#N/A,FALSE,"공종별도급대비견적실행";#N/A,#N/A,FALSE,"외주공사 추정금액";#N/A,#N/A,FALSE,"공종별도급대비계약현황"}</definedName>
    <definedName name="wrn.진각빌딩." hidden="1">{#N/A,#N/A,FALSE,"품의서";#N/A,#N/A,FALSE,"견적실행대비분석표";#N/A,#N/A,FALSE,"공종별도급대비견적실행";#N/A,#N/A,FALSE,"외주공사 추정금액";#N/A,#N/A,FALSE,"공종별도급대비계약현황"}</definedName>
    <definedName name="wrn.표지." localSheetId="0" hidden="1">{#N/A,#N/A,FALSE,"표지"}</definedName>
    <definedName name="wrn.표지." localSheetId="8" hidden="1">{#N/A,#N/A,FALSE,"표지"}</definedName>
    <definedName name="wrn.표지." hidden="1">{#N/A,#N/A,FALSE,"표지"}</definedName>
    <definedName name="wrn_xoa2" localSheetId="0" hidden="1">{#N/A,#N/A,FALSE,"Chi tiÆt"}</definedName>
    <definedName name="wrn_xoa2" localSheetId="8" hidden="1">{#N/A,#N/A,FALSE,"Chi tiÆt"}</definedName>
    <definedName name="wrn_xoa2" hidden="1">{#N/A,#N/A,FALSE,"Chi tiÆt"}</definedName>
    <definedName name="wrnf.report" localSheetId="0" hidden="1">{"Offgrid",#N/A,FALSE,"OFFGRID";"Region",#N/A,FALSE,"REGION";"Offgrid -2",#N/A,FALSE,"OFFGRID";"WTP",#N/A,FALSE,"WTP";"WTP -2",#N/A,FALSE,"WTP";"Project",#N/A,FALSE,"PROJECT";"Summary -2",#N/A,FALSE,"SUMMARY"}</definedName>
    <definedName name="wrnf.report" localSheetId="8"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nf_xoa2" localSheetId="8"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w" localSheetId="0" hidden="1">{#N/A,#N/A,FALSE,"Sheet2";#N/A,#N/A,FALSE,"Sheet4";#N/A,#N/A,FALSE,"Sheet6"}</definedName>
    <definedName name="ww" localSheetId="8" hidden="1">{#N/A,#N/A,FALSE,"Sheet2";#N/A,#N/A,FALSE,"Sheet4";#N/A,#N/A,FALSE,"Sheet6"}</definedName>
    <definedName name="ww" hidden="1">{#N/A,#N/A,FALSE,"Sheet2";#N/A,#N/A,FALSE,"Sheet4";#N/A,#N/A,FALSE,"Sheet6"}</definedName>
    <definedName name="ｗｗ" localSheetId="0" hidden="1">{"'Sheet1'!$L$16"}</definedName>
    <definedName name="ｗｗ" localSheetId="8" hidden="1">{"'Sheet1'!$L$16"}</definedName>
    <definedName name="ｗｗ" hidden="1">{"'Sheet1'!$L$16"}</definedName>
    <definedName name="www" localSheetId="0" hidden="1">{"ECA Qtrs C",#N/A,TRUE,"ECA_Qtrs_C";"ECA Qtrs D",#N/A,TRUE,"ECA_Qtrs_D";"ECA Qtrs F",#N/A,TRUE,"ECA_Qtrs_F";"ECA Qtrs G",#N/A,TRUE,"ECA_Qtrs_G";"ECA SisterApt",#N/A,TRUE,"ECA_SisterApt";"ECA Nurses",#N/A,TRUE,"ECA_NursesHostel"}</definedName>
    <definedName name="www" localSheetId="8" hidden="1">{"ECA Qtrs C",#N/A,TRUE,"ECA_Qtrs_C";"ECA Qtrs D",#N/A,TRUE,"ECA_Qtrs_D";"ECA Qtrs F",#N/A,TRUE,"ECA_Qtrs_F";"ECA Qtrs G",#N/A,TRUE,"ECA_Qtrs_G";"ECA SisterApt",#N/A,TRUE,"ECA_SisterApt";"ECA Nurses",#N/A,TRUE,"ECA_NursesHostel"}</definedName>
    <definedName name="www" hidden="1">{"ECA Qtrs C",#N/A,TRUE,"ECA_Qtrs_C";"ECA Qtrs D",#N/A,TRUE,"ECA_Qtrs_D";"ECA Qtrs F",#N/A,TRUE,"ECA_Qtrs_F";"ECA Qtrs G",#N/A,TRUE,"ECA_Qtrs_G";"ECA SisterApt",#N/A,TRUE,"ECA_SisterApt";"ECA Nurses",#N/A,TRUE,"ECA_NursesHostel"}</definedName>
    <definedName name="ｗｗｗｗ" localSheetId="0" hidden="1">{"'Sheet1'!$L$16"}</definedName>
    <definedName name="ｗｗｗｗ" localSheetId="8" hidden="1">{"'Sheet1'!$L$16"}</definedName>
    <definedName name="ｗｗｗｗ" hidden="1">{"'Sheet1'!$L$16"}</definedName>
    <definedName name="XCB" hidden="1">#REF!</definedName>
    <definedName name="XDKT" localSheetId="0" hidden="1">{"NGUYEN QUI THIEP - Personal View",#N/A,FALSE,"XDCB.HT.FUR."}</definedName>
    <definedName name="XDKT" localSheetId="8" hidden="1">{"NGUYEN QUI THIEP - Personal View",#N/A,FALSE,"XDCB.HT.FUR."}</definedName>
    <definedName name="XDKT" hidden="1">{"NGUYEN QUI THIEP - Personal View",#N/A,FALSE,"XDCB.HT.FUR."}</definedName>
    <definedName name="xkeogjana" localSheetId="0" hidden="1">{"Reader",#N/A,FALSE,"Summary";"Reader",#N/A,FALSE,"Buildup";"Reader",#N/A,FALSE,"Financials";"Reader",#N/A,FALSE,"Debt &amp; Other"}</definedName>
    <definedName name="xkeogjana" localSheetId="8" hidden="1">{"Reader",#N/A,FALSE,"Summary";"Reader",#N/A,FALSE,"Buildup";"Reader",#N/A,FALSE,"Financials";"Reader",#N/A,FALSE,"Debt &amp; Other"}</definedName>
    <definedName name="xkeogjana" hidden="1">{"Reader",#N/A,FALSE,"Summary";"Reader",#N/A,FALSE,"Buildup";"Reader",#N/A,FALSE,"Financials";"Reader",#N/A,FALSE,"Debt &amp; Other"}</definedName>
    <definedName name="xlttbninh" localSheetId="0" hidden="1">{"'Sheet1'!$L$16"}</definedName>
    <definedName name="xlttbninh" localSheetId="8" hidden="1">{"'Sheet1'!$L$16"}</definedName>
    <definedName name="xlttbninh" hidden="1">{"'Sheet1'!$L$16"}</definedName>
    <definedName name="xoa1" localSheetId="0" hidden="1">{"'Sheet1'!$L$16"}</definedName>
    <definedName name="xoa1" localSheetId="8" hidden="1">{"'Sheet1'!$L$16"}</definedName>
    <definedName name="xoa1" hidden="1">{"'Sheet1'!$L$16"}</definedName>
    <definedName name="xoa2" localSheetId="0" hidden="1">{#N/A,#N/A,FALSE,"Chi tiÆt"}</definedName>
    <definedName name="xoa2" localSheetId="8" hidden="1">{#N/A,#N/A,FALSE,"Chi tiÆt"}</definedName>
    <definedName name="xoa2" hidden="1">{#N/A,#N/A,FALSE,"Chi tiÆt"}</definedName>
    <definedName name="xoa3" localSheetId="0" hidden="1">{"Offgrid",#N/A,FALSE,"OFFGRID";"Region",#N/A,FALSE,"REGION";"Offgrid -2",#N/A,FALSE,"OFFGRID";"WTP",#N/A,FALSE,"WTP";"WTP -2",#N/A,FALSE,"WTP";"Project",#N/A,FALSE,"PROJECT";"Summary -2",#N/A,FALSE,"SUMMARY"}</definedName>
    <definedName name="xoa3" localSheetId="8" hidden="1">{"Offgrid",#N/A,FALSE,"OFFGRID";"Region",#N/A,FALSE,"REGION";"Offgrid -2",#N/A,FALSE,"OFFGRID";"WTP",#N/A,FALSE,"WTP";"WTP -2",#N/A,FALSE,"WTP";"Project",#N/A,FALSE,"PROJECT";"Summary -2",#N/A,FALSE,"SUMMARY"}</definedName>
    <definedName name="xoa3"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oa4" localSheetId="8"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s" localSheetId="0" hidden="1">{#N/A,#N/A,FALSE,"Title";#N/A,#N/A,FALSE,"Bal.sheet";#N/A,#N/A,FALSE,"Income";#N/A,#N/A,FALSE,"sale";#N/A,#N/A,FALSE,"cash";#N/A,#N/A,FALSE,"AR";#N/A,#N/A,FALSE,"AR-other";#N/A,#N/A,FALSE,"asset";#N/A,#N/A,FALSE,"Pre-Op";#N/A,#N/A,FALSE,"AP";#N/A,#N/A,FALSE,"Parent";#N/A,#N/A,FALSE,"Qty";#N/A,#N/A,FALSE,"COGS";#N/A,#N/A,FALSE,"GOH-Sell";#N/A,#N/A,FALSE,"Interest"}</definedName>
    <definedName name="xss" localSheetId="8" hidden="1">{#N/A,#N/A,FALSE,"Title";#N/A,#N/A,FALSE,"Bal.sheet";#N/A,#N/A,FALSE,"Income";#N/A,#N/A,FALSE,"sale";#N/A,#N/A,FALSE,"cash";#N/A,#N/A,FALSE,"AR";#N/A,#N/A,FALSE,"AR-other";#N/A,#N/A,FALSE,"asset";#N/A,#N/A,FALSE,"Pre-Op";#N/A,#N/A,FALSE,"AP";#N/A,#N/A,FALSE,"Parent";#N/A,#N/A,FALSE,"Qty";#N/A,#N/A,FALSE,"COGS";#N/A,#N/A,FALSE,"GOH-Sell";#N/A,#N/A,FALSE,"Interest"}</definedName>
    <definedName name="xss" hidden="1">{#N/A,#N/A,FALSE,"Title";#N/A,#N/A,FALSE,"Bal.sheet";#N/A,#N/A,FALSE,"Income";#N/A,#N/A,FALSE,"sale";#N/A,#N/A,FALSE,"cash";#N/A,#N/A,FALSE,"AR";#N/A,#N/A,FALSE,"AR-other";#N/A,#N/A,FALSE,"asset";#N/A,#N/A,FALSE,"Pre-Op";#N/A,#N/A,FALSE,"AP";#N/A,#N/A,FALSE,"Parent";#N/A,#N/A,FALSE,"Qty";#N/A,#N/A,FALSE,"COGS";#N/A,#N/A,FALSE,"GOH-Sell";#N/A,#N/A,FALSE,"Interest"}</definedName>
    <definedName name="xxx" localSheetId="8" hidden="1">#REF!</definedName>
    <definedName name="xxx" hidden="1">#REF!</definedName>
    <definedName name="ｘｘｘ" localSheetId="0" hidden="1">{"'Sheet1'!$L$16"}</definedName>
    <definedName name="ｘｘｘ" localSheetId="8" hidden="1">{"'Sheet1'!$L$16"}</definedName>
    <definedName name="ｘｘｘ" hidden="1">{"'Sheet1'!$L$16"}</definedName>
    <definedName name="XXXAAAA" localSheetId="0" hidden="1">{"'Sheet1'!$L$16"}</definedName>
    <definedName name="XXXAAAA" localSheetId="8" hidden="1">{"'Sheet1'!$L$16"}</definedName>
    <definedName name="XXXAAAA" hidden="1">{"'Sheet1'!$L$16"}</definedName>
    <definedName name="xxxx" localSheetId="0" hidden="1">{"HK PR",#N/A,FALSE,"HK";"SUMMARY",#N/A,FALSE,"PAYROLL";"SUMMARY",#N/A,FALSE,"PAYROLL";"HK PR",#N/A,FALSE,"HK"}</definedName>
    <definedName name="xxxx" localSheetId="8" hidden="1">{"HK PR",#N/A,FALSE,"HK";"SUMMARY",#N/A,FALSE,"PAYROLL";"SUMMARY",#N/A,FALSE,"PAYROLL";"HK PR",#N/A,FALSE,"HK"}</definedName>
    <definedName name="xxxx" hidden="1">{"HK PR",#N/A,FALSE,"HK";"SUMMARY",#N/A,FALSE,"PAYROLL";"SUMMARY",#N/A,FALSE,"PAYROLL";"HK PR",#N/A,FALSE,"HK"}</definedName>
    <definedName name="ｘｘｘｘ" localSheetId="0" hidden="1">{"'Sheet1'!$L$16"}</definedName>
    <definedName name="ｘｘｘｘ" localSheetId="8" hidden="1">{"'Sheet1'!$L$16"}</definedName>
    <definedName name="ｘｘｘｘ" hidden="1">{"'Sheet1'!$L$16"}</definedName>
    <definedName name="xxxxx" localSheetId="0" hidden="1">{"HK PR",#N/A,FALSE,"HK";"SUMMARY",#N/A,FALSE,"PAYROLL";"SUMMARY",#N/A,FALSE,"PAYROLL";"HK PR",#N/A,FALSE,"HK"}</definedName>
    <definedName name="xxxxx" localSheetId="8" hidden="1">{"HK PR",#N/A,FALSE,"HK";"SUMMARY",#N/A,FALSE,"PAYROLL";"SUMMARY",#N/A,FALSE,"PAYROLL";"HK PR",#N/A,FALSE,"HK"}</definedName>
    <definedName name="xxxxx" hidden="1">{"HK PR",#N/A,FALSE,"HK";"SUMMARY",#N/A,FALSE,"PAYROLL";"SUMMARY",#N/A,FALSE,"PAYROLL";"HK PR",#N/A,FALSE,"HK"}</definedName>
    <definedName name="ｘｘｘｘｘ" localSheetId="0" hidden="1">{"'Sheet1'!$L$16"}</definedName>
    <definedName name="ｘｘｘｘｘ" localSheetId="8" hidden="1">{"'Sheet1'!$L$16"}</definedName>
    <definedName name="ｘｘｘｘｘ" hidden="1">{"'Sheet1'!$L$16"}</definedName>
    <definedName name="yen" hidden="1">{#N/A,#N/A,FALSE,"Chi tiÆt"}</definedName>
    <definedName name="YSY" localSheetId="0" hidden="1">{#N/A,#N/A,FALSE,"Sheet2";#N/A,#N/A,FALSE,"Sheet4";#N/A,#N/A,FALSE,"Sheet6"}</definedName>
    <definedName name="YSY" localSheetId="8" hidden="1">{#N/A,#N/A,FALSE,"Sheet2";#N/A,#N/A,FALSE,"Sheet4";#N/A,#N/A,FALSE,"Sheet6"}</definedName>
    <definedName name="YSY" hidden="1">{#N/A,#N/A,FALSE,"Sheet2";#N/A,#N/A,FALSE,"Sheet4";#N/A,#N/A,FALSE,"Sheet6"}</definedName>
    <definedName name="yui"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ｙｙｙ" localSheetId="0" hidden="1">{"'Sheet1'!$L$16"}</definedName>
    <definedName name="ｙｙｙ" localSheetId="8" hidden="1">{"'Sheet1'!$L$16"}</definedName>
    <definedName name="ｙｙｙ" hidden="1">{"'Sheet1'!$L$16"}</definedName>
    <definedName name="Z_2BD578FA_E2CB_4B2F_9A88_B148DA6298A5_.wvu.Cols" localSheetId="0" hidden="1">#REF!</definedName>
    <definedName name="Z_2BD578FA_E2CB_4B2F_9A88_B148DA6298A5_.wvu.Cols" localSheetId="8" hidden="1">#REF!</definedName>
    <definedName name="Z_2BD578FA_E2CB_4B2F_9A88_B148DA6298A5_.wvu.Cols" hidden="1">#REF!</definedName>
    <definedName name="Z_2BD578FA_E2CB_4B2F_9A88_B148DA6298A5_.wvu.PrintArea" localSheetId="8" hidden="1">#REF!</definedName>
    <definedName name="Z_2BD578FA_E2CB_4B2F_9A88_B148DA6298A5_.wvu.PrintArea" hidden="1">#REF!</definedName>
    <definedName name="ｚｚｚｚｚ" localSheetId="0" hidden="1">{"'Sheet1'!$L$16"}</definedName>
    <definedName name="ｚｚｚｚｚ" localSheetId="8" hidden="1">{"'Sheet1'!$L$16"}</definedName>
    <definedName name="ｚｚｚｚｚ" hidden="1">{"'Sheet1'!$L$16"}</definedName>
    <definedName name="ｚｚｚｚｚｚ" localSheetId="0" hidden="1">{"'Sheet1'!$L$16"}</definedName>
    <definedName name="ｚｚｚｚｚｚ" localSheetId="8" hidden="1">{"'Sheet1'!$L$16"}</definedName>
    <definedName name="ｚｚｚｚｚｚ" hidden="1">{"'Sheet1'!$L$16"}</definedName>
    <definedName name="あ" localSheetId="0" hidden="1">{"'Sheet1'!$L$16"}</definedName>
    <definedName name="あ" localSheetId="8" hidden="1">{"'Sheet1'!$L$16"}</definedName>
    <definedName name="あ" hidden="1">{"'Sheet1'!$L$16"}</definedName>
    <definedName name="ああ" localSheetId="0" hidden="1">{"'Sheet1'!$L$16"}</definedName>
    <definedName name="ああ" localSheetId="8" hidden="1">{"'Sheet1'!$L$16"}</definedName>
    <definedName name="ああ" hidden="1">{"'Sheet1'!$L$16"}</definedName>
    <definedName name="あああ" localSheetId="0" hidden="1">{"'Sheet1'!$L$16"}</definedName>
    <definedName name="あああ" localSheetId="8" hidden="1">{"'Sheet1'!$L$16"}</definedName>
    <definedName name="あああ" hidden="1">{"'Sheet1'!$L$16"}</definedName>
    <definedName name="ああああ" localSheetId="0" hidden="1">{"'Sheet1'!$L$16"}</definedName>
    <definedName name="ああああ" localSheetId="8" hidden="1">{"'Sheet1'!$L$16"}</definedName>
    <definedName name="ああああ" hidden="1">{"'Sheet1'!$L$16"}</definedName>
    <definedName name="あああああ" localSheetId="0" hidden="1">{"'Sheet1'!$L$16"}</definedName>
    <definedName name="あああああ" localSheetId="8" hidden="1">{"'Sheet1'!$L$16"}</definedName>
    <definedName name="あああああ" hidden="1">{"'Sheet1'!$L$16"}</definedName>
    <definedName name="ううう" localSheetId="0" hidden="1">{"'Sheet1'!$L$16"}</definedName>
    <definedName name="ううう" localSheetId="8" hidden="1">{"'Sheet1'!$L$16"}</definedName>
    <definedName name="ううう" hidden="1">{"'Sheet1'!$L$16"}</definedName>
    <definedName name="えええ" localSheetId="0" hidden="1">{"'Sheet1'!$L$16"}</definedName>
    <definedName name="えええ" localSheetId="8" hidden="1">{"'Sheet1'!$L$16"}</definedName>
    <definedName name="えええ" hidden="1">{"'Sheet1'!$L$16"}</definedName>
    <definedName name="っｋ" localSheetId="0" hidden="1">#REF!</definedName>
    <definedName name="っｋ" localSheetId="8" hidden="1">#REF!</definedName>
    <definedName name="っｋ" hidden="1">#REF!</definedName>
    <definedName name="んｎ" localSheetId="0" hidden="1">{"'Sheet1'!$L$16"}</definedName>
    <definedName name="んｎ" localSheetId="8" hidden="1">{"'Sheet1'!$L$16"}</definedName>
    <definedName name="んｎ" hidden="1">{"'Sheet1'!$L$16"}</definedName>
    <definedName name="んんｎ" localSheetId="0" hidden="1">{"'Sheet1'!$L$16"}</definedName>
    <definedName name="んんｎ" localSheetId="8" hidden="1">{"'Sheet1'!$L$16"}</definedName>
    <definedName name="んんｎ" hidden="1">{"'Sheet1'!$L$16"}</definedName>
    <definedName name="간접비" localSheetId="0" hidden="1">{#N/A,#N/A,FALSE,"갑지";#N/A,#N/A,FALSE,"개요";#N/A,#N/A,FALSE,"비목별";#N/A,#N/A,FALSE,"건물별";#N/A,#N/A,FALSE,"기구표";#N/A,#N/A,FALSE,"직원투입"}</definedName>
    <definedName name="간접비" localSheetId="8" hidden="1">{#N/A,#N/A,FALSE,"갑지";#N/A,#N/A,FALSE,"개요";#N/A,#N/A,FALSE,"비목별";#N/A,#N/A,FALSE,"건물별";#N/A,#N/A,FALSE,"기구표";#N/A,#N/A,FALSE,"직원투입"}</definedName>
    <definedName name="간접비" hidden="1">{#N/A,#N/A,FALSE,"갑지";#N/A,#N/A,FALSE,"개요";#N/A,#N/A,FALSE,"비목별";#N/A,#N/A,FALSE,"건물별";#N/A,#N/A,FALSE,"기구표";#N/A,#N/A,FALSE,"직원투입"}</definedName>
    <definedName name="간접비1" localSheetId="0" hidden="1">{#N/A,#N/A,FALSE,"갑지";#N/A,#N/A,FALSE,"개요";#N/A,#N/A,FALSE,"비목별";#N/A,#N/A,FALSE,"건물별";#N/A,#N/A,FALSE,"기구표";#N/A,#N/A,FALSE,"직원투입"}</definedName>
    <definedName name="간접비1" localSheetId="8"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건축비목집계" localSheetId="0" hidden="1">{#N/A,#N/A,FALSE,"표지"}</definedName>
    <definedName name="건축비목집계" localSheetId="8" hidden="1">{#N/A,#N/A,FALSE,"표지"}</definedName>
    <definedName name="건축비목집계" hidden="1">{#N/A,#N/A,FALSE,"표지"}</definedName>
    <definedName name="견적" localSheetId="0" hidden="1">{#N/A,#N/A,FALSE,"CCTV"}</definedName>
    <definedName name="견적" localSheetId="8" hidden="1">{#N/A,#N/A,FALSE,"CCTV"}</definedName>
    <definedName name="견적" hidden="1">{#N/A,#N/A,FALSE,"CCTV"}</definedName>
    <definedName name="견적2" localSheetId="0" hidden="1">{#N/A,#N/A,FALSE,"CCTV"}</definedName>
    <definedName name="견적2" localSheetId="8" hidden="1">{#N/A,#N/A,FALSE,"CCTV"}</definedName>
    <definedName name="견적2" hidden="1">{#N/A,#N/A,FALSE,"CCTV"}</definedName>
    <definedName name="견적SHEET" localSheetId="0" hidden="1">{#N/A,#N/A,FALSE,"CCTV"}</definedName>
    <definedName name="견적SHEET" localSheetId="8" hidden="1">{#N/A,#N/A,FALSE,"CCTV"}</definedName>
    <definedName name="견적SHEET" hidden="1">{#N/A,#N/A,FALSE,"CCTV"}</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비2" localSheetId="0" hidden="1">{#N/A,#N/A,FALSE,"갑지";#N/A,#N/A,FALSE,"개요";#N/A,#N/A,FALSE,"비목별";#N/A,#N/A,FALSE,"건물별";#N/A,#N/A,FALSE,"기구표";#N/A,#N/A,FALSE,"직원투입"}</definedName>
    <definedName name="관리비2" localSheetId="8" hidden="1">{#N/A,#N/A,FALSE,"갑지";#N/A,#N/A,FALSE,"개요";#N/A,#N/A,FALSE,"비목별";#N/A,#N/A,FALSE,"건물별";#N/A,#N/A,FALSE,"기구표";#N/A,#N/A,FALSE,"직원투입"}</definedName>
    <definedName name="관리비2" hidden="1">{#N/A,#N/A,FALSE,"갑지";#N/A,#N/A,FALSE,"개요";#N/A,#N/A,FALSE,"비목별";#N/A,#N/A,FALSE,"건물별";#N/A,#N/A,FALSE,"기구표";#N/A,#N/A,FALSE,"직원투입"}</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역산출근거" localSheetId="0" hidden="1">{#N/A,#N/A,TRUE,"1";#N/A,#N/A,TRUE,"2";#N/A,#N/A,TRUE,"3";#N/A,#N/A,TRUE,"4";#N/A,#N/A,TRUE,"5";#N/A,#N/A,TRUE,"6";#N/A,#N/A,TRUE,"7"}</definedName>
    <definedName name="내역산출근거" localSheetId="8" hidden="1">{#N/A,#N/A,TRUE,"1";#N/A,#N/A,TRUE,"2";#N/A,#N/A,TRUE,"3";#N/A,#N/A,TRUE,"4";#N/A,#N/A,TRUE,"5";#N/A,#N/A,TRUE,"6";#N/A,#N/A,TRUE,"7"}</definedName>
    <definedName name="내역산출근거" hidden="1">{#N/A,#N/A,TRUE,"1";#N/A,#N/A,TRUE,"2";#N/A,#N/A,TRUE,"3";#N/A,#N/A,TRUE,"4";#N/A,#N/A,TRUE,"5";#N/A,#N/A,TRUE,"6";#N/A,#N/A,TRUE,"7"}</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0" hidden="1">#REF!</definedName>
    <definedName name="ㄹㄹㄹ" localSheetId="8" hidden="1">#REF!</definedName>
    <definedName name="ㄹㄹㄹ" hidden="1">#REF!</definedName>
    <definedName name="래그" localSheetId="0" hidden="1">{#N/A,#N/A,FALSE,"CCTV"}</definedName>
    <definedName name="래그" localSheetId="8" hidden="1">{#N/A,#N/A,FALSE,"CCTV"}</definedName>
    <definedName name="래그" hidden="1">{#N/A,#N/A,FALSE,"CCTV"}</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ㅁㅁ" localSheetId="0" hidden="1">#REF!</definedName>
    <definedName name="ㅁㅁㅁ" localSheetId="8" hidden="1">#REF!</definedName>
    <definedName name="ㅁㅁㅁ" hidden="1">#REF!</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천상동조경" localSheetId="0" hidden="1">{#N/A,#N/A,FALSE,"표지"}</definedName>
    <definedName name="부천상동조경" localSheetId="8" hidden="1">{#N/A,#N/A,FALSE,"표지"}</definedName>
    <definedName name="부천상동조경" hidden="1">{#N/A,#N/A,FALSE,"표지"}</definedName>
    <definedName name="샘풀카피" localSheetId="0" hidden="1">{#N/A,#N/A,FALSE,"CCTV"}</definedName>
    <definedName name="샘풀카피" localSheetId="8" hidden="1">{#N/A,#N/A,FALSE,"CCTV"}</definedName>
    <definedName name="샘풀카피" hidden="1">{#N/A,#N/A,FALSE,"CCTV"}</definedName>
    <definedName name="샘플카피2" localSheetId="0" hidden="1">{#N/A,#N/A,FALSE,"CCTV"}</definedName>
    <definedName name="샘플카피2" localSheetId="8" hidden="1">{#N/A,#N/A,FALSE,"CCTV"}</definedName>
    <definedName name="샘플카피2" hidden="1">{#N/A,#N/A,FALSE,"CCTV"}</definedName>
    <definedName name="샘플카피3" localSheetId="0" hidden="1">{#N/A,#N/A,FALSE,"CCTV"}</definedName>
    <definedName name="샘플카피3" localSheetId="8" hidden="1">{#N/A,#N/A,FALSE,"CCTV"}</definedName>
    <definedName name="샘플카피3" hidden="1">{#N/A,#N/A,FALSE,"CCTV"}</definedName>
    <definedName name="수" localSheetId="0" hidden="1">#REF!</definedName>
    <definedName name="수" localSheetId="8" hidden="1">#REF!</definedName>
    <definedName name="수" hidden="1">#REF!</definedName>
    <definedName name="수량산출근거" localSheetId="0" hidden="1">{#N/A,#N/A,FALSE,"표지"}</definedName>
    <definedName name="수량산출근거" localSheetId="8" hidden="1">{#N/A,#N/A,FALSE,"표지"}</definedName>
    <definedName name="수량산출근거" hidden="1">{#N/A,#N/A,FALSE,"표지"}</definedName>
    <definedName name="ㅇㄹㄹ" localSheetId="0" hidden="1">#REF!</definedName>
    <definedName name="ㅇㄹㄹ" localSheetId="8" hidden="1">#REF!</definedName>
    <definedName name="ㅇㄹㄹ" hidden="1">#REF!</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0" hidden="1">{#N/A,#N/A,FALSE,"표지"}</definedName>
    <definedName name="조경공사" localSheetId="8" hidden="1">{#N/A,#N/A,FALSE,"표지"}</definedName>
    <definedName name="조경공사" hidden="1">{#N/A,#N/A,FALSE,"표지"}</definedName>
    <definedName name="조경사본" localSheetId="0" hidden="1">{#N/A,#N/A,FALSE,"표지"}</definedName>
    <definedName name="조경사본" localSheetId="8" hidden="1">{#N/A,#N/A,FALSE,"표지"}</definedName>
    <definedName name="조경사본" hidden="1">{#N/A,#N/A,FALSE,"표지"}</definedName>
    <definedName name="조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0" hidden="1">{#N/A,#N/A,FALSE,"표지"}</definedName>
    <definedName name="주차장" localSheetId="8" hidden="1">{#N/A,#N/A,FALSE,"표지"}</definedName>
    <definedName name="주차장" hidden="1">{#N/A,#N/A,FALSE,"표지"}</definedName>
    <definedName name="표지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実行" localSheetId="0" hidden="1">{"'Sheet1'!$L$16"}</definedName>
    <definedName name="実行" localSheetId="8" hidden="1">{"'Sheet1'!$L$16"}</definedName>
    <definedName name="実行" hidden="1">{"'Sheet1'!$L$16"}</definedName>
  </definedNames>
  <calcPr calcId="191029" calcMode="autoNoTable" iterate="1"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55" l="1"/>
  <c r="K14" i="55"/>
  <c r="K13" i="55"/>
  <c r="F263" i="128" l="1"/>
  <c r="Q71" i="4"/>
  <c r="P71" i="4"/>
  <c r="O71" i="4"/>
  <c r="F46" i="128"/>
  <c r="F43" i="128"/>
  <c r="F19" i="128"/>
  <c r="E386" i="128"/>
  <c r="J67" i="11" l="1"/>
  <c r="I67" i="11" s="1"/>
  <c r="H67" i="11" s="1"/>
  <c r="G67" i="11" s="1"/>
  <c r="F67" i="11" s="1"/>
  <c r="E67" i="11" s="1"/>
  <c r="D67" i="11" s="1"/>
  <c r="K67" i="11"/>
  <c r="L67" i="11"/>
  <c r="I12" i="11"/>
  <c r="F408" i="128"/>
  <c r="F410" i="128"/>
  <c r="F409" i="128"/>
  <c r="E410" i="128"/>
  <c r="E409" i="128"/>
  <c r="D410" i="128"/>
  <c r="D409" i="128"/>
  <c r="D401" i="128"/>
  <c r="M18" i="113"/>
  <c r="B96" i="11"/>
  <c r="B81" i="11"/>
  <c r="B97" i="11"/>
  <c r="B95" i="11"/>
  <c r="B82" i="11"/>
  <c r="B80" i="11"/>
  <c r="U34" i="9" l="1"/>
  <c r="V34" i="9"/>
  <c r="W34" i="9"/>
  <c r="X34" i="9"/>
  <c r="D61" i="5" l="1"/>
  <c r="S68" i="4" l="1"/>
  <c r="S65" i="4"/>
  <c r="O65" i="4"/>
  <c r="O68" i="4"/>
  <c r="G52" i="6"/>
  <c r="U29" i="4"/>
  <c r="T29" i="4"/>
  <c r="S29" i="4"/>
  <c r="R29" i="4"/>
  <c r="Q29" i="4"/>
  <c r="P29" i="4"/>
  <c r="O29" i="4"/>
  <c r="N29" i="4"/>
  <c r="M29" i="4"/>
  <c r="L29" i="4"/>
  <c r="U28" i="4"/>
  <c r="T28" i="4"/>
  <c r="S28" i="4"/>
  <c r="R28" i="4"/>
  <c r="Q28" i="4"/>
  <c r="P28" i="4"/>
  <c r="O28" i="4"/>
  <c r="N28" i="4"/>
  <c r="M28" i="4"/>
  <c r="L28" i="4"/>
  <c r="U27" i="4"/>
  <c r="T27" i="4"/>
  <c r="S27" i="4"/>
  <c r="R27" i="4"/>
  <c r="Q27" i="4"/>
  <c r="P27" i="4"/>
  <c r="O27" i="4"/>
  <c r="N27" i="4"/>
  <c r="M27" i="4"/>
  <c r="L27" i="4"/>
  <c r="M26" i="4"/>
  <c r="N26" i="4"/>
  <c r="O26" i="4"/>
  <c r="P26" i="4"/>
  <c r="Q26" i="4"/>
  <c r="R26" i="4"/>
  <c r="S26" i="4"/>
  <c r="T26" i="4"/>
  <c r="U26" i="4"/>
  <c r="L26" i="4"/>
  <c r="O23" i="4"/>
  <c r="P23" i="4"/>
  <c r="Q23" i="4"/>
  <c r="R23" i="4"/>
  <c r="S23" i="4"/>
  <c r="T23" i="4"/>
  <c r="U23" i="4"/>
  <c r="N23" i="4"/>
  <c r="O21" i="4"/>
  <c r="P21" i="4"/>
  <c r="Q21" i="4"/>
  <c r="R21" i="4"/>
  <c r="S21" i="4"/>
  <c r="T21" i="4"/>
  <c r="U21" i="4"/>
  <c r="N21" i="4"/>
  <c r="I12" i="55"/>
  <c r="P63" i="113" l="1"/>
  <c r="Q63" i="113"/>
  <c r="R63" i="113"/>
  <c r="S63" i="113"/>
  <c r="T63" i="113"/>
  <c r="O63" i="113"/>
  <c r="P62" i="113"/>
  <c r="Q62" i="113"/>
  <c r="R62" i="113"/>
  <c r="S62" i="113"/>
  <c r="T62" i="113"/>
  <c r="O62" i="113"/>
  <c r="L63" i="113"/>
  <c r="L62" i="113"/>
  <c r="G75" i="113"/>
  <c r="E105" i="7"/>
  <c r="D63" i="113"/>
  <c r="D62" i="113"/>
  <c r="L15" i="113"/>
  <c r="I62" i="113" s="1"/>
  <c r="J15" i="113"/>
  <c r="E408" i="128"/>
  <c r="E413" i="128"/>
  <c r="F45" i="128"/>
  <c r="F44" i="128"/>
  <c r="C11" i="11"/>
  <c r="G74" i="113" s="1"/>
  <c r="D75" i="113"/>
  <c r="D74" i="113"/>
  <c r="R19" i="4"/>
  <c r="N20" i="4"/>
  <c r="E30" i="7"/>
  <c r="E74" i="113" s="1"/>
  <c r="K115" i="113"/>
  <c r="I74" i="113" l="1"/>
  <c r="N15" i="55"/>
  <c r="M15" i="113" s="1"/>
  <c r="K15" i="113"/>
  <c r="E62" i="113" s="1"/>
  <c r="N63" i="113"/>
  <c r="N62" i="113"/>
  <c r="T34" i="9"/>
  <c r="H34" i="9"/>
  <c r="I34" i="9"/>
  <c r="J34" i="9"/>
  <c r="K34" i="9"/>
  <c r="L34" i="9"/>
  <c r="M34" i="9"/>
  <c r="N34" i="9"/>
  <c r="O34" i="9"/>
  <c r="P34" i="9"/>
  <c r="Q34" i="9"/>
  <c r="R34" i="9"/>
  <c r="G34" i="9"/>
  <c r="I63" i="31"/>
  <c r="J63" i="31"/>
  <c r="M51" i="8"/>
  <c r="T61" i="113" l="1"/>
  <c r="S61" i="113"/>
  <c r="R61" i="113"/>
  <c r="Q61" i="113"/>
  <c r="P61" i="113"/>
  <c r="O61" i="113"/>
  <c r="L61" i="113"/>
  <c r="BJ78" i="5"/>
  <c r="BK78" i="5"/>
  <c r="BL78" i="5"/>
  <c r="BM78" i="5"/>
  <c r="BN78" i="5"/>
  <c r="BO78" i="5"/>
  <c r="BP78" i="5"/>
  <c r="BQ78" i="5"/>
  <c r="BR78" i="5"/>
  <c r="C61" i="113"/>
  <c r="D61" i="113"/>
  <c r="E20" i="5"/>
  <c r="C64" i="113" l="1"/>
  <c r="C62" i="113"/>
  <c r="C63" i="113" s="1"/>
  <c r="N61" i="113"/>
  <c r="G73" i="113"/>
  <c r="G72" i="113"/>
  <c r="H22" i="11"/>
  <c r="E20" i="113"/>
  <c r="K384" i="128" l="1"/>
  <c r="K386" i="128"/>
  <c r="E414" i="128"/>
  <c r="K385" i="128"/>
  <c r="K116" i="113"/>
  <c r="K118" i="113"/>
  <c r="K119" i="113"/>
  <c r="K121" i="113"/>
  <c r="K122" i="113"/>
  <c r="K123" i="113"/>
  <c r="K124" i="113"/>
  <c r="K125" i="113"/>
  <c r="K112" i="113" l="1"/>
  <c r="K111" i="113"/>
  <c r="K114" i="113"/>
  <c r="K113" i="113"/>
  <c r="K110" i="113"/>
  <c r="K109" i="113"/>
  <c r="K108" i="113"/>
  <c r="J76" i="113"/>
  <c r="G48" i="6" l="1"/>
  <c r="G47" i="6"/>
  <c r="C48" i="6"/>
  <c r="C47" i="6"/>
  <c r="C75" i="6"/>
  <c r="D76" i="113" s="1"/>
  <c r="C74" i="6"/>
  <c r="O64" i="113"/>
  <c r="P64" i="113"/>
  <c r="Q64" i="113"/>
  <c r="R64" i="113"/>
  <c r="S64" i="113"/>
  <c r="T64" i="113"/>
  <c r="P60" i="113"/>
  <c r="Q60" i="113"/>
  <c r="R60" i="113"/>
  <c r="S60" i="113"/>
  <c r="T60" i="113"/>
  <c r="O60" i="113"/>
  <c r="L64" i="113"/>
  <c r="L60" i="113"/>
  <c r="D64" i="113"/>
  <c r="E22" i="113"/>
  <c r="L18" i="113"/>
  <c r="I63" i="113" s="1"/>
  <c r="J18" i="113"/>
  <c r="I18" i="113"/>
  <c r="H18" i="113"/>
  <c r="E18" i="113"/>
  <c r="M17" i="113"/>
  <c r="L16" i="113"/>
  <c r="I64" i="113" s="1"/>
  <c r="L14" i="113"/>
  <c r="I61" i="113" s="1"/>
  <c r="J16" i="113"/>
  <c r="D16" i="113"/>
  <c r="I42" i="113"/>
  <c r="I41" i="113"/>
  <c r="I40" i="113"/>
  <c r="I39" i="113"/>
  <c r="P35" i="113"/>
  <c r="Q35" i="113"/>
  <c r="R35" i="113"/>
  <c r="S35" i="113"/>
  <c r="T35" i="113"/>
  <c r="O35" i="113"/>
  <c r="T33" i="113"/>
  <c r="S33" i="113"/>
  <c r="R33" i="113"/>
  <c r="Q33" i="113"/>
  <c r="P33" i="113"/>
  <c r="O33" i="113"/>
  <c r="T32" i="113"/>
  <c r="S32" i="113"/>
  <c r="R32" i="113"/>
  <c r="Q32" i="113"/>
  <c r="P32" i="113"/>
  <c r="O32" i="113"/>
  <c r="P31" i="113"/>
  <c r="Q31" i="113"/>
  <c r="R31" i="113"/>
  <c r="S31" i="113"/>
  <c r="T31" i="113"/>
  <c r="O31" i="113"/>
  <c r="D18" i="113"/>
  <c r="N34" i="113"/>
  <c r="N30" i="113"/>
  <c r="N64" i="113" l="1"/>
  <c r="N60" i="113"/>
  <c r="N31" i="113"/>
  <c r="N35" i="113"/>
  <c r="N33" i="113"/>
  <c r="N32" i="113"/>
  <c r="F412" i="128" l="1"/>
  <c r="G385" i="128"/>
  <c r="F119" i="128"/>
  <c r="F81" i="128"/>
  <c r="D317" i="128" s="1"/>
  <c r="F58" i="128"/>
  <c r="F56" i="128"/>
  <c r="F53" i="128"/>
  <c r="F116" i="128"/>
  <c r="F41" i="128"/>
  <c r="F18" i="128"/>
  <c r="F8" i="128"/>
  <c r="V19" i="4" l="1"/>
  <c r="G37" i="55"/>
  <c r="I17" i="113" s="1"/>
  <c r="F37" i="55"/>
  <c r="H17" i="113" s="1"/>
  <c r="K16" i="55" l="1"/>
  <c r="K16" i="113" s="1"/>
  <c r="E76" i="113" l="1"/>
  <c r="E64" i="113"/>
  <c r="G49" i="6"/>
  <c r="J96" i="7"/>
  <c r="K96" i="7"/>
  <c r="L96" i="7"/>
  <c r="M96" i="7"/>
  <c r="N96" i="7"/>
  <c r="O96" i="7"/>
  <c r="P96" i="7"/>
  <c r="Q96" i="7"/>
  <c r="R96" i="7"/>
  <c r="S96" i="7"/>
  <c r="T96" i="7"/>
  <c r="U96" i="7"/>
  <c r="V96" i="7"/>
  <c r="W96" i="7"/>
  <c r="X96" i="7"/>
  <c r="Y96" i="7"/>
  <c r="Z96" i="7"/>
  <c r="AA96" i="7"/>
  <c r="AB96" i="7"/>
  <c r="AC96" i="7"/>
  <c r="AD96" i="7"/>
  <c r="AE96" i="7"/>
  <c r="AF96" i="7"/>
  <c r="AG96" i="7"/>
  <c r="AH96" i="7"/>
  <c r="AI96" i="7"/>
  <c r="AJ96" i="7"/>
  <c r="AK96" i="7"/>
  <c r="AL96" i="7"/>
  <c r="AM96" i="7"/>
  <c r="AN96" i="7"/>
  <c r="AO96" i="7"/>
  <c r="AP96" i="7"/>
  <c r="AQ96" i="7"/>
  <c r="AR96" i="7"/>
  <c r="AS96" i="7"/>
  <c r="AT96" i="7"/>
  <c r="AU96" i="7"/>
  <c r="AV96" i="7"/>
  <c r="AW96" i="7"/>
  <c r="AX96" i="7"/>
  <c r="AY96" i="7"/>
  <c r="AZ96" i="7"/>
  <c r="BA96" i="7"/>
  <c r="BB96" i="7"/>
  <c r="BC96" i="7"/>
  <c r="BD96" i="7"/>
  <c r="BE96" i="7"/>
  <c r="BF96" i="7"/>
  <c r="BG96" i="7"/>
  <c r="BH96" i="7"/>
  <c r="BI96" i="7"/>
  <c r="BJ96" i="7"/>
  <c r="BK96" i="7"/>
  <c r="BL96" i="7"/>
  <c r="BM96" i="7"/>
  <c r="BN96" i="7"/>
  <c r="BO96" i="7"/>
  <c r="BP96" i="7"/>
  <c r="BQ96" i="7"/>
  <c r="BR96" i="7"/>
  <c r="BS96" i="7"/>
  <c r="BT96" i="7"/>
  <c r="BU96" i="7"/>
  <c r="BV96" i="7"/>
  <c r="BW96" i="7"/>
  <c r="BX96" i="7"/>
  <c r="BY96" i="7"/>
  <c r="BZ96" i="7"/>
  <c r="CA96" i="7"/>
  <c r="CB96" i="7"/>
  <c r="CC96" i="7"/>
  <c r="CD96" i="7"/>
  <c r="CE96" i="7"/>
  <c r="CF96" i="7"/>
  <c r="CG96" i="7"/>
  <c r="CH96" i="7"/>
  <c r="CI96" i="7"/>
  <c r="CJ96" i="7"/>
  <c r="I96" i="7"/>
  <c r="H96" i="7"/>
  <c r="C95" i="7"/>
  <c r="C39" i="6" s="1"/>
  <c r="C49" i="6" l="1"/>
  <c r="C76" i="6"/>
  <c r="E111" i="7"/>
  <c r="C102" i="7"/>
  <c r="C109" i="7"/>
  <c r="G10" i="31"/>
  <c r="F10" i="31"/>
  <c r="E10" i="31"/>
  <c r="C8" i="31"/>
  <c r="E395" i="128" l="1"/>
  <c r="F395" i="128"/>
  <c r="H155" i="128"/>
  <c r="H156" i="128" s="1"/>
  <c r="H157" i="128" s="1"/>
  <c r="H158" i="128" s="1"/>
  <c r="H159" i="128" s="1"/>
  <c r="H160" i="128" s="1"/>
  <c r="H161" i="128" s="1"/>
  <c r="H162" i="128" s="1"/>
  <c r="H163" i="128" s="1"/>
  <c r="H164" i="128" s="1"/>
  <c r="H165" i="128" s="1"/>
  <c r="H166" i="128" s="1"/>
  <c r="H167" i="128" s="1"/>
  <c r="H168" i="128" s="1"/>
  <c r="H169" i="128" s="1"/>
  <c r="H170" i="128" s="1"/>
  <c r="H171" i="128" s="1"/>
  <c r="H172" i="128" s="1"/>
  <c r="H173" i="128" s="1"/>
  <c r="H174" i="128" s="1"/>
  <c r="H175" i="128" s="1"/>
  <c r="H176" i="128" s="1"/>
  <c r="H177" i="128" s="1"/>
  <c r="H178" i="128" s="1"/>
  <c r="H179" i="128" s="1"/>
  <c r="H180" i="128" s="1"/>
  <c r="H181" i="128" s="1"/>
  <c r="H182" i="128" s="1"/>
  <c r="H183" i="128" s="1"/>
  <c r="H184" i="128" s="1"/>
  <c r="H185" i="128" s="1"/>
  <c r="H186" i="128" s="1"/>
  <c r="H187" i="128" s="1"/>
  <c r="H188" i="128" s="1"/>
  <c r="H189" i="128" s="1"/>
  <c r="H190" i="128" s="1"/>
  <c r="H191" i="128" s="1"/>
  <c r="H192" i="128" s="1"/>
  <c r="H193" i="128" s="1"/>
  <c r="H194" i="128" s="1"/>
  <c r="H195" i="128" s="1"/>
  <c r="H196" i="128" s="1"/>
  <c r="F40" i="128" l="1"/>
  <c r="I12" i="113" l="1"/>
  <c r="J97" i="113"/>
  <c r="CJ103" i="7" l="1"/>
  <c r="CI103" i="7"/>
  <c r="CH103" i="7"/>
  <c r="CG103" i="7"/>
  <c r="CF103" i="7"/>
  <c r="CE103" i="7"/>
  <c r="CD103" i="7"/>
  <c r="CC103" i="7"/>
  <c r="CB103" i="7"/>
  <c r="CA103" i="7"/>
  <c r="BZ103" i="7"/>
  <c r="BY103" i="7"/>
  <c r="BX103" i="7"/>
  <c r="BW103" i="7"/>
  <c r="BV103" i="7"/>
  <c r="BU103" i="7"/>
  <c r="BT103" i="7"/>
  <c r="BS103" i="7"/>
  <c r="BR103" i="7"/>
  <c r="BQ103" i="7"/>
  <c r="BP103" i="7"/>
  <c r="BO103" i="7"/>
  <c r="BN103" i="7"/>
  <c r="BM103" i="7"/>
  <c r="BL103" i="7"/>
  <c r="BK103" i="7"/>
  <c r="BJ103" i="7"/>
  <c r="BI103" i="7"/>
  <c r="BH103" i="7"/>
  <c r="BG103" i="7"/>
  <c r="BF103" i="7"/>
  <c r="BE103" i="7"/>
  <c r="BD103" i="7"/>
  <c r="BC103" i="7"/>
  <c r="BB103" i="7"/>
  <c r="BA103" i="7"/>
  <c r="AZ103" i="7"/>
  <c r="AY103" i="7"/>
  <c r="AX103" i="7"/>
  <c r="AW103" i="7"/>
  <c r="AV103" i="7"/>
  <c r="AU103" i="7"/>
  <c r="AT103" i="7"/>
  <c r="AS103" i="7"/>
  <c r="AR103" i="7"/>
  <c r="AQ103" i="7"/>
  <c r="AP103" i="7"/>
  <c r="AO103" i="7"/>
  <c r="AN103" i="7"/>
  <c r="AM103" i="7"/>
  <c r="AL103" i="7"/>
  <c r="AK103" i="7"/>
  <c r="AJ103" i="7"/>
  <c r="AI103" i="7"/>
  <c r="AH103" i="7"/>
  <c r="AG103" i="7"/>
  <c r="AF103" i="7"/>
  <c r="AE103" i="7"/>
  <c r="AD103" i="7"/>
  <c r="AC103" i="7"/>
  <c r="AB103" i="7"/>
  <c r="AA103" i="7"/>
  <c r="Z103" i="7"/>
  <c r="Y103" i="7"/>
  <c r="X103" i="7"/>
  <c r="W103" i="7"/>
  <c r="V103" i="7"/>
  <c r="U103" i="7"/>
  <c r="T103" i="7"/>
  <c r="S103" i="7"/>
  <c r="R103" i="7"/>
  <c r="Q103" i="7"/>
  <c r="P103" i="7"/>
  <c r="O103" i="7"/>
  <c r="N103" i="7"/>
  <c r="M103" i="7"/>
  <c r="L103" i="7"/>
  <c r="K103" i="7"/>
  <c r="J103" i="7"/>
  <c r="I103" i="7"/>
  <c r="H103" i="7"/>
  <c r="I110" i="7"/>
  <c r="J110" i="7"/>
  <c r="K110" i="7"/>
  <c r="L110" i="7"/>
  <c r="M110" i="7"/>
  <c r="N110" i="7"/>
  <c r="O110" i="7"/>
  <c r="P110" i="7"/>
  <c r="Q110" i="7"/>
  <c r="R110" i="7"/>
  <c r="S110" i="7"/>
  <c r="T110" i="7"/>
  <c r="U110" i="7"/>
  <c r="V110" i="7"/>
  <c r="W110" i="7"/>
  <c r="X110" i="7"/>
  <c r="Y110" i="7"/>
  <c r="Z110" i="7"/>
  <c r="AA110" i="7"/>
  <c r="AB110" i="7"/>
  <c r="AC110" i="7"/>
  <c r="AD110" i="7"/>
  <c r="AE110" i="7"/>
  <c r="AF110" i="7"/>
  <c r="AG110" i="7"/>
  <c r="AH110" i="7"/>
  <c r="AI110" i="7"/>
  <c r="AJ110" i="7"/>
  <c r="AK110" i="7"/>
  <c r="AL110" i="7"/>
  <c r="AM110" i="7"/>
  <c r="AN110" i="7"/>
  <c r="AO110" i="7"/>
  <c r="AP110" i="7"/>
  <c r="AQ110" i="7"/>
  <c r="AR110" i="7"/>
  <c r="AS110" i="7"/>
  <c r="AT110" i="7"/>
  <c r="AU110" i="7"/>
  <c r="AV110" i="7"/>
  <c r="AW110" i="7"/>
  <c r="AX110" i="7"/>
  <c r="AY110" i="7"/>
  <c r="AZ110" i="7"/>
  <c r="BA110" i="7"/>
  <c r="BB110" i="7"/>
  <c r="BC110" i="7"/>
  <c r="BD110" i="7"/>
  <c r="BE110" i="7"/>
  <c r="BF110" i="7"/>
  <c r="BG110" i="7"/>
  <c r="BH110" i="7"/>
  <c r="BI110" i="7"/>
  <c r="BJ110" i="7"/>
  <c r="BK110" i="7"/>
  <c r="BL110" i="7"/>
  <c r="BM110" i="7"/>
  <c r="BN110" i="7"/>
  <c r="BO110" i="7"/>
  <c r="BP110" i="7"/>
  <c r="BQ110" i="7"/>
  <c r="BR110" i="7"/>
  <c r="BS110" i="7"/>
  <c r="BT110" i="7"/>
  <c r="BU110" i="7"/>
  <c r="BV110" i="7"/>
  <c r="BW110" i="7"/>
  <c r="BX110" i="7"/>
  <c r="BY110" i="7"/>
  <c r="BZ110" i="7"/>
  <c r="CA110" i="7"/>
  <c r="CB110" i="7"/>
  <c r="CC110" i="7"/>
  <c r="CD110" i="7"/>
  <c r="CE110" i="7"/>
  <c r="CF110" i="7"/>
  <c r="CG110" i="7"/>
  <c r="CH110" i="7"/>
  <c r="CI110" i="7"/>
  <c r="CJ110" i="7"/>
  <c r="H110" i="7"/>
  <c r="CI45" i="6"/>
  <c r="CH45" i="6"/>
  <c r="CG45" i="6"/>
  <c r="CF45" i="6"/>
  <c r="CE45" i="6"/>
  <c r="CD45" i="6"/>
  <c r="CC45" i="6"/>
  <c r="CB45" i="6"/>
  <c r="CA45" i="6"/>
  <c r="BZ45" i="6"/>
  <c r="BY45" i="6"/>
  <c r="BX45" i="6"/>
  <c r="BW45" i="6"/>
  <c r="BV45" i="6"/>
  <c r="BU45" i="6"/>
  <c r="BT45" i="6"/>
  <c r="BS45" i="6"/>
  <c r="BR45" i="6"/>
  <c r="BQ45" i="6"/>
  <c r="BP45" i="6"/>
  <c r="BO45" i="6"/>
  <c r="BN45" i="6"/>
  <c r="BM45" i="6"/>
  <c r="BL45" i="6"/>
  <c r="BK45" i="6"/>
  <c r="BJ45" i="6"/>
  <c r="BI45" i="6"/>
  <c r="BH45" i="6"/>
  <c r="BG45" i="6"/>
  <c r="BF45" i="6"/>
  <c r="BE45" i="6"/>
  <c r="BD45" i="6"/>
  <c r="BC45" i="6"/>
  <c r="BB45" i="6"/>
  <c r="BA45" i="6"/>
  <c r="AZ45" i="6"/>
  <c r="AY45" i="6"/>
  <c r="AX45" i="6"/>
  <c r="AW45" i="6"/>
  <c r="AV45" i="6"/>
  <c r="AU45" i="6"/>
  <c r="AT45" i="6"/>
  <c r="AS45" i="6"/>
  <c r="AR45" i="6"/>
  <c r="AQ45" i="6"/>
  <c r="G45" i="6"/>
  <c r="CI46" i="6"/>
  <c r="CH46" i="6"/>
  <c r="CG46" i="6"/>
  <c r="CF46" i="6"/>
  <c r="CE46" i="6"/>
  <c r="CD46" i="6"/>
  <c r="CC46" i="6"/>
  <c r="CB46" i="6"/>
  <c r="CA46" i="6"/>
  <c r="BZ46" i="6"/>
  <c r="BY46" i="6"/>
  <c r="BX46" i="6"/>
  <c r="BW46" i="6"/>
  <c r="BV46" i="6"/>
  <c r="BU46" i="6"/>
  <c r="BT46" i="6"/>
  <c r="BS46" i="6"/>
  <c r="BR46" i="6"/>
  <c r="BQ46" i="6"/>
  <c r="BP46" i="6"/>
  <c r="BO46" i="6"/>
  <c r="BN46" i="6"/>
  <c r="BM46" i="6"/>
  <c r="BL46" i="6"/>
  <c r="BK46" i="6"/>
  <c r="BJ46" i="6"/>
  <c r="BI46" i="6"/>
  <c r="BH46" i="6"/>
  <c r="BG46" i="6"/>
  <c r="BF46" i="6"/>
  <c r="BE46" i="6"/>
  <c r="BD46" i="6"/>
  <c r="BC46" i="6"/>
  <c r="BB46" i="6"/>
  <c r="BA46" i="6"/>
  <c r="AZ46" i="6"/>
  <c r="AY46" i="6"/>
  <c r="AX46" i="6"/>
  <c r="AW46" i="6"/>
  <c r="AV46" i="6"/>
  <c r="AU46" i="6"/>
  <c r="AT46" i="6"/>
  <c r="AS46" i="6"/>
  <c r="AR46" i="6"/>
  <c r="AQ46" i="6"/>
  <c r="G46" i="6"/>
  <c r="CI44" i="6"/>
  <c r="CH44" i="6"/>
  <c r="CG44" i="6"/>
  <c r="CF44" i="6"/>
  <c r="CE44" i="6"/>
  <c r="CD44" i="6"/>
  <c r="CC44" i="6"/>
  <c r="CB44" i="6"/>
  <c r="CA44" i="6"/>
  <c r="BZ44" i="6"/>
  <c r="BY44" i="6"/>
  <c r="BX44" i="6"/>
  <c r="BW44" i="6"/>
  <c r="BV44" i="6"/>
  <c r="BU44" i="6"/>
  <c r="BT44" i="6"/>
  <c r="BS44" i="6"/>
  <c r="BR44" i="6"/>
  <c r="BQ44" i="6"/>
  <c r="BP44" i="6"/>
  <c r="BO44" i="6"/>
  <c r="BN44" i="6"/>
  <c r="BM44" i="6"/>
  <c r="BL44" i="6"/>
  <c r="BK44" i="6"/>
  <c r="BJ44" i="6"/>
  <c r="BI44" i="6"/>
  <c r="BH44" i="6"/>
  <c r="BG44" i="6"/>
  <c r="BF44" i="6"/>
  <c r="BE44" i="6"/>
  <c r="BD44" i="6"/>
  <c r="BC44" i="6"/>
  <c r="BB44" i="6"/>
  <c r="BA44" i="6"/>
  <c r="AZ44" i="6"/>
  <c r="AY44" i="6"/>
  <c r="AX44" i="6"/>
  <c r="AW44" i="6"/>
  <c r="AV44" i="6"/>
  <c r="AU44" i="6"/>
  <c r="AT44" i="6"/>
  <c r="AS44" i="6"/>
  <c r="AR44" i="6"/>
  <c r="AQ44" i="6"/>
  <c r="G44" i="6"/>
  <c r="CI43" i="6"/>
  <c r="CH43" i="6"/>
  <c r="CG43" i="6"/>
  <c r="CF43" i="6"/>
  <c r="CE43" i="6"/>
  <c r="CD43" i="6"/>
  <c r="CC43" i="6"/>
  <c r="CB43" i="6"/>
  <c r="CA43" i="6"/>
  <c r="BZ43" i="6"/>
  <c r="BY43" i="6"/>
  <c r="BX43" i="6"/>
  <c r="BW43" i="6"/>
  <c r="BV43" i="6"/>
  <c r="BU43" i="6"/>
  <c r="BT43" i="6"/>
  <c r="BS43" i="6"/>
  <c r="BR43" i="6"/>
  <c r="BQ43" i="6"/>
  <c r="BP43" i="6"/>
  <c r="BO43" i="6"/>
  <c r="BN43" i="6"/>
  <c r="BM43" i="6"/>
  <c r="BL43" i="6"/>
  <c r="BK43" i="6"/>
  <c r="BJ43" i="6"/>
  <c r="BI43" i="6"/>
  <c r="BH43" i="6"/>
  <c r="BG43" i="6"/>
  <c r="BF43" i="6"/>
  <c r="BE43" i="6"/>
  <c r="BD43" i="6"/>
  <c r="BC43" i="6"/>
  <c r="BB43" i="6"/>
  <c r="BA43" i="6"/>
  <c r="AZ43" i="6"/>
  <c r="AY43" i="6"/>
  <c r="AX43" i="6"/>
  <c r="AW43" i="6"/>
  <c r="AV43" i="6"/>
  <c r="AU43" i="6"/>
  <c r="AT43" i="6"/>
  <c r="AS43" i="6"/>
  <c r="AR43" i="6"/>
  <c r="AQ43" i="6"/>
  <c r="G43" i="6"/>
  <c r="N31" i="55"/>
  <c r="N30" i="55"/>
  <c r="G50" i="6" l="1"/>
  <c r="G15" i="6"/>
  <c r="K32" i="55"/>
  <c r="K31" i="55"/>
  <c r="K30" i="55"/>
  <c r="K24" i="55"/>
  <c r="K23" i="55"/>
  <c r="K22" i="55"/>
  <c r="N14" i="55" l="1"/>
  <c r="M14" i="113" s="1"/>
  <c r="K14" i="113"/>
  <c r="E61" i="113" s="1"/>
  <c r="E18" i="7"/>
  <c r="E73" i="113" s="1"/>
  <c r="I73" i="113" s="1"/>
  <c r="N13" i="55"/>
  <c r="M13" i="113" s="1"/>
  <c r="E12" i="7"/>
  <c r="E72" i="113" s="1"/>
  <c r="I72" i="113" s="1"/>
  <c r="K29" i="55"/>
  <c r="K21" i="55"/>
  <c r="K13" i="113"/>
  <c r="E60" i="113" s="1"/>
  <c r="K12" i="55"/>
  <c r="G12" i="31"/>
  <c r="G15" i="31" s="1"/>
  <c r="G18" i="31" s="1"/>
  <c r="G21" i="31" s="1"/>
  <c r="G24" i="31" s="1"/>
  <c r="G27" i="31" s="1"/>
  <c r="G30" i="31" s="1"/>
  <c r="G33" i="31" s="1"/>
  <c r="G36" i="31" s="1"/>
  <c r="G39" i="31" s="1"/>
  <c r="G42" i="31" s="1"/>
  <c r="G45" i="31" s="1"/>
  <c r="G48" i="31" s="1"/>
  <c r="G51" i="31" s="1"/>
  <c r="G54" i="31" s="1"/>
  <c r="G57" i="31" s="1"/>
  <c r="G13" i="31"/>
  <c r="G16" i="31" s="1"/>
  <c r="G19" i="31" s="1"/>
  <c r="G22" i="31" s="1"/>
  <c r="G25" i="31" s="1"/>
  <c r="G28" i="31" s="1"/>
  <c r="G31" i="31" s="1"/>
  <c r="G34" i="31" s="1"/>
  <c r="G37" i="31" s="1"/>
  <c r="G40" i="31" s="1"/>
  <c r="G43" i="31" s="1"/>
  <c r="G46" i="31" s="1"/>
  <c r="G49" i="31" s="1"/>
  <c r="G52" i="31" s="1"/>
  <c r="G55" i="31" s="1"/>
  <c r="G11" i="31"/>
  <c r="G14" i="31" s="1"/>
  <c r="G17" i="31" s="1"/>
  <c r="G20" i="31" s="1"/>
  <c r="G23" i="31" s="1"/>
  <c r="G26" i="31" s="1"/>
  <c r="G29" i="31" s="1"/>
  <c r="G32" i="31" s="1"/>
  <c r="G35" i="31" s="1"/>
  <c r="G38" i="31" s="1"/>
  <c r="G41" i="31" s="1"/>
  <c r="G44" i="31" s="1"/>
  <c r="G47" i="31" s="1"/>
  <c r="G50" i="31" s="1"/>
  <c r="G53" i="31" s="1"/>
  <c r="G56" i="31" s="1"/>
  <c r="D60" i="113"/>
  <c r="D54" i="9"/>
  <c r="Y18" i="9" s="1"/>
  <c r="AQ41" i="8"/>
  <c r="AR41" i="8"/>
  <c r="AT41" i="8"/>
  <c r="AU41" i="8"/>
  <c r="AV41" i="8"/>
  <c r="AW41" i="8"/>
  <c r="AX41" i="8"/>
  <c r="AY41" i="8"/>
  <c r="AZ41" i="8"/>
  <c r="BA41" i="8"/>
  <c r="BB41" i="8"/>
  <c r="BC41" i="8"/>
  <c r="BD41" i="8"/>
  <c r="BE41" i="8"/>
  <c r="BF41" i="8"/>
  <c r="BG41" i="8"/>
  <c r="BH41" i="8"/>
  <c r="BI41" i="8"/>
  <c r="BJ41" i="8"/>
  <c r="BK41" i="8"/>
  <c r="BL41" i="8"/>
  <c r="BM41" i="8"/>
  <c r="BN41" i="8"/>
  <c r="BO41" i="8"/>
  <c r="BP41" i="8"/>
  <c r="BQ41" i="8"/>
  <c r="BR41" i="8"/>
  <c r="BS41" i="8"/>
  <c r="BT41" i="8"/>
  <c r="BU41" i="8"/>
  <c r="BV41" i="8"/>
  <c r="BW41" i="8"/>
  <c r="BX41" i="8"/>
  <c r="BY41" i="8"/>
  <c r="BZ41" i="8"/>
  <c r="CA41" i="8"/>
  <c r="CB41" i="8"/>
  <c r="CC41" i="8"/>
  <c r="CD41" i="8"/>
  <c r="CE41" i="8"/>
  <c r="CF41" i="8"/>
  <c r="CG41" i="8"/>
  <c r="CH41" i="8"/>
  <c r="L13" i="113"/>
  <c r="I60" i="113" s="1"/>
  <c r="E12" i="113"/>
  <c r="F12" i="5"/>
  <c r="E48" i="5"/>
  <c r="P9" i="11"/>
  <c r="R30" i="11"/>
  <c r="R29" i="11"/>
  <c r="R28" i="11"/>
  <c r="P31" i="11"/>
  <c r="H9" i="11"/>
  <c r="H10" i="11"/>
  <c r="H11" i="11"/>
  <c r="E90" i="7"/>
  <c r="E83" i="7"/>
  <c r="E67" i="7"/>
  <c r="E61" i="7"/>
  <c r="E55" i="7"/>
  <c r="E49" i="7"/>
  <c r="E37" i="7"/>
  <c r="H71" i="7"/>
  <c r="I65" i="7"/>
  <c r="J65" i="7"/>
  <c r="K65" i="7"/>
  <c r="L65" i="7"/>
  <c r="M65" i="7"/>
  <c r="N65" i="7"/>
  <c r="O65" i="7"/>
  <c r="P65" i="7"/>
  <c r="Q65" i="7"/>
  <c r="R65" i="7"/>
  <c r="S65" i="7"/>
  <c r="T65" i="7"/>
  <c r="U65" i="7"/>
  <c r="V65" i="7"/>
  <c r="W65" i="7"/>
  <c r="X65" i="7"/>
  <c r="Y65" i="7"/>
  <c r="Z65" i="7"/>
  <c r="AA65" i="7"/>
  <c r="AB65" i="7"/>
  <c r="AC65" i="7"/>
  <c r="AD65" i="7"/>
  <c r="AE65" i="7"/>
  <c r="AF65" i="7"/>
  <c r="AG65" i="7"/>
  <c r="AH65" i="7"/>
  <c r="AI65" i="7"/>
  <c r="AJ65" i="7"/>
  <c r="AK65" i="7"/>
  <c r="AL65" i="7"/>
  <c r="AM65" i="7"/>
  <c r="AN65" i="7"/>
  <c r="AO65" i="7"/>
  <c r="AP65" i="7"/>
  <c r="AQ65" i="7"/>
  <c r="AR65" i="7"/>
  <c r="AS65" i="7"/>
  <c r="AT65" i="7"/>
  <c r="AU65" i="7"/>
  <c r="AV65" i="7"/>
  <c r="AW65" i="7"/>
  <c r="AX65" i="7"/>
  <c r="AY65" i="7"/>
  <c r="AZ65" i="7"/>
  <c r="BA65" i="7"/>
  <c r="BB65" i="7"/>
  <c r="BC65" i="7"/>
  <c r="BD65" i="7"/>
  <c r="BE65" i="7"/>
  <c r="BF65" i="7"/>
  <c r="BG65" i="7"/>
  <c r="BH65" i="7"/>
  <c r="BI65" i="7"/>
  <c r="BJ65" i="7"/>
  <c r="BK65" i="7"/>
  <c r="BL65" i="7"/>
  <c r="BM65" i="7"/>
  <c r="BN65" i="7"/>
  <c r="BO65" i="7"/>
  <c r="BP65" i="7"/>
  <c r="BQ65" i="7"/>
  <c r="BR65" i="7"/>
  <c r="BS65" i="7"/>
  <c r="BT65" i="7"/>
  <c r="BU65" i="7"/>
  <c r="BV65" i="7"/>
  <c r="BW65" i="7"/>
  <c r="BX65" i="7"/>
  <c r="BY65" i="7"/>
  <c r="BZ65" i="7"/>
  <c r="CA65" i="7"/>
  <c r="CB65" i="7"/>
  <c r="CC65" i="7"/>
  <c r="CD65" i="7"/>
  <c r="CE65" i="7"/>
  <c r="CF65" i="7"/>
  <c r="CG65" i="7"/>
  <c r="CH65" i="7"/>
  <c r="CI65" i="7"/>
  <c r="CJ65" i="7"/>
  <c r="H65" i="7"/>
  <c r="I59" i="7"/>
  <c r="J59" i="7"/>
  <c r="K59" i="7"/>
  <c r="L59" i="7"/>
  <c r="M59" i="7"/>
  <c r="N59" i="7"/>
  <c r="O59" i="7"/>
  <c r="P59" i="7"/>
  <c r="Q59" i="7"/>
  <c r="R59" i="7"/>
  <c r="S59" i="7"/>
  <c r="T59" i="7"/>
  <c r="U59" i="7"/>
  <c r="V59" i="7"/>
  <c r="W59" i="7"/>
  <c r="X59" i="7"/>
  <c r="Y59" i="7"/>
  <c r="Z59" i="7"/>
  <c r="AA59" i="7"/>
  <c r="AB59" i="7"/>
  <c r="AC59" i="7"/>
  <c r="AD59" i="7"/>
  <c r="AE59" i="7"/>
  <c r="AF59" i="7"/>
  <c r="AG59" i="7"/>
  <c r="AH59" i="7"/>
  <c r="AI59" i="7"/>
  <c r="AJ59" i="7"/>
  <c r="AK59" i="7"/>
  <c r="AL59" i="7"/>
  <c r="AM59" i="7"/>
  <c r="AN59" i="7"/>
  <c r="AO59" i="7"/>
  <c r="AP59" i="7"/>
  <c r="AQ59" i="7"/>
  <c r="AR59" i="7"/>
  <c r="AS59" i="7"/>
  <c r="AT59" i="7"/>
  <c r="AU59" i="7"/>
  <c r="AV59" i="7"/>
  <c r="AW59" i="7"/>
  <c r="AX59" i="7"/>
  <c r="AY59" i="7"/>
  <c r="AZ59" i="7"/>
  <c r="BA59" i="7"/>
  <c r="BB59" i="7"/>
  <c r="BC59" i="7"/>
  <c r="BD59" i="7"/>
  <c r="BE59" i="7"/>
  <c r="BF59" i="7"/>
  <c r="BG59" i="7"/>
  <c r="BH59" i="7"/>
  <c r="BI59" i="7"/>
  <c r="BJ59" i="7"/>
  <c r="BK59" i="7"/>
  <c r="BL59" i="7"/>
  <c r="BM59" i="7"/>
  <c r="BN59" i="7"/>
  <c r="BO59" i="7"/>
  <c r="BP59" i="7"/>
  <c r="BQ59" i="7"/>
  <c r="BR59" i="7"/>
  <c r="BS59" i="7"/>
  <c r="BT59" i="7"/>
  <c r="BU59" i="7"/>
  <c r="BV59" i="7"/>
  <c r="BW59" i="7"/>
  <c r="BX59" i="7"/>
  <c r="BY59" i="7"/>
  <c r="BZ59" i="7"/>
  <c r="CA59" i="7"/>
  <c r="CB59" i="7"/>
  <c r="CC59" i="7"/>
  <c r="CD59" i="7"/>
  <c r="CE59" i="7"/>
  <c r="CF59" i="7"/>
  <c r="CG59" i="7"/>
  <c r="CH59" i="7"/>
  <c r="CI59" i="7"/>
  <c r="CJ59" i="7"/>
  <c r="H59" i="7"/>
  <c r="I53" i="7"/>
  <c r="J53" i="7"/>
  <c r="K53" i="7"/>
  <c r="L53" i="7"/>
  <c r="M53" i="7"/>
  <c r="N53" i="7"/>
  <c r="O53" i="7"/>
  <c r="P53" i="7"/>
  <c r="Q53" i="7"/>
  <c r="R53" i="7"/>
  <c r="S53" i="7"/>
  <c r="T53" i="7"/>
  <c r="U53" i="7"/>
  <c r="V53" i="7"/>
  <c r="W53" i="7"/>
  <c r="X53" i="7"/>
  <c r="Y53" i="7"/>
  <c r="Z53" i="7"/>
  <c r="AA53" i="7"/>
  <c r="AB53" i="7"/>
  <c r="AC53" i="7"/>
  <c r="AD53" i="7"/>
  <c r="AE53" i="7"/>
  <c r="AF53" i="7"/>
  <c r="AG53" i="7"/>
  <c r="AH53" i="7"/>
  <c r="AI53" i="7"/>
  <c r="AJ53" i="7"/>
  <c r="AK53" i="7"/>
  <c r="AL53" i="7"/>
  <c r="AM53" i="7"/>
  <c r="AN53" i="7"/>
  <c r="AO53" i="7"/>
  <c r="AP53" i="7"/>
  <c r="AQ53" i="7"/>
  <c r="AR53" i="7"/>
  <c r="AS53" i="7"/>
  <c r="AT53" i="7"/>
  <c r="AU53" i="7"/>
  <c r="AV53" i="7"/>
  <c r="AW53" i="7"/>
  <c r="AX53" i="7"/>
  <c r="AY53" i="7"/>
  <c r="AZ53" i="7"/>
  <c r="BA53" i="7"/>
  <c r="BB53" i="7"/>
  <c r="BC53" i="7"/>
  <c r="BD53" i="7"/>
  <c r="BE53" i="7"/>
  <c r="BF53" i="7"/>
  <c r="BG53" i="7"/>
  <c r="BH53" i="7"/>
  <c r="BI53" i="7"/>
  <c r="BJ53" i="7"/>
  <c r="BK53" i="7"/>
  <c r="BL53" i="7"/>
  <c r="BM53" i="7"/>
  <c r="BN53" i="7"/>
  <c r="BO53" i="7"/>
  <c r="BP53" i="7"/>
  <c r="BQ53" i="7"/>
  <c r="BR53" i="7"/>
  <c r="BS53" i="7"/>
  <c r="BT53" i="7"/>
  <c r="BU53" i="7"/>
  <c r="BV53" i="7"/>
  <c r="BW53" i="7"/>
  <c r="BX53" i="7"/>
  <c r="BY53" i="7"/>
  <c r="BZ53" i="7"/>
  <c r="CA53" i="7"/>
  <c r="CB53" i="7"/>
  <c r="CC53" i="7"/>
  <c r="CD53" i="7"/>
  <c r="CE53" i="7"/>
  <c r="CF53" i="7"/>
  <c r="CG53" i="7"/>
  <c r="CH53" i="7"/>
  <c r="CI53" i="7"/>
  <c r="CJ53" i="7"/>
  <c r="H53" i="7"/>
  <c r="I47" i="7"/>
  <c r="J47" i="7"/>
  <c r="K47" i="7"/>
  <c r="L47" i="7"/>
  <c r="M47" i="7"/>
  <c r="N47" i="7"/>
  <c r="O47" i="7"/>
  <c r="P47" i="7"/>
  <c r="Q47" i="7"/>
  <c r="R47" i="7"/>
  <c r="S47" i="7"/>
  <c r="T47" i="7"/>
  <c r="U47" i="7"/>
  <c r="V47" i="7"/>
  <c r="W47" i="7"/>
  <c r="X47" i="7"/>
  <c r="Y47" i="7"/>
  <c r="Z47" i="7"/>
  <c r="AA47" i="7"/>
  <c r="AB47" i="7"/>
  <c r="AC47" i="7"/>
  <c r="AD47" i="7"/>
  <c r="AE47" i="7"/>
  <c r="AF47" i="7"/>
  <c r="AG47" i="7"/>
  <c r="AH47" i="7"/>
  <c r="AI47" i="7"/>
  <c r="AJ47" i="7"/>
  <c r="AK47" i="7"/>
  <c r="AL47" i="7"/>
  <c r="AM47" i="7"/>
  <c r="AN47" i="7"/>
  <c r="AO47" i="7"/>
  <c r="AP47" i="7"/>
  <c r="AQ47" i="7"/>
  <c r="AR47" i="7"/>
  <c r="AS47" i="7"/>
  <c r="AT47" i="7"/>
  <c r="AU47" i="7"/>
  <c r="AV47" i="7"/>
  <c r="AW47" i="7"/>
  <c r="AX47" i="7"/>
  <c r="AY47" i="7"/>
  <c r="AZ47" i="7"/>
  <c r="BA47" i="7"/>
  <c r="BB47" i="7"/>
  <c r="BC47" i="7"/>
  <c r="BD47" i="7"/>
  <c r="BE47" i="7"/>
  <c r="BF47" i="7"/>
  <c r="BG47" i="7"/>
  <c r="BH47" i="7"/>
  <c r="BI47" i="7"/>
  <c r="BJ47" i="7"/>
  <c r="BK47" i="7"/>
  <c r="BL47" i="7"/>
  <c r="BM47" i="7"/>
  <c r="BN47" i="7"/>
  <c r="BO47" i="7"/>
  <c r="BP47" i="7"/>
  <c r="BQ47" i="7"/>
  <c r="BR47" i="7"/>
  <c r="BS47" i="7"/>
  <c r="BT47" i="7"/>
  <c r="BU47" i="7"/>
  <c r="BV47" i="7"/>
  <c r="BW47" i="7"/>
  <c r="BX47" i="7"/>
  <c r="BY47" i="7"/>
  <c r="BZ47" i="7"/>
  <c r="CA47" i="7"/>
  <c r="CB47" i="7"/>
  <c r="CC47" i="7"/>
  <c r="CD47" i="7"/>
  <c r="CE47" i="7"/>
  <c r="CF47" i="7"/>
  <c r="CG47" i="7"/>
  <c r="CH47" i="7"/>
  <c r="CI47" i="7"/>
  <c r="CJ47" i="7"/>
  <c r="H47" i="7"/>
  <c r="I41" i="7"/>
  <c r="J41" i="7"/>
  <c r="K41" i="7"/>
  <c r="L41" i="7"/>
  <c r="M41" i="7"/>
  <c r="N41" i="7"/>
  <c r="O41" i="7"/>
  <c r="P41" i="7"/>
  <c r="Q41" i="7"/>
  <c r="R41" i="7"/>
  <c r="S41" i="7"/>
  <c r="T41" i="7"/>
  <c r="U41" i="7"/>
  <c r="V41" i="7"/>
  <c r="W41" i="7"/>
  <c r="X41" i="7"/>
  <c r="Y41" i="7"/>
  <c r="Z41" i="7"/>
  <c r="AA41" i="7"/>
  <c r="AB41" i="7"/>
  <c r="AC41" i="7"/>
  <c r="AD41" i="7"/>
  <c r="AE41" i="7"/>
  <c r="AF41" i="7"/>
  <c r="AG41" i="7"/>
  <c r="AH41" i="7"/>
  <c r="AI41" i="7"/>
  <c r="AJ41" i="7"/>
  <c r="AK41" i="7"/>
  <c r="AL41" i="7"/>
  <c r="AM41" i="7"/>
  <c r="AN41" i="7"/>
  <c r="AO41" i="7"/>
  <c r="AP41" i="7"/>
  <c r="AQ41" i="7"/>
  <c r="AR41" i="7"/>
  <c r="AS41" i="7"/>
  <c r="AT41" i="7"/>
  <c r="AU41" i="7"/>
  <c r="AV41" i="7"/>
  <c r="AW41" i="7"/>
  <c r="AX41" i="7"/>
  <c r="AY41" i="7"/>
  <c r="AZ41" i="7"/>
  <c r="BA41" i="7"/>
  <c r="BB41" i="7"/>
  <c r="BC41" i="7"/>
  <c r="BD41" i="7"/>
  <c r="BE41" i="7"/>
  <c r="BF41" i="7"/>
  <c r="BG41" i="7"/>
  <c r="BH41" i="7"/>
  <c r="BI41" i="7"/>
  <c r="BJ41" i="7"/>
  <c r="BK41" i="7"/>
  <c r="BL41" i="7"/>
  <c r="BM41" i="7"/>
  <c r="BN41" i="7"/>
  <c r="BO41" i="7"/>
  <c r="BP41" i="7"/>
  <c r="BQ41" i="7"/>
  <c r="BR41" i="7"/>
  <c r="BS41" i="7"/>
  <c r="BT41" i="7"/>
  <c r="BU41" i="7"/>
  <c r="BV41" i="7"/>
  <c r="BW41" i="7"/>
  <c r="BX41" i="7"/>
  <c r="BY41" i="7"/>
  <c r="BZ41" i="7"/>
  <c r="CA41" i="7"/>
  <c r="CB41" i="7"/>
  <c r="CC41" i="7"/>
  <c r="CD41" i="7"/>
  <c r="CE41" i="7"/>
  <c r="CF41" i="7"/>
  <c r="CG41" i="7"/>
  <c r="CH41" i="7"/>
  <c r="CI41" i="7"/>
  <c r="CJ41" i="7"/>
  <c r="H41" i="7"/>
  <c r="I35" i="7"/>
  <c r="J35" i="7"/>
  <c r="K35" i="7"/>
  <c r="L35" i="7"/>
  <c r="M35" i="7"/>
  <c r="N35" i="7"/>
  <c r="O35" i="7"/>
  <c r="P35" i="7"/>
  <c r="Q35" i="7"/>
  <c r="R35" i="7"/>
  <c r="S35" i="7"/>
  <c r="T35" i="7"/>
  <c r="U35" i="7"/>
  <c r="V35" i="7"/>
  <c r="W35" i="7"/>
  <c r="X35" i="7"/>
  <c r="Y35" i="7"/>
  <c r="Z35" i="7"/>
  <c r="AA35" i="7"/>
  <c r="AB35" i="7"/>
  <c r="AC35" i="7"/>
  <c r="AD35" i="7"/>
  <c r="AE35" i="7"/>
  <c r="AF35" i="7"/>
  <c r="AG35" i="7"/>
  <c r="AH35" i="7"/>
  <c r="AI35" i="7"/>
  <c r="AJ35" i="7"/>
  <c r="AK35" i="7"/>
  <c r="AL35" i="7"/>
  <c r="AM35" i="7"/>
  <c r="AN35" i="7"/>
  <c r="AO35" i="7"/>
  <c r="AP35" i="7"/>
  <c r="AQ35" i="7"/>
  <c r="AR35" i="7"/>
  <c r="AS35" i="7"/>
  <c r="AT35" i="7"/>
  <c r="AU35" i="7"/>
  <c r="AV35" i="7"/>
  <c r="AW35" i="7"/>
  <c r="AX35" i="7"/>
  <c r="AY35" i="7"/>
  <c r="AZ35" i="7"/>
  <c r="BA35" i="7"/>
  <c r="BB35" i="7"/>
  <c r="BC35" i="7"/>
  <c r="BD35" i="7"/>
  <c r="BE35" i="7"/>
  <c r="BF35" i="7"/>
  <c r="BG35" i="7"/>
  <c r="BH35" i="7"/>
  <c r="BI35" i="7"/>
  <c r="BJ35" i="7"/>
  <c r="BK35" i="7"/>
  <c r="BL35" i="7"/>
  <c r="BM35" i="7"/>
  <c r="BN35" i="7"/>
  <c r="BO35" i="7"/>
  <c r="BP35" i="7"/>
  <c r="BQ35" i="7"/>
  <c r="BR35" i="7"/>
  <c r="BS35" i="7"/>
  <c r="BT35" i="7"/>
  <c r="BU35" i="7"/>
  <c r="BV35" i="7"/>
  <c r="BW35" i="7"/>
  <c r="BX35" i="7"/>
  <c r="BY35" i="7"/>
  <c r="BZ35" i="7"/>
  <c r="CA35" i="7"/>
  <c r="CB35" i="7"/>
  <c r="CC35" i="7"/>
  <c r="CD35" i="7"/>
  <c r="CE35" i="7"/>
  <c r="CF35" i="7"/>
  <c r="CG35" i="7"/>
  <c r="CH35" i="7"/>
  <c r="CI35" i="7"/>
  <c r="CJ35" i="7"/>
  <c r="H35" i="7"/>
  <c r="I29" i="7"/>
  <c r="J29" i="7"/>
  <c r="K29" i="7"/>
  <c r="L29" i="7"/>
  <c r="M29" i="7"/>
  <c r="N29" i="7"/>
  <c r="O29" i="7"/>
  <c r="P29" i="7"/>
  <c r="Q29" i="7"/>
  <c r="R29" i="7"/>
  <c r="S29" i="7"/>
  <c r="T29" i="7"/>
  <c r="U29" i="7"/>
  <c r="V29" i="7"/>
  <c r="W29" i="7"/>
  <c r="X29" i="7"/>
  <c r="Y29" i="7"/>
  <c r="Z29" i="7"/>
  <c r="AA29" i="7"/>
  <c r="AB29" i="7"/>
  <c r="AC29" i="7"/>
  <c r="AD29" i="7"/>
  <c r="AE29" i="7"/>
  <c r="AF29" i="7"/>
  <c r="AG29" i="7"/>
  <c r="AH29" i="7"/>
  <c r="AI29" i="7"/>
  <c r="AJ29" i="7"/>
  <c r="AK29" i="7"/>
  <c r="AL29" i="7"/>
  <c r="AM29" i="7"/>
  <c r="AN29" i="7"/>
  <c r="AO29" i="7"/>
  <c r="AP29" i="7"/>
  <c r="AQ29" i="7"/>
  <c r="AR29" i="7"/>
  <c r="AS29" i="7"/>
  <c r="AT29" i="7"/>
  <c r="AU29" i="7"/>
  <c r="AV29" i="7"/>
  <c r="AW29" i="7"/>
  <c r="AX29" i="7"/>
  <c r="AY29" i="7"/>
  <c r="AZ29" i="7"/>
  <c r="BA29" i="7"/>
  <c r="BB29" i="7"/>
  <c r="BC29" i="7"/>
  <c r="BD29" i="7"/>
  <c r="BE29" i="7"/>
  <c r="BF29" i="7"/>
  <c r="BG29" i="7"/>
  <c r="BH29" i="7"/>
  <c r="BI29" i="7"/>
  <c r="BJ29" i="7"/>
  <c r="BK29" i="7"/>
  <c r="BL29" i="7"/>
  <c r="BM29" i="7"/>
  <c r="BN29" i="7"/>
  <c r="BO29" i="7"/>
  <c r="BP29" i="7"/>
  <c r="BQ29" i="7"/>
  <c r="BR29" i="7"/>
  <c r="BS29" i="7"/>
  <c r="BT29" i="7"/>
  <c r="BU29" i="7"/>
  <c r="BV29" i="7"/>
  <c r="BW29" i="7"/>
  <c r="BX29" i="7"/>
  <c r="BY29" i="7"/>
  <c r="BZ29" i="7"/>
  <c r="CA29" i="7"/>
  <c r="CB29" i="7"/>
  <c r="CC29" i="7"/>
  <c r="CD29" i="7"/>
  <c r="CE29" i="7"/>
  <c r="CF29" i="7"/>
  <c r="CG29" i="7"/>
  <c r="CH29" i="7"/>
  <c r="CI29" i="7"/>
  <c r="CJ29" i="7"/>
  <c r="I23" i="7"/>
  <c r="J23" i="7"/>
  <c r="K23" i="7"/>
  <c r="L23" i="7"/>
  <c r="M23" i="7"/>
  <c r="N23" i="7"/>
  <c r="O23" i="7"/>
  <c r="P23" i="7"/>
  <c r="Q23" i="7"/>
  <c r="R23" i="7"/>
  <c r="S23" i="7"/>
  <c r="T23" i="7"/>
  <c r="U23" i="7"/>
  <c r="V23" i="7"/>
  <c r="W23" i="7"/>
  <c r="X23" i="7"/>
  <c r="Y23" i="7"/>
  <c r="Z23" i="7"/>
  <c r="AA23" i="7"/>
  <c r="AB23" i="7"/>
  <c r="AC23" i="7"/>
  <c r="AD23" i="7"/>
  <c r="AE23" i="7"/>
  <c r="AF23" i="7"/>
  <c r="AG23" i="7"/>
  <c r="AH23" i="7"/>
  <c r="AI23" i="7"/>
  <c r="AJ23" i="7"/>
  <c r="AK23" i="7"/>
  <c r="AL23" i="7"/>
  <c r="AM23" i="7"/>
  <c r="AN23" i="7"/>
  <c r="AO23" i="7"/>
  <c r="AP23" i="7"/>
  <c r="AQ23" i="7"/>
  <c r="AR23" i="7"/>
  <c r="AS23" i="7"/>
  <c r="AT23" i="7"/>
  <c r="AU23" i="7"/>
  <c r="AV23" i="7"/>
  <c r="AW23" i="7"/>
  <c r="AX23" i="7"/>
  <c r="AY23" i="7"/>
  <c r="AZ23" i="7"/>
  <c r="BA23" i="7"/>
  <c r="BB23" i="7"/>
  <c r="BC23" i="7"/>
  <c r="BD23" i="7"/>
  <c r="BE23" i="7"/>
  <c r="BF23" i="7"/>
  <c r="BG23" i="7"/>
  <c r="BH23" i="7"/>
  <c r="BI23" i="7"/>
  <c r="BJ23" i="7"/>
  <c r="BK23" i="7"/>
  <c r="BL23" i="7"/>
  <c r="BM23" i="7"/>
  <c r="BN23" i="7"/>
  <c r="BO23" i="7"/>
  <c r="BP23" i="7"/>
  <c r="BQ23" i="7"/>
  <c r="BR23" i="7"/>
  <c r="BS23" i="7"/>
  <c r="BT23" i="7"/>
  <c r="BU23" i="7"/>
  <c r="BV23" i="7"/>
  <c r="BW23" i="7"/>
  <c r="BX23" i="7"/>
  <c r="BY23" i="7"/>
  <c r="BZ23" i="7"/>
  <c r="CA23" i="7"/>
  <c r="CB23" i="7"/>
  <c r="CC23" i="7"/>
  <c r="CD23" i="7"/>
  <c r="CE23" i="7"/>
  <c r="CF23" i="7"/>
  <c r="CG23" i="7"/>
  <c r="CH23" i="7"/>
  <c r="CI23" i="7"/>
  <c r="CJ23" i="7"/>
  <c r="I17" i="7"/>
  <c r="J17" i="7"/>
  <c r="K17" i="7"/>
  <c r="L17" i="7"/>
  <c r="M17" i="7"/>
  <c r="N17" i="7"/>
  <c r="O17" i="7"/>
  <c r="P17" i="7"/>
  <c r="Q17" i="7"/>
  <c r="R17" i="7"/>
  <c r="S17" i="7"/>
  <c r="T17" i="7"/>
  <c r="U17" i="7"/>
  <c r="V17" i="7"/>
  <c r="W17" i="7"/>
  <c r="X17" i="7"/>
  <c r="Y17" i="7"/>
  <c r="Z17" i="7"/>
  <c r="AA17" i="7"/>
  <c r="AB17" i="7"/>
  <c r="AC17" i="7"/>
  <c r="AD17" i="7"/>
  <c r="AE17" i="7"/>
  <c r="AF17" i="7"/>
  <c r="AG17" i="7"/>
  <c r="AH17" i="7"/>
  <c r="AI17" i="7"/>
  <c r="AJ17" i="7"/>
  <c r="AK17" i="7"/>
  <c r="AL17" i="7"/>
  <c r="AM17" i="7"/>
  <c r="AN17" i="7"/>
  <c r="AO17" i="7"/>
  <c r="AP17" i="7"/>
  <c r="AQ17" i="7"/>
  <c r="AR17" i="7"/>
  <c r="AS17" i="7"/>
  <c r="AT17" i="7"/>
  <c r="AU17" i="7"/>
  <c r="AV17" i="7"/>
  <c r="AW17" i="7"/>
  <c r="AX17" i="7"/>
  <c r="AY17" i="7"/>
  <c r="AZ17" i="7"/>
  <c r="BA17" i="7"/>
  <c r="BB17" i="7"/>
  <c r="BC17" i="7"/>
  <c r="BD17" i="7"/>
  <c r="BE17" i="7"/>
  <c r="BF17" i="7"/>
  <c r="BG17" i="7"/>
  <c r="BH17" i="7"/>
  <c r="BI17" i="7"/>
  <c r="BJ17" i="7"/>
  <c r="BK17" i="7"/>
  <c r="BL17" i="7"/>
  <c r="BM17" i="7"/>
  <c r="BN17" i="7"/>
  <c r="BO17" i="7"/>
  <c r="BP17" i="7"/>
  <c r="BQ17" i="7"/>
  <c r="BR17" i="7"/>
  <c r="BS17" i="7"/>
  <c r="BT17" i="7"/>
  <c r="BU17" i="7"/>
  <c r="BV17" i="7"/>
  <c r="BW17" i="7"/>
  <c r="BX17" i="7"/>
  <c r="BY17" i="7"/>
  <c r="BZ17" i="7"/>
  <c r="CA17" i="7"/>
  <c r="CB17" i="7"/>
  <c r="CC17" i="7"/>
  <c r="CD17" i="7"/>
  <c r="CE17" i="7"/>
  <c r="CF17" i="7"/>
  <c r="CG17" i="7"/>
  <c r="CH17" i="7"/>
  <c r="CI17" i="7"/>
  <c r="CJ17" i="7"/>
  <c r="H17" i="7"/>
  <c r="H23" i="7"/>
  <c r="H117" i="7"/>
  <c r="G63" i="6" s="1"/>
  <c r="D18" i="9" l="1"/>
  <c r="Y34" i="9"/>
  <c r="S34" i="9"/>
  <c r="K11" i="55"/>
  <c r="L12" i="113"/>
  <c r="K12" i="113"/>
  <c r="S30" i="11"/>
  <c r="S29" i="11"/>
  <c r="S28" i="11"/>
  <c r="B128" i="7"/>
  <c r="B129" i="7" s="1"/>
  <c r="B130" i="7" s="1"/>
  <c r="B131" i="7" s="1"/>
  <c r="B132" i="7" s="1"/>
  <c r="B133" i="7" s="1"/>
  <c r="B134" i="7" s="1"/>
  <c r="B135" i="7" s="1"/>
  <c r="B136" i="7" s="1"/>
  <c r="C136" i="7"/>
  <c r="C135" i="7"/>
  <c r="C134" i="7"/>
  <c r="C133" i="7"/>
  <c r="C132" i="7"/>
  <c r="C131" i="7"/>
  <c r="C130" i="7"/>
  <c r="C129" i="7"/>
  <c r="C128" i="7"/>
  <c r="C127" i="7"/>
  <c r="C126" i="7"/>
  <c r="C125" i="7"/>
  <c r="C124" i="7"/>
  <c r="C123" i="7"/>
  <c r="C122" i="7"/>
  <c r="C121" i="7"/>
  <c r="C88" i="7"/>
  <c r="C81" i="7"/>
  <c r="C74" i="7"/>
  <c r="C64" i="7"/>
  <c r="C58" i="7"/>
  <c r="C52" i="7"/>
  <c r="L42" i="7"/>
  <c r="C73" i="5"/>
  <c r="C72" i="5"/>
  <c r="C71" i="5"/>
  <c r="D65" i="5"/>
  <c r="D64" i="5"/>
  <c r="D63" i="5"/>
  <c r="D62" i="5"/>
  <c r="E65" i="5"/>
  <c r="E64" i="5"/>
  <c r="E63" i="5"/>
  <c r="I65" i="5"/>
  <c r="J65" i="5"/>
  <c r="K65" i="5"/>
  <c r="L65" i="5"/>
  <c r="M65" i="5"/>
  <c r="N65" i="5"/>
  <c r="O65" i="5"/>
  <c r="P65" i="5"/>
  <c r="Q65" i="5"/>
  <c r="R65" i="5"/>
  <c r="S65" i="5"/>
  <c r="T65" i="5"/>
  <c r="U65" i="5"/>
  <c r="V65" i="5"/>
  <c r="W65" i="5"/>
  <c r="X65" i="5"/>
  <c r="Y65" i="5"/>
  <c r="Z65" i="5"/>
  <c r="AA65" i="5"/>
  <c r="AB65" i="5"/>
  <c r="AC65" i="5"/>
  <c r="AD65" i="5"/>
  <c r="AE65" i="5"/>
  <c r="AF65" i="5"/>
  <c r="AG65" i="5"/>
  <c r="AH65" i="5"/>
  <c r="AI65" i="5"/>
  <c r="AJ65" i="5"/>
  <c r="AK65" i="5"/>
  <c r="AL65" i="5"/>
  <c r="AM65" i="5"/>
  <c r="AN65" i="5"/>
  <c r="AO65" i="5"/>
  <c r="AP65" i="5"/>
  <c r="AQ65" i="5"/>
  <c r="AR65" i="5"/>
  <c r="H65" i="5"/>
  <c r="I63" i="5"/>
  <c r="J63" i="5"/>
  <c r="K63" i="5"/>
  <c r="L63" i="5"/>
  <c r="M63" i="5"/>
  <c r="N63" i="5"/>
  <c r="O63" i="5"/>
  <c r="P63" i="5"/>
  <c r="Q63" i="5"/>
  <c r="R63" i="5"/>
  <c r="S63" i="5"/>
  <c r="T63" i="5"/>
  <c r="U63" i="5"/>
  <c r="V63" i="5"/>
  <c r="W63" i="5"/>
  <c r="X63" i="5"/>
  <c r="Y63" i="5"/>
  <c r="Z63" i="5"/>
  <c r="AA63" i="5"/>
  <c r="AB63" i="5"/>
  <c r="AC63" i="5"/>
  <c r="AD63" i="5"/>
  <c r="AE63" i="5"/>
  <c r="AF63" i="5"/>
  <c r="AG63" i="5"/>
  <c r="AH63" i="5"/>
  <c r="AI63" i="5"/>
  <c r="AJ63" i="5"/>
  <c r="AK63" i="5"/>
  <c r="AL63" i="5"/>
  <c r="AM63" i="5"/>
  <c r="AN63" i="5"/>
  <c r="AO63" i="5"/>
  <c r="AP63" i="5"/>
  <c r="AQ63" i="5"/>
  <c r="AR63" i="5"/>
  <c r="I64" i="5"/>
  <c r="J64" i="5"/>
  <c r="K64" i="5"/>
  <c r="L64" i="5"/>
  <c r="M64" i="5"/>
  <c r="N64" i="5"/>
  <c r="O64" i="5"/>
  <c r="P64" i="5"/>
  <c r="Q64" i="5"/>
  <c r="R64" i="5"/>
  <c r="S64" i="5"/>
  <c r="T64" i="5"/>
  <c r="U64" i="5"/>
  <c r="V64" i="5"/>
  <c r="W64" i="5"/>
  <c r="X64" i="5"/>
  <c r="Y64" i="5"/>
  <c r="Z64" i="5"/>
  <c r="AA64" i="5"/>
  <c r="AB64" i="5"/>
  <c r="AC64" i="5"/>
  <c r="AD64" i="5"/>
  <c r="AE64" i="5"/>
  <c r="AF64" i="5"/>
  <c r="AG64" i="5"/>
  <c r="AH64" i="5"/>
  <c r="AI64" i="5"/>
  <c r="AJ64" i="5"/>
  <c r="AK64" i="5"/>
  <c r="AL64" i="5"/>
  <c r="AM64" i="5"/>
  <c r="AN64" i="5"/>
  <c r="AO64" i="5"/>
  <c r="AP64" i="5"/>
  <c r="AQ64" i="5"/>
  <c r="AR64" i="5"/>
  <c r="H64" i="5"/>
  <c r="H63" i="5"/>
  <c r="C65" i="5"/>
  <c r="C64" i="5"/>
  <c r="C63" i="5"/>
  <c r="C62" i="5"/>
  <c r="H50" i="5"/>
  <c r="I50" i="5"/>
  <c r="J50" i="5"/>
  <c r="K50" i="5"/>
  <c r="L50" i="5"/>
  <c r="M50" i="5"/>
  <c r="N50" i="5"/>
  <c r="O50" i="5"/>
  <c r="P50" i="5"/>
  <c r="Q50" i="5"/>
  <c r="R50" i="5"/>
  <c r="S50" i="5"/>
  <c r="T50" i="5"/>
  <c r="U50" i="5"/>
  <c r="V50" i="5"/>
  <c r="W50" i="5"/>
  <c r="X50" i="5"/>
  <c r="Y50" i="5"/>
  <c r="Z50" i="5"/>
  <c r="AA50" i="5"/>
  <c r="AB50" i="5"/>
  <c r="AC50" i="5"/>
  <c r="AD50" i="5"/>
  <c r="AE50" i="5"/>
  <c r="AF50" i="5"/>
  <c r="AG50" i="5"/>
  <c r="AH50" i="5"/>
  <c r="AI50" i="5"/>
  <c r="AJ50" i="5"/>
  <c r="AK50" i="5"/>
  <c r="AL50" i="5"/>
  <c r="AM50" i="5"/>
  <c r="AN50" i="5"/>
  <c r="AO50" i="5"/>
  <c r="AP50" i="5"/>
  <c r="AQ50" i="5"/>
  <c r="AR50" i="5"/>
  <c r="H51" i="5"/>
  <c r="I51" i="5"/>
  <c r="J51" i="5"/>
  <c r="K51" i="5"/>
  <c r="L51" i="5"/>
  <c r="M51" i="5"/>
  <c r="N51" i="5"/>
  <c r="O51" i="5"/>
  <c r="P51" i="5"/>
  <c r="Q51" i="5"/>
  <c r="R51" i="5"/>
  <c r="S51" i="5"/>
  <c r="T51" i="5"/>
  <c r="U51" i="5"/>
  <c r="V51" i="5"/>
  <c r="W51" i="5"/>
  <c r="X51" i="5"/>
  <c r="Y51" i="5"/>
  <c r="Z51" i="5"/>
  <c r="AA51" i="5"/>
  <c r="AB51" i="5"/>
  <c r="AC51" i="5"/>
  <c r="AD51" i="5"/>
  <c r="AE51" i="5"/>
  <c r="AF51" i="5"/>
  <c r="AG51" i="5"/>
  <c r="AH51" i="5"/>
  <c r="AI51" i="5"/>
  <c r="AJ51" i="5"/>
  <c r="AK51" i="5"/>
  <c r="AL51" i="5"/>
  <c r="AM51" i="5"/>
  <c r="AN51" i="5"/>
  <c r="AO51" i="5"/>
  <c r="AP51" i="5"/>
  <c r="AQ51" i="5"/>
  <c r="AR51" i="5"/>
  <c r="H52" i="5"/>
  <c r="I52" i="5"/>
  <c r="J52" i="5"/>
  <c r="K52" i="5"/>
  <c r="L52" i="5"/>
  <c r="M52" i="5"/>
  <c r="N52" i="5"/>
  <c r="O52" i="5"/>
  <c r="P52" i="5"/>
  <c r="Q52" i="5"/>
  <c r="R52" i="5"/>
  <c r="S52" i="5"/>
  <c r="T52" i="5"/>
  <c r="U52" i="5"/>
  <c r="V52" i="5"/>
  <c r="W52" i="5"/>
  <c r="X52" i="5"/>
  <c r="Y52" i="5"/>
  <c r="Z52" i="5"/>
  <c r="AA52" i="5"/>
  <c r="AB52" i="5"/>
  <c r="AC52" i="5"/>
  <c r="AD52" i="5"/>
  <c r="AE52" i="5"/>
  <c r="AF52" i="5"/>
  <c r="AG52" i="5"/>
  <c r="AH52" i="5"/>
  <c r="AI52" i="5"/>
  <c r="AJ52" i="5"/>
  <c r="AK52" i="5"/>
  <c r="AL52" i="5"/>
  <c r="AM52" i="5"/>
  <c r="AN52" i="5"/>
  <c r="AO52" i="5"/>
  <c r="AP52" i="5"/>
  <c r="AQ52" i="5"/>
  <c r="AR52" i="5"/>
  <c r="H53" i="5"/>
  <c r="I53" i="5"/>
  <c r="J53" i="5"/>
  <c r="K53" i="5"/>
  <c r="L53" i="5"/>
  <c r="M53" i="5"/>
  <c r="N53" i="5"/>
  <c r="O53" i="5"/>
  <c r="P53" i="5"/>
  <c r="Q53" i="5"/>
  <c r="R53" i="5"/>
  <c r="S53" i="5"/>
  <c r="T53" i="5"/>
  <c r="U53" i="5"/>
  <c r="V53" i="5"/>
  <c r="W53" i="5"/>
  <c r="X53" i="5"/>
  <c r="Y53" i="5"/>
  <c r="Z53" i="5"/>
  <c r="AA53" i="5"/>
  <c r="AB53" i="5"/>
  <c r="AC53" i="5"/>
  <c r="AD53" i="5"/>
  <c r="AE53" i="5"/>
  <c r="AF53" i="5"/>
  <c r="AG53" i="5"/>
  <c r="AH53" i="5"/>
  <c r="AI53" i="5"/>
  <c r="AJ53" i="5"/>
  <c r="AK53" i="5"/>
  <c r="AL53" i="5"/>
  <c r="AM53" i="5"/>
  <c r="AN53" i="5"/>
  <c r="AO53" i="5"/>
  <c r="AP53" i="5"/>
  <c r="AQ53" i="5"/>
  <c r="AR53" i="5"/>
  <c r="H54" i="5"/>
  <c r="I54" i="5"/>
  <c r="J54" i="5"/>
  <c r="K54" i="5"/>
  <c r="L54" i="5"/>
  <c r="M54" i="5"/>
  <c r="N54" i="5"/>
  <c r="O54" i="5"/>
  <c r="P54" i="5"/>
  <c r="Q54" i="5"/>
  <c r="R54" i="5"/>
  <c r="S54" i="5"/>
  <c r="T54" i="5"/>
  <c r="U54" i="5"/>
  <c r="V54" i="5"/>
  <c r="W54" i="5"/>
  <c r="X54" i="5"/>
  <c r="Y54" i="5"/>
  <c r="Z54" i="5"/>
  <c r="AA54" i="5"/>
  <c r="AB54" i="5"/>
  <c r="AC54" i="5"/>
  <c r="AD54" i="5"/>
  <c r="AE54" i="5"/>
  <c r="AF54" i="5"/>
  <c r="AG54" i="5"/>
  <c r="AH54" i="5"/>
  <c r="AI54" i="5"/>
  <c r="AJ54" i="5"/>
  <c r="AK54" i="5"/>
  <c r="AL54" i="5"/>
  <c r="AM54" i="5"/>
  <c r="AN54" i="5"/>
  <c r="AO54" i="5"/>
  <c r="AP54" i="5"/>
  <c r="AQ54" i="5"/>
  <c r="AR54" i="5"/>
  <c r="H55" i="5"/>
  <c r="I55" i="5"/>
  <c r="J55" i="5"/>
  <c r="K55" i="5"/>
  <c r="L55" i="5"/>
  <c r="M55" i="5"/>
  <c r="N55" i="5"/>
  <c r="O55" i="5"/>
  <c r="P55" i="5"/>
  <c r="Q55" i="5"/>
  <c r="R55" i="5"/>
  <c r="S55" i="5"/>
  <c r="T55" i="5"/>
  <c r="U55" i="5"/>
  <c r="V55" i="5"/>
  <c r="W55" i="5"/>
  <c r="X55" i="5"/>
  <c r="Y55" i="5"/>
  <c r="Z55" i="5"/>
  <c r="AA55" i="5"/>
  <c r="AB55" i="5"/>
  <c r="AC55" i="5"/>
  <c r="AD55" i="5"/>
  <c r="AE55" i="5"/>
  <c r="AF55" i="5"/>
  <c r="AG55" i="5"/>
  <c r="AH55" i="5"/>
  <c r="AI55" i="5"/>
  <c r="AJ55" i="5"/>
  <c r="AK55" i="5"/>
  <c r="AL55" i="5"/>
  <c r="AM55" i="5"/>
  <c r="AN55" i="5"/>
  <c r="AO55" i="5"/>
  <c r="AP55" i="5"/>
  <c r="AQ55" i="5"/>
  <c r="AR55" i="5"/>
  <c r="H56" i="5"/>
  <c r="I56" i="5"/>
  <c r="J56" i="5"/>
  <c r="K56" i="5"/>
  <c r="L56" i="5"/>
  <c r="M56" i="5"/>
  <c r="N56" i="5"/>
  <c r="O56" i="5"/>
  <c r="P56" i="5"/>
  <c r="Q56" i="5"/>
  <c r="R56" i="5"/>
  <c r="S56" i="5"/>
  <c r="T56" i="5"/>
  <c r="U56" i="5"/>
  <c r="V56" i="5"/>
  <c r="W56" i="5"/>
  <c r="X56" i="5"/>
  <c r="Y56" i="5"/>
  <c r="Z56" i="5"/>
  <c r="AA56" i="5"/>
  <c r="AB56" i="5"/>
  <c r="AC56" i="5"/>
  <c r="AD56" i="5"/>
  <c r="AE56" i="5"/>
  <c r="AF56" i="5"/>
  <c r="AG56" i="5"/>
  <c r="AH56" i="5"/>
  <c r="AI56" i="5"/>
  <c r="AJ56" i="5"/>
  <c r="AK56" i="5"/>
  <c r="AL56" i="5"/>
  <c r="AM56" i="5"/>
  <c r="AN56" i="5"/>
  <c r="AO56" i="5"/>
  <c r="AP56" i="5"/>
  <c r="AQ56" i="5"/>
  <c r="AR56" i="5"/>
  <c r="H57" i="5"/>
  <c r="I57" i="5"/>
  <c r="J57" i="5"/>
  <c r="K57" i="5"/>
  <c r="L57" i="5"/>
  <c r="M57" i="5"/>
  <c r="N57" i="5"/>
  <c r="O57" i="5"/>
  <c r="P57" i="5"/>
  <c r="Q57" i="5"/>
  <c r="R57" i="5"/>
  <c r="S57" i="5"/>
  <c r="T57" i="5"/>
  <c r="U57" i="5"/>
  <c r="V57" i="5"/>
  <c r="W57" i="5"/>
  <c r="X57" i="5"/>
  <c r="Y57" i="5"/>
  <c r="Z57" i="5"/>
  <c r="AA57" i="5"/>
  <c r="AB57" i="5"/>
  <c r="AC57" i="5"/>
  <c r="AD57" i="5"/>
  <c r="AE57" i="5"/>
  <c r="AF57" i="5"/>
  <c r="AG57" i="5"/>
  <c r="AH57" i="5"/>
  <c r="AI57" i="5"/>
  <c r="AJ57" i="5"/>
  <c r="AK57" i="5"/>
  <c r="AL57" i="5"/>
  <c r="AM57" i="5"/>
  <c r="AN57" i="5"/>
  <c r="AO57" i="5"/>
  <c r="AP57" i="5"/>
  <c r="AQ57" i="5"/>
  <c r="AR57" i="5"/>
  <c r="H58" i="5"/>
  <c r="I58" i="5"/>
  <c r="J58" i="5"/>
  <c r="K58" i="5"/>
  <c r="L58" i="5"/>
  <c r="M58" i="5"/>
  <c r="N58" i="5"/>
  <c r="O58" i="5"/>
  <c r="P58" i="5"/>
  <c r="Q58" i="5"/>
  <c r="R58" i="5"/>
  <c r="S58" i="5"/>
  <c r="T58" i="5"/>
  <c r="U58" i="5"/>
  <c r="V58" i="5"/>
  <c r="W58" i="5"/>
  <c r="X58" i="5"/>
  <c r="Y58" i="5"/>
  <c r="Z58" i="5"/>
  <c r="AA58" i="5"/>
  <c r="AB58" i="5"/>
  <c r="AC58" i="5"/>
  <c r="AD58" i="5"/>
  <c r="AE58" i="5"/>
  <c r="AF58" i="5"/>
  <c r="AG58" i="5"/>
  <c r="AH58" i="5"/>
  <c r="AI58" i="5"/>
  <c r="AJ58" i="5"/>
  <c r="AK58" i="5"/>
  <c r="AL58" i="5"/>
  <c r="AM58" i="5"/>
  <c r="AN58" i="5"/>
  <c r="AO58" i="5"/>
  <c r="AP58" i="5"/>
  <c r="AQ58" i="5"/>
  <c r="AR58" i="5"/>
  <c r="H59" i="5"/>
  <c r="I59" i="5"/>
  <c r="J59" i="5"/>
  <c r="K59" i="5"/>
  <c r="L59" i="5"/>
  <c r="M59" i="5"/>
  <c r="N59" i="5"/>
  <c r="O59" i="5"/>
  <c r="P59" i="5"/>
  <c r="Q59" i="5"/>
  <c r="R59" i="5"/>
  <c r="S59" i="5"/>
  <c r="T59" i="5"/>
  <c r="U59" i="5"/>
  <c r="V59" i="5"/>
  <c r="W59" i="5"/>
  <c r="X59" i="5"/>
  <c r="Y59" i="5"/>
  <c r="Z59" i="5"/>
  <c r="AA59" i="5"/>
  <c r="AB59" i="5"/>
  <c r="AC59" i="5"/>
  <c r="AD59" i="5"/>
  <c r="AE59" i="5"/>
  <c r="AF59" i="5"/>
  <c r="AG59" i="5"/>
  <c r="AH59" i="5"/>
  <c r="AI59" i="5"/>
  <c r="AJ59" i="5"/>
  <c r="AK59" i="5"/>
  <c r="AL59" i="5"/>
  <c r="AM59" i="5"/>
  <c r="AN59" i="5"/>
  <c r="AO59" i="5"/>
  <c r="AP59" i="5"/>
  <c r="AQ59" i="5"/>
  <c r="AR59" i="5"/>
  <c r="H60" i="5"/>
  <c r="I60" i="5"/>
  <c r="J60" i="5"/>
  <c r="K60" i="5"/>
  <c r="L60" i="5"/>
  <c r="M60" i="5"/>
  <c r="N60" i="5"/>
  <c r="O60" i="5"/>
  <c r="P60" i="5"/>
  <c r="Q60" i="5"/>
  <c r="R60" i="5"/>
  <c r="S60" i="5"/>
  <c r="T60" i="5"/>
  <c r="U60" i="5"/>
  <c r="V60" i="5"/>
  <c r="W60" i="5"/>
  <c r="X60" i="5"/>
  <c r="Y60" i="5"/>
  <c r="Z60" i="5"/>
  <c r="AA60" i="5"/>
  <c r="AB60" i="5"/>
  <c r="AC60" i="5"/>
  <c r="AD60" i="5"/>
  <c r="AE60" i="5"/>
  <c r="AF60" i="5"/>
  <c r="AG60" i="5"/>
  <c r="AH60" i="5"/>
  <c r="AI60" i="5"/>
  <c r="AJ60" i="5"/>
  <c r="AK60" i="5"/>
  <c r="AL60" i="5"/>
  <c r="AM60" i="5"/>
  <c r="AN60" i="5"/>
  <c r="AO60" i="5"/>
  <c r="AP60" i="5"/>
  <c r="AQ60" i="5"/>
  <c r="AR60" i="5"/>
  <c r="I49" i="5"/>
  <c r="J49" i="5"/>
  <c r="K49" i="5"/>
  <c r="L49" i="5"/>
  <c r="M49" i="5"/>
  <c r="N49" i="5"/>
  <c r="O49" i="5"/>
  <c r="P49" i="5"/>
  <c r="Q49" i="5"/>
  <c r="R49" i="5"/>
  <c r="S49" i="5"/>
  <c r="T49" i="5"/>
  <c r="U49" i="5"/>
  <c r="V49" i="5"/>
  <c r="W49" i="5"/>
  <c r="X49" i="5"/>
  <c r="Y49" i="5"/>
  <c r="Z49" i="5"/>
  <c r="AA49" i="5"/>
  <c r="AB49" i="5"/>
  <c r="AC49" i="5"/>
  <c r="AE49" i="5"/>
  <c r="AF49" i="5"/>
  <c r="AG49" i="5"/>
  <c r="AH49" i="5"/>
  <c r="AI49" i="5"/>
  <c r="AJ49" i="5"/>
  <c r="AK49" i="5"/>
  <c r="AL49" i="5"/>
  <c r="AM49" i="5"/>
  <c r="AN49" i="5"/>
  <c r="AO49" i="5"/>
  <c r="AP49" i="5"/>
  <c r="AQ49" i="5"/>
  <c r="AR49" i="5"/>
  <c r="H49" i="5"/>
  <c r="H36" i="5"/>
  <c r="I36" i="5"/>
  <c r="J36" i="5"/>
  <c r="K36" i="5"/>
  <c r="L36" i="5"/>
  <c r="M36" i="5"/>
  <c r="N36" i="5"/>
  <c r="O36" i="5"/>
  <c r="P36" i="5"/>
  <c r="Q36" i="5"/>
  <c r="R36" i="5"/>
  <c r="S36" i="5"/>
  <c r="T36" i="5"/>
  <c r="U36" i="5"/>
  <c r="V36" i="5"/>
  <c r="W36" i="5"/>
  <c r="X36" i="5"/>
  <c r="Y36" i="5"/>
  <c r="Z36" i="5"/>
  <c r="AA36" i="5"/>
  <c r="AB36" i="5"/>
  <c r="AC36" i="5"/>
  <c r="AD36" i="5"/>
  <c r="AE36" i="5"/>
  <c r="AF36" i="5"/>
  <c r="AG36" i="5"/>
  <c r="AH36" i="5"/>
  <c r="AI36" i="5"/>
  <c r="AJ36" i="5"/>
  <c r="AK36" i="5"/>
  <c r="AL36" i="5"/>
  <c r="AM36" i="5"/>
  <c r="AN36" i="5"/>
  <c r="AO36" i="5"/>
  <c r="AP36" i="5"/>
  <c r="AQ36" i="5"/>
  <c r="AR36" i="5"/>
  <c r="H37" i="5"/>
  <c r="I37" i="5"/>
  <c r="J37" i="5"/>
  <c r="K37" i="5"/>
  <c r="L37" i="5"/>
  <c r="M37" i="5"/>
  <c r="N37" i="5"/>
  <c r="O37" i="5"/>
  <c r="P37" i="5"/>
  <c r="Q37" i="5"/>
  <c r="R37" i="5"/>
  <c r="S37" i="5"/>
  <c r="T37" i="5"/>
  <c r="U37" i="5"/>
  <c r="V37" i="5"/>
  <c r="W37" i="5"/>
  <c r="X37" i="5"/>
  <c r="Y37" i="5"/>
  <c r="Z37" i="5"/>
  <c r="AA37" i="5"/>
  <c r="AB37" i="5"/>
  <c r="AC37" i="5"/>
  <c r="AD37" i="5"/>
  <c r="AE37" i="5"/>
  <c r="AF37" i="5"/>
  <c r="AG37" i="5"/>
  <c r="AH37" i="5"/>
  <c r="AI37" i="5"/>
  <c r="AJ37" i="5"/>
  <c r="AK37" i="5"/>
  <c r="AL37" i="5"/>
  <c r="AM37" i="5"/>
  <c r="AN37" i="5"/>
  <c r="AO37" i="5"/>
  <c r="AP37" i="5"/>
  <c r="AQ37" i="5"/>
  <c r="AR37" i="5"/>
  <c r="H38" i="5"/>
  <c r="I38" i="5"/>
  <c r="J38" i="5"/>
  <c r="K38" i="5"/>
  <c r="L38" i="5"/>
  <c r="M38" i="5"/>
  <c r="N38" i="5"/>
  <c r="O38" i="5"/>
  <c r="P38" i="5"/>
  <c r="Q38" i="5"/>
  <c r="R38" i="5"/>
  <c r="S38" i="5"/>
  <c r="T38" i="5"/>
  <c r="U38" i="5"/>
  <c r="V38" i="5"/>
  <c r="W38" i="5"/>
  <c r="X38" i="5"/>
  <c r="Y38" i="5"/>
  <c r="Z38" i="5"/>
  <c r="AA38" i="5"/>
  <c r="AB38" i="5"/>
  <c r="AC38" i="5"/>
  <c r="AD38" i="5"/>
  <c r="AE38" i="5"/>
  <c r="AF38" i="5"/>
  <c r="AG38" i="5"/>
  <c r="AH38" i="5"/>
  <c r="AI38" i="5"/>
  <c r="AJ38" i="5"/>
  <c r="AK38" i="5"/>
  <c r="AL38" i="5"/>
  <c r="AM38" i="5"/>
  <c r="AN38" i="5"/>
  <c r="AO38" i="5"/>
  <c r="AP38" i="5"/>
  <c r="AQ38" i="5"/>
  <c r="AR38" i="5"/>
  <c r="H39" i="5"/>
  <c r="I39" i="5"/>
  <c r="J39" i="5"/>
  <c r="K39" i="5"/>
  <c r="L39" i="5"/>
  <c r="M39" i="5"/>
  <c r="N39" i="5"/>
  <c r="O39" i="5"/>
  <c r="P39" i="5"/>
  <c r="Q39" i="5"/>
  <c r="R39" i="5"/>
  <c r="S39" i="5"/>
  <c r="T39" i="5"/>
  <c r="U39" i="5"/>
  <c r="V39" i="5"/>
  <c r="W39" i="5"/>
  <c r="X39" i="5"/>
  <c r="Y39" i="5"/>
  <c r="Z39" i="5"/>
  <c r="AA39" i="5"/>
  <c r="AB39" i="5"/>
  <c r="AC39" i="5"/>
  <c r="AD39" i="5"/>
  <c r="AE39" i="5"/>
  <c r="AF39" i="5"/>
  <c r="AG39" i="5"/>
  <c r="AH39" i="5"/>
  <c r="AI39" i="5"/>
  <c r="AJ39" i="5"/>
  <c r="AK39" i="5"/>
  <c r="AL39" i="5"/>
  <c r="AM39" i="5"/>
  <c r="AN39" i="5"/>
  <c r="AO39" i="5"/>
  <c r="AP39" i="5"/>
  <c r="AQ39" i="5"/>
  <c r="AR39" i="5"/>
  <c r="H40" i="5"/>
  <c r="I40" i="5"/>
  <c r="J40" i="5"/>
  <c r="K40" i="5"/>
  <c r="L40" i="5"/>
  <c r="M40" i="5"/>
  <c r="N40" i="5"/>
  <c r="O40" i="5"/>
  <c r="P40" i="5"/>
  <c r="Q40" i="5"/>
  <c r="R40" i="5"/>
  <c r="S40" i="5"/>
  <c r="T40" i="5"/>
  <c r="U40" i="5"/>
  <c r="V40" i="5"/>
  <c r="W40" i="5"/>
  <c r="X40" i="5"/>
  <c r="Y40" i="5"/>
  <c r="Z40" i="5"/>
  <c r="AA40" i="5"/>
  <c r="AB40" i="5"/>
  <c r="AC40" i="5"/>
  <c r="AD40" i="5"/>
  <c r="AE40" i="5"/>
  <c r="AF40" i="5"/>
  <c r="AG40" i="5"/>
  <c r="AH40" i="5"/>
  <c r="AI40" i="5"/>
  <c r="AJ40" i="5"/>
  <c r="AK40" i="5"/>
  <c r="AL40" i="5"/>
  <c r="AM40" i="5"/>
  <c r="AN40" i="5"/>
  <c r="AO40" i="5"/>
  <c r="AP40" i="5"/>
  <c r="AQ40" i="5"/>
  <c r="AR40" i="5"/>
  <c r="H41" i="5"/>
  <c r="I41" i="5"/>
  <c r="J41" i="5"/>
  <c r="K41" i="5"/>
  <c r="L41" i="5"/>
  <c r="M41" i="5"/>
  <c r="N41" i="5"/>
  <c r="O41" i="5"/>
  <c r="P41" i="5"/>
  <c r="Q41" i="5"/>
  <c r="R41" i="5"/>
  <c r="S41" i="5"/>
  <c r="T41" i="5"/>
  <c r="U41" i="5"/>
  <c r="V41" i="5"/>
  <c r="W41" i="5"/>
  <c r="X41" i="5"/>
  <c r="Y41" i="5"/>
  <c r="Z41" i="5"/>
  <c r="AA41" i="5"/>
  <c r="AB41" i="5"/>
  <c r="AC41" i="5"/>
  <c r="AD41" i="5"/>
  <c r="AE41" i="5"/>
  <c r="AF41" i="5"/>
  <c r="AG41" i="5"/>
  <c r="AH41" i="5"/>
  <c r="AI41" i="5"/>
  <c r="AJ41" i="5"/>
  <c r="AK41" i="5"/>
  <c r="AL41" i="5"/>
  <c r="AM41" i="5"/>
  <c r="AN41" i="5"/>
  <c r="AO41" i="5"/>
  <c r="AP41" i="5"/>
  <c r="AQ41" i="5"/>
  <c r="AR41" i="5"/>
  <c r="H42" i="5"/>
  <c r="I42" i="5"/>
  <c r="J42" i="5"/>
  <c r="K42" i="5"/>
  <c r="L42" i="5"/>
  <c r="M42" i="5"/>
  <c r="N42" i="5"/>
  <c r="O42" i="5"/>
  <c r="P42" i="5"/>
  <c r="Q42" i="5"/>
  <c r="R42" i="5"/>
  <c r="S42" i="5"/>
  <c r="T42" i="5"/>
  <c r="U42" i="5"/>
  <c r="V42" i="5"/>
  <c r="W42" i="5"/>
  <c r="X42" i="5"/>
  <c r="Y42" i="5"/>
  <c r="Z42" i="5"/>
  <c r="AA42" i="5"/>
  <c r="AB42" i="5"/>
  <c r="AC42" i="5"/>
  <c r="AD42" i="5"/>
  <c r="AE42" i="5"/>
  <c r="AF42" i="5"/>
  <c r="AG42" i="5"/>
  <c r="AH42" i="5"/>
  <c r="AI42" i="5"/>
  <c r="AJ42" i="5"/>
  <c r="AK42" i="5"/>
  <c r="AL42" i="5"/>
  <c r="AM42" i="5"/>
  <c r="AN42" i="5"/>
  <c r="AO42" i="5"/>
  <c r="AP42" i="5"/>
  <c r="AQ42" i="5"/>
  <c r="AR42" i="5"/>
  <c r="H43" i="5"/>
  <c r="I43" i="5"/>
  <c r="J43" i="5"/>
  <c r="K43" i="5"/>
  <c r="L43" i="5"/>
  <c r="M43" i="5"/>
  <c r="N43" i="5"/>
  <c r="O43" i="5"/>
  <c r="P43" i="5"/>
  <c r="Q43" i="5"/>
  <c r="R43" i="5"/>
  <c r="S43" i="5"/>
  <c r="T43" i="5"/>
  <c r="U43" i="5"/>
  <c r="V43" i="5"/>
  <c r="W43" i="5"/>
  <c r="X43" i="5"/>
  <c r="Y43" i="5"/>
  <c r="Z43" i="5"/>
  <c r="AA43" i="5"/>
  <c r="AB43" i="5"/>
  <c r="AC43" i="5"/>
  <c r="AD43" i="5"/>
  <c r="AE43" i="5"/>
  <c r="AF43" i="5"/>
  <c r="AG43" i="5"/>
  <c r="AH43" i="5"/>
  <c r="AI43" i="5"/>
  <c r="AJ43" i="5"/>
  <c r="AK43" i="5"/>
  <c r="AL43" i="5"/>
  <c r="AM43" i="5"/>
  <c r="AN43" i="5"/>
  <c r="AO43" i="5"/>
  <c r="AP43" i="5"/>
  <c r="AQ43" i="5"/>
  <c r="AR43" i="5"/>
  <c r="H44" i="5"/>
  <c r="I44" i="5"/>
  <c r="J44" i="5"/>
  <c r="K44" i="5"/>
  <c r="L44" i="5"/>
  <c r="M44" i="5"/>
  <c r="N44" i="5"/>
  <c r="O44" i="5"/>
  <c r="P44" i="5"/>
  <c r="Q44" i="5"/>
  <c r="R44" i="5"/>
  <c r="S44" i="5"/>
  <c r="T44" i="5"/>
  <c r="U44" i="5"/>
  <c r="V44" i="5"/>
  <c r="W44" i="5"/>
  <c r="X44" i="5"/>
  <c r="Y44" i="5"/>
  <c r="Z44" i="5"/>
  <c r="AA44" i="5"/>
  <c r="AB44" i="5"/>
  <c r="AC44" i="5"/>
  <c r="AD44" i="5"/>
  <c r="AE44" i="5"/>
  <c r="AF44" i="5"/>
  <c r="AG44" i="5"/>
  <c r="AH44" i="5"/>
  <c r="AI44" i="5"/>
  <c r="AJ44" i="5"/>
  <c r="AK44" i="5"/>
  <c r="AL44" i="5"/>
  <c r="AM44" i="5"/>
  <c r="AN44" i="5"/>
  <c r="AO44" i="5"/>
  <c r="AP44" i="5"/>
  <c r="AQ44" i="5"/>
  <c r="AR44" i="5"/>
  <c r="H45" i="5"/>
  <c r="I45" i="5"/>
  <c r="J45" i="5"/>
  <c r="K45" i="5"/>
  <c r="L45" i="5"/>
  <c r="M45" i="5"/>
  <c r="N45" i="5"/>
  <c r="O45" i="5"/>
  <c r="P45" i="5"/>
  <c r="Q45" i="5"/>
  <c r="R45" i="5"/>
  <c r="S45" i="5"/>
  <c r="T45" i="5"/>
  <c r="U45" i="5"/>
  <c r="V45" i="5"/>
  <c r="W45" i="5"/>
  <c r="X45" i="5"/>
  <c r="Y45" i="5"/>
  <c r="Z45" i="5"/>
  <c r="AA45" i="5"/>
  <c r="AB45" i="5"/>
  <c r="AC45" i="5"/>
  <c r="AD45" i="5"/>
  <c r="AE45" i="5"/>
  <c r="AF45" i="5"/>
  <c r="AG45" i="5"/>
  <c r="AH45" i="5"/>
  <c r="AI45" i="5"/>
  <c r="AJ45" i="5"/>
  <c r="AK45" i="5"/>
  <c r="AL45" i="5"/>
  <c r="AM45" i="5"/>
  <c r="AN45" i="5"/>
  <c r="AO45" i="5"/>
  <c r="AP45" i="5"/>
  <c r="AQ45" i="5"/>
  <c r="AR45" i="5"/>
  <c r="H46" i="5"/>
  <c r="I46" i="5"/>
  <c r="J46" i="5"/>
  <c r="K46" i="5"/>
  <c r="L46" i="5"/>
  <c r="M46" i="5"/>
  <c r="N46" i="5"/>
  <c r="O46" i="5"/>
  <c r="P46" i="5"/>
  <c r="Q46" i="5"/>
  <c r="R46" i="5"/>
  <c r="S46" i="5"/>
  <c r="T46" i="5"/>
  <c r="U46" i="5"/>
  <c r="V46" i="5"/>
  <c r="W46" i="5"/>
  <c r="X46" i="5"/>
  <c r="Y46" i="5"/>
  <c r="Z46" i="5"/>
  <c r="AA46" i="5"/>
  <c r="AB46" i="5"/>
  <c r="AC46" i="5"/>
  <c r="AD46" i="5"/>
  <c r="AE46" i="5"/>
  <c r="AF46" i="5"/>
  <c r="AG46" i="5"/>
  <c r="AH46" i="5"/>
  <c r="AI46" i="5"/>
  <c r="AJ46" i="5"/>
  <c r="AK46" i="5"/>
  <c r="AL46" i="5"/>
  <c r="AM46" i="5"/>
  <c r="AN46" i="5"/>
  <c r="AO46" i="5"/>
  <c r="AP46" i="5"/>
  <c r="AQ46" i="5"/>
  <c r="AR46" i="5"/>
  <c r="I35" i="5"/>
  <c r="J35" i="5"/>
  <c r="K35" i="5"/>
  <c r="L35" i="5"/>
  <c r="M35" i="5"/>
  <c r="N35" i="5"/>
  <c r="O35" i="5"/>
  <c r="P35" i="5"/>
  <c r="Q35" i="5"/>
  <c r="R35" i="5"/>
  <c r="S35" i="5"/>
  <c r="T35" i="5"/>
  <c r="U35" i="5"/>
  <c r="V35" i="5"/>
  <c r="W35" i="5"/>
  <c r="Z35" i="5"/>
  <c r="AA35" i="5"/>
  <c r="AB35" i="5"/>
  <c r="AC35" i="5"/>
  <c r="AE35" i="5"/>
  <c r="AF35" i="5"/>
  <c r="AG35" i="5"/>
  <c r="AH35" i="5"/>
  <c r="AI35" i="5"/>
  <c r="AJ35" i="5"/>
  <c r="AK35" i="5"/>
  <c r="AL35" i="5"/>
  <c r="AM35" i="5"/>
  <c r="AN35" i="5"/>
  <c r="AO35" i="5"/>
  <c r="AP35" i="5"/>
  <c r="AQ35" i="5"/>
  <c r="AR35" i="5"/>
  <c r="H35" i="5"/>
  <c r="C47" i="5"/>
  <c r="C33" i="5"/>
  <c r="C19" i="5"/>
  <c r="E34" i="5"/>
  <c r="H29" i="7"/>
  <c r="C28" i="7"/>
  <c r="C36" i="6" s="1"/>
  <c r="C22" i="7"/>
  <c r="C35" i="6" s="1"/>
  <c r="C16" i="7"/>
  <c r="C34" i="6" s="1"/>
  <c r="C10" i="7"/>
  <c r="C33" i="6" s="1"/>
  <c r="C43" i="6" s="1"/>
  <c r="M37" i="55"/>
  <c r="N18" i="113" s="1"/>
  <c r="AA43" i="4"/>
  <c r="AD49" i="5" s="1"/>
  <c r="AA31" i="4"/>
  <c r="AD35" i="5" s="1"/>
  <c r="Y35" i="5"/>
  <c r="H46" i="55"/>
  <c r="I46" i="55" s="1"/>
  <c r="D73" i="5" s="1"/>
  <c r="H45" i="55"/>
  <c r="I45" i="55" s="1"/>
  <c r="D72" i="5" s="1"/>
  <c r="D34" i="9" l="1"/>
  <c r="I104" i="113" s="1"/>
  <c r="C46" i="6"/>
  <c r="C73" i="6"/>
  <c r="C45" i="6"/>
  <c r="C72" i="6"/>
  <c r="C44" i="6"/>
  <c r="C71" i="6"/>
  <c r="D73" i="113" s="1"/>
  <c r="X35" i="5"/>
  <c r="E60" i="7"/>
  <c r="CA60" i="7" s="1"/>
  <c r="CA61" i="7" s="1"/>
  <c r="CA62" i="7" s="1"/>
  <c r="E54" i="7"/>
  <c r="BG54" i="7" s="1"/>
  <c r="BG55" i="7" s="1"/>
  <c r="BG56" i="7" s="1"/>
  <c r="F65" i="5"/>
  <c r="BN36" i="7"/>
  <c r="BN37" i="7" s="1"/>
  <c r="BN38" i="7" s="1"/>
  <c r="CF42" i="7"/>
  <c r="CF43" i="7" s="1"/>
  <c r="CF44" i="7" s="1"/>
  <c r="T42" i="7"/>
  <c r="T43" i="7" s="1"/>
  <c r="T44" i="7" s="1"/>
  <c r="R36" i="7"/>
  <c r="R37" i="7" s="1"/>
  <c r="R38" i="7" s="1"/>
  <c r="AR42" i="7"/>
  <c r="AR43" i="7" s="1"/>
  <c r="AR44" i="7" s="1"/>
  <c r="AP36" i="7"/>
  <c r="AP37" i="7" s="1"/>
  <c r="AP38" i="7" s="1"/>
  <c r="AZ42" i="7"/>
  <c r="AZ43" i="7" s="1"/>
  <c r="AZ44" i="7" s="1"/>
  <c r="CG60" i="7"/>
  <c r="CG61" i="7" s="1"/>
  <c r="CG62" i="7" s="1"/>
  <c r="CD36" i="7"/>
  <c r="CD37" i="7" s="1"/>
  <c r="CD38" i="7" s="1"/>
  <c r="BP42" i="7"/>
  <c r="BP43" i="7" s="1"/>
  <c r="BP44" i="7" s="1"/>
  <c r="BX42" i="7"/>
  <c r="BX43" i="7" s="1"/>
  <c r="BX44" i="7" s="1"/>
  <c r="W60" i="7"/>
  <c r="V36" i="7"/>
  <c r="BB36" i="7"/>
  <c r="BB37" i="7" s="1"/>
  <c r="BB38" i="7" s="1"/>
  <c r="CH36" i="7"/>
  <c r="CH37" i="7" s="1"/>
  <c r="CH38" i="7" s="1"/>
  <c r="H42" i="7"/>
  <c r="H43" i="7" s="1"/>
  <c r="H44" i="7" s="1"/>
  <c r="X42" i="7"/>
  <c r="AF42" i="7"/>
  <c r="AF43" i="7" s="1"/>
  <c r="AF44" i="7" s="1"/>
  <c r="N60" i="7"/>
  <c r="V60" i="7"/>
  <c r="AD60" i="7"/>
  <c r="CH60" i="7"/>
  <c r="H60" i="7"/>
  <c r="X60" i="7"/>
  <c r="BT60" i="7"/>
  <c r="CJ60" i="7"/>
  <c r="I60" i="7"/>
  <c r="AW60" i="7"/>
  <c r="BE60" i="7"/>
  <c r="BM60" i="7"/>
  <c r="BU60" i="7"/>
  <c r="AH60" i="7"/>
  <c r="AP60" i="7"/>
  <c r="AX60" i="7"/>
  <c r="BF60" i="7"/>
  <c r="S60" i="7"/>
  <c r="AA60" i="7"/>
  <c r="AI60" i="7"/>
  <c r="AQ60" i="7"/>
  <c r="CE60" i="7"/>
  <c r="L60" i="7"/>
  <c r="T60" i="7"/>
  <c r="AB60" i="7"/>
  <c r="BP60" i="7"/>
  <c r="BX60" i="7"/>
  <c r="CF60" i="7"/>
  <c r="M60" i="7"/>
  <c r="BA60" i="7"/>
  <c r="BI60" i="7"/>
  <c r="BQ60" i="7"/>
  <c r="BY60" i="7"/>
  <c r="Z36" i="7"/>
  <c r="Z37" i="7" s="1"/>
  <c r="Z38" i="7" s="1"/>
  <c r="AB42" i="7"/>
  <c r="AB43" i="7" s="1"/>
  <c r="AB44" i="7" s="1"/>
  <c r="AX36" i="7"/>
  <c r="AX37" i="7" s="1"/>
  <c r="AX38" i="7" s="1"/>
  <c r="CD42" i="7"/>
  <c r="CD43" i="7" s="1"/>
  <c r="CD44" i="7" s="1"/>
  <c r="AJ42" i="7"/>
  <c r="AJ43" i="7" s="1"/>
  <c r="AJ44" i="7" s="1"/>
  <c r="CD54" i="7"/>
  <c r="CD55" i="7" s="1"/>
  <c r="CD56" i="7" s="1"/>
  <c r="BF36" i="7"/>
  <c r="BF37" i="7" s="1"/>
  <c r="J36" i="7"/>
  <c r="J37" i="7" s="1"/>
  <c r="J38" i="7" s="1"/>
  <c r="BV36" i="7"/>
  <c r="BV37" i="7" s="1"/>
  <c r="BV38" i="7" s="1"/>
  <c r="P42" i="7"/>
  <c r="P43" i="7" s="1"/>
  <c r="BH42" i="7"/>
  <c r="BH43" i="7" s="1"/>
  <c r="BH44" i="7" s="1"/>
  <c r="AS54" i="7"/>
  <c r="O54" i="7"/>
  <c r="BC54" i="7"/>
  <c r="L43" i="7"/>
  <c r="L44" i="7" s="1"/>
  <c r="AD36" i="7"/>
  <c r="BJ36" i="7"/>
  <c r="AH36" i="7"/>
  <c r="CJ36" i="7"/>
  <c r="CB36" i="7"/>
  <c r="BT36" i="7"/>
  <c r="BL36" i="7"/>
  <c r="BD36" i="7"/>
  <c r="AV36" i="7"/>
  <c r="AN36" i="7"/>
  <c r="AF36" i="7"/>
  <c r="X36" i="7"/>
  <c r="P36" i="7"/>
  <c r="H36" i="7"/>
  <c r="CI36" i="7"/>
  <c r="CA36" i="7"/>
  <c r="BS36" i="7"/>
  <c r="BK36" i="7"/>
  <c r="BC36" i="7"/>
  <c r="AU36" i="7"/>
  <c r="AM36" i="7"/>
  <c r="AE36" i="7"/>
  <c r="W36" i="7"/>
  <c r="O36" i="7"/>
  <c r="CG36" i="7"/>
  <c r="BY36" i="7"/>
  <c r="BQ36" i="7"/>
  <c r="BI36" i="7"/>
  <c r="BA36" i="7"/>
  <c r="AS36" i="7"/>
  <c r="AK36" i="7"/>
  <c r="AC36" i="7"/>
  <c r="U36" i="7"/>
  <c r="M36" i="7"/>
  <c r="CF36" i="7"/>
  <c r="BX36" i="7"/>
  <c r="BP36" i="7"/>
  <c r="BH36" i="7"/>
  <c r="AZ36" i="7"/>
  <c r="AR36" i="7"/>
  <c r="AJ36" i="7"/>
  <c r="AB36" i="7"/>
  <c r="T36" i="7"/>
  <c r="L36" i="7"/>
  <c r="CE36" i="7"/>
  <c r="BW36" i="7"/>
  <c r="BO36" i="7"/>
  <c r="BG36" i="7"/>
  <c r="AY36" i="7"/>
  <c r="AQ36" i="7"/>
  <c r="AI36" i="7"/>
  <c r="AA36" i="7"/>
  <c r="S36" i="7"/>
  <c r="K36" i="7"/>
  <c r="CC36" i="7"/>
  <c r="BU36" i="7"/>
  <c r="BM36" i="7"/>
  <c r="BE36" i="7"/>
  <c r="AW36" i="7"/>
  <c r="AO36" i="7"/>
  <c r="AG36" i="7"/>
  <c r="Y36" i="7"/>
  <c r="Q36" i="7"/>
  <c r="I36" i="7"/>
  <c r="AL36" i="7"/>
  <c r="BR36" i="7"/>
  <c r="N36" i="7"/>
  <c r="AT36" i="7"/>
  <c r="BZ36" i="7"/>
  <c r="K42" i="7"/>
  <c r="S42" i="7"/>
  <c r="AA42" i="7"/>
  <c r="AI42" i="7"/>
  <c r="AQ42" i="7"/>
  <c r="AY42" i="7"/>
  <c r="BG42" i="7"/>
  <c r="BO42" i="7"/>
  <c r="BW42" i="7"/>
  <c r="CE42" i="7"/>
  <c r="M42" i="7"/>
  <c r="U42" i="7"/>
  <c r="AC42" i="7"/>
  <c r="AK42" i="7"/>
  <c r="AS42" i="7"/>
  <c r="BA42" i="7"/>
  <c r="BI42" i="7"/>
  <c r="BQ42" i="7"/>
  <c r="BY42" i="7"/>
  <c r="CG42" i="7"/>
  <c r="N42" i="7"/>
  <c r="V42" i="7"/>
  <c r="AD42" i="7"/>
  <c r="AL42" i="7"/>
  <c r="AT42" i="7"/>
  <c r="BB42" i="7"/>
  <c r="BJ42" i="7"/>
  <c r="BR42" i="7"/>
  <c r="BZ42" i="7"/>
  <c r="CH42" i="7"/>
  <c r="O42" i="7"/>
  <c r="W42" i="7"/>
  <c r="AE42" i="7"/>
  <c r="AM42" i="7"/>
  <c r="AU42" i="7"/>
  <c r="BC42" i="7"/>
  <c r="BK42" i="7"/>
  <c r="BS42" i="7"/>
  <c r="CA42" i="7"/>
  <c r="CI42" i="7"/>
  <c r="AN42" i="7"/>
  <c r="AV42" i="7"/>
  <c r="BD42" i="7"/>
  <c r="BL42" i="7"/>
  <c r="BT42" i="7"/>
  <c r="CB42" i="7"/>
  <c r="CJ42" i="7"/>
  <c r="I42" i="7"/>
  <c r="Q42" i="7"/>
  <c r="Y42" i="7"/>
  <c r="AG42" i="7"/>
  <c r="AO42" i="7"/>
  <c r="AW42" i="7"/>
  <c r="BE42" i="7"/>
  <c r="BM42" i="7"/>
  <c r="BU42" i="7"/>
  <c r="CC42" i="7"/>
  <c r="J42" i="7"/>
  <c r="R42" i="7"/>
  <c r="Z42" i="7"/>
  <c r="AH42" i="7"/>
  <c r="AP42" i="7"/>
  <c r="AX42" i="7"/>
  <c r="BF42" i="7"/>
  <c r="BN42" i="7"/>
  <c r="BV42" i="7"/>
  <c r="BU54" i="7" l="1"/>
  <c r="S54" i="7"/>
  <c r="S55" i="7" s="1"/>
  <c r="S56" i="7" s="1"/>
  <c r="AS60" i="7"/>
  <c r="BH60" i="7"/>
  <c r="BW60" i="7"/>
  <c r="BW61" i="7" s="1"/>
  <c r="BW62" i="7" s="1"/>
  <c r="K60" i="7"/>
  <c r="K61" i="7" s="1"/>
  <c r="K62" i="7" s="1"/>
  <c r="Z60" i="7"/>
  <c r="AO60" i="7"/>
  <c r="AO61" i="7" s="1"/>
  <c r="AO62" i="7" s="1"/>
  <c r="BD60" i="7"/>
  <c r="BR60" i="7"/>
  <c r="O60" i="7"/>
  <c r="O61" i="7" s="1"/>
  <c r="O62" i="7" s="1"/>
  <c r="BZ60" i="7"/>
  <c r="AG54" i="7"/>
  <c r="AG55" i="7" s="1"/>
  <c r="AG56" i="7" s="1"/>
  <c r="AK60" i="7"/>
  <c r="AK61" i="7" s="1"/>
  <c r="AK62" i="7" s="1"/>
  <c r="AZ60" i="7"/>
  <c r="AZ61" i="7" s="1"/>
  <c r="AZ62" i="7" s="1"/>
  <c r="BO60" i="7"/>
  <c r="BO61" i="7" s="1"/>
  <c r="BO62" i="7" s="1"/>
  <c r="CD60" i="7"/>
  <c r="R60" i="7"/>
  <c r="AG60" i="7"/>
  <c r="AV60" i="7"/>
  <c r="BJ60" i="7"/>
  <c r="BJ61" i="7" s="1"/>
  <c r="BJ62" i="7" s="1"/>
  <c r="Y54" i="7"/>
  <c r="AC60" i="7"/>
  <c r="AR60" i="7"/>
  <c r="AR61" i="7" s="1"/>
  <c r="AR62" i="7" s="1"/>
  <c r="BG60" i="7"/>
  <c r="BV60" i="7"/>
  <c r="J60" i="7"/>
  <c r="Y60" i="7"/>
  <c r="AN60" i="7"/>
  <c r="AN61" i="7" s="1"/>
  <c r="AN62" i="7" s="1"/>
  <c r="BB60" i="7"/>
  <c r="BB61" i="7" s="1"/>
  <c r="BB62" i="7" s="1"/>
  <c r="BK60" i="7"/>
  <c r="BK61" i="7" s="1"/>
  <c r="BK62" i="7" s="1"/>
  <c r="AC54" i="7"/>
  <c r="AC55" i="7" s="1"/>
  <c r="AC56" i="7" s="1"/>
  <c r="BL60" i="7"/>
  <c r="AE60" i="7"/>
  <c r="AE61" i="7" s="1"/>
  <c r="AE62" i="7" s="1"/>
  <c r="BS54" i="7"/>
  <c r="U60" i="7"/>
  <c r="AJ60" i="7"/>
  <c r="AY60" i="7"/>
  <c r="BN60" i="7"/>
  <c r="BN61" i="7" s="1"/>
  <c r="BN62" i="7" s="1"/>
  <c r="CC60" i="7"/>
  <c r="CC61" i="7" s="1"/>
  <c r="CC62" i="7" s="1"/>
  <c r="Q60" i="7"/>
  <c r="AF60" i="7"/>
  <c r="AT60" i="7"/>
  <c r="BS60" i="7"/>
  <c r="BS61" i="7" s="1"/>
  <c r="BP65" i="5"/>
  <c r="BQ65" i="5"/>
  <c r="BR65" i="5"/>
  <c r="BO65" i="5"/>
  <c r="BZ54" i="7"/>
  <c r="BZ55" i="7" s="1"/>
  <c r="BZ56" i="7" s="1"/>
  <c r="I54" i="7"/>
  <c r="BV54" i="7"/>
  <c r="BV55" i="7" s="1"/>
  <c r="BV56" i="7" s="1"/>
  <c r="BD54" i="7"/>
  <c r="BD55" i="7" s="1"/>
  <c r="BD56" i="7" s="1"/>
  <c r="AL54" i="7"/>
  <c r="AL55" i="7" s="1"/>
  <c r="AL56" i="7" s="1"/>
  <c r="BH54" i="7"/>
  <c r="BH55" i="7" s="1"/>
  <c r="BH56" i="7" s="1"/>
  <c r="BF54" i="7"/>
  <c r="BF55" i="7" s="1"/>
  <c r="BF56" i="7" s="1"/>
  <c r="AV54" i="7"/>
  <c r="AD54" i="7"/>
  <c r="AD55" i="7" s="1"/>
  <c r="AD56" i="7" s="1"/>
  <c r="N54" i="7"/>
  <c r="N55" i="7" s="1"/>
  <c r="N56" i="7" s="1"/>
  <c r="R54" i="7"/>
  <c r="AF54" i="7"/>
  <c r="AF55" i="7" s="1"/>
  <c r="AF56" i="7" s="1"/>
  <c r="J54" i="7"/>
  <c r="J55" i="7" s="1"/>
  <c r="J56" i="7" s="1"/>
  <c r="CA54" i="7"/>
  <c r="CA55" i="7" s="1"/>
  <c r="CA56" i="7" s="1"/>
  <c r="BA54" i="7"/>
  <c r="BA55" i="7" s="1"/>
  <c r="BA56" i="7" s="1"/>
  <c r="BC60" i="7"/>
  <c r="BC61" i="7" s="1"/>
  <c r="BC62" i="7" s="1"/>
  <c r="BN54" i="7"/>
  <c r="BN55" i="7" s="1"/>
  <c r="BN56" i="7" s="1"/>
  <c r="CC54" i="7"/>
  <c r="CC55" i="7" s="1"/>
  <c r="CC56" i="7" s="1"/>
  <c r="Q54" i="7"/>
  <c r="AN54" i="7"/>
  <c r="AN55" i="7" s="1"/>
  <c r="AN56" i="7" s="1"/>
  <c r="BK54" i="7"/>
  <c r="CH54" i="7"/>
  <c r="V54" i="7"/>
  <c r="V55" i="7" s="1"/>
  <c r="V56" i="7" s="1"/>
  <c r="AK54" i="7"/>
  <c r="AK55" i="7" s="1"/>
  <c r="AK56" i="7" s="1"/>
  <c r="AU54" i="7"/>
  <c r="AU55" i="7" s="1"/>
  <c r="AU56" i="7" s="1"/>
  <c r="CG54" i="7"/>
  <c r="CG55" i="7" s="1"/>
  <c r="CG56" i="7" s="1"/>
  <c r="BX54" i="7"/>
  <c r="BX55" i="7" s="1"/>
  <c r="BX56" i="7" s="1"/>
  <c r="AZ54" i="7"/>
  <c r="AZ55" i="7" s="1"/>
  <c r="AZ56" i="7" s="1"/>
  <c r="AX54" i="7"/>
  <c r="CJ54" i="7"/>
  <c r="U54" i="7"/>
  <c r="U55" i="7" s="1"/>
  <c r="U56" i="7" s="1"/>
  <c r="AP54" i="7"/>
  <c r="BE54" i="7"/>
  <c r="CB54" i="7"/>
  <c r="CB55" i="7" s="1"/>
  <c r="CB56" i="7" s="1"/>
  <c r="P54" i="7"/>
  <c r="AM54" i="7"/>
  <c r="AM55" i="7" s="1"/>
  <c r="AM56" i="7" s="1"/>
  <c r="BJ54" i="7"/>
  <c r="BJ55" i="7" s="1"/>
  <c r="BJ56" i="7" s="1"/>
  <c r="BY54" i="7"/>
  <c r="BY55" i="7" s="1"/>
  <c r="BY56" i="7" s="1"/>
  <c r="M54" i="7"/>
  <c r="M55" i="7" s="1"/>
  <c r="M56" i="7" s="1"/>
  <c r="L54" i="7"/>
  <c r="L55" i="7" s="1"/>
  <c r="L56" i="7" s="1"/>
  <c r="X54" i="7"/>
  <c r="X55" i="7" s="1"/>
  <c r="X56" i="7" s="1"/>
  <c r="AB54" i="7"/>
  <c r="AB55" i="7" s="1"/>
  <c r="AB56" i="7" s="1"/>
  <c r="AH54" i="7"/>
  <c r="AH55" i="7" s="1"/>
  <c r="AH56" i="7" s="1"/>
  <c r="AW54" i="7"/>
  <c r="AW55" i="7" s="1"/>
  <c r="AW56" i="7" s="1"/>
  <c r="BT54" i="7"/>
  <c r="BT55" i="7" s="1"/>
  <c r="BT56" i="7" s="1"/>
  <c r="H54" i="7"/>
  <c r="H55" i="7" s="1"/>
  <c r="H56" i="7" s="1"/>
  <c r="AE54" i="7"/>
  <c r="AE55" i="7" s="1"/>
  <c r="AE56" i="7" s="1"/>
  <c r="BB54" i="7"/>
  <c r="BQ54" i="7"/>
  <c r="BQ55" i="7" s="1"/>
  <c r="BQ56" i="7" s="1"/>
  <c r="CE54" i="7"/>
  <c r="CE55" i="7" s="1"/>
  <c r="CE56" i="7" s="1"/>
  <c r="BP54" i="7"/>
  <c r="BP55" i="7" s="1"/>
  <c r="BP56" i="7" s="1"/>
  <c r="BM54" i="7"/>
  <c r="BM55" i="7" s="1"/>
  <c r="BM56" i="7" s="1"/>
  <c r="BR54" i="7"/>
  <c r="BR55" i="7" s="1"/>
  <c r="BR56" i="7" s="1"/>
  <c r="Z54" i="7"/>
  <c r="Z55" i="7" s="1"/>
  <c r="Z56" i="7" s="1"/>
  <c r="AO54" i="7"/>
  <c r="AO55" i="7" s="1"/>
  <c r="AO56" i="7" s="1"/>
  <c r="BL54" i="7"/>
  <c r="BL55" i="7" s="1"/>
  <c r="BL56" i="7" s="1"/>
  <c r="CI54" i="7"/>
  <c r="CI55" i="7" s="1"/>
  <c r="CI56" i="7" s="1"/>
  <c r="W54" i="7"/>
  <c r="W55" i="7" s="1"/>
  <c r="W56" i="7" s="1"/>
  <c r="AT54" i="7"/>
  <c r="AT55" i="7" s="1"/>
  <c r="AT56" i="7" s="1"/>
  <c r="BI54" i="7"/>
  <c r="BI55" i="7" s="1"/>
  <c r="BI56" i="7" s="1"/>
  <c r="AY54" i="7"/>
  <c r="AY55" i="7" s="1"/>
  <c r="AY56" i="7" s="1"/>
  <c r="AJ54" i="7"/>
  <c r="AJ55" i="7" s="1"/>
  <c r="AJ56" i="7" s="1"/>
  <c r="BO54" i="7"/>
  <c r="BO55" i="7" s="1"/>
  <c r="BO56" i="7" s="1"/>
  <c r="AR54" i="7"/>
  <c r="AR55" i="7" s="1"/>
  <c r="AR56" i="7" s="1"/>
  <c r="AU60" i="7"/>
  <c r="AU61" i="7" s="1"/>
  <c r="AU62" i="7" s="1"/>
  <c r="CI60" i="7"/>
  <c r="CI61" i="7" s="1"/>
  <c r="CI62" i="7" s="1"/>
  <c r="CB60" i="7"/>
  <c r="CB61" i="7" s="1"/>
  <c r="CB62" i="7" s="1"/>
  <c r="P60" i="7"/>
  <c r="AL60" i="7"/>
  <c r="AL61" i="7" s="1"/>
  <c r="AL62" i="7" s="1"/>
  <c r="AQ54" i="7"/>
  <c r="AQ55" i="7" s="1"/>
  <c r="AQ56" i="7" s="1"/>
  <c r="AM60" i="7"/>
  <c r="AM61" i="7" s="1"/>
  <c r="AM62" i="7" s="1"/>
  <c r="AI54" i="7"/>
  <c r="AI55" i="7" s="1"/>
  <c r="AI56" i="7" s="1"/>
  <c r="AA54" i="7"/>
  <c r="AA55" i="7" s="1"/>
  <c r="AA56" i="7" s="1"/>
  <c r="BW54" i="7"/>
  <c r="BW55" i="7" s="1"/>
  <c r="BW56" i="7" s="1"/>
  <c r="T54" i="7"/>
  <c r="T55" i="7" s="1"/>
  <c r="T56" i="7" s="1"/>
  <c r="K54" i="7"/>
  <c r="K55" i="7" s="1"/>
  <c r="K56" i="7" s="1"/>
  <c r="CF54" i="7"/>
  <c r="CF55" i="7" s="1"/>
  <c r="CF56" i="7" s="1"/>
  <c r="P44" i="7"/>
  <c r="BS62" i="7"/>
  <c r="W61" i="7"/>
  <c r="W62" i="7" s="1"/>
  <c r="L61" i="7"/>
  <c r="L62" i="7" s="1"/>
  <c r="BU61" i="7"/>
  <c r="BU62" i="7" s="1"/>
  <c r="BP61" i="7"/>
  <c r="BP62" i="7" s="1"/>
  <c r="CJ61" i="7"/>
  <c r="CJ62" i="7" s="1"/>
  <c r="X61" i="7"/>
  <c r="X62" i="7" s="1"/>
  <c r="BH61" i="7"/>
  <c r="BH62" i="7" s="1"/>
  <c r="Z61" i="7"/>
  <c r="Z62" i="7" s="1"/>
  <c r="BE61" i="7"/>
  <c r="BE62" i="7" s="1"/>
  <c r="CD61" i="7"/>
  <c r="CD62" i="7" s="1"/>
  <c r="R61" i="7"/>
  <c r="R62" i="7" s="1"/>
  <c r="AW61" i="7"/>
  <c r="AW62" i="7" s="1"/>
  <c r="BT61" i="7"/>
  <c r="BT62" i="7" s="1"/>
  <c r="H61" i="7"/>
  <c r="H62" i="7" s="1"/>
  <c r="AD61" i="7"/>
  <c r="AD62" i="7" s="1"/>
  <c r="AC61" i="7"/>
  <c r="AC62" i="7" s="1"/>
  <c r="BG61" i="7"/>
  <c r="BG62" i="7" s="1"/>
  <c r="BV61" i="7"/>
  <c r="BV62" i="7" s="1"/>
  <c r="J61" i="7"/>
  <c r="J62" i="7" s="1"/>
  <c r="BL61" i="7"/>
  <c r="BL62" i="7" s="1"/>
  <c r="CH61" i="7"/>
  <c r="CH62" i="7" s="1"/>
  <c r="V61" i="7"/>
  <c r="V62" i="7" s="1"/>
  <c r="BX61" i="7"/>
  <c r="BX62" i="7" s="1"/>
  <c r="AP61" i="7"/>
  <c r="AP62" i="7" s="1"/>
  <c r="U61" i="7"/>
  <c r="U62" i="7" s="1"/>
  <c r="AJ61" i="7"/>
  <c r="AJ62" i="7" s="1"/>
  <c r="AY61" i="7"/>
  <c r="AY62" i="7" s="1"/>
  <c r="AG61" i="7"/>
  <c r="AG62" i="7" s="1"/>
  <c r="BD61" i="7"/>
  <c r="BD62" i="7" s="1"/>
  <c r="BZ61" i="7"/>
  <c r="BZ62" i="7" s="1"/>
  <c r="N61" i="7"/>
  <c r="N62" i="7" s="1"/>
  <c r="BI61" i="7"/>
  <c r="BI62" i="7" s="1"/>
  <c r="AF61" i="7"/>
  <c r="AF62" i="7" s="1"/>
  <c r="BA61" i="7"/>
  <c r="BA62" i="7" s="1"/>
  <c r="AH61" i="7"/>
  <c r="AH62" i="7" s="1"/>
  <c r="AT61" i="7"/>
  <c r="AT62" i="7" s="1"/>
  <c r="BY61" i="7"/>
  <c r="BY62" i="7" s="1"/>
  <c r="M61" i="7"/>
  <c r="M62" i="7" s="1"/>
  <c r="AB61" i="7"/>
  <c r="AB62" i="7" s="1"/>
  <c r="AQ61" i="7"/>
  <c r="AQ62" i="7" s="1"/>
  <c r="BF61" i="7"/>
  <c r="BF62" i="7" s="1"/>
  <c r="Y61" i="7"/>
  <c r="Y62" i="7" s="1"/>
  <c r="AV61" i="7"/>
  <c r="AV62" i="7" s="1"/>
  <c r="BR61" i="7"/>
  <c r="BR62" i="7" s="1"/>
  <c r="AA61" i="7"/>
  <c r="AA62" i="7" s="1"/>
  <c r="I61" i="7"/>
  <c r="I62" i="7" s="1"/>
  <c r="CE61" i="7"/>
  <c r="CE62" i="7" s="1"/>
  <c r="BM61" i="7"/>
  <c r="BM62" i="7" s="1"/>
  <c r="AS61" i="7"/>
  <c r="AS62" i="7" s="1"/>
  <c r="BQ61" i="7"/>
  <c r="BQ62" i="7" s="1"/>
  <c r="CF61" i="7"/>
  <c r="CF62" i="7" s="1"/>
  <c r="AI61" i="7"/>
  <c r="AI62" i="7" s="1"/>
  <c r="AX61" i="7"/>
  <c r="AX62" i="7" s="1"/>
  <c r="Q61" i="7"/>
  <c r="Q62" i="7" s="1"/>
  <c r="BF38" i="7"/>
  <c r="BB55" i="7"/>
  <c r="BB56" i="7" s="1"/>
  <c r="Y55" i="7"/>
  <c r="Y56" i="7" s="1"/>
  <c r="BS55" i="7"/>
  <c r="BS56" i="7" s="1"/>
  <c r="BK55" i="7"/>
  <c r="BK56" i="7" s="1"/>
  <c r="AV55" i="7"/>
  <c r="AV56" i="7" s="1"/>
  <c r="BU55" i="7"/>
  <c r="BU56" i="7" s="1"/>
  <c r="I55" i="7"/>
  <c r="BC55" i="7"/>
  <c r="BC56" i="7" s="1"/>
  <c r="CH55" i="7"/>
  <c r="CH56" i="7" s="1"/>
  <c r="AP55" i="7"/>
  <c r="AP56" i="7" s="1"/>
  <c r="BE55" i="7"/>
  <c r="BE56" i="7" s="1"/>
  <c r="O55" i="7"/>
  <c r="O56" i="7" s="1"/>
  <c r="AX55" i="7"/>
  <c r="AX56" i="7" s="1"/>
  <c r="CJ55" i="7"/>
  <c r="CJ56" i="7" s="1"/>
  <c r="AS55" i="7"/>
  <c r="AS56" i="7" s="1"/>
  <c r="BN43" i="7"/>
  <c r="BN44" i="7" s="1"/>
  <c r="AN43" i="7"/>
  <c r="AN44" i="7" s="1"/>
  <c r="CH43" i="7"/>
  <c r="CH44" i="7" s="1"/>
  <c r="L37" i="7"/>
  <c r="L38" i="7" s="1"/>
  <c r="AK43" i="7"/>
  <c r="AK44" i="7" s="1"/>
  <c r="AY43" i="7"/>
  <c r="AY44" i="7" s="1"/>
  <c r="BZ37" i="7"/>
  <c r="BZ38" i="7" s="1"/>
  <c r="I37" i="7"/>
  <c r="I38" i="7" s="1"/>
  <c r="BU37" i="7"/>
  <c r="BU38" i="7" s="1"/>
  <c r="BG37" i="7"/>
  <c r="BG38" i="7" s="1"/>
  <c r="AJ37" i="7"/>
  <c r="AJ38" i="7" s="1"/>
  <c r="CG37" i="7"/>
  <c r="CG38" i="7" s="1"/>
  <c r="BS37" i="7"/>
  <c r="BS38" i="7" s="1"/>
  <c r="AV37" i="7"/>
  <c r="AV38" i="7" s="1"/>
  <c r="AD37" i="7"/>
  <c r="AD38" i="7" s="1"/>
  <c r="CC43" i="7"/>
  <c r="CC44" i="7" s="1"/>
  <c r="AE43" i="7"/>
  <c r="AE44" i="7" s="1"/>
  <c r="BI43" i="7"/>
  <c r="BI44" i="7" s="1"/>
  <c r="K43" i="7"/>
  <c r="K44" i="7" s="1"/>
  <c r="AW37" i="7"/>
  <c r="AW38" i="7" s="1"/>
  <c r="BX37" i="7"/>
  <c r="BX38" i="7" s="1"/>
  <c r="BI37" i="7"/>
  <c r="BI38" i="7" s="1"/>
  <c r="AU37" i="7"/>
  <c r="AU38" i="7" s="1"/>
  <c r="CJ37" i="7"/>
  <c r="CJ38" i="7" s="1"/>
  <c r="BF43" i="7"/>
  <c r="BF44" i="7" s="1"/>
  <c r="I43" i="7"/>
  <c r="I44" i="7" s="1"/>
  <c r="BA43" i="7"/>
  <c r="BA44" i="7" s="1"/>
  <c r="BM43" i="7"/>
  <c r="BM44" i="7" s="1"/>
  <c r="G42" i="7"/>
  <c r="BJ43" i="7"/>
  <c r="BJ44" i="7" s="1"/>
  <c r="AH43" i="7"/>
  <c r="AH44" i="7" s="1"/>
  <c r="AW43" i="7"/>
  <c r="AW44" i="7" s="1"/>
  <c r="BT43" i="7"/>
  <c r="BT44" i="7" s="1"/>
  <c r="BK43" i="7"/>
  <c r="BK44" i="7" s="1"/>
  <c r="BB43" i="7"/>
  <c r="BB44" i="7" s="1"/>
  <c r="AC43" i="7"/>
  <c r="AC44" i="7" s="1"/>
  <c r="CC37" i="7"/>
  <c r="CC38" i="7" s="1"/>
  <c r="AR37" i="7"/>
  <c r="AR38" i="7" s="1"/>
  <c r="O37" i="7"/>
  <c r="O38" i="7" s="1"/>
  <c r="BD37" i="7"/>
  <c r="BD38" i="7" s="1"/>
  <c r="Z43" i="7"/>
  <c r="Z44" i="7" s="1"/>
  <c r="BC43" i="7"/>
  <c r="BC44" i="7" s="1"/>
  <c r="K37" i="7"/>
  <c r="K38" i="7" s="1"/>
  <c r="BW37" i="7"/>
  <c r="BW38" i="7" s="1"/>
  <c r="AK37" i="7"/>
  <c r="AK38" i="7" s="1"/>
  <c r="CI37" i="7"/>
  <c r="CI38" i="7" s="1"/>
  <c r="R43" i="7"/>
  <c r="R44" i="7" s="1"/>
  <c r="M43" i="7"/>
  <c r="M44" i="7" s="1"/>
  <c r="AG37" i="7"/>
  <c r="AG38" i="7" s="1"/>
  <c r="CE37" i="7"/>
  <c r="CE38" i="7" s="1"/>
  <c r="AS37" i="7"/>
  <c r="AS38" i="7" s="1"/>
  <c r="G36" i="7"/>
  <c r="H37" i="7"/>
  <c r="H38" i="7" s="1"/>
  <c r="AH37" i="7"/>
  <c r="AH38" i="7" s="1"/>
  <c r="BU43" i="7"/>
  <c r="BU44" i="7" s="1"/>
  <c r="CI43" i="7"/>
  <c r="CI44" i="7" s="1"/>
  <c r="BZ43" i="7"/>
  <c r="BZ44" i="7" s="1"/>
  <c r="N43" i="7"/>
  <c r="N44" i="7" s="1"/>
  <c r="BO43" i="7"/>
  <c r="BO44" i="7" s="1"/>
  <c r="AX43" i="7"/>
  <c r="AX44" i="7" s="1"/>
  <c r="CJ43" i="7"/>
  <c r="CJ44" i="7" s="1"/>
  <c r="CA43" i="7"/>
  <c r="CA44" i="7" s="1"/>
  <c r="O43" i="7"/>
  <c r="O44" i="7" s="1"/>
  <c r="BR43" i="7"/>
  <c r="BR44" i="7" s="1"/>
  <c r="AP43" i="7"/>
  <c r="AP44" i="7" s="1"/>
  <c r="BE43" i="7"/>
  <c r="BE44" i="7" s="1"/>
  <c r="CB43" i="7"/>
  <c r="CB44" i="7" s="1"/>
  <c r="BS43" i="7"/>
  <c r="BS44" i="7" s="1"/>
  <c r="AQ43" i="7"/>
  <c r="AQ44" i="7" s="1"/>
  <c r="AT37" i="7"/>
  <c r="AT38" i="7" s="1"/>
  <c r="Q37" i="7"/>
  <c r="Q38" i="7" s="1"/>
  <c r="BO37" i="7"/>
  <c r="BO38" i="7" s="1"/>
  <c r="AC37" i="7"/>
  <c r="AC38" i="7" s="1"/>
  <c r="CA37" i="7"/>
  <c r="CA38" i="7" s="1"/>
  <c r="AO43" i="7"/>
  <c r="AO44" i="7" s="1"/>
  <c r="BL43" i="7"/>
  <c r="BL44" i="7" s="1"/>
  <c r="AT43" i="7"/>
  <c r="AT44" i="7" s="1"/>
  <c r="CG43" i="7"/>
  <c r="CG44" i="7" s="1"/>
  <c r="AI43" i="7"/>
  <c r="AI44" i="7" s="1"/>
  <c r="N37" i="7"/>
  <c r="N38" i="7" s="1"/>
  <c r="Y37" i="7"/>
  <c r="Y38" i="7" s="1"/>
  <c r="AZ37" i="7"/>
  <c r="AZ38" i="7" s="1"/>
  <c r="BL37" i="7"/>
  <c r="BL38" i="7" s="1"/>
  <c r="AG43" i="7"/>
  <c r="AG44" i="7" s="1"/>
  <c r="BD43" i="7"/>
  <c r="BD44" i="7" s="1"/>
  <c r="AU43" i="7"/>
  <c r="AU44" i="7" s="1"/>
  <c r="AL43" i="7"/>
  <c r="AL44" i="7" s="1"/>
  <c r="BY43" i="7"/>
  <c r="BY44" i="7" s="1"/>
  <c r="AA43" i="7"/>
  <c r="AA44" i="7" s="1"/>
  <c r="S37" i="7"/>
  <c r="S38" i="7" s="1"/>
  <c r="BH37" i="7"/>
  <c r="BH38" i="7" s="1"/>
  <c r="AE37" i="7"/>
  <c r="AE38" i="7" s="1"/>
  <c r="BT37" i="7"/>
  <c r="BT38" i="7" s="1"/>
  <c r="BV43" i="7"/>
  <c r="BV44" i="7" s="1"/>
  <c r="J43" i="7"/>
  <c r="J44" i="7" s="1"/>
  <c r="Y43" i="7"/>
  <c r="Y44" i="7" s="1"/>
  <c r="AV43" i="7"/>
  <c r="AV44" i="7" s="1"/>
  <c r="AM43" i="7"/>
  <c r="AM44" i="7" s="1"/>
  <c r="AD43" i="7"/>
  <c r="AD44" i="7" s="1"/>
  <c r="BQ43" i="7"/>
  <c r="BQ44" i="7" s="1"/>
  <c r="CE43" i="7"/>
  <c r="CE44" i="7" s="1"/>
  <c r="S43" i="7"/>
  <c r="S44" i="7" s="1"/>
  <c r="AO37" i="7"/>
  <c r="AO38" i="7" s="1"/>
  <c r="AA37" i="7"/>
  <c r="AA38" i="7" s="1"/>
  <c r="BP37" i="7"/>
  <c r="BP38" i="7" s="1"/>
  <c r="BA37" i="7"/>
  <c r="BA38" i="7" s="1"/>
  <c r="AM37" i="7"/>
  <c r="AM38" i="7" s="1"/>
  <c r="P37" i="7"/>
  <c r="P38" i="7" s="1"/>
  <c r="CB37" i="7"/>
  <c r="CB38" i="7" s="1"/>
  <c r="AI37" i="7"/>
  <c r="AI38" i="7" s="1"/>
  <c r="BR37" i="7"/>
  <c r="BR38" i="7" s="1"/>
  <c r="BE37" i="7"/>
  <c r="BE38" i="7" s="1"/>
  <c r="AQ37" i="7"/>
  <c r="AQ38" i="7" s="1"/>
  <c r="T37" i="7"/>
  <c r="T38" i="7" s="1"/>
  <c r="CF37" i="7"/>
  <c r="CF38" i="7" s="1"/>
  <c r="BQ37" i="7"/>
  <c r="BQ38" i="7" s="1"/>
  <c r="BC37" i="7"/>
  <c r="BC38" i="7" s="1"/>
  <c r="AF37" i="7"/>
  <c r="AF38" i="7" s="1"/>
  <c r="Q43" i="7"/>
  <c r="Q44" i="7" s="1"/>
  <c r="BW43" i="7"/>
  <c r="BW44" i="7" s="1"/>
  <c r="AS43" i="7"/>
  <c r="AS44" i="7" s="1"/>
  <c r="BG43" i="7"/>
  <c r="BG44" i="7" s="1"/>
  <c r="AL37" i="7"/>
  <c r="AL38" i="7" s="1"/>
  <c r="BM37" i="7"/>
  <c r="BM38" i="7" s="1"/>
  <c r="AY37" i="7"/>
  <c r="AY38" i="7" s="1"/>
  <c r="AB37" i="7"/>
  <c r="AB38" i="7" s="1"/>
  <c r="M37" i="7"/>
  <c r="M38" i="7" s="1"/>
  <c r="BY37" i="7"/>
  <c r="BY38" i="7" s="1"/>
  <c r="BK37" i="7"/>
  <c r="BK38" i="7" s="1"/>
  <c r="AN37" i="7"/>
  <c r="AN38" i="7" s="1"/>
  <c r="BJ37" i="7"/>
  <c r="BJ38" i="7" s="1"/>
  <c r="G60" i="7" l="1"/>
  <c r="P61" i="7"/>
  <c r="P62" i="7" s="1"/>
  <c r="R63" i="7" s="1"/>
  <c r="G54" i="7"/>
  <c r="I45" i="7"/>
  <c r="K63" i="7"/>
  <c r="I39" i="7"/>
  <c r="O63" i="7"/>
  <c r="J63" i="7"/>
  <c r="M63" i="7"/>
  <c r="I63" i="7"/>
  <c r="J45" i="7"/>
  <c r="L63" i="7"/>
  <c r="N63" i="7"/>
  <c r="S39" i="7"/>
  <c r="T39" i="7"/>
  <c r="K39" i="7"/>
  <c r="M39" i="7"/>
  <c r="N39" i="7"/>
  <c r="J39" i="7"/>
  <c r="Q39" i="7"/>
  <c r="L39" i="7"/>
  <c r="R39" i="7"/>
  <c r="P39" i="7"/>
  <c r="O39" i="7"/>
  <c r="Q45" i="7"/>
  <c r="N45" i="7"/>
  <c r="P45" i="7"/>
  <c r="K45" i="7"/>
  <c r="O45" i="7"/>
  <c r="M45" i="7"/>
  <c r="R45" i="7"/>
  <c r="T45" i="7"/>
  <c r="S45" i="7"/>
  <c r="L45" i="7"/>
  <c r="I56" i="7"/>
  <c r="N57" i="7" s="1"/>
  <c r="M29" i="55"/>
  <c r="L29" i="55"/>
  <c r="I29" i="55"/>
  <c r="D47" i="5" s="1"/>
  <c r="J29" i="55"/>
  <c r="H29" i="55"/>
  <c r="N23" i="55"/>
  <c r="N22" i="55"/>
  <c r="I21" i="55"/>
  <c r="D33" i="5" s="1"/>
  <c r="J21" i="55"/>
  <c r="L21" i="55"/>
  <c r="M21" i="55"/>
  <c r="H12" i="55"/>
  <c r="D11" i="55"/>
  <c r="F15" i="128" s="1"/>
  <c r="F29" i="128" s="1"/>
  <c r="G11" i="55"/>
  <c r="H21" i="55"/>
  <c r="L12" i="55"/>
  <c r="M12" i="55"/>
  <c r="N12" i="113" s="1"/>
  <c r="J12" i="55"/>
  <c r="D19" i="5"/>
  <c r="P63" i="7" l="1"/>
  <c r="Q63" i="7"/>
  <c r="J12" i="113"/>
  <c r="E85" i="113" s="1"/>
  <c r="H11" i="55"/>
  <c r="F33" i="128" s="1"/>
  <c r="L83" i="128" s="1"/>
  <c r="K57" i="7"/>
  <c r="J57" i="7"/>
  <c r="M57" i="7"/>
  <c r="L57" i="7"/>
  <c r="I57" i="7"/>
  <c r="O57" i="7"/>
  <c r="M11" i="55"/>
  <c r="L11" i="55"/>
  <c r="J11" i="55"/>
  <c r="I11" i="55"/>
  <c r="E86" i="113" l="1"/>
  <c r="E37" i="113"/>
  <c r="D16" i="5"/>
  <c r="D34" i="5"/>
  <c r="F34" i="5" s="1"/>
  <c r="D48" i="5"/>
  <c r="F48" i="5" s="1"/>
  <c r="F55" i="5" s="1"/>
  <c r="D43" i="55"/>
  <c r="E19" i="113" s="1"/>
  <c r="D48" i="55"/>
  <c r="E21" i="113" s="1"/>
  <c r="H30" i="55"/>
  <c r="F17" i="128" l="1"/>
  <c r="BQ55" i="5"/>
  <c r="BR55" i="5"/>
  <c r="BO55" i="5"/>
  <c r="BP55" i="5"/>
  <c r="F37" i="5"/>
  <c r="F43" i="5"/>
  <c r="F42" i="5"/>
  <c r="F36" i="5"/>
  <c r="F40" i="5"/>
  <c r="F35" i="5"/>
  <c r="F41" i="5"/>
  <c r="F39" i="5"/>
  <c r="F38" i="5"/>
  <c r="F44" i="5"/>
  <c r="F53" i="5"/>
  <c r="F50" i="5"/>
  <c r="F51" i="5"/>
  <c r="F52" i="5"/>
  <c r="F49" i="5"/>
  <c r="F54" i="5"/>
  <c r="F57" i="5"/>
  <c r="F58" i="5"/>
  <c r="F56" i="5"/>
  <c r="Q68" i="5"/>
  <c r="P68" i="5"/>
  <c r="O68" i="5"/>
  <c r="N68" i="5"/>
  <c r="M68" i="5"/>
  <c r="Q67" i="5"/>
  <c r="P67" i="5"/>
  <c r="O67" i="5"/>
  <c r="N67" i="5"/>
  <c r="M67" i="5"/>
  <c r="Q66" i="5"/>
  <c r="P66" i="5"/>
  <c r="O66" i="5"/>
  <c r="N66" i="5"/>
  <c r="M66" i="5"/>
  <c r="BO54" i="5" l="1"/>
  <c r="BP54" i="5"/>
  <c r="BQ54" i="5"/>
  <c r="BR54" i="5"/>
  <c r="BQ53" i="5"/>
  <c r="BR53" i="5"/>
  <c r="BO53" i="5"/>
  <c r="BP53" i="5"/>
  <c r="BO58" i="5"/>
  <c r="BP58" i="5"/>
  <c r="BQ58" i="5"/>
  <c r="BR58" i="5"/>
  <c r="BQ57" i="5"/>
  <c r="BR57" i="5"/>
  <c r="BP57" i="5"/>
  <c r="BO57" i="5"/>
  <c r="BQ51" i="5"/>
  <c r="BR51" i="5"/>
  <c r="BO51" i="5"/>
  <c r="BP51" i="5"/>
  <c r="BO56" i="5"/>
  <c r="BP56" i="5"/>
  <c r="BQ56" i="5"/>
  <c r="BR56" i="5"/>
  <c r="BQ49" i="5"/>
  <c r="BR49" i="5"/>
  <c r="BO49" i="5"/>
  <c r="BP49" i="5"/>
  <c r="BO52" i="5"/>
  <c r="BP52" i="5"/>
  <c r="BQ52" i="5"/>
  <c r="BR52" i="5"/>
  <c r="BO50" i="5"/>
  <c r="BP50" i="5"/>
  <c r="BQ50" i="5"/>
  <c r="BR50" i="5"/>
  <c r="BR41" i="5"/>
  <c r="BO41" i="5"/>
  <c r="BQ41" i="5"/>
  <c r="BP41" i="5"/>
  <c r="BO38" i="5"/>
  <c r="BP38" i="5"/>
  <c r="BQ38" i="5"/>
  <c r="BR38" i="5"/>
  <c r="BR35" i="5"/>
  <c r="BO35" i="5"/>
  <c r="BP35" i="5"/>
  <c r="BQ35" i="5"/>
  <c r="BO40" i="5"/>
  <c r="BP40" i="5"/>
  <c r="BQ40" i="5"/>
  <c r="BR40" i="5"/>
  <c r="BO36" i="5"/>
  <c r="BP36" i="5"/>
  <c r="BQ36" i="5"/>
  <c r="BR36" i="5"/>
  <c r="BO42" i="5"/>
  <c r="BP42" i="5"/>
  <c r="BQ42" i="5"/>
  <c r="BR42" i="5"/>
  <c r="BO44" i="5"/>
  <c r="BP44" i="5"/>
  <c r="BQ44" i="5"/>
  <c r="BR44" i="5"/>
  <c r="BQ43" i="5"/>
  <c r="BO43" i="5"/>
  <c r="BP43" i="5"/>
  <c r="BR43" i="5"/>
  <c r="BQ39" i="5"/>
  <c r="BO39" i="5"/>
  <c r="BR39" i="5"/>
  <c r="BP39" i="5"/>
  <c r="BO37" i="5"/>
  <c r="BR37" i="5"/>
  <c r="BP37" i="5"/>
  <c r="BQ37" i="5"/>
  <c r="F45" i="5"/>
  <c r="F59" i="5"/>
  <c r="H14" i="11"/>
  <c r="F56" i="8"/>
  <c r="G56" i="8"/>
  <c r="H56" i="8"/>
  <c r="I56" i="8"/>
  <c r="J56" i="8"/>
  <c r="K56" i="8"/>
  <c r="N56" i="8"/>
  <c r="O56" i="8"/>
  <c r="E56" i="8"/>
  <c r="K55" i="8" s="1"/>
  <c r="BR48" i="5" l="1"/>
  <c r="BO48" i="5"/>
  <c r="BQ59" i="5"/>
  <c r="BR59" i="5"/>
  <c r="BO59" i="5"/>
  <c r="BP59" i="5"/>
  <c r="BP48" i="5"/>
  <c r="BQ48" i="5"/>
  <c r="BR34" i="5"/>
  <c r="BQ34" i="5"/>
  <c r="BP34" i="5"/>
  <c r="BO45" i="5"/>
  <c r="BQ45" i="5"/>
  <c r="BR45" i="5"/>
  <c r="BP45" i="5"/>
  <c r="BO34" i="5"/>
  <c r="G129" i="7"/>
  <c r="D13" i="113"/>
  <c r="D14" i="113"/>
  <c r="D11" i="113"/>
  <c r="B2" i="11"/>
  <c r="C2" i="9"/>
  <c r="B2" i="8"/>
  <c r="C2" i="6"/>
  <c r="C2" i="7"/>
  <c r="B2" i="5"/>
  <c r="B2" i="4"/>
  <c r="B2" i="55"/>
  <c r="C70" i="6"/>
  <c r="D72" i="113" s="1"/>
  <c r="AR17" i="5"/>
  <c r="AQ17" i="5"/>
  <c r="AP17" i="5"/>
  <c r="AO17" i="5"/>
  <c r="AN17" i="5"/>
  <c r="AM17" i="5"/>
  <c r="AL17" i="5"/>
  <c r="AK17" i="5"/>
  <c r="AJ17" i="5"/>
  <c r="AI17" i="5"/>
  <c r="AH17" i="5"/>
  <c r="AG17" i="5"/>
  <c r="AF17" i="5"/>
  <c r="AE17" i="5"/>
  <c r="AD17" i="5"/>
  <c r="AC17" i="5"/>
  <c r="AB17" i="5"/>
  <c r="AA17" i="5"/>
  <c r="Z17" i="5"/>
  <c r="Y17" i="5"/>
  <c r="X17" i="5"/>
  <c r="W17" i="5"/>
  <c r="V17" i="5"/>
  <c r="U17" i="5"/>
  <c r="T17" i="5"/>
  <c r="S17" i="5"/>
  <c r="R17" i="5"/>
  <c r="Q17" i="5"/>
  <c r="P17" i="5"/>
  <c r="O17" i="5"/>
  <c r="N17" i="5"/>
  <c r="M17" i="5"/>
  <c r="L17" i="5"/>
  <c r="K17" i="5"/>
  <c r="J17" i="5"/>
  <c r="I17" i="5"/>
  <c r="H17" i="5"/>
  <c r="I89" i="7"/>
  <c r="J89" i="7"/>
  <c r="K89" i="7"/>
  <c r="L89" i="7"/>
  <c r="M89" i="7"/>
  <c r="N89" i="7"/>
  <c r="O89" i="7"/>
  <c r="P89" i="7"/>
  <c r="Q89" i="7"/>
  <c r="R89" i="7"/>
  <c r="S89" i="7"/>
  <c r="T89" i="7"/>
  <c r="U89" i="7"/>
  <c r="V89" i="7"/>
  <c r="W89" i="7"/>
  <c r="X89" i="7"/>
  <c r="Y89" i="7"/>
  <c r="Z89" i="7"/>
  <c r="AA89" i="7"/>
  <c r="AB89" i="7"/>
  <c r="AC89" i="7"/>
  <c r="AD89" i="7"/>
  <c r="AE89" i="7"/>
  <c r="AF89" i="7"/>
  <c r="AG89" i="7"/>
  <c r="AH89" i="7"/>
  <c r="AI89" i="7"/>
  <c r="AJ89" i="7"/>
  <c r="AK89" i="7"/>
  <c r="AL89" i="7"/>
  <c r="AM89" i="7"/>
  <c r="AN89" i="7"/>
  <c r="AO89" i="7"/>
  <c r="AP89" i="7"/>
  <c r="AQ89" i="7"/>
  <c r="AR89" i="7"/>
  <c r="AS89" i="7"/>
  <c r="AT89" i="7"/>
  <c r="AU89" i="7"/>
  <c r="AV89" i="7"/>
  <c r="AW89" i="7"/>
  <c r="AX89" i="7"/>
  <c r="AY89" i="7"/>
  <c r="AZ89" i="7"/>
  <c r="BA89" i="7"/>
  <c r="BB89" i="7"/>
  <c r="BC89" i="7"/>
  <c r="BD89" i="7"/>
  <c r="BE89" i="7"/>
  <c r="BF89" i="7"/>
  <c r="BG89" i="7"/>
  <c r="BH89" i="7"/>
  <c r="BI89" i="7"/>
  <c r="BJ89" i="7"/>
  <c r="BK89" i="7"/>
  <c r="BL89" i="7"/>
  <c r="BM89" i="7"/>
  <c r="BN89" i="7"/>
  <c r="BO89" i="7"/>
  <c r="BP89" i="7"/>
  <c r="BQ89" i="7"/>
  <c r="BR89" i="7"/>
  <c r="BS89" i="7"/>
  <c r="BT89" i="7"/>
  <c r="BU89" i="7"/>
  <c r="BV89" i="7"/>
  <c r="BW89" i="7"/>
  <c r="BX89" i="7"/>
  <c r="BY89" i="7"/>
  <c r="BZ89" i="7"/>
  <c r="CA89" i="7"/>
  <c r="CB89" i="7"/>
  <c r="CC89" i="7"/>
  <c r="CD89" i="7"/>
  <c r="CE89" i="7"/>
  <c r="CF89" i="7"/>
  <c r="CG89" i="7"/>
  <c r="CH89" i="7"/>
  <c r="CI89" i="7"/>
  <c r="CJ89" i="7"/>
  <c r="H89" i="7"/>
  <c r="E76" i="7"/>
  <c r="I82" i="7"/>
  <c r="J82" i="7"/>
  <c r="K82" i="7"/>
  <c r="L82" i="7"/>
  <c r="M82" i="7"/>
  <c r="N82" i="7"/>
  <c r="O82" i="7"/>
  <c r="P82" i="7"/>
  <c r="Q82" i="7"/>
  <c r="R82" i="7"/>
  <c r="S82" i="7"/>
  <c r="T82" i="7"/>
  <c r="U82" i="7"/>
  <c r="V82" i="7"/>
  <c r="W82" i="7"/>
  <c r="X82" i="7"/>
  <c r="Y82" i="7"/>
  <c r="Z82" i="7"/>
  <c r="AA82" i="7"/>
  <c r="AB82" i="7"/>
  <c r="AC82" i="7"/>
  <c r="AD82" i="7"/>
  <c r="AE82" i="7"/>
  <c r="AF82" i="7"/>
  <c r="AG82" i="7"/>
  <c r="AH82" i="7"/>
  <c r="AI82" i="7"/>
  <c r="AJ82" i="7"/>
  <c r="AK82" i="7"/>
  <c r="AL82" i="7"/>
  <c r="AM82" i="7"/>
  <c r="AN82" i="7"/>
  <c r="AO82" i="7"/>
  <c r="AP82" i="7"/>
  <c r="AQ82" i="7"/>
  <c r="AR82" i="7"/>
  <c r="AS82" i="7"/>
  <c r="AT82" i="7"/>
  <c r="AU82" i="7"/>
  <c r="AV82" i="7"/>
  <c r="AW82" i="7"/>
  <c r="AX82" i="7"/>
  <c r="AY82" i="7"/>
  <c r="AZ82" i="7"/>
  <c r="BA82" i="7"/>
  <c r="BB82" i="7"/>
  <c r="BC82" i="7"/>
  <c r="BD82" i="7"/>
  <c r="BE82" i="7"/>
  <c r="BF82" i="7"/>
  <c r="BG82" i="7"/>
  <c r="BH82" i="7"/>
  <c r="BI82" i="7"/>
  <c r="BJ82" i="7"/>
  <c r="BK82" i="7"/>
  <c r="BL82" i="7"/>
  <c r="BM82" i="7"/>
  <c r="BN82" i="7"/>
  <c r="BO82" i="7"/>
  <c r="BP82" i="7"/>
  <c r="BQ82" i="7"/>
  <c r="BR82" i="7"/>
  <c r="BS82" i="7"/>
  <c r="BT82" i="7"/>
  <c r="BU82" i="7"/>
  <c r="BV82" i="7"/>
  <c r="BW82" i="7"/>
  <c r="BX82" i="7"/>
  <c r="BY82" i="7"/>
  <c r="BZ82" i="7"/>
  <c r="CA82" i="7"/>
  <c r="CB82" i="7"/>
  <c r="CC82" i="7"/>
  <c r="CD82" i="7"/>
  <c r="CE82" i="7"/>
  <c r="CF82" i="7"/>
  <c r="CG82" i="7"/>
  <c r="CH82" i="7"/>
  <c r="CI82" i="7"/>
  <c r="CJ82" i="7"/>
  <c r="H82" i="7"/>
  <c r="I75" i="7"/>
  <c r="J75" i="7"/>
  <c r="K75" i="7"/>
  <c r="L75" i="7"/>
  <c r="M75" i="7"/>
  <c r="N75" i="7"/>
  <c r="O75" i="7"/>
  <c r="P75" i="7"/>
  <c r="Q75" i="7"/>
  <c r="R75" i="7"/>
  <c r="S75" i="7"/>
  <c r="T75" i="7"/>
  <c r="U75" i="7"/>
  <c r="V75" i="7"/>
  <c r="W75" i="7"/>
  <c r="X75" i="7"/>
  <c r="Y75" i="7"/>
  <c r="Z75" i="7"/>
  <c r="AA75" i="7"/>
  <c r="AB75" i="7"/>
  <c r="AC75" i="7"/>
  <c r="AD75" i="7"/>
  <c r="AE75" i="7"/>
  <c r="AF75" i="7"/>
  <c r="AG75" i="7"/>
  <c r="AH75" i="7"/>
  <c r="AI75" i="7"/>
  <c r="AJ75" i="7"/>
  <c r="AK75" i="7"/>
  <c r="AL75" i="7"/>
  <c r="AM75" i="7"/>
  <c r="AN75" i="7"/>
  <c r="AO75" i="7"/>
  <c r="AP75" i="7"/>
  <c r="AQ75" i="7"/>
  <c r="AR75" i="7"/>
  <c r="AS75" i="7"/>
  <c r="AT75" i="7"/>
  <c r="AU75" i="7"/>
  <c r="AV75" i="7"/>
  <c r="AW75" i="7"/>
  <c r="AX75" i="7"/>
  <c r="AY75" i="7"/>
  <c r="AZ75" i="7"/>
  <c r="BA75" i="7"/>
  <c r="BB75" i="7"/>
  <c r="BC75" i="7"/>
  <c r="BD75" i="7"/>
  <c r="BE75" i="7"/>
  <c r="BF75" i="7"/>
  <c r="BG75" i="7"/>
  <c r="BH75" i="7"/>
  <c r="BI75" i="7"/>
  <c r="BJ75" i="7"/>
  <c r="BK75" i="7"/>
  <c r="BL75" i="7"/>
  <c r="BM75" i="7"/>
  <c r="BN75" i="7"/>
  <c r="BO75" i="7"/>
  <c r="BP75" i="7"/>
  <c r="BQ75" i="7"/>
  <c r="BR75" i="7"/>
  <c r="BS75" i="7"/>
  <c r="BT75" i="7"/>
  <c r="BU75" i="7"/>
  <c r="BV75" i="7"/>
  <c r="BW75" i="7"/>
  <c r="BX75" i="7"/>
  <c r="BY75" i="7"/>
  <c r="BZ75" i="7"/>
  <c r="CA75" i="7"/>
  <c r="CB75" i="7"/>
  <c r="CC75" i="7"/>
  <c r="CD75" i="7"/>
  <c r="CE75" i="7"/>
  <c r="CF75" i="7"/>
  <c r="CG75" i="7"/>
  <c r="CH75" i="7"/>
  <c r="CI75" i="7"/>
  <c r="CJ75" i="7"/>
  <c r="H75" i="7"/>
  <c r="B122" i="7"/>
  <c r="B123" i="7" s="1"/>
  <c r="B124" i="7" s="1"/>
  <c r="B125" i="7" s="1"/>
  <c r="B126" i="7" s="1"/>
  <c r="B127" i="7" s="1"/>
  <c r="AN90" i="7" l="1"/>
  <c r="AN91" i="7" s="1"/>
  <c r="AN92" i="7" s="1"/>
  <c r="L17" i="113"/>
  <c r="X90" i="7"/>
  <c r="X91" i="7" s="1"/>
  <c r="X92" i="7" s="1"/>
  <c r="Y90" i="7"/>
  <c r="Y91" i="7" s="1"/>
  <c r="Y92" i="7" s="1"/>
  <c r="N90" i="7"/>
  <c r="AD90" i="7"/>
  <c r="AD91" i="7" s="1"/>
  <c r="AD92" i="7" s="1"/>
  <c r="AL90" i="7"/>
  <c r="AL91" i="7" s="1"/>
  <c r="AL92" i="7" s="1"/>
  <c r="I90" i="7"/>
  <c r="AG90" i="7"/>
  <c r="AG91" i="7" s="1"/>
  <c r="AG92" i="7" s="1"/>
  <c r="V90" i="7"/>
  <c r="V91" i="7" s="1"/>
  <c r="V92" i="7" s="1"/>
  <c r="K90" i="7"/>
  <c r="S90" i="7"/>
  <c r="S91" i="7" s="1"/>
  <c r="S92" i="7" s="1"/>
  <c r="AA90" i="7"/>
  <c r="AA91" i="7" s="1"/>
  <c r="AA92" i="7" s="1"/>
  <c r="AI90" i="7"/>
  <c r="AI91" i="7" s="1"/>
  <c r="AI92" i="7" s="1"/>
  <c r="AQ90" i="7"/>
  <c r="AQ91" i="7" s="1"/>
  <c r="AQ92" i="7" s="1"/>
  <c r="L90" i="7"/>
  <c r="T90" i="7"/>
  <c r="T91" i="7" s="1"/>
  <c r="T92" i="7" s="1"/>
  <c r="AB90" i="7"/>
  <c r="AB91" i="7" s="1"/>
  <c r="AB92" i="7" s="1"/>
  <c r="AJ90" i="7"/>
  <c r="AJ91" i="7" s="1"/>
  <c r="AJ92" i="7" s="1"/>
  <c r="AR90" i="7"/>
  <c r="AR91" i="7" s="1"/>
  <c r="AR92" i="7" s="1"/>
  <c r="AO90" i="7"/>
  <c r="AO91" i="7" s="1"/>
  <c r="AO92" i="7" s="1"/>
  <c r="J83" i="7"/>
  <c r="R83" i="7"/>
  <c r="P90" i="7"/>
  <c r="AF90" i="7"/>
  <c r="AF91" i="7" s="1"/>
  <c r="AF92" i="7" s="1"/>
  <c r="H90" i="7"/>
  <c r="J90" i="7"/>
  <c r="R90" i="7"/>
  <c r="Z90" i="7"/>
  <c r="Z91" i="7" s="1"/>
  <c r="Z92" i="7" s="1"/>
  <c r="AH90" i="7"/>
  <c r="AH91" i="7" s="1"/>
  <c r="AH92" i="7" s="1"/>
  <c r="AP90" i="7"/>
  <c r="AP91" i="7" s="1"/>
  <c r="AP92" i="7" s="1"/>
  <c r="Q90" i="7"/>
  <c r="AT90" i="7"/>
  <c r="AT91" i="7" s="1"/>
  <c r="AT92" i="7" s="1"/>
  <c r="M90" i="7"/>
  <c r="U90" i="7"/>
  <c r="U91" i="7" s="1"/>
  <c r="U92" i="7" s="1"/>
  <c r="AC90" i="7"/>
  <c r="AC91" i="7" s="1"/>
  <c r="AC92" i="7" s="1"/>
  <c r="AK90" i="7"/>
  <c r="AK91" i="7" s="1"/>
  <c r="AK92" i="7" s="1"/>
  <c r="AS90" i="7"/>
  <c r="AS91" i="7" s="1"/>
  <c r="AS92" i="7" s="1"/>
  <c r="O90" i="7"/>
  <c r="W90" i="7"/>
  <c r="W91" i="7" s="1"/>
  <c r="W92" i="7" s="1"/>
  <c r="AE90" i="7"/>
  <c r="AE91" i="7" s="1"/>
  <c r="AE92" i="7" s="1"/>
  <c r="AM90" i="7"/>
  <c r="AM91" i="7" s="1"/>
  <c r="AM92" i="7" s="1"/>
  <c r="AP83" i="7"/>
  <c r="AP84" i="7" s="1"/>
  <c r="AP85" i="7" s="1"/>
  <c r="Z83" i="7"/>
  <c r="Z84" i="7" s="1"/>
  <c r="Z85" i="7" s="1"/>
  <c r="AH83" i="7"/>
  <c r="AH84" i="7" s="1"/>
  <c r="AH85" i="7" s="1"/>
  <c r="N83" i="7"/>
  <c r="V83" i="7"/>
  <c r="V84" i="7" s="1"/>
  <c r="V85" i="7" s="1"/>
  <c r="AD83" i="7"/>
  <c r="AD84" i="7" s="1"/>
  <c r="AD85" i="7" s="1"/>
  <c r="AL83" i="7"/>
  <c r="AL84" i="7" s="1"/>
  <c r="AL85" i="7" s="1"/>
  <c r="AF83" i="7"/>
  <c r="AF84" i="7" s="1"/>
  <c r="AF85" i="7" s="1"/>
  <c r="S83" i="7"/>
  <c r="S84" i="7" s="1"/>
  <c r="S85" i="7" s="1"/>
  <c r="AQ83" i="7"/>
  <c r="AQ84" i="7" s="1"/>
  <c r="AQ85" i="7" s="1"/>
  <c r="K83" i="7"/>
  <c r="AA83" i="7"/>
  <c r="AA84" i="7" s="1"/>
  <c r="AA85" i="7" s="1"/>
  <c r="AI83" i="7"/>
  <c r="AI84" i="7" s="1"/>
  <c r="AI85" i="7" s="1"/>
  <c r="AN83" i="7"/>
  <c r="AN84" i="7" s="1"/>
  <c r="AN85" i="7" s="1"/>
  <c r="L83" i="7"/>
  <c r="T83" i="7"/>
  <c r="T84" i="7" s="1"/>
  <c r="T85" i="7" s="1"/>
  <c r="AB83" i="7"/>
  <c r="AB84" i="7" s="1"/>
  <c r="AB85" i="7" s="1"/>
  <c r="AJ83" i="7"/>
  <c r="AJ84" i="7" s="1"/>
  <c r="AJ85" i="7" s="1"/>
  <c r="AR83" i="7"/>
  <c r="AR84" i="7" s="1"/>
  <c r="AR85" i="7" s="1"/>
  <c r="P83" i="7"/>
  <c r="I83" i="7"/>
  <c r="Q83" i="7"/>
  <c r="Y83" i="7"/>
  <c r="Y84" i="7" s="1"/>
  <c r="Y85" i="7" s="1"/>
  <c r="AO83" i="7"/>
  <c r="AO84" i="7" s="1"/>
  <c r="AO85" i="7" s="1"/>
  <c r="X83" i="7"/>
  <c r="X84" i="7" s="1"/>
  <c r="X85" i="7" s="1"/>
  <c r="AG83" i="7"/>
  <c r="AG84" i="7" s="1"/>
  <c r="AG85" i="7" s="1"/>
  <c r="H83" i="7"/>
  <c r="AT83" i="7"/>
  <c r="AT84" i="7" s="1"/>
  <c r="AT85" i="7" s="1"/>
  <c r="M83" i="7"/>
  <c r="U83" i="7"/>
  <c r="U84" i="7" s="1"/>
  <c r="U85" i="7" s="1"/>
  <c r="AC83" i="7"/>
  <c r="AC84" i="7" s="1"/>
  <c r="AC85" i="7" s="1"/>
  <c r="AK83" i="7"/>
  <c r="AK84" i="7" s="1"/>
  <c r="AK85" i="7" s="1"/>
  <c r="AS83" i="7"/>
  <c r="AS84" i="7" s="1"/>
  <c r="AS85" i="7" s="1"/>
  <c r="O83" i="7"/>
  <c r="W83" i="7"/>
  <c r="W84" i="7" s="1"/>
  <c r="W85" i="7" s="1"/>
  <c r="AE83" i="7"/>
  <c r="AE84" i="7" s="1"/>
  <c r="AE85" i="7" s="1"/>
  <c r="AM83" i="7"/>
  <c r="AM84" i="7" s="1"/>
  <c r="AM85" i="7" s="1"/>
  <c r="J91" i="7" l="1"/>
  <c r="J92" i="7" s="1"/>
  <c r="L91" i="7"/>
  <c r="L92" i="7" s="1"/>
  <c r="M91" i="7"/>
  <c r="M92" i="7" s="1"/>
  <c r="H91" i="7"/>
  <c r="H92" i="7" s="1"/>
  <c r="K84" i="7"/>
  <c r="K85" i="7" s="1"/>
  <c r="L84" i="7"/>
  <c r="L85" i="7" s="1"/>
  <c r="H84" i="7"/>
  <c r="H85" i="7" s="1"/>
  <c r="O84" i="7"/>
  <c r="O85" i="7" s="1"/>
  <c r="Q84" i="7"/>
  <c r="Q85" i="7" s="1"/>
  <c r="Q91" i="7"/>
  <c r="Q92" i="7" s="1"/>
  <c r="N91" i="7"/>
  <c r="N92" i="7" s="1"/>
  <c r="I91" i="7"/>
  <c r="I92" i="7" s="1"/>
  <c r="M84" i="7"/>
  <c r="M85" i="7" s="1"/>
  <c r="I84" i="7"/>
  <c r="I85" i="7" s="1"/>
  <c r="O91" i="7"/>
  <c r="O92" i="7" s="1"/>
  <c r="P84" i="7"/>
  <c r="P85" i="7" s="1"/>
  <c r="N84" i="7"/>
  <c r="N85" i="7" s="1"/>
  <c r="J84" i="7"/>
  <c r="J85" i="7" s="1"/>
  <c r="K91" i="7"/>
  <c r="K92" i="7" s="1"/>
  <c r="AV90" i="7"/>
  <c r="AV91" i="7" s="1"/>
  <c r="AV92" i="7" s="1"/>
  <c r="AU90" i="7"/>
  <c r="AU91" i="7" s="1"/>
  <c r="AU92" i="7" s="1"/>
  <c r="AU83" i="7"/>
  <c r="AU84" i="7" s="1"/>
  <c r="AU85" i="7" s="1"/>
  <c r="AV83" i="7"/>
  <c r="AV84" i="7" s="1"/>
  <c r="AV85" i="7" s="1"/>
  <c r="I86" i="7" l="1"/>
  <c r="N93" i="7"/>
  <c r="J93" i="7"/>
  <c r="J86" i="7"/>
  <c r="M93" i="7"/>
  <c r="K93" i="7"/>
  <c r="I93" i="7"/>
  <c r="L93" i="7"/>
  <c r="O93" i="7"/>
  <c r="L86" i="7"/>
  <c r="N86" i="7"/>
  <c r="P86" i="7"/>
  <c r="K86" i="7"/>
  <c r="Q86" i="7"/>
  <c r="M86" i="7"/>
  <c r="O86" i="7"/>
  <c r="AW90" i="7"/>
  <c r="AW91" i="7" s="1"/>
  <c r="AW92" i="7" s="1"/>
  <c r="AW83" i="7"/>
  <c r="AW84" i="7" s="1"/>
  <c r="AW85" i="7" s="1"/>
  <c r="AX90" i="7" l="1"/>
  <c r="AX91" i="7" s="1"/>
  <c r="AX92" i="7" s="1"/>
  <c r="AX83" i="7"/>
  <c r="AX84" i="7" s="1"/>
  <c r="AX85" i="7" s="1"/>
  <c r="AY90" i="7" l="1"/>
  <c r="AY91" i="7" s="1"/>
  <c r="AY92" i="7" s="1"/>
  <c r="AY83" i="7"/>
  <c r="AY84" i="7" s="1"/>
  <c r="AY85" i="7" s="1"/>
  <c r="AZ90" i="7" l="1"/>
  <c r="AZ91" i="7" s="1"/>
  <c r="AZ92" i="7" s="1"/>
  <c r="AZ83" i="7"/>
  <c r="AZ84" i="7" s="1"/>
  <c r="AZ85" i="7" s="1"/>
  <c r="BA90" i="7" l="1"/>
  <c r="BA91" i="7" s="1"/>
  <c r="BA92" i="7" s="1"/>
  <c r="BA83" i="7"/>
  <c r="BA84" i="7" s="1"/>
  <c r="BA85" i="7" s="1"/>
  <c r="BB90" i="7" l="1"/>
  <c r="BB91" i="7" s="1"/>
  <c r="BB92" i="7" s="1"/>
  <c r="BB83" i="7"/>
  <c r="BB84" i="7" s="1"/>
  <c r="BB85" i="7" s="1"/>
  <c r="BC90" i="7" l="1"/>
  <c r="BC91" i="7" s="1"/>
  <c r="BC92" i="7" s="1"/>
  <c r="BC83" i="7"/>
  <c r="BC84" i="7" s="1"/>
  <c r="BC85" i="7" s="1"/>
  <c r="BD90" i="7" l="1"/>
  <c r="BD91" i="7" s="1"/>
  <c r="BD92" i="7" s="1"/>
  <c r="BD83" i="7"/>
  <c r="BD84" i="7" s="1"/>
  <c r="BD85" i="7" s="1"/>
  <c r="BE90" i="7" l="1"/>
  <c r="BE91" i="7" s="1"/>
  <c r="BE92" i="7" s="1"/>
  <c r="BE83" i="7"/>
  <c r="BE84" i="7" s="1"/>
  <c r="BE85" i="7" s="1"/>
  <c r="BF90" i="7" l="1"/>
  <c r="BF91" i="7" s="1"/>
  <c r="BF92" i="7" s="1"/>
  <c r="BF83" i="7"/>
  <c r="BF84" i="7" s="1"/>
  <c r="BF85" i="7" s="1"/>
  <c r="BG90" i="7" l="1"/>
  <c r="BG91" i="7" s="1"/>
  <c r="BG92" i="7" s="1"/>
  <c r="BG83" i="7"/>
  <c r="BG84" i="7" s="1"/>
  <c r="BG85" i="7" s="1"/>
  <c r="BH90" i="7" l="1"/>
  <c r="BH91" i="7" s="1"/>
  <c r="BH92" i="7" s="1"/>
  <c r="BH83" i="7"/>
  <c r="BH84" i="7" s="1"/>
  <c r="BH85" i="7" s="1"/>
  <c r="BI90" i="7" l="1"/>
  <c r="BI91" i="7" s="1"/>
  <c r="BI92" i="7" s="1"/>
  <c r="BI83" i="7"/>
  <c r="BI84" i="7" s="1"/>
  <c r="BI85" i="7" s="1"/>
  <c r="BJ90" i="7" l="1"/>
  <c r="BJ91" i="7" s="1"/>
  <c r="BJ92" i="7" s="1"/>
  <c r="BJ83" i="7"/>
  <c r="BJ84" i="7" s="1"/>
  <c r="BJ85" i="7" s="1"/>
  <c r="BK90" i="7" l="1"/>
  <c r="BK91" i="7" s="1"/>
  <c r="BK92" i="7" s="1"/>
  <c r="BK83" i="7"/>
  <c r="BK84" i="7" s="1"/>
  <c r="BK85" i="7" s="1"/>
  <c r="BL90" i="7" l="1"/>
  <c r="BL91" i="7" s="1"/>
  <c r="BL92" i="7" s="1"/>
  <c r="BL83" i="7"/>
  <c r="BL84" i="7" s="1"/>
  <c r="BL85" i="7" s="1"/>
  <c r="BM90" i="7" l="1"/>
  <c r="BM91" i="7" s="1"/>
  <c r="BM92" i="7" s="1"/>
  <c r="BM83" i="7"/>
  <c r="BM84" i="7" s="1"/>
  <c r="BM85" i="7" s="1"/>
  <c r="BN90" i="7" l="1"/>
  <c r="BN91" i="7" s="1"/>
  <c r="BN92" i="7" s="1"/>
  <c r="BN83" i="7"/>
  <c r="BN84" i="7" s="1"/>
  <c r="BN85" i="7" s="1"/>
  <c r="BO90" i="7" l="1"/>
  <c r="BO91" i="7" s="1"/>
  <c r="BO92" i="7" s="1"/>
  <c r="BO83" i="7"/>
  <c r="BO84" i="7" s="1"/>
  <c r="BO85" i="7" s="1"/>
  <c r="BP90" i="7" l="1"/>
  <c r="BP91" i="7" s="1"/>
  <c r="BP92" i="7" s="1"/>
  <c r="BP83" i="7"/>
  <c r="BP84" i="7" s="1"/>
  <c r="BP85" i="7" s="1"/>
  <c r="BQ90" i="7" l="1"/>
  <c r="BQ91" i="7" s="1"/>
  <c r="BQ92" i="7" s="1"/>
  <c r="BQ83" i="7"/>
  <c r="BQ84" i="7" s="1"/>
  <c r="BQ85" i="7" s="1"/>
  <c r="BR90" i="7" l="1"/>
  <c r="BR91" i="7" s="1"/>
  <c r="BR92" i="7" s="1"/>
  <c r="BR83" i="7"/>
  <c r="BR84" i="7" s="1"/>
  <c r="BR85" i="7" s="1"/>
  <c r="BS90" i="7" l="1"/>
  <c r="BS91" i="7" s="1"/>
  <c r="BS92" i="7" s="1"/>
  <c r="BS83" i="7"/>
  <c r="BS84" i="7" s="1"/>
  <c r="BS85" i="7" s="1"/>
  <c r="BT90" i="7" l="1"/>
  <c r="BT91" i="7" s="1"/>
  <c r="BT92" i="7" s="1"/>
  <c r="BT83" i="7"/>
  <c r="BT84" i="7" s="1"/>
  <c r="BT85" i="7" s="1"/>
  <c r="BU90" i="7" l="1"/>
  <c r="BU91" i="7" s="1"/>
  <c r="BU92" i="7" s="1"/>
  <c r="BU83" i="7"/>
  <c r="BU84" i="7" s="1"/>
  <c r="BU85" i="7" s="1"/>
  <c r="BV90" i="7" l="1"/>
  <c r="BV91" i="7" s="1"/>
  <c r="BV92" i="7" s="1"/>
  <c r="BV83" i="7"/>
  <c r="BV84" i="7" s="1"/>
  <c r="BV85" i="7" s="1"/>
  <c r="BW90" i="7" l="1"/>
  <c r="BW91" i="7" s="1"/>
  <c r="BW92" i="7" s="1"/>
  <c r="BW83" i="7"/>
  <c r="BW84" i="7" s="1"/>
  <c r="BW85" i="7" s="1"/>
  <c r="BX90" i="7" l="1"/>
  <c r="BX91" i="7" s="1"/>
  <c r="BX92" i="7" s="1"/>
  <c r="BX83" i="7"/>
  <c r="BX84" i="7" s="1"/>
  <c r="BX85" i="7" s="1"/>
  <c r="BY90" i="7" l="1"/>
  <c r="BY91" i="7" s="1"/>
  <c r="BY92" i="7" s="1"/>
  <c r="BY83" i="7"/>
  <c r="BY84" i="7" s="1"/>
  <c r="BY85" i="7" s="1"/>
  <c r="BZ90" i="7" l="1"/>
  <c r="BZ91" i="7" s="1"/>
  <c r="BZ92" i="7" s="1"/>
  <c r="BZ83" i="7"/>
  <c r="BZ84" i="7" s="1"/>
  <c r="BZ85" i="7" s="1"/>
  <c r="CA90" i="7" l="1"/>
  <c r="CA91" i="7" s="1"/>
  <c r="CA92" i="7" s="1"/>
  <c r="CA83" i="7"/>
  <c r="CA84" i="7" s="1"/>
  <c r="CA85" i="7" s="1"/>
  <c r="CB90" i="7" l="1"/>
  <c r="CB91" i="7" s="1"/>
  <c r="CB92" i="7" s="1"/>
  <c r="CB83" i="7"/>
  <c r="CB84" i="7" s="1"/>
  <c r="CB85" i="7" s="1"/>
  <c r="CC90" i="7" l="1"/>
  <c r="CC91" i="7" s="1"/>
  <c r="CC92" i="7" s="1"/>
  <c r="CC83" i="7"/>
  <c r="CC84" i="7" s="1"/>
  <c r="CC85" i="7" s="1"/>
  <c r="CD90" i="7" l="1"/>
  <c r="CD91" i="7" s="1"/>
  <c r="CD92" i="7" s="1"/>
  <c r="CD83" i="7"/>
  <c r="CD84" i="7" s="1"/>
  <c r="CD85" i="7" s="1"/>
  <c r="CE90" i="7" l="1"/>
  <c r="CE91" i="7" s="1"/>
  <c r="CE92" i="7" s="1"/>
  <c r="CE83" i="7"/>
  <c r="CE84" i="7" s="1"/>
  <c r="CE85" i="7" s="1"/>
  <c r="CF90" i="7" l="1"/>
  <c r="CF91" i="7" s="1"/>
  <c r="CF92" i="7" s="1"/>
  <c r="CF83" i="7"/>
  <c r="CF84" i="7" s="1"/>
  <c r="CF85" i="7" s="1"/>
  <c r="CG90" i="7" l="1"/>
  <c r="CG91" i="7" s="1"/>
  <c r="CG92" i="7" s="1"/>
  <c r="CG83" i="7"/>
  <c r="CG84" i="7" s="1"/>
  <c r="CG85" i="7" s="1"/>
  <c r="CH90" i="7" l="1"/>
  <c r="CH91" i="7" s="1"/>
  <c r="CH92" i="7" s="1"/>
  <c r="CH83" i="7"/>
  <c r="CH84" i="7" s="1"/>
  <c r="CH85" i="7" s="1"/>
  <c r="CJ90" i="7" l="1"/>
  <c r="CJ91" i="7" s="1"/>
  <c r="CJ92" i="7" s="1"/>
  <c r="CI90" i="7"/>
  <c r="CI91" i="7" s="1"/>
  <c r="CI92" i="7" s="1"/>
  <c r="CJ83" i="7"/>
  <c r="CJ84" i="7" s="1"/>
  <c r="CJ85" i="7" s="1"/>
  <c r="CI83" i="7"/>
  <c r="CI84" i="7" s="1"/>
  <c r="CI85" i="7" s="1"/>
  <c r="E62" i="5" l="1"/>
  <c r="H19" i="11"/>
  <c r="H18" i="11"/>
  <c r="H17" i="11"/>
  <c r="AR62" i="5" l="1"/>
  <c r="AR69" i="5" s="1"/>
  <c r="AQ62" i="5"/>
  <c r="AQ69" i="5" s="1"/>
  <c r="AP62" i="5"/>
  <c r="AP69" i="5" s="1"/>
  <c r="AO62" i="5"/>
  <c r="AO69" i="5" s="1"/>
  <c r="AN62" i="5"/>
  <c r="AN69" i="5" s="1"/>
  <c r="AM62" i="5"/>
  <c r="AM69" i="5" s="1"/>
  <c r="AL62" i="5"/>
  <c r="AL69" i="5" s="1"/>
  <c r="AK62" i="5"/>
  <c r="AK69" i="5" s="1"/>
  <c r="AJ62" i="5"/>
  <c r="AJ69" i="5" s="1"/>
  <c r="AI62" i="5"/>
  <c r="AI69" i="5" s="1"/>
  <c r="AH62" i="5"/>
  <c r="AH69" i="5" s="1"/>
  <c r="AG62" i="5"/>
  <c r="AG69" i="5" s="1"/>
  <c r="AF62" i="5"/>
  <c r="AF69" i="5" s="1"/>
  <c r="AE62" i="5"/>
  <c r="AD62" i="5"/>
  <c r="AC62" i="5"/>
  <c r="AB62" i="5"/>
  <c r="AA62" i="5"/>
  <c r="AA69" i="5" s="1"/>
  <c r="Z62" i="5"/>
  <c r="Z69" i="5" s="1"/>
  <c r="Y62" i="5"/>
  <c r="Y69" i="5" s="1"/>
  <c r="X62" i="5"/>
  <c r="X69" i="5" s="1"/>
  <c r="W62" i="5"/>
  <c r="W69" i="5" s="1"/>
  <c r="V62" i="5"/>
  <c r="V69" i="5" s="1"/>
  <c r="U62" i="5"/>
  <c r="U69" i="5" s="1"/>
  <c r="T62" i="5"/>
  <c r="T69" i="5" s="1"/>
  <c r="S62" i="5"/>
  <c r="S69" i="5" s="1"/>
  <c r="R62" i="5"/>
  <c r="R69" i="5" s="1"/>
  <c r="Q62" i="5"/>
  <c r="Q69" i="5" s="1"/>
  <c r="P62" i="5"/>
  <c r="P69" i="5" s="1"/>
  <c r="O62" i="5"/>
  <c r="O69" i="5" s="1"/>
  <c r="N62" i="5"/>
  <c r="N69" i="5" s="1"/>
  <c r="M62" i="5"/>
  <c r="M69" i="5" s="1"/>
  <c r="L62" i="5"/>
  <c r="L69" i="5" s="1"/>
  <c r="K62" i="5"/>
  <c r="K69" i="5" s="1"/>
  <c r="J62" i="5"/>
  <c r="J69" i="5" s="1"/>
  <c r="I62" i="5"/>
  <c r="I69" i="5" s="1"/>
  <c r="H62" i="5"/>
  <c r="H69" i="5" s="1"/>
  <c r="F64" i="5"/>
  <c r="F63" i="5"/>
  <c r="F62" i="5"/>
  <c r="BP62" i="5" l="1"/>
  <c r="AC69" i="5"/>
  <c r="AD69" i="5"/>
  <c r="BQ62" i="5"/>
  <c r="AE69" i="5"/>
  <c r="BR62" i="5"/>
  <c r="AB69" i="5"/>
  <c r="BO62" i="5"/>
  <c r="BO64" i="5"/>
  <c r="BP64" i="5"/>
  <c r="BQ64" i="5"/>
  <c r="BR64" i="5"/>
  <c r="BP63" i="5"/>
  <c r="BQ63" i="5"/>
  <c r="BR63" i="5"/>
  <c r="BO63" i="5"/>
  <c r="F69" i="5"/>
  <c r="E38" i="7"/>
  <c r="X37" i="7"/>
  <c r="X38" i="7" s="1"/>
  <c r="U37" i="7"/>
  <c r="U38" i="7" s="1"/>
  <c r="V37" i="7"/>
  <c r="V38" i="7" s="1"/>
  <c r="W37" i="7"/>
  <c r="W38" i="7" s="1"/>
  <c r="F66" i="5"/>
  <c r="F67" i="5"/>
  <c r="F68" i="5"/>
  <c r="BJ63" i="5"/>
  <c r="BG62" i="5"/>
  <c r="AU62" i="5"/>
  <c r="BA62" i="5"/>
  <c r="BC62" i="5"/>
  <c r="BI62" i="5"/>
  <c r="BK62" i="5"/>
  <c r="AU64" i="5"/>
  <c r="BC64" i="5"/>
  <c r="BK64" i="5"/>
  <c r="BG64" i="5"/>
  <c r="AV64" i="5"/>
  <c r="BD64" i="5"/>
  <c r="BL64" i="5"/>
  <c r="AW64" i="5"/>
  <c r="BE64" i="5"/>
  <c r="BM64" i="5"/>
  <c r="AY64" i="5"/>
  <c r="AX64" i="5"/>
  <c r="BF64" i="5"/>
  <c r="BN64" i="5"/>
  <c r="AZ64" i="5"/>
  <c r="BH64" i="5"/>
  <c r="BA64" i="5"/>
  <c r="BI64" i="5"/>
  <c r="AT64" i="5"/>
  <c r="BB64" i="5"/>
  <c r="BJ64" i="5"/>
  <c r="AZ62" i="5"/>
  <c r="BH62" i="5"/>
  <c r="AU63" i="5"/>
  <c r="BC63" i="5"/>
  <c r="BK63" i="5"/>
  <c r="AT62" i="5"/>
  <c r="BB62" i="5"/>
  <c r="BJ62" i="5"/>
  <c r="AW63" i="5"/>
  <c r="BE63" i="5"/>
  <c r="BM63" i="5"/>
  <c r="BF63" i="5"/>
  <c r="AV62" i="5"/>
  <c r="BD62" i="5"/>
  <c r="BL62" i="5"/>
  <c r="AY63" i="5"/>
  <c r="BG63" i="5"/>
  <c r="AV63" i="5"/>
  <c r="AX63" i="5"/>
  <c r="BN63" i="5"/>
  <c r="AW62" i="5"/>
  <c r="BE62" i="5"/>
  <c r="BM62" i="5"/>
  <c r="AZ63" i="5"/>
  <c r="BH63" i="5"/>
  <c r="BL63" i="5"/>
  <c r="AX62" i="5"/>
  <c r="BF62" i="5"/>
  <c r="BN62" i="5"/>
  <c r="BA63" i="5"/>
  <c r="BI63" i="5"/>
  <c r="BD63" i="5"/>
  <c r="AY62" i="5"/>
  <c r="AT63" i="5"/>
  <c r="BB63" i="5"/>
  <c r="BP67" i="5" l="1"/>
  <c r="BQ67" i="5"/>
  <c r="BR67" i="5"/>
  <c r="BO67" i="5"/>
  <c r="BO66" i="5"/>
  <c r="BP66" i="5"/>
  <c r="BQ66" i="5"/>
  <c r="BR66" i="5"/>
  <c r="BO68" i="5"/>
  <c r="BP68" i="5"/>
  <c r="BQ68" i="5"/>
  <c r="BR68" i="5"/>
  <c r="BP69" i="5"/>
  <c r="BR69" i="5"/>
  <c r="BO69" i="5"/>
  <c r="BQ69" i="5"/>
  <c r="V39" i="7"/>
  <c r="W39" i="7"/>
  <c r="AL39" i="7"/>
  <c r="AC39" i="7"/>
  <c r="AI39" i="7"/>
  <c r="AQ39" i="7"/>
  <c r="AM39" i="7"/>
  <c r="Z39" i="7"/>
  <c r="AE39" i="7"/>
  <c r="AN39" i="7"/>
  <c r="AF39" i="7"/>
  <c r="AK39" i="7"/>
  <c r="U39" i="7"/>
  <c r="AH39" i="7"/>
  <c r="AJ39" i="7"/>
  <c r="AB39" i="7"/>
  <c r="AD39" i="7"/>
  <c r="AO39" i="7"/>
  <c r="G38" i="7"/>
  <c r="AP39" i="7"/>
  <c r="AG39" i="7"/>
  <c r="AA39" i="7"/>
  <c r="Y39" i="7"/>
  <c r="X39" i="7"/>
  <c r="AZ65" i="5"/>
  <c r="BH65" i="5"/>
  <c r="BC65" i="5"/>
  <c r="BK65" i="5"/>
  <c r="BL65" i="5"/>
  <c r="BA65" i="5"/>
  <c r="BI65" i="5"/>
  <c r="AV65" i="5"/>
  <c r="AT65" i="5"/>
  <c r="BB65" i="5"/>
  <c r="BJ65" i="5"/>
  <c r="AU65" i="5"/>
  <c r="BD65" i="5"/>
  <c r="AW65" i="5"/>
  <c r="BE65" i="5"/>
  <c r="BM65" i="5"/>
  <c r="BG65" i="5"/>
  <c r="AX65" i="5"/>
  <c r="BF65" i="5"/>
  <c r="BN65" i="5"/>
  <c r="AY65" i="5"/>
  <c r="BA68" i="5"/>
  <c r="BI68" i="5"/>
  <c r="BD68" i="5"/>
  <c r="AW68" i="5"/>
  <c r="AT68" i="5"/>
  <c r="BB68" i="5"/>
  <c r="BJ68" i="5"/>
  <c r="BL68" i="5"/>
  <c r="BE68" i="5"/>
  <c r="AU68" i="5"/>
  <c r="BC68" i="5"/>
  <c r="BK68" i="5"/>
  <c r="AV68" i="5"/>
  <c r="BM68" i="5"/>
  <c r="AX68" i="5"/>
  <c r="BF68" i="5"/>
  <c r="BN68" i="5"/>
  <c r="AZ68" i="5"/>
  <c r="AY68" i="5"/>
  <c r="BG68" i="5"/>
  <c r="BH68" i="5"/>
  <c r="AX67" i="5"/>
  <c r="BF67" i="5"/>
  <c r="BN67" i="5"/>
  <c r="BA67" i="5"/>
  <c r="BI67" i="5"/>
  <c r="AY67" i="5"/>
  <c r="BG67" i="5"/>
  <c r="AT67" i="5"/>
  <c r="AZ67" i="5"/>
  <c r="BH67" i="5"/>
  <c r="BJ67" i="5"/>
  <c r="AU67" i="5"/>
  <c r="BC67" i="5"/>
  <c r="BK67" i="5"/>
  <c r="BE67" i="5"/>
  <c r="AV67" i="5"/>
  <c r="BD67" i="5"/>
  <c r="BL67" i="5"/>
  <c r="AW67" i="5"/>
  <c r="BM67" i="5"/>
  <c r="BB67" i="5"/>
  <c r="AU66" i="5"/>
  <c r="BC66" i="5"/>
  <c r="BK66" i="5"/>
  <c r="AX66" i="5"/>
  <c r="BF66" i="5"/>
  <c r="BN66" i="5"/>
  <c r="AV66" i="5"/>
  <c r="BD66" i="5"/>
  <c r="BL66" i="5"/>
  <c r="AW66" i="5"/>
  <c r="BE66" i="5"/>
  <c r="BM66" i="5"/>
  <c r="AY66" i="5"/>
  <c r="AZ66" i="5"/>
  <c r="BH66" i="5"/>
  <c r="BJ66" i="5"/>
  <c r="BG66" i="5"/>
  <c r="BA66" i="5"/>
  <c r="BI66" i="5"/>
  <c r="AT66" i="5"/>
  <c r="BB66" i="5"/>
  <c r="CH62" i="5"/>
  <c r="CH64" i="5"/>
  <c r="CH63" i="5"/>
  <c r="F43" i="55"/>
  <c r="H44" i="55"/>
  <c r="H43" i="55" s="1"/>
  <c r="L37" i="55"/>
  <c r="I37" i="55"/>
  <c r="J17" i="113" s="1"/>
  <c r="E43" i="113" l="1"/>
  <c r="E91" i="113"/>
  <c r="E84" i="113" s="1"/>
  <c r="BR61" i="5"/>
  <c r="BQ61" i="5"/>
  <c r="BO61" i="5"/>
  <c r="BP61" i="5"/>
  <c r="CH67" i="5"/>
  <c r="CH68" i="5"/>
  <c r="CH66" i="5"/>
  <c r="CH65" i="5"/>
  <c r="AV69" i="5"/>
  <c r="AV61" i="5" s="1"/>
  <c r="BD69" i="5"/>
  <c r="BD61" i="5" s="1"/>
  <c r="BL69" i="5"/>
  <c r="BL61" i="5" s="1"/>
  <c r="AW69" i="5"/>
  <c r="AW61" i="5" s="1"/>
  <c r="BE69" i="5"/>
  <c r="BE61" i="5" s="1"/>
  <c r="BM69" i="5"/>
  <c r="BM61" i="5" s="1"/>
  <c r="AX69" i="5"/>
  <c r="AX61" i="5" s="1"/>
  <c r="BF69" i="5"/>
  <c r="BF61" i="5" s="1"/>
  <c r="BN69" i="5"/>
  <c r="BN61" i="5" s="1"/>
  <c r="BG69" i="5"/>
  <c r="BG61" i="5" s="1"/>
  <c r="AY69" i="5"/>
  <c r="AY61" i="5" s="1"/>
  <c r="BA69" i="5"/>
  <c r="BA61" i="5" s="1"/>
  <c r="BI69" i="5"/>
  <c r="BI61" i="5" s="1"/>
  <c r="AU69" i="5"/>
  <c r="AU61" i="5" s="1"/>
  <c r="BK69" i="5"/>
  <c r="BK61" i="5" s="1"/>
  <c r="AZ69" i="5"/>
  <c r="AZ61" i="5" s="1"/>
  <c r="AT69" i="5"/>
  <c r="AT61" i="5" s="1"/>
  <c r="BB69" i="5"/>
  <c r="BB61" i="5" s="1"/>
  <c r="BJ69" i="5"/>
  <c r="BJ61" i="5" s="1"/>
  <c r="BC69" i="5"/>
  <c r="BC61" i="5" s="1"/>
  <c r="BH69" i="5"/>
  <c r="BH61" i="5" s="1"/>
  <c r="F61" i="5"/>
  <c r="E61" i="5" s="1"/>
  <c r="I44" i="55"/>
  <c r="S38" i="113" l="1"/>
  <c r="T38" i="113"/>
  <c r="O38" i="113"/>
  <c r="I91" i="113"/>
  <c r="F91" i="113" s="1"/>
  <c r="H43" i="113"/>
  <c r="F43" i="113" s="1"/>
  <c r="P38" i="113"/>
  <c r="Q38" i="113"/>
  <c r="R38" i="113"/>
  <c r="I43" i="55"/>
  <c r="D71" i="5"/>
  <c r="CH61" i="5"/>
  <c r="CH69" i="5"/>
  <c r="D117" i="55"/>
  <c r="D61" i="55"/>
  <c r="D70" i="55"/>
  <c r="L88" i="55"/>
  <c r="D64" i="55"/>
  <c r="D65" i="55" s="1"/>
  <c r="J38" i="55"/>
  <c r="H38" i="55"/>
  <c r="F55" i="128" s="1"/>
  <c r="D37" i="55"/>
  <c r="D10" i="55" l="1"/>
  <c r="E17" i="113"/>
  <c r="F51" i="128"/>
  <c r="F16" i="128"/>
  <c r="N38" i="55"/>
  <c r="N17" i="113" s="1"/>
  <c r="N11" i="113" s="1"/>
  <c r="K18" i="113"/>
  <c r="E63" i="113" s="1"/>
  <c r="E97" i="7"/>
  <c r="E75" i="113" s="1"/>
  <c r="K12" i="11"/>
  <c r="R27" i="11"/>
  <c r="S27" i="11" s="1"/>
  <c r="T27" i="11" s="1"/>
  <c r="E77" i="7"/>
  <c r="E66" i="7"/>
  <c r="D91" i="55"/>
  <c r="H37" i="55"/>
  <c r="H13" i="55"/>
  <c r="J37" i="55"/>
  <c r="K37" i="55" s="1"/>
  <c r="K10" i="55" s="1"/>
  <c r="I75" i="113" l="1"/>
  <c r="G91" i="113"/>
  <c r="E71" i="113"/>
  <c r="AD97" i="7"/>
  <c r="AD98" i="7" s="1"/>
  <c r="AD99" i="7" s="1"/>
  <c r="AC39" i="6" s="1"/>
  <c r="U97" i="7"/>
  <c r="P97" i="7"/>
  <c r="P98" i="7" s="1"/>
  <c r="P99" i="7" s="1"/>
  <c r="I97" i="7"/>
  <c r="I98" i="7" s="1"/>
  <c r="I99" i="7" s="1"/>
  <c r="J97" i="7"/>
  <c r="J98" i="7" s="1"/>
  <c r="J99" i="7" s="1"/>
  <c r="AQ97" i="7"/>
  <c r="AQ98" i="7" s="1"/>
  <c r="AQ99" i="7" s="1"/>
  <c r="AP39" i="6" s="1"/>
  <c r="AJ97" i="7"/>
  <c r="AJ98" i="7" s="1"/>
  <c r="AJ99" i="7" s="1"/>
  <c r="AI39" i="6" s="1"/>
  <c r="X97" i="7"/>
  <c r="X98" i="7" s="1"/>
  <c r="X99" i="7" s="1"/>
  <c r="W39" i="6" s="1"/>
  <c r="Q97" i="7"/>
  <c r="Q98" i="7" s="1"/>
  <c r="Q99" i="7" s="1"/>
  <c r="Z97" i="7"/>
  <c r="Z98" i="7" s="1"/>
  <c r="Z99" i="7" s="1"/>
  <c r="Y39" i="6" s="1"/>
  <c r="AY97" i="7"/>
  <c r="AY98" i="7" s="1"/>
  <c r="AY99" i="7" s="1"/>
  <c r="AX39" i="6" s="1"/>
  <c r="AO97" i="7"/>
  <c r="AO98" i="7" s="1"/>
  <c r="AO99" i="7" s="1"/>
  <c r="AN39" i="6" s="1"/>
  <c r="O97" i="7"/>
  <c r="O98" i="7" s="1"/>
  <c r="O99" i="7" s="1"/>
  <c r="S97" i="7"/>
  <c r="AB97" i="7"/>
  <c r="AB98" i="7" s="1"/>
  <c r="AB99" i="7" s="1"/>
  <c r="AA39" i="6" s="1"/>
  <c r="AT97" i="7"/>
  <c r="AT98" i="7" s="1"/>
  <c r="AT99" i="7" s="1"/>
  <c r="AS39" i="6" s="1"/>
  <c r="AE97" i="7"/>
  <c r="AE98" i="7" s="1"/>
  <c r="AE99" i="7" s="1"/>
  <c r="AD39" i="6" s="1"/>
  <c r="AU97" i="7"/>
  <c r="AU98" i="7" s="1"/>
  <c r="AU99" i="7" s="1"/>
  <c r="AT39" i="6" s="1"/>
  <c r="N97" i="7"/>
  <c r="N98" i="7" s="1"/>
  <c r="N99" i="7" s="1"/>
  <c r="AC97" i="7"/>
  <c r="AC98" i="7" s="1"/>
  <c r="AC99" i="7" s="1"/>
  <c r="AB39" i="6" s="1"/>
  <c r="AV97" i="7"/>
  <c r="AV98" i="7" s="1"/>
  <c r="AV99" i="7" s="1"/>
  <c r="AU39" i="6" s="1"/>
  <c r="AZ97" i="7"/>
  <c r="AZ98" i="7" s="1"/>
  <c r="AZ99" i="7" s="1"/>
  <c r="AY39" i="6" s="1"/>
  <c r="AM97" i="7"/>
  <c r="AM98" i="7" s="1"/>
  <c r="AM99" i="7" s="1"/>
  <c r="AL39" i="6" s="1"/>
  <c r="AA97" i="7"/>
  <c r="AA98" i="7" s="1"/>
  <c r="AA99" i="7" s="1"/>
  <c r="Z39" i="6" s="1"/>
  <c r="AH97" i="7"/>
  <c r="AH98" i="7" s="1"/>
  <c r="AH99" i="7" s="1"/>
  <c r="AG39" i="6" s="1"/>
  <c r="T97" i="7"/>
  <c r="AL97" i="7"/>
  <c r="AL98" i="7" s="1"/>
  <c r="AL99" i="7" s="1"/>
  <c r="AK39" i="6" s="1"/>
  <c r="AK97" i="7"/>
  <c r="AK98" i="7" s="1"/>
  <c r="AK99" i="7" s="1"/>
  <c r="AJ39" i="6" s="1"/>
  <c r="AF97" i="7"/>
  <c r="AF98" i="7" s="1"/>
  <c r="AF99" i="7" s="1"/>
  <c r="AE39" i="6" s="1"/>
  <c r="Y97" i="7"/>
  <c r="Y98" i="7" s="1"/>
  <c r="Y99" i="7" s="1"/>
  <c r="X39" i="6" s="1"/>
  <c r="AP97" i="7"/>
  <c r="AP98" i="7" s="1"/>
  <c r="AP99" i="7" s="1"/>
  <c r="AO39" i="6" s="1"/>
  <c r="AS97" i="7"/>
  <c r="AS98" i="7" s="1"/>
  <c r="AS99" i="7" s="1"/>
  <c r="AR39" i="6" s="1"/>
  <c r="AN97" i="7"/>
  <c r="AN98" i="7" s="1"/>
  <c r="AN99" i="7" s="1"/>
  <c r="AM39" i="6" s="1"/>
  <c r="AG97" i="7"/>
  <c r="AG98" i="7" s="1"/>
  <c r="AG99" i="7" s="1"/>
  <c r="AF39" i="6" s="1"/>
  <c r="AX97" i="7"/>
  <c r="AX98" i="7" s="1"/>
  <c r="AX99" i="7" s="1"/>
  <c r="AW39" i="6" s="1"/>
  <c r="BA97" i="7"/>
  <c r="BA98" i="7" s="1"/>
  <c r="BA99" i="7" s="1"/>
  <c r="AZ39" i="6" s="1"/>
  <c r="K97" i="7"/>
  <c r="K98" i="7" s="1"/>
  <c r="K99" i="7" s="1"/>
  <c r="W97" i="7"/>
  <c r="W98" i="7" s="1"/>
  <c r="W99" i="7" s="1"/>
  <c r="V39" i="6" s="1"/>
  <c r="AW97" i="7"/>
  <c r="AW98" i="7" s="1"/>
  <c r="AW99" i="7" s="1"/>
  <c r="AV39" i="6" s="1"/>
  <c r="R97" i="7"/>
  <c r="H97" i="7"/>
  <c r="H98" i="7" s="1"/>
  <c r="H99" i="7" s="1"/>
  <c r="G39" i="6" s="1"/>
  <c r="AI97" i="7"/>
  <c r="AI98" i="7" s="1"/>
  <c r="AI99" i="7" s="1"/>
  <c r="AH39" i="6" s="1"/>
  <c r="AR97" i="7"/>
  <c r="AR98" i="7" s="1"/>
  <c r="AR99" i="7" s="1"/>
  <c r="AQ39" i="6" s="1"/>
  <c r="L97" i="7"/>
  <c r="L98" i="7" s="1"/>
  <c r="L99" i="7" s="1"/>
  <c r="V97" i="7"/>
  <c r="M97" i="7"/>
  <c r="M98" i="7" s="1"/>
  <c r="M99" i="7" s="1"/>
  <c r="BB97" i="7"/>
  <c r="BB98" i="7" s="1"/>
  <c r="BB99" i="7" s="1"/>
  <c r="BA39" i="6" s="1"/>
  <c r="BC97" i="7"/>
  <c r="BC98" i="7" s="1"/>
  <c r="BC99" i="7" s="1"/>
  <c r="BB39" i="6" s="1"/>
  <c r="BD97" i="7"/>
  <c r="BD98" i="7" s="1"/>
  <c r="BD99" i="7" s="1"/>
  <c r="BC39" i="6" s="1"/>
  <c r="BE97" i="7"/>
  <c r="BE98" i="7" s="1"/>
  <c r="BE99" i="7" s="1"/>
  <c r="BD39" i="6" s="1"/>
  <c r="BF97" i="7"/>
  <c r="BF98" i="7" s="1"/>
  <c r="BF99" i="7" s="1"/>
  <c r="BE39" i="6" s="1"/>
  <c r="BG97" i="7"/>
  <c r="BG98" i="7" s="1"/>
  <c r="BG99" i="7" s="1"/>
  <c r="BF39" i="6" s="1"/>
  <c r="BH97" i="7"/>
  <c r="BH98" i="7" s="1"/>
  <c r="BH99" i="7" s="1"/>
  <c r="BG39" i="6" s="1"/>
  <c r="BI97" i="7"/>
  <c r="BI98" i="7" s="1"/>
  <c r="BI99" i="7" s="1"/>
  <c r="BH39" i="6" s="1"/>
  <c r="BJ97" i="7"/>
  <c r="BJ98" i="7" s="1"/>
  <c r="BJ99" i="7" s="1"/>
  <c r="BI39" i="6" s="1"/>
  <c r="BK97" i="7"/>
  <c r="BK98" i="7" s="1"/>
  <c r="BK99" i="7" s="1"/>
  <c r="BJ39" i="6" s="1"/>
  <c r="BL97" i="7"/>
  <c r="BL98" i="7" s="1"/>
  <c r="BL99" i="7" s="1"/>
  <c r="BK39" i="6" s="1"/>
  <c r="BM97" i="7"/>
  <c r="BM98" i="7" s="1"/>
  <c r="BM99" i="7" s="1"/>
  <c r="BL39" i="6" s="1"/>
  <c r="BN97" i="7"/>
  <c r="BN98" i="7" s="1"/>
  <c r="BN99" i="7" s="1"/>
  <c r="BM39" i="6" s="1"/>
  <c r="BO97" i="7"/>
  <c r="BO98" i="7" s="1"/>
  <c r="BO99" i="7" s="1"/>
  <c r="BN39" i="6" s="1"/>
  <c r="BP97" i="7"/>
  <c r="BP98" i="7" s="1"/>
  <c r="BP99" i="7" s="1"/>
  <c r="BO39" i="6" s="1"/>
  <c r="BQ97" i="7"/>
  <c r="BQ98" i="7" s="1"/>
  <c r="BQ99" i="7" s="1"/>
  <c r="BP39" i="6" s="1"/>
  <c r="BR97" i="7"/>
  <c r="BR98" i="7" s="1"/>
  <c r="BR99" i="7" s="1"/>
  <c r="BQ39" i="6" s="1"/>
  <c r="BS97" i="7"/>
  <c r="BS98" i="7" s="1"/>
  <c r="BS99" i="7" s="1"/>
  <c r="BR39" i="6" s="1"/>
  <c r="BT97" i="7"/>
  <c r="BT98" i="7" s="1"/>
  <c r="BT99" i="7" s="1"/>
  <c r="BS39" i="6" s="1"/>
  <c r="BU97" i="7"/>
  <c r="BU98" i="7" s="1"/>
  <c r="BU99" i="7" s="1"/>
  <c r="BT39" i="6" s="1"/>
  <c r="BV97" i="7"/>
  <c r="BV98" i="7" s="1"/>
  <c r="BV99" i="7" s="1"/>
  <c r="BU39" i="6" s="1"/>
  <c r="BW97" i="7"/>
  <c r="BW98" i="7" s="1"/>
  <c r="BW99" i="7" s="1"/>
  <c r="BV39" i="6" s="1"/>
  <c r="BX97" i="7"/>
  <c r="BX98" i="7" s="1"/>
  <c r="BX99" i="7" s="1"/>
  <c r="BW39" i="6" s="1"/>
  <c r="BY97" i="7"/>
  <c r="BY98" i="7" s="1"/>
  <c r="BY99" i="7" s="1"/>
  <c r="BX39" i="6" s="1"/>
  <c r="BZ97" i="7"/>
  <c r="BZ98" i="7" s="1"/>
  <c r="BZ99" i="7" s="1"/>
  <c r="BY39" i="6" s="1"/>
  <c r="CA97" i="7"/>
  <c r="CA98" i="7" s="1"/>
  <c r="CA99" i="7" s="1"/>
  <c r="BZ39" i="6" s="1"/>
  <c r="CB97" i="7"/>
  <c r="CB98" i="7" s="1"/>
  <c r="CB99" i="7" s="1"/>
  <c r="CA39" i="6" s="1"/>
  <c r="CC97" i="7"/>
  <c r="CC98" i="7" s="1"/>
  <c r="CC99" i="7" s="1"/>
  <c r="CB39" i="6" s="1"/>
  <c r="CD97" i="7"/>
  <c r="CD98" i="7" s="1"/>
  <c r="CD99" i="7" s="1"/>
  <c r="CC39" i="6" s="1"/>
  <c r="CE97" i="7"/>
  <c r="CE98" i="7" s="1"/>
  <c r="CE99" i="7" s="1"/>
  <c r="CD39" i="6" s="1"/>
  <c r="CF97" i="7"/>
  <c r="CF98" i="7" s="1"/>
  <c r="CF99" i="7" s="1"/>
  <c r="CE39" i="6" s="1"/>
  <c r="CG97" i="7"/>
  <c r="CG98" i="7" s="1"/>
  <c r="CG99" i="7" s="1"/>
  <c r="CF39" i="6" s="1"/>
  <c r="CH97" i="7"/>
  <c r="CH98" i="7" s="1"/>
  <c r="CH99" i="7" s="1"/>
  <c r="CG39" i="6" s="1"/>
  <c r="CJ97" i="7"/>
  <c r="CJ98" i="7" s="1"/>
  <c r="CJ99" i="7" s="1"/>
  <c r="CI39" i="6" s="1"/>
  <c r="CI97" i="7"/>
  <c r="CI98" i="7" s="1"/>
  <c r="CI99" i="7" s="1"/>
  <c r="CH39" i="6" s="1"/>
  <c r="U27" i="11"/>
  <c r="T29" i="11"/>
  <c r="U29" i="11" s="1"/>
  <c r="T30" i="11"/>
  <c r="U30" i="11" s="1"/>
  <c r="P8" i="11"/>
  <c r="P10" i="11" s="1"/>
  <c r="T28" i="11"/>
  <c r="AM66" i="7"/>
  <c r="AM67" i="7" s="1"/>
  <c r="AM68" i="7" s="1"/>
  <c r="BR66" i="7"/>
  <c r="BR67" i="7" s="1"/>
  <c r="BR68" i="7" s="1"/>
  <c r="BL66" i="7"/>
  <c r="BL67" i="7" s="1"/>
  <c r="BL68" i="7" s="1"/>
  <c r="Y66" i="7"/>
  <c r="Y67" i="7" s="1"/>
  <c r="Y68" i="7" s="1"/>
  <c r="AL66" i="7"/>
  <c r="AL67" i="7" s="1"/>
  <c r="AL68" i="7" s="1"/>
  <c r="BN66" i="7"/>
  <c r="BN67" i="7" s="1"/>
  <c r="BN68" i="7" s="1"/>
  <c r="AI66" i="7"/>
  <c r="AI67" i="7" s="1"/>
  <c r="AI68" i="7" s="1"/>
  <c r="L66" i="7"/>
  <c r="L67" i="7" s="1"/>
  <c r="L68" i="7" s="1"/>
  <c r="BX66" i="7"/>
  <c r="BX67" i="7" s="1"/>
  <c r="BX68" i="7" s="1"/>
  <c r="BA66" i="7"/>
  <c r="BA67" i="7" s="1"/>
  <c r="BA68" i="7" s="1"/>
  <c r="AU66" i="7"/>
  <c r="AU67" i="7" s="1"/>
  <c r="AU68" i="7" s="1"/>
  <c r="H66" i="7"/>
  <c r="BT66" i="7"/>
  <c r="BT67" i="7" s="1"/>
  <c r="BT68" i="7" s="1"/>
  <c r="AG66" i="7"/>
  <c r="AG67" i="7" s="1"/>
  <c r="AG68" i="7" s="1"/>
  <c r="J66" i="7"/>
  <c r="J67" i="7" s="1"/>
  <c r="J68" i="7" s="1"/>
  <c r="BV66" i="7"/>
  <c r="BV67" i="7" s="1"/>
  <c r="BV68" i="7" s="1"/>
  <c r="AQ66" i="7"/>
  <c r="AQ67" i="7" s="1"/>
  <c r="AQ68" i="7" s="1"/>
  <c r="T66" i="7"/>
  <c r="T67" i="7" s="1"/>
  <c r="T68" i="7" s="1"/>
  <c r="CF66" i="7"/>
  <c r="CF67" i="7" s="1"/>
  <c r="CF68" i="7" s="1"/>
  <c r="BI66" i="7"/>
  <c r="BI67" i="7" s="1"/>
  <c r="BI68" i="7" s="1"/>
  <c r="CG66" i="7"/>
  <c r="CG67" i="7" s="1"/>
  <c r="CG68" i="7" s="1"/>
  <c r="BC66" i="7"/>
  <c r="BC67" i="7" s="1"/>
  <c r="BC68" i="7" s="1"/>
  <c r="P66" i="7"/>
  <c r="CB66" i="7"/>
  <c r="CB67" i="7" s="1"/>
  <c r="CB68" i="7" s="1"/>
  <c r="AO66" i="7"/>
  <c r="AO67" i="7" s="1"/>
  <c r="AO68" i="7" s="1"/>
  <c r="R66" i="7"/>
  <c r="CD66" i="7"/>
  <c r="CD67" i="7" s="1"/>
  <c r="CD68" i="7" s="1"/>
  <c r="AY66" i="7"/>
  <c r="AY67" i="7" s="1"/>
  <c r="AY68" i="7" s="1"/>
  <c r="AB66" i="7"/>
  <c r="AB67" i="7" s="1"/>
  <c r="AB68" i="7" s="1"/>
  <c r="BB66" i="7"/>
  <c r="BB67" i="7" s="1"/>
  <c r="BB68" i="7" s="1"/>
  <c r="BQ66" i="7"/>
  <c r="BQ67" i="7" s="1"/>
  <c r="BQ68" i="7" s="1"/>
  <c r="BK66" i="7"/>
  <c r="BK67" i="7" s="1"/>
  <c r="BK68" i="7" s="1"/>
  <c r="X66" i="7"/>
  <c r="X67" i="7" s="1"/>
  <c r="X68" i="7" s="1"/>
  <c r="CJ66" i="7"/>
  <c r="CJ67" i="7" s="1"/>
  <c r="CJ68" i="7" s="1"/>
  <c r="AW66" i="7"/>
  <c r="AW67" i="7" s="1"/>
  <c r="AW68" i="7" s="1"/>
  <c r="Z66" i="7"/>
  <c r="Z67" i="7" s="1"/>
  <c r="Z68" i="7" s="1"/>
  <c r="V66" i="7"/>
  <c r="V67" i="7" s="1"/>
  <c r="V68" i="7" s="1"/>
  <c r="BG66" i="7"/>
  <c r="BG67" i="7" s="1"/>
  <c r="BG68" i="7" s="1"/>
  <c r="AJ66" i="7"/>
  <c r="AJ67" i="7" s="1"/>
  <c r="AJ68" i="7" s="1"/>
  <c r="M66" i="7"/>
  <c r="M67" i="7" s="1"/>
  <c r="M68" i="7" s="1"/>
  <c r="BY66" i="7"/>
  <c r="BY67" i="7" s="1"/>
  <c r="BY68" i="7" s="1"/>
  <c r="BJ66" i="7"/>
  <c r="BJ67" i="7" s="1"/>
  <c r="BJ68" i="7" s="1"/>
  <c r="BS66" i="7"/>
  <c r="BS67" i="7" s="1"/>
  <c r="BS68" i="7" s="1"/>
  <c r="AF66" i="7"/>
  <c r="AF67" i="7" s="1"/>
  <c r="AF68" i="7" s="1"/>
  <c r="AD66" i="7"/>
  <c r="AD67" i="7" s="1"/>
  <c r="AD68" i="7" s="1"/>
  <c r="BE66" i="7"/>
  <c r="BE67" i="7" s="1"/>
  <c r="BE68" i="7" s="1"/>
  <c r="AH66" i="7"/>
  <c r="AH67" i="7" s="1"/>
  <c r="AH68" i="7" s="1"/>
  <c r="BZ66" i="7"/>
  <c r="BZ67" i="7" s="1"/>
  <c r="BZ68" i="7" s="1"/>
  <c r="BO66" i="7"/>
  <c r="BO67" i="7" s="1"/>
  <c r="BO68" i="7" s="1"/>
  <c r="AR66" i="7"/>
  <c r="AR67" i="7" s="1"/>
  <c r="AR68" i="7" s="1"/>
  <c r="U66" i="7"/>
  <c r="U67" i="7" s="1"/>
  <c r="U68" i="7" s="1"/>
  <c r="N66" i="7"/>
  <c r="N67" i="7" s="1"/>
  <c r="N68" i="7" s="1"/>
  <c r="Q66" i="7"/>
  <c r="AA66" i="7"/>
  <c r="AA67" i="7" s="1"/>
  <c r="AA68" i="7" s="1"/>
  <c r="AS66" i="7"/>
  <c r="AS67" i="7" s="1"/>
  <c r="AS68" i="7" s="1"/>
  <c r="O66" i="7"/>
  <c r="O67" i="7" s="1"/>
  <c r="O68" i="7" s="1"/>
  <c r="CA66" i="7"/>
  <c r="CA67" i="7" s="1"/>
  <c r="CA68" i="7" s="1"/>
  <c r="AN66" i="7"/>
  <c r="AN67" i="7" s="1"/>
  <c r="AN68" i="7" s="1"/>
  <c r="CH66" i="7"/>
  <c r="CH67" i="7" s="1"/>
  <c r="CH68" i="7" s="1"/>
  <c r="BM66" i="7"/>
  <c r="BM67" i="7" s="1"/>
  <c r="BM68" i="7" s="1"/>
  <c r="AP66" i="7"/>
  <c r="AP67" i="7" s="1"/>
  <c r="AP68" i="7" s="1"/>
  <c r="K66" i="7"/>
  <c r="K67" i="7" s="1"/>
  <c r="K68" i="7" s="1"/>
  <c r="BW66" i="7"/>
  <c r="BW67" i="7" s="1"/>
  <c r="BW68" i="7" s="1"/>
  <c r="AZ66" i="7"/>
  <c r="AZ67" i="7" s="1"/>
  <c r="AZ68" i="7" s="1"/>
  <c r="AC66" i="7"/>
  <c r="AC67" i="7" s="1"/>
  <c r="AC68" i="7" s="1"/>
  <c r="BD66" i="7"/>
  <c r="BD67" i="7" s="1"/>
  <c r="BD68" i="7" s="1"/>
  <c r="CC66" i="7"/>
  <c r="CC67" i="7" s="1"/>
  <c r="CC68" i="7" s="1"/>
  <c r="AT66" i="7"/>
  <c r="AT67" i="7" s="1"/>
  <c r="AT68" i="7" s="1"/>
  <c r="W66" i="7"/>
  <c r="W67" i="7" s="1"/>
  <c r="W68" i="7" s="1"/>
  <c r="CI66" i="7"/>
  <c r="CI67" i="7" s="1"/>
  <c r="CI68" i="7" s="1"/>
  <c r="AV66" i="7"/>
  <c r="AV67" i="7" s="1"/>
  <c r="AV68" i="7" s="1"/>
  <c r="I66" i="7"/>
  <c r="I67" i="7" s="1"/>
  <c r="I68" i="7" s="1"/>
  <c r="BU66" i="7"/>
  <c r="BU67" i="7" s="1"/>
  <c r="BU68" i="7" s="1"/>
  <c r="AX66" i="7"/>
  <c r="AX67" i="7" s="1"/>
  <c r="AX68" i="7" s="1"/>
  <c r="S66" i="7"/>
  <c r="S67" i="7" s="1"/>
  <c r="S68" i="7" s="1"/>
  <c r="CE66" i="7"/>
  <c r="CE67" i="7" s="1"/>
  <c r="CE68" i="7" s="1"/>
  <c r="BH66" i="7"/>
  <c r="BH67" i="7" s="1"/>
  <c r="BH68" i="7" s="1"/>
  <c r="AK66" i="7"/>
  <c r="AK67" i="7" s="1"/>
  <c r="AK68" i="7" s="1"/>
  <c r="AE66" i="7"/>
  <c r="AE67" i="7" s="1"/>
  <c r="AE68" i="7" s="1"/>
  <c r="BF66" i="7"/>
  <c r="BF67" i="7" s="1"/>
  <c r="BF68" i="7" s="1"/>
  <c r="BP66" i="7"/>
  <c r="BP67" i="7" s="1"/>
  <c r="BP68" i="7" s="1"/>
  <c r="AQ48" i="7"/>
  <c r="AQ49" i="7" s="1"/>
  <c r="AQ50" i="7" s="1"/>
  <c r="AB48" i="7"/>
  <c r="AB49" i="7" s="1"/>
  <c r="AB50" i="7" s="1"/>
  <c r="M48" i="7"/>
  <c r="BY48" i="7"/>
  <c r="BY49" i="7" s="1"/>
  <c r="BY50" i="7" s="1"/>
  <c r="AE48" i="7"/>
  <c r="AE49" i="7" s="1"/>
  <c r="AE50" i="7" s="1"/>
  <c r="H48" i="7"/>
  <c r="BT48" i="7"/>
  <c r="BT49" i="7" s="1"/>
  <c r="BT50" i="7" s="1"/>
  <c r="BB48" i="7"/>
  <c r="BB49" i="7" s="1"/>
  <c r="BB50" i="7" s="1"/>
  <c r="AW48" i="7"/>
  <c r="AW49" i="7" s="1"/>
  <c r="AW50" i="7" s="1"/>
  <c r="BF48" i="7"/>
  <c r="BF49" i="7" s="1"/>
  <c r="BF50" i="7" s="1"/>
  <c r="AC48" i="7"/>
  <c r="AC49" i="7" s="1"/>
  <c r="AC50" i="7" s="1"/>
  <c r="X48" i="7"/>
  <c r="X49" i="7" s="1"/>
  <c r="X50" i="7" s="1"/>
  <c r="W48" i="7"/>
  <c r="W49" i="7" s="1"/>
  <c r="W50" i="7" s="1"/>
  <c r="J48" i="7"/>
  <c r="J49" i="7" s="1"/>
  <c r="J50" i="7" s="1"/>
  <c r="CF48" i="7"/>
  <c r="CF49" i="7" s="1"/>
  <c r="CF50" i="7" s="1"/>
  <c r="BL48" i="7"/>
  <c r="BL49" i="7" s="1"/>
  <c r="BL50" i="7" s="1"/>
  <c r="AY48" i="7"/>
  <c r="AY49" i="7" s="1"/>
  <c r="AY50" i="7" s="1"/>
  <c r="AJ48" i="7"/>
  <c r="AJ49" i="7" s="1"/>
  <c r="AJ50" i="7" s="1"/>
  <c r="U48" i="7"/>
  <c r="U49" i="7" s="1"/>
  <c r="U50" i="7" s="1"/>
  <c r="CG48" i="7"/>
  <c r="CG49" i="7" s="1"/>
  <c r="CG50" i="7" s="1"/>
  <c r="AM48" i="7"/>
  <c r="AM49" i="7" s="1"/>
  <c r="AM50" i="7" s="1"/>
  <c r="P48" i="7"/>
  <c r="P49" i="7" s="1"/>
  <c r="P50" i="7" s="1"/>
  <c r="CB48" i="7"/>
  <c r="CB49" i="7" s="1"/>
  <c r="CB50" i="7" s="1"/>
  <c r="BZ48" i="7"/>
  <c r="BZ49" i="7" s="1"/>
  <c r="BZ50" i="7" s="1"/>
  <c r="BE48" i="7"/>
  <c r="BE49" i="7" s="1"/>
  <c r="BE50" i="7" s="1"/>
  <c r="BN48" i="7"/>
  <c r="BN49" i="7" s="1"/>
  <c r="BN50" i="7" s="1"/>
  <c r="BG48" i="7"/>
  <c r="BG49" i="7" s="1"/>
  <c r="BG50" i="7" s="1"/>
  <c r="AR48" i="7"/>
  <c r="AR49" i="7" s="1"/>
  <c r="AR50" i="7" s="1"/>
  <c r="N48" i="7"/>
  <c r="AU48" i="7"/>
  <c r="AU49" i="7" s="1"/>
  <c r="AU50" i="7" s="1"/>
  <c r="CJ48" i="7"/>
  <c r="CJ49" i="7" s="1"/>
  <c r="CJ50" i="7" s="1"/>
  <c r="BV48" i="7"/>
  <c r="BV49" i="7" s="1"/>
  <c r="BV50" i="7" s="1"/>
  <c r="AI48" i="7"/>
  <c r="AI49" i="7" s="1"/>
  <c r="AI50" i="7" s="1"/>
  <c r="O48" i="7"/>
  <c r="AO48" i="7"/>
  <c r="AO49" i="7" s="1"/>
  <c r="AO50" i="7" s="1"/>
  <c r="T48" i="7"/>
  <c r="T49" i="7" s="1"/>
  <c r="T50" i="7" s="1"/>
  <c r="CD48" i="7"/>
  <c r="CD49" i="7" s="1"/>
  <c r="CD50" i="7" s="1"/>
  <c r="BJ48" i="7"/>
  <c r="BJ49" i="7" s="1"/>
  <c r="BJ50" i="7" s="1"/>
  <c r="BO48" i="7"/>
  <c r="BO49" i="7" s="1"/>
  <c r="BO50" i="7" s="1"/>
  <c r="AZ48" i="7"/>
  <c r="AZ49" i="7" s="1"/>
  <c r="AZ50" i="7" s="1"/>
  <c r="AK48" i="7"/>
  <c r="AK49" i="7" s="1"/>
  <c r="AK50" i="7" s="1"/>
  <c r="AD48" i="7"/>
  <c r="AD49" i="7" s="1"/>
  <c r="AD50" i="7" s="1"/>
  <c r="BC48" i="7"/>
  <c r="BC49" i="7" s="1"/>
  <c r="BC50" i="7" s="1"/>
  <c r="AF48" i="7"/>
  <c r="AF49" i="7" s="1"/>
  <c r="AF50" i="7" s="1"/>
  <c r="BM48" i="7"/>
  <c r="BM49" i="7" s="1"/>
  <c r="BM50" i="7" s="1"/>
  <c r="I48" i="7"/>
  <c r="I49" i="7" s="1"/>
  <c r="I50" i="7" s="1"/>
  <c r="R48" i="7"/>
  <c r="R49" i="7" s="1"/>
  <c r="R50" i="7" s="1"/>
  <c r="BI48" i="7"/>
  <c r="BI49" i="7" s="1"/>
  <c r="BI50" i="7" s="1"/>
  <c r="BD48" i="7"/>
  <c r="BD49" i="7" s="1"/>
  <c r="BD50" i="7" s="1"/>
  <c r="CI48" i="7"/>
  <c r="CI49" i="7" s="1"/>
  <c r="CI50" i="7" s="1"/>
  <c r="K48" i="7"/>
  <c r="K49" i="7" s="1"/>
  <c r="K50" i="7" s="1"/>
  <c r="BW48" i="7"/>
  <c r="BW49" i="7" s="1"/>
  <c r="BW50" i="7" s="1"/>
  <c r="BH48" i="7"/>
  <c r="BH49" i="7" s="1"/>
  <c r="BH50" i="7" s="1"/>
  <c r="AS48" i="7"/>
  <c r="AS49" i="7" s="1"/>
  <c r="AS50" i="7" s="1"/>
  <c r="AT48" i="7"/>
  <c r="AT49" i="7" s="1"/>
  <c r="AT50" i="7" s="1"/>
  <c r="BK48" i="7"/>
  <c r="BK49" i="7" s="1"/>
  <c r="BK50" i="7" s="1"/>
  <c r="AN48" i="7"/>
  <c r="AN49" i="7" s="1"/>
  <c r="AN50" i="7" s="1"/>
  <c r="BU48" i="7"/>
  <c r="BU49" i="7" s="1"/>
  <c r="BU50" i="7" s="1"/>
  <c r="Q48" i="7"/>
  <c r="Q49" i="7" s="1"/>
  <c r="Q50" i="7" s="1"/>
  <c r="Z48" i="7"/>
  <c r="Z49" i="7" s="1"/>
  <c r="Z50" i="7" s="1"/>
  <c r="L48" i="7"/>
  <c r="L49" i="7" s="1"/>
  <c r="L50" i="7" s="1"/>
  <c r="V48" i="7"/>
  <c r="V49" i="7" s="1"/>
  <c r="V50" i="7" s="1"/>
  <c r="AX48" i="7"/>
  <c r="AX49" i="7" s="1"/>
  <c r="AX50" i="7" s="1"/>
  <c r="S48" i="7"/>
  <c r="S49" i="7" s="1"/>
  <c r="S50" i="7" s="1"/>
  <c r="CE48" i="7"/>
  <c r="CE49" i="7" s="1"/>
  <c r="CE50" i="7" s="1"/>
  <c r="BP48" i="7"/>
  <c r="BP49" i="7" s="1"/>
  <c r="BP50" i="7" s="1"/>
  <c r="BA48" i="7"/>
  <c r="BA49" i="7" s="1"/>
  <c r="BA50" i="7" s="1"/>
  <c r="BR48" i="7"/>
  <c r="BR49" i="7" s="1"/>
  <c r="BR50" i="7" s="1"/>
  <c r="BS48" i="7"/>
  <c r="BS49" i="7" s="1"/>
  <c r="BS50" i="7" s="1"/>
  <c r="AV48" i="7"/>
  <c r="AV49" i="7" s="1"/>
  <c r="AV50" i="7" s="1"/>
  <c r="CC48" i="7"/>
  <c r="CC49" i="7" s="1"/>
  <c r="CC50" i="7" s="1"/>
  <c r="Y48" i="7"/>
  <c r="Y49" i="7" s="1"/>
  <c r="Y50" i="7" s="1"/>
  <c r="AH48" i="7"/>
  <c r="AH49" i="7" s="1"/>
  <c r="AH50" i="7" s="1"/>
  <c r="AA48" i="7"/>
  <c r="AA49" i="7" s="1"/>
  <c r="AA50" i="7" s="1"/>
  <c r="AP48" i="7"/>
  <c r="AP49" i="7" s="1"/>
  <c r="AP50" i="7" s="1"/>
  <c r="BX48" i="7"/>
  <c r="BX49" i="7" s="1"/>
  <c r="BX50" i="7" s="1"/>
  <c r="CH48" i="7"/>
  <c r="CH49" i="7" s="1"/>
  <c r="CH50" i="7" s="1"/>
  <c r="CA48" i="7"/>
  <c r="CA49" i="7" s="1"/>
  <c r="CA50" i="7" s="1"/>
  <c r="AG48" i="7"/>
  <c r="AG49" i="7" s="1"/>
  <c r="AG50" i="7" s="1"/>
  <c r="BQ48" i="7"/>
  <c r="BQ49" i="7" s="1"/>
  <c r="BQ50" i="7" s="1"/>
  <c r="AL48" i="7"/>
  <c r="AL49" i="7" s="1"/>
  <c r="AL50" i="7" s="1"/>
  <c r="K17" i="113"/>
  <c r="H10" i="55"/>
  <c r="D9" i="55"/>
  <c r="E11" i="113"/>
  <c r="CA30" i="7"/>
  <c r="CA31" i="7" s="1"/>
  <c r="CA32" i="7" s="1"/>
  <c r="BZ36" i="6" s="1"/>
  <c r="BF30" i="7"/>
  <c r="BF31" i="7" s="1"/>
  <c r="BF32" i="7" s="1"/>
  <c r="BE36" i="6" s="1"/>
  <c r="BM30" i="7"/>
  <c r="BM31" i="7" s="1"/>
  <c r="BM32" i="7" s="1"/>
  <c r="BL36" i="6" s="1"/>
  <c r="AP30" i="7"/>
  <c r="AP31" i="7" s="1"/>
  <c r="AP32" i="7" s="1"/>
  <c r="AO36" i="6" s="1"/>
  <c r="BA30" i="7"/>
  <c r="AW30" i="7"/>
  <c r="AW31" i="7" s="1"/>
  <c r="AW32" i="7" s="1"/>
  <c r="AV36" i="6" s="1"/>
  <c r="AE30" i="7"/>
  <c r="AE31" i="7" s="1"/>
  <c r="AE32" i="7" s="1"/>
  <c r="AD36" i="6" s="1"/>
  <c r="AY30" i="7"/>
  <c r="AY31" i="7" s="1"/>
  <c r="AY32" i="7" s="1"/>
  <c r="AX36" i="6" s="1"/>
  <c r="AL30" i="7"/>
  <c r="AL31" i="7" s="1"/>
  <c r="AL32" i="7" s="1"/>
  <c r="AK36" i="6" s="1"/>
  <c r="AT30" i="7"/>
  <c r="AT31" i="7" s="1"/>
  <c r="AT32" i="7" s="1"/>
  <c r="AS36" i="6" s="1"/>
  <c r="AK30" i="7"/>
  <c r="AK31" i="7" s="1"/>
  <c r="AK32" i="7" s="1"/>
  <c r="AJ36" i="6" s="1"/>
  <c r="N30" i="7"/>
  <c r="L30" i="7"/>
  <c r="AI30" i="7"/>
  <c r="AI31" i="7" s="1"/>
  <c r="AI32" i="7" s="1"/>
  <c r="AH36" i="6" s="1"/>
  <c r="AM30" i="7"/>
  <c r="AM31" i="7" s="1"/>
  <c r="AM32" i="7" s="1"/>
  <c r="AL36" i="6" s="1"/>
  <c r="CJ30" i="7"/>
  <c r="CJ31" i="7" s="1"/>
  <c r="CJ32" i="7" s="1"/>
  <c r="CI36" i="6" s="1"/>
  <c r="CI30" i="7"/>
  <c r="CI31" i="7" s="1"/>
  <c r="CI32" i="7" s="1"/>
  <c r="CH36" i="6" s="1"/>
  <c r="BN30" i="7"/>
  <c r="BN31" i="7" s="1"/>
  <c r="BN32" i="7" s="1"/>
  <c r="BM36" i="6" s="1"/>
  <c r="AF30" i="7"/>
  <c r="AF31" i="7" s="1"/>
  <c r="AF32" i="7" s="1"/>
  <c r="AE36" i="6" s="1"/>
  <c r="Z30" i="7"/>
  <c r="Z31" i="7" s="1"/>
  <c r="Z32" i="7" s="1"/>
  <c r="Y36" i="6" s="1"/>
  <c r="BI30" i="7"/>
  <c r="BI31" i="7" s="1"/>
  <c r="BI32" i="7" s="1"/>
  <c r="BH36" i="6" s="1"/>
  <c r="AH30" i="7"/>
  <c r="AH31" i="7" s="1"/>
  <c r="AH32" i="7" s="1"/>
  <c r="AG36" i="6" s="1"/>
  <c r="W30" i="7"/>
  <c r="W31" i="7" s="1"/>
  <c r="W32" i="7" s="1"/>
  <c r="V36" i="6" s="1"/>
  <c r="BG30" i="7"/>
  <c r="BG31" i="7" s="1"/>
  <c r="BG32" i="7" s="1"/>
  <c r="BF36" i="6" s="1"/>
  <c r="H30" i="7"/>
  <c r="AC30" i="7"/>
  <c r="AC31" i="7" s="1"/>
  <c r="AC32" i="7" s="1"/>
  <c r="AB36" i="6" s="1"/>
  <c r="BE30" i="7"/>
  <c r="BE31" i="7" s="1"/>
  <c r="BE32" i="7" s="1"/>
  <c r="BD36" i="6" s="1"/>
  <c r="CF30" i="7"/>
  <c r="CF31" i="7" s="1"/>
  <c r="CF32" i="7" s="1"/>
  <c r="CE36" i="6" s="1"/>
  <c r="AD30" i="7"/>
  <c r="AD31" i="7" s="1"/>
  <c r="AD32" i="7" s="1"/>
  <c r="AC36" i="6" s="1"/>
  <c r="BD30" i="7"/>
  <c r="BD31" i="7" s="1"/>
  <c r="BD32" i="7" s="1"/>
  <c r="BC36" i="6" s="1"/>
  <c r="X30" i="7"/>
  <c r="X31" i="7" s="1"/>
  <c r="X32" i="7" s="1"/>
  <c r="W36" i="6" s="1"/>
  <c r="BV30" i="7"/>
  <c r="BV31" i="7" s="1"/>
  <c r="BV32" i="7" s="1"/>
  <c r="BU36" i="6" s="1"/>
  <c r="CH30" i="7"/>
  <c r="R30" i="7"/>
  <c r="BQ30" i="7"/>
  <c r="BQ31" i="7" s="1"/>
  <c r="BQ32" i="7" s="1"/>
  <c r="BP36" i="6" s="1"/>
  <c r="J30" i="7"/>
  <c r="J31" i="7" s="1"/>
  <c r="J32" i="7" s="1"/>
  <c r="I36" i="6" s="1"/>
  <c r="O30" i="7"/>
  <c r="BO30" i="7"/>
  <c r="BO31" i="7" s="1"/>
  <c r="BO32" i="7" s="1"/>
  <c r="BN36" i="6" s="1"/>
  <c r="BB30" i="7"/>
  <c r="BB31" i="7" s="1"/>
  <c r="BB32" i="7" s="1"/>
  <c r="BA36" i="6" s="1"/>
  <c r="BR30" i="7"/>
  <c r="BR31" i="7" s="1"/>
  <c r="BR32" i="7" s="1"/>
  <c r="BQ36" i="6" s="1"/>
  <c r="AV30" i="7"/>
  <c r="AV31" i="7" s="1"/>
  <c r="AV32" i="7" s="1"/>
  <c r="AU36" i="6" s="1"/>
  <c r="AZ30" i="7"/>
  <c r="AZ31" i="7" s="1"/>
  <c r="AZ32" i="7" s="1"/>
  <c r="AY36" i="6" s="1"/>
  <c r="AA30" i="7"/>
  <c r="AA31" i="7" s="1"/>
  <c r="AA32" i="7" s="1"/>
  <c r="Z36" i="6" s="1"/>
  <c r="BK30" i="7"/>
  <c r="BK31" i="7" s="1"/>
  <c r="BK32" i="7" s="1"/>
  <c r="BJ36" i="6" s="1"/>
  <c r="AS30" i="7"/>
  <c r="AS31" i="7" s="1"/>
  <c r="AS32" i="7" s="1"/>
  <c r="AR36" i="6" s="1"/>
  <c r="CB30" i="7"/>
  <c r="CB31" i="7" s="1"/>
  <c r="CB32" i="7" s="1"/>
  <c r="CA36" i="6" s="1"/>
  <c r="AJ30" i="7"/>
  <c r="BU30" i="7"/>
  <c r="BU31" i="7" s="1"/>
  <c r="BU32" i="7" s="1"/>
  <c r="BT36" i="6" s="1"/>
  <c r="CD30" i="7"/>
  <c r="CD31" i="7" s="1"/>
  <c r="CD32" i="7" s="1"/>
  <c r="CC36" i="6" s="1"/>
  <c r="AO30" i="7"/>
  <c r="AO31" i="7" s="1"/>
  <c r="AO32" i="7" s="1"/>
  <c r="AN36" i="6" s="1"/>
  <c r="M30" i="7"/>
  <c r="M31" i="7" s="1"/>
  <c r="M32" i="7" s="1"/>
  <c r="L36" i="6" s="1"/>
  <c r="BY30" i="7"/>
  <c r="BY31" i="7" s="1"/>
  <c r="BY32" i="7" s="1"/>
  <c r="BX36" i="6" s="1"/>
  <c r="T30" i="7"/>
  <c r="K30" i="7"/>
  <c r="K31" i="7" s="1"/>
  <c r="K32" i="7" s="1"/>
  <c r="J36" i="6" s="1"/>
  <c r="BW30" i="7"/>
  <c r="BW31" i="7" s="1"/>
  <c r="BW32" i="7" s="1"/>
  <c r="BV36" i="6" s="1"/>
  <c r="BJ30" i="7"/>
  <c r="BJ31" i="7" s="1"/>
  <c r="BJ32" i="7" s="1"/>
  <c r="BI36" i="6" s="1"/>
  <c r="S30" i="7"/>
  <c r="I30" i="7"/>
  <c r="I31" i="7" s="1"/>
  <c r="I32" i="7" s="1"/>
  <c r="H36" i="6" s="1"/>
  <c r="U30" i="7"/>
  <c r="BL30" i="7"/>
  <c r="BL31" i="7" s="1"/>
  <c r="BL32" i="7" s="1"/>
  <c r="BK36" i="6" s="1"/>
  <c r="P30" i="7"/>
  <c r="V30" i="7"/>
  <c r="BT30" i="7"/>
  <c r="BT31" i="7" s="1"/>
  <c r="BT32" i="7" s="1"/>
  <c r="BS36" i="6" s="1"/>
  <c r="AU30" i="7"/>
  <c r="AU31" i="7" s="1"/>
  <c r="AU32" i="7" s="1"/>
  <c r="AT36" i="6" s="1"/>
  <c r="CC30" i="7"/>
  <c r="CC31" i="7" s="1"/>
  <c r="CC32" i="7" s="1"/>
  <c r="CB36" i="6" s="1"/>
  <c r="AG30" i="7"/>
  <c r="AG31" i="7" s="1"/>
  <c r="AG32" i="7" s="1"/>
  <c r="AF36" i="6" s="1"/>
  <c r="BX30" i="7"/>
  <c r="BH30" i="7"/>
  <c r="BH31" i="7" s="1"/>
  <c r="BH32" i="7" s="1"/>
  <c r="BG36" i="6" s="1"/>
  <c r="CG30" i="7"/>
  <c r="CG31" i="7" s="1"/>
  <c r="CG32" i="7" s="1"/>
  <c r="CF36" i="6" s="1"/>
  <c r="Q30" i="7"/>
  <c r="CE30" i="7"/>
  <c r="CE31" i="7" s="1"/>
  <c r="CE32" i="7" s="1"/>
  <c r="CD36" i="6" s="1"/>
  <c r="BC30" i="7"/>
  <c r="BC31" i="7" s="1"/>
  <c r="BC32" i="7" s="1"/>
  <c r="BB36" i="6" s="1"/>
  <c r="Y30" i="7"/>
  <c r="Y31" i="7" s="1"/>
  <c r="Y32" i="7" s="1"/>
  <c r="X36" i="6" s="1"/>
  <c r="BZ30" i="7"/>
  <c r="BZ31" i="7" s="1"/>
  <c r="BZ32" i="7" s="1"/>
  <c r="BY36" i="6" s="1"/>
  <c r="AR30" i="7"/>
  <c r="AB30" i="7"/>
  <c r="AB31" i="7" s="1"/>
  <c r="AB32" i="7" s="1"/>
  <c r="AA36" i="6" s="1"/>
  <c r="AN30" i="7"/>
  <c r="AN31" i="7" s="1"/>
  <c r="AN32" i="7" s="1"/>
  <c r="AM36" i="6" s="1"/>
  <c r="BS30" i="7"/>
  <c r="BS31" i="7" s="1"/>
  <c r="BS32" i="7" s="1"/>
  <c r="BR36" i="6" s="1"/>
  <c r="AX30" i="7"/>
  <c r="AX31" i="7" s="1"/>
  <c r="AX32" i="7" s="1"/>
  <c r="AW36" i="6" s="1"/>
  <c r="BP30" i="7"/>
  <c r="BP31" i="7" s="1"/>
  <c r="BP32" i="7" s="1"/>
  <c r="BO36" i="6" s="1"/>
  <c r="AQ30" i="7"/>
  <c r="AQ31" i="7" s="1"/>
  <c r="AQ32" i="7" s="1"/>
  <c r="AP36" i="6" s="1"/>
  <c r="E32" i="113" l="1"/>
  <c r="E10" i="113"/>
  <c r="J39" i="6"/>
  <c r="K100" i="7"/>
  <c r="J49" i="6" s="1"/>
  <c r="N39" i="6"/>
  <c r="O100" i="7"/>
  <c r="N49" i="6" s="1"/>
  <c r="I39" i="6"/>
  <c r="J100" i="7"/>
  <c r="I49" i="6" s="1"/>
  <c r="L39" i="6"/>
  <c r="M100" i="7"/>
  <c r="L49" i="6" s="1"/>
  <c r="K39" i="6"/>
  <c r="L100" i="7"/>
  <c r="K49" i="6" s="1"/>
  <c r="I100" i="7"/>
  <c r="H49" i="6" s="1"/>
  <c r="H39" i="6"/>
  <c r="E83" i="113"/>
  <c r="F6" i="128"/>
  <c r="M39" i="6"/>
  <c r="N100" i="7"/>
  <c r="M49" i="6" s="1"/>
  <c r="P100" i="7"/>
  <c r="O49" i="6" s="1"/>
  <c r="O39" i="6"/>
  <c r="Q100" i="7"/>
  <c r="P49" i="6" s="1"/>
  <c r="P39" i="6"/>
  <c r="E81" i="113"/>
  <c r="G48" i="7"/>
  <c r="U28" i="11"/>
  <c r="U31" i="11" s="1"/>
  <c r="D54" i="55"/>
  <c r="E79" i="113"/>
  <c r="H49" i="7"/>
  <c r="H50" i="7" s="1"/>
  <c r="K51" i="7" s="1"/>
  <c r="H67" i="7"/>
  <c r="H68" i="7" s="1"/>
  <c r="G66" i="7"/>
  <c r="E91" i="7"/>
  <c r="E84" i="7"/>
  <c r="L31" i="7"/>
  <c r="L32" i="7" s="1"/>
  <c r="K36" i="6" s="1"/>
  <c r="BA31" i="7"/>
  <c r="BA32" i="7" s="1"/>
  <c r="AZ36" i="6" s="1"/>
  <c r="R91" i="7"/>
  <c r="R92" i="7" s="1"/>
  <c r="AR31" i="7"/>
  <c r="AR32" i="7" s="1"/>
  <c r="AQ36" i="6" s="1"/>
  <c r="BX31" i="7"/>
  <c r="BX32" i="7" s="1"/>
  <c r="BW36" i="6" s="1"/>
  <c r="CH31" i="7"/>
  <c r="CH32" i="7" s="1"/>
  <c r="CG36" i="6" s="1"/>
  <c r="H31" i="7"/>
  <c r="H32" i="7" s="1"/>
  <c r="G36" i="6" s="1"/>
  <c r="G30" i="7"/>
  <c r="AJ31" i="7"/>
  <c r="AJ32" i="7" s="1"/>
  <c r="AI36" i="6" s="1"/>
  <c r="E23" i="113" l="1"/>
  <c r="E80" i="113" s="1"/>
  <c r="E33" i="113"/>
  <c r="E21" i="55"/>
  <c r="D17" i="5"/>
  <c r="E35" i="113" s="1"/>
  <c r="L69" i="7"/>
  <c r="M69" i="7"/>
  <c r="K69" i="7"/>
  <c r="E47" i="55"/>
  <c r="E43" i="55"/>
  <c r="E11" i="55"/>
  <c r="L51" i="7"/>
  <c r="I51" i="7"/>
  <c r="J69" i="7"/>
  <c r="E9" i="55"/>
  <c r="D15" i="5"/>
  <c r="E48" i="55"/>
  <c r="D11" i="5"/>
  <c r="O69" i="7"/>
  <c r="E37" i="55"/>
  <c r="E52" i="55"/>
  <c r="E12" i="55"/>
  <c r="E29" i="55"/>
  <c r="N69" i="7"/>
  <c r="I69" i="7"/>
  <c r="E53" i="55"/>
  <c r="E10" i="55"/>
  <c r="J51" i="7"/>
  <c r="R84" i="7"/>
  <c r="R85" i="7" s="1"/>
  <c r="AV86" i="7" s="1"/>
  <c r="P91" i="7"/>
  <c r="P92" i="7" s="1"/>
  <c r="P93" i="7" s="1"/>
  <c r="M33" i="7"/>
  <c r="L46" i="6" s="1"/>
  <c r="K33" i="7"/>
  <c r="J46" i="6" s="1"/>
  <c r="L33" i="7"/>
  <c r="K46" i="6" s="1"/>
  <c r="I33" i="7"/>
  <c r="H46" i="6" s="1"/>
  <c r="J33" i="7"/>
  <c r="I46" i="6" s="1"/>
  <c r="D87" i="55"/>
  <c r="D86" i="55"/>
  <c r="F10" i="113" l="1"/>
  <c r="F17" i="5"/>
  <c r="BO17" i="5" s="1"/>
  <c r="CH86" i="7"/>
  <c r="CI86" i="7"/>
  <c r="BG86" i="7"/>
  <c r="BR86" i="7"/>
  <c r="BF86" i="7"/>
  <c r="CF86" i="7"/>
  <c r="AJ86" i="7"/>
  <c r="BW86" i="7"/>
  <c r="BV86" i="7"/>
  <c r="S86" i="7"/>
  <c r="CE86" i="7"/>
  <c r="AL86" i="7"/>
  <c r="BS86" i="7"/>
  <c r="BR93" i="7"/>
  <c r="T93" i="7"/>
  <c r="AZ86" i="7"/>
  <c r="AY86" i="7"/>
  <c r="BF93" i="7"/>
  <c r="BN86" i="7"/>
  <c r="AT86" i="7"/>
  <c r="AK86" i="7"/>
  <c r="U93" i="7"/>
  <c r="BK86" i="7"/>
  <c r="AN86" i="7"/>
  <c r="CH93" i="7"/>
  <c r="Z93" i="7"/>
  <c r="BZ86" i="7"/>
  <c r="BJ86" i="7"/>
  <c r="Z86" i="7"/>
  <c r="CG93" i="7"/>
  <c r="BX86" i="7"/>
  <c r="BH86" i="7"/>
  <c r="X86" i="7"/>
  <c r="CE93" i="7"/>
  <c r="AD86" i="7"/>
  <c r="BU93" i="7"/>
  <c r="AA86" i="7"/>
  <c r="CD86" i="7"/>
  <c r="BP86" i="7"/>
  <c r="BC86" i="7"/>
  <c r="T86" i="7"/>
  <c r="AQ86" i="7"/>
  <c r="BO93" i="7"/>
  <c r="AD93" i="7"/>
  <c r="CA86" i="7"/>
  <c r="BO86" i="7"/>
  <c r="BB86" i="7"/>
  <c r="AC86" i="7"/>
  <c r="AF86" i="7"/>
  <c r="BI93" i="7"/>
  <c r="AA93" i="7"/>
  <c r="R86" i="7"/>
  <c r="BG93" i="7"/>
  <c r="X93" i="7"/>
  <c r="AX86" i="7"/>
  <c r="AO86" i="7"/>
  <c r="AB86" i="7"/>
  <c r="CC93" i="7"/>
  <c r="BB93" i="7"/>
  <c r="R93" i="7"/>
  <c r="U86" i="7"/>
  <c r="AP86" i="7"/>
  <c r="AI86" i="7"/>
  <c r="BV93" i="7"/>
  <c r="AW93" i="7"/>
  <c r="G92" i="7"/>
  <c r="E92" i="7" s="1"/>
  <c r="CD93" i="7"/>
  <c r="BQ93" i="7"/>
  <c r="BE93" i="7"/>
  <c r="AK93" i="7"/>
  <c r="S93" i="7"/>
  <c r="AQ93" i="7"/>
  <c r="BZ93" i="7"/>
  <c r="BN93" i="7"/>
  <c r="BA93" i="7"/>
  <c r="AI93" i="7"/>
  <c r="AM93" i="7"/>
  <c r="BY93" i="7"/>
  <c r="BM93" i="7"/>
  <c r="AY93" i="7"/>
  <c r="AN93" i="7"/>
  <c r="AV93" i="7"/>
  <c r="BW93" i="7"/>
  <c r="BJ93" i="7"/>
  <c r="AX93" i="7"/>
  <c r="AS93" i="7"/>
  <c r="AR93" i="7"/>
  <c r="Q93" i="7"/>
  <c r="Y93" i="7"/>
  <c r="AO93" i="7"/>
  <c r="CC86" i="7"/>
  <c r="BU86" i="7"/>
  <c r="BM86" i="7"/>
  <c r="BE86" i="7"/>
  <c r="AW86" i="7"/>
  <c r="AH86" i="7"/>
  <c r="V86" i="7"/>
  <c r="AE86" i="7"/>
  <c r="CJ93" i="7"/>
  <c r="CB93" i="7"/>
  <c r="BT93" i="7"/>
  <c r="BL93" i="7"/>
  <c r="BD93" i="7"/>
  <c r="AG93" i="7"/>
  <c r="V93" i="7"/>
  <c r="AJ93" i="7"/>
  <c r="AE93" i="7"/>
  <c r="CJ86" i="7"/>
  <c r="CB86" i="7"/>
  <c r="BT86" i="7"/>
  <c r="BL86" i="7"/>
  <c r="BD86" i="7"/>
  <c r="Y86" i="7"/>
  <c r="AU86" i="7"/>
  <c r="W86" i="7"/>
  <c r="AS86" i="7"/>
  <c r="CI93" i="7"/>
  <c r="CA93" i="7"/>
  <c r="BS93" i="7"/>
  <c r="BK93" i="7"/>
  <c r="BC93" i="7"/>
  <c r="W93" i="7"/>
  <c r="AB93" i="7"/>
  <c r="AH93" i="7"/>
  <c r="AL93" i="7"/>
  <c r="G85" i="7"/>
  <c r="E85" i="7" s="1"/>
  <c r="CG86" i="7"/>
  <c r="BY86" i="7"/>
  <c r="BQ86" i="7"/>
  <c r="BI86" i="7"/>
  <c r="BA86" i="7"/>
  <c r="AM86" i="7"/>
  <c r="AG86" i="7"/>
  <c r="AR86" i="7"/>
  <c r="CF93" i="7"/>
  <c r="BX93" i="7"/>
  <c r="BP93" i="7"/>
  <c r="BH93" i="7"/>
  <c r="AZ93" i="7"/>
  <c r="AU93" i="7"/>
  <c r="AP93" i="7"/>
  <c r="AC93" i="7"/>
  <c r="AF93" i="7"/>
  <c r="AT93" i="7"/>
  <c r="F12" i="113"/>
  <c r="F17" i="113"/>
  <c r="F11" i="113"/>
  <c r="D102" i="55"/>
  <c r="J14" i="113"/>
  <c r="BI17" i="5" l="1"/>
  <c r="BM17" i="5"/>
  <c r="G35" i="113"/>
  <c r="BA17" i="5"/>
  <c r="AZ17" i="5"/>
  <c r="BL17" i="5"/>
  <c r="AT17" i="5"/>
  <c r="BQ17" i="5"/>
  <c r="BJ17" i="5"/>
  <c r="I83" i="113"/>
  <c r="AW17" i="5"/>
  <c r="BC17" i="5"/>
  <c r="BD17" i="5"/>
  <c r="AY17" i="5"/>
  <c r="BE17" i="5"/>
  <c r="BH17" i="5"/>
  <c r="BF17" i="5"/>
  <c r="BN17" i="5"/>
  <c r="BP17" i="5"/>
  <c r="AV17" i="5"/>
  <c r="AX17" i="5"/>
  <c r="BB17" i="5"/>
  <c r="BK17" i="5"/>
  <c r="BR17" i="5"/>
  <c r="AU17" i="5"/>
  <c r="BG17" i="5"/>
  <c r="A17" i="5"/>
  <c r="G86" i="7"/>
  <c r="G93" i="7"/>
  <c r="F100" i="55"/>
  <c r="F35" i="113" l="1"/>
  <c r="CH17" i="5"/>
  <c r="G15" i="5"/>
  <c r="W105" i="7" l="1"/>
  <c r="W106" i="7" s="1"/>
  <c r="V37" i="6" s="1"/>
  <c r="AQ14" i="9"/>
  <c r="AR14" i="9"/>
  <c r="AT14" i="9"/>
  <c r="AU14" i="9"/>
  <c r="AV14" i="9"/>
  <c r="AW14" i="9"/>
  <c r="AX14" i="9"/>
  <c r="AY14" i="9"/>
  <c r="AZ14" i="9"/>
  <c r="BA14" i="9"/>
  <c r="BB14" i="9"/>
  <c r="BC14" i="9"/>
  <c r="BD14" i="9"/>
  <c r="BE14" i="9"/>
  <c r="BF14" i="9"/>
  <c r="BG14" i="9"/>
  <c r="BH14" i="9"/>
  <c r="BI14" i="9"/>
  <c r="BJ14" i="9"/>
  <c r="BK14" i="9"/>
  <c r="BL14" i="9"/>
  <c r="BM14" i="9"/>
  <c r="BN14" i="9"/>
  <c r="BO14" i="9"/>
  <c r="BP14" i="9"/>
  <c r="BQ14" i="9"/>
  <c r="BR14" i="9"/>
  <c r="BS14" i="9"/>
  <c r="BT14" i="9"/>
  <c r="BU14" i="9"/>
  <c r="BV14" i="9"/>
  <c r="BW14" i="9"/>
  <c r="BX14" i="9"/>
  <c r="BY14" i="9"/>
  <c r="BZ14" i="9"/>
  <c r="CA14" i="9"/>
  <c r="CB14" i="9"/>
  <c r="CC14" i="9"/>
  <c r="CD14" i="9"/>
  <c r="CE14" i="9"/>
  <c r="CF14" i="9"/>
  <c r="CG14" i="9"/>
  <c r="CH14" i="9"/>
  <c r="G13" i="5" l="1"/>
  <c r="AT14" i="5"/>
  <c r="H22" i="5"/>
  <c r="I22" i="5"/>
  <c r="J22" i="5"/>
  <c r="K22" i="5"/>
  <c r="L22" i="5"/>
  <c r="M22" i="5"/>
  <c r="O22" i="5"/>
  <c r="P22" i="5"/>
  <c r="Q22" i="5"/>
  <c r="R22" i="5"/>
  <c r="S22" i="5"/>
  <c r="T22" i="5"/>
  <c r="U22" i="5"/>
  <c r="V22" i="5"/>
  <c r="W22" i="5"/>
  <c r="X22" i="5"/>
  <c r="Y22" i="5"/>
  <c r="Z22" i="5"/>
  <c r="AA22" i="5"/>
  <c r="AB22" i="5"/>
  <c r="AC22" i="5"/>
  <c r="AD22" i="5"/>
  <c r="AE22" i="5"/>
  <c r="AF22" i="5"/>
  <c r="AG22" i="5"/>
  <c r="AH22" i="5"/>
  <c r="AI22" i="5"/>
  <c r="AJ22" i="5"/>
  <c r="AK22" i="5"/>
  <c r="AL22" i="5"/>
  <c r="AM22" i="5"/>
  <c r="AN22" i="5"/>
  <c r="AO22" i="5"/>
  <c r="AP22" i="5"/>
  <c r="AQ22" i="5"/>
  <c r="AR22" i="5"/>
  <c r="H23" i="5"/>
  <c r="I23" i="5"/>
  <c r="J23" i="5"/>
  <c r="K23" i="5"/>
  <c r="L23" i="5"/>
  <c r="M23" i="5"/>
  <c r="N23" i="5"/>
  <c r="O23" i="5"/>
  <c r="U23" i="5"/>
  <c r="V23" i="5"/>
  <c r="W23" i="5"/>
  <c r="X23" i="5"/>
  <c r="Y23" i="5"/>
  <c r="Z23" i="5"/>
  <c r="AA23" i="5"/>
  <c r="AB23" i="5"/>
  <c r="AC23" i="5"/>
  <c r="AD23" i="5"/>
  <c r="AE23" i="5"/>
  <c r="AF23" i="5"/>
  <c r="AG23" i="5"/>
  <c r="AH23" i="5"/>
  <c r="AI23" i="5"/>
  <c r="AJ23" i="5"/>
  <c r="AK23" i="5"/>
  <c r="AL23" i="5"/>
  <c r="AM23" i="5"/>
  <c r="AN23" i="5"/>
  <c r="AO23" i="5"/>
  <c r="AP23" i="5"/>
  <c r="AQ23" i="5"/>
  <c r="AR23" i="5"/>
  <c r="H24" i="5"/>
  <c r="I24" i="5"/>
  <c r="J24" i="5"/>
  <c r="K24" i="5"/>
  <c r="L24" i="5"/>
  <c r="M24" i="5"/>
  <c r="N24" i="5"/>
  <c r="O24" i="5"/>
  <c r="P24" i="5"/>
  <c r="V24" i="5"/>
  <c r="W24" i="5"/>
  <c r="X24" i="5"/>
  <c r="Y24" i="5"/>
  <c r="Z24" i="5"/>
  <c r="AA24" i="5"/>
  <c r="AB24" i="5"/>
  <c r="AC24" i="5"/>
  <c r="AD24" i="5"/>
  <c r="AE24" i="5"/>
  <c r="AF24" i="5"/>
  <c r="AG24" i="5"/>
  <c r="AH24" i="5"/>
  <c r="AI24" i="5"/>
  <c r="AJ24" i="5"/>
  <c r="AK24" i="5"/>
  <c r="AL24" i="5"/>
  <c r="AM24" i="5"/>
  <c r="AN24" i="5"/>
  <c r="AO24" i="5"/>
  <c r="AP24" i="5"/>
  <c r="AQ24" i="5"/>
  <c r="AR24" i="5"/>
  <c r="H25" i="5"/>
  <c r="I25" i="5"/>
  <c r="J25" i="5"/>
  <c r="K25" i="5"/>
  <c r="L25" i="5"/>
  <c r="M25" i="5"/>
  <c r="N25" i="5"/>
  <c r="V25" i="5"/>
  <c r="W25" i="5"/>
  <c r="X25" i="5"/>
  <c r="Y25" i="5"/>
  <c r="Z25" i="5"/>
  <c r="AA25" i="5"/>
  <c r="AB25" i="5"/>
  <c r="AC25" i="5"/>
  <c r="AD25" i="5"/>
  <c r="AE25" i="5"/>
  <c r="AF25" i="5"/>
  <c r="AG25" i="5"/>
  <c r="AH25" i="5"/>
  <c r="AI25" i="5"/>
  <c r="AJ25" i="5"/>
  <c r="AK25" i="5"/>
  <c r="AL25" i="5"/>
  <c r="AM25" i="5"/>
  <c r="AN25" i="5"/>
  <c r="AO25" i="5"/>
  <c r="AP25" i="5"/>
  <c r="AQ25" i="5"/>
  <c r="AR25" i="5"/>
  <c r="H26" i="5"/>
  <c r="I26" i="5"/>
  <c r="J26" i="5"/>
  <c r="K26" i="5"/>
  <c r="L26" i="5"/>
  <c r="M26" i="5"/>
  <c r="N26" i="5"/>
  <c r="O26" i="5"/>
  <c r="P26" i="5"/>
  <c r="Q26" i="5"/>
  <c r="R26" i="5"/>
  <c r="S26" i="5"/>
  <c r="T26" i="5"/>
  <c r="U26" i="5"/>
  <c r="V26" i="5"/>
  <c r="W26" i="5"/>
  <c r="X26" i="5"/>
  <c r="Y26" i="5"/>
  <c r="Z26" i="5"/>
  <c r="AA26" i="5"/>
  <c r="AB26" i="5"/>
  <c r="AC26" i="5"/>
  <c r="AD26" i="5"/>
  <c r="AE26" i="5"/>
  <c r="AF26" i="5"/>
  <c r="AG26" i="5"/>
  <c r="AH26" i="5"/>
  <c r="AI26" i="5"/>
  <c r="AJ26" i="5"/>
  <c r="AK26" i="5"/>
  <c r="AL26" i="5"/>
  <c r="AM26" i="5"/>
  <c r="AN26" i="5"/>
  <c r="AO26" i="5"/>
  <c r="AP26" i="5"/>
  <c r="AQ26" i="5"/>
  <c r="AR26" i="5"/>
  <c r="H27" i="5"/>
  <c r="I27" i="5"/>
  <c r="J27" i="5"/>
  <c r="K27" i="5"/>
  <c r="L27" i="5"/>
  <c r="M27" i="5"/>
  <c r="N27" i="5"/>
  <c r="O27" i="5"/>
  <c r="V27" i="5"/>
  <c r="W27" i="5"/>
  <c r="X27" i="5"/>
  <c r="Y27" i="5"/>
  <c r="Z27" i="5"/>
  <c r="AA27" i="5"/>
  <c r="AB27" i="5"/>
  <c r="AC27" i="5"/>
  <c r="AD27" i="5"/>
  <c r="AE27" i="5"/>
  <c r="AF27" i="5"/>
  <c r="AG27" i="5"/>
  <c r="AH27" i="5"/>
  <c r="AI27" i="5"/>
  <c r="AJ27" i="5"/>
  <c r="AK27" i="5"/>
  <c r="AL27" i="5"/>
  <c r="AM27" i="5"/>
  <c r="AN27" i="5"/>
  <c r="AO27" i="5"/>
  <c r="AP27" i="5"/>
  <c r="AQ27" i="5"/>
  <c r="AR27" i="5"/>
  <c r="H28" i="5"/>
  <c r="I28" i="5"/>
  <c r="J28" i="5"/>
  <c r="K28" i="5"/>
  <c r="L28" i="5"/>
  <c r="V28" i="5"/>
  <c r="W28" i="5"/>
  <c r="X28" i="5"/>
  <c r="Y28" i="5"/>
  <c r="Z28" i="5"/>
  <c r="AA28" i="5"/>
  <c r="AB28" i="5"/>
  <c r="AC28" i="5"/>
  <c r="AD28" i="5"/>
  <c r="AE28" i="5"/>
  <c r="AF28" i="5"/>
  <c r="AG28" i="5"/>
  <c r="AH28" i="5"/>
  <c r="AI28" i="5"/>
  <c r="AJ28" i="5"/>
  <c r="AK28" i="5"/>
  <c r="AL28" i="5"/>
  <c r="AM28" i="5"/>
  <c r="AN28" i="5"/>
  <c r="AO28" i="5"/>
  <c r="AP28" i="5"/>
  <c r="AQ28" i="5"/>
  <c r="AR28" i="5"/>
  <c r="H29" i="5"/>
  <c r="I29" i="5"/>
  <c r="J29" i="5"/>
  <c r="K29" i="5"/>
  <c r="L29" i="5"/>
  <c r="V29" i="5"/>
  <c r="W29" i="5"/>
  <c r="X29" i="5"/>
  <c r="Y29" i="5"/>
  <c r="Z29" i="5"/>
  <c r="AA29" i="5"/>
  <c r="AB29" i="5"/>
  <c r="AC29" i="5"/>
  <c r="AD29" i="5"/>
  <c r="AE29" i="5"/>
  <c r="AF29" i="5"/>
  <c r="AG29" i="5"/>
  <c r="AH29" i="5"/>
  <c r="AI29" i="5"/>
  <c r="AJ29" i="5"/>
  <c r="AK29" i="5"/>
  <c r="AL29" i="5"/>
  <c r="AM29" i="5"/>
  <c r="AN29" i="5"/>
  <c r="AO29" i="5"/>
  <c r="AP29" i="5"/>
  <c r="AQ29" i="5"/>
  <c r="AR29" i="5"/>
  <c r="H30" i="5"/>
  <c r="I30" i="5"/>
  <c r="J30" i="5"/>
  <c r="K30" i="5"/>
  <c r="L30" i="5"/>
  <c r="V30" i="5"/>
  <c r="W30" i="5"/>
  <c r="X30" i="5"/>
  <c r="Y30" i="5"/>
  <c r="Z30" i="5"/>
  <c r="AA30" i="5"/>
  <c r="AB30" i="5"/>
  <c r="AC30" i="5"/>
  <c r="AD30" i="5"/>
  <c r="AE30" i="5"/>
  <c r="AF30" i="5"/>
  <c r="AG30" i="5"/>
  <c r="AH30" i="5"/>
  <c r="AI30" i="5"/>
  <c r="AJ30" i="5"/>
  <c r="AK30" i="5"/>
  <c r="AL30" i="5"/>
  <c r="AM30" i="5"/>
  <c r="AN30" i="5"/>
  <c r="AO30" i="5"/>
  <c r="AP30" i="5"/>
  <c r="AQ30" i="5"/>
  <c r="AR30" i="5"/>
  <c r="H31" i="5"/>
  <c r="H32" i="5" s="1"/>
  <c r="I31" i="5"/>
  <c r="I32" i="5" s="1"/>
  <c r="J31" i="5"/>
  <c r="J32" i="5" s="1"/>
  <c r="K31" i="5"/>
  <c r="K32" i="5" s="1"/>
  <c r="L31" i="5"/>
  <c r="L32" i="5" s="1"/>
  <c r="V31" i="5"/>
  <c r="V32" i="5" s="1"/>
  <c r="W31" i="5"/>
  <c r="W32" i="5" s="1"/>
  <c r="X31" i="5"/>
  <c r="X32" i="5" s="1"/>
  <c r="Y31" i="5"/>
  <c r="Y32" i="5" s="1"/>
  <c r="Z31" i="5"/>
  <c r="Z32" i="5" s="1"/>
  <c r="AA31" i="5"/>
  <c r="AA32" i="5" s="1"/>
  <c r="AB31" i="5"/>
  <c r="AB32" i="5" s="1"/>
  <c r="AC31" i="5"/>
  <c r="AC32" i="5" s="1"/>
  <c r="AD31" i="5"/>
  <c r="AD32" i="5" s="1"/>
  <c r="AE31" i="5"/>
  <c r="AE32" i="5" s="1"/>
  <c r="AF31" i="5"/>
  <c r="AF32" i="5" s="1"/>
  <c r="AG31" i="5"/>
  <c r="AG32" i="5" s="1"/>
  <c r="AH31" i="5"/>
  <c r="AH32" i="5" s="1"/>
  <c r="AI31" i="5"/>
  <c r="AI32" i="5" s="1"/>
  <c r="AJ31" i="5"/>
  <c r="AJ32" i="5" s="1"/>
  <c r="AK31" i="5"/>
  <c r="AK32" i="5" s="1"/>
  <c r="AL31" i="5"/>
  <c r="AL32" i="5" s="1"/>
  <c r="AM31" i="5"/>
  <c r="AM32" i="5" s="1"/>
  <c r="AN31" i="5"/>
  <c r="AN32" i="5" s="1"/>
  <c r="AO31" i="5"/>
  <c r="AO32" i="5" s="1"/>
  <c r="AP31" i="5"/>
  <c r="AP32" i="5" s="1"/>
  <c r="AQ31" i="5"/>
  <c r="AQ32" i="5" s="1"/>
  <c r="AR31" i="5"/>
  <c r="AR32" i="5" s="1"/>
  <c r="AR21" i="5"/>
  <c r="AQ21" i="5"/>
  <c r="AP21" i="5"/>
  <c r="AO21" i="5"/>
  <c r="AN21" i="5"/>
  <c r="AM21" i="5"/>
  <c r="AL21" i="5"/>
  <c r="AK21" i="5"/>
  <c r="AJ21" i="5"/>
  <c r="AI21" i="5"/>
  <c r="AH21" i="5"/>
  <c r="AG21" i="5"/>
  <c r="AF21" i="5"/>
  <c r="AE21" i="5"/>
  <c r="AC21" i="5"/>
  <c r="AB21" i="5"/>
  <c r="AA21" i="5"/>
  <c r="Z21" i="5"/>
  <c r="Y21" i="5"/>
  <c r="X21" i="5"/>
  <c r="W21" i="5"/>
  <c r="V21" i="5"/>
  <c r="S21" i="5"/>
  <c r="R21" i="5"/>
  <c r="Q21" i="5"/>
  <c r="P21" i="5"/>
  <c r="O21" i="5"/>
  <c r="N21" i="5"/>
  <c r="M21" i="5"/>
  <c r="L21" i="5"/>
  <c r="K21" i="5"/>
  <c r="J21" i="5"/>
  <c r="I21" i="5"/>
  <c r="H21" i="5"/>
  <c r="I13" i="5"/>
  <c r="J13" i="5"/>
  <c r="E30" i="113" l="1"/>
  <c r="E31" i="113" s="1"/>
  <c r="CH39" i="8" l="1"/>
  <c r="CG39" i="8"/>
  <c r="CF39" i="8"/>
  <c r="CE39" i="8"/>
  <c r="CD39" i="8"/>
  <c r="CC39" i="8"/>
  <c r="CB39" i="8"/>
  <c r="CA39" i="8"/>
  <c r="BZ39" i="8"/>
  <c r="BY39" i="8"/>
  <c r="BX39" i="8"/>
  <c r="BW39" i="8"/>
  <c r="BV39" i="8"/>
  <c r="BU39" i="8"/>
  <c r="BT39" i="8"/>
  <c r="BS39" i="8"/>
  <c r="BR39" i="8"/>
  <c r="BQ39" i="8"/>
  <c r="BP39" i="8"/>
  <c r="BO39" i="8"/>
  <c r="BN39" i="8"/>
  <c r="BM39" i="8"/>
  <c r="BL39" i="8"/>
  <c r="BK39" i="8"/>
  <c r="BJ39" i="8"/>
  <c r="BI39" i="8"/>
  <c r="BH39" i="8"/>
  <c r="BG39" i="8"/>
  <c r="BF39" i="8"/>
  <c r="BE39" i="8"/>
  <c r="BD39" i="8"/>
  <c r="BC39" i="8"/>
  <c r="BB39" i="8"/>
  <c r="BA39" i="8"/>
  <c r="AZ39" i="8"/>
  <c r="AY39" i="8"/>
  <c r="AX39" i="8"/>
  <c r="AW39" i="8"/>
  <c r="AV39" i="8"/>
  <c r="AU39" i="8"/>
  <c r="AT39" i="8"/>
  <c r="AR39" i="8"/>
  <c r="AQ39" i="8"/>
  <c r="AU14" i="5"/>
  <c r="AV14" i="5"/>
  <c r="AW14" i="5"/>
  <c r="AX14" i="5"/>
  <c r="AZ14" i="5"/>
  <c r="BA14" i="5"/>
  <c r="BB14" i="5"/>
  <c r="BC14" i="5"/>
  <c r="BD14" i="5"/>
  <c r="BE14" i="5"/>
  <c r="BF14" i="5"/>
  <c r="BG14" i="5"/>
  <c r="BH14" i="5"/>
  <c r="BI14" i="5"/>
  <c r="BJ14" i="5"/>
  <c r="BK14" i="5"/>
  <c r="BL14" i="5"/>
  <c r="BM14" i="5"/>
  <c r="BN14" i="5"/>
  <c r="AB14" i="5"/>
  <c r="BO14" i="5" s="1"/>
  <c r="AC14" i="5"/>
  <c r="BP14" i="5" s="1"/>
  <c r="AD14" i="5"/>
  <c r="BQ14" i="5" s="1"/>
  <c r="AE14" i="5"/>
  <c r="BR14" i="5" s="1"/>
  <c r="AF14" i="5"/>
  <c r="BS14" i="5" s="1"/>
  <c r="AG14" i="5"/>
  <c r="BT14" i="5" s="1"/>
  <c r="AH14" i="5"/>
  <c r="BU14" i="5" s="1"/>
  <c r="AI14" i="5"/>
  <c r="BV14" i="5" s="1"/>
  <c r="AJ14" i="5"/>
  <c r="BW14" i="5" s="1"/>
  <c r="AK14" i="5"/>
  <c r="BX14" i="5" s="1"/>
  <c r="AL14" i="5"/>
  <c r="BY14" i="5" s="1"/>
  <c r="AM14" i="5"/>
  <c r="BZ14" i="5" s="1"/>
  <c r="AN14" i="5"/>
  <c r="CA14" i="5" s="1"/>
  <c r="AO14" i="5"/>
  <c r="CB14" i="5" s="1"/>
  <c r="AP14" i="5"/>
  <c r="CC14" i="5" s="1"/>
  <c r="AQ14" i="5"/>
  <c r="CD14" i="5" s="1"/>
  <c r="AR14" i="5"/>
  <c r="CE14" i="5" s="1"/>
  <c r="AY14" i="5"/>
  <c r="AQ38" i="8"/>
  <c r="AR38" i="8"/>
  <c r="AT38" i="8"/>
  <c r="AU38" i="8"/>
  <c r="AV38" i="8"/>
  <c r="AW38" i="8"/>
  <c r="AX38" i="8"/>
  <c r="AY38" i="8"/>
  <c r="AZ38" i="8"/>
  <c r="BA38" i="8"/>
  <c r="BB38" i="8"/>
  <c r="BC38" i="8"/>
  <c r="BD38" i="8"/>
  <c r="BE38" i="8"/>
  <c r="BF38" i="8"/>
  <c r="BG38" i="8"/>
  <c r="BH38" i="8"/>
  <c r="BI38" i="8"/>
  <c r="BJ38" i="8"/>
  <c r="BK38" i="8"/>
  <c r="BL38" i="8"/>
  <c r="BM38" i="8"/>
  <c r="BN38" i="8"/>
  <c r="BO38" i="8"/>
  <c r="BP38" i="8"/>
  <c r="BQ38" i="8"/>
  <c r="BR38" i="8"/>
  <c r="BS38" i="8"/>
  <c r="BT38" i="8"/>
  <c r="BU38" i="8"/>
  <c r="BV38" i="8"/>
  <c r="BW38" i="8"/>
  <c r="BX38" i="8"/>
  <c r="BY38" i="8"/>
  <c r="BZ38" i="8"/>
  <c r="CA38" i="8"/>
  <c r="CB38" i="8"/>
  <c r="CC38" i="8"/>
  <c r="CD38" i="8"/>
  <c r="CE38" i="8"/>
  <c r="CF38" i="8"/>
  <c r="CG38" i="8"/>
  <c r="CH38" i="8"/>
  <c r="CH14" i="5" l="1"/>
  <c r="I151" i="128"/>
  <c r="I152" i="128"/>
  <c r="I153" i="128"/>
  <c r="I154" i="128"/>
  <c r="I155" i="128"/>
  <c r="I156" i="128"/>
  <c r="I157" i="128"/>
  <c r="I158" i="128"/>
  <c r="I159" i="128"/>
  <c r="I160" i="128"/>
  <c r="I161" i="128"/>
  <c r="I162" i="128"/>
  <c r="I163" i="128"/>
  <c r="I164" i="128"/>
  <c r="I165" i="128"/>
  <c r="I166" i="128"/>
  <c r="I167" i="128"/>
  <c r="I168" i="128"/>
  <c r="I169" i="128"/>
  <c r="I170" i="128"/>
  <c r="I171" i="128"/>
  <c r="I172" i="128"/>
  <c r="I173" i="128"/>
  <c r="I174" i="128"/>
  <c r="I175" i="128"/>
  <c r="I176" i="128"/>
  <c r="I177" i="128"/>
  <c r="I178" i="128"/>
  <c r="I179" i="128"/>
  <c r="I180" i="128"/>
  <c r="I181" i="128"/>
  <c r="I182" i="128"/>
  <c r="I183" i="128"/>
  <c r="I184" i="128"/>
  <c r="I185" i="128"/>
  <c r="I186" i="128"/>
  <c r="I187" i="128"/>
  <c r="I188" i="128"/>
  <c r="I189" i="128"/>
  <c r="I190" i="128"/>
  <c r="I191" i="128"/>
  <c r="I192" i="128"/>
  <c r="I193" i="128"/>
  <c r="I194" i="128"/>
  <c r="I195" i="128"/>
  <c r="I196" i="128"/>
  <c r="I150" i="128"/>
  <c r="U31" i="5" l="1"/>
  <c r="U32" i="5" s="1"/>
  <c r="T31" i="5"/>
  <c r="T32" i="5" s="1"/>
  <c r="S31" i="5"/>
  <c r="S32" i="5" s="1"/>
  <c r="R31" i="5"/>
  <c r="Q31" i="5"/>
  <c r="P31" i="5"/>
  <c r="O31" i="5"/>
  <c r="N31" i="5"/>
  <c r="M31" i="5"/>
  <c r="U30" i="5"/>
  <c r="T30" i="5"/>
  <c r="S30" i="5"/>
  <c r="R30" i="5"/>
  <c r="Q30" i="5"/>
  <c r="P30" i="5"/>
  <c r="O30" i="5"/>
  <c r="N30" i="5"/>
  <c r="M30" i="5"/>
  <c r="U29" i="5"/>
  <c r="T29" i="5"/>
  <c r="S29" i="5"/>
  <c r="R29" i="5"/>
  <c r="Q29" i="5"/>
  <c r="P29" i="5"/>
  <c r="O29" i="5"/>
  <c r="N29" i="5"/>
  <c r="M29" i="5"/>
  <c r="U28" i="5"/>
  <c r="T28" i="5"/>
  <c r="S28" i="5"/>
  <c r="R28" i="5"/>
  <c r="Q28" i="5"/>
  <c r="P28" i="5"/>
  <c r="O28" i="5"/>
  <c r="N28" i="5"/>
  <c r="M28" i="5"/>
  <c r="U27" i="5"/>
  <c r="T27" i="5"/>
  <c r="S27" i="5"/>
  <c r="R27" i="5"/>
  <c r="Q27" i="5"/>
  <c r="P27" i="5"/>
  <c r="U25" i="5"/>
  <c r="T25" i="5"/>
  <c r="S25" i="5"/>
  <c r="R25" i="5"/>
  <c r="Q25" i="5"/>
  <c r="P25" i="5"/>
  <c r="O25" i="5"/>
  <c r="U24" i="5"/>
  <c r="T24" i="5"/>
  <c r="S24" i="5"/>
  <c r="R24" i="5"/>
  <c r="Q24" i="5"/>
  <c r="T23" i="5"/>
  <c r="S23" i="5"/>
  <c r="R23" i="5"/>
  <c r="Q23" i="5"/>
  <c r="P23" i="5"/>
  <c r="N22" i="5"/>
  <c r="U21" i="5" l="1"/>
  <c r="T21" i="5"/>
  <c r="AA19" i="4" l="1"/>
  <c r="AD21" i="5" s="1"/>
  <c r="D60" i="55" l="1"/>
  <c r="D83" i="55" l="1"/>
  <c r="B86" i="55" s="1"/>
  <c r="D101" i="55"/>
  <c r="L68" i="128"/>
  <c r="L67" i="128"/>
  <c r="L66" i="128"/>
  <c r="L65" i="128"/>
  <c r="D114" i="55" l="1"/>
  <c r="D92" i="55" s="1"/>
  <c r="J13" i="113"/>
  <c r="D107" i="55"/>
  <c r="F7" i="128" l="1"/>
  <c r="A317" i="128"/>
  <c r="A327" i="128"/>
  <c r="CH104" i="7" l="1"/>
  <c r="CH105" i="7" s="1"/>
  <c r="CH106" i="7" s="1"/>
  <c r="CG37" i="6" s="1"/>
  <c r="Q104" i="7"/>
  <c r="Q105" i="7" s="1"/>
  <c r="Q106" i="7" s="1"/>
  <c r="P37" i="6" s="1"/>
  <c r="BO104" i="7"/>
  <c r="BO105" i="7" s="1"/>
  <c r="BO106" i="7" s="1"/>
  <c r="BN37" i="6" s="1"/>
  <c r="CG104" i="7"/>
  <c r="CG105" i="7" s="1"/>
  <c r="CG106" i="7" s="1"/>
  <c r="CF37" i="6" s="1"/>
  <c r="AO104" i="7"/>
  <c r="AO105" i="7" s="1"/>
  <c r="AO106" i="7" s="1"/>
  <c r="AN37" i="6" s="1"/>
  <c r="AX104" i="7"/>
  <c r="AX105" i="7" s="1"/>
  <c r="AX106" i="7" s="1"/>
  <c r="AW37" i="6" s="1"/>
  <c r="AP104" i="7"/>
  <c r="AP105" i="7" s="1"/>
  <c r="AP106" i="7" s="1"/>
  <c r="AO37" i="6" s="1"/>
  <c r="BU104" i="7"/>
  <c r="BU105" i="7" s="1"/>
  <c r="BU106" i="7" s="1"/>
  <c r="BT37" i="6" s="1"/>
  <c r="R104" i="7"/>
  <c r="R105" i="7" s="1"/>
  <c r="R106" i="7" s="1"/>
  <c r="Q37" i="6" s="1"/>
  <c r="BA104" i="7"/>
  <c r="BA105" i="7" s="1"/>
  <c r="BA106" i="7" s="1"/>
  <c r="AZ37" i="6" s="1"/>
  <c r="CA104" i="7"/>
  <c r="CA105" i="7" s="1"/>
  <c r="CA106" i="7" s="1"/>
  <c r="BZ37" i="6" s="1"/>
  <c r="BX104" i="7"/>
  <c r="BX105" i="7" s="1"/>
  <c r="BX106" i="7" s="1"/>
  <c r="BW37" i="6" s="1"/>
  <c r="H104" i="7"/>
  <c r="H105" i="7" s="1"/>
  <c r="H106" i="7" s="1"/>
  <c r="G37" i="6" s="1"/>
  <c r="K104" i="7"/>
  <c r="K105" i="7" s="1"/>
  <c r="K106" i="7" s="1"/>
  <c r="J37" i="6" s="1"/>
  <c r="L104" i="7"/>
  <c r="L105" i="7" s="1"/>
  <c r="L106" i="7" s="1"/>
  <c r="K37" i="6" s="1"/>
  <c r="CI104" i="7"/>
  <c r="CI105" i="7" s="1"/>
  <c r="CI106" i="7" s="1"/>
  <c r="CH37" i="6" s="1"/>
  <c r="N104" i="7"/>
  <c r="N105" i="7" s="1"/>
  <c r="N106" i="7" s="1"/>
  <c r="M37" i="6" s="1"/>
  <c r="BC104" i="7"/>
  <c r="BC105" i="7" s="1"/>
  <c r="BC106" i="7" s="1"/>
  <c r="BB37" i="6" s="1"/>
  <c r="AU104" i="7"/>
  <c r="AU105" i="7" s="1"/>
  <c r="AU106" i="7" s="1"/>
  <c r="AT37" i="6" s="1"/>
  <c r="AA104" i="7"/>
  <c r="AA105" i="7" s="1"/>
  <c r="AA106" i="7" s="1"/>
  <c r="Z37" i="6" s="1"/>
  <c r="BJ104" i="7"/>
  <c r="BJ105" i="7" s="1"/>
  <c r="BJ106" i="7" s="1"/>
  <c r="BI37" i="6" s="1"/>
  <c r="AT104" i="7"/>
  <c r="AT105" i="7" s="1"/>
  <c r="AT106" i="7" s="1"/>
  <c r="AS37" i="6" s="1"/>
  <c r="CD104" i="7"/>
  <c r="CD105" i="7" s="1"/>
  <c r="CD106" i="7" s="1"/>
  <c r="CC37" i="6" s="1"/>
  <c r="BY104" i="7"/>
  <c r="BY105" i="7" s="1"/>
  <c r="BY106" i="7" s="1"/>
  <c r="BX37" i="6" s="1"/>
  <c r="AJ104" i="7"/>
  <c r="AJ105" i="7" s="1"/>
  <c r="AJ106" i="7" s="1"/>
  <c r="AI37" i="6" s="1"/>
  <c r="O104" i="7"/>
  <c r="O105" i="7" s="1"/>
  <c r="O106" i="7" s="1"/>
  <c r="N37" i="6" s="1"/>
  <c r="BR104" i="7"/>
  <c r="BR105" i="7" s="1"/>
  <c r="BR106" i="7" s="1"/>
  <c r="BQ37" i="6" s="1"/>
  <c r="M104" i="7"/>
  <c r="M105" i="7" s="1"/>
  <c r="M106" i="7" s="1"/>
  <c r="L37" i="6" s="1"/>
  <c r="BG104" i="7"/>
  <c r="BG105" i="7" s="1"/>
  <c r="BG106" i="7" s="1"/>
  <c r="BF37" i="6" s="1"/>
  <c r="V104" i="7"/>
  <c r="V105" i="7" s="1"/>
  <c r="V106" i="7" s="1"/>
  <c r="U37" i="6" s="1"/>
  <c r="BD104" i="7"/>
  <c r="BD105" i="7" s="1"/>
  <c r="BD106" i="7" s="1"/>
  <c r="BC37" i="6" s="1"/>
  <c r="J104" i="7"/>
  <c r="J105" i="7" s="1"/>
  <c r="J106" i="7" s="1"/>
  <c r="I37" i="6" s="1"/>
  <c r="U104" i="7"/>
  <c r="CJ104" i="7"/>
  <c r="CJ105" i="7" s="1"/>
  <c r="CJ106" i="7" s="1"/>
  <c r="CI37" i="6" s="1"/>
  <c r="AR104" i="7"/>
  <c r="AR105" i="7" s="1"/>
  <c r="AR106" i="7" s="1"/>
  <c r="AQ37" i="6" s="1"/>
  <c r="X104" i="7"/>
  <c r="X105" i="7" s="1"/>
  <c r="X106" i="7" s="1"/>
  <c r="W37" i="6" s="1"/>
  <c r="AE104" i="7"/>
  <c r="AE105" i="7" s="1"/>
  <c r="AE106" i="7" s="1"/>
  <c r="AD37" i="6" s="1"/>
  <c r="AB104" i="7"/>
  <c r="AB105" i="7" s="1"/>
  <c r="AB106" i="7" s="1"/>
  <c r="AA37" i="6" s="1"/>
  <c r="AQ104" i="7"/>
  <c r="AQ105" i="7" s="1"/>
  <c r="AQ106" i="7" s="1"/>
  <c r="AP37" i="6" s="1"/>
  <c r="AI104" i="7"/>
  <c r="AI105" i="7" s="1"/>
  <c r="AI106" i="7" s="1"/>
  <c r="AH37" i="6" s="1"/>
  <c r="BV104" i="7"/>
  <c r="BV105" i="7" s="1"/>
  <c r="BV106" i="7" s="1"/>
  <c r="BU37" i="6" s="1"/>
  <c r="CF104" i="7"/>
  <c r="CF105" i="7" s="1"/>
  <c r="CF106" i="7" s="1"/>
  <c r="CE37" i="6" s="1"/>
  <c r="BZ104" i="7"/>
  <c r="BZ105" i="7" s="1"/>
  <c r="BZ106" i="7" s="1"/>
  <c r="BY37" i="6" s="1"/>
  <c r="AZ104" i="7"/>
  <c r="AZ105" i="7" s="1"/>
  <c r="AZ106" i="7" s="1"/>
  <c r="AY37" i="6" s="1"/>
  <c r="BQ104" i="7"/>
  <c r="BQ105" i="7" s="1"/>
  <c r="BQ106" i="7" s="1"/>
  <c r="BP37" i="6" s="1"/>
  <c r="T104" i="7"/>
  <c r="T105" i="7" s="1"/>
  <c r="T106" i="7" s="1"/>
  <c r="S37" i="6" s="1"/>
  <c r="AY104" i="7"/>
  <c r="AY105" i="7" s="1"/>
  <c r="AY106" i="7" s="1"/>
  <c r="AX37" i="6" s="1"/>
  <c r="BW104" i="7"/>
  <c r="BW105" i="7" s="1"/>
  <c r="BW106" i="7" s="1"/>
  <c r="BV37" i="6" s="1"/>
  <c r="BF104" i="7"/>
  <c r="BF105" i="7" s="1"/>
  <c r="BF106" i="7" s="1"/>
  <c r="BE37" i="6" s="1"/>
  <c r="AC104" i="7"/>
  <c r="AC105" i="7" s="1"/>
  <c r="AC106" i="7" s="1"/>
  <c r="AB37" i="6" s="1"/>
  <c r="CC104" i="7"/>
  <c r="CC105" i="7" s="1"/>
  <c r="CC106" i="7" s="1"/>
  <c r="CB37" i="6" s="1"/>
  <c r="BT104" i="7"/>
  <c r="BT105" i="7" s="1"/>
  <c r="BT106" i="7" s="1"/>
  <c r="BS37" i="6" s="1"/>
  <c r="Z104" i="7"/>
  <c r="Z105" i="7" s="1"/>
  <c r="Z106" i="7" s="1"/>
  <c r="Y37" i="6" s="1"/>
  <c r="Y104" i="7"/>
  <c r="BI104" i="7"/>
  <c r="BI105" i="7" s="1"/>
  <c r="BI106" i="7" s="1"/>
  <c r="BH37" i="6" s="1"/>
  <c r="BE104" i="7"/>
  <c r="BE105" i="7" s="1"/>
  <c r="BE106" i="7" s="1"/>
  <c r="BD37" i="6" s="1"/>
  <c r="BK104" i="7"/>
  <c r="BK105" i="7" s="1"/>
  <c r="BK106" i="7" s="1"/>
  <c r="BJ37" i="6" s="1"/>
  <c r="S104" i="7"/>
  <c r="S105" i="7" s="1"/>
  <c r="S106" i="7" s="1"/>
  <c r="R37" i="6" s="1"/>
  <c r="I104" i="7"/>
  <c r="I105" i="7" s="1"/>
  <c r="I106" i="7" s="1"/>
  <c r="H37" i="6" s="1"/>
  <c r="AK104" i="7"/>
  <c r="AK105" i="7" s="1"/>
  <c r="AK106" i="7" s="1"/>
  <c r="AJ37" i="6" s="1"/>
  <c r="AS104" i="7"/>
  <c r="AS105" i="7" s="1"/>
  <c r="AS106" i="7" s="1"/>
  <c r="AR37" i="6" s="1"/>
  <c r="CB104" i="7"/>
  <c r="CB105" i="7" s="1"/>
  <c r="CB106" i="7" s="1"/>
  <c r="CA37" i="6" s="1"/>
  <c r="BN104" i="7"/>
  <c r="BN105" i="7" s="1"/>
  <c r="BN106" i="7" s="1"/>
  <c r="BM37" i="6" s="1"/>
  <c r="BB104" i="7"/>
  <c r="BB105" i="7" s="1"/>
  <c r="BB106" i="7" s="1"/>
  <c r="BA37" i="6" s="1"/>
  <c r="AN104" i="7"/>
  <c r="AN105" i="7" s="1"/>
  <c r="AN106" i="7" s="1"/>
  <c r="AM37" i="6" s="1"/>
  <c r="AW104" i="7"/>
  <c r="AW105" i="7" s="1"/>
  <c r="AW106" i="7" s="1"/>
  <c r="AV37" i="6" s="1"/>
  <c r="AG104" i="7"/>
  <c r="AG105" i="7" s="1"/>
  <c r="AG106" i="7" s="1"/>
  <c r="AF37" i="6" s="1"/>
  <c r="BP104" i="7"/>
  <c r="BP105" i="7" s="1"/>
  <c r="BP106" i="7" s="1"/>
  <c r="BO37" i="6" s="1"/>
  <c r="AV104" i="7"/>
  <c r="AV105" i="7" s="1"/>
  <c r="AV106" i="7" s="1"/>
  <c r="AU37" i="6" s="1"/>
  <c r="AF104" i="7"/>
  <c r="AF105" i="7" s="1"/>
  <c r="AF106" i="7" s="1"/>
  <c r="AE37" i="6" s="1"/>
  <c r="CE104" i="7"/>
  <c r="CE105" i="7" s="1"/>
  <c r="CE106" i="7" s="1"/>
  <c r="CD37" i="6" s="1"/>
  <c r="BS104" i="7"/>
  <c r="BS105" i="7" s="1"/>
  <c r="BS106" i="7" s="1"/>
  <c r="BR37" i="6" s="1"/>
  <c r="AH104" i="7"/>
  <c r="AH105" i="7" s="1"/>
  <c r="AH106" i="7" s="1"/>
  <c r="AG37" i="6" s="1"/>
  <c r="P104" i="7"/>
  <c r="P105" i="7" s="1"/>
  <c r="P106" i="7" s="1"/>
  <c r="O37" i="6" s="1"/>
  <c r="AM104" i="7"/>
  <c r="AM105" i="7" s="1"/>
  <c r="AM106" i="7" s="1"/>
  <c r="AL37" i="6" s="1"/>
  <c r="BL104" i="7"/>
  <c r="BL105" i="7" s="1"/>
  <c r="BL106" i="7" s="1"/>
  <c r="BK37" i="6" s="1"/>
  <c r="BM104" i="7"/>
  <c r="BM105" i="7" s="1"/>
  <c r="BM106" i="7" s="1"/>
  <c r="BL37" i="6" s="1"/>
  <c r="BH104" i="7"/>
  <c r="BH105" i="7" s="1"/>
  <c r="BH106" i="7" s="1"/>
  <c r="BG37" i="6" s="1"/>
  <c r="AD104" i="7"/>
  <c r="AD105" i="7" s="1"/>
  <c r="AD106" i="7" s="1"/>
  <c r="AC37" i="6" s="1"/>
  <c r="AL104" i="7"/>
  <c r="AL105" i="7" s="1"/>
  <c r="AL106" i="7" s="1"/>
  <c r="AK37" i="6" s="1"/>
  <c r="J92" i="113"/>
  <c r="I15" i="5"/>
  <c r="J15" i="5"/>
  <c r="K15" i="5"/>
  <c r="L15" i="5"/>
  <c r="M15" i="5"/>
  <c r="N15" i="5"/>
  <c r="O15" i="5"/>
  <c r="P15" i="5"/>
  <c r="Q15" i="5"/>
  <c r="R15" i="5"/>
  <c r="S15" i="5"/>
  <c r="T15" i="5"/>
  <c r="Y15" i="5"/>
  <c r="Z15" i="5"/>
  <c r="AG15" i="5"/>
  <c r="AH15" i="5"/>
  <c r="AI15" i="5"/>
  <c r="AJ15" i="5"/>
  <c r="AK15" i="5"/>
  <c r="AL15" i="5"/>
  <c r="AM15" i="5"/>
  <c r="AN15" i="5"/>
  <c r="AO15" i="5"/>
  <c r="AP15" i="5"/>
  <c r="AQ15" i="5"/>
  <c r="AR15" i="5"/>
  <c r="K13" i="5"/>
  <c r="L13" i="5"/>
  <c r="M13" i="5"/>
  <c r="N13" i="5"/>
  <c r="O13" i="5"/>
  <c r="P13" i="5"/>
  <c r="Q13" i="5"/>
  <c r="R13" i="5"/>
  <c r="S13" i="5"/>
  <c r="T13" i="5"/>
  <c r="U13" i="5"/>
  <c r="V13" i="5"/>
  <c r="W13" i="5"/>
  <c r="X13" i="5"/>
  <c r="Y13" i="5"/>
  <c r="Z13" i="5"/>
  <c r="AA13" i="5"/>
  <c r="AB13" i="5"/>
  <c r="AC13" i="5"/>
  <c r="AD13" i="5"/>
  <c r="AE13" i="5"/>
  <c r="AF13" i="5"/>
  <c r="AG13" i="5"/>
  <c r="AH13" i="5"/>
  <c r="AI13" i="5"/>
  <c r="AJ13" i="5"/>
  <c r="AK13" i="5"/>
  <c r="AL13" i="5"/>
  <c r="AM13" i="5"/>
  <c r="AN13" i="5"/>
  <c r="AO13" i="5"/>
  <c r="AP13" i="5"/>
  <c r="AQ13" i="5"/>
  <c r="AR13" i="5"/>
  <c r="I12" i="5"/>
  <c r="J12" i="5"/>
  <c r="K12" i="5"/>
  <c r="L12" i="5"/>
  <c r="M12" i="5"/>
  <c r="N12" i="5"/>
  <c r="O12" i="5"/>
  <c r="P12" i="5"/>
  <c r="Q12" i="5"/>
  <c r="R12" i="5"/>
  <c r="S12" i="5"/>
  <c r="T12" i="5"/>
  <c r="U12" i="5"/>
  <c r="V12" i="5"/>
  <c r="W12" i="5"/>
  <c r="X12" i="5"/>
  <c r="Y12" i="5"/>
  <c r="Z12" i="5"/>
  <c r="AA12" i="5"/>
  <c r="AB12" i="5"/>
  <c r="BO12" i="5" s="1"/>
  <c r="AC12" i="5"/>
  <c r="BP12" i="5" s="1"/>
  <c r="AD12" i="5"/>
  <c r="BQ12" i="5" s="1"/>
  <c r="AE12" i="5"/>
  <c r="BR12" i="5" s="1"/>
  <c r="AF12" i="5"/>
  <c r="AG12" i="5"/>
  <c r="AH12" i="5"/>
  <c r="AI12" i="5"/>
  <c r="AJ12" i="5"/>
  <c r="AK12" i="5"/>
  <c r="AL12" i="5"/>
  <c r="AM12" i="5"/>
  <c r="AN12" i="5"/>
  <c r="AO12" i="5"/>
  <c r="AP12" i="5"/>
  <c r="AQ12" i="5"/>
  <c r="AR12" i="5"/>
  <c r="AB15" i="5"/>
  <c r="AA15" i="5"/>
  <c r="I107" i="7" l="1"/>
  <c r="H47" i="6" s="1"/>
  <c r="J107" i="7"/>
  <c r="I47" i="6" s="1"/>
  <c r="L107" i="7"/>
  <c r="K47" i="6" s="1"/>
  <c r="T107" i="7"/>
  <c r="S47" i="6" s="1"/>
  <c r="K107" i="7"/>
  <c r="J47" i="6" s="1"/>
  <c r="M107" i="7"/>
  <c r="L47" i="6" s="1"/>
  <c r="P107" i="7"/>
  <c r="O47" i="6" s="1"/>
  <c r="S107" i="7"/>
  <c r="R47" i="6" s="1"/>
  <c r="O107" i="7"/>
  <c r="N47" i="6" s="1"/>
  <c r="Q107" i="7"/>
  <c r="P47" i="6" s="1"/>
  <c r="N107" i="7"/>
  <c r="M47" i="6" s="1"/>
  <c r="R107" i="7"/>
  <c r="Q47" i="6" s="1"/>
  <c r="K80" i="128"/>
  <c r="H23" i="11" l="1"/>
  <c r="H20" i="11"/>
  <c r="H16" i="11"/>
  <c r="H15" i="11"/>
  <c r="H13" i="11"/>
  <c r="H8" i="11"/>
  <c r="C32" i="11"/>
  <c r="G31" i="113" l="1"/>
  <c r="F31" i="113" s="1"/>
  <c r="AT12" i="5"/>
  <c r="H82" i="11"/>
  <c r="H97" i="11" l="1"/>
  <c r="G82" i="11"/>
  <c r="I82" i="11"/>
  <c r="H96" i="11" l="1"/>
  <c r="H95" i="11" s="1"/>
  <c r="H94" i="11" s="1"/>
  <c r="G97" i="11"/>
  <c r="I97" i="11"/>
  <c r="F82" i="11"/>
  <c r="J82" i="11"/>
  <c r="H320" i="128"/>
  <c r="H319" i="128"/>
  <c r="H318" i="128"/>
  <c r="H317" i="128"/>
  <c r="I311" i="128"/>
  <c r="I310" i="128"/>
  <c r="I309" i="128"/>
  <c r="I308" i="128"/>
  <c r="I307" i="128"/>
  <c r="I306" i="128"/>
  <c r="I305" i="128"/>
  <c r="I304" i="128"/>
  <c r="I303" i="128"/>
  <c r="I302" i="128"/>
  <c r="I301" i="128"/>
  <c r="I300" i="128"/>
  <c r="I299" i="128"/>
  <c r="I298" i="128"/>
  <c r="I297" i="128"/>
  <c r="I296" i="128"/>
  <c r="I295" i="128"/>
  <c r="I294" i="128"/>
  <c r="I293" i="128"/>
  <c r="I292" i="128"/>
  <c r="I291" i="128"/>
  <c r="I290" i="128"/>
  <c r="I289" i="128"/>
  <c r="I288" i="128"/>
  <c r="I287" i="128"/>
  <c r="I286" i="128"/>
  <c r="I285" i="128"/>
  <c r="I284" i="128"/>
  <c r="I283" i="128"/>
  <c r="I282" i="128"/>
  <c r="I281" i="128"/>
  <c r="I280" i="128"/>
  <c r="I279" i="128"/>
  <c r="I278" i="128"/>
  <c r="I277" i="128"/>
  <c r="I276" i="128"/>
  <c r="I275" i="128"/>
  <c r="I274" i="128"/>
  <c r="I273" i="128"/>
  <c r="I272" i="128"/>
  <c r="I271" i="128"/>
  <c r="I270" i="128"/>
  <c r="I269" i="128"/>
  <c r="I268" i="128"/>
  <c r="I267" i="128"/>
  <c r="I266" i="128"/>
  <c r="I265" i="128"/>
  <c r="I264" i="128"/>
  <c r="I263" i="128"/>
  <c r="I262" i="128"/>
  <c r="O253" i="128"/>
  <c r="G253" i="128"/>
  <c r="O252" i="128"/>
  <c r="G252" i="128"/>
  <c r="O251" i="128"/>
  <c r="G251" i="128"/>
  <c r="O250" i="128"/>
  <c r="G250" i="128"/>
  <c r="O249" i="128"/>
  <c r="G249" i="128"/>
  <c r="O248" i="128"/>
  <c r="G248" i="128"/>
  <c r="O247" i="128"/>
  <c r="G247" i="128"/>
  <c r="O246" i="128"/>
  <c r="G246" i="128"/>
  <c r="O245" i="128"/>
  <c r="G245" i="128"/>
  <c r="O244" i="128"/>
  <c r="G244" i="128"/>
  <c r="O243" i="128"/>
  <c r="G243" i="128"/>
  <c r="O242" i="128"/>
  <c r="G242" i="128"/>
  <c r="O241" i="128"/>
  <c r="G241" i="128"/>
  <c r="O240" i="128"/>
  <c r="G240" i="128"/>
  <c r="O239" i="128"/>
  <c r="G239" i="128"/>
  <c r="O238" i="128"/>
  <c r="G238" i="128"/>
  <c r="O237" i="128"/>
  <c r="G237" i="128"/>
  <c r="O236" i="128"/>
  <c r="G236" i="128"/>
  <c r="O235" i="128"/>
  <c r="G235" i="128"/>
  <c r="O234" i="128"/>
  <c r="G234" i="128"/>
  <c r="O233" i="128"/>
  <c r="G233" i="128"/>
  <c r="O232" i="128"/>
  <c r="G232" i="128"/>
  <c r="O231" i="128"/>
  <c r="G231" i="128"/>
  <c r="O230" i="128"/>
  <c r="G230" i="128"/>
  <c r="O229" i="128"/>
  <c r="G229" i="128"/>
  <c r="O228" i="128"/>
  <c r="G228" i="128"/>
  <c r="O227" i="128"/>
  <c r="G227" i="128"/>
  <c r="O226" i="128"/>
  <c r="G226" i="128"/>
  <c r="O225" i="128"/>
  <c r="G225" i="128"/>
  <c r="O224" i="128"/>
  <c r="G224" i="128"/>
  <c r="O223" i="128"/>
  <c r="G223" i="128"/>
  <c r="O222" i="128"/>
  <c r="G222" i="128"/>
  <c r="O221" i="128"/>
  <c r="G221" i="128"/>
  <c r="O220" i="128"/>
  <c r="G220" i="128"/>
  <c r="O219" i="128"/>
  <c r="G219" i="128"/>
  <c r="O218" i="128"/>
  <c r="G218" i="128"/>
  <c r="O217" i="128"/>
  <c r="G217" i="128"/>
  <c r="O216" i="128"/>
  <c r="G216" i="128"/>
  <c r="O215" i="128"/>
  <c r="G215" i="128"/>
  <c r="O214" i="128"/>
  <c r="G214" i="128"/>
  <c r="O213" i="128"/>
  <c r="G213" i="128"/>
  <c r="O212" i="128"/>
  <c r="G212" i="128"/>
  <c r="O211" i="128"/>
  <c r="G211" i="128"/>
  <c r="O210" i="128"/>
  <c r="G210" i="128"/>
  <c r="O209" i="128"/>
  <c r="G209" i="128"/>
  <c r="O208" i="128"/>
  <c r="G208" i="128"/>
  <c r="O207" i="128"/>
  <c r="G207" i="128"/>
  <c r="O206" i="128"/>
  <c r="G206" i="128"/>
  <c r="O205" i="128"/>
  <c r="G205" i="128"/>
  <c r="O204" i="128"/>
  <c r="G204" i="128"/>
  <c r="A204" i="128"/>
  <c r="A262" i="128" s="1"/>
  <c r="A148" i="128"/>
  <c r="F118" i="128"/>
  <c r="F106" i="128"/>
  <c r="M222" i="128" s="1"/>
  <c r="F102" i="128"/>
  <c r="L204" i="128" s="1"/>
  <c r="L82" i="128"/>
  <c r="F77" i="128" s="1"/>
  <c r="L73" i="128"/>
  <c r="F52" i="128"/>
  <c r="H66" i="11" l="1"/>
  <c r="I96" i="11"/>
  <c r="I95" i="11" s="1"/>
  <c r="I94" i="11" s="1"/>
  <c r="F97" i="11"/>
  <c r="E97" i="11" s="1"/>
  <c r="J97" i="11"/>
  <c r="H65" i="11"/>
  <c r="H64" i="11" s="1"/>
  <c r="F96" i="11"/>
  <c r="G96" i="11"/>
  <c r="G66" i="11" s="1"/>
  <c r="H81" i="11"/>
  <c r="E82" i="11"/>
  <c r="L245" i="128"/>
  <c r="F71" i="128"/>
  <c r="F67" i="128"/>
  <c r="A205" i="128"/>
  <c r="A263" i="128" s="1"/>
  <c r="A318" i="128"/>
  <c r="A328" i="128"/>
  <c r="K82" i="11"/>
  <c r="A149" i="128"/>
  <c r="A150" i="128" s="1"/>
  <c r="L206" i="128"/>
  <c r="L209" i="128"/>
  <c r="L230" i="128"/>
  <c r="L233" i="128"/>
  <c r="L236" i="128"/>
  <c r="L215" i="128"/>
  <c r="L225" i="128"/>
  <c r="L228" i="128"/>
  <c r="L227" i="128"/>
  <c r="L210" i="128"/>
  <c r="L213" i="128"/>
  <c r="L219" i="128"/>
  <c r="L234" i="128"/>
  <c r="L237" i="128"/>
  <c r="L216" i="128"/>
  <c r="L226" i="128"/>
  <c r="L208" i="128"/>
  <c r="L229" i="128"/>
  <c r="L232" i="128"/>
  <c r="L241" i="128"/>
  <c r="L211" i="128"/>
  <c r="L214" i="128"/>
  <c r="L220" i="128"/>
  <c r="L238" i="128"/>
  <c r="M228" i="128"/>
  <c r="M204" i="128"/>
  <c r="F317" i="128" s="1"/>
  <c r="L205" i="128"/>
  <c r="F318" i="128" s="1"/>
  <c r="M210" i="128"/>
  <c r="M216" i="128"/>
  <c r="L217" i="128"/>
  <c r="L218" i="128"/>
  <c r="M214" i="128"/>
  <c r="M206" i="128"/>
  <c r="L212" i="128"/>
  <c r="M220" i="128"/>
  <c r="L221" i="128"/>
  <c r="L222" i="128"/>
  <c r="M218" i="128"/>
  <c r="L252" i="128"/>
  <c r="L250" i="128"/>
  <c r="L248" i="128"/>
  <c r="L246" i="128"/>
  <c r="L253" i="128"/>
  <c r="L251" i="128"/>
  <c r="L249" i="128"/>
  <c r="L247" i="128"/>
  <c r="L244" i="128"/>
  <c r="L242" i="128"/>
  <c r="L240" i="128"/>
  <c r="L207" i="128"/>
  <c r="F320" i="128" s="1"/>
  <c r="M212" i="128"/>
  <c r="L223" i="128"/>
  <c r="L224" i="128"/>
  <c r="L231" i="128"/>
  <c r="L235" i="128"/>
  <c r="L239" i="128"/>
  <c r="L243" i="128"/>
  <c r="M253" i="128"/>
  <c r="M251" i="128"/>
  <c r="M249" i="128"/>
  <c r="M247" i="128"/>
  <c r="M250" i="128"/>
  <c r="M244" i="128"/>
  <c r="M242" i="128"/>
  <c r="M240" i="128"/>
  <c r="M238" i="128"/>
  <c r="M236" i="128"/>
  <c r="M234" i="128"/>
  <c r="M232" i="128"/>
  <c r="M230" i="128"/>
  <c r="M248" i="128"/>
  <c r="M252" i="128"/>
  <c r="M246" i="128"/>
  <c r="M245" i="128"/>
  <c r="M243" i="128"/>
  <c r="M241" i="128"/>
  <c r="M239" i="128"/>
  <c r="M237" i="128"/>
  <c r="M235" i="128"/>
  <c r="M233" i="128"/>
  <c r="M231" i="128"/>
  <c r="M229" i="128"/>
  <c r="M227" i="128"/>
  <c r="M225" i="128"/>
  <c r="M223" i="128"/>
  <c r="M221" i="128"/>
  <c r="M219" i="128"/>
  <c r="M217" i="128"/>
  <c r="M215" i="128"/>
  <c r="M213" i="128"/>
  <c r="M211" i="128"/>
  <c r="M209" i="128"/>
  <c r="M207" i="128"/>
  <c r="M205" i="128"/>
  <c r="M224" i="128"/>
  <c r="M208" i="128"/>
  <c r="M226" i="128"/>
  <c r="G95" i="11" l="1"/>
  <c r="G94" i="11" s="1"/>
  <c r="J96" i="11"/>
  <c r="J95" i="11"/>
  <c r="J94" i="11" s="1"/>
  <c r="G81" i="11"/>
  <c r="G80" i="11" s="1"/>
  <c r="G79" i="11" s="1"/>
  <c r="F95" i="11"/>
  <c r="F94" i="11" s="1"/>
  <c r="K97" i="11"/>
  <c r="E95" i="11"/>
  <c r="E94" i="11" s="1"/>
  <c r="H80" i="11"/>
  <c r="H79" i="11" s="1"/>
  <c r="G65" i="11"/>
  <c r="G64" i="11" s="1"/>
  <c r="E96" i="11"/>
  <c r="F319" i="128"/>
  <c r="F321" i="128" s="1"/>
  <c r="F66" i="11"/>
  <c r="F81" i="11"/>
  <c r="I66" i="11"/>
  <c r="I81" i="11"/>
  <c r="L82" i="11"/>
  <c r="D97" i="11"/>
  <c r="D82" i="11"/>
  <c r="N245" i="128"/>
  <c r="P245" i="128" s="1"/>
  <c r="N222" i="128"/>
  <c r="P222" i="128" s="1"/>
  <c r="N208" i="128"/>
  <c r="P208" i="128" s="1"/>
  <c r="N219" i="128"/>
  <c r="P219" i="128" s="1"/>
  <c r="N225" i="128"/>
  <c r="P225" i="128" s="1"/>
  <c r="N236" i="128"/>
  <c r="P236" i="128" s="1"/>
  <c r="N211" i="128"/>
  <c r="P211" i="128" s="1"/>
  <c r="N234" i="128"/>
  <c r="P234" i="128" s="1"/>
  <c r="N241" i="128"/>
  <c r="P241" i="128" s="1"/>
  <c r="N216" i="128"/>
  <c r="P216" i="128" s="1"/>
  <c r="A320" i="128"/>
  <c r="A330" i="128"/>
  <c r="N206" i="128"/>
  <c r="P206" i="128" s="1"/>
  <c r="J329" i="128" s="1"/>
  <c r="A206" i="128"/>
  <c r="A264" i="128" s="1"/>
  <c r="A319" i="128"/>
  <c r="A329" i="128"/>
  <c r="N217" i="128"/>
  <c r="P217" i="128" s="1"/>
  <c r="N221" i="128"/>
  <c r="P221" i="128" s="1"/>
  <c r="N246" i="128"/>
  <c r="P246" i="128" s="1"/>
  <c r="N238" i="128"/>
  <c r="P238" i="128" s="1"/>
  <c r="N207" i="128"/>
  <c r="P207" i="128" s="1"/>
  <c r="J330" i="128" s="1"/>
  <c r="N220" i="128"/>
  <c r="P220" i="128" s="1"/>
  <c r="N226" i="128"/>
  <c r="P226" i="128" s="1"/>
  <c r="N215" i="128"/>
  <c r="P215" i="128" s="1"/>
  <c r="N248" i="128"/>
  <c r="P248" i="128" s="1"/>
  <c r="N227" i="128"/>
  <c r="P227" i="128" s="1"/>
  <c r="N228" i="128"/>
  <c r="P228" i="128" s="1"/>
  <c r="N214" i="128"/>
  <c r="P214" i="128" s="1"/>
  <c r="N233" i="128"/>
  <c r="P233" i="128" s="1"/>
  <c r="N237" i="128"/>
  <c r="P237" i="128" s="1"/>
  <c r="N218" i="128"/>
  <c r="P218" i="128" s="1"/>
  <c r="N209" i="128"/>
  <c r="P209" i="128" s="1"/>
  <c r="N213" i="128"/>
  <c r="P213" i="128" s="1"/>
  <c r="N210" i="128"/>
  <c r="P210" i="128" s="1"/>
  <c r="L254" i="128"/>
  <c r="N252" i="128"/>
  <c r="P252" i="128" s="1"/>
  <c r="N230" i="128"/>
  <c r="P230" i="128" s="1"/>
  <c r="N231" i="128"/>
  <c r="P231" i="128" s="1"/>
  <c r="N247" i="128"/>
  <c r="P247" i="128" s="1"/>
  <c r="N229" i="128"/>
  <c r="P229" i="128" s="1"/>
  <c r="N232" i="128"/>
  <c r="P232" i="128" s="1"/>
  <c r="N224" i="128"/>
  <c r="P224" i="128" s="1"/>
  <c r="N249" i="128"/>
  <c r="P249" i="128" s="1"/>
  <c r="N204" i="128"/>
  <c r="P204" i="128" s="1"/>
  <c r="J327" i="128" s="1"/>
  <c r="N243" i="128"/>
  <c r="P243" i="128" s="1"/>
  <c r="N240" i="128"/>
  <c r="P240" i="128" s="1"/>
  <c r="N239" i="128"/>
  <c r="P239" i="128" s="1"/>
  <c r="N242" i="128"/>
  <c r="P242" i="128" s="1"/>
  <c r="N250" i="128"/>
  <c r="P250" i="128" s="1"/>
  <c r="N212" i="128"/>
  <c r="P212" i="128" s="1"/>
  <c r="N235" i="128"/>
  <c r="P235" i="128" s="1"/>
  <c r="N244" i="128"/>
  <c r="P244" i="128" s="1"/>
  <c r="M254" i="128"/>
  <c r="N205" i="128"/>
  <c r="P205" i="128" s="1"/>
  <c r="J328" i="128" s="1"/>
  <c r="N223" i="128"/>
  <c r="P223" i="128" s="1"/>
  <c r="N251" i="128"/>
  <c r="P251" i="128" s="1"/>
  <c r="A207" i="128"/>
  <c r="A265" i="128" s="1"/>
  <c r="A151" i="128"/>
  <c r="A331" i="128" s="1"/>
  <c r="N253" i="128"/>
  <c r="P253" i="128" s="1"/>
  <c r="K96" i="11" l="1"/>
  <c r="K95" i="11" s="1"/>
  <c r="K94" i="11" s="1"/>
  <c r="L97" i="11"/>
  <c r="F80" i="11"/>
  <c r="F79" i="11" s="1"/>
  <c r="I80" i="11"/>
  <c r="I79" i="11" s="1"/>
  <c r="I65" i="11"/>
  <c r="I64" i="11" s="1"/>
  <c r="F65" i="11"/>
  <c r="F64" i="11" s="1"/>
  <c r="D96" i="11"/>
  <c r="D95" i="11" s="1"/>
  <c r="D94" i="11" s="1"/>
  <c r="J66" i="11"/>
  <c r="J81" i="11"/>
  <c r="E66" i="11"/>
  <c r="E81" i="11"/>
  <c r="A152" i="128"/>
  <c r="A332" i="128" s="1"/>
  <c r="A208" i="128"/>
  <c r="A266" i="128" s="1"/>
  <c r="P254" i="128"/>
  <c r="N254" i="128"/>
  <c r="L96" i="11" l="1"/>
  <c r="L95" i="11" s="1"/>
  <c r="L94" i="11" s="1"/>
  <c r="J80" i="11"/>
  <c r="J79" i="11" s="1"/>
  <c r="E80" i="11"/>
  <c r="E79" i="11" s="1"/>
  <c r="E65" i="11"/>
  <c r="E64" i="11" s="1"/>
  <c r="J65" i="11"/>
  <c r="J64" i="11" s="1"/>
  <c r="K66" i="11"/>
  <c r="K81" i="11"/>
  <c r="D66" i="11"/>
  <c r="D81" i="11"/>
  <c r="L66" i="11"/>
  <c r="L81" i="11"/>
  <c r="A209" i="128"/>
  <c r="A267" i="128" s="1"/>
  <c r="A153" i="128"/>
  <c r="A333" i="128" s="1"/>
  <c r="J331" i="128"/>
  <c r="L80" i="11" l="1"/>
  <c r="L79" i="11" s="1"/>
  <c r="K80" i="11"/>
  <c r="K79" i="11" s="1"/>
  <c r="D80" i="11"/>
  <c r="D79" i="11" s="1"/>
  <c r="D65" i="11"/>
  <c r="D64" i="11" s="1"/>
  <c r="K65" i="11"/>
  <c r="K64" i="11" s="1"/>
  <c r="L65" i="11"/>
  <c r="L64" i="11" s="1"/>
  <c r="A210" i="128"/>
  <c r="A268" i="128" s="1"/>
  <c r="A154" i="128"/>
  <c r="A334" i="128" s="1"/>
  <c r="A211" i="128" l="1"/>
  <c r="A269" i="128" s="1"/>
  <c r="A155" i="128"/>
  <c r="A335" i="128" s="1"/>
  <c r="A212" i="128" l="1"/>
  <c r="A270" i="128" s="1"/>
  <c r="A156" i="128"/>
  <c r="A336" i="128" s="1"/>
  <c r="A213" i="128" l="1"/>
  <c r="A271" i="128" s="1"/>
  <c r="A157" i="128"/>
  <c r="A337" i="128" s="1"/>
  <c r="A214" i="128" l="1"/>
  <c r="A272" i="128" s="1"/>
  <c r="A158" i="128"/>
  <c r="A338" i="128" s="1"/>
  <c r="A215" i="128" l="1"/>
  <c r="A273" i="128" s="1"/>
  <c r="A159" i="128"/>
  <c r="A339" i="128" s="1"/>
  <c r="A160" i="128" l="1"/>
  <c r="A340" i="128" s="1"/>
  <c r="A216" i="128"/>
  <c r="A274" i="128" s="1"/>
  <c r="A217" i="128" l="1"/>
  <c r="A275" i="128" s="1"/>
  <c r="A161" i="128"/>
  <c r="A341" i="128" s="1"/>
  <c r="A218" i="128" l="1"/>
  <c r="A276" i="128" s="1"/>
  <c r="A162" i="128"/>
  <c r="A342" i="128" s="1"/>
  <c r="A219" i="128" l="1"/>
  <c r="A277" i="128" s="1"/>
  <c r="A163" i="128"/>
  <c r="A343" i="128" s="1"/>
  <c r="A220" i="128" l="1"/>
  <c r="A278" i="128" s="1"/>
  <c r="A164" i="128"/>
  <c r="A344" i="128" s="1"/>
  <c r="A221" i="128" l="1"/>
  <c r="A279" i="128" s="1"/>
  <c r="A165" i="128"/>
  <c r="A345" i="128" s="1"/>
  <c r="A222" i="128" l="1"/>
  <c r="A280" i="128" s="1"/>
  <c r="A166" i="128"/>
  <c r="A346" i="128" s="1"/>
  <c r="A223" i="128" l="1"/>
  <c r="A281" i="128" s="1"/>
  <c r="A167" i="128"/>
  <c r="A347" i="128" s="1"/>
  <c r="A168" i="128" l="1"/>
  <c r="A348" i="128" s="1"/>
  <c r="A224" i="128"/>
  <c r="A282" i="128" s="1"/>
  <c r="A225" i="128" l="1"/>
  <c r="A283" i="128" s="1"/>
  <c r="A169" i="128"/>
  <c r="A349" i="128" s="1"/>
  <c r="A170" i="128" l="1"/>
  <c r="A350" i="128" s="1"/>
  <c r="A226" i="128"/>
  <c r="A284" i="128" s="1"/>
  <c r="A227" i="128" l="1"/>
  <c r="A285" i="128" s="1"/>
  <c r="A171" i="128"/>
  <c r="A351" i="128" s="1"/>
  <c r="A172" i="128" l="1"/>
  <c r="A352" i="128" s="1"/>
  <c r="A228" i="128"/>
  <c r="A286" i="128" s="1"/>
  <c r="A229" i="128" l="1"/>
  <c r="A287" i="128" s="1"/>
  <c r="A173" i="128"/>
  <c r="A353" i="128" s="1"/>
  <c r="A230" i="128" l="1"/>
  <c r="A288" i="128" s="1"/>
  <c r="A174" i="128"/>
  <c r="A354" i="128" s="1"/>
  <c r="A231" i="128" l="1"/>
  <c r="A289" i="128" s="1"/>
  <c r="A175" i="128"/>
  <c r="A355" i="128" s="1"/>
  <c r="A232" i="128" l="1"/>
  <c r="A290" i="128" s="1"/>
  <c r="A176" i="128"/>
  <c r="A356" i="128" s="1"/>
  <c r="A233" i="128" l="1"/>
  <c r="A291" i="128" s="1"/>
  <c r="A177" i="128"/>
  <c r="A357" i="128" s="1"/>
  <c r="A234" i="128" l="1"/>
  <c r="A292" i="128" s="1"/>
  <c r="A178" i="128"/>
  <c r="A358" i="128" s="1"/>
  <c r="A235" i="128" l="1"/>
  <c r="A293" i="128" s="1"/>
  <c r="A179" i="128"/>
  <c r="A359" i="128" s="1"/>
  <c r="A236" i="128" l="1"/>
  <c r="A294" i="128" s="1"/>
  <c r="A180" i="128"/>
  <c r="A360" i="128" s="1"/>
  <c r="A237" i="128" l="1"/>
  <c r="A295" i="128" s="1"/>
  <c r="A181" i="128"/>
  <c r="A361" i="128" s="1"/>
  <c r="A238" i="128" l="1"/>
  <c r="A296" i="128" s="1"/>
  <c r="A182" i="128"/>
  <c r="A362" i="128" s="1"/>
  <c r="A239" i="128" l="1"/>
  <c r="A297" i="128" s="1"/>
  <c r="A183" i="128"/>
  <c r="A363" i="128" s="1"/>
  <c r="A240" i="128" l="1"/>
  <c r="A298" i="128" s="1"/>
  <c r="A184" i="128"/>
  <c r="A364" i="128" s="1"/>
  <c r="A241" i="128" l="1"/>
  <c r="A299" i="128" s="1"/>
  <c r="A185" i="128"/>
  <c r="A365" i="128" s="1"/>
  <c r="A242" i="128" l="1"/>
  <c r="A300" i="128" s="1"/>
  <c r="A186" i="128"/>
  <c r="A366" i="128" s="1"/>
  <c r="A243" i="128" l="1"/>
  <c r="A301" i="128" s="1"/>
  <c r="A187" i="128"/>
  <c r="A367" i="128" s="1"/>
  <c r="A244" i="128" l="1"/>
  <c r="A302" i="128" s="1"/>
  <c r="A188" i="128"/>
  <c r="A368" i="128" s="1"/>
  <c r="A245" i="128" l="1"/>
  <c r="A303" i="128" s="1"/>
  <c r="A189" i="128"/>
  <c r="A369" i="128" s="1"/>
  <c r="A246" i="128" l="1"/>
  <c r="A304" i="128" s="1"/>
  <c r="A190" i="128"/>
  <c r="A370" i="128" s="1"/>
  <c r="A247" i="128" l="1"/>
  <c r="A305" i="128" s="1"/>
  <c r="A191" i="128"/>
  <c r="A371" i="128" s="1"/>
  <c r="A248" i="128" l="1"/>
  <c r="A306" i="128" s="1"/>
  <c r="A192" i="128"/>
  <c r="A372" i="128" s="1"/>
  <c r="A249" i="128" l="1"/>
  <c r="A307" i="128" s="1"/>
  <c r="A193" i="128"/>
  <c r="A373" i="128" s="1"/>
  <c r="A250" i="128" l="1"/>
  <c r="A308" i="128" s="1"/>
  <c r="A194" i="128"/>
  <c r="A374" i="128" s="1"/>
  <c r="A251" i="128" l="1"/>
  <c r="A309" i="128" s="1"/>
  <c r="A195" i="128"/>
  <c r="A375" i="128" s="1"/>
  <c r="A252" i="128" l="1"/>
  <c r="A310" i="128" s="1"/>
  <c r="A196" i="128"/>
  <c r="A253" i="128" l="1"/>
  <c r="A311" i="128" s="1"/>
  <c r="A376" i="128"/>
  <c r="H12" i="11" l="1"/>
  <c r="J100" i="113" l="1"/>
  <c r="H12" i="5"/>
  <c r="H13" i="5"/>
  <c r="H27" i="11" l="1"/>
  <c r="F12" i="31" l="1"/>
  <c r="F15" i="31" s="1"/>
  <c r="F11" i="31"/>
  <c r="F13" i="31" l="1"/>
  <c r="F14" i="31"/>
  <c r="F18" i="31"/>
  <c r="J99" i="113"/>
  <c r="J98" i="113"/>
  <c r="J96" i="113"/>
  <c r="J95" i="113"/>
  <c r="F17" i="31" l="1"/>
  <c r="F21" i="31"/>
  <c r="F16" i="31"/>
  <c r="F24" i="31" l="1"/>
  <c r="F19" i="31"/>
  <c r="F20" i="31"/>
  <c r="G27" i="11"/>
  <c r="F27" i="11" s="1"/>
  <c r="E27" i="11" s="1"/>
  <c r="D27" i="11" s="1"/>
  <c r="F22" i="31" l="1"/>
  <c r="F27" i="31"/>
  <c r="F23" i="31"/>
  <c r="I27" i="11"/>
  <c r="J27" i="11" s="1"/>
  <c r="K27" i="11" s="1"/>
  <c r="L27" i="11" s="1"/>
  <c r="D46" i="8"/>
  <c r="F30" i="31" l="1"/>
  <c r="F26" i="31"/>
  <c r="F25" i="31"/>
  <c r="CE12" i="5"/>
  <c r="CD12" i="5"/>
  <c r="CC12" i="5"/>
  <c r="CB12" i="5"/>
  <c r="CA12" i="5"/>
  <c r="BZ12" i="5"/>
  <c r="BY12" i="5"/>
  <c r="BX12" i="5"/>
  <c r="BW12" i="5"/>
  <c r="BV12" i="5"/>
  <c r="BU12" i="5"/>
  <c r="BT12" i="5"/>
  <c r="BS12" i="5"/>
  <c r="AY12" i="5"/>
  <c r="AW12" i="5"/>
  <c r="AU12" i="5"/>
  <c r="E38" i="8"/>
  <c r="AV12" i="5"/>
  <c r="M120" i="7"/>
  <c r="L120" i="7"/>
  <c r="K120" i="7"/>
  <c r="AG38" i="8" l="1"/>
  <c r="AG14" i="9"/>
  <c r="AO38" i="8"/>
  <c r="AO14" i="9"/>
  <c r="J38" i="8"/>
  <c r="J14" i="9"/>
  <c r="AC38" i="8"/>
  <c r="AC14" i="9"/>
  <c r="AD38" i="8"/>
  <c r="AD14" i="9"/>
  <c r="AE38" i="8"/>
  <c r="AE14" i="9"/>
  <c r="AF38" i="8"/>
  <c r="AF14" i="9"/>
  <c r="AH38" i="8"/>
  <c r="AH14" i="9"/>
  <c r="AI38" i="8"/>
  <c r="AI14" i="9"/>
  <c r="AJ38" i="8"/>
  <c r="AJ14" i="9"/>
  <c r="AK38" i="8"/>
  <c r="AK14" i="9"/>
  <c r="AL38" i="8"/>
  <c r="AL14" i="9"/>
  <c r="AM38" i="8"/>
  <c r="AM14" i="9"/>
  <c r="AN38" i="8"/>
  <c r="AN14" i="9"/>
  <c r="AP38" i="8"/>
  <c r="AP14" i="9"/>
  <c r="G38" i="8"/>
  <c r="G14" i="9"/>
  <c r="F38" i="8"/>
  <c r="F14" i="9"/>
  <c r="H38" i="8"/>
  <c r="H14" i="9"/>
  <c r="F29" i="31"/>
  <c r="F28" i="31"/>
  <c r="F33" i="31"/>
  <c r="F31" i="31" l="1"/>
  <c r="F36" i="31"/>
  <c r="F32" i="31"/>
  <c r="F39" i="31" l="1"/>
  <c r="F35" i="31"/>
  <c r="F34" i="31"/>
  <c r="F38" i="31" l="1"/>
  <c r="F37" i="31"/>
  <c r="F42" i="31"/>
  <c r="F40" i="31" l="1"/>
  <c r="F45" i="31"/>
  <c r="F41" i="31"/>
  <c r="F48" i="31" l="1"/>
  <c r="F43" i="31"/>
  <c r="F44" i="31"/>
  <c r="F46" i="31" l="1"/>
  <c r="F51" i="31"/>
  <c r="F54" i="31" s="1"/>
  <c r="F57" i="31" s="1"/>
  <c r="F47" i="31"/>
  <c r="C31" i="11"/>
  <c r="I80" i="113"/>
  <c r="F50" i="31" l="1"/>
  <c r="F53" i="31" s="1"/>
  <c r="F56" i="31" s="1"/>
  <c r="F49" i="31"/>
  <c r="F52" i="31" s="1"/>
  <c r="F55" i="31" s="1"/>
  <c r="C43" i="11"/>
  <c r="C30" i="11"/>
  <c r="C44" i="11"/>
  <c r="C57" i="11" s="1"/>
  <c r="C72" i="11" s="1"/>
  <c r="C87" i="11" s="1"/>
  <c r="C102" i="11" s="1"/>
  <c r="C33" i="11"/>
  <c r="H39" i="11"/>
  <c r="H52" i="11" s="1"/>
  <c r="H51" i="11" s="1"/>
  <c r="D26" i="9"/>
  <c r="CH13" i="9"/>
  <c r="CH15" i="9" s="1"/>
  <c r="CG13" i="9"/>
  <c r="CG15" i="9" s="1"/>
  <c r="CF13" i="9"/>
  <c r="CF15" i="9" s="1"/>
  <c r="CE13" i="9"/>
  <c r="CE15" i="9" s="1"/>
  <c r="CD13" i="9"/>
  <c r="CD15" i="9" s="1"/>
  <c r="CC13" i="9"/>
  <c r="CC15" i="9" s="1"/>
  <c r="CB13" i="9"/>
  <c r="CB15" i="9" s="1"/>
  <c r="CA13" i="9"/>
  <c r="CA15" i="9" s="1"/>
  <c r="BZ13" i="9"/>
  <c r="BZ15" i="9" s="1"/>
  <c r="BY13" i="9"/>
  <c r="BY15" i="9" s="1"/>
  <c r="BX13" i="9"/>
  <c r="BX15" i="9" s="1"/>
  <c r="CH40" i="8"/>
  <c r="CH36" i="8" s="1"/>
  <c r="CG40" i="8"/>
  <c r="CF40" i="8"/>
  <c r="CH37" i="8"/>
  <c r="CG37" i="8"/>
  <c r="CF37" i="8"/>
  <c r="CJ24" i="7"/>
  <c r="CI24" i="7"/>
  <c r="CI25" i="7" s="1"/>
  <c r="CH24" i="7"/>
  <c r="CH25" i="7" s="1"/>
  <c r="CH26" i="7" s="1"/>
  <c r="CG35" i="6" s="1"/>
  <c r="CG24" i="7"/>
  <c r="CG25" i="7" s="1"/>
  <c r="CF24" i="7"/>
  <c r="CE24" i="7"/>
  <c r="CE25" i="7" s="1"/>
  <c r="CD24" i="7"/>
  <c r="CC24" i="7"/>
  <c r="CC25" i="7" s="1"/>
  <c r="CB24" i="7"/>
  <c r="CA24" i="7"/>
  <c r="CA25" i="7" s="1"/>
  <c r="BZ24" i="7"/>
  <c r="BZ25" i="7" s="1"/>
  <c r="BZ26" i="7" s="1"/>
  <c r="BY35" i="6" s="1"/>
  <c r="CJ11" i="7"/>
  <c r="CI11" i="7"/>
  <c r="CH11" i="7"/>
  <c r="CG11" i="7"/>
  <c r="CF11" i="7"/>
  <c r="CE11" i="7"/>
  <c r="CD11" i="7"/>
  <c r="CC11" i="7"/>
  <c r="CB11" i="7"/>
  <c r="CA11" i="7"/>
  <c r="BZ11" i="7"/>
  <c r="G138" i="7"/>
  <c r="G157" i="7"/>
  <c r="G156" i="7"/>
  <c r="G155" i="7"/>
  <c r="G154" i="7"/>
  <c r="G153" i="7"/>
  <c r="G152" i="7"/>
  <c r="G151" i="7"/>
  <c r="G150" i="7"/>
  <c r="AQ8" i="7"/>
  <c r="AO15" i="8" s="1"/>
  <c r="AP8" i="7"/>
  <c r="AN15" i="8" s="1"/>
  <c r="AO8" i="7"/>
  <c r="AM8" i="9" s="1"/>
  <c r="AN8" i="7"/>
  <c r="AL8" i="9" s="1"/>
  <c r="AM8" i="7"/>
  <c r="AK8" i="9" s="1"/>
  <c r="AL8" i="7"/>
  <c r="AJ8" i="9" s="1"/>
  <c r="AK8" i="7"/>
  <c r="AI15" i="8" s="1"/>
  <c r="AJ8" i="7"/>
  <c r="AH15" i="8" s="1"/>
  <c r="AI8" i="7"/>
  <c r="AG15" i="8" s="1"/>
  <c r="AH8" i="7"/>
  <c r="AF15" i="8" s="1"/>
  <c r="AG8" i="7"/>
  <c r="AE8" i="9" s="1"/>
  <c r="AF8" i="7"/>
  <c r="AD8" i="9" s="1"/>
  <c r="AQ120" i="7"/>
  <c r="AP120" i="7"/>
  <c r="AO120" i="7"/>
  <c r="AN120" i="7"/>
  <c r="AM120" i="7"/>
  <c r="AL120" i="7"/>
  <c r="AK120" i="7"/>
  <c r="AJ120" i="7"/>
  <c r="AI120" i="7"/>
  <c r="AH120" i="7"/>
  <c r="AG120" i="7"/>
  <c r="AF120" i="7"/>
  <c r="AE120" i="7"/>
  <c r="BG12" i="5"/>
  <c r="AR9" i="5"/>
  <c r="AQ9" i="5"/>
  <c r="AP9" i="5"/>
  <c r="AO9" i="5"/>
  <c r="AN9" i="5"/>
  <c r="AM9" i="5"/>
  <c r="AL9" i="5"/>
  <c r="AK9" i="5"/>
  <c r="AJ9" i="5"/>
  <c r="AI9" i="5"/>
  <c r="AH9" i="5"/>
  <c r="AG9" i="5"/>
  <c r="AF9" i="5"/>
  <c r="CG9" i="5"/>
  <c r="CF9" i="5"/>
  <c r="CE9" i="5"/>
  <c r="CD9" i="5"/>
  <c r="CC9" i="5"/>
  <c r="CB9" i="5"/>
  <c r="CA9" i="5"/>
  <c r="BZ9" i="5"/>
  <c r="BY9" i="5"/>
  <c r="BX9" i="5"/>
  <c r="BW9" i="5"/>
  <c r="BV9" i="5"/>
  <c r="BU9" i="5"/>
  <c r="BT9" i="5"/>
  <c r="BS9" i="5"/>
  <c r="C56" i="11" l="1"/>
  <c r="R38" i="8"/>
  <c r="R14" i="9"/>
  <c r="AM15" i="8"/>
  <c r="AN8" i="9"/>
  <c r="AE15" i="8"/>
  <c r="AL15" i="8"/>
  <c r="AF8" i="9"/>
  <c r="AG8" i="9"/>
  <c r="AO8" i="9"/>
  <c r="CH43" i="8"/>
  <c r="AD15" i="8"/>
  <c r="CF43" i="8"/>
  <c r="AJ15" i="8"/>
  <c r="CG43" i="8"/>
  <c r="AK15" i="8"/>
  <c r="AH8" i="9"/>
  <c r="AI8" i="9"/>
  <c r="CG36" i="8"/>
  <c r="C34" i="11"/>
  <c r="C45" i="11"/>
  <c r="C29" i="11"/>
  <c r="C42" i="11"/>
  <c r="CF36" i="8"/>
  <c r="CF25" i="7"/>
  <c r="CF26" i="7" s="1"/>
  <c r="CE35" i="6" s="1"/>
  <c r="CG26" i="7"/>
  <c r="CF35" i="6" s="1"/>
  <c r="CD25" i="7"/>
  <c r="CD26" i="7" s="1"/>
  <c r="CC35" i="6" s="1"/>
  <c r="CA26" i="7"/>
  <c r="BZ35" i="6" s="1"/>
  <c r="CI26" i="7"/>
  <c r="CH35" i="6" s="1"/>
  <c r="CB25" i="7"/>
  <c r="CB26" i="7" s="1"/>
  <c r="CA35" i="6" s="1"/>
  <c r="CJ25" i="7"/>
  <c r="CJ26" i="7" s="1"/>
  <c r="CI35" i="6" s="1"/>
  <c r="CC26" i="7"/>
  <c r="CB35" i="6" s="1"/>
  <c r="CE26" i="7"/>
  <c r="CD35" i="6" s="1"/>
  <c r="G144" i="7"/>
  <c r="G143" i="7"/>
  <c r="G142" i="7"/>
  <c r="C71" i="11" l="1"/>
  <c r="C86" i="11" s="1"/>
  <c r="C101" i="11" s="1"/>
  <c r="C55" i="11"/>
  <c r="C58" i="11"/>
  <c r="C28" i="11"/>
  <c r="C40" i="11" s="1"/>
  <c r="C41" i="11"/>
  <c r="C35" i="11"/>
  <c r="C46" i="11"/>
  <c r="I39" i="11"/>
  <c r="I52" i="11" s="1"/>
  <c r="I51" i="11" s="1"/>
  <c r="G39" i="11"/>
  <c r="G52" i="11" s="1"/>
  <c r="G51" i="11" s="1"/>
  <c r="G146" i="7"/>
  <c r="G147" i="7"/>
  <c r="G145" i="7"/>
  <c r="C70" i="11" l="1"/>
  <c r="C85" i="11" s="1"/>
  <c r="C100" i="11" s="1"/>
  <c r="C53" i="11"/>
  <c r="C54" i="11"/>
  <c r="C69" i="11" s="1"/>
  <c r="C84" i="11" s="1"/>
  <c r="C99" i="11" s="1"/>
  <c r="C59" i="11"/>
  <c r="M49" i="7"/>
  <c r="M50" i="7" s="1"/>
  <c r="N49" i="7"/>
  <c r="N50" i="7" s="1"/>
  <c r="O49" i="7"/>
  <c r="O50" i="7" s="1"/>
  <c r="C73" i="11"/>
  <c r="C88" i="11" s="1"/>
  <c r="C103" i="11" s="1"/>
  <c r="C36" i="11"/>
  <c r="C48" i="11" s="1"/>
  <c r="C47" i="11"/>
  <c r="F39" i="11"/>
  <c r="F52" i="11" s="1"/>
  <c r="F51" i="11" s="1"/>
  <c r="J39" i="11"/>
  <c r="J52" i="11" s="1"/>
  <c r="J51" i="11" s="1"/>
  <c r="G148" i="7"/>
  <c r="C68" i="11" l="1"/>
  <c r="C83" i="11" s="1"/>
  <c r="C98" i="11" s="1"/>
  <c r="C61" i="11"/>
  <c r="C60" i="11"/>
  <c r="C75" i="11" s="1"/>
  <c r="C74" i="11"/>
  <c r="C89" i="11" s="1"/>
  <c r="C104" i="11" s="1"/>
  <c r="N51" i="7"/>
  <c r="O51" i="7"/>
  <c r="T61" i="7"/>
  <c r="T62" i="7" s="1"/>
  <c r="S61" i="7"/>
  <c r="S62" i="7" s="1"/>
  <c r="M51" i="7"/>
  <c r="AO51" i="7"/>
  <c r="T51" i="7"/>
  <c r="AJ51" i="7"/>
  <c r="AG51" i="7"/>
  <c r="U51" i="7"/>
  <c r="R51" i="7"/>
  <c r="S51" i="7"/>
  <c r="X51" i="7"/>
  <c r="Y51" i="7"/>
  <c r="AM51" i="7"/>
  <c r="AI51" i="7"/>
  <c r="AK51" i="7"/>
  <c r="W51" i="7"/>
  <c r="AD51" i="7"/>
  <c r="AF51" i="7"/>
  <c r="V51" i="7"/>
  <c r="AQ51" i="7"/>
  <c r="AE51" i="7"/>
  <c r="AN51" i="7"/>
  <c r="AL51" i="7"/>
  <c r="AH51" i="7"/>
  <c r="G50" i="7"/>
  <c r="E50" i="7" s="1"/>
  <c r="Z51" i="7"/>
  <c r="P51" i="7"/>
  <c r="Q51" i="7"/>
  <c r="AA51" i="7"/>
  <c r="AP51" i="7"/>
  <c r="AC51" i="7"/>
  <c r="AB51" i="7"/>
  <c r="L39" i="11"/>
  <c r="L52" i="11" s="1"/>
  <c r="L51" i="11" s="1"/>
  <c r="K39" i="11"/>
  <c r="K52" i="11" s="1"/>
  <c r="K51" i="11" s="1"/>
  <c r="D39" i="11"/>
  <c r="D52" i="11" s="1"/>
  <c r="D51" i="11" s="1"/>
  <c r="E39" i="11"/>
  <c r="E52" i="11" s="1"/>
  <c r="E51" i="11" s="1"/>
  <c r="G149" i="7"/>
  <c r="C90" i="11" l="1"/>
  <c r="C105" i="11" s="1"/>
  <c r="C76" i="11"/>
  <c r="C91" i="11" s="1"/>
  <c r="C106" i="11" s="1"/>
  <c r="T63" i="7"/>
  <c r="S63" i="7"/>
  <c r="AG63" i="7"/>
  <c r="AF63" i="7"/>
  <c r="AC63" i="7"/>
  <c r="AO63" i="7"/>
  <c r="AJ63" i="7"/>
  <c r="AL63" i="7"/>
  <c r="G62" i="7"/>
  <c r="E62" i="7" s="1"/>
  <c r="AI63" i="7"/>
  <c r="Z63" i="7"/>
  <c r="AE63" i="7"/>
  <c r="X63" i="7"/>
  <c r="W63" i="7"/>
  <c r="AD63" i="7"/>
  <c r="AP63" i="7"/>
  <c r="AQ63" i="7"/>
  <c r="U63" i="7"/>
  <c r="Y63" i="7"/>
  <c r="V63" i="7"/>
  <c r="AB63" i="7"/>
  <c r="AM63" i="7"/>
  <c r="AA63" i="7"/>
  <c r="AH63" i="7"/>
  <c r="AN63" i="7"/>
  <c r="AK63" i="7"/>
  <c r="Q67" i="7"/>
  <c r="Q68" i="7" s="1"/>
  <c r="R67" i="7"/>
  <c r="R68" i="7" s="1"/>
  <c r="P67" i="7"/>
  <c r="P68" i="7" s="1"/>
  <c r="AD120" i="7"/>
  <c r="R69" i="7" l="1"/>
  <c r="G63" i="7"/>
  <c r="U69" i="7"/>
  <c r="AA69" i="7"/>
  <c r="AD69" i="7"/>
  <c r="AI69" i="7"/>
  <c r="T69" i="7"/>
  <c r="S69" i="7"/>
  <c r="AO69" i="7"/>
  <c r="X69" i="7"/>
  <c r="W69" i="7"/>
  <c r="Y69" i="7"/>
  <c r="AC69" i="7"/>
  <c r="AN69" i="7"/>
  <c r="AL69" i="7"/>
  <c r="AK69" i="7"/>
  <c r="AG69" i="7"/>
  <c r="AE69" i="7"/>
  <c r="AB69" i="7"/>
  <c r="AF69" i="7"/>
  <c r="V69" i="7"/>
  <c r="G68" i="7"/>
  <c r="E68" i="7" s="1"/>
  <c r="AH69" i="7"/>
  <c r="AM69" i="7"/>
  <c r="AQ69" i="7"/>
  <c r="AJ69" i="7"/>
  <c r="P69" i="7"/>
  <c r="Z69" i="7"/>
  <c r="AP69" i="7"/>
  <c r="Q69" i="7"/>
  <c r="E11" i="8"/>
  <c r="AE8" i="7"/>
  <c r="AC15" i="8" s="1"/>
  <c r="I8" i="7"/>
  <c r="G15" i="8" s="1"/>
  <c r="J8" i="7"/>
  <c r="H15" i="8" s="1"/>
  <c r="K8" i="7"/>
  <c r="I15" i="8" s="1"/>
  <c r="L8" i="7"/>
  <c r="J15" i="8" s="1"/>
  <c r="M8" i="7"/>
  <c r="K15" i="8" s="1"/>
  <c r="N8" i="7"/>
  <c r="L15" i="8" s="1"/>
  <c r="O8" i="7"/>
  <c r="M15" i="8" s="1"/>
  <c r="P8" i="7"/>
  <c r="N15" i="8" s="1"/>
  <c r="Q8" i="7"/>
  <c r="O15" i="8" s="1"/>
  <c r="R8" i="7"/>
  <c r="P15" i="8" s="1"/>
  <c r="S8" i="7"/>
  <c r="Q15" i="8" s="1"/>
  <c r="T8" i="7"/>
  <c r="R15" i="8" s="1"/>
  <c r="U8" i="7"/>
  <c r="S15" i="8" s="1"/>
  <c r="V8" i="7"/>
  <c r="T15" i="8" s="1"/>
  <c r="W8" i="7"/>
  <c r="U15" i="8" s="1"/>
  <c r="X8" i="7"/>
  <c r="V15" i="8" s="1"/>
  <c r="Y8" i="7"/>
  <c r="W15" i="8" s="1"/>
  <c r="Z8" i="7"/>
  <c r="X15" i="8" s="1"/>
  <c r="AA8" i="7"/>
  <c r="Y15" i="8" s="1"/>
  <c r="AB8" i="7"/>
  <c r="Z15" i="8" s="1"/>
  <c r="AC8" i="7"/>
  <c r="AA15" i="8" s="1"/>
  <c r="AD8" i="7"/>
  <c r="AB15" i="8" s="1"/>
  <c r="BR9" i="5"/>
  <c r="BQ9" i="5"/>
  <c r="BP9" i="5"/>
  <c r="BO9" i="5"/>
  <c r="BN9" i="5"/>
  <c r="BM9" i="5"/>
  <c r="BL9" i="5"/>
  <c r="BK9" i="5"/>
  <c r="BJ9" i="5"/>
  <c r="BI9" i="5"/>
  <c r="BH9" i="5"/>
  <c r="BG9" i="5"/>
  <c r="BF9" i="5"/>
  <c r="BE9" i="5"/>
  <c r="BD9" i="5"/>
  <c r="BC9" i="5"/>
  <c r="BB9" i="5"/>
  <c r="BA9" i="5"/>
  <c r="AZ9" i="5"/>
  <c r="AY9" i="5"/>
  <c r="AX9" i="5"/>
  <c r="G88" i="5" s="1"/>
  <c r="AW9" i="5"/>
  <c r="AV9" i="5"/>
  <c r="AU9" i="5"/>
  <c r="G69" i="7" l="1"/>
  <c r="AV8" i="5"/>
  <c r="J7" i="7"/>
  <c r="I7" i="7"/>
  <c r="AW8" i="5"/>
  <c r="I7" i="4"/>
  <c r="J7" i="4" s="1"/>
  <c r="AX8" i="5"/>
  <c r="G87" i="5" s="1"/>
  <c r="K7" i="7"/>
  <c r="AZ8" i="5" l="1"/>
  <c r="M7" i="7"/>
  <c r="AY8" i="5"/>
  <c r="L7" i="7"/>
  <c r="K7" i="4"/>
  <c r="L7" i="4" s="1"/>
  <c r="M7" i="4" s="1"/>
  <c r="N7" i="7" l="1"/>
  <c r="BA8" i="5"/>
  <c r="BB8" i="5" l="1"/>
  <c r="O7" i="7"/>
  <c r="P7" i="4"/>
  <c r="N7" i="4" l="1"/>
  <c r="P7" i="7"/>
  <c r="BC8" i="5"/>
  <c r="Q7" i="4"/>
  <c r="BF8" i="5"/>
  <c r="S7" i="7"/>
  <c r="T7" i="4"/>
  <c r="BJ8" i="5" l="1"/>
  <c r="W7" i="7"/>
  <c r="O7" i="4"/>
  <c r="Q7" i="7"/>
  <c r="BD8" i="5"/>
  <c r="R7" i="4"/>
  <c r="T7" i="7"/>
  <c r="BG8" i="5"/>
  <c r="U7" i="4"/>
  <c r="R7" i="7" l="1"/>
  <c r="BE8" i="5"/>
  <c r="S7" i="4"/>
  <c r="BH8" i="5"/>
  <c r="U7" i="7"/>
  <c r="V7" i="4"/>
  <c r="BK8" i="5"/>
  <c r="X7" i="7"/>
  <c r="Y7" i="7" l="1"/>
  <c r="BL8" i="5"/>
  <c r="V7" i="7"/>
  <c r="BI8" i="5"/>
  <c r="W7" i="4"/>
  <c r="BM8" i="5" l="1"/>
  <c r="Z7" i="7"/>
  <c r="F11" i="8" l="1"/>
  <c r="G11" i="8" s="1"/>
  <c r="H11" i="8" s="1"/>
  <c r="I11" i="8" s="1"/>
  <c r="J11" i="8" s="1"/>
  <c r="K11" i="8" s="1"/>
  <c r="L11" i="8" s="1"/>
  <c r="M11" i="8" s="1"/>
  <c r="N11" i="8" s="1"/>
  <c r="O11" i="8" s="1"/>
  <c r="P11" i="8" s="1"/>
  <c r="Q11" i="8" s="1"/>
  <c r="R11" i="8" s="1"/>
  <c r="S11" i="8" s="1"/>
  <c r="T11" i="8" s="1"/>
  <c r="U11" i="8" s="1"/>
  <c r="V11" i="8" s="1"/>
  <c r="W11" i="8" s="1"/>
  <c r="X11" i="8" s="1"/>
  <c r="Y11" i="8" s="1"/>
  <c r="Z11" i="8" s="1"/>
  <c r="AA11" i="8" s="1"/>
  <c r="AB11" i="8" s="1"/>
  <c r="AC11" i="8" s="1"/>
  <c r="AD11" i="8" s="1"/>
  <c r="AE11" i="8" s="1"/>
  <c r="AF11" i="8" s="1"/>
  <c r="AG11" i="8" s="1"/>
  <c r="AH11" i="8" s="1"/>
  <c r="AI11" i="8" s="1"/>
  <c r="AJ11" i="8" s="1"/>
  <c r="AK11" i="8" s="1"/>
  <c r="AL11" i="8" s="1"/>
  <c r="AM11" i="8" s="1"/>
  <c r="AN11" i="8" s="1"/>
  <c r="AO11" i="8" s="1"/>
  <c r="AP11" i="8" s="1"/>
  <c r="AQ11" i="8" s="1"/>
  <c r="AR11" i="8" s="1"/>
  <c r="AS11" i="8" s="1"/>
  <c r="AT11" i="8" s="1"/>
  <c r="AU11" i="8" s="1"/>
  <c r="AV11" i="8" s="1"/>
  <c r="AW11" i="8" s="1"/>
  <c r="AX11" i="8" s="1"/>
  <c r="AY11" i="8" s="1"/>
  <c r="AZ11" i="8" s="1"/>
  <c r="BA11" i="8" s="1"/>
  <c r="BB11" i="8" s="1"/>
  <c r="BC11" i="8" s="1"/>
  <c r="BD11" i="8" s="1"/>
  <c r="BE11" i="8" s="1"/>
  <c r="BF11" i="8" s="1"/>
  <c r="BG11" i="8" s="1"/>
  <c r="BH11" i="8" s="1"/>
  <c r="BI11" i="8" s="1"/>
  <c r="BJ11" i="8" s="1"/>
  <c r="BK11" i="8" s="1"/>
  <c r="BL11" i="8" s="1"/>
  <c r="BM11" i="8" s="1"/>
  <c r="BN11" i="8" s="1"/>
  <c r="BO11" i="8" s="1"/>
  <c r="BP11" i="8" s="1"/>
  <c r="BQ11" i="8" s="1"/>
  <c r="BR11" i="8" s="1"/>
  <c r="BS11" i="8" s="1"/>
  <c r="BT11" i="8" s="1"/>
  <c r="BU11" i="8" s="1"/>
  <c r="BV11" i="8" s="1"/>
  <c r="BW11" i="8" s="1"/>
  <c r="BX11" i="8" s="1"/>
  <c r="BY11" i="8" s="1"/>
  <c r="BZ11" i="8" s="1"/>
  <c r="CA11" i="8" s="1"/>
  <c r="CB11" i="8" s="1"/>
  <c r="CC11" i="8" s="1"/>
  <c r="CD11" i="8" s="1"/>
  <c r="CE11" i="8" s="1"/>
  <c r="CF11" i="8" s="1"/>
  <c r="CG11" i="8" s="1"/>
  <c r="CH11" i="8" s="1"/>
  <c r="AQ37" i="8" l="1"/>
  <c r="AR37" i="8"/>
  <c r="AS37" i="8"/>
  <c r="AT37" i="8"/>
  <c r="AU37" i="8"/>
  <c r="AV37" i="8"/>
  <c r="AW37" i="8"/>
  <c r="AX37" i="8"/>
  <c r="AY37" i="8"/>
  <c r="AZ37" i="8"/>
  <c r="BA37" i="8"/>
  <c r="BB37" i="8"/>
  <c r="BC37" i="8"/>
  <c r="BD37" i="8"/>
  <c r="BE37" i="8"/>
  <c r="BF37" i="8"/>
  <c r="BG37" i="8"/>
  <c r="BH37" i="8"/>
  <c r="BI37" i="8"/>
  <c r="BJ37" i="8"/>
  <c r="BK37" i="8"/>
  <c r="BL37" i="8"/>
  <c r="BM37" i="8"/>
  <c r="BN37" i="8"/>
  <c r="BO37" i="8"/>
  <c r="BP37" i="8"/>
  <c r="BQ37" i="8"/>
  <c r="BR37" i="8"/>
  <c r="BS37" i="8"/>
  <c r="BT37" i="8"/>
  <c r="BU37" i="8"/>
  <c r="BV37" i="8"/>
  <c r="BW37" i="8"/>
  <c r="G130" i="7" l="1"/>
  <c r="G128" i="7"/>
  <c r="G127" i="7"/>
  <c r="G126" i="7"/>
  <c r="G125" i="7"/>
  <c r="G124" i="7"/>
  <c r="G123" i="7"/>
  <c r="G122" i="7"/>
  <c r="G121" i="7"/>
  <c r="N120" i="7"/>
  <c r="O120" i="7"/>
  <c r="P120" i="7"/>
  <c r="Q120" i="7"/>
  <c r="R120" i="7"/>
  <c r="S120" i="7"/>
  <c r="T120" i="7"/>
  <c r="U120" i="7"/>
  <c r="V120" i="7"/>
  <c r="W120" i="7"/>
  <c r="X120" i="7"/>
  <c r="Y120" i="7"/>
  <c r="Z120" i="7"/>
  <c r="AA120" i="7"/>
  <c r="AB120" i="7"/>
  <c r="AC120" i="7"/>
  <c r="G141" i="7" l="1"/>
  <c r="M85" i="4" l="1"/>
  <c r="G139" i="7" l="1"/>
  <c r="G140" i="7" l="1"/>
  <c r="C73" i="8" l="1"/>
  <c r="C72" i="8"/>
  <c r="AZ12" i="5" l="1"/>
  <c r="BA12" i="5"/>
  <c r="BB12" i="5"/>
  <c r="BC12" i="5"/>
  <c r="BD12" i="5"/>
  <c r="BE12" i="5"/>
  <c r="BF12" i="5"/>
  <c r="Q14" i="9" s="1"/>
  <c r="BH12" i="5"/>
  <c r="BI12" i="5"/>
  <c r="BJ12" i="5"/>
  <c r="BK12" i="5"/>
  <c r="BL12" i="5"/>
  <c r="BM12" i="5"/>
  <c r="BN12" i="5"/>
  <c r="AX12" i="5"/>
  <c r="Y38" i="8" l="1"/>
  <c r="Y14" i="9"/>
  <c r="I38" i="8"/>
  <c r="I14" i="9"/>
  <c r="AA38" i="8"/>
  <c r="AA14" i="9"/>
  <c r="X38" i="8"/>
  <c r="X14" i="9"/>
  <c r="L38" i="8"/>
  <c r="L14" i="9"/>
  <c r="AB38" i="8"/>
  <c r="AB14" i="9"/>
  <c r="Z38" i="8"/>
  <c r="Z14" i="9"/>
  <c r="W38" i="8"/>
  <c r="W14" i="9"/>
  <c r="V38" i="8"/>
  <c r="V14" i="9"/>
  <c r="U38" i="8"/>
  <c r="U14" i="9"/>
  <c r="T38" i="8"/>
  <c r="T14" i="9"/>
  <c r="S38" i="8"/>
  <c r="S14" i="9"/>
  <c r="Q38" i="8"/>
  <c r="P38" i="8"/>
  <c r="P14" i="9"/>
  <c r="O38" i="8"/>
  <c r="O14" i="9"/>
  <c r="N38" i="8"/>
  <c r="N14" i="9"/>
  <c r="M38" i="8"/>
  <c r="M14" i="9"/>
  <c r="K38" i="8"/>
  <c r="K14" i="9"/>
  <c r="AA88" i="5" l="1"/>
  <c r="Z88" i="5"/>
  <c r="Y88" i="5"/>
  <c r="X88" i="5"/>
  <c r="W88" i="5"/>
  <c r="V88" i="5"/>
  <c r="U88" i="5"/>
  <c r="T88" i="5"/>
  <c r="S88" i="5"/>
  <c r="R88" i="5"/>
  <c r="Q88" i="5"/>
  <c r="P88" i="5"/>
  <c r="O88" i="5"/>
  <c r="N88" i="5"/>
  <c r="M88" i="5"/>
  <c r="L88" i="5"/>
  <c r="K88" i="5"/>
  <c r="J88" i="5"/>
  <c r="I88" i="5"/>
  <c r="H88" i="5"/>
  <c r="F88" i="5"/>
  <c r="E88" i="5"/>
  <c r="BW13" i="9" l="1"/>
  <c r="BW15" i="9" s="1"/>
  <c r="BV13" i="9"/>
  <c r="BV15" i="9" s="1"/>
  <c r="BU13" i="9"/>
  <c r="BU15" i="9" s="1"/>
  <c r="BT13" i="9"/>
  <c r="BT15" i="9" s="1"/>
  <c r="BS13" i="9"/>
  <c r="BS15" i="9" s="1"/>
  <c r="BR13" i="9"/>
  <c r="BR15" i="9" s="1"/>
  <c r="BQ13" i="9"/>
  <c r="BQ15" i="9" s="1"/>
  <c r="BP13" i="9"/>
  <c r="BP15" i="9" s="1"/>
  <c r="BO13" i="9"/>
  <c r="BO15" i="9" s="1"/>
  <c r="BN13" i="9"/>
  <c r="BN15" i="9" s="1"/>
  <c r="BM13" i="9"/>
  <c r="BM15" i="9" s="1"/>
  <c r="BL13" i="9"/>
  <c r="BL15" i="9" s="1"/>
  <c r="BK13" i="9"/>
  <c r="BK15" i="9" s="1"/>
  <c r="BJ13" i="9"/>
  <c r="BJ15" i="9" s="1"/>
  <c r="BI13" i="9"/>
  <c r="BI15" i="9" s="1"/>
  <c r="BH13" i="9"/>
  <c r="BH15" i="9" s="1"/>
  <c r="BG13" i="9"/>
  <c r="BG15" i="9" s="1"/>
  <c r="BF13" i="9"/>
  <c r="BF15" i="9" s="1"/>
  <c r="BE13" i="9"/>
  <c r="BE15" i="9" s="1"/>
  <c r="BD13" i="9"/>
  <c r="BD15" i="9" s="1"/>
  <c r="BC13" i="9"/>
  <c r="BC15" i="9" s="1"/>
  <c r="BB13" i="9"/>
  <c r="BB15" i="9" s="1"/>
  <c r="BA13" i="9"/>
  <c r="BA15" i="9" s="1"/>
  <c r="AZ13" i="9"/>
  <c r="AZ15" i="9" s="1"/>
  <c r="AY13" i="9"/>
  <c r="AY15" i="9" s="1"/>
  <c r="AX13" i="9"/>
  <c r="AX15" i="9" s="1"/>
  <c r="AW13" i="9"/>
  <c r="AW15" i="9" s="1"/>
  <c r="AV13" i="9"/>
  <c r="AV15" i="9" s="1"/>
  <c r="AU13" i="9"/>
  <c r="AU15" i="9" s="1"/>
  <c r="AT13" i="9"/>
  <c r="AT15" i="9" s="1"/>
  <c r="AR13" i="9"/>
  <c r="AR15" i="9" s="1"/>
  <c r="AQ13" i="9"/>
  <c r="AQ15" i="9" s="1"/>
  <c r="CE37" i="8" l="1"/>
  <c r="CD37" i="8"/>
  <c r="CC37" i="8"/>
  <c r="CB37" i="8"/>
  <c r="CA37" i="8"/>
  <c r="BZ37" i="8"/>
  <c r="BY37" i="8"/>
  <c r="BX37" i="8"/>
  <c r="CE40" i="8" l="1"/>
  <c r="CD40" i="8"/>
  <c r="F24" i="6"/>
  <c r="AB8" i="9" l="1"/>
  <c r="Z8" i="9"/>
  <c r="AB9" i="6"/>
  <c r="AC8" i="9"/>
  <c r="CE36" i="8"/>
  <c r="AA8" i="9"/>
  <c r="AC9" i="6"/>
  <c r="AD9" i="6"/>
  <c r="AA9" i="6"/>
  <c r="CD43" i="8"/>
  <c r="CE43" i="8"/>
  <c r="CD36" i="8"/>
  <c r="H8" i="7" l="1"/>
  <c r="F15" i="8" s="1"/>
  <c r="H7" i="7"/>
  <c r="F87" i="5"/>
  <c r="AU8" i="5"/>
  <c r="E87" i="5" s="1"/>
  <c r="AE9" i="5"/>
  <c r="AD9" i="5"/>
  <c r="AC9" i="5"/>
  <c r="AB9" i="5"/>
  <c r="AA9" i="5"/>
  <c r="Z9" i="5"/>
  <c r="Y9" i="5"/>
  <c r="X9" i="5"/>
  <c r="W9" i="5"/>
  <c r="V9" i="5"/>
  <c r="U9" i="5"/>
  <c r="T9" i="5"/>
  <c r="S9" i="5"/>
  <c r="R9" i="5"/>
  <c r="Q9" i="5"/>
  <c r="P9" i="5"/>
  <c r="O9" i="5"/>
  <c r="N9" i="5"/>
  <c r="M9" i="5"/>
  <c r="L9" i="5"/>
  <c r="K9" i="5"/>
  <c r="J9" i="5"/>
  <c r="I9" i="5"/>
  <c r="H9" i="5"/>
  <c r="K8" i="5"/>
  <c r="J8" i="5"/>
  <c r="I8" i="5"/>
  <c r="H8" i="5"/>
  <c r="S8" i="5" l="1"/>
  <c r="G9" i="6"/>
  <c r="F8" i="9"/>
  <c r="K9" i="6"/>
  <c r="J8" i="9"/>
  <c r="O9" i="6"/>
  <c r="N8" i="9"/>
  <c r="S9" i="6"/>
  <c r="R8" i="9"/>
  <c r="W9" i="6"/>
  <c r="V8" i="9"/>
  <c r="H9" i="6"/>
  <c r="G8" i="9"/>
  <c r="L9" i="6"/>
  <c r="K8" i="9"/>
  <c r="P9" i="6"/>
  <c r="O8" i="9"/>
  <c r="T9" i="6"/>
  <c r="S8" i="9"/>
  <c r="X9" i="6"/>
  <c r="W8" i="9"/>
  <c r="I9" i="6"/>
  <c r="H8" i="9"/>
  <c r="M9" i="6"/>
  <c r="L8" i="9"/>
  <c r="Q9" i="6"/>
  <c r="P8" i="9"/>
  <c r="U9" i="6"/>
  <c r="T8" i="9"/>
  <c r="Y9" i="6"/>
  <c r="X8" i="9"/>
  <c r="J9" i="6"/>
  <c r="I8" i="9"/>
  <c r="N9" i="6"/>
  <c r="M8" i="9"/>
  <c r="R9" i="6"/>
  <c r="Q8" i="9"/>
  <c r="V9" i="6"/>
  <c r="U8" i="9"/>
  <c r="Z9" i="6"/>
  <c r="Y8" i="9"/>
  <c r="P8" i="5"/>
  <c r="M8" i="5"/>
  <c r="Q8" i="5"/>
  <c r="I87" i="5"/>
  <c r="M87" i="5"/>
  <c r="L87" i="5"/>
  <c r="N8" i="5"/>
  <c r="J87" i="5"/>
  <c r="L8" i="5"/>
  <c r="H87" i="5"/>
  <c r="O8" i="5"/>
  <c r="K87" i="5"/>
  <c r="O87" i="5" l="1"/>
  <c r="N87" i="5"/>
  <c r="R8" i="5"/>
  <c r="R87" i="5" l="1"/>
  <c r="V8" i="5"/>
  <c r="Q87" i="5"/>
  <c r="U8" i="5"/>
  <c r="P87" i="5"/>
  <c r="T8" i="5"/>
  <c r="X7" i="4"/>
  <c r="W8" i="5"/>
  <c r="S87" i="5"/>
  <c r="V8" i="6"/>
  <c r="C20" i="8"/>
  <c r="U7" i="9"/>
  <c r="T7" i="9"/>
  <c r="S7" i="9"/>
  <c r="Q7" i="9"/>
  <c r="P7" i="9"/>
  <c r="O7" i="9"/>
  <c r="M7" i="9"/>
  <c r="L7" i="9"/>
  <c r="K7" i="9"/>
  <c r="I7" i="9"/>
  <c r="H7" i="9"/>
  <c r="G7" i="9"/>
  <c r="F7" i="9"/>
  <c r="S14" i="8"/>
  <c r="S8" i="8" s="1"/>
  <c r="Q14" i="8"/>
  <c r="Q8" i="8" s="1"/>
  <c r="P14" i="8"/>
  <c r="P8" i="8" s="1"/>
  <c r="O14" i="8"/>
  <c r="O8" i="8" s="1"/>
  <c r="M14" i="8"/>
  <c r="M8" i="8" s="1"/>
  <c r="L14" i="8"/>
  <c r="L8" i="8" s="1"/>
  <c r="K14" i="8"/>
  <c r="K8" i="8" s="1"/>
  <c r="I14" i="8"/>
  <c r="I8" i="8" s="1"/>
  <c r="H14" i="8"/>
  <c r="H8" i="8" s="1"/>
  <c r="G14" i="8"/>
  <c r="G8" i="8" s="1"/>
  <c r="F14" i="8"/>
  <c r="F8" i="8" s="1"/>
  <c r="T8" i="6"/>
  <c r="R8" i="6"/>
  <c r="Q8" i="6"/>
  <c r="P8" i="6"/>
  <c r="N8" i="6"/>
  <c r="M8" i="6"/>
  <c r="L8" i="6"/>
  <c r="J8" i="6"/>
  <c r="I8" i="6"/>
  <c r="H8" i="6"/>
  <c r="G8" i="6"/>
  <c r="J7" i="9"/>
  <c r="CC40" i="8"/>
  <c r="CB40" i="8"/>
  <c r="CA40" i="8"/>
  <c r="BZ40" i="8"/>
  <c r="BY40" i="8"/>
  <c r="BX40" i="8"/>
  <c r="BW40" i="8"/>
  <c r="BV40" i="8"/>
  <c r="BU40" i="8"/>
  <c r="BT40" i="8"/>
  <c r="BS40" i="8"/>
  <c r="BR40" i="8"/>
  <c r="BQ40" i="8"/>
  <c r="BP40" i="8"/>
  <c r="BO40" i="8"/>
  <c r="BN40" i="8"/>
  <c r="BM40" i="8"/>
  <c r="BL40" i="8"/>
  <c r="BK40" i="8"/>
  <c r="BJ40" i="8"/>
  <c r="BI40" i="8"/>
  <c r="BH40" i="8"/>
  <c r="BG40" i="8"/>
  <c r="BF40" i="8"/>
  <c r="BE40" i="8"/>
  <c r="BD40" i="8"/>
  <c r="BC40" i="8"/>
  <c r="BB40" i="8"/>
  <c r="BA40" i="8"/>
  <c r="AZ40" i="8"/>
  <c r="AY40" i="8"/>
  <c r="AX40" i="8"/>
  <c r="AW40" i="8"/>
  <c r="AV40" i="8"/>
  <c r="AU40" i="8"/>
  <c r="AT40" i="8"/>
  <c r="AR40" i="8"/>
  <c r="AQ40" i="8"/>
  <c r="BY11" i="7"/>
  <c r="BX11" i="7"/>
  <c r="BW11" i="7"/>
  <c r="BV11" i="7"/>
  <c r="BU11" i="7"/>
  <c r="BT11" i="7"/>
  <c r="BS11" i="7"/>
  <c r="BR11" i="7"/>
  <c r="BQ11" i="7"/>
  <c r="BP11" i="7"/>
  <c r="BO11" i="7"/>
  <c r="BN11" i="7"/>
  <c r="BM11" i="7"/>
  <c r="BL11" i="7"/>
  <c r="BK11" i="7"/>
  <c r="BJ11" i="7"/>
  <c r="BI11" i="7"/>
  <c r="BH11" i="7"/>
  <c r="BG11" i="7"/>
  <c r="BF11" i="7"/>
  <c r="BE11" i="7"/>
  <c r="BD11" i="7"/>
  <c r="BC11" i="7"/>
  <c r="BB11" i="7"/>
  <c r="BA11" i="7"/>
  <c r="AZ11" i="7"/>
  <c r="AY11" i="7"/>
  <c r="AX11" i="7"/>
  <c r="AW11" i="7"/>
  <c r="AV11" i="7"/>
  <c r="AU11" i="7"/>
  <c r="AT11" i="7"/>
  <c r="AS11" i="7"/>
  <c r="AR11" i="7"/>
  <c r="AQ11" i="7"/>
  <c r="AP11" i="7"/>
  <c r="AO11" i="7"/>
  <c r="AN11" i="7"/>
  <c r="AM11" i="7"/>
  <c r="AL11" i="7"/>
  <c r="AK11" i="7"/>
  <c r="AI11" i="7"/>
  <c r="AH11" i="7"/>
  <c r="AG11" i="7"/>
  <c r="AF11" i="7"/>
  <c r="AE11" i="7"/>
  <c r="AD11" i="7"/>
  <c r="AC11" i="7"/>
  <c r="AB11" i="7"/>
  <c r="G131" i="7"/>
  <c r="G132" i="7"/>
  <c r="G133" i="7"/>
  <c r="G134" i="7"/>
  <c r="X24" i="7"/>
  <c r="X25" i="7" s="1"/>
  <c r="X26" i="7" s="1"/>
  <c r="W35" i="6" s="1"/>
  <c r="V24" i="7"/>
  <c r="V25" i="7" s="1"/>
  <c r="V26" i="7" s="1"/>
  <c r="U35" i="6" s="1"/>
  <c r="T24" i="7"/>
  <c r="T25" i="7" s="1"/>
  <c r="T26" i="7" s="1"/>
  <c r="S35" i="6" s="1"/>
  <c r="S24" i="7"/>
  <c r="S25" i="7" s="1"/>
  <c r="S26" i="7" s="1"/>
  <c r="R35" i="6" s="1"/>
  <c r="R24" i="7"/>
  <c r="R25" i="7" s="1"/>
  <c r="R26" i="7" s="1"/>
  <c r="Q35" i="6" s="1"/>
  <c r="Q24" i="7"/>
  <c r="Q25" i="7" s="1"/>
  <c r="Q26" i="7" s="1"/>
  <c r="P35" i="6" s="1"/>
  <c r="P24" i="7"/>
  <c r="P25" i="7" s="1"/>
  <c r="P26" i="7" s="1"/>
  <c r="O35" i="6" s="1"/>
  <c r="M24" i="7"/>
  <c r="M25" i="7" s="1"/>
  <c r="M26" i="7" s="1"/>
  <c r="L35" i="6" s="1"/>
  <c r="L24" i="7"/>
  <c r="K24" i="7"/>
  <c r="H24" i="7"/>
  <c r="H25" i="7" s="1"/>
  <c r="H26" i="7" s="1"/>
  <c r="G35" i="6" s="1"/>
  <c r="I24" i="7"/>
  <c r="I25" i="7" s="1"/>
  <c r="I26" i="7" s="1"/>
  <c r="J24" i="7"/>
  <c r="E13" i="31"/>
  <c r="E16" i="31" s="1"/>
  <c r="E19" i="31" s="1"/>
  <c r="E22" i="31" s="1"/>
  <c r="E25" i="31" s="1"/>
  <c r="E28" i="31" s="1"/>
  <c r="E31" i="31" s="1"/>
  <c r="E34" i="31" s="1"/>
  <c r="E11" i="31"/>
  <c r="E14" i="31" s="1"/>
  <c r="AA11" i="7"/>
  <c r="Z11" i="7"/>
  <c r="Y11" i="7"/>
  <c r="X11" i="7"/>
  <c r="W11" i="7"/>
  <c r="V11" i="7"/>
  <c r="U11" i="7"/>
  <c r="T11" i="7"/>
  <c r="S11" i="7"/>
  <c r="R11" i="7"/>
  <c r="Q11" i="7"/>
  <c r="L11" i="7"/>
  <c r="K11" i="7"/>
  <c r="J11" i="7"/>
  <c r="I11" i="7"/>
  <c r="H11" i="7"/>
  <c r="P11" i="7"/>
  <c r="O11" i="7"/>
  <c r="N11" i="7"/>
  <c r="M11" i="7"/>
  <c r="E12" i="31"/>
  <c r="E15" i="31" s="1"/>
  <c r="E18" i="31" s="1"/>
  <c r="E21" i="31" s="1"/>
  <c r="E24" i="31" s="1"/>
  <c r="G36" i="9"/>
  <c r="E10" i="9"/>
  <c r="B49" i="8"/>
  <c r="B48" i="8"/>
  <c r="B45" i="8"/>
  <c r="B27" i="8"/>
  <c r="F10" i="6"/>
  <c r="F25" i="6" s="1"/>
  <c r="H15" i="5"/>
  <c r="I27" i="7" l="1"/>
  <c r="H45" i="6" s="1"/>
  <c r="H35" i="6"/>
  <c r="H36" i="9"/>
  <c r="I36" i="9" s="1"/>
  <c r="J36" i="9" s="1"/>
  <c r="K36" i="9" s="1"/>
  <c r="L36" i="9" s="1"/>
  <c r="M36" i="9" s="1"/>
  <c r="N36" i="9" s="1"/>
  <c r="O36" i="9" s="1"/>
  <c r="P36" i="9" s="1"/>
  <c r="Q36" i="9" s="1"/>
  <c r="R36" i="9" s="1"/>
  <c r="S36" i="9" s="1"/>
  <c r="T36" i="9" s="1"/>
  <c r="U36" i="9" s="1"/>
  <c r="V36" i="9" s="1"/>
  <c r="W36" i="9" s="1"/>
  <c r="X36" i="9" s="1"/>
  <c r="Y36" i="9" s="1"/>
  <c r="Z36" i="9" s="1"/>
  <c r="AA36" i="9" s="1"/>
  <c r="AB36" i="9" s="1"/>
  <c r="AC36" i="9" s="1"/>
  <c r="AD36" i="9" s="1"/>
  <c r="AE36" i="9" s="1"/>
  <c r="AF36" i="9" s="1"/>
  <c r="AG36" i="9" s="1"/>
  <c r="AH36" i="9" s="1"/>
  <c r="AI36" i="9" s="1"/>
  <c r="AJ36" i="9" s="1"/>
  <c r="AK36" i="9" s="1"/>
  <c r="AL36" i="9" s="1"/>
  <c r="AM36" i="9" s="1"/>
  <c r="AN36" i="9" s="1"/>
  <c r="AO36" i="9" s="1"/>
  <c r="AP36" i="9" s="1"/>
  <c r="AQ36" i="9" s="1"/>
  <c r="AR36" i="9" s="1"/>
  <c r="AS36" i="9" s="1"/>
  <c r="AT36" i="9" s="1"/>
  <c r="AU36" i="9" s="1"/>
  <c r="AV36" i="9" s="1"/>
  <c r="AW36" i="9" s="1"/>
  <c r="AX36" i="9" s="1"/>
  <c r="AY36" i="9" s="1"/>
  <c r="AZ36" i="9" s="1"/>
  <c r="BA36" i="9" s="1"/>
  <c r="BB36" i="9" s="1"/>
  <c r="BC36" i="9" s="1"/>
  <c r="BD36" i="9" s="1"/>
  <c r="BE36" i="9" s="1"/>
  <c r="BF36" i="9" s="1"/>
  <c r="BG36" i="9" s="1"/>
  <c r="BH36" i="9" s="1"/>
  <c r="BI36" i="9" s="1"/>
  <c r="BJ36" i="9" s="1"/>
  <c r="CB36" i="8"/>
  <c r="CC36" i="8"/>
  <c r="G135" i="7"/>
  <c r="AJ11" i="7"/>
  <c r="BN8" i="5"/>
  <c r="W87" i="5" s="1"/>
  <c r="AA7" i="7"/>
  <c r="U14" i="8"/>
  <c r="U8" i="8" s="1"/>
  <c r="AA7" i="4"/>
  <c r="Y8" i="6"/>
  <c r="Z8" i="5"/>
  <c r="V87" i="5"/>
  <c r="U8" i="6"/>
  <c r="T14" i="8"/>
  <c r="T8" i="8" s="1"/>
  <c r="Z7" i="4"/>
  <c r="Y8" i="5"/>
  <c r="U87" i="5"/>
  <c r="X8" i="6"/>
  <c r="Y7" i="4"/>
  <c r="X8" i="5"/>
  <c r="T87" i="5"/>
  <c r="AB7" i="4"/>
  <c r="AA8" i="5"/>
  <c r="BY43" i="8"/>
  <c r="G137" i="7"/>
  <c r="G136" i="7"/>
  <c r="BT43" i="8"/>
  <c r="BX43" i="8"/>
  <c r="BO43" i="8"/>
  <c r="BS36" i="8"/>
  <c r="D4" i="31"/>
  <c r="BJ36" i="8"/>
  <c r="BN36" i="8"/>
  <c r="BR36" i="8"/>
  <c r="BZ36" i="8"/>
  <c r="BI43" i="8"/>
  <c r="BV36" i="8"/>
  <c r="BY36" i="8"/>
  <c r="BL43" i="8"/>
  <c r="BP36" i="8"/>
  <c r="BT36" i="8"/>
  <c r="CA43" i="8"/>
  <c r="BX36" i="8"/>
  <c r="BZ43" i="8"/>
  <c r="BP43" i="8"/>
  <c r="AR43" i="8"/>
  <c r="AV43" i="8"/>
  <c r="BF36" i="8"/>
  <c r="BE43" i="8"/>
  <c r="BM43" i="8"/>
  <c r="BU43" i="8"/>
  <c r="BJ43" i="8"/>
  <c r="BN43" i="8"/>
  <c r="BR43" i="8"/>
  <c r="BV43" i="8"/>
  <c r="CA36" i="8"/>
  <c r="AY43" i="8"/>
  <c r="BC43" i="8"/>
  <c r="BG43" i="8"/>
  <c r="BA43" i="8"/>
  <c r="AR36" i="8"/>
  <c r="AV36" i="8"/>
  <c r="AQ36" i="8"/>
  <c r="AU43" i="8"/>
  <c r="AY36" i="8"/>
  <c r="BC36" i="8"/>
  <c r="BK43" i="8"/>
  <c r="BI36" i="8"/>
  <c r="E17" i="31"/>
  <c r="E20" i="31" s="1"/>
  <c r="E27" i="31"/>
  <c r="E30" i="31" s="1"/>
  <c r="E37" i="31"/>
  <c r="U24" i="7"/>
  <c r="U25" i="7" s="1"/>
  <c r="U26" i="7" s="1"/>
  <c r="T35" i="6" s="1"/>
  <c r="N24" i="7"/>
  <c r="N25" i="7" s="1"/>
  <c r="N26" i="7" s="1"/>
  <c r="M35" i="6" s="1"/>
  <c r="Z24" i="7"/>
  <c r="Z25" i="7" s="1"/>
  <c r="Z26" i="7" s="1"/>
  <c r="Y35" i="6" s="1"/>
  <c r="W24" i="7"/>
  <c r="W25" i="7" s="1"/>
  <c r="W26" i="7" s="1"/>
  <c r="V35" i="6" s="1"/>
  <c r="Y24" i="7"/>
  <c r="Y25" i="7" s="1"/>
  <c r="Y26" i="7" s="1"/>
  <c r="X35" i="6" s="1"/>
  <c r="O24" i="7"/>
  <c r="O25" i="7" s="1"/>
  <c r="O26" i="7" s="1"/>
  <c r="N35" i="6" s="1"/>
  <c r="AA24" i="7"/>
  <c r="AA25" i="7" s="1"/>
  <c r="AA26" i="7" s="1"/>
  <c r="Z35" i="6" s="1"/>
  <c r="AQ43" i="8"/>
  <c r="BW36" i="8"/>
  <c r="BW43" i="8"/>
  <c r="BQ36" i="8"/>
  <c r="BQ43" i="8"/>
  <c r="AU36" i="8"/>
  <c r="AX43" i="8"/>
  <c r="BH36" i="8"/>
  <c r="BH43" i="8"/>
  <c r="AW43" i="8"/>
  <c r="AW36" i="8"/>
  <c r="AZ36" i="8"/>
  <c r="AZ43" i="8"/>
  <c r="BD36" i="8"/>
  <c r="BD43" i="8"/>
  <c r="BG36" i="8"/>
  <c r="BS43" i="8"/>
  <c r="AT43" i="8"/>
  <c r="BB43" i="8"/>
  <c r="BF43" i="8"/>
  <c r="BE36" i="8"/>
  <c r="CC43" i="8"/>
  <c r="AI24" i="7"/>
  <c r="AI25" i="7" s="1"/>
  <c r="AI26" i="7" s="1"/>
  <c r="AH35" i="6" s="1"/>
  <c r="AR24" i="7"/>
  <c r="AR25" i="7" s="1"/>
  <c r="AR26" i="7" s="1"/>
  <c r="AQ35" i="6" s="1"/>
  <c r="BG24" i="7"/>
  <c r="BG25" i="7" s="1"/>
  <c r="BG26" i="7" s="1"/>
  <c r="BF35" i="6" s="1"/>
  <c r="BV24" i="7"/>
  <c r="BV25" i="7" s="1"/>
  <c r="BV26" i="7" s="1"/>
  <c r="BU35" i="6" s="1"/>
  <c r="AH24" i="7"/>
  <c r="AH25" i="7" s="1"/>
  <c r="AH26" i="7" s="1"/>
  <c r="AG35" i="6" s="1"/>
  <c r="AG24" i="7"/>
  <c r="AG25" i="7" s="1"/>
  <c r="AG26" i="7" s="1"/>
  <c r="AF35" i="6" s="1"/>
  <c r="AP24" i="7"/>
  <c r="AP25" i="7" s="1"/>
  <c r="AP26" i="7" s="1"/>
  <c r="AO35" i="6" s="1"/>
  <c r="BE24" i="7"/>
  <c r="BE25" i="7" s="1"/>
  <c r="BE26" i="7" s="1"/>
  <c r="BD35" i="6" s="1"/>
  <c r="BM24" i="7"/>
  <c r="BM25" i="7" s="1"/>
  <c r="BM26" i="7" s="1"/>
  <c r="BL35" i="6" s="1"/>
  <c r="BT24" i="7"/>
  <c r="BT25" i="7" s="1"/>
  <c r="BT26" i="7" s="1"/>
  <c r="BS35" i="6" s="1"/>
  <c r="BN24" i="7"/>
  <c r="BN25" i="7" s="1"/>
  <c r="BN26" i="7" s="1"/>
  <c r="BM35" i="6" s="1"/>
  <c r="AC24" i="7"/>
  <c r="AC25" i="7" s="1"/>
  <c r="AC26" i="7" s="1"/>
  <c r="AB35" i="6" s="1"/>
  <c r="AE24" i="7"/>
  <c r="AE25" i="7" s="1"/>
  <c r="AE26" i="7" s="1"/>
  <c r="AD35" i="6" s="1"/>
  <c r="AN24" i="7"/>
  <c r="AN25" i="7" s="1"/>
  <c r="AN26" i="7" s="1"/>
  <c r="AM35" i="6" s="1"/>
  <c r="AV24" i="7"/>
  <c r="AV25" i="7" s="1"/>
  <c r="AV26" i="7" s="1"/>
  <c r="AU35" i="6" s="1"/>
  <c r="BC24" i="7"/>
  <c r="BC25" i="7" s="1"/>
  <c r="BC26" i="7" s="1"/>
  <c r="BB35" i="6" s="1"/>
  <c r="BK24" i="7"/>
  <c r="BK25" i="7" s="1"/>
  <c r="BK26" i="7" s="1"/>
  <c r="BJ35" i="6" s="1"/>
  <c r="AT24" i="7"/>
  <c r="AT25" i="7" s="1"/>
  <c r="AT26" i="7" s="1"/>
  <c r="AS35" i="6" s="1"/>
  <c r="BI24" i="7"/>
  <c r="BI25" i="7" s="1"/>
  <c r="BI26" i="7" s="1"/>
  <c r="BH35" i="6" s="1"/>
  <c r="BX24" i="7"/>
  <c r="BX25" i="7" s="1"/>
  <c r="BX26" i="7" s="1"/>
  <c r="BW35" i="6" s="1"/>
  <c r="J25" i="7"/>
  <c r="J26" i="7" s="1"/>
  <c r="I35" i="6" s="1"/>
  <c r="AK24" i="7"/>
  <c r="AK25" i="7" s="1"/>
  <c r="AK26" i="7" s="1"/>
  <c r="AJ35" i="6" s="1"/>
  <c r="AZ24" i="7"/>
  <c r="AZ25" i="7" s="1"/>
  <c r="AZ26" i="7" s="1"/>
  <c r="AY35" i="6" s="1"/>
  <c r="BO24" i="7"/>
  <c r="BO25" i="7" s="1"/>
  <c r="BO26" i="7" s="1"/>
  <c r="BN35" i="6" s="1"/>
  <c r="BQ24" i="7"/>
  <c r="BQ25" i="7" s="1"/>
  <c r="BQ26" i="7" s="1"/>
  <c r="BP35" i="6" s="1"/>
  <c r="BB24" i="7"/>
  <c r="BB25" i="7" s="1"/>
  <c r="BB26" i="7" s="1"/>
  <c r="BA35" i="6" s="1"/>
  <c r="AJ24" i="7"/>
  <c r="AJ25" i="7" s="1"/>
  <c r="AJ26" i="7" s="1"/>
  <c r="AI35" i="6" s="1"/>
  <c r="AY24" i="7"/>
  <c r="AY25" i="7" s="1"/>
  <c r="AY26" i="7" s="1"/>
  <c r="AX35" i="6" s="1"/>
  <c r="BA24" i="7"/>
  <c r="BA25" i="7" s="1"/>
  <c r="BA26" i="7" s="1"/>
  <c r="AZ35" i="6" s="1"/>
  <c r="BP24" i="7"/>
  <c r="BP25" i="7" s="1"/>
  <c r="BP26" i="7" s="1"/>
  <c r="BO35" i="6" s="1"/>
  <c r="AL24" i="7"/>
  <c r="AL25" i="7" s="1"/>
  <c r="AL26" i="7" s="1"/>
  <c r="AK35" i="6" s="1"/>
  <c r="BR24" i="7"/>
  <c r="BR25" i="7" s="1"/>
  <c r="BR26" i="7" s="1"/>
  <c r="BQ35" i="6" s="1"/>
  <c r="AB24" i="7"/>
  <c r="AB25" i="7" s="1"/>
  <c r="AB26" i="7" s="1"/>
  <c r="AA35" i="6" s="1"/>
  <c r="AD24" i="7"/>
  <c r="AD25" i="7" s="1"/>
  <c r="AD26" i="7" s="1"/>
  <c r="AC35" i="6" s="1"/>
  <c r="AF24" i="7"/>
  <c r="AF25" i="7" s="1"/>
  <c r="AF26" i="7" s="1"/>
  <c r="AE35" i="6" s="1"/>
  <c r="AM24" i="7"/>
  <c r="AM25" i="7" s="1"/>
  <c r="AM26" i="7" s="1"/>
  <c r="AL35" i="6" s="1"/>
  <c r="AO24" i="7"/>
  <c r="AO25" i="7" s="1"/>
  <c r="AO26" i="7" s="1"/>
  <c r="AN35" i="6" s="1"/>
  <c r="AQ24" i="7"/>
  <c r="AQ25" i="7" s="1"/>
  <c r="AQ26" i="7" s="1"/>
  <c r="AP35" i="6" s="1"/>
  <c r="AS24" i="7"/>
  <c r="AS25" i="7" s="1"/>
  <c r="AS26" i="7" s="1"/>
  <c r="AR35" i="6" s="1"/>
  <c r="AU24" i="7"/>
  <c r="AU25" i="7" s="1"/>
  <c r="AU26" i="7" s="1"/>
  <c r="AT35" i="6" s="1"/>
  <c r="AW24" i="7"/>
  <c r="AW25" i="7" s="1"/>
  <c r="AW26" i="7" s="1"/>
  <c r="AV35" i="6" s="1"/>
  <c r="BD24" i="7"/>
  <c r="BD25" i="7" s="1"/>
  <c r="BD26" i="7" s="1"/>
  <c r="BC35" i="6" s="1"/>
  <c r="BF24" i="7"/>
  <c r="BF25" i="7" s="1"/>
  <c r="BF26" i="7" s="1"/>
  <c r="BE35" i="6" s="1"/>
  <c r="BH24" i="7"/>
  <c r="BH25" i="7" s="1"/>
  <c r="BH26" i="7" s="1"/>
  <c r="BG35" i="6" s="1"/>
  <c r="BJ24" i="7"/>
  <c r="BJ25" i="7" s="1"/>
  <c r="BJ26" i="7" s="1"/>
  <c r="BI35" i="6" s="1"/>
  <c r="BL24" i="7"/>
  <c r="BL25" i="7" s="1"/>
  <c r="BL26" i="7" s="1"/>
  <c r="BK35" i="6" s="1"/>
  <c r="BS24" i="7"/>
  <c r="BS25" i="7" s="1"/>
  <c r="BS26" i="7" s="1"/>
  <c r="BR35" i="6" s="1"/>
  <c r="BU24" i="7"/>
  <c r="BU25" i="7" s="1"/>
  <c r="BU26" i="7" s="1"/>
  <c r="BT35" i="6" s="1"/>
  <c r="BW24" i="7"/>
  <c r="BW25" i="7" s="1"/>
  <c r="BW26" i="7" s="1"/>
  <c r="BV35" i="6" s="1"/>
  <c r="BY24" i="7"/>
  <c r="BY25" i="7" s="1"/>
  <c r="BY26" i="7" s="1"/>
  <c r="BX35" i="6" s="1"/>
  <c r="AX24" i="7"/>
  <c r="AX25" i="7" s="1"/>
  <c r="AX26" i="7" s="1"/>
  <c r="AW35" i="6" s="1"/>
  <c r="K8" i="6"/>
  <c r="J14" i="8"/>
  <c r="J8" i="8" s="1"/>
  <c r="AT36" i="8"/>
  <c r="AX36" i="8"/>
  <c r="BB36" i="8"/>
  <c r="BK36" i="8"/>
  <c r="BO36" i="8"/>
  <c r="BL36" i="8"/>
  <c r="CB43" i="8"/>
  <c r="BM36" i="8"/>
  <c r="BA36" i="8"/>
  <c r="BU36" i="8"/>
  <c r="J27" i="7" l="1"/>
  <c r="I45" i="6" s="1"/>
  <c r="BK36" i="9"/>
  <c r="BR8" i="5"/>
  <c r="AA87" i="5" s="1"/>
  <c r="AE7" i="7"/>
  <c r="AD7" i="7"/>
  <c r="BQ8" i="5"/>
  <c r="Z87" i="5" s="1"/>
  <c r="AB7" i="7"/>
  <c r="BO8" i="5"/>
  <c r="X87" i="5" s="1"/>
  <c r="AC7" i="7"/>
  <c r="BP8" i="5"/>
  <c r="Y87" i="5" s="1"/>
  <c r="X14" i="8"/>
  <c r="X8" i="8" s="1"/>
  <c r="W14" i="8"/>
  <c r="W8" i="8" s="1"/>
  <c r="AE7" i="4"/>
  <c r="AH7" i="7" s="1"/>
  <c r="AF14" i="8" s="1"/>
  <c r="AD8" i="5"/>
  <c r="X7" i="9"/>
  <c r="W7" i="9"/>
  <c r="AC8" i="5"/>
  <c r="AD7" i="4"/>
  <c r="AG7" i="7" s="1"/>
  <c r="AE14" i="8" s="1"/>
  <c r="AC7" i="4"/>
  <c r="AF7" i="7" s="1"/>
  <c r="AD14" i="8" s="1"/>
  <c r="AB8" i="5"/>
  <c r="AE8" i="5"/>
  <c r="AF7" i="4"/>
  <c r="AI7" i="7" s="1"/>
  <c r="AG14" i="8" s="1"/>
  <c r="Y14" i="8"/>
  <c r="Y8" i="8" s="1"/>
  <c r="Y7" i="9"/>
  <c r="Z8" i="6"/>
  <c r="D5" i="31"/>
  <c r="G24" i="7"/>
  <c r="E40" i="31"/>
  <c r="E33" i="31"/>
  <c r="E23" i="31"/>
  <c r="N7" i="9"/>
  <c r="N14" i="8"/>
  <c r="N8" i="8" s="1"/>
  <c r="O8" i="6"/>
  <c r="BL36" i="9" l="1"/>
  <c r="BT8" i="5"/>
  <c r="AG8" i="5"/>
  <c r="AH7" i="4"/>
  <c r="AK7" i="7" s="1"/>
  <c r="AI14" i="8" s="1"/>
  <c r="AH8" i="5"/>
  <c r="BU8" i="5"/>
  <c r="AI7" i="4"/>
  <c r="AL7" i="7" s="1"/>
  <c r="AJ14" i="8" s="1"/>
  <c r="AI8" i="5"/>
  <c r="BV8" i="5"/>
  <c r="AJ7" i="4"/>
  <c r="AM7" i="7" s="1"/>
  <c r="AK14" i="8" s="1"/>
  <c r="BS8" i="5"/>
  <c r="AF8" i="5"/>
  <c r="AG7" i="4"/>
  <c r="AJ7" i="7" s="1"/>
  <c r="AH14" i="8" s="1"/>
  <c r="D6" i="31"/>
  <c r="E43" i="31"/>
  <c r="E26" i="31"/>
  <c r="E36" i="31"/>
  <c r="R7" i="9"/>
  <c r="R14" i="8"/>
  <c r="R8" i="8" s="1"/>
  <c r="S8" i="6"/>
  <c r="BM36" i="9" l="1"/>
  <c r="AK7" i="4"/>
  <c r="AN7" i="7" s="1"/>
  <c r="AL14" i="8" s="1"/>
  <c r="BW8" i="5"/>
  <c r="AJ8" i="5"/>
  <c r="AL7" i="4"/>
  <c r="AO7" i="7" s="1"/>
  <c r="AM14" i="8" s="1"/>
  <c r="BX8" i="5"/>
  <c r="AK8" i="5"/>
  <c r="AM7" i="4"/>
  <c r="AP7" i="7" s="1"/>
  <c r="AN14" i="8" s="1"/>
  <c r="AL8" i="5"/>
  <c r="BY8" i="5"/>
  <c r="AN7" i="4"/>
  <c r="AM8" i="5"/>
  <c r="BZ8" i="5"/>
  <c r="D7" i="31"/>
  <c r="E39" i="31"/>
  <c r="E29" i="31"/>
  <c r="E46" i="31"/>
  <c r="K25" i="7"/>
  <c r="K26" i="7" s="1"/>
  <c r="J35" i="6" s="1"/>
  <c r="V7" i="9"/>
  <c r="V14" i="8"/>
  <c r="V8" i="8" s="1"/>
  <c r="W8" i="6"/>
  <c r="J7" i="31" l="1"/>
  <c r="I7" i="31"/>
  <c r="H7" i="31"/>
  <c r="K27" i="7"/>
  <c r="J45" i="6" s="1"/>
  <c r="BN36" i="9"/>
  <c r="AO7" i="4"/>
  <c r="AP7" i="4" s="1"/>
  <c r="AQ7" i="7"/>
  <c r="AO14" i="8" s="1"/>
  <c r="CB8" i="5"/>
  <c r="AO8" i="5"/>
  <c r="AP8" i="5"/>
  <c r="CC8" i="5"/>
  <c r="CD8" i="5"/>
  <c r="AQ8" i="5"/>
  <c r="CA8" i="5"/>
  <c r="AN8" i="5"/>
  <c r="C9" i="31"/>
  <c r="D8" i="31"/>
  <c r="J8" i="31" s="1"/>
  <c r="E32" i="31"/>
  <c r="E42" i="31"/>
  <c r="E49" i="31"/>
  <c r="E52" i="31" s="1"/>
  <c r="E55" i="31" s="1"/>
  <c r="Z7" i="9"/>
  <c r="AA8" i="6"/>
  <c r="Z14" i="8"/>
  <c r="Z8" i="8" s="1"/>
  <c r="H8" i="31" l="1"/>
  <c r="I8" i="31"/>
  <c r="AQ7" i="4"/>
  <c r="CF8" i="5"/>
  <c r="CE8" i="5"/>
  <c r="AR8" i="5"/>
  <c r="C10" i="31"/>
  <c r="D9" i="31"/>
  <c r="J9" i="31" s="1"/>
  <c r="E45" i="31"/>
  <c r="E35" i="31"/>
  <c r="AB8" i="6"/>
  <c r="AA14" i="8"/>
  <c r="AA8" i="8" s="1"/>
  <c r="AA7" i="9"/>
  <c r="H9" i="31" l="1"/>
  <c r="I9" i="31"/>
  <c r="AR7" i="4"/>
  <c r="CG8" i="5"/>
  <c r="C11" i="31"/>
  <c r="D10" i="31"/>
  <c r="J10" i="31" s="1"/>
  <c r="E38" i="31"/>
  <c r="E48" i="31"/>
  <c r="AB14" i="8"/>
  <c r="AB8" i="8" s="1"/>
  <c r="AB7" i="9"/>
  <c r="AC8" i="6"/>
  <c r="H10" i="31" l="1"/>
  <c r="I10" i="31"/>
  <c r="C12" i="31"/>
  <c r="D11" i="31"/>
  <c r="J11" i="31" s="1"/>
  <c r="E41" i="31"/>
  <c r="E51" i="31"/>
  <c r="E54" i="31" s="1"/>
  <c r="E57" i="31" s="1"/>
  <c r="AC14" i="8"/>
  <c r="AC8" i="8" s="1"/>
  <c r="AC7" i="9"/>
  <c r="AD8" i="6"/>
  <c r="H11" i="31" l="1"/>
  <c r="I11" i="31"/>
  <c r="C13" i="31"/>
  <c r="D12" i="31"/>
  <c r="J12" i="31" s="1"/>
  <c r="E44" i="31"/>
  <c r="AD7" i="9"/>
  <c r="AE8" i="6"/>
  <c r="AD8" i="8"/>
  <c r="H12" i="31" l="1"/>
  <c r="I12" i="31"/>
  <c r="C14" i="31"/>
  <c r="D13" i="31"/>
  <c r="J13" i="31" s="1"/>
  <c r="E47" i="31"/>
  <c r="AE8" i="8"/>
  <c r="AE7" i="9"/>
  <c r="AF8" i="6"/>
  <c r="H13" i="31" l="1"/>
  <c r="I13" i="31"/>
  <c r="C15" i="31"/>
  <c r="D14" i="31"/>
  <c r="J14" i="31" s="1"/>
  <c r="E50" i="31"/>
  <c r="E53" i="31" s="1"/>
  <c r="E56" i="31" s="1"/>
  <c r="AF8" i="8"/>
  <c r="AF7" i="9"/>
  <c r="AG8" i="6"/>
  <c r="H14" i="31" l="1"/>
  <c r="I14" i="31"/>
  <c r="C16" i="31"/>
  <c r="D15" i="31"/>
  <c r="J15" i="31" s="1"/>
  <c r="AG8" i="8"/>
  <c r="AG7" i="9"/>
  <c r="AH8" i="6"/>
  <c r="H15" i="31" l="1"/>
  <c r="I15" i="31"/>
  <c r="C17" i="31"/>
  <c r="D16" i="31"/>
  <c r="J16" i="31" s="1"/>
  <c r="AH7" i="9"/>
  <c r="AI8" i="6"/>
  <c r="AH8" i="8"/>
  <c r="H16" i="31" l="1"/>
  <c r="I16" i="31"/>
  <c r="C18" i="31"/>
  <c r="D17" i="31"/>
  <c r="J17" i="31" s="1"/>
  <c r="AI7" i="9"/>
  <c r="AJ8" i="6"/>
  <c r="AI8" i="8"/>
  <c r="H17" i="31" l="1"/>
  <c r="I17" i="31"/>
  <c r="C19" i="31"/>
  <c r="D18" i="31"/>
  <c r="J18" i="31" s="1"/>
  <c r="AK8" i="6"/>
  <c r="AJ8" i="8"/>
  <c r="AJ7" i="9"/>
  <c r="H18" i="31" l="1"/>
  <c r="I18" i="31"/>
  <c r="C20" i="31"/>
  <c r="D19" i="31"/>
  <c r="J19" i="31" s="1"/>
  <c r="AK8" i="8"/>
  <c r="AK7" i="9"/>
  <c r="AL8" i="6"/>
  <c r="H19" i="31" l="1"/>
  <c r="I19" i="31"/>
  <c r="C21" i="31"/>
  <c r="D20" i="31"/>
  <c r="J20" i="31" s="1"/>
  <c r="AM8" i="6"/>
  <c r="AL8" i="8"/>
  <c r="AL7" i="9"/>
  <c r="H20" i="31" l="1"/>
  <c r="I20" i="31"/>
  <c r="C22" i="31"/>
  <c r="D21" i="31"/>
  <c r="J21" i="31" s="1"/>
  <c r="AN8" i="6"/>
  <c r="AM8" i="8"/>
  <c r="AM7" i="9"/>
  <c r="H21" i="31" l="1"/>
  <c r="I21" i="31"/>
  <c r="C23" i="31"/>
  <c r="D22" i="31"/>
  <c r="J22" i="31" s="1"/>
  <c r="AN7" i="9"/>
  <c r="AO8" i="6"/>
  <c r="AN8" i="8"/>
  <c r="H22" i="31" l="1"/>
  <c r="I22" i="31"/>
  <c r="C24" i="31"/>
  <c r="D23" i="31"/>
  <c r="J23" i="31" s="1"/>
  <c r="AP8" i="6"/>
  <c r="AR7" i="7"/>
  <c r="AP14" i="8" s="1"/>
  <c r="AO8" i="8"/>
  <c r="AO7" i="9"/>
  <c r="H23" i="31" l="1"/>
  <c r="I23" i="31"/>
  <c r="C25" i="31"/>
  <c r="D24" i="31"/>
  <c r="J24" i="31" s="1"/>
  <c r="AP8" i="8"/>
  <c r="AS7" i="7"/>
  <c r="AQ14" i="8" s="1"/>
  <c r="AP7" i="9"/>
  <c r="AQ8" i="6"/>
  <c r="H24" i="31" l="1"/>
  <c r="I24" i="31"/>
  <c r="C26" i="31"/>
  <c r="D25" i="31"/>
  <c r="J25" i="31" s="1"/>
  <c r="AT7" i="7"/>
  <c r="AR14" i="8" s="1"/>
  <c r="AR8" i="6"/>
  <c r="AQ8" i="8"/>
  <c r="AQ7" i="9"/>
  <c r="H25" i="31" l="1"/>
  <c r="I25" i="31"/>
  <c r="C27" i="31"/>
  <c r="D26" i="31"/>
  <c r="J26" i="31" s="1"/>
  <c r="AR7" i="9"/>
  <c r="AS8" i="6"/>
  <c r="AU7" i="7"/>
  <c r="AS14" i="8" s="1"/>
  <c r="AR8" i="8"/>
  <c r="H26" i="31" l="1"/>
  <c r="I26" i="31"/>
  <c r="C28" i="31"/>
  <c r="D27" i="31"/>
  <c r="J27" i="31" s="1"/>
  <c r="AS7" i="9"/>
  <c r="AT8" i="6"/>
  <c r="AV7" i="7"/>
  <c r="AT14" i="8" s="1"/>
  <c r="AS8" i="8"/>
  <c r="H27" i="31" l="1"/>
  <c r="I27" i="31"/>
  <c r="C29" i="31"/>
  <c r="D28" i="31"/>
  <c r="J28" i="31" s="1"/>
  <c r="AW7" i="7"/>
  <c r="AU14" i="8" s="1"/>
  <c r="AT7" i="9"/>
  <c r="AU8" i="6"/>
  <c r="AT8" i="8"/>
  <c r="H28" i="31" l="1"/>
  <c r="I28" i="31"/>
  <c r="C30" i="31"/>
  <c r="D29" i="31"/>
  <c r="J29" i="31" s="1"/>
  <c r="AU8" i="8"/>
  <c r="AU7" i="9"/>
  <c r="AX7" i="7"/>
  <c r="AV14" i="8" s="1"/>
  <c r="AV8" i="6"/>
  <c r="H29" i="31" l="1"/>
  <c r="I29" i="31"/>
  <c r="C31" i="31"/>
  <c r="D30" i="31"/>
  <c r="J30" i="31" s="1"/>
  <c r="L25" i="7"/>
  <c r="L26" i="7" s="1"/>
  <c r="K35" i="6" s="1"/>
  <c r="D35" i="6" s="1"/>
  <c r="AV8" i="8"/>
  <c r="AV7" i="9"/>
  <c r="AW8" i="6"/>
  <c r="AY7" i="7"/>
  <c r="AW14" i="8" s="1"/>
  <c r="L27" i="7" l="1"/>
  <c r="K45" i="6" s="1"/>
  <c r="W27" i="7"/>
  <c r="V45" i="6" s="1"/>
  <c r="Z27" i="7"/>
  <c r="Y45" i="6" s="1"/>
  <c r="N27" i="7"/>
  <c r="M45" i="6" s="1"/>
  <c r="Q27" i="7"/>
  <c r="P45" i="6" s="1"/>
  <c r="T27" i="7"/>
  <c r="S45" i="6" s="1"/>
  <c r="AJ27" i="7"/>
  <c r="AI45" i="6" s="1"/>
  <c r="AE27" i="7"/>
  <c r="AD45" i="6" s="1"/>
  <c r="AK27" i="7"/>
  <c r="AJ45" i="6" s="1"/>
  <c r="AP27" i="7"/>
  <c r="AO45" i="6" s="1"/>
  <c r="R27" i="7"/>
  <c r="Q45" i="6" s="1"/>
  <c r="M27" i="7"/>
  <c r="L45" i="6" s="1"/>
  <c r="P27" i="7"/>
  <c r="O45" i="6" s="1"/>
  <c r="X27" i="7"/>
  <c r="W45" i="6" s="1"/>
  <c r="S27" i="7"/>
  <c r="R45" i="6" s="1"/>
  <c r="AF27" i="7"/>
  <c r="AE45" i="6" s="1"/>
  <c r="AM27" i="7"/>
  <c r="AL45" i="6" s="1"/>
  <c r="AL27" i="7"/>
  <c r="AK45" i="6" s="1"/>
  <c r="AB27" i="7"/>
  <c r="AA45" i="6" s="1"/>
  <c r="AA27" i="7"/>
  <c r="Z45" i="6" s="1"/>
  <c r="V27" i="7"/>
  <c r="U45" i="6" s="1"/>
  <c r="AO27" i="7"/>
  <c r="AN45" i="6" s="1"/>
  <c r="AH27" i="7"/>
  <c r="AG45" i="6" s="1"/>
  <c r="AC27" i="7"/>
  <c r="AB45" i="6" s="1"/>
  <c r="AQ27" i="7"/>
  <c r="AP45" i="6" s="1"/>
  <c r="AN27" i="7"/>
  <c r="AM45" i="6" s="1"/>
  <c r="AG27" i="7"/>
  <c r="AF45" i="6" s="1"/>
  <c r="O27" i="7"/>
  <c r="N45" i="6" s="1"/>
  <c r="AD27" i="7"/>
  <c r="AC45" i="6" s="1"/>
  <c r="Y27" i="7"/>
  <c r="X45" i="6" s="1"/>
  <c r="U27" i="7"/>
  <c r="T45" i="6" s="1"/>
  <c r="AI27" i="7"/>
  <c r="AH45" i="6" s="1"/>
  <c r="H30" i="31"/>
  <c r="I30" i="31"/>
  <c r="C32" i="31"/>
  <c r="D31" i="31"/>
  <c r="J31" i="31" s="1"/>
  <c r="G26" i="7"/>
  <c r="E26" i="7" s="1"/>
  <c r="AW7" i="9"/>
  <c r="AX8" i="6"/>
  <c r="AZ7" i="7"/>
  <c r="AX14" i="8" s="1"/>
  <c r="AW8" i="8"/>
  <c r="D45" i="6" l="1"/>
  <c r="M58" i="8"/>
  <c r="C58" i="8" s="1"/>
  <c r="H31" i="31"/>
  <c r="I31" i="31"/>
  <c r="C33" i="31"/>
  <c r="D32" i="31"/>
  <c r="J32" i="31" s="1"/>
  <c r="G27" i="7"/>
  <c r="AY8" i="6"/>
  <c r="AX8" i="8"/>
  <c r="BA7" i="7"/>
  <c r="AY14" i="8" s="1"/>
  <c r="AX7" i="9"/>
  <c r="H32" i="31" l="1"/>
  <c r="I32" i="31"/>
  <c r="C34" i="31"/>
  <c r="D33" i="31"/>
  <c r="J33" i="31" s="1"/>
  <c r="AY7" i="9"/>
  <c r="BB7" i="7"/>
  <c r="AZ14" i="8" s="1"/>
  <c r="AZ8" i="6"/>
  <c r="AY8" i="8"/>
  <c r="H33" i="31" l="1"/>
  <c r="I33" i="31"/>
  <c r="C35" i="31"/>
  <c r="D34" i="31"/>
  <c r="J34" i="31" s="1"/>
  <c r="AZ7" i="9"/>
  <c r="BA8" i="6"/>
  <c r="BC7" i="7"/>
  <c r="BA14" i="8" s="1"/>
  <c r="AZ8" i="8"/>
  <c r="H34" i="31" l="1"/>
  <c r="I34" i="31"/>
  <c r="C36" i="31"/>
  <c r="D35" i="31"/>
  <c r="J35" i="31" s="1"/>
  <c r="BA8" i="8"/>
  <c r="BA7" i="9"/>
  <c r="BB8" i="6"/>
  <c r="BD7" i="7"/>
  <c r="BB14" i="8" s="1"/>
  <c r="H35" i="31" l="1"/>
  <c r="I35" i="31"/>
  <c r="C37" i="31"/>
  <c r="D36" i="31"/>
  <c r="J36" i="31" s="1"/>
  <c r="BC8" i="6"/>
  <c r="BB8" i="8"/>
  <c r="BE7" i="7"/>
  <c r="BC14" i="8" s="1"/>
  <c r="BB7" i="9"/>
  <c r="H36" i="31" l="1"/>
  <c r="I36" i="31"/>
  <c r="C38" i="31"/>
  <c r="D37" i="31"/>
  <c r="J37" i="31" s="1"/>
  <c r="BC8" i="8"/>
  <c r="BC7" i="9"/>
  <c r="BF7" i="7"/>
  <c r="BD14" i="8" s="1"/>
  <c r="BD8" i="6"/>
  <c r="H37" i="31" l="1"/>
  <c r="I37" i="31"/>
  <c r="C39" i="31"/>
  <c r="D38" i="31"/>
  <c r="J38" i="31" s="1"/>
  <c r="BG7" i="7"/>
  <c r="BE14" i="8" s="1"/>
  <c r="BD8" i="8"/>
  <c r="BD7" i="9"/>
  <c r="BE8" i="6"/>
  <c r="H38" i="31" l="1"/>
  <c r="I38" i="31"/>
  <c r="C40" i="31"/>
  <c r="D39" i="31"/>
  <c r="J39" i="31" s="1"/>
  <c r="BH7" i="7"/>
  <c r="BF14" i="8" s="1"/>
  <c r="BE8" i="8"/>
  <c r="BE7" i="9"/>
  <c r="BF8" i="6"/>
  <c r="H39" i="31" l="1"/>
  <c r="I39" i="31"/>
  <c r="C41" i="31"/>
  <c r="D40" i="31"/>
  <c r="J40" i="31" s="1"/>
  <c r="BG8" i="6"/>
  <c r="BI7" i="7"/>
  <c r="BG14" i="8" s="1"/>
  <c r="BF7" i="9"/>
  <c r="BF8" i="8"/>
  <c r="H40" i="31" l="1"/>
  <c r="I40" i="31"/>
  <c r="C42" i="31"/>
  <c r="D41" i="31"/>
  <c r="J41" i="31" s="1"/>
  <c r="BH8" i="6"/>
  <c r="BG7" i="9"/>
  <c r="BJ7" i="7"/>
  <c r="BH14" i="8" s="1"/>
  <c r="BG8" i="8"/>
  <c r="H41" i="31" l="1"/>
  <c r="I41" i="31"/>
  <c r="C43" i="31"/>
  <c r="D42" i="31"/>
  <c r="J42" i="31" s="1"/>
  <c r="BK7" i="7"/>
  <c r="BI14" i="8" s="1"/>
  <c r="BH7" i="9"/>
  <c r="BI8" i="6"/>
  <c r="BH8" i="8"/>
  <c r="H42" i="31" l="1"/>
  <c r="I42" i="31"/>
  <c r="C44" i="31"/>
  <c r="D43" i="31"/>
  <c r="J43" i="31" s="1"/>
  <c r="BL7" i="7"/>
  <c r="BJ14" i="8" s="1"/>
  <c r="BI8" i="8"/>
  <c r="BI7" i="9"/>
  <c r="BJ8" i="6"/>
  <c r="H43" i="31" l="1"/>
  <c r="I43" i="31"/>
  <c r="C45" i="31"/>
  <c r="D44" i="31"/>
  <c r="J44" i="31" s="1"/>
  <c r="BJ8" i="8"/>
  <c r="BM7" i="7"/>
  <c r="BK14" i="8" s="1"/>
  <c r="BJ7" i="9"/>
  <c r="BK8" i="6"/>
  <c r="H44" i="31" l="1"/>
  <c r="I44" i="31"/>
  <c r="C46" i="31"/>
  <c r="D45" i="31"/>
  <c r="J45" i="31" s="1"/>
  <c r="BK8" i="8"/>
  <c r="BK7" i="9"/>
  <c r="BN7" i="7"/>
  <c r="BL14" i="8" s="1"/>
  <c r="BL8" i="6"/>
  <c r="H45" i="31" l="1"/>
  <c r="I45" i="31"/>
  <c r="C47" i="31"/>
  <c r="D46" i="31"/>
  <c r="J46" i="31" s="1"/>
  <c r="BM8" i="6"/>
  <c r="BO7" i="7"/>
  <c r="BM14" i="8" s="1"/>
  <c r="BL8" i="8"/>
  <c r="BL7" i="9"/>
  <c r="H46" i="31" l="1"/>
  <c r="I46" i="31"/>
  <c r="C48" i="31"/>
  <c r="D47" i="31"/>
  <c r="J47" i="31" s="1"/>
  <c r="BM8" i="8"/>
  <c r="BM7" i="9"/>
  <c r="BN8" i="6"/>
  <c r="BP7" i="7"/>
  <c r="BN14" i="8" s="1"/>
  <c r="H47" i="31" l="1"/>
  <c r="I47" i="31"/>
  <c r="C49" i="31"/>
  <c r="D48" i="31"/>
  <c r="J48" i="31" s="1"/>
  <c r="BQ7" i="7"/>
  <c r="BO14" i="8" s="1"/>
  <c r="BN7" i="9"/>
  <c r="BO8" i="6"/>
  <c r="BN8" i="8"/>
  <c r="H48" i="31" l="1"/>
  <c r="I48" i="31"/>
  <c r="C50" i="31"/>
  <c r="D49" i="31"/>
  <c r="J49" i="31" s="1"/>
  <c r="BO7" i="9"/>
  <c r="BR7" i="7"/>
  <c r="BP14" i="8" s="1"/>
  <c r="BP8" i="6"/>
  <c r="BO8" i="8"/>
  <c r="H49" i="31" l="1"/>
  <c r="I49" i="31"/>
  <c r="C51" i="31"/>
  <c r="C52" i="31" s="1"/>
  <c r="D50" i="31"/>
  <c r="J50" i="31" s="1"/>
  <c r="BP7" i="9"/>
  <c r="BQ8" i="6"/>
  <c r="BS7" i="7"/>
  <c r="BQ14" i="8" s="1"/>
  <c r="BP8" i="8"/>
  <c r="C53" i="31" l="1"/>
  <c r="D52" i="31"/>
  <c r="J52" i="31" s="1"/>
  <c r="I50" i="31"/>
  <c r="H50" i="31"/>
  <c r="D51" i="31"/>
  <c r="J51" i="31" s="1"/>
  <c r="BQ8" i="8"/>
  <c r="BQ7" i="9"/>
  <c r="BR8" i="6"/>
  <c r="BT7" i="7"/>
  <c r="BR14" i="8" s="1"/>
  <c r="H52" i="31" l="1"/>
  <c r="I52" i="31"/>
  <c r="C54" i="31"/>
  <c r="C55" i="31" s="1"/>
  <c r="D53" i="31"/>
  <c r="J53" i="31" s="1"/>
  <c r="I51" i="31"/>
  <c r="H51" i="31"/>
  <c r="BS8" i="6"/>
  <c r="BR8" i="8"/>
  <c r="BU7" i="7"/>
  <c r="BS14" i="8" s="1"/>
  <c r="BR7" i="9"/>
  <c r="D55" i="31" l="1"/>
  <c r="C56" i="31"/>
  <c r="D54" i="31"/>
  <c r="J54" i="31" s="1"/>
  <c r="H53" i="31"/>
  <c r="I53" i="31"/>
  <c r="BV7" i="7"/>
  <c r="BT14" i="8" s="1"/>
  <c r="BT8" i="6"/>
  <c r="BS8" i="8"/>
  <c r="BS7" i="9"/>
  <c r="D56" i="31" l="1"/>
  <c r="C57" i="31"/>
  <c r="H55" i="31"/>
  <c r="I55" i="31"/>
  <c r="J55" i="31"/>
  <c r="I54" i="31"/>
  <c r="H54" i="31"/>
  <c r="BU8" i="6"/>
  <c r="BW7" i="7"/>
  <c r="BU14" i="8" s="1"/>
  <c r="BT8" i="8"/>
  <c r="BT7" i="9"/>
  <c r="D57" i="31" l="1"/>
  <c r="I56" i="31"/>
  <c r="H56" i="31"/>
  <c r="J56" i="31"/>
  <c r="BV8" i="6"/>
  <c r="BX7" i="7"/>
  <c r="BV14" i="8" s="1"/>
  <c r="BU8" i="8"/>
  <c r="BU7" i="9"/>
  <c r="H57" i="31" l="1"/>
  <c r="I57" i="31"/>
  <c r="J57" i="31"/>
  <c r="BW8" i="6"/>
  <c r="BV8" i="8"/>
  <c r="BY7" i="7"/>
  <c r="BV7" i="9"/>
  <c r="I62" i="31" l="1"/>
  <c r="BZ7" i="7"/>
  <c r="BW14" i="8"/>
  <c r="BW8" i="8" s="1"/>
  <c r="BW7" i="9"/>
  <c r="BX8" i="6"/>
  <c r="CA7" i="7" l="1"/>
  <c r="BX7" i="9"/>
  <c r="BX14" i="8"/>
  <c r="BX8" i="8" s="1"/>
  <c r="BY8" i="6"/>
  <c r="Y105" i="7" l="1"/>
  <c r="Y106" i="7" s="1"/>
  <c r="X37" i="6" s="1"/>
  <c r="CB7" i="7"/>
  <c r="BY7" i="9"/>
  <c r="BY14" i="8"/>
  <c r="BY8" i="8" s="1"/>
  <c r="BZ8" i="6"/>
  <c r="CC7" i="7" l="1"/>
  <c r="BZ7" i="9"/>
  <c r="BZ14" i="8"/>
  <c r="BZ8" i="8" s="1"/>
  <c r="CA8" i="6"/>
  <c r="CD7" i="7" l="1"/>
  <c r="CA7" i="9"/>
  <c r="CA14" i="8"/>
  <c r="CA8" i="8" s="1"/>
  <c r="CB8" i="6"/>
  <c r="CE7" i="7" l="1"/>
  <c r="CB7" i="9"/>
  <c r="CB14" i="8"/>
  <c r="CB8" i="8" s="1"/>
  <c r="CC8" i="6"/>
  <c r="CF7" i="7" l="1"/>
  <c r="CC7" i="9"/>
  <c r="CC14" i="8"/>
  <c r="CC8" i="8" s="1"/>
  <c r="CD8" i="6"/>
  <c r="CG7" i="7" l="1"/>
  <c r="CD7" i="9"/>
  <c r="CD14" i="8"/>
  <c r="CD8" i="8" s="1"/>
  <c r="CE8" i="6"/>
  <c r="CE7" i="9" l="1"/>
  <c r="CE14" i="8"/>
  <c r="CE8" i="8" s="1"/>
  <c r="CH7" i="7"/>
  <c r="CF8" i="6"/>
  <c r="CI7" i="7" l="1"/>
  <c r="CF7" i="9"/>
  <c r="CF14" i="8"/>
  <c r="CF8" i="8" s="1"/>
  <c r="CG8" i="6"/>
  <c r="F26" i="6"/>
  <c r="CJ7" i="7" l="1"/>
  <c r="CG7" i="9"/>
  <c r="CG14" i="8"/>
  <c r="CG8" i="8" s="1"/>
  <c r="CH8" i="6"/>
  <c r="E67" i="8"/>
  <c r="E16" i="9"/>
  <c r="E65" i="8" l="1"/>
  <c r="E66" i="8" s="1"/>
  <c r="CI8" i="6"/>
  <c r="CH14" i="8"/>
  <c r="CH8" i="8" s="1"/>
  <c r="CH7" i="9"/>
  <c r="P115" i="113" l="1"/>
  <c r="R115" i="113"/>
  <c r="T115" i="113"/>
  <c r="Q115" i="113"/>
  <c r="O115" i="113"/>
  <c r="S115" i="113"/>
  <c r="R123" i="113"/>
  <c r="S123" i="113"/>
  <c r="S111" i="113"/>
  <c r="O111" i="113"/>
  <c r="Q111" i="113"/>
  <c r="T111" i="113"/>
  <c r="T123" i="113"/>
  <c r="P123" i="113"/>
  <c r="Q123" i="113"/>
  <c r="P111" i="113"/>
  <c r="O123" i="113"/>
  <c r="R111" i="113"/>
  <c r="E64" i="8"/>
  <c r="E63" i="8" s="1"/>
  <c r="N115" i="113" l="1"/>
  <c r="N111" i="113"/>
  <c r="N123" i="113"/>
  <c r="E25" i="9"/>
  <c r="E30" i="9" s="1"/>
  <c r="BM37" i="9" l="1"/>
  <c r="BN37" i="9" l="1"/>
  <c r="BN38" i="9" s="1"/>
  <c r="BL37" i="9"/>
  <c r="BM38" i="9" s="1"/>
  <c r="BK37" i="9"/>
  <c r="BL38" i="9" l="1"/>
  <c r="CH12" i="5" l="1"/>
  <c r="AS38" i="8" l="1"/>
  <c r="AS14" i="9"/>
  <c r="D14" i="9" s="1"/>
  <c r="AC75" i="8" l="1"/>
  <c r="AC74" i="8" s="1"/>
  <c r="AD75" i="8" l="1"/>
  <c r="AD74" i="8" s="1"/>
  <c r="AE75" i="8"/>
  <c r="AE74" i="8" s="1"/>
  <c r="AF75" i="8" l="1"/>
  <c r="AF74" i="8" l="1"/>
  <c r="AG75" i="8"/>
  <c r="AG74" i="8" s="1"/>
  <c r="AH75" i="8" l="1"/>
  <c r="AH74" i="8" s="1"/>
  <c r="AL75" i="8" l="1"/>
  <c r="AL74" i="8" s="1"/>
  <c r="AJ75" i="8"/>
  <c r="AJ74" i="8" s="1"/>
  <c r="AI75" i="8"/>
  <c r="AK75" i="8"/>
  <c r="AK74" i="8" s="1"/>
  <c r="AI74" i="8" l="1"/>
  <c r="AM75" i="8"/>
  <c r="AM74" i="8" s="1"/>
  <c r="AN75" i="8" l="1"/>
  <c r="AN74" i="8" s="1"/>
  <c r="AO75" i="8" l="1"/>
  <c r="AO74" i="8" s="1"/>
  <c r="AP75" i="8" l="1"/>
  <c r="AP74" i="8" s="1"/>
  <c r="AQ75" i="8" l="1"/>
  <c r="AQ74" i="8" s="1"/>
  <c r="AR75" i="8" l="1"/>
  <c r="AR74" i="8" s="1"/>
  <c r="AS75" i="8" l="1"/>
  <c r="AS74" i="8" s="1"/>
  <c r="AT75" i="8" l="1"/>
  <c r="AT74" i="8" s="1"/>
  <c r="AU75" i="8" l="1"/>
  <c r="AU74" i="8" s="1"/>
  <c r="AV75" i="8" l="1"/>
  <c r="AV74" i="8" s="1"/>
  <c r="AW75" i="8" l="1"/>
  <c r="AW74" i="8" s="1"/>
  <c r="AX75" i="8" l="1"/>
  <c r="AX74" i="8" s="1"/>
  <c r="AY75" i="8" l="1"/>
  <c r="AY74" i="8" s="1"/>
  <c r="AZ75" i="8" l="1"/>
  <c r="AZ74" i="8" s="1"/>
  <c r="BA75" i="8" l="1"/>
  <c r="BA74" i="8" s="1"/>
  <c r="BB75" i="8" l="1"/>
  <c r="BB74" i="8" s="1"/>
  <c r="BC75" i="8" l="1"/>
  <c r="BC74" i="8" s="1"/>
  <c r="BD75" i="8" l="1"/>
  <c r="BD74" i="8" s="1"/>
  <c r="BE75" i="8" l="1"/>
  <c r="BE74" i="8" s="1"/>
  <c r="BF75" i="8" l="1"/>
  <c r="BF74" i="8" s="1"/>
  <c r="BG75" i="8" l="1"/>
  <c r="BG74" i="8" s="1"/>
  <c r="BH75" i="8" l="1"/>
  <c r="BH74" i="8" s="1"/>
  <c r="BI75" i="8" l="1"/>
  <c r="BI74" i="8" s="1"/>
  <c r="BJ75" i="8" l="1"/>
  <c r="BJ74" i="8" s="1"/>
  <c r="BK75" i="8" l="1"/>
  <c r="BK74" i="8" s="1"/>
  <c r="BL75" i="8" l="1"/>
  <c r="BL74" i="8" s="1"/>
  <c r="BM75" i="8" l="1"/>
  <c r="BM74" i="8" s="1"/>
  <c r="BN75" i="8" l="1"/>
  <c r="BN74" i="8" s="1"/>
  <c r="BO75" i="8" l="1"/>
  <c r="BO74" i="8" s="1"/>
  <c r="BP75" i="8" l="1"/>
  <c r="BP74" i="8" s="1"/>
  <c r="BQ75" i="8" l="1"/>
  <c r="BQ74" i="8" s="1"/>
  <c r="BR75" i="8" l="1"/>
  <c r="BR74" i="8" s="1"/>
  <c r="BS75" i="8" l="1"/>
  <c r="BS74" i="8" s="1"/>
  <c r="BT75" i="8" l="1"/>
  <c r="BT74" i="8" s="1"/>
  <c r="BU75" i="8" l="1"/>
  <c r="BU74" i="8" s="1"/>
  <c r="BV75" i="8" l="1"/>
  <c r="BV74" i="8" s="1"/>
  <c r="BW75" i="8" l="1"/>
  <c r="BW74" i="8" s="1"/>
  <c r="BX75" i="8" l="1"/>
  <c r="BX74" i="8" s="1"/>
  <c r="BY75" i="8" l="1"/>
  <c r="BY74" i="8" s="1"/>
  <c r="BZ75" i="8" l="1"/>
  <c r="CA75" i="8" l="1"/>
  <c r="CA74" i="8" s="1"/>
  <c r="BZ74" i="8"/>
  <c r="CB75" i="8" l="1"/>
  <c r="CB74" i="8" s="1"/>
  <c r="CC75" i="8" l="1"/>
  <c r="CC74" i="8" s="1"/>
  <c r="CD75" i="8" l="1"/>
  <c r="CD74" i="8" s="1"/>
  <c r="CE75" i="8" l="1"/>
  <c r="CE74" i="8" s="1"/>
  <c r="CF75" i="8" l="1"/>
  <c r="CF74" i="8" s="1"/>
  <c r="CG75" i="8" l="1"/>
  <c r="CG74" i="8" s="1"/>
  <c r="CH75" i="8" l="1"/>
  <c r="CH74" i="8" s="1"/>
  <c r="D59" i="55" l="1"/>
  <c r="Y76" i="7" l="1"/>
  <c r="Y77" i="7" s="1"/>
  <c r="Y78" i="7" s="1"/>
  <c r="E89" i="55"/>
  <c r="D10" i="5"/>
  <c r="D62" i="55"/>
  <c r="CH76" i="7" l="1"/>
  <c r="CH77" i="7" s="1"/>
  <c r="CH78" i="7" s="1"/>
  <c r="BA76" i="7"/>
  <c r="BA77" i="7" s="1"/>
  <c r="BA78" i="7" s="1"/>
  <c r="BZ76" i="7"/>
  <c r="BZ77" i="7" s="1"/>
  <c r="BZ78" i="7" s="1"/>
  <c r="BQ76" i="7"/>
  <c r="BQ77" i="7" s="1"/>
  <c r="BQ78" i="7" s="1"/>
  <c r="CD76" i="7"/>
  <c r="CD77" i="7" s="1"/>
  <c r="CD78" i="7" s="1"/>
  <c r="CI76" i="7"/>
  <c r="CI77" i="7" s="1"/>
  <c r="CI78" i="7" s="1"/>
  <c r="CG76" i="7"/>
  <c r="CG77" i="7" s="1"/>
  <c r="CG78" i="7" s="1"/>
  <c r="AU76" i="7"/>
  <c r="AU77" i="7" s="1"/>
  <c r="AU78" i="7" s="1"/>
  <c r="BC76" i="7"/>
  <c r="BC77" i="7" s="1"/>
  <c r="BC78" i="7" s="1"/>
  <c r="BT76" i="7"/>
  <c r="BT77" i="7" s="1"/>
  <c r="BT78" i="7" s="1"/>
  <c r="O76" i="7"/>
  <c r="V76" i="7"/>
  <c r="V77" i="7" s="1"/>
  <c r="V78" i="7" s="1"/>
  <c r="AI76" i="7"/>
  <c r="AI77" i="7" s="1"/>
  <c r="AI78" i="7" s="1"/>
  <c r="BB76" i="7"/>
  <c r="BB77" i="7" s="1"/>
  <c r="BB78" i="7" s="1"/>
  <c r="N76" i="7"/>
  <c r="U76" i="7"/>
  <c r="AN76" i="7"/>
  <c r="AN77" i="7" s="1"/>
  <c r="AN78" i="7" s="1"/>
  <c r="AT76" i="7"/>
  <c r="AT77" i="7" s="1"/>
  <c r="AT78" i="7" s="1"/>
  <c r="BD76" i="7"/>
  <c r="BD77" i="7" s="1"/>
  <c r="BD78" i="7" s="1"/>
  <c r="BK76" i="7"/>
  <c r="BK77" i="7" s="1"/>
  <c r="BK78" i="7" s="1"/>
  <c r="BN76" i="7"/>
  <c r="BN77" i="7" s="1"/>
  <c r="BN78" i="7" s="1"/>
  <c r="AG76" i="7"/>
  <c r="AG77" i="7" s="1"/>
  <c r="AG78" i="7" s="1"/>
  <c r="BG76" i="7"/>
  <c r="BG77" i="7" s="1"/>
  <c r="BG78" i="7" s="1"/>
  <c r="AY76" i="7"/>
  <c r="AY77" i="7" s="1"/>
  <c r="AY78" i="7" s="1"/>
  <c r="P76" i="7"/>
  <c r="AW76" i="7"/>
  <c r="AW77" i="7" s="1"/>
  <c r="AW78" i="7" s="1"/>
  <c r="AX76" i="7"/>
  <c r="AX77" i="7" s="1"/>
  <c r="AX78" i="7" s="1"/>
  <c r="CB76" i="7"/>
  <c r="CB77" i="7" s="1"/>
  <c r="CB78" i="7" s="1"/>
  <c r="AS76" i="7"/>
  <c r="AS77" i="7" s="1"/>
  <c r="AS78" i="7" s="1"/>
  <c r="K76" i="7"/>
  <c r="BO76" i="7"/>
  <c r="BO77" i="7" s="1"/>
  <c r="BO78" i="7" s="1"/>
  <c r="CF76" i="7"/>
  <c r="CF77" i="7" s="1"/>
  <c r="CF78" i="7" s="1"/>
  <c r="CJ76" i="7"/>
  <c r="CJ77" i="7" s="1"/>
  <c r="CJ78" i="7" s="1"/>
  <c r="BP76" i="7"/>
  <c r="BP77" i="7" s="1"/>
  <c r="BP78" i="7" s="1"/>
  <c r="BL76" i="7"/>
  <c r="BL77" i="7" s="1"/>
  <c r="BL78" i="7" s="1"/>
  <c r="R76" i="7"/>
  <c r="BW76" i="7"/>
  <c r="BW77" i="7" s="1"/>
  <c r="BW78" i="7" s="1"/>
  <c r="BH76" i="7"/>
  <c r="BH77" i="7" s="1"/>
  <c r="BH78" i="7" s="1"/>
  <c r="S76" i="7"/>
  <c r="S77" i="7" s="1"/>
  <c r="S78" i="7" s="1"/>
  <c r="BM76" i="7"/>
  <c r="BM77" i="7" s="1"/>
  <c r="BM78" i="7" s="1"/>
  <c r="AV76" i="7"/>
  <c r="AV77" i="7" s="1"/>
  <c r="AV78" i="7" s="1"/>
  <c r="AQ76" i="7"/>
  <c r="AQ77" i="7" s="1"/>
  <c r="AQ78" i="7" s="1"/>
  <c r="BI76" i="7"/>
  <c r="BI77" i="7" s="1"/>
  <c r="BI78" i="7" s="1"/>
  <c r="BV76" i="7"/>
  <c r="BV77" i="7" s="1"/>
  <c r="BV78" i="7" s="1"/>
  <c r="CC76" i="7"/>
  <c r="CC77" i="7" s="1"/>
  <c r="CC78" i="7" s="1"/>
  <c r="AK76" i="7"/>
  <c r="AK77" i="7" s="1"/>
  <c r="AK78" i="7" s="1"/>
  <c r="BY76" i="7"/>
  <c r="BY77" i="7" s="1"/>
  <c r="BY78" i="7" s="1"/>
  <c r="CA76" i="7"/>
  <c r="CA77" i="7" s="1"/>
  <c r="CA78" i="7" s="1"/>
  <c r="H76" i="7"/>
  <c r="AO76" i="7"/>
  <c r="AO77" i="7" s="1"/>
  <c r="AO78" i="7" s="1"/>
  <c r="BR76" i="7"/>
  <c r="BR77" i="7" s="1"/>
  <c r="BR78" i="7" s="1"/>
  <c r="AZ76" i="7"/>
  <c r="AZ77" i="7" s="1"/>
  <c r="AZ78" i="7" s="1"/>
  <c r="L76" i="7"/>
  <c r="Z76" i="7"/>
  <c r="Z77" i="7" s="1"/>
  <c r="Z78" i="7" s="1"/>
  <c r="AR76" i="7"/>
  <c r="AR77" i="7" s="1"/>
  <c r="AR78" i="7" s="1"/>
  <c r="BJ76" i="7"/>
  <c r="BJ77" i="7" s="1"/>
  <c r="BJ78" i="7" s="1"/>
  <c r="AA76" i="7"/>
  <c r="AA77" i="7" s="1"/>
  <c r="AA78" i="7" s="1"/>
  <c r="AL76" i="7"/>
  <c r="AL77" i="7" s="1"/>
  <c r="AL78" i="7" s="1"/>
  <c r="BX76" i="7"/>
  <c r="BX77" i="7" s="1"/>
  <c r="BX78" i="7" s="1"/>
  <c r="BU76" i="7"/>
  <c r="BU77" i="7" s="1"/>
  <c r="BU78" i="7" s="1"/>
  <c r="I76" i="7"/>
  <c r="BF76" i="7"/>
  <c r="BF77" i="7" s="1"/>
  <c r="BF78" i="7" s="1"/>
  <c r="CE76" i="7"/>
  <c r="CE77" i="7" s="1"/>
  <c r="CE78" i="7" s="1"/>
  <c r="AB76" i="7"/>
  <c r="AB77" i="7" s="1"/>
  <c r="AB78" i="7" s="1"/>
  <c r="Q76" i="7"/>
  <c r="AM76" i="7"/>
  <c r="AM77" i="7" s="1"/>
  <c r="AM78" i="7" s="1"/>
  <c r="AP76" i="7"/>
  <c r="AP77" i="7" s="1"/>
  <c r="AP78" i="7" s="1"/>
  <c r="AD76" i="7"/>
  <c r="AD77" i="7" s="1"/>
  <c r="AD78" i="7" s="1"/>
  <c r="AF76" i="7"/>
  <c r="AF77" i="7" s="1"/>
  <c r="AF78" i="7" s="1"/>
  <c r="M76" i="7"/>
  <c r="AJ76" i="7"/>
  <c r="AJ77" i="7" s="1"/>
  <c r="AJ78" i="7" s="1"/>
  <c r="BE76" i="7"/>
  <c r="BE77" i="7" s="1"/>
  <c r="BE78" i="7" s="1"/>
  <c r="BS76" i="7"/>
  <c r="BS77" i="7" s="1"/>
  <c r="BS78" i="7" s="1"/>
  <c r="T76" i="7"/>
  <c r="T77" i="7" s="1"/>
  <c r="T78" i="7" s="1"/>
  <c r="F80" i="113"/>
  <c r="X76" i="7"/>
  <c r="X77" i="7" s="1"/>
  <c r="X78" i="7" s="1"/>
  <c r="AH76" i="7"/>
  <c r="AH77" i="7" s="1"/>
  <c r="AH78" i="7" s="1"/>
  <c r="J76" i="7"/>
  <c r="W76" i="7"/>
  <c r="W77" i="7" s="1"/>
  <c r="W78" i="7" s="1"/>
  <c r="AE76" i="7"/>
  <c r="AE77" i="7" s="1"/>
  <c r="AE78" i="7" s="1"/>
  <c r="AC76" i="7"/>
  <c r="AC77" i="7" s="1"/>
  <c r="AC78" i="7" s="1"/>
  <c r="AO18" i="7"/>
  <c r="BN18" i="7"/>
  <c r="AU18" i="7"/>
  <c r="S18" i="7"/>
  <c r="O18" i="7"/>
  <c r="Z18" i="7"/>
  <c r="U18" i="7"/>
  <c r="AH18" i="7"/>
  <c r="BF18" i="7"/>
  <c r="BP18" i="7"/>
  <c r="P18" i="7"/>
  <c r="BY18" i="7"/>
  <c r="AC18" i="7"/>
  <c r="BL18" i="7"/>
  <c r="AI18" i="7"/>
  <c r="CA18" i="7"/>
  <c r="AX18" i="7"/>
  <c r="R18" i="7"/>
  <c r="AM18" i="7"/>
  <c r="AA18" i="7"/>
  <c r="BO18" i="7"/>
  <c r="BR18" i="7"/>
  <c r="V18" i="7"/>
  <c r="CG18" i="7"/>
  <c r="T18" i="7"/>
  <c r="I18" i="7"/>
  <c r="CJ18" i="7"/>
  <c r="AQ18" i="7"/>
  <c r="Y18" i="7"/>
  <c r="AS18" i="7"/>
  <c r="K18" i="7"/>
  <c r="AJ18" i="7"/>
  <c r="BW18" i="7"/>
  <c r="AW18" i="7"/>
  <c r="BH18" i="7"/>
  <c r="AD18" i="7"/>
  <c r="W18" i="7"/>
  <c r="BC18" i="7"/>
  <c r="BM18" i="7"/>
  <c r="AR18" i="7"/>
  <c r="AZ18" i="7"/>
  <c r="AN18" i="7"/>
  <c r="L18" i="7"/>
  <c r="AE18" i="7"/>
  <c r="BV18" i="7"/>
  <c r="BK18" i="7"/>
  <c r="AV18" i="7"/>
  <c r="BQ18" i="7"/>
  <c r="BE18" i="7"/>
  <c r="AG18" i="7"/>
  <c r="AK18" i="7"/>
  <c r="BG18" i="7"/>
  <c r="CE18" i="7"/>
  <c r="BZ18" i="7"/>
  <c r="BT18" i="7"/>
  <c r="BJ18" i="7"/>
  <c r="H18" i="7"/>
  <c r="CH18" i="7"/>
  <c r="BS18" i="7"/>
  <c r="BB18" i="7"/>
  <c r="BD18" i="7"/>
  <c r="CI18" i="7"/>
  <c r="N18" i="7"/>
  <c r="CB18" i="7"/>
  <c r="AY18" i="7"/>
  <c r="CC18" i="7"/>
  <c r="CD18" i="7"/>
  <c r="AF18" i="7"/>
  <c r="CF18" i="7"/>
  <c r="AB18" i="7"/>
  <c r="AL18" i="7"/>
  <c r="AT18" i="7"/>
  <c r="Q18" i="7"/>
  <c r="BA18" i="7"/>
  <c r="BI18" i="7"/>
  <c r="J18" i="7"/>
  <c r="BU18" i="7"/>
  <c r="X18" i="7"/>
  <c r="AP18" i="7"/>
  <c r="M18" i="7"/>
  <c r="BX18" i="7"/>
  <c r="M77" i="7" l="1"/>
  <c r="M78" i="7" s="1"/>
  <c r="N77" i="7"/>
  <c r="N78" i="7" s="1"/>
  <c r="K77" i="7"/>
  <c r="K78" i="7" s="1"/>
  <c r="I77" i="7"/>
  <c r="I78" i="7" s="1"/>
  <c r="O77" i="7"/>
  <c r="O78" i="7" s="1"/>
  <c r="J77" i="7"/>
  <c r="J78" i="7" s="1"/>
  <c r="Q77" i="7"/>
  <c r="Q78" i="7" s="1"/>
  <c r="H77" i="7"/>
  <c r="H78" i="7" s="1"/>
  <c r="P77" i="7"/>
  <c r="P78" i="7" s="1"/>
  <c r="L77" i="7"/>
  <c r="L78" i="7" s="1"/>
  <c r="R77" i="7"/>
  <c r="R78" i="7" s="1"/>
  <c r="BD19" i="7"/>
  <c r="BD20" i="7" s="1"/>
  <c r="BC34" i="6" s="1"/>
  <c r="BE19" i="7"/>
  <c r="BE20" i="7" s="1"/>
  <c r="BD34" i="6" s="1"/>
  <c r="W19" i="7"/>
  <c r="W20" i="7" s="1"/>
  <c r="V34" i="6" s="1"/>
  <c r="AC19" i="7"/>
  <c r="AC20" i="7" s="1"/>
  <c r="AB34" i="6" s="1"/>
  <c r="AO19" i="7"/>
  <c r="AO20" i="7" s="1"/>
  <c r="AN34" i="6" s="1"/>
  <c r="AT19" i="7"/>
  <c r="AT20" i="7" s="1"/>
  <c r="AS34" i="6" s="1"/>
  <c r="BB19" i="7"/>
  <c r="BB20" i="7" s="1"/>
  <c r="BA34" i="6" s="1"/>
  <c r="BQ19" i="7"/>
  <c r="BQ20" i="7" s="1"/>
  <c r="BP34" i="6" s="1"/>
  <c r="AD19" i="7"/>
  <c r="AD20" i="7" s="1"/>
  <c r="AC34" i="6" s="1"/>
  <c r="CG19" i="7"/>
  <c r="CG20" i="7" s="1"/>
  <c r="CF34" i="6" s="1"/>
  <c r="BY19" i="7"/>
  <c r="BY20" i="7" s="1"/>
  <c r="BX34" i="6" s="1"/>
  <c r="AL19" i="7"/>
  <c r="AL20" i="7" s="1"/>
  <c r="AK34" i="6" s="1"/>
  <c r="BS19" i="7"/>
  <c r="BS20" i="7" s="1"/>
  <c r="BR34" i="6" s="1"/>
  <c r="AV19" i="7"/>
  <c r="AV20" i="7" s="1"/>
  <c r="AU34" i="6" s="1"/>
  <c r="BH19" i="7"/>
  <c r="BH20" i="7" s="1"/>
  <c r="BG34" i="6" s="1"/>
  <c r="BX19" i="7"/>
  <c r="BX20" i="7" s="1"/>
  <c r="BW34" i="6" s="1"/>
  <c r="AB19" i="7"/>
  <c r="AB20" i="7" s="1"/>
  <c r="AA34" i="6" s="1"/>
  <c r="CH19" i="7"/>
  <c r="CH20" i="7" s="1"/>
  <c r="CG34" i="6" s="1"/>
  <c r="BK19" i="7"/>
  <c r="BK20" i="7" s="1"/>
  <c r="BJ34" i="6" s="1"/>
  <c r="AW19" i="7"/>
  <c r="AW20" i="7" s="1"/>
  <c r="AV34" i="6" s="1"/>
  <c r="BR19" i="7"/>
  <c r="BR20" i="7" s="1"/>
  <c r="BQ34" i="6" s="1"/>
  <c r="BP19" i="7"/>
  <c r="BP20" i="7" s="1"/>
  <c r="BO34" i="6" s="1"/>
  <c r="F14" i="128"/>
  <c r="F23" i="128"/>
  <c r="F22" i="128" s="1"/>
  <c r="F70" i="128" s="1"/>
  <c r="F21" i="128"/>
  <c r="F20" i="128" s="1"/>
  <c r="F66" i="128" s="1"/>
  <c r="M19" i="7"/>
  <c r="M20" i="7" s="1"/>
  <c r="L34" i="6" s="1"/>
  <c r="CF19" i="7"/>
  <c r="CF20" i="7" s="1"/>
  <c r="CE34" i="6" s="1"/>
  <c r="G18" i="7"/>
  <c r="H19" i="7"/>
  <c r="H20" i="7" s="1"/>
  <c r="G34" i="6" s="1"/>
  <c r="BV19" i="7"/>
  <c r="BV20" i="7" s="1"/>
  <c r="BU34" i="6" s="1"/>
  <c r="BW19" i="7"/>
  <c r="BW20" i="7" s="1"/>
  <c r="BV34" i="6" s="1"/>
  <c r="BO19" i="7"/>
  <c r="BO20" i="7" s="1"/>
  <c r="BN34" i="6" s="1"/>
  <c r="BF19" i="7"/>
  <c r="BF20" i="7" s="1"/>
  <c r="BE34" i="6" s="1"/>
  <c r="AP19" i="7"/>
  <c r="AP20" i="7" s="1"/>
  <c r="AO34" i="6" s="1"/>
  <c r="AF19" i="7"/>
  <c r="AF20" i="7" s="1"/>
  <c r="AE34" i="6" s="1"/>
  <c r="BJ19" i="7"/>
  <c r="BJ20" i="7" s="1"/>
  <c r="BI34" i="6" s="1"/>
  <c r="AE19" i="7"/>
  <c r="AE20" i="7" s="1"/>
  <c r="AD34" i="6" s="1"/>
  <c r="AJ19" i="7"/>
  <c r="AJ20" i="7" s="1"/>
  <c r="AI34" i="6" s="1"/>
  <c r="AA19" i="7"/>
  <c r="AA20" i="7" s="1"/>
  <c r="Z34" i="6" s="1"/>
  <c r="AH19" i="7"/>
  <c r="AH20" i="7" s="1"/>
  <c r="AG34" i="6" s="1"/>
  <c r="X19" i="7"/>
  <c r="X20" i="7" s="1"/>
  <c r="W34" i="6" s="1"/>
  <c r="CD19" i="7"/>
  <c r="CD20" i="7" s="1"/>
  <c r="CC34" i="6" s="1"/>
  <c r="BT19" i="7"/>
  <c r="BT20" i="7" s="1"/>
  <c r="BS34" i="6" s="1"/>
  <c r="L19" i="7"/>
  <c r="L20" i="7" s="1"/>
  <c r="K34" i="6" s="1"/>
  <c r="K19" i="7"/>
  <c r="K20" i="7" s="1"/>
  <c r="J34" i="6" s="1"/>
  <c r="AM19" i="7"/>
  <c r="AM20" i="7" s="1"/>
  <c r="AL34" i="6" s="1"/>
  <c r="BU19" i="7"/>
  <c r="BU20" i="7" s="1"/>
  <c r="BT34" i="6" s="1"/>
  <c r="CC19" i="7"/>
  <c r="CC20" i="7" s="1"/>
  <c r="CB34" i="6" s="1"/>
  <c r="BZ19" i="7"/>
  <c r="BZ20" i="7" s="1"/>
  <c r="BY34" i="6" s="1"/>
  <c r="AN19" i="7"/>
  <c r="AN20" i="7" s="1"/>
  <c r="AM34" i="6" s="1"/>
  <c r="AS19" i="7"/>
  <c r="AS20" i="7" s="1"/>
  <c r="AR34" i="6" s="1"/>
  <c r="Z19" i="7"/>
  <c r="Z20" i="7" s="1"/>
  <c r="Y34" i="6" s="1"/>
  <c r="J19" i="7"/>
  <c r="J20" i="7" s="1"/>
  <c r="I34" i="6" s="1"/>
  <c r="AY19" i="7"/>
  <c r="AY20" i="7" s="1"/>
  <c r="AX34" i="6" s="1"/>
  <c r="CE19" i="7"/>
  <c r="CE20" i="7" s="1"/>
  <c r="CD34" i="6" s="1"/>
  <c r="AZ19" i="7"/>
  <c r="AZ20" i="7" s="1"/>
  <c r="AY34" i="6" s="1"/>
  <c r="Y19" i="7"/>
  <c r="Y20" i="7" s="1"/>
  <c r="X34" i="6" s="1"/>
  <c r="AX19" i="7"/>
  <c r="AX20" i="7" s="1"/>
  <c r="AW34" i="6" s="1"/>
  <c r="BI19" i="7"/>
  <c r="BI20" i="7" s="1"/>
  <c r="BH34" i="6" s="1"/>
  <c r="CB19" i="7"/>
  <c r="CB20" i="7" s="1"/>
  <c r="CA34" i="6" s="1"/>
  <c r="BG19" i="7"/>
  <c r="BG20" i="7" s="1"/>
  <c r="BF34" i="6" s="1"/>
  <c r="AR19" i="7"/>
  <c r="AR20" i="7" s="1"/>
  <c r="AQ34" i="6" s="1"/>
  <c r="AQ19" i="7"/>
  <c r="AQ20" i="7" s="1"/>
  <c r="AP34" i="6" s="1"/>
  <c r="CA19" i="7"/>
  <c r="CA20" i="7" s="1"/>
  <c r="BZ34" i="6" s="1"/>
  <c r="BA19" i="7"/>
  <c r="BA20" i="7" s="1"/>
  <c r="AZ34" i="6" s="1"/>
  <c r="AK19" i="7"/>
  <c r="AK20" i="7" s="1"/>
  <c r="AJ34" i="6" s="1"/>
  <c r="BM19" i="7"/>
  <c r="BM20" i="7" s="1"/>
  <c r="BL34" i="6" s="1"/>
  <c r="CJ19" i="7"/>
  <c r="CJ20" i="7" s="1"/>
  <c r="CI34" i="6" s="1"/>
  <c r="AI19" i="7"/>
  <c r="AI20" i="7" s="1"/>
  <c r="AH34" i="6" s="1"/>
  <c r="AU19" i="7"/>
  <c r="AU20" i="7" s="1"/>
  <c r="AT34" i="6" s="1"/>
  <c r="CI19" i="7"/>
  <c r="CI20" i="7" s="1"/>
  <c r="CH34" i="6" s="1"/>
  <c r="AG19" i="7"/>
  <c r="AG20" i="7" s="1"/>
  <c r="AF34" i="6" s="1"/>
  <c r="BC19" i="7"/>
  <c r="BC20" i="7" s="1"/>
  <c r="BB34" i="6" s="1"/>
  <c r="I19" i="7"/>
  <c r="I20" i="7" s="1"/>
  <c r="H34" i="6" s="1"/>
  <c r="BL19" i="7"/>
  <c r="BL20" i="7" s="1"/>
  <c r="BK34" i="6" s="1"/>
  <c r="BN19" i="7"/>
  <c r="BN20" i="7" s="1"/>
  <c r="BM34" i="6" s="1"/>
  <c r="C317" i="128" l="1"/>
  <c r="F13" i="128"/>
  <c r="D383" i="128"/>
  <c r="D387" i="128" s="1"/>
  <c r="C262" i="128"/>
  <c r="C304" i="128"/>
  <c r="C296" i="128"/>
  <c r="C288" i="128"/>
  <c r="C272" i="128"/>
  <c r="C264" i="128"/>
  <c r="C311" i="128"/>
  <c r="C295" i="128"/>
  <c r="C279" i="128"/>
  <c r="C271" i="128"/>
  <c r="C294" i="128"/>
  <c r="C278" i="128"/>
  <c r="C290" i="128"/>
  <c r="C281" i="128"/>
  <c r="C303" i="128"/>
  <c r="C287" i="128"/>
  <c r="C263" i="128"/>
  <c r="C310" i="128"/>
  <c r="C302" i="128"/>
  <c r="C286" i="128"/>
  <c r="C270" i="128"/>
  <c r="C282" i="128"/>
  <c r="C265" i="128"/>
  <c r="C309" i="128"/>
  <c r="C301" i="128"/>
  <c r="C293" i="128"/>
  <c r="C285" i="128"/>
  <c r="C277" i="128"/>
  <c r="C269" i="128"/>
  <c r="C267" i="128"/>
  <c r="C306" i="128"/>
  <c r="C298" i="128"/>
  <c r="C274" i="128"/>
  <c r="C305" i="128"/>
  <c r="C289" i="128"/>
  <c r="C308" i="128"/>
  <c r="C300" i="128"/>
  <c r="C292" i="128"/>
  <c r="C284" i="128"/>
  <c r="C276" i="128"/>
  <c r="C268" i="128"/>
  <c r="C307" i="128"/>
  <c r="C299" i="128"/>
  <c r="C291" i="128"/>
  <c r="C283" i="128"/>
  <c r="C275" i="128"/>
  <c r="C266" i="128"/>
  <c r="C297" i="128"/>
  <c r="C273" i="128"/>
  <c r="I79" i="7"/>
  <c r="R79" i="7"/>
  <c r="L79" i="7"/>
  <c r="N79" i="7"/>
  <c r="P79" i="7"/>
  <c r="M79" i="7"/>
  <c r="S79" i="7"/>
  <c r="Q79" i="7"/>
  <c r="K79" i="7"/>
  <c r="J79" i="7"/>
  <c r="T79" i="7"/>
  <c r="O79" i="7"/>
  <c r="I21" i="7"/>
  <c r="H44" i="6" s="1"/>
  <c r="J21" i="7"/>
  <c r="I44" i="6" s="1"/>
  <c r="K21" i="7"/>
  <c r="J44" i="6" s="1"/>
  <c r="L21" i="7"/>
  <c r="K44" i="6" s="1"/>
  <c r="M21" i="7"/>
  <c r="L44" i="6" s="1"/>
  <c r="E101" i="5"/>
  <c r="C318" i="128"/>
  <c r="C320" i="128"/>
  <c r="C319" i="128"/>
  <c r="E317" i="128" l="1"/>
  <c r="G317" i="128" s="1"/>
  <c r="D408" i="128"/>
  <c r="C280" i="128"/>
  <c r="C312" i="128" s="1"/>
  <c r="E418" i="128" s="1"/>
  <c r="E419" i="128" s="1"/>
  <c r="G387" i="128"/>
  <c r="G101" i="5"/>
  <c r="K101" i="5"/>
  <c r="F101" i="5"/>
  <c r="H101" i="5"/>
  <c r="N101" i="5"/>
  <c r="M101" i="5"/>
  <c r="L101" i="5"/>
  <c r="I101" i="5"/>
  <c r="J101" i="5"/>
  <c r="D319" i="128"/>
  <c r="E319" i="128" s="1"/>
  <c r="D320" i="128"/>
  <c r="E320" i="128" s="1"/>
  <c r="D318" i="128"/>
  <c r="E318" i="128" s="1"/>
  <c r="C321" i="128"/>
  <c r="G320" i="128" l="1"/>
  <c r="G318" i="128"/>
  <c r="G319" i="128"/>
  <c r="G386" i="128"/>
  <c r="I318" i="128"/>
  <c r="K328" i="128" s="1"/>
  <c r="L328" i="128" s="1"/>
  <c r="D321" i="128"/>
  <c r="I320" i="128"/>
  <c r="K330" i="128" s="1"/>
  <c r="L330" i="128" s="1"/>
  <c r="I319" i="128"/>
  <c r="K329" i="128" s="1"/>
  <c r="L329" i="128" s="1"/>
  <c r="E321" i="128"/>
  <c r="F413" i="128" l="1"/>
  <c r="D414" i="128"/>
  <c r="F414" i="128" s="1"/>
  <c r="G321" i="128"/>
  <c r="I317" i="128"/>
  <c r="F416" i="128" l="1"/>
  <c r="I321" i="128"/>
  <c r="K327" i="128"/>
  <c r="L327" i="128" s="1"/>
  <c r="E416" i="128" l="1"/>
  <c r="K331" i="128"/>
  <c r="L331" i="128"/>
  <c r="L332" i="128" l="1"/>
  <c r="L333" i="128" s="1"/>
  <c r="C38" i="8"/>
  <c r="M332" i="128" l="1"/>
  <c r="N332" i="128" s="1"/>
  <c r="U15" i="5"/>
  <c r="AE15" i="5" l="1"/>
  <c r="AF15" i="5"/>
  <c r="AC15" i="5"/>
  <c r="X15" i="5"/>
  <c r="W15" i="5"/>
  <c r="AD15" i="5"/>
  <c r="V15" i="5"/>
  <c r="AU19" i="6" l="1"/>
  <c r="BW19" i="6"/>
  <c r="AI19" i="6"/>
  <c r="CB19" i="6"/>
  <c r="BI19" i="6"/>
  <c r="CI19" i="6"/>
  <c r="CA19" i="6"/>
  <c r="AE19" i="6"/>
  <c r="AX19" i="6"/>
  <c r="BE19" i="6"/>
  <c r="BX19" i="6"/>
  <c r="AJ19" i="6"/>
  <c r="CD19" i="6"/>
  <c r="BH19" i="6"/>
  <c r="AK19" i="6"/>
  <c r="AG19" i="6"/>
  <c r="BA19" i="6"/>
  <c r="BC19" i="6"/>
  <c r="BR19" i="6"/>
  <c r="AO19" i="6"/>
  <c r="AH19" i="6"/>
  <c r="BO19" i="6"/>
  <c r="BL19" i="6"/>
  <c r="BN19" i="6"/>
  <c r="BJ19" i="6"/>
  <c r="AZ19" i="6"/>
  <c r="CC19" i="6"/>
  <c r="BZ19" i="6"/>
  <c r="BU19" i="6"/>
  <c r="BK19" i="6"/>
  <c r="AP19" i="6"/>
  <c r="BF19" i="6"/>
  <c r="AN19" i="6"/>
  <c r="AL19" i="6"/>
  <c r="AV19" i="6"/>
  <c r="AQ19" i="6"/>
  <c r="BQ19" i="6"/>
  <c r="BS19" i="6"/>
  <c r="AT19" i="6"/>
  <c r="BD19" i="6"/>
  <c r="BM19" i="6"/>
  <c r="BY19" i="6"/>
  <c r="AW19" i="6"/>
  <c r="AS19" i="6"/>
  <c r="CG19" i="6"/>
  <c r="AY19" i="6"/>
  <c r="AR19" i="6"/>
  <c r="BP19" i="6"/>
  <c r="AF19" i="6"/>
  <c r="CF19" i="6"/>
  <c r="AE25" i="9"/>
  <c r="AE30" i="9" s="1"/>
  <c r="CH19" i="6"/>
  <c r="CE19" i="6"/>
  <c r="AS25" i="9"/>
  <c r="AS30" i="9" s="1"/>
  <c r="AW25" i="9"/>
  <c r="AW30" i="9" s="1"/>
  <c r="BS25" i="9"/>
  <c r="BS30" i="9" s="1"/>
  <c r="AH25" i="9"/>
  <c r="AH30" i="9" s="1"/>
  <c r="AX25" i="9"/>
  <c r="AX30" i="9" s="1"/>
  <c r="BK25" i="9"/>
  <c r="BK30" i="9" s="1"/>
  <c r="AQ25" i="9"/>
  <c r="AQ30" i="9" s="1"/>
  <c r="BM25" i="9"/>
  <c r="BM30" i="9" s="1"/>
  <c r="BH25" i="9"/>
  <c r="BH30" i="9" s="1"/>
  <c r="AM25" i="9"/>
  <c r="AM30" i="9" s="1"/>
  <c r="CG25" i="9"/>
  <c r="CG30" i="9" s="1"/>
  <c r="CF25" i="9"/>
  <c r="CF30" i="9" s="1"/>
  <c r="AY25" i="9"/>
  <c r="AY30" i="9" s="1"/>
  <c r="AO25" i="9"/>
  <c r="AO30" i="9" s="1"/>
  <c r="AJ25" i="9"/>
  <c r="AJ30" i="9" s="1"/>
  <c r="AC25" i="9"/>
  <c r="AC30" i="9" s="1"/>
  <c r="AP25" i="9"/>
  <c r="AP30" i="9" s="1"/>
  <c r="AV25" i="9"/>
  <c r="AV30" i="9" s="1"/>
  <c r="BE25" i="9"/>
  <c r="BE30" i="9" s="1"/>
  <c r="BN25" i="9"/>
  <c r="BN30" i="9" s="1"/>
  <c r="CD25" i="9"/>
  <c r="CD30" i="9" s="1"/>
  <c r="AU25" i="9"/>
  <c r="AU30" i="9" s="1"/>
  <c r="BQ25" i="9"/>
  <c r="BQ30" i="9" s="1"/>
  <c r="CA25" i="9"/>
  <c r="CA30" i="9" s="1"/>
  <c r="BA25" i="9"/>
  <c r="BA30" i="9" s="1"/>
  <c r="BB19" i="6"/>
  <c r="AM19" i="6"/>
  <c r="CH25" i="9"/>
  <c r="CH30" i="9" s="1"/>
  <c r="AL25" i="9"/>
  <c r="AL30" i="9" s="1"/>
  <c r="AD25" i="9"/>
  <c r="AD30" i="9" s="1"/>
  <c r="BB25" i="9"/>
  <c r="BB30" i="9" s="1"/>
  <c r="BJ25" i="9"/>
  <c r="BJ30" i="9" s="1"/>
  <c r="AR25" i="9"/>
  <c r="AR30" i="9" s="1"/>
  <c r="AI25" i="9"/>
  <c r="AI30" i="9" s="1"/>
  <c r="BW25" i="9"/>
  <c r="BW30" i="9" s="1"/>
  <c r="BX25" i="9"/>
  <c r="BX30" i="9" s="1"/>
  <c r="BL25" i="9"/>
  <c r="BL30" i="9" s="1"/>
  <c r="BP25" i="9"/>
  <c r="BP30" i="9" s="1"/>
  <c r="BG19" i="6"/>
  <c r="BF25" i="9"/>
  <c r="BF30" i="9" s="1"/>
  <c r="BI25" i="9"/>
  <c r="BI30" i="9" s="1"/>
  <c r="CC25" i="9"/>
  <c r="CC30" i="9" s="1"/>
  <c r="AN25" i="9"/>
  <c r="AN30" i="9" s="1"/>
  <c r="BR25" i="9"/>
  <c r="BR30" i="9" s="1"/>
  <c r="BZ25" i="9"/>
  <c r="BZ30" i="9" s="1"/>
  <c r="BO25" i="9"/>
  <c r="BO30" i="9" s="1"/>
  <c r="CB25" i="9"/>
  <c r="CB30" i="9" s="1"/>
  <c r="AF25" i="9"/>
  <c r="AF30" i="9" s="1"/>
  <c r="CE25" i="9"/>
  <c r="CE30" i="9" s="1"/>
  <c r="BC25" i="9"/>
  <c r="BC30" i="9" s="1"/>
  <c r="BY25" i="9"/>
  <c r="BY30" i="9" s="1"/>
  <c r="AG25" i="9"/>
  <c r="AG30" i="9" s="1"/>
  <c r="BG25" i="9"/>
  <c r="BG30" i="9" s="1"/>
  <c r="BU25" i="9"/>
  <c r="BU30" i="9" s="1"/>
  <c r="BV19" i="6"/>
  <c r="AT25" i="9"/>
  <c r="AT30" i="9" s="1"/>
  <c r="BV25" i="9"/>
  <c r="BV30" i="9" s="1"/>
  <c r="BD25" i="9"/>
  <c r="BD30" i="9" s="1"/>
  <c r="AZ25" i="9"/>
  <c r="AZ30" i="9" s="1"/>
  <c r="BT25" i="9"/>
  <c r="BT30" i="9" s="1"/>
  <c r="AK25" i="9"/>
  <c r="AK30" i="9" s="1"/>
  <c r="BT19" i="6"/>
  <c r="J62" i="31"/>
  <c r="H62" i="31"/>
  <c r="H63" i="31" s="1"/>
  <c r="U77" i="7" l="1"/>
  <c r="U78" i="7" s="1"/>
  <c r="U79" i="7" l="1"/>
  <c r="CJ79" i="7"/>
  <c r="BO79" i="7"/>
  <c r="AG79" i="7"/>
  <c r="BJ79" i="7"/>
  <c r="BP79" i="7"/>
  <c r="BQ79" i="7"/>
  <c r="BA79" i="7"/>
  <c r="BY79" i="7"/>
  <c r="BH79" i="7"/>
  <c r="AF79" i="7"/>
  <c r="AM79" i="7"/>
  <c r="AH79" i="7"/>
  <c r="Y79" i="7"/>
  <c r="BS79" i="7"/>
  <c r="AS79" i="7"/>
  <c r="BK79" i="7"/>
  <c r="AT79" i="7"/>
  <c r="BR79" i="7"/>
  <c r="AY79" i="7"/>
  <c r="BM79" i="7"/>
  <c r="AR79" i="7"/>
  <c r="AX79" i="7"/>
  <c r="CD79" i="7"/>
  <c r="BB79" i="7"/>
  <c r="CG79" i="7"/>
  <c r="BU79" i="7"/>
  <c r="AO79" i="7"/>
  <c r="AI79" i="7"/>
  <c r="AW79" i="7"/>
  <c r="BN79" i="7"/>
  <c r="BC79" i="7"/>
  <c r="CA79" i="7"/>
  <c r="BI79" i="7"/>
  <c r="BV79" i="7"/>
  <c r="BF79" i="7"/>
  <c r="BZ79" i="7"/>
  <c r="AB79" i="7"/>
  <c r="AU79" i="7"/>
  <c r="V79" i="7"/>
  <c r="CI79" i="7"/>
  <c r="AV79" i="7"/>
  <c r="AK79" i="7"/>
  <c r="AC79" i="7"/>
  <c r="AA79" i="7"/>
  <c r="BG79" i="7"/>
  <c r="BE79" i="7"/>
  <c r="AL79" i="7"/>
  <c r="AE79" i="7"/>
  <c r="BT79" i="7"/>
  <c r="BX79" i="7"/>
  <c r="CB79" i="7"/>
  <c r="AN79" i="7"/>
  <c r="Z79" i="7"/>
  <c r="CE79" i="7"/>
  <c r="AZ79" i="7"/>
  <c r="AJ79" i="7"/>
  <c r="BD79" i="7"/>
  <c r="CH79" i="7"/>
  <c r="CF79" i="7"/>
  <c r="AD79" i="7"/>
  <c r="BW79" i="7"/>
  <c r="AQ79" i="7"/>
  <c r="AP79" i="7"/>
  <c r="W79" i="7"/>
  <c r="CC79" i="7"/>
  <c r="BL79" i="7"/>
  <c r="X79" i="7"/>
  <c r="U105" i="7"/>
  <c r="G78" i="7"/>
  <c r="U106" i="7" l="1"/>
  <c r="T37" i="6" s="1"/>
  <c r="D37" i="6" s="1"/>
  <c r="S101" i="5"/>
  <c r="W101" i="5"/>
  <c r="Y101" i="5"/>
  <c r="R101" i="5"/>
  <c r="V101" i="5"/>
  <c r="Q101" i="5"/>
  <c r="X101" i="5"/>
  <c r="U101" i="5"/>
  <c r="P101" i="5"/>
  <c r="T101" i="5"/>
  <c r="G79" i="7"/>
  <c r="H80" i="7" s="1"/>
  <c r="O101" i="5"/>
  <c r="E78" i="7"/>
  <c r="U107" i="7" l="1"/>
  <c r="T47" i="6" s="1"/>
  <c r="AL107" i="7"/>
  <c r="AK47" i="6" s="1"/>
  <c r="AB107" i="7"/>
  <c r="AA47" i="6" s="1"/>
  <c r="AE107" i="7"/>
  <c r="AD47" i="6" s="1"/>
  <c r="BI107" i="7"/>
  <c r="BH47" i="6" s="1"/>
  <c r="BL107" i="7"/>
  <c r="BK47" i="6" s="1"/>
  <c r="BX107" i="7"/>
  <c r="BW47" i="6" s="1"/>
  <c r="AR107" i="7"/>
  <c r="AQ47" i="6" s="1"/>
  <c r="CJ107" i="7"/>
  <c r="CI47" i="6" s="1"/>
  <c r="AM107" i="7"/>
  <c r="AL47" i="6" s="1"/>
  <c r="BV107" i="7"/>
  <c r="BU47" i="6" s="1"/>
  <c r="BW107" i="7"/>
  <c r="BV47" i="6" s="1"/>
  <c r="AT107" i="7"/>
  <c r="AS47" i="6" s="1"/>
  <c r="CD107" i="7"/>
  <c r="CC47" i="6" s="1"/>
  <c r="BP107" i="7"/>
  <c r="BO47" i="6" s="1"/>
  <c r="CG107" i="7"/>
  <c r="CF47" i="6" s="1"/>
  <c r="AU107" i="7"/>
  <c r="AT47" i="6" s="1"/>
  <c r="BZ107" i="7"/>
  <c r="BY47" i="6" s="1"/>
  <c r="AJ107" i="7"/>
  <c r="AI47" i="6" s="1"/>
  <c r="AX107" i="7"/>
  <c r="AW47" i="6" s="1"/>
  <c r="AP107" i="7"/>
  <c r="AO47" i="6" s="1"/>
  <c r="AK107" i="7"/>
  <c r="AJ47" i="6" s="1"/>
  <c r="BB107" i="7"/>
  <c r="BA47" i="6" s="1"/>
  <c r="BC107" i="7"/>
  <c r="BB47" i="6" s="1"/>
  <c r="BN107" i="7"/>
  <c r="BM47" i="6" s="1"/>
  <c r="W107" i="7"/>
  <c r="V47" i="6" s="1"/>
  <c r="BT107" i="7"/>
  <c r="BS47" i="6" s="1"/>
  <c r="CA107" i="7"/>
  <c r="BZ47" i="6" s="1"/>
  <c r="BD107" i="7"/>
  <c r="BC47" i="6" s="1"/>
  <c r="AO107" i="7"/>
  <c r="AN47" i="6" s="1"/>
  <c r="CE107" i="7"/>
  <c r="CD47" i="6" s="1"/>
  <c r="BS107" i="7"/>
  <c r="BR47" i="6" s="1"/>
  <c r="BH107" i="7"/>
  <c r="BG47" i="6" s="1"/>
  <c r="AD107" i="7"/>
  <c r="AC47" i="6" s="1"/>
  <c r="BQ107" i="7"/>
  <c r="BP47" i="6" s="1"/>
  <c r="AA107" i="7"/>
  <c r="Z47" i="6" s="1"/>
  <c r="BF107" i="7"/>
  <c r="BE47" i="6" s="1"/>
  <c r="BG107" i="7"/>
  <c r="BF47" i="6" s="1"/>
  <c r="CI107" i="7"/>
  <c r="CH47" i="6" s="1"/>
  <c r="BJ107" i="7"/>
  <c r="BI47" i="6" s="1"/>
  <c r="BO107" i="7"/>
  <c r="BN47" i="6" s="1"/>
  <c r="BR107" i="7"/>
  <c r="BQ47" i="6" s="1"/>
  <c r="BM107" i="7"/>
  <c r="BL47" i="6" s="1"/>
  <c r="AF107" i="7"/>
  <c r="AE47" i="6" s="1"/>
  <c r="BY107" i="7"/>
  <c r="BX47" i="6" s="1"/>
  <c r="BA107" i="7"/>
  <c r="AZ47" i="6" s="1"/>
  <c r="AV107" i="7"/>
  <c r="AU47" i="6" s="1"/>
  <c r="CB107" i="7"/>
  <c r="CA47" i="6" s="1"/>
  <c r="AW107" i="7"/>
  <c r="AV47" i="6" s="1"/>
  <c r="AH107" i="7"/>
  <c r="AG47" i="6" s="1"/>
  <c r="CH107" i="7"/>
  <c r="CG47" i="6" s="1"/>
  <c r="AS107" i="7"/>
  <c r="AR47" i="6" s="1"/>
  <c r="X107" i="7"/>
  <c r="W47" i="6" s="1"/>
  <c r="BE107" i="7"/>
  <c r="BD47" i="6" s="1"/>
  <c r="V107" i="7"/>
  <c r="U47" i="6" s="1"/>
  <c r="AG107" i="7"/>
  <c r="AF47" i="6" s="1"/>
  <c r="Y107" i="7"/>
  <c r="X47" i="6" s="1"/>
  <c r="CC107" i="7"/>
  <c r="CB47" i="6" s="1"/>
  <c r="AZ107" i="7"/>
  <c r="AY47" i="6" s="1"/>
  <c r="AQ107" i="7"/>
  <c r="AP47" i="6" s="1"/>
  <c r="AN107" i="7"/>
  <c r="AM47" i="6" s="1"/>
  <c r="AI107" i="7"/>
  <c r="AH47" i="6" s="1"/>
  <c r="AC107" i="7"/>
  <c r="AB47" i="6" s="1"/>
  <c r="BK107" i="7"/>
  <c r="BJ47" i="6" s="1"/>
  <c r="BU107" i="7"/>
  <c r="BT47" i="6" s="1"/>
  <c r="CF107" i="7"/>
  <c r="CE47" i="6" s="1"/>
  <c r="Z107" i="7"/>
  <c r="Y47" i="6" s="1"/>
  <c r="AY107" i="7"/>
  <c r="AX47" i="6" s="1"/>
  <c r="G106" i="7"/>
  <c r="D101" i="5"/>
  <c r="D47" i="6" l="1"/>
  <c r="E106" i="7"/>
  <c r="G107" i="7"/>
  <c r="AB17" i="9"/>
  <c r="AB75" i="8"/>
  <c r="AB74" i="8" l="1"/>
  <c r="AB25" i="9" l="1"/>
  <c r="AB30" i="9" s="1"/>
  <c r="AA25" i="9"/>
  <c r="AA30" i="9" s="1"/>
  <c r="Y98" i="5"/>
  <c r="Z25" i="9"/>
  <c r="T122" i="113" s="1"/>
  <c r="X98" i="5"/>
  <c r="Z30" i="9" l="1"/>
  <c r="F36" i="128" l="1"/>
  <c r="F70" i="55" l="1"/>
  <c r="D98" i="55" l="1"/>
  <c r="D109" i="55" l="1"/>
  <c r="D113" i="55"/>
  <c r="D105" i="55"/>
  <c r="D104" i="55" s="1"/>
  <c r="D112" i="55" l="1"/>
  <c r="D95" i="55"/>
  <c r="D111" i="55" s="1"/>
  <c r="M10" i="55"/>
  <c r="D89" i="55"/>
  <c r="D108" i="55"/>
  <c r="BN12" i="7"/>
  <c r="AO12" i="7"/>
  <c r="K12" i="7"/>
  <c r="U12" i="7"/>
  <c r="CH12" i="7"/>
  <c r="AF12" i="7"/>
  <c r="BO12" i="7"/>
  <c r="AT12" i="7"/>
  <c r="O12" i="7"/>
  <c r="AP12" i="7"/>
  <c r="AE12" i="7"/>
  <c r="AA12" i="7"/>
  <c r="BB12" i="7"/>
  <c r="AR12" i="7"/>
  <c r="AC12" i="7"/>
  <c r="AI12" i="7"/>
  <c r="Z12" i="7"/>
  <c r="AL12" i="7"/>
  <c r="N12" i="7"/>
  <c r="BJ12" i="7"/>
  <c r="BP12" i="7"/>
  <c r="CG12" i="7"/>
  <c r="AS12" i="7"/>
  <c r="AK12" i="7"/>
  <c r="AJ12" i="7"/>
  <c r="CJ12" i="7"/>
  <c r="AH12" i="7"/>
  <c r="CA12" i="7"/>
  <c r="P12" i="7"/>
  <c r="BX12" i="7"/>
  <c r="AB12" i="7"/>
  <c r="BY12" i="7"/>
  <c r="CD12" i="7"/>
  <c r="AX12" i="7"/>
  <c r="AN12" i="7"/>
  <c r="AQ12" i="7"/>
  <c r="M12" i="7"/>
  <c r="S12" i="7"/>
  <c r="BU12" i="7"/>
  <c r="CB12" i="7"/>
  <c r="BF12" i="7"/>
  <c r="CI12" i="7"/>
  <c r="BV12" i="7"/>
  <c r="BS12" i="7"/>
  <c r="BK12" i="7"/>
  <c r="AG12" i="7"/>
  <c r="Q12" i="7"/>
  <c r="BI12" i="7"/>
  <c r="L12" i="7"/>
  <c r="BW12" i="7"/>
  <c r="AW12" i="7"/>
  <c r="V12" i="7"/>
  <c r="BD12" i="7"/>
  <c r="Y12" i="7"/>
  <c r="BH12" i="7"/>
  <c r="J12" i="7"/>
  <c r="BC12" i="7"/>
  <c r="CF12" i="7"/>
  <c r="AU12" i="7"/>
  <c r="AY12" i="7"/>
  <c r="BQ12" i="7"/>
  <c r="BT12" i="7"/>
  <c r="X12" i="7"/>
  <c r="BL12" i="7"/>
  <c r="W12" i="7"/>
  <c r="AM12" i="7"/>
  <c r="I12" i="7"/>
  <c r="BA12" i="7"/>
  <c r="CE12" i="7"/>
  <c r="BZ12" i="7"/>
  <c r="AD12" i="7"/>
  <c r="BG12" i="7"/>
  <c r="H12" i="7"/>
  <c r="CC12" i="7"/>
  <c r="BR12" i="7"/>
  <c r="T12" i="7"/>
  <c r="BM12" i="7"/>
  <c r="AZ12" i="7"/>
  <c r="BE12" i="7"/>
  <c r="R12" i="7"/>
  <c r="AV12" i="7"/>
  <c r="D110" i="55" l="1"/>
  <c r="D90" i="55"/>
  <c r="D68" i="55" s="1"/>
  <c r="D94" i="55"/>
  <c r="D96" i="55" s="1"/>
  <c r="F110" i="128"/>
  <c r="F112" i="128" s="1"/>
  <c r="C236" i="128" s="1"/>
  <c r="D97" i="55"/>
  <c r="E102" i="55" s="1"/>
  <c r="G86" i="55"/>
  <c r="D115" i="55"/>
  <c r="L13" i="7"/>
  <c r="L14" i="7" s="1"/>
  <c r="K33" i="6" s="1"/>
  <c r="BX13" i="7"/>
  <c r="BX14" i="7" s="1"/>
  <c r="BW33" i="6" s="1"/>
  <c r="CA13" i="7"/>
  <c r="CA14" i="7" s="1"/>
  <c r="BZ33" i="6" s="1"/>
  <c r="AH13" i="7"/>
  <c r="AH14" i="7" s="1"/>
  <c r="AG33" i="6" s="1"/>
  <c r="W13" i="7"/>
  <c r="W14" i="7" s="1"/>
  <c r="V33" i="6" s="1"/>
  <c r="BL13" i="7"/>
  <c r="BL14" i="7" s="1"/>
  <c r="BK33" i="6" s="1"/>
  <c r="BV13" i="7"/>
  <c r="BV14" i="7" s="1"/>
  <c r="BU33" i="6" s="1"/>
  <c r="BT13" i="7"/>
  <c r="BT14" i="7" s="1"/>
  <c r="BS33" i="6" s="1"/>
  <c r="AS13" i="7"/>
  <c r="AS14" i="7" s="1"/>
  <c r="AR33" i="6" s="1"/>
  <c r="CG13" i="7"/>
  <c r="CG14" i="7" s="1"/>
  <c r="CF33" i="6" s="1"/>
  <c r="BP13" i="7"/>
  <c r="BP14" i="7" s="1"/>
  <c r="BO33" i="6" s="1"/>
  <c r="BJ13" i="7"/>
  <c r="BJ14" i="7" s="1"/>
  <c r="BI33" i="6" s="1"/>
  <c r="AC13" i="7"/>
  <c r="AC14" i="7" s="1"/>
  <c r="AB33" i="6" s="1"/>
  <c r="CJ13" i="7"/>
  <c r="CJ14" i="7" s="1"/>
  <c r="CI33" i="6" s="1"/>
  <c r="AJ13" i="7"/>
  <c r="AJ14" i="7" s="1"/>
  <c r="AI33" i="6" s="1"/>
  <c r="X13" i="7"/>
  <c r="X14" i="7" s="1"/>
  <c r="W33" i="6" s="1"/>
  <c r="CI13" i="7"/>
  <c r="CI14" i="7" s="1"/>
  <c r="CH33" i="6" s="1"/>
  <c r="AV13" i="7"/>
  <c r="AV14" i="7" s="1"/>
  <c r="AU33" i="6" s="1"/>
  <c r="AO13" i="7"/>
  <c r="AO14" i="7" s="1"/>
  <c r="AN33" i="6" s="1"/>
  <c r="J13" i="7"/>
  <c r="J14" i="7" s="1"/>
  <c r="I33" i="6" s="1"/>
  <c r="BI13" i="7"/>
  <c r="BI14" i="7" s="1"/>
  <c r="BH33" i="6" s="1"/>
  <c r="I13" i="7"/>
  <c r="I14" i="7" s="1"/>
  <c r="H33" i="6" s="1"/>
  <c r="AT13" i="7"/>
  <c r="AT14" i="7" s="1"/>
  <c r="AS33" i="6" s="1"/>
  <c r="AF13" i="7"/>
  <c r="AF14" i="7" s="1"/>
  <c r="AE33" i="6" s="1"/>
  <c r="BQ13" i="7"/>
  <c r="BQ14" i="7" s="1"/>
  <c r="BP33" i="6" s="1"/>
  <c r="AY13" i="7"/>
  <c r="AY14" i="7" s="1"/>
  <c r="AX33" i="6" s="1"/>
  <c r="BE13" i="7"/>
  <c r="BE14" i="7" s="1"/>
  <c r="BD33" i="6" s="1"/>
  <c r="BU13" i="7"/>
  <c r="BU14" i="7" s="1"/>
  <c r="BT33" i="6" s="1"/>
  <c r="BN13" i="7"/>
  <c r="BN14" i="7" s="1"/>
  <c r="BM33" i="6" s="1"/>
  <c r="AZ13" i="7"/>
  <c r="AZ14" i="7" s="1"/>
  <c r="AY33" i="6" s="1"/>
  <c r="CF13" i="7"/>
  <c r="CF14" i="7" s="1"/>
  <c r="CE33" i="6" s="1"/>
  <c r="BM13" i="7"/>
  <c r="BM14" i="7" s="1"/>
  <c r="BL33" i="6" s="1"/>
  <c r="M13" i="7"/>
  <c r="M14" i="7" s="1"/>
  <c r="L33" i="6" s="1"/>
  <c r="AQ13" i="7"/>
  <c r="AQ14" i="7" s="1"/>
  <c r="AP33" i="6" s="1"/>
  <c r="AI13" i="7"/>
  <c r="AI14" i="7" s="1"/>
  <c r="AH33" i="6" s="1"/>
  <c r="AN13" i="7"/>
  <c r="AN14" i="7" s="1"/>
  <c r="AM33" i="6" s="1"/>
  <c r="BB13" i="7"/>
  <c r="BB14" i="7" s="1"/>
  <c r="BA33" i="6" s="1"/>
  <c r="CE13" i="7"/>
  <c r="CE14" i="7" s="1"/>
  <c r="CD33" i="6" s="1"/>
  <c r="AP13" i="7"/>
  <c r="AP14" i="7" s="1"/>
  <c r="AO33" i="6" s="1"/>
  <c r="AG13" i="7"/>
  <c r="AG14" i="7" s="1"/>
  <c r="AF33" i="6" s="1"/>
  <c r="BO13" i="7"/>
  <c r="BO14" i="7" s="1"/>
  <c r="BN33" i="6" s="1"/>
  <c r="AK13" i="7"/>
  <c r="AK14" i="7" s="1"/>
  <c r="AJ33" i="6" s="1"/>
  <c r="BF13" i="7"/>
  <c r="BF14" i="7" s="1"/>
  <c r="BE33" i="6" s="1"/>
  <c r="BC13" i="7"/>
  <c r="BC14" i="7" s="1"/>
  <c r="BB33" i="6" s="1"/>
  <c r="AL13" i="7"/>
  <c r="AL14" i="7" s="1"/>
  <c r="AK33" i="6" s="1"/>
  <c r="Z13" i="7"/>
  <c r="Z14" i="7" s="1"/>
  <c r="Y33" i="6" s="1"/>
  <c r="BR13" i="7"/>
  <c r="BR14" i="7" s="1"/>
  <c r="BQ33" i="6" s="1"/>
  <c r="Y13" i="7"/>
  <c r="Y14" i="7" s="1"/>
  <c r="X33" i="6" s="1"/>
  <c r="AD13" i="7"/>
  <c r="AD14" i="7" s="1"/>
  <c r="AC33" i="6" s="1"/>
  <c r="BA13" i="7"/>
  <c r="BA14" i="7" s="1"/>
  <c r="AZ33" i="6" s="1"/>
  <c r="AM13" i="7"/>
  <c r="AM14" i="7" s="1"/>
  <c r="AL33" i="6" s="1"/>
  <c r="BK13" i="7"/>
  <c r="BK14" i="7" s="1"/>
  <c r="BJ33" i="6" s="1"/>
  <c r="BS13" i="7"/>
  <c r="BS14" i="7" s="1"/>
  <c r="BR33" i="6" s="1"/>
  <c r="CH13" i="7"/>
  <c r="CH14" i="7" s="1"/>
  <c r="CG33" i="6" s="1"/>
  <c r="K13" i="7"/>
  <c r="K14" i="7" s="1"/>
  <c r="J33" i="6" s="1"/>
  <c r="CB13" i="7"/>
  <c r="CB14" i="7" s="1"/>
  <c r="CA33" i="6" s="1"/>
  <c r="AU13" i="7"/>
  <c r="AU14" i="7" s="1"/>
  <c r="AT33" i="6" s="1"/>
  <c r="BH13" i="7"/>
  <c r="BH14" i="7" s="1"/>
  <c r="BG33" i="6" s="1"/>
  <c r="CC13" i="7"/>
  <c r="CC14" i="7" s="1"/>
  <c r="CB33" i="6" s="1"/>
  <c r="H13" i="7"/>
  <c r="H14" i="7" s="1"/>
  <c r="G33" i="6" s="1"/>
  <c r="G12" i="7"/>
  <c r="BD13" i="7"/>
  <c r="BD14" i="7" s="1"/>
  <c r="BC33" i="6" s="1"/>
  <c r="AX13" i="7"/>
  <c r="AX14" i="7" s="1"/>
  <c r="AW33" i="6" s="1"/>
  <c r="AR13" i="7"/>
  <c r="AR14" i="7" s="1"/>
  <c r="AQ33" i="6" s="1"/>
  <c r="BG13" i="7"/>
  <c r="BG14" i="7" s="1"/>
  <c r="BF33" i="6" s="1"/>
  <c r="CD13" i="7"/>
  <c r="CD14" i="7" s="1"/>
  <c r="CC33" i="6" s="1"/>
  <c r="AW13" i="7"/>
  <c r="AW14" i="7" s="1"/>
  <c r="AV33" i="6" s="1"/>
  <c r="BY13" i="7"/>
  <c r="BY14" i="7" s="1"/>
  <c r="BX33" i="6" s="1"/>
  <c r="AA13" i="7"/>
  <c r="AA14" i="7" s="1"/>
  <c r="Z33" i="6" s="1"/>
  <c r="BZ13" i="7"/>
  <c r="BZ14" i="7" s="1"/>
  <c r="BY33" i="6" s="1"/>
  <c r="BW13" i="7"/>
  <c r="BW14" i="7" s="1"/>
  <c r="BV33" i="6" s="1"/>
  <c r="AB13" i="7"/>
  <c r="AB14" i="7" s="1"/>
  <c r="AA33" i="6" s="1"/>
  <c r="AE13" i="7"/>
  <c r="AE14" i="7" s="1"/>
  <c r="AD33" i="6" s="1"/>
  <c r="AZ11" i="6" l="1"/>
  <c r="AZ14" i="6"/>
  <c r="AZ13" i="6"/>
  <c r="AZ12" i="6"/>
  <c r="AJ11" i="6"/>
  <c r="AJ14" i="6"/>
  <c r="AJ12" i="6"/>
  <c r="AJ13" i="6"/>
  <c r="BC14" i="6"/>
  <c r="BC13" i="6"/>
  <c r="BC11" i="6"/>
  <c r="BC12" i="6"/>
  <c r="J13" i="6"/>
  <c r="J12" i="6"/>
  <c r="J11" i="6"/>
  <c r="J14" i="6"/>
  <c r="X14" i="6"/>
  <c r="X13" i="6"/>
  <c r="X12" i="6"/>
  <c r="X11" i="6"/>
  <c r="AF14" i="6"/>
  <c r="AF13" i="6"/>
  <c r="AF12" i="6"/>
  <c r="AF11" i="6"/>
  <c r="L14" i="6"/>
  <c r="L12" i="6"/>
  <c r="L13" i="6"/>
  <c r="L11" i="6"/>
  <c r="BD14" i="6"/>
  <c r="BD13" i="6"/>
  <c r="BD12" i="6"/>
  <c r="BD11" i="6"/>
  <c r="I14" i="6"/>
  <c r="I13" i="6"/>
  <c r="I12" i="6"/>
  <c r="I11" i="6"/>
  <c r="AB11" i="6"/>
  <c r="AB12" i="6"/>
  <c r="AB14" i="6"/>
  <c r="AB13" i="6"/>
  <c r="V14" i="6"/>
  <c r="V13" i="6"/>
  <c r="V12" i="6"/>
  <c r="V11" i="6"/>
  <c r="Z13" i="6"/>
  <c r="Z12" i="6"/>
  <c r="Z11" i="6"/>
  <c r="Z14" i="6"/>
  <c r="BX11" i="6"/>
  <c r="BX14" i="6"/>
  <c r="BX13" i="6"/>
  <c r="BX12" i="6"/>
  <c r="CG14" i="6"/>
  <c r="CG13" i="6"/>
  <c r="CG12" i="6"/>
  <c r="CG11" i="6"/>
  <c r="BQ13" i="6"/>
  <c r="BQ14" i="6"/>
  <c r="BQ12" i="6"/>
  <c r="BQ11" i="6"/>
  <c r="AO14" i="6"/>
  <c r="AO13" i="6"/>
  <c r="AO12" i="6"/>
  <c r="AO11" i="6"/>
  <c r="BL14" i="6"/>
  <c r="BL13" i="6"/>
  <c r="BL12" i="6"/>
  <c r="BL11" i="6"/>
  <c r="AX13" i="6"/>
  <c r="AX12" i="6"/>
  <c r="AX11" i="6"/>
  <c r="AX14" i="6"/>
  <c r="AN14" i="6"/>
  <c r="AN13" i="6"/>
  <c r="AN12" i="6"/>
  <c r="AN11" i="6"/>
  <c r="BI14" i="6"/>
  <c r="BI13" i="6"/>
  <c r="BI12" i="6"/>
  <c r="BI11" i="6"/>
  <c r="AG14" i="6"/>
  <c r="AG13" i="6"/>
  <c r="AG12" i="6"/>
  <c r="AG11" i="6"/>
  <c r="CD13" i="6"/>
  <c r="CD12" i="6"/>
  <c r="CD11" i="6"/>
  <c r="CD14" i="6"/>
  <c r="AU14" i="6"/>
  <c r="AU13" i="6"/>
  <c r="AU12" i="6"/>
  <c r="AU11" i="6"/>
  <c r="BO12" i="6"/>
  <c r="BO11" i="6"/>
  <c r="BO13" i="6"/>
  <c r="BO14" i="6"/>
  <c r="BZ14" i="6"/>
  <c r="BZ13" i="6"/>
  <c r="BZ12" i="6"/>
  <c r="BZ11" i="6"/>
  <c r="AL14" i="6"/>
  <c r="AL12" i="6"/>
  <c r="AL11" i="6"/>
  <c r="AL13" i="6"/>
  <c r="BB14" i="6"/>
  <c r="BB13" i="6"/>
  <c r="BB12" i="6"/>
  <c r="BB11" i="6"/>
  <c r="AV14" i="6"/>
  <c r="AV13" i="6"/>
  <c r="AV12" i="6"/>
  <c r="AV11" i="6"/>
  <c r="G14" i="6"/>
  <c r="G13" i="6"/>
  <c r="G12" i="6"/>
  <c r="G11" i="6"/>
  <c r="BR14" i="6"/>
  <c r="BR12" i="6"/>
  <c r="BR13" i="6"/>
  <c r="BR11" i="6"/>
  <c r="Y14" i="6"/>
  <c r="Y13" i="6"/>
  <c r="Y12" i="6"/>
  <c r="Y11" i="6"/>
  <c r="BP11" i="6"/>
  <c r="BP12" i="6"/>
  <c r="BP14" i="6"/>
  <c r="BP13" i="6"/>
  <c r="CC14" i="6"/>
  <c r="CC13" i="6"/>
  <c r="CC12" i="6"/>
  <c r="CC11" i="6"/>
  <c r="CB14" i="6"/>
  <c r="CB13" i="6"/>
  <c r="CB12" i="6"/>
  <c r="CB11" i="6"/>
  <c r="BJ14" i="6"/>
  <c r="BJ11" i="6"/>
  <c r="BJ13" i="6"/>
  <c r="BJ12" i="6"/>
  <c r="AK14" i="6"/>
  <c r="AK13" i="6"/>
  <c r="AK12" i="6"/>
  <c r="AK11" i="6"/>
  <c r="BA14" i="6"/>
  <c r="BA13" i="6"/>
  <c r="BA12" i="6"/>
  <c r="BA11" i="6"/>
  <c r="CH14" i="6"/>
  <c r="CH11" i="6"/>
  <c r="CH13" i="6"/>
  <c r="CH12" i="6"/>
  <c r="CF11" i="6"/>
  <c r="CF14" i="6"/>
  <c r="CF12" i="6"/>
  <c r="CF13" i="6"/>
  <c r="BW12" i="6"/>
  <c r="BW11" i="6"/>
  <c r="BW13" i="6"/>
  <c r="BW14" i="6"/>
  <c r="AE14" i="6"/>
  <c r="AE13" i="6"/>
  <c r="AE11" i="6"/>
  <c r="AE12" i="6"/>
  <c r="W14" i="6"/>
  <c r="W13" i="6"/>
  <c r="W12" i="6"/>
  <c r="W11" i="6"/>
  <c r="AR11" i="6"/>
  <c r="AR14" i="6"/>
  <c r="AR12" i="6"/>
  <c r="AR13" i="6"/>
  <c r="AD14" i="6"/>
  <c r="AD13" i="6"/>
  <c r="AD11" i="6"/>
  <c r="AD12" i="6"/>
  <c r="BG12" i="6"/>
  <c r="BG11" i="6"/>
  <c r="BG14" i="6"/>
  <c r="BG13" i="6"/>
  <c r="AM14" i="6"/>
  <c r="AM13" i="6"/>
  <c r="AM12" i="6"/>
  <c r="AM11" i="6"/>
  <c r="CE12" i="6"/>
  <c r="CE11" i="6"/>
  <c r="CE13" i="6"/>
  <c r="CE14" i="6"/>
  <c r="AA12" i="6"/>
  <c r="AA14" i="6"/>
  <c r="AA13" i="6"/>
  <c r="AA11" i="6"/>
  <c r="BF13" i="6"/>
  <c r="BF12" i="6"/>
  <c r="BF11" i="6"/>
  <c r="BF14" i="6"/>
  <c r="AT14" i="6"/>
  <c r="AT12" i="6"/>
  <c r="AT13" i="6"/>
  <c r="AT11" i="6"/>
  <c r="BE14" i="6"/>
  <c r="BE13" i="6"/>
  <c r="BE12" i="6"/>
  <c r="BE11" i="6"/>
  <c r="AH13" i="6"/>
  <c r="AH12" i="6"/>
  <c r="AH11" i="6"/>
  <c r="AH14" i="6"/>
  <c r="AY12" i="6"/>
  <c r="AY11" i="6"/>
  <c r="AY13" i="6"/>
  <c r="AY14" i="6"/>
  <c r="AS13" i="6"/>
  <c r="AS12" i="6"/>
  <c r="AS14" i="6"/>
  <c r="AS11" i="6"/>
  <c r="AI12" i="6"/>
  <c r="AI11" i="6"/>
  <c r="AI13" i="6"/>
  <c r="AI14" i="6"/>
  <c r="BS14" i="6"/>
  <c r="BS13" i="6"/>
  <c r="BS11" i="6"/>
  <c r="BS12" i="6"/>
  <c r="K12" i="6"/>
  <c r="K13" i="6"/>
  <c r="K14" i="6"/>
  <c r="K11" i="6"/>
  <c r="BV13" i="6"/>
  <c r="BV12" i="6"/>
  <c r="BV11" i="6"/>
  <c r="BV14" i="6"/>
  <c r="AQ12" i="6"/>
  <c r="AQ11" i="6"/>
  <c r="AQ13" i="6"/>
  <c r="AQ14" i="6"/>
  <c r="CA14" i="6"/>
  <c r="CA13" i="6"/>
  <c r="CA12" i="6"/>
  <c r="CA11" i="6"/>
  <c r="BM14" i="6"/>
  <c r="BM13" i="6"/>
  <c r="BM12" i="6"/>
  <c r="BM11" i="6"/>
  <c r="H14" i="6"/>
  <c r="H13" i="6"/>
  <c r="H12" i="6"/>
  <c r="H11" i="6"/>
  <c r="CI14" i="6"/>
  <c r="CI13" i="6"/>
  <c r="CI12" i="6"/>
  <c r="CI11" i="6"/>
  <c r="BU14" i="6"/>
  <c r="BU13" i="6"/>
  <c r="BU12" i="6"/>
  <c r="BU11" i="6"/>
  <c r="AP13" i="6"/>
  <c r="AP12" i="6"/>
  <c r="AP11" i="6"/>
  <c r="AP14" i="6"/>
  <c r="BY14" i="6"/>
  <c r="BY11" i="6"/>
  <c r="BY13" i="6"/>
  <c r="BY12" i="6"/>
  <c r="AW14" i="6"/>
  <c r="AW13" i="6"/>
  <c r="AW12" i="6"/>
  <c r="AW11" i="6"/>
  <c r="AC14" i="6"/>
  <c r="AC13" i="6"/>
  <c r="AC12" i="6"/>
  <c r="AC11" i="6"/>
  <c r="BN13" i="6"/>
  <c r="BN12" i="6"/>
  <c r="BN11" i="6"/>
  <c r="BN14" i="6"/>
  <c r="BT14" i="6"/>
  <c r="BT13" i="6"/>
  <c r="BT12" i="6"/>
  <c r="BT11" i="6"/>
  <c r="BH11" i="6"/>
  <c r="BH12" i="6"/>
  <c r="BH14" i="6"/>
  <c r="BH13" i="6"/>
  <c r="BK14" i="6"/>
  <c r="BK13" i="6"/>
  <c r="BK12" i="6"/>
  <c r="BK11" i="6"/>
  <c r="C249" i="128"/>
  <c r="C248" i="128"/>
  <c r="C207" i="128"/>
  <c r="C225" i="128"/>
  <c r="C226" i="128"/>
  <c r="C243" i="128"/>
  <c r="C209" i="128"/>
  <c r="C240" i="128"/>
  <c r="C220" i="128"/>
  <c r="C216" i="128"/>
  <c r="C230" i="128"/>
  <c r="C213" i="128"/>
  <c r="C210" i="128"/>
  <c r="C229" i="128"/>
  <c r="C217" i="128"/>
  <c r="C245" i="128"/>
  <c r="C211" i="128"/>
  <c r="C241" i="128"/>
  <c r="C233" i="128"/>
  <c r="C206" i="128"/>
  <c r="C205" i="128"/>
  <c r="C232" i="128"/>
  <c r="C208" i="128"/>
  <c r="C222" i="128"/>
  <c r="C224" i="128"/>
  <c r="C253" i="128"/>
  <c r="C215" i="128"/>
  <c r="C244" i="128"/>
  <c r="D69" i="55"/>
  <c r="F128" i="128"/>
  <c r="F130" i="128" s="1"/>
  <c r="F131" i="128" s="1"/>
  <c r="F132" i="128" s="1"/>
  <c r="C228" i="128"/>
  <c r="C250" i="128"/>
  <c r="C219" i="128"/>
  <c r="C221" i="128"/>
  <c r="C212" i="128"/>
  <c r="C234" i="128"/>
  <c r="C227" i="128"/>
  <c r="C242" i="128"/>
  <c r="C235" i="128"/>
  <c r="D81" i="55"/>
  <c r="D80" i="55" s="1"/>
  <c r="D79" i="55" s="1"/>
  <c r="I10" i="55" s="1"/>
  <c r="C218" i="128"/>
  <c r="C252" i="128"/>
  <c r="C237" i="128"/>
  <c r="C223" i="128"/>
  <c r="C251" i="128"/>
  <c r="C246" i="128"/>
  <c r="C231" i="128"/>
  <c r="C238" i="128"/>
  <c r="C247" i="128"/>
  <c r="C204" i="128"/>
  <c r="C214" i="128"/>
  <c r="C239" i="128"/>
  <c r="E103" i="55"/>
  <c r="L10" i="55"/>
  <c r="L11" i="113"/>
  <c r="K15" i="7"/>
  <c r="M15" i="7"/>
  <c r="I15" i="7"/>
  <c r="J15" i="7"/>
  <c r="L15" i="7"/>
  <c r="G88" i="55"/>
  <c r="D82" i="55"/>
  <c r="E82" i="55" s="1"/>
  <c r="BC111" i="7"/>
  <c r="P111" i="7"/>
  <c r="I111" i="7"/>
  <c r="O111" i="7"/>
  <c r="BG111" i="7"/>
  <c r="BK111" i="7"/>
  <c r="W111" i="7"/>
  <c r="BN111" i="7"/>
  <c r="BP111" i="7"/>
  <c r="CA111" i="7"/>
  <c r="AN111" i="7"/>
  <c r="BE111" i="7"/>
  <c r="H111" i="7"/>
  <c r="Y111" i="7"/>
  <c r="BH111" i="7"/>
  <c r="AX111" i="7"/>
  <c r="AM111" i="7"/>
  <c r="AR111" i="7"/>
  <c r="BY111" i="7"/>
  <c r="BV111" i="7"/>
  <c r="AT111" i="7"/>
  <c r="BI111" i="7"/>
  <c r="BD111" i="7"/>
  <c r="CJ111" i="7"/>
  <c r="AZ111" i="7"/>
  <c r="AQ111" i="7"/>
  <c r="AW111" i="7"/>
  <c r="CI111" i="7"/>
  <c r="BR111" i="7"/>
  <c r="BT111" i="7"/>
  <c r="AC111" i="7"/>
  <c r="CD111" i="7"/>
  <c r="N111" i="7"/>
  <c r="AA111" i="7"/>
  <c r="CC111" i="7"/>
  <c r="CE111" i="7"/>
  <c r="K111" i="7"/>
  <c r="AV111" i="7"/>
  <c r="AP111" i="7"/>
  <c r="R111" i="7"/>
  <c r="BX111" i="7"/>
  <c r="CG111" i="7"/>
  <c r="V111" i="7"/>
  <c r="AO111" i="7"/>
  <c r="CH111" i="7"/>
  <c r="L111" i="7"/>
  <c r="AF111" i="7"/>
  <c r="AY111" i="7"/>
  <c r="CB111" i="7"/>
  <c r="BQ111" i="7"/>
  <c r="BU111" i="7"/>
  <c r="J111" i="7"/>
  <c r="AU111" i="7"/>
  <c r="CF111" i="7"/>
  <c r="AH111" i="7"/>
  <c r="BA111" i="7"/>
  <c r="U111" i="7"/>
  <c r="U112" i="7" s="1"/>
  <c r="AE111" i="7"/>
  <c r="BB111" i="7"/>
  <c r="BL111" i="7"/>
  <c r="BJ111" i="7"/>
  <c r="AI111" i="7"/>
  <c r="AD111" i="7"/>
  <c r="BF111" i="7"/>
  <c r="BW111" i="7"/>
  <c r="AJ111" i="7"/>
  <c r="AG111" i="7"/>
  <c r="Z111" i="7"/>
  <c r="X111" i="7"/>
  <c r="Q111" i="7"/>
  <c r="M111" i="7"/>
  <c r="BM111" i="7"/>
  <c r="BZ111" i="7"/>
  <c r="AB111" i="7"/>
  <c r="T111" i="7"/>
  <c r="AL111" i="7"/>
  <c r="AS111" i="7"/>
  <c r="S111" i="7"/>
  <c r="BS111" i="7"/>
  <c r="BO111" i="7"/>
  <c r="AK111" i="7"/>
  <c r="J43" i="6" l="1"/>
  <c r="J15" i="6" s="1"/>
  <c r="L43" i="6"/>
  <c r="L15" i="6" s="1"/>
  <c r="K43" i="6"/>
  <c r="K15" i="6" s="1"/>
  <c r="I43" i="6"/>
  <c r="I15" i="6" s="1"/>
  <c r="H43" i="6"/>
  <c r="H15" i="6" s="1"/>
  <c r="J71" i="7"/>
  <c r="K71" i="7"/>
  <c r="L71" i="7"/>
  <c r="M71" i="7"/>
  <c r="I71" i="7"/>
  <c r="H22" i="55"/>
  <c r="D77" i="55"/>
  <c r="D76" i="55"/>
  <c r="D20" i="5"/>
  <c r="F20" i="5" s="1"/>
  <c r="E38" i="113"/>
  <c r="D75" i="55"/>
  <c r="C254" i="128"/>
  <c r="J10" i="55"/>
  <c r="K11" i="113"/>
  <c r="T112" i="7"/>
  <c r="T113" i="7" s="1"/>
  <c r="S38" i="6" s="1"/>
  <c r="S18" i="6" s="1"/>
  <c r="BA112" i="7"/>
  <c r="BA113" i="7" s="1"/>
  <c r="AZ38" i="6" s="1"/>
  <c r="AZ18" i="6" s="1"/>
  <c r="CE112" i="7"/>
  <c r="CE113" i="7" s="1"/>
  <c r="CD38" i="6" s="1"/>
  <c r="CD18" i="6" s="1"/>
  <c r="AX112" i="7"/>
  <c r="AX113" i="7" s="1"/>
  <c r="AW38" i="6" s="1"/>
  <c r="AW18" i="6" s="1"/>
  <c r="AT16" i="6"/>
  <c r="AB112" i="7"/>
  <c r="AB113" i="7" s="1"/>
  <c r="AA38" i="6" s="1"/>
  <c r="AA18" i="6" s="1"/>
  <c r="AH112" i="7"/>
  <c r="AH113" i="7" s="1"/>
  <c r="AG38" i="6" s="1"/>
  <c r="AG18" i="6" s="1"/>
  <c r="CC112" i="7"/>
  <c r="CC113" i="7" s="1"/>
  <c r="CB38" i="6" s="1"/>
  <c r="CB18" i="6" s="1"/>
  <c r="BH112" i="7"/>
  <c r="BH113" i="7" s="1"/>
  <c r="BG38" i="6" s="1"/>
  <c r="BG18" i="6" s="1"/>
  <c r="AZ16" i="6"/>
  <c r="AY16" i="6"/>
  <c r="BY16" i="6"/>
  <c r="L16" i="6"/>
  <c r="BZ112" i="7"/>
  <c r="BZ113" i="7" s="1"/>
  <c r="BY38" i="6" s="1"/>
  <c r="BY18" i="6" s="1"/>
  <c r="J112" i="7"/>
  <c r="J113" i="7" s="1"/>
  <c r="I38" i="6" s="1"/>
  <c r="I18" i="6" s="1"/>
  <c r="CD112" i="7"/>
  <c r="CD113" i="7" s="1"/>
  <c r="CC38" i="6" s="1"/>
  <c r="CC18" i="6" s="1"/>
  <c r="BE112" i="7"/>
  <c r="BE113" i="7" s="1"/>
  <c r="BD38" i="6" s="1"/>
  <c r="BD18" i="6" s="1"/>
  <c r="AP16" i="6"/>
  <c r="BW16" i="6"/>
  <c r="BF16" i="6"/>
  <c r="Q112" i="7"/>
  <c r="Q113" i="7" s="1"/>
  <c r="P38" i="6" s="1"/>
  <c r="P18" i="6" s="1"/>
  <c r="BU112" i="7"/>
  <c r="BU113" i="7" s="1"/>
  <c r="BT38" i="6" s="1"/>
  <c r="BT18" i="6" s="1"/>
  <c r="AC112" i="7"/>
  <c r="AC113" i="7" s="1"/>
  <c r="AB38" i="6" s="1"/>
  <c r="AB18" i="6" s="1"/>
  <c r="AN112" i="7"/>
  <c r="AN113" i="7" s="1"/>
  <c r="AM38" i="6" s="1"/>
  <c r="AM18" i="6" s="1"/>
  <c r="BX16" i="6"/>
  <c r="AW16" i="6"/>
  <c r="AG16" i="6"/>
  <c r="AA112" i="7"/>
  <c r="AA113" i="7" s="1"/>
  <c r="Z38" i="6" s="1"/>
  <c r="Z18" i="6" s="1"/>
  <c r="AD16" i="6"/>
  <c r="BK16" i="6"/>
  <c r="BW112" i="7"/>
  <c r="BW113" i="7" s="1"/>
  <c r="BV38" i="6" s="1"/>
  <c r="BV18" i="6" s="1"/>
  <c r="L112" i="7"/>
  <c r="L113" i="7" s="1"/>
  <c r="K38" i="6" s="1"/>
  <c r="K18" i="6" s="1"/>
  <c r="AQ112" i="7"/>
  <c r="AQ113" i="7" s="1"/>
  <c r="AP38" i="6" s="1"/>
  <c r="AP18" i="6" s="1"/>
  <c r="AI16" i="6"/>
  <c r="AM16" i="6"/>
  <c r="BS16" i="6"/>
  <c r="BF112" i="7"/>
  <c r="BF113" i="7" s="1"/>
  <c r="BE38" i="6" s="1"/>
  <c r="BE18" i="6" s="1"/>
  <c r="CH112" i="7"/>
  <c r="CH113" i="7" s="1"/>
  <c r="CG38" i="6" s="1"/>
  <c r="CG18" i="6" s="1"/>
  <c r="AZ112" i="7"/>
  <c r="AZ113" i="7" s="1"/>
  <c r="AY38" i="6" s="1"/>
  <c r="AY18" i="6" s="1"/>
  <c r="BG112" i="7"/>
  <c r="BG113" i="7" s="1"/>
  <c r="BF38" i="6" s="1"/>
  <c r="BF18" i="6" s="1"/>
  <c r="AU16" i="6"/>
  <c r="CB112" i="7"/>
  <c r="CB113" i="7" s="1"/>
  <c r="CA38" i="6" s="1"/>
  <c r="CA18" i="6" s="1"/>
  <c r="CH16" i="6"/>
  <c r="BD16" i="6"/>
  <c r="F134" i="128"/>
  <c r="F135" i="128" s="1"/>
  <c r="BK112" i="7"/>
  <c r="BK113" i="7" s="1"/>
  <c r="BJ38" i="6" s="1"/>
  <c r="BJ18" i="6" s="1"/>
  <c r="AC16" i="6"/>
  <c r="CI16" i="6"/>
  <c r="BN16" i="6"/>
  <c r="BT16" i="6"/>
  <c r="AD112" i="7"/>
  <c r="AD113" i="7" s="1"/>
  <c r="AC38" i="6" s="1"/>
  <c r="AC18" i="6" s="1"/>
  <c r="AO112" i="7"/>
  <c r="AO113" i="7" s="1"/>
  <c r="AN38" i="6" s="1"/>
  <c r="AN18" i="6" s="1"/>
  <c r="CJ112" i="7"/>
  <c r="CJ113" i="7" s="1"/>
  <c r="CI38" i="6" s="1"/>
  <c r="CI18" i="6" s="1"/>
  <c r="O112" i="7"/>
  <c r="O113" i="7" s="1"/>
  <c r="N38" i="6" s="1"/>
  <c r="N18" i="6" s="1"/>
  <c r="Y112" i="7"/>
  <c r="Y113" i="7" s="1"/>
  <c r="X38" i="6" s="1"/>
  <c r="X18" i="6" s="1"/>
  <c r="N112" i="7"/>
  <c r="N113" i="7" s="1"/>
  <c r="M38" i="6" s="1"/>
  <c r="M18" i="6" s="1"/>
  <c r="H16" i="6"/>
  <c r="BQ112" i="7"/>
  <c r="BQ113" i="7" s="1"/>
  <c r="BP38" i="6" s="1"/>
  <c r="BP18" i="6" s="1"/>
  <c r="BT112" i="7"/>
  <c r="BT113" i="7" s="1"/>
  <c r="BS38" i="6" s="1"/>
  <c r="BS18" i="6" s="1"/>
  <c r="CA112" i="7"/>
  <c r="CA113" i="7" s="1"/>
  <c r="BZ38" i="6" s="1"/>
  <c r="BZ18" i="6" s="1"/>
  <c r="BQ16" i="6"/>
  <c r="AH16" i="6"/>
  <c r="BN112" i="7"/>
  <c r="BN113" i="7" s="1"/>
  <c r="BM38" i="6" s="1"/>
  <c r="BM18" i="6" s="1"/>
  <c r="CG16" i="6"/>
  <c r="AS16" i="6"/>
  <c r="CA16" i="6"/>
  <c r="CB16" i="6"/>
  <c r="CF112" i="7"/>
  <c r="CF113" i="7" s="1"/>
  <c r="CE38" i="6" s="1"/>
  <c r="CE18" i="6" s="1"/>
  <c r="AE16" i="6"/>
  <c r="BM112" i="7"/>
  <c r="BM113" i="7" s="1"/>
  <c r="BL38" i="6" s="1"/>
  <c r="BL18" i="6" s="1"/>
  <c r="BA16" i="6"/>
  <c r="AW112" i="7"/>
  <c r="AW113" i="7" s="1"/>
  <c r="AV38" i="6" s="1"/>
  <c r="AV18" i="6" s="1"/>
  <c r="BO16" i="6"/>
  <c r="AK112" i="7"/>
  <c r="AK113" i="7" s="1"/>
  <c r="AJ38" i="6" s="1"/>
  <c r="AJ18" i="6" s="1"/>
  <c r="BJ112" i="7"/>
  <c r="BJ113" i="7" s="1"/>
  <c r="BI38" i="6" s="1"/>
  <c r="BI18" i="6" s="1"/>
  <c r="CG112" i="7"/>
  <c r="CG113" i="7" s="1"/>
  <c r="CF38" i="6" s="1"/>
  <c r="CF18" i="6" s="1"/>
  <c r="BI112" i="7"/>
  <c r="BI113" i="7" s="1"/>
  <c r="BH38" i="6" s="1"/>
  <c r="BH18" i="6" s="1"/>
  <c r="P112" i="7"/>
  <c r="P113" i="7" s="1"/>
  <c r="O38" i="6" s="1"/>
  <c r="O18" i="6" s="1"/>
  <c r="BV16" i="6"/>
  <c r="AQ16" i="6"/>
  <c r="BO112" i="7"/>
  <c r="BO113" i="7" s="1"/>
  <c r="BN38" i="6" s="1"/>
  <c r="BN18" i="6" s="1"/>
  <c r="BX112" i="7"/>
  <c r="BX113" i="7" s="1"/>
  <c r="BW38" i="6" s="1"/>
  <c r="BW18" i="6" s="1"/>
  <c r="AT112" i="7"/>
  <c r="AT113" i="7" s="1"/>
  <c r="AS38" i="6" s="1"/>
  <c r="AS18" i="6" s="1"/>
  <c r="BC112" i="7"/>
  <c r="BC113" i="7" s="1"/>
  <c r="BB38" i="6" s="1"/>
  <c r="BB18" i="6" s="1"/>
  <c r="CE16" i="6"/>
  <c r="BE16" i="6"/>
  <c r="Z112" i="7"/>
  <c r="Z113" i="7" s="1"/>
  <c r="Y38" i="6" s="1"/>
  <c r="Y18" i="6" s="1"/>
  <c r="BP112" i="7"/>
  <c r="BP113" i="7" s="1"/>
  <c r="BO38" i="6" s="1"/>
  <c r="BO18" i="6" s="1"/>
  <c r="G16" i="6"/>
  <c r="AI112" i="7"/>
  <c r="AI113" i="7" s="1"/>
  <c r="AH38" i="6" s="1"/>
  <c r="AH18" i="6" s="1"/>
  <c r="V112" i="7"/>
  <c r="V113" i="7" s="1"/>
  <c r="U38" i="6" s="1"/>
  <c r="U18" i="6" s="1"/>
  <c r="BD112" i="7"/>
  <c r="BD113" i="7" s="1"/>
  <c r="BC38" i="6" s="1"/>
  <c r="BC18" i="6" s="1"/>
  <c r="AO16" i="6"/>
  <c r="AA16" i="6"/>
  <c r="BS112" i="7"/>
  <c r="BS113" i="7" s="1"/>
  <c r="BR38" i="6" s="1"/>
  <c r="BR18" i="6" s="1"/>
  <c r="BL112" i="7"/>
  <c r="BL113" i="7" s="1"/>
  <c r="BK38" i="6" s="1"/>
  <c r="BK18" i="6" s="1"/>
  <c r="BV112" i="7"/>
  <c r="BV113" i="7" s="1"/>
  <c r="BU38" i="6" s="1"/>
  <c r="BU18" i="6" s="1"/>
  <c r="G100" i="5"/>
  <c r="G99" i="5" s="1"/>
  <c r="BP16" i="6"/>
  <c r="BM16" i="6"/>
  <c r="BL16" i="6"/>
  <c r="AU112" i="7"/>
  <c r="AU113" i="7" s="1"/>
  <c r="AT38" i="6" s="1"/>
  <c r="AT18" i="6" s="1"/>
  <c r="M112" i="7"/>
  <c r="M113" i="7" s="1"/>
  <c r="L38" i="6" s="1"/>
  <c r="L18" i="6" s="1"/>
  <c r="AL16" i="6"/>
  <c r="BC16" i="6"/>
  <c r="X16" i="6"/>
  <c r="AG112" i="7"/>
  <c r="AG113" i="7" s="1"/>
  <c r="AF38" i="6" s="1"/>
  <c r="AF18" i="6" s="1"/>
  <c r="AY112" i="7"/>
  <c r="AY113" i="7" s="1"/>
  <c r="AX38" i="6" s="1"/>
  <c r="AX18" i="6" s="1"/>
  <c r="I112" i="7"/>
  <c r="I113" i="7" s="1"/>
  <c r="H38" i="6" s="1"/>
  <c r="H18" i="6" s="1"/>
  <c r="I16" i="6"/>
  <c r="J16" i="6"/>
  <c r="K16" i="6"/>
  <c r="S112" i="7"/>
  <c r="S113" i="7" s="1"/>
  <c r="R38" i="6" s="1"/>
  <c r="R18" i="6" s="1"/>
  <c r="BB112" i="7"/>
  <c r="BB113" i="7" s="1"/>
  <c r="BA38" i="6" s="1"/>
  <c r="BA18" i="6" s="1"/>
  <c r="AP112" i="7"/>
  <c r="AP113" i="7" s="1"/>
  <c r="AO38" i="6" s="1"/>
  <c r="AO18" i="6" s="1"/>
  <c r="BY112" i="7"/>
  <c r="BY113" i="7" s="1"/>
  <c r="BX38" i="6" s="1"/>
  <c r="BX18" i="6" s="1"/>
  <c r="AV16" i="6"/>
  <c r="AF16" i="6"/>
  <c r="AJ16" i="6"/>
  <c r="AK16" i="6"/>
  <c r="BJ16" i="6"/>
  <c r="BR16" i="6"/>
  <c r="AX16" i="6"/>
  <c r="CI112" i="7"/>
  <c r="CI113" i="7" s="1"/>
  <c r="CH38" i="6" s="1"/>
  <c r="CH18" i="6" s="1"/>
  <c r="AJ112" i="7"/>
  <c r="AJ113" i="7" s="1"/>
  <c r="AI38" i="6" s="1"/>
  <c r="AI18" i="6" s="1"/>
  <c r="AF112" i="7"/>
  <c r="AF113" i="7" s="1"/>
  <c r="AE38" i="6" s="1"/>
  <c r="AE18" i="6" s="1"/>
  <c r="W112" i="7"/>
  <c r="W113" i="7" s="1"/>
  <c r="V38" i="6" s="1"/>
  <c r="V18" i="6" s="1"/>
  <c r="BU16" i="6"/>
  <c r="AS112" i="7"/>
  <c r="AS113" i="7" s="1"/>
  <c r="AR38" i="6" s="1"/>
  <c r="AR18" i="6" s="1"/>
  <c r="AE112" i="7"/>
  <c r="AE113" i="7" s="1"/>
  <c r="AD38" i="6" s="1"/>
  <c r="AD18" i="6" s="1"/>
  <c r="AV112" i="7"/>
  <c r="AV113" i="7" s="1"/>
  <c r="AU38" i="6" s="1"/>
  <c r="AU18" i="6" s="1"/>
  <c r="AR112" i="7"/>
  <c r="AR113" i="7" s="1"/>
  <c r="AQ38" i="6" s="1"/>
  <c r="AQ18" i="6" s="1"/>
  <c r="F122" i="128"/>
  <c r="F124" i="128" s="1"/>
  <c r="Z16" i="6"/>
  <c r="CD16" i="6"/>
  <c r="F100" i="5"/>
  <c r="F99" i="5" s="1"/>
  <c r="H112" i="7"/>
  <c r="H113" i="7" s="1"/>
  <c r="G38" i="6" s="1"/>
  <c r="G18" i="6" s="1"/>
  <c r="BG16" i="6"/>
  <c r="Y16" i="6"/>
  <c r="BR112" i="7"/>
  <c r="BR113" i="7" s="1"/>
  <c r="BQ38" i="6" s="1"/>
  <c r="BQ18" i="6" s="1"/>
  <c r="BZ16" i="6"/>
  <c r="AN16" i="6"/>
  <c r="CF16" i="6"/>
  <c r="BB16" i="6"/>
  <c r="AL112" i="7"/>
  <c r="AL113" i="7" s="1"/>
  <c r="AK38" i="6" s="1"/>
  <c r="AK18" i="6" s="1"/>
  <c r="U113" i="7"/>
  <c r="T38" i="6" s="1"/>
  <c r="T18" i="6" s="1"/>
  <c r="K112" i="7"/>
  <c r="K113" i="7" s="1"/>
  <c r="J38" i="6" s="1"/>
  <c r="J18" i="6" s="1"/>
  <c r="AM112" i="7"/>
  <c r="AM113" i="7" s="1"/>
  <c r="AL38" i="6" s="1"/>
  <c r="AL18" i="6" s="1"/>
  <c r="CC16" i="6"/>
  <c r="E100" i="5"/>
  <c r="BH16" i="6"/>
  <c r="AR16" i="6"/>
  <c r="AB16" i="6"/>
  <c r="BI16" i="6"/>
  <c r="I86" i="113" l="1"/>
  <c r="H38" i="113"/>
  <c r="V40" i="6"/>
  <c r="V17" i="6"/>
  <c r="AW116" i="7"/>
  <c r="AV56" i="6" s="1"/>
  <c r="AL116" i="7"/>
  <c r="AK56" i="6" s="1"/>
  <c r="AR116" i="7"/>
  <c r="AQ56" i="6" s="1"/>
  <c r="CI116" i="7"/>
  <c r="CH56" i="6" s="1"/>
  <c r="BV116" i="7"/>
  <c r="BU56" i="6" s="1"/>
  <c r="AI116" i="7"/>
  <c r="AH56" i="6" s="1"/>
  <c r="AH17" i="6"/>
  <c r="P114" i="7"/>
  <c r="CE116" i="7"/>
  <c r="CD56" i="6" s="1"/>
  <c r="AV116" i="7"/>
  <c r="AU56" i="6" s="1"/>
  <c r="BI116" i="7"/>
  <c r="BH56" i="6" s="1"/>
  <c r="BM116" i="7"/>
  <c r="BL56" i="6" s="1"/>
  <c r="BN116" i="7"/>
  <c r="BM56" i="6" s="1"/>
  <c r="BM17" i="6"/>
  <c r="N114" i="7"/>
  <c r="AN116" i="7"/>
  <c r="AM56" i="6" s="1"/>
  <c r="BE116" i="7"/>
  <c r="BD56" i="6" s="1"/>
  <c r="BA116" i="7"/>
  <c r="AZ56" i="6" s="1"/>
  <c r="H116" i="7"/>
  <c r="G56" i="6" s="1"/>
  <c r="G17" i="6"/>
  <c r="M116" i="7"/>
  <c r="L56" i="6" s="1"/>
  <c r="M114" i="7"/>
  <c r="BC116" i="7"/>
  <c r="BB56" i="6" s="1"/>
  <c r="AE116" i="7"/>
  <c r="AD56" i="6" s="1"/>
  <c r="AU116" i="7"/>
  <c r="AT56" i="6" s="1"/>
  <c r="BL116" i="7"/>
  <c r="BK56" i="6" s="1"/>
  <c r="AT116" i="7"/>
  <c r="AS56" i="6" s="1"/>
  <c r="CG116" i="7"/>
  <c r="CF56" i="6" s="1"/>
  <c r="CF17" i="6"/>
  <c r="Y116" i="7"/>
  <c r="X56" i="6" s="1"/>
  <c r="X17" i="6"/>
  <c r="AC116" i="7"/>
  <c r="AB56" i="6" s="1"/>
  <c r="CD116" i="7"/>
  <c r="CC56" i="6" s="1"/>
  <c r="BH116" i="7"/>
  <c r="BG56" i="6" s="1"/>
  <c r="BG17" i="6"/>
  <c r="I116" i="7"/>
  <c r="H56" i="6" s="1"/>
  <c r="I114" i="7"/>
  <c r="H17" i="6"/>
  <c r="BS116" i="7"/>
  <c r="BR56" i="6" s="1"/>
  <c r="BX116" i="7"/>
  <c r="BW56" i="6" s="1"/>
  <c r="BJ116" i="7"/>
  <c r="BI56" i="6" s="1"/>
  <c r="CF116" i="7"/>
  <c r="CE56" i="6" s="1"/>
  <c r="CE17" i="6"/>
  <c r="O114" i="7"/>
  <c r="BK116" i="7"/>
  <c r="BJ56" i="6" s="1"/>
  <c r="BG116" i="7"/>
  <c r="BF56" i="6" s="1"/>
  <c r="AA116" i="7"/>
  <c r="Z56" i="6" s="1"/>
  <c r="BU116" i="7"/>
  <c r="BT56" i="6" s="1"/>
  <c r="J116" i="7"/>
  <c r="I56" i="6" s="1"/>
  <c r="J114" i="7"/>
  <c r="CC116" i="7"/>
  <c r="CB56" i="6" s="1"/>
  <c r="AJ116" i="7"/>
  <c r="AI56" i="6" s="1"/>
  <c r="BY116" i="7"/>
  <c r="BX56" i="6" s="1"/>
  <c r="AY116" i="7"/>
  <c r="AX56" i="6" s="1"/>
  <c r="BP116" i="7"/>
  <c r="BO56" i="6" s="1"/>
  <c r="BO116" i="7"/>
  <c r="BN56" i="6" s="1"/>
  <c r="AK116" i="7"/>
  <c r="AJ56" i="6" s="1"/>
  <c r="CA116" i="7"/>
  <c r="BZ56" i="6" s="1"/>
  <c r="CJ116" i="7"/>
  <c r="CI56" i="6" s="1"/>
  <c r="AZ116" i="7"/>
  <c r="AY56" i="6" s="1"/>
  <c r="AY17" i="6"/>
  <c r="AQ116" i="7"/>
  <c r="AP56" i="6" s="1"/>
  <c r="Q114" i="7"/>
  <c r="BZ116" i="7"/>
  <c r="BY56" i="6" s="1"/>
  <c r="AH116" i="7"/>
  <c r="AG56" i="6" s="1"/>
  <c r="AP116" i="7"/>
  <c r="AO56" i="6" s="1"/>
  <c r="AG116" i="7"/>
  <c r="AF56" i="6" s="1"/>
  <c r="Z116" i="7"/>
  <c r="Y56" i="6" s="1"/>
  <c r="BT116" i="7"/>
  <c r="BS56" i="6" s="1"/>
  <c r="BS17" i="6"/>
  <c r="AO116" i="7"/>
  <c r="AN56" i="6" s="1"/>
  <c r="CH116" i="7"/>
  <c r="CG56" i="6" s="1"/>
  <c r="L116" i="7"/>
  <c r="K56" i="6" s="1"/>
  <c r="L114" i="7"/>
  <c r="AB116" i="7"/>
  <c r="AA56" i="6" s="1"/>
  <c r="AS116" i="7"/>
  <c r="AR56" i="6" s="1"/>
  <c r="AR17" i="6"/>
  <c r="AM116" i="7"/>
  <c r="AL56" i="6" s="1"/>
  <c r="AL17" i="6"/>
  <c r="K116" i="7"/>
  <c r="J56" i="6" s="1"/>
  <c r="K114" i="7"/>
  <c r="BR116" i="7"/>
  <c r="BQ56" i="6" s="1"/>
  <c r="BQ17" i="6"/>
  <c r="AF116" i="7"/>
  <c r="AE56" i="6" s="1"/>
  <c r="BB116" i="7"/>
  <c r="BA56" i="6" s="1"/>
  <c r="BD116" i="7"/>
  <c r="BC56" i="6" s="1"/>
  <c r="BQ116" i="7"/>
  <c r="BP56" i="6" s="1"/>
  <c r="BP17" i="6"/>
  <c r="AD116" i="7"/>
  <c r="AC56" i="6" s="1"/>
  <c r="BF116" i="7"/>
  <c r="BE56" i="6" s="1"/>
  <c r="BE17" i="6"/>
  <c r="BW116" i="7"/>
  <c r="BV56" i="6" s="1"/>
  <c r="CB116" i="7"/>
  <c r="CA56" i="6" s="1"/>
  <c r="CA17" i="6"/>
  <c r="AX116" i="7"/>
  <c r="AW56" i="6" s="1"/>
  <c r="G39" i="7"/>
  <c r="F75" i="128"/>
  <c r="L69" i="128"/>
  <c r="L84" i="128"/>
  <c r="F76" i="128" s="1"/>
  <c r="J11" i="113"/>
  <c r="F33" i="9"/>
  <c r="E99" i="5"/>
  <c r="F29" i="5"/>
  <c r="F80" i="55"/>
  <c r="F79" i="55"/>
  <c r="F24" i="5"/>
  <c r="F27" i="5"/>
  <c r="F26" i="5"/>
  <c r="F23" i="5"/>
  <c r="F25" i="5"/>
  <c r="F22" i="5"/>
  <c r="F30" i="5"/>
  <c r="F21" i="5"/>
  <c r="F28" i="5"/>
  <c r="F136" i="128"/>
  <c r="D204" i="128"/>
  <c r="D237" i="128"/>
  <c r="D241" i="128"/>
  <c r="D250" i="128"/>
  <c r="D224" i="128"/>
  <c r="D206" i="128"/>
  <c r="D218" i="128"/>
  <c r="D214" i="128"/>
  <c r="D238" i="128"/>
  <c r="D229" i="128"/>
  <c r="D227" i="128"/>
  <c r="D223" i="128"/>
  <c r="D231" i="128"/>
  <c r="D220" i="128"/>
  <c r="D233" i="128"/>
  <c r="D226" i="128"/>
  <c r="D242" i="128"/>
  <c r="D208" i="128"/>
  <c r="D212" i="128"/>
  <c r="D213" i="128"/>
  <c r="D235" i="128"/>
  <c r="D246" i="128"/>
  <c r="D205" i="128"/>
  <c r="D232" i="128"/>
  <c r="D249" i="128"/>
  <c r="D243" i="128"/>
  <c r="D240" i="128"/>
  <c r="D236" i="128"/>
  <c r="D252" i="128"/>
  <c r="D248" i="128"/>
  <c r="D217" i="128"/>
  <c r="D215" i="128"/>
  <c r="D210" i="128"/>
  <c r="D211" i="128"/>
  <c r="D209" i="128"/>
  <c r="D228" i="128"/>
  <c r="D216" i="128"/>
  <c r="D247" i="128"/>
  <c r="D222" i="128"/>
  <c r="D245" i="128"/>
  <c r="D221" i="128"/>
  <c r="D239" i="128"/>
  <c r="D244" i="128"/>
  <c r="D207" i="128"/>
  <c r="D230" i="128"/>
  <c r="D251" i="128"/>
  <c r="D219" i="128"/>
  <c r="D253" i="128"/>
  <c r="D234" i="128"/>
  <c r="D225" i="128"/>
  <c r="L64" i="128" l="1"/>
  <c r="L86" i="128" s="1"/>
  <c r="L87" i="128" s="1"/>
  <c r="L88" i="128" s="1"/>
  <c r="F78" i="128" s="1"/>
  <c r="F86" i="113"/>
  <c r="G86" i="113"/>
  <c r="E34" i="113"/>
  <c r="E36" i="113"/>
  <c r="G39" i="113"/>
  <c r="F39" i="113" s="1"/>
  <c r="A28" i="5"/>
  <c r="G40" i="113"/>
  <c r="F40" i="113" s="1"/>
  <c r="A29" i="5"/>
  <c r="G41" i="113"/>
  <c r="A30" i="5"/>
  <c r="P48" i="6"/>
  <c r="N48" i="6"/>
  <c r="H48" i="6"/>
  <c r="M48" i="6"/>
  <c r="I48" i="6"/>
  <c r="L48" i="6"/>
  <c r="K48" i="6"/>
  <c r="J48" i="6"/>
  <c r="O48" i="6"/>
  <c r="AT40" i="6"/>
  <c r="AT17" i="6"/>
  <c r="AA40" i="6"/>
  <c r="AA17" i="6"/>
  <c r="BT40" i="6"/>
  <c r="BT17" i="6"/>
  <c r="BV40" i="6"/>
  <c r="BV17" i="6"/>
  <c r="BC40" i="6"/>
  <c r="BC17" i="6"/>
  <c r="J40" i="6"/>
  <c r="J17" i="6"/>
  <c r="J10" i="6" s="1"/>
  <c r="AG40" i="6"/>
  <c r="AG17" i="6"/>
  <c r="BN40" i="6"/>
  <c r="BN17" i="6"/>
  <c r="AI40" i="6"/>
  <c r="AI17" i="6"/>
  <c r="BR40" i="6"/>
  <c r="BR17" i="6"/>
  <c r="AD40" i="6"/>
  <c r="AD17" i="6"/>
  <c r="AK40" i="6"/>
  <c r="AK17" i="6"/>
  <c r="AP40" i="6"/>
  <c r="AP17" i="6"/>
  <c r="K40" i="6"/>
  <c r="K17" i="6"/>
  <c r="K10" i="6" s="1"/>
  <c r="Z40" i="6"/>
  <c r="Z17" i="6"/>
  <c r="AZ40" i="6"/>
  <c r="AZ17" i="6"/>
  <c r="BH40" i="6"/>
  <c r="BH17" i="6"/>
  <c r="BA40" i="6"/>
  <c r="BA17" i="6"/>
  <c r="Y40" i="6"/>
  <c r="Y17" i="6"/>
  <c r="BY40" i="6"/>
  <c r="BY17" i="6"/>
  <c r="CI40" i="6"/>
  <c r="CI17" i="6"/>
  <c r="BO40" i="6"/>
  <c r="BO17" i="6"/>
  <c r="CB40" i="6"/>
  <c r="CB17" i="6"/>
  <c r="CC40" i="6"/>
  <c r="CC17" i="6"/>
  <c r="AS40" i="6"/>
  <c r="AS17" i="6"/>
  <c r="BB40" i="6"/>
  <c r="BB17" i="6"/>
  <c r="AU40" i="6"/>
  <c r="AU17" i="6"/>
  <c r="BU40" i="6"/>
  <c r="BU17" i="6"/>
  <c r="AV40" i="6"/>
  <c r="AV17" i="6"/>
  <c r="AJ40" i="6"/>
  <c r="AJ17" i="6"/>
  <c r="BW40" i="6"/>
  <c r="BW17" i="6"/>
  <c r="BF40" i="6"/>
  <c r="BF17" i="6"/>
  <c r="BD40" i="6"/>
  <c r="BD17" i="6"/>
  <c r="AO40" i="6"/>
  <c r="AO17" i="6"/>
  <c r="AW40" i="6"/>
  <c r="AW17" i="6"/>
  <c r="AC40" i="6"/>
  <c r="AC17" i="6"/>
  <c r="AE40" i="6"/>
  <c r="AE17" i="6"/>
  <c r="CG40" i="6"/>
  <c r="CG17" i="6"/>
  <c r="AF40" i="6"/>
  <c r="AF17" i="6"/>
  <c r="BZ40" i="6"/>
  <c r="BZ17" i="6"/>
  <c r="AX40" i="6"/>
  <c r="AX17" i="6"/>
  <c r="I40" i="6"/>
  <c r="I17" i="6"/>
  <c r="I10" i="6" s="1"/>
  <c r="BI40" i="6"/>
  <c r="BI17" i="6"/>
  <c r="AB40" i="6"/>
  <c r="AB17" i="6"/>
  <c r="BK40" i="6"/>
  <c r="BK17" i="6"/>
  <c r="L40" i="6"/>
  <c r="L17" i="6"/>
  <c r="L10" i="6" s="1"/>
  <c r="BL40" i="6"/>
  <c r="BL17" i="6"/>
  <c r="CD40" i="6"/>
  <c r="CD17" i="6"/>
  <c r="CH40" i="6"/>
  <c r="CH17" i="6"/>
  <c r="AN40" i="6"/>
  <c r="AN17" i="6"/>
  <c r="BX40" i="6"/>
  <c r="BX17" i="6"/>
  <c r="AQ40" i="6"/>
  <c r="AQ17" i="6"/>
  <c r="BJ40" i="6"/>
  <c r="BJ17" i="6"/>
  <c r="AM40" i="6"/>
  <c r="AM17" i="6"/>
  <c r="I87" i="113"/>
  <c r="BO28" i="5"/>
  <c r="BP28" i="5"/>
  <c r="BQ28" i="5"/>
  <c r="BR28" i="5"/>
  <c r="BO27" i="5"/>
  <c r="BR27" i="5"/>
  <c r="BP27" i="5"/>
  <c r="BQ27" i="5"/>
  <c r="I89" i="113"/>
  <c r="G89" i="113" s="1"/>
  <c r="BO30" i="5"/>
  <c r="BP30" i="5"/>
  <c r="BQ30" i="5"/>
  <c r="BR30" i="5"/>
  <c r="BO21" i="5"/>
  <c r="BR21" i="5"/>
  <c r="BP21" i="5"/>
  <c r="BQ21" i="5"/>
  <c r="BO24" i="5"/>
  <c r="BP24" i="5"/>
  <c r="BQ24" i="5"/>
  <c r="BR24" i="5"/>
  <c r="BO22" i="5"/>
  <c r="BP22" i="5"/>
  <c r="BQ22" i="5"/>
  <c r="BR22" i="5"/>
  <c r="I88" i="113"/>
  <c r="G88" i="113" s="1"/>
  <c r="BO29" i="5"/>
  <c r="BR29" i="5"/>
  <c r="BP29" i="5"/>
  <c r="BQ29" i="5"/>
  <c r="BO25" i="5"/>
  <c r="BR25" i="5"/>
  <c r="BP25" i="5"/>
  <c r="BQ25" i="5"/>
  <c r="BO23" i="5"/>
  <c r="BR23" i="5"/>
  <c r="BP23" i="5"/>
  <c r="BQ23" i="5"/>
  <c r="BO26" i="5"/>
  <c r="BP26" i="5"/>
  <c r="BQ26" i="5"/>
  <c r="BR26" i="5"/>
  <c r="BS40" i="6"/>
  <c r="AY40" i="6"/>
  <c r="BG40" i="6"/>
  <c r="CF40" i="6"/>
  <c r="AH40" i="6"/>
  <c r="BE40" i="6"/>
  <c r="CE40" i="6"/>
  <c r="F95" i="5"/>
  <c r="H40" i="6"/>
  <c r="BM40" i="6"/>
  <c r="AR40" i="6"/>
  <c r="CA40" i="6"/>
  <c r="BP40" i="6"/>
  <c r="BQ40" i="6"/>
  <c r="U95" i="5"/>
  <c r="X40" i="6"/>
  <c r="AL40" i="6"/>
  <c r="K95" i="5"/>
  <c r="G40" i="6"/>
  <c r="H95" i="5"/>
  <c r="J95" i="5"/>
  <c r="Y95" i="5"/>
  <c r="X95" i="5"/>
  <c r="G95" i="5"/>
  <c r="W95" i="5"/>
  <c r="V95" i="5"/>
  <c r="H10" i="6"/>
  <c r="G10" i="6"/>
  <c r="F31" i="5"/>
  <c r="I90" i="113" s="1"/>
  <c r="CC57" i="5"/>
  <c r="AZ57" i="5"/>
  <c r="BY57" i="5"/>
  <c r="BX57" i="5"/>
  <c r="BI57" i="5"/>
  <c r="BH57" i="5"/>
  <c r="BA57" i="5"/>
  <c r="BV57" i="5"/>
  <c r="AT57" i="5"/>
  <c r="BS57" i="5"/>
  <c r="CD57" i="5"/>
  <c r="BB57" i="5"/>
  <c r="CA57" i="5"/>
  <c r="BZ57" i="5"/>
  <c r="BL57" i="5"/>
  <c r="BU57" i="5"/>
  <c r="AY57" i="5"/>
  <c r="BJ57" i="5"/>
  <c r="AV57" i="5"/>
  <c r="AW57" i="5"/>
  <c r="BN57" i="5"/>
  <c r="BK57" i="5"/>
  <c r="BG57" i="5"/>
  <c r="BD57" i="5"/>
  <c r="CB57" i="5"/>
  <c r="BM57" i="5"/>
  <c r="AX57" i="5"/>
  <c r="BW57" i="5"/>
  <c r="AU57" i="5"/>
  <c r="BT57" i="5"/>
  <c r="BE57" i="5"/>
  <c r="BF57" i="5"/>
  <c r="CE57" i="5"/>
  <c r="BC57" i="5"/>
  <c r="CB51" i="5"/>
  <c r="BV51" i="5"/>
  <c r="BN51" i="5"/>
  <c r="AY51" i="5"/>
  <c r="BG51" i="5"/>
  <c r="CE51" i="5"/>
  <c r="BF51" i="5"/>
  <c r="CD51" i="5"/>
  <c r="AX51" i="5"/>
  <c r="BW51" i="5"/>
  <c r="BE51" i="5"/>
  <c r="BJ51" i="5"/>
  <c r="BM51" i="5"/>
  <c r="AV51" i="5"/>
  <c r="BU51" i="5"/>
  <c r="BZ51" i="5"/>
  <c r="AU51" i="5"/>
  <c r="CC51" i="5"/>
  <c r="BA51" i="5"/>
  <c r="BC51" i="5"/>
  <c r="AZ51" i="5"/>
  <c r="BI51" i="5"/>
  <c r="BK51" i="5"/>
  <c r="BX51" i="5"/>
  <c r="BT51" i="5"/>
  <c r="BH51" i="5"/>
  <c r="BS51" i="5"/>
  <c r="BD51" i="5"/>
  <c r="BY51" i="5"/>
  <c r="AT51" i="5"/>
  <c r="CA51" i="5"/>
  <c r="BL51" i="5"/>
  <c r="AW51" i="5"/>
  <c r="BB51" i="5"/>
  <c r="CD52" i="5"/>
  <c r="BJ52" i="5"/>
  <c r="BI52" i="5"/>
  <c r="BB52" i="5"/>
  <c r="BA52" i="5"/>
  <c r="BZ52" i="5"/>
  <c r="AT52" i="5"/>
  <c r="BY52" i="5"/>
  <c r="AY52" i="5"/>
  <c r="AU52" i="5"/>
  <c r="BD52" i="5"/>
  <c r="BF52" i="5"/>
  <c r="CA52" i="5"/>
  <c r="CC52" i="5"/>
  <c r="AX52" i="5"/>
  <c r="BG52" i="5"/>
  <c r="BC52" i="5"/>
  <c r="BL52" i="5"/>
  <c r="BN52" i="5"/>
  <c r="BE52" i="5"/>
  <c r="AV52" i="5"/>
  <c r="AZ52" i="5"/>
  <c r="BK52" i="5"/>
  <c r="BT52" i="5"/>
  <c r="BV52" i="5"/>
  <c r="CE52" i="5"/>
  <c r="BW52" i="5"/>
  <c r="BH52" i="5"/>
  <c r="BS52" i="5"/>
  <c r="CB52" i="5"/>
  <c r="AW52" i="5"/>
  <c r="BX52" i="5"/>
  <c r="BM52" i="5"/>
  <c r="BU52" i="5"/>
  <c r="CE55" i="5"/>
  <c r="CA55" i="5"/>
  <c r="BE55" i="5"/>
  <c r="BZ55" i="5"/>
  <c r="BC55" i="5"/>
  <c r="BU55" i="5"/>
  <c r="BB55" i="5"/>
  <c r="BM55" i="5"/>
  <c r="BS55" i="5"/>
  <c r="AW55" i="5"/>
  <c r="AU55" i="5"/>
  <c r="AT55" i="5"/>
  <c r="BK55" i="5"/>
  <c r="CC55" i="5"/>
  <c r="BJ55" i="5"/>
  <c r="BH55" i="5"/>
  <c r="BL55" i="5"/>
  <c r="BG55" i="5"/>
  <c r="BD55" i="5"/>
  <c r="BY55" i="5"/>
  <c r="BT55" i="5"/>
  <c r="AX55" i="5"/>
  <c r="BX55" i="5"/>
  <c r="CB55" i="5"/>
  <c r="BF55" i="5"/>
  <c r="BN55" i="5"/>
  <c r="AZ55" i="5"/>
  <c r="AY55" i="5"/>
  <c r="BV55" i="5"/>
  <c r="CD55" i="5"/>
  <c r="BA55" i="5"/>
  <c r="AV55" i="5"/>
  <c r="BW55" i="5"/>
  <c r="BI55" i="5"/>
  <c r="BZ53" i="5"/>
  <c r="CA53" i="5"/>
  <c r="AV53" i="5"/>
  <c r="BE53" i="5"/>
  <c r="BV53" i="5"/>
  <c r="CE53" i="5"/>
  <c r="AZ53" i="5"/>
  <c r="AT53" i="5"/>
  <c r="BA53" i="5"/>
  <c r="BW53" i="5"/>
  <c r="CB53" i="5"/>
  <c r="BM53" i="5"/>
  <c r="BT53" i="5"/>
  <c r="CD53" i="5"/>
  <c r="BH53" i="5"/>
  <c r="BL53" i="5"/>
  <c r="BB53" i="5"/>
  <c r="AU53" i="5"/>
  <c r="BI53" i="5"/>
  <c r="BU53" i="5"/>
  <c r="BJ53" i="5"/>
  <c r="AY53" i="5"/>
  <c r="CC53" i="5"/>
  <c r="BD53" i="5"/>
  <c r="BX53" i="5"/>
  <c r="BC53" i="5"/>
  <c r="AX53" i="5"/>
  <c r="BG53" i="5"/>
  <c r="BK53" i="5"/>
  <c r="BF53" i="5"/>
  <c r="BY53" i="5"/>
  <c r="BS53" i="5"/>
  <c r="AW53" i="5"/>
  <c r="BN53" i="5"/>
  <c r="BY50" i="5"/>
  <c r="BC50" i="5"/>
  <c r="AU50" i="5"/>
  <c r="CA50" i="5"/>
  <c r="BS50" i="5"/>
  <c r="BK50" i="5"/>
  <c r="BE50" i="5"/>
  <c r="BN50" i="5"/>
  <c r="BJ50" i="5"/>
  <c r="BM50" i="5"/>
  <c r="BV50" i="5"/>
  <c r="AY50" i="5"/>
  <c r="BX50" i="5"/>
  <c r="BA50" i="5"/>
  <c r="AW50" i="5"/>
  <c r="AT50" i="5"/>
  <c r="AV50" i="5"/>
  <c r="BU50" i="5"/>
  <c r="CD50" i="5"/>
  <c r="BG50" i="5"/>
  <c r="BI50" i="5"/>
  <c r="BL50" i="5"/>
  <c r="BW50" i="5"/>
  <c r="AZ50" i="5"/>
  <c r="BB50" i="5"/>
  <c r="BD50" i="5"/>
  <c r="CC50" i="5"/>
  <c r="BH50" i="5"/>
  <c r="BT50" i="5"/>
  <c r="CE50" i="5"/>
  <c r="BZ50" i="5"/>
  <c r="CB50" i="5"/>
  <c r="AX50" i="5"/>
  <c r="BF50" i="5"/>
  <c r="CB59" i="5"/>
  <c r="BW59" i="5"/>
  <c r="BV59" i="5"/>
  <c r="BF59" i="5"/>
  <c r="BN59" i="5"/>
  <c r="BG59" i="5"/>
  <c r="CE59" i="5"/>
  <c r="AY59" i="5"/>
  <c r="CD59" i="5"/>
  <c r="AX59" i="5"/>
  <c r="BI59" i="5"/>
  <c r="BZ59" i="5"/>
  <c r="CA59" i="5"/>
  <c r="BE59" i="5"/>
  <c r="BK59" i="5"/>
  <c r="CC59" i="5"/>
  <c r="BS59" i="5"/>
  <c r="BJ59" i="5"/>
  <c r="AZ59" i="5"/>
  <c r="BY59" i="5"/>
  <c r="AT59" i="5"/>
  <c r="BD59" i="5"/>
  <c r="BT59" i="5"/>
  <c r="AW59" i="5"/>
  <c r="BH59" i="5"/>
  <c r="AV59" i="5"/>
  <c r="AU59" i="5"/>
  <c r="BA59" i="5"/>
  <c r="BM59" i="5"/>
  <c r="BX59" i="5"/>
  <c r="BB59" i="5"/>
  <c r="BC59" i="5"/>
  <c r="BL59" i="5"/>
  <c r="BU59" i="5"/>
  <c r="CB54" i="5"/>
  <c r="AY54" i="5"/>
  <c r="AT54" i="5"/>
  <c r="BG54" i="5"/>
  <c r="BJ54" i="5"/>
  <c r="CE54" i="5"/>
  <c r="BH54" i="5"/>
  <c r="BZ54" i="5"/>
  <c r="BX54" i="5"/>
  <c r="BB54" i="5"/>
  <c r="BW54" i="5"/>
  <c r="AZ54" i="5"/>
  <c r="BV54" i="5"/>
  <c r="CA54" i="5"/>
  <c r="BD54" i="5"/>
  <c r="AU54" i="5"/>
  <c r="AW54" i="5"/>
  <c r="CD54" i="5"/>
  <c r="BL54" i="5"/>
  <c r="BE54" i="5"/>
  <c r="BA54" i="5"/>
  <c r="BT54" i="5"/>
  <c r="BS54" i="5"/>
  <c r="AV54" i="5"/>
  <c r="BM54" i="5"/>
  <c r="BI54" i="5"/>
  <c r="BU54" i="5"/>
  <c r="BN54" i="5"/>
  <c r="CC54" i="5"/>
  <c r="AX54" i="5"/>
  <c r="BY54" i="5"/>
  <c r="BC54" i="5"/>
  <c r="BF54" i="5"/>
  <c r="BK54" i="5"/>
  <c r="CC49" i="5"/>
  <c r="CA49" i="5"/>
  <c r="BH49" i="5"/>
  <c r="BY49" i="5"/>
  <c r="BC49" i="5"/>
  <c r="BX49" i="5"/>
  <c r="BA49" i="5"/>
  <c r="BS49" i="5"/>
  <c r="AZ49" i="5"/>
  <c r="AU49" i="5"/>
  <c r="BK49" i="5"/>
  <c r="BI49" i="5"/>
  <c r="BV49" i="5"/>
  <c r="CB49" i="5"/>
  <c r="BM49" i="5"/>
  <c r="BN49" i="5"/>
  <c r="CD49" i="5"/>
  <c r="BJ49" i="5"/>
  <c r="CE49" i="5"/>
  <c r="BT49" i="5"/>
  <c r="BG49" i="5"/>
  <c r="AT49" i="5"/>
  <c r="AW49" i="5"/>
  <c r="BW49" i="5"/>
  <c r="BB49" i="5"/>
  <c r="BE49" i="5"/>
  <c r="AV49" i="5"/>
  <c r="AX49" i="5"/>
  <c r="BD49" i="5"/>
  <c r="BU49" i="5"/>
  <c r="BF49" i="5"/>
  <c r="AY49" i="5"/>
  <c r="BZ49" i="5"/>
  <c r="BL49" i="5"/>
  <c r="CA56" i="5"/>
  <c r="CC56" i="5"/>
  <c r="AW56" i="5"/>
  <c r="BV56" i="5"/>
  <c r="BU56" i="5"/>
  <c r="BF56" i="5"/>
  <c r="BN56" i="5"/>
  <c r="BM56" i="5"/>
  <c r="BE56" i="5"/>
  <c r="CD56" i="5"/>
  <c r="AX56" i="5"/>
  <c r="BB56" i="5"/>
  <c r="AU56" i="5"/>
  <c r="BA56" i="5"/>
  <c r="F60" i="5"/>
  <c r="AV56" i="5"/>
  <c r="AZ56" i="5"/>
  <c r="BY56" i="5"/>
  <c r="BJ56" i="5"/>
  <c r="BZ56" i="5"/>
  <c r="BX56" i="5"/>
  <c r="BK56" i="5"/>
  <c r="BD56" i="5"/>
  <c r="BH56" i="5"/>
  <c r="CE56" i="5"/>
  <c r="BS56" i="5"/>
  <c r="BL56" i="5"/>
  <c r="AY56" i="5"/>
  <c r="BT56" i="5"/>
  <c r="BG56" i="5"/>
  <c r="BI56" i="5"/>
  <c r="CB56" i="5"/>
  <c r="BC56" i="5"/>
  <c r="BW56" i="5"/>
  <c r="AT56" i="5"/>
  <c r="BY58" i="5"/>
  <c r="BK58" i="5"/>
  <c r="BC58" i="5"/>
  <c r="AU58" i="5"/>
  <c r="CA58" i="5"/>
  <c r="BS58" i="5"/>
  <c r="BJ58" i="5"/>
  <c r="CB58" i="5"/>
  <c r="BU58" i="5"/>
  <c r="BG58" i="5"/>
  <c r="AZ58" i="5"/>
  <c r="BA58" i="5"/>
  <c r="AV58" i="5"/>
  <c r="BN58" i="5"/>
  <c r="CC58" i="5"/>
  <c r="BH58" i="5"/>
  <c r="BI58" i="5"/>
  <c r="BZ58" i="5"/>
  <c r="AX58" i="5"/>
  <c r="BW58" i="5"/>
  <c r="BT58" i="5"/>
  <c r="BF58" i="5"/>
  <c r="CE58" i="5"/>
  <c r="BX58" i="5"/>
  <c r="BB58" i="5"/>
  <c r="BM58" i="5"/>
  <c r="BD58" i="5"/>
  <c r="AW58" i="5"/>
  <c r="BV58" i="5"/>
  <c r="AT58" i="5"/>
  <c r="BL58" i="5"/>
  <c r="BE58" i="5"/>
  <c r="CD58" i="5"/>
  <c r="AY58" i="5"/>
  <c r="CD43" i="5"/>
  <c r="CC43" i="5"/>
  <c r="BE43" i="5"/>
  <c r="BU43" i="5"/>
  <c r="BM43" i="5"/>
  <c r="AW43" i="5"/>
  <c r="BB43" i="5"/>
  <c r="BC43" i="5"/>
  <c r="AV43" i="5"/>
  <c r="BX43" i="5"/>
  <c r="BA43" i="5"/>
  <c r="BJ43" i="5"/>
  <c r="BK43" i="5"/>
  <c r="BD43" i="5"/>
  <c r="AY43" i="5"/>
  <c r="BZ43" i="5"/>
  <c r="CA43" i="5"/>
  <c r="BT43" i="5"/>
  <c r="BF43" i="5"/>
  <c r="BG43" i="5"/>
  <c r="BY43" i="5"/>
  <c r="CB43" i="5"/>
  <c r="BN43" i="5"/>
  <c r="AX43" i="5"/>
  <c r="BI43" i="5"/>
  <c r="BV43" i="5"/>
  <c r="BW43" i="5"/>
  <c r="AZ43" i="5"/>
  <c r="AT43" i="5"/>
  <c r="AU43" i="5"/>
  <c r="CE43" i="5"/>
  <c r="BH43" i="5"/>
  <c r="BS43" i="5"/>
  <c r="BL43" i="5"/>
  <c r="CB37" i="5"/>
  <c r="BU37" i="5"/>
  <c r="BB37" i="5"/>
  <c r="BS37" i="5"/>
  <c r="AW37" i="5"/>
  <c r="AU37" i="5"/>
  <c r="BJ37" i="5"/>
  <c r="BM37" i="5"/>
  <c r="AT37" i="5"/>
  <c r="BK37" i="5"/>
  <c r="CC37" i="5"/>
  <c r="CA37" i="5"/>
  <c r="BE37" i="5"/>
  <c r="BZ37" i="5"/>
  <c r="BC37" i="5"/>
  <c r="BN37" i="5"/>
  <c r="BW37" i="5"/>
  <c r="BX37" i="5"/>
  <c r="BV37" i="5"/>
  <c r="CE37" i="5"/>
  <c r="CD37" i="5"/>
  <c r="BA37" i="5"/>
  <c r="BD37" i="5"/>
  <c r="BI37" i="5"/>
  <c r="BL37" i="5"/>
  <c r="AY37" i="5"/>
  <c r="BG37" i="5"/>
  <c r="BT37" i="5"/>
  <c r="BH37" i="5"/>
  <c r="AV37" i="5"/>
  <c r="BY37" i="5"/>
  <c r="AX37" i="5"/>
  <c r="AZ37" i="5"/>
  <c r="BF37" i="5"/>
  <c r="CE38" i="5"/>
  <c r="BU38" i="5"/>
  <c r="BN38" i="5"/>
  <c r="BM38" i="5"/>
  <c r="BE38" i="5"/>
  <c r="CD38" i="5"/>
  <c r="BF38" i="5"/>
  <c r="AX38" i="5"/>
  <c r="CC38" i="5"/>
  <c r="AW38" i="5"/>
  <c r="BV38" i="5"/>
  <c r="BX38" i="5"/>
  <c r="AU38" i="5"/>
  <c r="AV38" i="5"/>
  <c r="BW38" i="5"/>
  <c r="AT38" i="5"/>
  <c r="BA38" i="5"/>
  <c r="BB38" i="5"/>
  <c r="BK38" i="5"/>
  <c r="BL38" i="5"/>
  <c r="BI38" i="5"/>
  <c r="BJ38" i="5"/>
  <c r="BS38" i="5"/>
  <c r="BT38" i="5"/>
  <c r="AZ38" i="5"/>
  <c r="BH38" i="5"/>
  <c r="BY38" i="5"/>
  <c r="BZ38" i="5"/>
  <c r="CA38" i="5"/>
  <c r="AY38" i="5"/>
  <c r="BC38" i="5"/>
  <c r="BG38" i="5"/>
  <c r="BD38" i="5"/>
  <c r="CB38" i="5"/>
  <c r="CA42" i="5"/>
  <c r="BI42" i="5"/>
  <c r="BB42" i="5"/>
  <c r="BA42" i="5"/>
  <c r="AT42" i="5"/>
  <c r="BZ42" i="5"/>
  <c r="BJ42" i="5"/>
  <c r="BL42" i="5"/>
  <c r="CD42" i="5"/>
  <c r="BK42" i="5"/>
  <c r="BT42" i="5"/>
  <c r="AW42" i="5"/>
  <c r="BS42" i="5"/>
  <c r="CB42" i="5"/>
  <c r="BE42" i="5"/>
  <c r="BM42" i="5"/>
  <c r="BG42" i="5"/>
  <c r="AZ42" i="5"/>
  <c r="BU42" i="5"/>
  <c r="AX42" i="5"/>
  <c r="BH42" i="5"/>
  <c r="CC42" i="5"/>
  <c r="BF42" i="5"/>
  <c r="BN42" i="5"/>
  <c r="BC42" i="5"/>
  <c r="AV42" i="5"/>
  <c r="BW42" i="5"/>
  <c r="CE42" i="5"/>
  <c r="BX42" i="5"/>
  <c r="AU42" i="5"/>
  <c r="BV42" i="5"/>
  <c r="AY42" i="5"/>
  <c r="BD42" i="5"/>
  <c r="BY42" i="5"/>
  <c r="F46" i="5"/>
  <c r="CC36" i="5"/>
  <c r="BS36" i="5"/>
  <c r="BH36" i="5"/>
  <c r="AT36" i="5"/>
  <c r="BG36" i="5"/>
  <c r="CE36" i="5"/>
  <c r="BC36" i="5"/>
  <c r="BA36" i="5"/>
  <c r="BK36" i="5"/>
  <c r="CA36" i="5"/>
  <c r="BB36" i="5"/>
  <c r="AZ36" i="5"/>
  <c r="BZ36" i="5"/>
  <c r="BY36" i="5"/>
  <c r="BX36" i="5"/>
  <c r="BJ36" i="5"/>
  <c r="AY36" i="5"/>
  <c r="BW36" i="5"/>
  <c r="BI36" i="5"/>
  <c r="AU36" i="5"/>
  <c r="BN36" i="5"/>
  <c r="AV36" i="5"/>
  <c r="BV36" i="5"/>
  <c r="BD36" i="5"/>
  <c r="AW36" i="5"/>
  <c r="CD36" i="5"/>
  <c r="BL36" i="5"/>
  <c r="BT36" i="5"/>
  <c r="BM36" i="5"/>
  <c r="CB36" i="5"/>
  <c r="BU36" i="5"/>
  <c r="AX36" i="5"/>
  <c r="BF36" i="5"/>
  <c r="BE36" i="5"/>
  <c r="CC44" i="5"/>
  <c r="AZ44" i="5"/>
  <c r="CE44" i="5"/>
  <c r="AY44" i="5"/>
  <c r="CA44" i="5"/>
  <c r="BK44" i="5"/>
  <c r="AU44" i="5"/>
  <c r="BZ44" i="5"/>
  <c r="BJ44" i="5"/>
  <c r="AT44" i="5"/>
  <c r="BX44" i="5"/>
  <c r="BH44" i="5"/>
  <c r="BW44" i="5"/>
  <c r="BG44" i="5"/>
  <c r="BS44" i="5"/>
  <c r="BC44" i="5"/>
  <c r="BB44" i="5"/>
  <c r="CD44" i="5"/>
  <c r="BI44" i="5"/>
  <c r="BT44" i="5"/>
  <c r="CB44" i="5"/>
  <c r="BY44" i="5"/>
  <c r="AX44" i="5"/>
  <c r="AW44" i="5"/>
  <c r="BF44" i="5"/>
  <c r="AV44" i="5"/>
  <c r="BN44" i="5"/>
  <c r="BU44" i="5"/>
  <c r="BD44" i="5"/>
  <c r="BV44" i="5"/>
  <c r="BL44" i="5"/>
  <c r="BA44" i="5"/>
  <c r="BE44" i="5"/>
  <c r="BM44" i="5"/>
  <c r="CB41" i="5"/>
  <c r="BV41" i="5"/>
  <c r="BH41" i="5"/>
  <c r="AT41" i="5"/>
  <c r="BG41" i="5"/>
  <c r="CE41" i="5"/>
  <c r="BF41" i="5"/>
  <c r="CD41" i="5"/>
  <c r="BB41" i="5"/>
  <c r="BZ41" i="5"/>
  <c r="BA41" i="5"/>
  <c r="BY41" i="5"/>
  <c r="BN41" i="5"/>
  <c r="AZ41" i="5"/>
  <c r="BX41" i="5"/>
  <c r="BJ41" i="5"/>
  <c r="AY41" i="5"/>
  <c r="BW41" i="5"/>
  <c r="BI41" i="5"/>
  <c r="AX41" i="5"/>
  <c r="BC41" i="5"/>
  <c r="BL41" i="5"/>
  <c r="AW41" i="5"/>
  <c r="BK41" i="5"/>
  <c r="BT41" i="5"/>
  <c r="BE41" i="5"/>
  <c r="AU41" i="5"/>
  <c r="BM41" i="5"/>
  <c r="CA41" i="5"/>
  <c r="BU41" i="5"/>
  <c r="CC41" i="5"/>
  <c r="BD41" i="5"/>
  <c r="BS41" i="5"/>
  <c r="AV41" i="5"/>
  <c r="CD35" i="5"/>
  <c r="BU35" i="5"/>
  <c r="BE35" i="5"/>
  <c r="AW35" i="5"/>
  <c r="CC35" i="5"/>
  <c r="BM35" i="5"/>
  <c r="AY35" i="5"/>
  <c r="BZ35" i="5"/>
  <c r="CA35" i="5"/>
  <c r="CB35" i="5"/>
  <c r="BN35" i="5"/>
  <c r="BG35" i="5"/>
  <c r="BV35" i="5"/>
  <c r="AZ35" i="5"/>
  <c r="BW35" i="5"/>
  <c r="BH35" i="5"/>
  <c r="CE35" i="5"/>
  <c r="BA35" i="5"/>
  <c r="AT35" i="5"/>
  <c r="AU35" i="5"/>
  <c r="AV35" i="5"/>
  <c r="BX35" i="5"/>
  <c r="BI35" i="5"/>
  <c r="BB35" i="5"/>
  <c r="BT35" i="5"/>
  <c r="BF35" i="5"/>
  <c r="BC35" i="5"/>
  <c r="BJ35" i="5"/>
  <c r="BK35" i="5"/>
  <c r="BL35" i="5"/>
  <c r="BS35" i="5"/>
  <c r="BD35" i="5"/>
  <c r="BY35" i="5"/>
  <c r="AX35" i="5"/>
  <c r="CD39" i="5"/>
  <c r="BX39" i="5"/>
  <c r="BH39" i="5"/>
  <c r="BS39" i="5"/>
  <c r="BC39" i="5"/>
  <c r="BB39" i="5"/>
  <c r="AZ39" i="5"/>
  <c r="BA39" i="5"/>
  <c r="CA39" i="5"/>
  <c r="BK39" i="5"/>
  <c r="AU39" i="5"/>
  <c r="BZ39" i="5"/>
  <c r="BJ39" i="5"/>
  <c r="AT39" i="5"/>
  <c r="BY39" i="5"/>
  <c r="BI39" i="5"/>
  <c r="BD39" i="5"/>
  <c r="BE39" i="5"/>
  <c r="BN39" i="5"/>
  <c r="BW39" i="5"/>
  <c r="BL39" i="5"/>
  <c r="BM39" i="5"/>
  <c r="BV39" i="5"/>
  <c r="CE39" i="5"/>
  <c r="BT39" i="5"/>
  <c r="CB39" i="5"/>
  <c r="CC39" i="5"/>
  <c r="AW39" i="5"/>
  <c r="AX39" i="5"/>
  <c r="AV39" i="5"/>
  <c r="BU39" i="5"/>
  <c r="BF39" i="5"/>
  <c r="AY39" i="5"/>
  <c r="BG39" i="5"/>
  <c r="CC40" i="5"/>
  <c r="BL40" i="5"/>
  <c r="CE40" i="5"/>
  <c r="BJ40" i="5"/>
  <c r="AX40" i="5"/>
  <c r="AU40" i="5"/>
  <c r="BF40" i="5"/>
  <c r="BD40" i="5"/>
  <c r="BN40" i="5"/>
  <c r="CB40" i="5"/>
  <c r="AV40" i="5"/>
  <c r="BI40" i="5"/>
  <c r="BK40" i="5"/>
  <c r="BE40" i="5"/>
  <c r="BV40" i="5"/>
  <c r="AY40" i="5"/>
  <c r="AZ40" i="5"/>
  <c r="BS40" i="5"/>
  <c r="BM40" i="5"/>
  <c r="CD40" i="5"/>
  <c r="BG40" i="5"/>
  <c r="BH40" i="5"/>
  <c r="BB40" i="5"/>
  <c r="BC40" i="5"/>
  <c r="CA40" i="5"/>
  <c r="BW40" i="5"/>
  <c r="BZ40" i="5"/>
  <c r="BA40" i="5"/>
  <c r="AW40" i="5"/>
  <c r="BX40" i="5"/>
  <c r="BY40" i="5"/>
  <c r="BT40" i="5"/>
  <c r="BU40" i="5"/>
  <c r="AT40" i="5"/>
  <c r="AT28" i="5"/>
  <c r="O95" i="5"/>
  <c r="S95" i="5"/>
  <c r="P95" i="5"/>
  <c r="M95" i="5"/>
  <c r="R95" i="5"/>
  <c r="L95" i="5"/>
  <c r="I95" i="5"/>
  <c r="Q95" i="5"/>
  <c r="BS30" i="5"/>
  <c r="BL30" i="5"/>
  <c r="BF30" i="5"/>
  <c r="BH30" i="5"/>
  <c r="BZ30" i="5"/>
  <c r="BY30" i="5"/>
  <c r="BX30" i="5"/>
  <c r="BD30" i="5"/>
  <c r="BC30" i="5"/>
  <c r="BJ30" i="5"/>
  <c r="AZ30" i="5"/>
  <c r="BB30" i="5"/>
  <c r="AV30" i="5"/>
  <c r="BV30" i="5"/>
  <c r="AW30" i="5"/>
  <c r="BW30" i="5"/>
  <c r="CB30" i="5"/>
  <c r="CD30" i="5"/>
  <c r="BN30" i="5"/>
  <c r="CC30" i="5"/>
  <c r="BA30" i="5"/>
  <c r="BT30" i="5"/>
  <c r="AX30" i="5"/>
  <c r="BU30" i="5"/>
  <c r="BM30" i="5"/>
  <c r="BG30" i="5"/>
  <c r="BK30" i="5"/>
  <c r="CE30" i="5"/>
  <c r="AT30" i="5"/>
  <c r="BE30" i="5"/>
  <c r="BI30" i="5"/>
  <c r="CA30" i="5"/>
  <c r="AY30" i="5"/>
  <c r="AU30" i="5"/>
  <c r="BH22" i="5"/>
  <c r="BZ22" i="5"/>
  <c r="BF22" i="5"/>
  <c r="AV22" i="5"/>
  <c r="BL22" i="5"/>
  <c r="AT22" i="5"/>
  <c r="CA22" i="5"/>
  <c r="CE22" i="5"/>
  <c r="BM22" i="5"/>
  <c r="AX22" i="5"/>
  <c r="AZ22" i="5"/>
  <c r="BG22" i="5"/>
  <c r="AY22" i="5"/>
  <c r="AW22" i="5"/>
  <c r="BA22" i="5"/>
  <c r="AU22" i="5"/>
  <c r="BE22" i="5"/>
  <c r="BU22" i="5"/>
  <c r="BJ22" i="5"/>
  <c r="BY22" i="5"/>
  <c r="BI22" i="5"/>
  <c r="BB22" i="5"/>
  <c r="BK22" i="5"/>
  <c r="BV22" i="5"/>
  <c r="BT22" i="5"/>
  <c r="BC22" i="5"/>
  <c r="BD22" i="5"/>
  <c r="CC22" i="5"/>
  <c r="CB22" i="5"/>
  <c r="BX22" i="5"/>
  <c r="CD22" i="5"/>
  <c r="BN22" i="5"/>
  <c r="BW22" i="5"/>
  <c r="BS22" i="5"/>
  <c r="BL26" i="5"/>
  <c r="CA26" i="5"/>
  <c r="BV26" i="5"/>
  <c r="CB26" i="5"/>
  <c r="BM26" i="5"/>
  <c r="BT26" i="5"/>
  <c r="BZ26" i="5"/>
  <c r="BJ26" i="5"/>
  <c r="BB26" i="5"/>
  <c r="BC26" i="5"/>
  <c r="BI26" i="5"/>
  <c r="BS26" i="5"/>
  <c r="BX26" i="5"/>
  <c r="AZ26" i="5"/>
  <c r="BF26" i="5"/>
  <c r="CE26" i="5"/>
  <c r="BN26" i="5"/>
  <c r="AX26" i="5"/>
  <c r="BA26" i="5"/>
  <c r="AU26" i="5"/>
  <c r="AT26" i="5"/>
  <c r="CC26" i="5"/>
  <c r="BU26" i="5"/>
  <c r="BG26" i="5"/>
  <c r="BW26" i="5"/>
  <c r="BE26" i="5"/>
  <c r="CD26" i="5"/>
  <c r="AY26" i="5"/>
  <c r="BK26" i="5"/>
  <c r="AV26" i="5"/>
  <c r="BD26" i="5"/>
  <c r="BY26" i="5"/>
  <c r="BH26" i="5"/>
  <c r="AW26" i="5"/>
  <c r="BE21" i="5"/>
  <c r="BT21" i="5"/>
  <c r="BX21" i="5"/>
  <c r="BY21" i="5"/>
  <c r="AZ21" i="5"/>
  <c r="BM21" i="5"/>
  <c r="AW21" i="5"/>
  <c r="BU21" i="5"/>
  <c r="BB21" i="5"/>
  <c r="BK21" i="5"/>
  <c r="CC21" i="5"/>
  <c r="CD21" i="5"/>
  <c r="BV21" i="5"/>
  <c r="BJ21" i="5"/>
  <c r="BL21" i="5"/>
  <c r="AX21" i="5"/>
  <c r="AU21" i="5"/>
  <c r="BI21" i="5"/>
  <c r="CA21" i="5"/>
  <c r="BH21" i="5"/>
  <c r="CE21" i="5"/>
  <c r="BC21" i="5"/>
  <c r="BZ21" i="5"/>
  <c r="AT21" i="5"/>
  <c r="BA21" i="5"/>
  <c r="AV21" i="5"/>
  <c r="BF21" i="5"/>
  <c r="BG21" i="5"/>
  <c r="BS21" i="5"/>
  <c r="BN21" i="5"/>
  <c r="AY21" i="5"/>
  <c r="BD21" i="5"/>
  <c r="BW21" i="5"/>
  <c r="CB21" i="5"/>
  <c r="AT25" i="5"/>
  <c r="BG25" i="5"/>
  <c r="BH25" i="5"/>
  <c r="BU25" i="5"/>
  <c r="BX25" i="5"/>
  <c r="AZ25" i="5"/>
  <c r="BB25" i="5"/>
  <c r="BI25" i="5"/>
  <c r="AW25" i="5"/>
  <c r="BE25" i="5"/>
  <c r="BD25" i="5"/>
  <c r="BV25" i="5"/>
  <c r="BS25" i="5"/>
  <c r="BL25" i="5"/>
  <c r="BT25" i="5"/>
  <c r="CB25" i="5"/>
  <c r="BC25" i="5"/>
  <c r="AU25" i="5"/>
  <c r="BZ25" i="5"/>
  <c r="BN25" i="5"/>
  <c r="BM25" i="5"/>
  <c r="BA25" i="5"/>
  <c r="BW25" i="5"/>
  <c r="BK25" i="5"/>
  <c r="AV25" i="5"/>
  <c r="BY25" i="5"/>
  <c r="CD25" i="5"/>
  <c r="AX25" i="5"/>
  <c r="CA25" i="5"/>
  <c r="CC25" i="5"/>
  <c r="BJ25" i="5"/>
  <c r="AY25" i="5"/>
  <c r="CE25" i="5"/>
  <c r="BF25" i="5"/>
  <c r="BN27" i="5"/>
  <c r="BY27" i="5"/>
  <c r="BT27" i="5"/>
  <c r="BG27" i="5"/>
  <c r="BB27" i="5"/>
  <c r="CB27" i="5"/>
  <c r="BX27" i="5"/>
  <c r="CA27" i="5"/>
  <c r="AW27" i="5"/>
  <c r="AZ27" i="5"/>
  <c r="BS27" i="5"/>
  <c r="BM27" i="5"/>
  <c r="AT27" i="5"/>
  <c r="BA27" i="5"/>
  <c r="BC27" i="5"/>
  <c r="BL27" i="5"/>
  <c r="BE27" i="5"/>
  <c r="BW27" i="5"/>
  <c r="AX27" i="5"/>
  <c r="CD27" i="5"/>
  <c r="CE27" i="5"/>
  <c r="BD27" i="5"/>
  <c r="AV27" i="5"/>
  <c r="BV27" i="5"/>
  <c r="BH27" i="5"/>
  <c r="BI27" i="5"/>
  <c r="BK27" i="5"/>
  <c r="AY27" i="5"/>
  <c r="AU27" i="5"/>
  <c r="BZ27" i="5"/>
  <c r="BJ27" i="5"/>
  <c r="BF27" i="5"/>
  <c r="BU27" i="5"/>
  <c r="CC27" i="5"/>
  <c r="E97" i="5"/>
  <c r="F17" i="9"/>
  <c r="F75" i="8"/>
  <c r="CC28" i="5"/>
  <c r="BE28" i="5"/>
  <c r="BJ28" i="5"/>
  <c r="BX28" i="5"/>
  <c r="BL28" i="5"/>
  <c r="AX28" i="5"/>
  <c r="BA28" i="5"/>
  <c r="BZ28" i="5"/>
  <c r="BH28" i="5"/>
  <c r="AW28" i="5"/>
  <c r="BS28" i="5"/>
  <c r="BG28" i="5"/>
  <c r="BC28" i="5"/>
  <c r="BT28" i="5"/>
  <c r="CA28" i="5"/>
  <c r="AV28" i="5"/>
  <c r="BB28" i="5"/>
  <c r="CD28" i="5"/>
  <c r="BN28" i="5"/>
  <c r="CB28" i="5"/>
  <c r="BF28" i="5"/>
  <c r="BI28" i="5"/>
  <c r="BY28" i="5"/>
  <c r="BV28" i="5"/>
  <c r="BW28" i="5"/>
  <c r="AZ28" i="5"/>
  <c r="CE28" i="5"/>
  <c r="BK28" i="5"/>
  <c r="AU28" i="5"/>
  <c r="BM28" i="5"/>
  <c r="F32" i="5"/>
  <c r="BU28" i="5"/>
  <c r="BD28" i="5"/>
  <c r="AY28" i="5"/>
  <c r="BM29" i="5"/>
  <c r="BT29" i="5"/>
  <c r="BK29" i="5"/>
  <c r="BZ29" i="5"/>
  <c r="CD29" i="5"/>
  <c r="BN29" i="5"/>
  <c r="BH29" i="5"/>
  <c r="AU29" i="5"/>
  <c r="AW29" i="5"/>
  <c r="BA29" i="5"/>
  <c r="BL29" i="5"/>
  <c r="BJ29" i="5"/>
  <c r="AZ29" i="5"/>
  <c r="BI29" i="5"/>
  <c r="BF29" i="5"/>
  <c r="CE29" i="5"/>
  <c r="BW29" i="5"/>
  <c r="CA29" i="5"/>
  <c r="BD29" i="5"/>
  <c r="AY29" i="5"/>
  <c r="BY29" i="5"/>
  <c r="AT29" i="5"/>
  <c r="BE29" i="5"/>
  <c r="BC29" i="5"/>
  <c r="AV29" i="5"/>
  <c r="BG29" i="5"/>
  <c r="CC29" i="5"/>
  <c r="BB29" i="5"/>
  <c r="AX29" i="5"/>
  <c r="BS29" i="5"/>
  <c r="BU29" i="5"/>
  <c r="BX29" i="5"/>
  <c r="CB29" i="5"/>
  <c r="BV29" i="5"/>
  <c r="BM23" i="5"/>
  <c r="BK23" i="5"/>
  <c r="CE23" i="5"/>
  <c r="BB23" i="5"/>
  <c r="BS23" i="5"/>
  <c r="AX23" i="5"/>
  <c r="BC23" i="5"/>
  <c r="BD23" i="5"/>
  <c r="AY23" i="5"/>
  <c r="AT23" i="5"/>
  <c r="CD23" i="5"/>
  <c r="AV23" i="5"/>
  <c r="CA23" i="5"/>
  <c r="BZ23" i="5"/>
  <c r="AZ23" i="5"/>
  <c r="BF23" i="5"/>
  <c r="AW23" i="5"/>
  <c r="BE23" i="5"/>
  <c r="CC23" i="5"/>
  <c r="BI23" i="5"/>
  <c r="BU23" i="5"/>
  <c r="BX23" i="5"/>
  <c r="BY23" i="5"/>
  <c r="BL23" i="5"/>
  <c r="BJ23" i="5"/>
  <c r="BH23" i="5"/>
  <c r="CB23" i="5"/>
  <c r="BV23" i="5"/>
  <c r="BT23" i="5"/>
  <c r="AU23" i="5"/>
  <c r="BG23" i="5"/>
  <c r="BA23" i="5"/>
  <c r="BW23" i="5"/>
  <c r="BN23" i="5"/>
  <c r="BK24" i="5"/>
  <c r="CD24" i="5"/>
  <c r="BY24" i="5"/>
  <c r="AW24" i="5"/>
  <c r="BI24" i="5"/>
  <c r="BJ24" i="5"/>
  <c r="AT24" i="5"/>
  <c r="BF24" i="5"/>
  <c r="BT24" i="5"/>
  <c r="BN24" i="5"/>
  <c r="BE24" i="5"/>
  <c r="AZ24" i="5"/>
  <c r="CB24" i="5"/>
  <c r="AX24" i="5"/>
  <c r="BA24" i="5"/>
  <c r="CE24" i="5"/>
  <c r="BL24" i="5"/>
  <c r="BG24" i="5"/>
  <c r="BW24" i="5"/>
  <c r="BS24" i="5"/>
  <c r="BM24" i="5"/>
  <c r="BX24" i="5"/>
  <c r="BB24" i="5"/>
  <c r="BU24" i="5"/>
  <c r="BD24" i="5"/>
  <c r="BV24" i="5"/>
  <c r="AY24" i="5"/>
  <c r="CA24" i="5"/>
  <c r="CC24" i="5"/>
  <c r="BC24" i="5"/>
  <c r="AU24" i="5"/>
  <c r="BZ24" i="5"/>
  <c r="BH24" i="5"/>
  <c r="AV24" i="5"/>
  <c r="D254" i="128"/>
  <c r="F138" i="128"/>
  <c r="E229" i="128" s="1"/>
  <c r="F229" i="128" s="1"/>
  <c r="I50" i="6" l="1"/>
  <c r="I52" i="6"/>
  <c r="H33" i="9" s="1"/>
  <c r="H50" i="6"/>
  <c r="H52" i="6"/>
  <c r="G33" i="9" s="1"/>
  <c r="J50" i="6"/>
  <c r="J52" i="6"/>
  <c r="I33" i="9" s="1"/>
  <c r="K50" i="6"/>
  <c r="K52" i="6"/>
  <c r="J33" i="9" s="1"/>
  <c r="L50" i="6"/>
  <c r="L52" i="6"/>
  <c r="K33" i="9" s="1"/>
  <c r="D297" i="128"/>
  <c r="E297" i="128" s="1"/>
  <c r="D262" i="128"/>
  <c r="E262" i="128" s="1"/>
  <c r="F41" i="113"/>
  <c r="F287" i="128"/>
  <c r="G42" i="113"/>
  <c r="A31" i="5"/>
  <c r="G87" i="113"/>
  <c r="F47" i="5"/>
  <c r="E47" i="5" s="1"/>
  <c r="BO60" i="5"/>
  <c r="BO47" i="5" s="1"/>
  <c r="BP60" i="5"/>
  <c r="BP47" i="5" s="1"/>
  <c r="BQ60" i="5"/>
  <c r="BQ47" i="5" s="1"/>
  <c r="BR60" i="5"/>
  <c r="BR47" i="5" s="1"/>
  <c r="D285" i="128"/>
  <c r="E285" i="128" s="1"/>
  <c r="D311" i="128"/>
  <c r="E311" i="128" s="1"/>
  <c r="D294" i="128"/>
  <c r="E294" i="128" s="1"/>
  <c r="D304" i="128"/>
  <c r="E304" i="128" s="1"/>
  <c r="D298" i="128"/>
  <c r="E298" i="128" s="1"/>
  <c r="D305" i="128"/>
  <c r="E305" i="128" s="1"/>
  <c r="D309" i="128"/>
  <c r="E309" i="128" s="1"/>
  <c r="D276" i="128"/>
  <c r="E276" i="128" s="1"/>
  <c r="D302" i="128"/>
  <c r="E302" i="128" s="1"/>
  <c r="D268" i="128"/>
  <c r="E268" i="128" s="1"/>
  <c r="D306" i="128"/>
  <c r="E306" i="128" s="1"/>
  <c r="D267" i="128"/>
  <c r="E267" i="128" s="1"/>
  <c r="D263" i="128"/>
  <c r="E263" i="128" s="1"/>
  <c r="D300" i="128"/>
  <c r="E300" i="128" s="1"/>
  <c r="D310" i="128"/>
  <c r="E310" i="128" s="1"/>
  <c r="D269" i="128"/>
  <c r="E269" i="128" s="1"/>
  <c r="D292" i="128"/>
  <c r="E292" i="128" s="1"/>
  <c r="D275" i="128"/>
  <c r="E275" i="128" s="1"/>
  <c r="D271" i="128"/>
  <c r="E271" i="128" s="1"/>
  <c r="D293" i="128"/>
  <c r="E293" i="128" s="1"/>
  <c r="D264" i="128"/>
  <c r="E264" i="128" s="1"/>
  <c r="D289" i="128"/>
  <c r="E289" i="128" s="1"/>
  <c r="D277" i="128"/>
  <c r="E277" i="128" s="1"/>
  <c r="D283" i="128"/>
  <c r="E283" i="128" s="1"/>
  <c r="D279" i="128"/>
  <c r="E279" i="128" s="1"/>
  <c r="D301" i="128"/>
  <c r="E301" i="128" s="1"/>
  <c r="D272" i="128"/>
  <c r="E272" i="128" s="1"/>
  <c r="D266" i="128"/>
  <c r="E266" i="128" s="1"/>
  <c r="D265" i="128"/>
  <c r="E265" i="128" s="1"/>
  <c r="D291" i="128"/>
  <c r="E291" i="128" s="1"/>
  <c r="D284" i="128"/>
  <c r="E284" i="128" s="1"/>
  <c r="D287" i="128"/>
  <c r="E287" i="128" s="1"/>
  <c r="D270" i="128"/>
  <c r="E270" i="128" s="1"/>
  <c r="D280" i="128"/>
  <c r="E280" i="128" s="1"/>
  <c r="D274" i="128"/>
  <c r="E274" i="128" s="1"/>
  <c r="D273" i="128"/>
  <c r="E273" i="128" s="1"/>
  <c r="D299" i="128"/>
  <c r="E299" i="128" s="1"/>
  <c r="D308" i="128"/>
  <c r="E308" i="128" s="1"/>
  <c r="D295" i="128"/>
  <c r="E295" i="128" s="1"/>
  <c r="D278" i="128"/>
  <c r="E278" i="128" s="1"/>
  <c r="D288" i="128"/>
  <c r="E288" i="128" s="1"/>
  <c r="D282" i="128"/>
  <c r="E282" i="128" s="1"/>
  <c r="D281" i="128"/>
  <c r="E281" i="128" s="1"/>
  <c r="D307" i="128"/>
  <c r="E307" i="128" s="1"/>
  <c r="D303" i="128"/>
  <c r="E303" i="128" s="1"/>
  <c r="D286" i="128"/>
  <c r="E286" i="128" s="1"/>
  <c r="D296" i="128"/>
  <c r="E296" i="128" s="1"/>
  <c r="D290" i="128"/>
  <c r="E290" i="128" s="1"/>
  <c r="BO20" i="5"/>
  <c r="BO32" i="5"/>
  <c r="BP32" i="5"/>
  <c r="BQ32" i="5"/>
  <c r="BR32" i="5"/>
  <c r="BO46" i="5"/>
  <c r="BO33" i="5" s="1"/>
  <c r="BP46" i="5"/>
  <c r="BP33" i="5" s="1"/>
  <c r="BQ46" i="5"/>
  <c r="BQ33" i="5" s="1"/>
  <c r="BR46" i="5"/>
  <c r="BR33" i="5" s="1"/>
  <c r="G90" i="113"/>
  <c r="BR31" i="5"/>
  <c r="BO31" i="5"/>
  <c r="BP31" i="5"/>
  <c r="BQ31" i="5"/>
  <c r="BR20" i="5"/>
  <c r="BQ20" i="5"/>
  <c r="BP20" i="5"/>
  <c r="G287" i="128"/>
  <c r="CH52" i="5"/>
  <c r="BX48" i="5"/>
  <c r="L117" i="7"/>
  <c r="K63" i="6" s="1"/>
  <c r="I117" i="7"/>
  <c r="H63" i="6" s="1"/>
  <c r="J117" i="7"/>
  <c r="I63" i="6" s="1"/>
  <c r="K117" i="7"/>
  <c r="J63" i="6" s="1"/>
  <c r="M117" i="7"/>
  <c r="L63" i="6" s="1"/>
  <c r="CA48" i="5"/>
  <c r="BL48" i="5"/>
  <c r="BG48" i="5"/>
  <c r="CH57" i="5"/>
  <c r="CH54" i="5"/>
  <c r="BT48" i="5"/>
  <c r="CH56" i="5"/>
  <c r="BZ48" i="5"/>
  <c r="BJ48" i="5"/>
  <c r="AU48" i="5"/>
  <c r="BN48" i="5"/>
  <c r="BS48" i="5"/>
  <c r="AV48" i="5"/>
  <c r="BW48" i="5"/>
  <c r="CH50" i="5"/>
  <c r="BY48" i="5"/>
  <c r="BK48" i="5"/>
  <c r="CH58" i="5"/>
  <c r="BE48" i="5"/>
  <c r="BB48" i="5"/>
  <c r="BH48" i="5"/>
  <c r="BA48" i="5"/>
  <c r="BF48" i="5"/>
  <c r="BI48" i="5"/>
  <c r="BC48" i="5"/>
  <c r="CH36" i="5"/>
  <c r="BU48" i="5"/>
  <c r="AW48" i="5"/>
  <c r="AX48" i="5"/>
  <c r="AY48" i="5"/>
  <c r="BD48" i="5"/>
  <c r="AT48" i="5"/>
  <c r="BM48" i="5"/>
  <c r="CC48" i="5"/>
  <c r="CD48" i="5"/>
  <c r="BV48" i="5"/>
  <c r="CB48" i="5"/>
  <c r="CH55" i="5"/>
  <c r="BB60" i="5"/>
  <c r="BB47" i="5" s="1"/>
  <c r="BU60" i="5"/>
  <c r="BU47" i="5" s="1"/>
  <c r="BD60" i="5"/>
  <c r="BD47" i="5" s="1"/>
  <c r="BF60" i="5"/>
  <c r="BF47" i="5" s="1"/>
  <c r="AX60" i="5"/>
  <c r="AX47" i="5" s="1"/>
  <c r="BK60" i="5"/>
  <c r="BK47" i="5" s="1"/>
  <c r="BJ60" i="5"/>
  <c r="BJ47" i="5" s="1"/>
  <c r="BT60" i="5"/>
  <c r="BT47" i="5" s="1"/>
  <c r="BC60" i="5"/>
  <c r="BC47" i="5" s="1"/>
  <c r="BX60" i="5"/>
  <c r="BX47" i="5" s="1"/>
  <c r="BL60" i="5"/>
  <c r="BL47" i="5" s="1"/>
  <c r="BH60" i="5"/>
  <c r="BH47" i="5" s="1"/>
  <c r="CD60" i="5"/>
  <c r="CD47" i="5" s="1"/>
  <c r="BM60" i="5"/>
  <c r="BM47" i="5" s="1"/>
  <c r="AV60" i="5"/>
  <c r="AV47" i="5" s="1"/>
  <c r="BY60" i="5"/>
  <c r="BY47" i="5" s="1"/>
  <c r="BG60" i="5"/>
  <c r="BG47" i="5" s="1"/>
  <c r="AY60" i="5"/>
  <c r="AY47" i="5" s="1"/>
  <c r="AU60" i="5"/>
  <c r="AU47" i="5" s="1"/>
  <c r="AZ60" i="5"/>
  <c r="AZ47" i="5" s="1"/>
  <c r="BV60" i="5"/>
  <c r="BV47" i="5" s="1"/>
  <c r="BE60" i="5"/>
  <c r="BE47" i="5" s="1"/>
  <c r="BZ60" i="5"/>
  <c r="BZ47" i="5" s="1"/>
  <c r="CE60" i="5"/>
  <c r="CE47" i="5" s="1"/>
  <c r="BN60" i="5"/>
  <c r="BN47" i="5" s="1"/>
  <c r="AW60" i="5"/>
  <c r="AW47" i="5" s="1"/>
  <c r="CA60" i="5"/>
  <c r="CA47" i="5" s="1"/>
  <c r="BI60" i="5"/>
  <c r="BI47" i="5" s="1"/>
  <c r="AT60" i="5"/>
  <c r="AT47" i="5" s="1"/>
  <c r="BS60" i="5"/>
  <c r="BS47" i="5" s="1"/>
  <c r="BA60" i="5"/>
  <c r="BA47" i="5" s="1"/>
  <c r="CB60" i="5"/>
  <c r="CB47" i="5" s="1"/>
  <c r="BW60" i="5"/>
  <c r="BW47" i="5" s="1"/>
  <c r="CC60" i="5"/>
  <c r="CC47" i="5" s="1"/>
  <c r="CH49" i="5"/>
  <c r="CE48" i="5"/>
  <c r="AZ48" i="5"/>
  <c r="CH53" i="5"/>
  <c r="CH51" i="5"/>
  <c r="CH37" i="5"/>
  <c r="BN34" i="5"/>
  <c r="CH35" i="5"/>
  <c r="CH44" i="5"/>
  <c r="CH39" i="5"/>
  <c r="CH40" i="5"/>
  <c r="BS34" i="5"/>
  <c r="BB34" i="5"/>
  <c r="CE34" i="5"/>
  <c r="CB34" i="5"/>
  <c r="BI34" i="5"/>
  <c r="BH34" i="5"/>
  <c r="CA34" i="5"/>
  <c r="CD34" i="5"/>
  <c r="BL34" i="5"/>
  <c r="BX34" i="5"/>
  <c r="BW34" i="5"/>
  <c r="BZ34" i="5"/>
  <c r="CH41" i="5"/>
  <c r="CH38" i="5"/>
  <c r="BK34" i="5"/>
  <c r="AV34" i="5"/>
  <c r="AZ34" i="5"/>
  <c r="AY34" i="5"/>
  <c r="BU34" i="5"/>
  <c r="CH42" i="5"/>
  <c r="BE34" i="5"/>
  <c r="CH43" i="5"/>
  <c r="AX34" i="5"/>
  <c r="BJ34" i="5"/>
  <c r="AU34" i="5"/>
  <c r="BM34" i="5"/>
  <c r="BT34" i="5"/>
  <c r="BY34" i="5"/>
  <c r="BC34" i="5"/>
  <c r="AT34" i="5"/>
  <c r="BV34" i="5"/>
  <c r="CC34" i="5"/>
  <c r="BD34" i="5"/>
  <c r="BF34" i="5"/>
  <c r="BA34" i="5"/>
  <c r="BG34" i="5"/>
  <c r="AW34" i="5"/>
  <c r="AZ46" i="5"/>
  <c r="CC46" i="5"/>
  <c r="BD46" i="5"/>
  <c r="BG46" i="5"/>
  <c r="CE46" i="5"/>
  <c r="BM46" i="5"/>
  <c r="BA46" i="5"/>
  <c r="CD46" i="5"/>
  <c r="BE46" i="5"/>
  <c r="CA46" i="5"/>
  <c r="BJ46" i="5"/>
  <c r="BH46" i="5"/>
  <c r="AU46" i="5"/>
  <c r="BW46" i="5"/>
  <c r="BU46" i="5"/>
  <c r="AV46" i="5"/>
  <c r="BZ46" i="5"/>
  <c r="BI46" i="5"/>
  <c r="BL46" i="5"/>
  <c r="BV46" i="5"/>
  <c r="AW46" i="5"/>
  <c r="BS46" i="5"/>
  <c r="BB46" i="5"/>
  <c r="BX46" i="5"/>
  <c r="BN46" i="5"/>
  <c r="CB46" i="5"/>
  <c r="BK46" i="5"/>
  <c r="AT46" i="5"/>
  <c r="BF46" i="5"/>
  <c r="BT46" i="5"/>
  <c r="BC46" i="5"/>
  <c r="AY46" i="5"/>
  <c r="AX46" i="5"/>
  <c r="BY46" i="5"/>
  <c r="E237" i="128"/>
  <c r="F295" i="128" s="1"/>
  <c r="E227" i="128"/>
  <c r="F285" i="128" s="1"/>
  <c r="CH30" i="5"/>
  <c r="E225" i="128"/>
  <c r="F283" i="128" s="1"/>
  <c r="E214" i="128"/>
  <c r="F272" i="128" s="1"/>
  <c r="E224" i="128"/>
  <c r="F282" i="128" s="1"/>
  <c r="E245" i="128"/>
  <c r="F303" i="128" s="1"/>
  <c r="CH26" i="5"/>
  <c r="E222" i="128"/>
  <c r="F280" i="128" s="1"/>
  <c r="E241" i="128"/>
  <c r="F299" i="128" s="1"/>
  <c r="CH24" i="5"/>
  <c r="E247" i="128"/>
  <c r="F305" i="128" s="1"/>
  <c r="E242" i="128"/>
  <c r="F300" i="128" s="1"/>
  <c r="E218" i="128"/>
  <c r="F276" i="128" s="1"/>
  <c r="E211" i="128"/>
  <c r="F269" i="128" s="1"/>
  <c r="CH27" i="5"/>
  <c r="E238" i="128"/>
  <c r="F296" i="128" s="1"/>
  <c r="CH29" i="5"/>
  <c r="E243" i="128"/>
  <c r="F301" i="128" s="1"/>
  <c r="E250" i="128"/>
  <c r="F308" i="128" s="1"/>
  <c r="E239" i="128"/>
  <c r="F297" i="128" s="1"/>
  <c r="E232" i="128"/>
  <c r="F290" i="128" s="1"/>
  <c r="CH23" i="5"/>
  <c r="CH25" i="5"/>
  <c r="E248" i="128"/>
  <c r="F306" i="128" s="1"/>
  <c r="CH22" i="5"/>
  <c r="E205" i="128"/>
  <c r="H229" i="128"/>
  <c r="C352" i="128" s="1"/>
  <c r="CA20" i="5"/>
  <c r="BE20" i="5"/>
  <c r="E234" i="128"/>
  <c r="F292" i="128" s="1"/>
  <c r="E236" i="128"/>
  <c r="F294" i="128" s="1"/>
  <c r="AU20" i="5"/>
  <c r="BD20" i="5"/>
  <c r="AX20" i="5"/>
  <c r="E95" i="5"/>
  <c r="D95" i="5" s="1"/>
  <c r="E233" i="128"/>
  <c r="F291" i="128" s="1"/>
  <c r="E215" i="128"/>
  <c r="F273" i="128" s="1"/>
  <c r="BJ20" i="5"/>
  <c r="BH20" i="5"/>
  <c r="BX20" i="5"/>
  <c r="CD20" i="5"/>
  <c r="CB20" i="5"/>
  <c r="BW20" i="5"/>
  <c r="BK20" i="5"/>
  <c r="E216" i="128"/>
  <c r="F274" i="128" s="1"/>
  <c r="E206" i="128"/>
  <c r="F264" i="128" s="1"/>
  <c r="E253" i="128"/>
  <c r="F311" i="128" s="1"/>
  <c r="AV20" i="5"/>
  <c r="BB20" i="5"/>
  <c r="E223" i="128"/>
  <c r="F281" i="128" s="1"/>
  <c r="E213" i="128"/>
  <c r="F271" i="128" s="1"/>
  <c r="E231" i="128"/>
  <c r="F289" i="128" s="1"/>
  <c r="BZ32" i="5"/>
  <c r="BH32" i="5"/>
  <c r="CA32" i="5"/>
  <c r="AX32" i="5"/>
  <c r="CE32" i="5"/>
  <c r="BE32" i="5"/>
  <c r="CB32" i="5"/>
  <c r="BJ32" i="5"/>
  <c r="CC32" i="5"/>
  <c r="AU32" i="5"/>
  <c r="BS32" i="5"/>
  <c r="AV32" i="5"/>
  <c r="AT32" i="5"/>
  <c r="BV32" i="5"/>
  <c r="BG32" i="5"/>
  <c r="BK32" i="5"/>
  <c r="CD32" i="5"/>
  <c r="BA32" i="5"/>
  <c r="BM32" i="5"/>
  <c r="BW32" i="5"/>
  <c r="BT32" i="5"/>
  <c r="BU32" i="5"/>
  <c r="BY32" i="5"/>
  <c r="BL32" i="5"/>
  <c r="AW32" i="5"/>
  <c r="BN32" i="5"/>
  <c r="BF32" i="5"/>
  <c r="BX32" i="5"/>
  <c r="AY32" i="5"/>
  <c r="BB32" i="5"/>
  <c r="BD32" i="5"/>
  <c r="AZ32" i="5"/>
  <c r="BI32" i="5"/>
  <c r="BC32" i="5"/>
  <c r="BA20" i="5"/>
  <c r="BU20" i="5"/>
  <c r="E244" i="128"/>
  <c r="F302" i="128" s="1"/>
  <c r="E204" i="128"/>
  <c r="F262" i="128" s="1"/>
  <c r="E249" i="128"/>
  <c r="F307" i="128" s="1"/>
  <c r="AY20" i="5"/>
  <c r="BN20" i="5"/>
  <c r="BS20" i="5"/>
  <c r="BF20" i="5"/>
  <c r="AT20" i="5"/>
  <c r="E41" i="8"/>
  <c r="AW20" i="5"/>
  <c r="E212" i="128"/>
  <c r="F270" i="128" s="1"/>
  <c r="E251" i="128"/>
  <c r="F309" i="128" s="1"/>
  <c r="E210" i="128"/>
  <c r="F268" i="128" s="1"/>
  <c r="BL20" i="5"/>
  <c r="BZ20" i="5"/>
  <c r="BM20" i="5"/>
  <c r="E207" i="128"/>
  <c r="F265" i="128" s="1"/>
  <c r="E208" i="128"/>
  <c r="F266" i="128" s="1"/>
  <c r="E209" i="128"/>
  <c r="F267" i="128" s="1"/>
  <c r="BI20" i="5"/>
  <c r="CH28" i="5"/>
  <c r="BC20" i="5"/>
  <c r="F11" i="9"/>
  <c r="E246" i="128"/>
  <c r="F304" i="128" s="1"/>
  <c r="E252" i="128"/>
  <c r="F310" i="128" s="1"/>
  <c r="E226" i="128"/>
  <c r="F284" i="128" s="1"/>
  <c r="F74" i="8"/>
  <c r="CC20" i="5"/>
  <c r="CE20" i="5"/>
  <c r="AZ20" i="5"/>
  <c r="E228" i="128"/>
  <c r="F286" i="128" s="1"/>
  <c r="E230" i="128"/>
  <c r="F288" i="128" s="1"/>
  <c r="E240" i="128"/>
  <c r="F298" i="128" s="1"/>
  <c r="BT20" i="5"/>
  <c r="BV20" i="5"/>
  <c r="BG20" i="5"/>
  <c r="BY20" i="5"/>
  <c r="E221" i="128"/>
  <c r="F279" i="128" s="1"/>
  <c r="E235" i="128"/>
  <c r="F293" i="128" s="1"/>
  <c r="E217" i="128"/>
  <c r="F275" i="128" s="1"/>
  <c r="CH21" i="5"/>
  <c r="E220" i="128"/>
  <c r="F278" i="128" s="1"/>
  <c r="E219" i="128"/>
  <c r="F277" i="128" s="1"/>
  <c r="J75" i="8" l="1"/>
  <c r="J74" i="8" s="1"/>
  <c r="J17" i="9"/>
  <c r="H97" i="5"/>
  <c r="I17" i="9"/>
  <c r="I75" i="8"/>
  <c r="I74" i="8" s="1"/>
  <c r="G97" i="5"/>
  <c r="F97" i="5"/>
  <c r="G75" i="8"/>
  <c r="G74" i="8" s="1"/>
  <c r="G17" i="9"/>
  <c r="I97" i="5"/>
  <c r="K17" i="9"/>
  <c r="K75" i="8"/>
  <c r="K74" i="8" s="1"/>
  <c r="H75" i="8"/>
  <c r="H74" i="8" s="1"/>
  <c r="H17" i="9"/>
  <c r="BO19" i="5"/>
  <c r="BO18" i="5" s="1"/>
  <c r="BO16" i="5" s="1"/>
  <c r="AA19" i="6" s="1"/>
  <c r="BP19" i="5"/>
  <c r="BP18" i="5" s="1"/>
  <c r="BP16" i="5" s="1"/>
  <c r="AB19" i="6" s="1"/>
  <c r="BQ19" i="5"/>
  <c r="BQ18" i="5" s="1"/>
  <c r="BQ16" i="5" s="1"/>
  <c r="AC19" i="6" s="1"/>
  <c r="BR19" i="5"/>
  <c r="BR18" i="5" s="1"/>
  <c r="BR16" i="5" s="1"/>
  <c r="AD19" i="6" s="1"/>
  <c r="CE77" i="6"/>
  <c r="AU77" i="6"/>
  <c r="CC77" i="6"/>
  <c r="M77" i="6"/>
  <c r="AM77" i="6"/>
  <c r="AG77" i="6"/>
  <c r="AO77" i="6"/>
  <c r="BC77" i="6"/>
  <c r="BD77" i="6"/>
  <c r="BT77" i="6"/>
  <c r="H77" i="6"/>
  <c r="AL77" i="6"/>
  <c r="AH77" i="6"/>
  <c r="Z77" i="6"/>
  <c r="AY77" i="6"/>
  <c r="AA77" i="6"/>
  <c r="CD77" i="6"/>
  <c r="AP77" i="6"/>
  <c r="BV77" i="6"/>
  <c r="BP77" i="6"/>
  <c r="CG77" i="6"/>
  <c r="CF77" i="6"/>
  <c r="BH77" i="6"/>
  <c r="AC77" i="6"/>
  <c r="AN77" i="6"/>
  <c r="AD77" i="6"/>
  <c r="CH77" i="6"/>
  <c r="BJ77" i="6"/>
  <c r="AT77" i="6"/>
  <c r="BR77" i="6"/>
  <c r="BF77" i="6"/>
  <c r="BS77" i="6"/>
  <c r="K77" i="6"/>
  <c r="BI77" i="6"/>
  <c r="BA77" i="6"/>
  <c r="CB77" i="6"/>
  <c r="BN77" i="6"/>
  <c r="AZ77" i="6"/>
  <c r="AJ77" i="6"/>
  <c r="AS77" i="6"/>
  <c r="AF77" i="6"/>
  <c r="BZ77" i="6"/>
  <c r="AX77" i="6"/>
  <c r="BB77" i="6"/>
  <c r="L77" i="6"/>
  <c r="BL77" i="6"/>
  <c r="CI77" i="6"/>
  <c r="AV77" i="6"/>
  <c r="BK77" i="6"/>
  <c r="CA77" i="6"/>
  <c r="AE77" i="6"/>
  <c r="BG77" i="6"/>
  <c r="AW77" i="6"/>
  <c r="BU77" i="6"/>
  <c r="G77" i="6"/>
  <c r="BX77" i="6"/>
  <c r="AB77" i="6"/>
  <c r="BM77" i="6"/>
  <c r="J77" i="6"/>
  <c r="BE77" i="6"/>
  <c r="AQ77" i="6"/>
  <c r="BW77" i="6"/>
  <c r="I77" i="6"/>
  <c r="BQ77" i="6"/>
  <c r="BO77" i="6"/>
  <c r="AI77" i="6"/>
  <c r="AK77" i="6"/>
  <c r="AR77" i="6"/>
  <c r="BY77" i="6"/>
  <c r="F240" i="128"/>
  <c r="H240" i="128" s="1"/>
  <c r="C363" i="128" s="1"/>
  <c r="G298" i="128"/>
  <c r="F236" i="128"/>
  <c r="H236" i="128" s="1"/>
  <c r="C359" i="128" s="1"/>
  <c r="G294" i="128"/>
  <c r="F227" i="128"/>
  <c r="H227" i="128" s="1"/>
  <c r="C350" i="128" s="1"/>
  <c r="G285" i="128"/>
  <c r="F219" i="128"/>
  <c r="H219" i="128" s="1"/>
  <c r="C342" i="128" s="1"/>
  <c r="G277" i="128"/>
  <c r="F228" i="128"/>
  <c r="H228" i="128" s="1"/>
  <c r="C351" i="128" s="1"/>
  <c r="G286" i="128"/>
  <c r="F209" i="128"/>
  <c r="H209" i="128" s="1"/>
  <c r="C332" i="128" s="1"/>
  <c r="G267" i="128"/>
  <c r="F210" i="128"/>
  <c r="H210" i="128" s="1"/>
  <c r="C333" i="128" s="1"/>
  <c r="G268" i="128"/>
  <c r="F253" i="128"/>
  <c r="H253" i="128" s="1"/>
  <c r="C376" i="128" s="1"/>
  <c r="G311" i="128"/>
  <c r="F248" i="128"/>
  <c r="H248" i="128" s="1"/>
  <c r="C371" i="128" s="1"/>
  <c r="G306" i="128"/>
  <c r="F238" i="128"/>
  <c r="H238" i="128" s="1"/>
  <c r="C361" i="128" s="1"/>
  <c r="G296" i="128"/>
  <c r="F222" i="128"/>
  <c r="H222" i="128" s="1"/>
  <c r="C345" i="128" s="1"/>
  <c r="G280" i="128"/>
  <c r="F237" i="128"/>
  <c r="H237" i="128" s="1"/>
  <c r="C360" i="128" s="1"/>
  <c r="G295" i="128"/>
  <c r="F205" i="128"/>
  <c r="H205" i="128" s="1"/>
  <c r="C328" i="128" s="1"/>
  <c r="G263" i="128"/>
  <c r="F241" i="128"/>
  <c r="H241" i="128" s="1"/>
  <c r="C364" i="128" s="1"/>
  <c r="G299" i="128"/>
  <c r="F208" i="128"/>
  <c r="H208" i="128" s="1"/>
  <c r="C331" i="128" s="1"/>
  <c r="G266" i="128"/>
  <c r="F217" i="128"/>
  <c r="H217" i="128" s="1"/>
  <c r="C340" i="128" s="1"/>
  <c r="G275" i="128"/>
  <c r="F207" i="128"/>
  <c r="H207" i="128" s="1"/>
  <c r="C330" i="128" s="1"/>
  <c r="G265" i="128"/>
  <c r="F212" i="128"/>
  <c r="H212" i="128" s="1"/>
  <c r="C335" i="128" s="1"/>
  <c r="G270" i="128"/>
  <c r="F213" i="128"/>
  <c r="H213" i="128" s="1"/>
  <c r="C336" i="128" s="1"/>
  <c r="G271" i="128"/>
  <c r="F216" i="128"/>
  <c r="H216" i="128" s="1"/>
  <c r="C339" i="128" s="1"/>
  <c r="G274" i="128"/>
  <c r="F233" i="128"/>
  <c r="H233" i="128" s="1"/>
  <c r="C356" i="128" s="1"/>
  <c r="G291" i="128"/>
  <c r="F211" i="128"/>
  <c r="H211" i="128" s="1"/>
  <c r="C334" i="128" s="1"/>
  <c r="G269" i="128"/>
  <c r="F245" i="128"/>
  <c r="H245" i="128" s="1"/>
  <c r="C368" i="128" s="1"/>
  <c r="G303" i="128"/>
  <c r="F243" i="128"/>
  <c r="H243" i="128" s="1"/>
  <c r="C366" i="128" s="1"/>
  <c r="G301" i="128"/>
  <c r="F206" i="128"/>
  <c r="H206" i="128" s="1"/>
  <c r="C329" i="128" s="1"/>
  <c r="G264" i="128"/>
  <c r="F235" i="128"/>
  <c r="H235" i="128" s="1"/>
  <c r="C358" i="128" s="1"/>
  <c r="G293" i="128"/>
  <c r="F249" i="128"/>
  <c r="H249" i="128" s="1"/>
  <c r="C372" i="128" s="1"/>
  <c r="G307" i="128"/>
  <c r="F223" i="128"/>
  <c r="H223" i="128" s="1"/>
  <c r="C346" i="128" s="1"/>
  <c r="G281" i="128"/>
  <c r="F232" i="128"/>
  <c r="H232" i="128" s="1"/>
  <c r="C355" i="128" s="1"/>
  <c r="G290" i="128"/>
  <c r="F218" i="128"/>
  <c r="H218" i="128" s="1"/>
  <c r="C341" i="128" s="1"/>
  <c r="G276" i="128"/>
  <c r="F224" i="128"/>
  <c r="H224" i="128" s="1"/>
  <c r="C347" i="128" s="1"/>
  <c r="G282" i="128"/>
  <c r="F230" i="128"/>
  <c r="H230" i="128" s="1"/>
  <c r="C353" i="128" s="1"/>
  <c r="G288" i="128"/>
  <c r="F220" i="128"/>
  <c r="H220" i="128" s="1"/>
  <c r="C343" i="128" s="1"/>
  <c r="G278" i="128"/>
  <c r="F215" i="128"/>
  <c r="H215" i="128" s="1"/>
  <c r="C338" i="128" s="1"/>
  <c r="G273" i="128"/>
  <c r="F221" i="128"/>
  <c r="H221" i="128" s="1"/>
  <c r="C344" i="128" s="1"/>
  <c r="G279" i="128"/>
  <c r="G262" i="128"/>
  <c r="F239" i="128"/>
  <c r="H239" i="128" s="1"/>
  <c r="C362" i="128" s="1"/>
  <c r="G297" i="128"/>
  <c r="F242" i="128"/>
  <c r="H242" i="128" s="1"/>
  <c r="C365" i="128" s="1"/>
  <c r="G300" i="128"/>
  <c r="F214" i="128"/>
  <c r="H214" i="128" s="1"/>
  <c r="C337" i="128" s="1"/>
  <c r="G272" i="128"/>
  <c r="H287" i="128"/>
  <c r="J287" i="128" s="1"/>
  <c r="F246" i="128"/>
  <c r="H246" i="128" s="1"/>
  <c r="C369" i="128" s="1"/>
  <c r="G304" i="128"/>
  <c r="F234" i="128"/>
  <c r="H234" i="128" s="1"/>
  <c r="C357" i="128" s="1"/>
  <c r="G292" i="128"/>
  <c r="F251" i="128"/>
  <c r="H251" i="128" s="1"/>
  <c r="C374" i="128" s="1"/>
  <c r="G309" i="128"/>
  <c r="F231" i="128"/>
  <c r="H231" i="128" s="1"/>
  <c r="C354" i="128" s="1"/>
  <c r="G289" i="128"/>
  <c r="F226" i="128"/>
  <c r="H226" i="128" s="1"/>
  <c r="C349" i="128" s="1"/>
  <c r="G284" i="128"/>
  <c r="F252" i="128"/>
  <c r="H252" i="128" s="1"/>
  <c r="C375" i="128" s="1"/>
  <c r="G310" i="128"/>
  <c r="F244" i="128"/>
  <c r="H244" i="128" s="1"/>
  <c r="C367" i="128" s="1"/>
  <c r="G302" i="128"/>
  <c r="F250" i="128"/>
  <c r="H250" i="128" s="1"/>
  <c r="C373" i="128" s="1"/>
  <c r="G308" i="128"/>
  <c r="F247" i="128"/>
  <c r="H247" i="128" s="1"/>
  <c r="C370" i="128" s="1"/>
  <c r="G305" i="128"/>
  <c r="F225" i="128"/>
  <c r="H225" i="128" s="1"/>
  <c r="C348" i="128" s="1"/>
  <c r="G283" i="128"/>
  <c r="D312" i="128"/>
  <c r="G11" i="9"/>
  <c r="J11" i="9"/>
  <c r="K11" i="9"/>
  <c r="H11" i="9"/>
  <c r="I11" i="9"/>
  <c r="CH60" i="5"/>
  <c r="CH47" i="5"/>
  <c r="CH48" i="5"/>
  <c r="CH46" i="5"/>
  <c r="CH34" i="5"/>
  <c r="F10" i="9"/>
  <c r="E254" i="128"/>
  <c r="F204" i="128"/>
  <c r="CH32" i="5"/>
  <c r="CH20" i="5"/>
  <c r="O114" i="113" l="1"/>
  <c r="I10" i="9"/>
  <c r="H10" i="9"/>
  <c r="K10" i="9"/>
  <c r="J10" i="9"/>
  <c r="G10" i="9"/>
  <c r="O109" i="113"/>
  <c r="D352" i="128"/>
  <c r="E352" i="128" s="1"/>
  <c r="H271" i="128"/>
  <c r="J271" i="128" s="1"/>
  <c r="H295" i="128"/>
  <c r="J295" i="128" s="1"/>
  <c r="H268" i="128"/>
  <c r="J268" i="128" s="1"/>
  <c r="H277" i="128"/>
  <c r="J277" i="128" s="1"/>
  <c r="H267" i="128"/>
  <c r="J267" i="128" s="1"/>
  <c r="H264" i="128"/>
  <c r="J264" i="128" s="1"/>
  <c r="H307" i="128"/>
  <c r="J307" i="128" s="1"/>
  <c r="H289" i="128"/>
  <c r="J289" i="128" s="1"/>
  <c r="H302" i="128"/>
  <c r="J302" i="128" s="1"/>
  <c r="H292" i="128"/>
  <c r="J292" i="128" s="1"/>
  <c r="H300" i="128"/>
  <c r="J300" i="128" s="1"/>
  <c r="H262" i="128"/>
  <c r="H280" i="128"/>
  <c r="J280" i="128" s="1"/>
  <c r="H298" i="128"/>
  <c r="J298" i="128" s="1"/>
  <c r="H263" i="128"/>
  <c r="H269" i="128"/>
  <c r="J269" i="128" s="1"/>
  <c r="H296" i="128"/>
  <c r="J296" i="128" s="1"/>
  <c r="H278" i="128"/>
  <c r="J278" i="128" s="1"/>
  <c r="H276" i="128"/>
  <c r="J276" i="128" s="1"/>
  <c r="H275" i="128"/>
  <c r="J275" i="128" s="1"/>
  <c r="H308" i="128"/>
  <c r="J308" i="128" s="1"/>
  <c r="H309" i="128"/>
  <c r="J309" i="128" s="1"/>
  <c r="H284" i="128"/>
  <c r="J284" i="128" s="1"/>
  <c r="H282" i="128"/>
  <c r="J282" i="128" s="1"/>
  <c r="H294" i="128"/>
  <c r="J294" i="128" s="1"/>
  <c r="H301" i="128"/>
  <c r="J301" i="128" s="1"/>
  <c r="H293" i="128"/>
  <c r="J293" i="128" s="1"/>
  <c r="H279" i="128"/>
  <c r="J279" i="128" s="1"/>
  <c r="H288" i="128"/>
  <c r="J288" i="128" s="1"/>
  <c r="H290" i="128"/>
  <c r="J290" i="128" s="1"/>
  <c r="H285" i="128"/>
  <c r="J285" i="128" s="1"/>
  <c r="H291" i="128"/>
  <c r="J291" i="128" s="1"/>
  <c r="H311" i="128"/>
  <c r="J311" i="128" s="1"/>
  <c r="H305" i="128"/>
  <c r="J305" i="128" s="1"/>
  <c r="H306" i="128"/>
  <c r="J306" i="128" s="1"/>
  <c r="H310" i="128"/>
  <c r="J310" i="128" s="1"/>
  <c r="E312" i="128"/>
  <c r="H272" i="128"/>
  <c r="J272" i="128" s="1"/>
  <c r="H283" i="128"/>
  <c r="J283" i="128" s="1"/>
  <c r="H273" i="128"/>
  <c r="J273" i="128" s="1"/>
  <c r="H274" i="128"/>
  <c r="J274" i="128" s="1"/>
  <c r="H266" i="128"/>
  <c r="J266" i="128" s="1"/>
  <c r="H286" i="128"/>
  <c r="J286" i="128" s="1"/>
  <c r="H297" i="128"/>
  <c r="J297" i="128" s="1"/>
  <c r="H281" i="128"/>
  <c r="J281" i="128" s="1"/>
  <c r="H299" i="128"/>
  <c r="J299" i="128" s="1"/>
  <c r="H270" i="128"/>
  <c r="J270" i="128" s="1"/>
  <c r="H304" i="128"/>
  <c r="J304" i="128" s="1"/>
  <c r="H303" i="128"/>
  <c r="J303" i="128" s="1"/>
  <c r="H265" i="128"/>
  <c r="J265" i="128" s="1"/>
  <c r="G312" i="128"/>
  <c r="F254" i="128"/>
  <c r="H204" i="128"/>
  <c r="D374" i="128" l="1"/>
  <c r="E374" i="128" s="1"/>
  <c r="D363" i="128"/>
  <c r="E363" i="128" s="1"/>
  <c r="D329" i="128"/>
  <c r="E329" i="128" s="1"/>
  <c r="D375" i="128"/>
  <c r="E375" i="128" s="1"/>
  <c r="D364" i="128"/>
  <c r="E364" i="128" s="1"/>
  <c r="D373" i="128"/>
  <c r="E373" i="128" s="1"/>
  <c r="D362" i="128"/>
  <c r="E362" i="128" s="1"/>
  <c r="D371" i="128"/>
  <c r="E371" i="128" s="1"/>
  <c r="D365" i="128"/>
  <c r="E365" i="128" s="1"/>
  <c r="D333" i="128"/>
  <c r="E333" i="128" s="1"/>
  <c r="D346" i="128"/>
  <c r="E346" i="128" s="1"/>
  <c r="D342" i="128"/>
  <c r="E342" i="128" s="1"/>
  <c r="D370" i="128"/>
  <c r="E370" i="128" s="1"/>
  <c r="D343" i="128"/>
  <c r="E343" i="128" s="1"/>
  <c r="D357" i="128"/>
  <c r="E357" i="128" s="1"/>
  <c r="D360" i="128"/>
  <c r="E360" i="128" s="1"/>
  <c r="D332" i="128"/>
  <c r="E332" i="128" s="1"/>
  <c r="D340" i="128"/>
  <c r="E340" i="128" s="1"/>
  <c r="D351" i="128"/>
  <c r="E351" i="128" s="1"/>
  <c r="D366" i="128"/>
  <c r="E366" i="128" s="1"/>
  <c r="D368" i="128"/>
  <c r="E368" i="128" s="1"/>
  <c r="D339" i="128"/>
  <c r="E339" i="128" s="1"/>
  <c r="D376" i="128"/>
  <c r="E376" i="128" s="1"/>
  <c r="D359" i="128"/>
  <c r="E359" i="128" s="1"/>
  <c r="D361" i="128"/>
  <c r="E361" i="128" s="1"/>
  <c r="D367" i="128"/>
  <c r="E367" i="128" s="1"/>
  <c r="D336" i="128"/>
  <c r="E336" i="128" s="1"/>
  <c r="D355" i="128"/>
  <c r="E355" i="128" s="1"/>
  <c r="D353" i="128"/>
  <c r="E353" i="128" s="1"/>
  <c r="D341" i="128"/>
  <c r="E341" i="128" s="1"/>
  <c r="D330" i="128"/>
  <c r="E330" i="128" s="1"/>
  <c r="D369" i="128"/>
  <c r="E369" i="128" s="1"/>
  <c r="D338" i="128"/>
  <c r="E338" i="128" s="1"/>
  <c r="D356" i="128"/>
  <c r="E356" i="128" s="1"/>
  <c r="D347" i="128"/>
  <c r="E347" i="128" s="1"/>
  <c r="D334" i="128"/>
  <c r="E334" i="128" s="1"/>
  <c r="D354" i="128"/>
  <c r="E354" i="128" s="1"/>
  <c r="D337" i="128"/>
  <c r="E337" i="128" s="1"/>
  <c r="D345" i="128"/>
  <c r="E345" i="128" s="1"/>
  <c r="D344" i="128"/>
  <c r="E344" i="128" s="1"/>
  <c r="D358" i="128"/>
  <c r="E358" i="128" s="1"/>
  <c r="D331" i="128"/>
  <c r="E331" i="128" s="1"/>
  <c r="D335" i="128"/>
  <c r="E335" i="128" s="1"/>
  <c r="D348" i="128"/>
  <c r="E348" i="128" s="1"/>
  <c r="D350" i="128"/>
  <c r="E350" i="128" s="1"/>
  <c r="D349" i="128"/>
  <c r="E349" i="128" s="1"/>
  <c r="D372" i="128"/>
  <c r="E372" i="128" s="1"/>
  <c r="J263" i="128"/>
  <c r="F312" i="128"/>
  <c r="K312" i="128"/>
  <c r="H312" i="128"/>
  <c r="C327" i="128"/>
  <c r="H254" i="128"/>
  <c r="C377" i="128" s="1"/>
  <c r="D328" i="128" l="1"/>
  <c r="E328" i="128" s="1"/>
  <c r="J262" i="128"/>
  <c r="J312" i="128" l="1"/>
  <c r="D327" i="128"/>
  <c r="E327" i="128" s="1"/>
  <c r="D377" i="128" l="1"/>
  <c r="E377" i="128"/>
  <c r="E378" i="128" l="1"/>
  <c r="E379" i="128" s="1"/>
  <c r="L334" i="128" l="1"/>
  <c r="G383" i="128"/>
  <c r="G389" i="128" s="1"/>
  <c r="F13" i="5" s="1"/>
  <c r="E54" i="6" l="1"/>
  <c r="E98" i="7" s="1"/>
  <c r="G390" i="128"/>
  <c r="G394" i="128" s="1"/>
  <c r="E389" i="128"/>
  <c r="BC13" i="5"/>
  <c r="E383" i="128"/>
  <c r="BQ13" i="5"/>
  <c r="BQ11" i="5" s="1"/>
  <c r="BO13" i="5"/>
  <c r="BO11" i="5" s="1"/>
  <c r="BR13" i="5"/>
  <c r="BR11" i="5" s="1"/>
  <c r="BP13" i="5"/>
  <c r="BP11" i="5" s="1"/>
  <c r="BX13" i="5"/>
  <c r="BN13" i="5"/>
  <c r="BV13" i="5"/>
  <c r="BF13" i="5"/>
  <c r="AY13" i="5"/>
  <c r="AW13" i="5"/>
  <c r="CC13" i="5"/>
  <c r="BI13" i="5"/>
  <c r="AZ13" i="5"/>
  <c r="BA13" i="5"/>
  <c r="CA13" i="5"/>
  <c r="CE13" i="5"/>
  <c r="BY13" i="5"/>
  <c r="I81" i="113"/>
  <c r="F81" i="113" s="1"/>
  <c r="BT13" i="5"/>
  <c r="BM13" i="5"/>
  <c r="BZ13" i="5"/>
  <c r="BJ13" i="5"/>
  <c r="AX13" i="5"/>
  <c r="BK13" i="5"/>
  <c r="AT13" i="5"/>
  <c r="F11" i="5"/>
  <c r="CD13" i="5"/>
  <c r="BS13" i="5"/>
  <c r="J12" i="11" l="1"/>
  <c r="S98" i="7"/>
  <c r="S99" i="7" s="1"/>
  <c r="R98" i="7"/>
  <c r="R99" i="7" s="1"/>
  <c r="T98" i="7"/>
  <c r="T99" i="7" s="1"/>
  <c r="S39" i="6" s="1"/>
  <c r="U98" i="7"/>
  <c r="U99" i="7" s="1"/>
  <c r="D76" i="6"/>
  <c r="V98" i="7"/>
  <c r="V99" i="7" s="1"/>
  <c r="F63" i="113"/>
  <c r="H63" i="113" s="1"/>
  <c r="J63" i="113" s="1"/>
  <c r="T100" i="7"/>
  <c r="BG100" i="7"/>
  <c r="BF49" i="6" s="1"/>
  <c r="BF15" i="6" s="1"/>
  <c r="BF10" i="6" s="1"/>
  <c r="BF23" i="6" s="1"/>
  <c r="BR100" i="7"/>
  <c r="BQ49" i="6" s="1"/>
  <c r="BQ15" i="6" s="1"/>
  <c r="BQ10" i="6" s="1"/>
  <c r="BQ23" i="6" s="1"/>
  <c r="CA100" i="7"/>
  <c r="BZ49" i="6" s="1"/>
  <c r="BZ15" i="6" s="1"/>
  <c r="BZ10" i="6" s="1"/>
  <c r="BZ23" i="6" s="1"/>
  <c r="AZ100" i="7"/>
  <c r="AY49" i="6" s="1"/>
  <c r="AY15" i="6" s="1"/>
  <c r="AY10" i="6" s="1"/>
  <c r="AY23" i="6" s="1"/>
  <c r="AK100" i="7"/>
  <c r="AJ49" i="6" s="1"/>
  <c r="T39" i="6"/>
  <c r="U100" i="7"/>
  <c r="T49" i="6" s="1"/>
  <c r="U39" i="6"/>
  <c r="AV13" i="5"/>
  <c r="AV11" i="5" s="1"/>
  <c r="BG13" i="5"/>
  <c r="R39" i="8" s="1"/>
  <c r="BW13" i="5"/>
  <c r="BW11" i="5" s="1"/>
  <c r="BH13" i="5"/>
  <c r="S39" i="8" s="1"/>
  <c r="AU13" i="5"/>
  <c r="F39" i="8" s="1"/>
  <c r="CB13" i="5"/>
  <c r="CB11" i="5" s="1"/>
  <c r="BL13" i="5"/>
  <c r="BL11" i="5" s="1"/>
  <c r="BD13" i="5"/>
  <c r="BD11" i="5" s="1"/>
  <c r="G32" i="113"/>
  <c r="F32" i="113" s="1"/>
  <c r="I20" i="11"/>
  <c r="D57" i="6"/>
  <c r="D64" i="6" s="1"/>
  <c r="BU13" i="5"/>
  <c r="BU11" i="5" s="1"/>
  <c r="BE13" i="5"/>
  <c r="P39" i="8" s="1"/>
  <c r="BB13" i="5"/>
  <c r="M39" i="8" s="1"/>
  <c r="BK11" i="5"/>
  <c r="V39" i="8"/>
  <c r="H39" i="8"/>
  <c r="AW11" i="5"/>
  <c r="X39" i="8"/>
  <c r="BM11" i="5"/>
  <c r="BV11" i="5"/>
  <c r="AG39" i="8"/>
  <c r="BY11" i="5"/>
  <c r="AJ39" i="8"/>
  <c r="E39" i="8"/>
  <c r="AT11" i="5"/>
  <c r="I39" i="8"/>
  <c r="AX11" i="5"/>
  <c r="J39" i="8"/>
  <c r="AY11" i="5"/>
  <c r="BF11" i="5"/>
  <c r="Q39" i="8"/>
  <c r="BT11" i="5"/>
  <c r="AE39" i="8"/>
  <c r="BN11" i="5"/>
  <c r="Y39" i="8"/>
  <c r="BA11" i="5"/>
  <c r="L39" i="8"/>
  <c r="AN39" i="8"/>
  <c r="CC11" i="5"/>
  <c r="U39" i="8"/>
  <c r="BJ11" i="5"/>
  <c r="Z39" i="8"/>
  <c r="AA39" i="8"/>
  <c r="CE11" i="5"/>
  <c r="AP39" i="8"/>
  <c r="AB39" i="8"/>
  <c r="CA11" i="5"/>
  <c r="AL39" i="8"/>
  <c r="BX11" i="5"/>
  <c r="AI39" i="8"/>
  <c r="AC39" i="8"/>
  <c r="AK39" i="8"/>
  <c r="BZ11" i="5"/>
  <c r="K39" i="8"/>
  <c r="AZ11" i="5"/>
  <c r="N39" i="8"/>
  <c r="BC11" i="5"/>
  <c r="AD39" i="8"/>
  <c r="BS11" i="5"/>
  <c r="CD11" i="5"/>
  <c r="AO39" i="8"/>
  <c r="T39" i="8"/>
  <c r="BI11" i="5"/>
  <c r="E11" i="5"/>
  <c r="BE100" i="7" l="1"/>
  <c r="BD49" i="6" s="1"/>
  <c r="BD15" i="6" s="1"/>
  <c r="BD10" i="6" s="1"/>
  <c r="BD23" i="6" s="1"/>
  <c r="CG100" i="7"/>
  <c r="CF49" i="6" s="1"/>
  <c r="CF15" i="6" s="1"/>
  <c r="CF10" i="6" s="1"/>
  <c r="CF23" i="6" s="1"/>
  <c r="BT100" i="7"/>
  <c r="BS49" i="6" s="1"/>
  <c r="BS15" i="6" s="1"/>
  <c r="BS10" i="6" s="1"/>
  <c r="BS23" i="6" s="1"/>
  <c r="AU100" i="7"/>
  <c r="AT49" i="6" s="1"/>
  <c r="AT15" i="6" s="1"/>
  <c r="AT10" i="6" s="1"/>
  <c r="BY100" i="7"/>
  <c r="BX49" i="6" s="1"/>
  <c r="BX15" i="6" s="1"/>
  <c r="BX10" i="6" s="1"/>
  <c r="BX23" i="6" s="1"/>
  <c r="BH100" i="7"/>
  <c r="BG49" i="6" s="1"/>
  <c r="BG15" i="6" s="1"/>
  <c r="BG10" i="6" s="1"/>
  <c r="BG23" i="6" s="1"/>
  <c r="AE100" i="7"/>
  <c r="AD49" i="6" s="1"/>
  <c r="BC100" i="7"/>
  <c r="BB49" i="6" s="1"/>
  <c r="BB15" i="6" s="1"/>
  <c r="BB10" i="6" s="1"/>
  <c r="BB23" i="6" s="1"/>
  <c r="AJ100" i="7"/>
  <c r="AI49" i="6" s="1"/>
  <c r="BD100" i="7"/>
  <c r="BC49" i="6" s="1"/>
  <c r="BC15" i="6" s="1"/>
  <c r="BC10" i="6" s="1"/>
  <c r="BC23" i="6" s="1"/>
  <c r="AF100" i="7"/>
  <c r="AE49" i="6" s="1"/>
  <c r="BQ100" i="7"/>
  <c r="BP49" i="6" s="1"/>
  <c r="BP15" i="6" s="1"/>
  <c r="BP10" i="6" s="1"/>
  <c r="BP23" i="6" s="1"/>
  <c r="AW100" i="7"/>
  <c r="AV49" i="6" s="1"/>
  <c r="AV15" i="6" s="1"/>
  <c r="AV10" i="6" s="1"/>
  <c r="AV23" i="6" s="1"/>
  <c r="AM100" i="7"/>
  <c r="AL49" i="6" s="1"/>
  <c r="BS100" i="7"/>
  <c r="BR49" i="6" s="1"/>
  <c r="BR15" i="6" s="1"/>
  <c r="BR10" i="6" s="1"/>
  <c r="BR23" i="6" s="1"/>
  <c r="AT100" i="7"/>
  <c r="AS49" i="6" s="1"/>
  <c r="AS15" i="6" s="1"/>
  <c r="AS10" i="6" s="1"/>
  <c r="AS23" i="6" s="1"/>
  <c r="CJ100" i="7"/>
  <c r="CI49" i="6" s="1"/>
  <c r="CI15" i="6" s="1"/>
  <c r="CI10" i="6" s="1"/>
  <c r="CI23" i="6" s="1"/>
  <c r="BB100" i="7"/>
  <c r="BA49" i="6" s="1"/>
  <c r="BA15" i="6" s="1"/>
  <c r="BA10" i="6" s="1"/>
  <c r="BA23" i="6" s="1"/>
  <c r="AH100" i="7"/>
  <c r="AG49" i="6" s="1"/>
  <c r="AL100" i="7"/>
  <c r="AK49" i="6" s="1"/>
  <c r="Q39" i="6"/>
  <c r="R100" i="7"/>
  <c r="Q49" i="6" s="1"/>
  <c r="BX100" i="7"/>
  <c r="BW49" i="6" s="1"/>
  <c r="BW15" i="6" s="1"/>
  <c r="BW10" i="6" s="1"/>
  <c r="BW23" i="6" s="1"/>
  <c r="AY100" i="7"/>
  <c r="AX49" i="6" s="1"/>
  <c r="AX15" i="6" s="1"/>
  <c r="AX10" i="6" s="1"/>
  <c r="AX23" i="6" s="1"/>
  <c r="BJ100" i="7"/>
  <c r="BI49" i="6" s="1"/>
  <c r="BI15" i="6" s="1"/>
  <c r="BI10" i="6" s="1"/>
  <c r="BI23" i="6" s="1"/>
  <c r="X100" i="7"/>
  <c r="W49" i="6" s="1"/>
  <c r="AB100" i="7"/>
  <c r="AA49" i="6" s="1"/>
  <c r="AS100" i="7"/>
  <c r="AR49" i="6" s="1"/>
  <c r="AR15" i="6" s="1"/>
  <c r="AR10" i="6" s="1"/>
  <c r="AR23" i="6" s="1"/>
  <c r="R39" i="6"/>
  <c r="S100" i="7"/>
  <c r="R49" i="6" s="1"/>
  <c r="CF100" i="7"/>
  <c r="CE49" i="6" s="1"/>
  <c r="CE15" i="6" s="1"/>
  <c r="CE10" i="6" s="1"/>
  <c r="CE23" i="6" s="1"/>
  <c r="AO100" i="7"/>
  <c r="AN49" i="6" s="1"/>
  <c r="V100" i="7"/>
  <c r="U49" i="6" s="1"/>
  <c r="AD100" i="7"/>
  <c r="AC49" i="6" s="1"/>
  <c r="Y100" i="7"/>
  <c r="X49" i="6" s="1"/>
  <c r="AC100" i="7"/>
  <c r="AB49" i="6" s="1"/>
  <c r="AR100" i="7"/>
  <c r="AQ49" i="6" s="1"/>
  <c r="AQ15" i="6" s="1"/>
  <c r="AQ10" i="6" s="1"/>
  <c r="BZ100" i="7"/>
  <c r="BY49" i="6" s="1"/>
  <c r="BY15" i="6" s="1"/>
  <c r="BY10" i="6" s="1"/>
  <c r="BY23" i="6" s="1"/>
  <c r="CD100" i="7"/>
  <c r="CC49" i="6" s="1"/>
  <c r="CC15" i="6" s="1"/>
  <c r="CC10" i="6" s="1"/>
  <c r="CC23" i="6" s="1"/>
  <c r="BV100" i="7"/>
  <c r="BU49" i="6" s="1"/>
  <c r="BU15" i="6" s="1"/>
  <c r="BU10" i="6" s="1"/>
  <c r="BU23" i="6" s="1"/>
  <c r="AI100" i="7"/>
  <c r="AH49" i="6" s="1"/>
  <c r="BN100" i="7"/>
  <c r="BM49" i="6" s="1"/>
  <c r="BM15" i="6" s="1"/>
  <c r="BM10" i="6" s="1"/>
  <c r="BM23" i="6" s="1"/>
  <c r="AP100" i="7"/>
  <c r="AO49" i="6" s="1"/>
  <c r="CB100" i="7"/>
  <c r="CA49" i="6" s="1"/>
  <c r="CA15" i="6" s="1"/>
  <c r="CA10" i="6" s="1"/>
  <c r="CA23" i="6" s="1"/>
  <c r="BK100" i="7"/>
  <c r="BJ49" i="6" s="1"/>
  <c r="BJ15" i="6" s="1"/>
  <c r="BJ10" i="6" s="1"/>
  <c r="BJ23" i="6" s="1"/>
  <c r="W100" i="7"/>
  <c r="V49" i="6" s="1"/>
  <c r="BI100" i="7"/>
  <c r="BH49" i="6" s="1"/>
  <c r="BH15" i="6" s="1"/>
  <c r="BH10" i="6" s="1"/>
  <c r="BH23" i="6" s="1"/>
  <c r="BP100" i="7"/>
  <c r="BO49" i="6" s="1"/>
  <c r="BO15" i="6" s="1"/>
  <c r="BO10" i="6" s="1"/>
  <c r="BO23" i="6" s="1"/>
  <c r="CE100" i="7"/>
  <c r="CD49" i="6" s="1"/>
  <c r="CD15" i="6" s="1"/>
  <c r="CD10" i="6" s="1"/>
  <c r="CD23" i="6" s="1"/>
  <c r="AA100" i="7"/>
  <c r="Z49" i="6" s="1"/>
  <c r="Z100" i="7"/>
  <c r="Y49" i="6" s="1"/>
  <c r="BW100" i="7"/>
  <c r="BV49" i="6" s="1"/>
  <c r="BV15" i="6" s="1"/>
  <c r="BV10" i="6" s="1"/>
  <c r="BV23" i="6" s="1"/>
  <c r="CI100" i="7"/>
  <c r="CH49" i="6" s="1"/>
  <c r="CH15" i="6" s="1"/>
  <c r="CH10" i="6" s="1"/>
  <c r="CH23" i="6" s="1"/>
  <c r="AX100" i="7"/>
  <c r="AW49" i="6" s="1"/>
  <c r="AW15" i="6" s="1"/>
  <c r="AW10" i="6" s="1"/>
  <c r="AW23" i="6" s="1"/>
  <c r="BL100" i="7"/>
  <c r="BK49" i="6" s="1"/>
  <c r="BK15" i="6" s="1"/>
  <c r="BK10" i="6" s="1"/>
  <c r="BK23" i="6" s="1"/>
  <c r="AN100" i="7"/>
  <c r="AM49" i="6" s="1"/>
  <c r="AQ100" i="7"/>
  <c r="AP49" i="6" s="1"/>
  <c r="AG100" i="7"/>
  <c r="AF49" i="6" s="1"/>
  <c r="AV100" i="7"/>
  <c r="AU49" i="6" s="1"/>
  <c r="AU15" i="6" s="1"/>
  <c r="AU10" i="6" s="1"/>
  <c r="AU23" i="6" s="1"/>
  <c r="BO100" i="7"/>
  <c r="BN49" i="6" s="1"/>
  <c r="BN15" i="6" s="1"/>
  <c r="BN10" i="6" s="1"/>
  <c r="BN23" i="6" s="1"/>
  <c r="CH100" i="7"/>
  <c r="CG49" i="6" s="1"/>
  <c r="CG15" i="6" s="1"/>
  <c r="CG10" i="6" s="1"/>
  <c r="CG23" i="6" s="1"/>
  <c r="G99" i="7"/>
  <c r="E99" i="7" s="1"/>
  <c r="BA100" i="7"/>
  <c r="AZ49" i="6" s="1"/>
  <c r="AZ15" i="6" s="1"/>
  <c r="AZ10" i="6" s="1"/>
  <c r="AZ23" i="6" s="1"/>
  <c r="CC100" i="7"/>
  <c r="CB49" i="6" s="1"/>
  <c r="CB15" i="6" s="1"/>
  <c r="CB10" i="6" s="1"/>
  <c r="CB23" i="6" s="1"/>
  <c r="BF100" i="7"/>
  <c r="BE49" i="6" s="1"/>
  <c r="BE15" i="6" s="1"/>
  <c r="BE10" i="6" s="1"/>
  <c r="BE23" i="6" s="1"/>
  <c r="BU100" i="7"/>
  <c r="BT49" i="6" s="1"/>
  <c r="BT15" i="6" s="1"/>
  <c r="BT10" i="6" s="1"/>
  <c r="BT23" i="6" s="1"/>
  <c r="BM100" i="7"/>
  <c r="BL49" i="6" s="1"/>
  <c r="BL15" i="6" s="1"/>
  <c r="BL10" i="6" s="1"/>
  <c r="BL23" i="6" s="1"/>
  <c r="AH39" i="8"/>
  <c r="AF39" i="8"/>
  <c r="G39" i="8"/>
  <c r="BG11" i="5"/>
  <c r="P91" i="5" s="1"/>
  <c r="S49" i="6"/>
  <c r="BB11" i="5"/>
  <c r="K91" i="5" s="1"/>
  <c r="D39" i="6"/>
  <c r="W39" i="8"/>
  <c r="BE11" i="5"/>
  <c r="N91" i="5" s="1"/>
  <c r="AM39" i="8"/>
  <c r="AU11" i="5"/>
  <c r="E91" i="5" s="1"/>
  <c r="CH13" i="5"/>
  <c r="AS39" i="8" s="1"/>
  <c r="O39" i="8"/>
  <c r="BH11" i="5"/>
  <c r="Q91" i="5" s="1"/>
  <c r="E112" i="7"/>
  <c r="D74" i="6"/>
  <c r="E13" i="7"/>
  <c r="E25" i="7"/>
  <c r="D72" i="6" s="1"/>
  <c r="E19" i="7"/>
  <c r="E31" i="7"/>
  <c r="S91" i="5"/>
  <c r="M91" i="5"/>
  <c r="I91" i="5"/>
  <c r="V91" i="5"/>
  <c r="W91" i="5"/>
  <c r="X91" i="5"/>
  <c r="L91" i="5"/>
  <c r="G91" i="5"/>
  <c r="U91" i="5"/>
  <c r="R91" i="5"/>
  <c r="F91" i="5"/>
  <c r="H91" i="5"/>
  <c r="J91" i="5"/>
  <c r="Y91" i="5"/>
  <c r="O91" i="5"/>
  <c r="T91" i="5"/>
  <c r="G100" i="7" l="1"/>
  <c r="D49" i="6"/>
  <c r="C39" i="8"/>
  <c r="U19" i="7"/>
  <c r="U20" i="7" s="1"/>
  <c r="T34" i="6" s="1"/>
  <c r="T19" i="7"/>
  <c r="T20" i="7" s="1"/>
  <c r="S34" i="6" s="1"/>
  <c r="V19" i="7"/>
  <c r="V20" i="7" s="1"/>
  <c r="U34" i="6" s="1"/>
  <c r="S19" i="7"/>
  <c r="S20" i="7" s="1"/>
  <c r="R34" i="6" s="1"/>
  <c r="F62" i="113"/>
  <c r="H62" i="113" s="1"/>
  <c r="J62" i="113" s="1"/>
  <c r="S31" i="7"/>
  <c r="S32" i="7" s="1"/>
  <c r="R36" i="6" s="1"/>
  <c r="T31" i="7"/>
  <c r="T32" i="7" s="1"/>
  <c r="S36" i="6" s="1"/>
  <c r="V31" i="7"/>
  <c r="V32" i="7" s="1"/>
  <c r="U36" i="6" s="1"/>
  <c r="U31" i="7"/>
  <c r="U32" i="7" s="1"/>
  <c r="T36" i="6" s="1"/>
  <c r="T13" i="7"/>
  <c r="T14" i="7" s="1"/>
  <c r="V13" i="7"/>
  <c r="V14" i="7" s="1"/>
  <c r="U33" i="6" s="1"/>
  <c r="U13" i="7"/>
  <c r="U14" i="7" s="1"/>
  <c r="T33" i="6" s="1"/>
  <c r="S13" i="7"/>
  <c r="S14" i="7" s="1"/>
  <c r="D75" i="6"/>
  <c r="X112" i="7"/>
  <c r="X113" i="7" s="1"/>
  <c r="W38" i="6" s="1"/>
  <c r="CH11" i="5"/>
  <c r="D73" i="6"/>
  <c r="R31" i="7"/>
  <c r="R32" i="7" s="1"/>
  <c r="N31" i="7"/>
  <c r="N32" i="7" s="1"/>
  <c r="Q31" i="7"/>
  <c r="Q32" i="7" s="1"/>
  <c r="O31" i="7"/>
  <c r="O32" i="7" s="1"/>
  <c r="P31" i="7"/>
  <c r="P32" i="7" s="1"/>
  <c r="D70" i="6"/>
  <c r="F60" i="113"/>
  <c r="G60" i="113" s="1"/>
  <c r="E14" i="7"/>
  <c r="Q13" i="7"/>
  <c r="Q14" i="7" s="1"/>
  <c r="P13" i="7"/>
  <c r="P14" i="7" s="1"/>
  <c r="N13" i="7"/>
  <c r="N14" i="7" s="1"/>
  <c r="O13" i="7"/>
  <c r="O14" i="7" s="1"/>
  <c r="R13" i="7"/>
  <c r="R14" i="7" s="1"/>
  <c r="D71" i="6"/>
  <c r="F61" i="113"/>
  <c r="H61" i="113" s="1"/>
  <c r="J61" i="113" s="1"/>
  <c r="Q19" i="7"/>
  <c r="Q20" i="7" s="1"/>
  <c r="R19" i="7"/>
  <c r="R20" i="7" s="1"/>
  <c r="O19" i="7"/>
  <c r="O20" i="7" s="1"/>
  <c r="N19" i="7"/>
  <c r="N20" i="7" s="1"/>
  <c r="P19" i="7"/>
  <c r="P20" i="7" s="1"/>
  <c r="F64" i="113"/>
  <c r="G64" i="113" s="1"/>
  <c r="R112" i="7"/>
  <c r="R113" i="7" s="1"/>
  <c r="D91" i="5"/>
  <c r="T11" i="6" l="1"/>
  <c r="T14" i="6"/>
  <c r="T13" i="6"/>
  <c r="T12" i="6"/>
  <c r="T40" i="6"/>
  <c r="T17" i="6"/>
  <c r="U13" i="6"/>
  <c r="U14" i="6"/>
  <c r="U12" i="6"/>
  <c r="U11" i="6"/>
  <c r="U40" i="6"/>
  <c r="U17" i="6"/>
  <c r="S33" i="6"/>
  <c r="T116" i="7"/>
  <c r="S56" i="6" s="1"/>
  <c r="R33" i="6"/>
  <c r="S116" i="7"/>
  <c r="R56" i="6" s="1"/>
  <c r="W18" i="6"/>
  <c r="T95" i="5" s="1"/>
  <c r="W40" i="6"/>
  <c r="W17" i="6"/>
  <c r="J60" i="113"/>
  <c r="G65" i="113"/>
  <c r="M33" i="6"/>
  <c r="AK15" i="7"/>
  <c r="AJ43" i="6" s="1"/>
  <c r="N15" i="7"/>
  <c r="AJ15" i="7"/>
  <c r="AI43" i="6" s="1"/>
  <c r="AG15" i="7"/>
  <c r="AF43" i="6" s="1"/>
  <c r="S15" i="7"/>
  <c r="G14" i="7"/>
  <c r="AC15" i="7"/>
  <c r="AM15" i="7"/>
  <c r="AL43" i="6" s="1"/>
  <c r="AP15" i="7"/>
  <c r="AO43" i="6" s="1"/>
  <c r="U15" i="7"/>
  <c r="AN15" i="7"/>
  <c r="AM43" i="6" s="1"/>
  <c r="AF15" i="7"/>
  <c r="AE43" i="6" s="1"/>
  <c r="W15" i="7"/>
  <c r="AE15" i="7"/>
  <c r="AD15" i="7"/>
  <c r="AI15" i="7"/>
  <c r="AH43" i="6" s="1"/>
  <c r="AH15" i="7"/>
  <c r="AG43" i="6" s="1"/>
  <c r="AB15" i="7"/>
  <c r="Y15" i="7"/>
  <c r="AQ15" i="7"/>
  <c r="AP43" i="6" s="1"/>
  <c r="AA15" i="7"/>
  <c r="Z15" i="7"/>
  <c r="T15" i="7"/>
  <c r="AO15" i="7"/>
  <c r="AN43" i="6" s="1"/>
  <c r="V15" i="7"/>
  <c r="AL15" i="7"/>
  <c r="AK43" i="6" s="1"/>
  <c r="X15" i="7"/>
  <c r="N116" i="7"/>
  <c r="M56" i="6" s="1"/>
  <c r="O36" i="6"/>
  <c r="P33" i="7"/>
  <c r="O46" i="6" s="1"/>
  <c r="N33" i="6"/>
  <c r="O15" i="7"/>
  <c r="O116" i="7"/>
  <c r="N56" i="6" s="1"/>
  <c r="N36" i="6"/>
  <c r="O33" i="7"/>
  <c r="N46" i="6" s="1"/>
  <c r="P36" i="6"/>
  <c r="Q33" i="7"/>
  <c r="P46" i="6" s="1"/>
  <c r="N34" i="6"/>
  <c r="O21" i="7"/>
  <c r="O33" i="6"/>
  <c r="P15" i="7"/>
  <c r="M36" i="6"/>
  <c r="Z33" i="7"/>
  <c r="Y46" i="6" s="1"/>
  <c r="AD33" i="7"/>
  <c r="AC46" i="6" s="1"/>
  <c r="AB33" i="7"/>
  <c r="AA46" i="6" s="1"/>
  <c r="AN33" i="7"/>
  <c r="AM46" i="6" s="1"/>
  <c r="V33" i="7"/>
  <c r="U46" i="6" s="1"/>
  <c r="G32" i="7"/>
  <c r="E32" i="7" s="1"/>
  <c r="Y33" i="7"/>
  <c r="X46" i="6" s="1"/>
  <c r="T33" i="7"/>
  <c r="S46" i="6" s="1"/>
  <c r="AH33" i="7"/>
  <c r="AG46" i="6" s="1"/>
  <c r="X33" i="7"/>
  <c r="W46" i="6" s="1"/>
  <c r="AJ33" i="7"/>
  <c r="AI46" i="6" s="1"/>
  <c r="AA33" i="7"/>
  <c r="Z46" i="6" s="1"/>
  <c r="U33" i="7"/>
  <c r="T46" i="6" s="1"/>
  <c r="W33" i="7"/>
  <c r="V46" i="6" s="1"/>
  <c r="AI33" i="7"/>
  <c r="AH46" i="6" s="1"/>
  <c r="AL33" i="7"/>
  <c r="AK46" i="6" s="1"/>
  <c r="AE33" i="7"/>
  <c r="AD46" i="6" s="1"/>
  <c r="AQ33" i="7"/>
  <c r="AP46" i="6" s="1"/>
  <c r="AC33" i="7"/>
  <c r="AB46" i="6" s="1"/>
  <c r="AF33" i="7"/>
  <c r="AE46" i="6" s="1"/>
  <c r="S33" i="7"/>
  <c r="R46" i="6" s="1"/>
  <c r="AP33" i="7"/>
  <c r="AO46" i="6" s="1"/>
  <c r="AM33" i="7"/>
  <c r="AL46" i="6" s="1"/>
  <c r="AK33" i="7"/>
  <c r="AJ46" i="6" s="1"/>
  <c r="AG33" i="7"/>
  <c r="AF46" i="6" s="1"/>
  <c r="N33" i="7"/>
  <c r="AO33" i="7"/>
  <c r="AN46" i="6" s="1"/>
  <c r="O34" i="6"/>
  <c r="P21" i="7"/>
  <c r="O44" i="6" s="1"/>
  <c r="M34" i="6"/>
  <c r="N21" i="7"/>
  <c r="AN21" i="7"/>
  <c r="AM44" i="6" s="1"/>
  <c r="AJ21" i="7"/>
  <c r="AI44" i="6" s="1"/>
  <c r="AL21" i="7"/>
  <c r="AK44" i="6" s="1"/>
  <c r="AI21" i="7"/>
  <c r="AH44" i="6" s="1"/>
  <c r="S21" i="7"/>
  <c r="R44" i="6" s="1"/>
  <c r="U21" i="7"/>
  <c r="T44" i="6" s="1"/>
  <c r="AE21" i="7"/>
  <c r="AD44" i="6" s="1"/>
  <c r="AD21" i="7"/>
  <c r="AC44" i="6" s="1"/>
  <c r="Z21" i="7"/>
  <c r="Y44" i="6" s="1"/>
  <c r="AH21" i="7"/>
  <c r="AG44" i="6" s="1"/>
  <c r="AQ21" i="7"/>
  <c r="AP44" i="6" s="1"/>
  <c r="AM21" i="7"/>
  <c r="AL44" i="6" s="1"/>
  <c r="AF21" i="7"/>
  <c r="AE44" i="6" s="1"/>
  <c r="AO21" i="7"/>
  <c r="AN44" i="6" s="1"/>
  <c r="G20" i="7"/>
  <c r="E20" i="7" s="1"/>
  <c r="AP21" i="7"/>
  <c r="AO44" i="6" s="1"/>
  <c r="AC21" i="7"/>
  <c r="AB44" i="6" s="1"/>
  <c r="W21" i="7"/>
  <c r="V44" i="6" s="1"/>
  <c r="T21" i="7"/>
  <c r="S44" i="6" s="1"/>
  <c r="AG21" i="7"/>
  <c r="AF44" i="6" s="1"/>
  <c r="Y21" i="7"/>
  <c r="X44" i="6" s="1"/>
  <c r="X21" i="7"/>
  <c r="W44" i="6" s="1"/>
  <c r="AB21" i="7"/>
  <c r="AA44" i="6" s="1"/>
  <c r="AK21" i="7"/>
  <c r="AJ44" i="6" s="1"/>
  <c r="AA21" i="7"/>
  <c r="Z44" i="6" s="1"/>
  <c r="V21" i="7"/>
  <c r="U44" i="6" s="1"/>
  <c r="Q34" i="6"/>
  <c r="R21" i="7"/>
  <c r="Q44" i="6" s="1"/>
  <c r="P33" i="6"/>
  <c r="Q15" i="7"/>
  <c r="Q36" i="6"/>
  <c r="R33" i="7"/>
  <c r="Q46" i="6" s="1"/>
  <c r="Q38" i="6"/>
  <c r="AM114" i="7"/>
  <c r="AL48" i="6" s="1"/>
  <c r="BZ114" i="7"/>
  <c r="CE114" i="7"/>
  <c r="BI114" i="7"/>
  <c r="AI114" i="7"/>
  <c r="AH48" i="6" s="1"/>
  <c r="AR114" i="7"/>
  <c r="BE114" i="7"/>
  <c r="BL114" i="7"/>
  <c r="AE114" i="7"/>
  <c r="AD48" i="6" s="1"/>
  <c r="BR114" i="7"/>
  <c r="AQ114" i="7"/>
  <c r="AP48" i="6" s="1"/>
  <c r="BA114" i="7"/>
  <c r="CD114" i="7"/>
  <c r="AJ114" i="7"/>
  <c r="AI48" i="6" s="1"/>
  <c r="AW114" i="7"/>
  <c r="BD114" i="7"/>
  <c r="CI114" i="7"/>
  <c r="W114" i="7"/>
  <c r="V48" i="6" s="1"/>
  <c r="BJ114" i="7"/>
  <c r="BV114" i="7"/>
  <c r="AS114" i="7"/>
  <c r="AX114" i="7"/>
  <c r="AB114" i="7"/>
  <c r="AA48" i="6" s="1"/>
  <c r="AO114" i="7"/>
  <c r="AN48" i="6" s="1"/>
  <c r="AV114" i="7"/>
  <c r="S114" i="7"/>
  <c r="R48" i="6" s="1"/>
  <c r="T114" i="7"/>
  <c r="S48" i="6" s="1"/>
  <c r="CA114" i="7"/>
  <c r="BW114" i="7"/>
  <c r="BB114" i="7"/>
  <c r="AP114" i="7"/>
  <c r="AO48" i="6" s="1"/>
  <c r="AK114" i="7"/>
  <c r="AJ48" i="6" s="1"/>
  <c r="CF114" i="7"/>
  <c r="AA114" i="7"/>
  <c r="Z48" i="6" s="1"/>
  <c r="AG114" i="7"/>
  <c r="AF48" i="6" s="1"/>
  <c r="AN114" i="7"/>
  <c r="AM48" i="6" s="1"/>
  <c r="BS114" i="7"/>
  <c r="AY114" i="7"/>
  <c r="AT114" i="7"/>
  <c r="Z114" i="7"/>
  <c r="Y48" i="6" s="1"/>
  <c r="AC114" i="7"/>
  <c r="AB48" i="6" s="1"/>
  <c r="BX114" i="7"/>
  <c r="BF114" i="7"/>
  <c r="Y114" i="7"/>
  <c r="X48" i="6" s="1"/>
  <c r="AF114" i="7"/>
  <c r="AE48" i="6" s="1"/>
  <c r="BK114" i="7"/>
  <c r="BN114" i="7"/>
  <c r="AL114" i="7"/>
  <c r="AK48" i="6" s="1"/>
  <c r="CG114" i="7"/>
  <c r="U114" i="7"/>
  <c r="T48" i="6" s="1"/>
  <c r="BP114" i="7"/>
  <c r="CC114" i="7"/>
  <c r="CJ114" i="7"/>
  <c r="X114" i="7"/>
  <c r="W48" i="6" s="1"/>
  <c r="G113" i="7"/>
  <c r="R114" i="7"/>
  <c r="BC114" i="7"/>
  <c r="AH114" i="7"/>
  <c r="AG48" i="6" s="1"/>
  <c r="AD114" i="7"/>
  <c r="AC48" i="6" s="1"/>
  <c r="BY114" i="7"/>
  <c r="BO114" i="7"/>
  <c r="BH114" i="7"/>
  <c r="BU114" i="7"/>
  <c r="CB114" i="7"/>
  <c r="AU114" i="7"/>
  <c r="CH114" i="7"/>
  <c r="V114" i="7"/>
  <c r="U48" i="6" s="1"/>
  <c r="BQ114" i="7"/>
  <c r="BG114" i="7"/>
  <c r="AZ114" i="7"/>
  <c r="BM114" i="7"/>
  <c r="BT114" i="7"/>
  <c r="Q33" i="6"/>
  <c r="R15" i="7"/>
  <c r="P34" i="6"/>
  <c r="Q21" i="7"/>
  <c r="P44" i="6" s="1"/>
  <c r="F19" i="5"/>
  <c r="AT31" i="5"/>
  <c r="AT19" i="5" s="1"/>
  <c r="AU31" i="5"/>
  <c r="AU19" i="5" s="1"/>
  <c r="AV31" i="5"/>
  <c r="AV19" i="5" s="1"/>
  <c r="AW31" i="5"/>
  <c r="AW19" i="5" s="1"/>
  <c r="AX31" i="5"/>
  <c r="AX19" i="5" s="1"/>
  <c r="AY31" i="5"/>
  <c r="AY19" i="5" s="1"/>
  <c r="AZ31" i="5"/>
  <c r="AZ19" i="5" s="1"/>
  <c r="BA31" i="5"/>
  <c r="BA19" i="5" s="1"/>
  <c r="BB31" i="5"/>
  <c r="BB19" i="5" s="1"/>
  <c r="BC31" i="5"/>
  <c r="BC19" i="5" s="1"/>
  <c r="BD31" i="5"/>
  <c r="BD19" i="5" s="1"/>
  <c r="BE31" i="5"/>
  <c r="BE19" i="5" s="1"/>
  <c r="BF31" i="5"/>
  <c r="BF19" i="5" s="1"/>
  <c r="BG31" i="5"/>
  <c r="BG19" i="5" s="1"/>
  <c r="BH31" i="5"/>
  <c r="BH19" i="5" s="1"/>
  <c r="BI31" i="5"/>
  <c r="BI19" i="5" s="1"/>
  <c r="BJ31" i="5"/>
  <c r="BJ19" i="5" s="1"/>
  <c r="BK31" i="5"/>
  <c r="BK19" i="5" s="1"/>
  <c r="BL31" i="5"/>
  <c r="BL19" i="5" s="1"/>
  <c r="BM31" i="5"/>
  <c r="BM19" i="5" s="1"/>
  <c r="BN31" i="5"/>
  <c r="BN19" i="5" s="1"/>
  <c r="AB41" i="8"/>
  <c r="AC41" i="8"/>
  <c r="BS31" i="5"/>
  <c r="BS19" i="5" s="1"/>
  <c r="BS16" i="5" s="1"/>
  <c r="AD41" i="8" s="1"/>
  <c r="BT31" i="5"/>
  <c r="BT19" i="5" s="1"/>
  <c r="BT16" i="5" s="1"/>
  <c r="AE41" i="8" s="1"/>
  <c r="BU31" i="5"/>
  <c r="BU19" i="5" s="1"/>
  <c r="BU16" i="5" s="1"/>
  <c r="AF41" i="8" s="1"/>
  <c r="BV31" i="5"/>
  <c r="BV19" i="5" s="1"/>
  <c r="BV16" i="5" s="1"/>
  <c r="AG41" i="8" s="1"/>
  <c r="BW31" i="5"/>
  <c r="BW19" i="5" s="1"/>
  <c r="BW16" i="5" s="1"/>
  <c r="AH41" i="8" s="1"/>
  <c r="BX31" i="5"/>
  <c r="BX19" i="5" s="1"/>
  <c r="BX16" i="5" s="1"/>
  <c r="AI41" i="8" s="1"/>
  <c r="BY31" i="5"/>
  <c r="BY19" i="5" s="1"/>
  <c r="BY16" i="5" s="1"/>
  <c r="AJ41" i="8" s="1"/>
  <c r="BZ31" i="5"/>
  <c r="BZ19" i="5" s="1"/>
  <c r="BZ16" i="5" s="1"/>
  <c r="AK41" i="8" s="1"/>
  <c r="CA31" i="5"/>
  <c r="CA19" i="5" s="1"/>
  <c r="CA16" i="5" s="1"/>
  <c r="AL41" i="8" s="1"/>
  <c r="CB31" i="5"/>
  <c r="CB19" i="5" s="1"/>
  <c r="CB16" i="5" s="1"/>
  <c r="AM41" i="8" s="1"/>
  <c r="CC31" i="5"/>
  <c r="CC19" i="5" s="1"/>
  <c r="CC16" i="5" s="1"/>
  <c r="AN41" i="8" s="1"/>
  <c r="CD31" i="5"/>
  <c r="CD19" i="5" s="1"/>
  <c r="CD16" i="5" s="1"/>
  <c r="AO41" i="8" s="1"/>
  <c r="CE31" i="5"/>
  <c r="CE19" i="5" s="1"/>
  <c r="CE16" i="5" s="1"/>
  <c r="AP41" i="8" s="1"/>
  <c r="R13" i="6" l="1"/>
  <c r="R12" i="6"/>
  <c r="R11" i="6"/>
  <c r="R14" i="6"/>
  <c r="R16" i="6"/>
  <c r="R40" i="6"/>
  <c r="R17" i="6"/>
  <c r="S12" i="6"/>
  <c r="S13" i="6"/>
  <c r="S14" i="6"/>
  <c r="S11" i="6"/>
  <c r="S16" i="6"/>
  <c r="S40" i="6"/>
  <c r="S17" i="6"/>
  <c r="AK52" i="6"/>
  <c r="AI52" i="6"/>
  <c r="AJ52" i="6"/>
  <c r="AE52" i="6"/>
  <c r="AH52" i="6"/>
  <c r="AF52" i="6"/>
  <c r="AG52" i="6"/>
  <c r="AL52" i="6"/>
  <c r="I85" i="113"/>
  <c r="F85" i="113" s="1"/>
  <c r="N38" i="113"/>
  <c r="AG50" i="6"/>
  <c r="H37" i="113"/>
  <c r="AE50" i="6"/>
  <c r="AF50" i="6"/>
  <c r="AM50" i="6"/>
  <c r="AJ50" i="6"/>
  <c r="AO50" i="6"/>
  <c r="Z43" i="6"/>
  <c r="Z15" i="6" s="1"/>
  <c r="U100" i="5"/>
  <c r="U99" i="5" s="1"/>
  <c r="V43" i="6"/>
  <c r="V15" i="6" s="1"/>
  <c r="Q100" i="5"/>
  <c r="Q99" i="5" s="1"/>
  <c r="R43" i="6"/>
  <c r="R15" i="6" s="1"/>
  <c r="M100" i="5"/>
  <c r="M99" i="5" s="1"/>
  <c r="M46" i="6"/>
  <c r="G33" i="7"/>
  <c r="AP15" i="6"/>
  <c r="AE15" i="6"/>
  <c r="AF15" i="6"/>
  <c r="Q11" i="6"/>
  <c r="Q14" i="6"/>
  <c r="Q13" i="6"/>
  <c r="Q12" i="6"/>
  <c r="Q17" i="6"/>
  <c r="Q40" i="6"/>
  <c r="BB48" i="6"/>
  <c r="BB50" i="6" s="1"/>
  <c r="BC117" i="7"/>
  <c r="CE48" i="6"/>
  <c r="CE50" i="6" s="1"/>
  <c r="CF117" i="7"/>
  <c r="AU48" i="6"/>
  <c r="AU50" i="6" s="1"/>
  <c r="AV117" i="7"/>
  <c r="CH48" i="6"/>
  <c r="CH50" i="6" s="1"/>
  <c r="CI117" i="7"/>
  <c r="AL50" i="6"/>
  <c r="W43" i="6"/>
  <c r="W15" i="6" s="1"/>
  <c r="R100" i="5"/>
  <c r="R99" i="5" s="1"/>
  <c r="X43" i="6"/>
  <c r="X15" i="6" s="1"/>
  <c r="S100" i="5"/>
  <c r="S99" i="5" s="1"/>
  <c r="AM15" i="6"/>
  <c r="AI15" i="6"/>
  <c r="AN50" i="6"/>
  <c r="BC48" i="6"/>
  <c r="BC50" i="6" s="1"/>
  <c r="BD117" i="7"/>
  <c r="BK48" i="6"/>
  <c r="BK50" i="6" s="1"/>
  <c r="BL117" i="7"/>
  <c r="Q18" i="6"/>
  <c r="D38" i="6"/>
  <c r="AK15" i="6"/>
  <c r="AA43" i="6"/>
  <c r="AA15" i="6" s="1"/>
  <c r="V100" i="5"/>
  <c r="V99" i="5" s="1"/>
  <c r="T43" i="6"/>
  <c r="T15" i="6" s="1"/>
  <c r="O100" i="5"/>
  <c r="O99" i="5" s="1"/>
  <c r="O71" i="7"/>
  <c r="M43" i="6"/>
  <c r="N71" i="7"/>
  <c r="H100" i="5"/>
  <c r="G15" i="7"/>
  <c r="N117" i="7"/>
  <c r="CH117" i="7"/>
  <c r="CG48" i="6"/>
  <c r="CG50" i="6" s="1"/>
  <c r="BY48" i="6"/>
  <c r="BY50" i="6" s="1"/>
  <c r="BZ117" i="7"/>
  <c r="BS48" i="6"/>
  <c r="BS50" i="6" s="1"/>
  <c r="BT117" i="7"/>
  <c r="Q48" i="6"/>
  <c r="G114" i="7"/>
  <c r="H115" i="7" s="1"/>
  <c r="AS48" i="6"/>
  <c r="AS50" i="6" s="1"/>
  <c r="AT117" i="7"/>
  <c r="AV48" i="6"/>
  <c r="AV50" i="6" s="1"/>
  <c r="AW117" i="7"/>
  <c r="BD48" i="6"/>
  <c r="BD50" i="6" s="1"/>
  <c r="BE117" i="7"/>
  <c r="M44" i="6"/>
  <c r="G21" i="7"/>
  <c r="E21" i="7" s="1"/>
  <c r="L57" i="8"/>
  <c r="O43" i="6"/>
  <c r="O52" i="6" s="1"/>
  <c r="J100" i="5"/>
  <c r="J99" i="5" s="1"/>
  <c r="U43" i="6"/>
  <c r="U15" i="6" s="1"/>
  <c r="P100" i="5"/>
  <c r="P99" i="5" s="1"/>
  <c r="AG15" i="6"/>
  <c r="AO15" i="6"/>
  <c r="AJ15" i="6"/>
  <c r="BP117" i="7"/>
  <c r="BO48" i="6"/>
  <c r="BO50" i="6" s="1"/>
  <c r="BI48" i="6"/>
  <c r="BI50" i="6" s="1"/>
  <c r="BJ117" i="7"/>
  <c r="CD48" i="6"/>
  <c r="CD50" i="6" s="1"/>
  <c r="CE117" i="7"/>
  <c r="Q43" i="6"/>
  <c r="Q15" i="6" s="1"/>
  <c r="L100" i="5"/>
  <c r="L99" i="5" s="1"/>
  <c r="CG117" i="7"/>
  <c r="CF48" i="6"/>
  <c r="CF50" i="6" s="1"/>
  <c r="CB117" i="7"/>
  <c r="CA48" i="6"/>
  <c r="CA50" i="6" s="1"/>
  <c r="AK50" i="6"/>
  <c r="BM117" i="7"/>
  <c r="BL48" i="6"/>
  <c r="BL50" i="6" s="1"/>
  <c r="BU117" i="7"/>
  <c r="BT48" i="6"/>
  <c r="BT50" i="6" s="1"/>
  <c r="E116" i="7"/>
  <c r="E113" i="7"/>
  <c r="BN117" i="7"/>
  <c r="BM48" i="6"/>
  <c r="BM50" i="6" s="1"/>
  <c r="AZ117" i="7"/>
  <c r="AY48" i="6"/>
  <c r="AY50" i="6" s="1"/>
  <c r="BH117" i="7"/>
  <c r="BG48" i="6"/>
  <c r="BG50" i="6" s="1"/>
  <c r="BJ48" i="6"/>
  <c r="BJ50" i="6" s="1"/>
  <c r="BK117" i="7"/>
  <c r="AX48" i="6"/>
  <c r="AX50" i="6" s="1"/>
  <c r="AY117" i="7"/>
  <c r="BA48" i="6"/>
  <c r="BA50" i="6" s="1"/>
  <c r="BB117" i="7"/>
  <c r="AW48" i="6"/>
  <c r="AW50" i="6" s="1"/>
  <c r="AX117" i="7"/>
  <c r="AI50" i="6"/>
  <c r="AQ48" i="6"/>
  <c r="AQ50" i="6" s="1"/>
  <c r="AR117" i="7"/>
  <c r="D34" i="6"/>
  <c r="O12" i="6"/>
  <c r="O14" i="6"/>
  <c r="O13" i="6"/>
  <c r="O11" i="6"/>
  <c r="O17" i="6"/>
  <c r="O40" i="6"/>
  <c r="I100" i="5"/>
  <c r="I99" i="5" s="1"/>
  <c r="N43" i="6"/>
  <c r="O117" i="7"/>
  <c r="AN15" i="6"/>
  <c r="AH15" i="6"/>
  <c r="AL15" i="6"/>
  <c r="M14" i="6"/>
  <c r="M13" i="6"/>
  <c r="M12" i="6"/>
  <c r="M11" i="6"/>
  <c r="M16" i="6"/>
  <c r="D33" i="6"/>
  <c r="M40" i="6"/>
  <c r="M17" i="6"/>
  <c r="BE48" i="6"/>
  <c r="BE50" i="6" s="1"/>
  <c r="BF117" i="7"/>
  <c r="BQ48" i="6"/>
  <c r="BQ50" i="6" s="1"/>
  <c r="BR117" i="7"/>
  <c r="AT48" i="6"/>
  <c r="AT50" i="6" s="1"/>
  <c r="AU117" i="7"/>
  <c r="BG117" i="7"/>
  <c r="BF48" i="6"/>
  <c r="BF50" i="6" s="1"/>
  <c r="BO117" i="7"/>
  <c r="BN48" i="6"/>
  <c r="BN50" i="6" s="1"/>
  <c r="CI48" i="6"/>
  <c r="CI50" i="6" s="1"/>
  <c r="CJ117" i="7"/>
  <c r="BS117" i="7"/>
  <c r="BR48" i="6"/>
  <c r="BR50" i="6" s="1"/>
  <c r="AS117" i="7"/>
  <c r="AR48" i="6"/>
  <c r="AR50" i="6" s="1"/>
  <c r="P43" i="6"/>
  <c r="P52" i="6" s="1"/>
  <c r="K100" i="5"/>
  <c r="K99" i="5" s="1"/>
  <c r="N44" i="6"/>
  <c r="M57" i="8"/>
  <c r="M56" i="8" s="1"/>
  <c r="N13" i="6"/>
  <c r="N14" i="6"/>
  <c r="N12" i="6"/>
  <c r="N11" i="6"/>
  <c r="N16" i="6"/>
  <c r="N17" i="6"/>
  <c r="N40" i="6"/>
  <c r="S43" i="6"/>
  <c r="S15" i="6" s="1"/>
  <c r="N100" i="5"/>
  <c r="N99" i="5" s="1"/>
  <c r="AC43" i="6"/>
  <c r="AC15" i="6" s="1"/>
  <c r="X100" i="5"/>
  <c r="X99" i="5" s="1"/>
  <c r="AB43" i="6"/>
  <c r="AB15" i="6" s="1"/>
  <c r="W100" i="5"/>
  <c r="W99" i="5" s="1"/>
  <c r="AP50" i="6"/>
  <c r="BW48" i="6"/>
  <c r="BW50" i="6" s="1"/>
  <c r="BX117" i="7"/>
  <c r="BW117" i="7"/>
  <c r="BV48" i="6"/>
  <c r="BV50" i="6" s="1"/>
  <c r="CC48" i="6"/>
  <c r="CC50" i="6" s="1"/>
  <c r="CD117" i="7"/>
  <c r="AH50" i="6"/>
  <c r="BQ117" i="7"/>
  <c r="BP48" i="6"/>
  <c r="BP50" i="6" s="1"/>
  <c r="BX48" i="6"/>
  <c r="BX50" i="6" s="1"/>
  <c r="BY117" i="7"/>
  <c r="CB48" i="6"/>
  <c r="CB50" i="6" s="1"/>
  <c r="CC117" i="7"/>
  <c r="CA117" i="7"/>
  <c r="BZ48" i="6"/>
  <c r="BZ50" i="6" s="1"/>
  <c r="BU48" i="6"/>
  <c r="BU50" i="6" s="1"/>
  <c r="BV117" i="7"/>
  <c r="AZ48" i="6"/>
  <c r="AZ50" i="6" s="1"/>
  <c r="BA117" i="7"/>
  <c r="BH48" i="6"/>
  <c r="BH50" i="6" s="1"/>
  <c r="BI117" i="7"/>
  <c r="P11" i="6"/>
  <c r="P14" i="6"/>
  <c r="P13" i="6"/>
  <c r="P12" i="6"/>
  <c r="P40" i="6"/>
  <c r="P17" i="6"/>
  <c r="Y43" i="6"/>
  <c r="Y15" i="6" s="1"/>
  <c r="T100" i="5"/>
  <c r="T99" i="5" s="1"/>
  <c r="AD43" i="6"/>
  <c r="AD15" i="6" s="1"/>
  <c r="Y100" i="5"/>
  <c r="Y99" i="5" s="1"/>
  <c r="R37" i="113"/>
  <c r="S37" i="113"/>
  <c r="P37" i="113"/>
  <c r="Q37" i="113"/>
  <c r="O37" i="113"/>
  <c r="T37" i="113"/>
  <c r="Y93" i="5"/>
  <c r="AA41" i="8"/>
  <c r="X93" i="5"/>
  <c r="Z41" i="8"/>
  <c r="E19" i="5"/>
  <c r="E42" i="8"/>
  <c r="F42" i="113"/>
  <c r="CH19" i="5"/>
  <c r="N52" i="6" l="1"/>
  <c r="M52" i="6"/>
  <c r="T52" i="6"/>
  <c r="Y52" i="6"/>
  <c r="S52" i="6"/>
  <c r="AD52" i="6"/>
  <c r="AC52" i="6"/>
  <c r="AB52" i="6"/>
  <c r="U52" i="6"/>
  <c r="Q52" i="6"/>
  <c r="I84" i="113"/>
  <c r="R52" i="6"/>
  <c r="X52" i="6"/>
  <c r="G85" i="113"/>
  <c r="Z52" i="6"/>
  <c r="W52" i="6"/>
  <c r="V52" i="6"/>
  <c r="AA52" i="6"/>
  <c r="R50" i="6"/>
  <c r="X50" i="6"/>
  <c r="U50" i="6"/>
  <c r="Z50" i="6"/>
  <c r="G36" i="113"/>
  <c r="G34" i="113" s="1"/>
  <c r="F37" i="113"/>
  <c r="W50" i="6"/>
  <c r="AA50" i="6"/>
  <c r="V50" i="6"/>
  <c r="D44" i="6"/>
  <c r="BH63" i="6"/>
  <c r="BG11" i="9"/>
  <c r="BG10" i="9" s="1"/>
  <c r="BI118" i="7"/>
  <c r="AR63" i="6"/>
  <c r="AS118" i="7"/>
  <c r="AQ11" i="9"/>
  <c r="AQ10" i="9" s="1"/>
  <c r="BZ63" i="6"/>
  <c r="CA118" i="7"/>
  <c r="BY11" i="9"/>
  <c r="BY10" i="9" s="1"/>
  <c r="AC50" i="6"/>
  <c r="N15" i="6"/>
  <c r="N10" i="6" s="1"/>
  <c r="M33" i="9"/>
  <c r="N50" i="6"/>
  <c r="AX63" i="6"/>
  <c r="AW11" i="9"/>
  <c r="AW10" i="9" s="1"/>
  <c r="AY118" i="7"/>
  <c r="AY63" i="6"/>
  <c r="AZ118" i="7"/>
  <c r="AX11" i="9"/>
  <c r="AX10" i="9" s="1"/>
  <c r="BL63" i="6"/>
  <c r="BM118" i="7"/>
  <c r="BK11" i="9"/>
  <c r="BK10" i="9" s="1"/>
  <c r="T50" i="6"/>
  <c r="BK63" i="6"/>
  <c r="BL118" i="7"/>
  <c r="BJ11" i="9"/>
  <c r="BJ10" i="9" s="1"/>
  <c r="BE63" i="6"/>
  <c r="BF118" i="7"/>
  <c r="BD11" i="9"/>
  <c r="BD10" i="9" s="1"/>
  <c r="AQ63" i="6"/>
  <c r="AR118" i="7"/>
  <c r="AP11" i="9"/>
  <c r="AP10" i="9" s="1"/>
  <c r="Y50" i="6"/>
  <c r="CE63" i="6"/>
  <c r="CF118" i="7"/>
  <c r="CD11" i="9"/>
  <c r="CD10" i="9" s="1"/>
  <c r="CC63" i="6"/>
  <c r="CB11" i="9"/>
  <c r="CB10" i="9" s="1"/>
  <c r="CD118" i="7"/>
  <c r="CB63" i="6"/>
  <c r="CC118" i="7"/>
  <c r="CA11" i="9"/>
  <c r="CA10" i="9" s="1"/>
  <c r="BJ63" i="6"/>
  <c r="BK118" i="7"/>
  <c r="BI11" i="9"/>
  <c r="BI10" i="9" s="1"/>
  <c r="BM63" i="6"/>
  <c r="BL11" i="9"/>
  <c r="BL10" i="9" s="1"/>
  <c r="BN118" i="7"/>
  <c r="CD63" i="6"/>
  <c r="CC11" i="9"/>
  <c r="CC10" i="9" s="1"/>
  <c r="CE118" i="7"/>
  <c r="BD63" i="6"/>
  <c r="BE118" i="7"/>
  <c r="BC11" i="9"/>
  <c r="BC10" i="9" s="1"/>
  <c r="Q50" i="6"/>
  <c r="D48" i="6"/>
  <c r="CG63" i="6"/>
  <c r="CF11" i="9"/>
  <c r="CF10" i="9" s="1"/>
  <c r="CH118" i="7"/>
  <c r="BC63" i="6"/>
  <c r="BB11" i="9"/>
  <c r="BB10" i="9" s="1"/>
  <c r="BD118" i="7"/>
  <c r="BS63" i="6"/>
  <c r="BR11" i="9"/>
  <c r="BR10" i="9" s="1"/>
  <c r="BT118" i="7"/>
  <c r="M63" i="6"/>
  <c r="L11" i="9"/>
  <c r="BB63" i="6"/>
  <c r="BC118" i="7"/>
  <c r="BA11" i="9"/>
  <c r="BA10" i="9" s="1"/>
  <c r="AW63" i="6"/>
  <c r="AX118" i="7"/>
  <c r="AV11" i="9"/>
  <c r="AV10" i="9" s="1"/>
  <c r="CA63" i="6"/>
  <c r="BZ11" i="9"/>
  <c r="BZ10" i="9" s="1"/>
  <c r="CB118" i="7"/>
  <c r="BI63" i="6"/>
  <c r="BH11" i="9"/>
  <c r="BH10" i="9" s="1"/>
  <c r="BJ118" i="7"/>
  <c r="AV63" i="6"/>
  <c r="AU11" i="9"/>
  <c r="AU10" i="9" s="1"/>
  <c r="AW118" i="7"/>
  <c r="AD50" i="6"/>
  <c r="AT63" i="6"/>
  <c r="AU118" i="7"/>
  <c r="AS11" i="9"/>
  <c r="AS10" i="9" s="1"/>
  <c r="BW63" i="6"/>
  <c r="BX118" i="7"/>
  <c r="BV11" i="9"/>
  <c r="BV10" i="9" s="1"/>
  <c r="BR63" i="6"/>
  <c r="BQ11" i="9"/>
  <c r="BQ10" i="9" s="1"/>
  <c r="BS118" i="7"/>
  <c r="AB50" i="6"/>
  <c r="H99" i="5"/>
  <c r="D99" i="5" s="1"/>
  <c r="D100" i="5"/>
  <c r="CH63" i="6"/>
  <c r="CG11" i="9"/>
  <c r="CG10" i="9" s="1"/>
  <c r="CI118" i="7"/>
  <c r="P15" i="6"/>
  <c r="P50" i="6"/>
  <c r="AZ63" i="6"/>
  <c r="AY11" i="9"/>
  <c r="AY10" i="9" s="1"/>
  <c r="BA118" i="7"/>
  <c r="BF63" i="6"/>
  <c r="BE11" i="9"/>
  <c r="BE10" i="9" s="1"/>
  <c r="BG118" i="7"/>
  <c r="BX63" i="6"/>
  <c r="BW11" i="9"/>
  <c r="BW10" i="9" s="1"/>
  <c r="BY118" i="7"/>
  <c r="BU63" i="6"/>
  <c r="BT11" i="9"/>
  <c r="BT10" i="9" s="1"/>
  <c r="BV118" i="7"/>
  <c r="CI63" i="6"/>
  <c r="CJ118" i="7"/>
  <c r="CH11" i="9"/>
  <c r="CH10" i="9" s="1"/>
  <c r="BQ63" i="6"/>
  <c r="BP11" i="9"/>
  <c r="BP10" i="9" s="1"/>
  <c r="BR118" i="7"/>
  <c r="BA63" i="6"/>
  <c r="BB118" i="7"/>
  <c r="AZ11" i="9"/>
  <c r="AZ10" i="9" s="1"/>
  <c r="BG63" i="6"/>
  <c r="BH118" i="7"/>
  <c r="BF11" i="9"/>
  <c r="BF10" i="9" s="1"/>
  <c r="BT63" i="6"/>
  <c r="BU118" i="7"/>
  <c r="BS11" i="9"/>
  <c r="BS10" i="9" s="1"/>
  <c r="CF63" i="6"/>
  <c r="CG118" i="7"/>
  <c r="CE11" i="9"/>
  <c r="CE10" i="9" s="1"/>
  <c r="O15" i="6"/>
  <c r="O50" i="6"/>
  <c r="BY63" i="6"/>
  <c r="BX11" i="9"/>
  <c r="BX10" i="9" s="1"/>
  <c r="BZ118" i="7"/>
  <c r="BN63" i="6"/>
  <c r="BO118" i="7"/>
  <c r="BM11" i="9"/>
  <c r="BM10" i="9" s="1"/>
  <c r="BV63" i="6"/>
  <c r="BU11" i="9"/>
  <c r="BU10" i="9" s="1"/>
  <c r="BW118" i="7"/>
  <c r="BP63" i="6"/>
  <c r="BQ118" i="7"/>
  <c r="BO11" i="9"/>
  <c r="BO10" i="9" s="1"/>
  <c r="N63" i="6"/>
  <c r="M11" i="9"/>
  <c r="M10" i="9" s="1"/>
  <c r="BO63" i="6"/>
  <c r="BN11" i="9"/>
  <c r="BN10" i="9" s="1"/>
  <c r="BP118" i="7"/>
  <c r="L56" i="8"/>
  <c r="C57" i="8"/>
  <c r="AS63" i="6"/>
  <c r="AT118" i="7"/>
  <c r="AR11" i="9"/>
  <c r="AR10" i="9" s="1"/>
  <c r="M15" i="6"/>
  <c r="M10" i="6" s="1"/>
  <c r="L33" i="9"/>
  <c r="D43" i="6"/>
  <c r="M50" i="6"/>
  <c r="N95" i="5"/>
  <c r="E18" i="6"/>
  <c r="I102" i="113" s="1"/>
  <c r="G102" i="113" s="1"/>
  <c r="AU63" i="6"/>
  <c r="AT11" i="9"/>
  <c r="AT10" i="9" s="1"/>
  <c r="AV118" i="7"/>
  <c r="S50" i="6"/>
  <c r="N37" i="113"/>
  <c r="C42" i="8"/>
  <c r="L55" i="8" l="1"/>
  <c r="M55" i="8"/>
  <c r="C56" i="8"/>
  <c r="L17" i="9"/>
  <c r="L75" i="8"/>
  <c r="L74" i="8" s="1"/>
  <c r="J97" i="5"/>
  <c r="P109" i="113"/>
  <c r="L10" i="9"/>
  <c r="M75" i="8"/>
  <c r="M74" i="8" s="1"/>
  <c r="M17" i="9"/>
  <c r="K97" i="5"/>
  <c r="F33" i="5"/>
  <c r="AT45" i="5"/>
  <c r="AT33" i="5" s="1"/>
  <c r="AT18" i="5" s="1"/>
  <c r="AT16" i="5" s="1"/>
  <c r="AU45" i="5"/>
  <c r="AU33" i="5" s="1"/>
  <c r="AU18" i="5" s="1"/>
  <c r="AU16" i="5" s="1"/>
  <c r="AV45" i="5"/>
  <c r="AV33" i="5" s="1"/>
  <c r="AV18" i="5" s="1"/>
  <c r="AV16" i="5" s="1"/>
  <c r="AW45" i="5"/>
  <c r="AW33" i="5" s="1"/>
  <c r="AW18" i="5" s="1"/>
  <c r="AW16" i="5" s="1"/>
  <c r="AX45" i="5"/>
  <c r="AX33" i="5" s="1"/>
  <c r="AX18" i="5" s="1"/>
  <c r="AX16" i="5" s="1"/>
  <c r="AY45" i="5"/>
  <c r="AY33" i="5" s="1"/>
  <c r="AY18" i="5" s="1"/>
  <c r="AY16" i="5" s="1"/>
  <c r="AZ45" i="5"/>
  <c r="AZ33" i="5" s="1"/>
  <c r="AZ18" i="5" s="1"/>
  <c r="AZ16" i="5" s="1"/>
  <c r="BA45" i="5"/>
  <c r="BA33" i="5" s="1"/>
  <c r="BA18" i="5" s="1"/>
  <c r="BA16" i="5" s="1"/>
  <c r="BB45" i="5"/>
  <c r="BB33" i="5" s="1"/>
  <c r="BB18" i="5" s="1"/>
  <c r="BB16" i="5" s="1"/>
  <c r="BC45" i="5"/>
  <c r="BC33" i="5" s="1"/>
  <c r="BC18" i="5" s="1"/>
  <c r="BC16" i="5" s="1"/>
  <c r="BD45" i="5"/>
  <c r="BD33" i="5" s="1"/>
  <c r="BD18" i="5" s="1"/>
  <c r="BD16" i="5" s="1"/>
  <c r="BE45" i="5"/>
  <c r="BE33" i="5" s="1"/>
  <c r="BE18" i="5" s="1"/>
  <c r="BE16" i="5" s="1"/>
  <c r="BF45" i="5"/>
  <c r="BF33" i="5" s="1"/>
  <c r="BF18" i="5" s="1"/>
  <c r="BF16" i="5" s="1"/>
  <c r="BG45" i="5"/>
  <c r="BG33" i="5" s="1"/>
  <c r="BG18" i="5" s="1"/>
  <c r="BG16" i="5" s="1"/>
  <c r="BH45" i="5"/>
  <c r="BH33" i="5" s="1"/>
  <c r="BH18" i="5" s="1"/>
  <c r="BH16" i="5" s="1"/>
  <c r="BI45" i="5"/>
  <c r="BI33" i="5" s="1"/>
  <c r="BI18" i="5" s="1"/>
  <c r="BI16" i="5" s="1"/>
  <c r="BJ45" i="5"/>
  <c r="BJ33" i="5" s="1"/>
  <c r="BJ18" i="5" s="1"/>
  <c r="BJ16" i="5" s="1"/>
  <c r="BK45" i="5"/>
  <c r="BK33" i="5" s="1"/>
  <c r="BK18" i="5" s="1"/>
  <c r="BK16" i="5" s="1"/>
  <c r="BL45" i="5"/>
  <c r="BL33" i="5" s="1"/>
  <c r="BL18" i="5" s="1"/>
  <c r="BL16" i="5" s="1"/>
  <c r="BM45" i="5"/>
  <c r="BM33" i="5" s="1"/>
  <c r="BM18" i="5" s="1"/>
  <c r="BM16" i="5" s="1"/>
  <c r="BN45" i="5"/>
  <c r="BN33" i="5" s="1"/>
  <c r="BN18" i="5" s="1"/>
  <c r="BN16" i="5" s="1"/>
  <c r="BS45" i="5"/>
  <c r="BS33" i="5" s="1"/>
  <c r="BT45" i="5"/>
  <c r="BT33" i="5" s="1"/>
  <c r="BU45" i="5"/>
  <c r="BU33" i="5" s="1"/>
  <c r="BV45" i="5"/>
  <c r="BV33" i="5" s="1"/>
  <c r="BW45" i="5"/>
  <c r="BW33" i="5" s="1"/>
  <c r="BX45" i="5"/>
  <c r="BX33" i="5" s="1"/>
  <c r="BY45" i="5"/>
  <c r="BY33" i="5" s="1"/>
  <c r="BZ45" i="5"/>
  <c r="BZ33" i="5" s="1"/>
  <c r="CA45" i="5"/>
  <c r="CA33" i="5" s="1"/>
  <c r="CB45" i="5"/>
  <c r="CB33" i="5" s="1"/>
  <c r="CC45" i="5"/>
  <c r="CC33" i="5" s="1"/>
  <c r="CD45" i="5"/>
  <c r="CD33" i="5" s="1"/>
  <c r="CE45" i="5"/>
  <c r="CE33" i="5" s="1"/>
  <c r="P114" i="113" l="1"/>
  <c r="C55" i="8"/>
  <c r="H41" i="8"/>
  <c r="F38" i="113"/>
  <c r="F18" i="5"/>
  <c r="I93" i="5"/>
  <c r="K41" i="8"/>
  <c r="O93" i="5"/>
  <c r="Q41" i="8"/>
  <c r="G93" i="5"/>
  <c r="I41" i="8"/>
  <c r="P93" i="5"/>
  <c r="R41" i="8"/>
  <c r="V93" i="5"/>
  <c r="X41" i="8"/>
  <c r="N93" i="5"/>
  <c r="P41" i="8"/>
  <c r="F93" i="5"/>
  <c r="G41" i="8"/>
  <c r="H93" i="5"/>
  <c r="J41" i="8"/>
  <c r="U93" i="5"/>
  <c r="W41" i="8"/>
  <c r="T93" i="5"/>
  <c r="V41" i="8"/>
  <c r="L93" i="5"/>
  <c r="N41" i="8"/>
  <c r="E93" i="5"/>
  <c r="F41" i="8"/>
  <c r="W93" i="5"/>
  <c r="Y41" i="8"/>
  <c r="M93" i="5"/>
  <c r="O41" i="8"/>
  <c r="S93" i="5"/>
  <c r="U41" i="8"/>
  <c r="K93" i="5"/>
  <c r="M41" i="8"/>
  <c r="Q93" i="5"/>
  <c r="S41" i="8"/>
  <c r="R93" i="5"/>
  <c r="T41" i="8"/>
  <c r="J93" i="5"/>
  <c r="L41" i="8"/>
  <c r="E33" i="5"/>
  <c r="CH33" i="5"/>
  <c r="U43" i="7"/>
  <c r="U44" i="7" s="1"/>
  <c r="V43" i="7"/>
  <c r="W43" i="7"/>
  <c r="W44" i="7" s="1"/>
  <c r="X43" i="7"/>
  <c r="X44" i="7" s="1"/>
  <c r="W116" i="7" l="1"/>
  <c r="V56" i="6" s="1"/>
  <c r="U116" i="7"/>
  <c r="T56" i="6" s="1"/>
  <c r="X116" i="7"/>
  <c r="W56" i="6" s="1"/>
  <c r="D93" i="5"/>
  <c r="A18" i="5"/>
  <c r="F16" i="5"/>
  <c r="F15" i="5" s="1"/>
  <c r="U45" i="7"/>
  <c r="V44" i="7"/>
  <c r="BO15" i="5" l="1"/>
  <c r="BP15" i="5"/>
  <c r="BQ15" i="5"/>
  <c r="BR15" i="5"/>
  <c r="W16" i="6"/>
  <c r="D36" i="6"/>
  <c r="D56" i="6" s="1"/>
  <c r="T16" i="6"/>
  <c r="U16" i="6"/>
  <c r="V16" i="6"/>
  <c r="CH16" i="5"/>
  <c r="AS41" i="8" s="1"/>
  <c r="C41" i="8" s="1"/>
  <c r="A16" i="5"/>
  <c r="E16" i="5"/>
  <c r="F36" i="113"/>
  <c r="F34" i="113"/>
  <c r="AJ45" i="7"/>
  <c r="V116" i="7"/>
  <c r="U56" i="6" s="1"/>
  <c r="AQ45" i="7"/>
  <c r="AI45" i="7"/>
  <c r="AP45" i="7"/>
  <c r="AA45" i="7"/>
  <c r="AH45" i="7"/>
  <c r="AO45" i="7"/>
  <c r="AK45" i="7"/>
  <c r="V45" i="7"/>
  <c r="Z45" i="7"/>
  <c r="AG45" i="7"/>
  <c r="AM45" i="7"/>
  <c r="AL45" i="7"/>
  <c r="AC45" i="7"/>
  <c r="AB45" i="7"/>
  <c r="Y45" i="7"/>
  <c r="AN45" i="7"/>
  <c r="AE45" i="7"/>
  <c r="AD45" i="7"/>
  <c r="AF45" i="7"/>
  <c r="G44" i="7"/>
  <c r="E44" i="7" s="1"/>
  <c r="W45" i="7"/>
  <c r="X45" i="7"/>
  <c r="D40" i="6" l="1"/>
  <c r="T57" i="6"/>
  <c r="U57" i="6"/>
  <c r="U58" i="6" s="1"/>
  <c r="U59" i="6" s="1"/>
  <c r="U60" i="6" s="1"/>
  <c r="D46" i="6"/>
  <c r="D50" i="6" s="1"/>
  <c r="BY15" i="5"/>
  <c r="CA15" i="5"/>
  <c r="BL15" i="5"/>
  <c r="BT15" i="5"/>
  <c r="BC15" i="5"/>
  <c r="E15" i="5"/>
  <c r="F10" i="5"/>
  <c r="BV15" i="5"/>
  <c r="BF15" i="5"/>
  <c r="AU15" i="5"/>
  <c r="G33" i="113"/>
  <c r="BM15" i="5"/>
  <c r="CD15" i="5"/>
  <c r="AV15" i="5"/>
  <c r="AT15" i="5"/>
  <c r="CB15" i="5"/>
  <c r="AX15" i="5"/>
  <c r="CE15" i="5"/>
  <c r="BN15" i="5"/>
  <c r="BS15" i="5"/>
  <c r="BE15" i="5"/>
  <c r="AY15" i="5"/>
  <c r="BW15" i="5"/>
  <c r="BZ15" i="5"/>
  <c r="BK15" i="5"/>
  <c r="BA15" i="5"/>
  <c r="CC15" i="5"/>
  <c r="BJ15" i="5"/>
  <c r="AW15" i="5"/>
  <c r="BD15" i="5"/>
  <c r="I82" i="113"/>
  <c r="BG15" i="5"/>
  <c r="BI15" i="5"/>
  <c r="BH15" i="5"/>
  <c r="BB15" i="5"/>
  <c r="BX15" i="5"/>
  <c r="AZ15" i="5"/>
  <c r="BU15" i="5"/>
  <c r="G45" i="7"/>
  <c r="D63" i="6" l="1"/>
  <c r="V57" i="6"/>
  <c r="V58" i="6" s="1"/>
  <c r="V59" i="6" s="1"/>
  <c r="V60" i="6" s="1"/>
  <c r="J57" i="6"/>
  <c r="J58" i="6" s="1"/>
  <c r="J59" i="6" s="1"/>
  <c r="J60" i="6" s="1"/>
  <c r="AW57" i="6"/>
  <c r="AW58" i="6" s="1"/>
  <c r="AW59" i="6" s="1"/>
  <c r="AW60" i="6" s="1"/>
  <c r="AP57" i="6"/>
  <c r="AP58" i="6" s="1"/>
  <c r="AP59" i="6" s="1"/>
  <c r="AP60" i="6" s="1"/>
  <c r="AU57" i="6"/>
  <c r="AU58" i="6" s="1"/>
  <c r="AU59" i="6" s="1"/>
  <c r="AU60" i="6" s="1"/>
  <c r="BI57" i="6"/>
  <c r="BI58" i="6" s="1"/>
  <c r="BI59" i="6" s="1"/>
  <c r="BI60" i="6" s="1"/>
  <c r="AS57" i="6"/>
  <c r="AS58" i="6" s="1"/>
  <c r="AS59" i="6" s="1"/>
  <c r="AS60" i="6" s="1"/>
  <c r="CH57" i="6"/>
  <c r="CH58" i="6" s="1"/>
  <c r="CH59" i="6" s="1"/>
  <c r="CH60" i="6" s="1"/>
  <c r="BY57" i="6"/>
  <c r="BY58" i="6" s="1"/>
  <c r="BY59" i="6" s="1"/>
  <c r="BY60" i="6" s="1"/>
  <c r="CD57" i="6"/>
  <c r="CD58" i="6" s="1"/>
  <c r="CD59" i="6" s="1"/>
  <c r="CD60" i="6" s="1"/>
  <c r="N57" i="6"/>
  <c r="N58" i="6" s="1"/>
  <c r="N59" i="6" s="1"/>
  <c r="N60" i="6" s="1"/>
  <c r="CB57" i="6"/>
  <c r="CB58" i="6" s="1"/>
  <c r="CB59" i="6" s="1"/>
  <c r="CB60" i="6" s="1"/>
  <c r="AC57" i="6"/>
  <c r="AC58" i="6" s="1"/>
  <c r="AC59" i="6" s="1"/>
  <c r="AC60" i="6" s="1"/>
  <c r="BV57" i="6"/>
  <c r="BV58" i="6" s="1"/>
  <c r="BV59" i="6" s="1"/>
  <c r="BV60" i="6" s="1"/>
  <c r="BC57" i="6"/>
  <c r="BC58" i="6" s="1"/>
  <c r="BC59" i="6" s="1"/>
  <c r="BC60" i="6" s="1"/>
  <c r="BU57" i="6"/>
  <c r="BU58" i="6" s="1"/>
  <c r="BU59" i="6" s="1"/>
  <c r="BU60" i="6" s="1"/>
  <c r="AT57" i="6"/>
  <c r="AT58" i="6" s="1"/>
  <c r="AT59" i="6" s="1"/>
  <c r="AT60" i="6" s="1"/>
  <c r="CA57" i="6"/>
  <c r="CA58" i="6" s="1"/>
  <c r="CA59" i="6" s="1"/>
  <c r="CA60" i="6" s="1"/>
  <c r="BT57" i="6"/>
  <c r="BT58" i="6" s="1"/>
  <c r="BT59" i="6" s="1"/>
  <c r="BT60" i="6" s="1"/>
  <c r="H57" i="6"/>
  <c r="H58" i="6" s="1"/>
  <c r="H59" i="6" s="1"/>
  <c r="H60" i="6" s="1"/>
  <c r="AX57" i="6"/>
  <c r="AX58" i="6" s="1"/>
  <c r="AX59" i="6" s="1"/>
  <c r="AX60" i="6" s="1"/>
  <c r="AI57" i="6"/>
  <c r="AI58" i="6" s="1"/>
  <c r="AI59" i="6" s="1"/>
  <c r="AI60" i="6" s="1"/>
  <c r="BJ57" i="6"/>
  <c r="BJ58" i="6" s="1"/>
  <c r="BJ59" i="6" s="1"/>
  <c r="BJ60" i="6" s="1"/>
  <c r="CE57" i="6"/>
  <c r="CE58" i="6" s="1"/>
  <c r="CE59" i="6" s="1"/>
  <c r="CE60" i="6" s="1"/>
  <c r="BL57" i="6"/>
  <c r="BL58" i="6" s="1"/>
  <c r="BL59" i="6" s="1"/>
  <c r="BL60" i="6" s="1"/>
  <c r="AO57" i="6"/>
  <c r="AO58" i="6" s="1"/>
  <c r="AO59" i="6" s="1"/>
  <c r="AO60" i="6" s="1"/>
  <c r="AD57" i="6"/>
  <c r="AD58" i="6" s="1"/>
  <c r="AD59" i="6" s="1"/>
  <c r="AD60" i="6" s="1"/>
  <c r="AV57" i="6"/>
  <c r="AV58" i="6" s="1"/>
  <c r="AV59" i="6" s="1"/>
  <c r="AV60" i="6" s="1"/>
  <c r="BE57" i="6"/>
  <c r="BE58" i="6" s="1"/>
  <c r="BE59" i="6" s="1"/>
  <c r="BE60" i="6" s="1"/>
  <c r="BR57" i="6"/>
  <c r="BR58" i="6" s="1"/>
  <c r="BR59" i="6" s="1"/>
  <c r="BR60" i="6" s="1"/>
  <c r="S57" i="6"/>
  <c r="S58" i="6" s="1"/>
  <c r="S59" i="6" s="1"/>
  <c r="S60" i="6" s="1"/>
  <c r="BA57" i="6"/>
  <c r="BA58" i="6" s="1"/>
  <c r="BA59" i="6" s="1"/>
  <c r="BA60" i="6" s="1"/>
  <c r="I57" i="6"/>
  <c r="I58" i="6" s="1"/>
  <c r="I59" i="6" s="1"/>
  <c r="I60" i="6" s="1"/>
  <c r="L57" i="6"/>
  <c r="L58" i="6" s="1"/>
  <c r="L59" i="6" s="1"/>
  <c r="L60" i="6" s="1"/>
  <c r="BG57" i="6"/>
  <c r="BG58" i="6" s="1"/>
  <c r="BG59" i="6" s="1"/>
  <c r="BG60" i="6" s="1"/>
  <c r="M57" i="6"/>
  <c r="M58" i="6" s="1"/>
  <c r="M59" i="6" s="1"/>
  <c r="M60" i="6" s="1"/>
  <c r="AH57" i="6"/>
  <c r="AH58" i="6" s="1"/>
  <c r="AH59" i="6" s="1"/>
  <c r="AH60" i="6" s="1"/>
  <c r="X57" i="6"/>
  <c r="X58" i="6" s="1"/>
  <c r="X59" i="6" s="1"/>
  <c r="X60" i="6" s="1"/>
  <c r="Y57" i="6"/>
  <c r="Y58" i="6" s="1"/>
  <c r="Y59" i="6" s="1"/>
  <c r="Y60" i="6" s="1"/>
  <c r="BD57" i="6"/>
  <c r="BD58" i="6" s="1"/>
  <c r="BD59" i="6" s="1"/>
  <c r="BD60" i="6" s="1"/>
  <c r="CI57" i="6"/>
  <c r="CI58" i="6" s="1"/>
  <c r="CI59" i="6" s="1"/>
  <c r="CI60" i="6" s="1"/>
  <c r="BH57" i="6"/>
  <c r="BH58" i="6" s="1"/>
  <c r="BH59" i="6" s="1"/>
  <c r="BH60" i="6" s="1"/>
  <c r="CF57" i="6"/>
  <c r="CF58" i="6" s="1"/>
  <c r="CF59" i="6" s="1"/>
  <c r="CF60" i="6" s="1"/>
  <c r="AN57" i="6"/>
  <c r="AN58" i="6" s="1"/>
  <c r="AN59" i="6" s="1"/>
  <c r="AN60" i="6" s="1"/>
  <c r="BP57" i="6"/>
  <c r="BP58" i="6" s="1"/>
  <c r="BP59" i="6" s="1"/>
  <c r="BP60" i="6" s="1"/>
  <c r="AQ57" i="6"/>
  <c r="AQ58" i="6" s="1"/>
  <c r="AQ59" i="6" s="1"/>
  <c r="AQ60" i="6" s="1"/>
  <c r="CG57" i="6"/>
  <c r="CG58" i="6" s="1"/>
  <c r="CG59" i="6" s="1"/>
  <c r="CG60" i="6" s="1"/>
  <c r="BF57" i="6"/>
  <c r="BF58" i="6" s="1"/>
  <c r="BF59" i="6" s="1"/>
  <c r="BF60" i="6" s="1"/>
  <c r="AZ57" i="6"/>
  <c r="AZ58" i="6" s="1"/>
  <c r="AZ59" i="6" s="1"/>
  <c r="AZ60" i="6" s="1"/>
  <c r="K57" i="6"/>
  <c r="K58" i="6" s="1"/>
  <c r="K59" i="6" s="1"/>
  <c r="K60" i="6" s="1"/>
  <c r="BN57" i="6"/>
  <c r="BN58" i="6" s="1"/>
  <c r="BN59" i="6" s="1"/>
  <c r="BN60" i="6" s="1"/>
  <c r="AR57" i="6"/>
  <c r="AR58" i="6" s="1"/>
  <c r="AR59" i="6" s="1"/>
  <c r="AR60" i="6" s="1"/>
  <c r="AK57" i="6"/>
  <c r="AK58" i="6" s="1"/>
  <c r="AK59" i="6" s="1"/>
  <c r="AK60" i="6" s="1"/>
  <c r="BO57" i="6"/>
  <c r="BO58" i="6" s="1"/>
  <c r="BO59" i="6" s="1"/>
  <c r="BO60" i="6" s="1"/>
  <c r="AY57" i="6"/>
  <c r="AY58" i="6" s="1"/>
  <c r="AY59" i="6" s="1"/>
  <c r="AY60" i="6" s="1"/>
  <c r="AM57" i="6"/>
  <c r="AM58" i="6" s="1"/>
  <c r="AM59" i="6" s="1"/>
  <c r="AM60" i="6" s="1"/>
  <c r="AL57" i="6"/>
  <c r="AL58" i="6" s="1"/>
  <c r="AL59" i="6" s="1"/>
  <c r="AL60" i="6" s="1"/>
  <c r="AE57" i="6"/>
  <c r="AE58" i="6" s="1"/>
  <c r="AE59" i="6" s="1"/>
  <c r="AE60" i="6" s="1"/>
  <c r="BB57" i="6"/>
  <c r="BB58" i="6" s="1"/>
  <c r="BB59" i="6" s="1"/>
  <c r="BB60" i="6" s="1"/>
  <c r="BZ57" i="6"/>
  <c r="BZ58" i="6" s="1"/>
  <c r="BZ59" i="6" s="1"/>
  <c r="BZ60" i="6" s="1"/>
  <c r="AJ57" i="6"/>
  <c r="AJ58" i="6" s="1"/>
  <c r="AJ59" i="6" s="1"/>
  <c r="AJ60" i="6" s="1"/>
  <c r="BS57" i="6"/>
  <c r="BS58" i="6" s="1"/>
  <c r="BS59" i="6" s="1"/>
  <c r="BS60" i="6" s="1"/>
  <c r="BQ57" i="6"/>
  <c r="BQ58" i="6" s="1"/>
  <c r="BQ59" i="6" s="1"/>
  <c r="BQ60" i="6" s="1"/>
  <c r="R57" i="6"/>
  <c r="R58" i="6" s="1"/>
  <c r="R59" i="6" s="1"/>
  <c r="R60" i="6" s="1"/>
  <c r="AF57" i="6"/>
  <c r="AF58" i="6" s="1"/>
  <c r="AF59" i="6" s="1"/>
  <c r="AF60" i="6" s="1"/>
  <c r="Z57" i="6"/>
  <c r="Z58" i="6" s="1"/>
  <c r="Z59" i="6" s="1"/>
  <c r="Z60" i="6" s="1"/>
  <c r="BX57" i="6"/>
  <c r="BX58" i="6" s="1"/>
  <c r="BX59" i="6" s="1"/>
  <c r="BX60" i="6" s="1"/>
  <c r="AG57" i="6"/>
  <c r="AG58" i="6" s="1"/>
  <c r="AG59" i="6" s="1"/>
  <c r="AG60" i="6" s="1"/>
  <c r="CC57" i="6"/>
  <c r="CC58" i="6" s="1"/>
  <c r="CC59" i="6" s="1"/>
  <c r="CC60" i="6" s="1"/>
  <c r="BW57" i="6"/>
  <c r="BW58" i="6" s="1"/>
  <c r="BW59" i="6" s="1"/>
  <c r="BW60" i="6" s="1"/>
  <c r="BK57" i="6"/>
  <c r="BK58" i="6" s="1"/>
  <c r="BK59" i="6" s="1"/>
  <c r="BK60" i="6" s="1"/>
  <c r="AA57" i="6"/>
  <c r="AA58" i="6" s="1"/>
  <c r="AA59" i="6" s="1"/>
  <c r="AA60" i="6" s="1"/>
  <c r="G57" i="6"/>
  <c r="G58" i="6" s="1"/>
  <c r="G59" i="6" s="1"/>
  <c r="G60" i="6" s="1"/>
  <c r="AB57" i="6"/>
  <c r="AB58" i="6" s="1"/>
  <c r="AB59" i="6" s="1"/>
  <c r="AB60" i="6" s="1"/>
  <c r="BM57" i="6"/>
  <c r="BM58" i="6" s="1"/>
  <c r="BM59" i="6" s="1"/>
  <c r="BM60" i="6" s="1"/>
  <c r="W57" i="6"/>
  <c r="W58" i="6" s="1"/>
  <c r="W59" i="6" s="1"/>
  <c r="W60" i="6" s="1"/>
  <c r="I79" i="113"/>
  <c r="BW10" i="5"/>
  <c r="AH40" i="8"/>
  <c r="AH36" i="8" s="1"/>
  <c r="E40" i="8"/>
  <c r="AT10" i="5"/>
  <c r="E10" i="5"/>
  <c r="F77" i="5"/>
  <c r="AV10" i="5"/>
  <c r="AV77" i="5" s="1"/>
  <c r="F92" i="5"/>
  <c r="F90" i="5" s="1"/>
  <c r="G40" i="8"/>
  <c r="G36" i="8" s="1"/>
  <c r="BX10" i="5"/>
  <c r="AI40" i="8"/>
  <c r="AI36" i="8" s="1"/>
  <c r="H92" i="5"/>
  <c r="H90" i="5" s="1"/>
  <c r="AY10" i="5"/>
  <c r="AY77" i="5" s="1"/>
  <c r="J40" i="8"/>
  <c r="J36" i="8" s="1"/>
  <c r="X92" i="5"/>
  <c r="X90" i="5" s="1"/>
  <c r="BO10" i="5"/>
  <c r="Z40" i="8"/>
  <c r="Z36" i="8" s="1"/>
  <c r="BB10" i="5"/>
  <c r="BB77" i="5" s="1"/>
  <c r="K92" i="5"/>
  <c r="K90" i="5" s="1"/>
  <c r="M40" i="8"/>
  <c r="M36" i="8" s="1"/>
  <c r="BD10" i="5"/>
  <c r="BD77" i="5" s="1"/>
  <c r="O13" i="9" s="1"/>
  <c r="O15" i="9" s="1"/>
  <c r="M92" i="5"/>
  <c r="M90" i="5" s="1"/>
  <c r="O40" i="8"/>
  <c r="O36" i="8" s="1"/>
  <c r="S92" i="5"/>
  <c r="S90" i="5" s="1"/>
  <c r="BJ10" i="5"/>
  <c r="BJ77" i="5" s="1"/>
  <c r="U13" i="9" s="1"/>
  <c r="U15" i="9" s="1"/>
  <c r="U40" i="8"/>
  <c r="U36" i="8" s="1"/>
  <c r="AD40" i="8"/>
  <c r="AD36" i="8" s="1"/>
  <c r="BS10" i="5"/>
  <c r="N40" i="8"/>
  <c r="N36" i="8" s="1"/>
  <c r="L92" i="5"/>
  <c r="L90" i="5" s="1"/>
  <c r="BC10" i="5"/>
  <c r="BC77" i="5" s="1"/>
  <c r="N13" i="9" s="1"/>
  <c r="BR10" i="5"/>
  <c r="AC40" i="8"/>
  <c r="AC36" i="8" s="1"/>
  <c r="CH15" i="5"/>
  <c r="AS40" i="8" s="1"/>
  <c r="AP40" i="8"/>
  <c r="AP36" i="8" s="1"/>
  <c r="CE10" i="5"/>
  <c r="E92" i="5"/>
  <c r="AU10" i="5"/>
  <c r="AU77" i="5" s="1"/>
  <c r="G23" i="6" s="1"/>
  <c r="F40" i="8"/>
  <c r="F36" i="8" s="1"/>
  <c r="U92" i="5"/>
  <c r="U90" i="5" s="1"/>
  <c r="BL10" i="5"/>
  <c r="BL77" i="5" s="1"/>
  <c r="W13" i="9" s="1"/>
  <c r="W15" i="9" s="1"/>
  <c r="W40" i="8"/>
  <c r="W36" i="8" s="1"/>
  <c r="Y92" i="5"/>
  <c r="Y90" i="5" s="1"/>
  <c r="AA40" i="8"/>
  <c r="AA36" i="8" s="1"/>
  <c r="BP10" i="5"/>
  <c r="BQ10" i="5"/>
  <c r="AB40" i="8"/>
  <c r="AB36" i="8" s="1"/>
  <c r="AW10" i="5"/>
  <c r="AW77" i="5" s="1"/>
  <c r="H40" i="8"/>
  <c r="H36" i="8" s="1"/>
  <c r="N92" i="5"/>
  <c r="N90" i="5" s="1"/>
  <c r="P40" i="8"/>
  <c r="P36" i="8" s="1"/>
  <c r="BE10" i="5"/>
  <c r="BE77" i="5" s="1"/>
  <c r="P13" i="9" s="1"/>
  <c r="P15" i="9" s="1"/>
  <c r="CD10" i="5"/>
  <c r="AO40" i="8"/>
  <c r="AO36" i="8" s="1"/>
  <c r="V92" i="5"/>
  <c r="V90" i="5" s="1"/>
  <c r="X40" i="8"/>
  <c r="X36" i="8" s="1"/>
  <c r="BM10" i="5"/>
  <c r="BM77" i="5" s="1"/>
  <c r="X13" i="9" s="1"/>
  <c r="X15" i="9" s="1"/>
  <c r="G30" i="113"/>
  <c r="F30" i="113" s="1"/>
  <c r="F33" i="113"/>
  <c r="Q92" i="5"/>
  <c r="Q90" i="5" s="1"/>
  <c r="BH10" i="5"/>
  <c r="BH77" i="5" s="1"/>
  <c r="S13" i="9" s="1"/>
  <c r="S15" i="9" s="1"/>
  <c r="S40" i="8"/>
  <c r="S36" i="8" s="1"/>
  <c r="BU10" i="5"/>
  <c r="AF40" i="8"/>
  <c r="AF36" i="8" s="1"/>
  <c r="T40" i="8"/>
  <c r="T36" i="8" s="1"/>
  <c r="R92" i="5"/>
  <c r="R90" i="5" s="1"/>
  <c r="BI10" i="5"/>
  <c r="BI77" i="5" s="1"/>
  <c r="T13" i="9" s="1"/>
  <c r="T15" i="9" s="1"/>
  <c r="T92" i="5"/>
  <c r="T90" i="5" s="1"/>
  <c r="V40" i="8"/>
  <c r="V36" i="8" s="1"/>
  <c r="BK10" i="5"/>
  <c r="BK77" i="5" s="1"/>
  <c r="V13" i="9" s="1"/>
  <c r="G92" i="5"/>
  <c r="G90" i="5" s="1"/>
  <c r="I40" i="8"/>
  <c r="I36" i="8" s="1"/>
  <c r="AX10" i="5"/>
  <c r="AX77" i="5" s="1"/>
  <c r="O92" i="5"/>
  <c r="O90" i="5" s="1"/>
  <c r="BF10" i="5"/>
  <c r="BF77" i="5" s="1"/>
  <c r="Q13" i="9" s="1"/>
  <c r="Q15" i="9" s="1"/>
  <c r="Q40" i="8"/>
  <c r="Q36" i="8" s="1"/>
  <c r="CA10" i="5"/>
  <c r="AL40" i="8"/>
  <c r="AL36" i="8" s="1"/>
  <c r="CC10" i="5"/>
  <c r="AN40" i="8"/>
  <c r="AN36" i="8" s="1"/>
  <c r="BN10" i="5"/>
  <c r="BN77" i="5" s="1"/>
  <c r="Y13" i="9" s="1"/>
  <c r="Y15" i="9" s="1"/>
  <c r="Y40" i="8"/>
  <c r="Y36" i="8" s="1"/>
  <c r="W92" i="5"/>
  <c r="W90" i="5" s="1"/>
  <c r="BT10" i="5"/>
  <c r="AE40" i="8"/>
  <c r="AE36" i="8" s="1"/>
  <c r="BA10" i="5"/>
  <c r="BA77" i="5" s="1"/>
  <c r="L40" i="8"/>
  <c r="L36" i="8" s="1"/>
  <c r="J92" i="5"/>
  <c r="J90" i="5" s="1"/>
  <c r="K40" i="8"/>
  <c r="K36" i="8" s="1"/>
  <c r="I92" i="5"/>
  <c r="I90" i="5" s="1"/>
  <c r="AZ10" i="5"/>
  <c r="AZ77" i="5" s="1"/>
  <c r="BG10" i="5"/>
  <c r="BG77" i="5" s="1"/>
  <c r="R13" i="9" s="1"/>
  <c r="R40" i="8"/>
  <c r="R36" i="8" s="1"/>
  <c r="P92" i="5"/>
  <c r="P90" i="5" s="1"/>
  <c r="BZ10" i="5"/>
  <c r="AK40" i="8"/>
  <c r="AK36" i="8" s="1"/>
  <c r="CB10" i="5"/>
  <c r="AM40" i="8"/>
  <c r="AM36" i="8" s="1"/>
  <c r="AG40" i="8"/>
  <c r="AG36" i="8" s="1"/>
  <c r="BV10" i="5"/>
  <c r="AJ40" i="8"/>
  <c r="AJ36" i="8" s="1"/>
  <c r="BY10" i="5"/>
  <c r="G51" i="7"/>
  <c r="T58" i="6"/>
  <c r="N15" i="9" l="1"/>
  <c r="Q112" i="113" s="1"/>
  <c r="Q110" i="113"/>
  <c r="V15" i="9"/>
  <c r="S112" i="113" s="1"/>
  <c r="S110" i="113"/>
  <c r="R15" i="9"/>
  <c r="R112" i="113" s="1"/>
  <c r="R110" i="113"/>
  <c r="BR77" i="5"/>
  <c r="AC13" i="9" s="1"/>
  <c r="AC15" i="9" s="1"/>
  <c r="BR79" i="5"/>
  <c r="AC37" i="8" s="1"/>
  <c r="AC43" i="8" s="1"/>
  <c r="BO77" i="5"/>
  <c r="Z13" i="9" s="1"/>
  <c r="BO79" i="5"/>
  <c r="Z37" i="8" s="1"/>
  <c r="Z43" i="8" s="1"/>
  <c r="BQ77" i="5"/>
  <c r="AB13" i="9" s="1"/>
  <c r="AB15" i="9" s="1"/>
  <c r="BQ79" i="5"/>
  <c r="AB37" i="8" s="1"/>
  <c r="AB43" i="8" s="1"/>
  <c r="BP77" i="5"/>
  <c r="AA13" i="9" s="1"/>
  <c r="AA15" i="9" s="1"/>
  <c r="BP79" i="5"/>
  <c r="AA37" i="8" s="1"/>
  <c r="AA43" i="8" s="1"/>
  <c r="U77" i="6"/>
  <c r="BY79" i="5"/>
  <c r="AJ37" i="8" s="1"/>
  <c r="AJ43" i="8" s="1"/>
  <c r="BY77" i="5"/>
  <c r="AJ13" i="9" s="1"/>
  <c r="AJ15" i="9" s="1"/>
  <c r="CA77" i="5"/>
  <c r="AL13" i="9" s="1"/>
  <c r="AL15" i="9" s="1"/>
  <c r="CA79" i="5"/>
  <c r="AL37" i="8" s="1"/>
  <c r="AL43" i="8" s="1"/>
  <c r="CD77" i="5"/>
  <c r="AO13" i="9" s="1"/>
  <c r="AO15" i="9" s="1"/>
  <c r="CD79" i="5"/>
  <c r="AO37" i="8" s="1"/>
  <c r="AO43" i="8" s="1"/>
  <c r="E90" i="5"/>
  <c r="D90" i="5" s="1"/>
  <c r="D92" i="5"/>
  <c r="K23" i="6"/>
  <c r="J13" i="9"/>
  <c r="BV77" i="5"/>
  <c r="AG13" i="9" s="1"/>
  <c r="AG15" i="9" s="1"/>
  <c r="BV79" i="5"/>
  <c r="AG37" i="8" s="1"/>
  <c r="AG43" i="8" s="1"/>
  <c r="BT79" i="5"/>
  <c r="AE37" i="8" s="1"/>
  <c r="AE43" i="8" s="1"/>
  <c r="BT77" i="5"/>
  <c r="AE13" i="9" s="1"/>
  <c r="AE15" i="9" s="1"/>
  <c r="CE77" i="5"/>
  <c r="CE79" i="5"/>
  <c r="AP37" i="8" s="1"/>
  <c r="AP43" i="8" s="1"/>
  <c r="BS77" i="5"/>
  <c r="AD13" i="9" s="1"/>
  <c r="AD15" i="9" s="1"/>
  <c r="BS79" i="5"/>
  <c r="AD37" i="8" s="1"/>
  <c r="AD43" i="8" s="1"/>
  <c r="L23" i="6"/>
  <c r="K13" i="9"/>
  <c r="AT77" i="5"/>
  <c r="AT79" i="5"/>
  <c r="E37" i="8" s="1"/>
  <c r="AS43" i="8"/>
  <c r="AS36" i="8"/>
  <c r="N23" i="6"/>
  <c r="M13" i="9"/>
  <c r="BX77" i="5"/>
  <c r="AI13" i="9" s="1"/>
  <c r="AI15" i="9" s="1"/>
  <c r="BX79" i="5"/>
  <c r="AI37" i="8" s="1"/>
  <c r="AI43" i="8" s="1"/>
  <c r="E36" i="8"/>
  <c r="C40" i="8"/>
  <c r="CB79" i="5"/>
  <c r="AM37" i="8" s="1"/>
  <c r="AM43" i="8" s="1"/>
  <c r="CB77" i="5"/>
  <c r="AM13" i="9" s="1"/>
  <c r="AM15" i="9" s="1"/>
  <c r="I13" i="9"/>
  <c r="J23" i="6"/>
  <c r="I23" i="6"/>
  <c r="H13" i="9"/>
  <c r="BW77" i="5"/>
  <c r="AH13" i="9" s="1"/>
  <c r="AH15" i="9" s="1"/>
  <c r="BW79" i="5"/>
  <c r="AH37" i="8" s="1"/>
  <c r="AH43" i="8" s="1"/>
  <c r="BZ77" i="5"/>
  <c r="AK13" i="9" s="1"/>
  <c r="AK15" i="9" s="1"/>
  <c r="BZ79" i="5"/>
  <c r="AK37" i="8" s="1"/>
  <c r="AK43" i="8" s="1"/>
  <c r="CC77" i="5"/>
  <c r="AN13" i="9" s="1"/>
  <c r="AN15" i="9" s="1"/>
  <c r="CC79" i="5"/>
  <c r="AN37" i="8" s="1"/>
  <c r="AN43" i="8" s="1"/>
  <c r="BU79" i="5"/>
  <c r="AF37" i="8" s="1"/>
  <c r="AF43" i="8" s="1"/>
  <c r="BU77" i="5"/>
  <c r="AF13" i="9" s="1"/>
  <c r="AF15" i="9" s="1"/>
  <c r="H23" i="6"/>
  <c r="G13" i="9"/>
  <c r="G79" i="113"/>
  <c r="F79" i="113"/>
  <c r="M23" i="6"/>
  <c r="L13" i="9"/>
  <c r="CH10" i="5"/>
  <c r="T59" i="6"/>
  <c r="I15" i="9" l="1"/>
  <c r="K15" i="9"/>
  <c r="G15" i="9"/>
  <c r="H15" i="9"/>
  <c r="L15" i="9"/>
  <c r="M15" i="9"/>
  <c r="N77" i="6"/>
  <c r="J15" i="9"/>
  <c r="P110" i="113"/>
  <c r="Z15" i="9"/>
  <c r="T112" i="113" s="1"/>
  <c r="T110" i="113"/>
  <c r="Y77" i="6"/>
  <c r="X77" i="6"/>
  <c r="R77" i="6"/>
  <c r="S77" i="6"/>
  <c r="V77" i="6"/>
  <c r="W77" i="6"/>
  <c r="C36" i="8"/>
  <c r="E13" i="9"/>
  <c r="F23" i="6"/>
  <c r="F22" i="6" s="1"/>
  <c r="CH77" i="5"/>
  <c r="AT23" i="6" s="1"/>
  <c r="F13" i="9"/>
  <c r="AQ23" i="6"/>
  <c r="AP13" i="9"/>
  <c r="E30" i="8"/>
  <c r="E43" i="8"/>
  <c r="T60" i="6"/>
  <c r="P55" i="7"/>
  <c r="P56" i="7" s="1"/>
  <c r="Q55" i="7"/>
  <c r="R55" i="7"/>
  <c r="R56" i="7" s="1"/>
  <c r="P112" i="113" l="1"/>
  <c r="AP15" i="9"/>
  <c r="F15" i="9"/>
  <c r="O112" i="113" s="1"/>
  <c r="O110" i="113"/>
  <c r="E35" i="8"/>
  <c r="E19" i="8"/>
  <c r="E28" i="8"/>
  <c r="E46" i="8" s="1"/>
  <c r="AS13" i="9"/>
  <c r="E12" i="9"/>
  <c r="E9" i="9" s="1"/>
  <c r="E29" i="9"/>
  <c r="E31" i="9" s="1"/>
  <c r="E35" i="9" s="1"/>
  <c r="P57" i="7"/>
  <c r="P116" i="7"/>
  <c r="O56" i="6" s="1"/>
  <c r="R116" i="7"/>
  <c r="Q56" i="6" s="1"/>
  <c r="Q56" i="7"/>
  <c r="N112" i="113" l="1"/>
  <c r="AS15" i="9"/>
  <c r="D15" i="9" s="1"/>
  <c r="N110" i="113"/>
  <c r="T77" i="6"/>
  <c r="Q57" i="6"/>
  <c r="Q58" i="6" s="1"/>
  <c r="Q59" i="6" s="1"/>
  <c r="Q60" i="6" s="1"/>
  <c r="D13" i="9"/>
  <c r="E47" i="8"/>
  <c r="F76" i="8" s="1"/>
  <c r="E21" i="8"/>
  <c r="E24" i="9" s="1"/>
  <c r="E23" i="9" s="1"/>
  <c r="E32" i="8"/>
  <c r="E17" i="8" s="1"/>
  <c r="E22" i="9" s="1"/>
  <c r="E21" i="9"/>
  <c r="E18" i="8"/>
  <c r="E48" i="8"/>
  <c r="AP57" i="7"/>
  <c r="AP117" i="7" s="1"/>
  <c r="AO63" i="6" s="1"/>
  <c r="O16" i="6"/>
  <c r="Q16" i="6"/>
  <c r="AQ57" i="7"/>
  <c r="AB57" i="7"/>
  <c r="AM57" i="7"/>
  <c r="S57" i="7"/>
  <c r="U57" i="7"/>
  <c r="Y57" i="7"/>
  <c r="AE57" i="7"/>
  <c r="AN57" i="7"/>
  <c r="Q57" i="7"/>
  <c r="Q117" i="7" s="1"/>
  <c r="P63" i="6" s="1"/>
  <c r="Q116" i="7"/>
  <c r="P56" i="6" s="1"/>
  <c r="T57" i="7"/>
  <c r="AA57" i="7"/>
  <c r="Z57" i="7"/>
  <c r="AO57" i="7"/>
  <c r="R57" i="7"/>
  <c r="W57" i="7"/>
  <c r="AI57" i="7"/>
  <c r="AK57" i="7"/>
  <c r="V57" i="7"/>
  <c r="AC57" i="7"/>
  <c r="AL57" i="7"/>
  <c r="AG57" i="7"/>
  <c r="X57" i="7"/>
  <c r="AH57" i="7"/>
  <c r="AF57" i="7"/>
  <c r="AD57" i="7"/>
  <c r="AJ57" i="7"/>
  <c r="P71" i="7"/>
  <c r="P117" i="7"/>
  <c r="O63" i="6" s="1"/>
  <c r="G56" i="7"/>
  <c r="E56" i="7" s="1"/>
  <c r="Q71" i="7" l="1"/>
  <c r="Q72" i="7" s="1"/>
  <c r="P20" i="6" s="1"/>
  <c r="E56" i="6"/>
  <c r="F49" i="8"/>
  <c r="AU78" i="5" s="1"/>
  <c r="E22" i="8"/>
  <c r="E49" i="8"/>
  <c r="E20" i="9"/>
  <c r="E19" i="9" s="1"/>
  <c r="E27" i="9" s="1"/>
  <c r="E28" i="9" s="1"/>
  <c r="E37" i="9" s="1"/>
  <c r="Z117" i="7"/>
  <c r="Y63" i="6" s="1"/>
  <c r="U117" i="7"/>
  <c r="T63" i="6" s="1"/>
  <c r="AA117" i="7"/>
  <c r="Z63" i="6" s="1"/>
  <c r="AC117" i="7"/>
  <c r="AB63" i="6" s="1"/>
  <c r="S117" i="7"/>
  <c r="R63" i="6" s="1"/>
  <c r="T117" i="7"/>
  <c r="S63" i="6" s="1"/>
  <c r="AB117" i="7"/>
  <c r="AA63" i="6" s="1"/>
  <c r="AK117" i="7"/>
  <c r="AJ63" i="6" s="1"/>
  <c r="AF117" i="7"/>
  <c r="AE63" i="6" s="1"/>
  <c r="AQ117" i="7"/>
  <c r="AP63" i="6" s="1"/>
  <c r="AL117" i="7"/>
  <c r="AK63" i="6" s="1"/>
  <c r="AH117" i="7"/>
  <c r="AG63" i="6" s="1"/>
  <c r="AN117" i="7"/>
  <c r="AM63" i="6" s="1"/>
  <c r="E17" i="6"/>
  <c r="E11" i="6"/>
  <c r="I95" i="113" s="1"/>
  <c r="G95" i="113" s="1"/>
  <c r="E14" i="6"/>
  <c r="E12" i="6"/>
  <c r="E13" i="6"/>
  <c r="P16" i="6"/>
  <c r="E16" i="6" s="1"/>
  <c r="AJ117" i="7"/>
  <c r="AI63" i="6" s="1"/>
  <c r="AM117" i="7"/>
  <c r="AL63" i="6" s="1"/>
  <c r="AI117" i="7"/>
  <c r="AH63" i="6" s="1"/>
  <c r="X117" i="7"/>
  <c r="W63" i="6" s="1"/>
  <c r="R117" i="7"/>
  <c r="Q63" i="6" s="1"/>
  <c r="AE117" i="7"/>
  <c r="V117" i="7"/>
  <c r="U63" i="6" s="1"/>
  <c r="AD117" i="7"/>
  <c r="AC63" i="6" s="1"/>
  <c r="AG117" i="7"/>
  <c r="AF63" i="6" s="1"/>
  <c r="AO117" i="7"/>
  <c r="AN63" i="6" s="1"/>
  <c r="Y117" i="7"/>
  <c r="X63" i="6" s="1"/>
  <c r="O10" i="6"/>
  <c r="N33" i="9"/>
  <c r="AM71" i="7"/>
  <c r="AM72" i="7" s="1"/>
  <c r="AL20" i="6" s="1"/>
  <c r="BD71" i="7"/>
  <c r="BD72" i="7" s="1"/>
  <c r="BC20" i="6" s="1"/>
  <c r="S71" i="7"/>
  <c r="S72" i="7" s="1"/>
  <c r="R20" i="6" s="1"/>
  <c r="R71" i="7"/>
  <c r="R72" i="7" s="1"/>
  <c r="Q20" i="6" s="1"/>
  <c r="W117" i="7"/>
  <c r="V63" i="6" s="1"/>
  <c r="AE71" i="7"/>
  <c r="AE72" i="7" s="1"/>
  <c r="AD20" i="6" s="1"/>
  <c r="AT71" i="7"/>
  <c r="AT72" i="7" s="1"/>
  <c r="AS20" i="6" s="1"/>
  <c r="BW71" i="7"/>
  <c r="BW72" i="7" s="1"/>
  <c r="BV20" i="6" s="1"/>
  <c r="AB71" i="7"/>
  <c r="AB72" i="7" s="1"/>
  <c r="AA20" i="6" s="1"/>
  <c r="AP71" i="7"/>
  <c r="AP72" i="7" s="1"/>
  <c r="AO20" i="6" s="1"/>
  <c r="BY71" i="7"/>
  <c r="BY72" i="7" s="1"/>
  <c r="BX20" i="6" s="1"/>
  <c r="BR71" i="7"/>
  <c r="BR72" i="7" s="1"/>
  <c r="BQ20" i="6" s="1"/>
  <c r="BI71" i="7"/>
  <c r="BI72" i="7" s="1"/>
  <c r="BH20" i="6" s="1"/>
  <c r="AA71" i="7"/>
  <c r="AA72" i="7" s="1"/>
  <c r="Z20" i="6" s="1"/>
  <c r="AN71" i="7"/>
  <c r="AN72" i="7" s="1"/>
  <c r="AM20" i="6" s="1"/>
  <c r="BO71" i="7"/>
  <c r="BO72" i="7" s="1"/>
  <c r="BN20" i="6" s="1"/>
  <c r="AQ71" i="7"/>
  <c r="AQ72" i="7" s="1"/>
  <c r="AP20" i="6" s="1"/>
  <c r="X71" i="7"/>
  <c r="X72" i="7" s="1"/>
  <c r="W20" i="6" s="1"/>
  <c r="CG71" i="7"/>
  <c r="CG72" i="7" s="1"/>
  <c r="CF20" i="6" s="1"/>
  <c r="BN71" i="7"/>
  <c r="BN72" i="7" s="1"/>
  <c r="BM20" i="6" s="1"/>
  <c r="Y71" i="7"/>
  <c r="Y72" i="7" s="1"/>
  <c r="X20" i="6" s="1"/>
  <c r="CD71" i="7"/>
  <c r="CD72" i="7" s="1"/>
  <c r="CC20" i="6" s="1"/>
  <c r="W71" i="7"/>
  <c r="W72" i="7" s="1"/>
  <c r="V20" i="6" s="1"/>
  <c r="CH71" i="7"/>
  <c r="CH72" i="7" s="1"/>
  <c r="CG20" i="6" s="1"/>
  <c r="BL71" i="7"/>
  <c r="BL72" i="7" s="1"/>
  <c r="BK20" i="6" s="1"/>
  <c r="BK71" i="7"/>
  <c r="BK72" i="7" s="1"/>
  <c r="BJ20" i="6" s="1"/>
  <c r="AD71" i="7"/>
  <c r="AD72" i="7" s="1"/>
  <c r="AC20" i="6" s="1"/>
  <c r="P72" i="7"/>
  <c r="O20" i="6" s="1"/>
  <c r="AL71" i="7"/>
  <c r="AL72" i="7" s="1"/>
  <c r="AK20" i="6" s="1"/>
  <c r="BS71" i="7"/>
  <c r="BS72" i="7" s="1"/>
  <c r="BR20" i="6" s="1"/>
  <c r="BB71" i="7"/>
  <c r="BB72" i="7" s="1"/>
  <c r="BA20" i="6" s="1"/>
  <c r="BU71" i="7"/>
  <c r="BU72" i="7" s="1"/>
  <c r="BT20" i="6" s="1"/>
  <c r="BE71" i="7"/>
  <c r="BE72" i="7" s="1"/>
  <c r="BD20" i="6" s="1"/>
  <c r="CC71" i="7"/>
  <c r="CC72" i="7" s="1"/>
  <c r="CB20" i="6" s="1"/>
  <c r="BZ71" i="7"/>
  <c r="BZ72" i="7" s="1"/>
  <c r="BY20" i="6" s="1"/>
  <c r="AO71" i="7"/>
  <c r="AO72" i="7" s="1"/>
  <c r="AN20" i="6" s="1"/>
  <c r="Z71" i="7"/>
  <c r="Z72" i="7" s="1"/>
  <c r="Y20" i="6" s="1"/>
  <c r="T71" i="7"/>
  <c r="T72" i="7" s="1"/>
  <c r="S20" i="6" s="1"/>
  <c r="L72" i="7"/>
  <c r="K20" i="6" s="1"/>
  <c r="H94" i="5" s="1"/>
  <c r="H89" i="5" s="1"/>
  <c r="H102" i="5" s="1"/>
  <c r="N72" i="7"/>
  <c r="M20" i="6" s="1"/>
  <c r="J94" i="5" s="1"/>
  <c r="J89" i="5" s="1"/>
  <c r="J102" i="5" s="1"/>
  <c r="I72" i="7"/>
  <c r="H20" i="6" s="1"/>
  <c r="F94" i="5" s="1"/>
  <c r="F89" i="5" s="1"/>
  <c r="F102" i="5" s="1"/>
  <c r="F106" i="5" s="1"/>
  <c r="K72" i="7"/>
  <c r="J20" i="6" s="1"/>
  <c r="G94" i="5" s="1"/>
  <c r="G89" i="5" s="1"/>
  <c r="G102" i="5" s="1"/>
  <c r="G106" i="5" s="1"/>
  <c r="J72" i="7"/>
  <c r="I20" i="6" s="1"/>
  <c r="M72" i="7"/>
  <c r="L20" i="6" s="1"/>
  <c r="I94" i="5" s="1"/>
  <c r="I89" i="5" s="1"/>
  <c r="I102" i="5" s="1"/>
  <c r="H72" i="7"/>
  <c r="O72" i="7"/>
  <c r="N20" i="6" s="1"/>
  <c r="K94" i="5" s="1"/>
  <c r="K89" i="5" s="1"/>
  <c r="K102" i="5" s="1"/>
  <c r="AV71" i="7"/>
  <c r="AV72" i="7" s="1"/>
  <c r="AU20" i="6" s="1"/>
  <c r="AY71" i="7"/>
  <c r="AY72" i="7" s="1"/>
  <c r="AX20" i="6" s="1"/>
  <c r="AK71" i="7"/>
  <c r="AK72" i="7" s="1"/>
  <c r="AJ20" i="6" s="1"/>
  <c r="BA71" i="7"/>
  <c r="BA72" i="7" s="1"/>
  <c r="AZ20" i="6" s="1"/>
  <c r="BC71" i="7"/>
  <c r="BC72" i="7" s="1"/>
  <c r="BB20" i="6" s="1"/>
  <c r="BV71" i="7"/>
  <c r="BV72" i="7" s="1"/>
  <c r="BU20" i="6" s="1"/>
  <c r="AG71" i="7"/>
  <c r="AG72" i="7" s="1"/>
  <c r="AF20" i="6" s="1"/>
  <c r="AH71" i="7"/>
  <c r="AH72" i="7" s="1"/>
  <c r="AG20" i="6" s="1"/>
  <c r="BG71" i="7"/>
  <c r="BG72" i="7" s="1"/>
  <c r="BF20" i="6" s="1"/>
  <c r="CI71" i="7"/>
  <c r="CI72" i="7" s="1"/>
  <c r="CH20" i="6" s="1"/>
  <c r="BH71" i="7"/>
  <c r="BH72" i="7" s="1"/>
  <c r="BG20" i="6" s="1"/>
  <c r="BP71" i="7"/>
  <c r="BP72" i="7" s="1"/>
  <c r="BO20" i="6" s="1"/>
  <c r="BX71" i="7"/>
  <c r="BX72" i="7" s="1"/>
  <c r="BW20" i="6" s="1"/>
  <c r="CJ71" i="7"/>
  <c r="CJ72" i="7" s="1"/>
  <c r="CI20" i="6" s="1"/>
  <c r="AZ71" i="7"/>
  <c r="AZ72" i="7" s="1"/>
  <c r="AY20" i="6" s="1"/>
  <c r="AC71" i="7"/>
  <c r="AC72" i="7" s="1"/>
  <c r="AB20" i="6" s="1"/>
  <c r="AF71" i="7"/>
  <c r="AF72" i="7" s="1"/>
  <c r="AE20" i="6" s="1"/>
  <c r="CE71" i="7"/>
  <c r="CE72" i="7" s="1"/>
  <c r="CD20" i="6" s="1"/>
  <c r="U71" i="7"/>
  <c r="U72" i="7" s="1"/>
  <c r="T20" i="6" s="1"/>
  <c r="AR71" i="7"/>
  <c r="AR72" i="7" s="1"/>
  <c r="AQ20" i="6" s="1"/>
  <c r="AS71" i="7"/>
  <c r="AS72" i="7" s="1"/>
  <c r="AR20" i="6" s="1"/>
  <c r="BJ71" i="7"/>
  <c r="BJ72" i="7" s="1"/>
  <c r="BI20" i="6" s="1"/>
  <c r="BQ71" i="7"/>
  <c r="BQ72" i="7" s="1"/>
  <c r="BP20" i="6" s="1"/>
  <c r="AX71" i="7"/>
  <c r="AX72" i="7" s="1"/>
  <c r="AW20" i="6" s="1"/>
  <c r="BT71" i="7"/>
  <c r="BT72" i="7" s="1"/>
  <c r="BS20" i="6" s="1"/>
  <c r="AW71" i="7"/>
  <c r="AW72" i="7" s="1"/>
  <c r="AV20" i="6" s="1"/>
  <c r="AJ71" i="7"/>
  <c r="AJ72" i="7" s="1"/>
  <c r="AI20" i="6" s="1"/>
  <c r="V71" i="7"/>
  <c r="V72" i="7" s="1"/>
  <c r="U20" i="6" s="1"/>
  <c r="BF71" i="7"/>
  <c r="BF72" i="7" s="1"/>
  <c r="BE20" i="6" s="1"/>
  <c r="BM71" i="7"/>
  <c r="BM72" i="7" s="1"/>
  <c r="BL20" i="6" s="1"/>
  <c r="CF71" i="7"/>
  <c r="CF72" i="7" s="1"/>
  <c r="CE20" i="6" s="1"/>
  <c r="CA71" i="7"/>
  <c r="CA72" i="7" s="1"/>
  <c r="BZ20" i="6" s="1"/>
  <c r="AU71" i="7"/>
  <c r="AU72" i="7" s="1"/>
  <c r="AT20" i="6" s="1"/>
  <c r="CB71" i="7"/>
  <c r="CB72" i="7" s="1"/>
  <c r="CA20" i="6" s="1"/>
  <c r="AI71" i="7"/>
  <c r="AI72" i="7" s="1"/>
  <c r="AH20" i="6" s="1"/>
  <c r="O57" i="6"/>
  <c r="O11" i="9"/>
  <c r="N11" i="9"/>
  <c r="G57" i="7"/>
  <c r="AP118" i="7"/>
  <c r="AN11" i="9"/>
  <c r="G116" i="7"/>
  <c r="H66" i="113" s="1"/>
  <c r="Q77" i="6" l="1"/>
  <c r="AC11" i="9"/>
  <c r="AD63" i="6"/>
  <c r="I98" i="113"/>
  <c r="G98" i="113" s="1"/>
  <c r="P11" i="9"/>
  <c r="I100" i="113"/>
  <c r="G100" i="113" s="1"/>
  <c r="AI11" i="9"/>
  <c r="Y11" i="9"/>
  <c r="AG118" i="7"/>
  <c r="AH11" i="9"/>
  <c r="S11" i="9"/>
  <c r="W11" i="9"/>
  <c r="AL11" i="9"/>
  <c r="I97" i="113"/>
  <c r="G97" i="113" s="1"/>
  <c r="AA11" i="9"/>
  <c r="AG11" i="9"/>
  <c r="I96" i="113"/>
  <c r="G96" i="113" s="1"/>
  <c r="X11" i="9"/>
  <c r="AD11" i="9"/>
  <c r="AF118" i="7"/>
  <c r="AU79" i="5"/>
  <c r="F37" i="8" s="1"/>
  <c r="F23" i="8"/>
  <c r="AN118" i="7"/>
  <c r="AE118" i="7"/>
  <c r="AF11" i="9"/>
  <c r="AH118" i="7"/>
  <c r="AK118" i="7"/>
  <c r="AJ11" i="9"/>
  <c r="V11" i="9"/>
  <c r="AL118" i="7"/>
  <c r="AI118" i="7"/>
  <c r="AO11" i="9"/>
  <c r="AQ118" i="7"/>
  <c r="Z11" i="9"/>
  <c r="AM11" i="9"/>
  <c r="AB11" i="9"/>
  <c r="AJ118" i="7"/>
  <c r="Q11" i="9"/>
  <c r="AO118" i="7"/>
  <c r="AK11" i="9"/>
  <c r="AM118" i="7"/>
  <c r="R11" i="9"/>
  <c r="AE11" i="9"/>
  <c r="T11" i="9"/>
  <c r="L94" i="5"/>
  <c r="L89" i="5" s="1"/>
  <c r="L102" i="5" s="1"/>
  <c r="AO10" i="6"/>
  <c r="AO23" i="6" s="1"/>
  <c r="P10" i="6"/>
  <c r="O33" i="9"/>
  <c r="Q10" i="6"/>
  <c r="Q23" i="6" s="1"/>
  <c r="P33" i="9"/>
  <c r="AK10" i="6"/>
  <c r="AK23" i="6" s="1"/>
  <c r="AB10" i="6"/>
  <c r="AB23" i="6" s="1"/>
  <c r="AC10" i="6"/>
  <c r="AC23" i="6" s="1"/>
  <c r="O23" i="6"/>
  <c r="AI10" i="6"/>
  <c r="AI23" i="6" s="1"/>
  <c r="V10" i="6"/>
  <c r="V23" i="6" s="1"/>
  <c r="U33" i="9"/>
  <c r="AE10" i="6"/>
  <c r="AE23" i="6" s="1"/>
  <c r="AN10" i="6"/>
  <c r="AN23" i="6" s="1"/>
  <c r="S10" i="6"/>
  <c r="S23" i="6" s="1"/>
  <c r="R33" i="9"/>
  <c r="T10" i="6"/>
  <c r="T23" i="6" s="1"/>
  <c r="S33" i="9"/>
  <c r="N17" i="9"/>
  <c r="N75" i="8"/>
  <c r="N74" i="8" s="1"/>
  <c r="L97" i="5"/>
  <c r="W10" i="6"/>
  <c r="W23" i="6" s="1"/>
  <c r="V33" i="9"/>
  <c r="AJ10" i="6"/>
  <c r="AJ23" i="6" s="1"/>
  <c r="U10" i="6"/>
  <c r="U23" i="6" s="1"/>
  <c r="T33" i="9"/>
  <c r="AD10" i="6"/>
  <c r="AD23" i="6" s="1"/>
  <c r="AG10" i="6"/>
  <c r="AG23" i="6" s="1"/>
  <c r="AF10" i="6"/>
  <c r="AF23" i="6" s="1"/>
  <c r="AH10" i="6"/>
  <c r="AH23" i="6" s="1"/>
  <c r="AL10" i="6"/>
  <c r="AL23" i="6" s="1"/>
  <c r="AP10" i="6"/>
  <c r="AP23" i="6" s="1"/>
  <c r="R10" i="6"/>
  <c r="R23" i="6" s="1"/>
  <c r="Q33" i="9"/>
  <c r="Z10" i="6"/>
  <c r="Z23" i="6" s="1"/>
  <c r="Y10" i="6"/>
  <c r="Y23" i="6" s="1"/>
  <c r="X33" i="9"/>
  <c r="X10" i="6"/>
  <c r="X23" i="6" s="1"/>
  <c r="W33" i="9"/>
  <c r="AM10" i="6"/>
  <c r="AM23" i="6" s="1"/>
  <c r="AA10" i="6"/>
  <c r="AA23" i="6" s="1"/>
  <c r="P57" i="6"/>
  <c r="P58" i="6" s="1"/>
  <c r="P59" i="6" s="1"/>
  <c r="P60" i="6" s="1"/>
  <c r="G117" i="7"/>
  <c r="U11" i="9"/>
  <c r="H106" i="5"/>
  <c r="I106" i="5" s="1"/>
  <c r="J106" i="5" s="1"/>
  <c r="K106" i="5" s="1"/>
  <c r="G20" i="6"/>
  <c r="G72" i="7"/>
  <c r="N10" i="9"/>
  <c r="O58" i="6"/>
  <c r="O10" i="9"/>
  <c r="AN10" i="9"/>
  <c r="E40" i="6"/>
  <c r="E118" i="7"/>
  <c r="W10" i="9" l="1"/>
  <c r="AL10" i="9"/>
  <c r="T10" i="9"/>
  <c r="AM10" i="9"/>
  <c r="AF10" i="9"/>
  <c r="AJ10" i="9"/>
  <c r="X10" i="9"/>
  <c r="AK10" i="9"/>
  <c r="AO10" i="9"/>
  <c r="AG10" i="9"/>
  <c r="Y10" i="9"/>
  <c r="AB10" i="9"/>
  <c r="AE10" i="9"/>
  <c r="AD10" i="9"/>
  <c r="AH10" i="9"/>
  <c r="AA10" i="9"/>
  <c r="AI10" i="9"/>
  <c r="P10" i="9"/>
  <c r="S10" i="9"/>
  <c r="AC10" i="9"/>
  <c r="Q10" i="9"/>
  <c r="R10" i="9"/>
  <c r="R109" i="113"/>
  <c r="Z10" i="9"/>
  <c r="T109" i="113"/>
  <c r="Q109" i="113"/>
  <c r="V10" i="9"/>
  <c r="S109" i="113"/>
  <c r="F43" i="8"/>
  <c r="AO64" i="6"/>
  <c r="AO65" i="6" s="1"/>
  <c r="AO66" i="6" s="1"/>
  <c r="AO24" i="6" s="1"/>
  <c r="U97" i="5"/>
  <c r="W17" i="9"/>
  <c r="W75" i="8"/>
  <c r="W74" i="8" s="1"/>
  <c r="G19" i="6"/>
  <c r="F25" i="9"/>
  <c r="E98" i="5"/>
  <c r="L106" i="5"/>
  <c r="G162" i="7"/>
  <c r="H162" i="7" s="1"/>
  <c r="H163" i="7" s="1"/>
  <c r="N94" i="5"/>
  <c r="N89" i="5" s="1"/>
  <c r="N102" i="5" s="1"/>
  <c r="Y94" i="5"/>
  <c r="Y89" i="5" s="1"/>
  <c r="Y102" i="5" s="1"/>
  <c r="D11" i="9"/>
  <c r="E57" i="6"/>
  <c r="T94" i="5"/>
  <c r="T89" i="5" s="1"/>
  <c r="T102" i="5" s="1"/>
  <c r="R94" i="5"/>
  <c r="R89" i="5" s="1"/>
  <c r="R102" i="5" s="1"/>
  <c r="P23" i="6"/>
  <c r="E23" i="6" s="1"/>
  <c r="E10" i="6"/>
  <c r="M94" i="5"/>
  <c r="M89" i="5" s="1"/>
  <c r="M102" i="5" s="1"/>
  <c r="V94" i="5"/>
  <c r="V89" i="5" s="1"/>
  <c r="V102" i="5" s="1"/>
  <c r="M97" i="5"/>
  <c r="O75" i="8"/>
  <c r="O74" i="8" s="1"/>
  <c r="O17" i="9"/>
  <c r="E15" i="6"/>
  <c r="P97" i="5"/>
  <c r="R17" i="9"/>
  <c r="R75" i="8"/>
  <c r="R74" i="8" s="1"/>
  <c r="W94" i="5"/>
  <c r="W89" i="5" s="1"/>
  <c r="W102" i="5" s="1"/>
  <c r="X94" i="5"/>
  <c r="X89" i="5" s="1"/>
  <c r="X102" i="5" s="1"/>
  <c r="Q17" i="9"/>
  <c r="Q75" i="8"/>
  <c r="Q74" i="8" s="1"/>
  <c r="O97" i="5"/>
  <c r="U94" i="5"/>
  <c r="U89" i="5" s="1"/>
  <c r="U102" i="5" s="1"/>
  <c r="S97" i="5"/>
  <c r="U17" i="9"/>
  <c r="U75" i="8"/>
  <c r="U74" i="8" s="1"/>
  <c r="N97" i="5"/>
  <c r="P17" i="9"/>
  <c r="P75" i="8"/>
  <c r="P74" i="8" s="1"/>
  <c r="S94" i="5"/>
  <c r="S89" i="5" s="1"/>
  <c r="S102" i="5" s="1"/>
  <c r="O94" i="5"/>
  <c r="O89" i="5" s="1"/>
  <c r="O102" i="5" s="1"/>
  <c r="P94" i="5"/>
  <c r="P89" i="5" s="1"/>
  <c r="P102" i="5" s="1"/>
  <c r="Q94" i="5"/>
  <c r="Q89" i="5" s="1"/>
  <c r="Q102" i="5" s="1"/>
  <c r="G118" i="7"/>
  <c r="E117" i="7"/>
  <c r="E50" i="6"/>
  <c r="U10" i="9"/>
  <c r="E20" i="6"/>
  <c r="I101" i="113" s="1"/>
  <c r="E94" i="5"/>
  <c r="D58" i="6"/>
  <c r="E58" i="6" s="1"/>
  <c r="O59" i="6"/>
  <c r="G101" i="113" l="1"/>
  <c r="E29" i="6"/>
  <c r="D10" i="6"/>
  <c r="J94" i="113" s="1"/>
  <c r="Q114" i="113"/>
  <c r="D10" i="9"/>
  <c r="N109" i="113"/>
  <c r="F30" i="9"/>
  <c r="P77" i="6"/>
  <c r="I99" i="113"/>
  <c r="M106" i="5"/>
  <c r="N106" i="5" s="1"/>
  <c r="O106" i="5" s="1"/>
  <c r="P106" i="5" s="1"/>
  <c r="Q106" i="5" s="1"/>
  <c r="R106" i="5" s="1"/>
  <c r="S106" i="5" s="1"/>
  <c r="T106" i="5" s="1"/>
  <c r="U106" i="5" s="1"/>
  <c r="V106" i="5" s="1"/>
  <c r="W106" i="5" s="1"/>
  <c r="X106" i="5" s="1"/>
  <c r="Y106" i="5" s="1"/>
  <c r="V64" i="6"/>
  <c r="V65" i="6" s="1"/>
  <c r="V66" i="6" s="1"/>
  <c r="AL64" i="6"/>
  <c r="AL65" i="6" s="1"/>
  <c r="AL66" i="6" s="1"/>
  <c r="BD64" i="6"/>
  <c r="BD65" i="6" s="1"/>
  <c r="BD66" i="6" s="1"/>
  <c r="BM64" i="6"/>
  <c r="BM65" i="6" s="1"/>
  <c r="BM66" i="6" s="1"/>
  <c r="BL64" i="6"/>
  <c r="BL65" i="6" s="1"/>
  <c r="BL66" i="6" s="1"/>
  <c r="AA64" i="6"/>
  <c r="AA65" i="6" s="1"/>
  <c r="AA66" i="6" s="1"/>
  <c r="AT64" i="6"/>
  <c r="AT65" i="6" s="1"/>
  <c r="AT66" i="6" s="1"/>
  <c r="CG64" i="6"/>
  <c r="CG65" i="6" s="1"/>
  <c r="CG66" i="6" s="1"/>
  <c r="AK64" i="6"/>
  <c r="AK65" i="6" s="1"/>
  <c r="AK66" i="6" s="1"/>
  <c r="BS64" i="6"/>
  <c r="BS65" i="6" s="1"/>
  <c r="BS66" i="6" s="1"/>
  <c r="AM64" i="6"/>
  <c r="AM65" i="6" s="1"/>
  <c r="AM66" i="6" s="1"/>
  <c r="R64" i="6"/>
  <c r="R65" i="6" s="1"/>
  <c r="R66" i="6" s="1"/>
  <c r="CE64" i="6"/>
  <c r="CE65" i="6" s="1"/>
  <c r="CE66" i="6" s="1"/>
  <c r="BU64" i="6"/>
  <c r="BU65" i="6" s="1"/>
  <c r="BU66" i="6" s="1"/>
  <c r="BO64" i="6"/>
  <c r="BO65" i="6" s="1"/>
  <c r="BO66" i="6" s="1"/>
  <c r="I64" i="6"/>
  <c r="I65" i="6" s="1"/>
  <c r="I66" i="6" s="1"/>
  <c r="AS64" i="6"/>
  <c r="AS65" i="6" s="1"/>
  <c r="AS66" i="6" s="1"/>
  <c r="M64" i="6"/>
  <c r="M65" i="6" s="1"/>
  <c r="M66" i="6" s="1"/>
  <c r="K64" i="6"/>
  <c r="K65" i="6" s="1"/>
  <c r="K66" i="6" s="1"/>
  <c r="T64" i="6"/>
  <c r="T65" i="6" s="1"/>
  <c r="T66" i="6" s="1"/>
  <c r="CD64" i="6"/>
  <c r="CD65" i="6" s="1"/>
  <c r="CD66" i="6" s="1"/>
  <c r="BF64" i="6"/>
  <c r="BF65" i="6" s="1"/>
  <c r="BF66" i="6" s="1"/>
  <c r="BA64" i="6"/>
  <c r="BA65" i="6" s="1"/>
  <c r="BA66" i="6" s="1"/>
  <c r="BK64" i="6"/>
  <c r="BK65" i="6" s="1"/>
  <c r="BK66" i="6" s="1"/>
  <c r="E63" i="6"/>
  <c r="BC64" i="6"/>
  <c r="BC65" i="6" s="1"/>
  <c r="BC66" i="6" s="1"/>
  <c r="AI64" i="6"/>
  <c r="AI65" i="6" s="1"/>
  <c r="AI66" i="6" s="1"/>
  <c r="AV64" i="6"/>
  <c r="AV65" i="6" s="1"/>
  <c r="AV66" i="6" s="1"/>
  <c r="BT64" i="6"/>
  <c r="BT65" i="6" s="1"/>
  <c r="BT66" i="6" s="1"/>
  <c r="BJ64" i="6"/>
  <c r="BJ65" i="6" s="1"/>
  <c r="BJ66" i="6" s="1"/>
  <c r="AR64" i="6"/>
  <c r="AR65" i="6" s="1"/>
  <c r="AR66" i="6" s="1"/>
  <c r="Q64" i="6"/>
  <c r="Q65" i="6" s="1"/>
  <c r="Q66" i="6" s="1"/>
  <c r="AF64" i="6"/>
  <c r="AF65" i="6" s="1"/>
  <c r="AF66" i="6" s="1"/>
  <c r="BV64" i="6"/>
  <c r="BV65" i="6" s="1"/>
  <c r="BV66" i="6" s="1"/>
  <c r="BV24" i="6" s="1"/>
  <c r="AN64" i="6"/>
  <c r="AN65" i="6" s="1"/>
  <c r="AN66" i="6" s="1"/>
  <c r="G64" i="6"/>
  <c r="G65" i="6" s="1"/>
  <c r="BX64" i="6"/>
  <c r="BX65" i="6" s="1"/>
  <c r="BX66" i="6" s="1"/>
  <c r="AE64" i="6"/>
  <c r="AE65" i="6" s="1"/>
  <c r="AE66" i="6" s="1"/>
  <c r="U64" i="6"/>
  <c r="U65" i="6" s="1"/>
  <c r="U66" i="6" s="1"/>
  <c r="W64" i="6"/>
  <c r="W65" i="6" s="1"/>
  <c r="W66" i="6" s="1"/>
  <c r="AP64" i="6"/>
  <c r="AP65" i="6" s="1"/>
  <c r="AP66" i="6" s="1"/>
  <c r="H64" i="6"/>
  <c r="H65" i="6" s="1"/>
  <c r="H66" i="6" s="1"/>
  <c r="H24" i="6" s="1"/>
  <c r="BB64" i="6"/>
  <c r="BB65" i="6" s="1"/>
  <c r="BB66" i="6" s="1"/>
  <c r="L64" i="6"/>
  <c r="L65" i="6" s="1"/>
  <c r="L66" i="6" s="1"/>
  <c r="L24" i="6" s="1"/>
  <c r="AD64" i="6"/>
  <c r="AD65" i="6" s="1"/>
  <c r="AD66" i="6" s="1"/>
  <c r="AD24" i="6" s="1"/>
  <c r="AU64" i="6"/>
  <c r="AU65" i="6" s="1"/>
  <c r="AU66" i="6" s="1"/>
  <c r="N64" i="6"/>
  <c r="N65" i="6" s="1"/>
  <c r="N66" i="6" s="1"/>
  <c r="N24" i="6" s="1"/>
  <c r="CF64" i="6"/>
  <c r="CF65" i="6" s="1"/>
  <c r="CF66" i="6" s="1"/>
  <c r="CF24" i="6" s="1"/>
  <c r="BW64" i="6"/>
  <c r="BW65" i="6" s="1"/>
  <c r="BW66" i="6" s="1"/>
  <c r="BW24" i="6" s="1"/>
  <c r="BN64" i="6"/>
  <c r="BN65" i="6" s="1"/>
  <c r="BN66" i="6" s="1"/>
  <c r="O64" i="6"/>
  <c r="O65" i="6" s="1"/>
  <c r="O66" i="6" s="1"/>
  <c r="AG64" i="6"/>
  <c r="AG65" i="6" s="1"/>
  <c r="AG66" i="6" s="1"/>
  <c r="AG24" i="6" s="1"/>
  <c r="AX64" i="6"/>
  <c r="AX65" i="6" s="1"/>
  <c r="AX66" i="6" s="1"/>
  <c r="AX24" i="6" s="1"/>
  <c r="AC64" i="6"/>
  <c r="AC65" i="6" s="1"/>
  <c r="AC66" i="6" s="1"/>
  <c r="AC24" i="6" s="1"/>
  <c r="BE64" i="6"/>
  <c r="BE65" i="6" s="1"/>
  <c r="BE66" i="6" s="1"/>
  <c r="BY64" i="6"/>
  <c r="BY65" i="6" s="1"/>
  <c r="BY66" i="6" s="1"/>
  <c r="BG64" i="6"/>
  <c r="BG65" i="6" s="1"/>
  <c r="BG66" i="6" s="1"/>
  <c r="BG24" i="6" s="1"/>
  <c r="Z64" i="6"/>
  <c r="Z65" i="6" s="1"/>
  <c r="Z66" i="6" s="1"/>
  <c r="Z24" i="6" s="1"/>
  <c r="X64" i="6"/>
  <c r="X65" i="6" s="1"/>
  <c r="X66" i="6" s="1"/>
  <c r="X24" i="6" s="1"/>
  <c r="AW64" i="6"/>
  <c r="AW65" i="6" s="1"/>
  <c r="AW66" i="6" s="1"/>
  <c r="BZ64" i="6"/>
  <c r="BZ65" i="6" s="1"/>
  <c r="BZ66" i="6" s="1"/>
  <c r="BZ24" i="6" s="1"/>
  <c r="BQ64" i="6"/>
  <c r="BQ65" i="6" s="1"/>
  <c r="BQ66" i="6" s="1"/>
  <c r="BQ24" i="6" s="1"/>
  <c r="BH64" i="6"/>
  <c r="BH65" i="6" s="1"/>
  <c r="BH66" i="6" s="1"/>
  <c r="AY64" i="6"/>
  <c r="AY65" i="6" s="1"/>
  <c r="AY66" i="6" s="1"/>
  <c r="AY24" i="6" s="1"/>
  <c r="J64" i="6"/>
  <c r="J65" i="6" s="1"/>
  <c r="J66" i="6" s="1"/>
  <c r="J24" i="6" s="1"/>
  <c r="Y64" i="6"/>
  <c r="Y65" i="6" s="1"/>
  <c r="Y66" i="6" s="1"/>
  <c r="CC64" i="6"/>
  <c r="CC65" i="6" s="1"/>
  <c r="CC66" i="6" s="1"/>
  <c r="CH64" i="6"/>
  <c r="CH65" i="6" s="1"/>
  <c r="CH66" i="6" s="1"/>
  <c r="CH24" i="6" s="1"/>
  <c r="BP64" i="6"/>
  <c r="BP65" i="6" s="1"/>
  <c r="BP66" i="6" s="1"/>
  <c r="P64" i="6"/>
  <c r="P65" i="6" s="1"/>
  <c r="P66" i="6" s="1"/>
  <c r="P24" i="6" s="1"/>
  <c r="S64" i="6"/>
  <c r="S65" i="6" s="1"/>
  <c r="S66" i="6" s="1"/>
  <c r="CI64" i="6"/>
  <c r="CI65" i="6" s="1"/>
  <c r="CI66" i="6" s="1"/>
  <c r="CI24" i="6" s="1"/>
  <c r="AH64" i="6"/>
  <c r="AH65" i="6" s="1"/>
  <c r="AH66" i="6" s="1"/>
  <c r="AB64" i="6"/>
  <c r="AB65" i="6" s="1"/>
  <c r="AB66" i="6" s="1"/>
  <c r="AJ64" i="6"/>
  <c r="AJ65" i="6" s="1"/>
  <c r="AJ66" i="6" s="1"/>
  <c r="CB64" i="6"/>
  <c r="CB65" i="6" s="1"/>
  <c r="CB66" i="6" s="1"/>
  <c r="CB24" i="6" s="1"/>
  <c r="CA64" i="6"/>
  <c r="CA65" i="6" s="1"/>
  <c r="CA66" i="6" s="1"/>
  <c r="CA24" i="6" s="1"/>
  <c r="BR64" i="6"/>
  <c r="BR65" i="6" s="1"/>
  <c r="BR66" i="6" s="1"/>
  <c r="BR24" i="6" s="1"/>
  <c r="BI64" i="6"/>
  <c r="BI65" i="6" s="1"/>
  <c r="BI66" i="6" s="1"/>
  <c r="BI24" i="6" s="1"/>
  <c r="AZ64" i="6"/>
  <c r="AZ65" i="6" s="1"/>
  <c r="AZ66" i="6" s="1"/>
  <c r="AQ64" i="6"/>
  <c r="AQ65" i="6" s="1"/>
  <c r="AQ66" i="6" s="1"/>
  <c r="AQ24" i="6" s="1"/>
  <c r="D94" i="5"/>
  <c r="E89" i="5"/>
  <c r="AO67" i="6"/>
  <c r="D59" i="6"/>
  <c r="E59" i="6" s="1"/>
  <c r="O60" i="6"/>
  <c r="AD67" i="6" l="1"/>
  <c r="W67" i="6"/>
  <c r="W24" i="6"/>
  <c r="W22" i="6" s="1"/>
  <c r="Q67" i="6"/>
  <c r="Q24" i="6"/>
  <c r="Q22" i="6" s="1"/>
  <c r="BK67" i="6"/>
  <c r="BK24" i="6"/>
  <c r="BK22" i="6" s="1"/>
  <c r="I67" i="6"/>
  <c r="I24" i="6"/>
  <c r="I22" i="6" s="1"/>
  <c r="CG67" i="6"/>
  <c r="CG24" i="6"/>
  <c r="CG22" i="6" s="1"/>
  <c r="BH67" i="6"/>
  <c r="BH24" i="6"/>
  <c r="BH22" i="6" s="1"/>
  <c r="BS67" i="6"/>
  <c r="BS24" i="6"/>
  <c r="BS22" i="6" s="1"/>
  <c r="AS67" i="6"/>
  <c r="AS24" i="6"/>
  <c r="AS22" i="6" s="1"/>
  <c r="AU67" i="6"/>
  <c r="AU24" i="6"/>
  <c r="AU22" i="6" s="1"/>
  <c r="U67" i="6"/>
  <c r="U24" i="6"/>
  <c r="U22" i="6" s="1"/>
  <c r="BA67" i="6"/>
  <c r="BA24" i="6"/>
  <c r="BA22" i="6" s="1"/>
  <c r="AJ67" i="6"/>
  <c r="AJ24" i="6"/>
  <c r="AJ22" i="6" s="1"/>
  <c r="CC67" i="6"/>
  <c r="CC24" i="6"/>
  <c r="CC22" i="6" s="1"/>
  <c r="AE67" i="6"/>
  <c r="AE24" i="6"/>
  <c r="AE22" i="6" s="1"/>
  <c r="BJ67" i="6"/>
  <c r="BJ24" i="6"/>
  <c r="BJ22" i="6" s="1"/>
  <c r="BF67" i="6"/>
  <c r="BF24" i="6"/>
  <c r="BF22" i="6" s="1"/>
  <c r="BU67" i="6"/>
  <c r="BU24" i="6"/>
  <c r="BU22" i="6" s="1"/>
  <c r="AA67" i="6"/>
  <c r="AA24" i="6"/>
  <c r="AA22" i="6" s="1"/>
  <c r="AL67" i="6"/>
  <c r="AL24" i="6"/>
  <c r="AL22" i="6" s="1"/>
  <c r="AP67" i="6"/>
  <c r="AP24" i="6"/>
  <c r="AP22" i="6" s="1"/>
  <c r="AK67" i="6"/>
  <c r="AK24" i="6"/>
  <c r="AK22" i="6" s="1"/>
  <c r="AT67" i="6"/>
  <c r="AT24" i="6"/>
  <c r="AT22" i="6" s="1"/>
  <c r="AB67" i="6"/>
  <c r="AB24" i="6"/>
  <c r="AB22" i="6" s="1"/>
  <c r="Y67" i="6"/>
  <c r="Y24" i="6"/>
  <c r="Y22" i="6" s="1"/>
  <c r="BX67" i="6"/>
  <c r="BX24" i="6"/>
  <c r="BX22" i="6" s="1"/>
  <c r="BT67" i="6"/>
  <c r="BT24" i="6"/>
  <c r="BT22" i="6" s="1"/>
  <c r="CD67" i="6"/>
  <c r="CD24" i="6"/>
  <c r="CD22" i="6" s="1"/>
  <c r="CE67" i="6"/>
  <c r="CE24" i="6"/>
  <c r="CE22" i="6" s="1"/>
  <c r="BL67" i="6"/>
  <c r="BL24" i="6"/>
  <c r="BL22" i="6" s="1"/>
  <c r="S67" i="6"/>
  <c r="S24" i="6"/>
  <c r="S22" i="6" s="1"/>
  <c r="BC67" i="6"/>
  <c r="BC24" i="6"/>
  <c r="BC22" i="6" s="1"/>
  <c r="AR67" i="6"/>
  <c r="AR24" i="6"/>
  <c r="AR22" i="6" s="1"/>
  <c r="AH67" i="6"/>
  <c r="AH24" i="6"/>
  <c r="AH22" i="6" s="1"/>
  <c r="O67" i="6"/>
  <c r="O24" i="6"/>
  <c r="O22" i="6" s="1"/>
  <c r="AV67" i="6"/>
  <c r="AV24" i="6"/>
  <c r="AV22" i="6" s="1"/>
  <c r="T67" i="6"/>
  <c r="T24" i="6"/>
  <c r="T22" i="6" s="1"/>
  <c r="R67" i="6"/>
  <c r="R24" i="6"/>
  <c r="R22" i="6" s="1"/>
  <c r="BM67" i="6"/>
  <c r="BM24" i="6"/>
  <c r="BM22" i="6" s="1"/>
  <c r="V67" i="6"/>
  <c r="V24" i="6"/>
  <c r="V22" i="6" s="1"/>
  <c r="BE67" i="6"/>
  <c r="BE24" i="6"/>
  <c r="BE22" i="6" s="1"/>
  <c r="M67" i="6"/>
  <c r="M24" i="6"/>
  <c r="M22" i="6" s="1"/>
  <c r="AF67" i="6"/>
  <c r="AF24" i="6"/>
  <c r="AF22" i="6" s="1"/>
  <c r="BP67" i="6"/>
  <c r="BP24" i="6"/>
  <c r="BP22" i="6" s="1"/>
  <c r="AW67" i="6"/>
  <c r="AW24" i="6"/>
  <c r="AW22" i="6" s="1"/>
  <c r="BO67" i="6"/>
  <c r="BO24" i="6"/>
  <c r="BO22" i="6" s="1"/>
  <c r="AZ67" i="6"/>
  <c r="AZ24" i="6"/>
  <c r="AZ22" i="6" s="1"/>
  <c r="BY67" i="6"/>
  <c r="BY24" i="6"/>
  <c r="BY22" i="6" s="1"/>
  <c r="BN67" i="6"/>
  <c r="BN24" i="6"/>
  <c r="BN22" i="6" s="1"/>
  <c r="BB67" i="6"/>
  <c r="BB24" i="6"/>
  <c r="BB22" i="6" s="1"/>
  <c r="AN67" i="6"/>
  <c r="AN24" i="6"/>
  <c r="AN22" i="6" s="1"/>
  <c r="AI67" i="6"/>
  <c r="AI24" i="6"/>
  <c r="AI22" i="6" s="1"/>
  <c r="K67" i="6"/>
  <c r="K24" i="6"/>
  <c r="K22" i="6" s="1"/>
  <c r="AM67" i="6"/>
  <c r="AM24" i="6"/>
  <c r="AM22" i="6" s="1"/>
  <c r="BD67" i="6"/>
  <c r="BD24" i="6"/>
  <c r="BD22" i="6" s="1"/>
  <c r="I94" i="113"/>
  <c r="G94" i="113" s="1"/>
  <c r="G99" i="113"/>
  <c r="BG22" i="6"/>
  <c r="P22" i="6"/>
  <c r="CI22" i="6"/>
  <c r="AY22" i="6"/>
  <c r="AX22" i="6"/>
  <c r="BZ22" i="6"/>
  <c r="BQ22" i="6"/>
  <c r="BR22" i="6"/>
  <c r="CF22" i="6"/>
  <c r="Z22" i="6"/>
  <c r="X22" i="6"/>
  <c r="H22" i="6"/>
  <c r="BV22" i="6"/>
  <c r="BV67" i="6"/>
  <c r="BI22" i="6"/>
  <c r="H67" i="6"/>
  <c r="CB22" i="6"/>
  <c r="N22" i="6"/>
  <c r="E27" i="6"/>
  <c r="BR67" i="6"/>
  <c r="AQ22" i="6"/>
  <c r="X67" i="6"/>
  <c r="Z67" i="6"/>
  <c r="AQ67" i="6"/>
  <c r="CA22" i="6"/>
  <c r="AD22" i="6"/>
  <c r="J22" i="6"/>
  <c r="N67" i="6"/>
  <c r="J67" i="6"/>
  <c r="AC22" i="6"/>
  <c r="BG67" i="6"/>
  <c r="L22" i="6"/>
  <c r="CI67" i="6"/>
  <c r="BW22" i="6"/>
  <c r="AY67" i="6"/>
  <c r="CH22" i="6"/>
  <c r="CA67" i="6"/>
  <c r="BQ67" i="6"/>
  <c r="AX67" i="6"/>
  <c r="AC67" i="6"/>
  <c r="BI67" i="6"/>
  <c r="BW67" i="6"/>
  <c r="L67" i="6"/>
  <c r="CB67" i="6"/>
  <c r="BZ67" i="6"/>
  <c r="CH67" i="6"/>
  <c r="CF67" i="6"/>
  <c r="AG22" i="6"/>
  <c r="AG67" i="6"/>
  <c r="P67" i="6"/>
  <c r="E64" i="6"/>
  <c r="AO22" i="6"/>
  <c r="E102" i="5"/>
  <c r="D102" i="5" s="1"/>
  <c r="D89" i="5"/>
  <c r="D60" i="6"/>
  <c r="G66" i="6"/>
  <c r="G24" i="6" s="1"/>
  <c r="D65" i="6"/>
  <c r="E65" i="6" s="1"/>
  <c r="O77" i="6" l="1"/>
  <c r="D61" i="6"/>
  <c r="G67" i="6"/>
  <c r="D67" i="6" s="1"/>
  <c r="D66" i="6"/>
  <c r="E66" i="6" s="1"/>
  <c r="E60" i="6"/>
  <c r="E67" i="6" l="1"/>
  <c r="D68" i="6"/>
  <c r="I76" i="113"/>
  <c r="E75" i="6"/>
  <c r="D77" i="6"/>
  <c r="E76" i="6"/>
  <c r="E74" i="6"/>
  <c r="E72" i="6"/>
  <c r="E73" i="6"/>
  <c r="E71" i="6"/>
  <c r="E70" i="6"/>
  <c r="G22" i="6"/>
  <c r="E24" i="6"/>
  <c r="G76" i="113" l="1"/>
  <c r="I71" i="113"/>
  <c r="E22" i="6"/>
  <c r="G21" i="6"/>
  <c r="D78" i="6"/>
  <c r="H74" i="113" l="1"/>
  <c r="H75" i="113"/>
  <c r="H76" i="113"/>
  <c r="H73" i="113"/>
  <c r="E96" i="5"/>
  <c r="G25" i="6"/>
  <c r="G71" i="113"/>
  <c r="H72" i="113"/>
  <c r="H21" i="6"/>
  <c r="I21" i="6" l="1"/>
  <c r="J21" i="6" s="1"/>
  <c r="F67" i="8"/>
  <c r="F16" i="9"/>
  <c r="F12" i="9" s="1"/>
  <c r="F96" i="5"/>
  <c r="F29" i="9" l="1"/>
  <c r="G96" i="5"/>
  <c r="K21" i="6"/>
  <c r="H96" i="5" s="1"/>
  <c r="F65" i="8"/>
  <c r="L21" i="6" l="1"/>
  <c r="M21" i="6" s="1"/>
  <c r="F9" i="9"/>
  <c r="F66" i="8"/>
  <c r="F30" i="8" s="1"/>
  <c r="F64" i="8"/>
  <c r="F63" i="8" s="1"/>
  <c r="F31" i="9"/>
  <c r="F32" i="9" s="1"/>
  <c r="F33" i="8" l="1"/>
  <c r="F35" i="8" s="1"/>
  <c r="F35" i="9"/>
  <c r="I96" i="5"/>
  <c r="J96" i="5"/>
  <c r="N21" i="6"/>
  <c r="O21" i="6" s="1"/>
  <c r="F28" i="8" l="1"/>
  <c r="F46" i="8" s="1"/>
  <c r="F47" i="8" s="1"/>
  <c r="G76" i="8" s="1"/>
  <c r="L96" i="5"/>
  <c r="P21" i="6"/>
  <c r="M96" i="5" s="1"/>
  <c r="K96" i="5"/>
  <c r="F19" i="8"/>
  <c r="Q21" i="6" l="1"/>
  <c r="N96" i="5" s="1"/>
  <c r="F21" i="8"/>
  <c r="R21" i="6" l="1"/>
  <c r="O96" i="5" s="1"/>
  <c r="E104" i="5"/>
  <c r="F24" i="9"/>
  <c r="S21" i="6" l="1"/>
  <c r="T21" i="6" s="1"/>
  <c r="F23" i="9"/>
  <c r="P96" i="5" l="1"/>
  <c r="Q96" i="5"/>
  <c r="U21" i="6"/>
  <c r="R96" i="5" l="1"/>
  <c r="V21" i="6"/>
  <c r="S96" i="5" l="1"/>
  <c r="W21" i="6"/>
  <c r="T96" i="5" l="1"/>
  <c r="X21" i="6"/>
  <c r="U96" i="5" l="1"/>
  <c r="Y21" i="6"/>
  <c r="V96" i="5" l="1"/>
  <c r="Z21" i="6"/>
  <c r="W96" i="5" l="1"/>
  <c r="AA21" i="6"/>
  <c r="AA25" i="6" l="1"/>
  <c r="X96" i="5"/>
  <c r="AB21" i="6"/>
  <c r="Y96" i="5" l="1"/>
  <c r="D96" i="5" s="1"/>
  <c r="AB25" i="6"/>
  <c r="AC21" i="6"/>
  <c r="Z16" i="9"/>
  <c r="Z67" i="8"/>
  <c r="Z29" i="9" l="1"/>
  <c r="Z31" i="9" s="1"/>
  <c r="AA67" i="8"/>
  <c r="AA16" i="9"/>
  <c r="AC25" i="6"/>
  <c r="AD21" i="6"/>
  <c r="Z32" i="9" l="1"/>
  <c r="Z35" i="9"/>
  <c r="AA29" i="9"/>
  <c r="AA31" i="9" s="1"/>
  <c r="AD25" i="6"/>
  <c r="AE21" i="6"/>
  <c r="AB67" i="8"/>
  <c r="AB16" i="9"/>
  <c r="AB12" i="9" s="1"/>
  <c r="AA32" i="9" l="1"/>
  <c r="AA35" i="9"/>
  <c r="AB29" i="9"/>
  <c r="AB31" i="9" s="1"/>
  <c r="AE25" i="6"/>
  <c r="AF21" i="6"/>
  <c r="AB9" i="9"/>
  <c r="AC16" i="9"/>
  <c r="AC12" i="9" s="1"/>
  <c r="AC67" i="8"/>
  <c r="AB32" i="9" l="1"/>
  <c r="AB35" i="9"/>
  <c r="AC29" i="9"/>
  <c r="AC31" i="9" s="1"/>
  <c r="AC9" i="9"/>
  <c r="AD67" i="8"/>
  <c r="AD16" i="9"/>
  <c r="AD12" i="9" s="1"/>
  <c r="AF25" i="6"/>
  <c r="AG21" i="6"/>
  <c r="AC32" i="9" l="1"/>
  <c r="AC35" i="9"/>
  <c r="AD29" i="9"/>
  <c r="AD31" i="9" s="1"/>
  <c r="AD9" i="9"/>
  <c r="AG25" i="6"/>
  <c r="AH21" i="6"/>
  <c r="AE67" i="8"/>
  <c r="AE16" i="9"/>
  <c r="AE12" i="9" s="1"/>
  <c r="AD32" i="9" l="1"/>
  <c r="AD35" i="9"/>
  <c r="AE29" i="9"/>
  <c r="AE31" i="9" s="1"/>
  <c r="AE9" i="9"/>
  <c r="AH25" i="6"/>
  <c r="AI21" i="6"/>
  <c r="AF67" i="8"/>
  <c r="AF16" i="9"/>
  <c r="AF12" i="9" s="1"/>
  <c r="AE32" i="9" l="1"/>
  <c r="AE35" i="9"/>
  <c r="AF29" i="9"/>
  <c r="AF31" i="9" s="1"/>
  <c r="AI25" i="6"/>
  <c r="AJ21" i="6"/>
  <c r="AG67" i="8"/>
  <c r="AG16" i="9"/>
  <c r="AG12" i="9" s="1"/>
  <c r="AF9" i="9"/>
  <c r="AF32" i="9" l="1"/>
  <c r="AF35" i="9"/>
  <c r="AG29" i="9"/>
  <c r="AG31" i="9" s="1"/>
  <c r="AG9" i="9"/>
  <c r="AH16" i="9"/>
  <c r="AH12" i="9" s="1"/>
  <c r="AH67" i="8"/>
  <c r="AJ25" i="6"/>
  <c r="AK21" i="6"/>
  <c r="AG32" i="9" l="1"/>
  <c r="AG35" i="9"/>
  <c r="AH29" i="9"/>
  <c r="AH31" i="9" s="1"/>
  <c r="AH9" i="9"/>
  <c r="AI67" i="8"/>
  <c r="AI16" i="9"/>
  <c r="AI12" i="9" s="1"/>
  <c r="AK25" i="6"/>
  <c r="AL21" i="6"/>
  <c r="AH32" i="9" l="1"/>
  <c r="AH35" i="9"/>
  <c r="AI29" i="9"/>
  <c r="AI31" i="9" s="1"/>
  <c r="AJ67" i="8"/>
  <c r="AJ16" i="9"/>
  <c r="AJ12" i="9" s="1"/>
  <c r="AL25" i="6"/>
  <c r="AM21" i="6"/>
  <c r="AI9" i="9"/>
  <c r="AI32" i="9" l="1"/>
  <c r="AI35" i="9"/>
  <c r="AJ29" i="9"/>
  <c r="AJ31" i="9" s="1"/>
  <c r="AM25" i="6"/>
  <c r="AN21" i="6"/>
  <c r="AK16" i="9"/>
  <c r="AK12" i="9" s="1"/>
  <c r="AK67" i="8"/>
  <c r="AJ9" i="9"/>
  <c r="AJ32" i="9" l="1"/>
  <c r="AJ35" i="9"/>
  <c r="AK29" i="9"/>
  <c r="AK31" i="9" s="1"/>
  <c r="AK9" i="9"/>
  <c r="AL67" i="8"/>
  <c r="AL16" i="9"/>
  <c r="AL12" i="9" s="1"/>
  <c r="AN25" i="6"/>
  <c r="AO21" i="6"/>
  <c r="AK32" i="9" l="1"/>
  <c r="AK35" i="9"/>
  <c r="AL29" i="9"/>
  <c r="AL31" i="9" s="1"/>
  <c r="AM67" i="8"/>
  <c r="AM16" i="9"/>
  <c r="AM12" i="9" s="1"/>
  <c r="AO25" i="6"/>
  <c r="AP21" i="6"/>
  <c r="AL9" i="9"/>
  <c r="AL32" i="9" l="1"/>
  <c r="AL35" i="9"/>
  <c r="AM29" i="9"/>
  <c r="AM31" i="9" s="1"/>
  <c r="AP25" i="6"/>
  <c r="AQ21" i="6"/>
  <c r="AM9" i="9"/>
  <c r="AN67" i="8"/>
  <c r="AN16" i="9"/>
  <c r="AN12" i="9" s="1"/>
  <c r="AM32" i="9" l="1"/>
  <c r="AM35" i="9"/>
  <c r="AN29" i="9"/>
  <c r="AN31" i="9" s="1"/>
  <c r="AN9" i="9"/>
  <c r="AQ25" i="6"/>
  <c r="AR21" i="6"/>
  <c r="AO67" i="8"/>
  <c r="AO16" i="9"/>
  <c r="AO12" i="9" s="1"/>
  <c r="AN32" i="9" l="1"/>
  <c r="AN35" i="9"/>
  <c r="AO29" i="9"/>
  <c r="AO31" i="9" s="1"/>
  <c r="AR25" i="6"/>
  <c r="AS21" i="6"/>
  <c r="AO9" i="9"/>
  <c r="AP16" i="9"/>
  <c r="AP12" i="9" s="1"/>
  <c r="AP67" i="8"/>
  <c r="AO32" i="9" l="1"/>
  <c r="AO35" i="9"/>
  <c r="AP29" i="9"/>
  <c r="AP31" i="9" s="1"/>
  <c r="AP9" i="9"/>
  <c r="AS25" i="6"/>
  <c r="AT21" i="6"/>
  <c r="AQ67" i="8"/>
  <c r="AQ16" i="9"/>
  <c r="AQ12" i="9" s="1"/>
  <c r="AP32" i="9" l="1"/>
  <c r="AP35" i="9"/>
  <c r="AQ29" i="9"/>
  <c r="AQ31" i="9" s="1"/>
  <c r="AT25" i="6"/>
  <c r="AU21" i="6"/>
  <c r="AR67" i="8"/>
  <c r="AR16" i="9"/>
  <c r="AR12" i="9" s="1"/>
  <c r="AQ9" i="9"/>
  <c r="AQ32" i="9" l="1"/>
  <c r="AQ35" i="9"/>
  <c r="AR29" i="9"/>
  <c r="AR31" i="9" s="1"/>
  <c r="AR9" i="9"/>
  <c r="AU25" i="6"/>
  <c r="AV21" i="6"/>
  <c r="AS16" i="9"/>
  <c r="AS12" i="9" s="1"/>
  <c r="AS67" i="8"/>
  <c r="AR32" i="9" l="1"/>
  <c r="AR35" i="9"/>
  <c r="AS29" i="9"/>
  <c r="AS31" i="9" s="1"/>
  <c r="AS9" i="9"/>
  <c r="AV25" i="6"/>
  <c r="AW21" i="6"/>
  <c r="AT67" i="8"/>
  <c r="AT16" i="9"/>
  <c r="AT12" i="9" s="1"/>
  <c r="AS32" i="9" l="1"/>
  <c r="AS35" i="9"/>
  <c r="AT29" i="9"/>
  <c r="AT31" i="9" s="1"/>
  <c r="AU67" i="8"/>
  <c r="AU16" i="9"/>
  <c r="AU12" i="9" s="1"/>
  <c r="AW25" i="6"/>
  <c r="AX21" i="6"/>
  <c r="AT9" i="9"/>
  <c r="AT32" i="9" l="1"/>
  <c r="AT35" i="9"/>
  <c r="AU29" i="9"/>
  <c r="AU31" i="9" s="1"/>
  <c r="AV67" i="8"/>
  <c r="AV16" i="9"/>
  <c r="AV12" i="9" s="1"/>
  <c r="AX25" i="6"/>
  <c r="AY21" i="6"/>
  <c r="AU9" i="9"/>
  <c r="AU32" i="9" l="1"/>
  <c r="AU35" i="9"/>
  <c r="AV29" i="9"/>
  <c r="AV31" i="9" s="1"/>
  <c r="AV9" i="9"/>
  <c r="AW67" i="8"/>
  <c r="AW16" i="9"/>
  <c r="AW12" i="9" s="1"/>
  <c r="AY25" i="6"/>
  <c r="AZ21" i="6"/>
  <c r="AV32" i="9" l="1"/>
  <c r="AV35" i="9"/>
  <c r="AW29" i="9"/>
  <c r="AW31" i="9" s="1"/>
  <c r="AW9" i="9"/>
  <c r="AZ25" i="6"/>
  <c r="BA21" i="6"/>
  <c r="AX16" i="9"/>
  <c r="AX12" i="9" s="1"/>
  <c r="AX67" i="8"/>
  <c r="AW32" i="9" l="1"/>
  <c r="AW35" i="9"/>
  <c r="AX29" i="9"/>
  <c r="AX31" i="9" s="1"/>
  <c r="AX9" i="9"/>
  <c r="AY67" i="8"/>
  <c r="AY16" i="9"/>
  <c r="AY12" i="9" s="1"/>
  <c r="BA25" i="6"/>
  <c r="BB21" i="6"/>
  <c r="AX32" i="9" l="1"/>
  <c r="AX35" i="9"/>
  <c r="AY29" i="9"/>
  <c r="AY31" i="9" s="1"/>
  <c r="AY9" i="9"/>
  <c r="BB25" i="6"/>
  <c r="BC21" i="6"/>
  <c r="AZ67" i="8"/>
  <c r="AZ16" i="9"/>
  <c r="AZ12" i="9" s="1"/>
  <c r="AY32" i="9" l="1"/>
  <c r="AY35" i="9"/>
  <c r="AZ29" i="9"/>
  <c r="AZ31" i="9" s="1"/>
  <c r="AZ9" i="9"/>
  <c r="BA16" i="9"/>
  <c r="BA12" i="9" s="1"/>
  <c r="BA67" i="8"/>
  <c r="BC25" i="6"/>
  <c r="BD21" i="6"/>
  <c r="AZ32" i="9" l="1"/>
  <c r="AZ35" i="9"/>
  <c r="BA29" i="9"/>
  <c r="BA31" i="9" s="1"/>
  <c r="BD25" i="6"/>
  <c r="BE21" i="6"/>
  <c r="BB67" i="8"/>
  <c r="BB16" i="9"/>
  <c r="BB12" i="9" s="1"/>
  <c r="BA9" i="9"/>
  <c r="BA32" i="9" l="1"/>
  <c r="BA35" i="9"/>
  <c r="BB29" i="9"/>
  <c r="BB31" i="9" s="1"/>
  <c r="BB9" i="9"/>
  <c r="BC67" i="8"/>
  <c r="BC16" i="9"/>
  <c r="BC12" i="9" s="1"/>
  <c r="BE25" i="6"/>
  <c r="BF21" i="6"/>
  <c r="BB32" i="9" l="1"/>
  <c r="BB35" i="9"/>
  <c r="BC29" i="9"/>
  <c r="BC31" i="9" s="1"/>
  <c r="BF25" i="6"/>
  <c r="BG21" i="6"/>
  <c r="BD67" i="8"/>
  <c r="BD16" i="9"/>
  <c r="BD12" i="9" s="1"/>
  <c r="BC9" i="9"/>
  <c r="BC32" i="9" l="1"/>
  <c r="BC35" i="9"/>
  <c r="BD29" i="9"/>
  <c r="BD31" i="9" s="1"/>
  <c r="BD9" i="9"/>
  <c r="BG25" i="6"/>
  <c r="BH21" i="6"/>
  <c r="BE67" i="8"/>
  <c r="BE16" i="9"/>
  <c r="BE12" i="9" s="1"/>
  <c r="BD32" i="9" l="1"/>
  <c r="BD35" i="9"/>
  <c r="BE29" i="9"/>
  <c r="BE31" i="9" s="1"/>
  <c r="BH25" i="6"/>
  <c r="BI21" i="6"/>
  <c r="BF16" i="9"/>
  <c r="BF12" i="9" s="1"/>
  <c r="BF67" i="8"/>
  <c r="BE9" i="9"/>
  <c r="BE32" i="9" l="1"/>
  <c r="BE35" i="9"/>
  <c r="BF29" i="9"/>
  <c r="BF31" i="9" s="1"/>
  <c r="BF9" i="9"/>
  <c r="BG67" i="8"/>
  <c r="BG16" i="9"/>
  <c r="BG12" i="9" s="1"/>
  <c r="BI25" i="6"/>
  <c r="BJ21" i="6"/>
  <c r="BF32" i="9" l="1"/>
  <c r="BF35" i="9"/>
  <c r="BG29" i="9"/>
  <c r="BG31" i="9" s="1"/>
  <c r="BH67" i="8"/>
  <c r="BH16" i="9"/>
  <c r="BH12" i="9" s="1"/>
  <c r="BJ25" i="6"/>
  <c r="BK21" i="6"/>
  <c r="BG9" i="9"/>
  <c r="BG32" i="9" l="1"/>
  <c r="BG35" i="9"/>
  <c r="BH29" i="9"/>
  <c r="BH31" i="9" s="1"/>
  <c r="BH9" i="9"/>
  <c r="BI16" i="9"/>
  <c r="BI12" i="9" s="1"/>
  <c r="BI67" i="8"/>
  <c r="BK25" i="6"/>
  <c r="BL21" i="6"/>
  <c r="BH32" i="9" l="1"/>
  <c r="BH35" i="9"/>
  <c r="BI29" i="9"/>
  <c r="BI31" i="9" s="1"/>
  <c r="BI9" i="9"/>
  <c r="BL25" i="6"/>
  <c r="BM21" i="6"/>
  <c r="BJ67" i="8"/>
  <c r="BJ16" i="9"/>
  <c r="BJ12" i="9" s="1"/>
  <c r="BI32" i="9" l="1"/>
  <c r="BI35" i="9"/>
  <c r="BJ29" i="9"/>
  <c r="BJ31" i="9" s="1"/>
  <c r="BM25" i="6"/>
  <c r="BN21" i="6"/>
  <c r="BK67" i="8"/>
  <c r="BK16" i="9"/>
  <c r="BK12" i="9" s="1"/>
  <c r="BJ9" i="9"/>
  <c r="BJ32" i="9" l="1"/>
  <c r="BJ35" i="9"/>
  <c r="BK29" i="9"/>
  <c r="BK31" i="9" s="1"/>
  <c r="BK9" i="9"/>
  <c r="BL67" i="8"/>
  <c r="BL16" i="9"/>
  <c r="BL12" i="9" s="1"/>
  <c r="BN25" i="6"/>
  <c r="BO21" i="6"/>
  <c r="BK32" i="9" l="1"/>
  <c r="BK35" i="9"/>
  <c r="BL29" i="9"/>
  <c r="BL31" i="9" s="1"/>
  <c r="BL9" i="9"/>
  <c r="BM67" i="8"/>
  <c r="BM16" i="9"/>
  <c r="BM12" i="9" s="1"/>
  <c r="BO25" i="6"/>
  <c r="BP21" i="6"/>
  <c r="BL32" i="9" l="1"/>
  <c r="BL35" i="9"/>
  <c r="BM29" i="9"/>
  <c r="BM31" i="9" s="1"/>
  <c r="BP25" i="6"/>
  <c r="BQ21" i="6"/>
  <c r="BN16" i="9"/>
  <c r="BN12" i="9" s="1"/>
  <c r="BN67" i="8"/>
  <c r="BM9" i="9"/>
  <c r="BM32" i="9" l="1"/>
  <c r="BM35" i="9"/>
  <c r="BN29" i="9"/>
  <c r="BN31" i="9" s="1"/>
  <c r="BN9" i="9"/>
  <c r="BO67" i="8"/>
  <c r="BO16" i="9"/>
  <c r="BO12" i="9" s="1"/>
  <c r="BQ25" i="6"/>
  <c r="BR21" i="6"/>
  <c r="BN32" i="9" l="1"/>
  <c r="BN35" i="9"/>
  <c r="BO29" i="9"/>
  <c r="BO31" i="9" s="1"/>
  <c r="BO9" i="9"/>
  <c r="BR25" i="6"/>
  <c r="BS21" i="6"/>
  <c r="BP67" i="8"/>
  <c r="BP16" i="9"/>
  <c r="BP12" i="9" s="1"/>
  <c r="BO32" i="9" l="1"/>
  <c r="BO35" i="9"/>
  <c r="BP29" i="9"/>
  <c r="BP31" i="9" s="1"/>
  <c r="BP9" i="9"/>
  <c r="BS25" i="6"/>
  <c r="BT21" i="6"/>
  <c r="BQ16" i="9"/>
  <c r="BQ12" i="9" s="1"/>
  <c r="BQ67" i="8"/>
  <c r="BP32" i="9" l="1"/>
  <c r="BP35" i="9"/>
  <c r="BQ29" i="9"/>
  <c r="BQ31" i="9" s="1"/>
  <c r="BQ9" i="9"/>
  <c r="BT25" i="6"/>
  <c r="BU21" i="6"/>
  <c r="BR67" i="8"/>
  <c r="BR16" i="9"/>
  <c r="BR12" i="9" s="1"/>
  <c r="BQ32" i="9" l="1"/>
  <c r="BQ35" i="9"/>
  <c r="BR29" i="9"/>
  <c r="BR31" i="9" s="1"/>
  <c r="BR9" i="9"/>
  <c r="BU25" i="6"/>
  <c r="BV21" i="6"/>
  <c r="BS67" i="8"/>
  <c r="BS16" i="9"/>
  <c r="BS12" i="9" s="1"/>
  <c r="BR32" i="9" l="1"/>
  <c r="BR35" i="9"/>
  <c r="BS29" i="9"/>
  <c r="BS31" i="9" s="1"/>
  <c r="BS9" i="9"/>
  <c r="BT67" i="8"/>
  <c r="BT16" i="9"/>
  <c r="BT12" i="9" s="1"/>
  <c r="BV25" i="6"/>
  <c r="BW21" i="6"/>
  <c r="BS32" i="9" l="1"/>
  <c r="BS35" i="9"/>
  <c r="BT29" i="9"/>
  <c r="BT31" i="9" s="1"/>
  <c r="BU67" i="8"/>
  <c r="BU16" i="9"/>
  <c r="BU12" i="9" s="1"/>
  <c r="BW25" i="6"/>
  <c r="BX21" i="6"/>
  <c r="BT9" i="9"/>
  <c r="BT32" i="9" l="1"/>
  <c r="BT35" i="9"/>
  <c r="BU29" i="9"/>
  <c r="BU31" i="9" s="1"/>
  <c r="BX25" i="6"/>
  <c r="BY21" i="6"/>
  <c r="BU9" i="9"/>
  <c r="BV67" i="8"/>
  <c r="BV16" i="9"/>
  <c r="BV12" i="9" s="1"/>
  <c r="BU32" i="9" l="1"/>
  <c r="BU35" i="9"/>
  <c r="BV29" i="9"/>
  <c r="BV31" i="9" s="1"/>
  <c r="BV9" i="9"/>
  <c r="BW67" i="8"/>
  <c r="BW16" i="9"/>
  <c r="BW12" i="9" s="1"/>
  <c r="BY25" i="6"/>
  <c r="BZ21" i="6"/>
  <c r="BV32" i="9" l="1"/>
  <c r="BV35" i="9"/>
  <c r="BW29" i="9"/>
  <c r="BW31" i="9" s="1"/>
  <c r="BW9" i="9"/>
  <c r="BZ25" i="6"/>
  <c r="CA21" i="6"/>
  <c r="BX67" i="8"/>
  <c r="BX16" i="9"/>
  <c r="BX12" i="9" s="1"/>
  <c r="BW32" i="9" l="1"/>
  <c r="BW35" i="9"/>
  <c r="BX29" i="9"/>
  <c r="BX31" i="9" s="1"/>
  <c r="BY16" i="9"/>
  <c r="BY12" i="9" s="1"/>
  <c r="BY67" i="8"/>
  <c r="CA25" i="6"/>
  <c r="CB21" i="6"/>
  <c r="BX9" i="9"/>
  <c r="BX32" i="9" l="1"/>
  <c r="BX35" i="9"/>
  <c r="BY29" i="9"/>
  <c r="BY31" i="9" s="1"/>
  <c r="BY9" i="9"/>
  <c r="CB25" i="6"/>
  <c r="CC21" i="6"/>
  <c r="BZ67" i="8"/>
  <c r="BZ16" i="9"/>
  <c r="BZ12" i="9" s="1"/>
  <c r="BY32" i="9" l="1"/>
  <c r="BY35" i="9"/>
  <c r="BZ29" i="9"/>
  <c r="BZ31" i="9" s="1"/>
  <c r="CA67" i="8"/>
  <c r="CA16" i="9"/>
  <c r="CA12" i="9" s="1"/>
  <c r="BZ9" i="9"/>
  <c r="CC25" i="6"/>
  <c r="CD21" i="6"/>
  <c r="BZ32" i="9" l="1"/>
  <c r="BZ35" i="9"/>
  <c r="CA29" i="9"/>
  <c r="CA31" i="9" s="1"/>
  <c r="CA9" i="9"/>
  <c r="CD25" i="6"/>
  <c r="CE21" i="6"/>
  <c r="CB67" i="8"/>
  <c r="CB16" i="9"/>
  <c r="CB12" i="9" s="1"/>
  <c r="CA32" i="9" l="1"/>
  <c r="CA35" i="9"/>
  <c r="CB29" i="9"/>
  <c r="CB31" i="9" s="1"/>
  <c r="CE25" i="6"/>
  <c r="CF21" i="6"/>
  <c r="CB9" i="9"/>
  <c r="CC67" i="8"/>
  <c r="CC16" i="9"/>
  <c r="CC12" i="9" s="1"/>
  <c r="CB32" i="9" l="1"/>
  <c r="CB35" i="9"/>
  <c r="CC29" i="9"/>
  <c r="CC31" i="9" s="1"/>
  <c r="CF25" i="6"/>
  <c r="CG21" i="6"/>
  <c r="CD67" i="8"/>
  <c r="CD16" i="9"/>
  <c r="CD12" i="9" s="1"/>
  <c r="CC9" i="9"/>
  <c r="CC32" i="9" l="1"/>
  <c r="CC35" i="9"/>
  <c r="CD29" i="9"/>
  <c r="CD31" i="9" s="1"/>
  <c r="CG25" i="6"/>
  <c r="CH21" i="6"/>
  <c r="CE67" i="8"/>
  <c r="CE16" i="9"/>
  <c r="CE12" i="9" s="1"/>
  <c r="CD9" i="9"/>
  <c r="CD32" i="9" l="1"/>
  <c r="CD35" i="9"/>
  <c r="CE29" i="9"/>
  <c r="CE31" i="9" s="1"/>
  <c r="CE9" i="9"/>
  <c r="CH25" i="6"/>
  <c r="CI21" i="6"/>
  <c r="CF67" i="8"/>
  <c r="CF16" i="9"/>
  <c r="CF12" i="9" s="1"/>
  <c r="CE32" i="9" l="1"/>
  <c r="CE35" i="9"/>
  <c r="CF29" i="9"/>
  <c r="CF31" i="9" s="1"/>
  <c r="CF9" i="9"/>
  <c r="CI25" i="6"/>
  <c r="E21" i="6"/>
  <c r="D28" i="6" s="1"/>
  <c r="CG16" i="9"/>
  <c r="CG12" i="9" s="1"/>
  <c r="CG67" i="8"/>
  <c r="CF32" i="9" l="1"/>
  <c r="CF35" i="9"/>
  <c r="CG29" i="9"/>
  <c r="CG31" i="9" s="1"/>
  <c r="CG9" i="9"/>
  <c r="CH67" i="8"/>
  <c r="CH16" i="9"/>
  <c r="CH12" i="9" s="1"/>
  <c r="I103" i="113"/>
  <c r="D29" i="6"/>
  <c r="CG32" i="9" l="1"/>
  <c r="CG35" i="9"/>
  <c r="CH29" i="9"/>
  <c r="T113" i="113"/>
  <c r="CH9" i="9" l="1"/>
  <c r="CH31" i="9"/>
  <c r="CH32" i="9" l="1"/>
  <c r="CH35" i="9"/>
  <c r="BH37" i="9"/>
  <c r="BI37" i="9" l="1"/>
  <c r="BI38" i="9" s="1"/>
  <c r="BJ37" i="9" l="1"/>
  <c r="BJ38" i="9" l="1"/>
  <c r="BK38" i="9"/>
  <c r="AA75" i="8" l="1"/>
  <c r="AA74" i="8" s="1"/>
  <c r="Y97" i="5"/>
  <c r="AA17" i="9"/>
  <c r="AA12" i="9" s="1"/>
  <c r="AA9" i="9" l="1"/>
  <c r="V17" i="9"/>
  <c r="T97" i="5"/>
  <c r="V75" i="8"/>
  <c r="V74" i="8" l="1"/>
  <c r="Z17" i="9" l="1"/>
  <c r="Z12" i="9" s="1"/>
  <c r="X97" i="5"/>
  <c r="Z75" i="8"/>
  <c r="Z74" i="8" s="1"/>
  <c r="T114" i="113" l="1"/>
  <c r="T108" i="113" s="1"/>
  <c r="Z9" i="9"/>
  <c r="BL79" i="5" l="1"/>
  <c r="W37" i="8" s="1"/>
  <c r="W23" i="8"/>
  <c r="U98" i="5" s="1"/>
  <c r="BM79" i="5"/>
  <c r="X37" i="8" s="1"/>
  <c r="X23" i="8"/>
  <c r="Y19" i="6" s="1"/>
  <c r="Y25" i="6" s="1"/>
  <c r="BJ79" i="5"/>
  <c r="U37" i="8" s="1"/>
  <c r="Y23" i="8"/>
  <c r="W98" i="5" s="1"/>
  <c r="Z19" i="6"/>
  <c r="Z25" i="6" s="1"/>
  <c r="BN79" i="5"/>
  <c r="Y37" i="8" s="1"/>
  <c r="BK79" i="5"/>
  <c r="V37" i="8" s="1"/>
  <c r="V23" i="8"/>
  <c r="W19" i="6"/>
  <c r="W25" i="6" s="1"/>
  <c r="U23" i="8"/>
  <c r="V19" i="6"/>
  <c r="V25" i="6" s="1"/>
  <c r="U16" i="9" s="1"/>
  <c r="U12" i="9" s="1"/>
  <c r="U29" i="9" l="1"/>
  <c r="V67" i="8"/>
  <c r="V16" i="9"/>
  <c r="V12" i="9" s="1"/>
  <c r="U67" i="8"/>
  <c r="U9" i="9"/>
  <c r="U25" i="9"/>
  <c r="S98" i="5"/>
  <c r="V43" i="8"/>
  <c r="T98" i="5"/>
  <c r="V25" i="9"/>
  <c r="U43" i="8"/>
  <c r="X67" i="8"/>
  <c r="X16" i="9"/>
  <c r="X43" i="8"/>
  <c r="W43" i="8"/>
  <c r="Y43" i="8"/>
  <c r="Y67" i="8"/>
  <c r="Y16" i="9"/>
  <c r="Y25" i="9"/>
  <c r="Y30" i="9" s="1"/>
  <c r="X19" i="6"/>
  <c r="X25" i="6" s="1"/>
  <c r="X25" i="9"/>
  <c r="X30" i="9" s="1"/>
  <c r="V98" i="5"/>
  <c r="W25" i="9"/>
  <c r="W30" i="9" s="1"/>
  <c r="Y29" i="9" l="1"/>
  <c r="Y31" i="9" s="1"/>
  <c r="X29" i="9"/>
  <c r="X31" i="9" s="1"/>
  <c r="V29" i="9"/>
  <c r="G84" i="113"/>
  <c r="F84" i="113"/>
  <c r="W67" i="8"/>
  <c r="W16" i="9"/>
  <c r="W12" i="9" s="1"/>
  <c r="V30" i="9"/>
  <c r="S122" i="113"/>
  <c r="V9" i="9"/>
  <c r="U30" i="9"/>
  <c r="X32" i="9" l="1"/>
  <c r="X35" i="9"/>
  <c r="Y32" i="9"/>
  <c r="S113" i="113"/>
  <c r="W29" i="9"/>
  <c r="W31" i="9" s="1"/>
  <c r="U31" i="9"/>
  <c r="W9" i="9"/>
  <c r="V31" i="9"/>
  <c r="U32" i="9" l="1"/>
  <c r="U35" i="9"/>
  <c r="W32" i="9"/>
  <c r="W35" i="9"/>
  <c r="V32" i="9"/>
  <c r="V35" i="9"/>
  <c r="I93" i="113"/>
  <c r="J93" i="113" s="1"/>
  <c r="G93" i="113" l="1"/>
  <c r="BI78" i="5" l="1"/>
  <c r="BI79" i="5"/>
  <c r="T37" i="8" s="1"/>
  <c r="T23" i="8"/>
  <c r="R98" i="5" l="1"/>
  <c r="U19" i="6"/>
  <c r="T25" i="9"/>
  <c r="T43" i="8"/>
  <c r="T30" i="9" l="1"/>
  <c r="U25" i="6"/>
  <c r="T16" i="9" l="1"/>
  <c r="T67" i="8"/>
  <c r="T29" i="9" l="1"/>
  <c r="T31" i="9" l="1"/>
  <c r="T32" i="9" l="1"/>
  <c r="T35" i="9"/>
  <c r="Q97" i="5"/>
  <c r="S75" i="8"/>
  <c r="S17" i="9"/>
  <c r="S74" i="8" l="1"/>
  <c r="F18" i="8"/>
  <c r="F21" i="9"/>
  <c r="F32" i="8"/>
  <c r="F48" i="8"/>
  <c r="F22" i="8" s="1"/>
  <c r="G49" i="8" l="1"/>
  <c r="AV78" i="5" s="1"/>
  <c r="AV79" i="5" s="1"/>
  <c r="G37" i="8" s="1"/>
  <c r="F17" i="8"/>
  <c r="E103" i="5"/>
  <c r="G23" i="8" l="1"/>
  <c r="F98" i="5" s="1"/>
  <c r="G43" i="8"/>
  <c r="E105" i="5"/>
  <c r="F22" i="9"/>
  <c r="H19" i="6" l="1"/>
  <c r="H25" i="6" s="1"/>
  <c r="G25" i="9"/>
  <c r="G30" i="9" s="1"/>
  <c r="F20" i="9"/>
  <c r="F19" i="9" l="1"/>
  <c r="G67" i="8"/>
  <c r="G16" i="9"/>
  <c r="G65" i="8" l="1"/>
  <c r="G64" i="8" s="1"/>
  <c r="G12" i="9"/>
  <c r="G29" i="9"/>
  <c r="F27" i="9"/>
  <c r="G9" i="9" l="1"/>
  <c r="G31" i="9"/>
  <c r="G66" i="8"/>
  <c r="G30" i="8" s="1"/>
  <c r="F28" i="9"/>
  <c r="G63" i="8"/>
  <c r="G32" i="9" l="1"/>
  <c r="G35" i="9"/>
  <c r="G28" i="8"/>
  <c r="G46" i="8" l="1"/>
  <c r="G19" i="8"/>
  <c r="G33" i="8"/>
  <c r="G35" i="8" l="1"/>
  <c r="G21" i="8"/>
  <c r="G47" i="8"/>
  <c r="H76" i="8" s="1"/>
  <c r="F104" i="5" l="1"/>
  <c r="G24" i="9"/>
  <c r="G21" i="9"/>
  <c r="G18" i="8"/>
  <c r="G48" i="8"/>
  <c r="G32" i="8"/>
  <c r="F103" i="5" l="1"/>
  <c r="G17" i="8"/>
  <c r="G23" i="9"/>
  <c r="G22" i="8"/>
  <c r="H49" i="8"/>
  <c r="AW78" i="5" l="1"/>
  <c r="H23" i="8"/>
  <c r="G22" i="9"/>
  <c r="F105" i="5"/>
  <c r="G20" i="9" l="1"/>
  <c r="I19" i="6"/>
  <c r="H25" i="9"/>
  <c r="AW79" i="5"/>
  <c r="H37" i="8" s="1"/>
  <c r="H43" i="8" l="1"/>
  <c r="I25" i="6"/>
  <c r="G19" i="9"/>
  <c r="H30" i="9"/>
  <c r="H67" i="8" l="1"/>
  <c r="H16" i="9"/>
  <c r="G27" i="9"/>
  <c r="G28" i="9" l="1"/>
  <c r="H29" i="9"/>
  <c r="H12" i="9"/>
  <c r="H65" i="8"/>
  <c r="H64" i="8" s="1"/>
  <c r="H63" i="8" s="1"/>
  <c r="H31" i="9" l="1"/>
  <c r="H9" i="9"/>
  <c r="H66" i="8"/>
  <c r="H30" i="8" s="1"/>
  <c r="H32" i="9" l="1"/>
  <c r="H35" i="9"/>
  <c r="H28" i="8"/>
  <c r="H46" i="8" l="1"/>
  <c r="H19" i="8"/>
  <c r="H33" i="8"/>
  <c r="H35" i="8" s="1"/>
  <c r="H21" i="9" l="1"/>
  <c r="H18" i="8"/>
  <c r="H48" i="8"/>
  <c r="H32" i="8"/>
  <c r="H21" i="8"/>
  <c r="H47" i="8"/>
  <c r="I76" i="8" s="1"/>
  <c r="H17" i="8" l="1"/>
  <c r="H24" i="9"/>
  <c r="I49" i="8"/>
  <c r="H22" i="8"/>
  <c r="AX78" i="5" l="1"/>
  <c r="I23" i="8"/>
  <c r="H23" i="9"/>
  <c r="H22" i="9"/>
  <c r="J19" i="6" l="1"/>
  <c r="G98" i="5"/>
  <c r="I25" i="9"/>
  <c r="H20" i="9"/>
  <c r="AX79" i="5"/>
  <c r="I37" i="8" s="1"/>
  <c r="H19" i="9" l="1"/>
  <c r="I30" i="9"/>
  <c r="O122" i="113"/>
  <c r="J25" i="6"/>
  <c r="I43" i="8"/>
  <c r="I67" i="8" l="1"/>
  <c r="I16" i="9"/>
  <c r="G26" i="6"/>
  <c r="H27" i="9"/>
  <c r="I12" i="9" l="1"/>
  <c r="I29" i="9"/>
  <c r="O113" i="113"/>
  <c r="H28" i="9"/>
  <c r="I65" i="8"/>
  <c r="I64" i="8" s="1"/>
  <c r="I63" i="8" l="1"/>
  <c r="O108" i="113"/>
  <c r="I9" i="9"/>
  <c r="I66" i="8"/>
  <c r="I30" i="8" s="1"/>
  <c r="I31" i="9"/>
  <c r="I32" i="9" l="1"/>
  <c r="I35" i="9"/>
  <c r="I19" i="8"/>
  <c r="I33" i="8"/>
  <c r="I28" i="8"/>
  <c r="I46" i="8" l="1"/>
  <c r="I35" i="8"/>
  <c r="I21" i="9" l="1"/>
  <c r="I18" i="8"/>
  <c r="I48" i="8"/>
  <c r="I32" i="8"/>
  <c r="I21" i="8"/>
  <c r="I47" i="8"/>
  <c r="J76" i="8" s="1"/>
  <c r="G104" i="5" l="1"/>
  <c r="I24" i="9"/>
  <c r="I17" i="8"/>
  <c r="I22" i="8"/>
  <c r="J49" i="8"/>
  <c r="G103" i="5"/>
  <c r="O118" i="113"/>
  <c r="G105" i="5" l="1"/>
  <c r="I22" i="9"/>
  <c r="I23" i="9"/>
  <c r="O121" i="113"/>
  <c r="AY78" i="5"/>
  <c r="J23" i="8"/>
  <c r="J25" i="9" l="1"/>
  <c r="K19" i="6"/>
  <c r="H98" i="5"/>
  <c r="O120" i="113"/>
  <c r="AY79" i="5"/>
  <c r="J37" i="8" s="1"/>
  <c r="O119" i="113"/>
  <c r="I20" i="9"/>
  <c r="J43" i="8" l="1"/>
  <c r="K25" i="6"/>
  <c r="I19" i="9"/>
  <c r="J30" i="9"/>
  <c r="O117" i="113"/>
  <c r="J16" i="9" l="1"/>
  <c r="J67" i="8"/>
  <c r="O116" i="113"/>
  <c r="I27" i="9"/>
  <c r="J65" i="8" l="1"/>
  <c r="I28" i="9"/>
  <c r="O124" i="113"/>
  <c r="J12" i="9"/>
  <c r="J29" i="9"/>
  <c r="F37" i="9" l="1"/>
  <c r="O125" i="113"/>
  <c r="J66" i="8"/>
  <c r="J30" i="8" s="1"/>
  <c r="J31" i="9"/>
  <c r="J9" i="9"/>
  <c r="J64" i="8"/>
  <c r="J63" i="8" s="1"/>
  <c r="J32" i="9" l="1"/>
  <c r="J35" i="9"/>
  <c r="J28" i="8"/>
  <c r="F38" i="9"/>
  <c r="J46" i="8" l="1"/>
  <c r="J19" i="8"/>
  <c r="J33" i="8"/>
  <c r="J35" i="8" s="1"/>
  <c r="J21" i="9" l="1"/>
  <c r="J18" i="8"/>
  <c r="H103" i="5" s="1"/>
  <c r="J48" i="8"/>
  <c r="J32" i="8"/>
  <c r="J21" i="8"/>
  <c r="J47" i="8"/>
  <c r="K76" i="8" s="1"/>
  <c r="K49" i="8" l="1"/>
  <c r="J22" i="8"/>
  <c r="H104" i="5"/>
  <c r="J24" i="9"/>
  <c r="J17" i="8"/>
  <c r="J23" i="9" l="1"/>
  <c r="H105" i="5"/>
  <c r="J22" i="9"/>
  <c r="K23" i="8"/>
  <c r="AZ78" i="5"/>
  <c r="I98" i="5" l="1"/>
  <c r="L19" i="6"/>
  <c r="K25" i="9"/>
  <c r="J20" i="9"/>
  <c r="AZ79" i="5"/>
  <c r="K37" i="8" s="1"/>
  <c r="K43" i="8" l="1"/>
  <c r="L25" i="6"/>
  <c r="J19" i="9"/>
  <c r="K30" i="9"/>
  <c r="J27" i="9" l="1"/>
  <c r="K67" i="8"/>
  <c r="K16" i="9"/>
  <c r="K65" i="8" l="1"/>
  <c r="J28" i="9"/>
  <c r="K29" i="9"/>
  <c r="K12" i="9"/>
  <c r="K9" i="9" l="1"/>
  <c r="K66" i="8"/>
  <c r="K30" i="8" s="1"/>
  <c r="K64" i="8"/>
  <c r="K63" i="8" s="1"/>
  <c r="K31" i="9"/>
  <c r="K32" i="9" l="1"/>
  <c r="K35" i="9"/>
  <c r="K28" i="8"/>
  <c r="K46" i="8" l="1"/>
  <c r="K19" i="8"/>
  <c r="K33" i="8"/>
  <c r="K35" i="8" s="1"/>
  <c r="K21" i="9" l="1"/>
  <c r="K18" i="8"/>
  <c r="I103" i="5" s="1"/>
  <c r="K48" i="8"/>
  <c r="K32" i="8"/>
  <c r="K17" i="8" s="1"/>
  <c r="K21" i="8"/>
  <c r="K47" i="8"/>
  <c r="L76" i="8" s="1"/>
  <c r="K22" i="9" l="1"/>
  <c r="K20" i="9" s="1"/>
  <c r="I105" i="5"/>
  <c r="K22" i="8"/>
  <c r="L49" i="8"/>
  <c r="K24" i="9"/>
  <c r="I104" i="5"/>
  <c r="K23" i="9" l="1"/>
  <c r="K19" i="9" s="1"/>
  <c r="K27" i="9" s="1"/>
  <c r="K28" i="9" s="1"/>
  <c r="L23" i="8"/>
  <c r="BA78" i="5"/>
  <c r="BA79" i="5" s="1"/>
  <c r="L37" i="8" s="1"/>
  <c r="L43" i="8" l="1"/>
  <c r="L25" i="9"/>
  <c r="J98" i="5"/>
  <c r="M19" i="6"/>
  <c r="M25" i="6" s="1"/>
  <c r="L30" i="9" l="1"/>
  <c r="L16" i="9"/>
  <c r="L67" i="8"/>
  <c r="L65" i="8" l="1"/>
  <c r="L66" i="8" s="1"/>
  <c r="L30" i="8" s="1"/>
  <c r="L29" i="9"/>
  <c r="L31" i="9" s="1"/>
  <c r="L12" i="9"/>
  <c r="L9" i="9" s="1"/>
  <c r="L32" i="9" l="1"/>
  <c r="L35" i="9"/>
  <c r="L64" i="8"/>
  <c r="L63" i="8" s="1"/>
  <c r="L19" i="8" l="1"/>
  <c r="L33" i="8"/>
  <c r="L35" i="8" s="1"/>
  <c r="L28" i="8"/>
  <c r="L18" i="8" l="1"/>
  <c r="J103" i="5" s="1"/>
  <c r="L21" i="9"/>
  <c r="L32" i="8"/>
  <c r="L17" i="8" s="1"/>
  <c r="L22" i="9" s="1"/>
  <c r="L46" i="8"/>
  <c r="L21" i="8" s="1"/>
  <c r="J105" i="5" l="1"/>
  <c r="L20" i="9"/>
  <c r="J104" i="5"/>
  <c r="L24" i="9"/>
  <c r="L47" i="8"/>
  <c r="M76" i="8" s="1"/>
  <c r="L48" i="8"/>
  <c r="L23" i="9" l="1"/>
  <c r="L19" i="9" s="1"/>
  <c r="L27" i="9" s="1"/>
  <c r="L28" i="9" s="1"/>
  <c r="M49" i="8"/>
  <c r="L22" i="8"/>
  <c r="M23" i="8" l="1"/>
  <c r="BB78" i="5"/>
  <c r="BB79" i="5" s="1"/>
  <c r="M37" i="8" s="1"/>
  <c r="M43" i="8" l="1"/>
  <c r="M25" i="9"/>
  <c r="K98" i="5"/>
  <c r="N19" i="6"/>
  <c r="N25" i="6" s="1"/>
  <c r="M67" i="8" l="1"/>
  <c r="M16" i="9"/>
  <c r="K26" i="6"/>
  <c r="M30" i="9"/>
  <c r="P122" i="113"/>
  <c r="M29" i="9" l="1"/>
  <c r="M31" i="9" s="1"/>
  <c r="M12" i="9"/>
  <c r="M9" i="9" s="1"/>
  <c r="P113" i="113"/>
  <c r="M65" i="8"/>
  <c r="M66" i="8" s="1"/>
  <c r="M30" i="8" s="1"/>
  <c r="M32" i="9" l="1"/>
  <c r="M35" i="9"/>
  <c r="M64" i="8"/>
  <c r="M63" i="8" s="1"/>
  <c r="P108" i="113"/>
  <c r="M19" i="8" l="1"/>
  <c r="M33" i="8"/>
  <c r="M35" i="8" s="1"/>
  <c r="M28" i="8"/>
  <c r="M18" i="8" l="1"/>
  <c r="K103" i="5" s="1"/>
  <c r="M21" i="9"/>
  <c r="M32" i="8"/>
  <c r="M17" i="8" s="1"/>
  <c r="M46" i="8"/>
  <c r="M21" i="8" s="1"/>
  <c r="M22" i="9" l="1"/>
  <c r="M20" i="9" s="1"/>
  <c r="K105" i="5"/>
  <c r="M24" i="9"/>
  <c r="K104" i="5"/>
  <c r="M47" i="8"/>
  <c r="N76" i="8" s="1"/>
  <c r="M48" i="8"/>
  <c r="P118" i="113"/>
  <c r="M22" i="8" l="1"/>
  <c r="N49" i="8"/>
  <c r="M23" i="9"/>
  <c r="M19" i="9" s="1"/>
  <c r="M27" i="9" s="1"/>
  <c r="M28" i="9" s="1"/>
  <c r="P121" i="113"/>
  <c r="P120" i="113" l="1"/>
  <c r="P125" i="113"/>
  <c r="G37" i="9"/>
  <c r="BC78" i="5"/>
  <c r="BC79" i="5" s="1"/>
  <c r="N37" i="8" s="1"/>
  <c r="N23" i="8"/>
  <c r="O19" i="6" l="1"/>
  <c r="O25" i="6" s="1"/>
  <c r="N25" i="9"/>
  <c r="L98" i="5"/>
  <c r="N43" i="8"/>
  <c r="G38" i="9"/>
  <c r="N30" i="9" l="1"/>
  <c r="N67" i="8"/>
  <c r="N16" i="9"/>
  <c r="N12" i="9" l="1"/>
  <c r="N9" i="9" s="1"/>
  <c r="N29" i="9"/>
  <c r="N31" i="9" s="1"/>
  <c r="N65" i="8"/>
  <c r="N66" i="8" s="1"/>
  <c r="N30" i="8" s="1"/>
  <c r="N32" i="9" l="1"/>
  <c r="N35" i="9"/>
  <c r="N28" i="8"/>
  <c r="N64" i="8"/>
  <c r="N63" i="8" s="1"/>
  <c r="N46" i="8" l="1"/>
  <c r="N21" i="8" s="1"/>
  <c r="N19" i="8"/>
  <c r="N33" i="8"/>
  <c r="N35" i="8" s="1"/>
  <c r="N18" i="8" l="1"/>
  <c r="L103" i="5" s="1"/>
  <c r="N21" i="9"/>
  <c r="N48" i="8"/>
  <c r="N32" i="8"/>
  <c r="N17" i="8" s="1"/>
  <c r="L104" i="5"/>
  <c r="N24" i="9"/>
  <c r="N47" i="8"/>
  <c r="O76" i="8" s="1"/>
  <c r="N22" i="9" l="1"/>
  <c r="N20" i="9" s="1"/>
  <c r="L105" i="5"/>
  <c r="N23" i="9"/>
  <c r="N22" i="8"/>
  <c r="O49" i="8"/>
  <c r="O23" i="8" l="1"/>
  <c r="BD78" i="5"/>
  <c r="BD79" i="5" s="1"/>
  <c r="O37" i="8" s="1"/>
  <c r="N19" i="9"/>
  <c r="N27" i="9" s="1"/>
  <c r="N28" i="9" s="1"/>
  <c r="O43" i="8" l="1"/>
  <c r="P19" i="6"/>
  <c r="P25" i="6" s="1"/>
  <c r="O25" i="9"/>
  <c r="M98" i="5"/>
  <c r="O67" i="8" l="1"/>
  <c r="O16" i="9"/>
  <c r="O30" i="9"/>
  <c r="O29" i="9" l="1"/>
  <c r="O31" i="9" s="1"/>
  <c r="O12" i="9"/>
  <c r="O9" i="9" s="1"/>
  <c r="O65" i="8"/>
  <c r="O66" i="8" s="1"/>
  <c r="O30" i="8" s="1"/>
  <c r="O32" i="9" l="1"/>
  <c r="O35" i="9"/>
  <c r="O64" i="8"/>
  <c r="O63" i="8" s="1"/>
  <c r="O19" i="8" l="1"/>
  <c r="O33" i="8"/>
  <c r="O35" i="8" s="1"/>
  <c r="O28" i="8"/>
  <c r="O18" i="8" l="1"/>
  <c r="M103" i="5" s="1"/>
  <c r="O21" i="9"/>
  <c r="O32" i="8"/>
  <c r="O17" i="8" s="1"/>
  <c r="O46" i="8"/>
  <c r="O21" i="8" s="1"/>
  <c r="M105" i="5" l="1"/>
  <c r="O22" i="9"/>
  <c r="O24" i="9"/>
  <c r="M104" i="5"/>
  <c r="O47" i="8"/>
  <c r="P76" i="8" s="1"/>
  <c r="O48" i="8"/>
  <c r="O22" i="8" l="1"/>
  <c r="P49" i="8"/>
  <c r="O23" i="9"/>
  <c r="O20" i="9"/>
  <c r="P23" i="8" l="1"/>
  <c r="BE78" i="5"/>
  <c r="BE79" i="5" s="1"/>
  <c r="P37" i="8" s="1"/>
  <c r="O19" i="9"/>
  <c r="O27" i="9" s="1"/>
  <c r="O28" i="9" s="1"/>
  <c r="P43" i="8" l="1"/>
  <c r="Q19" i="6"/>
  <c r="Q25" i="6" s="1"/>
  <c r="N98" i="5"/>
  <c r="P25" i="9"/>
  <c r="P67" i="8" l="1"/>
  <c r="P16" i="9"/>
  <c r="P30" i="9"/>
  <c r="P12" i="9" l="1"/>
  <c r="P9" i="9" s="1"/>
  <c r="P29" i="9"/>
  <c r="P31" i="9" s="1"/>
  <c r="P65" i="8"/>
  <c r="P66" i="8" s="1"/>
  <c r="P30" i="8" s="1"/>
  <c r="P32" i="9" l="1"/>
  <c r="P35" i="9"/>
  <c r="P64" i="8"/>
  <c r="P63" i="8" s="1"/>
  <c r="P19" i="8" l="1"/>
  <c r="P33" i="8"/>
  <c r="P35" i="8" s="1"/>
  <c r="P28" i="8"/>
  <c r="P46" i="8" s="1"/>
  <c r="P18" i="8" l="1"/>
  <c r="N103" i="5" s="1"/>
  <c r="P21" i="9"/>
  <c r="P32" i="8"/>
  <c r="P17" i="8" s="1"/>
  <c r="P21" i="8"/>
  <c r="P47" i="8" l="1"/>
  <c r="Q76" i="8" s="1"/>
  <c r="P24" i="9"/>
  <c r="N104" i="5"/>
  <c r="P48" i="8"/>
  <c r="P22" i="9"/>
  <c r="N105" i="5"/>
  <c r="P20" i="9" l="1"/>
  <c r="P22" i="8"/>
  <c r="Q49" i="8"/>
  <c r="P23" i="9"/>
  <c r="Q23" i="8" l="1"/>
  <c r="BF78" i="5"/>
  <c r="BF79" i="5" s="1"/>
  <c r="Q37" i="8" s="1"/>
  <c r="P19" i="9"/>
  <c r="P27" i="9" l="1"/>
  <c r="P28" i="9" s="1"/>
  <c r="Q43" i="8"/>
  <c r="R19" i="6"/>
  <c r="R25" i="6" s="1"/>
  <c r="Q25" i="9"/>
  <c r="O98" i="5"/>
  <c r="Q67" i="8" l="1"/>
  <c r="Q16" i="9"/>
  <c r="O26" i="6"/>
  <c r="Q30" i="9"/>
  <c r="Q122" i="113"/>
  <c r="Q12" i="9" l="1"/>
  <c r="Q9" i="9" s="1"/>
  <c r="Q29" i="9"/>
  <c r="Q31" i="9" s="1"/>
  <c r="Q113" i="113"/>
  <c r="Q65" i="8"/>
  <c r="Q66" i="8" s="1"/>
  <c r="Q30" i="8" s="1"/>
  <c r="Q32" i="9" l="1"/>
  <c r="Q35" i="9"/>
  <c r="Q64" i="8"/>
  <c r="Q63" i="8" s="1"/>
  <c r="Q108" i="113"/>
  <c r="Q19" i="8" l="1"/>
  <c r="Q33" i="8"/>
  <c r="Q35" i="8" s="1"/>
  <c r="Q28" i="8"/>
  <c r="Q18" i="8" l="1"/>
  <c r="O103" i="5" s="1"/>
  <c r="Q21" i="9"/>
  <c r="Q32" i="8"/>
  <c r="Q17" i="8" s="1"/>
  <c r="Q46" i="8"/>
  <c r="Q21" i="8" s="1"/>
  <c r="Q48" i="8" l="1"/>
  <c r="O104" i="5"/>
  <c r="Q24" i="9"/>
  <c r="Q47" i="8"/>
  <c r="R76" i="8" s="1"/>
  <c r="Q22" i="9"/>
  <c r="Q20" i="9" s="1"/>
  <c r="O105" i="5"/>
  <c r="Q118" i="113"/>
  <c r="Q23" i="9" l="1"/>
  <c r="Q19" i="9" s="1"/>
  <c r="Q27" i="9" s="1"/>
  <c r="Q28" i="9" s="1"/>
  <c r="Q121" i="113"/>
  <c r="R49" i="8"/>
  <c r="Q22" i="8"/>
  <c r="Q125" i="113" l="1"/>
  <c r="H37" i="9"/>
  <c r="BG78" i="5"/>
  <c r="BG79" i="5" s="1"/>
  <c r="R37" i="8" s="1"/>
  <c r="R23" i="8"/>
  <c r="Q120" i="113"/>
  <c r="R25" i="9" l="1"/>
  <c r="S19" i="6"/>
  <c r="S25" i="6" s="1"/>
  <c r="P98" i="5"/>
  <c r="R43" i="8"/>
  <c r="H38" i="9"/>
  <c r="R16" i="9" l="1"/>
  <c r="R67" i="8"/>
  <c r="R30" i="9"/>
  <c r="R12" i="9" l="1"/>
  <c r="R9" i="9" s="1"/>
  <c r="R29" i="9"/>
  <c r="R31" i="9" s="1"/>
  <c r="R65" i="8"/>
  <c r="R66" i="8" s="1"/>
  <c r="R30" i="8" s="1"/>
  <c r="R32" i="9" l="1"/>
  <c r="R35" i="9"/>
  <c r="R28" i="8"/>
  <c r="R64" i="8"/>
  <c r="R63" i="8" s="1"/>
  <c r="R46" i="8" l="1"/>
  <c r="R21" i="8" s="1"/>
  <c r="R19" i="8"/>
  <c r="R33" i="8"/>
  <c r="R35" i="8" s="1"/>
  <c r="R18" i="8" l="1"/>
  <c r="P103" i="5" s="1"/>
  <c r="R21" i="9"/>
  <c r="R48" i="8"/>
  <c r="R32" i="8"/>
  <c r="R17" i="8" s="1"/>
  <c r="R24" i="9"/>
  <c r="P104" i="5"/>
  <c r="R47" i="8"/>
  <c r="S76" i="8" s="1"/>
  <c r="R22" i="9" l="1"/>
  <c r="R20" i="9" s="1"/>
  <c r="P105" i="5"/>
  <c r="R23" i="9"/>
  <c r="R22" i="8"/>
  <c r="S49" i="8"/>
  <c r="S23" i="8" l="1"/>
  <c r="BH78" i="5"/>
  <c r="C49" i="8"/>
  <c r="R19" i="9"/>
  <c r="R27" i="9" s="1"/>
  <c r="R28" i="9" s="1"/>
  <c r="BH79" i="5" l="1"/>
  <c r="S37" i="8" s="1"/>
  <c r="F78" i="5"/>
  <c r="T19" i="6"/>
  <c r="Q98" i="5"/>
  <c r="D98" i="5" s="1"/>
  <c r="S25" i="9"/>
  <c r="C23" i="8"/>
  <c r="S30" i="9" l="1"/>
  <c r="D30" i="9" s="1"/>
  <c r="D25" i="9"/>
  <c r="R122" i="113"/>
  <c r="N122" i="113" s="1"/>
  <c r="T25" i="6"/>
  <c r="E19" i="6"/>
  <c r="E25" i="6" s="1"/>
  <c r="G44" i="113"/>
  <c r="F79" i="5"/>
  <c r="I92" i="113"/>
  <c r="S43" i="8"/>
  <c r="C37" i="8"/>
  <c r="C43" i="8" s="1"/>
  <c r="G45" i="113" l="1"/>
  <c r="I44" i="113" s="1"/>
  <c r="G92" i="113"/>
  <c r="I78" i="113"/>
  <c r="H92" i="113" s="1"/>
  <c r="S16" i="9"/>
  <c r="S67" i="8"/>
  <c r="S26" i="6"/>
  <c r="S27" i="6" s="1"/>
  <c r="E28" i="6"/>
  <c r="F27" i="6"/>
  <c r="C28" i="6"/>
  <c r="G27" i="6"/>
  <c r="K27" i="6"/>
  <c r="O27" i="6"/>
  <c r="C67" i="8" l="1"/>
  <c r="D67" i="8" s="1"/>
  <c r="S65" i="8"/>
  <c r="S66" i="8" s="1"/>
  <c r="S30" i="8" s="1"/>
  <c r="S12" i="9"/>
  <c r="S9" i="9" s="1"/>
  <c r="S29" i="9"/>
  <c r="D16" i="9"/>
  <c r="R113" i="113"/>
  <c r="H81" i="113"/>
  <c r="H82" i="113"/>
  <c r="H86" i="113"/>
  <c r="H87" i="113"/>
  <c r="H84" i="113"/>
  <c r="H79" i="113"/>
  <c r="H89" i="113"/>
  <c r="H80" i="113"/>
  <c r="I77" i="113"/>
  <c r="G78" i="113"/>
  <c r="H90" i="113"/>
  <c r="H88" i="113"/>
  <c r="I30" i="113"/>
  <c r="I34" i="113"/>
  <c r="I45" i="113"/>
  <c r="N113" i="113" l="1"/>
  <c r="S31" i="9"/>
  <c r="D29" i="9"/>
  <c r="G77" i="113"/>
  <c r="E108" i="113"/>
  <c r="S64" i="8"/>
  <c r="S63" i="8" s="1"/>
  <c r="S32" i="9" l="1"/>
  <c r="D32" i="9" s="1"/>
  <c r="S35" i="9"/>
  <c r="S19" i="8"/>
  <c r="S33" i="8"/>
  <c r="S35" i="8" s="1"/>
  <c r="E109" i="113"/>
  <c r="C39" i="11"/>
  <c r="S28" i="8"/>
  <c r="D31" i="9"/>
  <c r="Y33" i="9" s="1"/>
  <c r="Y35" i="9" s="1"/>
  <c r="W97" i="5" l="1"/>
  <c r="Y75" i="8"/>
  <c r="Y74" i="8" s="1"/>
  <c r="Y17" i="9"/>
  <c r="Y12" i="9" s="1"/>
  <c r="Y9" i="9" s="1"/>
  <c r="X17" i="9"/>
  <c r="V97" i="5"/>
  <c r="X75" i="8"/>
  <c r="X74" i="8" s="1"/>
  <c r="S18" i="8"/>
  <c r="Q103" i="5" s="1"/>
  <c r="S21" i="9"/>
  <c r="S32" i="8"/>
  <c r="S17" i="8" s="1"/>
  <c r="S46" i="8"/>
  <c r="S21" i="8" s="1"/>
  <c r="D47" i="9"/>
  <c r="D43" i="9"/>
  <c r="D44" i="9"/>
  <c r="S114" i="113" l="1"/>
  <c r="S108" i="113" s="1"/>
  <c r="X12" i="9"/>
  <c r="X9" i="9" s="1"/>
  <c r="T17" i="9"/>
  <c r="D35" i="9"/>
  <c r="D33" i="9"/>
  <c r="R97" i="5"/>
  <c r="D97" i="5" s="1"/>
  <c r="T75" i="8"/>
  <c r="D48" i="9"/>
  <c r="D60" i="9"/>
  <c r="S24" i="9"/>
  <c r="Q104" i="5"/>
  <c r="S47" i="8"/>
  <c r="S48" i="8"/>
  <c r="D49" i="9"/>
  <c r="E112" i="113" s="1"/>
  <c r="G108" i="113"/>
  <c r="Q105" i="5"/>
  <c r="S22" i="9"/>
  <c r="S20" i="9" s="1"/>
  <c r="C75" i="8" l="1"/>
  <c r="D75" i="8" s="1"/>
  <c r="T74" i="8"/>
  <c r="S23" i="9"/>
  <c r="S19" i="9" s="1"/>
  <c r="S27" i="9" s="1"/>
  <c r="S28" i="9" s="1"/>
  <c r="S22" i="8"/>
  <c r="D62" i="9"/>
  <c r="C36" i="9"/>
  <c r="D36" i="9"/>
  <c r="C97" i="11"/>
  <c r="C52" i="11"/>
  <c r="T12" i="9"/>
  <c r="R114" i="113"/>
  <c r="D17" i="9"/>
  <c r="C74" i="8" l="1"/>
  <c r="T76" i="8"/>
  <c r="N114" i="113"/>
  <c r="R108" i="113"/>
  <c r="T9" i="9"/>
  <c r="D12" i="9"/>
  <c r="D9" i="9" l="1"/>
  <c r="N108" i="113"/>
  <c r="T65" i="8"/>
  <c r="T66" i="8" s="1"/>
  <c r="T30" i="8" s="1"/>
  <c r="C71" i="8"/>
  <c r="T28" i="8" l="1"/>
  <c r="D73" i="8"/>
  <c r="D72" i="8"/>
  <c r="D74" i="8"/>
  <c r="T64" i="8"/>
  <c r="T63" i="8" s="1"/>
  <c r="T46" i="8" l="1"/>
  <c r="T21" i="8" s="1"/>
  <c r="T19" i="8"/>
  <c r="T33" i="8"/>
  <c r="T35" i="8" s="1"/>
  <c r="T18" i="8" l="1"/>
  <c r="R103" i="5" s="1"/>
  <c r="T21" i="9"/>
  <c r="T32" i="8"/>
  <c r="T17" i="8" s="1"/>
  <c r="T48" i="8"/>
  <c r="T24" i="9"/>
  <c r="R104" i="5"/>
  <c r="T47" i="8"/>
  <c r="U76" i="8" s="1"/>
  <c r="T23" i="9" l="1"/>
  <c r="T22" i="8"/>
  <c r="U65" i="8"/>
  <c r="U66" i="8" s="1"/>
  <c r="U30" i="8" s="1"/>
  <c r="T22" i="9"/>
  <c r="R105" i="5"/>
  <c r="U28" i="8" l="1"/>
  <c r="U64" i="8"/>
  <c r="U63" i="8" s="1"/>
  <c r="T20" i="9"/>
  <c r="T19" i="9" s="1"/>
  <c r="T27" i="9" s="1"/>
  <c r="T28" i="9" s="1"/>
  <c r="U46" i="8" l="1"/>
  <c r="U21" i="8" s="1"/>
  <c r="U19" i="8"/>
  <c r="U33" i="8"/>
  <c r="U35" i="8" s="1"/>
  <c r="U18" i="8" l="1"/>
  <c r="S103" i="5" s="1"/>
  <c r="U21" i="9"/>
  <c r="U32" i="8"/>
  <c r="U17" i="8" s="1"/>
  <c r="U48" i="8"/>
  <c r="S104" i="5"/>
  <c r="U24" i="9"/>
  <c r="U47" i="8"/>
  <c r="V76" i="8" s="1"/>
  <c r="U22" i="9" l="1"/>
  <c r="U20" i="9" s="1"/>
  <c r="S105" i="5"/>
  <c r="R118" i="113"/>
  <c r="V65" i="8"/>
  <c r="U23" i="9"/>
  <c r="R121" i="113"/>
  <c r="U22" i="8"/>
  <c r="R120" i="113" l="1"/>
  <c r="V64" i="8"/>
  <c r="V63" i="8" s="1"/>
  <c r="V66" i="8"/>
  <c r="V30" i="8" s="1"/>
  <c r="U19" i="9"/>
  <c r="U27" i="9" s="1"/>
  <c r="U28" i="9" s="1"/>
  <c r="R125" i="113" l="1"/>
  <c r="I37" i="9"/>
  <c r="V28" i="8"/>
  <c r="V46" i="8" l="1"/>
  <c r="V21" i="8" s="1"/>
  <c r="V19" i="8"/>
  <c r="V33" i="8"/>
  <c r="V35" i="8" s="1"/>
  <c r="I38" i="9"/>
  <c r="V47" i="8" l="1"/>
  <c r="W76" i="8" s="1"/>
  <c r="W65" i="8" s="1"/>
  <c r="W66" i="8" s="1"/>
  <c r="W30" i="8" s="1"/>
  <c r="V21" i="9"/>
  <c r="V32" i="8"/>
  <c r="V17" i="8" s="1"/>
  <c r="V18" i="8"/>
  <c r="T103" i="5" s="1"/>
  <c r="V48" i="8"/>
  <c r="V24" i="9"/>
  <c r="T104" i="5"/>
  <c r="W28" i="8" l="1"/>
  <c r="W46" i="8" s="1"/>
  <c r="W21" i="8" s="1"/>
  <c r="V22" i="8"/>
  <c r="W64" i="8"/>
  <c r="W63" i="8" s="1"/>
  <c r="V22" i="9"/>
  <c r="V20" i="9" s="1"/>
  <c r="T105" i="5"/>
  <c r="V23" i="9"/>
  <c r="V19" i="9" l="1"/>
  <c r="V27" i="9" s="1"/>
  <c r="V28" i="9" s="1"/>
  <c r="W47" i="8"/>
  <c r="X76" i="8" s="1"/>
  <c r="W24" i="9"/>
  <c r="U104" i="5"/>
  <c r="W33" i="8"/>
  <c r="W35" i="8" s="1"/>
  <c r="W19" i="8"/>
  <c r="W21" i="9" l="1"/>
  <c r="W18" i="8"/>
  <c r="U103" i="5" s="1"/>
  <c r="W32" i="8"/>
  <c r="W17" i="8" s="1"/>
  <c r="W48" i="8"/>
  <c r="W23" i="9"/>
  <c r="X65" i="8"/>
  <c r="X64" i="8" l="1"/>
  <c r="X63" i="8" s="1"/>
  <c r="X66" i="8"/>
  <c r="X30" i="8" s="1"/>
  <c r="W22" i="8"/>
  <c r="W22" i="9"/>
  <c r="W20" i="9" s="1"/>
  <c r="W19" i="9" s="1"/>
  <c r="W27" i="9" s="1"/>
  <c r="W28" i="9" s="1"/>
  <c r="U105" i="5"/>
  <c r="X28" i="8" l="1"/>
  <c r="X46" i="8" l="1"/>
  <c r="X21" i="8" s="1"/>
  <c r="X33" i="8"/>
  <c r="X35" i="8" s="1"/>
  <c r="X19" i="8"/>
  <c r="X32" i="8" l="1"/>
  <c r="X17" i="8" s="1"/>
  <c r="X21" i="9"/>
  <c r="X18" i="8"/>
  <c r="V103" i="5" s="1"/>
  <c r="X48" i="8"/>
  <c r="X24" i="9"/>
  <c r="V104" i="5"/>
  <c r="X47" i="8"/>
  <c r="Y76" i="8" s="1"/>
  <c r="Y65" i="8" l="1"/>
  <c r="Y66" i="8" s="1"/>
  <c r="Y30" i="8" s="1"/>
  <c r="X23" i="9"/>
  <c r="X22" i="8"/>
  <c r="V105" i="5"/>
  <c r="X22" i="9"/>
  <c r="X20" i="9" s="1"/>
  <c r="Y28" i="8" l="1"/>
  <c r="X19" i="9"/>
  <c r="X27" i="9" s="1"/>
  <c r="X28" i="9" s="1"/>
  <c r="Y64" i="8"/>
  <c r="Y63" i="8" s="1"/>
  <c r="Y46" i="8" l="1"/>
  <c r="Y21" i="8" s="1"/>
  <c r="Y19" i="8"/>
  <c r="Y33" i="8"/>
  <c r="Y35" i="8" s="1"/>
  <c r="Y32" i="8" l="1"/>
  <c r="Y17" i="8" s="1"/>
  <c r="Y18" i="8"/>
  <c r="W103" i="5" s="1"/>
  <c r="Y21" i="9"/>
  <c r="Y48" i="8"/>
  <c r="W104" i="5"/>
  <c r="Y24" i="9"/>
  <c r="Y47" i="8"/>
  <c r="Z76" i="8" s="1"/>
  <c r="Z65" i="8" l="1"/>
  <c r="Z66" i="8" s="1"/>
  <c r="Z30" i="8" s="1"/>
  <c r="Y23" i="9"/>
  <c r="S121" i="113"/>
  <c r="Y22" i="8"/>
  <c r="S118" i="113"/>
  <c r="Y22" i="9"/>
  <c r="Y20" i="9" s="1"/>
  <c r="W105" i="5"/>
  <c r="Y19" i="9" l="1"/>
  <c r="Y27" i="9" s="1"/>
  <c r="Y28" i="9" s="1"/>
  <c r="J37" i="9" s="1"/>
  <c r="S120" i="113"/>
  <c r="Z28" i="8"/>
  <c r="Z64" i="8"/>
  <c r="Z63" i="8" s="1"/>
  <c r="S125" i="113" l="1"/>
  <c r="J38" i="9"/>
  <c r="Z46" i="8"/>
  <c r="Z21" i="8" s="1"/>
  <c r="Z33" i="8"/>
  <c r="Z35" i="8" s="1"/>
  <c r="Z19" i="8"/>
  <c r="Z18" i="8" l="1"/>
  <c r="X103" i="5" s="1"/>
  <c r="Z32" i="8"/>
  <c r="Z17" i="8" s="1"/>
  <c r="Z21" i="9"/>
  <c r="Z48" i="8"/>
  <c r="Z24" i="9"/>
  <c r="X104" i="5"/>
  <c r="Z47" i="8"/>
  <c r="AA76" i="8" s="1"/>
  <c r="AA65" i="8" l="1"/>
  <c r="AA66" i="8" s="1"/>
  <c r="AA30" i="8" s="1"/>
  <c r="Z23" i="9"/>
  <c r="Z22" i="9"/>
  <c r="X105" i="5"/>
  <c r="Z22" i="8"/>
  <c r="Z20" i="9" l="1"/>
  <c r="Z19" i="9" s="1"/>
  <c r="Z27" i="9" s="1"/>
  <c r="Z28" i="9" s="1"/>
  <c r="AA64" i="8"/>
  <c r="AA63" i="8" s="1"/>
  <c r="AA19" i="8" l="1"/>
  <c r="AA33" i="8"/>
  <c r="AA35" i="8" s="1"/>
  <c r="AA28" i="8"/>
  <c r="AA18" i="8" l="1"/>
  <c r="Y103" i="5" s="1"/>
  <c r="D103" i="5" s="1"/>
  <c r="AA21" i="9"/>
  <c r="AA32" i="8"/>
  <c r="AA17" i="8" s="1"/>
  <c r="AA46" i="8"/>
  <c r="AA21" i="8" s="1"/>
  <c r="Y105" i="5" l="1"/>
  <c r="D105" i="5" s="1"/>
  <c r="AA22" i="9"/>
  <c r="AA20" i="9" s="1"/>
  <c r="AA48" i="8"/>
  <c r="Y104" i="5"/>
  <c r="D104" i="5" s="1"/>
  <c r="AA24" i="9"/>
  <c r="AA47" i="8"/>
  <c r="AB76" i="8" s="1"/>
  <c r="AB65" i="8" l="1"/>
  <c r="AB66" i="8" s="1"/>
  <c r="AB30" i="8" s="1"/>
  <c r="AA23" i="9"/>
  <c r="AA19" i="9" s="1"/>
  <c r="AA27" i="9" s="1"/>
  <c r="AA28" i="9" s="1"/>
  <c r="AA22" i="8"/>
  <c r="AB28" i="8" l="1"/>
  <c r="AB64" i="8"/>
  <c r="AB63" i="8" s="1"/>
  <c r="AB46" i="8" l="1"/>
  <c r="AB21" i="8" s="1"/>
  <c r="AB24" i="9" s="1"/>
  <c r="AB19" i="8"/>
  <c r="AB33" i="8"/>
  <c r="AB35" i="8" s="1"/>
  <c r="AB47" i="8" l="1"/>
  <c r="AC76" i="8" s="1"/>
  <c r="AC65" i="8" s="1"/>
  <c r="AC66" i="8" s="1"/>
  <c r="AC30" i="8" s="1"/>
  <c r="AB21" i="9"/>
  <c r="AB18" i="8"/>
  <c r="AB32" i="8"/>
  <c r="AB17" i="8" s="1"/>
  <c r="AB22" i="9" s="1"/>
  <c r="AB48" i="8"/>
  <c r="AB23" i="9"/>
  <c r="AC28" i="8" l="1"/>
  <c r="AC46" i="8" s="1"/>
  <c r="AC21" i="8" s="1"/>
  <c r="AC24" i="9" s="1"/>
  <c r="AB22" i="8"/>
  <c r="AC64" i="8"/>
  <c r="AC63" i="8" s="1"/>
  <c r="AB20" i="9"/>
  <c r="AB19" i="9" s="1"/>
  <c r="AB27" i="9" s="1"/>
  <c r="AB28" i="9" s="1"/>
  <c r="AC23" i="9" l="1"/>
  <c r="T121" i="113"/>
  <c r="AC47" i="8"/>
  <c r="AD76" i="8" s="1"/>
  <c r="AC33" i="8"/>
  <c r="AC35" i="8" s="1"/>
  <c r="AC19" i="8"/>
  <c r="AC21" i="9" l="1"/>
  <c r="AC18" i="8"/>
  <c r="AC32" i="8"/>
  <c r="AC17" i="8" s="1"/>
  <c r="AC22" i="9" s="1"/>
  <c r="AC48" i="8"/>
  <c r="T120" i="113"/>
  <c r="N120" i="113" s="1"/>
  <c r="N121" i="113"/>
  <c r="AD65" i="8"/>
  <c r="AD66" i="8" s="1"/>
  <c r="AD30" i="8" s="1"/>
  <c r="AD28" i="8" l="1"/>
  <c r="AD64" i="8"/>
  <c r="AD63" i="8" s="1"/>
  <c r="AC22" i="8"/>
  <c r="AC20" i="9"/>
  <c r="AC19" i="9" s="1"/>
  <c r="AC27" i="9" s="1"/>
  <c r="AC28" i="9" s="1"/>
  <c r="T118" i="113"/>
  <c r="AD46" i="8" l="1"/>
  <c r="AD21" i="8" s="1"/>
  <c r="AD24" i="9" s="1"/>
  <c r="AD23" i="9" s="1"/>
  <c r="T125" i="113"/>
  <c r="N125" i="113" s="1"/>
  <c r="K37" i="9"/>
  <c r="N118" i="113"/>
  <c r="AD33" i="8"/>
  <c r="AD35" i="8" s="1"/>
  <c r="AD19" i="8"/>
  <c r="AD21" i="9" l="1"/>
  <c r="AD18" i="8"/>
  <c r="AD32" i="8"/>
  <c r="AD17" i="8" s="1"/>
  <c r="AD22" i="9" s="1"/>
  <c r="AD48" i="8"/>
  <c r="K38" i="9"/>
  <c r="AD47" i="8"/>
  <c r="AE76" i="8" s="1"/>
  <c r="AD20" i="9" l="1"/>
  <c r="AD19" i="9" s="1"/>
  <c r="AD27" i="9" s="1"/>
  <c r="AD28" i="9" s="1"/>
  <c r="AE65" i="8"/>
  <c r="AE66" i="8" s="1"/>
  <c r="AE30" i="8" s="1"/>
  <c r="AD22" i="8"/>
  <c r="AE28" i="8" l="1"/>
  <c r="AE64" i="8"/>
  <c r="AE63" i="8" s="1"/>
  <c r="AE46" i="8" l="1"/>
  <c r="AE21" i="8" s="1"/>
  <c r="AE24" i="9" s="1"/>
  <c r="AE23" i="9" s="1"/>
  <c r="AE19" i="8"/>
  <c r="AE33" i="8"/>
  <c r="AE35" i="8" s="1"/>
  <c r="AE32" i="8" l="1"/>
  <c r="AE17" i="8" s="1"/>
  <c r="AE22" i="9" s="1"/>
  <c r="AE18" i="8"/>
  <c r="AE21" i="9"/>
  <c r="AE48" i="8"/>
  <c r="AE47" i="8"/>
  <c r="AF76" i="8" s="1"/>
  <c r="AE20" i="9" l="1"/>
  <c r="AE19" i="9" s="1"/>
  <c r="AE27" i="9" s="1"/>
  <c r="AE28" i="9" s="1"/>
  <c r="AE22" i="8"/>
  <c r="AF65" i="8"/>
  <c r="AF66" i="8" s="1"/>
  <c r="AF30" i="8" s="1"/>
  <c r="AF28" i="8" l="1"/>
  <c r="AF64" i="8"/>
  <c r="AF63" i="8" s="1"/>
  <c r="AF46" i="8" l="1"/>
  <c r="AF21" i="8" s="1"/>
  <c r="AF24" i="9" s="1"/>
  <c r="AF23" i="9" s="1"/>
  <c r="AF19" i="8"/>
  <c r="AF33" i="8"/>
  <c r="AF35" i="8" s="1"/>
  <c r="AF18" i="8" l="1"/>
  <c r="AF21" i="9"/>
  <c r="AF32" i="8"/>
  <c r="AF17" i="8" s="1"/>
  <c r="AF22" i="9" s="1"/>
  <c r="AF48" i="8"/>
  <c r="AF47" i="8"/>
  <c r="AG76" i="8" s="1"/>
  <c r="AG65" i="8" l="1"/>
  <c r="AG66" i="8" s="1"/>
  <c r="AG30" i="8" s="1"/>
  <c r="AF22" i="8"/>
  <c r="AF20" i="9"/>
  <c r="AF19" i="9" s="1"/>
  <c r="AF27" i="9" s="1"/>
  <c r="AF28" i="9" s="1"/>
  <c r="AG28" i="8" l="1"/>
  <c r="AG64" i="8"/>
  <c r="AG63" i="8" s="1"/>
  <c r="AG46" i="8" l="1"/>
  <c r="AG21" i="8" s="1"/>
  <c r="AG24" i="9" s="1"/>
  <c r="AG23" i="9" s="1"/>
  <c r="AG33" i="8"/>
  <c r="AG35" i="8" s="1"/>
  <c r="AG19" i="8"/>
  <c r="AG47" i="8" l="1"/>
  <c r="AH76" i="8" s="1"/>
  <c r="AH65" i="8" s="1"/>
  <c r="AH66" i="8" s="1"/>
  <c r="AH30" i="8" s="1"/>
  <c r="AG32" i="8"/>
  <c r="AG17" i="8" s="1"/>
  <c r="AG22" i="9" s="1"/>
  <c r="AG18" i="8"/>
  <c r="AG21" i="9"/>
  <c r="AG48" i="8"/>
  <c r="AG20" i="9" l="1"/>
  <c r="AG19" i="9" s="1"/>
  <c r="AG27" i="9" s="1"/>
  <c r="AG28" i="9" s="1"/>
  <c r="AH64" i="8"/>
  <c r="AH63" i="8" s="1"/>
  <c r="AG22" i="8"/>
  <c r="AH33" i="8" l="1"/>
  <c r="AH35" i="8" s="1"/>
  <c r="AH19" i="8"/>
  <c r="AH28" i="8"/>
  <c r="AH21" i="9" l="1"/>
  <c r="AH18" i="8"/>
  <c r="AH32" i="8"/>
  <c r="AH17" i="8" s="1"/>
  <c r="AH22" i="9" s="1"/>
  <c r="AH46" i="8"/>
  <c r="AH21" i="8" s="1"/>
  <c r="AH24" i="9" s="1"/>
  <c r="AH23" i="9" s="1"/>
  <c r="AH48" i="8" l="1"/>
  <c r="AH47" i="8"/>
  <c r="AI76" i="8" s="1"/>
  <c r="AH20" i="9"/>
  <c r="AH19" i="9" s="1"/>
  <c r="AH27" i="9" s="1"/>
  <c r="AH28" i="9" s="1"/>
  <c r="AI65" i="8" l="1"/>
  <c r="AI66" i="8" s="1"/>
  <c r="AI30" i="8" s="1"/>
  <c r="AH22" i="8"/>
  <c r="AI28" i="8" l="1"/>
  <c r="AI64" i="8"/>
  <c r="AI63" i="8" s="1"/>
  <c r="AI46" i="8" l="1"/>
  <c r="AI21" i="8" s="1"/>
  <c r="AI24" i="9" s="1"/>
  <c r="AI23" i="9" s="1"/>
  <c r="AI33" i="8"/>
  <c r="AI35" i="8" s="1"/>
  <c r="AI19" i="8"/>
  <c r="AI21" i="9" l="1"/>
  <c r="AI18" i="8"/>
  <c r="AI32" i="8"/>
  <c r="AI17" i="8" s="1"/>
  <c r="AI22" i="9" s="1"/>
  <c r="AI48" i="8"/>
  <c r="AI47" i="8"/>
  <c r="AJ76" i="8" s="1"/>
  <c r="AJ65" i="8" l="1"/>
  <c r="AJ66" i="8" s="1"/>
  <c r="AJ30" i="8" s="1"/>
  <c r="AI22" i="8"/>
  <c r="AI20" i="9"/>
  <c r="AI19" i="9" s="1"/>
  <c r="AI27" i="9" s="1"/>
  <c r="AI28" i="9" s="1"/>
  <c r="AJ28" i="8" l="1"/>
  <c r="AJ64" i="8"/>
  <c r="AJ63" i="8" s="1"/>
  <c r="AJ46" i="8" l="1"/>
  <c r="AJ21" i="8" s="1"/>
  <c r="AJ24" i="9" s="1"/>
  <c r="AJ23" i="9" s="1"/>
  <c r="AJ19" i="8"/>
  <c r="AJ33" i="8"/>
  <c r="AJ35" i="8" s="1"/>
  <c r="AJ18" i="8" l="1"/>
  <c r="AJ32" i="8"/>
  <c r="AJ17" i="8" s="1"/>
  <c r="AJ22" i="9" s="1"/>
  <c r="AJ21" i="9"/>
  <c r="AJ48" i="8"/>
  <c r="AJ47" i="8"/>
  <c r="AK76" i="8" s="1"/>
  <c r="AJ20" i="9" l="1"/>
  <c r="AJ19" i="9" s="1"/>
  <c r="AJ27" i="9" s="1"/>
  <c r="AJ28" i="9" s="1"/>
  <c r="AK65" i="8"/>
  <c r="AK66" i="8" s="1"/>
  <c r="AK30" i="8" s="1"/>
  <c r="AJ22" i="8"/>
  <c r="AK28" i="8" l="1"/>
  <c r="AK64" i="8"/>
  <c r="AK63" i="8" s="1"/>
  <c r="AK46" i="8" l="1"/>
  <c r="AK21" i="8" s="1"/>
  <c r="AK24" i="9" s="1"/>
  <c r="AK23" i="9" s="1"/>
  <c r="AK19" i="8"/>
  <c r="AK33" i="8"/>
  <c r="AK35" i="8" s="1"/>
  <c r="AK47" i="8" l="1"/>
  <c r="AL76" i="8" s="1"/>
  <c r="AL65" i="8" s="1"/>
  <c r="AL66" i="8" s="1"/>
  <c r="AL30" i="8" s="1"/>
  <c r="AK18" i="8"/>
  <c r="AK32" i="8"/>
  <c r="AK17" i="8" s="1"/>
  <c r="AK22" i="9" s="1"/>
  <c r="AK21" i="9"/>
  <c r="AK48" i="8"/>
  <c r="AL28" i="8" l="1"/>
  <c r="AL46" i="8" s="1"/>
  <c r="AL21" i="8" s="1"/>
  <c r="AL24" i="9" s="1"/>
  <c r="AL23" i="9" s="1"/>
  <c r="AK22" i="8"/>
  <c r="AL64" i="8"/>
  <c r="AL63" i="8" s="1"/>
  <c r="AK20" i="9"/>
  <c r="AK19" i="9" s="1"/>
  <c r="AK27" i="9" s="1"/>
  <c r="AK28" i="9" s="1"/>
  <c r="AL47" i="8" l="1"/>
  <c r="AM76" i="8" s="1"/>
  <c r="AL19" i="8"/>
  <c r="AL33" i="8"/>
  <c r="AL35" i="8" s="1"/>
  <c r="AL21" i="9" l="1"/>
  <c r="AL18" i="8"/>
  <c r="AL32" i="8"/>
  <c r="AL17" i="8" s="1"/>
  <c r="AL22" i="9" s="1"/>
  <c r="AL48" i="8"/>
  <c r="AM65" i="8"/>
  <c r="AM66" i="8" s="1"/>
  <c r="AM30" i="8" s="1"/>
  <c r="AM28" i="8" l="1"/>
  <c r="AM64" i="8"/>
  <c r="AM63" i="8" s="1"/>
  <c r="AL22" i="8"/>
  <c r="AL20" i="9"/>
  <c r="AL19" i="9" s="1"/>
  <c r="AL27" i="9" s="1"/>
  <c r="AL28" i="9" s="1"/>
  <c r="AM46" i="8" l="1"/>
  <c r="AM21" i="8" s="1"/>
  <c r="AM24" i="9" s="1"/>
  <c r="AM23" i="9" s="1"/>
  <c r="AM33" i="8"/>
  <c r="AM35" i="8" s="1"/>
  <c r="AM19" i="8"/>
  <c r="AM18" i="8" l="1"/>
  <c r="AM32" i="8"/>
  <c r="AM17" i="8" s="1"/>
  <c r="AM22" i="9" s="1"/>
  <c r="AM21" i="9"/>
  <c r="AM48" i="8"/>
  <c r="AM47" i="8"/>
  <c r="AN76" i="8" s="1"/>
  <c r="AM20" i="9" l="1"/>
  <c r="AM19" i="9" s="1"/>
  <c r="AM27" i="9" s="1"/>
  <c r="AM28" i="9" s="1"/>
  <c r="AN65" i="8"/>
  <c r="AN66" i="8" s="1"/>
  <c r="AN30" i="8" s="1"/>
  <c r="AM22" i="8"/>
  <c r="AN28" i="8" l="1"/>
  <c r="AN64" i="8"/>
  <c r="AN63" i="8" s="1"/>
  <c r="AN46" i="8" l="1"/>
  <c r="AN21" i="8" s="1"/>
  <c r="AN24" i="9" s="1"/>
  <c r="AN23" i="9" s="1"/>
  <c r="AN33" i="8"/>
  <c r="AN35" i="8" s="1"/>
  <c r="AN19" i="8"/>
  <c r="AN21" i="9" l="1"/>
  <c r="AN18" i="8"/>
  <c r="AN32" i="8"/>
  <c r="AN17" i="8" s="1"/>
  <c r="AN22" i="9" s="1"/>
  <c r="AN48" i="8"/>
  <c r="AN47" i="8"/>
  <c r="AO76" i="8" s="1"/>
  <c r="AO65" i="8" l="1"/>
  <c r="AO66" i="8" s="1"/>
  <c r="AO30" i="8" s="1"/>
  <c r="AN22" i="8"/>
  <c r="AN20" i="9"/>
  <c r="AN19" i="9" s="1"/>
  <c r="AN27" i="9" s="1"/>
  <c r="AN28" i="9" s="1"/>
  <c r="AO28" i="8" l="1"/>
  <c r="AO64" i="8"/>
  <c r="AO63" i="8" s="1"/>
  <c r="AO46" i="8" l="1"/>
  <c r="AO21" i="8" s="1"/>
  <c r="AO24" i="9" s="1"/>
  <c r="AO23" i="9" s="1"/>
  <c r="AO19" i="8"/>
  <c r="AO33" i="8"/>
  <c r="AO35" i="8" s="1"/>
  <c r="AO18" i="8" l="1"/>
  <c r="AO32" i="8"/>
  <c r="AO17" i="8" s="1"/>
  <c r="AO22" i="9" s="1"/>
  <c r="AO21" i="9"/>
  <c r="AO48" i="8"/>
  <c r="AO47" i="8"/>
  <c r="AP76" i="8" s="1"/>
  <c r="AO20" i="9" l="1"/>
  <c r="AO19" i="9" s="1"/>
  <c r="AO27" i="9" s="1"/>
  <c r="AO28" i="9" s="1"/>
  <c r="AP65" i="8"/>
  <c r="AP66" i="8" s="1"/>
  <c r="AP30" i="8" s="1"/>
  <c r="AO22" i="8"/>
  <c r="AP28" i="8" l="1"/>
  <c r="AP64" i="8"/>
  <c r="AP63" i="8" s="1"/>
  <c r="AP46" i="8" l="1"/>
  <c r="AP21" i="8" s="1"/>
  <c r="AP24" i="9" s="1"/>
  <c r="AP23" i="9" s="1"/>
  <c r="AP33" i="8"/>
  <c r="AP35" i="8" s="1"/>
  <c r="AP19" i="8"/>
  <c r="AP21" i="9" l="1"/>
  <c r="AP18" i="8"/>
  <c r="AP32" i="8"/>
  <c r="AP17" i="8" s="1"/>
  <c r="AP22" i="9" s="1"/>
  <c r="AP48" i="8"/>
  <c r="AP47" i="8"/>
  <c r="AQ76" i="8" s="1"/>
  <c r="AP22" i="8" l="1"/>
  <c r="AQ65" i="8"/>
  <c r="AQ66" i="8" s="1"/>
  <c r="AQ30" i="8" s="1"/>
  <c r="AP20" i="9"/>
  <c r="AP19" i="9" s="1"/>
  <c r="AP27" i="9" s="1"/>
  <c r="AP28" i="9" s="1"/>
  <c r="O37" i="9" s="1"/>
  <c r="AQ28" i="8" l="1"/>
  <c r="AQ64" i="8"/>
  <c r="AQ63" i="8" s="1"/>
  <c r="AQ46" i="8" l="1"/>
  <c r="AQ21" i="8" s="1"/>
  <c r="AQ24" i="9" s="1"/>
  <c r="AQ23" i="9" s="1"/>
  <c r="AQ33" i="8"/>
  <c r="AQ35" i="8" s="1"/>
  <c r="AQ19" i="8"/>
  <c r="AQ32" i="8" l="1"/>
  <c r="AQ17" i="8" s="1"/>
  <c r="AQ22" i="9" s="1"/>
  <c r="AQ18" i="8"/>
  <c r="AQ21" i="9"/>
  <c r="AQ48" i="8"/>
  <c r="AQ47" i="8"/>
  <c r="AR76" i="8" s="1"/>
  <c r="AQ20" i="9" l="1"/>
  <c r="AQ19" i="9" s="1"/>
  <c r="AQ27" i="9" s="1"/>
  <c r="AQ28" i="9" s="1"/>
  <c r="P37" i="9" s="1"/>
  <c r="P38" i="9" s="1"/>
  <c r="AR65" i="8"/>
  <c r="AR66" i="8" s="1"/>
  <c r="AR30" i="8" s="1"/>
  <c r="AQ22" i="8"/>
  <c r="AR28" i="8" l="1"/>
  <c r="AR64" i="8"/>
  <c r="AR63" i="8" s="1"/>
  <c r="AR46" i="8" l="1"/>
  <c r="AR21" i="8" s="1"/>
  <c r="AR24" i="9" s="1"/>
  <c r="AR23" i="9" s="1"/>
  <c r="AR19" i="8"/>
  <c r="AR33" i="8"/>
  <c r="AR35" i="8" s="1"/>
  <c r="AR18" i="8" l="1"/>
  <c r="AR21" i="9"/>
  <c r="AR32" i="8"/>
  <c r="AR17" i="8" s="1"/>
  <c r="AR22" i="9" s="1"/>
  <c r="AR48" i="8"/>
  <c r="AR47" i="8"/>
  <c r="AS76" i="8" s="1"/>
  <c r="AS65" i="8" l="1"/>
  <c r="AS66" i="8" s="1"/>
  <c r="AS30" i="8" s="1"/>
  <c r="AR22" i="8"/>
  <c r="AR20" i="9"/>
  <c r="AR19" i="9" s="1"/>
  <c r="AR27" i="9" s="1"/>
  <c r="AR28" i="9" s="1"/>
  <c r="Q37" i="9" s="1"/>
  <c r="Q38" i="9" s="1"/>
  <c r="AS28" i="8" l="1"/>
  <c r="AS64" i="8"/>
  <c r="AS63" i="8" s="1"/>
  <c r="AS46" i="8" l="1"/>
  <c r="AS21" i="8" s="1"/>
  <c r="AS24" i="9" s="1"/>
  <c r="AS23" i="9" s="1"/>
  <c r="AS19" i="8"/>
  <c r="AS33" i="8"/>
  <c r="AS35" i="8" s="1"/>
  <c r="AS18" i="8" l="1"/>
  <c r="AS21" i="9"/>
  <c r="AS32" i="8"/>
  <c r="AS17" i="8" s="1"/>
  <c r="AS22" i="9" s="1"/>
  <c r="AS48" i="8"/>
  <c r="AS47" i="8"/>
  <c r="AT76" i="8" s="1"/>
  <c r="AT65" i="8" l="1"/>
  <c r="AT66" i="8" s="1"/>
  <c r="AT30" i="8" s="1"/>
  <c r="AS22" i="8"/>
  <c r="AS20" i="9"/>
  <c r="AS19" i="9" s="1"/>
  <c r="AS27" i="9" s="1"/>
  <c r="AS28" i="9" s="1"/>
  <c r="R37" i="9" s="1"/>
  <c r="R38" i="9" s="1"/>
  <c r="AT28" i="8" l="1"/>
  <c r="AT64" i="8"/>
  <c r="AT63" i="8" s="1"/>
  <c r="AT46" i="8" l="1"/>
  <c r="AT21" i="8" s="1"/>
  <c r="AT24" i="9" s="1"/>
  <c r="AT23" i="9" s="1"/>
  <c r="AT19" i="8"/>
  <c r="AT33" i="8"/>
  <c r="AT35" i="8" s="1"/>
  <c r="AT21" i="9" l="1"/>
  <c r="AT32" i="8"/>
  <c r="AT17" i="8" s="1"/>
  <c r="AT22" i="9" s="1"/>
  <c r="AT18" i="8"/>
  <c r="AT48" i="8"/>
  <c r="AT47" i="8"/>
  <c r="AU76" i="8" s="1"/>
  <c r="AT22" i="8" l="1"/>
  <c r="AU65" i="8"/>
  <c r="AU66" i="8" s="1"/>
  <c r="AU30" i="8" s="1"/>
  <c r="AT20" i="9"/>
  <c r="AT19" i="9" s="1"/>
  <c r="AT27" i="9" s="1"/>
  <c r="AT28" i="9" s="1"/>
  <c r="S37" i="9" s="1"/>
  <c r="S38" i="9" s="1"/>
  <c r="AU28" i="8" l="1"/>
  <c r="AU64" i="8"/>
  <c r="AU63" i="8" s="1"/>
  <c r="AU46" i="8" l="1"/>
  <c r="AU21" i="8" s="1"/>
  <c r="AU24" i="9" s="1"/>
  <c r="AU23" i="9" s="1"/>
  <c r="AU19" i="8"/>
  <c r="AU33" i="8"/>
  <c r="AU35" i="8" s="1"/>
  <c r="AU32" i="8" l="1"/>
  <c r="AU17" i="8" s="1"/>
  <c r="AU22" i="9" s="1"/>
  <c r="AU21" i="9"/>
  <c r="AU18" i="8"/>
  <c r="AU48" i="8"/>
  <c r="AU47" i="8"/>
  <c r="AV76" i="8" s="1"/>
  <c r="AU20" i="9" l="1"/>
  <c r="AU19" i="9" s="1"/>
  <c r="AU27" i="9" s="1"/>
  <c r="AU28" i="9" s="1"/>
  <c r="T37" i="9" s="1"/>
  <c r="T38" i="9" s="1"/>
  <c r="AV65" i="8"/>
  <c r="AV66" i="8" s="1"/>
  <c r="AV30" i="8" s="1"/>
  <c r="AU22" i="8"/>
  <c r="AV28" i="8" l="1"/>
  <c r="AV64" i="8"/>
  <c r="AV63" i="8" s="1"/>
  <c r="AV46" i="8" l="1"/>
  <c r="AV21" i="8" s="1"/>
  <c r="AV24" i="9" s="1"/>
  <c r="AV23" i="9" s="1"/>
  <c r="AV33" i="8"/>
  <c r="AV35" i="8" s="1"/>
  <c r="AV19" i="8"/>
  <c r="AV18" i="8" l="1"/>
  <c r="AV21" i="9"/>
  <c r="AV32" i="8"/>
  <c r="AV17" i="8" s="1"/>
  <c r="AV22" i="9" s="1"/>
  <c r="AV48" i="8"/>
  <c r="AV47" i="8"/>
  <c r="AW76" i="8" s="1"/>
  <c r="AV22" i="8" l="1"/>
  <c r="AW65" i="8"/>
  <c r="AW66" i="8" s="1"/>
  <c r="AW30" i="8" s="1"/>
  <c r="AV20" i="9"/>
  <c r="AV19" i="9" s="1"/>
  <c r="AV27" i="9" s="1"/>
  <c r="AV28" i="9" s="1"/>
  <c r="U37" i="9" s="1"/>
  <c r="U38" i="9" s="1"/>
  <c r="AW28" i="8" l="1"/>
  <c r="AW64" i="8"/>
  <c r="AW63" i="8" s="1"/>
  <c r="AW46" i="8" l="1"/>
  <c r="AW21" i="8" s="1"/>
  <c r="AW24" i="9" s="1"/>
  <c r="AW23" i="9" s="1"/>
  <c r="AW33" i="8"/>
  <c r="AW35" i="8" s="1"/>
  <c r="AW19" i="8"/>
  <c r="AW18" i="8" l="1"/>
  <c r="AW21" i="9"/>
  <c r="AW32" i="8"/>
  <c r="AW17" i="8" s="1"/>
  <c r="AW22" i="9" s="1"/>
  <c r="AW48" i="8"/>
  <c r="AW47" i="8"/>
  <c r="AX76" i="8" s="1"/>
  <c r="AX65" i="8" l="1"/>
  <c r="AX66" i="8" s="1"/>
  <c r="AX30" i="8" s="1"/>
  <c r="AW22" i="8"/>
  <c r="AW20" i="9"/>
  <c r="AW19" i="9" s="1"/>
  <c r="AW27" i="9" s="1"/>
  <c r="AW28" i="9" s="1"/>
  <c r="V37" i="9" s="1"/>
  <c r="V38" i="9" s="1"/>
  <c r="AX28" i="8" l="1"/>
  <c r="AX64" i="8"/>
  <c r="AX63" i="8" s="1"/>
  <c r="AX46" i="8" l="1"/>
  <c r="AX21" i="8" s="1"/>
  <c r="AX24" i="9" s="1"/>
  <c r="AX23" i="9" s="1"/>
  <c r="AX19" i="8"/>
  <c r="AX33" i="8"/>
  <c r="AX35" i="8" s="1"/>
  <c r="AX18" i="8" l="1"/>
  <c r="AX21" i="9"/>
  <c r="AX32" i="8"/>
  <c r="AX17" i="8" s="1"/>
  <c r="AX22" i="9" s="1"/>
  <c r="AX48" i="8"/>
  <c r="AX47" i="8"/>
  <c r="AY76" i="8" s="1"/>
  <c r="AY65" i="8" l="1"/>
  <c r="AY66" i="8" s="1"/>
  <c r="AY30" i="8" s="1"/>
  <c r="AX22" i="8"/>
  <c r="AX20" i="9"/>
  <c r="AX19" i="9" s="1"/>
  <c r="AX27" i="9" s="1"/>
  <c r="AX28" i="9" s="1"/>
  <c r="W37" i="9" s="1"/>
  <c r="W38" i="9" s="1"/>
  <c r="AY28" i="8" l="1"/>
  <c r="AY64" i="8"/>
  <c r="AY63" i="8" s="1"/>
  <c r="AY46" i="8" l="1"/>
  <c r="AY21" i="8" s="1"/>
  <c r="AY24" i="9" s="1"/>
  <c r="AY23" i="9" s="1"/>
  <c r="AY19" i="8"/>
  <c r="AY33" i="8"/>
  <c r="AY35" i="8" s="1"/>
  <c r="AY32" i="8" l="1"/>
  <c r="AY17" i="8" s="1"/>
  <c r="AY22" i="9" s="1"/>
  <c r="AY18" i="8"/>
  <c r="AY21" i="9"/>
  <c r="AY48" i="8"/>
  <c r="AY47" i="8"/>
  <c r="AZ76" i="8" s="1"/>
  <c r="AY20" i="9" l="1"/>
  <c r="AY19" i="9" s="1"/>
  <c r="AY27" i="9" s="1"/>
  <c r="AY28" i="9" s="1"/>
  <c r="X37" i="9" s="1"/>
  <c r="X38" i="9" s="1"/>
  <c r="AZ65" i="8"/>
  <c r="AZ66" i="8" s="1"/>
  <c r="AZ30" i="8" s="1"/>
  <c r="AY22" i="8"/>
  <c r="AZ28" i="8" l="1"/>
  <c r="AZ64" i="8"/>
  <c r="AZ63" i="8" s="1"/>
  <c r="AZ46" i="8" l="1"/>
  <c r="AZ21" i="8" s="1"/>
  <c r="AZ24" i="9" s="1"/>
  <c r="AZ23" i="9" s="1"/>
  <c r="AZ33" i="8"/>
  <c r="AZ35" i="8" s="1"/>
  <c r="AZ19" i="8"/>
  <c r="AZ21" i="9" l="1"/>
  <c r="AZ18" i="8"/>
  <c r="AZ32" i="8"/>
  <c r="AZ17" i="8" s="1"/>
  <c r="AZ22" i="9" s="1"/>
  <c r="AZ48" i="8"/>
  <c r="AZ47" i="8"/>
  <c r="BA76" i="8" s="1"/>
  <c r="BA65" i="8" l="1"/>
  <c r="BA66" i="8" s="1"/>
  <c r="BA30" i="8" s="1"/>
  <c r="AZ22" i="8"/>
  <c r="AZ20" i="9"/>
  <c r="AZ19" i="9" s="1"/>
  <c r="AZ27" i="9" s="1"/>
  <c r="AZ28" i="9" s="1"/>
  <c r="Y37" i="9" s="1"/>
  <c r="Y38" i="9" s="1"/>
  <c r="BA28" i="8" l="1"/>
  <c r="BA64" i="8"/>
  <c r="BA63" i="8" s="1"/>
  <c r="BA46" i="8" l="1"/>
  <c r="BA21" i="8" s="1"/>
  <c r="BA24" i="9" s="1"/>
  <c r="BA23" i="9" s="1"/>
  <c r="BA19" i="8"/>
  <c r="BA33" i="8"/>
  <c r="BA35" i="8" s="1"/>
  <c r="BA21" i="9" l="1"/>
  <c r="BA18" i="8"/>
  <c r="BA32" i="8"/>
  <c r="BA17" i="8" s="1"/>
  <c r="BA22" i="9" s="1"/>
  <c r="BA48" i="8"/>
  <c r="BA47" i="8"/>
  <c r="BB76" i="8" s="1"/>
  <c r="BB65" i="8" l="1"/>
  <c r="BB66" i="8" s="1"/>
  <c r="BB30" i="8" s="1"/>
  <c r="BA22" i="8"/>
  <c r="BA20" i="9"/>
  <c r="BA19" i="9" s="1"/>
  <c r="BA27" i="9" s="1"/>
  <c r="BA28" i="9" s="1"/>
  <c r="Z37" i="9" s="1"/>
  <c r="Z38" i="9" s="1"/>
  <c r="BB28" i="8" l="1"/>
  <c r="BB64" i="8"/>
  <c r="BB63" i="8" s="1"/>
  <c r="BB46" i="8" l="1"/>
  <c r="BB21" i="8" s="1"/>
  <c r="BB24" i="9" s="1"/>
  <c r="BB23" i="9" s="1"/>
  <c r="BB33" i="8"/>
  <c r="BB35" i="8" s="1"/>
  <c r="BB19" i="8"/>
  <c r="BB32" i="8" l="1"/>
  <c r="BB17" i="8" s="1"/>
  <c r="BB22" i="9" s="1"/>
  <c r="BB21" i="9"/>
  <c r="BB18" i="8"/>
  <c r="BB48" i="8"/>
  <c r="BB47" i="8"/>
  <c r="BC76" i="8" s="1"/>
  <c r="BB20" i="9" l="1"/>
  <c r="BB19" i="9" s="1"/>
  <c r="BB27" i="9" s="1"/>
  <c r="BB28" i="9" s="1"/>
  <c r="AA37" i="9" s="1"/>
  <c r="AA38" i="9" s="1"/>
  <c r="BB22" i="8"/>
  <c r="BC65" i="8"/>
  <c r="BC66" i="8" s="1"/>
  <c r="BC30" i="8" s="1"/>
  <c r="BC28" i="8" l="1"/>
  <c r="BC64" i="8"/>
  <c r="BC63" i="8" s="1"/>
  <c r="BC46" i="8" l="1"/>
  <c r="BC21" i="8" s="1"/>
  <c r="BC24" i="9" s="1"/>
  <c r="BC23" i="9" s="1"/>
  <c r="BC33" i="8"/>
  <c r="BC35" i="8" s="1"/>
  <c r="BC19" i="8"/>
  <c r="BC21" i="9" l="1"/>
  <c r="BC18" i="8"/>
  <c r="BC32" i="8"/>
  <c r="BC17" i="8" s="1"/>
  <c r="BC22" i="9" s="1"/>
  <c r="BC48" i="8"/>
  <c r="BC47" i="8"/>
  <c r="BD76" i="8" s="1"/>
  <c r="BD65" i="8" l="1"/>
  <c r="BD66" i="8" s="1"/>
  <c r="BD30" i="8" s="1"/>
  <c r="BC22" i="8"/>
  <c r="BC20" i="9"/>
  <c r="BC19" i="9" s="1"/>
  <c r="BC27" i="9" s="1"/>
  <c r="BC28" i="9" s="1"/>
  <c r="AB37" i="9" s="1"/>
  <c r="AB38" i="9" s="1"/>
  <c r="BD28" i="8" l="1"/>
  <c r="BD64" i="8"/>
  <c r="BD63" i="8" s="1"/>
  <c r="BD46" i="8" l="1"/>
  <c r="BD21" i="8" s="1"/>
  <c r="BD24" i="9" s="1"/>
  <c r="BD23" i="9" s="1"/>
  <c r="BD33" i="8"/>
  <c r="BD35" i="8" s="1"/>
  <c r="BD19" i="8"/>
  <c r="BD21" i="9" l="1"/>
  <c r="BD18" i="8"/>
  <c r="BD32" i="8"/>
  <c r="BD17" i="8" s="1"/>
  <c r="BD22" i="9" s="1"/>
  <c r="BD48" i="8"/>
  <c r="BD47" i="8"/>
  <c r="BE76" i="8" s="1"/>
  <c r="BE65" i="8" l="1"/>
  <c r="BE66" i="8" s="1"/>
  <c r="BE30" i="8" s="1"/>
  <c r="BD22" i="8"/>
  <c r="BD20" i="9"/>
  <c r="BD19" i="9" s="1"/>
  <c r="BD27" i="9" s="1"/>
  <c r="BD28" i="9" s="1"/>
  <c r="AC37" i="9" s="1"/>
  <c r="AC38" i="9" s="1"/>
  <c r="BE28" i="8" l="1"/>
  <c r="BE64" i="8"/>
  <c r="BE63" i="8" s="1"/>
  <c r="BE46" i="8" l="1"/>
  <c r="BE21" i="8" s="1"/>
  <c r="BE24" i="9" s="1"/>
  <c r="BE23" i="9" s="1"/>
  <c r="BE33" i="8"/>
  <c r="BE35" i="8" s="1"/>
  <c r="BE19" i="8"/>
  <c r="BE21" i="9" l="1"/>
  <c r="BE18" i="8"/>
  <c r="BE32" i="8"/>
  <c r="BE17" i="8" s="1"/>
  <c r="BE22" i="9" s="1"/>
  <c r="BE48" i="8"/>
  <c r="BE47" i="8"/>
  <c r="BF76" i="8" s="1"/>
  <c r="BF65" i="8" l="1"/>
  <c r="BF66" i="8" s="1"/>
  <c r="BF30" i="8" s="1"/>
  <c r="BE22" i="8"/>
  <c r="BE20" i="9"/>
  <c r="BE19" i="9" s="1"/>
  <c r="BE27" i="9" s="1"/>
  <c r="BE28" i="9" s="1"/>
  <c r="AD37" i="9" s="1"/>
  <c r="AD38" i="9" s="1"/>
  <c r="BF28" i="8" l="1"/>
  <c r="BF64" i="8"/>
  <c r="BF63" i="8" s="1"/>
  <c r="BF46" i="8" l="1"/>
  <c r="BF21" i="8" s="1"/>
  <c r="BF24" i="9" s="1"/>
  <c r="BF23" i="9" s="1"/>
  <c r="BF33" i="8"/>
  <c r="BF35" i="8" s="1"/>
  <c r="BF19" i="8"/>
  <c r="BF21" i="9" l="1"/>
  <c r="BF18" i="8"/>
  <c r="BF32" i="8"/>
  <c r="BF17" i="8" s="1"/>
  <c r="BF22" i="9" s="1"/>
  <c r="BF48" i="8"/>
  <c r="BF47" i="8"/>
  <c r="BG76" i="8" s="1"/>
  <c r="BG65" i="8" l="1"/>
  <c r="BG66" i="8" s="1"/>
  <c r="BG30" i="8" s="1"/>
  <c r="BF22" i="8"/>
  <c r="BF20" i="9"/>
  <c r="BF19" i="9" s="1"/>
  <c r="BF27" i="9" s="1"/>
  <c r="BF28" i="9" s="1"/>
  <c r="AE37" i="9" s="1"/>
  <c r="AE38" i="9" s="1"/>
  <c r="BG28" i="8" l="1"/>
  <c r="BG64" i="8"/>
  <c r="BG63" i="8" s="1"/>
  <c r="BG46" i="8" l="1"/>
  <c r="BG21" i="8" s="1"/>
  <c r="BG24" i="9" s="1"/>
  <c r="BG23" i="9" s="1"/>
  <c r="BG19" i="8"/>
  <c r="BG33" i="8"/>
  <c r="BG35" i="8" s="1"/>
  <c r="BG21" i="9" l="1"/>
  <c r="BG32" i="8"/>
  <c r="BG17" i="8" s="1"/>
  <c r="BG22" i="9" s="1"/>
  <c r="BG18" i="8"/>
  <c r="BG48" i="8"/>
  <c r="BG47" i="8"/>
  <c r="BH76" i="8" s="1"/>
  <c r="BH65" i="8" l="1"/>
  <c r="BH66" i="8" s="1"/>
  <c r="BH30" i="8" s="1"/>
  <c r="BG22" i="8"/>
  <c r="BG20" i="9"/>
  <c r="BG19" i="9" s="1"/>
  <c r="BG27" i="9" s="1"/>
  <c r="BG28" i="9" s="1"/>
  <c r="AF37" i="9" s="1"/>
  <c r="AF38" i="9" s="1"/>
  <c r="BH28" i="8" l="1"/>
  <c r="BH64" i="8"/>
  <c r="BH63" i="8" s="1"/>
  <c r="BH46" i="8" l="1"/>
  <c r="BH21" i="8" s="1"/>
  <c r="BH24" i="9" s="1"/>
  <c r="BH23" i="9" s="1"/>
  <c r="BH33" i="8"/>
  <c r="BH35" i="8" s="1"/>
  <c r="BH19" i="8"/>
  <c r="BH21" i="9" l="1"/>
  <c r="BH18" i="8"/>
  <c r="BH32" i="8"/>
  <c r="BH17" i="8" s="1"/>
  <c r="BH22" i="9" s="1"/>
  <c r="BH48" i="8"/>
  <c r="BH47" i="8"/>
  <c r="BI76" i="8" s="1"/>
  <c r="BI65" i="8" l="1"/>
  <c r="BI66" i="8" s="1"/>
  <c r="BI30" i="8" s="1"/>
  <c r="BH22" i="8"/>
  <c r="BH20" i="9"/>
  <c r="BH19" i="9" s="1"/>
  <c r="BH27" i="9" s="1"/>
  <c r="BH28" i="9" s="1"/>
  <c r="AG37" i="9" s="1"/>
  <c r="AG38" i="9" s="1"/>
  <c r="BI28" i="8" l="1"/>
  <c r="BI64" i="8"/>
  <c r="BI63" i="8" s="1"/>
  <c r="BI46" i="8" l="1"/>
  <c r="BI21" i="8" s="1"/>
  <c r="BI24" i="9" s="1"/>
  <c r="BI23" i="9" s="1"/>
  <c r="BI19" i="8"/>
  <c r="BI33" i="8"/>
  <c r="BI35" i="8" s="1"/>
  <c r="BI21" i="9" l="1"/>
  <c r="BI32" i="8"/>
  <c r="BI17" i="8" s="1"/>
  <c r="BI22" i="9" s="1"/>
  <c r="BI18" i="8"/>
  <c r="BI48" i="8"/>
  <c r="BI47" i="8"/>
  <c r="BJ76" i="8" s="1"/>
  <c r="BJ65" i="8" l="1"/>
  <c r="BJ66" i="8" s="1"/>
  <c r="BJ30" i="8" s="1"/>
  <c r="BI22" i="8"/>
  <c r="BI20" i="9"/>
  <c r="BI19" i="9" s="1"/>
  <c r="BI27" i="9" s="1"/>
  <c r="BI28" i="9" s="1"/>
  <c r="AH37" i="9" s="1"/>
  <c r="AH38" i="9" s="1"/>
  <c r="BJ28" i="8" l="1"/>
  <c r="BJ64" i="8"/>
  <c r="BJ63" i="8" s="1"/>
  <c r="BJ46" i="8" l="1"/>
  <c r="BJ21" i="8" s="1"/>
  <c r="BJ24" i="9" s="1"/>
  <c r="BJ23" i="9" s="1"/>
  <c r="BJ33" i="8"/>
  <c r="BJ35" i="8" s="1"/>
  <c r="BJ19" i="8"/>
  <c r="BJ21" i="9" l="1"/>
  <c r="BJ32" i="8"/>
  <c r="BJ17" i="8" s="1"/>
  <c r="BJ22" i="9" s="1"/>
  <c r="BJ18" i="8"/>
  <c r="BJ48" i="8"/>
  <c r="BJ47" i="8"/>
  <c r="BK76" i="8" s="1"/>
  <c r="BK65" i="8" l="1"/>
  <c r="BK66" i="8" s="1"/>
  <c r="BK30" i="8" s="1"/>
  <c r="BJ22" i="8"/>
  <c r="BJ20" i="9"/>
  <c r="BJ19" i="9" s="1"/>
  <c r="BJ27" i="9" s="1"/>
  <c r="BJ28" i="9" s="1"/>
  <c r="AI37" i="9" s="1"/>
  <c r="AI38" i="9" s="1"/>
  <c r="BK28" i="8" l="1"/>
  <c r="BK64" i="8"/>
  <c r="BK63" i="8" s="1"/>
  <c r="BK46" i="8" l="1"/>
  <c r="BK21" i="8" s="1"/>
  <c r="BK24" i="9" s="1"/>
  <c r="BK23" i="9" s="1"/>
  <c r="BK19" i="8"/>
  <c r="BK33" i="8"/>
  <c r="BK35" i="8" s="1"/>
  <c r="BK32" i="8" l="1"/>
  <c r="BK17" i="8" s="1"/>
  <c r="BK22" i="9" s="1"/>
  <c r="BK18" i="8"/>
  <c r="BK21" i="9"/>
  <c r="BK48" i="8"/>
  <c r="BK47" i="8"/>
  <c r="BL76" i="8" s="1"/>
  <c r="BK20" i="9" l="1"/>
  <c r="BK19" i="9" s="1"/>
  <c r="BK27" i="9" s="1"/>
  <c r="BK28" i="9" s="1"/>
  <c r="AJ37" i="9" s="1"/>
  <c r="AJ38" i="9" s="1"/>
  <c r="BL65" i="8"/>
  <c r="BL66" i="8" s="1"/>
  <c r="BL30" i="8" s="1"/>
  <c r="BK22" i="8"/>
  <c r="BL28" i="8" l="1"/>
  <c r="BL64" i="8"/>
  <c r="BL63" i="8" s="1"/>
  <c r="BL46" i="8" l="1"/>
  <c r="BL21" i="8" s="1"/>
  <c r="BL24" i="9" s="1"/>
  <c r="BL23" i="9" s="1"/>
  <c r="BL19" i="8"/>
  <c r="BL33" i="8"/>
  <c r="BL35" i="8" s="1"/>
  <c r="BL18" i="8" l="1"/>
  <c r="BL21" i="9"/>
  <c r="BL32" i="8"/>
  <c r="BL17" i="8" s="1"/>
  <c r="BL22" i="9" s="1"/>
  <c r="BL48" i="8"/>
  <c r="BL47" i="8"/>
  <c r="BM76" i="8" s="1"/>
  <c r="BM65" i="8" l="1"/>
  <c r="BM66" i="8" s="1"/>
  <c r="BM30" i="8" s="1"/>
  <c r="BL22" i="8"/>
  <c r="BL20" i="9"/>
  <c r="BL19" i="9" s="1"/>
  <c r="BL27" i="9" s="1"/>
  <c r="BL28" i="9" s="1"/>
  <c r="AK37" i="9" s="1"/>
  <c r="AK38" i="9" s="1"/>
  <c r="BM28" i="8" l="1"/>
  <c r="BM64" i="8"/>
  <c r="BM63" i="8" s="1"/>
  <c r="BM46" i="8" l="1"/>
  <c r="BM21" i="8" s="1"/>
  <c r="BM24" i="9" s="1"/>
  <c r="BM23" i="9" s="1"/>
  <c r="BM33" i="8"/>
  <c r="BM35" i="8" s="1"/>
  <c r="BM19" i="8"/>
  <c r="BM32" i="8" l="1"/>
  <c r="BM17" i="8" s="1"/>
  <c r="BM22" i="9" s="1"/>
  <c r="BM21" i="9"/>
  <c r="BM18" i="8"/>
  <c r="BM48" i="8"/>
  <c r="BM47" i="8"/>
  <c r="BN76" i="8" s="1"/>
  <c r="BM20" i="9" l="1"/>
  <c r="BM19" i="9" s="1"/>
  <c r="BM27" i="9" s="1"/>
  <c r="BM28" i="9" s="1"/>
  <c r="AL37" i="9" s="1"/>
  <c r="AL38" i="9" s="1"/>
  <c r="BN65" i="8"/>
  <c r="BN66" i="8" s="1"/>
  <c r="BN30" i="8" s="1"/>
  <c r="BM22" i="8"/>
  <c r="BN28" i="8" l="1"/>
  <c r="BN64" i="8"/>
  <c r="BN63" i="8" s="1"/>
  <c r="BN46" i="8" l="1"/>
  <c r="BN21" i="8" s="1"/>
  <c r="BN24" i="9" s="1"/>
  <c r="BN23" i="9" s="1"/>
  <c r="BN33" i="8"/>
  <c r="BN35" i="8" s="1"/>
  <c r="BN19" i="8"/>
  <c r="BN32" i="8" l="1"/>
  <c r="BN17" i="8" s="1"/>
  <c r="BN22" i="9" s="1"/>
  <c r="BN21" i="9"/>
  <c r="BN18" i="8"/>
  <c r="BN48" i="8"/>
  <c r="BN47" i="8"/>
  <c r="BO76" i="8" s="1"/>
  <c r="BN20" i="9" l="1"/>
  <c r="BN19" i="9" s="1"/>
  <c r="BN27" i="9" s="1"/>
  <c r="BN28" i="9" s="1"/>
  <c r="AM37" i="9" s="1"/>
  <c r="AM38" i="9" s="1"/>
  <c r="BO65" i="8"/>
  <c r="BO66" i="8" s="1"/>
  <c r="BO30" i="8" s="1"/>
  <c r="BN22" i="8"/>
  <c r="BO28" i="8" l="1"/>
  <c r="BO64" i="8"/>
  <c r="BO63" i="8" s="1"/>
  <c r="BO46" i="8" l="1"/>
  <c r="BO21" i="8" s="1"/>
  <c r="BO24" i="9" s="1"/>
  <c r="BO23" i="9" s="1"/>
  <c r="BO33" i="8"/>
  <c r="BO35" i="8" s="1"/>
  <c r="BO19" i="8"/>
  <c r="BO32" i="8" l="1"/>
  <c r="BO17" i="8" s="1"/>
  <c r="BO22" i="9" s="1"/>
  <c r="BO21" i="9"/>
  <c r="BO18" i="8"/>
  <c r="BO48" i="8"/>
  <c r="BO47" i="8"/>
  <c r="BP76" i="8" s="1"/>
  <c r="BO20" i="9" l="1"/>
  <c r="BO19" i="9" s="1"/>
  <c r="BO27" i="9" s="1"/>
  <c r="BO28" i="9" s="1"/>
  <c r="AN37" i="9" s="1"/>
  <c r="AN38" i="9" s="1"/>
  <c r="BP65" i="8"/>
  <c r="BP66" i="8" s="1"/>
  <c r="BP30" i="8" s="1"/>
  <c r="BO22" i="8"/>
  <c r="BP28" i="8" l="1"/>
  <c r="BP64" i="8"/>
  <c r="BP63" i="8" s="1"/>
  <c r="BP46" i="8" l="1"/>
  <c r="BP21" i="8" s="1"/>
  <c r="BP24" i="9" s="1"/>
  <c r="BP23" i="9" s="1"/>
  <c r="BP33" i="8"/>
  <c r="BP35" i="8" s="1"/>
  <c r="BP19" i="8"/>
  <c r="BP32" i="8" l="1"/>
  <c r="BP17" i="8" s="1"/>
  <c r="BP22" i="9" s="1"/>
  <c r="BP21" i="9"/>
  <c r="BP18" i="8"/>
  <c r="BP48" i="8"/>
  <c r="BP47" i="8"/>
  <c r="BQ76" i="8" s="1"/>
  <c r="BP20" i="9" l="1"/>
  <c r="BP19" i="9" s="1"/>
  <c r="BP27" i="9" s="1"/>
  <c r="BP28" i="9" s="1"/>
  <c r="AO37" i="9" s="1"/>
  <c r="AO38" i="9" s="1"/>
  <c r="BP22" i="8"/>
  <c r="BQ65" i="8"/>
  <c r="BQ66" i="8" s="1"/>
  <c r="BQ30" i="8" s="1"/>
  <c r="BQ28" i="8" l="1"/>
  <c r="BQ64" i="8"/>
  <c r="BQ63" i="8" s="1"/>
  <c r="BQ46" i="8" l="1"/>
  <c r="BQ21" i="8" s="1"/>
  <c r="BQ24" i="9" s="1"/>
  <c r="BQ23" i="9" s="1"/>
  <c r="BQ33" i="8"/>
  <c r="BQ35" i="8" s="1"/>
  <c r="BQ19" i="8"/>
  <c r="BQ21" i="9" l="1"/>
  <c r="BQ18" i="8"/>
  <c r="BQ32" i="8"/>
  <c r="BQ17" i="8" s="1"/>
  <c r="BQ22" i="9" s="1"/>
  <c r="BQ48" i="8"/>
  <c r="BQ47" i="8"/>
  <c r="BR76" i="8" s="1"/>
  <c r="BR65" i="8" l="1"/>
  <c r="BR66" i="8" s="1"/>
  <c r="BR30" i="8" s="1"/>
  <c r="BQ22" i="8"/>
  <c r="BQ20" i="9"/>
  <c r="BQ19" i="9" s="1"/>
  <c r="BQ27" i="9" s="1"/>
  <c r="BQ28" i="9" s="1"/>
  <c r="AP37" i="9" s="1"/>
  <c r="AP38" i="9" s="1"/>
  <c r="BR28" i="8" l="1"/>
  <c r="BR64" i="8"/>
  <c r="BR63" i="8" s="1"/>
  <c r="BR46" i="8" l="1"/>
  <c r="BR21" i="8" s="1"/>
  <c r="BR24" i="9" s="1"/>
  <c r="BR23" i="9" s="1"/>
  <c r="BR19" i="8"/>
  <c r="BR33" i="8"/>
  <c r="BR35" i="8" s="1"/>
  <c r="BR21" i="9" l="1"/>
  <c r="BR18" i="8"/>
  <c r="BR32" i="8"/>
  <c r="BR17" i="8" s="1"/>
  <c r="BR22" i="9" s="1"/>
  <c r="BR48" i="8"/>
  <c r="BR47" i="8"/>
  <c r="BS76" i="8" s="1"/>
  <c r="BR22" i="8" l="1"/>
  <c r="BS65" i="8"/>
  <c r="BS66" i="8" s="1"/>
  <c r="BS30" i="8" s="1"/>
  <c r="BR20" i="9"/>
  <c r="BR19" i="9" s="1"/>
  <c r="BR27" i="9" s="1"/>
  <c r="BR28" i="9" s="1"/>
  <c r="AQ37" i="9" s="1"/>
  <c r="AQ38" i="9" s="1"/>
  <c r="BS28" i="8" l="1"/>
  <c r="BS64" i="8"/>
  <c r="BS63" i="8" s="1"/>
  <c r="BS46" i="8" l="1"/>
  <c r="BS21" i="8" s="1"/>
  <c r="BS24" i="9" s="1"/>
  <c r="BS23" i="9" s="1"/>
  <c r="BS19" i="8"/>
  <c r="BS33" i="8"/>
  <c r="BS35" i="8" s="1"/>
  <c r="BS18" i="8" l="1"/>
  <c r="BS32" i="8"/>
  <c r="BS17" i="8" s="1"/>
  <c r="BS22" i="9" s="1"/>
  <c r="BS21" i="9"/>
  <c r="BS48" i="8"/>
  <c r="BS47" i="8"/>
  <c r="BT76" i="8" s="1"/>
  <c r="BS20" i="9" l="1"/>
  <c r="BS19" i="9" s="1"/>
  <c r="BS27" i="9" s="1"/>
  <c r="BS28" i="9" s="1"/>
  <c r="AR37" i="9" s="1"/>
  <c r="AR38" i="9" s="1"/>
  <c r="BT65" i="8"/>
  <c r="BT66" i="8" s="1"/>
  <c r="BT30" i="8" s="1"/>
  <c r="BS22" i="8"/>
  <c r="BT28" i="8" l="1"/>
  <c r="BT64" i="8"/>
  <c r="BT63" i="8" s="1"/>
  <c r="BT46" i="8" l="1"/>
  <c r="BT21" i="8" s="1"/>
  <c r="BT24" i="9" s="1"/>
  <c r="BT23" i="9" s="1"/>
  <c r="BT19" i="8"/>
  <c r="BT33" i="8"/>
  <c r="BT35" i="8" s="1"/>
  <c r="BT32" i="8" l="1"/>
  <c r="BT17" i="8" s="1"/>
  <c r="BT22" i="9" s="1"/>
  <c r="BT21" i="9"/>
  <c r="BT18" i="8"/>
  <c r="BT48" i="8"/>
  <c r="BT47" i="8"/>
  <c r="BU76" i="8" s="1"/>
  <c r="BT20" i="9" l="1"/>
  <c r="BT19" i="9" s="1"/>
  <c r="BT27" i="9" s="1"/>
  <c r="BT28" i="9" s="1"/>
  <c r="AS37" i="9" s="1"/>
  <c r="AS38" i="9" s="1"/>
  <c r="BT22" i="8"/>
  <c r="BU65" i="8"/>
  <c r="BU64" i="8" l="1"/>
  <c r="BU63" i="8" s="1"/>
  <c r="BU66" i="8"/>
  <c r="BU30" i="8" s="1"/>
  <c r="BU28" i="8" l="1"/>
  <c r="BU46" i="8" l="1"/>
  <c r="BU21" i="8" s="1"/>
  <c r="BU24" i="9" s="1"/>
  <c r="BU23" i="9" s="1"/>
  <c r="BU33" i="8"/>
  <c r="BU35" i="8" s="1"/>
  <c r="BU19" i="8"/>
  <c r="BU21" i="9" l="1"/>
  <c r="BU18" i="8"/>
  <c r="BU32" i="8"/>
  <c r="BU17" i="8" s="1"/>
  <c r="BU22" i="9" s="1"/>
  <c r="BU48" i="8"/>
  <c r="BU47" i="8"/>
  <c r="BV76" i="8" s="1"/>
  <c r="BU22" i="8" l="1"/>
  <c r="BV65" i="8"/>
  <c r="BV66" i="8" s="1"/>
  <c r="BV30" i="8" s="1"/>
  <c r="BU20" i="9"/>
  <c r="BU19" i="9" s="1"/>
  <c r="BU27" i="9" s="1"/>
  <c r="BU28" i="9" s="1"/>
  <c r="AT37" i="9" s="1"/>
  <c r="AT38" i="9" s="1"/>
  <c r="BV28" i="8" l="1"/>
  <c r="BV64" i="8"/>
  <c r="BV63" i="8" s="1"/>
  <c r="BV46" i="8" l="1"/>
  <c r="BV21" i="8" s="1"/>
  <c r="BV24" i="9" s="1"/>
  <c r="BV23" i="9" s="1"/>
  <c r="BV33" i="8"/>
  <c r="BV35" i="8" s="1"/>
  <c r="BV19" i="8"/>
  <c r="BV18" i="8" l="1"/>
  <c r="BV32" i="8"/>
  <c r="BV17" i="8" s="1"/>
  <c r="BV22" i="9" s="1"/>
  <c r="BV21" i="9"/>
  <c r="BV48" i="8"/>
  <c r="BV47" i="8"/>
  <c r="BW76" i="8" s="1"/>
  <c r="BV20" i="9" l="1"/>
  <c r="BV19" i="9" s="1"/>
  <c r="BV27" i="9" s="1"/>
  <c r="BV28" i="9" s="1"/>
  <c r="AU37" i="9" s="1"/>
  <c r="AU38" i="9" s="1"/>
  <c r="BW65" i="8"/>
  <c r="BW66" i="8" s="1"/>
  <c r="BW30" i="8" s="1"/>
  <c r="BV22" i="8"/>
  <c r="BW28" i="8" l="1"/>
  <c r="BW64" i="8"/>
  <c r="BW63" i="8" s="1"/>
  <c r="BW46" i="8" l="1"/>
  <c r="BW21" i="8" s="1"/>
  <c r="BW24" i="9" s="1"/>
  <c r="BW23" i="9" s="1"/>
  <c r="BW19" i="8"/>
  <c r="BW33" i="8"/>
  <c r="BW35" i="8" s="1"/>
  <c r="BW32" i="8" l="1"/>
  <c r="BW17" i="8" s="1"/>
  <c r="BW22" i="9" s="1"/>
  <c r="BW21" i="9"/>
  <c r="BW18" i="8"/>
  <c r="BW48" i="8"/>
  <c r="BW47" i="8"/>
  <c r="BX76" i="8" s="1"/>
  <c r="BW20" i="9" l="1"/>
  <c r="BW19" i="9" s="1"/>
  <c r="BW27" i="9" s="1"/>
  <c r="BW28" i="9" s="1"/>
  <c r="AV37" i="9" s="1"/>
  <c r="AV38" i="9" s="1"/>
  <c r="BX65" i="8"/>
  <c r="BX66" i="8" s="1"/>
  <c r="BX30" i="8" s="1"/>
  <c r="BW22" i="8"/>
  <c r="BX28" i="8" l="1"/>
  <c r="BX64" i="8"/>
  <c r="BX63" i="8" s="1"/>
  <c r="BX46" i="8" l="1"/>
  <c r="BX21" i="8" s="1"/>
  <c r="BX24" i="9" s="1"/>
  <c r="BX23" i="9" s="1"/>
  <c r="BX33" i="8"/>
  <c r="BX35" i="8" s="1"/>
  <c r="BX19" i="8"/>
  <c r="BX32" i="8" l="1"/>
  <c r="BX17" i="8" s="1"/>
  <c r="BX22" i="9" s="1"/>
  <c r="BX21" i="9"/>
  <c r="BX18" i="8"/>
  <c r="BX48" i="8"/>
  <c r="BX47" i="8"/>
  <c r="BY76" i="8" s="1"/>
  <c r="BX20" i="9" l="1"/>
  <c r="BX19" i="9" s="1"/>
  <c r="BX27" i="9" s="1"/>
  <c r="BX28" i="9" s="1"/>
  <c r="AW37" i="9" s="1"/>
  <c r="AW38" i="9" s="1"/>
  <c r="BX22" i="8"/>
  <c r="BY65" i="8"/>
  <c r="BY66" i="8" s="1"/>
  <c r="BY30" i="8" s="1"/>
  <c r="BY28" i="8" l="1"/>
  <c r="BY64" i="8"/>
  <c r="BY63" i="8" s="1"/>
  <c r="BY46" i="8" l="1"/>
  <c r="BY21" i="8" s="1"/>
  <c r="BY24" i="9" s="1"/>
  <c r="BY23" i="9" s="1"/>
  <c r="BY19" i="8"/>
  <c r="BY33" i="8"/>
  <c r="BY35" i="8" s="1"/>
  <c r="BY32" i="8" l="1"/>
  <c r="BY17" i="8" s="1"/>
  <c r="BY22" i="9" s="1"/>
  <c r="BY18" i="8"/>
  <c r="BY21" i="9"/>
  <c r="BY48" i="8"/>
  <c r="BY47" i="8"/>
  <c r="BZ76" i="8" s="1"/>
  <c r="BY20" i="9" l="1"/>
  <c r="BY19" i="9" s="1"/>
  <c r="BY27" i="9" s="1"/>
  <c r="BY28" i="9" s="1"/>
  <c r="AX37" i="9" s="1"/>
  <c r="AX38" i="9" s="1"/>
  <c r="BZ65" i="8"/>
  <c r="BZ66" i="8" s="1"/>
  <c r="BZ30" i="8" s="1"/>
  <c r="BY22" i="8"/>
  <c r="BZ28" i="8" l="1"/>
  <c r="BZ64" i="8"/>
  <c r="C64" i="8" s="1"/>
  <c r="C65" i="8"/>
  <c r="BZ63" i="8" l="1"/>
  <c r="C63" i="8" s="1"/>
  <c r="BZ46" i="8"/>
  <c r="BZ19" i="8"/>
  <c r="C19" i="8" s="1"/>
  <c r="BZ33" i="8"/>
  <c r="C33" i="8" s="1"/>
  <c r="C30" i="8"/>
  <c r="BZ21" i="8" l="1"/>
  <c r="C46" i="8"/>
  <c r="BZ35" i="8"/>
  <c r="BZ47" i="8"/>
  <c r="CA76" i="8" s="1"/>
  <c r="E52" i="113"/>
  <c r="C68" i="8"/>
  <c r="C62" i="8"/>
  <c r="D63" i="8" s="1"/>
  <c r="CA65" i="8" l="1"/>
  <c r="CA66" i="8" s="1"/>
  <c r="CA30" i="8" s="1"/>
  <c r="BZ21" i="9"/>
  <c r="BZ32" i="8"/>
  <c r="BZ18" i="8"/>
  <c r="C18" i="8" s="1"/>
  <c r="C35" i="8"/>
  <c r="BZ48" i="8"/>
  <c r="D65" i="8"/>
  <c r="D64" i="8"/>
  <c r="BZ24" i="9"/>
  <c r="BZ23" i="9" s="1"/>
  <c r="C21" i="8"/>
  <c r="E51" i="113" l="1"/>
  <c r="BZ17" i="8"/>
  <c r="C32" i="8"/>
  <c r="BZ22" i="8"/>
  <c r="C22" i="8" s="1"/>
  <c r="CA28" i="8"/>
  <c r="CA46" i="8" s="1"/>
  <c r="CA21" i="8" s="1"/>
  <c r="CA24" i="9" s="1"/>
  <c r="CA23" i="9" s="1"/>
  <c r="CA64" i="8"/>
  <c r="CA63" i="8" s="1"/>
  <c r="C27" i="8" l="1"/>
  <c r="D32" i="8" s="1"/>
  <c r="E25" i="8"/>
  <c r="CA19" i="8"/>
  <c r="CA33" i="8"/>
  <c r="CA35" i="8" s="1"/>
  <c r="CA47" i="8"/>
  <c r="CB76" i="8" s="1"/>
  <c r="BZ22" i="9"/>
  <c r="BZ20" i="9" s="1"/>
  <c r="BZ19" i="9" s="1"/>
  <c r="BZ27" i="9" s="1"/>
  <c r="BZ28" i="9" s="1"/>
  <c r="AY37" i="9" s="1"/>
  <c r="AY38" i="9" s="1"/>
  <c r="C17" i="8"/>
  <c r="CA21" i="9" l="1"/>
  <c r="CA18" i="8"/>
  <c r="CA32" i="8"/>
  <c r="CA17" i="8" s="1"/>
  <c r="CA22" i="9" s="1"/>
  <c r="CA48" i="8"/>
  <c r="CB65" i="8"/>
  <c r="CB66" i="8" s="1"/>
  <c r="CB30" i="8" s="1"/>
  <c r="C16" i="8"/>
  <c r="E50" i="113"/>
  <c r="D27" i="8"/>
  <c r="D33" i="8"/>
  <c r="D30" i="8"/>
  <c r="D35" i="8"/>
  <c r="D19" i="8" l="1"/>
  <c r="D18" i="8"/>
  <c r="E53" i="113"/>
  <c r="CB28" i="8"/>
  <c r="CB64" i="8"/>
  <c r="CB63" i="8" s="1"/>
  <c r="CA22" i="8"/>
  <c r="D17" i="8"/>
  <c r="CA20" i="9"/>
  <c r="CA19" i="9" s="1"/>
  <c r="CA27" i="9" s="1"/>
  <c r="CA28" i="9" s="1"/>
  <c r="AZ37" i="9" s="1"/>
  <c r="AZ38" i="9" s="1"/>
  <c r="CB46" i="8" l="1"/>
  <c r="CB21" i="8" s="1"/>
  <c r="CB24" i="9" s="1"/>
  <c r="CB23" i="9" s="1"/>
  <c r="G53" i="113"/>
  <c r="G52" i="113"/>
  <c r="G51" i="113"/>
  <c r="CB19" i="8"/>
  <c r="CB33" i="8"/>
  <c r="CB35" i="8" s="1"/>
  <c r="G50" i="113"/>
  <c r="CB18" i="8" l="1"/>
  <c r="CB32" i="8"/>
  <c r="CB17" i="8" s="1"/>
  <c r="CB22" i="9" s="1"/>
  <c r="CB21" i="9"/>
  <c r="CB48" i="8"/>
  <c r="CB47" i="8"/>
  <c r="CC76" i="8" s="1"/>
  <c r="CB20" i="9" l="1"/>
  <c r="CB19" i="9" s="1"/>
  <c r="CB27" i="9" s="1"/>
  <c r="CB28" i="9" s="1"/>
  <c r="BA37" i="9" s="1"/>
  <c r="BA38" i="9" s="1"/>
  <c r="CC65" i="8"/>
  <c r="CC66" i="8" s="1"/>
  <c r="CC30" i="8" s="1"/>
  <c r="CB22" i="8"/>
  <c r="CC28" i="8" l="1"/>
  <c r="CC64" i="8"/>
  <c r="CC63" i="8" s="1"/>
  <c r="CC46" i="8" l="1"/>
  <c r="CC21" i="8" s="1"/>
  <c r="CC24" i="9" s="1"/>
  <c r="CC23" i="9" s="1"/>
  <c r="CC33" i="8"/>
  <c r="CC35" i="8" s="1"/>
  <c r="CC19" i="8"/>
  <c r="CC18" i="8" l="1"/>
  <c r="CC32" i="8"/>
  <c r="CC17" i="8" s="1"/>
  <c r="CC22" i="9" s="1"/>
  <c r="CC21" i="9"/>
  <c r="CC48" i="8"/>
  <c r="CC47" i="8"/>
  <c r="CD76" i="8" s="1"/>
  <c r="CC20" i="9" l="1"/>
  <c r="CC19" i="9" s="1"/>
  <c r="CC27" i="9" s="1"/>
  <c r="CC28" i="9" s="1"/>
  <c r="BB37" i="9" s="1"/>
  <c r="BB38" i="9" s="1"/>
  <c r="CD65" i="8"/>
  <c r="CD66" i="8" s="1"/>
  <c r="CD30" i="8" s="1"/>
  <c r="CC22" i="8"/>
  <c r="CD28" i="8" l="1"/>
  <c r="CD64" i="8"/>
  <c r="CD63" i="8" s="1"/>
  <c r="CD46" i="8" l="1"/>
  <c r="CD21" i="8" s="1"/>
  <c r="CD24" i="9" s="1"/>
  <c r="CD23" i="9" s="1"/>
  <c r="CD33" i="8"/>
  <c r="CD35" i="8" s="1"/>
  <c r="CD19" i="8"/>
  <c r="CD18" i="8" l="1"/>
  <c r="CD32" i="8"/>
  <c r="CD17" i="8" s="1"/>
  <c r="CD22" i="9" s="1"/>
  <c r="CD21" i="9"/>
  <c r="CD48" i="8"/>
  <c r="CD47" i="8"/>
  <c r="CE76" i="8" s="1"/>
  <c r="CD20" i="9" l="1"/>
  <c r="CD19" i="9" s="1"/>
  <c r="CD27" i="9" s="1"/>
  <c r="CD28" i="9" s="1"/>
  <c r="BC37" i="9" s="1"/>
  <c r="BC38" i="9" s="1"/>
  <c r="CE65" i="8"/>
  <c r="CE66" i="8" s="1"/>
  <c r="CE30" i="8" s="1"/>
  <c r="CD22" i="8"/>
  <c r="CE28" i="8" l="1"/>
  <c r="CE64" i="8"/>
  <c r="CE63" i="8" s="1"/>
  <c r="CE46" i="8" l="1"/>
  <c r="CE21" i="8" s="1"/>
  <c r="CE24" i="9" s="1"/>
  <c r="CE23" i="9" s="1"/>
  <c r="CE19" i="8"/>
  <c r="CE33" i="8"/>
  <c r="CE35" i="8" s="1"/>
  <c r="CE18" i="8" l="1"/>
  <c r="CE32" i="8"/>
  <c r="CE17" i="8" s="1"/>
  <c r="CE22" i="9" s="1"/>
  <c r="CE21" i="9"/>
  <c r="CE48" i="8"/>
  <c r="CE47" i="8"/>
  <c r="CF76" i="8" s="1"/>
  <c r="CE20" i="9" l="1"/>
  <c r="CE19" i="9" s="1"/>
  <c r="CE27" i="9" s="1"/>
  <c r="CE28" i="9" s="1"/>
  <c r="BD37" i="9" s="1"/>
  <c r="BD38" i="9" s="1"/>
  <c r="CF65" i="8"/>
  <c r="CF66" i="8" s="1"/>
  <c r="CF30" i="8" s="1"/>
  <c r="CE22" i="8"/>
  <c r="CF28" i="8" l="1"/>
  <c r="CF64" i="8"/>
  <c r="CF63" i="8" s="1"/>
  <c r="CF46" i="8" l="1"/>
  <c r="CF21" i="8" s="1"/>
  <c r="CF24" i="9" s="1"/>
  <c r="CF23" i="9" s="1"/>
  <c r="CF19" i="8"/>
  <c r="CF33" i="8"/>
  <c r="CF35" i="8" s="1"/>
  <c r="CF18" i="8" l="1"/>
  <c r="CF32" i="8"/>
  <c r="CF17" i="8" s="1"/>
  <c r="CF22" i="9" s="1"/>
  <c r="CF21" i="9"/>
  <c r="CF48" i="8"/>
  <c r="CF47" i="8"/>
  <c r="CG76" i="8" s="1"/>
  <c r="CF20" i="9" l="1"/>
  <c r="CF19" i="9" s="1"/>
  <c r="CF27" i="9" s="1"/>
  <c r="CF28" i="9" s="1"/>
  <c r="BE37" i="9" s="1"/>
  <c r="BE38" i="9" s="1"/>
  <c r="CG65" i="8"/>
  <c r="CG66" i="8" s="1"/>
  <c r="CG30" i="8" s="1"/>
  <c r="CF22" i="8"/>
  <c r="CG28" i="8" l="1"/>
  <c r="CG64" i="8"/>
  <c r="CG63" i="8" s="1"/>
  <c r="CG46" i="8" l="1"/>
  <c r="CG21" i="8" s="1"/>
  <c r="CG24" i="9" s="1"/>
  <c r="CG23" i="9" s="1"/>
  <c r="CG19" i="8"/>
  <c r="CG33" i="8"/>
  <c r="CG35" i="8" s="1"/>
  <c r="CG18" i="8" l="1"/>
  <c r="CG32" i="8"/>
  <c r="CG17" i="8" s="1"/>
  <c r="CG22" i="9" s="1"/>
  <c r="CG21" i="9"/>
  <c r="CG48" i="8"/>
  <c r="CG47" i="8"/>
  <c r="CH76" i="8" s="1"/>
  <c r="CG20" i="9" l="1"/>
  <c r="CG19" i="9" s="1"/>
  <c r="CG27" i="9" s="1"/>
  <c r="CG28" i="9" s="1"/>
  <c r="BF37" i="9" s="1"/>
  <c r="BF38" i="9" s="1"/>
  <c r="CH65" i="8"/>
  <c r="CH66" i="8" s="1"/>
  <c r="CH30" i="8" s="1"/>
  <c r="CG22" i="8"/>
  <c r="CH28" i="8" l="1"/>
  <c r="CH64" i="8"/>
  <c r="CH63" i="8" s="1"/>
  <c r="CH46" i="8" l="1"/>
  <c r="CH21" i="8" s="1"/>
  <c r="CH24" i="9" s="1"/>
  <c r="CH33" i="8"/>
  <c r="CH35" i="8" s="1"/>
  <c r="CH19" i="8"/>
  <c r="CH18" i="8" l="1"/>
  <c r="CH32" i="8"/>
  <c r="CH17" i="8" s="1"/>
  <c r="CH22" i="9" s="1"/>
  <c r="CH21" i="9"/>
  <c r="CH48" i="8"/>
  <c r="CH22" i="8" s="1"/>
  <c r="CH23" i="9"/>
  <c r="D23" i="9" s="1"/>
  <c r="D24" i="9"/>
  <c r="CH47" i="8"/>
  <c r="CH20" i="9" l="1"/>
  <c r="D21" i="9"/>
  <c r="D22" i="9"/>
  <c r="D50" i="9" s="1"/>
  <c r="P119" i="113"/>
  <c r="Q119" i="113"/>
  <c r="Q117" i="113" s="1"/>
  <c r="Q116" i="113" s="1"/>
  <c r="Q124" i="113" s="1"/>
  <c r="R119" i="113"/>
  <c r="R117" i="113" s="1"/>
  <c r="R116" i="113" s="1"/>
  <c r="R124" i="113" s="1"/>
  <c r="S119" i="113"/>
  <c r="S117" i="113" s="1"/>
  <c r="S116" i="113" s="1"/>
  <c r="S124" i="113" s="1"/>
  <c r="T119" i="113"/>
  <c r="T117" i="113" s="1"/>
  <c r="T116" i="113" s="1"/>
  <c r="T124" i="113" s="1"/>
  <c r="N119" i="113" l="1"/>
  <c r="P117" i="113"/>
  <c r="CH19" i="9"/>
  <c r="D20" i="9"/>
  <c r="CH27" i="9" l="1"/>
  <c r="D19" i="9"/>
  <c r="P116" i="113"/>
  <c r="N117" i="113"/>
  <c r="N116" i="113" l="1"/>
  <c r="P124" i="113"/>
  <c r="N124" i="113" s="1"/>
  <c r="CH28" i="9"/>
  <c r="D27" i="9"/>
  <c r="D61" i="9" s="1"/>
  <c r="BG37" i="9" l="1"/>
  <c r="D28" i="9"/>
  <c r="L37" i="9"/>
  <c r="L38" i="9" s="1"/>
  <c r="M37" i="9"/>
  <c r="N37" i="9"/>
  <c r="M38" i="9" l="1"/>
  <c r="N38" i="9"/>
  <c r="O38" i="9"/>
  <c r="D59" i="9"/>
  <c r="F41" i="9"/>
  <c r="BH38" i="9"/>
  <c r="BG38" i="9"/>
  <c r="D46" i="9"/>
  <c r="E111" i="113" s="1"/>
  <c r="C67" i="11" s="1"/>
  <c r="D37" i="9"/>
  <c r="D45" i="9"/>
  <c r="D63" i="9" l="1"/>
  <c r="E38" i="9"/>
  <c r="D51" i="9" s="1" a="1"/>
  <c r="D51" i="9" s="1"/>
  <c r="E110" i="113"/>
  <c r="D52" i="9"/>
  <c r="C27" i="11" l="1"/>
  <c r="C8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tc={C8696F0D-DC92-400E-8BE9-759196065C0E}</author>
  </authors>
  <commentList>
    <comment ref="L37" authorId="0" shapeId="0" xr:uid="{C8696F0D-DC92-400E-8BE9-759196065C0E}">
      <text>
        <t>[Threaded comment]
Your version of Excel allows you to read this threaded comment; however, any edits to it will get removed if the file is opened in a newer version of Excel. Learn more: https://go.microsoft.com/fwlink/?linkid=870924
Comment:
    Tham chieu theo sheet ‘3.Du toan’ do tien do duoc phan chi tiet theo tung hang muc, de lam tong tien do can lay chi phi tung nam chia cho tong chi phi</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61" authorId="0" shapeId="0" xr:uid="{00000000-0006-0000-0700-000001000000}">
      <text>
        <r>
          <rPr>
            <sz val="10"/>
            <color indexed="8"/>
            <rFont val="Tahoma"/>
            <family val="2"/>
          </rPr>
          <t xml:space="preserve">+ Trích ra từ vốn huy động khách hàng trước
</t>
        </r>
      </text>
    </comment>
    <comment ref="B70" authorId="0" shapeId="0" xr:uid="{00000000-0006-0000-0700-000002000000}">
      <text>
        <r>
          <rPr>
            <sz val="10"/>
            <color indexed="8"/>
            <rFont val="Tahoma"/>
            <family val="2"/>
          </rPr>
          <t>Sử dụng tiền huy động từ khách hàng để đóng thuế TNDN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 MINH DANG KHOA</author>
  </authors>
  <commentList>
    <comment ref="E378" authorId="0" shapeId="0" xr:uid="{00000000-0006-0000-0B00-000001000000}">
      <text>
        <r>
          <rPr>
            <b/>
            <sz val="9"/>
            <color indexed="81"/>
            <rFont val="Tahoma"/>
            <family val="2"/>
          </rPr>
          <t>LE MINH DANG KHOA:</t>
        </r>
        <r>
          <rPr>
            <sz val="9"/>
            <color indexed="81"/>
            <rFont val="Tahoma"/>
            <family val="2"/>
          </rPr>
          <t xml:space="preserve">
chia thêm 1 lần nữa do tính đến phần lợi nhuận của nhà đầu tư (yếu tố rủi ro kinh doanh, chi phí vốn)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H3" authorId="0" shapeId="0" xr:uid="{00000000-0006-0000-0C00-000001000000}">
      <text>
        <r>
          <rPr>
            <sz val="8"/>
            <color indexed="8"/>
            <rFont val="Tahoma"/>
            <family val="2"/>
          </rPr>
          <t xml:space="preserve">USD/m2
(chưa gồm VAT)
</t>
        </r>
      </text>
    </comment>
    <comment ref="I3" authorId="0" shapeId="0" xr:uid="{00000000-0006-0000-0C00-000002000000}">
      <text>
        <r>
          <rPr>
            <sz val="8"/>
            <color indexed="8"/>
            <rFont val="Tahoma"/>
            <family val="2"/>
          </rPr>
          <t xml:space="preserve">USD/m2
(bao gồm VAT)
</t>
        </r>
      </text>
    </comment>
  </commentList>
</comments>
</file>

<file path=xl/sharedStrings.xml><?xml version="1.0" encoding="utf-8"?>
<sst xmlns="http://schemas.openxmlformats.org/spreadsheetml/2006/main" count="1579" uniqueCount="789">
  <si>
    <t>STT</t>
  </si>
  <si>
    <t>HẠNG MỤC</t>
  </si>
  <si>
    <t>I</t>
  </si>
  <si>
    <t>m²</t>
  </si>
  <si>
    <t>lần</t>
  </si>
  <si>
    <t>Tầng cao</t>
  </si>
  <si>
    <t>II</t>
  </si>
  <si>
    <t>DOANH THU</t>
  </si>
  <si>
    <t>CHI PHÍ ĐẦU TƯ</t>
  </si>
  <si>
    <t>Hạng mục</t>
  </si>
  <si>
    <t>DIỆN TÍCH
(m²)</t>
  </si>
  <si>
    <t>Q1</t>
  </si>
  <si>
    <t>Q2</t>
  </si>
  <si>
    <t>Q3</t>
  </si>
  <si>
    <t>Q4</t>
  </si>
  <si>
    <t>-</t>
  </si>
  <si>
    <t>Chi phí dự phòng</t>
  </si>
  <si>
    <t>CBĐT</t>
  </si>
  <si>
    <t>Tổng cộng</t>
  </si>
  <si>
    <t>Tổng cộng theo năm</t>
  </si>
  <si>
    <t>Tỷ lệ</t>
  </si>
  <si>
    <t>Chi phí tiếp thị (%doanh thu)</t>
  </si>
  <si>
    <t>Chi phí dịch vụ khách hàng (%thực thu)</t>
  </si>
  <si>
    <t>Thuế VAT</t>
  </si>
  <si>
    <t>Chênh lệch VAT</t>
  </si>
  <si>
    <t>VAT đầu vào</t>
  </si>
  <si>
    <t>VAT đầu ra</t>
  </si>
  <si>
    <t>ĐVT</t>
  </si>
  <si>
    <t>%</t>
  </si>
  <si>
    <t>Diện tích bán</t>
  </si>
  <si>
    <t>Giá bán</t>
  </si>
  <si>
    <t>trđ/m²</t>
  </si>
  <si>
    <t xml:space="preserve">Doanh thu </t>
  </si>
  <si>
    <t>Tr.đ</t>
  </si>
  <si>
    <t xml:space="preserve">Thực thu </t>
  </si>
  <si>
    <t>Thực thu</t>
  </si>
  <si>
    <t>THỰC THU</t>
  </si>
  <si>
    <t xml:space="preserve">Lãi suất </t>
  </si>
  <si>
    <t>TỔNG CHI PHÍ</t>
  </si>
  <si>
    <t>CƠ CẤU VỐN TÀI TRỢ</t>
  </si>
  <si>
    <t xml:space="preserve">  Vốn tự có</t>
  </si>
  <si>
    <t xml:space="preserve">  Vay ngân hàng</t>
  </si>
  <si>
    <t xml:space="preserve">  Huy động từ khách hàng</t>
  </si>
  <si>
    <t xml:space="preserve"> KẾ HOẠCH TRẢ NỢ</t>
  </si>
  <si>
    <t xml:space="preserve">  Trả vốn vay ngân hàng</t>
  </si>
  <si>
    <t xml:space="preserve">  Dư nợ vay</t>
  </si>
  <si>
    <t xml:space="preserve">   Trả lãi vay ngân hàng</t>
  </si>
  <si>
    <t>DT còn lại sau đóng thuế, CPHĐ, CPĐT</t>
  </si>
  <si>
    <t>Vốn đầu tư</t>
  </si>
  <si>
    <t>DT còn lại sau đóng thuế, CPHĐ, CPĐT&amp; trả nợ gốc</t>
  </si>
  <si>
    <t>DT còn lại sau đóng thuế &amp;CPHĐ</t>
  </si>
  <si>
    <t>CHI PHÍ THUẾ TNDN</t>
  </si>
  <si>
    <t>DT còn lại sau đóng thuế</t>
  </si>
  <si>
    <t>TỔNG CỘNG</t>
  </si>
  <si>
    <t>Dòng tiền từ hoạt động đầu tư - kinh doanh</t>
  </si>
  <si>
    <t>Dòng vào:</t>
  </si>
  <si>
    <t>+ Doanh thu</t>
  </si>
  <si>
    <t>Dòng ra:</t>
  </si>
  <si>
    <t>+ Chi phí thuế TNDN</t>
  </si>
  <si>
    <t>Dòng tiền từ hoạt động tài chính</t>
  </si>
  <si>
    <t>+ Vay</t>
  </si>
  <si>
    <t>+ Vốn chủ sở hữu</t>
  </si>
  <si>
    <t>+ Trả nợ gốc:</t>
  </si>
  <si>
    <t>+ Trả lãi vay:</t>
  </si>
  <si>
    <t>Lãi vay</t>
  </si>
  <si>
    <t>Hệ số chiết khấu (%/năm)</t>
  </si>
  <si>
    <t>(bao gồm VAT)</t>
  </si>
  <si>
    <t>CHI PHÍ HOẠT ĐỘNG VÀ THUẾ VAT</t>
  </si>
  <si>
    <t>Diện tích kinh doanh</t>
  </si>
  <si>
    <t>CPHĐ (ko gồm KH)</t>
  </si>
  <si>
    <t>Chi phí khác</t>
  </si>
  <si>
    <t>+ LNCP</t>
  </si>
  <si>
    <t xml:space="preserve">Tổng </t>
  </si>
  <si>
    <t>Tỉ giá USD/ VNĐ</t>
  </si>
  <si>
    <t>Tỉ lệ tăng giá</t>
  </si>
  <si>
    <t>r</t>
  </si>
  <si>
    <t>nam xay dung</t>
  </si>
  <si>
    <t xml:space="preserve">Thuế TNDN </t>
  </si>
  <si>
    <t>TMDV</t>
  </si>
  <si>
    <t>Sales (including VAT &amp; excluding land cost)</t>
  </si>
  <si>
    <t>Quy về giá bán</t>
  </si>
  <si>
    <t>Tầng hầm</t>
  </si>
  <si>
    <t>Diện tích đất</t>
  </si>
  <si>
    <t>Giá trị</t>
  </si>
  <si>
    <t>TỔNG</t>
  </si>
  <si>
    <t xml:space="preserve">Mật độ xây dựng </t>
  </si>
  <si>
    <t>Tổng diện tích sàn xây dựng</t>
  </si>
  <si>
    <t>GHI CHÚ</t>
  </si>
  <si>
    <t>Chi phí quản lý dự án</t>
  </si>
  <si>
    <t>Chi phí tư vấn đầu tư xây dựng</t>
  </si>
  <si>
    <t>GIÁ TRỊ</t>
  </si>
  <si>
    <t>III</t>
  </si>
  <si>
    <t>V</t>
  </si>
  <si>
    <t>IV</t>
  </si>
  <si>
    <t>VI</t>
  </si>
  <si>
    <t xml:space="preserve">CĂN HỘ </t>
  </si>
  <si>
    <t>NỘI DUNG</t>
  </si>
  <si>
    <t>Vốn chủ sở hữu</t>
  </si>
  <si>
    <t>Huy động từ khách hàng</t>
  </si>
  <si>
    <t>Chi phí đầu tư</t>
  </si>
  <si>
    <t>Chi phí bảo lãnh ngân hàng</t>
  </si>
  <si>
    <t>Chi phí pháp lý</t>
  </si>
  <si>
    <t>Chi phí bán hàng, MKT, DVKH</t>
  </si>
  <si>
    <t>Tổng diện tích kinh doanh</t>
  </si>
  <si>
    <t>Thừa / (Thiếu)</t>
  </si>
  <si>
    <t>Chi phí xây lắp và thiết bị</t>
  </si>
  <si>
    <t>Pháp lý</t>
  </si>
  <si>
    <t>Chỗ đậu xe thiết kế</t>
  </si>
  <si>
    <t>Chỗ đậu xe theo yêu cầu</t>
  </si>
  <si>
    <t>Chi phí QLDA. TVTB, Khac, DPP</t>
  </si>
  <si>
    <t>% Vay</t>
  </si>
  <si>
    <t>Vỗn vay trong Tổng Vốn đầu tư</t>
  </si>
  <si>
    <t>Dân số theo yêu cầu</t>
  </si>
  <si>
    <t>Output 10%VAT - NOTM</t>
  </si>
  <si>
    <t>Chi phí xây lắp thiết bị</t>
  </si>
  <si>
    <t>Tổng diện tích đất toàn khu</t>
  </si>
  <si>
    <t>Lãi vay vốn hóa</t>
  </si>
  <si>
    <t>- Đất nhóm nhà Ở</t>
  </si>
  <si>
    <t>- Chung cư phức hợp</t>
  </si>
  <si>
    <t>Số lượng sản phẩm</t>
  </si>
  <si>
    <t xml:space="preserve">  + Tầng nổi</t>
  </si>
  <si>
    <t xml:space="preserve">  + Tầng hầm</t>
  </si>
  <si>
    <t>Hạ tầng</t>
  </si>
  <si>
    <t xml:space="preserve">  + Đất ở lâu dài </t>
  </si>
  <si>
    <t xml:space="preserve">  + Đất TMDV</t>
  </si>
  <si>
    <t>- Khối đế</t>
  </si>
  <si>
    <t>- Khối tháp</t>
  </si>
  <si>
    <t>Căn hộ</t>
  </si>
  <si>
    <t>Chi phí nhận chuyển nhượng</t>
  </si>
  <si>
    <t>usd/m2/ tháng</t>
  </si>
  <si>
    <t>10% / 3nam</t>
  </si>
  <si>
    <t>Tỷ lệ khai thác
Shop</t>
  </si>
  <si>
    <t>Chi phí xây dựng</t>
  </si>
  <si>
    <t>Ghi chú</t>
  </si>
  <si>
    <t>- Căn hộ dịch vụ</t>
  </si>
  <si>
    <t>- Căn hộ sở hữu lâu dài</t>
  </si>
  <si>
    <t>III. LÃI VAY VỐN HÓA</t>
  </si>
  <si>
    <t>Tỷ lệ kinh doanh</t>
  </si>
  <si>
    <t>a</t>
  </si>
  <si>
    <t>b</t>
  </si>
  <si>
    <t>Thuế TNDN</t>
  </si>
  <si>
    <t>Tổng</t>
  </si>
  <si>
    <t>- TMDV</t>
  </si>
  <si>
    <t>Hệ số sử dụng đất</t>
  </si>
  <si>
    <t>- Căn shop</t>
  </si>
  <si>
    <t>- Nhà trẻ</t>
  </si>
  <si>
    <t>Chuẩn bị thi công</t>
  </si>
  <si>
    <t>Phần ngầm</t>
  </si>
  <si>
    <t>Thiết bị</t>
  </si>
  <si>
    <t>Phần thân</t>
  </si>
  <si>
    <t>Hoàn thiện</t>
  </si>
  <si>
    <t>M&amp;E</t>
  </si>
  <si>
    <t>Xây dựng cảnh quan</t>
  </si>
  <si>
    <t>Nhà trẻ</t>
  </si>
  <si>
    <t>PA2: Bỏ khối văn phòng</t>
  </si>
  <si>
    <t>GIÁ TRỊ 
(TR.Đ)</t>
  </si>
  <si>
    <t>Dòng chi</t>
  </si>
  <si>
    <t>Chi phí đất</t>
  </si>
  <si>
    <t>Chi phí bán hàng, Phí bảo lãnh NH</t>
  </si>
  <si>
    <t xml:space="preserve">Chi phí vận hành </t>
  </si>
  <si>
    <t>VAT</t>
  </si>
  <si>
    <t>Dòng thu</t>
  </si>
  <si>
    <t>Thu từ bán hàng</t>
  </si>
  <si>
    <t>Thu từ khai thác cho thuê</t>
  </si>
  <si>
    <t>Dòng tiền ròng</t>
  </si>
  <si>
    <t xml:space="preserve">Vay </t>
  </si>
  <si>
    <t>Kế hoạch trả nợ ngân hàng</t>
  </si>
  <si>
    <t>VCSH</t>
  </si>
  <si>
    <t>Lũy kế dòng tiền</t>
  </si>
  <si>
    <t>- Để xe nổi</t>
  </si>
  <si>
    <t>Lãi suất</t>
  </si>
  <si>
    <t>/3 năm</t>
  </si>
  <si>
    <t>Chi phí hoạt động</t>
  </si>
  <si>
    <t>Chiết khấu doanh thu TMDV</t>
  </si>
  <si>
    <t>Doanh thu căn hộ - tự triển khai</t>
  </si>
  <si>
    <t>WACC</t>
  </si>
  <si>
    <t>A</t>
  </si>
  <si>
    <t>Diện tích 
(m2)</t>
  </si>
  <si>
    <t>Đơn giá 
(trđ/m2)</t>
  </si>
  <si>
    <t>Tỷ trọng 
(%)</t>
  </si>
  <si>
    <t>c</t>
  </si>
  <si>
    <t>TỔNG
(tr.đ)</t>
  </si>
  <si>
    <t>ĐƠN GIÁ
(vnd/m²)</t>
  </si>
  <si>
    <t>TỔNG 
(trđ)</t>
  </si>
  <si>
    <t>Chi phí liên quan đến đất</t>
  </si>
  <si>
    <t>Tầng</t>
  </si>
  <si>
    <t>Mật độ xây dựng (%)</t>
  </si>
  <si>
    <t>- TMDV (thuê lẻ)</t>
  </si>
  <si>
    <t>A. BẢNG 1: THÔNG TIN VỀ THỬA ĐẤT XÁC ĐỊNH GIÁ</t>
  </si>
  <si>
    <t>THÔNG TIN</t>
  </si>
  <si>
    <t>SỐ LƯỢNG</t>
  </si>
  <si>
    <t>DIỆN TÍCH XÂY 
DỰNG NGOÀI RANH KHU ĐẤT</t>
  </si>
  <si>
    <t>DIỆN TÍCH KHU ĐẤT (PHÙ HỢP QUY HOẠCH)</t>
  </si>
  <si>
    <t>Mật độ xây dựng toàn khu</t>
  </si>
  <si>
    <t>Diện tích đất ngoài nhóm ở</t>
  </si>
  <si>
    <t>2.1</t>
  </si>
  <si>
    <t>Diện tích cây xanh công cộng cấp đơn vị ở</t>
  </si>
  <si>
    <t>2.2</t>
  </si>
  <si>
    <t>Diện tích cây xanh ven rạch</t>
  </si>
  <si>
    <t>2.3</t>
  </si>
  <si>
    <t>Diện tích đất giao thông cấp đơn vị ở</t>
  </si>
  <si>
    <t>2.4</t>
  </si>
  <si>
    <t>Diện tích đất công trình hạ tầng kỹ thuật</t>
  </si>
  <si>
    <t>Diện tích đất nhóm ở</t>
  </si>
  <si>
    <t>3.1</t>
  </si>
  <si>
    <t>Diện tích đất ở</t>
  </si>
  <si>
    <t>Diện tích đất nhà ở chung cư</t>
  </si>
  <si>
    <t>Diện tích đất nhà ở thấp tầng (liên kế, biệt thự)</t>
  </si>
  <si>
    <t>3.2</t>
  </si>
  <si>
    <t>Diện tích đất giao thông nội bộ</t>
  </si>
  <si>
    <t>3.3</t>
  </si>
  <si>
    <t>Diện tích đất cây xanh</t>
  </si>
  <si>
    <t>Đất cở sở hạ tầng chung</t>
  </si>
  <si>
    <t>4.1</t>
  </si>
  <si>
    <t>Đất cở sở hạ tầng chung phân bổ cho đất ở chung cư</t>
  </si>
  <si>
    <t>Tỷ lệ phân bổ cho đất ở chung cư</t>
  </si>
  <si>
    <t>4.2</t>
  </si>
  <si>
    <t>Đất cở sở hạ tầng chung phân bổ cho đất ở thấp tầng</t>
  </si>
  <si>
    <t>Tỷ lệ phân bổ cho đất ở thấp tầng</t>
  </si>
  <si>
    <t>A. BẢNG 1.1: THÔNG TIN VỀ  ĐẤT NHÓM Ở - CHUNG CƯ PHỨC HỢP TM-DV VÀ NHÀ Ở</t>
  </si>
  <si>
    <t>DIỆN TÍCH ĐẤT CHUNG CƯ</t>
  </si>
  <si>
    <t>Khối đế</t>
  </si>
  <si>
    <t>Khối tháp</t>
  </si>
  <si>
    <t>Diện tích xây dựng công trình</t>
  </si>
  <si>
    <t>Hệ số sử dụng đất (chung cư)</t>
  </si>
  <si>
    <t>Nhà ở</t>
  </si>
  <si>
    <t>Officetel</t>
  </si>
  <si>
    <t>Thương mại, dịch vụ, văn phòng, giáo dục, để xe</t>
  </si>
  <si>
    <t>TỔNG DIỆN TÍCH SÀN XÂY DỰNG (BAO GỒM TẦNG HẦM)</t>
  </si>
  <si>
    <t>Diện tích sàn để xe tầng nổi</t>
  </si>
  <si>
    <t>Diện tích sàn xây dựng căn hộ</t>
  </si>
  <si>
    <t>Diện tích sàn xây dựng Officetel</t>
  </si>
  <si>
    <t>Diện tích sàn xây dựng thương mại - văn phòng - nhà trẻ</t>
  </si>
  <si>
    <t>A. BẢNG 1.2: THÔNG TIN VỀ  ĐẤT NHÓM Ở - NHÀ Ở THẤP TẦNG</t>
  </si>
  <si>
    <t>DIỆN TÍCH ĐẤT NHÀ THẤP TẦNG</t>
  </si>
  <si>
    <t>Diện tích đất nhà ở liên kế</t>
  </si>
  <si>
    <t>Diện tích đất nhà ở biệt thự</t>
  </si>
  <si>
    <t>Tầng hầm (bán hầm)</t>
  </si>
  <si>
    <t>Tổng số lô</t>
  </si>
  <si>
    <t>Lô</t>
  </si>
  <si>
    <t>B. BẢNG 2: THÔNG TIN KHẢO SÁT THỊ TRƯỜNG VỀ CHI PHÍ</t>
  </si>
  <si>
    <t>CÁC KHOẢN CHI</t>
  </si>
  <si>
    <t>CHI PHÍ XÂY DỰNG CÔNG TRÌNH</t>
  </si>
  <si>
    <t>CHI ĐẦU TƯ CƠ SỞ HẠ TẦNG</t>
  </si>
  <si>
    <t>Chi đầu tư cơ sở hạ tầng cho chung cư</t>
  </si>
  <si>
    <t>1.1</t>
  </si>
  <si>
    <t>Diện tích</t>
  </si>
  <si>
    <t xml:space="preserve">Bằng diện tích đất chung cư + diện tích đất cơ sở hạ tầng phân bổ cho đất ở chung cư – diện tích xây dựng công trình </t>
  </si>
  <si>
    <t>1.2</t>
  </si>
  <si>
    <t>Đơn giá</t>
  </si>
  <si>
    <t>1.3</t>
  </si>
  <si>
    <t>Tiến độ thi công</t>
  </si>
  <si>
    <t>Xem cột (2) Bảng 4 bên dưới</t>
  </si>
  <si>
    <t>Chi đầu tư cơ sở hạ tầng cho nhà thấp tầng</t>
  </si>
  <si>
    <t>Bằng diện tích đất ở thấp tầng+ diện tích đất cơ sở hạ tầng phân bổ cho đất ở thấp tầng</t>
  </si>
  <si>
    <t>CHI XÂY LẮP VÀ THIẾT BỊ</t>
  </si>
  <si>
    <t>Đơn giá xây lắp (bao gồm VAT)</t>
  </si>
  <si>
    <t>Xem cột (3) Bảng 4 bên dưới</t>
  </si>
  <si>
    <t>CÁC CHI PHÍ KHÁC</t>
  </si>
  <si>
    <t>Lãi vay ngân hàng</t>
  </si>
  <si>
    <t>Tỷ lệ vay</t>
  </si>
  <si>
    <t xml:space="preserve">Chi phí xây lắp </t>
  </si>
  <si>
    <t>Lợi nhuận nhà đầu tư 
(tính trên chi phí)</t>
  </si>
  <si>
    <t>Lãi suất chiết khấu</t>
  </si>
  <si>
    <t>Khảo sát thông tin từ thị trường </t>
  </si>
  <si>
    <t>Tỷ giá hối đoái</t>
  </si>
  <si>
    <t>C. BẢNG 3: CÁC THÔNG TIN KHẢO SÁT VỀ DOANH THU</t>
  </si>
  <si>
    <t>CÁC KHOẢN THU</t>
  </si>
  <si>
    <t>BÁN ĐẤT NỀN NHÀ LIÊN KẾ</t>
  </si>
  <si>
    <t>Diện tích đất nền nhà liên kế bán</t>
  </si>
  <si>
    <t>Bảng 1.2</t>
  </si>
  <si>
    <t>Đơn giá bán (bao gồm VAT)</t>
  </si>
  <si>
    <t>Tỷ lệ bán hàng năm</t>
  </si>
  <si>
    <t>Xem cột (4) Bảng 4 bên dưới</t>
  </si>
  <si>
    <t>BÁN ĐẤT NỀN BIỆT THỰ</t>
  </si>
  <si>
    <t>Diện tích đất nền biệt thự bán</t>
  </si>
  <si>
    <t>Xem cột (5) Bảng 4 bên dưới</t>
  </si>
  <si>
    <t>CĂN HỘ BÁN</t>
  </si>
  <si>
    <t>Diện tích sàn xây dựng</t>
  </si>
  <si>
    <t>Bảng 1.1</t>
  </si>
  <si>
    <t>Tỷ lệ thương phẩm</t>
  </si>
  <si>
    <t>Diện tích thương phẩm</t>
  </si>
  <si>
    <t>Xem cột (6) Bảng 4 bên dưới</t>
  </si>
  <si>
    <t>OFFICETEL</t>
  </si>
  <si>
    <t>PHẦN THƯƠNG MẠI, VĂN PHÒNG</t>
  </si>
  <si>
    <t>Đơn giá cho thuê (bao gồm VAT)</t>
  </si>
  <si>
    <t>Tỷ lệ cho thuê hàng năm</t>
  </si>
  <si>
    <t>Xem cột (7) Bảng 4 bên dưới</t>
  </si>
  <si>
    <t>DOANH THU BÃI GIỮ XE</t>
  </si>
  <si>
    <t>Diện tích giữ xe</t>
  </si>
  <si>
    <t>+</t>
  </si>
  <si>
    <t xml:space="preserve">Tỷ lệ thương phẩm </t>
  </si>
  <si>
    <t xml:space="preserve">Diện tích thương phẩm </t>
  </si>
  <si>
    <t>Diện tích thương phẩm giữ xe ôtô (50%)</t>
  </si>
  <si>
    <t>chỗ</t>
  </si>
  <si>
    <t>Quyết định số 04/2008/QĐ-BXD ngày 03/04/2008</t>
  </si>
  <si>
    <t>Đơn giá giữ xe otô (bao gồm VAT)</t>
  </si>
  <si>
    <t>đ/tháng</t>
  </si>
  <si>
    <t> Quyết định số 32/2012/QĐ-UBND ngày 30/7/2012 </t>
  </si>
  <si>
    <t>Diện tích thương phẩm giữ xe máy</t>
  </si>
  <si>
    <t> Quyết định số 04/2008/QĐ-BXD ngày 03/04/2008</t>
  </si>
  <si>
    <t>Xem cột (8) Bảng 4 bên dưới</t>
  </si>
  <si>
    <t>D. BẢNG 4: TIẾN ĐỘ THI CÔNG VÀ CÔNG SUẤT KHAI THÁC DỰ ÁN</t>
  </si>
  <si>
    <t>NĂM</t>
  </si>
  <si>
    <t>TIẾN ĐỘ THI CÔNG</t>
  </si>
  <si>
    <t>TỶ LỆ KHAI THÁC</t>
  </si>
  <si>
    <t>ĐẦU TƯ CƠ SỞ 
HẠ TẦNG</t>
  </si>
  <si>
    <t>XÂY DỰNG VÀ 
THIẾT BỊ</t>
  </si>
  <si>
    <t>NHÀ LIÊN KẾ</t>
  </si>
  <si>
    <t>THƯƠNG MẠI</t>
  </si>
  <si>
    <t>BÃI GIỮA XE</t>
  </si>
  <si>
    <t>(1)</t>
  </si>
  <si>
    <t>(2)</t>
  </si>
  <si>
    <t>(3)</t>
  </si>
  <si>
    <t>(4)</t>
  </si>
  <si>
    <t>(5)</t>
  </si>
  <si>
    <t>(6)</t>
  </si>
  <si>
    <t>(7)</t>
  </si>
  <si>
    <t>(8)</t>
  </si>
  <si>
    <t>1. CHUNG CƯ</t>
  </si>
  <si>
    <t>2. ĐẤT NỀN</t>
  </si>
  <si>
    <t>(5) = 
(2+3+4)</t>
  </si>
  <si>
    <t>(7) = (5)x(6)</t>
  </si>
  <si>
    <t>(4) = 
(2+3)</t>
  </si>
  <si>
    <t>(6) = (4)x(5)</t>
  </si>
  <si>
    <t>(4) = 
10%x(2+3)</t>
  </si>
  <si>
    <t>(9) = 
(2+3+4+5+6+7+8)</t>
  </si>
  <si>
    <t>(10)</t>
  </si>
  <si>
    <t>(11) = 
(9)X(10)</t>
  </si>
  <si>
    <t>2. THẤP TẦNG</t>
  </si>
  <si>
    <t>GIÁ TRỊ QUYỀN SỬ DỤNG ĐẤT</t>
  </si>
  <si>
    <t>Tổng tiền SDĐ</t>
  </si>
  <si>
    <t>NPV/TMĐT</t>
  </si>
  <si>
    <t>CHI PHÍ (ko VAT)</t>
  </si>
  <si>
    <t>DOANH THU (ko VAT)</t>
  </si>
  <si>
    <t>Chi phí xây dựng thiết bị</t>
  </si>
  <si>
    <t>Vốn vay trong thời gian xây dựng</t>
  </si>
  <si>
    <t>Giá bán căn hộ (tr.đ/m2)</t>
  </si>
  <si>
    <t>Đất ko phù hợp QH</t>
  </si>
  <si>
    <t>Tổng diện tích Đất</t>
  </si>
  <si>
    <t>- Để xe hầm</t>
  </si>
  <si>
    <t>Dân số được duyệt 1/2000</t>
  </si>
  <si>
    <t>…</t>
  </si>
  <si>
    <t>Giá bán quy đổi</t>
  </si>
  <si>
    <t>Trả gốc vay</t>
  </si>
  <si>
    <t>3% /nam</t>
  </si>
  <si>
    <t>Chi phí Môi giới</t>
  </si>
  <si>
    <t>Chi phí mua đất</t>
  </si>
  <si>
    <t>Chi phí Môi Giới (%doanh thu)</t>
  </si>
  <si>
    <t>Chi phí Push Sale (%doanh thu)</t>
  </si>
  <si>
    <t>Chi phí Nhà mẫu (%doanh thu)</t>
  </si>
  <si>
    <t xml:space="preserve">Chi phí marketing </t>
  </si>
  <si>
    <t>Dòng lãi vay</t>
  </si>
  <si>
    <t>Dòng lợi nhuận trước thuế và lãi vay</t>
  </si>
  <si>
    <t>Dòng  lợi nhuận trước thuế</t>
  </si>
  <si>
    <t>Dòng lợi nhuận sau thuế</t>
  </si>
  <si>
    <t>Chi phí bảo trì TMDV + nhà trẻ</t>
  </si>
  <si>
    <t>Căn shop</t>
  </si>
  <si>
    <t>- Căn Shop</t>
  </si>
  <si>
    <t>- Nhà Trẻ</t>
  </si>
  <si>
    <t>- Căn hộ Bán</t>
  </si>
  <si>
    <t>Diện tích sàn nổi (GFA)</t>
  </si>
  <si>
    <t>Diện tích sàn xây dựng (CFA)</t>
  </si>
  <si>
    <t>Diện tích sàn Bê Tông (GBA)</t>
  </si>
  <si>
    <t>- SHCD</t>
  </si>
  <si>
    <t>- Kỹ thuật Hầm</t>
  </si>
  <si>
    <t>Hầm</t>
  </si>
  <si>
    <t>Chi phí dự phòng bán hàng</t>
  </si>
  <si>
    <t>Chi phí Bảo Trì, MG cho TMDV &amp; Nhà tre</t>
  </si>
  <si>
    <t>Chi phí hoa hồng kinh doanh tiếp thị (doanh thu)</t>
  </si>
  <si>
    <t>Chi phí dự phòng bán hàng(doanh thu)</t>
  </si>
  <si>
    <t>Đơn giá/m2 thương phẩm</t>
  </si>
  <si>
    <t>Hiệu quả thiết kế</t>
  </si>
  <si>
    <t>- Diện tích thương phẩm/diện tích GBA (NSA/GBA)</t>
  </si>
  <si>
    <t>- Diện tích thương phẩm/diện tích CFA (NSA/CFA)</t>
  </si>
  <si>
    <t>- Diện tích thương phẩm/diện tích GFA (NSA/GFA)</t>
  </si>
  <si>
    <t>Lãi suất hỗ trợ</t>
  </si>
  <si>
    <r>
      <t xml:space="preserve"> m</t>
    </r>
    <r>
      <rPr>
        <b/>
        <vertAlign val="superscript"/>
        <sz val="10"/>
        <rFont val="Arial"/>
        <family val="2"/>
      </rPr>
      <t>2</t>
    </r>
  </si>
  <si>
    <r>
      <t xml:space="preserve"> m</t>
    </r>
    <r>
      <rPr>
        <vertAlign val="superscript"/>
        <sz val="10"/>
        <rFont val="Arial"/>
        <family val="2"/>
      </rPr>
      <t>2</t>
    </r>
  </si>
  <si>
    <r>
      <t xml:space="preserve">Theo bản đồ quy hoạch chi tiết tiết đô thị </t>
    </r>
    <r>
      <rPr>
        <b/>
        <sz val="10"/>
        <color rgb="FFFF0000"/>
        <rFont val="Arial"/>
        <family val="2"/>
      </rPr>
      <t>1/500</t>
    </r>
  </si>
  <si>
    <t>Số tầng hầm</t>
  </si>
  <si>
    <r>
      <t>đ/m</t>
    </r>
    <r>
      <rPr>
        <vertAlign val="superscript"/>
        <sz val="10"/>
        <rFont val="Arial"/>
        <family val="2"/>
      </rPr>
      <t>2</t>
    </r>
  </si>
  <si>
    <t>Công trình hạ tầng kỹ thuật khu đô thị 20-50ha (nhỏ nhất)</t>
  </si>
  <si>
    <t>Diện tích sàn xây dựng trong chỉ giới</t>
  </si>
  <si>
    <t>Diện tích sàn xây dựng hầm ngoài chỉ giới</t>
  </si>
  <si>
    <t>Đơn giá xây lắp phần hầm mở rộng</t>
  </si>
  <si>
    <t>Suất vốn đầu tư sau điều chỉnh</t>
  </si>
  <si>
    <t>Diện tích sàn tầng hầm trong chỉ giới</t>
  </si>
  <si>
    <t>Diện tích sàn tầng hầm tăng thêm</t>
  </si>
  <si>
    <t>Suất vốn đầu tư chung cư tương ứng không hầm</t>
  </si>
  <si>
    <t>Suất vốn đầu tư phần hầm mở rộng</t>
  </si>
  <si>
    <t>Suất vốn đầu tư hẩm mở rộng sau điều chỉnh</t>
  </si>
  <si>
    <r>
      <t xml:space="preserve"> m</t>
    </r>
    <r>
      <rPr>
        <i/>
        <vertAlign val="superscript"/>
        <sz val="10"/>
        <rFont val="Arial"/>
        <family val="2"/>
      </rPr>
      <t>2</t>
    </r>
  </si>
  <si>
    <r>
      <t>USD/m</t>
    </r>
    <r>
      <rPr>
        <vertAlign val="superscript"/>
        <sz val="10"/>
        <rFont val="Arial"/>
        <family val="2"/>
      </rPr>
      <t>2</t>
    </r>
    <r>
      <rPr>
        <sz val="10"/>
        <rFont val="Arial"/>
        <family val="2"/>
      </rPr>
      <t>/tháng</t>
    </r>
  </si>
  <si>
    <r>
      <t>Số chỗ giữ xe oto (25m</t>
    </r>
    <r>
      <rPr>
        <i/>
        <vertAlign val="superscript"/>
        <sz val="10"/>
        <rFont val="Arial"/>
        <family val="2"/>
      </rPr>
      <t>2</t>
    </r>
    <r>
      <rPr>
        <i/>
        <sz val="10"/>
        <rFont val="Arial"/>
        <family val="2"/>
      </rPr>
      <t>/chỗ)</t>
    </r>
  </si>
  <si>
    <r>
      <t>Số chỗ giữ xe máy 3m</t>
    </r>
    <r>
      <rPr>
        <i/>
        <vertAlign val="superscript"/>
        <sz val="10"/>
        <rFont val="Arial"/>
        <family val="2"/>
      </rPr>
      <t>2</t>
    </r>
    <r>
      <rPr>
        <i/>
        <sz val="10"/>
        <rFont val="Arial"/>
        <family val="2"/>
      </rPr>
      <t>/xe</t>
    </r>
  </si>
  <si>
    <r>
      <t>Số giữ xe dưới 175m</t>
    </r>
    <r>
      <rPr>
        <i/>
        <vertAlign val="superscript"/>
        <sz val="10"/>
        <rFont val="Arial"/>
        <family val="2"/>
      </rPr>
      <t xml:space="preserve">3 </t>
    </r>
    <r>
      <rPr>
        <i/>
        <sz val="10"/>
        <rFont val="Arial"/>
        <family val="2"/>
      </rPr>
      <t>(50%)</t>
    </r>
  </si>
  <si>
    <r>
      <t>Đơn giá giữ xe dưới 175m</t>
    </r>
    <r>
      <rPr>
        <i/>
        <vertAlign val="superscript"/>
        <sz val="10"/>
        <rFont val="Arial"/>
        <family val="2"/>
      </rPr>
      <t xml:space="preserve">3 </t>
    </r>
    <r>
      <rPr>
        <i/>
        <sz val="10"/>
        <rFont val="Arial"/>
        <family val="2"/>
      </rPr>
      <t>(bao gồm VAT)</t>
    </r>
  </si>
  <si>
    <r>
      <t>Số chỗ giữ xe tay ga và trên 175m</t>
    </r>
    <r>
      <rPr>
        <i/>
        <vertAlign val="superscript"/>
        <sz val="10"/>
        <rFont val="Arial"/>
        <family val="2"/>
      </rPr>
      <t xml:space="preserve">3 </t>
    </r>
    <r>
      <rPr>
        <i/>
        <sz val="10"/>
        <rFont val="Arial"/>
        <family val="2"/>
      </rPr>
      <t>(50%)</t>
    </r>
  </si>
  <si>
    <r>
      <t>Đơn giá giữ xe tay ga và trên 175m</t>
    </r>
    <r>
      <rPr>
        <i/>
        <vertAlign val="superscript"/>
        <sz val="10"/>
        <rFont val="Arial"/>
        <family val="2"/>
      </rPr>
      <t>3</t>
    </r>
    <r>
      <rPr>
        <i/>
        <sz val="10"/>
        <rFont val="Arial"/>
        <family val="2"/>
      </rPr>
      <t>(bao gồm VAT)</t>
    </r>
  </si>
  <si>
    <r>
      <t>DOANH THU 
 BÁN CĂN HỘ
V</t>
    </r>
    <r>
      <rPr>
        <b/>
        <vertAlign val="subscript"/>
        <sz val="10"/>
        <rFont val="Arial"/>
        <family val="2"/>
      </rPr>
      <t>ch</t>
    </r>
  </si>
  <si>
    <r>
      <t>DOANH THU CHO THUÊ 
 THƯƠNG MẠI - VĂN PHÒNG
V</t>
    </r>
    <r>
      <rPr>
        <b/>
        <vertAlign val="subscript"/>
        <sz val="10"/>
        <rFont val="Arial"/>
        <family val="2"/>
      </rPr>
      <t>tm-vp</t>
    </r>
  </si>
  <si>
    <r>
      <t>DOANH THU CHO THUÊ CHỖ ĐỂ XE
V</t>
    </r>
    <r>
      <rPr>
        <b/>
        <vertAlign val="subscript"/>
        <sz val="10"/>
        <rFont val="Arial"/>
        <family val="2"/>
      </rPr>
      <t>gx</t>
    </r>
  </si>
  <si>
    <r>
      <t>TỔNG DOANH THU 
PHÁT TRIỂN (KHÔNG BAO GỒM VAT) 
V</t>
    </r>
    <r>
      <rPr>
        <b/>
        <vertAlign val="subscript"/>
        <sz val="10"/>
        <rFont val="Arial"/>
        <family val="2"/>
      </rPr>
      <t>pt</t>
    </r>
  </si>
  <si>
    <r>
      <t>HỆ SỐ 
CHIẾT KHẤU
i</t>
    </r>
    <r>
      <rPr>
        <b/>
        <vertAlign val="subscript"/>
        <sz val="10"/>
        <rFont val="Arial"/>
        <family val="2"/>
      </rPr>
      <t>ck</t>
    </r>
  </si>
  <si>
    <r>
      <t>HIỆN GIÁ TỔNG DOANH THU 
PHÁT TRIỂN (KHÔNGBAO GỒM VAT) 
V</t>
    </r>
    <r>
      <rPr>
        <b/>
        <vertAlign val="subscript"/>
        <sz val="10"/>
        <rFont val="Arial"/>
        <family val="2"/>
      </rPr>
      <t>0pt</t>
    </r>
  </si>
  <si>
    <r>
      <t>DOANH THU BÁN ĐẤT NỀN NHÀ LIÊN KẾ
V</t>
    </r>
    <r>
      <rPr>
        <b/>
        <vertAlign val="subscript"/>
        <sz val="10"/>
        <rFont val="Arial"/>
        <family val="2"/>
      </rPr>
      <t>lk</t>
    </r>
  </si>
  <si>
    <r>
      <t>DOANH THU BÁN ĐẤT NỀN BIỆT THỰ
V</t>
    </r>
    <r>
      <rPr>
        <b/>
        <vertAlign val="subscript"/>
        <sz val="10"/>
        <rFont val="Arial"/>
        <family val="2"/>
      </rPr>
      <t>bt</t>
    </r>
  </si>
  <si>
    <r>
      <t>CHI ĐẦU TƯ CƠ 
SỞ HẠ TẦNG
C</t>
    </r>
    <r>
      <rPr>
        <b/>
        <vertAlign val="subscript"/>
        <sz val="10"/>
        <rFont val="Arial"/>
        <family val="2"/>
      </rPr>
      <t>ht</t>
    </r>
  </si>
  <si>
    <r>
      <t>CHI XÂY DỰNG VÀ 
THIẾT BỊ
C</t>
    </r>
    <r>
      <rPr>
        <b/>
        <vertAlign val="subscript"/>
        <sz val="10"/>
        <rFont val="Arial"/>
        <family val="2"/>
      </rPr>
      <t>xdtb</t>
    </r>
  </si>
  <si>
    <r>
      <t>DỰ PHÒNG
C</t>
    </r>
    <r>
      <rPr>
        <b/>
        <vertAlign val="subscript"/>
        <sz val="10"/>
        <rFont val="Arial"/>
        <family val="2"/>
      </rPr>
      <t>dp</t>
    </r>
  </si>
  <si>
    <r>
      <t>HIỆN GIÁ TỔNG CHI PHÍ PHÁT TRIỂN 
(KHÔNG BAO GỒM VAT)
C</t>
    </r>
    <r>
      <rPr>
        <b/>
        <vertAlign val="subscript"/>
        <sz val="10"/>
        <rFont val="Arial"/>
        <family val="2"/>
      </rPr>
      <t>0pt</t>
    </r>
  </si>
  <si>
    <r>
      <t>TỔNG CHI PHÍ 
PHÁT TRIỂN 
(KHÔNG BAO GỒM VAT)
C</t>
    </r>
    <r>
      <rPr>
        <b/>
        <vertAlign val="subscript"/>
        <sz val="10"/>
        <rFont val="Arial"/>
        <family val="2"/>
      </rPr>
      <t>pt</t>
    </r>
  </si>
  <si>
    <r>
      <t>BƯỚC 4</t>
    </r>
    <r>
      <rPr>
        <b/>
        <sz val="10"/>
        <rFont val="Arial"/>
        <family val="2"/>
      </rPr>
      <t>: XÁC ĐỊNH GIÁ ĐẤT</t>
    </r>
  </si>
  <si>
    <r>
      <t>HIỆN GIÁ DOANH THU PHÁT TRIỂN
V</t>
    </r>
    <r>
      <rPr>
        <b/>
        <vertAlign val="subscript"/>
        <sz val="10"/>
        <rFont val="Arial"/>
        <family val="2"/>
      </rPr>
      <t>0pt</t>
    </r>
  </si>
  <si>
    <r>
      <t>HIỆN GIÁ TỔNG DOANH THU PHÁT TRIỂN
V</t>
    </r>
    <r>
      <rPr>
        <b/>
        <vertAlign val="subscript"/>
        <sz val="10"/>
        <rFont val="Arial"/>
        <family val="2"/>
      </rPr>
      <t>0pt</t>
    </r>
  </si>
  <si>
    <r>
      <t>TỔNG CHI PHI 
PHÁT TRIỂN
C</t>
    </r>
    <r>
      <rPr>
        <b/>
        <vertAlign val="subscript"/>
        <sz val="10"/>
        <rFont val="Arial"/>
        <family val="2"/>
      </rPr>
      <t>0pt</t>
    </r>
  </si>
  <si>
    <r>
      <t>GIÁ ĐẤT (Đ/M</t>
    </r>
    <r>
      <rPr>
        <b/>
        <vertAlign val="superscript"/>
        <sz val="10"/>
        <rFont val="Arial"/>
        <family val="2"/>
      </rPr>
      <t>2</t>
    </r>
    <r>
      <rPr>
        <b/>
        <sz val="10"/>
        <rFont val="Arial"/>
        <family val="2"/>
      </rPr>
      <t>)</t>
    </r>
  </si>
  <si>
    <t>Giả định tách suất vốn đầu tư hầm</t>
  </si>
  <si>
    <t>yes</t>
  </si>
  <si>
    <t>Thành tiền</t>
  </si>
  <si>
    <t>no</t>
  </si>
  <si>
    <t>khấu trừ tiền sử dụng đất</t>
  </si>
  <si>
    <t>Đất ở đã chuyển mục đích</t>
  </si>
  <si>
    <t>Đất SKC được khấu trừ</t>
  </si>
  <si>
    <t>Tổng nghĩa vụ tài chính SDĐ phải đóng</t>
  </si>
  <si>
    <t>Độ nhạy NPV theo giá bán Giá bán và Suất xây dựng thiết bị</t>
  </si>
  <si>
    <t>triệu</t>
  </si>
  <si>
    <t>Độ nhạy LNTT/TMĐT theo Giá bán và Giá thương quyền</t>
  </si>
  <si>
    <t>- Tầng lánh nạn</t>
  </si>
  <si>
    <t>Độ nhạy LNTT/TMĐT theo Giá bán và Suất xây dựng thiết bị</t>
  </si>
  <si>
    <t>Độ nhạy LNTT theo Giá bán và Suất xây dựng thiết bị</t>
  </si>
  <si>
    <t>Hệ số điều chỉnh tương ứng (Kdc)</t>
  </si>
  <si>
    <t>Trường hợp tỷ lệ diện tích mặt bằng đất xây dựng tầng hầm và diện tích mặt bằng đất xây dựng tầng nổi (Nmbxd hầm/Nmbxd nổi)</t>
  </si>
  <si>
    <t>Hệ số điều chỉnh</t>
  </si>
  <si>
    <t>Hệ số điều chỉnh (Kđc)</t>
  </si>
  <si>
    <t>Định mức Kdc cần tính</t>
  </si>
  <si>
    <t>Tỷ lệ diện tích xây dựng hầm/diện tích xây dựng nổi cận trên (Gb)</t>
  </si>
  <si>
    <t>Hệ số điều chỉnh (Kđc) tương ứng Ga</t>
  </si>
  <si>
    <t>Hệ số điều chỉnh (Kđc) tương ứng Gb</t>
  </si>
  <si>
    <t>Tỷ lệ đất xd hầm/tỷ lệ đất xây dựng nổi thực tế</t>
  </si>
  <si>
    <t>Tỷ lệ diện tích xây dựng hầm/diện tích xây dựng nổi cận dưới (Ga)</t>
  </si>
  <si>
    <t>Chi phí quản lý kinh doanh (%/doanh thu)</t>
  </si>
  <si>
    <t>Tuyến đường</t>
  </si>
  <si>
    <t>Số lượng KH tham gia hỗ trợ lãi suất</t>
  </si>
  <si>
    <t>đv: tr.đ/m2</t>
  </si>
  <si>
    <t xml:space="preserve">  Vốn tự có cho lãi vay vốn hoá</t>
  </si>
  <si>
    <t>- Officetel</t>
  </si>
  <si>
    <t>- Căn shop TM</t>
  </si>
  <si>
    <t>DT tim tường</t>
  </si>
  <si>
    <t>DT thông thủy</t>
  </si>
  <si>
    <t>DT 1 sản phẩm</t>
  </si>
  <si>
    <t>Diện tích sàn tính hệ số</t>
  </si>
  <si>
    <t>Check</t>
  </si>
  <si>
    <t>Chi phí phát triển dự án</t>
  </si>
  <si>
    <t>Đơn giá đất CLN</t>
  </si>
  <si>
    <t>CHI PHÍ SỬ DỤNG VỐN (LÃI VAY VÀ LN NĐT)</t>
  </si>
  <si>
    <t xml:space="preserve"> </t>
  </si>
  <si>
    <t>Vị trí:</t>
  </si>
  <si>
    <t>Đơn vị tư vấn:</t>
  </si>
  <si>
    <t>Tiger capital</t>
  </si>
  <si>
    <t>CƠ CẤU VỐN</t>
  </si>
  <si>
    <t>B.</t>
  </si>
  <si>
    <t>LUR</t>
  </si>
  <si>
    <t>Thông số quy hoạch</t>
  </si>
  <si>
    <t>Hạng mục đất</t>
  </si>
  <si>
    <t>Hệ số</t>
  </si>
  <si>
    <t>MĐXD (%)</t>
  </si>
  <si>
    <t>Tổng diện tích sàn xây dựng (m2)</t>
  </si>
  <si>
    <t>Diện tích (m2)</t>
  </si>
  <si>
    <t>Tỷ lệ đất (%)</t>
  </si>
  <si>
    <t>Dân số</t>
  </si>
  <si>
    <t>SHCĐ</t>
  </si>
  <si>
    <t>Tổng diện tích đất</t>
  </si>
  <si>
    <t>TỔNG MỨC ĐẦU TƯ</t>
  </si>
  <si>
    <t>Giá trị (gồm VAT)
(triệu đồng)</t>
  </si>
  <si>
    <t>Tỷ trọng (%)</t>
  </si>
  <si>
    <t>Các loại chi phí đất</t>
  </si>
  <si>
    <t>Chi phí tư vấn</t>
  </si>
  <si>
    <t>Giá trị
(triệu đồng)</t>
  </si>
  <si>
    <t>C.</t>
  </si>
  <si>
    <t>D.</t>
  </si>
  <si>
    <t>THÔNG TIN KINH DOANH</t>
  </si>
  <si>
    <t>Hạng mục thương phẩm</t>
  </si>
  <si>
    <t>Diện tích kinh doanh (m2)</t>
  </si>
  <si>
    <t>Các loại chi phí đất &amp; pháp lý</t>
  </si>
  <si>
    <t>Đơn giá bán gồm VAT (tr.đt/m2)</t>
  </si>
  <si>
    <t>Giá trung bình sản phẩm (tr.đ)</t>
  </si>
  <si>
    <t>Thời điểm triển khai xây dựng (dự kiến):</t>
  </si>
  <si>
    <t>Cơ cấu sử dụng vốn</t>
  </si>
  <si>
    <t>Chính sách bán hàng</t>
  </si>
  <si>
    <t>Chi phí nhà mẫu (gồm xd &amp; vận hành)</t>
  </si>
  <si>
    <t>Chi phí hậu mãi</t>
  </si>
  <si>
    <t>P&amp;L DỰ ÁN (không gồm VAT)</t>
  </si>
  <si>
    <t>HIỆU QUẢ DỰ ÁN</t>
  </si>
  <si>
    <t>CHỈ TIÊU QUY HOẠCH</t>
  </si>
  <si>
    <t>TIMELINE DỰ ÁN</t>
  </si>
  <si>
    <t>M&amp;A</t>
  </si>
  <si>
    <t>CHUẨN BỊ ĐẦU TƯ</t>
  </si>
  <si>
    <t>HẠNG MỤC XÂY DỰNG</t>
  </si>
  <si>
    <t>TIẾN ĐỘ BÁN HÀNG</t>
  </si>
  <si>
    <t>DỰ TOÁN ĐẦU TƯ</t>
  </si>
  <si>
    <t>XÂY DỰNG</t>
  </si>
  <si>
    <t>TỔNG DỰ TOÁN XÂY DỰNG</t>
  </si>
  <si>
    <t>DÒNG TIỀN CHI TRẢ DỰ TOÁN CHI PHÍ ĐẦU TƯ PHÁT TRIỂN DỰ ÁN</t>
  </si>
  <si>
    <t>SUẤT ĐẦU TƯ</t>
  </si>
  <si>
    <t>TIẾN ĐỘ TRIỂN KHAI ĐẦU TƯ XÂY DỰNG</t>
  </si>
  <si>
    <t>DOANH THU DỰ KIẾN</t>
  </si>
  <si>
    <t>Thực thu lũy kế doanh thu bán hàng</t>
  </si>
  <si>
    <t>DÒNG TIỀN THỰC THU</t>
  </si>
  <si>
    <t>Chi phí bảo lãnh ngân hàng dự kiến</t>
  </si>
  <si>
    <t>CHI PHÍ HOẠT ĐỘNG VÀ THUẾ</t>
  </si>
  <si>
    <t>Tỷ lệ %/doanh thu bán hàng</t>
  </si>
  <si>
    <t>KHOẢN MỤC CHI PHÍ</t>
  </si>
  <si>
    <t>CHI PHÍ BÁN HÀNG PHÂN BỔ THEO QUÝ VÀ NĂM</t>
  </si>
  <si>
    <t>Phân bổ doanh thu chưa VAT</t>
  </si>
  <si>
    <t>Doanh thu chưa VAT</t>
  </si>
  <si>
    <t>Doanh thu gồm VAT</t>
  </si>
  <si>
    <t>TÍNH TOÁN PHÂN BỔ VAT CHO CÁC SẢN PHẨM</t>
  </si>
  <si>
    <t>A.</t>
  </si>
  <si>
    <t>Thuế TNDN tạm tính 1% phải nộp cho phần căn hộ và shop</t>
  </si>
  <si>
    <t>Lãi suất vay hàng năm</t>
  </si>
  <si>
    <t>Cơ sở tính</t>
  </si>
  <si>
    <t>Tỷ trọng</t>
  </si>
  <si>
    <t>Tính toán hỗ trợ lãi suất cho khách hàng</t>
  </si>
  <si>
    <t>Dư nợ vay cho chương trình</t>
  </si>
  <si>
    <t>DÒNG TIỀN DỰ ÁN VÀ HIỆU QUẢ</t>
  </si>
  <si>
    <t>NPV (tr.đồng)</t>
  </si>
  <si>
    <t>IRR (%)</t>
  </si>
  <si>
    <t>Tỷ suất lợi nhuận trên doanh thu (%)</t>
  </si>
  <si>
    <t>LNTT/TMĐT (%)</t>
  </si>
  <si>
    <t>Tỷ suất lợi nhuận trên vốn chủ sở hữu (%)</t>
  </si>
  <si>
    <t>Thời gian hoàn vốn (năm)</t>
  </si>
  <si>
    <t>+ Chi phí hoạt động, thuế VAT và phí khác</t>
  </si>
  <si>
    <t>Check bảng tính</t>
  </si>
  <si>
    <t>NPV và LNST</t>
  </si>
  <si>
    <t>Dòng tiền ròng và cơ sở tính vay vốn</t>
  </si>
  <si>
    <t>NPV quý và năm</t>
  </si>
  <si>
    <t>Thời điểm hoàn vốn (yes= năm hoàn vốn)</t>
  </si>
  <si>
    <t>LNTT</t>
  </si>
  <si>
    <t>LNTT (tr.đồng)</t>
  </si>
  <si>
    <t>FCFE tính theo năm</t>
  </si>
  <si>
    <t>FCFE</t>
  </si>
  <si>
    <t>PHÂN TÍCH ĐỘ NHẠY</t>
  </si>
  <si>
    <t>Info nhập</t>
  </si>
  <si>
    <t>info bảng</t>
  </si>
  <si>
    <t xml:space="preserve">bước nhảy </t>
  </si>
  <si>
    <t xml:space="preserve">đơn vị </t>
  </si>
  <si>
    <t>ghi chú</t>
  </si>
  <si>
    <t>Hạng mục tính toán</t>
  </si>
  <si>
    <t>Suất đầu tư xây dựng (tr.đ/m2)</t>
  </si>
  <si>
    <t>NPV (suất chiết khấu 11%) (tr.đồng)</t>
  </si>
  <si>
    <t>Giá trị định giá</t>
  </si>
  <si>
    <t>- Chi phí xây dựng và pháp lý khác</t>
  </si>
  <si>
    <t>Chi phi giá vốn</t>
  </si>
  <si>
    <t>GIAI ĐOẠN ĐẦU TƯ &amp; PHÁP LÝ</t>
  </si>
  <si>
    <t>- Tầng tum+hệ thống kỹ thuật+PCCC</t>
  </si>
  <si>
    <t>TMDV tập trung</t>
  </si>
  <si>
    <t>Tỷ lệ diện tích cấu phần hệ số TMDV</t>
  </si>
  <si>
    <t>Hệ số ở</t>
  </si>
  <si>
    <t>Cơ cấu sử dụng đất</t>
  </si>
  <si>
    <t>Đất ở</t>
  </si>
  <si>
    <t>Đất nhà ở thấp tầng</t>
  </si>
  <si>
    <t>Công trình dịch vụ công cộng</t>
  </si>
  <si>
    <t>Đất giao thông nhóm ở</t>
  </si>
  <si>
    <t>Đất hạ tầng kỹ thuật</t>
  </si>
  <si>
    <t>B</t>
  </si>
  <si>
    <t>Tổng cộng (A+ B)</t>
  </si>
  <si>
    <t>Tỷ lệ (%)</t>
  </si>
  <si>
    <t>Số sản phẩm</t>
  </si>
  <si>
    <t>Dân số (người)</t>
  </si>
  <si>
    <t>Diện tích xây dựng (m2)</t>
  </si>
  <si>
    <t>CFA
(m2)</t>
  </si>
  <si>
    <t>NFA
(m2)</t>
  </si>
  <si>
    <t>-TMDV</t>
  </si>
  <si>
    <t>Xây dựng công trình chính</t>
  </si>
  <si>
    <t>Xây dựng khu thấp tầng</t>
  </si>
  <si>
    <t>Xây dựng công trình công cộng</t>
  </si>
  <si>
    <t>Khu thấp tầng</t>
  </si>
  <si>
    <t>Công trình công cộng</t>
  </si>
  <si>
    <t>TMDV-2</t>
  </si>
  <si>
    <t>Hạ tầng kỹ thuật</t>
  </si>
  <si>
    <t>Chi phí bán hàng, tiếp thị và DVKH</t>
  </si>
  <si>
    <t>Giá nhà</t>
  </si>
  <si>
    <t>Giá đất</t>
  </si>
  <si>
    <t>Diện tích sản phẩm (đất nền) (m2)</t>
  </si>
  <si>
    <t>Chi phí XD nhà phố</t>
  </si>
  <si>
    <t>Chi phí XD BT</t>
  </si>
  <si>
    <t>Chi phí XD BT đơn lập</t>
  </si>
  <si>
    <t>Tỷ lệ thu tiền tổng</t>
  </si>
  <si>
    <t>TIẾN ĐỘ THU TIỀN CÁC SẢN PHẨM</t>
  </si>
  <si>
    <t>Giá 1 căn</t>
  </si>
  <si>
    <t>Giá sản phẩm thấp tầng</t>
  </si>
  <si>
    <t>Tổng diện tích  thương phẩm (m2)</t>
  </si>
  <si>
    <t>Lãi vay (vốn hóa)</t>
  </si>
  <si>
    <t xml:space="preserve">Chi phí hoàn thuế VAT </t>
  </si>
  <si>
    <t>Giả định sẽ không được hoàn VAT và xem đây là 1 khoản chi phí</t>
  </si>
  <si>
    <t>Dự nợ hỗ trợ lãi vay nhà phố</t>
  </si>
  <si>
    <t>Dư nợ hỗ trợ lãi vay BT song lập</t>
  </si>
  <si>
    <t>Chi phí lãi vay hỗ trợ khách hàng</t>
  </si>
  <si>
    <t>1.5%/năm</t>
  </si>
  <si>
    <t>Đậu xe căn hộ</t>
  </si>
  <si>
    <t>Đậu xe sàn TMDV</t>
  </si>
  <si>
    <t>- Diện tích khác (gồm để xe ngoài trời)</t>
  </si>
  <si>
    <t>- Giá chuyển nhượng đến hiện trạng</t>
  </si>
  <si>
    <t>Prepared by:</t>
  </si>
  <si>
    <t xml:space="preserve">Đất chung cư </t>
  </si>
  <si>
    <t>Căn hộ chung cư</t>
  </si>
  <si>
    <t>Biệt thự</t>
  </si>
  <si>
    <t>Trường liên cấp</t>
  </si>
  <si>
    <t>Đất văn hóa</t>
  </si>
  <si>
    <t>Đất y tế</t>
  </si>
  <si>
    <t>Đất giao thông</t>
  </si>
  <si>
    <t>Bãi đậu xe P1</t>
  </si>
  <si>
    <t>Bãi đậu xe P2, P3, P4</t>
  </si>
  <si>
    <t>Đất khu vực lập quy hoạch</t>
  </si>
  <si>
    <t>Chi phi mua đất/đấu giá</t>
  </si>
  <si>
    <t>Để xe (tầng nổi)</t>
  </si>
  <si>
    <t>Diện tích kỹ thuật khác</t>
  </si>
  <si>
    <t>Nhà xe</t>
  </si>
  <si>
    <t>Nhà ở liên kế khu A</t>
  </si>
  <si>
    <t>Nhà ở liên kế khu B</t>
  </si>
  <si>
    <t>Shophouse khu C (đường D9)</t>
  </si>
  <si>
    <t>end</t>
  </si>
  <si>
    <t>Nhà trẻ CT1</t>
  </si>
  <si>
    <t xml:space="preserve">Giá đất ở </t>
  </si>
  <si>
    <t>Giá đất y tế</t>
  </si>
  <si>
    <t>Đất giáo dục</t>
  </si>
  <si>
    <t>Tỷ trọng giá</t>
  </si>
  <si>
    <t>Diện tích theo tỷ trọng</t>
  </si>
  <si>
    <t>Đơn giá đất với giá đất</t>
  </si>
  <si>
    <t>Đơn giá bảng giá đất</t>
  </si>
  <si>
    <t>Giá trị đấu giá</t>
  </si>
  <si>
    <t>Diện tích
(m2)</t>
  </si>
  <si>
    <t>BẢNG TÍNH ĐƠN GIÁ ĐẤT ĐẤU GIÁ</t>
  </si>
  <si>
    <t>BẢNG TÍNH NGHĨA VỤ NOXH</t>
  </si>
  <si>
    <t>Giá đất ở (tr/m2)</t>
  </si>
  <si>
    <t>2 lô đất dự kiến nhà ở xã hội (CT2 &amp; CT3)</t>
  </si>
  <si>
    <t>Giá trị nghĩa vụ tài chính NOXH</t>
  </si>
  <si>
    <t>NFA - tim tường
(m2)</t>
  </si>
  <si>
    <t>Chung cư…</t>
  </si>
  <si>
    <t>Căn shop TM</t>
  </si>
  <si>
    <t>Để xe + kỹ thuật (hầm)</t>
  </si>
  <si>
    <t>Diện tích khác (tum, mái, sân thượng, hồ bơi...)</t>
  </si>
  <si>
    <t>Hoàn thành M&amp;A</t>
  </si>
  <si>
    <t>Tiến độ giải ngân M&amp;A</t>
  </si>
  <si>
    <t>Cấp sổ</t>
  </si>
  <si>
    <t>Xây dựng Chung cư …</t>
  </si>
  <si>
    <t>Chi phí XD chung cư …</t>
  </si>
  <si>
    <t>Chi phí XD căn hộ ở A2-3 &amp; A2-4</t>
  </si>
  <si>
    <t>Lãi vay vốn hóa (cơ sở ls 12%)</t>
  </si>
  <si>
    <t>Huy động từ khác hàng</t>
  </si>
  <si>
    <t>Vốn tự có</t>
  </si>
  <si>
    <t>Vốn vay</t>
  </si>
  <si>
    <t>Block A</t>
  </si>
  <si>
    <t>Block B</t>
  </si>
  <si>
    <t>Chi phí nghĩa vụ tài chính</t>
  </si>
  <si>
    <t>Diện tích kỹ thuật &amp; diện tích khác</t>
  </si>
  <si>
    <t xml:space="preserve"> m2</t>
  </si>
  <si>
    <t>15</t>
  </si>
  <si>
    <r>
      <t>TỔNG CHI PHÍ 
ĐẦU TƯ XÂY DỰNG BÁN HÀNG
C</t>
    </r>
    <r>
      <rPr>
        <b/>
        <vertAlign val="subscript"/>
        <sz val="10"/>
        <rFont val="Arial"/>
        <family val="2"/>
      </rPr>
      <t>pt</t>
    </r>
  </si>
  <si>
    <r>
      <t>CHI PHÍ BÁN HÀNG
C</t>
    </r>
    <r>
      <rPr>
        <b/>
        <vertAlign val="subscript"/>
        <sz val="10"/>
        <rFont val="Arial"/>
        <family val="2"/>
      </rPr>
      <t>bh</t>
    </r>
  </si>
  <si>
    <r>
      <t>CHI PHÍ QUẢN LÝ VẬN HÀNH CHO THUÊ
C</t>
    </r>
    <r>
      <rPr>
        <b/>
        <vertAlign val="subscript"/>
        <sz val="10"/>
        <rFont val="Arial"/>
        <family val="2"/>
      </rPr>
      <t>qlvh</t>
    </r>
  </si>
  <si>
    <t>Bảng giá đất 2026</t>
  </si>
  <si>
    <t>Đất TMDV</t>
  </si>
  <si>
    <t>Đất sản xuất kinh doanh phi nông nghiệp ko phải là TMDV</t>
  </si>
  <si>
    <t>Chi phí tiền sử dụng đất</t>
  </si>
  <si>
    <t>Chí phí tiền sử dụng đất</t>
  </si>
  <si>
    <t>Nhà Trẻ A</t>
  </si>
  <si>
    <t>Nhà Trẻ B</t>
  </si>
  <si>
    <t>Giá đất thị trường</t>
  </si>
  <si>
    <t>Chi phí xây dựng hạ tầng - công viên</t>
  </si>
  <si>
    <t>Tuyến đường/khu vực</t>
  </si>
  <si>
    <t>Giá đất ở</t>
  </si>
  <si>
    <t>Chi phí xây dựng hạ tầng cảnh quan</t>
  </si>
  <si>
    <t>Đất ngoài cơ cấu</t>
  </si>
  <si>
    <t>Đất khu vực lập quy hoạch (trong ranh)</t>
  </si>
  <si>
    <t>Đất cây xanh nhóm ở thấp tầng</t>
  </si>
  <si>
    <t>Nhà phố liên kế</t>
  </si>
  <si>
    <t>Căn officetel</t>
  </si>
  <si>
    <t>Giá bán căn TM</t>
  </si>
  <si>
    <t>Giá bán căn officetel</t>
  </si>
  <si>
    <t>Giá bán căn hộ</t>
  </si>
  <si>
    <t>Giá bán căn shop</t>
  </si>
  <si>
    <t>Giá bán nhà phố liên kế</t>
  </si>
  <si>
    <t>Sales (including VAT) - Căn hộ</t>
  </si>
  <si>
    <t>Chênh lệch dòng tiền (Net cash flow)</t>
  </si>
  <si>
    <t>Tính theo QĐ 425/BXD cho khu đô thị</t>
  </si>
  <si>
    <t>Tính theo QĐ 425/QĐ-BXD</t>
  </si>
  <si>
    <t>Chi xây lắp thiết bị chung cư</t>
  </si>
  <si>
    <t>Chi xây lắp thiết bị thấp tầng</t>
  </si>
  <si>
    <t>Chi phí khác cho chung cư</t>
  </si>
  <si>
    <t>Chi phí khác cho thấp tầng</t>
  </si>
  <si>
    <t xml:space="preserve">Chi phí hoạt động, bảo trì sửa chữa (%/doanh thu phần thương mại, văn phòng) </t>
  </si>
  <si>
    <r>
      <t>BƯỚC 1</t>
    </r>
    <r>
      <rPr>
        <b/>
        <sz val="14"/>
        <color theme="0"/>
        <rFont val="Arial"/>
        <family val="2"/>
      </rPr>
      <t>: KHẢO SÁT THÔNG TIN VỀ THỬA ĐẤT CẦN ĐỊNH GIÁ VÀ CÁC THÔNG TIN THỊ TRƯỜNG LIÊN QUAN</t>
    </r>
  </si>
  <si>
    <r>
      <t>BƯỚC 2</t>
    </r>
    <r>
      <rPr>
        <b/>
        <sz val="14"/>
        <color theme="0"/>
        <rFont val="Arial"/>
        <family val="2"/>
      </rPr>
      <t>: ƯỚC TÍNH TỔNG DOANH THU PHÁT TRIỂN GIẢ ĐỊNH</t>
    </r>
  </si>
  <si>
    <r>
      <t>BƯỚC 3</t>
    </r>
    <r>
      <rPr>
        <b/>
        <sz val="14"/>
        <color theme="0"/>
        <rFont val="Arial"/>
        <family val="2"/>
      </rPr>
      <t>: ƯỚC TÍNH TỔNG CHI PHÍ PHÁT TRIỂN GIẢ ĐỊNH</t>
    </r>
  </si>
  <si>
    <t>2. THẤP TẦNG/ĐẤT NỀN</t>
  </si>
  <si>
    <t>(4)=10%x(2+3)</t>
  </si>
  <si>
    <t>(4) = (3)*Lndt</t>
  </si>
  <si>
    <t>GIÁ TRỊ QSDĐ</t>
  </si>
  <si>
    <t>Đơn giá (trđ/m2)</t>
  </si>
  <si>
    <t>TÍNH GIÁ ĐẤT THEO BẢNG GIÁ ĐẤT NN</t>
  </si>
  <si>
    <t>Tổng diện tích đất chuyển đổi có thu tiền</t>
  </si>
  <si>
    <t>Trung tâm thương mại</t>
  </si>
  <si>
    <t>TTTM</t>
  </si>
  <si>
    <t>HIỆU QUẢ DỰ ÁN &amp; DÒNG TIỀN</t>
  </si>
  <si>
    <t>Khối cao tầng</t>
  </si>
  <si>
    <t>Chi phí chuyển nhượng</t>
  </si>
  <si>
    <t>Doanh thu bán hàng gồm VAT (tr.đ)</t>
  </si>
  <si>
    <t>Khối thấp tầng</t>
  </si>
  <si>
    <r>
      <t>Đơn giá gồm
VAT (trđ/m</t>
    </r>
    <r>
      <rPr>
        <b/>
        <vertAlign val="superscript"/>
        <sz val="12"/>
        <color theme="0"/>
        <rFont val="Arial"/>
        <family val="2"/>
      </rPr>
      <t>2</t>
    </r>
    <r>
      <rPr>
        <b/>
        <sz val="12"/>
        <color theme="0"/>
        <rFont val="Arial"/>
        <family val="2"/>
      </rPr>
      <t>)</t>
    </r>
  </si>
  <si>
    <t>Chi phí dự phòng cao tầng</t>
  </si>
  <si>
    <t>Đất ngoài khu vực quy hoạch</t>
  </si>
  <si>
    <t>Đất công trình công cộng</t>
  </si>
  <si>
    <t>Tọa độ:</t>
  </si>
  <si>
    <t>Tiến độ kinh doanh</t>
  </si>
  <si>
    <t>Thông tin giá bán dự kiến</t>
  </si>
  <si>
    <t>Sales (excluding VAT)</t>
  </si>
  <si>
    <t xml:space="preserve">Sales (excluding VAT) </t>
  </si>
  <si>
    <t xml:space="preserve">deductible Land cost </t>
  </si>
  <si>
    <t>Chi phí tư vấn &amp; thiết kế</t>
  </si>
  <si>
    <t>LNTT/Tổng mức đầu tư (%)</t>
  </si>
  <si>
    <t>E.</t>
  </si>
  <si>
    <t>F.</t>
  </si>
  <si>
    <t>Chi phí đầu tư cơ sở hạ tầng</t>
  </si>
  <si>
    <t>Chi phí đầu tư cơ sở hạ tầng phân bổ cho 20% diện tích đất ở</t>
  </si>
  <si>
    <t>+ Chi phí đầu tư &amp; xây dựng (không gồm lãi vay)</t>
  </si>
  <si>
    <r>
      <rPr>
        <sz val="12"/>
        <rFont val="Arial"/>
        <family val="2"/>
      </rPr>
      <t>Prepared by:</t>
    </r>
    <r>
      <rPr>
        <sz val="14"/>
        <rFont val="Arial"/>
        <family val="2"/>
      </rPr>
      <t xml:space="preserve"> </t>
    </r>
    <r>
      <rPr>
        <b/>
        <sz val="14"/>
        <rFont val="Arial"/>
        <family val="2"/>
      </rPr>
      <t>TIGER CAPITAL</t>
    </r>
  </si>
  <si>
    <t>Ký HĐMB</t>
  </si>
  <si>
    <t>Xây dựng Chung cư ….</t>
  </si>
  <si>
    <t>Xây dựng Chung cư Sky Habitat</t>
  </si>
  <si>
    <t xml:space="preserve">Chi phí xây dựng - thiết bị </t>
  </si>
  <si>
    <t>Chi phí xây dựng công trình chính</t>
  </si>
  <si>
    <t xml:space="preserve">Chi phí xây dựng công trình chính </t>
  </si>
  <si>
    <t>Q1/2027</t>
  </si>
  <si>
    <t>Đơn giá LUR được khấu trừ vào giá bán tính VAT</t>
  </si>
  <si>
    <t>Giá bán (gồm VAT)</t>
  </si>
  <si>
    <t>(chưa VAT)</t>
  </si>
  <si>
    <t>Căn hộ khối tháp</t>
  </si>
  <si>
    <t>Diện tích trung bình 1 sản phẩm (m2)</t>
  </si>
  <si>
    <t>Tỷ lệ sử dụng vốn huy động từ khách hàng</t>
  </si>
  <si>
    <t>Độ nhạy IRR theo Giá bán và Giá thương quyền</t>
  </si>
  <si>
    <t>Giá bán căn hộ (chưa VAT, tim tường) (tr.đ/m2)</t>
  </si>
  <si>
    <t xml:space="preserve">Prepared by </t>
  </si>
  <si>
    <t>Độ nhạy NPV theo Giá bán và Giá thương quyền</t>
  </si>
  <si>
    <t>Suất đầu tư xây dựng (tr.đ/m2) gồm V - All in</t>
  </si>
  <si>
    <t>+ Tác động thuế TNDN do chênh giá vốn</t>
  </si>
  <si>
    <t>Tác động thuế TNDN do chênh giá vốn</t>
  </si>
  <si>
    <t>Giá mua dự án /cổ phần (tr.đồng)</t>
  </si>
  <si>
    <t>Dòng lợi nhuận trước thuế có điều chỉnh tax impact</t>
  </si>
  <si>
    <t>LNTT điều chỉnh tax (tr.đồng)</t>
  </si>
  <si>
    <t>LNTT/TMĐT (%) có điều chỉnh tax</t>
  </si>
  <si>
    <r>
      <t xml:space="preserve">Lợi nhuận sau thuế (tr.đồng) </t>
    </r>
    <r>
      <rPr>
        <i/>
        <sz val="12"/>
        <rFont val="Arial"/>
        <family val="2"/>
      </rPr>
      <t>điều chỉnh thiệt hại thuế</t>
    </r>
  </si>
  <si>
    <r>
      <t xml:space="preserve">Lợi nhuận trước thuế (tr.đồng) </t>
    </r>
    <r>
      <rPr>
        <i/>
        <sz val="12"/>
        <rFont val="Arial"/>
        <family val="2"/>
      </rPr>
      <t>điều chỉnh thiệt hại thuế</t>
    </r>
  </si>
  <si>
    <t>Đơn giá đầu vào (tr.đồng/m2)(bao gồm giá mua và thiệt hại thuế)</t>
  </si>
  <si>
    <t>.</t>
  </si>
  <si>
    <t>Dự án Trần Đức 1</t>
  </si>
  <si>
    <t>Mỹ Phước - Tân Vạn, P.Thuận Giao, Thuận An, Bình Dương (cũ)</t>
  </si>
  <si>
    <t>Căn shop TM khối đế</t>
  </si>
  <si>
    <t>OFT</t>
  </si>
  <si>
    <t>Căn hộ shop TM</t>
  </si>
  <si>
    <t>Căn TMDV</t>
  </si>
  <si>
    <t>Chấp thuận CTĐT</t>
  </si>
  <si>
    <t>QH 1/500</t>
  </si>
  <si>
    <t>Đóng LUR</t>
  </si>
  <si>
    <t>GPXD</t>
  </si>
  <si>
    <t>Bán thấp tầng</t>
  </si>
  <si>
    <t>Bàn giao chung cư</t>
  </si>
  <si>
    <t>Bàn giao thấp tầng</t>
  </si>
  <si>
    <t>Hệ số điều chỉnh Bình Dương (vùng 8)</t>
  </si>
  <si>
    <t>MP-TV</t>
  </si>
  <si>
    <t>Khu vực Bình Chuẩn</t>
  </si>
  <si>
    <t>40-45</t>
  </si>
  <si>
    <t>Hệ số k2</t>
  </si>
  <si>
    <t>Khu nhà liên kế</t>
  </si>
  <si>
    <t>Chung cư 30 tầng 1 tầng hầm</t>
  </si>
  <si>
    <t>Chi phí bán hàng 17,5% doanh thu bán</t>
  </si>
  <si>
    <t>Giá trị vốn điều lệ ghi nhận</t>
  </si>
  <si>
    <t>TỔNG GIÁ TRỊ ĐẦU VÀO (GỒM GIÁ MUA VÀ THIỆT HẠI THUẾ) (tr.đồng):</t>
  </si>
  <si>
    <t>Thiệt hại thuế cho chênh lệch giá mua cp và giá sổ sách (tr.đồng)</t>
  </si>
  <si>
    <t>thửa đất cao tầng hệ số: 7.89</t>
  </si>
  <si>
    <t>Thửa đất thấp tầng hệ số 2.97</t>
  </si>
  <si>
    <t>&lt;= hệ số k</t>
  </si>
  <si>
    <t>&lt;= hệ số sử dụng đất</t>
  </si>
  <si>
    <t>Khu cao tầng</t>
  </si>
  <si>
    <t>*  Vốn điều lệ hiện tại ghi nhận trong BCTC là 132 tỷ</t>
  </si>
  <si>
    <t>Tác động thuế TNDN do chênh lệch giá vốn</t>
  </si>
  <si>
    <t>Đất HNK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</si>
</sst>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2">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quot;£&quot;#,##0"/>
    <numFmt numFmtId="165" formatCode="_-* #,##0_-;\-* #,##0_-;_-* &quot;-&quot;_-;_-@_-"/>
    <numFmt numFmtId="166" formatCode="_-* #,##0.00_-;\-* #,##0.00_-;_-* &quot;-&quot;??_-;_-@_-"/>
    <numFmt numFmtId="167" formatCode="_-\$* #,##0_-;&quot;-$&quot;* #,##0_-;_-\$* \-_-;_-@_-"/>
    <numFmt numFmtId="168" formatCode="#,##0.00;[Red]#,##0.00"/>
    <numFmt numFmtId="169" formatCode="_(* #,##0_);_(* \(#,##0\);_(* \-??_);_(@_)"/>
    <numFmt numFmtId="170" formatCode="00.000"/>
    <numFmt numFmtId="171" formatCode="_-* #,##0\ _F_-;\-* #,##0\ _F_-;_-* &quot;- &quot;_F_-;_-@_-"/>
    <numFmt numFmtId="172" formatCode="\?#,##0;&quot;?-&quot;#,##0"/>
    <numFmt numFmtId="173" formatCode="_ * #,##0.00_ ;_ * \-#,##0.00_ ;_ * \-??_ ;_ @_ "/>
    <numFmt numFmtId="174" formatCode="_ * #,##0_ ;_ * \-#,##0_ ;_ * \-_ ;_ @_ "/>
    <numFmt numFmtId="175" formatCode="_-* #,##0_-;\-* #,##0_-;_-* \-_-;_-@_-"/>
    <numFmt numFmtId="176" formatCode="_-* #,##0&quot; F&quot;_-;\-* #,##0&quot; F&quot;_-;_-* &quot;- F&quot;_-;_-@_-"/>
    <numFmt numFmtId="177" formatCode="_(&quot;$* &quot;#,##0_);_(&quot;$* (&quot;#,##0\);_(&quot;$* -&quot;_);_(@_)"/>
    <numFmt numFmtId="178" formatCode="_(\$* #,##0_);_(\$* \(#,##0\);_(\$* \-_);_(@_)"/>
    <numFmt numFmtId="179" formatCode="_-* #,##0&quot; $&quot;_-;\-* #,##0&quot; $&quot;_-;_-* &quot;- $&quot;_-;_-@_-"/>
    <numFmt numFmtId="180" formatCode="_-&quot;* &quot;#,##0&quot; $&quot;_-;&quot;-* &quot;#,##0&quot; $&quot;_-;_-&quot;* - $&quot;_-;_-@_-"/>
    <numFmt numFmtId="181" formatCode="_-&quot;* &quot;#,##0&quot; F&quot;_-;&quot;-* &quot;#,##0&quot; F&quot;_-;_-&quot;* - F&quot;_-;_-@_-"/>
    <numFmt numFmtId="182" formatCode="_-&quot;$* &quot;#,##0_-;&quot;-$* &quot;#,##0_-;_-&quot;$* -&quot;_-;_-@_-"/>
    <numFmt numFmtId="183" formatCode="_-\ñ* #,##0_-;&quot;-ñ&quot;* #,##0_-;_-\ñ* \-_-;_-@_-"/>
    <numFmt numFmtId="184" formatCode="_-&quot;ñ* &quot;#,##0_-;&quot;-ñ* &quot;#,##0_-;_-&quot;ñ* -&quot;_-;_-@_-"/>
    <numFmt numFmtId="185" formatCode="_-* #,##0.00_-;\-* #,##0.00_-;_-* \-??_-;_-@_-"/>
    <numFmt numFmtId="186" formatCode="_-&quot;* &quot;#,##0.00_-;&quot;-* &quot;#,##0.00_-;_-&quot;* -&quot;??_-;_-@_-"/>
    <numFmt numFmtId="187" formatCode="_-* #,##0.00\ _V_N_D_-;\-* #,##0.00\ _V_N_D_-;_-* \-??\ _V_N_D_-;_-@_-"/>
    <numFmt numFmtId="188" formatCode="_ &quot;* &quot;#,##0.00_ ;_ &quot;* -&quot;#,##0.00_ ;_ &quot;* -&quot;??_ ;_ @_ "/>
    <numFmt numFmtId="189" formatCode="_-* #,##0.00\ _F_-;\-* #,##0.00\ _F_-;_-* \-??\ _F_-;_-@_-"/>
    <numFmt numFmtId="190" formatCode="_-&quot;* &quot;#,##0.00\ _V_N_D_-;&quot;-* &quot;#,##0.00\ _V_N_D_-;_-&quot;* -&quot;??\ _V_N_D_-;_-@_-"/>
    <numFmt numFmtId="191" formatCode="_-&quot;* &quot;#,##0.00\ _F_-;&quot;-* &quot;#,##0.00\ _F_-;_-&quot;* -&quot;??\ _F_-;_-@_-"/>
    <numFmt numFmtId="192" formatCode="_-* #,##0.00\ _ñ_-;\-* #,##0.00\ _ñ_-;_-* \-??\ _ñ_-;_-@_-"/>
    <numFmt numFmtId="193" formatCode="_-&quot;* &quot;#,##0.00\ _ñ_-;&quot;-* &quot;#,##0.00\ _ñ_-;_-&quot;* -&quot;??\ _ñ_-;_-@_-"/>
    <numFmt numFmtId="194" formatCode="_-* #,##0.00\ _€_-;\-* #,##0.00\ _€_-;_-* \-??\ _€_-;_-@_-"/>
    <numFmt numFmtId="195" formatCode="_-&quot;* &quot;#,##0.00\ _€_-;&quot;-* &quot;#,##0.00\ _€_-;_-&quot;* -&quot;??\ _€_-;_-@_-"/>
    <numFmt numFmtId="196" formatCode="_-&quot;* &quot;#,##0_-;&quot;-* &quot;#,##0_-;_-&quot;* -&quot;_-;_-@_-"/>
    <numFmt numFmtId="197" formatCode="_(&quot;$ &quot;* #,##0_);_(&quot;$ &quot;* \(#,##0\);_(&quot;$ &quot;* \-_);_(@_)"/>
    <numFmt numFmtId="198" formatCode="_(&quot;$ * &quot;#,##0_);_(&quot;$ * (&quot;#,##0\);_(&quot;$ * -&quot;_);_(@_)"/>
    <numFmt numFmtId="199" formatCode="_-* #,##0&quot; ñ&quot;_-;\-* #,##0&quot; ñ&quot;_-;_-* &quot;- ñ&quot;_-;_-@_-"/>
    <numFmt numFmtId="200" formatCode="_-&quot;* &quot;#,##0&quot; ñ&quot;_-;&quot;-* &quot;#,##0&quot; ñ&quot;_-;_-&quot;* - ñ&quot;_-;_-@_-"/>
    <numFmt numFmtId="201" formatCode="_-* #,##0\ _V_N_D_-;\-* #,##0\ _V_N_D_-;_-* &quot;- &quot;_V_N_D_-;_-@_-"/>
    <numFmt numFmtId="202" formatCode="_ &quot;* &quot;#,##0_ ;_ &quot;* -&quot;#,##0_ ;_ &quot;* -&quot;_ ;_ @_ "/>
    <numFmt numFmtId="203" formatCode="_-&quot;* &quot;#,##0\ _V_N_D_-;&quot;-* &quot;#,##0\ _V_N_D_-;_-&quot;* - &quot;_V_N_D_-;_-@_-"/>
    <numFmt numFmtId="204" formatCode="_-&quot;* &quot;#,##0\ _F_-;&quot;-* &quot;#,##0\ _F_-;_-&quot;* - &quot;_F_-;_-@_-"/>
    <numFmt numFmtId="205" formatCode="_-* #,##0\ _$_-;\-* #,##0\ _$_-;_-* &quot;- &quot;_$_-;_-@_-"/>
    <numFmt numFmtId="206" formatCode="_-&quot;* &quot;#,##0\ _$_-;&quot;-* &quot;#,##0\ _$_-;_-&quot;* - &quot;_$_-;_-@_-"/>
    <numFmt numFmtId="207" formatCode="_-* #,##0\ _ñ_-;\-* #,##0\ _ñ_-;_-* &quot;- &quot;_ñ_-;_-@_-"/>
    <numFmt numFmtId="208" formatCode="_-&quot;* &quot;#,##0\ _ñ_-;&quot;-* &quot;#,##0\ _ñ_-;_-&quot;* - &quot;_ñ_-;_-@_-"/>
    <numFmt numFmtId="209" formatCode="_-* #,##0\ _€_-;\-* #,##0\ _€_-;_-* &quot;- &quot;_€_-;_-@_-"/>
    <numFmt numFmtId="210" formatCode="_-&quot;* &quot;#,##0\ _€_-;&quot;-* &quot;#,##0\ _€_-;_-&quot;* - &quot;_€_-;_-@_-"/>
    <numFmt numFmtId="211" formatCode="_(* #,##0.000000_);_(* \(#,##0.000000\);_(* \-_);_(@_)"/>
    <numFmt numFmtId="212" formatCode="#,##0;[Red]#,##0"/>
    <numFmt numFmtId="213" formatCode="_(* #,##0_);_(* \(#,##0\);_(* \-_);_(@_)"/>
    <numFmt numFmtId="214" formatCode="#,##0;\-#,##0;\-"/>
    <numFmt numFmtId="215" formatCode="&quot;RM&quot;#,##0.00;[Red]&quot;-RM&quot;#,##0.00"/>
    <numFmt numFmtId="216" formatCode="_(* #,##0.00000_);_(* \(#,##0.00000\);_(* \-??_);_(@_)"/>
    <numFmt numFmtId="217" formatCode="_-* #,##0.00&quot; F&quot;_-;\-* #,##0.00&quot; F&quot;_-;_-* \-??&quot; F&quot;_-;_-@_-"/>
    <numFmt numFmtId="218" formatCode="0.000_)"/>
    <numFmt numFmtId="219" formatCode="#,##0_%_);\(#,##0\)_%;#,##0_%_);@_%_)"/>
    <numFmt numFmtId="220" formatCode="_(* #,##0.00_);_(* \(#,##0.00\);_(* \-??_);_(@_)"/>
    <numFmt numFmtId="221" formatCode="#,##0.000_);[Red]\(#,##0.000\)"/>
    <numFmt numFmtId="222" formatCode="#,##0;\(#,##0\)"/>
    <numFmt numFmtId="223" formatCode="0.0%"/>
    <numFmt numFmtId="224" formatCode="_(* #,##0.0,,_);_(* \(#,##0.0,,\);_(* \-_);_(@_)"/>
    <numFmt numFmtId="225" formatCode="\$#,##0.00_);[Red]&quot;($&quot;#,##0.00\)"/>
    <numFmt numFmtId="226" formatCode="&quot;Land RM &quot;#,##0&quot; psf&quot;"/>
    <numFmt numFmtId="227" formatCode="_-* #,##0_-;\-* #,##0_-;_-* \-??_-;_-@_-"/>
    <numFmt numFmtId="228" formatCode="#,##0_ ;[Red]\-#,##0\ "/>
    <numFmt numFmtId="229" formatCode="#,##0.000"/>
    <numFmt numFmtId="230" formatCode="\$#,##0.00_);&quot;($&quot;#,##0.00\)"/>
    <numFmt numFmtId="231" formatCode="\$#,##0.00;[Red]&quot;-$&quot;#,##0.00"/>
    <numFmt numFmtId="232" formatCode="\$#,##0_%_);&quot;($&quot;#,##0\)_%;\$#,##0_%_);@_%_)"/>
    <numFmt numFmtId="233" formatCode="\$#,##0.00_%_);&quot;($&quot;#,##0.00\)_%;\$#,##0.00_%_);@_%_)"/>
    <numFmt numFmtId="234" formatCode="d\.mmm\.yy"/>
    <numFmt numFmtId="235" formatCode="#,##0.0;\-#,##0.0"/>
    <numFmt numFmtId="236" formatCode="m/d/yy_%_)"/>
    <numFmt numFmtId="237" formatCode="mmm\-yyyy"/>
    <numFmt numFmtId="238" formatCode="_(\$* #,##0.00_);_(\$* \(#,##0.00\);_(\$* \-??_);_(@_)"/>
    <numFmt numFmtId="239" formatCode="0.00%;\(0.00\)%"/>
    <numFmt numFmtId="240" formatCode="_-* #,##0\ _D_M_-;\-* #,##0\ _D_M_-;_-* &quot;- &quot;_D_M_-;_-@_-"/>
    <numFmt numFmtId="241" formatCode="_-* #,##0.00\ _D_M_-;\-* #,##0.00\ _D_M_-;_-* \-??\ _D_M_-;_-@_-"/>
    <numFmt numFmtId="242" formatCode="mmm\.yy"/>
    <numFmt numFmtId="243" formatCode="\$#,##0_);[Red]&quot;($&quot;#,##0\)"/>
    <numFmt numFmtId="244" formatCode="_-[$€-2]* #,##0.00_-;\-[$€-2]* #,##0.00_-;_-[$€-2]* \-??_-"/>
    <numFmt numFmtId="245" formatCode="#,##0_);\-#,##0_)"/>
    <numFmt numFmtId="246" formatCode="0.0\%_);\(0.0&quot;%)&quot;;0.0\%_);@_%_)"/>
    <numFmt numFmtId="247" formatCode="0.000%"/>
    <numFmt numFmtId="248" formatCode="#,##0.0_);\(#,##0.0\)"/>
    <numFmt numFmtId="249" formatCode="#,##0.0\x_);&quot;($&quot;#,##0.0_)"/>
    <numFmt numFmtId="250" formatCode="#,##0&quot; FB&quot;;\-#,##0&quot; FB&quot;"/>
    <numFmt numFmtId="251" formatCode="0.0"/>
    <numFmt numFmtId="252" formatCode="#,##0&quot; $&quot;_);[Red]\(#,##0&quot; $)&quot;"/>
    <numFmt numFmtId="253" formatCode="\$###,0\.00_);[Red]&quot;($&quot;###,0\.00\)"/>
    <numFmt numFmtId="254" formatCode="0.0\x_)_);&quot;NM&quot;_x_)_);0.0\x_)_);@_%_)"/>
    <numFmt numFmtId="255" formatCode="0.00_)"/>
    <numFmt numFmtId="256" formatCode="#,##0.00_);\-#,##0.00_)"/>
    <numFmt numFmtId="257" formatCode="_-* #,##0.0_-;\-* #,##0.0_-;_-* \-??_-;_-@_-"/>
    <numFmt numFmtId="258" formatCode="\$#,##0_);&quot;($&quot;#,##0\)"/>
    <numFmt numFmtId="259" formatCode="0.000"/>
    <numFmt numFmtId="260" formatCode="#,##0_);[Red]\(#,##0\);&quot;-     &quot;"/>
    <numFmt numFmtId="261" formatCode="\£#,##0;&quot;-£&quot;#,##0"/>
    <numFmt numFmtId="262" formatCode="_(* #,##0.0_);_(* \(#,##0.0\);_(* \-??_);_(@_)"/>
    <numFmt numFmtId="263" formatCode="_-* #,##0\ _₫_-;\-* #,##0\ _₫_-;_-* \-??\ _₫_-;_-@_-"/>
    <numFmt numFmtId="264" formatCode="_-* #,##0.00\ _₫_-;\-* #,##0.00\ _₫_-;_-* \-??\ _₫_-;_-@_-"/>
    <numFmt numFmtId="265" formatCode="_(* #,##0_);_(* \(#,##0\);_(* &quot;-&quot;??_);_(@_)"/>
    <numFmt numFmtId="266" formatCode="_-* #,##0_-;\-* #,##0_-;_-* &quot;-&quot;??_-;_-@_-"/>
    <numFmt numFmtId="267" formatCode="_([$€-2]* #,##0.00_);_([$€-2]* \(#,##0.00\);_([$€-2]* \-??_)"/>
    <numFmt numFmtId="268" formatCode="_(* #,##0.00000_);_(* \(#,##0.00000\);_(* &quot;-&quot;??_);_(@_)"/>
    <numFmt numFmtId="269" formatCode="_-* #,##0.00\ _₫_-;\-* #,##0.00\ _₫_-;_-* &quot;-&quot;??\ _₫_-;_-@_-"/>
    <numFmt numFmtId="270" formatCode="_(* #,##0.000_);_(* \(#,##0.000\);_(* \-??_);_(@_)"/>
    <numFmt numFmtId="271" formatCode="_(* #,##0.000000_);_(* \(#,##0.000000\);_(* &quot;-&quot;_);_(@_)"/>
    <numFmt numFmtId="272" formatCode="&quot;RM&quot;#,##0.00;[Red]\-&quot;RM&quot;#,##0.00"/>
    <numFmt numFmtId="273" formatCode="_(* #,##0.0,,_);_(* \(#,##0.0,,\);_(* &quot;-&quot;_);_(@_)"/>
    <numFmt numFmtId="274" formatCode="&quot;Land RM&quot;\ #,##0\ &quot;psf&quot;"/>
    <numFmt numFmtId="275" formatCode="_-[$€-2]* #,##0.00_-;\-[$€-2]* #,##0.00_-;_-[$€-2]* &quot;-&quot;??_-"/>
    <numFmt numFmtId="276" formatCode="#,##0.0&quot;x&quot;_);\(&quot;$&quot;#,##0.0_)"/>
    <numFmt numFmtId="277" formatCode="#,##0\ &quot;FB&quot;;\-#,##0\ &quot;FB&quot;"/>
    <numFmt numFmtId="278" formatCode="_-* #,##0.0_-;\-* #,##0.0_-;_-* &quot;-&quot;??_-;_-@_-"/>
    <numFmt numFmtId="279" formatCode="0.00\ \ \ ;\-0.00\ \ \ ;0.00\ \ \ ;[Red]@&quot;    &quot;"/>
    <numFmt numFmtId="280" formatCode="_(* #,##0.0_);_(* \(#,##0.0\);_(* &quot;-&quot;??_);_(@_)"/>
    <numFmt numFmtId="281" formatCode="_-&quot;$&quot;* #,##0.00_-;\-&quot;$&quot;* #,##0.00_-;_-&quot;$&quot;* &quot;-&quot;??_-;_-@_-"/>
    <numFmt numFmtId="282" formatCode="_-&quot;$&quot;* #,##0_-;\-&quot;$&quot;* #,##0_-;_-&quot;$&quot;* &quot;-&quot;_-;_-@_-"/>
    <numFmt numFmtId="283" formatCode="#,##0.00\ &quot;F&quot;;[Red]\-#,##0.00\ &quot;F&quot;"/>
    <numFmt numFmtId="284" formatCode="_-* #,##0\ &quot;F&quot;_-;\-* #,##0\ &quot;F&quot;_-;_-* &quot;-&quot;\ &quot;F&quot;_-;_-@_-"/>
    <numFmt numFmtId="285" formatCode="#,##0\ &quot;F&quot;;[Red]\-#,##0\ &quot;F&quot;"/>
    <numFmt numFmtId="286" formatCode="#,##0.00\ &quot;F&quot;;\-#,##0.00\ &quot;F&quot;"/>
    <numFmt numFmtId="287" formatCode="_-* #,##0\ _F_-;\-* #,##0\ _F_-;_-* &quot;-&quot;\ _F_-;_-@_-"/>
    <numFmt numFmtId="288" formatCode="&quot;?&quot;#,##0;&quot;?&quot;\-#,##0"/>
    <numFmt numFmtId="289" formatCode="_ * #,##0.00_ ;_ * \-#,##0.00_ ;_ * &quot;-&quot;??_ ;_ @_ "/>
    <numFmt numFmtId="290" formatCode="_ * #,##0_ ;_ * \-#,##0_ ;_ * &quot;-&quot;_ ;_ @_ "/>
    <numFmt numFmtId="291" formatCode="_(&quot;$&quot;&quot;*&quot;\ #,##0_);_(&quot;$&quot;&quot;*&quot;\ \(#,##0\);_(&quot;$&quot;&quot;*&quot;\ &quot;-&quot;_);_(@_)"/>
    <numFmt numFmtId="292" formatCode="_-* #,##0\ &quot;$&quot;_-;\-* #,##0\ &quot;$&quot;_-;_-* &quot;-&quot;\ &quot;$&quot;_-;_-@_-"/>
    <numFmt numFmtId="293" formatCode="_-&quot;*&quot;\ #,##0\ &quot;$&quot;_-;\-&quot;*&quot;\ #,##0\ &quot;$&quot;_-;_-&quot;*&quot;\ &quot;-&quot;\ &quot;$&quot;_-;_-@_-"/>
    <numFmt numFmtId="294" formatCode="_-&quot;*&quot;\ #,##0\ &quot;F&quot;_-;\-&quot;*&quot;\ #,##0\ &quot;F&quot;_-;_-&quot;*&quot;\ &quot;-&quot;\ &quot;F&quot;_-;_-@_-"/>
    <numFmt numFmtId="295" formatCode="_-&quot;$&quot;&quot;*&quot;\ #,##0_-;\-&quot;$&quot;&quot;*&quot;\ #,##0_-;_-&quot;$&quot;&quot;*&quot;\ &quot;-&quot;_-;_-@_-"/>
    <numFmt numFmtId="296" formatCode="_-&quot;ñ&quot;* #,##0_-;\-&quot;ñ&quot;* #,##0_-;_-&quot;ñ&quot;* &quot;-&quot;_-;_-@_-"/>
    <numFmt numFmtId="297" formatCode="_-&quot;ñ&quot;&quot;*&quot;\ #,##0_-;\-&quot;ñ&quot;&quot;*&quot;\ #,##0_-;_-&quot;ñ&quot;&quot;*&quot;\ &quot;-&quot;_-;_-@_-"/>
    <numFmt numFmtId="298" formatCode="_-&quot;*&quot;\ #,##0.00_-;\-&quot;*&quot;\ #,##0.00_-;_-&quot;*&quot;\ &quot;-&quot;??_-;_-@_-"/>
    <numFmt numFmtId="299" formatCode="_-* #,##0.00\ _V_N_D_-;\-* #,##0.00\ _V_N_D_-;_-* &quot;-&quot;??\ _V_N_D_-;_-@_-"/>
    <numFmt numFmtId="300" formatCode="_ &quot;*&quot;\ #,##0.00_ ;_ &quot;*&quot;\ \-#,##0.00_ ;_ &quot;*&quot;\ &quot;-&quot;??_ ;_ @_ "/>
    <numFmt numFmtId="301" formatCode="_-* #,##0.00\ _F_-;\-* #,##0.00\ _F_-;_-* &quot;-&quot;??\ _F_-;_-@_-"/>
    <numFmt numFmtId="302" formatCode="_-&quot;*&quot;\ #,##0.00\ _V_N_D_-;\-&quot;*&quot;\ #,##0.00\ _V_N_D_-;_-&quot;*&quot;\ &quot;-&quot;??\ _V_N_D_-;_-@_-"/>
    <numFmt numFmtId="303" formatCode="_-&quot;*&quot;\ #,##0.00\ _F_-;\-&quot;*&quot;\ #,##0.00\ _F_-;_-&quot;*&quot;\ &quot;-&quot;??\ _F_-;_-@_-"/>
    <numFmt numFmtId="304" formatCode="_-* #,##0.00\ _ñ_-;\-* #,##0.00\ _ñ_-;_-* &quot;-&quot;??\ _ñ_-;_-@_-"/>
    <numFmt numFmtId="305" formatCode="_-&quot;*&quot;\ #,##0.00\ _ñ_-;\-&quot;*&quot;\ #,##0.00\ _ñ_-;_-&quot;*&quot;\ &quot;-&quot;??\ _ñ_-;_-@_-"/>
    <numFmt numFmtId="306" formatCode="_-* #,##0.00\ _€_-;\-* #,##0.00\ _€_-;_-* &quot;-&quot;??\ _€_-;_-@_-"/>
    <numFmt numFmtId="307" formatCode="_-&quot;*&quot;\ #,##0.00\ _€_-;\-&quot;*&quot;\ #,##0.00\ _€_-;_-&quot;*&quot;\ &quot;-&quot;??\ _€_-;_-@_-"/>
    <numFmt numFmtId="308" formatCode="_-&quot;*&quot;\ #,##0_-;\-&quot;*&quot;\ #,##0_-;_-&quot;*&quot;\ &quot;-&quot;_-;_-@_-"/>
    <numFmt numFmtId="309" formatCode="_(&quot;$&quot;\ * #,##0_);_(&quot;$&quot;\ * \(#,##0\);_(&quot;$&quot;\ * &quot;-&quot;_);_(@_)"/>
    <numFmt numFmtId="310" formatCode="_(&quot;$&quot;\ &quot;*&quot;\ #,##0_);_(&quot;$&quot;\ &quot;*&quot;\ \(#,##0\);_(&quot;$&quot;\ &quot;*&quot;\ &quot;-&quot;_);_(@_)"/>
    <numFmt numFmtId="311" formatCode="_-* #,##0\ &quot;ñ&quot;_-;\-* #,##0\ &quot;ñ&quot;_-;_-* &quot;-&quot;\ &quot;ñ&quot;_-;_-@_-"/>
    <numFmt numFmtId="312" formatCode="_-&quot;*&quot;\ #,##0\ &quot;ñ&quot;_-;\-&quot;*&quot;\ #,##0\ &quot;ñ&quot;_-;_-&quot;*&quot;\ &quot;-&quot;\ &quot;ñ&quot;_-;_-@_-"/>
    <numFmt numFmtId="313" formatCode="_-* #,##0\ _V_N_D_-;\-* #,##0\ _V_N_D_-;_-* &quot;-&quot;\ _V_N_D_-;_-@_-"/>
    <numFmt numFmtId="314" formatCode="_ &quot;*&quot;\ #,##0_ ;_ &quot;*&quot;\ \-#,##0_ ;_ &quot;*&quot;\ &quot;-&quot;_ ;_ @_ "/>
    <numFmt numFmtId="315" formatCode="_-&quot;*&quot;\ #,##0\ _V_N_D_-;\-&quot;*&quot;\ #,##0\ _V_N_D_-;_-&quot;*&quot;\ &quot;-&quot;\ _V_N_D_-;_-@_-"/>
    <numFmt numFmtId="316" formatCode="_-&quot;*&quot;\ #,##0\ _F_-;\-&quot;*&quot;\ #,##0\ _F_-;_-&quot;*&quot;\ &quot;-&quot;\ _F_-;_-@_-"/>
    <numFmt numFmtId="317" formatCode="_-* #,##0\ _$_-;\-* #,##0\ _$_-;_-* &quot;-&quot;\ _$_-;_-@_-"/>
    <numFmt numFmtId="318" formatCode="_-&quot;*&quot;\ #,##0\ _$_-;\-&quot;*&quot;\ #,##0\ _$_-;_-&quot;*&quot;\ &quot;-&quot;\ _$_-;_-@_-"/>
    <numFmt numFmtId="319" formatCode="_-* #,##0\ _ñ_-;\-* #,##0\ _ñ_-;_-* &quot;-&quot;\ _ñ_-;_-@_-"/>
    <numFmt numFmtId="320" formatCode="_-&quot;*&quot;\ #,##0\ _ñ_-;\-&quot;*&quot;\ #,##0\ _ñ_-;_-&quot;*&quot;\ &quot;-&quot;\ _ñ_-;_-@_-"/>
    <numFmt numFmtId="321" formatCode="_-* #,##0\ _€_-;\-* #,##0\ _€_-;_-* &quot;-&quot;\ _€_-;_-@_-"/>
    <numFmt numFmtId="322" formatCode="_-&quot;*&quot;\ #,##0\ _€_-;\-&quot;*&quot;\ #,##0\ _€_-;_-&quot;*&quot;\ &quot;-&quot;\ _€_-;_-@_-"/>
    <numFmt numFmtId="323" formatCode="#,##0;\-#,##0;&quot;-&quot;"/>
    <numFmt numFmtId="324" formatCode="&quot;$&quot;#,##0.00;[Red]\-&quot;$&quot;#,##0.00"/>
    <numFmt numFmtId="325" formatCode="&quot;$&quot;#,##0_%_);\(&quot;$&quot;#,##0\)_%;&quot;$&quot;#,##0_%_);@_%_)"/>
    <numFmt numFmtId="326" formatCode="&quot;$&quot;#,##0.00_%_);\(&quot;$&quot;#,##0.00\)_%;&quot;$&quot;#,##0.00_%_);@_%_)"/>
    <numFmt numFmtId="327" formatCode="0_%_);\(0\)_%;0_%_);@_%_)"/>
    <numFmt numFmtId="328" formatCode="0.0\%_);\(0.0\%\);0.0\%_);@_%_)"/>
    <numFmt numFmtId="329" formatCode="mm/dd/yy"/>
    <numFmt numFmtId="330" formatCode="#,##0_);[Red]\(#,##0\);\ \ \-\ \ \ \ \ "/>
    <numFmt numFmtId="331" formatCode="&quot;\&quot;#,##0;[Red]\-&quot;\&quot;#,##0"/>
    <numFmt numFmtId="332" formatCode="&quot;£&quot;#,##0_);\(&quot;£&quot;#,##0\)"/>
    <numFmt numFmtId="333" formatCode="#,##0\ ;[Red]\(#,##0\);&quot;      -     &quot;"/>
    <numFmt numFmtId="334" formatCode="#,##0_);[Red]\(#,##0\);&quot;     -      &quot;"/>
    <numFmt numFmtId="335" formatCode="_-&quot;RM&quot;* #,##0_-;\-&quot;RM&quot;* #,##0_-;_-&quot;RM&quot;* &quot;-&quot;_-;_-@_-"/>
    <numFmt numFmtId="336" formatCode="#,###"/>
    <numFmt numFmtId="337" formatCode="_-* #,##0.0\ _F_-;\-* #,##0.0\ _F_-;_-* &quot;-&quot;??\ _F_-;_-@_-"/>
    <numFmt numFmtId="338" formatCode="&quot;$&quot;#,##0.00_);\(&quot;$&quot;#,##0.00\);"/>
    <numFmt numFmtId="339" formatCode="_(&quot;€&quot;* #,##0.00_);_(&quot;€&quot;* \(#,##0.00\);_(&quot;€&quot;* &quot;-&quot;??_);_(@_)"/>
    <numFmt numFmtId="340" formatCode="&quot;€&quot;#,##0.00_);[Red]\(&quot;€&quot;#,##0.00\)"/>
    <numFmt numFmtId="341" formatCode="_(&quot;€&quot;* #,##0_);_(&quot;€&quot;* \(#,##0\);_(&quot;€&quot;* &quot;-&quot;_);_(@_)"/>
    <numFmt numFmtId="342" formatCode="_-* #,##0\ _₫_-;\-* #,##0\ _₫_-;_-* &quot;-&quot;\ _₫_-;_-@_-"/>
    <numFmt numFmtId="343" formatCode="_(* #,##0.0000_);_(* \(#,##0.0000\);_(* &quot;-&quot;??_);_(@_)"/>
    <numFmt numFmtId="344" formatCode="_ * #,##0.00_)\ _$_ ;_ * \(#,##0.00\)\ _$_ ;_ * &quot;-&quot;??_)\ _$_ ;_ @_ "/>
    <numFmt numFmtId="345" formatCode="_(* #,##0.0000_);_(* \(#,##0.0000\);_(* \-??_);_(@_)"/>
    <numFmt numFmtId="346" formatCode="_(* #,##0.0_);_(* \(#,##0.0\);_(* &quot;-&quot;?_);_(@_)"/>
    <numFmt numFmtId="347" formatCode="0.00000000000000"/>
  </numFmts>
  <fonts count="38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indexed="8"/>
      <name val="SWISS"/>
    </font>
    <font>
      <sz val="12"/>
      <name val="Garamond"/>
      <family val="1"/>
    </font>
    <font>
      <b/>
      <u/>
      <sz val="14"/>
      <color indexed="8"/>
      <name val=".VnBook-AntiquaH"/>
      <family val="2"/>
    </font>
    <font>
      <sz val="10"/>
      <name val="VnTimes"/>
      <family val="2"/>
    </font>
    <font>
      <i/>
      <sz val="12"/>
      <color indexed="8"/>
      <name val=".VnBook-AntiquaH"/>
      <family val="2"/>
    </font>
    <font>
      <sz val="11"/>
      <color indexed="8"/>
      <name val="Arial"/>
      <family val="2"/>
    </font>
    <font>
      <b/>
      <sz val="12"/>
      <color indexed="8"/>
      <name val=".VnBook-Antiqua"/>
      <family val="2"/>
    </font>
    <font>
      <i/>
      <sz val="12"/>
      <color indexed="8"/>
      <name val=".VnBook-Antiqua"/>
      <family val="2"/>
    </font>
    <font>
      <sz val="11"/>
      <color indexed="9"/>
      <name val="Arial"/>
      <family val="2"/>
    </font>
    <font>
      <sz val="10"/>
      <name val="Palatino"/>
      <family val="1"/>
    </font>
    <font>
      <b/>
      <sz val="10"/>
      <name val="Palatino"/>
      <family val="1"/>
    </font>
    <font>
      <sz val="11"/>
      <color indexed="8"/>
      <name val="Calibri"/>
      <family val="2"/>
    </font>
    <font>
      <sz val="11"/>
      <color indexed="9"/>
      <name val="Calibri"/>
      <family val="2"/>
    </font>
    <font>
      <sz val="8"/>
      <name val="Times New Roman"/>
      <family val="1"/>
    </font>
    <font>
      <sz val="8"/>
      <name val="Franklin Gothic Book"/>
      <family val="2"/>
    </font>
    <font>
      <sz val="11"/>
      <name val="Book Antiqua"/>
      <family val="1"/>
    </font>
    <font>
      <sz val="11"/>
      <color indexed="20"/>
      <name val="Arial"/>
      <family val="2"/>
    </font>
    <font>
      <sz val="10"/>
      <color indexed="12"/>
      <name val="Arial"/>
      <family val="2"/>
    </font>
    <font>
      <sz val="12"/>
      <name val="Times New Roman"/>
      <family val="1"/>
    </font>
    <font>
      <sz val="12"/>
      <name val="¹UAAA¼"/>
      <family val="3"/>
    </font>
    <font>
      <sz val="12"/>
      <name val="Arial"/>
      <family val="2"/>
    </font>
    <font>
      <sz val="10"/>
      <color indexed="8"/>
      <name val="Arial"/>
      <family val="2"/>
    </font>
    <font>
      <b/>
      <sz val="11"/>
      <color indexed="52"/>
      <name val="Arial"/>
      <family val="2"/>
    </font>
    <font>
      <b/>
      <sz val="10"/>
      <name val="Arial"/>
      <family val="2"/>
    </font>
    <font>
      <sz val="10"/>
      <name val="MS Sans Serif"/>
      <family val="2"/>
    </font>
    <font>
      <b/>
      <sz val="11"/>
      <color indexed="9"/>
      <name val="Arial"/>
      <family val="2"/>
    </font>
    <font>
      <sz val="10"/>
      <name val="VNI-Aptima"/>
      <family val="2"/>
    </font>
    <font>
      <sz val="11"/>
      <name val="Times New Roman"/>
      <family val="1"/>
    </font>
    <font>
      <sz val="10"/>
      <name val="MS Serif"/>
      <family val="1"/>
    </font>
    <font>
      <sz val="10"/>
      <name val="Courier New"/>
      <family val="3"/>
    </font>
    <font>
      <b/>
      <sz val="10"/>
      <name val="Times New Roman"/>
      <family val="1"/>
    </font>
    <font>
      <sz val="10"/>
      <name val="Times New Roman"/>
      <family val="1"/>
    </font>
    <font>
      <sz val="10"/>
      <color indexed="14"/>
      <name val="Times New Roman"/>
      <family val="1"/>
    </font>
    <font>
      <sz val="10"/>
      <color indexed="20"/>
      <name val="Times New Roman"/>
      <family val="1"/>
    </font>
    <font>
      <sz val="12"/>
      <color indexed="8"/>
      <name val="SWISS"/>
    </font>
    <font>
      <b/>
      <sz val="11"/>
      <color indexed="8"/>
      <name val="Calibri"/>
      <family val="2"/>
    </font>
    <font>
      <sz val="24"/>
      <color indexed="13"/>
      <name val="SWISS"/>
    </font>
    <font>
      <sz val="10"/>
      <color indexed="16"/>
      <name val="MS Serif"/>
      <family val="1"/>
    </font>
    <font>
      <i/>
      <sz val="11"/>
      <color indexed="23"/>
      <name val="Arial"/>
      <family val="2"/>
    </font>
    <font>
      <sz val="18"/>
      <color indexed="24"/>
      <name val="Times New Roman"/>
      <family val="1"/>
    </font>
    <font>
      <sz val="8"/>
      <color indexed="24"/>
      <name val="Times New Roman"/>
      <family val="1"/>
    </font>
    <font>
      <i/>
      <sz val="12"/>
      <color indexed="24"/>
      <name val="Times New Roman"/>
      <family val="1"/>
    </font>
    <font>
      <sz val="12"/>
      <color indexed="24"/>
      <name val="Arial"/>
      <family val="2"/>
    </font>
    <font>
      <sz val="8"/>
      <color indexed="24"/>
      <name val="Arial"/>
      <family val="2"/>
    </font>
    <font>
      <i/>
      <sz val="12"/>
      <color indexed="24"/>
      <name val="Arial"/>
      <family val="2"/>
    </font>
    <font>
      <sz val="7"/>
      <name val="Palatino"/>
      <family val="1"/>
    </font>
    <font>
      <b/>
      <sz val="14"/>
      <color indexed="8"/>
      <name val="SWISS"/>
    </font>
    <font>
      <sz val="11"/>
      <color indexed="17"/>
      <name val="Arial"/>
      <family val="2"/>
    </font>
    <font>
      <sz val="8"/>
      <name val="Arial"/>
      <family val="2"/>
    </font>
    <font>
      <b/>
      <sz val="11"/>
      <name val="Times New Roman"/>
      <family val="1"/>
    </font>
    <font>
      <b/>
      <sz val="12"/>
      <name val="Arial"/>
      <family val="2"/>
    </font>
    <font>
      <b/>
      <sz val="15"/>
      <color indexed="56"/>
      <name val="Arial"/>
      <family val="2"/>
    </font>
    <font>
      <b/>
      <sz val="13"/>
      <color indexed="56"/>
      <name val="Arial"/>
      <family val="2"/>
    </font>
    <font>
      <b/>
      <sz val="11"/>
      <color indexed="56"/>
      <name val="Arial"/>
      <family val="2"/>
    </font>
    <font>
      <b/>
      <sz val="10"/>
      <name val=".VnTime"/>
      <family val="2"/>
    </font>
    <font>
      <sz val="8"/>
      <color indexed="12"/>
      <name val="Arial"/>
      <family val="2"/>
    </font>
    <font>
      <b/>
      <sz val="14"/>
      <name val=".VnTimeH"/>
      <family val="2"/>
    </font>
    <font>
      <sz val="10"/>
      <name val="Book Antiqua"/>
      <family val="1"/>
    </font>
    <font>
      <sz val="11"/>
      <color indexed="62"/>
      <name val="Arial"/>
      <family val="2"/>
    </font>
    <font>
      <b/>
      <sz val="14"/>
      <name val="Arial"/>
      <family val="2"/>
    </font>
    <font>
      <sz val="11"/>
      <color indexed="52"/>
      <name val="Arial"/>
      <family val="2"/>
    </font>
    <font>
      <sz val="12"/>
      <color indexed="9"/>
      <name val="Arial"/>
      <family val="2"/>
    </font>
    <font>
      <b/>
      <sz val="11"/>
      <name val="Arial"/>
      <family val="2"/>
    </font>
    <font>
      <sz val="9"/>
      <name val="VNI-Helve-Condense"/>
    </font>
    <font>
      <sz val="11"/>
      <color indexed="60"/>
      <name val="Arial"/>
      <family val="2"/>
    </font>
    <font>
      <sz val="7"/>
      <name val="Small Fonts"/>
      <family val="2"/>
    </font>
    <font>
      <b/>
      <i/>
      <sz val="16"/>
      <name val="Arial"/>
      <family val="2"/>
    </font>
    <font>
      <sz val="12"/>
      <name val="바탕체"/>
      <family val="1"/>
    </font>
    <font>
      <sz val="12"/>
      <name val="新細明體"/>
      <family val="1"/>
      <charset val="136"/>
    </font>
    <font>
      <sz val="10"/>
      <color indexed="8"/>
      <name val="MS Sans Serif"/>
      <family val="2"/>
    </font>
    <font>
      <sz val="12"/>
      <color indexed="8"/>
      <name val="Arial"/>
      <family val="2"/>
    </font>
    <font>
      <sz val="11"/>
      <color indexed="8"/>
      <name val="Arial"/>
      <family val="2"/>
    </font>
    <font>
      <b/>
      <sz val="11"/>
      <color indexed="63"/>
      <name val="Arial"/>
      <family val="2"/>
    </font>
    <font>
      <b/>
      <sz val="10"/>
      <color indexed="9"/>
      <name val="Arial"/>
      <family val="2"/>
    </font>
    <font>
      <sz val="10"/>
      <color indexed="16"/>
      <name val="Helvetica-Black"/>
    </font>
    <font>
      <sz val="12"/>
      <color indexed="8"/>
      <name val="Times New Roman"/>
      <family val="1"/>
    </font>
    <font>
      <sz val="10"/>
      <name val="Arial MT"/>
    </font>
    <font>
      <sz val="10"/>
      <color indexed="14"/>
      <name val="Arial"/>
      <family val="2"/>
    </font>
    <font>
      <b/>
      <sz val="10"/>
      <name val="MS Sans Serif"/>
      <family val="2"/>
    </font>
    <font>
      <b/>
      <i/>
      <sz val="8"/>
      <name val="Arial"/>
      <family val="2"/>
    </font>
    <font>
      <b/>
      <sz val="8.25"/>
      <name val="Arial"/>
      <family val="2"/>
    </font>
    <font>
      <b/>
      <sz val="18"/>
      <color indexed="62"/>
      <name val="Cambria"/>
      <family val="2"/>
    </font>
    <font>
      <b/>
      <sz val="9"/>
      <name val="Arial"/>
      <family val="2"/>
    </font>
    <font>
      <i/>
      <sz val="10"/>
      <name val="Arial"/>
      <family val="2"/>
    </font>
    <font>
      <sz val="10"/>
      <color indexed="10"/>
      <name val="Arial"/>
      <family val="2"/>
    </font>
    <font>
      <sz val="10"/>
      <color indexed="8"/>
      <name val="Tahoma"/>
      <family val="2"/>
    </font>
    <font>
      <sz val="10"/>
      <name val="Arial"/>
      <family val="2"/>
    </font>
    <font>
      <sz val="10"/>
      <name val="Arial"/>
      <family val="2"/>
    </font>
    <font>
      <sz val="10"/>
      <color indexed="8"/>
      <name val="ARIAL"/>
      <family val="2"/>
      <charset val="1"/>
    </font>
    <font>
      <sz val="12"/>
      <name val="VNI-Times"/>
    </font>
    <font>
      <sz val="8"/>
      <color indexed="8"/>
      <name val="Tahoma"/>
      <family val="2"/>
    </font>
    <font>
      <sz val="10"/>
      <color indexed="8"/>
      <name val="SWISS"/>
      <family val="2"/>
    </font>
    <font>
      <sz val="10"/>
      <name val="Arial"/>
      <family val="2"/>
    </font>
    <font>
      <sz val="10"/>
      <color theme="0"/>
      <name val="Arial"/>
      <family val="2"/>
    </font>
    <font>
      <sz val="10"/>
      <name val="Arial"/>
      <family val="2"/>
    </font>
    <font>
      <b/>
      <sz val="10"/>
      <color rgb="FFFF0000"/>
      <name val="Arial"/>
      <family val="2"/>
    </font>
    <font>
      <sz val="11"/>
      <color indexed="8"/>
      <name val="Calibri"/>
      <family val="2"/>
      <charset val="1"/>
    </font>
    <font>
      <sz val="11"/>
      <color indexed="8"/>
      <name val="Calibri"/>
      <family val="2"/>
      <charset val="204"/>
    </font>
    <font>
      <sz val="11"/>
      <color indexed="9"/>
      <name val="Calibri"/>
      <family val="2"/>
      <charset val="1"/>
    </font>
    <font>
      <sz val="11"/>
      <color indexed="9"/>
      <name val="Calibri"/>
      <family val="2"/>
      <charset val="204"/>
    </font>
    <font>
      <sz val="10"/>
      <name val="Arial"/>
      <family val="2"/>
      <charset val="1"/>
    </font>
    <font>
      <sz val="11"/>
      <color indexed="20"/>
      <name val="Calibri"/>
      <family val="2"/>
      <charset val="1"/>
    </font>
    <font>
      <b/>
      <sz val="11"/>
      <color indexed="52"/>
      <name val="Calibri"/>
      <family val="2"/>
      <charset val="1"/>
    </font>
    <font>
      <b/>
      <sz val="11"/>
      <color indexed="9"/>
      <name val="Calibri"/>
      <family val="2"/>
      <charset val="1"/>
    </font>
    <font>
      <b/>
      <sz val="9"/>
      <name val="Arial"/>
      <family val="2"/>
      <charset val="1"/>
    </font>
    <font>
      <i/>
      <sz val="11"/>
      <color indexed="23"/>
      <name val="Calibri"/>
      <family val="2"/>
      <charset val="1"/>
    </font>
    <font>
      <sz val="11"/>
      <color indexed="17"/>
      <name val="Calibri"/>
      <family val="2"/>
      <charset val="1"/>
    </font>
    <font>
      <b/>
      <sz val="15"/>
      <color indexed="56"/>
      <name val="Calibri"/>
      <family val="2"/>
      <charset val="1"/>
    </font>
    <font>
      <b/>
      <sz val="13"/>
      <color indexed="56"/>
      <name val="Calibri"/>
      <family val="2"/>
      <charset val="1"/>
    </font>
    <font>
      <b/>
      <sz val="11"/>
      <color indexed="56"/>
      <name val="Calibri"/>
      <family val="2"/>
      <charset val="1"/>
    </font>
    <font>
      <sz val="11"/>
      <color indexed="62"/>
      <name val="Calibri"/>
      <family val="2"/>
      <charset val="1"/>
    </font>
    <font>
      <sz val="11"/>
      <color indexed="52"/>
      <name val="Calibri"/>
      <family val="2"/>
      <charset val="1"/>
    </font>
    <font>
      <sz val="11"/>
      <color indexed="60"/>
      <name val="Calibri"/>
      <family val="2"/>
      <charset val="1"/>
    </font>
    <font>
      <sz val="12"/>
      <name val="宋体"/>
      <charset val="1"/>
    </font>
    <font>
      <sz val="8"/>
      <name val="Times New Roman"/>
      <family val="1"/>
      <charset val="1"/>
    </font>
    <font>
      <sz val="12"/>
      <name val="Times New Roman"/>
      <family val="1"/>
      <charset val="1"/>
    </font>
    <font>
      <sz val="10"/>
      <color indexed="8"/>
      <name val="MS Sans Serif"/>
      <family val="2"/>
      <charset val="1"/>
    </font>
    <font>
      <b/>
      <sz val="11"/>
      <color indexed="63"/>
      <name val="Calibri"/>
      <family val="2"/>
      <charset val="1"/>
    </font>
    <font>
      <b/>
      <sz val="14"/>
      <name val="Arial"/>
      <family val="2"/>
      <charset val="1"/>
    </font>
    <font>
      <b/>
      <sz val="18"/>
      <color indexed="56"/>
      <name val="Cambria"/>
      <family val="2"/>
      <charset val="1"/>
    </font>
    <font>
      <b/>
      <sz val="11"/>
      <color indexed="8"/>
      <name val="Calibri"/>
      <family val="2"/>
      <charset val="1"/>
    </font>
    <font>
      <sz val="11"/>
      <color indexed="10"/>
      <name val="Calibri"/>
      <family val="2"/>
      <charset val="1"/>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10"/>
      <name val="Arial"/>
      <family val="2"/>
    </font>
    <font>
      <sz val="10"/>
      <color rgb="FFFF0000"/>
      <name val="Arial"/>
      <family val="2"/>
    </font>
    <font>
      <sz val="10"/>
      <name val="Arial"/>
      <family val="2"/>
    </font>
    <font>
      <sz val="10"/>
      <name val="VNI-Helve"/>
    </font>
    <font>
      <sz val="11"/>
      <color theme="1"/>
      <name val="Arial"/>
      <family val="2"/>
    </font>
    <font>
      <sz val="12"/>
      <color theme="1"/>
      <name val="VNI-Times"/>
      <family val="2"/>
    </font>
    <font>
      <sz val="12"/>
      <color theme="1"/>
      <name val="Times New Roman"/>
      <family val="2"/>
    </font>
    <font>
      <sz val="11"/>
      <name val="VNI-Helve"/>
    </font>
    <font>
      <sz val="11"/>
      <name val="VNI-Helve"/>
      <family val="2"/>
    </font>
    <font>
      <b/>
      <i/>
      <sz val="10"/>
      <name val="Arial"/>
      <family val="2"/>
    </font>
    <font>
      <sz val="10"/>
      <name val="VNI-Times"/>
    </font>
    <font>
      <sz val="10"/>
      <name val="Helv"/>
      <family val="2"/>
    </font>
    <font>
      <sz val="10"/>
      <color indexed="12"/>
      <name val="Helvetica"/>
      <family val="2"/>
    </font>
    <font>
      <sz val="12"/>
      <name val="Tms Rmn"/>
    </font>
    <font>
      <sz val="12"/>
      <name val="Helv"/>
    </font>
    <font>
      <b/>
      <sz val="10"/>
      <name val="Helv"/>
    </font>
    <font>
      <sz val="10"/>
      <name val="Courier"/>
      <family val="3"/>
    </font>
    <font>
      <b/>
      <sz val="10"/>
      <name val="Tms Rmn"/>
    </font>
    <font>
      <sz val="12"/>
      <color indexed="24"/>
      <name val="Times New Roman"/>
      <family val="1"/>
    </font>
    <font>
      <b/>
      <sz val="12"/>
      <name val=".VnBook-AntiquaH"/>
      <family val="2"/>
    </font>
    <font>
      <b/>
      <sz val="12"/>
      <name val="Helv"/>
    </font>
    <font>
      <sz val="8"/>
      <color indexed="12"/>
      <name val="Helv"/>
    </font>
    <font>
      <u/>
      <sz val="12"/>
      <color indexed="12"/>
      <name val="Arial"/>
      <family val="2"/>
    </font>
    <font>
      <u/>
      <sz val="10"/>
      <color indexed="12"/>
      <name val="Arial"/>
      <family val="2"/>
    </font>
    <font>
      <b/>
      <sz val="14"/>
      <name val="Helv"/>
    </font>
    <font>
      <b/>
      <sz val="11"/>
      <name val="Helv"/>
    </font>
    <font>
      <sz val="12"/>
      <name val=".VnTime"/>
      <family val="2"/>
    </font>
    <font>
      <b/>
      <sz val="12"/>
      <name val="VN-NTime"/>
      <family val="2"/>
    </font>
    <font>
      <sz val="12"/>
      <name val="???"/>
      <family val="1"/>
      <charset val="129"/>
    </font>
    <font>
      <sz val="12"/>
      <name val="바탕체"/>
      <family val="1"/>
      <charset val="129"/>
    </font>
    <font>
      <sz val="12"/>
      <name val="????"/>
      <family val="1"/>
      <charset val="136"/>
    </font>
    <font>
      <sz val="10"/>
      <name val="Arial"/>
      <family val="2"/>
      <charset val="163"/>
    </font>
    <font>
      <sz val="11"/>
      <name val="Times New Roman"/>
      <family val="1"/>
      <charset val="163"/>
    </font>
    <font>
      <sz val="8"/>
      <name val="Helv"/>
    </font>
    <font>
      <sz val="10"/>
      <color indexed="14"/>
      <name val="Helvetica"/>
      <family val="2"/>
    </font>
    <font>
      <b/>
      <sz val="8"/>
      <name val="Univers Condensed"/>
      <family val="2"/>
    </font>
    <font>
      <b/>
      <sz val="8.25"/>
      <name val="Helv"/>
    </font>
    <font>
      <sz val="13"/>
      <name val=".VnTime"/>
      <family val="2"/>
    </font>
    <font>
      <b/>
      <sz val="9"/>
      <name val="Palatino"/>
      <family val="1"/>
    </font>
    <font>
      <sz val="9"/>
      <color indexed="21"/>
      <name val="Helvetica-Black"/>
    </font>
    <font>
      <sz val="9"/>
      <name val="Helvetica-Black"/>
    </font>
    <font>
      <sz val="12"/>
      <name val="VNTime"/>
      <family val="2"/>
    </font>
    <font>
      <sz val="24"/>
      <color indexed="13"/>
      <name val="Helv"/>
    </font>
    <font>
      <sz val="12"/>
      <color indexed="13"/>
      <name val="Helv"/>
    </font>
    <font>
      <b/>
      <i/>
      <sz val="16"/>
      <color indexed="48"/>
      <name val="Photina Casual Black"/>
      <family val="1"/>
    </font>
    <font>
      <sz val="8"/>
      <name val="Univers Condensed"/>
      <family val="2"/>
    </font>
    <font>
      <sz val="10"/>
      <name val="VNtimes new roman"/>
      <family val="2"/>
    </font>
    <font>
      <b/>
      <sz val="12"/>
      <name val=".VnTime"/>
      <family val="2"/>
    </font>
    <font>
      <b/>
      <sz val="16"/>
      <name val=".VnTime"/>
      <family val="2"/>
    </font>
    <font>
      <sz val="9"/>
      <name val=".VnTime"/>
      <family val="2"/>
    </font>
    <font>
      <sz val="14"/>
      <name val=".VnArial"/>
      <family val="2"/>
    </font>
    <font>
      <sz val="9"/>
      <color indexed="81"/>
      <name val="Tahoma"/>
      <family val="2"/>
    </font>
    <font>
      <b/>
      <sz val="9"/>
      <color indexed="81"/>
      <name val="Tahoma"/>
      <family val="2"/>
    </font>
    <font>
      <sz val="10"/>
      <name val="Geneva"/>
    </font>
    <font>
      <sz val="9"/>
      <name val="Futura Bk BT"/>
    </font>
    <font>
      <sz val="12"/>
      <name val="Helv"/>
      <family val="2"/>
    </font>
    <font>
      <sz val="12"/>
      <name val="VNtimes new roman"/>
      <family val="2"/>
    </font>
    <font>
      <sz val="11"/>
      <name val="??"/>
      <family val="3"/>
    </font>
    <font>
      <sz val="10"/>
      <color indexed="12"/>
      <name val="Helvetica"/>
    </font>
    <font>
      <sz val="11"/>
      <name val="Tms Rmn"/>
    </font>
    <font>
      <sz val="8"/>
      <name val="Palatino"/>
      <family val="1"/>
    </font>
    <font>
      <b/>
      <sz val="11.05"/>
      <color indexed="8"/>
      <name val="Times New Roman"/>
      <family val="1"/>
    </font>
    <font>
      <sz val="12"/>
      <color indexed="9"/>
      <name val="Helv"/>
      <family val="2"/>
    </font>
    <font>
      <b/>
      <i/>
      <sz val="16"/>
      <name val="Helv"/>
    </font>
    <font>
      <sz val="11"/>
      <name val="VNI-Aptima"/>
    </font>
    <font>
      <sz val="10"/>
      <color indexed="14"/>
      <name val="Helvetica"/>
    </font>
    <font>
      <sz val="10"/>
      <name val="Tms Rmn"/>
      <family val="1"/>
    </font>
    <font>
      <sz val="10"/>
      <name val="VNbook-Antiqua"/>
    </font>
    <font>
      <b/>
      <sz val="8"/>
      <name val="Arial"/>
      <family val="2"/>
    </font>
    <font>
      <b/>
      <sz val="8"/>
      <color indexed="8"/>
      <name val="Helv"/>
    </font>
    <font>
      <sz val="10"/>
      <name val="VNI-Centur"/>
    </font>
    <font>
      <b/>
      <sz val="8"/>
      <name val="VN Helvetica"/>
      <family val="2"/>
    </font>
    <font>
      <b/>
      <sz val="10"/>
      <name val="VN AvantGBook"/>
      <family val="2"/>
    </font>
    <font>
      <sz val="10"/>
      <name val=".VnTime"/>
      <family val="2"/>
    </font>
    <font>
      <u/>
      <sz val="11"/>
      <color indexed="12"/>
      <name val="Calibri"/>
      <family val="2"/>
    </font>
    <font>
      <u/>
      <sz val="11"/>
      <color theme="10"/>
      <name val="Calibri"/>
      <family val="2"/>
      <scheme val="minor"/>
    </font>
    <font>
      <sz val="10"/>
      <name val="Arial"/>
      <family val="2"/>
      <charset val="128"/>
    </font>
    <font>
      <sz val="10"/>
      <name val=".VnAvant"/>
      <family val="2"/>
    </font>
    <font>
      <sz val="11"/>
      <color indexed="32"/>
      <name val="VNI-Times"/>
    </font>
    <font>
      <sz val="11"/>
      <color theme="1"/>
      <name val="Calibri"/>
      <family val="2"/>
      <charset val="129"/>
      <scheme val="minor"/>
    </font>
    <font>
      <sz val="14"/>
      <name val=".VnTime"/>
      <family val="2"/>
    </font>
    <font>
      <b/>
      <sz val="9"/>
      <color theme="3"/>
      <name val="Calibri"/>
      <family val="2"/>
      <scheme val="minor"/>
    </font>
    <font>
      <sz val="9"/>
      <color theme="3" tint="0.24994659260841701"/>
      <name val="Calibri"/>
      <family val="2"/>
      <scheme val="minor"/>
    </font>
    <font>
      <sz val="12"/>
      <color theme="1"/>
      <name val="Times New Roman"/>
      <family val="2"/>
      <charset val="163"/>
    </font>
    <font>
      <sz val="9"/>
      <color theme="3"/>
      <name val="Calibri"/>
      <family val="2"/>
      <scheme val="minor"/>
    </font>
    <font>
      <sz val="9"/>
      <color theme="3" tint="0.749961851863155"/>
      <name val="Calibri"/>
      <family val="2"/>
      <scheme val="minor"/>
    </font>
    <font>
      <sz val="8"/>
      <color theme="4"/>
      <name val="Calibri"/>
      <family val="2"/>
      <scheme val="minor"/>
    </font>
    <font>
      <b/>
      <sz val="9"/>
      <color theme="3" tint="0.24994659260841701"/>
      <name val="Calibri"/>
      <family val="2"/>
      <scheme val="minor"/>
    </font>
    <font>
      <sz val="11"/>
      <name val="VNI-Times"/>
    </font>
    <font>
      <sz val="10"/>
      <color theme="4"/>
      <name val="Calibri"/>
      <family val="2"/>
      <scheme val="minor"/>
    </font>
    <font>
      <sz val="25"/>
      <color theme="4"/>
      <name val="Cambria"/>
      <family val="2"/>
      <scheme val="major"/>
    </font>
    <font>
      <b/>
      <i/>
      <sz val="9"/>
      <color theme="3"/>
      <name val="Calibri"/>
      <family val="2"/>
      <scheme val="minor"/>
    </font>
    <font>
      <b/>
      <i/>
      <sz val="10"/>
      <color rgb="FF0000FF"/>
      <name val="Arial"/>
      <family val="2"/>
    </font>
    <font>
      <sz val="11"/>
      <color indexed="8"/>
      <name val="Calibri"/>
      <family val="2"/>
      <charset val="163"/>
    </font>
    <font>
      <u/>
      <sz val="12"/>
      <color indexed="12"/>
      <name val="Times New Roman"/>
      <family val="1"/>
    </font>
    <font>
      <b/>
      <sz val="20"/>
      <name val="Arial Narrow"/>
      <family val="2"/>
    </font>
    <font>
      <sz val="12"/>
      <name val="Arial Narrow"/>
      <family val="2"/>
    </font>
    <font>
      <sz val="13"/>
      <name val="Arial Narrow"/>
      <family val="2"/>
    </font>
    <font>
      <sz val="13"/>
      <color rgb="FFFF0000"/>
      <name val="Arial Narrow"/>
      <family val="2"/>
    </font>
    <font>
      <sz val="12"/>
      <color theme="0"/>
      <name val="Arial Narrow"/>
      <family val="2"/>
    </font>
    <font>
      <b/>
      <u/>
      <sz val="10"/>
      <name val="Arial"/>
      <family val="2"/>
    </font>
    <font>
      <b/>
      <vertAlign val="superscript"/>
      <sz val="10"/>
      <name val="Arial"/>
      <family val="2"/>
    </font>
    <font>
      <vertAlign val="superscript"/>
      <sz val="10"/>
      <name val="Arial"/>
      <family val="2"/>
    </font>
    <font>
      <sz val="10"/>
      <color rgb="FF0000FF"/>
      <name val="Arial"/>
      <family val="2"/>
    </font>
    <font>
      <i/>
      <vertAlign val="superscript"/>
      <sz val="10"/>
      <name val="Arial"/>
      <family val="2"/>
    </font>
    <font>
      <b/>
      <vertAlign val="subscript"/>
      <sz val="10"/>
      <name val="Arial"/>
      <family val="2"/>
    </font>
    <font>
      <sz val="13"/>
      <color theme="0"/>
      <name val="Arial Narrow"/>
      <family val="2"/>
    </font>
    <font>
      <sz val="14"/>
      <name val=".VnTime"/>
      <family val="2"/>
    </font>
    <font>
      <sz val="13"/>
      <name val="Aptos"/>
      <family val="2"/>
    </font>
    <font>
      <b/>
      <sz val="13"/>
      <color theme="1"/>
      <name val="Aptos"/>
      <family val="2"/>
    </font>
    <font>
      <sz val="13"/>
      <color theme="0" tint="-0.14999847407452621"/>
      <name val="Aptos"/>
      <family val="2"/>
    </font>
    <font>
      <b/>
      <sz val="13"/>
      <name val="Aptos"/>
      <family val="2"/>
    </font>
    <font>
      <b/>
      <sz val="13"/>
      <color theme="0"/>
      <name val="Aptos"/>
      <family val="2"/>
    </font>
    <font>
      <sz val="13"/>
      <color theme="0"/>
      <name val="Aptos"/>
      <family val="2"/>
    </font>
    <font>
      <i/>
      <sz val="13"/>
      <name val="Aptos"/>
      <family val="2"/>
    </font>
    <font>
      <b/>
      <i/>
      <sz val="13"/>
      <name val="Aptos"/>
      <family val="2"/>
    </font>
    <font>
      <i/>
      <sz val="13"/>
      <color theme="0"/>
      <name val="Aptos"/>
      <family val="2"/>
    </font>
    <font>
      <i/>
      <sz val="13"/>
      <color theme="0" tint="-0.14999847407452621"/>
      <name val="Aptos"/>
      <family val="2"/>
    </font>
    <font>
      <sz val="13"/>
      <color rgb="FF0000FF"/>
      <name val="Aptos"/>
      <family val="2"/>
    </font>
    <font>
      <b/>
      <sz val="13"/>
      <color theme="0" tint="-0.14999847407452621"/>
      <name val="Aptos"/>
      <family val="2"/>
    </font>
    <font>
      <sz val="10"/>
      <name val="Aptos"/>
      <family val="2"/>
    </font>
    <font>
      <b/>
      <sz val="13"/>
      <color rgb="FF0000FF"/>
      <name val="Aptos"/>
      <family val="2"/>
    </font>
    <font>
      <sz val="12"/>
      <color rgb="FF0000FF"/>
      <name val="Aptos"/>
      <family val="2"/>
    </font>
    <font>
      <i/>
      <sz val="13"/>
      <color rgb="FF0000FF"/>
      <name val="Aptos"/>
      <family val="2"/>
    </font>
    <font>
      <i/>
      <sz val="12"/>
      <color rgb="FF0000FF"/>
      <name val="Aptos"/>
      <family val="2"/>
    </font>
    <font>
      <b/>
      <sz val="20"/>
      <name val="Aptos"/>
      <family val="2"/>
    </font>
    <font>
      <b/>
      <sz val="9"/>
      <color indexed="10"/>
      <name val="Aptos"/>
      <family val="2"/>
    </font>
    <font>
      <b/>
      <sz val="9"/>
      <name val="Aptos"/>
      <family val="2"/>
    </font>
    <font>
      <b/>
      <sz val="12"/>
      <name val="Aptos"/>
      <family val="2"/>
    </font>
    <font>
      <b/>
      <sz val="12"/>
      <color indexed="10"/>
      <name val="Aptos"/>
      <family val="2"/>
    </font>
    <font>
      <sz val="12"/>
      <name val="Aptos"/>
      <family val="2"/>
    </font>
    <font>
      <i/>
      <sz val="12"/>
      <name val="Aptos"/>
      <family val="2"/>
    </font>
    <font>
      <b/>
      <sz val="12"/>
      <color rgb="FF0070C0"/>
      <name val="Aptos"/>
      <family val="2"/>
    </font>
    <font>
      <sz val="12"/>
      <color rgb="FF0070C0"/>
      <name val="Aptos"/>
      <family val="2"/>
    </font>
    <font>
      <b/>
      <sz val="11"/>
      <color rgb="FFFF0000"/>
      <name val="Aptos"/>
      <family val="2"/>
    </font>
    <font>
      <sz val="9"/>
      <name val="Aptos"/>
      <family val="2"/>
    </font>
    <font>
      <sz val="9"/>
      <color indexed="10"/>
      <name val="Aptos"/>
      <family val="2"/>
    </font>
    <font>
      <b/>
      <i/>
      <sz val="12"/>
      <color rgb="FF0000FF"/>
      <name val="Aptos"/>
      <family val="2"/>
    </font>
    <font>
      <b/>
      <sz val="12"/>
      <color theme="0"/>
      <name val="Aptos"/>
      <family val="2"/>
    </font>
    <font>
      <b/>
      <sz val="12"/>
      <color rgb="FFFF0000"/>
      <name val="Aptos"/>
      <family val="2"/>
    </font>
    <font>
      <sz val="11"/>
      <name val="Aptos"/>
      <family val="2"/>
    </font>
    <font>
      <b/>
      <sz val="18"/>
      <name val="Aptos"/>
      <family val="2"/>
    </font>
    <font>
      <b/>
      <sz val="14"/>
      <name val="Aptos"/>
      <family val="2"/>
    </font>
    <font>
      <sz val="14"/>
      <name val="Aptos"/>
      <family val="2"/>
    </font>
    <font>
      <sz val="20"/>
      <name val="Aptos"/>
      <family val="2"/>
    </font>
    <font>
      <b/>
      <u/>
      <sz val="14"/>
      <name val="Aptos"/>
      <family val="2"/>
    </font>
    <font>
      <b/>
      <sz val="13"/>
      <color rgb="FFFF0000"/>
      <name val="Aptos"/>
      <family val="2"/>
    </font>
    <font>
      <i/>
      <sz val="12"/>
      <color theme="0"/>
      <name val="Aptos"/>
      <family val="2"/>
    </font>
    <font>
      <sz val="12"/>
      <color indexed="9"/>
      <name val="Aptos"/>
      <family val="2"/>
    </font>
    <font>
      <sz val="13"/>
      <color rgb="FFFF0000"/>
      <name val="Aptos"/>
      <family val="2"/>
    </font>
    <font>
      <sz val="12"/>
      <color theme="0"/>
      <name val="Aptos"/>
      <family val="2"/>
    </font>
    <font>
      <sz val="12"/>
      <color rgb="FFFF0000"/>
      <name val="Aptos"/>
      <family val="2"/>
    </font>
    <font>
      <sz val="12"/>
      <color indexed="10"/>
      <name val="Aptos"/>
      <family val="2"/>
    </font>
    <font>
      <b/>
      <sz val="12"/>
      <color rgb="FF0033CC"/>
      <name val="Aptos"/>
      <family val="2"/>
    </font>
    <font>
      <b/>
      <i/>
      <sz val="12"/>
      <color rgb="FF0033CC"/>
      <name val="Aptos"/>
      <family val="2"/>
    </font>
    <font>
      <sz val="13"/>
      <color indexed="9"/>
      <name val="Aptos"/>
      <family val="2"/>
    </font>
    <font>
      <b/>
      <sz val="12"/>
      <color indexed="25"/>
      <name val="Aptos"/>
      <family val="2"/>
    </font>
    <font>
      <b/>
      <sz val="12"/>
      <color indexed="8"/>
      <name val="Aptos"/>
      <family val="2"/>
    </font>
    <font>
      <sz val="12"/>
      <color indexed="8"/>
      <name val="Aptos"/>
      <family val="2"/>
    </font>
    <font>
      <b/>
      <i/>
      <sz val="12"/>
      <name val="Aptos"/>
      <family val="2"/>
    </font>
    <font>
      <b/>
      <i/>
      <sz val="12"/>
      <color theme="0"/>
      <name val="Aptos"/>
      <family val="2"/>
    </font>
    <font>
      <b/>
      <sz val="12"/>
      <color indexed="12"/>
      <name val="Aptos"/>
      <family val="2"/>
    </font>
    <font>
      <i/>
      <sz val="12"/>
      <color indexed="12"/>
      <name val="Aptos"/>
      <family val="2"/>
    </font>
    <font>
      <b/>
      <u/>
      <sz val="12"/>
      <name val="Aptos"/>
      <family val="2"/>
    </font>
    <font>
      <i/>
      <sz val="12"/>
      <color rgb="FFFF0000"/>
      <name val="Aptos"/>
      <family val="2"/>
    </font>
    <font>
      <b/>
      <u/>
      <sz val="11"/>
      <name val="Aptos"/>
      <family val="2"/>
    </font>
    <font>
      <sz val="18"/>
      <name val="Aptos"/>
      <family val="2"/>
    </font>
    <font>
      <b/>
      <sz val="11"/>
      <color indexed="12"/>
      <name val="Aptos"/>
      <family val="2"/>
    </font>
    <font>
      <sz val="11"/>
      <color indexed="12"/>
      <name val="Aptos"/>
      <family val="2"/>
    </font>
    <font>
      <sz val="12"/>
      <color indexed="12"/>
      <name val="Aptos"/>
      <family val="2"/>
    </font>
    <font>
      <b/>
      <sz val="12"/>
      <color rgb="FF00B050"/>
      <name val="Aptos"/>
      <family val="2"/>
    </font>
    <font>
      <b/>
      <sz val="11"/>
      <color rgb="FF00B050"/>
      <name val="Aptos"/>
      <family val="2"/>
    </font>
    <font>
      <b/>
      <sz val="10"/>
      <name val="Aptos"/>
      <family val="2"/>
    </font>
    <font>
      <b/>
      <sz val="10"/>
      <color rgb="FF000090"/>
      <name val="Aptos"/>
      <family val="2"/>
    </font>
    <font>
      <b/>
      <i/>
      <sz val="12"/>
      <color rgb="FFFF0000"/>
      <name val="Aptos"/>
      <family val="2"/>
    </font>
    <font>
      <b/>
      <sz val="12"/>
      <color rgb="FF000090"/>
      <name val="Aptos"/>
      <family val="2"/>
    </font>
    <font>
      <b/>
      <sz val="12"/>
      <color indexed="9"/>
      <name val="Aptos"/>
      <family val="2"/>
    </font>
    <font>
      <b/>
      <sz val="11"/>
      <name val="Aptos"/>
      <family val="2"/>
    </font>
    <font>
      <sz val="12"/>
      <color rgb="FF0000FF"/>
      <name val="Arial"/>
      <family val="2"/>
    </font>
    <font>
      <i/>
      <sz val="13"/>
      <color theme="1"/>
      <name val="Aptos"/>
      <family val="2"/>
    </font>
    <font>
      <sz val="11"/>
      <color rgb="FF0000FF"/>
      <name val="Aptos"/>
      <family val="2"/>
    </font>
    <font>
      <sz val="13"/>
      <color theme="1"/>
      <name val="Aptos"/>
      <family val="2"/>
    </font>
    <font>
      <sz val="10"/>
      <color rgb="FF006600"/>
      <name val="Arial"/>
      <family val="2"/>
    </font>
    <font>
      <b/>
      <sz val="10"/>
      <color rgb="FF006600"/>
      <name val="Arial"/>
      <family val="2"/>
    </font>
    <font>
      <b/>
      <sz val="10"/>
      <color theme="0"/>
      <name val="Arial"/>
      <family val="2"/>
    </font>
    <font>
      <b/>
      <i/>
      <sz val="10"/>
      <color theme="0"/>
      <name val="Arial"/>
      <family val="2"/>
    </font>
    <font>
      <b/>
      <u/>
      <sz val="14"/>
      <color theme="0"/>
      <name val="Arial"/>
      <family val="2"/>
    </font>
    <font>
      <b/>
      <sz val="14"/>
      <color theme="0"/>
      <name val="Arial"/>
      <family val="2"/>
    </font>
    <font>
      <b/>
      <sz val="12"/>
      <color rgb="FF0000FF"/>
      <name val="Aptos"/>
      <family val="2"/>
    </font>
    <font>
      <b/>
      <sz val="12"/>
      <color rgb="FF006600"/>
      <name val="Aptos"/>
      <family val="2"/>
    </font>
    <font>
      <sz val="11"/>
      <name val="Arial"/>
      <family val="2"/>
    </font>
    <font>
      <sz val="11"/>
      <color theme="0"/>
      <name val="Arial"/>
      <family val="2"/>
    </font>
    <font>
      <sz val="12"/>
      <color theme="0"/>
      <name val="Arial"/>
      <family val="2"/>
    </font>
    <font>
      <sz val="14"/>
      <name val="Arial"/>
      <family val="2"/>
    </font>
    <font>
      <sz val="16"/>
      <name val="Arial"/>
      <family val="2"/>
    </font>
    <font>
      <sz val="13"/>
      <name val="Arial"/>
      <family val="2"/>
    </font>
    <font>
      <b/>
      <i/>
      <sz val="14"/>
      <name val="Arial"/>
      <family val="2"/>
    </font>
    <font>
      <sz val="14"/>
      <color theme="1" tint="0.249977111117893"/>
      <name val="Arial"/>
      <family val="2"/>
    </font>
    <font>
      <i/>
      <sz val="14"/>
      <name val="Arial"/>
      <family val="2"/>
    </font>
    <font>
      <i/>
      <sz val="12"/>
      <name val="Arial"/>
      <family val="2"/>
    </font>
    <font>
      <b/>
      <sz val="12"/>
      <color theme="0"/>
      <name val="Arial"/>
      <family val="2"/>
    </font>
    <font>
      <b/>
      <vertAlign val="superscript"/>
      <sz val="12"/>
      <color theme="0"/>
      <name val="Arial"/>
      <family val="2"/>
    </font>
    <font>
      <b/>
      <u/>
      <sz val="12"/>
      <name val="Arial"/>
      <family val="2"/>
    </font>
    <font>
      <b/>
      <sz val="12"/>
      <color indexed="9"/>
      <name val="Arial"/>
      <family val="2"/>
    </font>
    <font>
      <sz val="12"/>
      <color rgb="FF006600"/>
      <name val="Arial"/>
      <family val="2"/>
    </font>
    <font>
      <b/>
      <sz val="12"/>
      <color rgb="FFFF0000"/>
      <name val="Arial"/>
      <family val="2"/>
    </font>
    <font>
      <sz val="12"/>
      <color rgb="FFFF0000"/>
      <name val="Arial"/>
      <family val="2"/>
    </font>
    <font>
      <b/>
      <i/>
      <sz val="12"/>
      <name val="Arial"/>
      <family val="2"/>
    </font>
    <font>
      <sz val="12"/>
      <color theme="1" tint="0.249977111117893"/>
      <name val="Arial"/>
      <family val="2"/>
    </font>
    <font>
      <b/>
      <sz val="15"/>
      <color theme="0"/>
      <name val="Arial"/>
      <family val="2"/>
    </font>
    <font>
      <b/>
      <u/>
      <sz val="11"/>
      <name val="Arial"/>
      <family val="2"/>
    </font>
    <font>
      <b/>
      <sz val="20"/>
      <name val="Arial"/>
      <family val="2"/>
    </font>
    <font>
      <sz val="20"/>
      <name val="Arial"/>
      <family val="2"/>
    </font>
    <font>
      <sz val="12"/>
      <color rgb="FF0070C0"/>
      <name val="Arial"/>
      <family val="2"/>
    </font>
    <font>
      <b/>
      <sz val="12"/>
      <color theme="1"/>
      <name val="Arial"/>
      <family val="2"/>
    </font>
    <font>
      <b/>
      <sz val="12"/>
      <color rgb="FF006600"/>
      <name val="Arial"/>
      <family val="2"/>
    </font>
    <font>
      <b/>
      <sz val="12"/>
      <color rgb="FF0000FF"/>
      <name val="Arial"/>
      <family val="2"/>
    </font>
  </fonts>
  <fills count="133">
    <fill>
      <patternFill patternType="none"/>
    </fill>
    <fill>
      <patternFill patternType="gray125"/>
    </fill>
    <fill>
      <patternFill patternType="solid">
        <fgColor indexed="9"/>
        <bgColor indexed="34"/>
      </patternFill>
    </fill>
    <fill>
      <patternFill patternType="solid">
        <fgColor indexed="22"/>
        <bgColor indexed="54"/>
      </patternFill>
    </fill>
    <fill>
      <patternFill patternType="solid">
        <fgColor indexed="31"/>
        <bgColor indexed="61"/>
      </patternFill>
    </fill>
    <fill>
      <patternFill patternType="solid">
        <fgColor indexed="45"/>
        <bgColor indexed="1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61"/>
      </patternFill>
    </fill>
    <fill>
      <patternFill patternType="solid">
        <fgColor indexed="44"/>
        <bgColor indexed="31"/>
      </patternFill>
    </fill>
    <fill>
      <patternFill patternType="solid">
        <fgColor indexed="29"/>
        <bgColor indexed="19"/>
      </patternFill>
    </fill>
    <fill>
      <patternFill patternType="solid">
        <fgColor indexed="11"/>
        <bgColor indexed="50"/>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34"/>
        <bgColor indexed="9"/>
      </patternFill>
    </fill>
    <fill>
      <patternFill patternType="solid">
        <fgColor indexed="62"/>
        <bgColor indexed="56"/>
      </patternFill>
    </fill>
    <fill>
      <patternFill patternType="solid">
        <fgColor indexed="10"/>
        <bgColor indexed="60"/>
      </patternFill>
    </fill>
    <fill>
      <patternFill patternType="solid">
        <fgColor indexed="26"/>
        <bgColor indexed="9"/>
      </patternFill>
    </fill>
    <fill>
      <patternFill patternType="solid">
        <fgColor indexed="55"/>
        <bgColor indexed="23"/>
      </patternFill>
    </fill>
    <fill>
      <patternFill patternType="solid">
        <fgColor indexed="57"/>
        <bgColor indexed="21"/>
      </patternFill>
    </fill>
    <fill>
      <patternFill patternType="solid">
        <fgColor indexed="53"/>
        <bgColor indexed="52"/>
      </patternFill>
    </fill>
    <fill>
      <patternFill patternType="solid">
        <fgColor indexed="54"/>
        <bgColor indexed="22"/>
      </patternFill>
    </fill>
    <fill>
      <patternFill patternType="solid">
        <fgColor indexed="19"/>
        <bgColor indexed="45"/>
      </patternFill>
    </fill>
    <fill>
      <patternFill patternType="solid">
        <fgColor indexed="61"/>
        <bgColor indexed="31"/>
      </patternFill>
    </fill>
    <fill>
      <patternFill patternType="solid">
        <fgColor indexed="12"/>
        <bgColor indexed="39"/>
      </patternFill>
    </fill>
    <fill>
      <patternFill patternType="solid">
        <fgColor indexed="13"/>
        <bgColor indexed="51"/>
      </patternFill>
    </fill>
    <fill>
      <patternFill patternType="solid">
        <fgColor indexed="40"/>
        <bgColor indexed="49"/>
      </patternFill>
    </fill>
    <fill>
      <patternFill patternType="solid">
        <fgColor indexed="15"/>
        <bgColor indexed="35"/>
      </patternFill>
    </fill>
    <fill>
      <patternFill patternType="solid">
        <fgColor indexed="43"/>
        <bgColor indexed="26"/>
      </patternFill>
    </fill>
    <fill>
      <patternFill patternType="solid">
        <fgColor indexed="21"/>
        <bgColor indexed="38"/>
      </patternFill>
    </fill>
    <fill>
      <patternFill patternType="solid">
        <fgColor indexed="50"/>
        <bgColor indexed="42"/>
      </patternFill>
    </fill>
    <fill>
      <patternFill patternType="solid">
        <fgColor indexed="35"/>
        <bgColor indexed="15"/>
      </patternFill>
    </fill>
    <fill>
      <patternFill patternType="solid">
        <fgColor indexed="58"/>
        <bgColor indexed="59"/>
      </patternFill>
    </fill>
    <fill>
      <patternFill patternType="solid">
        <fgColor theme="0"/>
        <bgColor indexed="34"/>
      </patternFill>
    </fill>
    <fill>
      <patternFill patternType="solid">
        <fgColor theme="0"/>
        <bgColor indexed="64"/>
      </patternFill>
    </fill>
    <fill>
      <patternFill patternType="solid">
        <fgColor theme="0"/>
        <bgColor indexed="51"/>
      </patternFill>
    </fill>
    <fill>
      <patternFill patternType="solid">
        <fgColor theme="9" tint="0.39997558519241921"/>
        <bgColor indexed="64"/>
      </patternFill>
    </fill>
    <fill>
      <patternFill patternType="solid">
        <fgColor indexed="22"/>
        <bgColor indexed="64"/>
      </patternFill>
    </fill>
    <fill>
      <patternFill patternType="solid">
        <fgColor indexed="31"/>
        <bgColor indexed="33"/>
      </patternFill>
    </fill>
    <fill>
      <patternFill patternType="solid">
        <fgColor indexed="45"/>
        <bgColor indexed="29"/>
      </patternFill>
    </fill>
    <fill>
      <patternFill patternType="solid">
        <fgColor indexed="27"/>
        <bgColor indexed="42"/>
      </patternFill>
    </fill>
    <fill>
      <patternFill patternType="solid">
        <fgColor indexed="47"/>
        <bgColor indexed="34"/>
      </patternFill>
    </fill>
    <fill>
      <patternFill patternType="solid">
        <fgColor indexed="44"/>
        <bgColor indexed="39"/>
      </patternFill>
    </fill>
    <fill>
      <patternFill patternType="solid">
        <fgColor indexed="29"/>
        <bgColor indexed="45"/>
      </patternFill>
    </fill>
    <fill>
      <patternFill patternType="solid">
        <fgColor indexed="11"/>
        <bgColor indexed="49"/>
      </patternFill>
    </fill>
    <fill>
      <patternFill patternType="solid">
        <fgColor indexed="30"/>
        <bgColor indexed="38"/>
      </patternFill>
    </fill>
    <fill>
      <patternFill patternType="solid">
        <fgColor indexed="20"/>
        <bgColor indexed="28"/>
      </patternFill>
    </fill>
    <fill>
      <patternFill patternType="solid">
        <fgColor indexed="49"/>
        <bgColor indexed="36"/>
      </patternFill>
    </fill>
    <fill>
      <patternFill patternType="solid">
        <fgColor indexed="57"/>
        <bgColor indexed="58"/>
      </patternFill>
    </fill>
    <fill>
      <patternFill patternType="solid">
        <fgColor indexed="9"/>
        <bgColor indexed="26"/>
      </patternFill>
    </fill>
    <fill>
      <patternFill patternType="solid">
        <fgColor indexed="22"/>
        <bgColor indexed="31"/>
      </patternFill>
    </fill>
    <fill>
      <patternFill patternType="solid">
        <fgColor indexed="55"/>
        <bgColor indexed="19"/>
      </patternFill>
    </fill>
    <fill>
      <patternFill patternType="solid">
        <fgColor rgb="FFFFFF00"/>
        <bgColor indexed="64"/>
      </patternFill>
    </fill>
    <fill>
      <patternFill patternType="solid">
        <fgColor theme="9" tint="0.79998168889431442"/>
        <bgColor indexed="64"/>
      </patternFill>
    </fill>
    <fill>
      <patternFill patternType="solid">
        <fgColor theme="4" tint="-0.499984740745262"/>
        <bgColor indexed="51"/>
      </patternFill>
    </fill>
    <fill>
      <patternFill patternType="solid">
        <fgColor theme="4" tint="-0.499984740745262"/>
        <bgColor indexed="40"/>
      </patternFill>
    </fill>
    <fill>
      <patternFill patternType="solid">
        <fgColor theme="4" tint="-0.499984740745262"/>
        <bgColor indexed="64"/>
      </patternFill>
    </fill>
    <fill>
      <patternFill patternType="solid">
        <fgColor theme="2" tint="-9.9978637043366805E-2"/>
        <bgColor indexed="64"/>
      </patternFill>
    </fill>
    <fill>
      <patternFill patternType="solid">
        <fgColor indexed="65"/>
        <bgColor indexed="64"/>
      </patternFill>
    </fill>
    <fill>
      <patternFill patternType="gray0625">
        <fgColor indexed="10"/>
      </patternFill>
    </fill>
    <fill>
      <patternFill patternType="solid">
        <fgColor indexed="31"/>
        <bgColor indexed="31"/>
      </patternFill>
    </fill>
    <fill>
      <patternFill patternType="solid">
        <fgColor indexed="26"/>
        <bgColor indexed="26"/>
      </patternFill>
    </fill>
    <fill>
      <patternFill patternType="solid">
        <fgColor indexed="22"/>
        <bgColor indexed="22"/>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solid">
        <fgColor indexed="9"/>
        <bgColor indexed="64"/>
      </patternFill>
    </fill>
    <fill>
      <patternFill patternType="solid">
        <fgColor indexed="26"/>
        <bgColor indexed="64"/>
      </patternFill>
    </fill>
    <fill>
      <patternFill patternType="solid">
        <fgColor theme="8" tint="0.79998168889431442"/>
        <bgColor indexed="64"/>
      </patternFill>
    </fill>
    <fill>
      <patternFill patternType="solid">
        <fgColor rgb="FFFFC000"/>
        <bgColor indexed="64"/>
      </patternFill>
    </fill>
    <fill>
      <patternFill patternType="solid">
        <fgColor indexed="9"/>
        <bgColor indexed="9"/>
      </patternFill>
    </fill>
    <fill>
      <patternFill patternType="solid">
        <fgColor indexed="44"/>
        <bgColor indexed="44"/>
      </patternFill>
    </fill>
    <fill>
      <patternFill patternType="solid">
        <fgColor indexed="55"/>
        <bgColor indexed="55"/>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12"/>
        <bgColor indexed="12"/>
      </patternFill>
    </fill>
    <fill>
      <patternFill patternType="solid">
        <fgColor indexed="13"/>
        <bgColor indexed="13"/>
      </patternFill>
    </fill>
    <fill>
      <patternFill patternType="solid">
        <fgColor indexed="13"/>
      </patternFill>
    </fill>
    <fill>
      <patternFill patternType="solid">
        <fgColor indexed="26"/>
      </patternFill>
    </fill>
    <fill>
      <patternFill patternType="solid">
        <fgColor indexed="21"/>
        <bgColor indexed="64"/>
      </patternFill>
    </fill>
    <fill>
      <patternFill patternType="mediumGray">
        <fgColor indexed="11"/>
      </patternFill>
    </fill>
    <fill>
      <patternFill patternType="darkGray">
        <fgColor indexed="15"/>
      </patternFill>
    </fill>
    <fill>
      <patternFill patternType="solid">
        <fgColor indexed="16"/>
        <bgColor indexed="64"/>
      </patternFill>
    </fill>
    <fill>
      <patternFill patternType="solid">
        <fgColor indexed="8"/>
        <bgColor indexed="64"/>
      </patternFill>
    </fill>
    <fill>
      <patternFill patternType="solid">
        <fgColor indexed="12"/>
      </patternFill>
    </fill>
    <fill>
      <patternFill patternType="gray125">
        <fgColor indexed="35"/>
      </patternFill>
    </fill>
    <fill>
      <patternFill patternType="solid">
        <fgColor indexed="9"/>
        <bgColor indexed="10"/>
      </patternFill>
    </fill>
    <fill>
      <patternFill patternType="solid">
        <fgColor indexed="13"/>
        <bgColor indexed="64"/>
      </patternFill>
    </fill>
    <fill>
      <patternFill patternType="solid">
        <fgColor theme="9" tint="0.59999389629810485"/>
        <bgColor indexed="64"/>
      </patternFill>
    </fill>
    <fill>
      <patternFill patternType="solid">
        <fgColor theme="3" tint="-0.249977111117893"/>
        <bgColor indexed="64"/>
      </patternFill>
    </fill>
    <fill>
      <patternFill patternType="solid">
        <fgColor indexed="40"/>
        <bgColor indexed="64"/>
      </patternFill>
    </fill>
    <fill>
      <patternFill patternType="solid">
        <fgColor indexed="15"/>
      </patternFill>
    </fill>
    <fill>
      <patternFill patternType="solid">
        <fgColor indexed="55"/>
        <bgColor indexed="64"/>
      </patternFill>
    </fill>
    <fill>
      <patternFill patternType="solid">
        <fgColor indexed="3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lightUp">
        <fgColor theme="3" tint="0.89996032593768116"/>
        <bgColor indexed="65"/>
      </patternFill>
    </fill>
    <fill>
      <patternFill patternType="solid">
        <fgColor theme="3" tint="-0.249977111117893"/>
        <bgColor indexed="51"/>
      </patternFill>
    </fill>
    <fill>
      <patternFill patternType="solid">
        <fgColor theme="6" tint="0.79998168889431442"/>
        <bgColor indexed="64"/>
      </patternFill>
    </fill>
    <fill>
      <patternFill patternType="solid">
        <fgColor theme="2"/>
        <bgColor indexed="64"/>
      </patternFill>
    </fill>
    <fill>
      <patternFill patternType="solid">
        <fgColor theme="8" tint="0.59999389629810485"/>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8" tint="0.79998168889431442"/>
        <bgColor indexed="34"/>
      </patternFill>
    </fill>
    <fill>
      <patternFill patternType="solid">
        <fgColor theme="9" tint="0.79998168889431442"/>
        <bgColor indexed="3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2" tint="-0.749992370372631"/>
        <bgColor indexed="51"/>
      </patternFill>
    </fill>
    <fill>
      <patternFill patternType="solid">
        <fgColor theme="2" tint="-0.749992370372631"/>
        <bgColor indexed="40"/>
      </patternFill>
    </fill>
    <fill>
      <patternFill patternType="solid">
        <fgColor theme="9" tint="0.79998168889431442"/>
        <bgColor indexed="40"/>
      </patternFill>
    </fill>
    <fill>
      <patternFill patternType="solid">
        <fgColor theme="8" tint="0.79998168889431442"/>
        <bgColor indexed="27"/>
      </patternFill>
    </fill>
    <fill>
      <patternFill patternType="solid">
        <fgColor theme="3"/>
        <bgColor indexed="64"/>
      </patternFill>
    </fill>
    <fill>
      <patternFill patternType="solid">
        <fgColor theme="3"/>
        <bgColor indexed="34"/>
      </patternFill>
    </fill>
    <fill>
      <patternFill patternType="solid">
        <fgColor theme="2" tint="-0.749992370372631"/>
        <bgColor indexed="64"/>
      </patternFill>
    </fill>
    <fill>
      <patternFill patternType="solid">
        <fgColor theme="2" tint="-0.749992370372631"/>
        <bgColor indexed="34"/>
      </patternFill>
    </fill>
    <fill>
      <patternFill patternType="solid">
        <fgColor rgb="FFFFFF00"/>
        <bgColor indexed="34"/>
      </patternFill>
    </fill>
  </fills>
  <borders count="327">
    <border>
      <left/>
      <right/>
      <top/>
      <bottom/>
      <diagonal/>
    </border>
    <border>
      <left style="thin">
        <color indexed="8"/>
      </left>
      <right style="thin">
        <color indexed="8"/>
      </right>
      <top style="thin">
        <color indexed="8"/>
      </top>
      <bottom style="thin">
        <color indexed="8"/>
      </bottom>
      <diagonal/>
    </border>
    <border>
      <left/>
      <right/>
      <top/>
      <bottom style="medium">
        <color indexed="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8"/>
      </top>
      <bottom style="double">
        <color indexed="8"/>
      </bottom>
      <diagonal/>
    </border>
    <border>
      <left/>
      <right/>
      <top/>
      <bottom style="hair">
        <color indexed="8"/>
      </bottom>
      <diagonal/>
    </border>
    <border>
      <left style="thin">
        <color indexed="8"/>
      </left>
      <right/>
      <top style="thin">
        <color indexed="8"/>
      </top>
      <bottom style="thin">
        <color indexed="8"/>
      </bottom>
      <diagonal/>
    </border>
    <border>
      <left style="thin">
        <color indexed="8"/>
      </left>
      <right style="double">
        <color indexed="8"/>
      </right>
      <top style="thin">
        <color indexed="8"/>
      </top>
      <bottom style="thin">
        <color indexed="8"/>
      </bottom>
      <diagonal/>
    </border>
    <border>
      <left/>
      <right/>
      <top style="medium">
        <color indexed="8"/>
      </top>
      <bottom style="medium">
        <color indexed="8"/>
      </bottom>
      <diagonal/>
    </border>
    <border>
      <left/>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8"/>
      </left>
      <right style="thin">
        <color indexed="8"/>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8"/>
      </left>
      <right/>
      <top/>
      <bottom/>
      <diagonal/>
    </border>
    <border>
      <left/>
      <right style="thin">
        <color indexed="8"/>
      </right>
      <top/>
      <bottom style="thin">
        <color indexed="8"/>
      </bottom>
      <diagonal/>
    </border>
    <border>
      <left style="hair">
        <color indexed="8"/>
      </left>
      <right style="hair">
        <color indexed="8"/>
      </right>
      <top style="thin">
        <color indexed="8"/>
      </top>
      <bottom/>
      <diagonal/>
    </border>
    <border>
      <left/>
      <right/>
      <top/>
      <bottom style="double">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bottom style="hair">
        <color indexed="8"/>
      </bottom>
      <diagonal/>
    </border>
    <border>
      <left style="thin">
        <color indexed="8"/>
      </left>
      <right style="thin">
        <color indexed="8"/>
      </right>
      <top style="hair">
        <color indexed="8"/>
      </top>
      <bottom style="thin">
        <color indexed="8"/>
      </bottom>
      <diagonal/>
    </border>
    <border>
      <left style="thin">
        <color indexed="8"/>
      </left>
      <right style="thin">
        <color indexed="8"/>
      </right>
      <top/>
      <bottom style="thin">
        <color indexed="8"/>
      </bottom>
      <diagonal/>
    </border>
    <border>
      <left style="thin">
        <color indexed="8"/>
      </left>
      <right/>
      <top style="hair">
        <color indexed="8"/>
      </top>
      <bottom style="hair">
        <color indexed="8"/>
      </bottom>
      <diagonal/>
    </border>
    <border>
      <left style="thin">
        <color indexed="8"/>
      </left>
      <right/>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8"/>
      </right>
      <top style="hair">
        <color indexed="8"/>
      </top>
      <bottom style="hair">
        <color indexed="8"/>
      </bottom>
      <diagonal/>
    </border>
    <border>
      <left/>
      <right/>
      <top style="thin">
        <color indexed="64"/>
      </top>
      <bottom style="thin">
        <color indexed="64"/>
      </bottom>
      <diagonal/>
    </border>
    <border>
      <left/>
      <right style="thin">
        <color indexed="8"/>
      </right>
      <top style="thin">
        <color indexed="8"/>
      </top>
      <bottom style="thin">
        <color indexed="8"/>
      </bottom>
      <diagonal/>
    </border>
    <border>
      <left style="thin">
        <color indexed="8"/>
      </left>
      <right style="thin">
        <color indexed="64"/>
      </right>
      <top style="hair">
        <color indexed="8"/>
      </top>
      <bottom style="hair">
        <color indexed="8"/>
      </bottom>
      <diagonal/>
    </border>
    <border>
      <left/>
      <right style="thin">
        <color indexed="64"/>
      </right>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ck">
        <color indexed="64"/>
      </top>
      <bottom style="hair">
        <color indexed="64"/>
      </bottom>
      <diagonal/>
    </border>
    <border>
      <left/>
      <right/>
      <top style="thin">
        <color indexed="62"/>
      </top>
      <bottom style="double">
        <color indexed="62"/>
      </bottom>
      <diagonal/>
    </border>
    <border>
      <left/>
      <right/>
      <top/>
      <bottom style="medium">
        <color indexed="64"/>
      </bottom>
      <diagonal/>
    </border>
    <border>
      <left style="medium">
        <color indexed="64"/>
      </left>
      <right style="thin">
        <color indexed="8"/>
      </right>
      <top style="thin">
        <color indexed="8"/>
      </top>
      <bottom style="hair">
        <color indexed="8"/>
      </bottom>
      <diagonal/>
    </border>
    <border>
      <left style="thin">
        <color indexed="8"/>
      </left>
      <right style="medium">
        <color indexed="64"/>
      </right>
      <top style="thin">
        <color indexed="8"/>
      </top>
      <bottom style="hair">
        <color indexed="8"/>
      </bottom>
      <diagonal/>
    </border>
    <border>
      <left style="thin">
        <color indexed="8"/>
      </left>
      <right style="medium">
        <color indexed="64"/>
      </right>
      <top style="hair">
        <color indexed="8"/>
      </top>
      <bottom style="hair">
        <color indexed="8"/>
      </bottom>
      <diagonal/>
    </border>
    <border>
      <left style="thin">
        <color indexed="8"/>
      </left>
      <right/>
      <top style="hair">
        <color indexed="8"/>
      </top>
      <bottom style="hair">
        <color indexed="8"/>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medium">
        <color indexed="64"/>
      </bottom>
      <diagonal/>
    </border>
    <border>
      <left/>
      <right/>
      <top style="thin">
        <color indexed="64"/>
      </top>
      <bottom style="double">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8"/>
      </right>
      <top/>
      <bottom style="hair">
        <color indexed="8"/>
      </bottom>
      <diagonal/>
    </border>
    <border>
      <left style="thin">
        <color indexed="8"/>
      </left>
      <right style="medium">
        <color indexed="64"/>
      </right>
      <top/>
      <bottom style="hair">
        <color indexed="8"/>
      </bottom>
      <diagonal/>
    </border>
    <border>
      <left/>
      <right style="medium">
        <color indexed="64"/>
      </right>
      <top style="thin">
        <color indexed="8"/>
      </top>
      <bottom style="hair">
        <color indexed="8"/>
      </bottom>
      <diagonal/>
    </border>
    <border>
      <left/>
      <right style="medium">
        <color indexed="64"/>
      </right>
      <top style="hair">
        <color indexed="8"/>
      </top>
      <bottom style="hair">
        <color indexed="8"/>
      </bottom>
      <diagonal/>
    </border>
    <border>
      <left/>
      <right style="thin">
        <color indexed="8"/>
      </right>
      <top style="hair">
        <color indexed="8"/>
      </top>
      <bottom style="hair">
        <color indexed="8"/>
      </bottom>
      <diagonal/>
    </border>
    <border>
      <left style="medium">
        <color indexed="64"/>
      </left>
      <right style="thin">
        <color indexed="8"/>
      </right>
      <top style="hair">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64"/>
      </right>
      <top style="hair">
        <color indexed="8"/>
      </top>
      <bottom style="hair">
        <color indexed="8"/>
      </bottom>
      <diagonal/>
    </border>
    <border>
      <left/>
      <right/>
      <top style="hair">
        <color indexed="8"/>
      </top>
      <bottom style="hair">
        <color indexed="8"/>
      </bottom>
      <diagonal/>
    </border>
    <border>
      <left style="thin">
        <color indexed="8"/>
      </left>
      <right/>
      <top style="hair">
        <color indexed="8"/>
      </top>
      <bottom style="hair">
        <color indexed="8"/>
      </bottom>
      <diagonal/>
    </border>
    <border>
      <left style="thin">
        <color indexed="64"/>
      </left>
      <right style="thin">
        <color indexed="8"/>
      </right>
      <top style="thin">
        <color indexed="64"/>
      </top>
      <bottom style="hair">
        <color indexed="8"/>
      </bottom>
      <diagonal/>
    </border>
    <border>
      <left style="thin">
        <color indexed="8"/>
      </left>
      <right style="thin">
        <color indexed="8"/>
      </right>
      <top style="thin">
        <color indexed="64"/>
      </top>
      <bottom style="hair">
        <color indexed="8"/>
      </bottom>
      <diagonal/>
    </border>
    <border>
      <left style="thin">
        <color indexed="64"/>
      </left>
      <right style="thin">
        <color indexed="8"/>
      </right>
      <top style="hair">
        <color indexed="8"/>
      </top>
      <bottom style="hair">
        <color indexed="8"/>
      </bottom>
      <diagonal/>
    </border>
    <border>
      <left style="thin">
        <color indexed="64"/>
      </left>
      <right style="thin">
        <color indexed="8"/>
      </right>
      <top style="hair">
        <color indexed="8"/>
      </top>
      <bottom style="thin">
        <color indexed="64"/>
      </bottom>
      <diagonal/>
    </border>
    <border>
      <left style="thin">
        <color indexed="8"/>
      </left>
      <right style="thin">
        <color indexed="8"/>
      </right>
      <top style="hair">
        <color indexed="8"/>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hair">
        <color auto="1"/>
      </top>
      <bottom style="hair">
        <color auto="1"/>
      </bottom>
      <diagonal/>
    </border>
    <border>
      <left style="medium">
        <color indexed="64"/>
      </left>
      <right style="thin">
        <color indexed="64"/>
      </right>
      <top style="hair">
        <color indexed="64"/>
      </top>
      <bottom/>
      <diagonal/>
    </border>
    <border>
      <left style="thin">
        <color indexed="64"/>
      </left>
      <right style="thin">
        <color indexed="8"/>
      </right>
      <top style="hair">
        <color indexed="8"/>
      </top>
      <bottom/>
      <diagonal/>
    </border>
    <border>
      <left style="thin">
        <color indexed="8"/>
      </left>
      <right/>
      <top style="hair">
        <color indexed="8"/>
      </top>
      <bottom/>
      <diagonal/>
    </border>
    <border>
      <left style="thin">
        <color indexed="8"/>
      </left>
      <right/>
      <top style="hair">
        <color indexed="8"/>
      </top>
      <bottom style="thin">
        <color indexed="64"/>
      </bottom>
      <diagonal/>
    </border>
    <border>
      <left style="medium">
        <color indexed="64"/>
      </left>
      <right style="thin">
        <color indexed="8"/>
      </right>
      <top style="medium">
        <color indexed="64"/>
      </top>
      <bottom/>
      <diagonal/>
    </border>
    <border>
      <left style="medium">
        <color indexed="64"/>
      </left>
      <right/>
      <top style="medium">
        <color indexed="64"/>
      </top>
      <bottom style="medium">
        <color indexed="64"/>
      </bottom>
      <diagonal/>
    </border>
    <border>
      <left style="thin">
        <color indexed="8"/>
      </left>
      <right style="medium">
        <color indexed="64"/>
      </right>
      <top style="hair">
        <color indexed="8"/>
      </top>
      <bottom style="hair">
        <color indexed="8"/>
      </bottom>
      <diagonal/>
    </border>
    <border>
      <left style="thin">
        <color indexed="8"/>
      </left>
      <right style="thin">
        <color indexed="8"/>
      </right>
      <top style="hair">
        <color indexed="8"/>
      </top>
      <bottom style="hair">
        <color indexed="8"/>
      </bottom>
      <diagonal/>
    </border>
    <border>
      <left style="medium">
        <color indexed="64"/>
      </left>
      <right style="thin">
        <color indexed="8"/>
      </right>
      <top style="hair">
        <color indexed="8"/>
      </top>
      <bottom style="hair">
        <color indexed="8"/>
      </bottom>
      <diagonal/>
    </border>
    <border>
      <left/>
      <right/>
      <top style="medium">
        <color indexed="64"/>
      </top>
      <bottom style="medium">
        <color indexed="64"/>
      </bottom>
      <diagonal/>
    </border>
    <border>
      <left style="hair">
        <color indexed="64"/>
      </left>
      <right style="hair">
        <color indexed="64"/>
      </right>
      <top style="thin">
        <color indexed="64"/>
      </top>
      <bottom/>
      <diagonal/>
    </border>
    <border>
      <left/>
      <right/>
      <top/>
      <bottom style="double">
        <color indexed="64"/>
      </bottom>
      <diagonal/>
    </border>
    <border>
      <left style="hair">
        <color indexed="64"/>
      </left>
      <right style="hair">
        <color indexed="64"/>
      </right>
      <top style="double">
        <color indexed="64"/>
      </top>
      <bottom/>
      <diagonal/>
    </border>
    <border>
      <left/>
      <right/>
      <top style="double">
        <color indexed="64"/>
      </top>
      <bottom/>
      <diagonal/>
    </border>
    <border>
      <left/>
      <right style="medium">
        <color indexed="0"/>
      </right>
      <top/>
      <bottom/>
      <diagonal/>
    </border>
    <border>
      <left style="thin">
        <color indexed="8"/>
      </left>
      <right style="thin">
        <color indexed="8"/>
      </right>
      <top style="double">
        <color indexed="8"/>
      </top>
      <bottom style="thin">
        <color indexed="8"/>
      </bottom>
      <diagonal/>
    </border>
    <border>
      <left style="thin">
        <color indexed="64"/>
      </left>
      <right style="thin">
        <color indexed="64"/>
      </right>
      <top style="thin">
        <color indexed="64"/>
      </top>
      <bottom style="hair">
        <color indexed="64"/>
      </bottom>
      <diagonal/>
    </border>
    <border>
      <left style="thin">
        <color indexed="8"/>
      </left>
      <right style="thin">
        <color indexed="8"/>
      </right>
      <top style="hair">
        <color indexed="8"/>
      </top>
      <bottom/>
      <diagonal/>
    </border>
    <border>
      <left style="thin">
        <color indexed="8"/>
      </left>
      <right style="thin">
        <color indexed="8"/>
      </right>
      <top style="thin">
        <color indexed="8"/>
      </top>
      <bottom/>
      <diagonal/>
    </border>
    <border>
      <left/>
      <right style="thin">
        <color indexed="8"/>
      </right>
      <top style="hair">
        <color indexed="8"/>
      </top>
      <bottom style="hair">
        <color indexed="8"/>
      </bottom>
      <diagonal/>
    </border>
    <border>
      <left style="medium">
        <color indexed="64"/>
      </left>
      <right/>
      <top style="thin">
        <color indexed="64"/>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8"/>
      </bottom>
      <diagonal/>
    </border>
    <border>
      <left style="thin">
        <color indexed="8"/>
      </left>
      <right style="thin">
        <color indexed="8"/>
      </right>
      <top style="medium">
        <color indexed="64"/>
      </top>
      <bottom/>
      <diagonal/>
    </border>
    <border>
      <left style="medium">
        <color indexed="64"/>
      </left>
      <right style="thin">
        <color indexed="8"/>
      </right>
      <top/>
      <bottom style="thin">
        <color indexed="8"/>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hair">
        <color indexed="64"/>
      </left>
      <right style="hair">
        <color indexed="64"/>
      </right>
      <top style="thin">
        <color indexed="64"/>
      </top>
      <bottom/>
      <diagonal/>
    </border>
    <border>
      <left style="thin">
        <color indexed="64"/>
      </left>
      <right style="thin">
        <color indexed="64"/>
      </right>
      <top style="double">
        <color indexed="64"/>
      </top>
      <bottom style="hair">
        <color indexed="64"/>
      </bottom>
      <diagonal/>
    </border>
    <border>
      <left/>
      <right/>
      <top style="double">
        <color indexed="64"/>
      </top>
      <bottom style="double">
        <color indexed="64"/>
      </bottom>
      <diagonal/>
    </border>
    <border>
      <left/>
      <right/>
      <top/>
      <bottom style="dotted">
        <color indexed="64"/>
      </bottom>
      <diagonal/>
    </border>
    <border>
      <left/>
      <right/>
      <top style="thin">
        <color indexed="64"/>
      </top>
      <bottom/>
      <diagonal/>
    </border>
    <border>
      <left/>
      <right style="double">
        <color indexed="64"/>
      </right>
      <top/>
      <bottom/>
      <diagonal/>
    </border>
    <border>
      <left/>
      <right/>
      <top style="thin">
        <color theme="3" tint="0.749961851863155"/>
      </top>
      <bottom/>
      <diagonal/>
    </border>
    <border>
      <left/>
      <right/>
      <top/>
      <bottom style="hair">
        <color theme="3" tint="0.24994659260841701"/>
      </bottom>
      <diagonal/>
    </border>
    <border>
      <left/>
      <right/>
      <top/>
      <bottom style="thick">
        <color theme="3" tint="0.749961851863155"/>
      </bottom>
      <diagonal/>
    </border>
    <border>
      <left/>
      <right/>
      <top/>
      <bottom style="thin">
        <color theme="3" tint="0.749961851863155"/>
      </bottom>
      <diagonal/>
    </border>
    <border>
      <left/>
      <right/>
      <top style="thick">
        <color theme="3" tint="0.749961851863155"/>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medium">
        <color indexed="64"/>
      </right>
      <top/>
      <bottom style="hair">
        <color indexed="8"/>
      </bottom>
      <diagonal/>
    </border>
    <border>
      <left style="thin">
        <color indexed="64"/>
      </left>
      <right style="thin">
        <color indexed="64"/>
      </right>
      <top style="hair">
        <color indexed="64"/>
      </top>
      <bottom/>
      <diagonal/>
    </border>
    <border>
      <left style="medium">
        <color indexed="64"/>
      </left>
      <right style="thin">
        <color auto="1"/>
      </right>
      <top style="hair">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diagonal/>
    </border>
    <border>
      <left style="thin">
        <color indexed="8"/>
      </left>
      <right style="thin">
        <color indexed="8"/>
      </right>
      <top style="hair">
        <color indexed="8"/>
      </top>
      <bottom style="hair">
        <color indexed="8"/>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8"/>
      </right>
      <top style="hair">
        <color indexed="8"/>
      </top>
      <bottom/>
      <diagonal/>
    </border>
    <border>
      <left style="thin">
        <color indexed="8"/>
      </left>
      <right/>
      <top style="hair">
        <color indexed="8"/>
      </top>
      <bottom/>
      <diagonal/>
    </border>
    <border>
      <left style="medium">
        <color indexed="64"/>
      </left>
      <right style="thin">
        <color indexed="64"/>
      </right>
      <top style="thin">
        <color indexed="64"/>
      </top>
      <bottom/>
      <diagonal/>
    </border>
    <border>
      <left/>
      <right/>
      <top/>
      <bottom style="thin">
        <color indexed="64"/>
      </bottom>
      <diagonal/>
    </border>
    <border>
      <left style="thin">
        <color auto="1"/>
      </left>
      <right/>
      <top style="thin">
        <color auto="1"/>
      </top>
      <bottom/>
      <diagonal/>
    </border>
    <border>
      <left/>
      <right style="thin">
        <color auto="1"/>
      </right>
      <top style="thin">
        <color auto="1"/>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style="thin">
        <color auto="1"/>
      </right>
      <top/>
      <bottom/>
      <diagonal/>
    </border>
    <border>
      <left/>
      <right/>
      <top style="thin">
        <color indexed="64"/>
      </top>
      <bottom style="thin">
        <color indexed="64"/>
      </bottom>
      <diagonal/>
    </border>
    <border>
      <left style="thin">
        <color auto="1"/>
      </left>
      <right style="thin">
        <color auto="1"/>
      </right>
      <top/>
      <bottom style="thin">
        <color auto="1"/>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style="thin">
        <color auto="1"/>
      </left>
      <right/>
      <top/>
      <bottom/>
      <diagonal/>
    </border>
    <border>
      <left/>
      <right style="thin">
        <color auto="1"/>
      </right>
      <top/>
      <bottom/>
      <diagonal/>
    </border>
    <border>
      <left style="thin">
        <color auto="1"/>
      </left>
      <right style="double">
        <color indexed="64"/>
      </right>
      <top/>
      <bottom style="thin">
        <color auto="1"/>
      </bottom>
      <diagonal/>
    </border>
    <border>
      <left style="thin">
        <color auto="1"/>
      </left>
      <right style="thin">
        <color auto="1"/>
      </right>
      <top/>
      <bottom style="double">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bottom style="hair">
        <color auto="1"/>
      </bottom>
      <diagonal/>
    </border>
    <border>
      <left style="thin">
        <color auto="1"/>
      </left>
      <right style="medium">
        <color auto="1"/>
      </right>
      <top/>
      <bottom style="hair">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8"/>
      </bottom>
      <diagonal/>
    </border>
    <border>
      <left style="thin">
        <color indexed="8"/>
      </left>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thin">
        <color indexed="8"/>
      </left>
      <right/>
      <top style="thin">
        <color indexed="8"/>
      </top>
      <bottom/>
      <diagonal/>
    </border>
    <border>
      <left style="thin">
        <color indexed="8"/>
      </left>
      <right style="medium">
        <color indexed="64"/>
      </right>
      <top style="thin">
        <color indexed="8"/>
      </top>
      <bottom/>
      <diagonal/>
    </border>
    <border>
      <left style="thin">
        <color indexed="64"/>
      </left>
      <right style="medium">
        <color indexed="64"/>
      </right>
      <top style="thin">
        <color indexed="64"/>
      </top>
      <bottom/>
      <diagonal/>
    </border>
    <border>
      <left style="thin">
        <color indexed="8"/>
      </left>
      <right style="thin">
        <color indexed="8"/>
      </right>
      <top style="hair">
        <color indexed="8"/>
      </top>
      <bottom style="hair">
        <color indexed="8"/>
      </bottom>
      <diagonal/>
    </border>
    <border>
      <left style="medium">
        <color indexed="64"/>
      </left>
      <right style="thin">
        <color indexed="8"/>
      </right>
      <top style="hair">
        <color indexed="8"/>
      </top>
      <bottom style="hair">
        <color indexed="8"/>
      </bottom>
      <diagonal/>
    </border>
    <border>
      <left/>
      <right style="thin">
        <color indexed="8"/>
      </right>
      <top style="hair">
        <color indexed="8"/>
      </top>
      <bottom style="hair">
        <color indexed="8"/>
      </bottom>
      <diagonal/>
    </border>
    <border>
      <left style="thin">
        <color indexed="64"/>
      </left>
      <right style="thin">
        <color auto="1"/>
      </right>
      <top style="hair">
        <color auto="1"/>
      </top>
      <bottom style="hair">
        <color auto="1"/>
      </bottom>
      <diagonal/>
    </border>
    <border>
      <left style="thin">
        <color indexed="64"/>
      </left>
      <right style="thin">
        <color indexed="64"/>
      </right>
      <top style="hair">
        <color indexed="64"/>
      </top>
      <bottom style="thin">
        <color indexed="64"/>
      </bottom>
      <diagonal/>
    </border>
    <border>
      <left style="thin">
        <color auto="1"/>
      </left>
      <right/>
      <top style="thin">
        <color indexed="64"/>
      </top>
      <bottom/>
      <diagonal/>
    </border>
    <border>
      <left style="thin">
        <color indexed="8"/>
      </left>
      <right style="thin">
        <color indexed="8"/>
      </right>
      <top style="hair">
        <color indexed="8"/>
      </top>
      <bottom style="hair">
        <color indexed="8"/>
      </bottom>
      <diagonal/>
    </border>
    <border>
      <left style="thin">
        <color indexed="64"/>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medium">
        <color auto="1"/>
      </left>
      <right style="thin">
        <color auto="1"/>
      </right>
      <top style="hair">
        <color auto="1"/>
      </top>
      <bottom style="hair">
        <color auto="1"/>
      </bottom>
      <diagonal/>
    </border>
    <border>
      <left/>
      <right style="thin">
        <color auto="1"/>
      </right>
      <top style="thin">
        <color indexed="64"/>
      </top>
      <bottom/>
      <diagonal/>
    </border>
    <border>
      <left/>
      <right/>
      <top/>
      <bottom style="thick">
        <color indexed="64"/>
      </bottom>
      <diagonal/>
    </border>
    <border>
      <left style="thin">
        <color auto="1"/>
      </left>
      <right style="thin">
        <color indexed="64"/>
      </right>
      <top style="thin">
        <color indexed="64"/>
      </top>
      <bottom style="hair">
        <color auto="1"/>
      </bottom>
      <diagonal/>
    </border>
    <border>
      <left style="thin">
        <color auto="1"/>
      </left>
      <right style="thin">
        <color indexed="64"/>
      </right>
      <top style="hair">
        <color auto="1"/>
      </top>
      <bottom style="thin">
        <color indexed="64"/>
      </bottom>
      <diagonal/>
    </border>
    <border>
      <left/>
      <right style="thin">
        <color indexed="64"/>
      </right>
      <top style="hair">
        <color auto="1"/>
      </top>
      <bottom style="thin">
        <color indexed="64"/>
      </bottom>
      <diagonal/>
    </border>
    <border>
      <left style="thin">
        <color auto="1"/>
      </left>
      <right style="thin">
        <color auto="1"/>
      </right>
      <top style="hair">
        <color auto="1"/>
      </top>
      <bottom style="hair">
        <color auto="1"/>
      </bottom>
      <diagonal/>
    </border>
    <border>
      <left/>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8"/>
      </right>
      <top style="thin">
        <color indexed="8"/>
      </top>
      <bottom/>
      <diagonal/>
    </border>
    <border>
      <left style="thin">
        <color indexed="64"/>
      </left>
      <right style="thin">
        <color indexed="8"/>
      </right>
      <top/>
      <bottom style="thin">
        <color indexed="64"/>
      </bottom>
      <diagonal/>
    </border>
    <border>
      <left style="medium">
        <color auto="1"/>
      </left>
      <right style="thin">
        <color auto="1"/>
      </right>
      <top style="hair">
        <color auto="1"/>
      </top>
      <bottom/>
      <diagonal/>
    </border>
    <border>
      <left style="medium">
        <color indexed="64"/>
      </left>
      <right/>
      <top style="thin">
        <color indexed="64"/>
      </top>
      <bottom style="thin">
        <color indexed="64"/>
      </bottom>
      <diagonal/>
    </border>
    <border>
      <left style="thin">
        <color indexed="8"/>
      </left>
      <right style="thin">
        <color indexed="8"/>
      </right>
      <top style="hair">
        <color indexed="8"/>
      </top>
      <bottom style="hair">
        <color indexed="8"/>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8"/>
      </left>
      <right style="thin">
        <color indexed="8"/>
      </right>
      <top style="hair">
        <color indexed="8"/>
      </top>
      <bottom/>
      <diagonal/>
    </border>
    <border>
      <left style="thin">
        <color indexed="8"/>
      </left>
      <right style="thin">
        <color indexed="8"/>
      </right>
      <top style="hair">
        <color indexed="8"/>
      </top>
      <bottom style="thin">
        <color indexed="8"/>
      </bottom>
      <diagonal/>
    </border>
    <border>
      <left style="thin">
        <color indexed="8"/>
      </left>
      <right style="thin">
        <color indexed="8"/>
      </right>
      <top/>
      <bottom style="hair">
        <color indexed="8"/>
      </bottom>
      <diagonal/>
    </border>
    <border>
      <left style="thin">
        <color auto="1"/>
      </left>
      <right style="thin">
        <color auto="1"/>
      </right>
      <top style="hair">
        <color auto="1"/>
      </top>
      <bottom style="hair">
        <color auto="1"/>
      </bottom>
      <diagonal/>
    </border>
    <border>
      <left style="thin">
        <color indexed="8"/>
      </left>
      <right style="thin">
        <color indexed="8"/>
      </right>
      <top style="hair">
        <color indexed="8"/>
      </top>
      <bottom style="thin">
        <color indexed="64"/>
      </bottom>
      <diagonal/>
    </border>
    <border>
      <left style="thin">
        <color indexed="64"/>
      </left>
      <right style="thin">
        <color indexed="8"/>
      </right>
      <top style="hair">
        <color indexed="8"/>
      </top>
      <bottom/>
      <diagonal/>
    </border>
    <border>
      <left/>
      <right style="thin">
        <color indexed="8"/>
      </right>
      <top/>
      <bottom/>
      <diagonal/>
    </border>
    <border>
      <left/>
      <right style="thin">
        <color indexed="8"/>
      </right>
      <top style="hair">
        <color indexed="8"/>
      </top>
      <bottom/>
      <diagonal/>
    </border>
    <border>
      <left style="thin">
        <color indexed="8"/>
      </left>
      <right/>
      <top style="thin">
        <color indexed="64"/>
      </top>
      <bottom style="hair">
        <color indexed="8"/>
      </bottom>
      <diagonal/>
    </border>
    <border>
      <left style="medium">
        <color indexed="64"/>
      </left>
      <right/>
      <top/>
      <bottom style="hair">
        <color indexed="64"/>
      </bottom>
      <diagonal/>
    </border>
    <border>
      <left/>
      <right style="thin">
        <color indexed="64"/>
      </right>
      <top/>
      <bottom style="hair">
        <color auto="1"/>
      </bottom>
      <diagonal/>
    </border>
    <border>
      <left style="medium">
        <color indexed="64"/>
      </left>
      <right/>
      <top style="hair">
        <color auto="1"/>
      </top>
      <bottom style="hair">
        <color auto="1"/>
      </bottom>
      <diagonal/>
    </border>
    <border>
      <left style="medium">
        <color indexed="64"/>
      </left>
      <right/>
      <top style="hair">
        <color auto="1"/>
      </top>
      <bottom style="medium">
        <color indexed="64"/>
      </bottom>
      <diagonal/>
    </border>
    <border>
      <left style="thin">
        <color indexed="64"/>
      </left>
      <right style="medium">
        <color indexed="64"/>
      </right>
      <top style="hair">
        <color auto="1"/>
      </top>
      <bottom style="hair">
        <color auto="1"/>
      </bottom>
      <diagonal/>
    </border>
    <border>
      <left style="thin">
        <color indexed="64"/>
      </left>
      <right style="thin">
        <color indexed="64"/>
      </right>
      <top style="hair">
        <color auto="1"/>
      </top>
      <bottom style="medium">
        <color indexed="64"/>
      </bottom>
      <diagonal/>
    </border>
    <border>
      <left style="thin">
        <color indexed="64"/>
      </left>
      <right style="medium">
        <color indexed="64"/>
      </right>
      <top style="hair">
        <color auto="1"/>
      </top>
      <bottom style="medium">
        <color indexed="64"/>
      </bottom>
      <diagonal/>
    </border>
    <border>
      <left/>
      <right/>
      <top style="thin">
        <color indexed="64"/>
      </top>
      <bottom style="thin">
        <color auto="1"/>
      </bottom>
      <diagonal/>
    </border>
    <border>
      <left style="thin">
        <color indexed="64"/>
      </left>
      <right style="thin">
        <color indexed="64"/>
      </right>
      <top style="thin">
        <color indexed="64"/>
      </top>
      <bottom style="thin">
        <color auto="1"/>
      </bottom>
      <diagonal/>
    </border>
    <border>
      <left/>
      <right style="thin">
        <color auto="1"/>
      </right>
      <top style="hair">
        <color auto="1"/>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hair">
        <color indexed="8"/>
      </top>
      <bottom style="hair">
        <color indexed="8"/>
      </bottom>
      <diagonal/>
    </border>
    <border>
      <left/>
      <right/>
      <top style="thin">
        <color indexed="64"/>
      </top>
      <bottom style="hair">
        <color auto="1"/>
      </bottom>
      <diagonal/>
    </border>
    <border>
      <left style="thin">
        <color indexed="64"/>
      </left>
      <right style="thin">
        <color indexed="8"/>
      </right>
      <top style="thin">
        <color indexed="64"/>
      </top>
      <bottom/>
      <diagonal/>
    </border>
    <border>
      <left style="thin">
        <color indexed="8"/>
      </left>
      <right style="thin">
        <color indexed="64"/>
      </right>
      <top style="thin">
        <color indexed="64"/>
      </top>
      <bottom/>
      <diagonal/>
    </border>
    <border>
      <left style="thin">
        <color indexed="64"/>
      </left>
      <right style="thin">
        <color indexed="8"/>
      </right>
      <top/>
      <bottom style="medium">
        <color indexed="64"/>
      </bottom>
      <diagonal/>
    </border>
    <border>
      <left style="thin">
        <color indexed="8"/>
      </left>
      <right style="thin">
        <color indexed="64"/>
      </right>
      <top/>
      <bottom style="medium">
        <color indexed="64"/>
      </bottom>
      <diagonal/>
    </border>
    <border>
      <left style="thin">
        <color indexed="64"/>
      </left>
      <right style="thin">
        <color indexed="8"/>
      </right>
      <top style="hair">
        <color indexed="8"/>
      </top>
      <bottom style="hair">
        <color indexed="8"/>
      </bottom>
      <diagonal/>
    </border>
    <border>
      <left style="thin">
        <color indexed="8"/>
      </left>
      <right style="thin">
        <color indexed="64"/>
      </right>
      <top style="hair">
        <color indexed="8"/>
      </top>
      <bottom style="hair">
        <color indexed="8"/>
      </bottom>
      <diagonal/>
    </border>
    <border>
      <left style="thin">
        <color indexed="64"/>
      </left>
      <right style="thin">
        <color indexed="8"/>
      </right>
      <top style="hair">
        <color indexed="8"/>
      </top>
      <bottom/>
      <diagonal/>
    </border>
    <border>
      <left style="thin">
        <color indexed="8"/>
      </left>
      <right style="thin">
        <color indexed="64"/>
      </right>
      <top style="hair">
        <color indexed="8"/>
      </top>
      <bottom/>
      <diagonal/>
    </border>
    <border>
      <left style="thin">
        <color indexed="64"/>
      </left>
      <right style="thin">
        <color indexed="8"/>
      </right>
      <top style="hair">
        <color indexed="64"/>
      </top>
      <bottom/>
      <diagonal/>
    </border>
    <border>
      <left style="thin">
        <color indexed="8"/>
      </left>
      <right style="thin">
        <color indexed="64"/>
      </right>
      <top style="hair">
        <color indexed="64"/>
      </top>
      <bottom/>
      <diagonal/>
    </border>
    <border>
      <left style="thin">
        <color indexed="64"/>
      </left>
      <right style="thin">
        <color indexed="8"/>
      </right>
      <top style="hair">
        <color indexed="64"/>
      </top>
      <bottom style="thin">
        <color indexed="64"/>
      </bottom>
      <diagonal/>
    </border>
    <border>
      <left/>
      <right style="thin">
        <color indexed="64"/>
      </right>
      <top style="hair">
        <color indexed="64"/>
      </top>
      <bottom style="thin">
        <color indexed="64"/>
      </bottom>
      <diagonal/>
    </border>
    <border>
      <left/>
      <right/>
      <top style="medium">
        <color indexed="64"/>
      </top>
      <bottom style="thin">
        <color auto="1"/>
      </bottom>
      <diagonal/>
    </border>
    <border>
      <left/>
      <right/>
      <top style="hair">
        <color auto="1"/>
      </top>
      <bottom style="hair">
        <color auto="1"/>
      </bottom>
      <diagonal/>
    </border>
    <border>
      <left/>
      <right/>
      <top style="hair">
        <color auto="1"/>
      </top>
      <bottom style="thin">
        <color indexed="64"/>
      </bottom>
      <diagonal/>
    </border>
    <border>
      <left style="medium">
        <color auto="1"/>
      </left>
      <right style="thin">
        <color auto="1"/>
      </right>
      <top style="hair">
        <color auto="1"/>
      </top>
      <bottom style="hair">
        <color auto="1"/>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hair">
        <color auto="1"/>
      </top>
      <bottom/>
      <diagonal/>
    </border>
    <border>
      <left/>
      <right style="thin">
        <color auto="1"/>
      </right>
      <top style="thin">
        <color indexed="64"/>
      </top>
      <bottom style="hair">
        <color indexed="64"/>
      </bottom>
      <diagonal/>
    </border>
    <border>
      <left style="thin">
        <color auto="1"/>
      </left>
      <right style="thin">
        <color auto="1"/>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style="thin">
        <color indexed="64"/>
      </top>
      <bottom style="hair">
        <color auto="1"/>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diagonal/>
    </border>
    <border>
      <left style="medium">
        <color indexed="64"/>
      </left>
      <right/>
      <top style="hair">
        <color auto="1"/>
      </top>
      <bottom style="hair">
        <color auto="1"/>
      </bottom>
      <diagonal/>
    </border>
    <border>
      <left style="thin">
        <color indexed="8"/>
      </left>
      <right style="thin">
        <color indexed="8"/>
      </right>
      <top style="hair">
        <color indexed="8"/>
      </top>
      <bottom style="hair">
        <color indexed="8"/>
      </bottom>
      <diagonal/>
    </border>
    <border>
      <left style="thin">
        <color auto="1"/>
      </left>
      <right style="thin">
        <color auto="1"/>
      </right>
      <top style="hair">
        <color auto="1"/>
      </top>
      <bottom style="hair">
        <color auto="1"/>
      </bottom>
      <diagonal/>
    </border>
    <border>
      <left style="thin">
        <color auto="1"/>
      </left>
      <right style="thin">
        <color indexed="64"/>
      </right>
      <top style="hair">
        <color auto="1"/>
      </top>
      <bottom style="thin">
        <color indexed="64"/>
      </bottom>
      <diagonal/>
    </border>
    <border>
      <left style="medium">
        <color indexed="64"/>
      </left>
      <right style="thin">
        <color indexed="8"/>
      </right>
      <top style="hair">
        <color indexed="8"/>
      </top>
      <bottom style="hair">
        <color indexed="8"/>
      </bottom>
      <diagonal/>
    </border>
    <border>
      <left style="thin">
        <color indexed="8"/>
      </left>
      <right/>
      <top style="hair">
        <color indexed="8"/>
      </top>
      <bottom style="hair">
        <color indexed="8"/>
      </bottom>
      <diagonal/>
    </border>
    <border>
      <left/>
      <right style="medium">
        <color indexed="64"/>
      </right>
      <top style="hair">
        <color indexed="8"/>
      </top>
      <bottom style="hair">
        <color indexed="8"/>
      </bottom>
      <diagonal/>
    </border>
    <border>
      <left style="thin">
        <color indexed="8"/>
      </left>
      <right style="thin">
        <color indexed="64"/>
      </right>
      <top style="hair">
        <color indexed="8"/>
      </top>
      <bottom style="hair">
        <color indexed="8"/>
      </bottom>
      <diagonal/>
    </border>
    <border>
      <left/>
      <right style="thin">
        <color indexed="8"/>
      </right>
      <top style="hair">
        <color indexed="8"/>
      </top>
      <bottom style="hair">
        <color indexed="8"/>
      </bottom>
      <diagonal/>
    </border>
    <border>
      <left/>
      <right style="medium">
        <color indexed="8"/>
      </right>
      <top style="hair">
        <color indexed="8"/>
      </top>
      <bottom style="hair">
        <color indexed="8"/>
      </bottom>
      <diagonal/>
    </border>
    <border>
      <left/>
      <right/>
      <top style="hair">
        <color indexed="8"/>
      </top>
      <bottom style="hair">
        <color indexed="8"/>
      </bottom>
      <diagonal/>
    </border>
    <border>
      <left/>
      <right style="medium">
        <color indexed="8"/>
      </right>
      <top style="hair">
        <color indexed="8"/>
      </top>
      <bottom/>
      <diagonal/>
    </border>
    <border>
      <left style="thin">
        <color auto="1"/>
      </left>
      <right style="medium">
        <color auto="1"/>
      </right>
      <top style="hair">
        <color auto="1"/>
      </top>
      <bottom style="hair">
        <color auto="1"/>
      </bottom>
      <diagonal/>
    </border>
    <border>
      <left style="thin">
        <color auto="1"/>
      </left>
      <right style="medium">
        <color auto="1"/>
      </right>
      <top style="medium">
        <color indexed="64"/>
      </top>
      <bottom style="hair">
        <color auto="1"/>
      </bottom>
      <diagonal/>
    </border>
    <border>
      <left style="thin">
        <color auto="1"/>
      </left>
      <right/>
      <top style="thin">
        <color auto="1"/>
      </top>
      <bottom style="thin">
        <color auto="1"/>
      </bottom>
      <diagonal/>
    </border>
    <border>
      <left/>
      <right/>
      <top style="hair">
        <color indexed="64"/>
      </top>
      <bottom style="hair">
        <color indexed="64"/>
      </bottom>
      <diagonal/>
    </border>
    <border>
      <left/>
      <right/>
      <top style="hair">
        <color indexed="64"/>
      </top>
      <bottom style="thin">
        <color auto="1"/>
      </bottom>
      <diagonal/>
    </border>
    <border>
      <left style="thin">
        <color auto="1"/>
      </left>
      <right style="thin">
        <color auto="1"/>
      </right>
      <top style="hair">
        <color auto="1"/>
      </top>
      <bottom style="hair">
        <color auto="1"/>
      </bottom>
      <diagonal/>
    </border>
    <border>
      <left style="thin">
        <color indexed="64"/>
      </left>
      <right style="thin">
        <color indexed="64"/>
      </right>
      <top style="hair">
        <color indexed="64"/>
      </top>
      <bottom/>
      <diagonal/>
    </border>
    <border>
      <left style="thin">
        <color auto="1"/>
      </left>
      <right style="thin">
        <color auto="1"/>
      </right>
      <top style="hair">
        <color auto="1"/>
      </top>
      <bottom style="thin">
        <color indexed="64"/>
      </bottom>
      <diagonal/>
    </border>
    <border>
      <left style="thin">
        <color auto="1"/>
      </left>
      <right style="thin">
        <color auto="1"/>
      </right>
      <top style="hair">
        <color auto="1"/>
      </top>
      <bottom style="hair">
        <color auto="1"/>
      </bottom>
      <diagonal/>
    </border>
    <border>
      <left/>
      <right/>
      <top style="hair">
        <color indexed="64"/>
      </top>
      <bottom style="hair">
        <color auto="1"/>
      </bottom>
      <diagonal/>
    </border>
    <border>
      <left/>
      <right/>
      <top style="hair">
        <color auto="1"/>
      </top>
      <bottom/>
      <diagonal/>
    </border>
    <border>
      <left/>
      <right/>
      <top/>
      <bottom style="hair">
        <color auto="1"/>
      </bottom>
      <diagonal/>
    </border>
    <border>
      <left style="thin">
        <color indexed="8"/>
      </left>
      <right/>
      <top/>
      <bottom style="hair">
        <color indexed="8"/>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medium">
        <color indexed="64"/>
      </top>
      <bottom/>
      <diagonal/>
    </border>
    <border>
      <left/>
      <right/>
      <top style="thin">
        <color indexed="64"/>
      </top>
      <bottom style="hair">
        <color indexed="64"/>
      </bottom>
      <diagonal/>
    </border>
    <border>
      <left style="double">
        <color indexed="64"/>
      </left>
      <right style="thin">
        <color indexed="64"/>
      </right>
      <top style="thin">
        <color indexed="64"/>
      </top>
      <bottom/>
      <diagonal/>
    </border>
    <border>
      <left/>
      <right style="thin">
        <color indexed="64"/>
      </right>
      <top/>
      <bottom/>
      <diagonal/>
    </border>
    <border>
      <left style="double">
        <color indexed="64"/>
      </left>
      <right/>
      <top style="double">
        <color indexed="64"/>
      </top>
      <bottom/>
      <diagonal/>
    </border>
    <border>
      <left/>
      <right style="double">
        <color indexed="64"/>
      </right>
      <top style="double">
        <color indexed="64"/>
      </top>
      <bottom/>
      <diagonal/>
    </border>
    <border>
      <left/>
      <right/>
      <top style="hair">
        <color auto="1"/>
      </top>
      <bottom style="thin">
        <color auto="1"/>
      </bottom>
      <diagonal/>
    </border>
    <border>
      <left/>
      <right/>
      <top style="hair">
        <color auto="1"/>
      </top>
      <bottom style="hair">
        <color auto="1"/>
      </bottom>
      <diagonal/>
    </border>
    <border>
      <left/>
      <right/>
      <top style="thin">
        <color auto="1"/>
      </top>
      <bottom/>
      <diagonal/>
    </border>
    <border>
      <left/>
      <right/>
      <top style="hair">
        <color auto="1"/>
      </top>
      <bottom style="hair">
        <color auto="1"/>
      </bottom>
      <diagonal/>
    </border>
    <border>
      <left style="thin">
        <color indexed="64"/>
      </left>
      <right style="thin">
        <color indexed="64"/>
      </right>
      <top style="hair">
        <color indexed="64"/>
      </top>
      <bottom/>
      <diagonal/>
    </border>
    <border>
      <left/>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right/>
      <top style="hair">
        <color auto="1"/>
      </top>
      <bottom style="thin">
        <color auto="1"/>
      </bottom>
      <diagonal/>
    </border>
    <border>
      <left style="medium">
        <color indexed="64"/>
      </left>
      <right/>
      <top style="hair">
        <color auto="1"/>
      </top>
      <bottom/>
      <diagonal/>
    </border>
    <border>
      <left/>
      <right/>
      <top style="hair">
        <color indexed="64"/>
      </top>
      <bottom style="hair">
        <color indexed="64"/>
      </bottom>
      <diagonal/>
    </border>
    <border>
      <left style="thin">
        <color indexed="8"/>
      </left>
      <right/>
      <top style="hair">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diagonal/>
    </border>
    <border>
      <left style="thin">
        <color auto="1"/>
      </left>
      <right style="thin">
        <color auto="1"/>
      </right>
      <top style="hair">
        <color auto="1"/>
      </top>
      <bottom style="hair">
        <color auto="1"/>
      </bottom>
      <diagonal/>
    </border>
    <border>
      <left style="thin">
        <color indexed="8"/>
      </left>
      <right style="thin">
        <color indexed="8"/>
      </right>
      <top style="hair">
        <color indexed="8"/>
      </top>
      <bottom style="hair">
        <color indexed="8"/>
      </bottom>
      <diagonal/>
    </border>
    <border>
      <left style="thin">
        <color auto="1"/>
      </left>
      <right style="thin">
        <color auto="1"/>
      </right>
      <top style="hair">
        <color auto="1"/>
      </top>
      <bottom style="hair">
        <color auto="1"/>
      </bottom>
      <diagonal/>
    </border>
    <border>
      <left/>
      <right/>
      <top style="hair">
        <color auto="1"/>
      </top>
      <bottom style="hair">
        <color auto="1"/>
      </bottom>
      <diagonal/>
    </border>
    <border>
      <left style="thin">
        <color indexed="8"/>
      </left>
      <right style="thin">
        <color indexed="64"/>
      </right>
      <top style="hair">
        <color indexed="8"/>
      </top>
      <bottom style="hair">
        <color indexed="8"/>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indexed="64"/>
      </left>
      <right style="thin">
        <color indexed="64"/>
      </right>
      <top/>
      <bottom style="thin">
        <color indexed="64"/>
      </bottom>
      <diagonal/>
    </border>
  </borders>
  <cellStyleXfs count="32310">
    <xf numFmtId="0" fontId="0" fillId="0" borderId="0">
      <alignment vertical="top"/>
    </xf>
    <xf numFmtId="0" fontId="29" fillId="2" borderId="0"/>
    <xf numFmtId="0" fontId="120" fillId="2" borderId="0"/>
    <xf numFmtId="168" fontId="30" fillId="0" borderId="0"/>
    <xf numFmtId="169" fontId="115" fillId="0" borderId="0" applyBorder="0"/>
    <xf numFmtId="170" fontId="115" fillId="0" borderId="0" applyFill="0" applyBorder="0" applyProtection="0">
      <alignment vertical="top"/>
    </xf>
    <xf numFmtId="172" fontId="115" fillId="0" borderId="0" applyFill="0" applyBorder="0" applyProtection="0">
      <alignment vertical="top"/>
    </xf>
    <xf numFmtId="9" fontId="115" fillId="0" borderId="0" applyFill="0" applyBorder="0" applyProtection="0">
      <alignment vertical="top"/>
    </xf>
    <xf numFmtId="176" fontId="115" fillId="0" borderId="0" applyFill="0" applyBorder="0" applyProtection="0">
      <alignment vertical="top"/>
    </xf>
    <xf numFmtId="177" fontId="115" fillId="0" borderId="0" applyFill="0" applyBorder="0" applyProtection="0">
      <alignment vertical="top"/>
    </xf>
    <xf numFmtId="177" fontId="115" fillId="0" borderId="0" applyFill="0" applyBorder="0" applyProtection="0">
      <alignment vertical="top"/>
    </xf>
    <xf numFmtId="177" fontId="115" fillId="0" borderId="0" applyFill="0" applyBorder="0" applyProtection="0">
      <alignment vertical="top"/>
    </xf>
    <xf numFmtId="178" fontId="115" fillId="0" borderId="0" applyFill="0" applyBorder="0" applyProtection="0">
      <alignment vertical="top"/>
    </xf>
    <xf numFmtId="179" fontId="115" fillId="0" borderId="0" applyFill="0" applyBorder="0" applyProtection="0">
      <alignment vertical="top"/>
    </xf>
    <xf numFmtId="180" fontId="115" fillId="0" borderId="0" applyFill="0" applyBorder="0" applyProtection="0">
      <alignment vertical="top"/>
    </xf>
    <xf numFmtId="180" fontId="115" fillId="0" borderId="0" applyFill="0" applyBorder="0" applyProtection="0">
      <alignment vertical="top"/>
    </xf>
    <xf numFmtId="180" fontId="115" fillId="0" borderId="0" applyFill="0" applyBorder="0" applyProtection="0">
      <alignment vertical="top"/>
    </xf>
    <xf numFmtId="179" fontId="115" fillId="0" borderId="0" applyFill="0" applyBorder="0" applyProtection="0">
      <alignment vertical="top"/>
    </xf>
    <xf numFmtId="179"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76" fontId="115" fillId="0" borderId="0" applyFill="0" applyBorder="0" applyProtection="0">
      <alignment vertical="top"/>
    </xf>
    <xf numFmtId="176" fontId="115" fillId="0" borderId="0" applyFill="0" applyBorder="0" applyProtection="0">
      <alignment vertical="top"/>
    </xf>
    <xf numFmtId="0" fontId="29" fillId="2" borderId="0"/>
    <xf numFmtId="178" fontId="115" fillId="0" borderId="0" applyFill="0" applyBorder="0" applyProtection="0">
      <alignment vertical="top"/>
    </xf>
    <xf numFmtId="167" fontId="115" fillId="0" borderId="0" applyFill="0" applyBorder="0" applyProtection="0">
      <alignment vertical="top"/>
    </xf>
    <xf numFmtId="182" fontId="115" fillId="0" borderId="0" applyFill="0" applyBorder="0" applyProtection="0">
      <alignment vertical="top"/>
    </xf>
    <xf numFmtId="182" fontId="115" fillId="0" borderId="0" applyFill="0" applyBorder="0" applyProtection="0">
      <alignment vertical="top"/>
    </xf>
    <xf numFmtId="182" fontId="115" fillId="0" borderId="0" applyFill="0" applyBorder="0" applyProtection="0">
      <alignment vertical="top"/>
    </xf>
    <xf numFmtId="167" fontId="115" fillId="0" borderId="0" applyFill="0" applyBorder="0" applyProtection="0">
      <alignment vertical="top"/>
    </xf>
    <xf numFmtId="167" fontId="115" fillId="0" borderId="0" applyFill="0" applyBorder="0" applyProtection="0">
      <alignment vertical="top"/>
    </xf>
    <xf numFmtId="182" fontId="115" fillId="0" borderId="0" applyFill="0" applyBorder="0" applyProtection="0">
      <alignment vertical="top"/>
    </xf>
    <xf numFmtId="182" fontId="115" fillId="0" borderId="0" applyFill="0" applyBorder="0" applyProtection="0">
      <alignment vertical="top"/>
    </xf>
    <xf numFmtId="182" fontId="115" fillId="0" borderId="0" applyFill="0" applyBorder="0" applyProtection="0">
      <alignment vertical="top"/>
    </xf>
    <xf numFmtId="167" fontId="115" fillId="0" borderId="0" applyFill="0" applyBorder="0" applyProtection="0">
      <alignment vertical="top"/>
    </xf>
    <xf numFmtId="167" fontId="115" fillId="0" borderId="0" applyFill="0" applyBorder="0" applyProtection="0">
      <alignment vertical="top"/>
    </xf>
    <xf numFmtId="183" fontId="115" fillId="0" borderId="0" applyFill="0" applyBorder="0" applyProtection="0">
      <alignment vertical="top"/>
    </xf>
    <xf numFmtId="184" fontId="115" fillId="0" borderId="0" applyFill="0" applyBorder="0" applyProtection="0">
      <alignment vertical="top"/>
    </xf>
    <xf numFmtId="184" fontId="115" fillId="0" borderId="0" applyFill="0" applyBorder="0" applyProtection="0">
      <alignment vertical="top"/>
    </xf>
    <xf numFmtId="184" fontId="115" fillId="0" borderId="0" applyFill="0" applyBorder="0" applyProtection="0">
      <alignment vertical="top"/>
    </xf>
    <xf numFmtId="183" fontId="115" fillId="0" borderId="0" applyFill="0" applyBorder="0" applyProtection="0">
      <alignment vertical="top"/>
    </xf>
    <xf numFmtId="183" fontId="115" fillId="0" borderId="0" applyFill="0" applyBorder="0" applyProtection="0">
      <alignment vertical="top"/>
    </xf>
    <xf numFmtId="167" fontId="115" fillId="0" borderId="0" applyFill="0" applyBorder="0" applyProtection="0">
      <alignment vertical="top"/>
    </xf>
    <xf numFmtId="185" fontId="115" fillId="0" borderId="0" applyFill="0" applyBorder="0" applyProtection="0">
      <alignment vertical="top"/>
    </xf>
    <xf numFmtId="186" fontId="115" fillId="0" borderId="0" applyFill="0" applyBorder="0" applyProtection="0">
      <alignment vertical="top"/>
    </xf>
    <xf numFmtId="186" fontId="115" fillId="0" borderId="0" applyFill="0" applyBorder="0" applyProtection="0">
      <alignment vertical="top"/>
    </xf>
    <xf numFmtId="186" fontId="115" fillId="0" borderId="0" applyFill="0" applyBorder="0" applyProtection="0">
      <alignment vertical="top"/>
    </xf>
    <xf numFmtId="185" fontId="115" fillId="0" borderId="0" applyFill="0" applyBorder="0" applyProtection="0">
      <alignment vertical="top"/>
    </xf>
    <xf numFmtId="187" fontId="115" fillId="0" borderId="0" applyFill="0" applyBorder="0" applyProtection="0">
      <alignment vertical="top"/>
    </xf>
    <xf numFmtId="173" fontId="115" fillId="0" borderId="0" applyFill="0" applyBorder="0" applyProtection="0">
      <alignment vertical="top"/>
    </xf>
    <xf numFmtId="188" fontId="115" fillId="0" borderId="0" applyFill="0" applyBorder="0" applyProtection="0">
      <alignment vertical="top"/>
    </xf>
    <xf numFmtId="188" fontId="115" fillId="0" borderId="0" applyFill="0" applyBorder="0" applyProtection="0">
      <alignment vertical="top"/>
    </xf>
    <xf numFmtId="188" fontId="115" fillId="0" borderId="0" applyFill="0" applyBorder="0" applyProtection="0">
      <alignment vertical="top"/>
    </xf>
    <xf numFmtId="173" fontId="115" fillId="0" borderId="0" applyFill="0" applyBorder="0" applyProtection="0">
      <alignment vertical="top"/>
    </xf>
    <xf numFmtId="173"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73" fontId="115" fillId="0" borderId="0" applyFill="0" applyBorder="0" applyProtection="0">
      <alignment vertical="top"/>
    </xf>
    <xf numFmtId="188" fontId="115" fillId="0" borderId="0" applyFill="0" applyBorder="0" applyProtection="0">
      <alignment vertical="top"/>
    </xf>
    <xf numFmtId="188" fontId="115" fillId="0" borderId="0" applyFill="0" applyBorder="0" applyProtection="0">
      <alignment vertical="top"/>
    </xf>
    <xf numFmtId="188" fontId="115" fillId="0" borderId="0" applyFill="0" applyBorder="0" applyProtection="0">
      <alignment vertical="top"/>
    </xf>
    <xf numFmtId="173" fontId="115" fillId="0" borderId="0" applyFill="0" applyBorder="0" applyProtection="0">
      <alignment vertical="top"/>
    </xf>
    <xf numFmtId="173" fontId="115" fillId="0" borderId="0" applyFill="0" applyBorder="0" applyProtection="0">
      <alignment vertical="top"/>
    </xf>
    <xf numFmtId="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92" fontId="115" fillId="0" borderId="0" applyFill="0" applyBorder="0" applyProtection="0">
      <alignment vertical="top"/>
    </xf>
    <xf numFmtId="193" fontId="115" fillId="0" borderId="0" applyFill="0" applyBorder="0" applyProtection="0">
      <alignment vertical="top"/>
    </xf>
    <xf numFmtId="193" fontId="115" fillId="0" borderId="0" applyFill="0" applyBorder="0" applyProtection="0">
      <alignment vertical="top"/>
    </xf>
    <xf numFmtId="193" fontId="115" fillId="0" borderId="0" applyFill="0" applyBorder="0" applyProtection="0">
      <alignment vertical="top"/>
    </xf>
    <xf numFmtId="192" fontId="115" fillId="0" borderId="0" applyFill="0" applyBorder="0" applyProtection="0">
      <alignment vertical="top"/>
    </xf>
    <xf numFmtId="192" fontId="115" fillId="0" borderId="0" applyFill="0" applyBorder="0" applyProtection="0">
      <alignment vertical="top"/>
    </xf>
    <xf numFmtId="194" fontId="115" fillId="0" borderId="0" applyFill="0" applyBorder="0" applyProtection="0">
      <alignment vertical="top"/>
    </xf>
    <xf numFmtId="195" fontId="115" fillId="0" borderId="0" applyFill="0" applyBorder="0" applyProtection="0">
      <alignment vertical="top"/>
    </xf>
    <xf numFmtId="195" fontId="115" fillId="0" borderId="0" applyFill="0" applyBorder="0" applyProtection="0">
      <alignment vertical="top"/>
    </xf>
    <xf numFmtId="195" fontId="115" fillId="0" borderId="0" applyFill="0" applyBorder="0" applyProtection="0">
      <alignment vertical="top"/>
    </xf>
    <xf numFmtId="194" fontId="115" fillId="0" borderId="0" applyFill="0" applyBorder="0" applyProtection="0">
      <alignment vertical="top"/>
    </xf>
    <xf numFmtId="194" fontId="115" fillId="0" borderId="0" applyFill="0" applyBorder="0" applyProtection="0">
      <alignment vertical="top"/>
    </xf>
    <xf numFmtId="187" fontId="115" fillId="0" borderId="0" applyFill="0" applyBorder="0" applyProtection="0">
      <alignment vertical="top"/>
    </xf>
    <xf numFmtId="185" fontId="115" fillId="0" borderId="0" applyFill="0" applyBorder="0" applyProtection="0">
      <alignment vertical="top"/>
    </xf>
    <xf numFmtId="185" fontId="115" fillId="0" borderId="0" applyFill="0" applyBorder="0" applyProtection="0">
      <alignment vertical="top"/>
    </xf>
    <xf numFmtId="175" fontId="115" fillId="0" borderId="0" applyFill="0" applyBorder="0" applyProtection="0">
      <alignment vertical="top"/>
    </xf>
    <xf numFmtId="196" fontId="115" fillId="0" borderId="0" applyFill="0" applyBorder="0" applyProtection="0">
      <alignment vertical="top"/>
    </xf>
    <xf numFmtId="196" fontId="115" fillId="0" borderId="0" applyFill="0" applyBorder="0" applyProtection="0">
      <alignment vertical="top"/>
    </xf>
    <xf numFmtId="196" fontId="115" fillId="0" borderId="0" applyFill="0" applyBorder="0" applyProtection="0">
      <alignment vertical="top"/>
    </xf>
    <xf numFmtId="175" fontId="115" fillId="0" borderId="0" applyFill="0" applyBorder="0" applyProtection="0">
      <alignment vertical="top"/>
    </xf>
    <xf numFmtId="178" fontId="115" fillId="0" borderId="0" applyFill="0" applyBorder="0" applyProtection="0">
      <alignment vertical="top"/>
    </xf>
    <xf numFmtId="176" fontId="115" fillId="0" borderId="0" applyFill="0" applyBorder="0" applyProtection="0">
      <alignment vertical="top"/>
    </xf>
    <xf numFmtId="177" fontId="115" fillId="0" borderId="0" applyFill="0" applyBorder="0" applyProtection="0">
      <alignment vertical="top"/>
    </xf>
    <xf numFmtId="177" fontId="115" fillId="0" borderId="0" applyFill="0" applyBorder="0" applyProtection="0">
      <alignment vertical="top"/>
    </xf>
    <xf numFmtId="177" fontId="115" fillId="0" borderId="0" applyFill="0" applyBorder="0" applyProtection="0">
      <alignment vertical="top"/>
    </xf>
    <xf numFmtId="178" fontId="115" fillId="0" borderId="0" applyFill="0" applyBorder="0" applyProtection="0">
      <alignment vertical="top"/>
    </xf>
    <xf numFmtId="179" fontId="115" fillId="0" borderId="0" applyFill="0" applyBorder="0" applyProtection="0">
      <alignment vertical="top"/>
    </xf>
    <xf numFmtId="180" fontId="115" fillId="0" borderId="0" applyFill="0" applyBorder="0" applyProtection="0">
      <alignment vertical="top"/>
    </xf>
    <xf numFmtId="180" fontId="115" fillId="0" borderId="0" applyFill="0" applyBorder="0" applyProtection="0">
      <alignment vertical="top"/>
    </xf>
    <xf numFmtId="180" fontId="115" fillId="0" borderId="0" applyFill="0" applyBorder="0" applyProtection="0">
      <alignment vertical="top"/>
    </xf>
    <xf numFmtId="179" fontId="115" fillId="0" borderId="0" applyFill="0" applyBorder="0" applyProtection="0">
      <alignment vertical="top"/>
    </xf>
    <xf numFmtId="179"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76" fontId="115" fillId="0" borderId="0" applyFill="0" applyBorder="0" applyProtection="0">
      <alignment vertical="top"/>
    </xf>
    <xf numFmtId="176" fontId="115" fillId="0" borderId="0" applyFill="0" applyBorder="0" applyProtection="0">
      <alignment vertical="top"/>
    </xf>
    <xf numFmtId="178" fontId="115" fillId="0" borderId="0" applyFill="0" applyBorder="0" applyProtection="0">
      <alignment vertical="top"/>
    </xf>
    <xf numFmtId="177" fontId="115" fillId="0" borderId="0" applyFill="0" applyBorder="0" applyProtection="0">
      <alignment vertical="top"/>
    </xf>
    <xf numFmtId="177" fontId="115" fillId="0" borderId="0" applyFill="0" applyBorder="0" applyProtection="0">
      <alignment vertical="top"/>
    </xf>
    <xf numFmtId="177" fontId="115" fillId="0" borderId="0" applyFill="0" applyBorder="0" applyProtection="0">
      <alignment vertical="top"/>
    </xf>
    <xf numFmtId="178" fontId="115" fillId="0" borderId="0" applyFill="0" applyBorder="0" applyProtection="0">
      <alignment vertical="top"/>
    </xf>
    <xf numFmtId="178" fontId="115" fillId="0" borderId="0" applyFill="0" applyBorder="0" applyProtection="0">
      <alignment vertical="top"/>
    </xf>
    <xf numFmtId="176" fontId="115" fillId="0" borderId="0" applyFill="0" applyBorder="0" applyProtection="0">
      <alignment vertical="top"/>
    </xf>
    <xf numFmtId="176"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76"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76" fontId="115" fillId="0" borderId="0" applyFill="0" applyBorder="0" applyProtection="0">
      <alignment vertical="top"/>
    </xf>
    <xf numFmtId="176" fontId="115" fillId="0" borderId="0" applyFill="0" applyBorder="0" applyProtection="0">
      <alignment vertical="top"/>
    </xf>
    <xf numFmtId="197" fontId="115" fillId="0" borderId="0" applyFill="0" applyBorder="0" applyProtection="0">
      <alignment vertical="top"/>
    </xf>
    <xf numFmtId="198" fontId="115" fillId="0" borderId="0" applyFill="0" applyBorder="0" applyProtection="0">
      <alignment vertical="top"/>
    </xf>
    <xf numFmtId="198" fontId="115" fillId="0" borderId="0" applyFill="0" applyBorder="0" applyProtection="0">
      <alignment vertical="top"/>
    </xf>
    <xf numFmtId="198" fontId="115" fillId="0" borderId="0" applyFill="0" applyBorder="0" applyProtection="0">
      <alignment vertical="top"/>
    </xf>
    <xf numFmtId="197" fontId="115" fillId="0" borderId="0" applyFill="0" applyBorder="0" applyProtection="0">
      <alignment vertical="top"/>
    </xf>
    <xf numFmtId="197" fontId="115" fillId="0" borderId="0" applyFill="0" applyBorder="0" applyProtection="0">
      <alignment vertical="top"/>
    </xf>
    <xf numFmtId="197" fontId="115" fillId="0" borderId="0" applyFill="0" applyBorder="0" applyProtection="0">
      <alignment vertical="top"/>
    </xf>
    <xf numFmtId="198" fontId="115" fillId="0" borderId="0" applyFill="0" applyBorder="0" applyProtection="0">
      <alignment vertical="top"/>
    </xf>
    <xf numFmtId="198" fontId="115" fillId="0" borderId="0" applyFill="0" applyBorder="0" applyProtection="0">
      <alignment vertical="top"/>
    </xf>
    <xf numFmtId="198" fontId="115" fillId="0" borderId="0" applyFill="0" applyBorder="0" applyProtection="0">
      <alignment vertical="top"/>
    </xf>
    <xf numFmtId="197" fontId="115" fillId="0" borderId="0" applyFill="0" applyBorder="0" applyProtection="0">
      <alignment vertical="top"/>
    </xf>
    <xf numFmtId="197" fontId="115" fillId="0" borderId="0" applyFill="0" applyBorder="0" applyProtection="0">
      <alignment vertical="top"/>
    </xf>
    <xf numFmtId="176"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76" fontId="115" fillId="0" borderId="0" applyFill="0" applyBorder="0" applyProtection="0">
      <alignment vertical="top"/>
    </xf>
    <xf numFmtId="176" fontId="115" fillId="0" borderId="0" applyFill="0" applyBorder="0" applyProtection="0">
      <alignment vertical="top"/>
    </xf>
    <xf numFmtId="176" fontId="115" fillId="0" borderId="0" applyFill="0" applyBorder="0" applyProtection="0">
      <alignment vertical="top"/>
    </xf>
    <xf numFmtId="199" fontId="115" fillId="0" borderId="0" applyFill="0" applyBorder="0" applyProtection="0">
      <alignment vertical="top"/>
    </xf>
    <xf numFmtId="200" fontId="115" fillId="0" borderId="0" applyFill="0" applyBorder="0" applyProtection="0">
      <alignment vertical="top"/>
    </xf>
    <xf numFmtId="200" fontId="115" fillId="0" borderId="0" applyFill="0" applyBorder="0" applyProtection="0">
      <alignment vertical="top"/>
    </xf>
    <xf numFmtId="200" fontId="115" fillId="0" borderId="0" applyFill="0" applyBorder="0" applyProtection="0">
      <alignment vertical="top"/>
    </xf>
    <xf numFmtId="199" fontId="115" fillId="0" borderId="0" applyFill="0" applyBorder="0" applyProtection="0">
      <alignment vertical="top"/>
    </xf>
    <xf numFmtId="199" fontId="115" fillId="0" borderId="0" applyFill="0" applyBorder="0" applyProtection="0">
      <alignment vertical="top"/>
    </xf>
    <xf numFmtId="178" fontId="115" fillId="0" borderId="0" applyFill="0" applyBorder="0" applyProtection="0">
      <alignment vertical="top"/>
    </xf>
    <xf numFmtId="178" fontId="115" fillId="0" borderId="0" applyFill="0" applyBorder="0" applyProtection="0">
      <alignment vertical="top"/>
    </xf>
    <xf numFmtId="175" fontId="115" fillId="0" borderId="0" applyFill="0" applyBorder="0" applyProtection="0">
      <alignment vertical="top"/>
    </xf>
    <xf numFmtId="187" fontId="115" fillId="0" borderId="0" applyFill="0" applyBorder="0" applyProtection="0">
      <alignment vertical="top"/>
    </xf>
    <xf numFmtId="173" fontId="115" fillId="0" borderId="0" applyFill="0" applyBorder="0" applyProtection="0">
      <alignment vertical="top"/>
    </xf>
    <xf numFmtId="188" fontId="115" fillId="0" borderId="0" applyFill="0" applyBorder="0" applyProtection="0">
      <alignment vertical="top"/>
    </xf>
    <xf numFmtId="188" fontId="115" fillId="0" borderId="0" applyFill="0" applyBorder="0" applyProtection="0">
      <alignment vertical="top"/>
    </xf>
    <xf numFmtId="188" fontId="115" fillId="0" borderId="0" applyFill="0" applyBorder="0" applyProtection="0">
      <alignment vertical="top"/>
    </xf>
    <xf numFmtId="173" fontId="115" fillId="0" borderId="0" applyFill="0" applyBorder="0" applyProtection="0">
      <alignment vertical="top"/>
    </xf>
    <xf numFmtId="173"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73" fontId="115" fillId="0" borderId="0" applyFill="0" applyBorder="0" applyProtection="0">
      <alignment vertical="top"/>
    </xf>
    <xf numFmtId="188" fontId="115" fillId="0" borderId="0" applyFill="0" applyBorder="0" applyProtection="0">
      <alignment vertical="top"/>
    </xf>
    <xf numFmtId="188" fontId="115" fillId="0" borderId="0" applyFill="0" applyBorder="0" applyProtection="0">
      <alignment vertical="top"/>
    </xf>
    <xf numFmtId="188" fontId="115" fillId="0" borderId="0" applyFill="0" applyBorder="0" applyProtection="0">
      <alignment vertical="top"/>
    </xf>
    <xf numFmtId="173" fontId="115" fillId="0" borderId="0" applyFill="0" applyBorder="0" applyProtection="0">
      <alignment vertical="top"/>
    </xf>
    <xf numFmtId="173" fontId="115" fillId="0" borderId="0" applyFill="0" applyBorder="0" applyProtection="0">
      <alignment vertical="top"/>
    </xf>
    <xf numFmtId="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92" fontId="115" fillId="0" borderId="0" applyFill="0" applyBorder="0" applyProtection="0">
      <alignment vertical="top"/>
    </xf>
    <xf numFmtId="193" fontId="115" fillId="0" borderId="0" applyFill="0" applyBorder="0" applyProtection="0">
      <alignment vertical="top"/>
    </xf>
    <xf numFmtId="193" fontId="115" fillId="0" borderId="0" applyFill="0" applyBorder="0" applyProtection="0">
      <alignment vertical="top"/>
    </xf>
    <xf numFmtId="193" fontId="115" fillId="0" borderId="0" applyFill="0" applyBorder="0" applyProtection="0">
      <alignment vertical="top"/>
    </xf>
    <xf numFmtId="192" fontId="115" fillId="0" borderId="0" applyFill="0" applyBorder="0" applyProtection="0">
      <alignment vertical="top"/>
    </xf>
    <xf numFmtId="192" fontId="115" fillId="0" borderId="0" applyFill="0" applyBorder="0" applyProtection="0">
      <alignment vertical="top"/>
    </xf>
    <xf numFmtId="185" fontId="115" fillId="0" borderId="0" applyFill="0" applyBorder="0" applyProtection="0">
      <alignment vertical="top"/>
    </xf>
    <xf numFmtId="186" fontId="115" fillId="0" borderId="0" applyFill="0" applyBorder="0" applyProtection="0">
      <alignment vertical="top"/>
    </xf>
    <xf numFmtId="186" fontId="115" fillId="0" borderId="0" applyFill="0" applyBorder="0" applyProtection="0">
      <alignment vertical="top"/>
    </xf>
    <xf numFmtId="186" fontId="115" fillId="0" borderId="0" applyFill="0" applyBorder="0" applyProtection="0">
      <alignment vertical="top"/>
    </xf>
    <xf numFmtId="185" fontId="115" fillId="0" borderId="0" applyFill="0" applyBorder="0" applyProtection="0">
      <alignment vertical="top"/>
    </xf>
    <xf numFmtId="185" fontId="115" fillId="0" borderId="0" applyFill="0" applyBorder="0" applyProtection="0">
      <alignment vertical="top"/>
    </xf>
    <xf numFmtId="194" fontId="115" fillId="0" borderId="0" applyFill="0" applyBorder="0" applyProtection="0">
      <alignment vertical="top"/>
    </xf>
    <xf numFmtId="195" fontId="115" fillId="0" borderId="0" applyFill="0" applyBorder="0" applyProtection="0">
      <alignment vertical="top"/>
    </xf>
    <xf numFmtId="195" fontId="115" fillId="0" borderId="0" applyFill="0" applyBorder="0" applyProtection="0">
      <alignment vertical="top"/>
    </xf>
    <xf numFmtId="195" fontId="115" fillId="0" borderId="0" applyFill="0" applyBorder="0" applyProtection="0">
      <alignment vertical="top"/>
    </xf>
    <xf numFmtId="194" fontId="115" fillId="0" borderId="0" applyFill="0" applyBorder="0" applyProtection="0">
      <alignment vertical="top"/>
    </xf>
    <xf numFmtId="194" fontId="115" fillId="0" borderId="0" applyFill="0" applyBorder="0" applyProtection="0">
      <alignment vertical="top"/>
    </xf>
    <xf numFmtId="187" fontId="115" fillId="0" borderId="0" applyFill="0" applyBorder="0" applyProtection="0">
      <alignment vertical="top"/>
    </xf>
    <xf numFmtId="185" fontId="115" fillId="0" borderId="0" applyFill="0" applyBorder="0" applyProtection="0">
      <alignment vertical="top"/>
    </xf>
    <xf numFmtId="201" fontId="115" fillId="0" borderId="0" applyFill="0" applyBorder="0" applyProtection="0">
      <alignment vertical="top"/>
    </xf>
    <xf numFmtId="174" fontId="115" fillId="0" borderId="0" applyFill="0" applyBorder="0" applyProtection="0">
      <alignment vertical="top"/>
    </xf>
    <xf numFmtId="202" fontId="115" fillId="0" borderId="0" applyFill="0" applyBorder="0" applyProtection="0">
      <alignment vertical="top"/>
    </xf>
    <xf numFmtId="202" fontId="115" fillId="0" borderId="0" applyFill="0" applyBorder="0" applyProtection="0">
      <alignment vertical="top"/>
    </xf>
    <xf numFmtId="202" fontId="115" fillId="0" borderId="0" applyFill="0" applyBorder="0" applyProtection="0">
      <alignment vertical="top"/>
    </xf>
    <xf numFmtId="174" fontId="115" fillId="0" borderId="0" applyFill="0" applyBorder="0" applyProtection="0">
      <alignment vertical="top"/>
    </xf>
    <xf numFmtId="174"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174" fontId="115" fillId="0" borderId="0" applyFill="0" applyBorder="0" applyProtection="0">
      <alignment vertical="top"/>
    </xf>
    <xf numFmtId="202" fontId="115" fillId="0" borderId="0" applyFill="0" applyBorder="0" applyProtection="0">
      <alignment vertical="top"/>
    </xf>
    <xf numFmtId="202" fontId="115" fillId="0" borderId="0" applyFill="0" applyBorder="0" applyProtection="0">
      <alignment vertical="top"/>
    </xf>
    <xf numFmtId="202" fontId="115" fillId="0" borderId="0" applyFill="0" applyBorder="0" applyProtection="0">
      <alignment vertical="top"/>
    </xf>
    <xf numFmtId="174" fontId="115" fillId="0" borderId="0" applyFill="0" applyBorder="0" applyProtection="0">
      <alignment vertical="top"/>
    </xf>
    <xf numFmtId="174" fontId="115" fillId="0" borderId="0" applyFill="0" applyBorder="0" applyProtection="0">
      <alignment vertical="top"/>
    </xf>
    <xf numFmtId="17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5" fontId="115" fillId="0" borderId="0" applyFill="0" applyBorder="0" applyProtection="0">
      <alignment vertical="top"/>
    </xf>
    <xf numFmtId="206" fontId="115" fillId="0" borderId="0" applyFill="0" applyBorder="0" applyProtection="0">
      <alignment vertical="top"/>
    </xf>
    <xf numFmtId="206" fontId="115" fillId="0" borderId="0" applyFill="0" applyBorder="0" applyProtection="0">
      <alignment vertical="top"/>
    </xf>
    <xf numFmtId="206" fontId="115" fillId="0" borderId="0" applyFill="0" applyBorder="0" applyProtection="0">
      <alignment vertical="top"/>
    </xf>
    <xf numFmtId="205" fontId="115" fillId="0" borderId="0" applyFill="0" applyBorder="0" applyProtection="0">
      <alignment vertical="top"/>
    </xf>
    <xf numFmtId="205"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207" fontId="115" fillId="0" borderId="0" applyFill="0" applyBorder="0" applyProtection="0">
      <alignment vertical="top"/>
    </xf>
    <xf numFmtId="208" fontId="115" fillId="0" borderId="0" applyFill="0" applyBorder="0" applyProtection="0">
      <alignment vertical="top"/>
    </xf>
    <xf numFmtId="208" fontId="115" fillId="0" borderId="0" applyFill="0" applyBorder="0" applyProtection="0">
      <alignment vertical="top"/>
    </xf>
    <xf numFmtId="208" fontId="115" fillId="0" borderId="0" applyFill="0" applyBorder="0" applyProtection="0">
      <alignment vertical="top"/>
    </xf>
    <xf numFmtId="207" fontId="115" fillId="0" borderId="0" applyFill="0" applyBorder="0" applyProtection="0">
      <alignment vertical="top"/>
    </xf>
    <xf numFmtId="207" fontId="115" fillId="0" borderId="0" applyFill="0" applyBorder="0" applyProtection="0">
      <alignment vertical="top"/>
    </xf>
    <xf numFmtId="209" fontId="115" fillId="0" borderId="0" applyFill="0" applyBorder="0" applyProtection="0">
      <alignment vertical="top"/>
    </xf>
    <xf numFmtId="210" fontId="115" fillId="0" borderId="0" applyFill="0" applyBorder="0" applyProtection="0">
      <alignment vertical="top"/>
    </xf>
    <xf numFmtId="210" fontId="115" fillId="0" borderId="0" applyFill="0" applyBorder="0" applyProtection="0">
      <alignment vertical="top"/>
    </xf>
    <xf numFmtId="210" fontId="115" fillId="0" borderId="0" applyFill="0" applyBorder="0" applyProtection="0">
      <alignment vertical="top"/>
    </xf>
    <xf numFmtId="209" fontId="115" fillId="0" borderId="0" applyFill="0" applyBorder="0" applyProtection="0">
      <alignment vertical="top"/>
    </xf>
    <xf numFmtId="209" fontId="115" fillId="0" borderId="0" applyFill="0" applyBorder="0" applyProtection="0">
      <alignment vertical="top"/>
    </xf>
    <xf numFmtId="201" fontId="115" fillId="0" borderId="0" applyFill="0" applyBorder="0" applyProtection="0">
      <alignment vertical="top"/>
    </xf>
    <xf numFmtId="175" fontId="115" fillId="0" borderId="0" applyFill="0" applyBorder="0" applyProtection="0">
      <alignment vertical="top"/>
    </xf>
    <xf numFmtId="176" fontId="115" fillId="0" borderId="0" applyFill="0" applyBorder="0" applyProtection="0">
      <alignment vertical="top"/>
    </xf>
    <xf numFmtId="177" fontId="115" fillId="0" borderId="0" applyFill="0" applyBorder="0" applyProtection="0">
      <alignment vertical="top"/>
    </xf>
    <xf numFmtId="177" fontId="115" fillId="0" borderId="0" applyFill="0" applyBorder="0" applyProtection="0">
      <alignment vertical="top"/>
    </xf>
    <xf numFmtId="177" fontId="115" fillId="0" borderId="0" applyFill="0" applyBorder="0" applyProtection="0">
      <alignment vertical="top"/>
    </xf>
    <xf numFmtId="178" fontId="115" fillId="0" borderId="0" applyFill="0" applyBorder="0" applyProtection="0">
      <alignment vertical="top"/>
    </xf>
    <xf numFmtId="179" fontId="115" fillId="0" borderId="0" applyFill="0" applyBorder="0" applyProtection="0">
      <alignment vertical="top"/>
    </xf>
    <xf numFmtId="180" fontId="115" fillId="0" borderId="0" applyFill="0" applyBorder="0" applyProtection="0">
      <alignment vertical="top"/>
    </xf>
    <xf numFmtId="180" fontId="115" fillId="0" borderId="0" applyFill="0" applyBorder="0" applyProtection="0">
      <alignment vertical="top"/>
    </xf>
    <xf numFmtId="180" fontId="115" fillId="0" borderId="0" applyFill="0" applyBorder="0" applyProtection="0">
      <alignment vertical="top"/>
    </xf>
    <xf numFmtId="179" fontId="115" fillId="0" borderId="0" applyFill="0" applyBorder="0" applyProtection="0">
      <alignment vertical="top"/>
    </xf>
    <xf numFmtId="179"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76" fontId="115" fillId="0" borderId="0" applyFill="0" applyBorder="0" applyProtection="0">
      <alignment vertical="top"/>
    </xf>
    <xf numFmtId="176" fontId="115" fillId="0" borderId="0" applyFill="0" applyBorder="0" applyProtection="0">
      <alignment vertical="top"/>
    </xf>
    <xf numFmtId="178" fontId="115" fillId="0" borderId="0" applyFill="0" applyBorder="0" applyProtection="0">
      <alignment vertical="top"/>
    </xf>
    <xf numFmtId="177" fontId="115" fillId="0" borderId="0" applyFill="0" applyBorder="0" applyProtection="0">
      <alignment vertical="top"/>
    </xf>
    <xf numFmtId="177" fontId="115" fillId="0" borderId="0" applyFill="0" applyBorder="0" applyProtection="0">
      <alignment vertical="top"/>
    </xf>
    <xf numFmtId="177" fontId="115" fillId="0" borderId="0" applyFill="0" applyBorder="0" applyProtection="0">
      <alignment vertical="top"/>
    </xf>
    <xf numFmtId="178" fontId="115" fillId="0" borderId="0" applyFill="0" applyBorder="0" applyProtection="0">
      <alignment vertical="top"/>
    </xf>
    <xf numFmtId="178" fontId="115" fillId="0" borderId="0" applyFill="0" applyBorder="0" applyProtection="0">
      <alignment vertical="top"/>
    </xf>
    <xf numFmtId="176" fontId="115" fillId="0" borderId="0" applyFill="0" applyBorder="0" applyProtection="0">
      <alignment vertical="top"/>
    </xf>
    <xf numFmtId="176"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76"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76" fontId="115" fillId="0" borderId="0" applyFill="0" applyBorder="0" applyProtection="0">
      <alignment vertical="top"/>
    </xf>
    <xf numFmtId="176" fontId="115" fillId="0" borderId="0" applyFill="0" applyBorder="0" applyProtection="0">
      <alignment vertical="top"/>
    </xf>
    <xf numFmtId="197" fontId="115" fillId="0" borderId="0" applyFill="0" applyBorder="0" applyProtection="0">
      <alignment vertical="top"/>
    </xf>
    <xf numFmtId="198" fontId="115" fillId="0" borderId="0" applyFill="0" applyBorder="0" applyProtection="0">
      <alignment vertical="top"/>
    </xf>
    <xf numFmtId="198" fontId="115" fillId="0" borderId="0" applyFill="0" applyBorder="0" applyProtection="0">
      <alignment vertical="top"/>
    </xf>
    <xf numFmtId="198" fontId="115" fillId="0" borderId="0" applyFill="0" applyBorder="0" applyProtection="0">
      <alignment vertical="top"/>
    </xf>
    <xf numFmtId="197" fontId="115" fillId="0" borderId="0" applyFill="0" applyBorder="0" applyProtection="0">
      <alignment vertical="top"/>
    </xf>
    <xf numFmtId="197" fontId="115" fillId="0" borderId="0" applyFill="0" applyBorder="0" applyProtection="0">
      <alignment vertical="top"/>
    </xf>
    <xf numFmtId="197" fontId="115" fillId="0" borderId="0" applyFill="0" applyBorder="0" applyProtection="0">
      <alignment vertical="top"/>
    </xf>
    <xf numFmtId="198" fontId="115" fillId="0" borderId="0" applyFill="0" applyBorder="0" applyProtection="0">
      <alignment vertical="top"/>
    </xf>
    <xf numFmtId="198" fontId="115" fillId="0" borderId="0" applyFill="0" applyBorder="0" applyProtection="0">
      <alignment vertical="top"/>
    </xf>
    <xf numFmtId="198" fontId="115" fillId="0" borderId="0" applyFill="0" applyBorder="0" applyProtection="0">
      <alignment vertical="top"/>
    </xf>
    <xf numFmtId="197" fontId="115" fillId="0" borderId="0" applyFill="0" applyBorder="0" applyProtection="0">
      <alignment vertical="top"/>
    </xf>
    <xf numFmtId="197" fontId="115" fillId="0" borderId="0" applyFill="0" applyBorder="0" applyProtection="0">
      <alignment vertical="top"/>
    </xf>
    <xf numFmtId="176"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76" fontId="115" fillId="0" borderId="0" applyFill="0" applyBorder="0" applyProtection="0">
      <alignment vertical="top"/>
    </xf>
    <xf numFmtId="176" fontId="115" fillId="0" borderId="0" applyFill="0" applyBorder="0" applyProtection="0">
      <alignment vertical="top"/>
    </xf>
    <xf numFmtId="176" fontId="115" fillId="0" borderId="0" applyFill="0" applyBorder="0" applyProtection="0">
      <alignment vertical="top"/>
    </xf>
    <xf numFmtId="199" fontId="115" fillId="0" borderId="0" applyFill="0" applyBorder="0" applyProtection="0">
      <alignment vertical="top"/>
    </xf>
    <xf numFmtId="200" fontId="115" fillId="0" borderId="0" applyFill="0" applyBorder="0" applyProtection="0">
      <alignment vertical="top"/>
    </xf>
    <xf numFmtId="200" fontId="115" fillId="0" borderId="0" applyFill="0" applyBorder="0" applyProtection="0">
      <alignment vertical="top"/>
    </xf>
    <xf numFmtId="200" fontId="115" fillId="0" borderId="0" applyFill="0" applyBorder="0" applyProtection="0">
      <alignment vertical="top"/>
    </xf>
    <xf numFmtId="199" fontId="115" fillId="0" borderId="0" applyFill="0" applyBorder="0" applyProtection="0">
      <alignment vertical="top"/>
    </xf>
    <xf numFmtId="199" fontId="115" fillId="0" borderId="0" applyFill="0" applyBorder="0" applyProtection="0">
      <alignment vertical="top"/>
    </xf>
    <xf numFmtId="175" fontId="115" fillId="0" borderId="0" applyFill="0" applyBorder="0" applyProtection="0">
      <alignment vertical="top"/>
    </xf>
    <xf numFmtId="196" fontId="115" fillId="0" borderId="0" applyFill="0" applyBorder="0" applyProtection="0">
      <alignment vertical="top"/>
    </xf>
    <xf numFmtId="196" fontId="115" fillId="0" borderId="0" applyFill="0" applyBorder="0" applyProtection="0">
      <alignment vertical="top"/>
    </xf>
    <xf numFmtId="196" fontId="115" fillId="0" borderId="0" applyFill="0" applyBorder="0" applyProtection="0">
      <alignment vertical="top"/>
    </xf>
    <xf numFmtId="175" fontId="115" fillId="0" borderId="0" applyFill="0" applyBorder="0" applyProtection="0">
      <alignment vertical="top"/>
    </xf>
    <xf numFmtId="175" fontId="115" fillId="0" borderId="0" applyFill="0" applyBorder="0" applyProtection="0">
      <alignment vertical="top"/>
    </xf>
    <xf numFmtId="178" fontId="115" fillId="0" borderId="0" applyFill="0" applyBorder="0" applyProtection="0">
      <alignment vertical="top"/>
    </xf>
    <xf numFmtId="178" fontId="115" fillId="0" borderId="0" applyFill="0" applyBorder="0" applyProtection="0">
      <alignment vertical="top"/>
    </xf>
    <xf numFmtId="185" fontId="115" fillId="0" borderId="0" applyFill="0" applyBorder="0" applyProtection="0">
      <alignment vertical="top"/>
    </xf>
    <xf numFmtId="201" fontId="115" fillId="0" borderId="0" applyFill="0" applyBorder="0" applyProtection="0">
      <alignment vertical="top"/>
    </xf>
    <xf numFmtId="174" fontId="115" fillId="0" borderId="0" applyFill="0" applyBorder="0" applyProtection="0">
      <alignment vertical="top"/>
    </xf>
    <xf numFmtId="202" fontId="115" fillId="0" borderId="0" applyFill="0" applyBorder="0" applyProtection="0">
      <alignment vertical="top"/>
    </xf>
    <xf numFmtId="202" fontId="115" fillId="0" borderId="0" applyFill="0" applyBorder="0" applyProtection="0">
      <alignment vertical="top"/>
    </xf>
    <xf numFmtId="202" fontId="115" fillId="0" borderId="0" applyFill="0" applyBorder="0" applyProtection="0">
      <alignment vertical="top"/>
    </xf>
    <xf numFmtId="174" fontId="115" fillId="0" borderId="0" applyFill="0" applyBorder="0" applyProtection="0">
      <alignment vertical="top"/>
    </xf>
    <xf numFmtId="174"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174" fontId="115" fillId="0" borderId="0" applyFill="0" applyBorder="0" applyProtection="0">
      <alignment vertical="top"/>
    </xf>
    <xf numFmtId="202" fontId="115" fillId="0" borderId="0" applyFill="0" applyBorder="0" applyProtection="0">
      <alignment vertical="top"/>
    </xf>
    <xf numFmtId="202" fontId="115" fillId="0" borderId="0" applyFill="0" applyBorder="0" applyProtection="0">
      <alignment vertical="top"/>
    </xf>
    <xf numFmtId="202" fontId="115" fillId="0" borderId="0" applyFill="0" applyBorder="0" applyProtection="0">
      <alignment vertical="top"/>
    </xf>
    <xf numFmtId="174" fontId="115" fillId="0" borderId="0" applyFill="0" applyBorder="0" applyProtection="0">
      <alignment vertical="top"/>
    </xf>
    <xf numFmtId="174" fontId="115" fillId="0" borderId="0" applyFill="0" applyBorder="0" applyProtection="0">
      <alignment vertical="top"/>
    </xf>
    <xf numFmtId="17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5" fontId="115" fillId="0" borderId="0" applyFill="0" applyBorder="0" applyProtection="0">
      <alignment vertical="top"/>
    </xf>
    <xf numFmtId="206" fontId="115" fillId="0" borderId="0" applyFill="0" applyBorder="0" applyProtection="0">
      <alignment vertical="top"/>
    </xf>
    <xf numFmtId="206" fontId="115" fillId="0" borderId="0" applyFill="0" applyBorder="0" applyProtection="0">
      <alignment vertical="top"/>
    </xf>
    <xf numFmtId="206" fontId="115" fillId="0" borderId="0" applyFill="0" applyBorder="0" applyProtection="0">
      <alignment vertical="top"/>
    </xf>
    <xf numFmtId="205" fontId="115" fillId="0" borderId="0" applyFill="0" applyBorder="0" applyProtection="0">
      <alignment vertical="top"/>
    </xf>
    <xf numFmtId="205"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207" fontId="115" fillId="0" borderId="0" applyFill="0" applyBorder="0" applyProtection="0">
      <alignment vertical="top"/>
    </xf>
    <xf numFmtId="208" fontId="115" fillId="0" borderId="0" applyFill="0" applyBorder="0" applyProtection="0">
      <alignment vertical="top"/>
    </xf>
    <xf numFmtId="208" fontId="115" fillId="0" borderId="0" applyFill="0" applyBorder="0" applyProtection="0">
      <alignment vertical="top"/>
    </xf>
    <xf numFmtId="208" fontId="115" fillId="0" borderId="0" applyFill="0" applyBorder="0" applyProtection="0">
      <alignment vertical="top"/>
    </xf>
    <xf numFmtId="207" fontId="115" fillId="0" borderId="0" applyFill="0" applyBorder="0" applyProtection="0">
      <alignment vertical="top"/>
    </xf>
    <xf numFmtId="207" fontId="115" fillId="0" borderId="0" applyFill="0" applyBorder="0" applyProtection="0">
      <alignment vertical="top"/>
    </xf>
    <xf numFmtId="209" fontId="115" fillId="0" borderId="0" applyFill="0" applyBorder="0" applyProtection="0">
      <alignment vertical="top"/>
    </xf>
    <xf numFmtId="210" fontId="115" fillId="0" borderId="0" applyFill="0" applyBorder="0" applyProtection="0">
      <alignment vertical="top"/>
    </xf>
    <xf numFmtId="210" fontId="115" fillId="0" borderId="0" applyFill="0" applyBorder="0" applyProtection="0">
      <alignment vertical="top"/>
    </xf>
    <xf numFmtId="210" fontId="115" fillId="0" borderId="0" applyFill="0" applyBorder="0" applyProtection="0">
      <alignment vertical="top"/>
    </xf>
    <xf numFmtId="209" fontId="115" fillId="0" borderId="0" applyFill="0" applyBorder="0" applyProtection="0">
      <alignment vertical="top"/>
    </xf>
    <xf numFmtId="209" fontId="115" fillId="0" borderId="0" applyFill="0" applyBorder="0" applyProtection="0">
      <alignment vertical="top"/>
    </xf>
    <xf numFmtId="201" fontId="115" fillId="0" borderId="0" applyFill="0" applyBorder="0" applyProtection="0">
      <alignment vertical="top"/>
    </xf>
    <xf numFmtId="175" fontId="115" fillId="0" borderId="0" applyFill="0" applyBorder="0" applyProtection="0">
      <alignment vertical="top"/>
    </xf>
    <xf numFmtId="187" fontId="115" fillId="0" borderId="0" applyFill="0" applyBorder="0" applyProtection="0">
      <alignment vertical="top"/>
    </xf>
    <xf numFmtId="173" fontId="115" fillId="0" borderId="0" applyFill="0" applyBorder="0" applyProtection="0">
      <alignment vertical="top"/>
    </xf>
    <xf numFmtId="188" fontId="115" fillId="0" borderId="0" applyFill="0" applyBorder="0" applyProtection="0">
      <alignment vertical="top"/>
    </xf>
    <xf numFmtId="188" fontId="115" fillId="0" borderId="0" applyFill="0" applyBorder="0" applyProtection="0">
      <alignment vertical="top"/>
    </xf>
    <xf numFmtId="188" fontId="115" fillId="0" borderId="0" applyFill="0" applyBorder="0" applyProtection="0">
      <alignment vertical="top"/>
    </xf>
    <xf numFmtId="173" fontId="115" fillId="0" borderId="0" applyFill="0" applyBorder="0" applyProtection="0">
      <alignment vertical="top"/>
    </xf>
    <xf numFmtId="173"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73" fontId="115" fillId="0" borderId="0" applyFill="0" applyBorder="0" applyProtection="0">
      <alignment vertical="top"/>
    </xf>
    <xf numFmtId="188" fontId="115" fillId="0" borderId="0" applyFill="0" applyBorder="0" applyProtection="0">
      <alignment vertical="top"/>
    </xf>
    <xf numFmtId="188" fontId="115" fillId="0" borderId="0" applyFill="0" applyBorder="0" applyProtection="0">
      <alignment vertical="top"/>
    </xf>
    <xf numFmtId="188" fontId="115" fillId="0" borderId="0" applyFill="0" applyBorder="0" applyProtection="0">
      <alignment vertical="top"/>
    </xf>
    <xf numFmtId="173" fontId="115" fillId="0" borderId="0" applyFill="0" applyBorder="0" applyProtection="0">
      <alignment vertical="top"/>
    </xf>
    <xf numFmtId="173" fontId="115" fillId="0" borderId="0" applyFill="0" applyBorder="0" applyProtection="0">
      <alignment vertical="top"/>
    </xf>
    <xf numFmtId="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92" fontId="115" fillId="0" borderId="0" applyFill="0" applyBorder="0" applyProtection="0">
      <alignment vertical="top"/>
    </xf>
    <xf numFmtId="193" fontId="115" fillId="0" borderId="0" applyFill="0" applyBorder="0" applyProtection="0">
      <alignment vertical="top"/>
    </xf>
    <xf numFmtId="193" fontId="115" fillId="0" borderId="0" applyFill="0" applyBorder="0" applyProtection="0">
      <alignment vertical="top"/>
    </xf>
    <xf numFmtId="193" fontId="115" fillId="0" borderId="0" applyFill="0" applyBorder="0" applyProtection="0">
      <alignment vertical="top"/>
    </xf>
    <xf numFmtId="192" fontId="115" fillId="0" borderId="0" applyFill="0" applyBorder="0" applyProtection="0">
      <alignment vertical="top"/>
    </xf>
    <xf numFmtId="192" fontId="115" fillId="0" borderId="0" applyFill="0" applyBorder="0" applyProtection="0">
      <alignment vertical="top"/>
    </xf>
    <xf numFmtId="194" fontId="115" fillId="0" borderId="0" applyFill="0" applyBorder="0" applyProtection="0">
      <alignment vertical="top"/>
    </xf>
    <xf numFmtId="195" fontId="115" fillId="0" borderId="0" applyFill="0" applyBorder="0" applyProtection="0">
      <alignment vertical="top"/>
    </xf>
    <xf numFmtId="195" fontId="115" fillId="0" borderId="0" applyFill="0" applyBorder="0" applyProtection="0">
      <alignment vertical="top"/>
    </xf>
    <xf numFmtId="195" fontId="115" fillId="0" borderId="0" applyFill="0" applyBorder="0" applyProtection="0">
      <alignment vertical="top"/>
    </xf>
    <xf numFmtId="194" fontId="115" fillId="0" borderId="0" applyFill="0" applyBorder="0" applyProtection="0">
      <alignment vertical="top"/>
    </xf>
    <xf numFmtId="194" fontId="115" fillId="0" borderId="0" applyFill="0" applyBorder="0" applyProtection="0">
      <alignment vertical="top"/>
    </xf>
    <xf numFmtId="187" fontId="115" fillId="0" borderId="0" applyFill="0" applyBorder="0" applyProtection="0">
      <alignment vertical="top"/>
    </xf>
    <xf numFmtId="185" fontId="115" fillId="0" borderId="0" applyFill="0" applyBorder="0" applyProtection="0">
      <alignment vertical="top"/>
    </xf>
    <xf numFmtId="175" fontId="115" fillId="0" borderId="0" applyFill="0" applyBorder="0" applyProtection="0">
      <alignment vertical="top"/>
    </xf>
    <xf numFmtId="196" fontId="115" fillId="0" borderId="0" applyFill="0" applyBorder="0" applyProtection="0">
      <alignment vertical="top"/>
    </xf>
    <xf numFmtId="196" fontId="115" fillId="0" borderId="0" applyFill="0" applyBorder="0" applyProtection="0">
      <alignment vertical="top"/>
    </xf>
    <xf numFmtId="196" fontId="115" fillId="0" borderId="0" applyFill="0" applyBorder="0" applyProtection="0">
      <alignment vertical="top"/>
    </xf>
    <xf numFmtId="175" fontId="115" fillId="0" borderId="0" applyFill="0" applyBorder="0" applyProtection="0">
      <alignment vertical="top"/>
    </xf>
    <xf numFmtId="175" fontId="115" fillId="0" borderId="0" applyFill="0" applyBorder="0" applyProtection="0">
      <alignment vertical="top"/>
    </xf>
    <xf numFmtId="167" fontId="115" fillId="0" borderId="0" applyFill="0" applyBorder="0" applyProtection="0">
      <alignment vertical="top"/>
    </xf>
    <xf numFmtId="182" fontId="115" fillId="0" borderId="0" applyFill="0" applyBorder="0" applyProtection="0">
      <alignment vertical="top"/>
    </xf>
    <xf numFmtId="182" fontId="115" fillId="0" borderId="0" applyFill="0" applyBorder="0" applyProtection="0">
      <alignment vertical="top"/>
    </xf>
    <xf numFmtId="182" fontId="115" fillId="0" borderId="0" applyFill="0" applyBorder="0" applyProtection="0">
      <alignment vertical="top"/>
    </xf>
    <xf numFmtId="167" fontId="115" fillId="0" borderId="0" applyFill="0" applyBorder="0" applyProtection="0">
      <alignment vertical="top"/>
    </xf>
    <xf numFmtId="167" fontId="115" fillId="0" borderId="0" applyFill="0" applyBorder="0" applyProtection="0">
      <alignment vertical="top"/>
    </xf>
    <xf numFmtId="182" fontId="115" fillId="0" borderId="0" applyFill="0" applyBorder="0" applyProtection="0">
      <alignment vertical="top"/>
    </xf>
    <xf numFmtId="182" fontId="115" fillId="0" borderId="0" applyFill="0" applyBorder="0" applyProtection="0">
      <alignment vertical="top"/>
    </xf>
    <xf numFmtId="182" fontId="115" fillId="0" borderId="0" applyFill="0" applyBorder="0" applyProtection="0">
      <alignment vertical="top"/>
    </xf>
    <xf numFmtId="167" fontId="115" fillId="0" borderId="0" applyFill="0" applyBorder="0" applyProtection="0">
      <alignment vertical="top"/>
    </xf>
    <xf numFmtId="167" fontId="115" fillId="0" borderId="0" applyFill="0" applyBorder="0" applyProtection="0">
      <alignment vertical="top"/>
    </xf>
    <xf numFmtId="183" fontId="115" fillId="0" borderId="0" applyFill="0" applyBorder="0" applyProtection="0">
      <alignment vertical="top"/>
    </xf>
    <xf numFmtId="184" fontId="115" fillId="0" borderId="0" applyFill="0" applyBorder="0" applyProtection="0">
      <alignment vertical="top"/>
    </xf>
    <xf numFmtId="184" fontId="115" fillId="0" borderId="0" applyFill="0" applyBorder="0" applyProtection="0">
      <alignment vertical="top"/>
    </xf>
    <xf numFmtId="184" fontId="115" fillId="0" borderId="0" applyFill="0" applyBorder="0" applyProtection="0">
      <alignment vertical="top"/>
    </xf>
    <xf numFmtId="183" fontId="115" fillId="0" borderId="0" applyFill="0" applyBorder="0" applyProtection="0">
      <alignment vertical="top"/>
    </xf>
    <xf numFmtId="183" fontId="115" fillId="0" borderId="0" applyFill="0" applyBorder="0" applyProtection="0">
      <alignment vertical="top"/>
    </xf>
    <xf numFmtId="167" fontId="115" fillId="0" borderId="0" applyFill="0" applyBorder="0" applyProtection="0">
      <alignment vertical="top"/>
    </xf>
    <xf numFmtId="186" fontId="115" fillId="0" borderId="0" applyFill="0" applyBorder="0" applyProtection="0">
      <alignment vertical="top"/>
    </xf>
    <xf numFmtId="186" fontId="115" fillId="0" borderId="0" applyFill="0" applyBorder="0" applyProtection="0">
      <alignment vertical="top"/>
    </xf>
    <xf numFmtId="186" fontId="115" fillId="0" borderId="0" applyFill="0" applyBorder="0" applyProtection="0">
      <alignment vertical="top"/>
    </xf>
    <xf numFmtId="185" fontId="115" fillId="0" borderId="0" applyFill="0" applyBorder="0" applyProtection="0">
      <alignment vertical="top"/>
    </xf>
    <xf numFmtId="185" fontId="115" fillId="0" borderId="0" applyFill="0" applyBorder="0" applyProtection="0">
      <alignment vertical="top"/>
    </xf>
    <xf numFmtId="178" fontId="115" fillId="0" borderId="0" applyFill="0" applyBorder="0" applyProtection="0">
      <alignment vertical="top"/>
    </xf>
    <xf numFmtId="177" fontId="115" fillId="0" borderId="0" applyFill="0" applyBorder="0" applyProtection="0">
      <alignment vertical="top"/>
    </xf>
    <xf numFmtId="177" fontId="115" fillId="0" borderId="0" applyFill="0" applyBorder="0" applyProtection="0">
      <alignment vertical="top"/>
    </xf>
    <xf numFmtId="177" fontId="115" fillId="0" borderId="0" applyFill="0" applyBorder="0" applyProtection="0">
      <alignment vertical="top"/>
    </xf>
    <xf numFmtId="178" fontId="115" fillId="0" borderId="0" applyFill="0" applyBorder="0" applyProtection="0">
      <alignment vertical="top"/>
    </xf>
    <xf numFmtId="178" fontId="115" fillId="0" borderId="0" applyFill="0" applyBorder="0" applyProtection="0">
      <alignment vertical="top"/>
    </xf>
    <xf numFmtId="178" fontId="115" fillId="0" borderId="0" applyFill="0" applyBorder="0" applyProtection="0">
      <alignment vertical="top"/>
    </xf>
    <xf numFmtId="176" fontId="115" fillId="0" borderId="0" applyFill="0" applyBorder="0" applyProtection="0">
      <alignment vertical="top"/>
    </xf>
    <xf numFmtId="176"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76"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76" fontId="115" fillId="0" borderId="0" applyFill="0" applyBorder="0" applyProtection="0">
      <alignment vertical="top"/>
    </xf>
    <xf numFmtId="176" fontId="115" fillId="0" borderId="0" applyFill="0" applyBorder="0" applyProtection="0">
      <alignment vertical="top"/>
    </xf>
    <xf numFmtId="197" fontId="115" fillId="0" borderId="0" applyFill="0" applyBorder="0" applyProtection="0">
      <alignment vertical="top"/>
    </xf>
    <xf numFmtId="198" fontId="115" fillId="0" borderId="0" applyFill="0" applyBorder="0" applyProtection="0">
      <alignment vertical="top"/>
    </xf>
    <xf numFmtId="198" fontId="115" fillId="0" borderId="0" applyFill="0" applyBorder="0" applyProtection="0">
      <alignment vertical="top"/>
    </xf>
    <xf numFmtId="198" fontId="115" fillId="0" borderId="0" applyFill="0" applyBorder="0" applyProtection="0">
      <alignment vertical="top"/>
    </xf>
    <xf numFmtId="197" fontId="115" fillId="0" borderId="0" applyFill="0" applyBorder="0" applyProtection="0">
      <alignment vertical="top"/>
    </xf>
    <xf numFmtId="197" fontId="115" fillId="0" borderId="0" applyFill="0" applyBorder="0" applyProtection="0">
      <alignment vertical="top"/>
    </xf>
    <xf numFmtId="197" fontId="115" fillId="0" borderId="0" applyFill="0" applyBorder="0" applyProtection="0">
      <alignment vertical="top"/>
    </xf>
    <xf numFmtId="198" fontId="115" fillId="0" borderId="0" applyFill="0" applyBorder="0" applyProtection="0">
      <alignment vertical="top"/>
    </xf>
    <xf numFmtId="198" fontId="115" fillId="0" borderId="0" applyFill="0" applyBorder="0" applyProtection="0">
      <alignment vertical="top"/>
    </xf>
    <xf numFmtId="198" fontId="115" fillId="0" borderId="0" applyFill="0" applyBorder="0" applyProtection="0">
      <alignment vertical="top"/>
    </xf>
    <xf numFmtId="197" fontId="115" fillId="0" borderId="0" applyFill="0" applyBorder="0" applyProtection="0">
      <alignment vertical="top"/>
    </xf>
    <xf numFmtId="197" fontId="115" fillId="0" borderId="0" applyFill="0" applyBorder="0" applyProtection="0">
      <alignment vertical="top"/>
    </xf>
    <xf numFmtId="176"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81" fontId="115" fillId="0" borderId="0" applyFill="0" applyBorder="0" applyProtection="0">
      <alignment vertical="top"/>
    </xf>
    <xf numFmtId="176" fontId="115" fillId="0" borderId="0" applyFill="0" applyBorder="0" applyProtection="0">
      <alignment vertical="top"/>
    </xf>
    <xf numFmtId="176" fontId="115" fillId="0" borderId="0" applyFill="0" applyBorder="0" applyProtection="0">
      <alignment vertical="top"/>
    </xf>
    <xf numFmtId="176" fontId="115" fillId="0" borderId="0" applyFill="0" applyBorder="0" applyProtection="0">
      <alignment vertical="top"/>
    </xf>
    <xf numFmtId="199" fontId="115" fillId="0" borderId="0" applyFill="0" applyBorder="0" applyProtection="0">
      <alignment vertical="top"/>
    </xf>
    <xf numFmtId="200" fontId="115" fillId="0" borderId="0" applyFill="0" applyBorder="0" applyProtection="0">
      <alignment vertical="top"/>
    </xf>
    <xf numFmtId="200" fontId="115" fillId="0" borderId="0" applyFill="0" applyBorder="0" applyProtection="0">
      <alignment vertical="top"/>
    </xf>
    <xf numFmtId="200" fontId="115" fillId="0" borderId="0" applyFill="0" applyBorder="0" applyProtection="0">
      <alignment vertical="top"/>
    </xf>
    <xf numFmtId="199" fontId="115" fillId="0" borderId="0" applyFill="0" applyBorder="0" applyProtection="0">
      <alignment vertical="top"/>
    </xf>
    <xf numFmtId="199" fontId="115" fillId="0" borderId="0" applyFill="0" applyBorder="0" applyProtection="0">
      <alignment vertical="top"/>
    </xf>
    <xf numFmtId="175" fontId="115" fillId="0" borderId="0" applyFill="0" applyBorder="0" applyProtection="0">
      <alignment vertical="top"/>
    </xf>
    <xf numFmtId="201" fontId="115" fillId="0" borderId="0" applyFill="0" applyBorder="0" applyProtection="0">
      <alignment vertical="top"/>
    </xf>
    <xf numFmtId="174" fontId="115" fillId="0" borderId="0" applyFill="0" applyBorder="0" applyProtection="0">
      <alignment vertical="top"/>
    </xf>
    <xf numFmtId="202" fontId="115" fillId="0" borderId="0" applyFill="0" applyBorder="0" applyProtection="0">
      <alignment vertical="top"/>
    </xf>
    <xf numFmtId="202" fontId="115" fillId="0" borderId="0" applyFill="0" applyBorder="0" applyProtection="0">
      <alignment vertical="top"/>
    </xf>
    <xf numFmtId="202" fontId="115" fillId="0" borderId="0" applyFill="0" applyBorder="0" applyProtection="0">
      <alignment vertical="top"/>
    </xf>
    <xf numFmtId="174" fontId="115" fillId="0" borderId="0" applyFill="0" applyBorder="0" applyProtection="0">
      <alignment vertical="top"/>
    </xf>
    <xf numFmtId="174"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174" fontId="115" fillId="0" borderId="0" applyFill="0" applyBorder="0" applyProtection="0">
      <alignment vertical="top"/>
    </xf>
    <xf numFmtId="202" fontId="115" fillId="0" borderId="0" applyFill="0" applyBorder="0" applyProtection="0">
      <alignment vertical="top"/>
    </xf>
    <xf numFmtId="202" fontId="115" fillId="0" borderId="0" applyFill="0" applyBorder="0" applyProtection="0">
      <alignment vertical="top"/>
    </xf>
    <xf numFmtId="202" fontId="115" fillId="0" borderId="0" applyFill="0" applyBorder="0" applyProtection="0">
      <alignment vertical="top"/>
    </xf>
    <xf numFmtId="174" fontId="115" fillId="0" borderId="0" applyFill="0" applyBorder="0" applyProtection="0">
      <alignment vertical="top"/>
    </xf>
    <xf numFmtId="174" fontId="115" fillId="0" borderId="0" applyFill="0" applyBorder="0" applyProtection="0">
      <alignment vertical="top"/>
    </xf>
    <xf numFmtId="17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5" fontId="115" fillId="0" borderId="0" applyFill="0" applyBorder="0" applyProtection="0">
      <alignment vertical="top"/>
    </xf>
    <xf numFmtId="206" fontId="115" fillId="0" borderId="0" applyFill="0" applyBorder="0" applyProtection="0">
      <alignment vertical="top"/>
    </xf>
    <xf numFmtId="206" fontId="115" fillId="0" borderId="0" applyFill="0" applyBorder="0" applyProtection="0">
      <alignment vertical="top"/>
    </xf>
    <xf numFmtId="206" fontId="115" fillId="0" borderId="0" applyFill="0" applyBorder="0" applyProtection="0">
      <alignment vertical="top"/>
    </xf>
    <xf numFmtId="205" fontId="115" fillId="0" borderId="0" applyFill="0" applyBorder="0" applyProtection="0">
      <alignment vertical="top"/>
    </xf>
    <xf numFmtId="205"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207" fontId="115" fillId="0" borderId="0" applyFill="0" applyBorder="0" applyProtection="0">
      <alignment vertical="top"/>
    </xf>
    <xf numFmtId="208" fontId="115" fillId="0" borderId="0" applyFill="0" applyBorder="0" applyProtection="0">
      <alignment vertical="top"/>
    </xf>
    <xf numFmtId="208" fontId="115" fillId="0" borderId="0" applyFill="0" applyBorder="0" applyProtection="0">
      <alignment vertical="top"/>
    </xf>
    <xf numFmtId="208" fontId="115" fillId="0" borderId="0" applyFill="0" applyBorder="0" applyProtection="0">
      <alignment vertical="top"/>
    </xf>
    <xf numFmtId="207" fontId="115" fillId="0" borderId="0" applyFill="0" applyBorder="0" applyProtection="0">
      <alignment vertical="top"/>
    </xf>
    <xf numFmtId="207" fontId="115" fillId="0" borderId="0" applyFill="0" applyBorder="0" applyProtection="0">
      <alignment vertical="top"/>
    </xf>
    <xf numFmtId="209" fontId="115" fillId="0" borderId="0" applyFill="0" applyBorder="0" applyProtection="0">
      <alignment vertical="top"/>
    </xf>
    <xf numFmtId="210" fontId="115" fillId="0" borderId="0" applyFill="0" applyBorder="0" applyProtection="0">
      <alignment vertical="top"/>
    </xf>
    <xf numFmtId="210" fontId="115" fillId="0" borderId="0" applyFill="0" applyBorder="0" applyProtection="0">
      <alignment vertical="top"/>
    </xf>
    <xf numFmtId="210" fontId="115" fillId="0" borderId="0" applyFill="0" applyBorder="0" applyProtection="0">
      <alignment vertical="top"/>
    </xf>
    <xf numFmtId="209" fontId="115" fillId="0" borderId="0" applyFill="0" applyBorder="0" applyProtection="0">
      <alignment vertical="top"/>
    </xf>
    <xf numFmtId="209" fontId="115" fillId="0" borderId="0" applyFill="0" applyBorder="0" applyProtection="0">
      <alignment vertical="top"/>
    </xf>
    <xf numFmtId="201" fontId="115" fillId="0" borderId="0" applyFill="0" applyBorder="0" applyProtection="0">
      <alignment vertical="top"/>
    </xf>
    <xf numFmtId="175" fontId="115" fillId="0" borderId="0" applyFill="0" applyBorder="0" applyProtection="0">
      <alignment vertical="top"/>
    </xf>
    <xf numFmtId="187" fontId="115" fillId="0" borderId="0" applyFill="0" applyBorder="0" applyProtection="0">
      <alignment vertical="top"/>
    </xf>
    <xf numFmtId="173" fontId="115" fillId="0" borderId="0" applyFill="0" applyBorder="0" applyProtection="0">
      <alignment vertical="top"/>
    </xf>
    <xf numFmtId="188" fontId="115" fillId="0" borderId="0" applyFill="0" applyBorder="0" applyProtection="0">
      <alignment vertical="top"/>
    </xf>
    <xf numFmtId="188" fontId="115" fillId="0" borderId="0" applyFill="0" applyBorder="0" applyProtection="0">
      <alignment vertical="top"/>
    </xf>
    <xf numFmtId="188" fontId="115" fillId="0" borderId="0" applyFill="0" applyBorder="0" applyProtection="0">
      <alignment vertical="top"/>
    </xf>
    <xf numFmtId="173" fontId="115" fillId="0" borderId="0" applyFill="0" applyBorder="0" applyProtection="0">
      <alignment vertical="top"/>
    </xf>
    <xf numFmtId="173"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73" fontId="115" fillId="0" borderId="0" applyFill="0" applyBorder="0" applyProtection="0">
      <alignment vertical="top"/>
    </xf>
    <xf numFmtId="188" fontId="115" fillId="0" borderId="0" applyFill="0" applyBorder="0" applyProtection="0">
      <alignment vertical="top"/>
    </xf>
    <xf numFmtId="188" fontId="115" fillId="0" borderId="0" applyFill="0" applyBorder="0" applyProtection="0">
      <alignment vertical="top"/>
    </xf>
    <xf numFmtId="188" fontId="115" fillId="0" borderId="0" applyFill="0" applyBorder="0" applyProtection="0">
      <alignment vertical="top"/>
    </xf>
    <xf numFmtId="173" fontId="115" fillId="0" borderId="0" applyFill="0" applyBorder="0" applyProtection="0">
      <alignment vertical="top"/>
    </xf>
    <xf numFmtId="173" fontId="115" fillId="0" borderId="0" applyFill="0" applyBorder="0" applyProtection="0">
      <alignment vertical="top"/>
    </xf>
    <xf numFmtId="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87" fontId="115" fillId="0" borderId="0" applyFill="0" applyBorder="0" applyProtection="0">
      <alignment vertical="top"/>
    </xf>
    <xf numFmtId="189"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90" fontId="115" fillId="0" borderId="0" applyFill="0" applyBorder="0" applyProtection="0">
      <alignment vertical="top"/>
    </xf>
    <xf numFmtId="187"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91" fontId="115" fillId="0" borderId="0" applyFill="0" applyBorder="0" applyProtection="0">
      <alignment vertical="top"/>
    </xf>
    <xf numFmtId="189" fontId="115" fillId="0" borderId="0" applyFill="0" applyBorder="0" applyProtection="0">
      <alignment vertical="top"/>
    </xf>
    <xf numFmtId="189" fontId="115" fillId="0" borderId="0" applyFill="0" applyBorder="0" applyProtection="0">
      <alignment vertical="top"/>
    </xf>
    <xf numFmtId="187" fontId="115" fillId="0" borderId="0" applyFill="0" applyBorder="0" applyProtection="0">
      <alignment vertical="top"/>
    </xf>
    <xf numFmtId="192" fontId="115" fillId="0" borderId="0" applyFill="0" applyBorder="0" applyProtection="0">
      <alignment vertical="top"/>
    </xf>
    <xf numFmtId="193" fontId="115" fillId="0" borderId="0" applyFill="0" applyBorder="0" applyProtection="0">
      <alignment vertical="top"/>
    </xf>
    <xf numFmtId="193" fontId="115" fillId="0" borderId="0" applyFill="0" applyBorder="0" applyProtection="0">
      <alignment vertical="top"/>
    </xf>
    <xf numFmtId="193" fontId="115" fillId="0" borderId="0" applyFill="0" applyBorder="0" applyProtection="0">
      <alignment vertical="top"/>
    </xf>
    <xf numFmtId="192" fontId="115" fillId="0" borderId="0" applyFill="0" applyBorder="0" applyProtection="0">
      <alignment vertical="top"/>
    </xf>
    <xf numFmtId="192" fontId="115" fillId="0" borderId="0" applyFill="0" applyBorder="0" applyProtection="0">
      <alignment vertical="top"/>
    </xf>
    <xf numFmtId="194" fontId="115" fillId="0" borderId="0" applyFill="0" applyBorder="0" applyProtection="0">
      <alignment vertical="top"/>
    </xf>
    <xf numFmtId="195" fontId="115" fillId="0" borderId="0" applyFill="0" applyBorder="0" applyProtection="0">
      <alignment vertical="top"/>
    </xf>
    <xf numFmtId="195" fontId="115" fillId="0" borderId="0" applyFill="0" applyBorder="0" applyProtection="0">
      <alignment vertical="top"/>
    </xf>
    <xf numFmtId="195" fontId="115" fillId="0" borderId="0" applyFill="0" applyBorder="0" applyProtection="0">
      <alignment vertical="top"/>
    </xf>
    <xf numFmtId="194" fontId="115" fillId="0" borderId="0" applyFill="0" applyBorder="0" applyProtection="0">
      <alignment vertical="top"/>
    </xf>
    <xf numFmtId="194" fontId="115" fillId="0" borderId="0" applyFill="0" applyBorder="0" applyProtection="0">
      <alignment vertical="top"/>
    </xf>
    <xf numFmtId="187" fontId="115" fillId="0" borderId="0" applyFill="0" applyBorder="0" applyProtection="0">
      <alignment vertical="top"/>
    </xf>
    <xf numFmtId="185" fontId="115" fillId="0" borderId="0" applyFill="0" applyBorder="0" applyProtection="0">
      <alignment vertical="top"/>
    </xf>
    <xf numFmtId="167" fontId="115" fillId="0" borderId="0" applyFill="0" applyBorder="0" applyProtection="0">
      <alignment vertical="top"/>
    </xf>
    <xf numFmtId="182" fontId="115" fillId="0" borderId="0" applyFill="0" applyBorder="0" applyProtection="0">
      <alignment vertical="top"/>
    </xf>
    <xf numFmtId="182" fontId="115" fillId="0" borderId="0" applyFill="0" applyBorder="0" applyProtection="0">
      <alignment vertical="top"/>
    </xf>
    <xf numFmtId="182" fontId="115" fillId="0" borderId="0" applyFill="0" applyBorder="0" applyProtection="0">
      <alignment vertical="top"/>
    </xf>
    <xf numFmtId="167" fontId="115" fillId="0" borderId="0" applyFill="0" applyBorder="0" applyProtection="0">
      <alignment vertical="top"/>
    </xf>
    <xf numFmtId="167" fontId="115" fillId="0" borderId="0" applyFill="0" applyBorder="0" applyProtection="0">
      <alignment vertical="top"/>
    </xf>
    <xf numFmtId="182" fontId="115" fillId="0" borderId="0" applyFill="0" applyBorder="0" applyProtection="0">
      <alignment vertical="top"/>
    </xf>
    <xf numFmtId="182" fontId="115" fillId="0" borderId="0" applyFill="0" applyBorder="0" applyProtection="0">
      <alignment vertical="top"/>
    </xf>
    <xf numFmtId="182" fontId="115" fillId="0" borderId="0" applyFill="0" applyBorder="0" applyProtection="0">
      <alignment vertical="top"/>
    </xf>
    <xf numFmtId="167" fontId="115" fillId="0" borderId="0" applyFill="0" applyBorder="0" applyProtection="0">
      <alignment vertical="top"/>
    </xf>
    <xf numFmtId="167" fontId="115" fillId="0" borderId="0" applyFill="0" applyBorder="0" applyProtection="0">
      <alignment vertical="top"/>
    </xf>
    <xf numFmtId="183" fontId="115" fillId="0" borderId="0" applyFill="0" applyBorder="0" applyProtection="0">
      <alignment vertical="top"/>
    </xf>
    <xf numFmtId="184" fontId="115" fillId="0" borderId="0" applyFill="0" applyBorder="0" applyProtection="0">
      <alignment vertical="top"/>
    </xf>
    <xf numFmtId="184" fontId="115" fillId="0" borderId="0" applyFill="0" applyBorder="0" applyProtection="0">
      <alignment vertical="top"/>
    </xf>
    <xf numFmtId="184" fontId="115" fillId="0" borderId="0" applyFill="0" applyBorder="0" applyProtection="0">
      <alignment vertical="top"/>
    </xf>
    <xf numFmtId="183" fontId="115" fillId="0" borderId="0" applyFill="0" applyBorder="0" applyProtection="0">
      <alignment vertical="top"/>
    </xf>
    <xf numFmtId="183" fontId="115" fillId="0" borderId="0" applyFill="0" applyBorder="0" applyProtection="0">
      <alignment vertical="top"/>
    </xf>
    <xf numFmtId="167" fontId="115" fillId="0" borderId="0" applyFill="0" applyBorder="0" applyProtection="0">
      <alignment vertical="top"/>
    </xf>
    <xf numFmtId="185" fontId="115" fillId="0" borderId="0" applyFill="0" applyBorder="0" applyProtection="0">
      <alignment vertical="top"/>
    </xf>
    <xf numFmtId="186" fontId="115" fillId="0" borderId="0" applyFill="0" applyBorder="0" applyProtection="0">
      <alignment vertical="top"/>
    </xf>
    <xf numFmtId="186" fontId="115" fillId="0" borderId="0" applyFill="0" applyBorder="0" applyProtection="0">
      <alignment vertical="top"/>
    </xf>
    <xf numFmtId="186" fontId="115" fillId="0" borderId="0" applyFill="0" applyBorder="0" applyProtection="0">
      <alignment vertical="top"/>
    </xf>
    <xf numFmtId="185" fontId="115" fillId="0" borderId="0" applyFill="0" applyBorder="0" applyProtection="0">
      <alignment vertical="top"/>
    </xf>
    <xf numFmtId="185" fontId="115" fillId="0" borderId="0" applyFill="0" applyBorder="0" applyProtection="0">
      <alignment vertical="top"/>
    </xf>
    <xf numFmtId="196" fontId="115" fillId="0" borderId="0" applyFill="0" applyBorder="0" applyProtection="0">
      <alignment vertical="top"/>
    </xf>
    <xf numFmtId="196" fontId="115" fillId="0" borderId="0" applyFill="0" applyBorder="0" applyProtection="0">
      <alignment vertical="top"/>
    </xf>
    <xf numFmtId="196" fontId="115" fillId="0" borderId="0" applyFill="0" applyBorder="0" applyProtection="0">
      <alignment vertical="top"/>
    </xf>
    <xf numFmtId="175" fontId="115" fillId="0" borderId="0" applyFill="0" applyBorder="0" applyProtection="0">
      <alignment vertical="top"/>
    </xf>
    <xf numFmtId="175" fontId="115" fillId="0" borderId="0" applyFill="0" applyBorder="0" applyProtection="0">
      <alignment vertical="top"/>
    </xf>
    <xf numFmtId="178" fontId="115" fillId="0" borderId="0" applyFill="0" applyBorder="0" applyProtection="0">
      <alignment vertical="top"/>
    </xf>
    <xf numFmtId="178" fontId="115" fillId="0" borderId="0" applyFill="0" applyBorder="0" applyProtection="0">
      <alignment vertical="top"/>
    </xf>
    <xf numFmtId="0" fontId="31" fillId="3" borderId="0"/>
    <xf numFmtId="0" fontId="32" fillId="0" borderId="0"/>
    <xf numFmtId="0" fontId="115" fillId="0" borderId="0">
      <alignment vertical="top"/>
    </xf>
    <xf numFmtId="0" fontId="33" fillId="3" borderId="0"/>
    <xf numFmtId="0" fontId="34" fillId="4" borderId="0" applyNumberFormat="0" applyBorder="0" applyProtection="0">
      <alignment vertical="top"/>
    </xf>
    <xf numFmtId="0" fontId="34" fillId="5" borderId="0" applyNumberFormat="0" applyBorder="0" applyProtection="0">
      <alignment vertical="top"/>
    </xf>
    <xf numFmtId="0" fontId="34" fillId="6" borderId="0" applyNumberFormat="0" applyBorder="0" applyProtection="0">
      <alignment vertical="top"/>
    </xf>
    <xf numFmtId="0" fontId="34" fillId="7" borderId="0" applyNumberFormat="0" applyBorder="0" applyProtection="0">
      <alignment vertical="top"/>
    </xf>
    <xf numFmtId="0" fontId="34" fillId="8" borderId="0" applyNumberFormat="0" applyBorder="0" applyProtection="0">
      <alignment vertical="top"/>
    </xf>
    <xf numFmtId="0" fontId="34" fillId="9" borderId="0" applyNumberFormat="0" applyBorder="0" applyProtection="0">
      <alignment vertical="top"/>
    </xf>
    <xf numFmtId="0" fontId="35" fillId="3" borderId="0"/>
    <xf numFmtId="0" fontId="36" fillId="0" borderId="0">
      <alignment wrapText="1"/>
    </xf>
    <xf numFmtId="0" fontId="34" fillId="10" borderId="0" applyNumberFormat="0" applyBorder="0" applyProtection="0">
      <alignment vertical="top"/>
    </xf>
    <xf numFmtId="0" fontId="34" fillId="11" borderId="0" applyNumberFormat="0" applyBorder="0" applyProtection="0">
      <alignment vertical="top"/>
    </xf>
    <xf numFmtId="0" fontId="34" fillId="12" borderId="0" applyNumberFormat="0" applyBorder="0" applyProtection="0">
      <alignment vertical="top"/>
    </xf>
    <xf numFmtId="0" fontId="34" fillId="7" borderId="0" applyNumberFormat="0" applyBorder="0" applyProtection="0">
      <alignment vertical="top"/>
    </xf>
    <xf numFmtId="0" fontId="34" fillId="10" borderId="0" applyNumberFormat="0" applyBorder="0" applyProtection="0">
      <alignment vertical="top"/>
    </xf>
    <xf numFmtId="0" fontId="34" fillId="13" borderId="0" applyNumberFormat="0" applyBorder="0" applyProtection="0">
      <alignment vertical="top"/>
    </xf>
    <xf numFmtId="0" fontId="37" fillId="14" borderId="0" applyNumberFormat="0" applyBorder="0" applyProtection="0">
      <alignment vertical="top"/>
    </xf>
    <xf numFmtId="0" fontId="37" fillId="11" borderId="0" applyNumberFormat="0" applyBorder="0" applyProtection="0">
      <alignment vertical="top"/>
    </xf>
    <xf numFmtId="0" fontId="37" fillId="12" borderId="0" applyNumberFormat="0" applyBorder="0" applyProtection="0">
      <alignment vertical="top"/>
    </xf>
    <xf numFmtId="0" fontId="37" fillId="15" borderId="0" applyNumberFormat="0" applyBorder="0" applyProtection="0">
      <alignment vertical="top"/>
    </xf>
    <xf numFmtId="0" fontId="37" fillId="16" borderId="0" applyNumberFormat="0" applyBorder="0" applyProtection="0">
      <alignment vertical="top"/>
    </xf>
    <xf numFmtId="0" fontId="37" fillId="17" borderId="0" applyNumberFormat="0" applyBorder="0" applyProtection="0">
      <alignment vertical="top"/>
    </xf>
    <xf numFmtId="0" fontId="38" fillId="0" borderId="1">
      <alignment horizontal="center"/>
    </xf>
    <xf numFmtId="0" fontId="39" fillId="0" borderId="0"/>
    <xf numFmtId="0" fontId="39" fillId="0" borderId="2" applyFill="0">
      <alignment horizontal="center"/>
      <protection locked="0"/>
    </xf>
    <xf numFmtId="0" fontId="38" fillId="0" borderId="0" applyFill="0">
      <alignment horizontal="center"/>
      <protection locked="0"/>
    </xf>
    <xf numFmtId="0" fontId="38" fillId="2" borderId="0"/>
    <xf numFmtId="0" fontId="38" fillId="0" borderId="0">
      <protection locked="0"/>
    </xf>
    <xf numFmtId="0" fontId="38" fillId="0" borderId="0"/>
    <xf numFmtId="211" fontId="115" fillId="0" borderId="0"/>
    <xf numFmtId="212" fontId="115" fillId="0" borderId="0"/>
    <xf numFmtId="0" fontId="39" fillId="18" borderId="0">
      <alignment horizontal="right"/>
    </xf>
    <xf numFmtId="0" fontId="38" fillId="0" borderId="0"/>
    <xf numFmtId="0" fontId="37" fillId="19" borderId="0" applyNumberFormat="0" applyBorder="0" applyProtection="0">
      <alignment vertical="top"/>
    </xf>
    <xf numFmtId="0" fontId="40" fillId="4" borderId="0" applyNumberFormat="0" applyBorder="0" applyProtection="0">
      <alignment vertical="top"/>
    </xf>
    <xf numFmtId="0" fontId="40" fillId="4" borderId="0" applyNumberFormat="0" applyBorder="0" applyProtection="0">
      <alignment vertical="top"/>
    </xf>
    <xf numFmtId="0" fontId="41" fillId="10" borderId="0" applyNumberFormat="0" applyBorder="0" applyProtection="0">
      <alignment vertical="top"/>
    </xf>
    <xf numFmtId="0" fontId="37" fillId="20" borderId="0" applyNumberFormat="0" applyBorder="0" applyProtection="0">
      <alignment vertical="top"/>
    </xf>
    <xf numFmtId="0" fontId="40" fillId="21" borderId="0" applyNumberFormat="0" applyBorder="0" applyProtection="0">
      <alignment vertical="top"/>
    </xf>
    <xf numFmtId="0" fontId="40" fillId="3" borderId="0" applyNumberFormat="0" applyBorder="0" applyProtection="0">
      <alignment vertical="top"/>
    </xf>
    <xf numFmtId="0" fontId="41" fillId="22" borderId="0" applyNumberFormat="0" applyBorder="0" applyProtection="0">
      <alignment vertical="top"/>
    </xf>
    <xf numFmtId="0" fontId="37" fillId="23" borderId="0" applyNumberFormat="0" applyBorder="0" applyProtection="0">
      <alignment vertical="top"/>
    </xf>
    <xf numFmtId="0" fontId="40" fillId="21" borderId="0" applyNumberFormat="0" applyBorder="0" applyProtection="0">
      <alignment vertical="top"/>
    </xf>
    <xf numFmtId="0" fontId="40" fillId="6" borderId="0" applyNumberFormat="0" applyBorder="0" applyProtection="0">
      <alignment vertical="top"/>
    </xf>
    <xf numFmtId="0" fontId="41" fillId="3" borderId="0" applyNumberFormat="0" applyBorder="0" applyProtection="0">
      <alignment vertical="top"/>
    </xf>
    <xf numFmtId="0" fontId="37" fillId="15" borderId="0" applyNumberFormat="0" applyBorder="0" applyProtection="0">
      <alignment vertical="top"/>
    </xf>
    <xf numFmtId="0" fontId="40" fillId="4" borderId="0" applyNumberFormat="0" applyBorder="0" applyProtection="0">
      <alignment vertical="top"/>
    </xf>
    <xf numFmtId="0" fontId="40" fillId="3" borderId="0" applyNumberFormat="0" applyBorder="0" applyProtection="0">
      <alignment vertical="top"/>
    </xf>
    <xf numFmtId="0" fontId="41" fillId="3" borderId="0" applyNumberFormat="0" applyBorder="0" applyProtection="0">
      <alignment vertical="top"/>
    </xf>
    <xf numFmtId="0" fontId="37" fillId="16" borderId="0" applyNumberFormat="0" applyBorder="0" applyProtection="0">
      <alignment vertical="top"/>
    </xf>
    <xf numFmtId="0" fontId="40" fillId="8" borderId="0" applyNumberFormat="0" applyBorder="0" applyProtection="0">
      <alignment vertical="top"/>
    </xf>
    <xf numFmtId="0" fontId="40" fillId="4" borderId="0" applyNumberFormat="0" applyBorder="0" applyProtection="0">
      <alignment vertical="top"/>
    </xf>
    <xf numFmtId="0" fontId="41" fillId="10" borderId="0" applyNumberFormat="0" applyBorder="0" applyProtection="0">
      <alignment vertical="top"/>
    </xf>
    <xf numFmtId="0" fontId="37" fillId="24" borderId="0" applyNumberFormat="0" applyBorder="0" applyProtection="0">
      <alignment vertical="top"/>
    </xf>
    <xf numFmtId="0" fontId="40" fillId="21" borderId="0" applyNumberFormat="0" applyBorder="0" applyProtection="0">
      <alignment vertical="top"/>
    </xf>
    <xf numFmtId="0" fontId="40" fillId="9" borderId="0" applyNumberFormat="0" applyBorder="0" applyProtection="0">
      <alignment vertical="top"/>
    </xf>
    <xf numFmtId="0" fontId="41" fillId="9" borderId="0" applyNumberFormat="0" applyBorder="0" applyProtection="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42" fillId="0" borderId="0">
      <alignment horizontal="center" wrapText="1"/>
      <protection locked="0"/>
    </xf>
    <xf numFmtId="0" fontId="115" fillId="0" borderId="0" applyFill="0" applyBorder="0" applyProtection="0">
      <alignment vertical="top"/>
    </xf>
    <xf numFmtId="0" fontId="115" fillId="0" borderId="0">
      <alignment vertical="top"/>
    </xf>
    <xf numFmtId="0" fontId="115" fillId="0" borderId="0" applyFill="0" applyBorder="0" applyProtection="0">
      <alignment vertical="top"/>
    </xf>
    <xf numFmtId="0" fontId="115" fillId="0" borderId="0">
      <alignment vertical="top"/>
    </xf>
    <xf numFmtId="167" fontId="115" fillId="0" borderId="0" applyFill="0" applyBorder="0" applyProtection="0">
      <alignment vertical="top"/>
    </xf>
    <xf numFmtId="0" fontId="43" fillId="0" borderId="0"/>
    <xf numFmtId="213" fontId="44" fillId="0" borderId="0"/>
    <xf numFmtId="0" fontId="115" fillId="2" borderId="0"/>
    <xf numFmtId="0" fontId="45" fillId="5" borderId="0" applyNumberFormat="0" applyBorder="0" applyProtection="0">
      <alignment vertical="top"/>
    </xf>
    <xf numFmtId="0" fontId="46" fillId="0" borderId="0" applyNumberFormat="0" applyFill="0" applyBorder="0" applyProtection="0">
      <alignment vertical="top"/>
    </xf>
    <xf numFmtId="0" fontId="47" fillId="0" borderId="0" applyNumberFormat="0" applyFill="0" applyBorder="0" applyProtection="0">
      <alignment vertical="top"/>
    </xf>
    <xf numFmtId="0" fontId="48" fillId="0" borderId="0"/>
    <xf numFmtId="0" fontId="48" fillId="0" borderId="0"/>
    <xf numFmtId="0" fontId="115" fillId="0" borderId="0">
      <alignment vertical="top"/>
    </xf>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214" fontId="50" fillId="0" borderId="0" applyFill="0" applyBorder="0">
      <alignment vertical="top"/>
    </xf>
    <xf numFmtId="0" fontId="115" fillId="0" borderId="0" applyFill="0" applyBorder="0">
      <alignment vertical="top"/>
    </xf>
    <xf numFmtId="0" fontId="115" fillId="0" borderId="0" applyFill="0" applyBorder="0">
      <alignment vertical="top"/>
    </xf>
    <xf numFmtId="0" fontId="115" fillId="0" borderId="0" applyFill="0" applyBorder="0">
      <alignment vertical="top"/>
    </xf>
    <xf numFmtId="215" fontId="115" fillId="0" borderId="0" applyFill="0" applyBorder="0">
      <alignment vertical="top"/>
    </xf>
    <xf numFmtId="0" fontId="115" fillId="0" borderId="0" applyFill="0" applyBorder="0">
      <alignment vertical="top"/>
    </xf>
    <xf numFmtId="216" fontId="115" fillId="0" borderId="0" applyFill="0" applyBorder="0">
      <alignment vertical="top"/>
    </xf>
    <xf numFmtId="0" fontId="115" fillId="0" borderId="0" applyFill="0" applyBorder="0">
      <alignment vertical="top"/>
    </xf>
    <xf numFmtId="0" fontId="51" fillId="3" borderId="3" applyNumberFormat="0" applyProtection="0">
      <alignment vertical="top"/>
    </xf>
    <xf numFmtId="0" fontId="52" fillId="0" borderId="0"/>
    <xf numFmtId="217" fontId="115" fillId="0" borderId="0" applyFill="0" applyBorder="0" applyProtection="0">
      <alignment vertical="top"/>
    </xf>
    <xf numFmtId="3" fontId="53" fillId="0" borderId="1"/>
    <xf numFmtId="0" fontId="54" fillId="22" borderId="4" applyNumberFormat="0" applyProtection="0">
      <alignment vertical="top"/>
    </xf>
    <xf numFmtId="1" fontId="55" fillId="0" borderId="0" applyBorder="0"/>
    <xf numFmtId="220" fontId="115" fillId="0" borderId="0" applyFill="0" applyBorder="0" applyProtection="0">
      <alignment vertical="top"/>
    </xf>
    <xf numFmtId="218" fontId="56" fillId="0" borderId="0"/>
    <xf numFmtId="218" fontId="56" fillId="0" borderId="0"/>
    <xf numFmtId="218" fontId="56" fillId="0" borderId="0"/>
    <xf numFmtId="218" fontId="56" fillId="0" borderId="0"/>
    <xf numFmtId="218" fontId="56" fillId="0" borderId="0"/>
    <xf numFmtId="218" fontId="56" fillId="0" borderId="0"/>
    <xf numFmtId="218" fontId="56" fillId="0" borderId="0"/>
    <xf numFmtId="218" fontId="56" fillId="0" borderId="0"/>
    <xf numFmtId="213" fontId="115" fillId="0" borderId="0" applyFill="0" applyBorder="0" applyProtection="0">
      <alignment vertical="top"/>
    </xf>
    <xf numFmtId="213" fontId="115" fillId="0" borderId="0" applyFill="0" applyBorder="0" applyProtection="0">
      <alignment vertical="top"/>
    </xf>
    <xf numFmtId="0" fontId="115" fillId="0" borderId="0" applyFill="0" applyBorder="0" applyProtection="0">
      <alignment vertical="top"/>
    </xf>
    <xf numFmtId="219" fontId="115" fillId="0" borderId="0" applyFill="0" applyBorder="0" applyProtection="0">
      <alignment vertical="top"/>
    </xf>
    <xf numFmtId="220" fontId="115" fillId="0" borderId="0" applyFill="0" applyBorder="0" applyProtection="0">
      <alignment vertical="top"/>
    </xf>
    <xf numFmtId="220" fontId="115" fillId="0" borderId="0" applyFill="0" applyBorder="0" applyProtection="0">
      <alignment vertical="top"/>
    </xf>
    <xf numFmtId="221" fontId="115" fillId="0" borderId="0" applyFill="0" applyBorder="0" applyProtection="0">
      <alignment vertical="top"/>
    </xf>
    <xf numFmtId="221" fontId="115" fillId="0" borderId="0" applyFill="0" applyBorder="0" applyProtection="0">
      <alignment vertical="top"/>
    </xf>
    <xf numFmtId="221" fontId="115" fillId="0" borderId="0" applyFill="0" applyBorder="0" applyProtection="0">
      <alignment vertical="top"/>
    </xf>
    <xf numFmtId="221" fontId="115" fillId="0" borderId="0" applyFill="0" applyBorder="0" applyProtection="0">
      <alignment vertical="top"/>
    </xf>
    <xf numFmtId="222" fontId="115" fillId="0" borderId="0" applyFill="0" applyBorder="0" applyProtection="0">
      <alignment vertical="top"/>
    </xf>
    <xf numFmtId="220" fontId="115" fillId="0" borderId="0" applyFill="0" applyBorder="0" applyProtection="0">
      <alignment vertical="top"/>
    </xf>
    <xf numFmtId="223" fontId="115" fillId="0" borderId="0" applyFill="0" applyBorder="0" applyProtection="0">
      <alignment vertical="top"/>
    </xf>
    <xf numFmtId="224" fontId="115" fillId="0" borderId="0" applyFill="0" applyBorder="0" applyProtection="0">
      <alignment vertical="top"/>
    </xf>
    <xf numFmtId="220" fontId="115" fillId="0" borderId="0" applyFill="0" applyBorder="0" applyProtection="0">
      <alignment vertical="top"/>
    </xf>
    <xf numFmtId="220" fontId="115" fillId="0" borderId="0" applyFill="0" applyBorder="0" applyProtection="0">
      <alignment vertical="top"/>
    </xf>
    <xf numFmtId="225" fontId="115" fillId="0" borderId="0" applyFill="0" applyBorder="0" applyProtection="0">
      <alignment vertical="top"/>
    </xf>
    <xf numFmtId="220" fontId="115" fillId="0" borderId="0" applyFill="0" applyBorder="0" applyProtection="0">
      <alignment vertical="top"/>
    </xf>
    <xf numFmtId="223" fontId="115" fillId="0" borderId="0" applyFill="0" applyBorder="0" applyProtection="0">
      <alignment vertical="top"/>
    </xf>
    <xf numFmtId="223" fontId="115" fillId="0" borderId="0" applyFill="0" applyBorder="0" applyProtection="0">
      <alignment vertical="top"/>
    </xf>
    <xf numFmtId="224" fontId="115" fillId="0" borderId="0" applyFill="0" applyBorder="0" applyProtection="0">
      <alignment vertical="top"/>
    </xf>
    <xf numFmtId="224" fontId="115" fillId="0" borderId="0" applyFill="0" applyBorder="0" applyProtection="0">
      <alignment vertical="top"/>
    </xf>
    <xf numFmtId="224" fontId="115" fillId="0" borderId="0" applyFill="0" applyBorder="0" applyProtection="0">
      <alignment vertical="top"/>
    </xf>
    <xf numFmtId="224" fontId="115" fillId="0" borderId="0" applyFill="0" applyBorder="0" applyProtection="0">
      <alignment vertical="top"/>
    </xf>
    <xf numFmtId="224" fontId="115" fillId="0" borderId="0" applyFill="0" applyBorder="0" applyProtection="0">
      <alignment vertical="top"/>
    </xf>
    <xf numFmtId="224" fontId="115" fillId="0" borderId="0" applyFill="0" applyBorder="0" applyProtection="0">
      <alignment vertical="top"/>
    </xf>
    <xf numFmtId="224" fontId="115" fillId="0" borderId="0" applyFill="0" applyBorder="0" applyProtection="0">
      <alignment vertical="top"/>
    </xf>
    <xf numFmtId="224" fontId="115" fillId="0" borderId="0" applyFill="0" applyBorder="0" applyProtection="0">
      <alignment vertical="top"/>
    </xf>
    <xf numFmtId="224" fontId="115" fillId="0" borderId="0" applyFill="0" applyBorder="0" applyProtection="0">
      <alignment vertical="top"/>
    </xf>
    <xf numFmtId="220" fontId="115" fillId="0" borderId="0" applyFill="0" applyBorder="0" applyProtection="0">
      <alignment vertical="top"/>
    </xf>
    <xf numFmtId="224" fontId="115" fillId="0" borderId="0" applyFill="0" applyBorder="0" applyProtection="0">
      <alignment vertical="top"/>
    </xf>
    <xf numFmtId="224" fontId="115" fillId="0" borderId="0" applyFill="0" applyBorder="0" applyProtection="0">
      <alignment vertical="top"/>
    </xf>
    <xf numFmtId="224" fontId="115" fillId="0" borderId="0" applyFill="0" applyBorder="0" applyProtection="0">
      <alignment vertical="top"/>
    </xf>
    <xf numFmtId="224" fontId="115" fillId="0" borderId="0" applyFill="0" applyBorder="0" applyProtection="0">
      <alignment vertical="top"/>
    </xf>
    <xf numFmtId="224" fontId="115" fillId="0" borderId="0" applyFill="0" applyBorder="0" applyProtection="0">
      <alignment vertical="top"/>
    </xf>
    <xf numFmtId="224" fontId="115" fillId="0" borderId="0" applyFill="0" applyBorder="0" applyProtection="0">
      <alignment vertical="top"/>
    </xf>
    <xf numFmtId="224" fontId="115" fillId="0" borderId="0" applyFill="0" applyBorder="0" applyProtection="0">
      <alignment vertical="top"/>
    </xf>
    <xf numFmtId="224" fontId="115" fillId="0" borderId="0" applyFill="0" applyBorder="0" applyProtection="0">
      <alignment vertical="top"/>
    </xf>
    <xf numFmtId="224" fontId="115" fillId="0" borderId="0" applyFill="0" applyBorder="0" applyProtection="0">
      <alignment vertical="top"/>
    </xf>
    <xf numFmtId="43" fontId="115" fillId="0" borderId="0" applyFont="0" applyFill="0" applyBorder="0" applyAlignment="0" applyProtection="0"/>
    <xf numFmtId="226" fontId="115" fillId="0" borderId="0" applyFill="0" applyBorder="0" applyProtection="0">
      <alignment vertical="top"/>
    </xf>
    <xf numFmtId="43" fontId="121" fillId="0" borderId="0" applyFont="0" applyFill="0" applyBorder="0" applyAlignment="0" applyProtection="0"/>
    <xf numFmtId="227" fontId="115" fillId="0" borderId="0" applyFill="0" applyBorder="0" applyProtection="0">
      <alignment vertical="top"/>
    </xf>
    <xf numFmtId="228" fontId="115" fillId="0" borderId="0" applyFill="0" applyBorder="0" applyProtection="0">
      <alignment vertical="top"/>
    </xf>
    <xf numFmtId="229" fontId="115" fillId="0" borderId="0" applyFill="0" applyBorder="0" applyProtection="0">
      <alignment vertical="top"/>
    </xf>
    <xf numFmtId="185" fontId="115" fillId="0" borderId="0" applyFill="0" applyBorder="0" applyProtection="0">
      <alignment vertical="top"/>
    </xf>
    <xf numFmtId="220" fontId="115" fillId="0" borderId="0" applyFill="0" applyBorder="0" applyProtection="0">
      <alignment vertical="top"/>
    </xf>
    <xf numFmtId="230" fontId="115" fillId="0" borderId="0"/>
    <xf numFmtId="220" fontId="116" fillId="0" borderId="0" applyFill="0" applyBorder="0" applyAlignment="0" applyProtection="0"/>
    <xf numFmtId="3" fontId="115" fillId="0" borderId="0" applyFill="0" applyBorder="0" applyProtection="0">
      <alignment vertical="top"/>
    </xf>
    <xf numFmtId="0" fontId="57" fillId="0" borderId="0" applyNumberFormat="0">
      <alignment vertical="top"/>
    </xf>
    <xf numFmtId="0" fontId="58" fillId="0" borderId="0" applyNumberFormat="0">
      <alignment vertical="top"/>
    </xf>
    <xf numFmtId="0" fontId="59" fillId="0" borderId="0"/>
    <xf numFmtId="0" fontId="59" fillId="0" borderId="0"/>
    <xf numFmtId="231" fontId="47" fillId="0" borderId="1"/>
    <xf numFmtId="178" fontId="115" fillId="0" borderId="0" applyFill="0" applyBorder="0" applyProtection="0">
      <alignment vertical="top"/>
    </xf>
    <xf numFmtId="0" fontId="115" fillId="0" borderId="0" applyFill="0" applyBorder="0" applyProtection="0">
      <alignment vertical="top"/>
    </xf>
    <xf numFmtId="232" fontId="115" fillId="0" borderId="0" applyFill="0" applyBorder="0" applyProtection="0">
      <alignment vertical="top"/>
    </xf>
    <xf numFmtId="233" fontId="115" fillId="0" borderId="0" applyFill="0" applyBorder="0" applyProtection="0">
      <alignment vertical="top"/>
    </xf>
    <xf numFmtId="0" fontId="115" fillId="0" borderId="0" applyFill="0" applyBorder="0" applyProtection="0">
      <alignment vertical="top"/>
    </xf>
    <xf numFmtId="234" fontId="44" fillId="0" borderId="0"/>
    <xf numFmtId="235" fontId="115" fillId="3" borderId="0" applyBorder="0"/>
    <xf numFmtId="0" fontId="49" fillId="0" borderId="0"/>
    <xf numFmtId="38" fontId="47" fillId="0" borderId="0"/>
    <xf numFmtId="0" fontId="47" fillId="0" borderId="1"/>
    <xf numFmtId="14" fontId="60" fillId="0" borderId="0">
      <alignment horizontal="center"/>
    </xf>
    <xf numFmtId="236" fontId="115" fillId="0" borderId="0" applyFill="0" applyBorder="0" applyProtection="0">
      <alignment vertical="top"/>
    </xf>
    <xf numFmtId="14" fontId="50" fillId="0" borderId="0" applyFill="0" applyBorder="0">
      <alignment vertical="top"/>
    </xf>
    <xf numFmtId="239" fontId="44" fillId="0" borderId="0">
      <protection locked="0"/>
    </xf>
    <xf numFmtId="237" fontId="61" fillId="0" borderId="0"/>
    <xf numFmtId="238" fontId="61" fillId="0" borderId="0"/>
    <xf numFmtId="178" fontId="61" fillId="0" borderId="0"/>
    <xf numFmtId="15" fontId="62" fillId="0" borderId="0">
      <alignment horizontal="left"/>
    </xf>
    <xf numFmtId="0" fontId="63" fillId="2" borderId="1"/>
    <xf numFmtId="38" fontId="53" fillId="0" borderId="5">
      <alignment vertical="center"/>
    </xf>
    <xf numFmtId="0" fontId="115" fillId="3" borderId="0">
      <alignment horizontal="center" vertical="top" wrapText="1"/>
    </xf>
    <xf numFmtId="240" fontId="115" fillId="0" borderId="0" applyFill="0" applyBorder="0" applyProtection="0">
      <alignment vertical="top"/>
    </xf>
    <xf numFmtId="241" fontId="115" fillId="0" borderId="0" applyFill="0" applyBorder="0" applyProtection="0">
      <alignment vertical="top"/>
    </xf>
    <xf numFmtId="242" fontId="44" fillId="0" borderId="0"/>
    <xf numFmtId="225" fontId="115" fillId="0" borderId="0" applyFill="0" applyBorder="0" applyProtection="0">
      <alignment vertical="top"/>
    </xf>
    <xf numFmtId="243" fontId="115" fillId="0" borderId="0" applyFill="0" applyBorder="0" applyProtection="0">
      <alignment vertical="top"/>
    </xf>
    <xf numFmtId="0" fontId="115" fillId="0" borderId="6" applyNumberFormat="0" applyFill="0" applyProtection="0">
      <alignment vertical="top"/>
    </xf>
    <xf numFmtId="0" fontId="63" fillId="2" borderId="1"/>
    <xf numFmtId="0" fontId="63" fillId="2" borderId="1"/>
    <xf numFmtId="0" fontId="47" fillId="0" borderId="0" applyNumberFormat="0" applyFill="0" applyBorder="0" applyProtection="0">
      <alignment vertical="top"/>
    </xf>
    <xf numFmtId="0" fontId="52" fillId="0" borderId="7"/>
    <xf numFmtId="0" fontId="64" fillId="25" borderId="0" applyNumberFormat="0" applyBorder="0" applyProtection="0">
      <alignment vertical="top"/>
    </xf>
    <xf numFmtId="0" fontId="64" fillId="26" borderId="0" applyNumberFormat="0" applyBorder="0" applyProtection="0">
      <alignment vertical="top"/>
    </xf>
    <xf numFmtId="0" fontId="64" fillId="27" borderId="0" applyNumberFormat="0" applyBorder="0" applyProtection="0">
      <alignment vertical="top"/>
    </xf>
    <xf numFmtId="0" fontId="65" fillId="28" borderId="0"/>
    <xf numFmtId="0" fontId="115" fillId="0" borderId="0" applyFill="0" applyBorder="0">
      <alignment vertical="top"/>
    </xf>
    <xf numFmtId="0" fontId="115" fillId="0" borderId="0" applyFill="0" applyBorder="0">
      <alignment vertical="top"/>
    </xf>
    <xf numFmtId="0" fontId="115" fillId="0" borderId="0" applyFill="0" applyBorder="0">
      <alignment vertical="top"/>
    </xf>
    <xf numFmtId="216" fontId="115" fillId="0" borderId="0" applyFill="0" applyBorder="0">
      <alignment vertical="top"/>
    </xf>
    <xf numFmtId="0" fontId="115" fillId="0" borderId="0" applyFill="0" applyBorder="0">
      <alignment vertical="top"/>
    </xf>
    <xf numFmtId="0" fontId="66" fillId="0" borderId="0" applyNumberFormat="0">
      <alignment vertical="top"/>
    </xf>
    <xf numFmtId="244" fontId="115" fillId="0" borderId="0" applyFill="0" applyBorder="0" applyProtection="0">
      <alignment vertical="top"/>
    </xf>
    <xf numFmtId="0" fontId="67" fillId="0" borderId="0" applyNumberFormat="0" applyFill="0" applyBorder="0" applyProtection="0">
      <alignment vertical="top"/>
    </xf>
    <xf numFmtId="0" fontId="115" fillId="0" borderId="0">
      <alignment vertical="top"/>
    </xf>
    <xf numFmtId="0" fontId="115" fillId="0" borderId="0">
      <alignment vertical="top"/>
    </xf>
    <xf numFmtId="0" fontId="68" fillId="0" borderId="0" applyProtection="0"/>
    <xf numFmtId="0" fontId="69" fillId="0" borderId="0" applyProtection="0"/>
    <xf numFmtId="0" fontId="70" fillId="0" borderId="0" applyProtection="0"/>
    <xf numFmtId="0" fontId="71" fillId="0" borderId="0" applyProtection="0"/>
    <xf numFmtId="0" fontId="115" fillId="0" borderId="0" applyNumberFormat="0" applyFill="0" applyBorder="0" applyProtection="0">
      <alignment vertical="top"/>
    </xf>
    <xf numFmtId="0" fontId="72" fillId="0" borderId="0" applyProtection="0"/>
    <xf numFmtId="0" fontId="73" fillId="0" borderId="0" applyProtection="0"/>
    <xf numFmtId="0" fontId="115" fillId="0" borderId="0">
      <alignment vertical="top"/>
    </xf>
    <xf numFmtId="0" fontId="115" fillId="0" borderId="0">
      <alignment vertical="top"/>
    </xf>
    <xf numFmtId="221" fontId="115" fillId="0" borderId="0">
      <protection locked="0"/>
    </xf>
    <xf numFmtId="0" fontId="74" fillId="0" borderId="0" applyFill="0" applyBorder="0" applyProtection="0">
      <alignment horizontal="left"/>
    </xf>
    <xf numFmtId="0" fontId="75" fillId="2" borderId="8"/>
    <xf numFmtId="0" fontId="75" fillId="2" borderId="1"/>
    <xf numFmtId="0" fontId="75" fillId="29" borderId="1"/>
    <xf numFmtId="0" fontId="76" fillId="6" borderId="0" applyNumberFormat="0" applyBorder="0" applyProtection="0">
      <alignment vertical="top"/>
    </xf>
    <xf numFmtId="0" fontId="77" fillId="3" borderId="0" applyNumberFormat="0" applyBorder="0" applyProtection="0">
      <alignment vertical="top"/>
    </xf>
    <xf numFmtId="245" fontId="78" fillId="3" borderId="0" applyBorder="0" applyProtection="0"/>
    <xf numFmtId="0" fontId="115" fillId="0" borderId="0" applyNumberFormat="0" applyBorder="0">
      <alignment vertical="top"/>
    </xf>
    <xf numFmtId="246" fontId="115" fillId="0" borderId="0" applyFill="0" applyBorder="0" applyProtection="0">
      <alignment vertical="top"/>
    </xf>
    <xf numFmtId="0" fontId="79" fillId="0" borderId="0">
      <alignment horizontal="left"/>
    </xf>
    <xf numFmtId="0" fontId="79" fillId="0" borderId="9" applyNumberFormat="0" applyProtection="0">
      <alignment vertical="top"/>
    </xf>
    <xf numFmtId="0" fontId="79" fillId="0" borderId="10">
      <alignment horizontal="left" vertical="center"/>
    </xf>
    <xf numFmtId="0" fontId="79" fillId="0" borderId="0"/>
    <xf numFmtId="0" fontId="80" fillId="0" borderId="11" applyNumberFormat="0" applyFill="0" applyProtection="0">
      <alignment vertical="top"/>
    </xf>
    <xf numFmtId="0" fontId="81" fillId="0" borderId="12" applyNumberFormat="0" applyFill="0" applyProtection="0">
      <alignment vertical="top"/>
    </xf>
    <xf numFmtId="0" fontId="82" fillId="0" borderId="13" applyNumberFormat="0" applyFill="0" applyProtection="0">
      <alignment vertical="top"/>
    </xf>
    <xf numFmtId="0" fontId="82" fillId="0" borderId="0" applyNumberFormat="0" applyFill="0" applyBorder="0" applyProtection="0">
      <alignment vertical="top"/>
    </xf>
    <xf numFmtId="247" fontId="115" fillId="0" borderId="0">
      <protection locked="0"/>
    </xf>
    <xf numFmtId="247" fontId="115" fillId="0" borderId="0">
      <protection locked="0"/>
    </xf>
    <xf numFmtId="247" fontId="115" fillId="0" borderId="0">
      <protection locked="0"/>
    </xf>
    <xf numFmtId="247" fontId="115" fillId="0" borderId="0">
      <protection locked="0"/>
    </xf>
    <xf numFmtId="0" fontId="83" fillId="30" borderId="1" applyNumberFormat="0">
      <alignment vertical="top"/>
    </xf>
    <xf numFmtId="0" fontId="84" fillId="0" borderId="0" applyFill="0" applyBorder="0" applyProtection="0">
      <alignment horizontal="right"/>
    </xf>
    <xf numFmtId="49" fontId="85" fillId="0" borderId="1">
      <alignment vertical="center"/>
    </xf>
    <xf numFmtId="201" fontId="115" fillId="0" borderId="0" applyFill="0" applyBorder="0" applyProtection="0">
      <alignment vertical="top"/>
    </xf>
    <xf numFmtId="0" fontId="86" fillId="0" borderId="0"/>
    <xf numFmtId="0" fontId="87" fillId="9" borderId="3" applyNumberFormat="0" applyProtection="0">
      <alignment vertical="top"/>
    </xf>
    <xf numFmtId="0" fontId="77" fillId="21" borderId="0" applyNumberFormat="0" applyBorder="0" applyProtection="0">
      <alignment vertical="top"/>
    </xf>
    <xf numFmtId="248" fontId="49" fillId="31" borderId="0"/>
    <xf numFmtId="249" fontId="115" fillId="0" borderId="0"/>
    <xf numFmtId="249" fontId="115" fillId="0" borderId="0"/>
    <xf numFmtId="223" fontId="84" fillId="0" borderId="0"/>
    <xf numFmtId="250" fontId="115" fillId="0" borderId="0">
      <alignment horizontal="center"/>
    </xf>
    <xf numFmtId="251" fontId="115" fillId="0" borderId="0" applyFill="0" applyBorder="0" applyProtection="0">
      <alignment vertical="top"/>
    </xf>
    <xf numFmtId="0" fontId="88" fillId="29" borderId="1"/>
    <xf numFmtId="0" fontId="53" fillId="0" borderId="0"/>
    <xf numFmtId="0" fontId="53" fillId="0" borderId="0"/>
    <xf numFmtId="0" fontId="115" fillId="0" borderId="0" applyFill="0" applyBorder="0">
      <alignment vertical="top"/>
    </xf>
    <xf numFmtId="0" fontId="115" fillId="0" borderId="0" applyFill="0" applyBorder="0">
      <alignment vertical="top"/>
    </xf>
    <xf numFmtId="0" fontId="115" fillId="0" borderId="0" applyFill="0" applyBorder="0">
      <alignment vertical="top"/>
    </xf>
    <xf numFmtId="216" fontId="115" fillId="0" borderId="0" applyFill="0" applyBorder="0">
      <alignment vertical="top"/>
    </xf>
    <xf numFmtId="0" fontId="115" fillId="0" borderId="0" applyFill="0" applyBorder="0">
      <alignment vertical="top"/>
    </xf>
    <xf numFmtId="0" fontId="89" fillId="0" borderId="14" applyNumberFormat="0" applyFill="0" applyProtection="0">
      <alignment vertical="top"/>
    </xf>
    <xf numFmtId="248" fontId="90" fillId="28" borderId="0"/>
    <xf numFmtId="0" fontId="44" fillId="0" borderId="0">
      <alignment vertical="top" wrapText="1"/>
    </xf>
    <xf numFmtId="38" fontId="115" fillId="0" borderId="0" applyFill="0" applyBorder="0" applyProtection="0">
      <alignment vertical="top"/>
    </xf>
    <xf numFmtId="40" fontId="115" fillId="0" borderId="0" applyFill="0" applyBorder="0" applyProtection="0">
      <alignment vertical="top"/>
    </xf>
    <xf numFmtId="171" fontId="115" fillId="0" borderId="0" applyFill="0" applyBorder="0" applyProtection="0">
      <alignment vertical="top"/>
    </xf>
    <xf numFmtId="189" fontId="115" fillId="0" borderId="0" applyFill="0" applyBorder="0" applyProtection="0">
      <alignment vertical="top"/>
    </xf>
    <xf numFmtId="0" fontId="91" fillId="0" borderId="2"/>
    <xf numFmtId="252" fontId="115" fillId="0" borderId="0" applyFill="0" applyBorder="0" applyProtection="0">
      <alignment vertical="top"/>
    </xf>
    <xf numFmtId="253" fontId="115" fillId="0" borderId="0" applyFill="0" applyBorder="0" applyProtection="0">
      <alignment vertical="top"/>
    </xf>
    <xf numFmtId="176" fontId="115" fillId="0" borderId="0" applyFill="0" applyBorder="0" applyProtection="0">
      <alignment vertical="top"/>
    </xf>
    <xf numFmtId="243" fontId="115" fillId="0" borderId="0" applyFill="0" applyBorder="0" applyProtection="0">
      <alignment vertical="top"/>
    </xf>
    <xf numFmtId="217" fontId="115" fillId="0" borderId="0" applyFill="0" applyBorder="0" applyProtection="0">
      <alignment vertical="top"/>
    </xf>
    <xf numFmtId="225" fontId="115" fillId="0" borderId="0" applyFill="0" applyBorder="0" applyProtection="0">
      <alignment vertical="top"/>
    </xf>
    <xf numFmtId="254" fontId="115" fillId="0" borderId="0" applyFill="0" applyBorder="0" applyProtection="0">
      <alignment vertical="top"/>
    </xf>
    <xf numFmtId="0" fontId="115" fillId="0" borderId="0" applyNumberFormat="0" applyFill="0" applyBorder="0" applyProtection="0">
      <alignment vertical="top"/>
    </xf>
    <xf numFmtId="4" fontId="92" fillId="0" borderId="0" applyBorder="0"/>
    <xf numFmtId="0" fontId="115" fillId="0" borderId="0" applyNumberFormat="0" applyFill="0">
      <alignment vertical="top"/>
    </xf>
    <xf numFmtId="0" fontId="115" fillId="0" borderId="0" applyNumberFormat="0" applyFill="0" applyBorder="0" applyProtection="0">
      <alignment vertical="top"/>
    </xf>
    <xf numFmtId="0" fontId="93" fillId="32" borderId="0" applyNumberFormat="0" applyBorder="0" applyProtection="0">
      <alignment vertical="top"/>
    </xf>
    <xf numFmtId="0" fontId="60" fillId="0" borderId="0"/>
    <xf numFmtId="37" fontId="94" fillId="0" borderId="0"/>
    <xf numFmtId="0" fontId="115" fillId="0" borderId="0">
      <alignment vertical="top"/>
    </xf>
    <xf numFmtId="0" fontId="60" fillId="0" borderId="0"/>
    <xf numFmtId="255" fontId="95"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96" fillId="0" borderId="0"/>
    <xf numFmtId="0" fontId="49" fillId="0" borderId="0"/>
    <xf numFmtId="0" fontId="115" fillId="0" borderId="0"/>
    <xf numFmtId="0" fontId="115" fillId="0" borderId="0"/>
    <xf numFmtId="0" fontId="97" fillId="0" borderId="0">
      <alignment vertical="center"/>
    </xf>
    <xf numFmtId="0" fontId="115" fillId="0" borderId="0"/>
    <xf numFmtId="0" fontId="116" fillId="0" borderId="0">
      <alignment vertical="top"/>
    </xf>
    <xf numFmtId="0" fontId="121" fillId="0" borderId="0"/>
    <xf numFmtId="0" fontId="49" fillId="0" borderId="0"/>
    <xf numFmtId="0" fontId="115" fillId="0" borderId="0"/>
    <xf numFmtId="0" fontId="98" fillId="0" borderId="0"/>
    <xf numFmtId="0" fontId="99" fillId="0" borderId="0"/>
    <xf numFmtId="0" fontId="115" fillId="0" borderId="0"/>
    <xf numFmtId="0" fontId="40" fillId="0" borderId="0"/>
    <xf numFmtId="0" fontId="115" fillId="0" borderId="0"/>
    <xf numFmtId="0" fontId="98" fillId="0" borderId="0"/>
    <xf numFmtId="0" fontId="115" fillId="0" borderId="0"/>
    <xf numFmtId="0" fontId="115" fillId="0" borderId="0"/>
    <xf numFmtId="0" fontId="100" fillId="0" borderId="0"/>
    <xf numFmtId="0" fontId="115" fillId="0" borderId="0"/>
    <xf numFmtId="0" fontId="40" fillId="0" borderId="0"/>
    <xf numFmtId="0" fontId="115" fillId="0" borderId="15">
      <alignment horizontal="center"/>
    </xf>
    <xf numFmtId="0" fontId="115" fillId="0" borderId="0"/>
    <xf numFmtId="0" fontId="118" fillId="0" borderId="0"/>
    <xf numFmtId="0" fontId="77" fillId="0" borderId="0"/>
    <xf numFmtId="0" fontId="115" fillId="21" borderId="16" applyNumberFormat="0" applyProtection="0">
      <alignment vertical="top"/>
    </xf>
    <xf numFmtId="1" fontId="56" fillId="0" borderId="0"/>
    <xf numFmtId="256" fontId="115" fillId="0" borderId="0" applyFill="0" applyBorder="0" applyProtection="0">
      <alignment vertical="top" wrapText="1"/>
    </xf>
    <xf numFmtId="0" fontId="115" fillId="0" borderId="0">
      <alignment vertical="top"/>
    </xf>
    <xf numFmtId="0" fontId="115" fillId="0" borderId="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115" fillId="0" borderId="0" applyFill="0" applyBorder="0" applyProtection="0">
      <alignment vertical="top"/>
    </xf>
    <xf numFmtId="0" fontId="60" fillId="0" borderId="0"/>
    <xf numFmtId="0" fontId="101" fillId="3" borderId="17" applyNumberFormat="0" applyProtection="0">
      <alignment vertical="top"/>
    </xf>
    <xf numFmtId="0" fontId="102" fillId="33" borderId="0"/>
    <xf numFmtId="1" fontId="103" fillId="0" borderId="0" applyProtection="0">
      <alignment horizontal="right" vertical="center"/>
    </xf>
    <xf numFmtId="49" fontId="88" fillId="3" borderId="2"/>
    <xf numFmtId="0" fontId="104" fillId="2" borderId="0"/>
    <xf numFmtId="14" fontId="42" fillId="0" borderId="0">
      <alignment horizontal="center" wrapText="1"/>
      <protection locked="0"/>
    </xf>
    <xf numFmtId="9" fontId="115" fillId="0" borderId="0" applyFill="0" applyBorder="0" applyProtection="0">
      <alignment vertical="top"/>
    </xf>
    <xf numFmtId="215" fontId="115" fillId="0" borderId="0" applyFill="0" applyBorder="0" applyProtection="0">
      <alignment vertical="top"/>
    </xf>
    <xf numFmtId="257" fontId="115" fillId="0" borderId="0" applyFill="0" applyBorder="0" applyProtection="0">
      <alignment vertical="top"/>
    </xf>
    <xf numFmtId="10" fontId="115" fillId="0" borderId="0" applyFill="0" applyBorder="0" applyProtection="0">
      <alignment vertical="top"/>
    </xf>
    <xf numFmtId="9" fontId="116" fillId="0" borderId="0" applyFill="0" applyBorder="0" applyProtection="0">
      <alignment vertical="top"/>
    </xf>
    <xf numFmtId="9" fontId="115" fillId="0" borderId="0" applyFill="0" applyBorder="0" applyProtection="0">
      <alignment vertical="top"/>
    </xf>
    <xf numFmtId="9" fontId="115" fillId="0" borderId="0" applyFill="0" applyBorder="0" applyProtection="0">
      <alignment vertical="top"/>
    </xf>
    <xf numFmtId="9" fontId="115" fillId="0" borderId="0" applyFill="0" applyBorder="0" applyProtection="0">
      <alignment vertical="top"/>
    </xf>
    <xf numFmtId="9" fontId="115" fillId="0" borderId="0" applyFill="0" applyBorder="0" applyProtection="0">
      <alignment vertical="top"/>
    </xf>
    <xf numFmtId="9" fontId="115" fillId="0" borderId="0" applyFill="0" applyBorder="0" applyProtection="0">
      <alignment vertical="top"/>
    </xf>
    <xf numFmtId="9" fontId="115" fillId="0" borderId="0" applyFill="0" applyBorder="0" applyProtection="0">
      <alignment vertical="top"/>
    </xf>
    <xf numFmtId="9" fontId="115" fillId="0" borderId="0" applyFill="0" applyBorder="0" applyProtection="0">
      <alignment vertical="top"/>
    </xf>
    <xf numFmtId="9" fontId="115" fillId="0" borderId="0" applyFont="0" applyFill="0" applyBorder="0" applyAlignment="0" applyProtection="0"/>
    <xf numFmtId="9" fontId="116" fillId="0" borderId="0" applyFill="0" applyBorder="0" applyAlignment="0" applyProtection="0"/>
    <xf numFmtId="9" fontId="117" fillId="0" borderId="0" applyFill="0" applyBorder="0" applyProtection="0">
      <alignment vertical="top"/>
    </xf>
    <xf numFmtId="223" fontId="77" fillId="0" borderId="0"/>
    <xf numFmtId="10" fontId="105" fillId="2" borderId="0"/>
    <xf numFmtId="0" fontId="106" fillId="0" borderId="0" applyNumberFormat="0" applyFill="0" applyBorder="0" applyProtection="0">
      <alignment vertical="top"/>
    </xf>
    <xf numFmtId="3" fontId="42" fillId="0" borderId="18"/>
    <xf numFmtId="0" fontId="115" fillId="0" borderId="0" applyFill="0" applyBorder="0">
      <alignment vertical="top"/>
    </xf>
    <xf numFmtId="0" fontId="115" fillId="0" borderId="0" applyFill="0" applyBorder="0">
      <alignment vertical="top"/>
    </xf>
    <xf numFmtId="0" fontId="115" fillId="0" borderId="0" applyFill="0" applyBorder="0">
      <alignment vertical="top"/>
    </xf>
    <xf numFmtId="216" fontId="115" fillId="0" borderId="0" applyFill="0" applyBorder="0">
      <alignment vertical="top"/>
    </xf>
    <xf numFmtId="0" fontId="115" fillId="0" borderId="0" applyFill="0" applyBorder="0">
      <alignment vertical="top"/>
    </xf>
    <xf numFmtId="258" fontId="60" fillId="0" borderId="0"/>
    <xf numFmtId="0" fontId="115" fillId="34" borderId="0" applyNumberFormat="0" applyBorder="0" applyProtection="0">
      <alignment vertical="top"/>
    </xf>
    <xf numFmtId="0" fontId="115" fillId="0" borderId="0" applyNumberFormat="0" applyFill="0" applyBorder="0" applyProtection="0">
      <alignment vertical="top"/>
    </xf>
    <xf numFmtId="0" fontId="107" fillId="0" borderId="2">
      <alignment horizontal="center"/>
    </xf>
    <xf numFmtId="259" fontId="115" fillId="0" borderId="0" applyBorder="0">
      <alignment vertical="top"/>
    </xf>
    <xf numFmtId="0" fontId="49" fillId="0" borderId="0"/>
    <xf numFmtId="0" fontId="47" fillId="0" borderId="0"/>
    <xf numFmtId="0" fontId="63" fillId="2" borderId="1"/>
    <xf numFmtId="231" fontId="115" fillId="0" borderId="0" applyFill="0" applyBorder="0" applyProtection="0">
      <alignment vertical="top"/>
    </xf>
    <xf numFmtId="0" fontId="77" fillId="0" borderId="0" applyNumberFormat="0" applyFill="0" applyBorder="0" applyProtection="0">
      <alignment vertical="top"/>
    </xf>
    <xf numFmtId="0" fontId="115" fillId="0" borderId="19"/>
    <xf numFmtId="0" fontId="115" fillId="0" borderId="0">
      <alignment vertical="top"/>
    </xf>
    <xf numFmtId="0" fontId="108" fillId="0" borderId="20"/>
    <xf numFmtId="0" fontId="109" fillId="35" borderId="21"/>
    <xf numFmtId="0" fontId="110" fillId="0" borderId="0" applyNumberFormat="0" applyFill="0" applyBorder="0" applyProtection="0">
      <alignment vertical="top"/>
    </xf>
    <xf numFmtId="0" fontId="115" fillId="36" borderId="0"/>
    <xf numFmtId="260" fontId="56" fillId="0" borderId="0"/>
    <xf numFmtId="261" fontId="47" fillId="0" borderId="0" applyBorder="0">
      <alignment vertical="top"/>
    </xf>
    <xf numFmtId="0" fontId="98" fillId="0" borderId="0" applyNumberFormat="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207" fontId="115" fillId="0" borderId="0" applyFill="0" applyBorder="0" applyProtection="0">
      <alignment vertical="top"/>
    </xf>
    <xf numFmtId="208" fontId="115" fillId="0" borderId="0" applyFill="0" applyBorder="0" applyProtection="0">
      <alignment vertical="top"/>
    </xf>
    <xf numFmtId="208" fontId="115" fillId="0" borderId="0" applyFill="0" applyBorder="0" applyProtection="0">
      <alignment vertical="top"/>
    </xf>
    <xf numFmtId="208" fontId="115" fillId="0" borderId="0" applyFill="0" applyBorder="0" applyProtection="0">
      <alignment vertical="top"/>
    </xf>
    <xf numFmtId="207" fontId="115" fillId="0" borderId="0" applyFill="0" applyBorder="0" applyProtection="0">
      <alignment vertical="top"/>
    </xf>
    <xf numFmtId="207" fontId="115" fillId="0" borderId="0" applyFill="0" applyBorder="0" applyProtection="0">
      <alignment vertical="top"/>
    </xf>
    <xf numFmtId="209" fontId="115" fillId="0" borderId="0" applyFill="0" applyBorder="0" applyProtection="0">
      <alignment vertical="top"/>
    </xf>
    <xf numFmtId="203" fontId="115" fillId="0" borderId="0" applyFill="0" applyBorder="0" applyProtection="0">
      <alignment vertical="top"/>
    </xf>
    <xf numFmtId="210" fontId="115" fillId="0" borderId="0" applyFill="0" applyBorder="0" applyProtection="0">
      <alignment vertical="top"/>
    </xf>
    <xf numFmtId="210" fontId="115" fillId="0" borderId="0" applyFill="0" applyBorder="0" applyProtection="0">
      <alignment vertical="top"/>
    </xf>
    <xf numFmtId="210" fontId="115" fillId="0" borderId="0" applyFill="0" applyBorder="0" applyProtection="0">
      <alignment vertical="top"/>
    </xf>
    <xf numFmtId="209" fontId="115" fillId="0" borderId="0" applyFill="0" applyBorder="0" applyProtection="0">
      <alignment vertical="top"/>
    </xf>
    <xf numFmtId="209"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174" fontId="115" fillId="0" borderId="0" applyFill="0" applyBorder="0" applyProtection="0">
      <alignment vertical="top"/>
    </xf>
    <xf numFmtId="202" fontId="115" fillId="0" borderId="0" applyFill="0" applyBorder="0" applyProtection="0">
      <alignment vertical="top"/>
    </xf>
    <xf numFmtId="202" fontId="115" fillId="0" borderId="0" applyFill="0" applyBorder="0" applyProtection="0">
      <alignment vertical="top"/>
    </xf>
    <xf numFmtId="203" fontId="115" fillId="0" borderId="0" applyFill="0" applyBorder="0" applyProtection="0">
      <alignment vertical="top"/>
    </xf>
    <xf numFmtId="202" fontId="115" fillId="0" borderId="0" applyFill="0" applyBorder="0" applyProtection="0">
      <alignment vertical="top"/>
    </xf>
    <xf numFmtId="174" fontId="115" fillId="0" borderId="0" applyFill="0" applyBorder="0" applyProtection="0">
      <alignment vertical="top"/>
    </xf>
    <xf numFmtId="174"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4" fontId="115" fillId="0" borderId="0" applyFill="0" applyBorder="0" applyProtection="0">
      <alignment vertical="top"/>
    </xf>
    <xf numFmtId="203"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174" fontId="115" fillId="0" borderId="0" applyFill="0" applyBorder="0" applyProtection="0">
      <alignment vertical="top"/>
    </xf>
    <xf numFmtId="202" fontId="115" fillId="0" borderId="0" applyFill="0" applyBorder="0" applyProtection="0">
      <alignment vertical="top"/>
    </xf>
    <xf numFmtId="202" fontId="115" fillId="0" borderId="0" applyFill="0" applyBorder="0" applyProtection="0">
      <alignment vertical="top"/>
    </xf>
    <xf numFmtId="202" fontId="115" fillId="0" borderId="0" applyFill="0" applyBorder="0" applyProtection="0">
      <alignment vertical="top"/>
    </xf>
    <xf numFmtId="174" fontId="115" fillId="0" borderId="0" applyFill="0" applyBorder="0" applyProtection="0">
      <alignment vertical="top"/>
    </xf>
    <xf numFmtId="174" fontId="115" fillId="0" borderId="0" applyFill="0" applyBorder="0" applyProtection="0">
      <alignment vertical="top"/>
    </xf>
    <xf numFmtId="17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5" fontId="115" fillId="0" borderId="0" applyFill="0" applyBorder="0" applyProtection="0">
      <alignment vertical="top"/>
    </xf>
    <xf numFmtId="206" fontId="115" fillId="0" borderId="0" applyFill="0" applyBorder="0" applyProtection="0">
      <alignment vertical="top"/>
    </xf>
    <xf numFmtId="204" fontId="115" fillId="0" borderId="0" applyFill="0" applyBorder="0" applyProtection="0">
      <alignment vertical="top"/>
    </xf>
    <xf numFmtId="206" fontId="115" fillId="0" borderId="0" applyFill="0" applyBorder="0" applyProtection="0">
      <alignment vertical="top"/>
    </xf>
    <xf numFmtId="206" fontId="115" fillId="0" borderId="0" applyFill="0" applyBorder="0" applyProtection="0">
      <alignment vertical="top"/>
    </xf>
    <xf numFmtId="205" fontId="115" fillId="0" borderId="0" applyFill="0" applyBorder="0" applyProtection="0">
      <alignment vertical="top"/>
    </xf>
    <xf numFmtId="205"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171"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4" fontId="115" fillId="0" borderId="0" applyFill="0" applyBorder="0" applyProtection="0">
      <alignment vertical="top"/>
    </xf>
    <xf numFmtId="222" fontId="44" fillId="0" borderId="0"/>
    <xf numFmtId="201" fontId="115" fillId="0" borderId="0" applyFill="0" applyBorder="0" applyProtection="0">
      <alignment vertical="top"/>
    </xf>
    <xf numFmtId="204" fontId="115" fillId="0" borderId="0" applyFill="0" applyBorder="0" applyProtection="0">
      <alignment vertical="top"/>
    </xf>
    <xf numFmtId="204" fontId="115" fillId="0" borderId="0" applyFill="0" applyBorder="0" applyProtection="0">
      <alignment vertical="top"/>
    </xf>
    <xf numFmtId="171" fontId="115" fillId="0" borderId="0" applyFill="0" applyBorder="0" applyProtection="0">
      <alignment vertical="top"/>
    </xf>
    <xf numFmtId="171"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171"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3" fontId="115" fillId="0" borderId="0" applyFill="0" applyBorder="0" applyProtection="0">
      <alignment vertical="top"/>
    </xf>
    <xf numFmtId="201" fontId="115" fillId="0" borderId="0" applyFill="0" applyBorder="0" applyProtection="0">
      <alignment vertical="top"/>
    </xf>
    <xf numFmtId="201" fontId="115" fillId="0" borderId="0" applyFill="0" applyBorder="0" applyProtection="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6" fillId="0" borderId="0">
      <alignment vertical="top"/>
    </xf>
    <xf numFmtId="0" fontId="115" fillId="0" borderId="0">
      <alignment vertical="top"/>
    </xf>
    <xf numFmtId="0" fontId="116" fillId="0" borderId="0">
      <alignment vertical="top"/>
    </xf>
    <xf numFmtId="0" fontId="115" fillId="0" borderId="0">
      <alignment vertical="top"/>
    </xf>
    <xf numFmtId="0" fontId="116" fillId="0" borderId="0">
      <alignment vertical="top"/>
    </xf>
    <xf numFmtId="0" fontId="115" fillId="0" borderId="0">
      <alignment vertical="top"/>
    </xf>
    <xf numFmtId="0" fontId="116" fillId="0" borderId="0">
      <alignment vertical="top"/>
    </xf>
    <xf numFmtId="0" fontId="115" fillId="0" borderId="0">
      <alignment vertical="top"/>
    </xf>
    <xf numFmtId="0" fontId="116"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5" fillId="0" borderId="0">
      <alignment vertical="top"/>
    </xf>
    <xf numFmtId="0" fontId="116" fillId="0" borderId="0">
      <alignment vertical="top"/>
    </xf>
    <xf numFmtId="0" fontId="123" fillId="0" borderId="0"/>
    <xf numFmtId="0" fontId="28" fillId="0" borderId="0"/>
    <xf numFmtId="43" fontId="123" fillId="0" borderId="0" applyFont="0" applyFill="0" applyBorder="0" applyAlignment="0" applyProtection="0"/>
    <xf numFmtId="9" fontId="123" fillId="0" borderId="0" applyFont="0" applyFill="0" applyBorder="0" applyAlignment="0" applyProtection="0"/>
    <xf numFmtId="0" fontId="28" fillId="0" borderId="0"/>
    <xf numFmtId="43" fontId="28" fillId="0" borderId="0" applyFont="0" applyFill="0" applyBorder="0" applyAlignment="0" applyProtection="0"/>
    <xf numFmtId="9" fontId="28" fillId="0" borderId="0" applyFont="0" applyFill="0" applyBorder="0" applyAlignment="0" applyProtection="0"/>
    <xf numFmtId="0" fontId="123" fillId="0" borderId="0"/>
    <xf numFmtId="0" fontId="28" fillId="0" borderId="0"/>
    <xf numFmtId="0" fontId="125" fillId="42" borderId="0" applyNumberFormat="0" applyBorder="0" applyProtection="0">
      <alignment vertical="top"/>
    </xf>
    <xf numFmtId="0" fontId="125" fillId="42" borderId="0" applyNumberFormat="0" applyBorder="0" applyProtection="0">
      <alignment vertical="top"/>
    </xf>
    <xf numFmtId="0" fontId="125" fillId="42" borderId="0" applyNumberFormat="0" applyBorder="0" applyProtection="0">
      <alignment vertical="top"/>
    </xf>
    <xf numFmtId="0" fontId="125" fillId="42" borderId="0" applyNumberFormat="0" applyBorder="0" applyProtection="0">
      <alignment vertical="top"/>
    </xf>
    <xf numFmtId="0" fontId="125" fillId="42" borderId="0" applyNumberFormat="0" applyBorder="0" applyProtection="0">
      <alignment vertical="top"/>
    </xf>
    <xf numFmtId="0" fontId="125" fillId="43" borderId="0" applyNumberFormat="0" applyBorder="0" applyProtection="0">
      <alignment vertical="top"/>
    </xf>
    <xf numFmtId="0" fontId="125" fillId="43" borderId="0" applyNumberFormat="0" applyBorder="0" applyProtection="0">
      <alignment vertical="top"/>
    </xf>
    <xf numFmtId="0" fontId="125" fillId="43" borderId="0" applyNumberFormat="0" applyBorder="0" applyProtection="0">
      <alignment vertical="top"/>
    </xf>
    <xf numFmtId="0" fontId="125" fillId="43" borderId="0" applyNumberFormat="0" applyBorder="0" applyProtection="0">
      <alignment vertical="top"/>
    </xf>
    <xf numFmtId="0" fontId="125" fillId="43" borderId="0" applyNumberFormat="0" applyBorder="0" applyProtection="0">
      <alignment vertical="top"/>
    </xf>
    <xf numFmtId="0" fontId="125" fillId="6" borderId="0" applyNumberFormat="0" applyBorder="0" applyProtection="0">
      <alignment vertical="top"/>
    </xf>
    <xf numFmtId="0" fontId="125" fillId="6" borderId="0" applyNumberFormat="0" applyBorder="0" applyProtection="0">
      <alignment vertical="top"/>
    </xf>
    <xf numFmtId="0" fontId="125" fillId="6" borderId="0" applyNumberFormat="0" applyBorder="0" applyProtection="0">
      <alignment vertical="top"/>
    </xf>
    <xf numFmtId="0" fontId="125" fillId="6" borderId="0" applyNumberFormat="0" applyBorder="0" applyProtection="0">
      <alignment vertical="top"/>
    </xf>
    <xf numFmtId="0" fontId="125" fillId="6" borderId="0" applyNumberFormat="0" applyBorder="0" applyProtection="0">
      <alignment vertical="top"/>
    </xf>
    <xf numFmtId="0" fontId="125" fillId="7" borderId="0" applyNumberFormat="0" applyBorder="0" applyProtection="0">
      <alignment vertical="top"/>
    </xf>
    <xf numFmtId="0" fontId="125" fillId="7" borderId="0" applyNumberFormat="0" applyBorder="0" applyProtection="0">
      <alignment vertical="top"/>
    </xf>
    <xf numFmtId="0" fontId="125" fillId="7" borderId="0" applyNumberFormat="0" applyBorder="0" applyProtection="0">
      <alignment vertical="top"/>
    </xf>
    <xf numFmtId="0" fontId="125" fillId="7" borderId="0" applyNumberFormat="0" applyBorder="0" applyProtection="0">
      <alignment vertical="top"/>
    </xf>
    <xf numFmtId="0" fontId="125" fillId="7" borderId="0" applyNumberFormat="0" applyBorder="0" applyProtection="0">
      <alignment vertical="top"/>
    </xf>
    <xf numFmtId="0" fontId="125" fillId="44" borderId="0" applyNumberFormat="0" applyBorder="0" applyProtection="0">
      <alignment vertical="top"/>
    </xf>
    <xf numFmtId="0" fontId="125" fillId="44" borderId="0" applyNumberFormat="0" applyBorder="0" applyProtection="0">
      <alignment vertical="top"/>
    </xf>
    <xf numFmtId="0" fontId="125" fillId="44" borderId="0" applyNumberFormat="0" applyBorder="0" applyProtection="0">
      <alignment vertical="top"/>
    </xf>
    <xf numFmtId="0" fontId="125" fillId="44" borderId="0" applyNumberFormat="0" applyBorder="0" applyProtection="0">
      <alignment vertical="top"/>
    </xf>
    <xf numFmtId="0" fontId="125" fillId="44" borderId="0" applyNumberFormat="0" applyBorder="0" applyProtection="0">
      <alignment vertical="top"/>
    </xf>
    <xf numFmtId="0" fontId="125" fillId="45" borderId="0" applyNumberFormat="0" applyBorder="0" applyProtection="0">
      <alignment vertical="top"/>
    </xf>
    <xf numFmtId="0" fontId="125" fillId="45" borderId="0" applyNumberFormat="0" applyBorder="0" applyProtection="0">
      <alignment vertical="top"/>
    </xf>
    <xf numFmtId="0" fontId="125" fillId="45" borderId="0" applyNumberFormat="0" applyBorder="0" applyProtection="0">
      <alignment vertical="top"/>
    </xf>
    <xf numFmtId="0" fontId="125" fillId="45" borderId="0" applyNumberFormat="0" applyBorder="0" applyProtection="0">
      <alignment vertical="top"/>
    </xf>
    <xf numFmtId="0" fontId="125" fillId="45" borderId="0" applyNumberFormat="0" applyBorder="0" applyProtection="0">
      <alignment vertical="top"/>
    </xf>
    <xf numFmtId="0" fontId="126" fillId="42" borderId="0" applyNumberFormat="0" applyBorder="0" applyProtection="0">
      <alignment vertical="top"/>
    </xf>
    <xf numFmtId="0" fontId="126" fillId="43" borderId="0" applyNumberFormat="0" applyBorder="0" applyProtection="0">
      <alignment vertical="top"/>
    </xf>
    <xf numFmtId="0" fontId="126" fillId="6" borderId="0" applyNumberFormat="0" applyBorder="0" applyProtection="0">
      <alignment vertical="top"/>
    </xf>
    <xf numFmtId="0" fontId="126" fillId="7" borderId="0" applyNumberFormat="0" applyBorder="0" applyProtection="0">
      <alignment vertical="top"/>
    </xf>
    <xf numFmtId="0" fontId="126" fillId="44" borderId="0" applyNumberFormat="0" applyBorder="0" applyProtection="0">
      <alignment vertical="top"/>
    </xf>
    <xf numFmtId="0" fontId="126" fillId="45" borderId="0" applyNumberFormat="0" applyBorder="0" applyProtection="0">
      <alignment vertical="top"/>
    </xf>
    <xf numFmtId="0" fontId="125" fillId="46" borderId="0" applyNumberFormat="0" applyBorder="0" applyProtection="0">
      <alignment vertical="top"/>
    </xf>
    <xf numFmtId="0" fontId="125" fillId="46" borderId="0" applyNumberFormat="0" applyBorder="0" applyProtection="0">
      <alignment vertical="top"/>
    </xf>
    <xf numFmtId="0" fontId="125" fillId="46" borderId="0" applyNumberFormat="0" applyBorder="0" applyProtection="0">
      <alignment vertical="top"/>
    </xf>
    <xf numFmtId="0" fontId="125" fillId="46" borderId="0" applyNumberFormat="0" applyBorder="0" applyProtection="0">
      <alignment vertical="top"/>
    </xf>
    <xf numFmtId="0" fontId="125" fillId="46" borderId="0" applyNumberFormat="0" applyBorder="0" applyProtection="0">
      <alignment vertical="top"/>
    </xf>
    <xf numFmtId="0" fontId="125" fillId="47" borderId="0" applyNumberFormat="0" applyBorder="0" applyProtection="0">
      <alignment vertical="top"/>
    </xf>
    <xf numFmtId="0" fontId="125" fillId="47" borderId="0" applyNumberFormat="0" applyBorder="0" applyProtection="0">
      <alignment vertical="top"/>
    </xf>
    <xf numFmtId="0" fontId="125" fillId="47" borderId="0" applyNumberFormat="0" applyBorder="0" applyProtection="0">
      <alignment vertical="top"/>
    </xf>
    <xf numFmtId="0" fontId="125" fillId="47" borderId="0" applyNumberFormat="0" applyBorder="0" applyProtection="0">
      <alignment vertical="top"/>
    </xf>
    <xf numFmtId="0" fontId="125" fillId="47" borderId="0" applyNumberFormat="0" applyBorder="0" applyProtection="0">
      <alignment vertical="top"/>
    </xf>
    <xf numFmtId="0" fontId="125" fillId="48" borderId="0" applyNumberFormat="0" applyBorder="0" applyProtection="0">
      <alignment vertical="top"/>
    </xf>
    <xf numFmtId="0" fontId="125" fillId="48" borderId="0" applyNumberFormat="0" applyBorder="0" applyProtection="0">
      <alignment vertical="top"/>
    </xf>
    <xf numFmtId="0" fontId="125" fillId="48" borderId="0" applyNumberFormat="0" applyBorder="0" applyProtection="0">
      <alignment vertical="top"/>
    </xf>
    <xf numFmtId="0" fontId="125" fillId="48" borderId="0" applyNumberFormat="0" applyBorder="0" applyProtection="0">
      <alignment vertical="top"/>
    </xf>
    <xf numFmtId="0" fontId="125" fillId="48" borderId="0" applyNumberFormat="0" applyBorder="0" applyProtection="0">
      <alignment vertical="top"/>
    </xf>
    <xf numFmtId="0" fontId="125" fillId="7" borderId="0" applyNumberFormat="0" applyBorder="0" applyProtection="0">
      <alignment vertical="top"/>
    </xf>
    <xf numFmtId="0" fontId="125" fillId="7" borderId="0" applyNumberFormat="0" applyBorder="0" applyProtection="0">
      <alignment vertical="top"/>
    </xf>
    <xf numFmtId="0" fontId="125" fillId="7" borderId="0" applyNumberFormat="0" applyBorder="0" applyProtection="0">
      <alignment vertical="top"/>
    </xf>
    <xf numFmtId="0" fontId="125" fillId="7" borderId="0" applyNumberFormat="0" applyBorder="0" applyProtection="0">
      <alignment vertical="top"/>
    </xf>
    <xf numFmtId="0" fontId="125" fillId="7" borderId="0" applyNumberFormat="0" applyBorder="0" applyProtection="0">
      <alignment vertical="top"/>
    </xf>
    <xf numFmtId="0" fontId="125" fillId="46" borderId="0" applyNumberFormat="0" applyBorder="0" applyProtection="0">
      <alignment vertical="top"/>
    </xf>
    <xf numFmtId="0" fontId="125" fillId="46" borderId="0" applyNumberFormat="0" applyBorder="0" applyProtection="0">
      <alignment vertical="top"/>
    </xf>
    <xf numFmtId="0" fontId="125" fillId="46" borderId="0" applyNumberFormat="0" applyBorder="0" applyProtection="0">
      <alignment vertical="top"/>
    </xf>
    <xf numFmtId="0" fontId="125" fillId="46" borderId="0" applyNumberFormat="0" applyBorder="0" applyProtection="0">
      <alignment vertical="top"/>
    </xf>
    <xf numFmtId="0" fontId="125" fillId="46" borderId="0" applyNumberFormat="0" applyBorder="0" applyProtection="0">
      <alignment vertical="top"/>
    </xf>
    <xf numFmtId="0" fontId="125" fillId="13" borderId="0" applyNumberFormat="0" applyBorder="0" applyProtection="0">
      <alignment vertical="top"/>
    </xf>
    <xf numFmtId="0" fontId="125" fillId="13" borderId="0" applyNumberFormat="0" applyBorder="0" applyProtection="0">
      <alignment vertical="top"/>
    </xf>
    <xf numFmtId="0" fontId="125" fillId="13" borderId="0" applyNumberFormat="0" applyBorder="0" applyProtection="0">
      <alignment vertical="top"/>
    </xf>
    <xf numFmtId="0" fontId="125" fillId="13" borderId="0" applyNumberFormat="0" applyBorder="0" applyProtection="0">
      <alignment vertical="top"/>
    </xf>
    <xf numFmtId="0" fontId="125" fillId="13" borderId="0" applyNumberFormat="0" applyBorder="0" applyProtection="0">
      <alignment vertical="top"/>
    </xf>
    <xf numFmtId="0" fontId="126" fillId="46" borderId="0" applyNumberFormat="0" applyBorder="0" applyProtection="0">
      <alignment vertical="top"/>
    </xf>
    <xf numFmtId="0" fontId="126" fillId="47" borderId="0" applyNumberFormat="0" applyBorder="0" applyProtection="0">
      <alignment vertical="top"/>
    </xf>
    <xf numFmtId="0" fontId="126" fillId="48" borderId="0" applyNumberFormat="0" applyBorder="0" applyProtection="0">
      <alignment vertical="top"/>
    </xf>
    <xf numFmtId="0" fontId="126" fillId="7" borderId="0" applyNumberFormat="0" applyBorder="0" applyProtection="0">
      <alignment vertical="top"/>
    </xf>
    <xf numFmtId="0" fontId="126" fillId="46" borderId="0" applyNumberFormat="0" applyBorder="0" applyProtection="0">
      <alignment vertical="top"/>
    </xf>
    <xf numFmtId="0" fontId="126" fillId="13" borderId="0" applyNumberFormat="0" applyBorder="0" applyProtection="0">
      <alignment vertical="top"/>
    </xf>
    <xf numFmtId="0" fontId="127" fillId="49" borderId="0" applyNumberFormat="0" applyBorder="0" applyProtection="0">
      <alignment vertical="top"/>
    </xf>
    <xf numFmtId="0" fontId="127" fillId="49" borderId="0" applyNumberFormat="0" applyBorder="0" applyProtection="0">
      <alignment vertical="top"/>
    </xf>
    <xf numFmtId="0" fontId="127" fillId="49" borderId="0" applyNumberFormat="0" applyBorder="0" applyProtection="0">
      <alignment vertical="top"/>
    </xf>
    <xf numFmtId="0" fontId="127" fillId="47" borderId="0" applyNumberFormat="0" applyBorder="0" applyProtection="0">
      <alignment vertical="top"/>
    </xf>
    <xf numFmtId="0" fontId="127" fillId="47" borderId="0" applyNumberFormat="0" applyBorder="0" applyProtection="0">
      <alignment vertical="top"/>
    </xf>
    <xf numFmtId="0" fontId="127" fillId="47" borderId="0" applyNumberFormat="0" applyBorder="0" applyProtection="0">
      <alignment vertical="top"/>
    </xf>
    <xf numFmtId="0" fontId="127" fillId="48" borderId="0" applyNumberFormat="0" applyBorder="0" applyProtection="0">
      <alignment vertical="top"/>
    </xf>
    <xf numFmtId="0" fontId="127" fillId="48" borderId="0" applyNumberFormat="0" applyBorder="0" applyProtection="0">
      <alignment vertical="top"/>
    </xf>
    <xf numFmtId="0" fontId="127" fillId="48" borderId="0" applyNumberFormat="0" applyBorder="0" applyProtection="0">
      <alignment vertical="top"/>
    </xf>
    <xf numFmtId="0" fontId="127" fillId="50" borderId="0" applyNumberFormat="0" applyBorder="0" applyProtection="0">
      <alignment vertical="top"/>
    </xf>
    <xf numFmtId="0" fontId="127" fillId="50" borderId="0" applyNumberFormat="0" applyBorder="0" applyProtection="0">
      <alignment vertical="top"/>
    </xf>
    <xf numFmtId="0" fontId="127" fillId="50" borderId="0" applyNumberFormat="0" applyBorder="0" applyProtection="0">
      <alignment vertical="top"/>
    </xf>
    <xf numFmtId="0" fontId="127" fillId="51" borderId="0" applyNumberFormat="0" applyBorder="0" applyProtection="0">
      <alignment vertical="top"/>
    </xf>
    <xf numFmtId="0" fontId="127" fillId="51" borderId="0" applyNumberFormat="0" applyBorder="0" applyProtection="0">
      <alignment vertical="top"/>
    </xf>
    <xf numFmtId="0" fontId="127" fillId="51" borderId="0" applyNumberFormat="0" applyBorder="0" applyProtection="0">
      <alignment vertical="top"/>
    </xf>
    <xf numFmtId="0" fontId="127" fillId="17" borderId="0" applyNumberFormat="0" applyBorder="0" applyProtection="0">
      <alignment vertical="top"/>
    </xf>
    <xf numFmtId="0" fontId="127" fillId="17" borderId="0" applyNumberFormat="0" applyBorder="0" applyProtection="0">
      <alignment vertical="top"/>
    </xf>
    <xf numFmtId="0" fontId="127" fillId="17" borderId="0" applyNumberFormat="0" applyBorder="0" applyProtection="0">
      <alignment vertical="top"/>
    </xf>
    <xf numFmtId="0" fontId="128" fillId="49" borderId="0" applyNumberFormat="0" applyBorder="0" applyProtection="0">
      <alignment vertical="top"/>
    </xf>
    <xf numFmtId="0" fontId="128" fillId="47" borderId="0" applyNumberFormat="0" applyBorder="0" applyProtection="0">
      <alignment vertical="top"/>
    </xf>
    <xf numFmtId="0" fontId="128" fillId="48" borderId="0" applyNumberFormat="0" applyBorder="0" applyProtection="0">
      <alignment vertical="top"/>
    </xf>
    <xf numFmtId="0" fontId="128" fillId="50" borderId="0" applyNumberFormat="0" applyBorder="0" applyProtection="0">
      <alignment vertical="top"/>
    </xf>
    <xf numFmtId="0" fontId="128" fillId="51" borderId="0" applyNumberFormat="0" applyBorder="0" applyProtection="0">
      <alignment vertical="top"/>
    </xf>
    <xf numFmtId="0" fontId="128" fillId="17" borderId="0" applyNumberFormat="0" applyBorder="0" applyProtection="0">
      <alignment vertical="top"/>
    </xf>
    <xf numFmtId="0" fontId="127" fillId="19" borderId="0" applyNumberFormat="0" applyBorder="0" applyProtection="0">
      <alignment vertical="top"/>
    </xf>
    <xf numFmtId="0" fontId="127" fillId="19" borderId="0" applyNumberFormat="0" applyBorder="0" applyProtection="0">
      <alignment vertical="top"/>
    </xf>
    <xf numFmtId="0" fontId="127" fillId="19" borderId="0" applyNumberFormat="0" applyBorder="0" applyProtection="0">
      <alignment vertical="top"/>
    </xf>
    <xf numFmtId="0" fontId="127" fillId="20" borderId="0" applyNumberFormat="0" applyBorder="0" applyProtection="0">
      <alignment vertical="top"/>
    </xf>
    <xf numFmtId="0" fontId="127" fillId="20" borderId="0" applyNumberFormat="0" applyBorder="0" applyProtection="0">
      <alignment vertical="top"/>
    </xf>
    <xf numFmtId="0" fontId="127" fillId="20" borderId="0" applyNumberFormat="0" applyBorder="0" applyProtection="0">
      <alignment vertical="top"/>
    </xf>
    <xf numFmtId="0" fontId="127" fillId="52" borderId="0" applyNumberFormat="0" applyBorder="0" applyProtection="0">
      <alignment vertical="top"/>
    </xf>
    <xf numFmtId="0" fontId="127" fillId="52" borderId="0" applyNumberFormat="0" applyBorder="0" applyProtection="0">
      <alignment vertical="top"/>
    </xf>
    <xf numFmtId="0" fontId="127" fillId="52" borderId="0" applyNumberFormat="0" applyBorder="0" applyProtection="0">
      <alignment vertical="top"/>
    </xf>
    <xf numFmtId="0" fontId="127" fillId="50" borderId="0" applyNumberFormat="0" applyBorder="0" applyProtection="0">
      <alignment vertical="top"/>
    </xf>
    <xf numFmtId="0" fontId="127" fillId="50" borderId="0" applyNumberFormat="0" applyBorder="0" applyProtection="0">
      <alignment vertical="top"/>
    </xf>
    <xf numFmtId="0" fontId="127" fillId="50" borderId="0" applyNumberFormat="0" applyBorder="0" applyProtection="0">
      <alignment vertical="top"/>
    </xf>
    <xf numFmtId="0" fontId="127" fillId="51" borderId="0" applyNumberFormat="0" applyBorder="0" applyProtection="0">
      <alignment vertical="top"/>
    </xf>
    <xf numFmtId="0" fontId="127" fillId="51" borderId="0" applyNumberFormat="0" applyBorder="0" applyProtection="0">
      <alignment vertical="top"/>
    </xf>
    <xf numFmtId="0" fontId="127" fillId="51" borderId="0" applyNumberFormat="0" applyBorder="0" applyProtection="0">
      <alignment vertical="top"/>
    </xf>
    <xf numFmtId="0" fontId="127" fillId="24" borderId="0" applyNumberFormat="0" applyBorder="0" applyProtection="0">
      <alignment vertical="top"/>
    </xf>
    <xf numFmtId="0" fontId="127" fillId="24" borderId="0" applyNumberFormat="0" applyBorder="0" applyProtection="0">
      <alignment vertical="top"/>
    </xf>
    <xf numFmtId="0" fontId="127" fillId="24" borderId="0" applyNumberFormat="0" applyBorder="0" applyProtection="0">
      <alignment vertical="top"/>
    </xf>
    <xf numFmtId="0" fontId="129" fillId="53" borderId="0"/>
    <xf numFmtId="0" fontId="129" fillId="53" borderId="0"/>
    <xf numFmtId="0" fontId="129" fillId="53" borderId="0"/>
    <xf numFmtId="0" fontId="130" fillId="43" borderId="0" applyNumberFormat="0" applyBorder="0" applyProtection="0">
      <alignment vertical="top"/>
    </xf>
    <xf numFmtId="0" fontId="130" fillId="43" borderId="0" applyNumberFormat="0" applyBorder="0" applyProtection="0">
      <alignment vertical="top"/>
    </xf>
    <xf numFmtId="0" fontId="130" fillId="43" borderId="0" applyNumberFormat="0" applyBorder="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2" fillId="55" borderId="4" applyNumberFormat="0" applyProtection="0">
      <alignment vertical="top"/>
    </xf>
    <xf numFmtId="0" fontId="132" fillId="55" borderId="4" applyNumberFormat="0" applyProtection="0">
      <alignment vertical="top"/>
    </xf>
    <xf numFmtId="0" fontId="132" fillId="55" borderId="4" applyNumberFormat="0" applyProtection="0">
      <alignment vertical="top"/>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220"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185" fontId="117" fillId="0" borderId="0" applyFill="0" applyBorder="0" applyProtection="0">
      <alignment vertical="top"/>
    </xf>
    <xf numFmtId="0" fontId="117" fillId="0" borderId="0" applyFill="0" applyBorder="0" applyProtection="0">
      <alignment vertical="top"/>
    </xf>
    <xf numFmtId="0" fontId="117" fillId="0" borderId="0" applyFill="0" applyBorder="0" applyProtection="0">
      <alignment vertical="top"/>
    </xf>
    <xf numFmtId="0" fontId="117" fillId="0" borderId="0" applyFill="0" applyBorder="0" applyProtection="0">
      <alignment vertical="top"/>
    </xf>
    <xf numFmtId="185" fontId="117" fillId="0" borderId="0" applyFill="0" applyBorder="0" applyProtection="0">
      <alignment vertical="top"/>
    </xf>
    <xf numFmtId="185" fontId="117" fillId="0" borderId="0" applyFill="0" applyBorder="0" applyProtection="0">
      <alignment vertical="top"/>
    </xf>
    <xf numFmtId="185"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220" fontId="117" fillId="0" borderId="0" applyFill="0" applyBorder="0" applyProtection="0">
      <alignment vertical="top"/>
    </xf>
    <xf numFmtId="238" fontId="117" fillId="0" borderId="0" applyFill="0" applyBorder="0" applyProtection="0">
      <alignment vertical="top"/>
    </xf>
    <xf numFmtId="238" fontId="117" fillId="0" borderId="0" applyFill="0" applyBorder="0" applyProtection="0">
      <alignment vertical="top"/>
    </xf>
    <xf numFmtId="0" fontId="129" fillId="54" borderId="0">
      <alignment horizontal="center" vertical="top" wrapText="1"/>
    </xf>
    <xf numFmtId="0" fontId="129" fillId="54" borderId="0">
      <alignment horizontal="center" vertical="top" wrapText="1"/>
    </xf>
    <xf numFmtId="0" fontId="129" fillId="54" borderId="0">
      <alignment horizontal="center" vertical="top" wrapText="1"/>
    </xf>
    <xf numFmtId="267" fontId="117" fillId="0" borderId="0" applyFill="0" applyBorder="0" applyProtection="0">
      <alignment vertical="top"/>
    </xf>
    <xf numFmtId="267" fontId="117" fillId="0" borderId="0" applyFill="0" applyBorder="0" applyProtection="0">
      <alignment vertical="top"/>
    </xf>
    <xf numFmtId="267" fontId="117" fillId="0" borderId="0" applyFill="0" applyBorder="0" applyProtection="0">
      <alignment vertical="top"/>
    </xf>
    <xf numFmtId="0" fontId="134" fillId="0" borderId="0" applyNumberFormat="0" applyFill="0" applyBorder="0" applyProtection="0">
      <alignment vertical="top"/>
    </xf>
    <xf numFmtId="0" fontId="134" fillId="0" borderId="0" applyNumberFormat="0" applyFill="0" applyBorder="0" applyProtection="0">
      <alignment vertical="top"/>
    </xf>
    <xf numFmtId="0" fontId="134" fillId="0" borderId="0" applyNumberFormat="0" applyFill="0" applyBorder="0" applyProtection="0">
      <alignment vertical="top"/>
    </xf>
    <xf numFmtId="0" fontId="135" fillId="6" borderId="0" applyNumberFormat="0" applyBorder="0" applyProtection="0">
      <alignment vertical="top"/>
    </xf>
    <xf numFmtId="0" fontId="135" fillId="6" borderId="0" applyNumberFormat="0" applyBorder="0" applyProtection="0">
      <alignment vertical="top"/>
    </xf>
    <xf numFmtId="0" fontId="135" fillId="6" borderId="0" applyNumberFormat="0" applyBorder="0" applyProtection="0">
      <alignment vertical="top"/>
    </xf>
    <xf numFmtId="0" fontId="136" fillId="0" borderId="11" applyNumberFormat="0" applyFill="0" applyProtection="0">
      <alignment vertical="top"/>
    </xf>
    <xf numFmtId="0" fontId="136" fillId="0" borderId="11" applyNumberFormat="0" applyFill="0" applyProtection="0">
      <alignment vertical="top"/>
    </xf>
    <xf numFmtId="0" fontId="136" fillId="0" borderId="11" applyNumberFormat="0" applyFill="0" applyProtection="0">
      <alignment vertical="top"/>
    </xf>
    <xf numFmtId="0" fontId="137" fillId="0" borderId="12" applyNumberFormat="0" applyFill="0" applyProtection="0">
      <alignment vertical="top"/>
    </xf>
    <xf numFmtId="0" fontId="137" fillId="0" borderId="12" applyNumberFormat="0" applyFill="0" applyProtection="0">
      <alignment vertical="top"/>
    </xf>
    <xf numFmtId="0" fontId="137" fillId="0" borderId="12" applyNumberFormat="0" applyFill="0" applyProtection="0">
      <alignment vertical="top"/>
    </xf>
    <xf numFmtId="0" fontId="138" fillId="0" borderId="13" applyNumberFormat="0" applyFill="0" applyProtection="0">
      <alignment vertical="top"/>
    </xf>
    <xf numFmtId="0" fontId="138" fillId="0" borderId="13" applyNumberFormat="0" applyFill="0" applyProtection="0">
      <alignment vertical="top"/>
    </xf>
    <xf numFmtId="0" fontId="138" fillId="0" borderId="13" applyNumberFormat="0" applyFill="0" applyProtection="0">
      <alignment vertical="top"/>
    </xf>
    <xf numFmtId="0" fontId="138" fillId="0" borderId="0" applyNumberFormat="0" applyFill="0" applyBorder="0" applyProtection="0">
      <alignment vertical="top"/>
    </xf>
    <xf numFmtId="0" fontId="138" fillId="0" borderId="0" applyNumberFormat="0" applyFill="0" applyBorder="0" applyProtection="0">
      <alignment vertical="top"/>
    </xf>
    <xf numFmtId="0" fontId="138" fillId="0" borderId="0" applyNumberFormat="0" applyFill="0" applyBorder="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40" fillId="0" borderId="14" applyNumberFormat="0" applyFill="0" applyProtection="0">
      <alignment vertical="top"/>
    </xf>
    <xf numFmtId="0" fontId="140" fillId="0" borderId="14" applyNumberFormat="0" applyFill="0" applyProtection="0">
      <alignment vertical="top"/>
    </xf>
    <xf numFmtId="0" fontId="140" fillId="0" borderId="14" applyNumberFormat="0" applyFill="0" applyProtection="0">
      <alignment vertical="top"/>
    </xf>
    <xf numFmtId="0" fontId="141" fillId="32" borderId="0" applyNumberFormat="0" applyBorder="0" applyProtection="0">
      <alignment vertical="top"/>
    </xf>
    <xf numFmtId="0" fontId="141" fillId="32" borderId="0" applyNumberFormat="0" applyBorder="0" applyProtection="0">
      <alignment vertical="top"/>
    </xf>
    <xf numFmtId="0" fontId="141" fillId="32" borderId="0" applyNumberFormat="0" applyBorder="0" applyProtection="0">
      <alignment vertical="top"/>
    </xf>
    <xf numFmtId="0" fontId="129" fillId="0" borderId="0"/>
    <xf numFmtId="0" fontId="125" fillId="0" borderId="0"/>
    <xf numFmtId="0" fontId="125" fillId="0" borderId="0"/>
    <xf numFmtId="0" fontId="129" fillId="0" borderId="0"/>
    <xf numFmtId="0" fontId="129" fillId="0" borderId="0"/>
    <xf numFmtId="0" fontId="125" fillId="0" borderId="0"/>
    <xf numFmtId="0" fontId="125" fillId="0" borderId="0"/>
    <xf numFmtId="0" fontId="142" fillId="0" borderId="0">
      <alignment vertical="center"/>
    </xf>
    <xf numFmtId="0" fontId="129"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9"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2" fontId="143" fillId="0" borderId="0">
      <alignment vertical="top"/>
    </xf>
    <xf numFmtId="0" fontId="129"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9" fillId="0" borderId="0"/>
    <xf numFmtId="0" fontId="125" fillId="0" borderId="0"/>
    <xf numFmtId="0" fontId="144" fillId="0" borderId="0"/>
    <xf numFmtId="0" fontId="125" fillId="0" borderId="0"/>
    <xf numFmtId="0" fontId="144"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44" fillId="0" borderId="0"/>
    <xf numFmtId="0" fontId="125" fillId="0" borderId="0"/>
    <xf numFmtId="0" fontId="144" fillId="0" borderId="0"/>
    <xf numFmtId="0" fontId="144" fillId="0" borderId="0"/>
    <xf numFmtId="0" fontId="125" fillId="0" borderId="0"/>
    <xf numFmtId="0" fontId="125" fillId="0" borderId="0"/>
    <xf numFmtId="0" fontId="129" fillId="0" borderId="0"/>
    <xf numFmtId="0" fontId="125" fillId="0" borderId="0"/>
    <xf numFmtId="0" fontId="125" fillId="0" borderId="0"/>
    <xf numFmtId="0" fontId="125" fillId="0" borderId="0"/>
    <xf numFmtId="0" fontId="125" fillId="0" borderId="0"/>
    <xf numFmtId="0" fontId="129" fillId="0" borderId="0"/>
    <xf numFmtId="2" fontId="143" fillId="0" borderId="0">
      <alignment vertical="top"/>
    </xf>
    <xf numFmtId="2" fontId="143" fillId="0" borderId="0">
      <alignment vertical="top"/>
    </xf>
    <xf numFmtId="2" fontId="143" fillId="0" borderId="0">
      <alignment vertical="top"/>
    </xf>
    <xf numFmtId="2" fontId="143" fillId="0" borderId="0">
      <alignment vertical="top"/>
    </xf>
    <xf numFmtId="0" fontId="125" fillId="0" borderId="0"/>
    <xf numFmtId="0" fontId="125" fillId="0" borderId="0"/>
    <xf numFmtId="2" fontId="143" fillId="0" borderId="0">
      <alignment vertical="top"/>
    </xf>
    <xf numFmtId="0" fontId="125" fillId="0" borderId="0"/>
    <xf numFmtId="2" fontId="143" fillId="0" borderId="0">
      <alignment vertical="top"/>
    </xf>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2" fontId="143" fillId="0" borderId="0">
      <alignment vertical="top"/>
    </xf>
    <xf numFmtId="0" fontId="125" fillId="0" borderId="0"/>
    <xf numFmtId="2" fontId="143" fillId="0" borderId="0">
      <alignment vertical="top"/>
    </xf>
    <xf numFmtId="2" fontId="143" fillId="0" borderId="0">
      <alignment vertical="top"/>
    </xf>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45" fillId="0" borderId="0"/>
    <xf numFmtId="0" fontId="125" fillId="0" borderId="0"/>
    <xf numFmtId="0" fontId="125" fillId="0" borderId="0"/>
    <xf numFmtId="0" fontId="125" fillId="0" borderId="0"/>
    <xf numFmtId="0" fontId="125" fillId="0" borderId="0"/>
    <xf numFmtId="0" fontId="125" fillId="0" borderId="0"/>
    <xf numFmtId="0" fontId="129" fillId="0" borderId="0"/>
    <xf numFmtId="0" fontId="125" fillId="0" borderId="0"/>
    <xf numFmtId="0" fontId="125" fillId="0" borderId="0"/>
    <xf numFmtId="0" fontId="125" fillId="0" borderId="0"/>
    <xf numFmtId="0" fontId="125" fillId="0" borderId="0"/>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49" fontId="147" fillId="54" borderId="2"/>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9" fontId="117" fillId="0" borderId="0" applyFill="0" applyBorder="0" applyProtection="0">
      <alignment vertical="top"/>
    </xf>
    <xf numFmtId="0" fontId="129" fillId="0" borderId="0"/>
    <xf numFmtId="0" fontId="148" fillId="0" borderId="0" applyNumberFormat="0" applyFill="0" applyBorder="0" applyProtection="0">
      <alignment vertical="top"/>
    </xf>
    <xf numFmtId="0" fontId="148" fillId="0" borderId="0" applyNumberFormat="0" applyFill="0" applyBorder="0" applyProtection="0">
      <alignment vertical="top"/>
    </xf>
    <xf numFmtId="0" fontId="148" fillId="0" borderId="0" applyNumberFormat="0" applyFill="0" applyBorder="0" applyProtection="0">
      <alignment vertical="top"/>
    </xf>
    <xf numFmtId="0" fontId="117" fillId="54" borderId="0"/>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50" fillId="0" borderId="0" applyNumberFormat="0" applyFill="0" applyBorder="0" applyProtection="0">
      <alignment vertical="top"/>
    </xf>
    <xf numFmtId="0" fontId="150" fillId="0" borderId="0" applyNumberFormat="0" applyFill="0" applyBorder="0" applyProtection="0">
      <alignment vertical="top"/>
    </xf>
    <xf numFmtId="0" fontId="150" fillId="0" borderId="0" applyNumberFormat="0" applyFill="0" applyBorder="0" applyProtection="0">
      <alignment vertical="top"/>
    </xf>
    <xf numFmtId="0" fontId="128" fillId="19" borderId="0" applyNumberFormat="0" applyBorder="0" applyProtection="0">
      <alignment vertical="top"/>
    </xf>
    <xf numFmtId="0" fontId="128" fillId="20" borderId="0" applyNumberFormat="0" applyBorder="0" applyProtection="0">
      <alignment vertical="top"/>
    </xf>
    <xf numFmtId="0" fontId="128" fillId="52" borderId="0" applyNumberFormat="0" applyBorder="0" applyProtection="0">
      <alignment vertical="top"/>
    </xf>
    <xf numFmtId="0" fontId="128" fillId="50" borderId="0" applyNumberFormat="0" applyBorder="0" applyProtection="0">
      <alignment vertical="top"/>
    </xf>
    <xf numFmtId="0" fontId="128" fillId="51" borderId="0" applyNumberFormat="0" applyBorder="0" applyProtection="0">
      <alignment vertical="top"/>
    </xf>
    <xf numFmtId="0" fontId="128" fillId="24" borderId="0" applyNumberFormat="0" applyBorder="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4" fillId="0" borderId="11" applyNumberFormat="0" applyFill="0" applyProtection="0">
      <alignment vertical="top"/>
    </xf>
    <xf numFmtId="0" fontId="155" fillId="0" borderId="12" applyNumberFormat="0" applyFill="0" applyProtection="0">
      <alignment vertical="top"/>
    </xf>
    <xf numFmtId="0" fontId="156" fillId="0" borderId="13" applyNumberFormat="0" applyFill="0" applyProtection="0">
      <alignment vertical="top"/>
    </xf>
    <xf numFmtId="0" fontId="156" fillId="0" borderId="0" applyNumberFormat="0" applyFill="0" applyBorder="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8" fillId="55" borderId="4" applyNumberFormat="0" applyProtection="0">
      <alignment vertical="top"/>
    </xf>
    <xf numFmtId="0" fontId="159" fillId="0" borderId="0" applyNumberFormat="0" applyFill="0" applyBorder="0" applyProtection="0">
      <alignment vertical="top"/>
    </xf>
    <xf numFmtId="0" fontId="160" fillId="32" borderId="0" applyNumberFormat="0" applyBorder="0" applyProtection="0">
      <alignment vertical="top"/>
    </xf>
    <xf numFmtId="0" fontId="161" fillId="43" borderId="0" applyNumberFormat="0" applyBorder="0" applyProtection="0">
      <alignment vertical="top"/>
    </xf>
    <xf numFmtId="0" fontId="162" fillId="0" borderId="0" applyNumberFormat="0" applyFill="0" applyBorder="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63" fillId="0" borderId="14" applyNumberFormat="0" applyFill="0" applyProtection="0">
      <alignment vertical="top"/>
    </xf>
    <xf numFmtId="0" fontId="164" fillId="0" borderId="0" applyNumberFormat="0" applyFill="0" applyBorder="0" applyProtection="0">
      <alignment vertical="top"/>
    </xf>
    <xf numFmtId="0" fontId="165" fillId="6" borderId="0" applyNumberFormat="0" applyBorder="0" applyProtection="0">
      <alignment vertical="top"/>
    </xf>
    <xf numFmtId="0" fontId="27" fillId="0" borderId="0"/>
    <xf numFmtId="43" fontId="27" fillId="0" borderId="0" applyFont="0" applyFill="0" applyBorder="0" applyAlignment="0" applyProtection="0"/>
    <xf numFmtId="9" fontId="27" fillId="0" borderId="0" applyFont="0" applyFill="0" applyBorder="0" applyAlignment="0" applyProtection="0"/>
    <xf numFmtId="0" fontId="28" fillId="0" borderId="0">
      <alignment vertical="top"/>
    </xf>
    <xf numFmtId="169" fontId="28" fillId="0" borderId="0" applyBorder="0"/>
    <xf numFmtId="170" fontId="28" fillId="0" borderId="0" applyFill="0" applyBorder="0" applyProtection="0">
      <alignment vertical="top"/>
    </xf>
    <xf numFmtId="172" fontId="28" fillId="0" borderId="0" applyFill="0" applyBorder="0" applyProtection="0">
      <alignment vertical="top"/>
    </xf>
    <xf numFmtId="176"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8" fontId="28" fillId="0" borderId="0" applyFill="0" applyBorder="0" applyProtection="0">
      <alignment vertical="top"/>
    </xf>
    <xf numFmtId="179" fontId="28" fillId="0" borderId="0" applyFill="0" applyBorder="0" applyProtection="0">
      <alignment vertical="top"/>
    </xf>
    <xf numFmtId="180" fontId="28" fillId="0" borderId="0" applyFill="0" applyBorder="0" applyProtection="0">
      <alignment vertical="top"/>
    </xf>
    <xf numFmtId="180" fontId="28" fillId="0" borderId="0" applyFill="0" applyBorder="0" applyProtection="0">
      <alignment vertical="top"/>
    </xf>
    <xf numFmtId="180" fontId="28" fillId="0" borderId="0" applyFill="0" applyBorder="0" applyProtection="0">
      <alignment vertical="top"/>
    </xf>
    <xf numFmtId="179" fontId="28" fillId="0" borderId="0" applyFill="0" applyBorder="0" applyProtection="0">
      <alignment vertical="top"/>
    </xf>
    <xf numFmtId="179"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78" fontId="28" fillId="0" borderId="0" applyFill="0" applyBorder="0" applyProtection="0">
      <alignment vertical="top"/>
    </xf>
    <xf numFmtId="167"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67" fontId="28" fillId="0" borderId="0" applyFill="0" applyBorder="0" applyProtection="0">
      <alignment vertical="top"/>
    </xf>
    <xf numFmtId="167"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67" fontId="28" fillId="0" borderId="0" applyFill="0" applyBorder="0" applyProtection="0">
      <alignment vertical="top"/>
    </xf>
    <xf numFmtId="167" fontId="28" fillId="0" borderId="0" applyFill="0" applyBorder="0" applyProtection="0">
      <alignment vertical="top"/>
    </xf>
    <xf numFmtId="183" fontId="28" fillId="0" borderId="0" applyFill="0" applyBorder="0" applyProtection="0">
      <alignment vertical="top"/>
    </xf>
    <xf numFmtId="184" fontId="28" fillId="0" borderId="0" applyFill="0" applyBorder="0" applyProtection="0">
      <alignment vertical="top"/>
    </xf>
    <xf numFmtId="184" fontId="28" fillId="0" borderId="0" applyFill="0" applyBorder="0" applyProtection="0">
      <alignment vertical="top"/>
    </xf>
    <xf numFmtId="184" fontId="28" fillId="0" borderId="0" applyFill="0" applyBorder="0" applyProtection="0">
      <alignment vertical="top"/>
    </xf>
    <xf numFmtId="183" fontId="28" fillId="0" borderId="0" applyFill="0" applyBorder="0" applyProtection="0">
      <alignment vertical="top"/>
    </xf>
    <xf numFmtId="183" fontId="28" fillId="0" borderId="0" applyFill="0" applyBorder="0" applyProtection="0">
      <alignment vertical="top"/>
    </xf>
    <xf numFmtId="167" fontId="28" fillId="0" borderId="0" applyFill="0" applyBorder="0" applyProtection="0">
      <alignment vertical="top"/>
    </xf>
    <xf numFmtId="185" fontId="28" fillId="0" borderId="0" applyFill="0" applyBorder="0" applyProtection="0">
      <alignment vertical="top"/>
    </xf>
    <xf numFmtId="186" fontId="28" fillId="0" borderId="0" applyFill="0" applyBorder="0" applyProtection="0">
      <alignment vertical="top"/>
    </xf>
    <xf numFmtId="186" fontId="28" fillId="0" borderId="0" applyFill="0" applyBorder="0" applyProtection="0">
      <alignment vertical="top"/>
    </xf>
    <xf numFmtId="186" fontId="28" fillId="0" borderId="0" applyFill="0" applyBorder="0" applyProtection="0">
      <alignment vertical="top"/>
    </xf>
    <xf numFmtId="185" fontId="28" fillId="0" borderId="0" applyFill="0" applyBorder="0" applyProtection="0">
      <alignment vertical="top"/>
    </xf>
    <xf numFmtId="187" fontId="28" fillId="0" borderId="0" applyFill="0" applyBorder="0" applyProtection="0">
      <alignment vertical="top"/>
    </xf>
    <xf numFmtId="173"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73"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92" fontId="28" fillId="0" borderId="0" applyFill="0" applyBorder="0" applyProtection="0">
      <alignment vertical="top"/>
    </xf>
    <xf numFmtId="193" fontId="28" fillId="0" borderId="0" applyFill="0" applyBorder="0" applyProtection="0">
      <alignment vertical="top"/>
    </xf>
    <xf numFmtId="193" fontId="28" fillId="0" borderId="0" applyFill="0" applyBorder="0" applyProtection="0">
      <alignment vertical="top"/>
    </xf>
    <xf numFmtId="193" fontId="28" fillId="0" borderId="0" applyFill="0" applyBorder="0" applyProtection="0">
      <alignment vertical="top"/>
    </xf>
    <xf numFmtId="192" fontId="28" fillId="0" borderId="0" applyFill="0" applyBorder="0" applyProtection="0">
      <alignment vertical="top"/>
    </xf>
    <xf numFmtId="192" fontId="28" fillId="0" borderId="0" applyFill="0" applyBorder="0" applyProtection="0">
      <alignment vertical="top"/>
    </xf>
    <xf numFmtId="194" fontId="28" fillId="0" borderId="0" applyFill="0" applyBorder="0" applyProtection="0">
      <alignment vertical="top"/>
    </xf>
    <xf numFmtId="195" fontId="28" fillId="0" borderId="0" applyFill="0" applyBorder="0" applyProtection="0">
      <alignment vertical="top"/>
    </xf>
    <xf numFmtId="195" fontId="28" fillId="0" borderId="0" applyFill="0" applyBorder="0" applyProtection="0">
      <alignment vertical="top"/>
    </xf>
    <xf numFmtId="195" fontId="28" fillId="0" borderId="0" applyFill="0" applyBorder="0" applyProtection="0">
      <alignment vertical="top"/>
    </xf>
    <xf numFmtId="194" fontId="28" fillId="0" borderId="0" applyFill="0" applyBorder="0" applyProtection="0">
      <alignment vertical="top"/>
    </xf>
    <xf numFmtId="194" fontId="28" fillId="0" borderId="0" applyFill="0" applyBorder="0" applyProtection="0">
      <alignment vertical="top"/>
    </xf>
    <xf numFmtId="187"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175" fontId="28" fillId="0" borderId="0" applyFill="0" applyBorder="0" applyProtection="0">
      <alignment vertical="top"/>
    </xf>
    <xf numFmtId="196" fontId="28" fillId="0" borderId="0" applyFill="0" applyBorder="0" applyProtection="0">
      <alignment vertical="top"/>
    </xf>
    <xf numFmtId="196" fontId="28" fillId="0" borderId="0" applyFill="0" applyBorder="0" applyProtection="0">
      <alignment vertical="top"/>
    </xf>
    <xf numFmtId="196" fontId="28" fillId="0" borderId="0" applyFill="0" applyBorder="0" applyProtection="0">
      <alignment vertical="top"/>
    </xf>
    <xf numFmtId="175" fontId="28" fillId="0" borderId="0" applyFill="0" applyBorder="0" applyProtection="0">
      <alignment vertical="top"/>
    </xf>
    <xf numFmtId="178" fontId="28" fillId="0" borderId="0" applyFill="0" applyBorder="0" applyProtection="0">
      <alignment vertical="top"/>
    </xf>
    <xf numFmtId="176"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8" fontId="28" fillId="0" borderId="0" applyFill="0" applyBorder="0" applyProtection="0">
      <alignment vertical="top"/>
    </xf>
    <xf numFmtId="179" fontId="28" fillId="0" borderId="0" applyFill="0" applyBorder="0" applyProtection="0">
      <alignment vertical="top"/>
    </xf>
    <xf numFmtId="180" fontId="28" fillId="0" borderId="0" applyFill="0" applyBorder="0" applyProtection="0">
      <alignment vertical="top"/>
    </xf>
    <xf numFmtId="180" fontId="28" fillId="0" borderId="0" applyFill="0" applyBorder="0" applyProtection="0">
      <alignment vertical="top"/>
    </xf>
    <xf numFmtId="180" fontId="28" fillId="0" borderId="0" applyFill="0" applyBorder="0" applyProtection="0">
      <alignment vertical="top"/>
    </xf>
    <xf numFmtId="179" fontId="28" fillId="0" borderId="0" applyFill="0" applyBorder="0" applyProtection="0">
      <alignment vertical="top"/>
    </xf>
    <xf numFmtId="179"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78"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8" fontId="28" fillId="0" borderId="0" applyFill="0" applyBorder="0" applyProtection="0">
      <alignment vertical="top"/>
    </xf>
    <xf numFmtId="178"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97"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7" fontId="28" fillId="0" borderId="0" applyFill="0" applyBorder="0" applyProtection="0">
      <alignment vertical="top"/>
    </xf>
    <xf numFmtId="197" fontId="28" fillId="0" borderId="0" applyFill="0" applyBorder="0" applyProtection="0">
      <alignment vertical="top"/>
    </xf>
    <xf numFmtId="197"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7" fontId="28" fillId="0" borderId="0" applyFill="0" applyBorder="0" applyProtection="0">
      <alignment vertical="top"/>
    </xf>
    <xf numFmtId="197" fontId="28" fillId="0" borderId="0" applyFill="0" applyBorder="0" applyProtection="0">
      <alignment vertical="top"/>
    </xf>
    <xf numFmtId="176"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99" fontId="28" fillId="0" borderId="0" applyFill="0" applyBorder="0" applyProtection="0">
      <alignment vertical="top"/>
    </xf>
    <xf numFmtId="200" fontId="28" fillId="0" borderId="0" applyFill="0" applyBorder="0" applyProtection="0">
      <alignment vertical="top"/>
    </xf>
    <xf numFmtId="200" fontId="28" fillId="0" borderId="0" applyFill="0" applyBorder="0" applyProtection="0">
      <alignment vertical="top"/>
    </xf>
    <xf numFmtId="200" fontId="28" fillId="0" borderId="0" applyFill="0" applyBorder="0" applyProtection="0">
      <alignment vertical="top"/>
    </xf>
    <xf numFmtId="199" fontId="28" fillId="0" borderId="0" applyFill="0" applyBorder="0" applyProtection="0">
      <alignment vertical="top"/>
    </xf>
    <xf numFmtId="199" fontId="28" fillId="0" borderId="0" applyFill="0" applyBorder="0" applyProtection="0">
      <alignment vertical="top"/>
    </xf>
    <xf numFmtId="178" fontId="28" fillId="0" borderId="0" applyFill="0" applyBorder="0" applyProtection="0">
      <alignment vertical="top"/>
    </xf>
    <xf numFmtId="178" fontId="28" fillId="0" borderId="0" applyFill="0" applyBorder="0" applyProtection="0">
      <alignment vertical="top"/>
    </xf>
    <xf numFmtId="175" fontId="28" fillId="0" borderId="0" applyFill="0" applyBorder="0" applyProtection="0">
      <alignment vertical="top"/>
    </xf>
    <xf numFmtId="187" fontId="28" fillId="0" borderId="0" applyFill="0" applyBorder="0" applyProtection="0">
      <alignment vertical="top"/>
    </xf>
    <xf numFmtId="173"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73"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92" fontId="28" fillId="0" borderId="0" applyFill="0" applyBorder="0" applyProtection="0">
      <alignment vertical="top"/>
    </xf>
    <xf numFmtId="193" fontId="28" fillId="0" borderId="0" applyFill="0" applyBorder="0" applyProtection="0">
      <alignment vertical="top"/>
    </xf>
    <xf numFmtId="193" fontId="28" fillId="0" borderId="0" applyFill="0" applyBorder="0" applyProtection="0">
      <alignment vertical="top"/>
    </xf>
    <xf numFmtId="193" fontId="28" fillId="0" borderId="0" applyFill="0" applyBorder="0" applyProtection="0">
      <alignment vertical="top"/>
    </xf>
    <xf numFmtId="192" fontId="28" fillId="0" borderId="0" applyFill="0" applyBorder="0" applyProtection="0">
      <alignment vertical="top"/>
    </xf>
    <xf numFmtId="192" fontId="28" fillId="0" borderId="0" applyFill="0" applyBorder="0" applyProtection="0">
      <alignment vertical="top"/>
    </xf>
    <xf numFmtId="185" fontId="28" fillId="0" borderId="0" applyFill="0" applyBorder="0" applyProtection="0">
      <alignment vertical="top"/>
    </xf>
    <xf numFmtId="186" fontId="28" fillId="0" borderId="0" applyFill="0" applyBorder="0" applyProtection="0">
      <alignment vertical="top"/>
    </xf>
    <xf numFmtId="186" fontId="28" fillId="0" borderId="0" applyFill="0" applyBorder="0" applyProtection="0">
      <alignment vertical="top"/>
    </xf>
    <xf numFmtId="186"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194" fontId="28" fillId="0" borderId="0" applyFill="0" applyBorder="0" applyProtection="0">
      <alignment vertical="top"/>
    </xf>
    <xf numFmtId="195" fontId="28" fillId="0" borderId="0" applyFill="0" applyBorder="0" applyProtection="0">
      <alignment vertical="top"/>
    </xf>
    <xf numFmtId="195" fontId="28" fillId="0" borderId="0" applyFill="0" applyBorder="0" applyProtection="0">
      <alignment vertical="top"/>
    </xf>
    <xf numFmtId="195" fontId="28" fillId="0" borderId="0" applyFill="0" applyBorder="0" applyProtection="0">
      <alignment vertical="top"/>
    </xf>
    <xf numFmtId="194" fontId="28" fillId="0" borderId="0" applyFill="0" applyBorder="0" applyProtection="0">
      <alignment vertical="top"/>
    </xf>
    <xf numFmtId="194" fontId="28" fillId="0" borderId="0" applyFill="0" applyBorder="0" applyProtection="0">
      <alignment vertical="top"/>
    </xf>
    <xf numFmtId="187" fontId="28" fillId="0" borderId="0" applyFill="0" applyBorder="0" applyProtection="0">
      <alignment vertical="top"/>
    </xf>
    <xf numFmtId="185" fontId="28" fillId="0" borderId="0" applyFill="0" applyBorder="0" applyProtection="0">
      <alignment vertical="top"/>
    </xf>
    <xf numFmtId="201" fontId="28" fillId="0" borderId="0" applyFill="0" applyBorder="0" applyProtection="0">
      <alignment vertical="top"/>
    </xf>
    <xf numFmtId="174"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4"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5" fontId="28" fillId="0" borderId="0" applyFill="0" applyBorder="0" applyProtection="0">
      <alignment vertical="top"/>
    </xf>
    <xf numFmtId="206" fontId="28" fillId="0" borderId="0" applyFill="0" applyBorder="0" applyProtection="0">
      <alignment vertical="top"/>
    </xf>
    <xf numFmtId="206" fontId="28" fillId="0" borderId="0" applyFill="0" applyBorder="0" applyProtection="0">
      <alignment vertical="top"/>
    </xf>
    <xf numFmtId="206" fontId="28" fillId="0" borderId="0" applyFill="0" applyBorder="0" applyProtection="0">
      <alignment vertical="top"/>
    </xf>
    <xf numFmtId="205" fontId="28" fillId="0" borderId="0" applyFill="0" applyBorder="0" applyProtection="0">
      <alignment vertical="top"/>
    </xf>
    <xf numFmtId="205"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7" fontId="28" fillId="0" borderId="0" applyFill="0" applyBorder="0" applyProtection="0">
      <alignment vertical="top"/>
    </xf>
    <xf numFmtId="208" fontId="28" fillId="0" borderId="0" applyFill="0" applyBorder="0" applyProtection="0">
      <alignment vertical="top"/>
    </xf>
    <xf numFmtId="208" fontId="28" fillId="0" borderId="0" applyFill="0" applyBorder="0" applyProtection="0">
      <alignment vertical="top"/>
    </xf>
    <xf numFmtId="208" fontId="28" fillId="0" borderId="0" applyFill="0" applyBorder="0" applyProtection="0">
      <alignment vertical="top"/>
    </xf>
    <xf numFmtId="207" fontId="28" fillId="0" borderId="0" applyFill="0" applyBorder="0" applyProtection="0">
      <alignment vertical="top"/>
    </xf>
    <xf numFmtId="207" fontId="28" fillId="0" borderId="0" applyFill="0" applyBorder="0" applyProtection="0">
      <alignment vertical="top"/>
    </xf>
    <xf numFmtId="209" fontId="28" fillId="0" borderId="0" applyFill="0" applyBorder="0" applyProtection="0">
      <alignment vertical="top"/>
    </xf>
    <xf numFmtId="210" fontId="28" fillId="0" borderId="0" applyFill="0" applyBorder="0" applyProtection="0">
      <alignment vertical="top"/>
    </xf>
    <xf numFmtId="210" fontId="28" fillId="0" borderId="0" applyFill="0" applyBorder="0" applyProtection="0">
      <alignment vertical="top"/>
    </xf>
    <xf numFmtId="210" fontId="28" fillId="0" borderId="0" applyFill="0" applyBorder="0" applyProtection="0">
      <alignment vertical="top"/>
    </xf>
    <xf numFmtId="209" fontId="28" fillId="0" borderId="0" applyFill="0" applyBorder="0" applyProtection="0">
      <alignment vertical="top"/>
    </xf>
    <xf numFmtId="209" fontId="28" fillId="0" borderId="0" applyFill="0" applyBorder="0" applyProtection="0">
      <alignment vertical="top"/>
    </xf>
    <xf numFmtId="201" fontId="28" fillId="0" borderId="0" applyFill="0" applyBorder="0" applyProtection="0">
      <alignment vertical="top"/>
    </xf>
    <xf numFmtId="175" fontId="28" fillId="0" borderId="0" applyFill="0" applyBorder="0" applyProtection="0">
      <alignment vertical="top"/>
    </xf>
    <xf numFmtId="176"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8" fontId="28" fillId="0" borderId="0" applyFill="0" applyBorder="0" applyProtection="0">
      <alignment vertical="top"/>
    </xf>
    <xf numFmtId="179" fontId="28" fillId="0" borderId="0" applyFill="0" applyBorder="0" applyProtection="0">
      <alignment vertical="top"/>
    </xf>
    <xf numFmtId="180" fontId="28" fillId="0" borderId="0" applyFill="0" applyBorder="0" applyProtection="0">
      <alignment vertical="top"/>
    </xf>
    <xf numFmtId="180" fontId="28" fillId="0" borderId="0" applyFill="0" applyBorder="0" applyProtection="0">
      <alignment vertical="top"/>
    </xf>
    <xf numFmtId="180" fontId="28" fillId="0" borderId="0" applyFill="0" applyBorder="0" applyProtection="0">
      <alignment vertical="top"/>
    </xf>
    <xf numFmtId="179" fontId="28" fillId="0" borderId="0" applyFill="0" applyBorder="0" applyProtection="0">
      <alignment vertical="top"/>
    </xf>
    <xf numFmtId="179"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78"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8" fontId="28" fillId="0" borderId="0" applyFill="0" applyBorder="0" applyProtection="0">
      <alignment vertical="top"/>
    </xf>
    <xf numFmtId="178"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97"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7" fontId="28" fillId="0" borderId="0" applyFill="0" applyBorder="0" applyProtection="0">
      <alignment vertical="top"/>
    </xf>
    <xf numFmtId="197" fontId="28" fillId="0" borderId="0" applyFill="0" applyBorder="0" applyProtection="0">
      <alignment vertical="top"/>
    </xf>
    <xf numFmtId="197"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7" fontId="28" fillId="0" borderId="0" applyFill="0" applyBorder="0" applyProtection="0">
      <alignment vertical="top"/>
    </xf>
    <xf numFmtId="197" fontId="28" fillId="0" borderId="0" applyFill="0" applyBorder="0" applyProtection="0">
      <alignment vertical="top"/>
    </xf>
    <xf numFmtId="176"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99" fontId="28" fillId="0" borderId="0" applyFill="0" applyBorder="0" applyProtection="0">
      <alignment vertical="top"/>
    </xf>
    <xf numFmtId="200" fontId="28" fillId="0" borderId="0" applyFill="0" applyBorder="0" applyProtection="0">
      <alignment vertical="top"/>
    </xf>
    <xf numFmtId="200" fontId="28" fillId="0" borderId="0" applyFill="0" applyBorder="0" applyProtection="0">
      <alignment vertical="top"/>
    </xf>
    <xf numFmtId="200" fontId="28" fillId="0" borderId="0" applyFill="0" applyBorder="0" applyProtection="0">
      <alignment vertical="top"/>
    </xf>
    <xf numFmtId="199" fontId="28" fillId="0" borderId="0" applyFill="0" applyBorder="0" applyProtection="0">
      <alignment vertical="top"/>
    </xf>
    <xf numFmtId="199" fontId="28" fillId="0" borderId="0" applyFill="0" applyBorder="0" applyProtection="0">
      <alignment vertical="top"/>
    </xf>
    <xf numFmtId="175" fontId="28" fillId="0" borderId="0" applyFill="0" applyBorder="0" applyProtection="0">
      <alignment vertical="top"/>
    </xf>
    <xf numFmtId="196" fontId="28" fillId="0" borderId="0" applyFill="0" applyBorder="0" applyProtection="0">
      <alignment vertical="top"/>
    </xf>
    <xf numFmtId="196" fontId="28" fillId="0" borderId="0" applyFill="0" applyBorder="0" applyProtection="0">
      <alignment vertical="top"/>
    </xf>
    <xf numFmtId="196" fontId="28" fillId="0" borderId="0" applyFill="0" applyBorder="0" applyProtection="0">
      <alignment vertical="top"/>
    </xf>
    <xf numFmtId="175" fontId="28" fillId="0" borderId="0" applyFill="0" applyBorder="0" applyProtection="0">
      <alignment vertical="top"/>
    </xf>
    <xf numFmtId="175" fontId="28" fillId="0" borderId="0" applyFill="0" applyBorder="0" applyProtection="0">
      <alignment vertical="top"/>
    </xf>
    <xf numFmtId="178" fontId="28" fillId="0" borderId="0" applyFill="0" applyBorder="0" applyProtection="0">
      <alignment vertical="top"/>
    </xf>
    <xf numFmtId="178" fontId="28" fillId="0" borderId="0" applyFill="0" applyBorder="0" applyProtection="0">
      <alignment vertical="top"/>
    </xf>
    <xf numFmtId="185" fontId="28" fillId="0" borderId="0" applyFill="0" applyBorder="0" applyProtection="0">
      <alignment vertical="top"/>
    </xf>
    <xf numFmtId="201" fontId="28" fillId="0" borderId="0" applyFill="0" applyBorder="0" applyProtection="0">
      <alignment vertical="top"/>
    </xf>
    <xf numFmtId="174"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4"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5" fontId="28" fillId="0" borderId="0" applyFill="0" applyBorder="0" applyProtection="0">
      <alignment vertical="top"/>
    </xf>
    <xf numFmtId="206" fontId="28" fillId="0" borderId="0" applyFill="0" applyBorder="0" applyProtection="0">
      <alignment vertical="top"/>
    </xf>
    <xf numFmtId="206" fontId="28" fillId="0" borderId="0" applyFill="0" applyBorder="0" applyProtection="0">
      <alignment vertical="top"/>
    </xf>
    <xf numFmtId="206" fontId="28" fillId="0" borderId="0" applyFill="0" applyBorder="0" applyProtection="0">
      <alignment vertical="top"/>
    </xf>
    <xf numFmtId="205" fontId="28" fillId="0" borderId="0" applyFill="0" applyBorder="0" applyProtection="0">
      <alignment vertical="top"/>
    </xf>
    <xf numFmtId="205"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7" fontId="28" fillId="0" borderId="0" applyFill="0" applyBorder="0" applyProtection="0">
      <alignment vertical="top"/>
    </xf>
    <xf numFmtId="208" fontId="28" fillId="0" borderId="0" applyFill="0" applyBorder="0" applyProtection="0">
      <alignment vertical="top"/>
    </xf>
    <xf numFmtId="208" fontId="28" fillId="0" borderId="0" applyFill="0" applyBorder="0" applyProtection="0">
      <alignment vertical="top"/>
    </xf>
    <xf numFmtId="208" fontId="28" fillId="0" borderId="0" applyFill="0" applyBorder="0" applyProtection="0">
      <alignment vertical="top"/>
    </xf>
    <xf numFmtId="207" fontId="28" fillId="0" borderId="0" applyFill="0" applyBorder="0" applyProtection="0">
      <alignment vertical="top"/>
    </xf>
    <xf numFmtId="207" fontId="28" fillId="0" borderId="0" applyFill="0" applyBorder="0" applyProtection="0">
      <alignment vertical="top"/>
    </xf>
    <xf numFmtId="209" fontId="28" fillId="0" borderId="0" applyFill="0" applyBorder="0" applyProtection="0">
      <alignment vertical="top"/>
    </xf>
    <xf numFmtId="210" fontId="28" fillId="0" borderId="0" applyFill="0" applyBorder="0" applyProtection="0">
      <alignment vertical="top"/>
    </xf>
    <xf numFmtId="210" fontId="28" fillId="0" borderId="0" applyFill="0" applyBorder="0" applyProtection="0">
      <alignment vertical="top"/>
    </xf>
    <xf numFmtId="210" fontId="28" fillId="0" borderId="0" applyFill="0" applyBorder="0" applyProtection="0">
      <alignment vertical="top"/>
    </xf>
    <xf numFmtId="209" fontId="28" fillId="0" borderId="0" applyFill="0" applyBorder="0" applyProtection="0">
      <alignment vertical="top"/>
    </xf>
    <xf numFmtId="209" fontId="28" fillId="0" borderId="0" applyFill="0" applyBorder="0" applyProtection="0">
      <alignment vertical="top"/>
    </xf>
    <xf numFmtId="201" fontId="28" fillId="0" borderId="0" applyFill="0" applyBorder="0" applyProtection="0">
      <alignment vertical="top"/>
    </xf>
    <xf numFmtId="175" fontId="28" fillId="0" borderId="0" applyFill="0" applyBorder="0" applyProtection="0">
      <alignment vertical="top"/>
    </xf>
    <xf numFmtId="187" fontId="28" fillId="0" borderId="0" applyFill="0" applyBorder="0" applyProtection="0">
      <alignment vertical="top"/>
    </xf>
    <xf numFmtId="173"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73"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92" fontId="28" fillId="0" borderId="0" applyFill="0" applyBorder="0" applyProtection="0">
      <alignment vertical="top"/>
    </xf>
    <xf numFmtId="193" fontId="28" fillId="0" borderId="0" applyFill="0" applyBorder="0" applyProtection="0">
      <alignment vertical="top"/>
    </xf>
    <xf numFmtId="193" fontId="28" fillId="0" borderId="0" applyFill="0" applyBorder="0" applyProtection="0">
      <alignment vertical="top"/>
    </xf>
    <xf numFmtId="193" fontId="28" fillId="0" borderId="0" applyFill="0" applyBorder="0" applyProtection="0">
      <alignment vertical="top"/>
    </xf>
    <xf numFmtId="192" fontId="28" fillId="0" borderId="0" applyFill="0" applyBorder="0" applyProtection="0">
      <alignment vertical="top"/>
    </xf>
    <xf numFmtId="192" fontId="28" fillId="0" borderId="0" applyFill="0" applyBorder="0" applyProtection="0">
      <alignment vertical="top"/>
    </xf>
    <xf numFmtId="194" fontId="28" fillId="0" borderId="0" applyFill="0" applyBorder="0" applyProtection="0">
      <alignment vertical="top"/>
    </xf>
    <xf numFmtId="195" fontId="28" fillId="0" borderId="0" applyFill="0" applyBorder="0" applyProtection="0">
      <alignment vertical="top"/>
    </xf>
    <xf numFmtId="195" fontId="28" fillId="0" borderId="0" applyFill="0" applyBorder="0" applyProtection="0">
      <alignment vertical="top"/>
    </xf>
    <xf numFmtId="195" fontId="28" fillId="0" borderId="0" applyFill="0" applyBorder="0" applyProtection="0">
      <alignment vertical="top"/>
    </xf>
    <xf numFmtId="194" fontId="28" fillId="0" borderId="0" applyFill="0" applyBorder="0" applyProtection="0">
      <alignment vertical="top"/>
    </xf>
    <xf numFmtId="194" fontId="28" fillId="0" borderId="0" applyFill="0" applyBorder="0" applyProtection="0">
      <alignment vertical="top"/>
    </xf>
    <xf numFmtId="187" fontId="28" fillId="0" borderId="0" applyFill="0" applyBorder="0" applyProtection="0">
      <alignment vertical="top"/>
    </xf>
    <xf numFmtId="185" fontId="28" fillId="0" borderId="0" applyFill="0" applyBorder="0" applyProtection="0">
      <alignment vertical="top"/>
    </xf>
    <xf numFmtId="175" fontId="28" fillId="0" borderId="0" applyFill="0" applyBorder="0" applyProtection="0">
      <alignment vertical="top"/>
    </xf>
    <xf numFmtId="196" fontId="28" fillId="0" borderId="0" applyFill="0" applyBorder="0" applyProtection="0">
      <alignment vertical="top"/>
    </xf>
    <xf numFmtId="196" fontId="28" fillId="0" borderId="0" applyFill="0" applyBorder="0" applyProtection="0">
      <alignment vertical="top"/>
    </xf>
    <xf numFmtId="196" fontId="28" fillId="0" borderId="0" applyFill="0" applyBorder="0" applyProtection="0">
      <alignment vertical="top"/>
    </xf>
    <xf numFmtId="175" fontId="28" fillId="0" borderId="0" applyFill="0" applyBorder="0" applyProtection="0">
      <alignment vertical="top"/>
    </xf>
    <xf numFmtId="175" fontId="28" fillId="0" borderId="0" applyFill="0" applyBorder="0" applyProtection="0">
      <alignment vertical="top"/>
    </xf>
    <xf numFmtId="167"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67" fontId="28" fillId="0" borderId="0" applyFill="0" applyBorder="0" applyProtection="0">
      <alignment vertical="top"/>
    </xf>
    <xf numFmtId="167"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67" fontId="28" fillId="0" borderId="0" applyFill="0" applyBorder="0" applyProtection="0">
      <alignment vertical="top"/>
    </xf>
    <xf numFmtId="167" fontId="28" fillId="0" borderId="0" applyFill="0" applyBorder="0" applyProtection="0">
      <alignment vertical="top"/>
    </xf>
    <xf numFmtId="183" fontId="28" fillId="0" borderId="0" applyFill="0" applyBorder="0" applyProtection="0">
      <alignment vertical="top"/>
    </xf>
    <xf numFmtId="184" fontId="28" fillId="0" borderId="0" applyFill="0" applyBorder="0" applyProtection="0">
      <alignment vertical="top"/>
    </xf>
    <xf numFmtId="184" fontId="28" fillId="0" borderId="0" applyFill="0" applyBorder="0" applyProtection="0">
      <alignment vertical="top"/>
    </xf>
    <xf numFmtId="184" fontId="28" fillId="0" borderId="0" applyFill="0" applyBorder="0" applyProtection="0">
      <alignment vertical="top"/>
    </xf>
    <xf numFmtId="183" fontId="28" fillId="0" borderId="0" applyFill="0" applyBorder="0" applyProtection="0">
      <alignment vertical="top"/>
    </xf>
    <xf numFmtId="183" fontId="28" fillId="0" borderId="0" applyFill="0" applyBorder="0" applyProtection="0">
      <alignment vertical="top"/>
    </xf>
    <xf numFmtId="167" fontId="28" fillId="0" borderId="0" applyFill="0" applyBorder="0" applyProtection="0">
      <alignment vertical="top"/>
    </xf>
    <xf numFmtId="186" fontId="28" fillId="0" borderId="0" applyFill="0" applyBorder="0" applyProtection="0">
      <alignment vertical="top"/>
    </xf>
    <xf numFmtId="186" fontId="28" fillId="0" borderId="0" applyFill="0" applyBorder="0" applyProtection="0">
      <alignment vertical="top"/>
    </xf>
    <xf numFmtId="186"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178"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8" fontId="28" fillId="0" borderId="0" applyFill="0" applyBorder="0" applyProtection="0">
      <alignment vertical="top"/>
    </xf>
    <xf numFmtId="178" fontId="28" fillId="0" borderId="0" applyFill="0" applyBorder="0" applyProtection="0">
      <alignment vertical="top"/>
    </xf>
    <xf numFmtId="178"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97"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7" fontId="28" fillId="0" borderId="0" applyFill="0" applyBorder="0" applyProtection="0">
      <alignment vertical="top"/>
    </xf>
    <xf numFmtId="197" fontId="28" fillId="0" borderId="0" applyFill="0" applyBorder="0" applyProtection="0">
      <alignment vertical="top"/>
    </xf>
    <xf numFmtId="197"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7" fontId="28" fillId="0" borderId="0" applyFill="0" applyBorder="0" applyProtection="0">
      <alignment vertical="top"/>
    </xf>
    <xf numFmtId="197" fontId="28" fillId="0" borderId="0" applyFill="0" applyBorder="0" applyProtection="0">
      <alignment vertical="top"/>
    </xf>
    <xf numFmtId="176"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99" fontId="28" fillId="0" borderId="0" applyFill="0" applyBorder="0" applyProtection="0">
      <alignment vertical="top"/>
    </xf>
    <xf numFmtId="200" fontId="28" fillId="0" borderId="0" applyFill="0" applyBorder="0" applyProtection="0">
      <alignment vertical="top"/>
    </xf>
    <xf numFmtId="200" fontId="28" fillId="0" borderId="0" applyFill="0" applyBorder="0" applyProtection="0">
      <alignment vertical="top"/>
    </xf>
    <xf numFmtId="200" fontId="28" fillId="0" borderId="0" applyFill="0" applyBorder="0" applyProtection="0">
      <alignment vertical="top"/>
    </xf>
    <xf numFmtId="199" fontId="28" fillId="0" borderId="0" applyFill="0" applyBorder="0" applyProtection="0">
      <alignment vertical="top"/>
    </xf>
    <xf numFmtId="199" fontId="28" fillId="0" borderId="0" applyFill="0" applyBorder="0" applyProtection="0">
      <alignment vertical="top"/>
    </xf>
    <xf numFmtId="175" fontId="28" fillId="0" borderId="0" applyFill="0" applyBorder="0" applyProtection="0">
      <alignment vertical="top"/>
    </xf>
    <xf numFmtId="201" fontId="28" fillId="0" borderId="0" applyFill="0" applyBorder="0" applyProtection="0">
      <alignment vertical="top"/>
    </xf>
    <xf numFmtId="174"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4"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5" fontId="28" fillId="0" borderId="0" applyFill="0" applyBorder="0" applyProtection="0">
      <alignment vertical="top"/>
    </xf>
    <xf numFmtId="206" fontId="28" fillId="0" borderId="0" applyFill="0" applyBorder="0" applyProtection="0">
      <alignment vertical="top"/>
    </xf>
    <xf numFmtId="206" fontId="28" fillId="0" borderId="0" applyFill="0" applyBorder="0" applyProtection="0">
      <alignment vertical="top"/>
    </xf>
    <xf numFmtId="206" fontId="28" fillId="0" borderId="0" applyFill="0" applyBorder="0" applyProtection="0">
      <alignment vertical="top"/>
    </xf>
    <xf numFmtId="205" fontId="28" fillId="0" borderId="0" applyFill="0" applyBorder="0" applyProtection="0">
      <alignment vertical="top"/>
    </xf>
    <xf numFmtId="205"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7" fontId="28" fillId="0" borderId="0" applyFill="0" applyBorder="0" applyProtection="0">
      <alignment vertical="top"/>
    </xf>
    <xf numFmtId="208" fontId="28" fillId="0" borderId="0" applyFill="0" applyBorder="0" applyProtection="0">
      <alignment vertical="top"/>
    </xf>
    <xf numFmtId="208" fontId="28" fillId="0" borderId="0" applyFill="0" applyBorder="0" applyProtection="0">
      <alignment vertical="top"/>
    </xf>
    <xf numFmtId="208" fontId="28" fillId="0" borderId="0" applyFill="0" applyBorder="0" applyProtection="0">
      <alignment vertical="top"/>
    </xf>
    <xf numFmtId="207" fontId="28" fillId="0" borderId="0" applyFill="0" applyBorder="0" applyProtection="0">
      <alignment vertical="top"/>
    </xf>
    <xf numFmtId="207" fontId="28" fillId="0" borderId="0" applyFill="0" applyBorder="0" applyProtection="0">
      <alignment vertical="top"/>
    </xf>
    <xf numFmtId="209" fontId="28" fillId="0" borderId="0" applyFill="0" applyBorder="0" applyProtection="0">
      <alignment vertical="top"/>
    </xf>
    <xf numFmtId="210" fontId="28" fillId="0" borderId="0" applyFill="0" applyBorder="0" applyProtection="0">
      <alignment vertical="top"/>
    </xf>
    <xf numFmtId="210" fontId="28" fillId="0" borderId="0" applyFill="0" applyBorder="0" applyProtection="0">
      <alignment vertical="top"/>
    </xf>
    <xf numFmtId="210" fontId="28" fillId="0" borderId="0" applyFill="0" applyBorder="0" applyProtection="0">
      <alignment vertical="top"/>
    </xf>
    <xf numFmtId="209" fontId="28" fillId="0" borderId="0" applyFill="0" applyBorder="0" applyProtection="0">
      <alignment vertical="top"/>
    </xf>
    <xf numFmtId="209" fontId="28" fillId="0" borderId="0" applyFill="0" applyBorder="0" applyProtection="0">
      <alignment vertical="top"/>
    </xf>
    <xf numFmtId="201" fontId="28" fillId="0" borderId="0" applyFill="0" applyBorder="0" applyProtection="0">
      <alignment vertical="top"/>
    </xf>
    <xf numFmtId="175" fontId="28" fillId="0" borderId="0" applyFill="0" applyBorder="0" applyProtection="0">
      <alignment vertical="top"/>
    </xf>
    <xf numFmtId="187" fontId="28" fillId="0" borderId="0" applyFill="0" applyBorder="0" applyProtection="0">
      <alignment vertical="top"/>
    </xf>
    <xf numFmtId="173"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73"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92" fontId="28" fillId="0" borderId="0" applyFill="0" applyBorder="0" applyProtection="0">
      <alignment vertical="top"/>
    </xf>
    <xf numFmtId="193" fontId="28" fillId="0" borderId="0" applyFill="0" applyBorder="0" applyProtection="0">
      <alignment vertical="top"/>
    </xf>
    <xf numFmtId="193" fontId="28" fillId="0" borderId="0" applyFill="0" applyBorder="0" applyProtection="0">
      <alignment vertical="top"/>
    </xf>
    <xf numFmtId="193" fontId="28" fillId="0" borderId="0" applyFill="0" applyBorder="0" applyProtection="0">
      <alignment vertical="top"/>
    </xf>
    <xf numFmtId="192" fontId="28" fillId="0" borderId="0" applyFill="0" applyBorder="0" applyProtection="0">
      <alignment vertical="top"/>
    </xf>
    <xf numFmtId="192" fontId="28" fillId="0" borderId="0" applyFill="0" applyBorder="0" applyProtection="0">
      <alignment vertical="top"/>
    </xf>
    <xf numFmtId="194" fontId="28" fillId="0" borderId="0" applyFill="0" applyBorder="0" applyProtection="0">
      <alignment vertical="top"/>
    </xf>
    <xf numFmtId="195" fontId="28" fillId="0" borderId="0" applyFill="0" applyBorder="0" applyProtection="0">
      <alignment vertical="top"/>
    </xf>
    <xf numFmtId="195" fontId="28" fillId="0" borderId="0" applyFill="0" applyBorder="0" applyProtection="0">
      <alignment vertical="top"/>
    </xf>
    <xf numFmtId="195" fontId="28" fillId="0" borderId="0" applyFill="0" applyBorder="0" applyProtection="0">
      <alignment vertical="top"/>
    </xf>
    <xf numFmtId="194" fontId="28" fillId="0" borderId="0" applyFill="0" applyBorder="0" applyProtection="0">
      <alignment vertical="top"/>
    </xf>
    <xf numFmtId="194" fontId="28" fillId="0" borderId="0" applyFill="0" applyBorder="0" applyProtection="0">
      <alignment vertical="top"/>
    </xf>
    <xf numFmtId="187" fontId="28" fillId="0" borderId="0" applyFill="0" applyBorder="0" applyProtection="0">
      <alignment vertical="top"/>
    </xf>
    <xf numFmtId="185" fontId="28" fillId="0" borderId="0" applyFill="0" applyBorder="0" applyProtection="0">
      <alignment vertical="top"/>
    </xf>
    <xf numFmtId="167"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67" fontId="28" fillId="0" borderId="0" applyFill="0" applyBorder="0" applyProtection="0">
      <alignment vertical="top"/>
    </xf>
    <xf numFmtId="167"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67" fontId="28" fillId="0" borderId="0" applyFill="0" applyBorder="0" applyProtection="0">
      <alignment vertical="top"/>
    </xf>
    <xf numFmtId="167" fontId="28" fillId="0" borderId="0" applyFill="0" applyBorder="0" applyProtection="0">
      <alignment vertical="top"/>
    </xf>
    <xf numFmtId="183" fontId="28" fillId="0" borderId="0" applyFill="0" applyBorder="0" applyProtection="0">
      <alignment vertical="top"/>
    </xf>
    <xf numFmtId="184" fontId="28" fillId="0" borderId="0" applyFill="0" applyBorder="0" applyProtection="0">
      <alignment vertical="top"/>
    </xf>
    <xf numFmtId="184" fontId="28" fillId="0" borderId="0" applyFill="0" applyBorder="0" applyProtection="0">
      <alignment vertical="top"/>
    </xf>
    <xf numFmtId="184" fontId="28" fillId="0" borderId="0" applyFill="0" applyBorder="0" applyProtection="0">
      <alignment vertical="top"/>
    </xf>
    <xf numFmtId="183" fontId="28" fillId="0" borderId="0" applyFill="0" applyBorder="0" applyProtection="0">
      <alignment vertical="top"/>
    </xf>
    <xf numFmtId="183" fontId="28" fillId="0" borderId="0" applyFill="0" applyBorder="0" applyProtection="0">
      <alignment vertical="top"/>
    </xf>
    <xf numFmtId="167" fontId="28" fillId="0" borderId="0" applyFill="0" applyBorder="0" applyProtection="0">
      <alignment vertical="top"/>
    </xf>
    <xf numFmtId="185" fontId="28" fillId="0" borderId="0" applyFill="0" applyBorder="0" applyProtection="0">
      <alignment vertical="top"/>
    </xf>
    <xf numFmtId="186" fontId="28" fillId="0" borderId="0" applyFill="0" applyBorder="0" applyProtection="0">
      <alignment vertical="top"/>
    </xf>
    <xf numFmtId="186" fontId="28" fillId="0" borderId="0" applyFill="0" applyBorder="0" applyProtection="0">
      <alignment vertical="top"/>
    </xf>
    <xf numFmtId="186"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196" fontId="28" fillId="0" borderId="0" applyFill="0" applyBorder="0" applyProtection="0">
      <alignment vertical="top"/>
    </xf>
    <xf numFmtId="196" fontId="28" fillId="0" borderId="0" applyFill="0" applyBorder="0" applyProtection="0">
      <alignment vertical="top"/>
    </xf>
    <xf numFmtId="196" fontId="28" fillId="0" borderId="0" applyFill="0" applyBorder="0" applyProtection="0">
      <alignment vertical="top"/>
    </xf>
    <xf numFmtId="175" fontId="28" fillId="0" borderId="0" applyFill="0" applyBorder="0" applyProtection="0">
      <alignment vertical="top"/>
    </xf>
    <xf numFmtId="175" fontId="28" fillId="0" borderId="0" applyFill="0" applyBorder="0" applyProtection="0">
      <alignment vertical="top"/>
    </xf>
    <xf numFmtId="178" fontId="28" fillId="0" borderId="0" applyFill="0" applyBorder="0" applyProtection="0">
      <alignment vertical="top"/>
    </xf>
    <xf numFmtId="178" fontId="28" fillId="0" borderId="0" applyFill="0" applyBorder="0" applyProtection="0">
      <alignment vertical="top"/>
    </xf>
    <xf numFmtId="211" fontId="28" fillId="0" borderId="0"/>
    <xf numFmtId="212" fontId="28" fillId="0" borderId="0"/>
    <xf numFmtId="167" fontId="28" fillId="0" borderId="0" applyFill="0" applyBorder="0" applyProtection="0">
      <alignment vertical="top"/>
    </xf>
    <xf numFmtId="0" fontId="28" fillId="2" borderId="0"/>
    <xf numFmtId="0" fontId="28" fillId="0" borderId="0" applyFill="0" applyBorder="0">
      <alignment vertical="top"/>
    </xf>
    <xf numFmtId="0" fontId="28" fillId="0" borderId="0" applyFill="0" applyBorder="0">
      <alignment vertical="top"/>
    </xf>
    <xf numFmtId="0" fontId="28" fillId="0" borderId="0" applyFill="0" applyBorder="0">
      <alignment vertical="top"/>
    </xf>
    <xf numFmtId="215" fontId="28" fillId="0" borderId="0" applyFill="0" applyBorder="0">
      <alignment vertical="top"/>
    </xf>
    <xf numFmtId="0" fontId="28" fillId="0" borderId="0" applyFill="0" applyBorder="0">
      <alignment vertical="top"/>
    </xf>
    <xf numFmtId="216" fontId="28" fillId="0" borderId="0" applyFill="0" applyBorder="0">
      <alignment vertical="top"/>
    </xf>
    <xf numFmtId="0" fontId="28" fillId="0" borderId="0" applyFill="0" applyBorder="0">
      <alignment vertical="top"/>
    </xf>
    <xf numFmtId="220" fontId="28" fillId="0" borderId="0" applyFill="0" applyBorder="0" applyProtection="0">
      <alignment vertical="top"/>
    </xf>
    <xf numFmtId="213" fontId="28" fillId="0" borderId="0" applyFill="0" applyBorder="0" applyProtection="0">
      <alignment vertical="top"/>
    </xf>
    <xf numFmtId="213" fontId="28" fillId="0" borderId="0" applyFill="0" applyBorder="0" applyProtection="0">
      <alignment vertical="top"/>
    </xf>
    <xf numFmtId="0" fontId="28" fillId="0" borderId="0" applyFill="0" applyBorder="0" applyProtection="0">
      <alignment vertical="top"/>
    </xf>
    <xf numFmtId="219" fontId="28" fillId="0" borderId="0" applyFill="0" applyBorder="0" applyProtection="0">
      <alignment vertical="top"/>
    </xf>
    <xf numFmtId="220" fontId="28" fillId="0" borderId="0" applyFill="0" applyBorder="0" applyProtection="0">
      <alignment vertical="top"/>
    </xf>
    <xf numFmtId="221" fontId="28" fillId="0" borderId="0" applyFill="0" applyBorder="0" applyProtection="0">
      <alignment vertical="top"/>
    </xf>
    <xf numFmtId="221" fontId="28" fillId="0" borderId="0" applyFill="0" applyBorder="0" applyProtection="0">
      <alignment vertical="top"/>
    </xf>
    <xf numFmtId="221" fontId="28" fillId="0" borderId="0" applyFill="0" applyBorder="0" applyProtection="0">
      <alignment vertical="top"/>
    </xf>
    <xf numFmtId="221" fontId="28" fillId="0" borderId="0" applyFill="0" applyBorder="0" applyProtection="0">
      <alignment vertical="top"/>
    </xf>
    <xf numFmtId="222" fontId="28" fillId="0" borderId="0" applyFill="0" applyBorder="0" applyProtection="0">
      <alignment vertical="top"/>
    </xf>
    <xf numFmtId="220" fontId="28" fillId="0" borderId="0" applyFill="0" applyBorder="0" applyProtection="0">
      <alignment vertical="top"/>
    </xf>
    <xf numFmtId="223" fontId="28" fillId="0" borderId="0" applyFill="0" applyBorder="0" applyProtection="0">
      <alignment vertical="top"/>
    </xf>
    <xf numFmtId="224"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225" fontId="28" fillId="0" borderId="0" applyFill="0" applyBorder="0" applyProtection="0">
      <alignment vertical="top"/>
    </xf>
    <xf numFmtId="220" fontId="28" fillId="0" borderId="0" applyFill="0" applyBorder="0" applyProtection="0">
      <alignment vertical="top"/>
    </xf>
    <xf numFmtId="223" fontId="28" fillId="0" borderId="0" applyFill="0" applyBorder="0" applyProtection="0">
      <alignment vertical="top"/>
    </xf>
    <xf numFmtId="224" fontId="28" fillId="0" borderId="0" applyFill="0" applyBorder="0" applyProtection="0">
      <alignment vertical="top"/>
    </xf>
    <xf numFmtId="224" fontId="28" fillId="0" borderId="0" applyFill="0" applyBorder="0" applyProtection="0">
      <alignment vertical="top"/>
    </xf>
    <xf numFmtId="224" fontId="28" fillId="0" borderId="0" applyFill="0" applyBorder="0" applyProtection="0">
      <alignment vertical="top"/>
    </xf>
    <xf numFmtId="224" fontId="28" fillId="0" borderId="0" applyFill="0" applyBorder="0" applyProtection="0">
      <alignment vertical="top"/>
    </xf>
    <xf numFmtId="224" fontId="28" fillId="0" borderId="0" applyFill="0" applyBorder="0" applyProtection="0">
      <alignment vertical="top"/>
    </xf>
    <xf numFmtId="224" fontId="28" fillId="0" borderId="0" applyFill="0" applyBorder="0" applyProtection="0">
      <alignment vertical="top"/>
    </xf>
    <xf numFmtId="224" fontId="28" fillId="0" borderId="0" applyFill="0" applyBorder="0" applyProtection="0">
      <alignment vertical="top"/>
    </xf>
    <xf numFmtId="224" fontId="28" fillId="0" borderId="0" applyFill="0" applyBorder="0" applyProtection="0">
      <alignment vertical="top"/>
    </xf>
    <xf numFmtId="224" fontId="28" fillId="0" borderId="0" applyFill="0" applyBorder="0" applyProtection="0">
      <alignment vertical="top"/>
    </xf>
    <xf numFmtId="220" fontId="28" fillId="0" borderId="0" applyFill="0" applyBorder="0" applyProtection="0">
      <alignment vertical="top"/>
    </xf>
    <xf numFmtId="224" fontId="28" fillId="0" borderId="0" applyFill="0" applyBorder="0" applyProtection="0">
      <alignment vertical="top"/>
    </xf>
    <xf numFmtId="224" fontId="28" fillId="0" borderId="0" applyFill="0" applyBorder="0" applyProtection="0">
      <alignment vertical="top"/>
    </xf>
    <xf numFmtId="224" fontId="28" fillId="0" borderId="0" applyFill="0" applyBorder="0" applyProtection="0">
      <alignment vertical="top"/>
    </xf>
    <xf numFmtId="224" fontId="28" fillId="0" borderId="0" applyFill="0" applyBorder="0" applyProtection="0">
      <alignment vertical="top"/>
    </xf>
    <xf numFmtId="224" fontId="28" fillId="0" borderId="0" applyFill="0" applyBorder="0" applyProtection="0">
      <alignment vertical="top"/>
    </xf>
    <xf numFmtId="224" fontId="28" fillId="0" borderId="0" applyFill="0" applyBorder="0" applyProtection="0">
      <alignment vertical="top"/>
    </xf>
    <xf numFmtId="224" fontId="28" fillId="0" borderId="0" applyFill="0" applyBorder="0" applyProtection="0">
      <alignment vertical="top"/>
    </xf>
    <xf numFmtId="224" fontId="28" fillId="0" borderId="0" applyFill="0" applyBorder="0" applyProtection="0">
      <alignment vertical="top"/>
    </xf>
    <xf numFmtId="224" fontId="28" fillId="0" borderId="0" applyFill="0" applyBorder="0" applyProtection="0">
      <alignment vertical="top"/>
    </xf>
    <xf numFmtId="43" fontId="28" fillId="0" borderId="0" applyFont="0" applyFill="0" applyBorder="0" applyAlignment="0" applyProtection="0"/>
    <xf numFmtId="226" fontId="28" fillId="0" borderId="0" applyFill="0" applyBorder="0" applyProtection="0">
      <alignment vertical="top"/>
    </xf>
    <xf numFmtId="43" fontId="28" fillId="0" borderId="0" applyFont="0" applyFill="0" applyBorder="0" applyAlignment="0" applyProtection="0"/>
    <xf numFmtId="227" fontId="28" fillId="0" borderId="0" applyFill="0" applyBorder="0" applyProtection="0">
      <alignment vertical="top"/>
    </xf>
    <xf numFmtId="228" fontId="28" fillId="0" borderId="0" applyFill="0" applyBorder="0" applyProtection="0">
      <alignment vertical="top"/>
    </xf>
    <xf numFmtId="229" fontId="28" fillId="0" borderId="0" applyFill="0" applyBorder="0" applyProtection="0">
      <alignment vertical="top"/>
    </xf>
    <xf numFmtId="185" fontId="28" fillId="0" borderId="0" applyFill="0" applyBorder="0" applyProtection="0">
      <alignment vertical="top"/>
    </xf>
    <xf numFmtId="220" fontId="28" fillId="0" borderId="0" applyFill="0" applyBorder="0" applyProtection="0">
      <alignment vertical="top"/>
    </xf>
    <xf numFmtId="230" fontId="28" fillId="0" borderId="0"/>
    <xf numFmtId="3" fontId="28" fillId="0" borderId="0" applyFill="0" applyBorder="0" applyProtection="0">
      <alignment vertical="top"/>
    </xf>
    <xf numFmtId="178" fontId="28" fillId="0" borderId="0" applyFill="0" applyBorder="0" applyProtection="0">
      <alignment vertical="top"/>
    </xf>
    <xf numFmtId="0" fontId="28" fillId="0" borderId="0" applyFill="0" applyBorder="0" applyProtection="0">
      <alignment vertical="top"/>
    </xf>
    <xf numFmtId="232" fontId="28" fillId="0" borderId="0" applyFill="0" applyBorder="0" applyProtection="0">
      <alignment vertical="top"/>
    </xf>
    <xf numFmtId="233" fontId="28" fillId="0" borderId="0" applyFill="0" applyBorder="0" applyProtection="0">
      <alignment vertical="top"/>
    </xf>
    <xf numFmtId="0" fontId="28" fillId="0" borderId="0" applyFill="0" applyBorder="0" applyProtection="0">
      <alignment vertical="top"/>
    </xf>
    <xf numFmtId="235" fontId="28" fillId="3" borderId="0" applyBorder="0"/>
    <xf numFmtId="236" fontId="28" fillId="0" borderId="0" applyFill="0" applyBorder="0" applyProtection="0">
      <alignment vertical="top"/>
    </xf>
    <xf numFmtId="0" fontId="28" fillId="3" borderId="0">
      <alignment horizontal="center" vertical="top" wrapText="1"/>
    </xf>
    <xf numFmtId="225" fontId="28" fillId="0" borderId="0" applyFill="0" applyBorder="0" applyProtection="0">
      <alignment vertical="top"/>
    </xf>
    <xf numFmtId="243" fontId="28" fillId="0" borderId="0" applyFill="0" applyBorder="0" applyProtection="0">
      <alignment vertical="top"/>
    </xf>
    <xf numFmtId="0" fontId="28" fillId="0" borderId="6" applyNumberFormat="0" applyFill="0" applyProtection="0">
      <alignment vertical="top"/>
    </xf>
    <xf numFmtId="0" fontId="28" fillId="0" borderId="0" applyFill="0" applyBorder="0">
      <alignment vertical="top"/>
    </xf>
    <xf numFmtId="0" fontId="28" fillId="0" borderId="0" applyFill="0" applyBorder="0">
      <alignment vertical="top"/>
    </xf>
    <xf numFmtId="0" fontId="28" fillId="0" borderId="0" applyFill="0" applyBorder="0">
      <alignment vertical="top"/>
    </xf>
    <xf numFmtId="216" fontId="28" fillId="0" borderId="0" applyFill="0" applyBorder="0">
      <alignment vertical="top"/>
    </xf>
    <xf numFmtId="0" fontId="28" fillId="0" borderId="0" applyFill="0" applyBorder="0">
      <alignment vertical="top"/>
    </xf>
    <xf numFmtId="244" fontId="28" fillId="0" borderId="0" applyFill="0" applyBorder="0" applyProtection="0">
      <alignment vertical="top"/>
    </xf>
    <xf numFmtId="0" fontId="28" fillId="0" borderId="0" applyNumberFormat="0" applyFill="0" applyBorder="0" applyProtection="0">
      <alignment vertical="top"/>
    </xf>
    <xf numFmtId="221" fontId="28" fillId="0" borderId="0">
      <protection locked="0"/>
    </xf>
    <xf numFmtId="0" fontId="28" fillId="0" borderId="0" applyNumberFormat="0" applyBorder="0">
      <alignment vertical="top"/>
    </xf>
    <xf numFmtId="246" fontId="28" fillId="0" borderId="0" applyFill="0" applyBorder="0" applyProtection="0">
      <alignment vertical="top"/>
    </xf>
    <xf numFmtId="247" fontId="28" fillId="0" borderId="0">
      <protection locked="0"/>
    </xf>
    <xf numFmtId="247" fontId="28" fillId="0" borderId="0">
      <protection locked="0"/>
    </xf>
    <xf numFmtId="247" fontId="28" fillId="0" borderId="0">
      <protection locked="0"/>
    </xf>
    <xf numFmtId="247" fontId="28" fillId="0" borderId="0">
      <protection locked="0"/>
    </xf>
    <xf numFmtId="201" fontId="28" fillId="0" borderId="0" applyFill="0" applyBorder="0" applyProtection="0">
      <alignment vertical="top"/>
    </xf>
    <xf numFmtId="249" fontId="28" fillId="0" borderId="0"/>
    <xf numFmtId="249" fontId="28" fillId="0" borderId="0"/>
    <xf numFmtId="250" fontId="28" fillId="0" borderId="0">
      <alignment horizontal="center"/>
    </xf>
    <xf numFmtId="251" fontId="28" fillId="0" borderId="0" applyFill="0" applyBorder="0" applyProtection="0">
      <alignment vertical="top"/>
    </xf>
    <xf numFmtId="0" fontId="28" fillId="0" borderId="0" applyFill="0" applyBorder="0">
      <alignment vertical="top"/>
    </xf>
    <xf numFmtId="0" fontId="28" fillId="0" borderId="0" applyFill="0" applyBorder="0">
      <alignment vertical="top"/>
    </xf>
    <xf numFmtId="0" fontId="28" fillId="0" borderId="0" applyFill="0" applyBorder="0">
      <alignment vertical="top"/>
    </xf>
    <xf numFmtId="216" fontId="28" fillId="0" borderId="0" applyFill="0" applyBorder="0">
      <alignment vertical="top"/>
    </xf>
    <xf numFmtId="0" fontId="28" fillId="0" borderId="0" applyFill="0" applyBorder="0">
      <alignment vertical="top"/>
    </xf>
    <xf numFmtId="254" fontId="28" fillId="0" borderId="0" applyFill="0" applyBorder="0" applyProtection="0">
      <alignment vertical="top"/>
    </xf>
    <xf numFmtId="0" fontId="28" fillId="0" borderId="0" applyNumberFormat="0" applyFill="0" applyBorder="0" applyProtection="0">
      <alignment vertical="top"/>
    </xf>
    <xf numFmtId="0" fontId="28" fillId="0" borderId="0" applyNumberFormat="0" applyFill="0">
      <alignment vertical="top"/>
    </xf>
    <xf numFmtId="0" fontId="28" fillId="0" borderId="0" applyNumberFormat="0" applyFill="0" applyBorder="0" applyProtection="0">
      <alignment vertical="top"/>
    </xf>
    <xf numFmtId="0" fontId="28" fillId="0" borderId="0">
      <alignment vertical="top"/>
    </xf>
    <xf numFmtId="0" fontId="28" fillId="0" borderId="0"/>
    <xf numFmtId="0" fontId="28" fillId="0" borderId="0"/>
    <xf numFmtId="0" fontId="28" fillId="0" borderId="0"/>
    <xf numFmtId="0" fontId="28" fillId="0" borderId="0">
      <alignment vertical="top"/>
    </xf>
    <xf numFmtId="0" fontId="28" fillId="0" borderId="0"/>
    <xf numFmtId="0" fontId="28" fillId="0" borderId="0"/>
    <xf numFmtId="0" fontId="28" fillId="0" borderId="0"/>
    <xf numFmtId="0" fontId="28" fillId="0" borderId="0"/>
    <xf numFmtId="0" fontId="28" fillId="0" borderId="0"/>
    <xf numFmtId="0" fontId="34" fillId="0" borderId="0"/>
    <xf numFmtId="0" fontId="28" fillId="0" borderId="0"/>
    <xf numFmtId="0" fontId="28" fillId="0" borderId="15">
      <alignment horizontal="center"/>
    </xf>
    <xf numFmtId="0" fontId="28" fillId="21" borderId="16" applyNumberFormat="0" applyProtection="0">
      <alignment vertical="top"/>
    </xf>
    <xf numFmtId="256" fontId="28" fillId="0" borderId="0" applyFill="0" applyBorder="0" applyProtection="0">
      <alignment vertical="top" wrapText="1"/>
    </xf>
    <xf numFmtId="215" fontId="28" fillId="0" borderId="0" applyFill="0" applyBorder="0" applyProtection="0">
      <alignment vertical="top"/>
    </xf>
    <xf numFmtId="257" fontId="28" fillId="0" borderId="0" applyFill="0" applyBorder="0" applyProtection="0">
      <alignment vertical="top"/>
    </xf>
    <xf numFmtId="10" fontId="28" fillId="0" borderId="0" applyFill="0" applyBorder="0" applyProtection="0">
      <alignment vertical="top"/>
    </xf>
    <xf numFmtId="9" fontId="28" fillId="0" borderId="0" applyFill="0" applyBorder="0" applyProtection="0">
      <alignment vertical="top"/>
    </xf>
    <xf numFmtId="9" fontId="28" fillId="0" borderId="0" applyFill="0" applyBorder="0" applyProtection="0">
      <alignment vertical="top"/>
    </xf>
    <xf numFmtId="9" fontId="28" fillId="0" borderId="0" applyFill="0" applyBorder="0" applyProtection="0">
      <alignment vertical="top"/>
    </xf>
    <xf numFmtId="9" fontId="28" fillId="0" borderId="0" applyFill="0" applyBorder="0" applyProtection="0">
      <alignment vertical="top"/>
    </xf>
    <xf numFmtId="9" fontId="28" fillId="0" borderId="0" applyFill="0" applyBorder="0" applyProtection="0">
      <alignment vertical="top"/>
    </xf>
    <xf numFmtId="9" fontId="28" fillId="0" borderId="0" applyFill="0" applyBorder="0" applyProtection="0">
      <alignment vertical="top"/>
    </xf>
    <xf numFmtId="9" fontId="28" fillId="0" borderId="0" applyFill="0" applyBorder="0" applyProtection="0">
      <alignment vertical="top"/>
    </xf>
    <xf numFmtId="9" fontId="28" fillId="0" borderId="0" applyFont="0" applyFill="0" applyBorder="0" applyAlignment="0" applyProtection="0"/>
    <xf numFmtId="0" fontId="28" fillId="0" borderId="0" applyFill="0" applyBorder="0">
      <alignment vertical="top"/>
    </xf>
    <xf numFmtId="0" fontId="28" fillId="0" borderId="0" applyFill="0" applyBorder="0">
      <alignment vertical="top"/>
    </xf>
    <xf numFmtId="0" fontId="28" fillId="0" borderId="0" applyFill="0" applyBorder="0">
      <alignment vertical="top"/>
    </xf>
    <xf numFmtId="216" fontId="28" fillId="0" borderId="0" applyFill="0" applyBorder="0">
      <alignment vertical="top"/>
    </xf>
    <xf numFmtId="0" fontId="28" fillId="0" borderId="0" applyFill="0" applyBorder="0">
      <alignment vertical="top"/>
    </xf>
    <xf numFmtId="0" fontId="28" fillId="34" borderId="0" applyNumberFormat="0" applyBorder="0" applyProtection="0">
      <alignment vertical="top"/>
    </xf>
    <xf numFmtId="0" fontId="28" fillId="0" borderId="0" applyNumberFormat="0" applyFill="0" applyBorder="0" applyProtection="0">
      <alignment vertical="top"/>
    </xf>
    <xf numFmtId="259" fontId="28" fillId="0" borderId="0" applyBorder="0">
      <alignment vertical="top"/>
    </xf>
    <xf numFmtId="231" fontId="28" fillId="0" borderId="0" applyFill="0" applyBorder="0" applyProtection="0">
      <alignment vertical="top"/>
    </xf>
    <xf numFmtId="0" fontId="28" fillId="0" borderId="19"/>
    <xf numFmtId="0" fontId="28" fillId="0" borderId="0">
      <alignment vertical="top"/>
    </xf>
    <xf numFmtId="171"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7" fontId="28" fillId="0" borderId="0" applyFill="0" applyBorder="0" applyProtection="0">
      <alignment vertical="top"/>
    </xf>
    <xf numFmtId="208" fontId="28" fillId="0" borderId="0" applyFill="0" applyBorder="0" applyProtection="0">
      <alignment vertical="top"/>
    </xf>
    <xf numFmtId="208" fontId="28" fillId="0" borderId="0" applyFill="0" applyBorder="0" applyProtection="0">
      <alignment vertical="top"/>
    </xf>
    <xf numFmtId="208" fontId="28" fillId="0" borderId="0" applyFill="0" applyBorder="0" applyProtection="0">
      <alignment vertical="top"/>
    </xf>
    <xf numFmtId="207" fontId="28" fillId="0" borderId="0" applyFill="0" applyBorder="0" applyProtection="0">
      <alignment vertical="top"/>
    </xf>
    <xf numFmtId="207" fontId="28" fillId="0" borderId="0" applyFill="0" applyBorder="0" applyProtection="0">
      <alignment vertical="top"/>
    </xf>
    <xf numFmtId="209" fontId="28" fillId="0" borderId="0" applyFill="0" applyBorder="0" applyProtection="0">
      <alignment vertical="top"/>
    </xf>
    <xf numFmtId="203" fontId="28" fillId="0" borderId="0" applyFill="0" applyBorder="0" applyProtection="0">
      <alignment vertical="top"/>
    </xf>
    <xf numFmtId="210" fontId="28" fillId="0" borderId="0" applyFill="0" applyBorder="0" applyProtection="0">
      <alignment vertical="top"/>
    </xf>
    <xf numFmtId="210" fontId="28" fillId="0" borderId="0" applyFill="0" applyBorder="0" applyProtection="0">
      <alignment vertical="top"/>
    </xf>
    <xf numFmtId="210" fontId="28" fillId="0" borderId="0" applyFill="0" applyBorder="0" applyProtection="0">
      <alignment vertical="top"/>
    </xf>
    <xf numFmtId="209" fontId="28" fillId="0" borderId="0" applyFill="0" applyBorder="0" applyProtection="0">
      <alignment vertical="top"/>
    </xf>
    <xf numFmtId="209"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4"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203" fontId="28" fillId="0" borderId="0" applyFill="0" applyBorder="0" applyProtection="0">
      <alignment vertical="top"/>
    </xf>
    <xf numFmtId="202"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4" fontId="28" fillId="0" borderId="0" applyFill="0" applyBorder="0" applyProtection="0">
      <alignment vertical="top"/>
    </xf>
    <xf numFmtId="203"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4"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5" fontId="28" fillId="0" borderId="0" applyFill="0" applyBorder="0" applyProtection="0">
      <alignment vertical="top"/>
    </xf>
    <xf numFmtId="206" fontId="28" fillId="0" borderId="0" applyFill="0" applyBorder="0" applyProtection="0">
      <alignment vertical="top"/>
    </xf>
    <xf numFmtId="204" fontId="28" fillId="0" borderId="0" applyFill="0" applyBorder="0" applyProtection="0">
      <alignment vertical="top"/>
    </xf>
    <xf numFmtId="206" fontId="28" fillId="0" borderId="0" applyFill="0" applyBorder="0" applyProtection="0">
      <alignment vertical="top"/>
    </xf>
    <xf numFmtId="206" fontId="28" fillId="0" borderId="0" applyFill="0" applyBorder="0" applyProtection="0">
      <alignment vertical="top"/>
    </xf>
    <xf numFmtId="205" fontId="28" fillId="0" borderId="0" applyFill="0" applyBorder="0" applyProtection="0">
      <alignment vertical="top"/>
    </xf>
    <xf numFmtId="205"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4" fontId="28" fillId="0" borderId="0" applyFill="0" applyBorder="0" applyProtection="0">
      <alignment vertical="top"/>
    </xf>
    <xf numFmtId="20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166" fillId="0" borderId="0"/>
    <xf numFmtId="43" fontId="166" fillId="0" borderId="0" applyFont="0" applyFill="0" applyBorder="0" applyAlignment="0" applyProtection="0"/>
    <xf numFmtId="9" fontId="166" fillId="0" borderId="0" applyFont="0" applyFill="0" applyBorder="0" applyAlignment="0" applyProtection="0"/>
    <xf numFmtId="0" fontId="28" fillId="0" borderId="0">
      <alignment vertical="top"/>
    </xf>
    <xf numFmtId="43" fontId="28" fillId="0" borderId="0" applyFont="0" applyFill="0" applyBorder="0" applyAlignment="0" applyProtection="0"/>
    <xf numFmtId="0" fontId="25" fillId="0" borderId="0"/>
    <xf numFmtId="9" fontId="28" fillId="0" borderId="0" applyFont="0" applyFill="0" applyBorder="0" applyAlignment="0" applyProtection="0"/>
    <xf numFmtId="0" fontId="168" fillId="0" borderId="0"/>
    <xf numFmtId="43" fontId="24" fillId="0" borderId="0" applyFont="0" applyFill="0" applyBorder="0" applyAlignment="0" applyProtection="0"/>
    <xf numFmtId="0" fontId="118" fillId="0" borderId="0"/>
    <xf numFmtId="43" fontId="168" fillId="0" borderId="0" applyFont="0" applyFill="0" applyBorder="0" applyAlignment="0" applyProtection="0"/>
    <xf numFmtId="9" fontId="168" fillId="0" borderId="0" applyFont="0" applyFill="0" applyBorder="0" applyAlignment="0" applyProtection="0"/>
    <xf numFmtId="0" fontId="24" fillId="0" borderId="0"/>
    <xf numFmtId="9" fontId="24" fillId="0" borderId="0" applyFont="0" applyFill="0" applyBorder="0" applyAlignment="0" applyProtection="0"/>
    <xf numFmtId="0" fontId="28" fillId="0" borderId="0" applyFill="0" applyBorder="0" applyProtection="0">
      <alignment vertical="top"/>
    </xf>
    <xf numFmtId="0" fontId="168" fillId="0" borderId="0"/>
    <xf numFmtId="43" fontId="23" fillId="0" borderId="0" applyFont="0" applyFill="0" applyBorder="0" applyAlignment="0" applyProtection="0"/>
    <xf numFmtId="0" fontId="23" fillId="0" borderId="0"/>
    <xf numFmtId="9" fontId="23" fillId="0" borderId="0" applyFont="0" applyFill="0" applyBorder="0" applyAlignment="0" applyProtection="0"/>
    <xf numFmtId="0" fontId="169" fillId="0" borderId="0"/>
    <xf numFmtId="43" fontId="169" fillId="0" borderId="0" applyFont="0" applyFill="0" applyBorder="0" applyAlignment="0" applyProtection="0"/>
    <xf numFmtId="9" fontId="169" fillId="0" borderId="0" applyFont="0" applyFill="0" applyBorder="0" applyAlignment="0" applyProtection="0"/>
    <xf numFmtId="43" fontId="23" fillId="0" borderId="0" applyFont="0" applyFill="0" applyBorder="0" applyAlignment="0" applyProtection="0"/>
    <xf numFmtId="0" fontId="56" fillId="0" borderId="0"/>
    <xf numFmtId="43" fontId="169" fillId="0" borderId="0" applyFont="0" applyFill="0" applyBorder="0" applyAlignment="0" applyProtection="0"/>
    <xf numFmtId="0" fontId="169" fillId="0" borderId="0"/>
    <xf numFmtId="9" fontId="169" fillId="0" borderId="0" applyFont="0" applyFill="0" applyBorder="0" applyAlignment="0" applyProtection="0"/>
    <xf numFmtId="170" fontId="28" fillId="0" borderId="0" applyFill="0" applyBorder="0" applyProtection="0">
      <alignment vertical="top"/>
    </xf>
    <xf numFmtId="0" fontId="28" fillId="0" borderId="0" applyFill="0" applyBorder="0" applyProtection="0">
      <alignment vertical="top"/>
    </xf>
    <xf numFmtId="178" fontId="28" fillId="0" borderId="0" applyFill="0" applyBorder="0" applyProtection="0">
      <alignment vertical="top"/>
    </xf>
    <xf numFmtId="178"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0" fontId="28" fillId="0" borderId="0" applyFill="0" applyBorder="0" applyProtection="0">
      <alignment vertical="top"/>
    </xf>
    <xf numFmtId="0"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0" fontId="28" fillId="0" borderId="0" applyFill="0" applyBorder="0" applyProtection="0">
      <alignment vertical="top"/>
    </xf>
    <xf numFmtId="0"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220" fontId="28" fillId="0" borderId="0" applyFill="0" applyBorder="0" applyProtection="0">
      <alignment vertical="top"/>
    </xf>
    <xf numFmtId="185" fontId="28" fillId="0" borderId="0" applyFill="0" applyBorder="0" applyProtection="0">
      <alignment vertical="top"/>
    </xf>
    <xf numFmtId="220"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0" fontId="28" fillId="0" borderId="0" applyFill="0" applyBorder="0" applyProtection="0">
      <alignment vertical="top"/>
    </xf>
    <xf numFmtId="0"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0" fontId="28" fillId="0" borderId="0" applyFill="0" applyBorder="0" applyProtection="0">
      <alignment vertical="top"/>
    </xf>
    <xf numFmtId="0"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220" fontId="28" fillId="0" borderId="0" applyFill="0" applyBorder="0" applyProtection="0">
      <alignment vertical="top"/>
    </xf>
    <xf numFmtId="185" fontId="28" fillId="0" borderId="0" applyFill="0" applyBorder="0" applyProtection="0">
      <alignment vertical="top"/>
    </xf>
    <xf numFmtId="220"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13" fontId="28" fillId="0" borderId="0" applyFill="0" applyBorder="0" applyProtection="0">
      <alignment vertical="top"/>
    </xf>
    <xf numFmtId="213"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13" fontId="28" fillId="0" borderId="0" applyFill="0" applyBorder="0" applyProtection="0">
      <alignment vertical="top"/>
    </xf>
    <xf numFmtId="213" fontId="28" fillId="0" borderId="0" applyFill="0" applyBorder="0" applyProtection="0">
      <alignment vertical="top"/>
    </xf>
    <xf numFmtId="213" fontId="28" fillId="0" borderId="0" applyFill="0" applyBorder="0" applyProtection="0">
      <alignment vertical="top"/>
    </xf>
    <xf numFmtId="213" fontId="28" fillId="0" borderId="0" applyFill="0" applyBorder="0" applyProtection="0">
      <alignment vertical="top"/>
    </xf>
    <xf numFmtId="175" fontId="28" fillId="0" borderId="0" applyFill="0" applyBorder="0" applyProtection="0">
      <alignment vertical="top"/>
    </xf>
    <xf numFmtId="175" fontId="28" fillId="0" borderId="0" applyFill="0" applyBorder="0" applyProtection="0">
      <alignment vertical="top"/>
    </xf>
    <xf numFmtId="175" fontId="28" fillId="0" borderId="0" applyFill="0" applyBorder="0" applyProtection="0">
      <alignment vertical="top"/>
    </xf>
    <xf numFmtId="213" fontId="28" fillId="0" borderId="0" applyFill="0" applyBorder="0" applyProtection="0">
      <alignment vertical="top"/>
    </xf>
    <xf numFmtId="175" fontId="28" fillId="0" borderId="0" applyFill="0" applyBorder="0" applyProtection="0">
      <alignment vertical="top"/>
    </xf>
    <xf numFmtId="213" fontId="28" fillId="0" borderId="0" applyFill="0" applyBorder="0" applyProtection="0">
      <alignment vertical="top"/>
    </xf>
    <xf numFmtId="175" fontId="28" fillId="0" borderId="0" applyFill="0" applyBorder="0" applyProtection="0">
      <alignment vertical="top"/>
    </xf>
    <xf numFmtId="175"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13" fontId="28" fillId="0" borderId="0" applyFill="0" applyBorder="0" applyProtection="0">
      <alignment vertical="top"/>
    </xf>
    <xf numFmtId="213"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13" fontId="28" fillId="0" borderId="0" applyFill="0" applyBorder="0" applyProtection="0">
      <alignment vertical="top"/>
    </xf>
    <xf numFmtId="213" fontId="28" fillId="0" borderId="0" applyFill="0" applyBorder="0" applyProtection="0">
      <alignment vertical="top"/>
    </xf>
    <xf numFmtId="213" fontId="28" fillId="0" borderId="0" applyFill="0" applyBorder="0" applyProtection="0">
      <alignment vertical="top"/>
    </xf>
    <xf numFmtId="213" fontId="28" fillId="0" borderId="0" applyFill="0" applyBorder="0" applyProtection="0">
      <alignment vertical="top"/>
    </xf>
    <xf numFmtId="175" fontId="28" fillId="0" borderId="0" applyFill="0" applyBorder="0" applyProtection="0">
      <alignment vertical="top"/>
    </xf>
    <xf numFmtId="175" fontId="28" fillId="0" borderId="0" applyFill="0" applyBorder="0" applyProtection="0">
      <alignment vertical="top"/>
    </xf>
    <xf numFmtId="175" fontId="28" fillId="0" borderId="0" applyFill="0" applyBorder="0" applyProtection="0">
      <alignment vertical="top"/>
    </xf>
    <xf numFmtId="213" fontId="28" fillId="0" borderId="0" applyFill="0" applyBorder="0" applyProtection="0">
      <alignment vertical="top"/>
    </xf>
    <xf numFmtId="175" fontId="28" fillId="0" borderId="0" applyFill="0" applyBorder="0" applyProtection="0">
      <alignment vertical="top"/>
    </xf>
    <xf numFmtId="213" fontId="28" fillId="0" borderId="0" applyFill="0" applyBorder="0" applyProtection="0">
      <alignment vertical="top"/>
    </xf>
    <xf numFmtId="175" fontId="28" fillId="0" borderId="0" applyFill="0" applyBorder="0" applyProtection="0">
      <alignment vertical="top"/>
    </xf>
    <xf numFmtId="175"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0" fontId="28" fillId="0" borderId="0" applyFill="0" applyBorder="0" applyProtection="0">
      <alignment vertical="top"/>
    </xf>
    <xf numFmtId="0"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0" fontId="28" fillId="0" borderId="0" applyFill="0" applyBorder="0" applyProtection="0">
      <alignment vertical="top"/>
    </xf>
    <xf numFmtId="0"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220" fontId="28" fillId="0" borderId="0" applyFill="0" applyBorder="0" applyProtection="0">
      <alignment vertical="top"/>
    </xf>
    <xf numFmtId="185" fontId="28" fillId="0" borderId="0" applyFill="0" applyBorder="0" applyProtection="0">
      <alignment vertical="top"/>
    </xf>
    <xf numFmtId="220"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13" fontId="28" fillId="0" borderId="0" applyFill="0" applyBorder="0" applyProtection="0">
      <alignment vertical="top"/>
    </xf>
    <xf numFmtId="213"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13" fontId="28" fillId="0" borderId="0" applyFill="0" applyBorder="0" applyProtection="0">
      <alignment vertical="top"/>
    </xf>
    <xf numFmtId="213" fontId="28" fillId="0" borderId="0" applyFill="0" applyBorder="0" applyProtection="0">
      <alignment vertical="top"/>
    </xf>
    <xf numFmtId="213" fontId="28" fillId="0" borderId="0" applyFill="0" applyBorder="0" applyProtection="0">
      <alignment vertical="top"/>
    </xf>
    <xf numFmtId="213" fontId="28" fillId="0" borderId="0" applyFill="0" applyBorder="0" applyProtection="0">
      <alignment vertical="top"/>
    </xf>
    <xf numFmtId="175" fontId="28" fillId="0" borderId="0" applyFill="0" applyBorder="0" applyProtection="0">
      <alignment vertical="top"/>
    </xf>
    <xf numFmtId="175" fontId="28" fillId="0" borderId="0" applyFill="0" applyBorder="0" applyProtection="0">
      <alignment vertical="top"/>
    </xf>
    <xf numFmtId="175" fontId="28" fillId="0" borderId="0" applyFill="0" applyBorder="0" applyProtection="0">
      <alignment vertical="top"/>
    </xf>
    <xf numFmtId="213" fontId="28" fillId="0" borderId="0" applyFill="0" applyBorder="0" applyProtection="0">
      <alignment vertical="top"/>
    </xf>
    <xf numFmtId="175" fontId="28" fillId="0" borderId="0" applyFill="0" applyBorder="0" applyProtection="0">
      <alignment vertical="top"/>
    </xf>
    <xf numFmtId="213" fontId="28" fillId="0" borderId="0" applyFill="0" applyBorder="0" applyProtection="0">
      <alignment vertical="top"/>
    </xf>
    <xf numFmtId="175" fontId="28" fillId="0" borderId="0" applyFill="0" applyBorder="0" applyProtection="0">
      <alignment vertical="top"/>
    </xf>
    <xf numFmtId="175"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0" fontId="28" fillId="0" borderId="0" applyFill="0" applyBorder="0" applyProtection="0">
      <alignment vertical="top"/>
    </xf>
    <xf numFmtId="0"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0" fontId="28" fillId="0" borderId="0" applyFill="0" applyBorder="0" applyProtection="0">
      <alignment vertical="top"/>
    </xf>
    <xf numFmtId="0"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220" fontId="28" fillId="0" borderId="0" applyFill="0" applyBorder="0" applyProtection="0">
      <alignment vertical="top"/>
    </xf>
    <xf numFmtId="185" fontId="28" fillId="0" borderId="0" applyFill="0" applyBorder="0" applyProtection="0">
      <alignment vertical="top"/>
    </xf>
    <xf numFmtId="220"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178" fontId="28" fillId="0" borderId="0" applyFill="0" applyBorder="0" applyProtection="0">
      <alignment vertical="top"/>
    </xf>
    <xf numFmtId="178" fontId="28" fillId="0" borderId="0" applyFill="0" applyBorder="0" applyProtection="0">
      <alignment vertical="top"/>
    </xf>
    <xf numFmtId="0" fontId="28" fillId="0" borderId="0">
      <alignment vertical="top"/>
    </xf>
    <xf numFmtId="0" fontId="28" fillId="0" borderId="0"/>
    <xf numFmtId="0" fontId="38" fillId="0" borderId="54">
      <alignment horizontal="center"/>
    </xf>
    <xf numFmtId="0" fontId="38" fillId="0" borderId="54">
      <alignment horizontal="center"/>
    </xf>
    <xf numFmtId="0" fontId="38" fillId="0" borderId="54">
      <alignment horizontal="center"/>
    </xf>
    <xf numFmtId="0" fontId="38" fillId="0" borderId="1">
      <alignment horizontal="center"/>
    </xf>
    <xf numFmtId="0" fontId="39" fillId="0" borderId="0"/>
    <xf numFmtId="0" fontId="39" fillId="0" borderId="0"/>
    <xf numFmtId="0" fontId="39" fillId="0" borderId="49" applyFill="0">
      <alignment horizontal="center"/>
      <protection locked="0"/>
    </xf>
    <xf numFmtId="0" fontId="39" fillId="0" borderId="49" applyFill="0">
      <alignment horizontal="center"/>
      <protection locked="0"/>
    </xf>
    <xf numFmtId="0" fontId="38" fillId="0" borderId="0" applyFill="0">
      <alignment horizontal="center"/>
      <protection locked="0"/>
    </xf>
    <xf numFmtId="0" fontId="38" fillId="0" borderId="0" applyFill="0">
      <alignment horizontal="center"/>
      <protection locked="0"/>
    </xf>
    <xf numFmtId="0" fontId="38" fillId="62" borderId="0"/>
    <xf numFmtId="0" fontId="38" fillId="62" borderId="0"/>
    <xf numFmtId="0" fontId="38" fillId="0" borderId="0">
      <protection locked="0"/>
    </xf>
    <xf numFmtId="0" fontId="38" fillId="0" borderId="0">
      <protection locked="0"/>
    </xf>
    <xf numFmtId="0" fontId="38" fillId="0" borderId="0"/>
    <xf numFmtId="0" fontId="38" fillId="0" borderId="0"/>
    <xf numFmtId="271" fontId="28" fillId="0" borderId="0"/>
    <xf numFmtId="271" fontId="28" fillId="0" borderId="0"/>
    <xf numFmtId="212" fontId="28" fillId="0" borderId="0"/>
    <xf numFmtId="212" fontId="28" fillId="0" borderId="0"/>
    <xf numFmtId="0" fontId="39" fillId="63" borderId="0">
      <alignment horizontal="right"/>
    </xf>
    <xf numFmtId="0" fontId="39" fillId="63" borderId="0">
      <alignment horizontal="right"/>
    </xf>
    <xf numFmtId="0" fontId="38" fillId="0" borderId="0"/>
    <xf numFmtId="0" fontId="38" fillId="0" borderId="0"/>
    <xf numFmtId="0" fontId="40" fillId="64" borderId="0" applyNumberFormat="0" applyBorder="0" applyAlignment="0" applyProtection="0"/>
    <xf numFmtId="0" fontId="40" fillId="64" borderId="0" applyNumberFormat="0" applyBorder="0" applyAlignment="0" applyProtection="0"/>
    <xf numFmtId="0" fontId="40" fillId="65" borderId="0" applyNumberFormat="0" applyBorder="0" applyAlignment="0" applyProtection="0"/>
    <xf numFmtId="0" fontId="40" fillId="66" borderId="0" applyNumberFormat="0" applyBorder="0" applyAlignment="0" applyProtection="0"/>
    <xf numFmtId="0" fontId="40" fillId="65" borderId="0" applyNumberFormat="0" applyBorder="0" applyAlignment="0" applyProtection="0"/>
    <xf numFmtId="0" fontId="40" fillId="67" borderId="0" applyNumberFormat="0" applyBorder="0" applyAlignment="0" applyProtection="0"/>
    <xf numFmtId="0" fontId="40" fillId="64" borderId="0" applyNumberFormat="0" applyBorder="0" applyAlignment="0" applyProtection="0"/>
    <xf numFmtId="0" fontId="40" fillId="66" borderId="0" applyNumberFormat="0" applyBorder="0" applyAlignment="0" applyProtection="0"/>
    <xf numFmtId="0" fontId="40" fillId="68" borderId="0" applyNumberFormat="0" applyBorder="0" applyAlignment="0" applyProtection="0"/>
    <xf numFmtId="0" fontId="40" fillId="64" borderId="0" applyNumberFormat="0" applyBorder="0" applyAlignment="0" applyProtection="0"/>
    <xf numFmtId="0" fontId="40" fillId="65" borderId="0" applyNumberFormat="0" applyBorder="0" applyAlignment="0" applyProtection="0"/>
    <xf numFmtId="0" fontId="40" fillId="69" borderId="0" applyNumberFormat="0" applyBorder="0" applyAlignment="0" applyProtection="0"/>
    <xf numFmtId="0" fontId="28" fillId="0" borderId="0">
      <alignment vertical="top"/>
    </xf>
    <xf numFmtId="0" fontId="28" fillId="0" borderId="0" applyFill="0" applyBorder="0" applyProtection="0">
      <alignment vertical="top"/>
    </xf>
    <xf numFmtId="0" fontId="28" fillId="0" borderId="0">
      <alignment vertical="top"/>
    </xf>
    <xf numFmtId="0" fontId="28" fillId="0" borderId="0" applyFill="0" applyBorder="0" applyProtection="0">
      <alignment vertical="top"/>
    </xf>
    <xf numFmtId="0" fontId="28" fillId="0" borderId="0">
      <alignment vertical="top"/>
    </xf>
    <xf numFmtId="0" fontId="28" fillId="0" borderId="0">
      <alignment vertical="top"/>
    </xf>
    <xf numFmtId="0" fontId="28" fillId="70" borderId="0"/>
    <xf numFmtId="0" fontId="28" fillId="70" borderId="0"/>
    <xf numFmtId="0" fontId="28" fillId="0" borderId="0">
      <alignment vertical="top"/>
    </xf>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272" fontId="28" fillId="0" borderId="0" applyFill="0" applyBorder="0" applyAlignment="0"/>
    <xf numFmtId="272" fontId="28" fillId="0" borderId="0" applyFill="0" applyBorder="0" applyAlignment="0"/>
    <xf numFmtId="0" fontId="28" fillId="0" borderId="0" applyFill="0" applyBorder="0" applyAlignment="0"/>
    <xf numFmtId="0" fontId="28" fillId="0" borderId="0" applyFill="0" applyBorder="0" applyAlignment="0"/>
    <xf numFmtId="268" fontId="28" fillId="0" borderId="0" applyFill="0" applyBorder="0" applyAlignment="0"/>
    <xf numFmtId="268" fontId="28" fillId="0" borderId="0" applyFill="0" applyBorder="0" applyAlignment="0"/>
    <xf numFmtId="0" fontId="28" fillId="0" borderId="0" applyFill="0" applyBorder="0" applyAlignment="0"/>
    <xf numFmtId="0" fontId="28" fillId="0" borderId="0" applyFill="0" applyBorder="0" applyAlignment="0"/>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51" fillId="3" borderId="3" applyNumberFormat="0" applyProtection="0">
      <alignment vertical="top"/>
    </xf>
    <xf numFmtId="3" fontId="53" fillId="0" borderId="1"/>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223" fontId="28" fillId="0" borderId="0" applyFont="0" applyFill="0" applyBorder="0" applyAlignment="0" applyProtection="0"/>
    <xf numFmtId="22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85" fontId="117" fillId="0" borderId="0" applyFill="0" applyBorder="0" applyProtection="0">
      <alignment vertical="top"/>
    </xf>
    <xf numFmtId="8" fontId="28" fillId="0" borderId="0" applyFont="0" applyFill="0" applyBorder="0" applyAlignment="0" applyProtection="0"/>
    <xf numFmtId="8" fontId="28" fillId="0" borderId="0" applyFont="0" applyFill="0" applyBorder="0" applyAlignment="0" applyProtection="0"/>
    <xf numFmtId="166" fontId="28" fillId="0" borderId="0" applyFont="0" applyFill="0" applyBorder="0" applyAlignment="0" applyProtection="0"/>
    <xf numFmtId="223" fontId="28" fillId="0" borderId="0" applyFont="0" applyFill="0" applyBorder="0" applyAlignment="0" applyProtection="0"/>
    <xf numFmtId="22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8" fillId="0" borderId="0" applyFont="0" applyFill="0" applyBorder="0" applyAlignment="0" applyProtection="0"/>
    <xf numFmtId="43" fontId="28" fillId="0" borderId="0" applyFont="0" applyFill="0" applyBorder="0" applyAlignment="0" applyProtection="0"/>
    <xf numFmtId="166" fontId="28" fillId="0" borderId="0" applyFont="0" applyFill="0" applyBorder="0" applyAlignment="0" applyProtection="0"/>
    <xf numFmtId="43"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8" fillId="0" borderId="0" applyFont="0" applyFill="0" applyBorder="0" applyAlignment="0" applyProtection="0"/>
    <xf numFmtId="220" fontId="117" fillId="0" borderId="0" applyFill="0" applyBorder="0" applyProtection="0">
      <alignment vertical="top"/>
    </xf>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273" fontId="28" fillId="0" borderId="0" applyFont="0" applyFill="0" applyBorder="0" applyAlignment="0" applyProtection="0"/>
    <xf numFmtId="166" fontId="118" fillId="0" borderId="0" applyFont="0" applyFill="0" applyBorder="0" applyAlignment="0" applyProtection="0"/>
    <xf numFmtId="274" fontId="28" fillId="0" borderId="0" applyFont="0" applyFill="0" applyBorder="0" applyAlignment="0" applyProtection="0"/>
    <xf numFmtId="274" fontId="28" fillId="0" borderId="0" applyFont="0" applyFill="0" applyBorder="0" applyAlignment="0" applyProtection="0"/>
    <xf numFmtId="223" fontId="28" fillId="0" borderId="0" applyFont="0" applyFill="0" applyBorder="0" applyAlignment="0" applyProtection="0"/>
    <xf numFmtId="220" fontId="117" fillId="0" borderId="0" applyFill="0" applyBorder="0" applyProtection="0">
      <alignment vertical="top"/>
    </xf>
    <xf numFmtId="166" fontId="170" fillId="0" borderId="0" applyFont="0" applyFill="0" applyBorder="0" applyAlignment="0" applyProtection="0"/>
    <xf numFmtId="166" fontId="23" fillId="0" borderId="0" applyFont="0" applyFill="0" applyBorder="0" applyAlignment="0" applyProtection="0"/>
    <xf numFmtId="43" fontId="23" fillId="0" borderId="0" applyFont="0" applyFill="0" applyBorder="0" applyAlignment="0" applyProtection="0"/>
    <xf numFmtId="166" fontId="28"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43" fontId="23"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8" fontId="28" fillId="0" borderId="0" applyFont="0" applyFill="0" applyBorder="0" applyAlignment="0" applyProtection="0"/>
    <xf numFmtId="43" fontId="23" fillId="0" borderId="0" applyFont="0" applyFill="0" applyBorder="0" applyAlignment="0" applyProtection="0"/>
    <xf numFmtId="168" fontId="28" fillId="0" borderId="0" applyFont="0" applyFill="0" applyBorder="0" applyAlignment="0" applyProtection="0"/>
    <xf numFmtId="43" fontId="28" fillId="0" borderId="0" applyFont="0" applyFill="0" applyBorder="0" applyAlignment="0" applyProtection="0"/>
    <xf numFmtId="266" fontId="28" fillId="0" borderId="0" applyFont="0" applyFill="0" applyBorder="0" applyAlignment="0" applyProtection="0"/>
    <xf numFmtId="166" fontId="40" fillId="0" borderId="0" applyFont="0" applyFill="0" applyBorder="0" applyAlignment="0" applyProtection="0"/>
    <xf numFmtId="43" fontId="40" fillId="0" borderId="0" applyFont="0" applyFill="0" applyBorder="0" applyAlignment="0" applyProtection="0"/>
    <xf numFmtId="266" fontId="28" fillId="0" borderId="0" applyFont="0" applyFill="0" applyBorder="0" applyAlignment="0" applyProtection="0"/>
    <xf numFmtId="220" fontId="117" fillId="0" borderId="0" applyFill="0" applyBorder="0" applyProtection="0">
      <alignment vertical="top"/>
    </xf>
    <xf numFmtId="168" fontId="28" fillId="0" borderId="0" applyFont="0" applyFill="0" applyBorder="0" applyAlignment="0" applyProtection="0"/>
    <xf numFmtId="43" fontId="28" fillId="0" borderId="0" applyFont="0" applyFill="0" applyBorder="0" applyAlignment="0" applyProtection="0"/>
    <xf numFmtId="168" fontId="28" fillId="0" borderId="0" applyFont="0" applyFill="0" applyBorder="0" applyAlignment="0" applyProtection="0"/>
    <xf numFmtId="43" fontId="28" fillId="0" borderId="0" applyFont="0" applyFill="0" applyBorder="0" applyAlignment="0" applyProtection="0"/>
    <xf numFmtId="168" fontId="28" fillId="0" borderId="0" applyFont="0" applyFill="0" applyBorder="0" applyAlignment="0" applyProtection="0"/>
    <xf numFmtId="43" fontId="28" fillId="0" borderId="0" applyFont="0" applyFill="0" applyBorder="0" applyAlignment="0" applyProtection="0"/>
    <xf numFmtId="168" fontId="28" fillId="0" borderId="0" applyFont="0" applyFill="0" applyBorder="0" applyAlignment="0" applyProtection="0"/>
    <xf numFmtId="43" fontId="28" fillId="0" borderId="0" applyFont="0" applyFill="0" applyBorder="0" applyAlignment="0" applyProtection="0"/>
    <xf numFmtId="168" fontId="28"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168" fontId="28" fillId="0" borderId="0" applyFont="0" applyFill="0" applyBorder="0" applyAlignment="0" applyProtection="0"/>
    <xf numFmtId="43" fontId="28" fillId="0" borderId="0" applyFont="0" applyFill="0" applyBorder="0" applyAlignment="0" applyProtection="0"/>
    <xf numFmtId="168"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8" fontId="28" fillId="0" borderId="0" applyFont="0" applyFill="0" applyBorder="0" applyAlignment="0" applyProtection="0"/>
    <xf numFmtId="43" fontId="28" fillId="0" borderId="0" applyFont="0" applyFill="0" applyBorder="0" applyAlignment="0" applyProtection="0"/>
    <xf numFmtId="168" fontId="28" fillId="0" borderId="0" applyFont="0" applyFill="0" applyBorder="0" applyAlignment="0" applyProtection="0"/>
    <xf numFmtId="43" fontId="170" fillId="0" borderId="0" applyFont="0" applyFill="0" applyBorder="0" applyAlignment="0" applyProtection="0"/>
    <xf numFmtId="166" fontId="170" fillId="0" borderId="0" applyFont="0" applyFill="0" applyBorder="0" applyAlignment="0" applyProtection="0"/>
    <xf numFmtId="228" fontId="28" fillId="0" borderId="0" applyFont="0" applyFill="0" applyBorder="0" applyAlignment="0" applyProtection="0"/>
    <xf numFmtId="228" fontId="28" fillId="0" borderId="0" applyFont="0" applyFill="0" applyBorder="0" applyAlignment="0" applyProtection="0"/>
    <xf numFmtId="166" fontId="170" fillId="0" borderId="0" applyFont="0" applyFill="0" applyBorder="0" applyAlignment="0" applyProtection="0"/>
    <xf numFmtId="166" fontId="170" fillId="0" borderId="0" applyFont="0" applyFill="0" applyBorder="0" applyAlignment="0" applyProtection="0"/>
    <xf numFmtId="43" fontId="23" fillId="0" borderId="0" applyFont="0" applyFill="0" applyBorder="0" applyAlignment="0" applyProtection="0"/>
    <xf numFmtId="166" fontId="170" fillId="0" borderId="0" applyFont="0" applyFill="0" applyBorder="0" applyAlignment="0" applyProtection="0"/>
    <xf numFmtId="166" fontId="170" fillId="0" borderId="0" applyFont="0" applyFill="0" applyBorder="0" applyAlignment="0" applyProtection="0"/>
    <xf numFmtId="166" fontId="170" fillId="0" borderId="0" applyFont="0" applyFill="0" applyBorder="0" applyAlignment="0" applyProtection="0"/>
    <xf numFmtId="166" fontId="170" fillId="0" borderId="0" applyFont="0" applyFill="0" applyBorder="0" applyAlignment="0" applyProtection="0"/>
    <xf numFmtId="166" fontId="170" fillId="0" borderId="0" applyFont="0" applyFill="0" applyBorder="0" applyAlignment="0" applyProtection="0"/>
    <xf numFmtId="166" fontId="170" fillId="0" borderId="0" applyFont="0" applyFill="0" applyBorder="0" applyAlignment="0" applyProtection="0"/>
    <xf numFmtId="166" fontId="170" fillId="0" borderId="0" applyFont="0" applyFill="0" applyBorder="0" applyAlignment="0" applyProtection="0"/>
    <xf numFmtId="166" fontId="170" fillId="0" borderId="0" applyFont="0" applyFill="0" applyBorder="0" applyAlignment="0" applyProtection="0"/>
    <xf numFmtId="229" fontId="28" fillId="0" borderId="0" applyFont="0" applyFill="0" applyBorder="0" applyAlignment="0" applyProtection="0"/>
    <xf numFmtId="229" fontId="28" fillId="0" borderId="0" applyFont="0" applyFill="0" applyBorder="0" applyAlignment="0" applyProtection="0"/>
    <xf numFmtId="166" fontId="56" fillId="0" borderId="0" applyFont="0" applyFill="0" applyBorder="0" applyAlignment="0" applyProtection="0"/>
    <xf numFmtId="166" fontId="56" fillId="0" borderId="0" applyFont="0" applyFill="0" applyBorder="0" applyAlignment="0" applyProtection="0"/>
    <xf numFmtId="166" fontId="56" fillId="0" borderId="0" applyFont="0" applyFill="0" applyBorder="0" applyAlignment="0" applyProtection="0"/>
    <xf numFmtId="166" fontId="56" fillId="0" borderId="0" applyFont="0" applyFill="0" applyBorder="0" applyAlignment="0" applyProtection="0"/>
    <xf numFmtId="43" fontId="118" fillId="0" borderId="0" applyFont="0" applyFill="0" applyBorder="0" applyAlignment="0" applyProtection="0"/>
    <xf numFmtId="43" fontId="56" fillId="0" borderId="0" applyFont="0" applyFill="0" applyBorder="0" applyAlignment="0" applyProtection="0"/>
    <xf numFmtId="220" fontId="28" fillId="0" borderId="0" applyFill="0" applyBorder="0" applyProtection="0">
      <alignment vertical="top"/>
    </xf>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3" fontId="23"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7" fontId="28" fillId="0" borderId="0"/>
    <xf numFmtId="7" fontId="28" fillId="0" borderId="0"/>
    <xf numFmtId="3" fontId="28" fillId="0" borderId="0" applyFont="0" applyFill="0" applyBorder="0" applyAlignment="0" applyProtection="0"/>
    <xf numFmtId="3" fontId="28" fillId="0" borderId="0" applyFont="0" applyFill="0" applyBorder="0" applyAlignment="0" applyProtection="0"/>
    <xf numFmtId="231" fontId="47" fillId="0" borderId="1"/>
    <xf numFmtId="42" fontId="28" fillId="0" borderId="0" applyFont="0" applyFill="0" applyBorder="0" applyAlignment="0" applyProtection="0"/>
    <xf numFmtId="42" fontId="28"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235" fontId="28" fillId="41" borderId="0" applyFont="0" applyBorder="0"/>
    <xf numFmtId="235" fontId="28" fillId="41" borderId="0" applyFont="0" applyBorder="0"/>
    <xf numFmtId="235" fontId="28" fillId="41" borderId="0" applyFont="0" applyBorder="0"/>
    <xf numFmtId="235" fontId="28" fillId="3" borderId="0" applyBorder="0"/>
    <xf numFmtId="0" fontId="47" fillId="0" borderId="1"/>
    <xf numFmtId="0" fontId="63" fillId="2" borderId="1"/>
    <xf numFmtId="0" fontId="28" fillId="41" borderId="0">
      <alignment horizontal="center" vertical="top" wrapText="1"/>
    </xf>
    <xf numFmtId="0" fontId="28" fillId="41" borderId="0">
      <alignment horizontal="center" vertical="top" wrapText="1"/>
    </xf>
    <xf numFmtId="8" fontId="28" fillId="0" borderId="0" applyFill="0" applyBorder="0" applyAlignment="0" applyProtection="0"/>
    <xf numFmtId="8" fontId="28" fillId="0" borderId="0" applyFill="0" applyBorder="0" applyAlignment="0" applyProtection="0"/>
    <xf numFmtId="6" fontId="28" fillId="0" borderId="0" applyFill="0" applyBorder="0" applyAlignment="0" applyProtection="0"/>
    <xf numFmtId="6" fontId="28" fillId="0" borderId="0" applyFill="0" applyBorder="0" applyAlignment="0" applyProtection="0"/>
    <xf numFmtId="0" fontId="63" fillId="2" borderId="1"/>
    <xf numFmtId="0" fontId="63" fillId="2" borderId="1"/>
    <xf numFmtId="0" fontId="52" fillId="0" borderId="7"/>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268" fontId="28" fillId="0" borderId="0" applyFill="0" applyBorder="0" applyAlignment="0"/>
    <xf numFmtId="268" fontId="28" fillId="0" borderId="0" applyFill="0" applyBorder="0" applyAlignment="0"/>
    <xf numFmtId="0" fontId="28" fillId="0" borderId="0" applyFill="0" applyBorder="0" applyAlignment="0"/>
    <xf numFmtId="0" fontId="28" fillId="0" borderId="0" applyFill="0" applyBorder="0" applyAlignment="0"/>
    <xf numFmtId="275" fontId="28" fillId="0" borderId="0" applyFont="0" applyFill="0" applyBorder="0" applyAlignment="0" applyProtection="0"/>
    <xf numFmtId="275" fontId="28" fillId="0" borderId="0" applyFont="0" applyFill="0" applyBorder="0" applyAlignment="0" applyProtection="0"/>
    <xf numFmtId="267" fontId="117" fillId="0" borderId="0" applyFill="0" applyBorder="0" applyProtection="0">
      <alignment vertical="top"/>
    </xf>
    <xf numFmtId="221" fontId="28" fillId="0" borderId="0">
      <protection locked="0"/>
    </xf>
    <xf numFmtId="221" fontId="28" fillId="0" borderId="0">
      <protection locked="0"/>
    </xf>
    <xf numFmtId="0" fontId="75" fillId="2" borderId="8"/>
    <xf numFmtId="0" fontId="75" fillId="2" borderId="1"/>
    <xf numFmtId="0" fontId="75" fillId="29" borderId="1"/>
    <xf numFmtId="38" fontId="77" fillId="41" borderId="0" applyNumberFormat="0" applyBorder="0" applyAlignment="0" applyProtection="0"/>
    <xf numFmtId="0" fontId="79" fillId="0" borderId="10">
      <alignment horizontal="left" vertical="center"/>
    </xf>
    <xf numFmtId="247" fontId="28" fillId="0" borderId="0">
      <protection locked="0"/>
    </xf>
    <xf numFmtId="247" fontId="28" fillId="0" borderId="0">
      <protection locked="0"/>
    </xf>
    <xf numFmtId="247" fontId="28" fillId="0" borderId="0">
      <protection locked="0"/>
    </xf>
    <xf numFmtId="247" fontId="28" fillId="0" borderId="0">
      <protection locked="0"/>
    </xf>
    <xf numFmtId="0" fontId="83" fillId="30" borderId="1" applyNumberFormat="0">
      <alignment vertical="top"/>
    </xf>
    <xf numFmtId="49" fontId="85" fillId="0" borderId="1">
      <alignment vertical="center"/>
    </xf>
    <xf numFmtId="10" fontId="77" fillId="71" borderId="29" applyNumberFormat="0" applyBorder="0" applyAlignment="0" applyProtection="0"/>
    <xf numFmtId="10" fontId="77" fillId="71" borderId="29" applyNumberFormat="0" applyBorder="0" applyAlignment="0" applyProtection="0"/>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87" fillId="9" borderId="3" applyNumberFormat="0" applyProtection="0">
      <alignment vertical="top"/>
    </xf>
    <xf numFmtId="276" fontId="28" fillId="0" borderId="0"/>
    <xf numFmtId="276" fontId="28" fillId="0" borderId="0"/>
    <xf numFmtId="276" fontId="28" fillId="0" borderId="0"/>
    <xf numFmtId="276" fontId="28" fillId="0" borderId="0"/>
    <xf numFmtId="277" fontId="28" fillId="0" borderId="0">
      <alignment horizontal="center"/>
    </xf>
    <xf numFmtId="277" fontId="28" fillId="0" borderId="0">
      <alignment horizontal="center"/>
    </xf>
    <xf numFmtId="251" fontId="28" fillId="0" borderId="0" applyFont="0" applyFill="0" applyBorder="0" applyAlignment="0" applyProtection="0"/>
    <xf numFmtId="251" fontId="28" fillId="0" borderId="0" applyFont="0" applyFill="0" applyBorder="0" applyAlignment="0" applyProtection="0"/>
    <xf numFmtId="0" fontId="88" fillId="29" borderId="1"/>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268" fontId="28" fillId="0" borderId="0" applyFill="0" applyBorder="0" applyAlignment="0"/>
    <xf numFmtId="268" fontId="28" fillId="0" borderId="0" applyFill="0" applyBorder="0" applyAlignment="0"/>
    <xf numFmtId="0" fontId="28" fillId="0" borderId="0" applyFill="0" applyBorder="0" applyAlignment="0"/>
    <xf numFmtId="0" fontId="28" fillId="0" borderId="0" applyFill="0" applyBorder="0" applyAlignment="0"/>
    <xf numFmtId="4" fontId="92" fillId="0" borderId="59" applyBorder="0"/>
    <xf numFmtId="4" fontId="92" fillId="0" borderId="59" applyBorder="0"/>
    <xf numFmtId="4" fontId="92" fillId="0" borderId="59" applyBorder="0"/>
    <xf numFmtId="0" fontId="28" fillId="0" borderId="0">
      <alignment vertical="top"/>
    </xf>
    <xf numFmtId="0" fontId="28" fillId="0" borderId="0"/>
    <xf numFmtId="0" fontId="28" fillId="0" borderId="0"/>
    <xf numFmtId="0" fontId="118" fillId="0" borderId="0"/>
    <xf numFmtId="0" fontId="28" fillId="0" borderId="0"/>
    <xf numFmtId="0" fontId="28" fillId="0" borderId="0"/>
    <xf numFmtId="0" fontId="40" fillId="0" borderId="0"/>
    <xf numFmtId="0" fontId="28" fillId="0" borderId="0">
      <alignment vertical="top"/>
    </xf>
    <xf numFmtId="0" fontId="171" fillId="0" borderId="0"/>
    <xf numFmtId="0" fontId="28" fillId="0" borderId="0">
      <alignment vertical="top"/>
    </xf>
    <xf numFmtId="0" fontId="23" fillId="0" borderId="0"/>
    <xf numFmtId="0" fontId="23" fillId="0" borderId="0"/>
    <xf numFmtId="0" fontId="23" fillId="0" borderId="0"/>
    <xf numFmtId="0" fontId="23" fillId="0" borderId="0"/>
    <xf numFmtId="0" fontId="23" fillId="0" borderId="0"/>
    <xf numFmtId="0" fontId="23" fillId="0" borderId="0"/>
    <xf numFmtId="0" fontId="28" fillId="0" borderId="0"/>
    <xf numFmtId="0" fontId="28" fillId="0" borderId="0"/>
    <xf numFmtId="0" fontId="28" fillId="0" borderId="0"/>
    <xf numFmtId="2" fontId="28" fillId="0" borderId="0"/>
    <xf numFmtId="0" fontId="28" fillId="0" borderId="0"/>
    <xf numFmtId="0" fontId="170" fillId="0" borderId="0">
      <alignment vertical="center"/>
    </xf>
    <xf numFmtId="0" fontId="28" fillId="0" borderId="0"/>
    <xf numFmtId="0" fontId="172" fillId="0" borderId="0"/>
    <xf numFmtId="0" fontId="28"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8" fillId="0" borderId="0">
      <alignment vertical="top"/>
    </xf>
    <xf numFmtId="0" fontId="28" fillId="0" borderId="0"/>
    <xf numFmtId="0" fontId="23" fillId="0" borderId="0"/>
    <xf numFmtId="0" fontId="28" fillId="0" borderId="0"/>
    <xf numFmtId="0" fontId="23" fillId="0" borderId="0"/>
    <xf numFmtId="0" fontId="23" fillId="0" borderId="0"/>
    <xf numFmtId="0" fontId="23" fillId="0" borderId="0"/>
    <xf numFmtId="0" fontId="56" fillId="0" borderId="0"/>
    <xf numFmtId="0" fontId="28" fillId="0" borderId="0"/>
    <xf numFmtId="0" fontId="28" fillId="0" borderId="0"/>
    <xf numFmtId="0" fontId="28" fillId="0" borderId="0"/>
    <xf numFmtId="0" fontId="28" fillId="0" borderId="0"/>
    <xf numFmtId="0" fontId="170" fillId="0" borderId="0">
      <alignment vertical="center"/>
    </xf>
    <xf numFmtId="0" fontId="170" fillId="0" borderId="0">
      <alignment vertical="center"/>
    </xf>
    <xf numFmtId="0" fontId="56" fillId="0" borderId="0"/>
    <xf numFmtId="0" fontId="28" fillId="0" borderId="0"/>
    <xf numFmtId="2" fontId="28" fillId="0" borderId="0"/>
    <xf numFmtId="0" fontId="56" fillId="0" borderId="0"/>
    <xf numFmtId="0" fontId="56" fillId="0" borderId="0"/>
    <xf numFmtId="0" fontId="56" fillId="0" borderId="0"/>
    <xf numFmtId="0" fontId="56" fillId="0" borderId="0"/>
    <xf numFmtId="0" fontId="118" fillId="0" borderId="0"/>
    <xf numFmtId="0" fontId="56" fillId="0" borderId="0"/>
    <xf numFmtId="0" fontId="28" fillId="0" borderId="0">
      <alignment vertical="top"/>
    </xf>
    <xf numFmtId="0" fontId="23" fillId="0" borderId="0"/>
    <xf numFmtId="0" fontId="23" fillId="0" borderId="0"/>
    <xf numFmtId="0" fontId="23" fillId="0" borderId="0"/>
    <xf numFmtId="0" fontId="28" fillId="0" borderId="0"/>
    <xf numFmtId="0" fontId="23" fillId="0" borderId="0"/>
    <xf numFmtId="0" fontId="23" fillId="0" borderId="0"/>
    <xf numFmtId="0" fontId="28" fillId="0" borderId="0"/>
    <xf numFmtId="0" fontId="28" fillId="0" borderId="0"/>
    <xf numFmtId="0" fontId="28" fillId="0" borderId="0">
      <alignment vertical="top"/>
    </xf>
    <xf numFmtId="0" fontId="28" fillId="0" borderId="45">
      <alignment horizontal="center"/>
    </xf>
    <xf numFmtId="0" fontId="28" fillId="0" borderId="45">
      <alignment horizontal="center"/>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28" fillId="21" borderId="16" applyNumberFormat="0" applyProtection="0">
      <alignment vertical="top"/>
    </xf>
    <xf numFmtId="0" fontId="28" fillId="21" borderId="16" applyNumberFormat="0" applyProtection="0">
      <alignment vertical="top"/>
    </xf>
    <xf numFmtId="1" fontId="56" fillId="0" borderId="0"/>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01" fillId="3" borderId="17" applyNumberFormat="0" applyProtection="0">
      <alignment vertical="top"/>
    </xf>
    <xf numFmtId="272" fontId="28" fillId="0" borderId="0" applyFont="0" applyFill="0" applyBorder="0" applyAlignment="0" applyProtection="0"/>
    <xf numFmtId="272" fontId="28" fillId="0" borderId="0" applyFont="0" applyFill="0" applyBorder="0" applyAlignment="0" applyProtection="0"/>
    <xf numFmtId="278" fontId="28" fillId="0" borderId="0" applyFont="0" applyFill="0" applyBorder="0" applyAlignment="0" applyProtection="0"/>
    <xf numFmtId="278" fontId="28" fillId="0" borderId="0" applyFont="0" applyFill="0" applyBorder="0" applyAlignment="0" applyProtection="0"/>
    <xf numFmtId="10" fontId="28" fillId="0" borderId="0" applyFont="0" applyFill="0" applyBorder="0" applyAlignment="0" applyProtection="0"/>
    <xf numFmtId="10" fontId="28"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3" fillId="0" borderId="0" applyFont="0" applyFill="0" applyBorder="0" applyAlignment="0" applyProtection="0"/>
    <xf numFmtId="9" fontId="28"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8" fillId="0" borderId="0" applyFont="0" applyFill="0" applyBorder="0" applyAlignment="0" applyProtection="0"/>
    <xf numFmtId="0" fontId="28" fillId="0" borderId="0">
      <alignment vertical="top"/>
    </xf>
    <xf numFmtId="9" fontId="23"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70" fillId="0" borderId="0" applyFont="0" applyFill="0" applyBorder="0" applyAlignment="0" applyProtection="0"/>
    <xf numFmtId="9" fontId="170"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40"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0" fontId="28" fillId="0" borderId="0">
      <alignment vertical="top"/>
    </xf>
    <xf numFmtId="9" fontId="56" fillId="0" borderId="0" applyFont="0" applyFill="0" applyBorder="0" applyAlignment="0" applyProtection="0"/>
    <xf numFmtId="9" fontId="56" fillId="0" borderId="0" applyFont="0" applyFill="0" applyBorder="0" applyAlignment="0" applyProtection="0"/>
    <xf numFmtId="9" fontId="28" fillId="0" borderId="0" applyFill="0" applyBorder="0" applyProtection="0">
      <alignment vertical="top"/>
    </xf>
    <xf numFmtId="9" fontId="23"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0" fontId="28" fillId="0" borderId="0">
      <alignment vertical="top"/>
    </xf>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268" fontId="28" fillId="0" borderId="0" applyFill="0" applyBorder="0" applyAlignment="0"/>
    <xf numFmtId="268" fontId="28" fillId="0" borderId="0" applyFill="0" applyBorder="0" applyAlignment="0"/>
    <xf numFmtId="0" fontId="28" fillId="0" borderId="0" applyFill="0" applyBorder="0" applyAlignment="0"/>
    <xf numFmtId="0" fontId="28" fillId="0" borderId="0" applyFill="0" applyBorder="0" applyAlignment="0"/>
    <xf numFmtId="0" fontId="63" fillId="2" borderId="1"/>
    <xf numFmtId="0" fontId="28" fillId="0" borderId="40"/>
    <xf numFmtId="0" fontId="28" fillId="0" borderId="40"/>
    <xf numFmtId="0" fontId="28" fillId="0" borderId="40"/>
    <xf numFmtId="0" fontId="28" fillId="0" borderId="0">
      <alignment vertical="top"/>
    </xf>
    <xf numFmtId="0" fontId="28" fillId="0" borderId="40"/>
    <xf numFmtId="0" fontId="28" fillId="0" borderId="19"/>
    <xf numFmtId="0" fontId="108" fillId="0" borderId="20"/>
    <xf numFmtId="279" fontId="77" fillId="0" borderId="59" applyNumberFormat="0" applyFont="0" applyFill="0" applyAlignment="0" applyProtection="0">
      <alignment horizontal="right"/>
    </xf>
    <xf numFmtId="279" fontId="77" fillId="0" borderId="59" applyNumberFormat="0" applyFont="0" applyFill="0" applyAlignment="0" applyProtection="0">
      <alignment horizontal="right"/>
    </xf>
    <xf numFmtId="279" fontId="77" fillId="0" borderId="59" applyNumberFormat="0" applyFont="0" applyFill="0" applyAlignment="0" applyProtection="0">
      <alignment horizontal="right"/>
    </xf>
    <xf numFmtId="279" fontId="77" fillId="0" borderId="59" applyNumberFormat="0" applyFont="0" applyFill="0" applyAlignment="0" applyProtection="0">
      <alignment horizontal="right"/>
    </xf>
    <xf numFmtId="279" fontId="77" fillId="0" borderId="59" applyNumberFormat="0" applyFont="0" applyFill="0" applyAlignment="0" applyProtection="0">
      <alignment horizontal="right"/>
    </xf>
    <xf numFmtId="279" fontId="77" fillId="0" borderId="59" applyNumberFormat="0" applyFont="0" applyFill="0" applyAlignment="0" applyProtection="0">
      <alignment horizontal="right"/>
    </xf>
    <xf numFmtId="272" fontId="28" fillId="0" borderId="0" applyFill="0" applyBorder="0" applyAlignment="0"/>
    <xf numFmtId="272" fontId="28" fillId="0" borderId="0" applyFill="0" applyBorder="0" applyAlignment="0"/>
    <xf numFmtId="0" fontId="28" fillId="0" borderId="0" applyFill="0" applyBorder="0" applyAlignment="0"/>
    <xf numFmtId="0" fontId="28" fillId="0" borderId="0" applyFill="0" applyBorder="0" applyAlignment="0"/>
    <xf numFmtId="0" fontId="28" fillId="0" borderId="0">
      <alignment vertical="top"/>
    </xf>
    <xf numFmtId="0" fontId="56" fillId="0" borderId="0" applyNumberFormat="0" applyBorder="0" applyAlignment="0"/>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73" fillId="0" borderId="59"/>
    <xf numFmtId="0" fontId="173" fillId="0" borderId="59"/>
    <xf numFmtId="0" fontId="173" fillId="0" borderId="59"/>
    <xf numFmtId="0" fontId="173" fillId="0" borderId="59"/>
    <xf numFmtId="0" fontId="173" fillId="0" borderId="59"/>
    <xf numFmtId="0" fontId="173" fillId="0" borderId="59"/>
    <xf numFmtId="0" fontId="174" fillId="0" borderId="59"/>
    <xf numFmtId="0" fontId="174" fillId="0" borderId="59"/>
    <xf numFmtId="0" fontId="174" fillId="0" borderId="59"/>
    <xf numFmtId="0" fontId="174" fillId="0" borderId="59"/>
    <xf numFmtId="0" fontId="174" fillId="0" borderId="59"/>
    <xf numFmtId="0" fontId="174" fillId="0" borderId="59"/>
    <xf numFmtId="0" fontId="173" fillId="0" borderId="59"/>
    <xf numFmtId="0" fontId="173" fillId="0" borderId="59"/>
    <xf numFmtId="0" fontId="173" fillId="0" borderId="59"/>
    <xf numFmtId="0" fontId="173" fillId="0" borderId="59"/>
    <xf numFmtId="0" fontId="173" fillId="0" borderId="59"/>
    <xf numFmtId="0" fontId="173" fillId="0" borderId="59"/>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22" fillId="0" borderId="0"/>
    <xf numFmtId="43" fontId="22" fillId="0" borderId="0" applyFont="0" applyFill="0" applyBorder="0" applyAlignment="0" applyProtection="0"/>
    <xf numFmtId="9" fontId="22" fillId="0" borderId="0" applyFont="0" applyFill="0" applyBorder="0" applyAlignment="0" applyProtection="0"/>
    <xf numFmtId="0" fontId="21" fillId="0" borderId="0"/>
    <xf numFmtId="43" fontId="21"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21" fillId="0" borderId="0"/>
    <xf numFmtId="9" fontId="21" fillId="0" borderId="0" applyFont="0" applyFill="0" applyBorder="0" applyAlignment="0" applyProtection="0"/>
    <xf numFmtId="0" fontId="20" fillId="0" borderId="0"/>
    <xf numFmtId="9" fontId="20" fillId="0" borderId="0" applyFont="0" applyFill="0" applyBorder="0" applyAlignment="0" applyProtection="0"/>
    <xf numFmtId="43" fontId="20"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8" fillId="0" borderId="0"/>
    <xf numFmtId="9" fontId="18" fillId="0" borderId="0" applyFont="0" applyFill="0" applyBorder="0" applyAlignment="0" applyProtection="0"/>
    <xf numFmtId="43" fontId="18" fillId="0" borderId="0" applyFont="0" applyFill="0" applyBorder="0" applyAlignment="0" applyProtection="0"/>
    <xf numFmtId="244" fontId="17" fillId="0" borderId="0"/>
    <xf numFmtId="9" fontId="17" fillId="0" borderId="0" applyFont="0" applyFill="0" applyBorder="0" applyAlignment="0" applyProtection="0"/>
    <xf numFmtId="43" fontId="17" fillId="0" borderId="0" applyFont="0" applyFill="0" applyBorder="0" applyAlignment="0" applyProtection="0"/>
    <xf numFmtId="244" fontId="170" fillId="0" borderId="0">
      <alignment vertical="center"/>
    </xf>
    <xf numFmtId="9" fontId="170" fillId="0" borderId="0" applyFont="0" applyFill="0" applyBorder="0" applyAlignment="0" applyProtection="0"/>
    <xf numFmtId="244" fontId="29" fillId="74" borderId="0"/>
    <xf numFmtId="0" fontId="29" fillId="74"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170" fontId="28" fillId="0" borderId="0" applyFill="0" applyBorder="0" applyProtection="0">
      <alignment vertical="top"/>
    </xf>
    <xf numFmtId="170" fontId="28" fillId="0" borderId="0" applyFill="0" applyBorder="0" applyProtection="0">
      <alignment vertical="top"/>
    </xf>
    <xf numFmtId="170" fontId="28" fillId="0" borderId="0" applyFill="0" applyBorder="0" applyProtection="0">
      <alignment vertical="top"/>
    </xf>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29" fillId="74" borderId="0"/>
    <xf numFmtId="244" fontId="29" fillId="74" borderId="0"/>
    <xf numFmtId="244" fontId="29" fillId="74" borderId="0"/>
    <xf numFmtId="0" fontId="29" fillId="74" borderId="0"/>
    <xf numFmtId="244" fontId="28" fillId="0" borderId="0" applyFill="0" applyBorder="0" applyProtection="0">
      <alignment vertical="top"/>
    </xf>
    <xf numFmtId="244" fontId="176" fillId="0" borderId="0" applyFont="0" applyFill="0" applyBorder="0" applyAlignment="0" applyProtection="0"/>
    <xf numFmtId="0" fontId="176" fillId="0" borderId="0" applyFont="0" applyFill="0" applyBorder="0" applyAlignment="0" applyProtection="0"/>
    <xf numFmtId="244" fontId="176" fillId="0" borderId="0" applyFont="0" applyFill="0" applyBorder="0" applyAlignment="0" applyProtection="0"/>
    <xf numFmtId="244" fontId="176" fillId="0" borderId="0" applyFont="0" applyFill="0" applyBorder="0" applyAlignment="0" applyProtection="0"/>
    <xf numFmtId="244" fontId="176" fillId="0" borderId="0" applyFont="0" applyFill="0" applyBorder="0" applyAlignment="0" applyProtection="0"/>
    <xf numFmtId="244" fontId="176" fillId="0" borderId="0" applyFont="0" applyFill="0" applyBorder="0" applyAlignment="0" applyProtection="0"/>
    <xf numFmtId="244" fontId="28" fillId="0" borderId="0" applyFill="0" applyBorder="0" applyProtection="0">
      <alignment vertical="top"/>
    </xf>
    <xf numFmtId="244" fontId="176" fillId="0" borderId="0" applyFont="0" applyFill="0" applyBorder="0" applyAlignment="0" applyProtection="0"/>
    <xf numFmtId="0" fontId="176" fillId="0" borderId="0" applyFont="0" applyFill="0" applyBorder="0" applyAlignment="0" applyProtection="0"/>
    <xf numFmtId="244" fontId="176" fillId="0" borderId="0" applyFont="0" applyFill="0" applyBorder="0" applyAlignment="0" applyProtection="0"/>
    <xf numFmtId="244" fontId="176" fillId="0" borderId="0" applyFont="0" applyFill="0" applyBorder="0" applyAlignment="0" applyProtection="0"/>
    <xf numFmtId="244" fontId="176" fillId="0" borderId="0" applyFont="0" applyFill="0" applyBorder="0" applyAlignment="0" applyProtection="0"/>
    <xf numFmtId="244" fontId="176" fillId="0" borderId="0" applyFont="0" applyFill="0" applyBorder="0" applyAlignment="0" applyProtection="0"/>
    <xf numFmtId="244" fontId="28" fillId="0" borderId="0" applyFill="0" applyBorder="0" applyProtection="0">
      <alignment vertical="top"/>
    </xf>
    <xf numFmtId="244" fontId="176" fillId="0" borderId="0" applyFont="0" applyFill="0" applyBorder="0" applyAlignment="0" applyProtection="0"/>
    <xf numFmtId="0" fontId="176" fillId="0" borderId="0" applyFont="0" applyFill="0" applyBorder="0" applyAlignment="0" applyProtection="0"/>
    <xf numFmtId="244" fontId="176" fillId="0" borderId="0" applyFont="0" applyFill="0" applyBorder="0" applyAlignment="0" applyProtection="0"/>
    <xf numFmtId="244" fontId="176" fillId="0" borderId="0" applyFont="0" applyFill="0" applyBorder="0" applyAlignment="0" applyProtection="0"/>
    <xf numFmtId="244" fontId="176" fillId="0" borderId="0" applyFont="0" applyFill="0" applyBorder="0" applyAlignment="0" applyProtection="0"/>
    <xf numFmtId="244" fontId="176" fillId="0" borderId="0" applyFont="0" applyFill="0" applyBorder="0" applyAlignment="0" applyProtection="0"/>
    <xf numFmtId="244" fontId="28" fillId="0" borderId="0" applyFill="0" applyBorder="0" applyProtection="0">
      <alignment vertical="top"/>
    </xf>
    <xf numFmtId="244" fontId="176" fillId="0" borderId="0" applyFont="0" applyFill="0" applyBorder="0" applyAlignment="0" applyProtection="0"/>
    <xf numFmtId="0" fontId="176" fillId="0" borderId="0" applyFont="0" applyFill="0" applyBorder="0" applyAlignment="0" applyProtection="0"/>
    <xf numFmtId="244" fontId="176" fillId="0" borderId="0" applyFont="0" applyFill="0" applyBorder="0" applyAlignment="0" applyProtection="0"/>
    <xf numFmtId="244" fontId="176" fillId="0" borderId="0" applyFont="0" applyFill="0" applyBorder="0" applyAlignment="0" applyProtection="0"/>
    <xf numFmtId="244" fontId="176" fillId="0" borderId="0" applyFont="0" applyFill="0" applyBorder="0" applyAlignment="0" applyProtection="0"/>
    <xf numFmtId="244" fontId="176" fillId="0" borderId="0" applyFont="0" applyFill="0" applyBorder="0" applyAlignment="0" applyProtection="0"/>
    <xf numFmtId="281" fontId="28" fillId="0" borderId="0" applyFont="0" applyFill="0" applyBorder="0" applyAlignment="0" applyProtection="0"/>
    <xf numFmtId="282" fontId="28" fillId="0" borderId="0" applyFont="0" applyFill="0" applyBorder="0" applyAlignment="0" applyProtection="0"/>
    <xf numFmtId="244" fontId="77" fillId="0" borderId="0" applyNumberFormat="0" applyBorder="0" applyAlignment="0"/>
    <xf numFmtId="244" fontId="118" fillId="0" borderId="0"/>
    <xf numFmtId="0" fontId="118" fillId="0" borderId="0"/>
    <xf numFmtId="244" fontId="31" fillId="41" borderId="0"/>
    <xf numFmtId="0" fontId="31" fillId="41" borderId="0"/>
    <xf numFmtId="244" fontId="32" fillId="0" borderId="0"/>
    <xf numFmtId="0" fontId="32" fillId="0" borderId="0"/>
    <xf numFmtId="244" fontId="33" fillId="41" borderId="0"/>
    <xf numFmtId="0" fontId="33" fillId="41" borderId="0"/>
    <xf numFmtId="244" fontId="126" fillId="42" borderId="0" applyNumberFormat="0" applyBorder="0" applyProtection="0">
      <alignment vertical="top"/>
    </xf>
    <xf numFmtId="244" fontId="126" fillId="42" borderId="0" applyNumberFormat="0" applyBorder="0" applyProtection="0">
      <alignment vertical="top"/>
    </xf>
    <xf numFmtId="244" fontId="126" fillId="43" borderId="0" applyNumberFormat="0" applyBorder="0" applyProtection="0">
      <alignment vertical="top"/>
    </xf>
    <xf numFmtId="244" fontId="126" fillId="43" borderId="0" applyNumberFormat="0" applyBorder="0" applyProtection="0">
      <alignment vertical="top"/>
    </xf>
    <xf numFmtId="244" fontId="126" fillId="6" borderId="0" applyNumberFormat="0" applyBorder="0" applyProtection="0">
      <alignment vertical="top"/>
    </xf>
    <xf numFmtId="244" fontId="126" fillId="6" borderId="0" applyNumberFormat="0" applyBorder="0" applyProtection="0">
      <alignment vertical="top"/>
    </xf>
    <xf numFmtId="244" fontId="126" fillId="7" borderId="0" applyNumberFormat="0" applyBorder="0" applyProtection="0">
      <alignment vertical="top"/>
    </xf>
    <xf numFmtId="244" fontId="126" fillId="7" borderId="0" applyNumberFormat="0" applyBorder="0" applyProtection="0">
      <alignment vertical="top"/>
    </xf>
    <xf numFmtId="244" fontId="126" fillId="44" borderId="0" applyNumberFormat="0" applyBorder="0" applyProtection="0">
      <alignment vertical="top"/>
    </xf>
    <xf numFmtId="244" fontId="126" fillId="44" borderId="0" applyNumberFormat="0" applyBorder="0" applyProtection="0">
      <alignment vertical="top"/>
    </xf>
    <xf numFmtId="244" fontId="126" fillId="45" borderId="0" applyNumberFormat="0" applyBorder="0" applyProtection="0">
      <alignment vertical="top"/>
    </xf>
    <xf numFmtId="244" fontId="126" fillId="45" borderId="0" applyNumberFormat="0" applyBorder="0" applyProtection="0">
      <alignment vertical="top"/>
    </xf>
    <xf numFmtId="244" fontId="125" fillId="42" borderId="0" applyNumberFormat="0" applyBorder="0" applyProtection="0">
      <alignment vertical="top"/>
    </xf>
    <xf numFmtId="244" fontId="125" fillId="42" borderId="0" applyNumberFormat="0" applyBorder="0" applyProtection="0">
      <alignment vertical="top"/>
    </xf>
    <xf numFmtId="244" fontId="125" fillId="42" borderId="0" applyNumberFormat="0" applyBorder="0" applyProtection="0">
      <alignment vertical="top"/>
    </xf>
    <xf numFmtId="244" fontId="125" fillId="42" borderId="0" applyNumberFormat="0" applyBorder="0" applyProtection="0">
      <alignment vertical="top"/>
    </xf>
    <xf numFmtId="244" fontId="125" fillId="42" borderId="0" applyNumberFormat="0" applyBorder="0" applyProtection="0">
      <alignment vertical="top"/>
    </xf>
    <xf numFmtId="244" fontId="125" fillId="43" borderId="0" applyNumberFormat="0" applyBorder="0" applyProtection="0">
      <alignment vertical="top"/>
    </xf>
    <xf numFmtId="244" fontId="125" fillId="43" borderId="0" applyNumberFormat="0" applyBorder="0" applyProtection="0">
      <alignment vertical="top"/>
    </xf>
    <xf numFmtId="244" fontId="125" fillId="43" borderId="0" applyNumberFormat="0" applyBorder="0" applyProtection="0">
      <alignment vertical="top"/>
    </xf>
    <xf numFmtId="244" fontId="125" fillId="43" borderId="0" applyNumberFormat="0" applyBorder="0" applyProtection="0">
      <alignment vertical="top"/>
    </xf>
    <xf numFmtId="244" fontId="125" fillId="43" borderId="0" applyNumberFormat="0" applyBorder="0" applyProtection="0">
      <alignment vertical="top"/>
    </xf>
    <xf numFmtId="244" fontId="125" fillId="6" borderId="0" applyNumberFormat="0" applyBorder="0" applyProtection="0">
      <alignment vertical="top"/>
    </xf>
    <xf numFmtId="244" fontId="125" fillId="6" borderId="0" applyNumberFormat="0" applyBorder="0" applyProtection="0">
      <alignment vertical="top"/>
    </xf>
    <xf numFmtId="244" fontId="125" fillId="6" borderId="0" applyNumberFormat="0" applyBorder="0" applyProtection="0">
      <alignment vertical="top"/>
    </xf>
    <xf numFmtId="244" fontId="125" fillId="6" borderId="0" applyNumberFormat="0" applyBorder="0" applyProtection="0">
      <alignment vertical="top"/>
    </xf>
    <xf numFmtId="244" fontId="125" fillId="6" borderId="0" applyNumberFormat="0" applyBorder="0" applyProtection="0">
      <alignment vertical="top"/>
    </xf>
    <xf numFmtId="244" fontId="125" fillId="7" borderId="0" applyNumberFormat="0" applyBorder="0" applyProtection="0">
      <alignment vertical="top"/>
    </xf>
    <xf numFmtId="244" fontId="125" fillId="7" borderId="0" applyNumberFormat="0" applyBorder="0" applyProtection="0">
      <alignment vertical="top"/>
    </xf>
    <xf numFmtId="244" fontId="125" fillId="7" borderId="0" applyNumberFormat="0" applyBorder="0" applyProtection="0">
      <alignment vertical="top"/>
    </xf>
    <xf numFmtId="244" fontId="125" fillId="7" borderId="0" applyNumberFormat="0" applyBorder="0" applyProtection="0">
      <alignment vertical="top"/>
    </xf>
    <xf numFmtId="244" fontId="125" fillId="7" borderId="0" applyNumberFormat="0" applyBorder="0" applyProtection="0">
      <alignment vertical="top"/>
    </xf>
    <xf numFmtId="244" fontId="125" fillId="44" borderId="0" applyNumberFormat="0" applyBorder="0" applyProtection="0">
      <alignment vertical="top"/>
    </xf>
    <xf numFmtId="244" fontId="125" fillId="44" borderId="0" applyNumberFormat="0" applyBorder="0" applyProtection="0">
      <alignment vertical="top"/>
    </xf>
    <xf numFmtId="244" fontId="125" fillId="44" borderId="0" applyNumberFormat="0" applyBorder="0" applyProtection="0">
      <alignment vertical="top"/>
    </xf>
    <xf numFmtId="244" fontId="125" fillId="44" borderId="0" applyNumberFormat="0" applyBorder="0" applyProtection="0">
      <alignment vertical="top"/>
    </xf>
    <xf numFmtId="244" fontId="125" fillId="44" borderId="0" applyNumberFormat="0" applyBorder="0" applyProtection="0">
      <alignment vertical="top"/>
    </xf>
    <xf numFmtId="244" fontId="125" fillId="45" borderId="0" applyNumberFormat="0" applyBorder="0" applyProtection="0">
      <alignment vertical="top"/>
    </xf>
    <xf numFmtId="244" fontId="125" fillId="45" borderId="0" applyNumberFormat="0" applyBorder="0" applyProtection="0">
      <alignment vertical="top"/>
    </xf>
    <xf numFmtId="244" fontId="125" fillId="45" borderId="0" applyNumberFormat="0" applyBorder="0" applyProtection="0">
      <alignment vertical="top"/>
    </xf>
    <xf numFmtId="244" fontId="125" fillId="45" borderId="0" applyNumberFormat="0" applyBorder="0" applyProtection="0">
      <alignment vertical="top"/>
    </xf>
    <xf numFmtId="244" fontId="125" fillId="45" borderId="0" applyNumberFormat="0" applyBorder="0" applyProtection="0">
      <alignment vertical="top"/>
    </xf>
    <xf numFmtId="244" fontId="126" fillId="42" borderId="0" applyNumberFormat="0" applyBorder="0" applyProtection="0">
      <alignment vertical="top"/>
    </xf>
    <xf numFmtId="244" fontId="126" fillId="43" borderId="0" applyNumberFormat="0" applyBorder="0" applyProtection="0">
      <alignment vertical="top"/>
    </xf>
    <xf numFmtId="244" fontId="126" fillId="6" borderId="0" applyNumberFormat="0" applyBorder="0" applyProtection="0">
      <alignment vertical="top"/>
    </xf>
    <xf numFmtId="244" fontId="126" fillId="7" borderId="0" applyNumberFormat="0" applyBorder="0" applyProtection="0">
      <alignment vertical="top"/>
    </xf>
    <xf numFmtId="244" fontId="126" fillId="44" borderId="0" applyNumberFormat="0" applyBorder="0" applyProtection="0">
      <alignment vertical="top"/>
    </xf>
    <xf numFmtId="244" fontId="126" fillId="45" borderId="0" applyNumberFormat="0" applyBorder="0" applyProtection="0">
      <alignment vertical="top"/>
    </xf>
    <xf numFmtId="244" fontId="35" fillId="41" borderId="0"/>
    <xf numFmtId="0" fontId="35" fillId="41" borderId="0"/>
    <xf numFmtId="244" fontId="36" fillId="0" borderId="0">
      <alignment wrapText="1"/>
    </xf>
    <xf numFmtId="0" fontId="36" fillId="0" borderId="0">
      <alignment wrapText="1"/>
    </xf>
    <xf numFmtId="244" fontId="126" fillId="46" borderId="0" applyNumberFormat="0" applyBorder="0" applyProtection="0">
      <alignment vertical="top"/>
    </xf>
    <xf numFmtId="244" fontId="126" fillId="46" borderId="0" applyNumberFormat="0" applyBorder="0" applyProtection="0">
      <alignment vertical="top"/>
    </xf>
    <xf numFmtId="244" fontId="126" fillId="47" borderId="0" applyNumberFormat="0" applyBorder="0" applyProtection="0">
      <alignment vertical="top"/>
    </xf>
    <xf numFmtId="244" fontId="126" fillId="47" borderId="0" applyNumberFormat="0" applyBorder="0" applyProtection="0">
      <alignment vertical="top"/>
    </xf>
    <xf numFmtId="244" fontId="126" fillId="48" borderId="0" applyNumberFormat="0" applyBorder="0" applyProtection="0">
      <alignment vertical="top"/>
    </xf>
    <xf numFmtId="244" fontId="126" fillId="48" borderId="0" applyNumberFormat="0" applyBorder="0" applyProtection="0">
      <alignment vertical="top"/>
    </xf>
    <xf numFmtId="244" fontId="126" fillId="7" borderId="0" applyNumberFormat="0" applyBorder="0" applyProtection="0">
      <alignment vertical="top"/>
    </xf>
    <xf numFmtId="244" fontId="126" fillId="7" borderId="0" applyNumberFormat="0" applyBorder="0" applyProtection="0">
      <alignment vertical="top"/>
    </xf>
    <xf numFmtId="244" fontId="126" fillId="46" borderId="0" applyNumberFormat="0" applyBorder="0" applyProtection="0">
      <alignment vertical="top"/>
    </xf>
    <xf numFmtId="244" fontId="126" fillId="46" borderId="0" applyNumberFormat="0" applyBorder="0" applyProtection="0">
      <alignment vertical="top"/>
    </xf>
    <xf numFmtId="244" fontId="126" fillId="13" borderId="0" applyNumberFormat="0" applyBorder="0" applyProtection="0">
      <alignment vertical="top"/>
    </xf>
    <xf numFmtId="244" fontId="126" fillId="13" borderId="0" applyNumberFormat="0" applyBorder="0" applyProtection="0">
      <alignment vertical="top"/>
    </xf>
    <xf numFmtId="244" fontId="125" fillId="46" borderId="0" applyNumberFormat="0" applyBorder="0" applyProtection="0">
      <alignment vertical="top"/>
    </xf>
    <xf numFmtId="244" fontId="125" fillId="46" borderId="0" applyNumberFormat="0" applyBorder="0" applyProtection="0">
      <alignment vertical="top"/>
    </xf>
    <xf numFmtId="244" fontId="125" fillId="46" borderId="0" applyNumberFormat="0" applyBorder="0" applyProtection="0">
      <alignment vertical="top"/>
    </xf>
    <xf numFmtId="244" fontId="125" fillId="46" borderId="0" applyNumberFormat="0" applyBorder="0" applyProtection="0">
      <alignment vertical="top"/>
    </xf>
    <xf numFmtId="244" fontId="125" fillId="46" borderId="0" applyNumberFormat="0" applyBorder="0" applyProtection="0">
      <alignment vertical="top"/>
    </xf>
    <xf numFmtId="244" fontId="125" fillId="47" borderId="0" applyNumberFormat="0" applyBorder="0" applyProtection="0">
      <alignment vertical="top"/>
    </xf>
    <xf numFmtId="244" fontId="125" fillId="47" borderId="0" applyNumberFormat="0" applyBorder="0" applyProtection="0">
      <alignment vertical="top"/>
    </xf>
    <xf numFmtId="244" fontId="125" fillId="47" borderId="0" applyNumberFormat="0" applyBorder="0" applyProtection="0">
      <alignment vertical="top"/>
    </xf>
    <xf numFmtId="244" fontId="125" fillId="47" borderId="0" applyNumberFormat="0" applyBorder="0" applyProtection="0">
      <alignment vertical="top"/>
    </xf>
    <xf numFmtId="244" fontId="125" fillId="47" borderId="0" applyNumberFormat="0" applyBorder="0" applyProtection="0">
      <alignment vertical="top"/>
    </xf>
    <xf numFmtId="244" fontId="125" fillId="48" borderId="0" applyNumberFormat="0" applyBorder="0" applyProtection="0">
      <alignment vertical="top"/>
    </xf>
    <xf numFmtId="244" fontId="125" fillId="48" borderId="0" applyNumberFormat="0" applyBorder="0" applyProtection="0">
      <alignment vertical="top"/>
    </xf>
    <xf numFmtId="244" fontId="125" fillId="48" borderId="0" applyNumberFormat="0" applyBorder="0" applyProtection="0">
      <alignment vertical="top"/>
    </xf>
    <xf numFmtId="244" fontId="125" fillId="48" borderId="0" applyNumberFormat="0" applyBorder="0" applyProtection="0">
      <alignment vertical="top"/>
    </xf>
    <xf numFmtId="244" fontId="125" fillId="48" borderId="0" applyNumberFormat="0" applyBorder="0" applyProtection="0">
      <alignment vertical="top"/>
    </xf>
    <xf numFmtId="244" fontId="125" fillId="7" borderId="0" applyNumberFormat="0" applyBorder="0" applyProtection="0">
      <alignment vertical="top"/>
    </xf>
    <xf numFmtId="244" fontId="125" fillId="7" borderId="0" applyNumberFormat="0" applyBorder="0" applyProtection="0">
      <alignment vertical="top"/>
    </xf>
    <xf numFmtId="244" fontId="125" fillId="7" borderId="0" applyNumberFormat="0" applyBorder="0" applyProtection="0">
      <alignment vertical="top"/>
    </xf>
    <xf numFmtId="244" fontId="125" fillId="7" borderId="0" applyNumberFormat="0" applyBorder="0" applyProtection="0">
      <alignment vertical="top"/>
    </xf>
    <xf numFmtId="244" fontId="125" fillId="7" borderId="0" applyNumberFormat="0" applyBorder="0" applyProtection="0">
      <alignment vertical="top"/>
    </xf>
    <xf numFmtId="244" fontId="125" fillId="46" borderId="0" applyNumberFormat="0" applyBorder="0" applyProtection="0">
      <alignment vertical="top"/>
    </xf>
    <xf numFmtId="244" fontId="125" fillId="46" borderId="0" applyNumberFormat="0" applyBorder="0" applyProtection="0">
      <alignment vertical="top"/>
    </xf>
    <xf numFmtId="244" fontId="125" fillId="46" borderId="0" applyNumberFormat="0" applyBorder="0" applyProtection="0">
      <alignment vertical="top"/>
    </xf>
    <xf numFmtId="244" fontId="125" fillId="46" borderId="0" applyNumberFormat="0" applyBorder="0" applyProtection="0">
      <alignment vertical="top"/>
    </xf>
    <xf numFmtId="244" fontId="125" fillId="46" borderId="0" applyNumberFormat="0" applyBorder="0" applyProtection="0">
      <alignment vertical="top"/>
    </xf>
    <xf numFmtId="244" fontId="125" fillId="13" borderId="0" applyNumberFormat="0" applyBorder="0" applyProtection="0">
      <alignment vertical="top"/>
    </xf>
    <xf numFmtId="244" fontId="125" fillId="13" borderId="0" applyNumberFormat="0" applyBorder="0" applyProtection="0">
      <alignment vertical="top"/>
    </xf>
    <xf numFmtId="244" fontId="125" fillId="13" borderId="0" applyNumberFormat="0" applyBorder="0" applyProtection="0">
      <alignment vertical="top"/>
    </xf>
    <xf numFmtId="244" fontId="125" fillId="13" borderId="0" applyNumberFormat="0" applyBorder="0" applyProtection="0">
      <alignment vertical="top"/>
    </xf>
    <xf numFmtId="244" fontId="125" fillId="13" borderId="0" applyNumberFormat="0" applyBorder="0" applyProtection="0">
      <alignment vertical="top"/>
    </xf>
    <xf numFmtId="244" fontId="126" fillId="46" borderId="0" applyNumberFormat="0" applyBorder="0" applyProtection="0">
      <alignment vertical="top"/>
    </xf>
    <xf numFmtId="244" fontId="126" fillId="47" borderId="0" applyNumberFormat="0" applyBorder="0" applyProtection="0">
      <alignment vertical="top"/>
    </xf>
    <xf numFmtId="244" fontId="126" fillId="48" borderId="0" applyNumberFormat="0" applyBorder="0" applyProtection="0">
      <alignment vertical="top"/>
    </xf>
    <xf numFmtId="244" fontId="126" fillId="7" borderId="0" applyNumberFormat="0" applyBorder="0" applyProtection="0">
      <alignment vertical="top"/>
    </xf>
    <xf numFmtId="244" fontId="126" fillId="46" borderId="0" applyNumberFormat="0" applyBorder="0" applyProtection="0">
      <alignment vertical="top"/>
    </xf>
    <xf numFmtId="244" fontId="126" fillId="13" borderId="0" applyNumberFormat="0" applyBorder="0" applyProtection="0">
      <alignment vertical="top"/>
    </xf>
    <xf numFmtId="244" fontId="128" fillId="49" borderId="0" applyNumberFormat="0" applyBorder="0" applyProtection="0">
      <alignment vertical="top"/>
    </xf>
    <xf numFmtId="244" fontId="128" fillId="49" borderId="0" applyNumberFormat="0" applyBorder="0" applyProtection="0">
      <alignment vertical="top"/>
    </xf>
    <xf numFmtId="244" fontId="128" fillId="47" borderId="0" applyNumberFormat="0" applyBorder="0" applyProtection="0">
      <alignment vertical="top"/>
    </xf>
    <xf numFmtId="244" fontId="128" fillId="47" borderId="0" applyNumberFormat="0" applyBorder="0" applyProtection="0">
      <alignment vertical="top"/>
    </xf>
    <xf numFmtId="244" fontId="128" fillId="48" borderId="0" applyNumberFormat="0" applyBorder="0" applyProtection="0">
      <alignment vertical="top"/>
    </xf>
    <xf numFmtId="244" fontId="128" fillId="48" borderId="0" applyNumberFormat="0" applyBorder="0" applyProtection="0">
      <alignment vertical="top"/>
    </xf>
    <xf numFmtId="244" fontId="128" fillId="50" borderId="0" applyNumberFormat="0" applyBorder="0" applyProtection="0">
      <alignment vertical="top"/>
    </xf>
    <xf numFmtId="244" fontId="128" fillId="50" borderId="0" applyNumberFormat="0" applyBorder="0" applyProtection="0">
      <alignment vertical="top"/>
    </xf>
    <xf numFmtId="244" fontId="128" fillId="51" borderId="0" applyNumberFormat="0" applyBorder="0" applyProtection="0">
      <alignment vertical="top"/>
    </xf>
    <xf numFmtId="244" fontId="128" fillId="51" borderId="0" applyNumberFormat="0" applyBorder="0" applyProtection="0">
      <alignment vertical="top"/>
    </xf>
    <xf numFmtId="244" fontId="128" fillId="17" borderId="0" applyNumberFormat="0" applyBorder="0" applyProtection="0">
      <alignment vertical="top"/>
    </xf>
    <xf numFmtId="244" fontId="128" fillId="17" borderId="0" applyNumberFormat="0" applyBorder="0" applyProtection="0">
      <alignment vertical="top"/>
    </xf>
    <xf numFmtId="244" fontId="127" fillId="49" borderId="0" applyNumberFormat="0" applyBorder="0" applyProtection="0">
      <alignment vertical="top"/>
    </xf>
    <xf numFmtId="244" fontId="127" fillId="49" borderId="0" applyNumberFormat="0" applyBorder="0" applyProtection="0">
      <alignment vertical="top"/>
    </xf>
    <xf numFmtId="244" fontId="127" fillId="49" borderId="0" applyNumberFormat="0" applyBorder="0" applyProtection="0">
      <alignment vertical="top"/>
    </xf>
    <xf numFmtId="244" fontId="127" fillId="47" borderId="0" applyNumberFormat="0" applyBorder="0" applyProtection="0">
      <alignment vertical="top"/>
    </xf>
    <xf numFmtId="244" fontId="127" fillId="47" borderId="0" applyNumberFormat="0" applyBorder="0" applyProtection="0">
      <alignment vertical="top"/>
    </xf>
    <xf numFmtId="244" fontId="127" fillId="47" borderId="0" applyNumberFormat="0" applyBorder="0" applyProtection="0">
      <alignment vertical="top"/>
    </xf>
    <xf numFmtId="244" fontId="127" fillId="48" borderId="0" applyNumberFormat="0" applyBorder="0" applyProtection="0">
      <alignment vertical="top"/>
    </xf>
    <xf numFmtId="244" fontId="127" fillId="48" borderId="0" applyNumberFormat="0" applyBorder="0" applyProtection="0">
      <alignment vertical="top"/>
    </xf>
    <xf numFmtId="244" fontId="127" fillId="48" borderId="0" applyNumberFormat="0" applyBorder="0" applyProtection="0">
      <alignment vertical="top"/>
    </xf>
    <xf numFmtId="244" fontId="127" fillId="50" borderId="0" applyNumberFormat="0" applyBorder="0" applyProtection="0">
      <alignment vertical="top"/>
    </xf>
    <xf numFmtId="244" fontId="127" fillId="50" borderId="0" applyNumberFormat="0" applyBorder="0" applyProtection="0">
      <alignment vertical="top"/>
    </xf>
    <xf numFmtId="244" fontId="127" fillId="50" borderId="0" applyNumberFormat="0" applyBorder="0" applyProtection="0">
      <alignment vertical="top"/>
    </xf>
    <xf numFmtId="244" fontId="127" fillId="51" borderId="0" applyNumberFormat="0" applyBorder="0" applyProtection="0">
      <alignment vertical="top"/>
    </xf>
    <xf numFmtId="244" fontId="127" fillId="51" borderId="0" applyNumberFormat="0" applyBorder="0" applyProtection="0">
      <alignment vertical="top"/>
    </xf>
    <xf numFmtId="244" fontId="127" fillId="51" borderId="0" applyNumberFormat="0" applyBorder="0" applyProtection="0">
      <alignment vertical="top"/>
    </xf>
    <xf numFmtId="244" fontId="127" fillId="17" borderId="0" applyNumberFormat="0" applyBorder="0" applyProtection="0">
      <alignment vertical="top"/>
    </xf>
    <xf numFmtId="244" fontId="127" fillId="17" borderId="0" applyNumberFormat="0" applyBorder="0" applyProtection="0">
      <alignment vertical="top"/>
    </xf>
    <xf numFmtId="244" fontId="127" fillId="17" borderId="0" applyNumberFormat="0" applyBorder="0" applyProtection="0">
      <alignment vertical="top"/>
    </xf>
    <xf numFmtId="244" fontId="128" fillId="49" borderId="0" applyNumberFormat="0" applyBorder="0" applyProtection="0">
      <alignment vertical="top"/>
    </xf>
    <xf numFmtId="244" fontId="128" fillId="47" borderId="0" applyNumberFormat="0" applyBorder="0" applyProtection="0">
      <alignment vertical="top"/>
    </xf>
    <xf numFmtId="244" fontId="128" fillId="48" borderId="0" applyNumberFormat="0" applyBorder="0" applyProtection="0">
      <alignment vertical="top"/>
    </xf>
    <xf numFmtId="244" fontId="128" fillId="50" borderId="0" applyNumberFormat="0" applyBorder="0" applyProtection="0">
      <alignment vertical="top"/>
    </xf>
    <xf numFmtId="244" fontId="128" fillId="51" borderId="0" applyNumberFormat="0" applyBorder="0" applyProtection="0">
      <alignment vertical="top"/>
    </xf>
    <xf numFmtId="244" fontId="128" fillId="17" borderId="0" applyNumberFormat="0" applyBorder="0" applyProtection="0">
      <alignment vertical="top"/>
    </xf>
    <xf numFmtId="244" fontId="177" fillId="0" borderId="0"/>
    <xf numFmtId="244" fontId="38" fillId="0" borderId="29">
      <alignment horizontal="center"/>
    </xf>
    <xf numFmtId="0" fontId="38" fillId="0" borderId="29">
      <alignment horizontal="center"/>
    </xf>
    <xf numFmtId="244" fontId="38" fillId="0" borderId="29">
      <alignment horizontal="center"/>
    </xf>
    <xf numFmtId="0" fontId="38" fillId="0" borderId="29">
      <alignment horizontal="center"/>
    </xf>
    <xf numFmtId="244" fontId="39" fillId="0" borderId="0"/>
    <xf numFmtId="244" fontId="39" fillId="0" borderId="0"/>
    <xf numFmtId="0" fontId="39" fillId="0" borderId="0"/>
    <xf numFmtId="244" fontId="39" fillId="0" borderId="0"/>
    <xf numFmtId="244" fontId="39" fillId="0" borderId="0"/>
    <xf numFmtId="0" fontId="39" fillId="0" borderId="0"/>
    <xf numFmtId="244" fontId="39" fillId="0" borderId="49" applyFill="0">
      <alignment horizontal="center"/>
      <protection locked="0"/>
    </xf>
    <xf numFmtId="244" fontId="39" fillId="0" borderId="49" applyFill="0">
      <alignment horizontal="center"/>
      <protection locked="0"/>
    </xf>
    <xf numFmtId="0" fontId="39" fillId="0" borderId="49" applyFill="0">
      <alignment horizontal="center"/>
      <protection locked="0"/>
    </xf>
    <xf numFmtId="244" fontId="39" fillId="0" borderId="49" applyFill="0">
      <alignment horizontal="center"/>
      <protection locked="0"/>
    </xf>
    <xf numFmtId="244" fontId="39" fillId="0" borderId="49" applyFill="0">
      <alignment horizontal="center"/>
      <protection locked="0"/>
    </xf>
    <xf numFmtId="0" fontId="39" fillId="0" borderId="49" applyFill="0">
      <alignment horizontal="center"/>
      <protection locked="0"/>
    </xf>
    <xf numFmtId="244" fontId="39" fillId="0" borderId="49" applyFill="0">
      <alignment horizontal="center"/>
      <protection locked="0"/>
    </xf>
    <xf numFmtId="244" fontId="38" fillId="0" borderId="0" applyFill="0">
      <alignment horizontal="center"/>
      <protection locked="0"/>
    </xf>
    <xf numFmtId="244" fontId="38" fillId="0" borderId="0" applyFill="0">
      <alignment horizontal="center"/>
      <protection locked="0"/>
    </xf>
    <xf numFmtId="0" fontId="38" fillId="0" borderId="0" applyFill="0">
      <alignment horizontal="center"/>
      <protection locked="0"/>
    </xf>
    <xf numFmtId="244" fontId="38" fillId="0" borderId="0" applyFill="0">
      <alignment horizontal="center"/>
      <protection locked="0"/>
    </xf>
    <xf numFmtId="244" fontId="38" fillId="0" borderId="0" applyFill="0">
      <alignment horizontal="center"/>
      <protection locked="0"/>
    </xf>
    <xf numFmtId="0" fontId="38" fillId="0" borderId="0" applyFill="0">
      <alignment horizontal="center"/>
      <protection locked="0"/>
    </xf>
    <xf numFmtId="244" fontId="38" fillId="62" borderId="0"/>
    <xf numFmtId="244" fontId="38" fillId="62" borderId="0"/>
    <xf numFmtId="0" fontId="38" fillId="62" borderId="0"/>
    <xf numFmtId="244" fontId="38" fillId="62" borderId="0"/>
    <xf numFmtId="244" fontId="38" fillId="62" borderId="0"/>
    <xf numFmtId="0" fontId="38" fillId="62" borderId="0"/>
    <xf numFmtId="244" fontId="38" fillId="0" borderId="0">
      <protection locked="0"/>
    </xf>
    <xf numFmtId="244" fontId="38" fillId="0" borderId="0">
      <protection locked="0"/>
    </xf>
    <xf numFmtId="0" fontId="38" fillId="0" borderId="0">
      <protection locked="0"/>
    </xf>
    <xf numFmtId="244" fontId="38" fillId="0" borderId="0">
      <protection locked="0"/>
    </xf>
    <xf numFmtId="244" fontId="38" fillId="0" borderId="0">
      <protection locked="0"/>
    </xf>
    <xf numFmtId="0" fontId="38" fillId="0" borderId="0">
      <protection locked="0"/>
    </xf>
    <xf numFmtId="244" fontId="38" fillId="0" borderId="0"/>
    <xf numFmtId="244" fontId="38" fillId="0" borderId="0"/>
    <xf numFmtId="0" fontId="38" fillId="0" borderId="0"/>
    <xf numFmtId="244" fontId="38" fillId="0" borderId="0"/>
    <xf numFmtId="244" fontId="38" fillId="0" borderId="0"/>
    <xf numFmtId="0" fontId="38" fillId="0" borderId="0"/>
    <xf numFmtId="271" fontId="28" fillId="0" borderId="0"/>
    <xf numFmtId="271" fontId="28" fillId="0" borderId="0"/>
    <xf numFmtId="212" fontId="28" fillId="0" borderId="0"/>
    <xf numFmtId="212" fontId="28" fillId="0" borderId="0"/>
    <xf numFmtId="244" fontId="39" fillId="63" borderId="0">
      <alignment horizontal="right"/>
    </xf>
    <xf numFmtId="244" fontId="39" fillId="63" borderId="0">
      <alignment horizontal="right"/>
    </xf>
    <xf numFmtId="0" fontId="39" fillId="63" borderId="0">
      <alignment horizontal="right"/>
    </xf>
    <xf numFmtId="244" fontId="39" fillId="63" borderId="0">
      <alignment horizontal="right"/>
    </xf>
    <xf numFmtId="244" fontId="39" fillId="63" borderId="0">
      <alignment horizontal="right"/>
    </xf>
    <xf numFmtId="0" fontId="39" fillId="63" borderId="0">
      <alignment horizontal="right"/>
    </xf>
    <xf numFmtId="244" fontId="38" fillId="0" borderId="0"/>
    <xf numFmtId="244" fontId="38" fillId="0" borderId="0"/>
    <xf numFmtId="0" fontId="38" fillId="0" borderId="0"/>
    <xf numFmtId="244" fontId="38" fillId="0" borderId="0"/>
    <xf numFmtId="244" fontId="38" fillId="0" borderId="0"/>
    <xf numFmtId="0" fontId="38" fillId="0" borderId="0"/>
    <xf numFmtId="244" fontId="40" fillId="64" borderId="0" applyNumberFormat="0" applyBorder="0" applyAlignment="0" applyProtection="0"/>
    <xf numFmtId="0" fontId="40" fillId="64" borderId="0" applyNumberFormat="0" applyBorder="0" applyAlignment="0" applyProtection="0"/>
    <xf numFmtId="244" fontId="40" fillId="64" borderId="0" applyNumberFormat="0" applyBorder="0" applyAlignment="0" applyProtection="0"/>
    <xf numFmtId="0" fontId="40" fillId="64" borderId="0" applyNumberFormat="0" applyBorder="0" applyAlignment="0" applyProtection="0"/>
    <xf numFmtId="244" fontId="40" fillId="64" borderId="0" applyNumberFormat="0" applyBorder="0" applyAlignment="0" applyProtection="0"/>
    <xf numFmtId="0" fontId="40" fillId="64" borderId="0" applyNumberFormat="0" applyBorder="0" applyAlignment="0" applyProtection="0"/>
    <xf numFmtId="244" fontId="40" fillId="64" borderId="0" applyNumberFormat="0" applyBorder="0" applyAlignment="0" applyProtection="0"/>
    <xf numFmtId="0" fontId="40" fillId="64" borderId="0" applyNumberFormat="0" applyBorder="0" applyAlignment="0" applyProtection="0"/>
    <xf numFmtId="244" fontId="41" fillId="75" borderId="0" applyNumberFormat="0" applyBorder="0" applyAlignment="0" applyProtection="0"/>
    <xf numFmtId="0" fontId="41" fillId="75" borderId="0" applyNumberFormat="0" applyBorder="0" applyAlignment="0" applyProtection="0"/>
    <xf numFmtId="244" fontId="127" fillId="19" borderId="0" applyNumberFormat="0" applyBorder="0" applyProtection="0">
      <alignment vertical="top"/>
    </xf>
    <xf numFmtId="244" fontId="127" fillId="19" borderId="0" applyNumberFormat="0" applyBorder="0" applyProtection="0">
      <alignment vertical="top"/>
    </xf>
    <xf numFmtId="244" fontId="127" fillId="19" borderId="0" applyNumberFormat="0" applyBorder="0" applyProtection="0">
      <alignment vertical="top"/>
    </xf>
    <xf numFmtId="244" fontId="40" fillId="65" borderId="0" applyNumberFormat="0" applyBorder="0" applyAlignment="0" applyProtection="0"/>
    <xf numFmtId="0" fontId="40" fillId="65" borderId="0" applyNumberFormat="0" applyBorder="0" applyAlignment="0" applyProtection="0"/>
    <xf numFmtId="244" fontId="40" fillId="65" borderId="0" applyNumberFormat="0" applyBorder="0" applyAlignment="0" applyProtection="0"/>
    <xf numFmtId="0" fontId="40" fillId="65" borderId="0" applyNumberFormat="0" applyBorder="0" applyAlignment="0" applyProtection="0"/>
    <xf numFmtId="244" fontId="40" fillId="66" borderId="0" applyNumberFormat="0" applyBorder="0" applyAlignment="0" applyProtection="0"/>
    <xf numFmtId="0" fontId="40" fillId="66" borderId="0" applyNumberFormat="0" applyBorder="0" applyAlignment="0" applyProtection="0"/>
    <xf numFmtId="244" fontId="40" fillId="66" borderId="0" applyNumberFormat="0" applyBorder="0" applyAlignment="0" applyProtection="0"/>
    <xf numFmtId="0" fontId="40" fillId="66" borderId="0" applyNumberFormat="0" applyBorder="0" applyAlignment="0" applyProtection="0"/>
    <xf numFmtId="244" fontId="41" fillId="76" borderId="0" applyNumberFormat="0" applyBorder="0" applyAlignment="0" applyProtection="0"/>
    <xf numFmtId="0" fontId="41" fillId="76" borderId="0" applyNumberFormat="0" applyBorder="0" applyAlignment="0" applyProtection="0"/>
    <xf numFmtId="244" fontId="127" fillId="20" borderId="0" applyNumberFormat="0" applyBorder="0" applyProtection="0">
      <alignment vertical="top"/>
    </xf>
    <xf numFmtId="244" fontId="127" fillId="20" borderId="0" applyNumberFormat="0" applyBorder="0" applyProtection="0">
      <alignment vertical="top"/>
    </xf>
    <xf numFmtId="244" fontId="127" fillId="20" borderId="0" applyNumberFormat="0" applyBorder="0" applyProtection="0">
      <alignment vertical="top"/>
    </xf>
    <xf numFmtId="244" fontId="40" fillId="65" borderId="0" applyNumberFormat="0" applyBorder="0" applyAlignment="0" applyProtection="0"/>
    <xf numFmtId="0" fontId="40" fillId="65" borderId="0" applyNumberFormat="0" applyBorder="0" applyAlignment="0" applyProtection="0"/>
    <xf numFmtId="244" fontId="40" fillId="65" borderId="0" applyNumberFormat="0" applyBorder="0" applyAlignment="0" applyProtection="0"/>
    <xf numFmtId="0" fontId="40" fillId="65" borderId="0" applyNumberFormat="0" applyBorder="0" applyAlignment="0" applyProtection="0"/>
    <xf numFmtId="244" fontId="40" fillId="67" borderId="0" applyNumberFormat="0" applyBorder="0" applyAlignment="0" applyProtection="0"/>
    <xf numFmtId="0" fontId="40" fillId="67" borderId="0" applyNumberFormat="0" applyBorder="0" applyAlignment="0" applyProtection="0"/>
    <xf numFmtId="244" fontId="40" fillId="67" borderId="0" applyNumberFormat="0" applyBorder="0" applyAlignment="0" applyProtection="0"/>
    <xf numFmtId="0" fontId="40" fillId="67" borderId="0" applyNumberFormat="0" applyBorder="0" applyAlignment="0" applyProtection="0"/>
    <xf numFmtId="244" fontId="41" fillId="66" borderId="0" applyNumberFormat="0" applyBorder="0" applyAlignment="0" applyProtection="0"/>
    <xf numFmtId="0" fontId="41" fillId="66" borderId="0" applyNumberFormat="0" applyBorder="0" applyAlignment="0" applyProtection="0"/>
    <xf numFmtId="244" fontId="127" fillId="52" borderId="0" applyNumberFormat="0" applyBorder="0" applyProtection="0">
      <alignment vertical="top"/>
    </xf>
    <xf numFmtId="244" fontId="127" fillId="52" borderId="0" applyNumberFormat="0" applyBorder="0" applyProtection="0">
      <alignment vertical="top"/>
    </xf>
    <xf numFmtId="244" fontId="127" fillId="52" borderId="0" applyNumberFormat="0" applyBorder="0" applyProtection="0">
      <alignment vertical="top"/>
    </xf>
    <xf numFmtId="244" fontId="40" fillId="64" borderId="0" applyNumberFormat="0" applyBorder="0" applyAlignment="0" applyProtection="0"/>
    <xf numFmtId="0" fontId="40" fillId="64" borderId="0" applyNumberFormat="0" applyBorder="0" applyAlignment="0" applyProtection="0"/>
    <xf numFmtId="244" fontId="40" fillId="64" borderId="0" applyNumberFormat="0" applyBorder="0" applyAlignment="0" applyProtection="0"/>
    <xf numFmtId="0" fontId="40" fillId="64" borderId="0" applyNumberFormat="0" applyBorder="0" applyAlignment="0" applyProtection="0"/>
    <xf numFmtId="244" fontId="40" fillId="66" borderId="0" applyNumberFormat="0" applyBorder="0" applyAlignment="0" applyProtection="0"/>
    <xf numFmtId="0" fontId="40" fillId="66" borderId="0" applyNumberFormat="0" applyBorder="0" applyAlignment="0" applyProtection="0"/>
    <xf numFmtId="244" fontId="40" fillId="66" borderId="0" applyNumberFormat="0" applyBorder="0" applyAlignment="0" applyProtection="0"/>
    <xf numFmtId="0" fontId="40" fillId="66" borderId="0" applyNumberFormat="0" applyBorder="0" applyAlignment="0" applyProtection="0"/>
    <xf numFmtId="244" fontId="41" fillId="66" borderId="0" applyNumberFormat="0" applyBorder="0" applyAlignment="0" applyProtection="0"/>
    <xf numFmtId="0" fontId="41" fillId="66" borderId="0" applyNumberFormat="0" applyBorder="0" applyAlignment="0" applyProtection="0"/>
    <xf numFmtId="244" fontId="127" fillId="50" borderId="0" applyNumberFormat="0" applyBorder="0" applyProtection="0">
      <alignment vertical="top"/>
    </xf>
    <xf numFmtId="244" fontId="127" fillId="50" borderId="0" applyNumberFormat="0" applyBorder="0" applyProtection="0">
      <alignment vertical="top"/>
    </xf>
    <xf numFmtId="244" fontId="127" fillId="50" borderId="0" applyNumberFormat="0" applyBorder="0" applyProtection="0">
      <alignment vertical="top"/>
    </xf>
    <xf numFmtId="244" fontId="40" fillId="68" borderId="0" applyNumberFormat="0" applyBorder="0" applyAlignment="0" applyProtection="0"/>
    <xf numFmtId="0" fontId="40" fillId="68" borderId="0" applyNumberFormat="0" applyBorder="0" applyAlignment="0" applyProtection="0"/>
    <xf numFmtId="244" fontId="40" fillId="68" borderId="0" applyNumberFormat="0" applyBorder="0" applyAlignment="0" applyProtection="0"/>
    <xf numFmtId="0" fontId="40" fillId="68" borderId="0" applyNumberFormat="0" applyBorder="0" applyAlignment="0" applyProtection="0"/>
    <xf numFmtId="244" fontId="40" fillId="64" borderId="0" applyNumberFormat="0" applyBorder="0" applyAlignment="0" applyProtection="0"/>
    <xf numFmtId="0" fontId="40" fillId="64" borderId="0" applyNumberFormat="0" applyBorder="0" applyAlignment="0" applyProtection="0"/>
    <xf numFmtId="244" fontId="40" fillId="64" borderId="0" applyNumberFormat="0" applyBorder="0" applyAlignment="0" applyProtection="0"/>
    <xf numFmtId="0" fontId="40" fillId="64" borderId="0" applyNumberFormat="0" applyBorder="0" applyAlignment="0" applyProtection="0"/>
    <xf numFmtId="244" fontId="41" fillId="75" borderId="0" applyNumberFormat="0" applyBorder="0" applyAlignment="0" applyProtection="0"/>
    <xf numFmtId="0" fontId="41" fillId="75" borderId="0" applyNumberFormat="0" applyBorder="0" applyAlignment="0" applyProtection="0"/>
    <xf numFmtId="244" fontId="127" fillId="51" borderId="0" applyNumberFormat="0" applyBorder="0" applyProtection="0">
      <alignment vertical="top"/>
    </xf>
    <xf numFmtId="244" fontId="127" fillId="51" borderId="0" applyNumberFormat="0" applyBorder="0" applyProtection="0">
      <alignment vertical="top"/>
    </xf>
    <xf numFmtId="244" fontId="127" fillId="51" borderId="0" applyNumberFormat="0" applyBorder="0" applyProtection="0">
      <alignment vertical="top"/>
    </xf>
    <xf numFmtId="244" fontId="40" fillId="65" borderId="0" applyNumberFormat="0" applyBorder="0" applyAlignment="0" applyProtection="0"/>
    <xf numFmtId="0" fontId="40" fillId="65" borderId="0" applyNumberFormat="0" applyBorder="0" applyAlignment="0" applyProtection="0"/>
    <xf numFmtId="244" fontId="40" fillId="65" borderId="0" applyNumberFormat="0" applyBorder="0" applyAlignment="0" applyProtection="0"/>
    <xf numFmtId="0" fontId="40" fillId="65" borderId="0" applyNumberFormat="0" applyBorder="0" applyAlignment="0" applyProtection="0"/>
    <xf numFmtId="244" fontId="40" fillId="69" borderId="0" applyNumberFormat="0" applyBorder="0" applyAlignment="0" applyProtection="0"/>
    <xf numFmtId="0" fontId="40" fillId="69" borderId="0" applyNumberFormat="0" applyBorder="0" applyAlignment="0" applyProtection="0"/>
    <xf numFmtId="244" fontId="40" fillId="69" borderId="0" applyNumberFormat="0" applyBorder="0" applyAlignment="0" applyProtection="0"/>
    <xf numFmtId="0" fontId="40" fillId="69" borderId="0" applyNumberFormat="0" applyBorder="0" applyAlignment="0" applyProtection="0"/>
    <xf numFmtId="244" fontId="41" fillId="69" borderId="0" applyNumberFormat="0" applyBorder="0" applyAlignment="0" applyProtection="0"/>
    <xf numFmtId="0" fontId="41" fillId="69" borderId="0" applyNumberFormat="0" applyBorder="0" applyAlignment="0" applyProtection="0"/>
    <xf numFmtId="244" fontId="127" fillId="24" borderId="0" applyNumberFormat="0" applyBorder="0" applyProtection="0">
      <alignment vertical="top"/>
    </xf>
    <xf numFmtId="244" fontId="127" fillId="24" borderId="0" applyNumberFormat="0" applyBorder="0" applyProtection="0">
      <alignment vertical="top"/>
    </xf>
    <xf numFmtId="244" fontId="127" fillId="24" borderId="0" applyNumberFormat="0" applyBorder="0" applyProtection="0">
      <alignment vertical="top"/>
    </xf>
    <xf numFmtId="244" fontId="42" fillId="0" borderId="0">
      <alignment horizontal="center" wrapText="1"/>
      <protection locked="0"/>
    </xf>
    <xf numFmtId="0" fontId="42" fillId="0" borderId="0">
      <alignment horizontal="center" wrapText="1"/>
      <protection locked="0"/>
    </xf>
    <xf numFmtId="244" fontId="43" fillId="0" borderId="0"/>
    <xf numFmtId="0" fontId="43" fillId="0" borderId="0"/>
    <xf numFmtId="244" fontId="28" fillId="70" borderId="0"/>
    <xf numFmtId="244" fontId="28" fillId="70" borderId="0"/>
    <xf numFmtId="0" fontId="28" fillId="70" borderId="0"/>
    <xf numFmtId="244" fontId="28" fillId="70" borderId="0"/>
    <xf numFmtId="244" fontId="28" fillId="70" borderId="0"/>
    <xf numFmtId="244" fontId="129" fillId="53" borderId="0"/>
    <xf numFmtId="244" fontId="28" fillId="2" borderId="0"/>
    <xf numFmtId="244" fontId="28" fillId="70" borderId="0"/>
    <xf numFmtId="244" fontId="28" fillId="70" borderId="0"/>
    <xf numFmtId="0" fontId="28" fillId="70" borderId="0"/>
    <xf numFmtId="244" fontId="28" fillId="70" borderId="0"/>
    <xf numFmtId="244" fontId="130" fillId="43" borderId="0" applyNumberFormat="0" applyBorder="0" applyProtection="0">
      <alignment vertical="top"/>
    </xf>
    <xf numFmtId="244" fontId="130" fillId="43" borderId="0" applyNumberFormat="0" applyBorder="0" applyProtection="0">
      <alignment vertical="top"/>
    </xf>
    <xf numFmtId="244" fontId="130" fillId="43" borderId="0" applyNumberFormat="0" applyBorder="0" applyProtection="0">
      <alignment vertical="top"/>
    </xf>
    <xf numFmtId="37" fontId="178" fillId="0" borderId="0" applyNumberFormat="0" applyFill="0" applyBorder="0" applyAlignment="0" applyProtection="0"/>
    <xf numFmtId="244" fontId="179" fillId="0" borderId="0" applyNumberFormat="0" applyFill="0" applyBorder="0" applyAlignment="0" applyProtection="0"/>
    <xf numFmtId="0" fontId="179" fillId="0" borderId="0" applyNumberFormat="0" applyFill="0" applyBorder="0" applyAlignment="0" applyProtection="0"/>
    <xf numFmtId="244" fontId="180" fillId="0" borderId="0"/>
    <xf numFmtId="0" fontId="180" fillId="0" borderId="0"/>
    <xf numFmtId="244" fontId="180" fillId="0" borderId="0"/>
    <xf numFmtId="0" fontId="180" fillId="0" borderId="0"/>
    <xf numFmtId="244" fontId="180" fillId="0" borderId="0"/>
    <xf numFmtId="0" fontId="180" fillId="0" borderId="0"/>
    <xf numFmtId="244" fontId="180" fillId="0" borderId="0"/>
    <xf numFmtId="0" fontId="180" fillId="0" borderId="0"/>
    <xf numFmtId="244" fontId="180" fillId="0" borderId="0"/>
    <xf numFmtId="0" fontId="180" fillId="0" borderId="0"/>
    <xf numFmtId="244" fontId="180" fillId="0" borderId="0"/>
    <xf numFmtId="0" fontId="180" fillId="0" borderId="0"/>
    <xf numFmtId="244" fontId="180" fillId="0" borderId="0"/>
    <xf numFmtId="0" fontId="180" fillId="0" borderId="0"/>
    <xf numFmtId="244" fontId="180" fillId="0" borderId="0"/>
    <xf numFmtId="0" fontId="180" fillId="0" borderId="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72" fontId="28" fillId="0" borderId="0" applyFill="0" applyBorder="0" applyAlignment="0"/>
    <xf numFmtId="272"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68" fontId="28" fillId="0" borderId="0" applyFill="0" applyBorder="0" applyAlignment="0"/>
    <xf numFmtId="268"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181" fillId="0" borderId="0"/>
    <xf numFmtId="0" fontId="181" fillId="0" borderId="0"/>
    <xf numFmtId="244" fontId="132" fillId="55" borderId="4" applyNumberFormat="0" applyProtection="0">
      <alignment vertical="top"/>
    </xf>
    <xf numFmtId="244" fontId="132" fillId="55" borderId="4" applyNumberFormat="0" applyProtection="0">
      <alignment vertical="top"/>
    </xf>
    <xf numFmtId="244" fontId="132" fillId="55" borderId="4" applyNumberFormat="0" applyProtection="0">
      <alignment vertical="top"/>
    </xf>
    <xf numFmtId="41" fontId="28" fillId="0" borderId="0" applyFont="0" applyFill="0" applyBorder="0" applyAlignment="0" applyProtection="0"/>
    <xf numFmtId="244" fontId="28" fillId="0" borderId="0" applyFont="0" applyFill="0" applyBorder="0" applyAlignment="0" applyProtection="0"/>
    <xf numFmtId="244" fontId="28" fillId="0" borderId="0" applyFont="0" applyFill="0" applyBorder="0" applyAlignment="0" applyProtection="0"/>
    <xf numFmtId="0" fontId="28" fillId="0" borderId="0" applyFont="0" applyFill="0" applyBorder="0" applyAlignment="0" applyProtection="0"/>
    <xf numFmtId="244" fontId="28" fillId="0" borderId="0" applyFont="0" applyFill="0" applyBorder="0" applyAlignment="0" applyProtection="0"/>
    <xf numFmtId="244" fontId="28" fillId="0" borderId="0" applyFont="0" applyFill="0" applyBorder="0" applyAlignment="0" applyProtection="0"/>
    <xf numFmtId="0" fontId="28" fillId="0" borderId="0" applyFont="0" applyFill="0" applyBorder="0" applyAlignment="0" applyProtection="0"/>
    <xf numFmtId="43" fontId="40" fillId="0" borderId="0" applyFont="0" applyFill="0" applyBorder="0" applyAlignment="0" applyProtection="0"/>
    <xf numFmtId="244" fontId="117" fillId="0" borderId="0" applyFill="0" applyBorder="0" applyProtection="0">
      <alignment vertical="top"/>
    </xf>
    <xf numFmtId="244" fontId="117" fillId="0" borderId="0" applyFill="0" applyBorder="0" applyProtection="0">
      <alignment vertical="top"/>
    </xf>
    <xf numFmtId="43" fontId="4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244" fontId="28" fillId="0" borderId="0" applyFill="0" applyBorder="0" applyProtection="0">
      <alignment vertical="top"/>
    </xf>
    <xf numFmtId="43" fontId="28" fillId="0" borderId="0" applyFont="0" applyFill="0" applyBorder="0" applyAlignment="0" applyProtection="0"/>
    <xf numFmtId="220" fontId="28" fillId="0" borderId="0" applyFill="0" applyBorder="0" applyProtection="0">
      <alignment vertical="top"/>
    </xf>
    <xf numFmtId="43" fontId="4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5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69"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5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7" fontId="28" fillId="0" borderId="0"/>
    <xf numFmtId="7" fontId="28" fillId="0" borderId="0"/>
    <xf numFmtId="244" fontId="57" fillId="0" borderId="0" applyNumberFormat="0" applyAlignment="0">
      <alignment horizontal="left"/>
    </xf>
    <xf numFmtId="0" fontId="57" fillId="0" borderId="0" applyNumberFormat="0" applyAlignment="0">
      <alignment horizontal="left"/>
    </xf>
    <xf numFmtId="244" fontId="182" fillId="0" borderId="0" applyNumberFormat="0" applyAlignment="0"/>
    <xf numFmtId="0" fontId="182" fillId="0" borderId="0" applyNumberFormat="0" applyAlignment="0"/>
    <xf numFmtId="244" fontId="183" fillId="0" borderId="0"/>
    <xf numFmtId="0" fontId="183" fillId="0" borderId="0"/>
    <xf numFmtId="244" fontId="183" fillId="0" borderId="0"/>
    <xf numFmtId="0" fontId="183" fillId="0" borderId="0"/>
    <xf numFmtId="244" fontId="28" fillId="0" borderId="0" applyFont="0" applyFill="0" applyBorder="0" applyAlignment="0" applyProtection="0"/>
    <xf numFmtId="244" fontId="28" fillId="0" borderId="0" applyFont="0" applyFill="0" applyBorder="0" applyAlignment="0" applyProtection="0"/>
    <xf numFmtId="0" fontId="28" fillId="0" borderId="0" applyFont="0" applyFill="0" applyBorder="0" applyAlignment="0" applyProtection="0"/>
    <xf numFmtId="244" fontId="28" fillId="0" borderId="0" applyFont="0" applyFill="0" applyBorder="0" applyAlignment="0" applyProtection="0"/>
    <xf numFmtId="244" fontId="28" fillId="0" borderId="0" applyFont="0" applyFill="0" applyBorder="0" applyAlignment="0" applyProtection="0"/>
    <xf numFmtId="0" fontId="28" fillId="0" borderId="0" applyFont="0" applyFill="0" applyBorder="0" applyAlignment="0" applyProtection="0"/>
    <xf numFmtId="244" fontId="28" fillId="0" borderId="0" applyFont="0" applyFill="0" applyBorder="0" applyAlignment="0" applyProtection="0"/>
    <xf numFmtId="244" fontId="28" fillId="0" borderId="0" applyFont="0" applyFill="0" applyBorder="0" applyAlignment="0" applyProtection="0"/>
    <xf numFmtId="0" fontId="28" fillId="0" borderId="0" applyFont="0" applyFill="0" applyBorder="0" applyAlignment="0" applyProtection="0"/>
    <xf numFmtId="244" fontId="28" fillId="0" borderId="0" applyFont="0" applyFill="0" applyBorder="0" applyAlignment="0" applyProtection="0"/>
    <xf numFmtId="244" fontId="28" fillId="0" borderId="0" applyFont="0" applyFill="0" applyBorder="0" applyAlignment="0" applyProtection="0"/>
    <xf numFmtId="0" fontId="28" fillId="0" borderId="0" applyFont="0" applyFill="0" applyBorder="0" applyAlignment="0" applyProtection="0"/>
    <xf numFmtId="244" fontId="180" fillId="0" borderId="0"/>
    <xf numFmtId="0" fontId="180" fillId="0" borderId="0"/>
    <xf numFmtId="235" fontId="28" fillId="41" borderId="0" applyFont="0" applyBorder="0"/>
    <xf numFmtId="235" fontId="28" fillId="41" borderId="0" applyFont="0" applyBorder="0"/>
    <xf numFmtId="235" fontId="28" fillId="41" borderId="0" applyFont="0" applyBorder="0"/>
    <xf numFmtId="235" fontId="28" fillId="3" borderId="0" applyBorder="0"/>
    <xf numFmtId="235" fontId="28" fillId="41" borderId="0" applyFont="0" applyBorder="0"/>
    <xf numFmtId="235" fontId="28" fillId="41" borderId="0" applyFont="0" applyBorder="0"/>
    <xf numFmtId="235" fontId="28" fillId="41" borderId="0" applyFont="0" applyBorder="0"/>
    <xf numFmtId="235" fontId="28" fillId="41" borderId="0" applyFont="0" applyBorder="0"/>
    <xf numFmtId="235" fontId="28" fillId="41" borderId="0" applyFont="0" applyBorder="0"/>
    <xf numFmtId="235" fontId="28" fillId="41" borderId="0" applyFont="0" applyBorder="0"/>
    <xf numFmtId="235" fontId="28" fillId="41" borderId="0" applyFont="0" applyBorder="0"/>
    <xf numFmtId="235" fontId="28" fillId="41" borderId="0" applyFont="0" applyBorder="0"/>
    <xf numFmtId="235" fontId="28" fillId="41" borderId="0" applyFont="0" applyBorder="0"/>
    <xf numFmtId="0" fontId="179" fillId="0" borderId="1"/>
    <xf numFmtId="0" fontId="63" fillId="74" borderId="1"/>
    <xf numFmtId="244" fontId="28" fillId="41" borderId="0">
      <alignment horizontal="center" vertical="top" wrapText="1"/>
    </xf>
    <xf numFmtId="244" fontId="28" fillId="41" borderId="0">
      <alignment horizontal="center" vertical="top" wrapText="1"/>
    </xf>
    <xf numFmtId="0" fontId="28" fillId="41" borderId="0">
      <alignment horizontal="center" vertical="top" wrapText="1"/>
    </xf>
    <xf numFmtId="244" fontId="28" fillId="41" borderId="0">
      <alignment horizontal="center" vertical="top" wrapText="1"/>
    </xf>
    <xf numFmtId="244" fontId="28" fillId="41" borderId="0">
      <alignment horizontal="center" vertical="top" wrapText="1"/>
    </xf>
    <xf numFmtId="244" fontId="129" fillId="54" borderId="0">
      <alignment horizontal="center" vertical="top" wrapText="1"/>
    </xf>
    <xf numFmtId="244" fontId="28" fillId="3" borderId="0">
      <alignment horizontal="center" vertical="top" wrapText="1"/>
    </xf>
    <xf numFmtId="244" fontId="28" fillId="41" borderId="0">
      <alignment horizontal="center" vertical="top" wrapText="1"/>
    </xf>
    <xf numFmtId="244" fontId="28" fillId="41" borderId="0">
      <alignment horizontal="center" vertical="top" wrapText="1"/>
    </xf>
    <xf numFmtId="0" fontId="28" fillId="41" borderId="0">
      <alignment horizontal="center" vertical="top" wrapText="1"/>
    </xf>
    <xf numFmtId="244" fontId="28" fillId="41" borderId="0">
      <alignment horizontal="center" vertical="top" wrapText="1"/>
    </xf>
    <xf numFmtId="8" fontId="28" fillId="0" borderId="0" applyFill="0" applyBorder="0" applyAlignment="0" applyProtection="0"/>
    <xf numFmtId="6" fontId="28" fillId="0" borderId="0" applyFill="0" applyBorder="0" applyAlignment="0" applyProtection="0"/>
    <xf numFmtId="6" fontId="28" fillId="0" borderId="0" applyFill="0" applyBorder="0" applyAlignment="0" applyProtection="0"/>
    <xf numFmtId="8" fontId="28" fillId="0" borderId="0" applyFill="0" applyBorder="0" applyAlignment="0" applyProtection="0"/>
    <xf numFmtId="244" fontId="28" fillId="0" borderId="6" applyNumberFormat="0" applyFill="0" applyProtection="0">
      <alignment vertical="top"/>
    </xf>
    <xf numFmtId="0" fontId="63" fillId="74" borderId="1"/>
    <xf numFmtId="0" fontId="63" fillId="74" borderId="1"/>
    <xf numFmtId="244" fontId="179" fillId="0" borderId="0" applyNumberFormat="0" applyFill="0" applyBorder="0" applyAlignment="0" applyProtection="0"/>
    <xf numFmtId="0" fontId="179" fillId="0" borderId="0" applyNumberFormat="0" applyFill="0" applyBorder="0" applyAlignment="0" applyProtection="0"/>
    <xf numFmtId="0" fontId="52" fillId="0" borderId="30"/>
    <xf numFmtId="244" fontId="64" fillId="77" borderId="0" applyNumberFormat="0" applyBorder="0" applyAlignment="0" applyProtection="0"/>
    <xf numFmtId="0" fontId="64" fillId="77" borderId="0" applyNumberFormat="0" applyBorder="0" applyAlignment="0" applyProtection="0"/>
    <xf numFmtId="244" fontId="64" fillId="78" borderId="0" applyNumberFormat="0" applyBorder="0" applyAlignment="0" applyProtection="0"/>
    <xf numFmtId="0" fontId="64" fillId="78" borderId="0" applyNumberFormat="0" applyBorder="0" applyAlignment="0" applyProtection="0"/>
    <xf numFmtId="244" fontId="64" fillId="79" borderId="0" applyNumberFormat="0" applyBorder="0" applyAlignment="0" applyProtection="0"/>
    <xf numFmtId="0" fontId="64" fillId="79" borderId="0" applyNumberFormat="0" applyBorder="0" applyAlignment="0" applyProtection="0"/>
    <xf numFmtId="244" fontId="65" fillId="80" borderId="0"/>
    <xf numFmtId="0" fontId="65" fillId="80" borderId="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68" fontId="28" fillId="0" borderId="0" applyFill="0" applyBorder="0" applyAlignment="0"/>
    <xf numFmtId="268"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66" fillId="0" borderId="0" applyNumberFormat="0" applyAlignment="0">
      <alignment horizontal="left"/>
    </xf>
    <xf numFmtId="0" fontId="66" fillId="0" borderId="0" applyNumberFormat="0" applyAlignment="0">
      <alignment horizontal="left"/>
    </xf>
    <xf numFmtId="244" fontId="28" fillId="0" borderId="0" applyFont="0" applyFill="0" applyBorder="0" applyAlignment="0" applyProtection="0"/>
    <xf numFmtId="244" fontId="28" fillId="0" borderId="0" applyFont="0" applyFill="0" applyBorder="0" applyAlignment="0" applyProtection="0"/>
    <xf numFmtId="244" fontId="28" fillId="0" borderId="0" applyFont="0" applyFill="0" applyBorder="0" applyAlignment="0" applyProtection="0"/>
    <xf numFmtId="275" fontId="28" fillId="0" borderId="0" applyFont="0" applyFill="0" applyBorder="0" applyAlignment="0" applyProtection="0"/>
    <xf numFmtId="275" fontId="28" fillId="0" borderId="0" applyFont="0" applyFill="0" applyBorder="0" applyAlignment="0" applyProtection="0"/>
    <xf numFmtId="244" fontId="28" fillId="0" borderId="0" applyFont="0" applyFill="0" applyBorder="0" applyAlignment="0" applyProtection="0"/>
    <xf numFmtId="244" fontId="28" fillId="0" borderId="0" applyFont="0" applyFill="0" applyBorder="0" applyAlignment="0" applyProtection="0"/>
    <xf numFmtId="244" fontId="28" fillId="0" borderId="0" applyFont="0" applyFill="0" applyBorder="0" applyAlignment="0" applyProtection="0"/>
    <xf numFmtId="244" fontId="117" fillId="0" borderId="0" applyFill="0" applyBorder="0" applyProtection="0">
      <alignment vertical="top"/>
    </xf>
    <xf numFmtId="244" fontId="117" fillId="0" borderId="0" applyFill="0" applyBorder="0" applyProtection="0">
      <alignment vertical="top"/>
    </xf>
    <xf numFmtId="244" fontId="28" fillId="0" borderId="0" applyFont="0" applyFill="0" applyBorder="0" applyAlignment="0" applyProtection="0"/>
    <xf numFmtId="244" fontId="28" fillId="0" borderId="0" applyFont="0" applyFill="0" applyBorder="0" applyAlignment="0" applyProtection="0"/>
    <xf numFmtId="244" fontId="28" fillId="0" borderId="0" applyFont="0" applyFill="0" applyBorder="0" applyAlignment="0" applyProtection="0"/>
    <xf numFmtId="275" fontId="28" fillId="0" borderId="0" applyFont="0" applyFill="0" applyBorder="0" applyAlignment="0" applyProtection="0"/>
    <xf numFmtId="275" fontId="28" fillId="0" borderId="0" applyFont="0" applyFill="0" applyBorder="0" applyAlignment="0" applyProtection="0"/>
    <xf numFmtId="244" fontId="134" fillId="0" borderId="0" applyNumberFormat="0" applyFill="0" applyBorder="0" applyProtection="0">
      <alignment vertical="top"/>
    </xf>
    <xf numFmtId="244" fontId="134" fillId="0" borderId="0" applyNumberFormat="0" applyFill="0" applyBorder="0" applyProtection="0">
      <alignment vertical="top"/>
    </xf>
    <xf numFmtId="244" fontId="134" fillId="0" borderId="0" applyNumberFormat="0" applyFill="0" applyBorder="0" applyProtection="0">
      <alignment vertical="top"/>
    </xf>
    <xf numFmtId="244" fontId="68" fillId="0" borderId="0" applyProtection="0"/>
    <xf numFmtId="0" fontId="68" fillId="0" borderId="0" applyProtection="0"/>
    <xf numFmtId="244" fontId="69" fillId="0" borderId="0" applyProtection="0"/>
    <xf numFmtId="0" fontId="69" fillId="0" borderId="0" applyProtection="0"/>
    <xf numFmtId="244" fontId="70" fillId="0" borderId="0" applyProtection="0"/>
    <xf numFmtId="0" fontId="70" fillId="0" borderId="0" applyProtection="0"/>
    <xf numFmtId="244" fontId="71" fillId="0" borderId="0" applyProtection="0"/>
    <xf numFmtId="0" fontId="71" fillId="0" borderId="0" applyProtection="0"/>
    <xf numFmtId="244" fontId="28" fillId="0" borderId="0" applyNumberFormat="0" applyFill="0" applyBorder="0" applyProtection="0">
      <alignment vertical="top"/>
    </xf>
    <xf numFmtId="244" fontId="184" fillId="0" borderId="0" applyNumberFormat="0" applyFont="0" applyFill="0" applyBorder="0" applyAlignment="0" applyProtection="0"/>
    <xf numFmtId="0" fontId="184" fillId="0" borderId="0" applyNumberFormat="0" applyFont="0" applyFill="0" applyBorder="0" applyAlignment="0" applyProtection="0"/>
    <xf numFmtId="244" fontId="72" fillId="0" borderId="0" applyProtection="0"/>
    <xf numFmtId="0" fontId="72" fillId="0" borderId="0" applyProtection="0"/>
    <xf numFmtId="244" fontId="73" fillId="0" borderId="0" applyProtection="0"/>
    <xf numFmtId="0" fontId="73" fillId="0" borderId="0" applyProtection="0"/>
    <xf numFmtId="221" fontId="28" fillId="0" borderId="0">
      <protection locked="0"/>
    </xf>
    <xf numFmtId="221" fontId="28" fillId="0" borderId="0">
      <protection locked="0"/>
    </xf>
    <xf numFmtId="244" fontId="74" fillId="0" borderId="0" applyFill="0" applyBorder="0" applyProtection="0">
      <alignment horizontal="left"/>
    </xf>
    <xf numFmtId="0" fontId="74" fillId="0" borderId="0" applyFill="0" applyBorder="0" applyProtection="0">
      <alignment horizontal="left"/>
    </xf>
    <xf numFmtId="0" fontId="75" fillId="74" borderId="8"/>
    <xf numFmtId="0" fontId="75" fillId="74" borderId="1"/>
    <xf numFmtId="0" fontId="75" fillId="81" borderId="1"/>
    <xf numFmtId="244" fontId="135" fillId="6" borderId="0" applyNumberFormat="0" applyBorder="0" applyProtection="0">
      <alignment vertical="top"/>
    </xf>
    <xf numFmtId="244" fontId="135" fillId="6" borderId="0" applyNumberFormat="0" applyBorder="0" applyProtection="0">
      <alignment vertical="top"/>
    </xf>
    <xf numFmtId="244" fontId="135" fillId="6" borderId="0" applyNumberFormat="0" applyBorder="0" applyProtection="0">
      <alignment vertical="top"/>
    </xf>
    <xf numFmtId="244" fontId="28" fillId="0" borderId="0" applyNumberFormat="0" applyBorder="0">
      <alignment vertical="top"/>
    </xf>
    <xf numFmtId="244" fontId="185" fillId="0" borderId="0" applyNumberFormat="0" applyFont="0" applyBorder="0" applyAlignment="0">
      <alignment horizontal="left" vertical="center"/>
    </xf>
    <xf numFmtId="0" fontId="185" fillId="0" borderId="0" applyNumberFormat="0" applyFont="0" applyBorder="0" applyAlignment="0">
      <alignment horizontal="left" vertical="center"/>
    </xf>
    <xf numFmtId="244" fontId="186" fillId="0" borderId="0">
      <alignment horizontal="left"/>
    </xf>
    <xf numFmtId="0" fontId="186" fillId="0" borderId="0">
      <alignment horizontal="left"/>
    </xf>
    <xf numFmtId="244" fontId="79" fillId="0" borderId="9" applyNumberFormat="0" applyProtection="0">
      <alignment vertical="top"/>
    </xf>
    <xf numFmtId="244" fontId="79" fillId="0" borderId="9" applyNumberFormat="0" applyProtection="0">
      <alignment vertical="top"/>
    </xf>
    <xf numFmtId="244" fontId="79" fillId="0" borderId="100" applyNumberFormat="0" applyAlignment="0" applyProtection="0">
      <alignment horizontal="left" vertical="center"/>
    </xf>
    <xf numFmtId="0" fontId="79" fillId="0" borderId="100" applyNumberFormat="0" applyAlignment="0" applyProtection="0">
      <alignment horizontal="left" vertical="center"/>
    </xf>
    <xf numFmtId="0" fontId="79" fillId="0" borderId="33">
      <alignment horizontal="left" vertical="center"/>
    </xf>
    <xf numFmtId="244" fontId="79" fillId="0" borderId="0"/>
    <xf numFmtId="0" fontId="79" fillId="0" borderId="0"/>
    <xf numFmtId="244" fontId="136" fillId="0" borderId="11" applyNumberFormat="0" applyFill="0" applyProtection="0">
      <alignment vertical="top"/>
    </xf>
    <xf numFmtId="244" fontId="136" fillId="0" borderId="11" applyNumberFormat="0" applyFill="0" applyProtection="0">
      <alignment vertical="top"/>
    </xf>
    <xf numFmtId="244" fontId="136" fillId="0" borderId="11" applyNumberFormat="0" applyFill="0" applyProtection="0">
      <alignment vertical="top"/>
    </xf>
    <xf numFmtId="244" fontId="137" fillId="0" borderId="12" applyNumberFormat="0" applyFill="0" applyProtection="0">
      <alignment vertical="top"/>
    </xf>
    <xf numFmtId="244" fontId="137" fillId="0" borderId="12" applyNumberFormat="0" applyFill="0" applyProtection="0">
      <alignment vertical="top"/>
    </xf>
    <xf numFmtId="244" fontId="137" fillId="0" borderId="12" applyNumberFormat="0" applyFill="0" applyProtection="0">
      <alignment vertical="top"/>
    </xf>
    <xf numFmtId="244" fontId="138" fillId="0" borderId="13" applyNumberFormat="0" applyFill="0" applyProtection="0">
      <alignment vertical="top"/>
    </xf>
    <xf numFmtId="244" fontId="138" fillId="0" borderId="13" applyNumberFormat="0" applyFill="0" applyProtection="0">
      <alignment vertical="top"/>
    </xf>
    <xf numFmtId="244" fontId="138" fillId="0" borderId="13" applyNumberFormat="0" applyFill="0" applyProtection="0">
      <alignment vertical="top"/>
    </xf>
    <xf numFmtId="244" fontId="138" fillId="0" borderId="0" applyNumberFormat="0" applyFill="0" applyBorder="0" applyProtection="0">
      <alignment vertical="top"/>
    </xf>
    <xf numFmtId="244" fontId="138" fillId="0" borderId="0" applyNumberFormat="0" applyFill="0" applyBorder="0" applyProtection="0">
      <alignment vertical="top"/>
    </xf>
    <xf numFmtId="244" fontId="138" fillId="0" borderId="0" applyNumberFormat="0" applyFill="0" applyBorder="0" applyProtection="0">
      <alignment vertical="top"/>
    </xf>
    <xf numFmtId="247" fontId="28" fillId="0" borderId="0">
      <protection locked="0"/>
    </xf>
    <xf numFmtId="247" fontId="28" fillId="0" borderId="0">
      <protection locked="0"/>
    </xf>
    <xf numFmtId="247" fontId="28" fillId="0" borderId="0">
      <protection locked="0"/>
    </xf>
    <xf numFmtId="247" fontId="28" fillId="0" borderId="0">
      <protection locked="0"/>
    </xf>
    <xf numFmtId="247" fontId="28" fillId="0" borderId="0">
      <protection locked="0"/>
    </xf>
    <xf numFmtId="247" fontId="28" fillId="0" borderId="0">
      <protection locked="0"/>
    </xf>
    <xf numFmtId="244" fontId="187" fillId="0" borderId="0" applyFill="0" applyBorder="0" applyProtection="0">
      <alignment horizontal="right"/>
    </xf>
    <xf numFmtId="0" fontId="187" fillId="0" borderId="0" applyFill="0" applyBorder="0" applyProtection="0">
      <alignment horizontal="right"/>
    </xf>
    <xf numFmtId="244" fontId="188" fillId="0" borderId="0" applyNumberFormat="0" applyFill="0" applyBorder="0" applyAlignment="0" applyProtection="0">
      <alignment vertical="top"/>
      <protection locked="0"/>
    </xf>
    <xf numFmtId="0" fontId="189" fillId="0" borderId="0" applyNumberFormat="0" applyFill="0" applyBorder="0" applyAlignment="0" applyProtection="0">
      <alignment vertical="top"/>
      <protection locked="0"/>
    </xf>
    <xf numFmtId="0" fontId="188" fillId="0" borderId="0" applyNumberFormat="0" applyFill="0" applyBorder="0" applyAlignment="0" applyProtection="0">
      <alignment vertical="top"/>
      <protection locked="0"/>
    </xf>
    <xf numFmtId="244" fontId="86" fillId="0" borderId="0"/>
    <xf numFmtId="0" fontId="86" fillId="0" borderId="0"/>
    <xf numFmtId="276" fontId="28" fillId="0" borderId="0"/>
    <xf numFmtId="276" fontId="28" fillId="0" borderId="0"/>
    <xf numFmtId="276" fontId="28" fillId="0" borderId="0"/>
    <xf numFmtId="276" fontId="28" fillId="0" borderId="0"/>
    <xf numFmtId="277" fontId="28" fillId="0" borderId="0">
      <alignment horizontal="center"/>
    </xf>
    <xf numFmtId="277" fontId="28" fillId="0" borderId="0">
      <alignment horizontal="center"/>
    </xf>
    <xf numFmtId="0" fontId="190" fillId="82" borderId="1"/>
    <xf numFmtId="244" fontId="53" fillId="0" borderId="0"/>
    <xf numFmtId="0" fontId="53" fillId="0" borderId="0"/>
    <xf numFmtId="244" fontId="53" fillId="0" borderId="0"/>
    <xf numFmtId="0" fontId="53" fillId="0" borderId="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68" fontId="28" fillId="0" borderId="0" applyFill="0" applyBorder="0" applyAlignment="0"/>
    <xf numFmtId="268"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28" fillId="0" borderId="0" applyFill="0" applyBorder="0" applyAlignment="0"/>
    <xf numFmtId="0" fontId="28" fillId="0" borderId="0" applyFill="0" applyBorder="0" applyAlignment="0"/>
    <xf numFmtId="244" fontId="28" fillId="0" borderId="0" applyFill="0" applyBorder="0" applyAlignment="0"/>
    <xf numFmtId="244" fontId="140" fillId="0" borderId="14" applyNumberFormat="0" applyFill="0" applyProtection="0">
      <alignment vertical="top"/>
    </xf>
    <xf numFmtId="244" fontId="140" fillId="0" borderId="14" applyNumberFormat="0" applyFill="0" applyProtection="0">
      <alignment vertical="top"/>
    </xf>
    <xf numFmtId="244" fontId="140" fillId="0" borderId="14" applyNumberFormat="0" applyFill="0" applyProtection="0">
      <alignment vertical="top"/>
    </xf>
    <xf numFmtId="244" fontId="44" fillId="0" borderId="0">
      <alignment vertical="justify"/>
    </xf>
    <xf numFmtId="0" fontId="44" fillId="0" borderId="0">
      <alignment vertical="justify"/>
    </xf>
    <xf numFmtId="244" fontId="191" fillId="0" borderId="49"/>
    <xf numFmtId="0" fontId="191" fillId="0" borderId="49"/>
    <xf numFmtId="244" fontId="28" fillId="0" borderId="0" applyNumberFormat="0" applyFill="0" applyBorder="0" applyProtection="0">
      <alignment vertical="top"/>
    </xf>
    <xf numFmtId="4" fontId="92" fillId="0" borderId="90" applyBorder="0"/>
    <xf numFmtId="4" fontId="92" fillId="0" borderId="90" applyBorder="0"/>
    <xf numFmtId="4" fontId="92" fillId="0" borderId="90" applyBorder="0"/>
    <xf numFmtId="4" fontId="92" fillId="0" borderId="90" applyBorder="0"/>
    <xf numFmtId="4" fontId="92" fillId="0" borderId="90" applyBorder="0"/>
    <xf numFmtId="4" fontId="92" fillId="0" borderId="90" applyBorder="0"/>
    <xf numFmtId="4" fontId="92" fillId="0" borderId="90" applyBorder="0"/>
    <xf numFmtId="4" fontId="92" fillId="0" borderId="90" applyBorder="0"/>
    <xf numFmtId="4" fontId="92" fillId="0" borderId="90" applyBorder="0"/>
    <xf numFmtId="4" fontId="92" fillId="0" borderId="90" applyBorder="0"/>
    <xf numFmtId="4" fontId="92" fillId="0" borderId="90" applyBorder="0"/>
    <xf numFmtId="4" fontId="92" fillId="0" borderId="90" applyBorder="0"/>
    <xf numFmtId="4" fontId="92" fillId="0" borderId="90" applyBorder="0"/>
    <xf numFmtId="4" fontId="92" fillId="0" borderId="90" applyBorder="0"/>
    <xf numFmtId="4" fontId="92" fillId="0" borderId="90" applyBorder="0"/>
    <xf numFmtId="4" fontId="92" fillId="0" borderId="90" applyBorder="0"/>
    <xf numFmtId="4" fontId="92" fillId="0" borderId="90" applyBorder="0"/>
    <xf numFmtId="4" fontId="92" fillId="0" borderId="90" applyBorder="0"/>
    <xf numFmtId="4" fontId="92" fillId="0" borderId="90" applyBorder="0"/>
    <xf numFmtId="244" fontId="28" fillId="0" borderId="0" applyNumberFormat="0" applyFill="0">
      <alignment vertical="top"/>
    </xf>
    <xf numFmtId="244" fontId="49" fillId="0" borderId="0" applyNumberFormat="0" applyFont="0" applyFill="0" applyAlignment="0"/>
    <xf numFmtId="0" fontId="49" fillId="0" borderId="0" applyNumberFormat="0" applyFont="0" applyFill="0" applyAlignment="0"/>
    <xf numFmtId="244" fontId="28" fillId="0" borderId="0" applyNumberFormat="0" applyFill="0" applyBorder="0" applyProtection="0">
      <alignment vertical="top"/>
    </xf>
    <xf numFmtId="244" fontId="141" fillId="32" borderId="0" applyNumberFormat="0" applyBorder="0" applyProtection="0">
      <alignment vertical="top"/>
    </xf>
    <xf numFmtId="244" fontId="141" fillId="32" borderId="0" applyNumberFormat="0" applyBorder="0" applyProtection="0">
      <alignment vertical="top"/>
    </xf>
    <xf numFmtId="244" fontId="141" fillId="32" borderId="0" applyNumberFormat="0" applyBorder="0" applyProtection="0">
      <alignment vertical="top"/>
    </xf>
    <xf numFmtId="244" fontId="60" fillId="0" borderId="0"/>
    <xf numFmtId="0" fontId="60" fillId="0" borderId="0"/>
    <xf numFmtId="244" fontId="192" fillId="0" borderId="0" applyNumberFormat="0"/>
    <xf numFmtId="244" fontId="28" fillId="0" borderId="0">
      <alignment vertical="top"/>
    </xf>
    <xf numFmtId="244" fontId="193" fillId="0" borderId="29" applyNumberFormat="0" applyFont="0" applyFill="0" applyBorder="0" applyAlignment="0">
      <alignment horizontal="center"/>
    </xf>
    <xf numFmtId="0" fontId="193" fillId="0" borderId="29" applyNumberFormat="0" applyFont="0" applyFill="0" applyBorder="0" applyAlignment="0">
      <alignment horizontal="center"/>
    </xf>
    <xf numFmtId="244" fontId="194" fillId="0" borderId="0"/>
    <xf numFmtId="244" fontId="194" fillId="0" borderId="0"/>
    <xf numFmtId="244" fontId="180" fillId="0" borderId="0"/>
    <xf numFmtId="0" fontId="180" fillId="0" borderId="0"/>
    <xf numFmtId="244" fontId="180" fillId="0" borderId="0"/>
    <xf numFmtId="0" fontId="180" fillId="0" borderId="0"/>
    <xf numFmtId="244" fontId="180" fillId="0" borderId="0"/>
    <xf numFmtId="0" fontId="180" fillId="0" borderId="0"/>
    <xf numFmtId="244" fontId="180" fillId="0" borderId="0"/>
    <xf numFmtId="0" fontId="180" fillId="0" borderId="0"/>
    <xf numFmtId="244" fontId="180" fillId="0" borderId="0"/>
    <xf numFmtId="0" fontId="180" fillId="0" borderId="0"/>
    <xf numFmtId="244" fontId="180" fillId="0" borderId="0"/>
    <xf numFmtId="0" fontId="180" fillId="0" borderId="0"/>
    <xf numFmtId="244" fontId="180" fillId="0" borderId="0"/>
    <xf numFmtId="0" fontId="180" fillId="0" borderId="0"/>
    <xf numFmtId="244" fontId="195" fillId="0" borderId="0"/>
    <xf numFmtId="0" fontId="195" fillId="0" borderId="0"/>
    <xf numFmtId="244" fontId="129" fillId="0" borderId="0"/>
    <xf numFmtId="244" fontId="49" fillId="0" borderId="0"/>
    <xf numFmtId="0" fontId="49" fillId="0" borderId="0"/>
    <xf numFmtId="244" fontId="28" fillId="0" borderId="0"/>
    <xf numFmtId="0" fontId="28" fillId="0" borderId="0"/>
    <xf numFmtId="244" fontId="28" fillId="0" borderId="0"/>
    <xf numFmtId="0" fontId="28" fillId="0" borderId="0"/>
    <xf numFmtId="244" fontId="28" fillId="0" borderId="0"/>
    <xf numFmtId="244" fontId="28" fillId="0" borderId="0"/>
    <xf numFmtId="244" fontId="28" fillId="0" borderId="0"/>
    <xf numFmtId="244" fontId="28" fillId="0" borderId="0"/>
    <xf numFmtId="0" fontId="28" fillId="0" borderId="0"/>
    <xf numFmtId="244" fontId="28" fillId="0" borderId="0"/>
    <xf numFmtId="244" fontId="28" fillId="0" borderId="0"/>
    <xf numFmtId="244" fontId="28" fillId="0" borderId="0"/>
    <xf numFmtId="0" fontId="28" fillId="0" borderId="0"/>
    <xf numFmtId="244" fontId="28" fillId="0" borderId="0"/>
    <xf numFmtId="244" fontId="28" fillId="0" borderId="0"/>
    <xf numFmtId="244" fontId="28" fillId="0" borderId="0"/>
    <xf numFmtId="0" fontId="28" fillId="0" borderId="0"/>
    <xf numFmtId="244" fontId="28" fillId="0" borderId="0"/>
    <xf numFmtId="244" fontId="129" fillId="0" borderId="0"/>
    <xf numFmtId="244" fontId="97" fillId="0" borderId="0">
      <alignment vertical="center"/>
    </xf>
    <xf numFmtId="0" fontId="97" fillId="0" borderId="0">
      <alignment vertical="center"/>
    </xf>
    <xf numFmtId="244" fontId="196" fillId="0" borderId="0">
      <alignment vertical="center"/>
    </xf>
    <xf numFmtId="244" fontId="28" fillId="0" borderId="0"/>
    <xf numFmtId="244" fontId="125" fillId="0" borderId="0"/>
    <xf numFmtId="244" fontId="28" fillId="0" borderId="0"/>
    <xf numFmtId="244" fontId="118" fillId="0" borderId="0"/>
    <xf numFmtId="244" fontId="118" fillId="0" borderId="0"/>
    <xf numFmtId="0" fontId="118" fillId="0" borderId="0"/>
    <xf numFmtId="244" fontId="28" fillId="0" borderId="0">
      <alignment vertical="top"/>
    </xf>
    <xf numFmtId="244" fontId="28" fillId="0" borderId="0">
      <alignment vertical="top"/>
    </xf>
    <xf numFmtId="244" fontId="170" fillId="0" borderId="0">
      <alignment vertical="center"/>
    </xf>
    <xf numFmtId="244" fontId="34" fillId="0" borderId="0">
      <alignment vertical="center"/>
    </xf>
    <xf numFmtId="244" fontId="28" fillId="0" borderId="0"/>
    <xf numFmtId="0" fontId="17" fillId="0" borderId="0"/>
    <xf numFmtId="0" fontId="17" fillId="0" borderId="0"/>
    <xf numFmtId="244" fontId="28" fillId="0" borderId="0"/>
    <xf numFmtId="244" fontId="28" fillId="0" borderId="0"/>
    <xf numFmtId="244" fontId="28" fillId="0" borderId="0"/>
    <xf numFmtId="244" fontId="169" fillId="0" borderId="0"/>
    <xf numFmtId="244" fontId="17" fillId="0" borderId="0"/>
    <xf numFmtId="244" fontId="17" fillId="0" borderId="0"/>
    <xf numFmtId="244" fontId="40" fillId="0" borderId="0"/>
    <xf numFmtId="244" fontId="17" fillId="0" borderId="0"/>
    <xf numFmtId="244" fontId="40" fillId="0" borderId="0"/>
    <xf numFmtId="244" fontId="169"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28" fillId="0" borderId="0"/>
    <xf numFmtId="0" fontId="28" fillId="0" borderId="0"/>
    <xf numFmtId="244" fontId="28" fillId="0" borderId="0"/>
    <xf numFmtId="0" fontId="28" fillId="0" borderId="0"/>
    <xf numFmtId="244" fontId="28" fillId="0" borderId="0"/>
    <xf numFmtId="244" fontId="28" fillId="0" borderId="0"/>
    <xf numFmtId="244" fontId="49" fillId="0" borderId="0"/>
    <xf numFmtId="244" fontId="49" fillId="0" borderId="0"/>
    <xf numFmtId="244" fontId="49" fillId="0" borderId="0"/>
    <xf numFmtId="0" fontId="49" fillId="0" borderId="0"/>
    <xf numFmtId="0" fontId="49" fillId="0" borderId="0"/>
    <xf numFmtId="244" fontId="28"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29" fillId="0" borderId="0"/>
    <xf numFmtId="244" fontId="129" fillId="0" borderId="0"/>
    <xf numFmtId="244" fontId="98" fillId="0" borderId="0"/>
    <xf numFmtId="0" fontId="98" fillId="0" borderId="0"/>
    <xf numFmtId="244" fontId="28" fillId="0" borderId="0">
      <alignment vertical="top"/>
    </xf>
    <xf numFmtId="0" fontId="28" fillId="0" borderId="0">
      <alignment vertical="top"/>
    </xf>
    <xf numFmtId="244" fontId="28" fillId="0" borderId="0">
      <alignment vertical="top"/>
    </xf>
    <xf numFmtId="244" fontId="40" fillId="0" borderId="0"/>
    <xf numFmtId="244" fontId="40" fillId="0" borderId="0"/>
    <xf numFmtId="244" fontId="40" fillId="0" borderId="0"/>
    <xf numFmtId="244" fontId="40" fillId="0" borderId="0"/>
    <xf numFmtId="0" fontId="17" fillId="0" borderId="0"/>
    <xf numFmtId="244" fontId="40" fillId="0" borderId="0"/>
    <xf numFmtId="244" fontId="40" fillId="0" borderId="0"/>
    <xf numFmtId="244" fontId="28" fillId="0" borderId="0">
      <alignment vertical="top"/>
    </xf>
    <xf numFmtId="0" fontId="28" fillId="0" borderId="0">
      <alignment vertical="top"/>
    </xf>
    <xf numFmtId="0" fontId="28" fillId="0" borderId="0">
      <alignment vertical="top"/>
    </xf>
    <xf numFmtId="244" fontId="125" fillId="0" borderId="0"/>
    <xf numFmtId="244" fontId="125" fillId="0" borderId="0"/>
    <xf numFmtId="244" fontId="99" fillId="0" borderId="0"/>
    <xf numFmtId="0" fontId="99" fillId="0" borderId="0"/>
    <xf numFmtId="244" fontId="125" fillId="0" borderId="0"/>
    <xf numFmtId="244" fontId="40" fillId="0" borderId="0"/>
    <xf numFmtId="0" fontId="17" fillId="0" borderId="0"/>
    <xf numFmtId="244" fontId="125" fillId="0" borderId="0"/>
    <xf numFmtId="244" fontId="28" fillId="0" borderId="0"/>
    <xf numFmtId="244" fontId="125" fillId="0" borderId="0"/>
    <xf numFmtId="244" fontId="125" fillId="0" borderId="0"/>
    <xf numFmtId="244" fontId="125" fillId="0" borderId="0"/>
    <xf numFmtId="244" fontId="125" fillId="0" borderId="0"/>
    <xf numFmtId="244" fontId="125" fillId="0" borderId="0"/>
    <xf numFmtId="244" fontId="125" fillId="0" borderId="0"/>
    <xf numFmtId="244" fontId="17"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56" fillId="0" borderId="0"/>
    <xf numFmtId="244" fontId="17" fillId="0" borderId="0"/>
    <xf numFmtId="244" fontId="17" fillId="0" borderId="0"/>
    <xf numFmtId="244" fontId="17"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40"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40" fillId="0" borderId="0"/>
    <xf numFmtId="244" fontId="17" fillId="0" borderId="0"/>
    <xf numFmtId="244" fontId="40" fillId="0" borderId="0"/>
    <xf numFmtId="244" fontId="17" fillId="0" borderId="0"/>
    <xf numFmtId="244" fontId="17" fillId="0" borderId="0"/>
    <xf numFmtId="244" fontId="17" fillId="0" borderId="0"/>
    <xf numFmtId="244" fontId="56" fillId="0" borderId="0"/>
    <xf numFmtId="244" fontId="17" fillId="0" borderId="0"/>
    <xf numFmtId="244" fontId="40" fillId="0" borderId="0"/>
    <xf numFmtId="244" fontId="17" fillId="0" borderId="0"/>
    <xf numFmtId="244" fontId="17" fillId="0" borderId="0"/>
    <xf numFmtId="244" fontId="56" fillId="0" borderId="0"/>
    <xf numFmtId="244" fontId="56" fillId="0" borderId="0"/>
    <xf numFmtId="0"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56" fillId="0" borderId="0"/>
    <xf numFmtId="244" fontId="197" fillId="0" borderId="0">
      <alignment vertical="top"/>
    </xf>
    <xf numFmtId="244" fontId="56" fillId="0" borderId="0"/>
    <xf numFmtId="244" fontId="197" fillId="0" borderId="0">
      <alignment vertical="top"/>
    </xf>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56" fillId="0" borderId="0"/>
    <xf numFmtId="244" fontId="125" fillId="0" borderId="0"/>
    <xf numFmtId="244" fontId="56" fillId="0" borderId="0"/>
    <xf numFmtId="244" fontId="125" fillId="0" borderId="0"/>
    <xf numFmtId="244" fontId="56" fillId="0" borderId="0"/>
    <xf numFmtId="244" fontId="17"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56"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40" fillId="0" borderId="0"/>
    <xf numFmtId="0" fontId="40" fillId="0" borderId="0"/>
    <xf numFmtId="244" fontId="40" fillId="0" borderId="0"/>
    <xf numFmtId="244" fontId="40" fillId="0" borderId="0"/>
    <xf numFmtId="244" fontId="56" fillId="0" borderId="0"/>
    <xf numFmtId="244" fontId="40" fillId="0" borderId="0"/>
    <xf numFmtId="0" fontId="40" fillId="0" borderId="0"/>
    <xf numFmtId="0" fontId="40" fillId="0" borderId="0"/>
    <xf numFmtId="244" fontId="56" fillId="0" borderId="0"/>
    <xf numFmtId="0" fontId="40" fillId="0" borderId="0"/>
    <xf numFmtId="244" fontId="17"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44" fillId="0" borderId="0"/>
    <xf numFmtId="244" fontId="56" fillId="0" borderId="0"/>
    <xf numFmtId="244" fontId="17" fillId="0" borderId="0"/>
    <xf numFmtId="244" fontId="56" fillId="0" borderId="0"/>
    <xf numFmtId="244" fontId="17" fillId="0" borderId="0"/>
    <xf numFmtId="244" fontId="56" fillId="0" borderId="0"/>
    <xf numFmtId="244" fontId="125" fillId="0" borderId="0"/>
    <xf numFmtId="244" fontId="56" fillId="0" borderId="0"/>
    <xf numFmtId="244" fontId="17"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7"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56"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56" fillId="0" borderId="0"/>
    <xf numFmtId="244" fontId="125" fillId="0" borderId="0"/>
    <xf numFmtId="244" fontId="56" fillId="0" borderId="0"/>
    <xf numFmtId="244" fontId="125" fillId="0" borderId="0"/>
    <xf numFmtId="244" fontId="56" fillId="0" borderId="0"/>
    <xf numFmtId="244" fontId="129"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70" fillId="0" borderId="0">
      <alignment vertical="center"/>
    </xf>
    <xf numFmtId="0" fontId="169" fillId="0" borderId="0"/>
    <xf numFmtId="244" fontId="56" fillId="0" borderId="0"/>
    <xf numFmtId="244" fontId="17" fillId="0" borderId="0"/>
    <xf numFmtId="244" fontId="17" fillId="0" borderId="0"/>
    <xf numFmtId="244" fontId="56" fillId="0" borderId="0"/>
    <xf numFmtId="244" fontId="28" fillId="0" borderId="0"/>
    <xf numFmtId="244" fontId="56" fillId="0" borderId="0"/>
    <xf numFmtId="244" fontId="56" fillId="0" borderId="0"/>
    <xf numFmtId="244" fontId="56" fillId="0" borderId="0"/>
    <xf numFmtId="244" fontId="170" fillId="0" borderId="0">
      <alignment vertical="center"/>
    </xf>
    <xf numFmtId="244" fontId="56" fillId="0" borderId="0"/>
    <xf numFmtId="244" fontId="170" fillId="0" borderId="0">
      <alignment vertical="center"/>
    </xf>
    <xf numFmtId="244" fontId="56" fillId="0" borderId="0"/>
    <xf numFmtId="244" fontId="56" fillId="0" borderId="0"/>
    <xf numFmtId="244" fontId="170" fillId="0" borderId="0">
      <alignment vertical="center"/>
    </xf>
    <xf numFmtId="244" fontId="56" fillId="0" borderId="0"/>
    <xf numFmtId="244" fontId="170" fillId="0" borderId="0">
      <alignment vertical="center"/>
    </xf>
    <xf numFmtId="244" fontId="56" fillId="0" borderId="0"/>
    <xf numFmtId="244" fontId="170" fillId="0" borderId="0">
      <alignment vertical="center"/>
    </xf>
    <xf numFmtId="244" fontId="56" fillId="0" borderId="0"/>
    <xf numFmtId="244" fontId="56" fillId="0" borderId="0"/>
    <xf numFmtId="0" fontId="28" fillId="0" borderId="0"/>
    <xf numFmtId="244" fontId="98" fillId="0" borderId="0"/>
    <xf numFmtId="0" fontId="98" fillId="0" borderId="0"/>
    <xf numFmtId="244" fontId="56" fillId="0" borderId="0"/>
    <xf numFmtId="244" fontId="28" fillId="0" borderId="0"/>
    <xf numFmtId="244" fontId="56" fillId="0" borderId="0"/>
    <xf numFmtId="244" fontId="28" fillId="0" borderId="0"/>
    <xf numFmtId="0" fontId="28" fillId="0" borderId="0"/>
    <xf numFmtId="0" fontId="28" fillId="0" borderId="0"/>
    <xf numFmtId="244" fontId="56" fillId="0" borderId="0"/>
    <xf numFmtId="244" fontId="28" fillId="0" borderId="0"/>
    <xf numFmtId="244" fontId="56" fillId="0" borderId="0"/>
    <xf numFmtId="244" fontId="129" fillId="0" borderId="0"/>
    <xf numFmtId="244" fontId="56" fillId="0" borderId="0"/>
    <xf numFmtId="244" fontId="28" fillId="0" borderId="0"/>
    <xf numFmtId="244" fontId="56" fillId="0" borderId="0"/>
    <xf numFmtId="244" fontId="28" fillId="0" borderId="0"/>
    <xf numFmtId="244" fontId="28" fillId="0" borderId="0"/>
    <xf numFmtId="244" fontId="28" fillId="0" borderId="0">
      <alignment vertical="top"/>
    </xf>
    <xf numFmtId="244" fontId="56" fillId="0" borderId="0"/>
    <xf numFmtId="244" fontId="170" fillId="0" borderId="0">
      <alignment vertical="center"/>
    </xf>
    <xf numFmtId="244" fontId="56" fillId="0" borderId="0"/>
    <xf numFmtId="244" fontId="170" fillId="0" borderId="0">
      <alignment vertical="center"/>
    </xf>
    <xf numFmtId="244" fontId="56" fillId="0" borderId="0"/>
    <xf numFmtId="244" fontId="170" fillId="0" borderId="0">
      <alignment vertical="center"/>
    </xf>
    <xf numFmtId="244" fontId="56"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25" fillId="0" borderId="0"/>
    <xf numFmtId="244" fontId="56" fillId="0" borderId="0"/>
    <xf numFmtId="244" fontId="28" fillId="0" borderId="0"/>
    <xf numFmtId="244" fontId="56" fillId="0" borderId="0"/>
    <xf numFmtId="244" fontId="28" fillId="0" borderId="0"/>
    <xf numFmtId="0" fontId="28" fillId="0" borderId="0"/>
    <xf numFmtId="0" fontId="28" fillId="0" borderId="0"/>
    <xf numFmtId="0" fontId="28" fillId="0" borderId="0"/>
    <xf numFmtId="244" fontId="125" fillId="0" borderId="0"/>
    <xf numFmtId="244" fontId="56" fillId="0" borderId="0"/>
    <xf numFmtId="244" fontId="28"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28" fillId="0" borderId="0"/>
    <xf numFmtId="244" fontId="56" fillId="0" borderId="0"/>
    <xf numFmtId="244" fontId="28" fillId="0" borderId="0"/>
    <xf numFmtId="0" fontId="28" fillId="0" borderId="0"/>
    <xf numFmtId="244" fontId="56" fillId="0" borderId="0"/>
    <xf numFmtId="244" fontId="125" fillId="0" borderId="0"/>
    <xf numFmtId="244" fontId="56" fillId="0" borderId="0"/>
    <xf numFmtId="244" fontId="28"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28"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98"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56" fillId="0" borderId="0"/>
    <xf numFmtId="244" fontId="17" fillId="0" borderId="0"/>
    <xf numFmtId="244" fontId="17" fillId="0" borderId="0"/>
    <xf numFmtId="244" fontId="56" fillId="0" borderId="0"/>
    <xf numFmtId="244" fontId="56" fillId="0" borderId="0"/>
    <xf numFmtId="244" fontId="28" fillId="0" borderId="0"/>
    <xf numFmtId="0" fontId="28" fillId="0" borderId="0"/>
    <xf numFmtId="244" fontId="125" fillId="0" borderId="0"/>
    <xf numFmtId="244" fontId="56" fillId="0" borderId="0"/>
    <xf numFmtId="244" fontId="28"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28" fillId="0" borderId="0"/>
    <xf numFmtId="244" fontId="56" fillId="0" borderId="0"/>
    <xf numFmtId="244" fontId="28" fillId="0" borderId="0"/>
    <xf numFmtId="0" fontId="28" fillId="0" borderId="0"/>
    <xf numFmtId="0" fontId="28" fillId="0" borderId="0"/>
    <xf numFmtId="244" fontId="56" fillId="0" borderId="0"/>
    <xf numFmtId="244" fontId="125" fillId="0" borderId="0"/>
    <xf numFmtId="244" fontId="56" fillId="0" borderId="0"/>
    <xf numFmtId="244" fontId="28" fillId="0" borderId="0"/>
    <xf numFmtId="244" fontId="56" fillId="0" borderId="0"/>
    <xf numFmtId="244" fontId="14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125" fillId="0" borderId="0"/>
    <xf numFmtId="244" fontId="56" fillId="0" borderId="0"/>
    <xf numFmtId="244" fontId="28" fillId="0" borderId="0"/>
    <xf numFmtId="244" fontId="56" fillId="0" borderId="0"/>
    <xf numFmtId="244" fontId="28" fillId="0" borderId="0"/>
    <xf numFmtId="244" fontId="17"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17" fillId="0" borderId="0"/>
    <xf numFmtId="244" fontId="56" fillId="0" borderId="0"/>
    <xf numFmtId="244" fontId="17" fillId="0" borderId="0"/>
    <xf numFmtId="244" fontId="17" fillId="0" borderId="0"/>
    <xf numFmtId="244" fontId="56" fillId="0" borderId="0"/>
    <xf numFmtId="244" fontId="34" fillId="0" borderId="0"/>
    <xf numFmtId="244" fontId="56" fillId="0" borderId="0"/>
    <xf numFmtId="244" fontId="34" fillId="0" borderId="0"/>
    <xf numFmtId="244" fontId="56" fillId="0" borderId="0"/>
    <xf numFmtId="244" fontId="34" fillId="0" borderId="0"/>
    <xf numFmtId="0" fontId="34" fillId="0" borderId="0"/>
    <xf numFmtId="0" fontId="34" fillId="0" borderId="0"/>
    <xf numFmtId="244" fontId="56" fillId="0" borderId="0"/>
    <xf numFmtId="244" fontId="56" fillId="0" borderId="0"/>
    <xf numFmtId="0" fontId="56" fillId="0" borderId="0"/>
    <xf numFmtId="0" fontId="56" fillId="0" borderId="0"/>
    <xf numFmtId="244" fontId="28" fillId="0" borderId="0"/>
    <xf numFmtId="244" fontId="56" fillId="0" borderId="0"/>
    <xf numFmtId="244" fontId="28" fillId="0" borderId="0"/>
    <xf numFmtId="0" fontId="28" fillId="0" borderId="0"/>
    <xf numFmtId="0" fontId="28" fillId="0" borderId="0"/>
    <xf numFmtId="244" fontId="56" fillId="0" borderId="0"/>
    <xf numFmtId="244" fontId="28" fillId="0" borderId="0"/>
    <xf numFmtId="244" fontId="56" fillId="0" borderId="0"/>
    <xf numFmtId="244" fontId="28" fillId="0" borderId="0"/>
    <xf numFmtId="244" fontId="56" fillId="0" borderId="0"/>
    <xf numFmtId="244" fontId="28" fillId="0" borderId="0"/>
    <xf numFmtId="0" fontId="28" fillId="0" borderId="0"/>
    <xf numFmtId="0" fontId="28" fillId="0" borderId="0"/>
    <xf numFmtId="244" fontId="28" fillId="0" borderId="0"/>
    <xf numFmtId="244" fontId="40" fillId="0" borderId="0"/>
    <xf numFmtId="244" fontId="40" fillId="0" borderId="0"/>
    <xf numFmtId="244" fontId="56" fillId="0" borderId="0"/>
    <xf numFmtId="244" fontId="40" fillId="0" borderId="0"/>
    <xf numFmtId="0" fontId="40" fillId="0" borderId="0"/>
    <xf numFmtId="0" fontId="40" fillId="0" borderId="0"/>
    <xf numFmtId="244" fontId="56" fillId="0" borderId="0"/>
    <xf numFmtId="244" fontId="125" fillId="0" borderId="0"/>
    <xf numFmtId="244" fontId="56" fillId="0" borderId="0"/>
    <xf numFmtId="244" fontId="40" fillId="0" borderId="0"/>
    <xf numFmtId="0" fontId="40" fillId="0" borderId="0"/>
    <xf numFmtId="0" fontId="40" fillId="0" borderId="0"/>
    <xf numFmtId="244" fontId="28" fillId="0" borderId="45">
      <alignment horizontal="center"/>
    </xf>
    <xf numFmtId="244" fontId="56" fillId="0" borderId="0"/>
    <xf numFmtId="244" fontId="28" fillId="0" borderId="45">
      <alignment horizontal="center"/>
    </xf>
    <xf numFmtId="0" fontId="28" fillId="0" borderId="45">
      <alignment horizontal="center"/>
    </xf>
    <xf numFmtId="0" fontId="28" fillId="0" borderId="45">
      <alignment horizontal="center"/>
    </xf>
    <xf numFmtId="244" fontId="56" fillId="0" borderId="0"/>
    <xf numFmtId="244" fontId="28" fillId="0" borderId="45">
      <alignment horizontal="center"/>
    </xf>
    <xf numFmtId="244" fontId="56" fillId="0" borderId="0"/>
    <xf numFmtId="244" fontId="28" fillId="0" borderId="45">
      <alignment horizontal="center"/>
    </xf>
    <xf numFmtId="0" fontId="28" fillId="0" borderId="45">
      <alignment horizontal="center"/>
    </xf>
    <xf numFmtId="0" fontId="28" fillId="0" borderId="45">
      <alignment horizontal="center"/>
    </xf>
    <xf numFmtId="244" fontId="28" fillId="0" borderId="45">
      <alignment horizontal="center"/>
    </xf>
    <xf numFmtId="244" fontId="199" fillId="0" borderId="0"/>
    <xf numFmtId="0" fontId="199" fillId="0" borderId="0"/>
    <xf numFmtId="244" fontId="56" fillId="0" borderId="0"/>
    <xf numFmtId="244" fontId="56" fillId="0" borderId="0"/>
    <xf numFmtId="244" fontId="56" fillId="0" borderId="0"/>
    <xf numFmtId="244" fontId="56" fillId="0" borderId="0"/>
    <xf numFmtId="244" fontId="49" fillId="83" borderId="16" applyNumberFormat="0" applyFont="0" applyAlignment="0" applyProtection="0"/>
    <xf numFmtId="244" fontId="56" fillId="0" borderId="0"/>
    <xf numFmtId="244" fontId="49" fillId="83" borderId="16" applyNumberFormat="0" applyFont="0" applyAlignment="0" applyProtection="0"/>
    <xf numFmtId="0" fontId="49" fillId="83" borderId="16" applyNumberFormat="0" applyFont="0" applyAlignment="0" applyProtection="0"/>
    <xf numFmtId="0" fontId="49" fillId="83" borderId="16" applyNumberFormat="0" applyFont="0" applyAlignment="0" applyProtection="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91" fillId="0" borderId="0" applyNumberFormat="0" applyFill="0" applyBorder="0" applyAlignment="0" applyProtection="0"/>
    <xf numFmtId="244" fontId="56" fillId="0" borderId="0"/>
    <xf numFmtId="244" fontId="56" fillId="0" borderId="0"/>
    <xf numFmtId="244" fontId="91" fillId="0" borderId="0" applyNumberFormat="0" applyFill="0" applyBorder="0" applyAlignment="0" applyProtection="0"/>
    <xf numFmtId="0" fontId="91" fillId="0" borderId="0" applyNumberFormat="0" applyFill="0" applyBorder="0" applyAlignment="0" applyProtection="0"/>
    <xf numFmtId="244" fontId="56" fillId="0" borderId="0"/>
    <xf numFmtId="244" fontId="56" fillId="0" borderId="0"/>
    <xf numFmtId="244" fontId="98" fillId="0" borderId="0" applyNumberFormat="0" applyFill="0" applyBorder="0" applyAlignment="0" applyProtection="0"/>
    <xf numFmtId="244" fontId="56" fillId="0" borderId="0"/>
    <xf numFmtId="244" fontId="98" fillId="0" borderId="0" applyNumberFormat="0" applyFill="0" applyBorder="0" applyAlignment="0" applyProtection="0"/>
    <xf numFmtId="0" fontId="98" fillId="0" borderId="0" applyNumberFormat="0" applyFill="0" applyBorder="0" applyAlignment="0" applyProtection="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102" fillId="84" borderId="0"/>
    <xf numFmtId="0" fontId="102" fillId="84" borderId="0"/>
    <xf numFmtId="244" fontId="56" fillId="0" borderId="0"/>
    <xf numFmtId="244" fontId="56" fillId="0" borderId="0"/>
    <xf numFmtId="244" fontId="104" fillId="70" borderId="0"/>
    <xf numFmtId="0" fontId="104" fillId="7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9" fontId="28" fillId="0" borderId="0" applyFont="0" applyFill="0" applyBorder="0" applyAlignment="0" applyProtection="0"/>
    <xf numFmtId="9" fontId="40" fillId="0" borderId="0" applyFont="0" applyFill="0" applyBorder="0" applyAlignment="0" applyProtection="0"/>
    <xf numFmtId="244" fontId="56" fillId="0" borderId="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56"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28" fillId="0" borderId="0" applyFont="0" applyFill="0" applyBorder="0" applyAlignment="0" applyProtection="0"/>
    <xf numFmtId="9" fontId="28"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244" fontId="56" fillId="0" borderId="0"/>
    <xf numFmtId="9" fontId="56"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28"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244" fontId="56" fillId="0" borderId="0"/>
    <xf numFmtId="9" fontId="17" fillId="0" borderId="0" applyFont="0" applyFill="0" applyBorder="0" applyAlignment="0" applyProtection="0"/>
    <xf numFmtId="244" fontId="56" fillId="0" borderId="0"/>
    <xf numFmtId="244" fontId="56" fillId="0" borderId="0"/>
    <xf numFmtId="9" fontId="17" fillId="0" borderId="0" applyFont="0" applyFill="0" applyBorder="0" applyAlignment="0" applyProtection="0"/>
    <xf numFmtId="9" fontId="17" fillId="0" borderId="0" applyFont="0" applyFill="0" applyBorder="0" applyAlignment="0" applyProtection="0"/>
    <xf numFmtId="244" fontId="56" fillId="0" borderId="0"/>
    <xf numFmtId="9" fontId="17" fillId="0" borderId="0" applyFont="0" applyFill="0" applyBorder="0" applyAlignment="0" applyProtection="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9" fontId="118" fillId="0" borderId="0" applyFont="0" applyFill="0" applyBorder="0" applyAlignment="0" applyProtection="0"/>
    <xf numFmtId="244" fontId="56" fillId="0" borderId="0"/>
    <xf numFmtId="37" fontId="200" fillId="0" borderId="0" applyNumberFormat="0" applyFill="0" applyBorder="0" applyAlignment="0" applyProtection="0"/>
    <xf numFmtId="244" fontId="56" fillId="0" borderId="0"/>
    <xf numFmtId="244" fontId="28" fillId="0" borderId="0" applyFill="0" applyBorder="0" applyAlignment="0"/>
    <xf numFmtId="244" fontId="56" fillId="0" borderId="0"/>
    <xf numFmtId="244" fontId="28" fillId="0" borderId="0" applyFill="0" applyBorder="0" applyAlignment="0"/>
    <xf numFmtId="0" fontId="28" fillId="0" borderId="0" applyFill="0" applyBorder="0" applyAlignment="0"/>
    <xf numFmtId="0" fontId="28" fillId="0" borderId="0" applyFill="0" applyBorder="0" applyAlignment="0"/>
    <xf numFmtId="244" fontId="56" fillId="0" borderId="0"/>
    <xf numFmtId="244" fontId="28" fillId="0" borderId="0" applyFill="0" applyBorder="0" applyAlignment="0"/>
    <xf numFmtId="244" fontId="56" fillId="0" borderId="0"/>
    <xf numFmtId="244" fontId="28" fillId="0" borderId="0" applyFill="0" applyBorder="0" applyAlignment="0"/>
    <xf numFmtId="0"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56" fillId="0" borderId="0"/>
    <xf numFmtId="244" fontId="28" fillId="0" borderId="0" applyFill="0" applyBorder="0" applyAlignment="0"/>
    <xf numFmtId="0" fontId="28" fillId="0" borderId="0" applyFill="0" applyBorder="0" applyAlignment="0"/>
    <xf numFmtId="0" fontId="28" fillId="0" borderId="0" applyFill="0" applyBorder="0" applyAlignment="0"/>
    <xf numFmtId="244" fontId="56" fillId="0" borderId="0"/>
    <xf numFmtId="244" fontId="28" fillId="0" borderId="0" applyFill="0" applyBorder="0" applyAlignment="0"/>
    <xf numFmtId="244" fontId="56" fillId="0" borderId="0"/>
    <xf numFmtId="244" fontId="28" fillId="0" borderId="0" applyFill="0" applyBorder="0" applyAlignment="0"/>
    <xf numFmtId="0" fontId="28" fillId="0" borderId="0" applyFill="0" applyBorder="0" applyAlignment="0"/>
    <xf numFmtId="0" fontId="28" fillId="0" borderId="0" applyFill="0" applyBorder="0" applyAlignment="0"/>
    <xf numFmtId="244" fontId="28" fillId="0" borderId="0" applyFill="0" applyBorder="0" applyAlignment="0"/>
    <xf numFmtId="244" fontId="28" fillId="0" borderId="0" applyFill="0" applyBorder="0" applyAlignment="0"/>
    <xf numFmtId="244" fontId="56" fillId="0" borderId="0"/>
    <xf numFmtId="244" fontId="28" fillId="0" borderId="0" applyFill="0" applyBorder="0" applyAlignment="0"/>
    <xf numFmtId="0" fontId="28" fillId="0" borderId="0" applyFill="0" applyBorder="0" applyAlignment="0"/>
    <xf numFmtId="0" fontId="28" fillId="0" borderId="0" applyFill="0" applyBorder="0" applyAlignment="0"/>
    <xf numFmtId="244" fontId="56" fillId="0" borderId="0"/>
    <xf numFmtId="244" fontId="28" fillId="0" borderId="0" applyFill="0" applyBorder="0" applyAlignment="0"/>
    <xf numFmtId="244" fontId="56" fillId="0" borderId="0"/>
    <xf numFmtId="244" fontId="28" fillId="0" borderId="0" applyFill="0" applyBorder="0" applyAlignment="0"/>
    <xf numFmtId="0" fontId="28" fillId="0" borderId="0" applyFill="0" applyBorder="0" applyAlignment="0"/>
    <xf numFmtId="0" fontId="28" fillId="0" borderId="0" applyFill="0" applyBorder="0" applyAlignment="0"/>
    <xf numFmtId="244" fontId="28" fillId="0" borderId="0" applyFill="0" applyBorder="0" applyAlignment="0"/>
    <xf numFmtId="244" fontId="56" fillId="0" borderId="0"/>
    <xf numFmtId="268" fontId="28" fillId="0" borderId="0" applyFill="0" applyBorder="0" applyAlignment="0"/>
    <xf numFmtId="244" fontId="28" fillId="0" borderId="0" applyFill="0" applyBorder="0" applyAlignment="0"/>
    <xf numFmtId="244" fontId="56" fillId="0" borderId="0"/>
    <xf numFmtId="244" fontId="28" fillId="0" borderId="0" applyFill="0" applyBorder="0" applyAlignment="0"/>
    <xf numFmtId="0" fontId="28" fillId="0" borderId="0" applyFill="0" applyBorder="0" applyAlignment="0"/>
    <xf numFmtId="0" fontId="28" fillId="0" borderId="0" applyFill="0" applyBorder="0" applyAlignment="0"/>
    <xf numFmtId="244" fontId="56" fillId="0" borderId="0"/>
    <xf numFmtId="244" fontId="28" fillId="0" borderId="0" applyFill="0" applyBorder="0" applyAlignment="0"/>
    <xf numFmtId="244" fontId="56" fillId="0" borderId="0"/>
    <xf numFmtId="244" fontId="28" fillId="0" borderId="0" applyFill="0" applyBorder="0" applyAlignment="0"/>
    <xf numFmtId="0" fontId="28" fillId="0" borderId="0" applyFill="0" applyBorder="0" applyAlignment="0"/>
    <xf numFmtId="0" fontId="28" fillId="0" borderId="0" applyFill="0" applyBorder="0" applyAlignment="0"/>
    <xf numFmtId="244" fontId="28" fillId="0" borderId="0" applyFill="0" applyBorder="0" applyAlignment="0"/>
    <xf numFmtId="244" fontId="77" fillId="85" borderId="47" applyNumberFormat="0" applyFont="0" applyBorder="0" applyAlignment="0" applyProtection="0"/>
    <xf numFmtId="244" fontId="77" fillId="85" borderId="47" applyNumberFormat="0" applyFont="0" applyBorder="0" applyAlignment="0" applyProtection="0"/>
    <xf numFmtId="244" fontId="56" fillId="0" borderId="0"/>
    <xf numFmtId="244" fontId="77" fillId="85" borderId="47" applyNumberFormat="0" applyFont="0" applyBorder="0" applyAlignment="0" applyProtection="0"/>
    <xf numFmtId="0" fontId="77" fillId="85" borderId="47" applyNumberFormat="0" applyFont="0" applyBorder="0" applyAlignment="0" applyProtection="0"/>
    <xf numFmtId="0" fontId="77" fillId="85" borderId="47" applyNumberFormat="0" applyFont="0" applyBorder="0" applyAlignment="0" applyProtection="0"/>
    <xf numFmtId="244" fontId="56" fillId="0" borderId="0"/>
    <xf numFmtId="244" fontId="77" fillId="85" borderId="47" applyNumberFormat="0" applyFont="0" applyBorder="0" applyAlignment="0" applyProtection="0"/>
    <xf numFmtId="244" fontId="77" fillId="85" borderId="47" applyNumberFormat="0" applyFont="0" applyBorder="0" applyAlignment="0" applyProtection="0"/>
    <xf numFmtId="244" fontId="56" fillId="0" borderId="0"/>
    <xf numFmtId="244" fontId="77" fillId="85" borderId="47" applyNumberFormat="0" applyFont="0" applyBorder="0" applyAlignment="0" applyProtection="0"/>
    <xf numFmtId="0" fontId="77" fillId="85" borderId="47" applyNumberFormat="0" applyFont="0" applyBorder="0" applyAlignment="0" applyProtection="0"/>
    <xf numFmtId="0" fontId="77" fillId="85" borderId="47" applyNumberFormat="0" applyFont="0" applyBorder="0" applyAlignment="0" applyProtection="0"/>
    <xf numFmtId="244" fontId="56" fillId="0" borderId="0"/>
    <xf numFmtId="244" fontId="28" fillId="0" borderId="0" applyNumberFormat="0" applyFill="0" applyBorder="0" applyProtection="0">
      <alignment vertical="top"/>
    </xf>
    <xf numFmtId="244" fontId="56" fillId="0" borderId="0"/>
    <xf numFmtId="244" fontId="53" fillId="0" borderId="0" applyNumberFormat="0" applyFont="0" applyFill="0" applyBorder="0" applyAlignment="0" applyProtection="0">
      <alignment horizontal="left"/>
    </xf>
    <xf numFmtId="0" fontId="53" fillId="0" borderId="0" applyNumberFormat="0" applyFont="0" applyFill="0" applyBorder="0" applyAlignment="0" applyProtection="0">
      <alignment horizontal="left"/>
    </xf>
    <xf numFmtId="0" fontId="53" fillId="0" borderId="0" applyNumberFormat="0" applyFont="0" applyFill="0" applyBorder="0" applyAlignment="0" applyProtection="0">
      <alignment horizontal="left"/>
    </xf>
    <xf numFmtId="244" fontId="56" fillId="0" borderId="0"/>
    <xf numFmtId="244" fontId="107" fillId="0" borderId="49">
      <alignment horizontal="center"/>
    </xf>
    <xf numFmtId="0" fontId="107" fillId="0" borderId="49">
      <alignment horizontal="center"/>
    </xf>
    <xf numFmtId="244" fontId="56" fillId="0" borderId="0"/>
    <xf numFmtId="259" fontId="201" fillId="0" borderId="37" applyFont="0" applyBorder="0" applyAlignment="0">
      <alignment horizontal="center" vertical="center"/>
    </xf>
    <xf numFmtId="259" fontId="201" fillId="0" borderId="37" applyFont="0" applyBorder="0" applyAlignment="0">
      <alignment horizontal="center" vertical="center"/>
    </xf>
    <xf numFmtId="244" fontId="56" fillId="0" borderId="0"/>
    <xf numFmtId="244" fontId="56" fillId="0" borderId="0"/>
    <xf numFmtId="244" fontId="180" fillId="0" borderId="0"/>
    <xf numFmtId="0" fontId="180" fillId="0" borderId="0"/>
    <xf numFmtId="244" fontId="56" fillId="0" borderId="0"/>
    <xf numFmtId="244" fontId="179" fillId="0" borderId="0"/>
    <xf numFmtId="0" fontId="179" fillId="0" borderId="0"/>
    <xf numFmtId="244" fontId="56" fillId="0" borderId="0"/>
    <xf numFmtId="0" fontId="63" fillId="74" borderId="1"/>
    <xf numFmtId="244" fontId="56" fillId="0" borderId="0"/>
    <xf numFmtId="244" fontId="56" fillId="0" borderId="0"/>
    <xf numFmtId="14" fontId="199" fillId="0" borderId="0" applyNumberFormat="0" applyFill="0" applyBorder="0" applyAlignment="0" applyProtection="0">
      <alignment horizontal="left"/>
    </xf>
    <xf numFmtId="244" fontId="28" fillId="0" borderId="40"/>
    <xf numFmtId="244" fontId="28" fillId="0" borderId="40"/>
    <xf numFmtId="244" fontId="56" fillId="0" borderId="0"/>
    <xf numFmtId="244" fontId="28" fillId="0" borderId="40"/>
    <xf numFmtId="244" fontId="28" fillId="0" borderId="40"/>
    <xf numFmtId="244" fontId="56" fillId="0" borderId="0"/>
    <xf numFmtId="244" fontId="28" fillId="0" borderId="40"/>
    <xf numFmtId="244" fontId="28" fillId="0" borderId="40"/>
    <xf numFmtId="244" fontId="56" fillId="0" borderId="0"/>
    <xf numFmtId="244" fontId="28" fillId="0" borderId="19"/>
    <xf numFmtId="244" fontId="28" fillId="0" borderId="19"/>
    <xf numFmtId="244" fontId="56" fillId="0" borderId="0"/>
    <xf numFmtId="244" fontId="28" fillId="0" borderId="40"/>
    <xf numFmtId="244" fontId="28" fillId="0" borderId="40"/>
    <xf numFmtId="244" fontId="56" fillId="0" borderId="0"/>
    <xf numFmtId="244" fontId="28" fillId="0" borderId="40"/>
    <xf numFmtId="244" fontId="28" fillId="0" borderId="40"/>
    <xf numFmtId="244" fontId="56" fillId="0" borderId="0"/>
    <xf numFmtId="244" fontId="28" fillId="0" borderId="40"/>
    <xf numFmtId="0" fontId="28" fillId="0" borderId="40"/>
    <xf numFmtId="0" fontId="28" fillId="0" borderId="40"/>
    <xf numFmtId="244" fontId="28" fillId="0" borderId="40"/>
    <xf numFmtId="244" fontId="28" fillId="0" borderId="40"/>
    <xf numFmtId="244" fontId="56" fillId="0" borderId="0"/>
    <xf numFmtId="244" fontId="28" fillId="0" borderId="40"/>
    <xf numFmtId="244" fontId="28" fillId="0" borderId="40"/>
    <xf numFmtId="244" fontId="56" fillId="0" borderId="0"/>
    <xf numFmtId="244" fontId="28" fillId="0" borderId="40"/>
    <xf numFmtId="244" fontId="28" fillId="0" borderId="40"/>
    <xf numFmtId="244" fontId="56" fillId="0" borderId="0"/>
    <xf numFmtId="244" fontId="28" fillId="0" borderId="40"/>
    <xf numFmtId="0" fontId="28" fillId="0" borderId="40"/>
    <xf numFmtId="0" fontId="28" fillId="0" borderId="40"/>
    <xf numFmtId="244" fontId="28" fillId="0" borderId="0">
      <alignment vertical="top"/>
    </xf>
    <xf numFmtId="244" fontId="28" fillId="0" borderId="40"/>
    <xf numFmtId="244" fontId="56" fillId="0" borderId="0"/>
    <xf numFmtId="244" fontId="28" fillId="0" borderId="40"/>
    <xf numFmtId="244" fontId="56" fillId="0" borderId="0"/>
    <xf numFmtId="244" fontId="28" fillId="0" borderId="40"/>
    <xf numFmtId="244" fontId="28" fillId="0" borderId="40"/>
    <xf numFmtId="244" fontId="56" fillId="0" borderId="0"/>
    <xf numFmtId="244" fontId="28" fillId="0" borderId="40"/>
    <xf numFmtId="244" fontId="28" fillId="0" borderId="40"/>
    <xf numFmtId="244" fontId="56" fillId="0" borderId="0"/>
    <xf numFmtId="244" fontId="28" fillId="0" borderId="40"/>
    <xf numFmtId="244" fontId="28" fillId="0" borderId="40"/>
    <xf numFmtId="244" fontId="56" fillId="0" borderId="0"/>
    <xf numFmtId="244" fontId="28" fillId="0" borderId="40"/>
    <xf numFmtId="244" fontId="28" fillId="0" borderId="40"/>
    <xf numFmtId="244" fontId="56" fillId="0" borderId="0"/>
    <xf numFmtId="244" fontId="28" fillId="0" borderId="40"/>
    <xf numFmtId="244" fontId="28" fillId="0" borderId="40"/>
    <xf numFmtId="244" fontId="56" fillId="0" borderId="0"/>
    <xf numFmtId="244" fontId="28" fillId="0" borderId="40"/>
    <xf numFmtId="244" fontId="28" fillId="0" borderId="40"/>
    <xf numFmtId="244" fontId="56" fillId="0" borderId="0"/>
    <xf numFmtId="244" fontId="56" fillId="0" borderId="0"/>
    <xf numFmtId="244" fontId="56" fillId="0" borderId="0"/>
    <xf numFmtId="244" fontId="56" fillId="0" borderId="0"/>
    <xf numFmtId="244" fontId="56" fillId="0" borderId="0"/>
    <xf numFmtId="244" fontId="28" fillId="0" borderId="40"/>
    <xf numFmtId="244" fontId="28" fillId="0" borderId="0">
      <alignment vertical="top"/>
    </xf>
    <xf numFmtId="244" fontId="56" fillId="0" borderId="0"/>
    <xf numFmtId="244" fontId="56" fillId="0" borderId="0"/>
    <xf numFmtId="244" fontId="56" fillId="0" borderId="0"/>
    <xf numFmtId="244" fontId="56" fillId="0" borderId="0"/>
    <xf numFmtId="244" fontId="28" fillId="0" borderId="0">
      <alignment vertical="top"/>
    </xf>
    <xf numFmtId="244" fontId="28" fillId="0" borderId="40"/>
    <xf numFmtId="244" fontId="28" fillId="0" borderId="0">
      <alignment vertical="top"/>
    </xf>
    <xf numFmtId="244" fontId="56" fillId="0" borderId="0"/>
    <xf numFmtId="244" fontId="56" fillId="0" borderId="0"/>
    <xf numFmtId="244" fontId="56" fillId="0" borderId="0"/>
    <xf numFmtId="244" fontId="56" fillId="0" borderId="0"/>
    <xf numFmtId="244" fontId="28" fillId="0" borderId="0">
      <alignment vertical="top"/>
    </xf>
    <xf numFmtId="244" fontId="28" fillId="0" borderId="40"/>
    <xf numFmtId="244" fontId="28" fillId="0" borderId="0">
      <alignment vertical="top"/>
    </xf>
    <xf numFmtId="244" fontId="56" fillId="0" borderId="0"/>
    <xf numFmtId="244" fontId="56" fillId="0" borderId="0"/>
    <xf numFmtId="244" fontId="56" fillId="0" borderId="0"/>
    <xf numFmtId="244" fontId="56" fillId="0" borderId="0"/>
    <xf numFmtId="244" fontId="28" fillId="0" borderId="40"/>
    <xf numFmtId="244" fontId="28" fillId="0" borderId="0">
      <alignment vertical="top"/>
    </xf>
    <xf numFmtId="244" fontId="28" fillId="0" borderId="40"/>
    <xf numFmtId="244" fontId="28" fillId="0" borderId="0">
      <alignment vertical="top"/>
    </xf>
    <xf numFmtId="244" fontId="56" fillId="0" borderId="0"/>
    <xf numFmtId="244" fontId="56" fillId="0" borderId="0"/>
    <xf numFmtId="244" fontId="56" fillId="0" borderId="0"/>
    <xf numFmtId="244" fontId="56" fillId="0" borderId="0"/>
    <xf numFmtId="244" fontId="28" fillId="0" borderId="40"/>
    <xf numFmtId="244" fontId="28" fillId="0" borderId="40"/>
    <xf numFmtId="244" fontId="56" fillId="0" borderId="0"/>
    <xf numFmtId="244" fontId="28" fillId="0" borderId="40"/>
    <xf numFmtId="244" fontId="28" fillId="0" borderId="40"/>
    <xf numFmtId="244" fontId="56" fillId="0" borderId="0"/>
    <xf numFmtId="244" fontId="28" fillId="0" borderId="40"/>
    <xf numFmtId="244" fontId="28" fillId="0" borderId="40"/>
    <xf numFmtId="244" fontId="56" fillId="0" borderId="0"/>
    <xf numFmtId="244" fontId="28" fillId="0" borderId="40"/>
    <xf numFmtId="244" fontId="28" fillId="0" borderId="40"/>
    <xf numFmtId="244" fontId="56" fillId="0" borderId="0"/>
    <xf numFmtId="244" fontId="56" fillId="0" borderId="0"/>
    <xf numFmtId="244" fontId="56" fillId="0" borderId="0"/>
    <xf numFmtId="244" fontId="56" fillId="0" borderId="0"/>
    <xf numFmtId="244" fontId="56" fillId="0" borderId="0"/>
    <xf numFmtId="244" fontId="56" fillId="0" borderId="0"/>
    <xf numFmtId="0" fontId="108" fillId="0" borderId="101"/>
    <xf numFmtId="244" fontId="56" fillId="0" borderId="0"/>
    <xf numFmtId="244" fontId="202" fillId="86" borderId="102"/>
    <xf numFmtId="0" fontId="202" fillId="86" borderId="102"/>
    <xf numFmtId="244" fontId="56" fillId="0" borderId="0"/>
    <xf numFmtId="244" fontId="110" fillId="0" borderId="0" applyNumberFormat="0" applyFill="0" applyBorder="0" applyAlignment="0" applyProtection="0"/>
    <xf numFmtId="0" fontId="110" fillId="0" borderId="0" applyNumberFormat="0" applyFill="0" applyBorder="0" applyAlignment="0" applyProtection="0"/>
    <xf numFmtId="244" fontId="56" fillId="0" borderId="0"/>
    <xf numFmtId="244" fontId="129" fillId="0" borderId="0"/>
    <xf numFmtId="244" fontId="56" fillId="0" borderId="0"/>
    <xf numFmtId="244"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191" fillId="0" borderId="0"/>
    <xf numFmtId="0" fontId="191" fillId="0" borderId="0"/>
    <xf numFmtId="0" fontId="191" fillId="0" borderId="0"/>
    <xf numFmtId="244" fontId="56" fillId="0" borderId="0"/>
    <xf numFmtId="244" fontId="28" fillId="0" borderId="0">
      <alignment vertical="top"/>
    </xf>
    <xf numFmtId="244" fontId="56" fillId="0" borderId="0"/>
    <xf numFmtId="244" fontId="111" fillId="0" borderId="103"/>
    <xf numFmtId="0" fontId="111" fillId="0" borderId="103"/>
    <xf numFmtId="0" fontId="111" fillId="0" borderId="103"/>
    <xf numFmtId="244" fontId="56" fillId="0" borderId="0"/>
    <xf numFmtId="244" fontId="28" fillId="0" borderId="0">
      <alignment vertical="top"/>
    </xf>
    <xf numFmtId="244" fontId="56" fillId="0" borderId="0"/>
    <xf numFmtId="244" fontId="56" fillId="0" borderId="0"/>
    <xf numFmtId="283" fontId="203" fillId="0" borderId="30">
      <alignment horizontal="right" vertical="center"/>
    </xf>
    <xf numFmtId="244" fontId="56" fillId="0" borderId="0"/>
    <xf numFmtId="244" fontId="28" fillId="0" borderId="0">
      <alignment vertical="top"/>
    </xf>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83" fontId="203" fillId="0" borderId="30">
      <alignment horizontal="right" vertical="center"/>
    </xf>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180" fillId="0" borderId="1"/>
    <xf numFmtId="0" fontId="180" fillId="0" borderId="1"/>
    <xf numFmtId="0" fontId="180" fillId="0" borderId="1"/>
    <xf numFmtId="244" fontId="56" fillId="0" borderId="0"/>
    <xf numFmtId="244" fontId="28" fillId="0" borderId="0">
      <alignment vertical="top"/>
    </xf>
    <xf numFmtId="244" fontId="56" fillId="0" borderId="0"/>
    <xf numFmtId="244" fontId="179" fillId="0" borderId="1"/>
    <xf numFmtId="0" fontId="179" fillId="0" borderId="1"/>
    <xf numFmtId="0" fontId="179" fillId="0" borderId="1"/>
    <xf numFmtId="244" fontId="56" fillId="0" borderId="0"/>
    <xf numFmtId="244" fontId="28" fillId="0" borderId="0">
      <alignment vertical="top"/>
    </xf>
    <xf numFmtId="244" fontId="56" fillId="0" borderId="0"/>
    <xf numFmtId="244" fontId="204" fillId="0" borderId="0" applyBorder="0" applyProtection="0">
      <alignment vertical="center"/>
    </xf>
    <xf numFmtId="0" fontId="204" fillId="0" borderId="0" applyBorder="0" applyProtection="0">
      <alignment vertical="center"/>
    </xf>
    <xf numFmtId="0" fontId="204" fillId="0" borderId="0" applyBorder="0" applyProtection="0">
      <alignment vertical="center"/>
    </xf>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205" fillId="87" borderId="0" applyBorder="0" applyProtection="0">
      <alignment horizontal="centerContinuous" vertical="center"/>
    </xf>
    <xf numFmtId="0" fontId="205" fillId="87" borderId="0" applyBorder="0" applyProtection="0">
      <alignment horizontal="centerContinuous" vertical="center"/>
    </xf>
    <xf numFmtId="0" fontId="205" fillId="87" borderId="0" applyBorder="0" applyProtection="0">
      <alignment horizontal="centerContinuous" vertical="center"/>
    </xf>
    <xf numFmtId="244" fontId="56" fillId="0" borderId="0"/>
    <xf numFmtId="244" fontId="28" fillId="0" borderId="0">
      <alignment vertical="top"/>
    </xf>
    <xf numFmtId="244" fontId="56" fillId="0" borderId="0"/>
    <xf numFmtId="244" fontId="205" fillId="88" borderId="39" applyBorder="0" applyProtection="0">
      <alignment horizontal="centerContinuous" vertical="center"/>
    </xf>
    <xf numFmtId="0" fontId="205" fillId="88" borderId="39" applyBorder="0" applyProtection="0">
      <alignment horizontal="centerContinuous" vertical="center"/>
    </xf>
    <xf numFmtId="0" fontId="205" fillId="88" borderId="39" applyBorder="0" applyProtection="0">
      <alignment horizontal="centerContinuous" vertical="center"/>
    </xf>
    <xf numFmtId="244" fontId="56" fillId="0" borderId="0"/>
    <xf numFmtId="244" fontId="56" fillId="0" borderId="0"/>
    <xf numFmtId="244" fontId="28" fillId="0" borderId="0">
      <alignment vertical="top"/>
    </xf>
    <xf numFmtId="244" fontId="56" fillId="0" borderId="0"/>
    <xf numFmtId="244" fontId="206" fillId="0" borderId="0" applyFill="0" applyBorder="0" applyProtection="0">
      <alignment horizontal="left"/>
    </xf>
    <xf numFmtId="0" fontId="206" fillId="0" borderId="0" applyFill="0" applyBorder="0" applyProtection="0">
      <alignment horizontal="left"/>
    </xf>
    <xf numFmtId="0" fontId="206" fillId="0" borderId="0" applyFill="0" applyBorder="0" applyProtection="0">
      <alignment horizontal="left"/>
    </xf>
    <xf numFmtId="244" fontId="56" fillId="0" borderId="0"/>
    <xf numFmtId="244" fontId="28" fillId="0" borderId="0">
      <alignment vertical="top"/>
    </xf>
    <xf numFmtId="244" fontId="56" fillId="0" borderId="0"/>
    <xf numFmtId="244" fontId="74" fillId="0" borderId="31" applyFill="0" applyBorder="0" applyProtection="0">
      <alignment horizontal="left" vertical="top"/>
    </xf>
    <xf numFmtId="0" fontId="74" fillId="0" borderId="31" applyFill="0" applyBorder="0" applyProtection="0">
      <alignment horizontal="left" vertical="top"/>
    </xf>
    <xf numFmtId="0" fontId="74" fillId="0" borderId="31" applyFill="0" applyBorder="0" applyProtection="0">
      <alignment horizontal="left" vertical="top"/>
    </xf>
    <xf numFmtId="244" fontId="56" fillId="0" borderId="0"/>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244" fontId="56" fillId="0" borderId="0"/>
    <xf numFmtId="244" fontId="56" fillId="0" borderId="0"/>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244" fontId="56" fillId="0" borderId="0"/>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44" fillId="0" borderId="104" applyBorder="0">
      <alignment vertical="justify"/>
    </xf>
    <xf numFmtId="0" fontId="44" fillId="0" borderId="104" applyBorder="0">
      <alignment vertical="justify"/>
    </xf>
    <xf numFmtId="0" fontId="44" fillId="0" borderId="104" applyBorder="0">
      <alignment vertical="justify"/>
    </xf>
    <xf numFmtId="244" fontId="28" fillId="0" borderId="0">
      <alignment vertical="top"/>
    </xf>
    <xf numFmtId="244" fontId="56" fillId="0" borderId="0"/>
    <xf numFmtId="244" fontId="56" fillId="0" borderId="0"/>
    <xf numFmtId="244" fontId="56" fillId="0" borderId="0"/>
    <xf numFmtId="272" fontId="28" fillId="0" borderId="0" applyFill="0" applyBorder="0" applyAlignment="0"/>
    <xf numFmtId="244" fontId="28" fillId="0" borderId="0" applyFill="0" applyBorder="0" applyAlignment="0"/>
    <xf numFmtId="244" fontId="56" fillId="0" borderId="0"/>
    <xf numFmtId="244" fontId="28" fillId="0" borderId="0" applyFill="0" applyBorder="0" applyAlignment="0"/>
    <xf numFmtId="0" fontId="28" fillId="0" borderId="0" applyFill="0" applyBorder="0" applyAlignment="0"/>
    <xf numFmtId="0" fontId="28" fillId="0" borderId="0" applyFill="0" applyBorder="0" applyAlignment="0"/>
    <xf numFmtId="244" fontId="56" fillId="0" borderId="0"/>
    <xf numFmtId="244" fontId="28" fillId="0" borderId="0" applyFill="0" applyBorder="0" applyAlignment="0"/>
    <xf numFmtId="244" fontId="56" fillId="0" borderId="0"/>
    <xf numFmtId="244" fontId="28" fillId="0" borderId="0" applyFill="0" applyBorder="0" applyAlignment="0"/>
    <xf numFmtId="0" fontId="28" fillId="0" borderId="0" applyFill="0" applyBorder="0" applyAlignment="0"/>
    <xf numFmtId="0" fontId="28" fillId="0" borderId="0" applyFill="0" applyBorder="0" applyAlignment="0"/>
    <xf numFmtId="244" fontId="28" fillId="0" borderId="0" applyFill="0" applyBorder="0" applyAlignment="0"/>
    <xf numFmtId="284" fontId="203" fillId="0" borderId="30">
      <alignment horizontal="center"/>
    </xf>
    <xf numFmtId="244" fontId="56" fillId="0" borderId="0"/>
    <xf numFmtId="244" fontId="56" fillId="0" borderId="0"/>
    <xf numFmtId="244" fontId="28" fillId="0" borderId="0">
      <alignment vertical="top"/>
    </xf>
    <xf numFmtId="244" fontId="56" fillId="0" borderId="0"/>
    <xf numFmtId="244"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244" fontId="56" fillId="0" borderId="0"/>
    <xf numFmtId="244" fontId="28" fillId="0" borderId="0">
      <alignment vertical="top"/>
    </xf>
    <xf numFmtId="244" fontId="56" fillId="0" borderId="0"/>
    <xf numFmtId="244" fontId="98" fillId="0" borderId="0" applyNumberFormat="0" applyFill="0" applyBorder="0" applyAlignment="0" applyProtection="0"/>
    <xf numFmtId="244" fontId="56" fillId="0" borderId="0"/>
    <xf numFmtId="244" fontId="28" fillId="0" borderId="0">
      <alignment vertical="top"/>
    </xf>
    <xf numFmtId="244" fontId="56" fillId="0" borderId="0"/>
    <xf numFmtId="244"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244" fontId="56" fillId="0" borderId="0"/>
    <xf numFmtId="244" fontId="28" fillId="0" borderId="0">
      <alignment vertical="top"/>
    </xf>
    <xf numFmtId="244" fontId="56" fillId="0" borderId="0"/>
    <xf numFmtId="244" fontId="207" fillId="0" borderId="105"/>
    <xf numFmtId="244" fontId="56" fillId="0" borderId="0"/>
    <xf numFmtId="244" fontId="28" fillId="0" borderId="0">
      <alignment vertical="top"/>
    </xf>
    <xf numFmtId="244" fontId="56" fillId="0" borderId="0"/>
    <xf numFmtId="244" fontId="207" fillId="0" borderId="105"/>
    <xf numFmtId="0" fontId="207" fillId="0" borderId="105"/>
    <xf numFmtId="0" fontId="207" fillId="0" borderId="105"/>
    <xf numFmtId="244" fontId="56" fillId="0" borderId="0"/>
    <xf numFmtId="244" fontId="28" fillId="0" borderId="0">
      <alignment vertical="top"/>
    </xf>
    <xf numFmtId="244" fontId="56" fillId="0" borderId="0"/>
    <xf numFmtId="244" fontId="98" fillId="0" borderId="0" applyNumberFormat="0" applyFill="0" applyBorder="0" applyAlignment="0" applyProtection="0"/>
    <xf numFmtId="244" fontId="56" fillId="0" borderId="0"/>
    <xf numFmtId="244" fontId="28" fillId="0" borderId="0">
      <alignment vertical="top"/>
    </xf>
    <xf numFmtId="244" fontId="56" fillId="0" borderId="0"/>
    <xf numFmtId="244"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244" fontId="56" fillId="0" borderId="0"/>
    <xf numFmtId="244" fontId="28" fillId="0" borderId="0">
      <alignment vertical="top"/>
    </xf>
    <xf numFmtId="244" fontId="56" fillId="0" borderId="0"/>
    <xf numFmtId="244" fontId="91" fillId="0" borderId="0" applyNumberFormat="0" applyFill="0" applyBorder="0" applyAlignment="0" applyProtection="0"/>
    <xf numFmtId="244" fontId="56" fillId="0" borderId="0"/>
    <xf numFmtId="244" fontId="28" fillId="0" borderId="0">
      <alignment vertical="top"/>
    </xf>
    <xf numFmtId="244" fontId="56" fillId="0" borderId="0"/>
    <xf numFmtId="244"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244" fontId="56" fillId="0" borderId="0"/>
    <xf numFmtId="244" fontId="28" fillId="0" borderId="0">
      <alignment vertical="top"/>
    </xf>
    <xf numFmtId="244" fontId="56" fillId="0" borderId="0"/>
    <xf numFmtId="244" fontId="98" fillId="0" borderId="0" applyNumberFormat="0" applyFill="0" applyBorder="0" applyAlignment="0" applyProtection="0"/>
    <xf numFmtId="244" fontId="56" fillId="0" borderId="0"/>
    <xf numFmtId="244" fontId="28" fillId="0" borderId="0">
      <alignment vertical="top"/>
    </xf>
    <xf numFmtId="244" fontId="56" fillId="0" borderId="0"/>
    <xf numFmtId="244"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208" fillId="89" borderId="0"/>
    <xf numFmtId="0" fontId="208" fillId="89" borderId="0"/>
    <xf numFmtId="0" fontId="208" fillId="89" borderId="0"/>
    <xf numFmtId="244" fontId="56" fillId="0" borderId="0"/>
    <xf numFmtId="244" fontId="28" fillId="0" borderId="0">
      <alignment vertical="top"/>
    </xf>
    <xf numFmtId="244" fontId="56" fillId="0" borderId="0"/>
    <xf numFmtId="244" fontId="209" fillId="89" borderId="0"/>
    <xf numFmtId="0" fontId="209" fillId="89" borderId="0"/>
    <xf numFmtId="0" fontId="209" fillId="89" borderId="0"/>
    <xf numFmtId="244" fontId="56" fillId="0" borderId="0"/>
    <xf numFmtId="244" fontId="28" fillId="0" borderId="0">
      <alignment vertical="top"/>
    </xf>
    <xf numFmtId="244" fontId="56" fillId="0" borderId="0"/>
    <xf numFmtId="244" fontId="28" fillId="0" borderId="0">
      <alignment vertical="top"/>
    </xf>
    <xf numFmtId="244" fontId="56" fillId="0" borderId="0"/>
    <xf numFmtId="244" fontId="28" fillId="0" borderId="0">
      <alignment vertical="top"/>
    </xf>
    <xf numFmtId="244" fontId="56" fillId="0" borderId="0"/>
    <xf numFmtId="244" fontId="28" fillId="0" borderId="0">
      <alignment vertical="top"/>
    </xf>
    <xf numFmtId="244" fontId="56" fillId="0" borderId="0"/>
    <xf numFmtId="244" fontId="28" fillId="0" borderId="0">
      <alignment vertical="top"/>
    </xf>
    <xf numFmtId="244" fontId="56" fillId="0" borderId="0"/>
    <xf numFmtId="244" fontId="28" fillId="0" borderId="0">
      <alignment vertical="top"/>
    </xf>
    <xf numFmtId="244" fontId="28" fillId="0" borderId="0">
      <alignment vertical="top"/>
    </xf>
    <xf numFmtId="244" fontId="56" fillId="0" borderId="0"/>
    <xf numFmtId="244" fontId="28" fillId="0" borderId="0">
      <alignment vertical="top"/>
    </xf>
    <xf numFmtId="244" fontId="56" fillId="0" borderId="0"/>
    <xf numFmtId="244" fontId="28" fillId="0" borderId="0">
      <alignment vertical="top"/>
    </xf>
    <xf numFmtId="244" fontId="56" fillId="0" borderId="0"/>
    <xf numFmtId="244" fontId="210" fillId="41" borderId="0" applyFont="0"/>
    <xf numFmtId="0" fontId="210" fillId="41" borderId="0" applyFont="0"/>
    <xf numFmtId="0" fontId="210" fillId="41" borderId="0" applyFont="0"/>
    <xf numFmtId="244" fontId="56" fillId="0" borderId="0"/>
    <xf numFmtId="244" fontId="28" fillId="0" borderId="0">
      <alignment vertical="top"/>
    </xf>
    <xf numFmtId="244" fontId="56" fillId="0" borderId="0"/>
    <xf numFmtId="244" fontId="56" fillId="0" borderId="0"/>
    <xf numFmtId="244" fontId="56" fillId="0" borderId="0" applyNumberFormat="0" applyBorder="0" applyAlignment="0"/>
    <xf numFmtId="244" fontId="56" fillId="0" borderId="0"/>
    <xf numFmtId="244" fontId="56" fillId="0" borderId="0" applyNumberFormat="0" applyBorder="0" applyAlignment="0"/>
    <xf numFmtId="244" fontId="56" fillId="0" borderId="0"/>
    <xf numFmtId="244" fontId="56" fillId="0" borderId="0" applyNumberFormat="0" applyBorder="0" applyAlignment="0"/>
    <xf numFmtId="0" fontId="56" fillId="0" borderId="0" applyNumberFormat="0" applyBorder="0" applyAlignment="0"/>
    <xf numFmtId="0" fontId="56" fillId="0" borderId="0" applyNumberFormat="0" applyBorder="0" applyAlignment="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28" fillId="0" borderId="0">
      <alignment vertical="top"/>
    </xf>
    <xf numFmtId="244" fontId="56" fillId="0" borderId="0"/>
    <xf numFmtId="244" fontId="190" fillId="0" borderId="106"/>
    <xf numFmtId="0" fontId="190" fillId="0" borderId="106"/>
    <xf numFmtId="0" fontId="190" fillId="0" borderId="106"/>
    <xf numFmtId="244" fontId="56" fillId="0" borderId="0"/>
    <xf numFmtId="244" fontId="28" fillId="0" borderId="0">
      <alignment vertical="top"/>
    </xf>
    <xf numFmtId="244" fontId="56" fillId="0" borderId="0"/>
    <xf numFmtId="244" fontId="186" fillId="0" borderId="106"/>
    <xf numFmtId="0" fontId="186" fillId="0" borderId="106"/>
    <xf numFmtId="0" fontId="186" fillId="0" borderId="106"/>
    <xf numFmtId="244" fontId="56" fillId="0" borderId="0"/>
    <xf numFmtId="244" fontId="28" fillId="0" borderId="0">
      <alignment vertical="top"/>
    </xf>
    <xf numFmtId="244" fontId="56" fillId="0" borderId="0"/>
    <xf numFmtId="244" fontId="190" fillId="0" borderId="1"/>
    <xf numFmtId="0" fontId="190" fillId="0" borderId="1"/>
    <xf numFmtId="0" fontId="190" fillId="0" borderId="1"/>
    <xf numFmtId="244" fontId="56" fillId="0" borderId="0"/>
    <xf numFmtId="244" fontId="28" fillId="0" borderId="0">
      <alignment vertical="top"/>
    </xf>
    <xf numFmtId="244" fontId="56" fillId="0" borderId="0"/>
    <xf numFmtId="244" fontId="186" fillId="0" borderId="1"/>
    <xf numFmtId="0" fontId="186" fillId="0" borderId="1"/>
    <xf numFmtId="0" fontId="186" fillId="0" borderId="1"/>
    <xf numFmtId="244" fontId="56" fillId="0" borderId="0"/>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29" fillId="74" borderId="0"/>
    <xf numFmtId="0" fontId="29" fillId="74" borderId="0"/>
    <xf numFmtId="0" fontId="29" fillId="74" borderId="0"/>
    <xf numFmtId="244" fontId="56" fillId="0" borderId="0"/>
    <xf numFmtId="244" fontId="28" fillId="0" borderId="0">
      <alignment vertical="top"/>
    </xf>
    <xf numFmtId="244" fontId="29" fillId="74" borderId="0"/>
    <xf numFmtId="0" fontId="29" fillId="74" borderId="0"/>
    <xf numFmtId="40" fontId="211" fillId="0" borderId="29" applyFont="0" applyFill="0" applyBorder="0" applyAlignment="0" applyProtection="0"/>
    <xf numFmtId="40" fontId="211" fillId="0" borderId="29" applyFont="0" applyFill="0" applyBorder="0" applyAlignment="0" applyProtection="0"/>
    <xf numFmtId="244" fontId="56" fillId="0" borderId="0"/>
    <xf numFmtId="244" fontId="56" fillId="0" borderId="0"/>
    <xf numFmtId="285" fontId="203" fillId="0" borderId="0"/>
    <xf numFmtId="244" fontId="56" fillId="0" borderId="0"/>
    <xf numFmtId="244" fontId="56" fillId="0" borderId="0"/>
    <xf numFmtId="286" fontId="203" fillId="0" borderId="29"/>
    <xf numFmtId="244" fontId="56" fillId="0" borderId="0"/>
    <xf numFmtId="244" fontId="56" fillId="0" borderId="0"/>
    <xf numFmtId="244" fontId="28" fillId="0" borderId="0">
      <alignment vertical="top"/>
    </xf>
    <xf numFmtId="244" fontId="56" fillId="0" borderId="0"/>
    <xf numFmtId="244" fontId="212" fillId="0" borderId="0"/>
    <xf numFmtId="0" fontId="212" fillId="0" borderId="0"/>
    <xf numFmtId="0" fontId="212" fillId="0" borderId="0"/>
    <xf numFmtId="244" fontId="56" fillId="0" borderId="0"/>
    <xf numFmtId="244" fontId="28" fillId="0" borderId="0">
      <alignment vertical="top"/>
    </xf>
    <xf numFmtId="244" fontId="56" fillId="0" borderId="0"/>
    <xf numFmtId="244" fontId="212" fillId="0" borderId="0"/>
    <xf numFmtId="0" fontId="212" fillId="0" borderId="0"/>
    <xf numFmtId="0" fontId="212"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213" fillId="90" borderId="29">
      <alignment horizontal="left" vertical="center"/>
    </xf>
    <xf numFmtId="0" fontId="213" fillId="90" borderId="29">
      <alignment horizontal="left" vertical="center"/>
    </xf>
    <xf numFmtId="0" fontId="213" fillId="90" borderId="29">
      <alignment horizontal="left" vertical="center"/>
    </xf>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214" fillId="91" borderId="0">
      <alignment horizontal="left" vertical="center"/>
    </xf>
    <xf numFmtId="0" fontId="214" fillId="91" borderId="0">
      <alignment horizontal="left" vertical="center"/>
    </xf>
    <xf numFmtId="0" fontId="214" fillId="91" borderId="0">
      <alignment horizontal="left" vertical="center"/>
    </xf>
    <xf numFmtId="244" fontId="56" fillId="0" borderId="0"/>
    <xf numFmtId="244" fontId="28" fillId="0" borderId="0">
      <alignment vertical="top"/>
    </xf>
    <xf numFmtId="244" fontId="56" fillId="0" borderId="0"/>
    <xf numFmtId="244" fontId="56" fillId="0" borderId="0"/>
    <xf numFmtId="244" fontId="28" fillId="0" borderId="0">
      <alignment vertical="top"/>
    </xf>
    <xf numFmtId="244" fontId="56" fillId="0" borderId="0"/>
    <xf numFmtId="244" fontId="215" fillId="0" borderId="45">
      <alignment horizontal="left" vertical="center"/>
    </xf>
    <xf numFmtId="0" fontId="215" fillId="0" borderId="45">
      <alignment horizontal="left" vertical="center"/>
    </xf>
    <xf numFmtId="0" fontId="215" fillId="0" borderId="45">
      <alignment horizontal="left" vertical="center"/>
    </xf>
    <xf numFmtId="244" fontId="56" fillId="0" borderId="0"/>
    <xf numFmtId="244" fontId="28" fillId="0" borderId="0">
      <alignment vertical="top"/>
    </xf>
    <xf numFmtId="244" fontId="56" fillId="0" borderId="0"/>
    <xf numFmtId="244" fontId="150" fillId="0" borderId="0" applyNumberFormat="0" applyFill="0" applyBorder="0" applyProtection="0">
      <alignment vertical="top"/>
    </xf>
    <xf numFmtId="244" fontId="56" fillId="0" borderId="0"/>
    <xf numFmtId="244" fontId="150" fillId="0" borderId="0" applyNumberFormat="0" applyFill="0" applyBorder="0" applyProtection="0">
      <alignment vertical="top"/>
    </xf>
    <xf numFmtId="244" fontId="56" fillId="0" borderId="0"/>
    <xf numFmtId="244" fontId="28" fillId="0" borderId="0">
      <alignment vertical="top"/>
    </xf>
    <xf numFmtId="244" fontId="56" fillId="0" borderId="0"/>
    <xf numFmtId="244" fontId="28" fillId="0" borderId="0">
      <alignment vertical="top"/>
    </xf>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0" fontId="173" fillId="0" borderId="90"/>
    <xf numFmtId="0" fontId="173" fillId="0" borderId="90"/>
    <xf numFmtId="244" fontId="56" fillId="0" borderId="0"/>
    <xf numFmtId="244" fontId="56" fillId="0" borderId="0"/>
    <xf numFmtId="244" fontId="28" fillId="0" borderId="0">
      <alignment vertical="top"/>
    </xf>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56" fillId="0" borderId="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0" fontId="173" fillId="0" borderId="90"/>
    <xf numFmtId="0" fontId="173"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0" fontId="174" fillId="0" borderId="90"/>
    <xf numFmtId="0" fontId="174" fillId="0" borderId="9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244" fontId="174" fillId="0" borderId="90"/>
    <xf numFmtId="244" fontId="174" fillId="0" borderId="90"/>
    <xf numFmtId="244" fontId="56" fillId="0" borderId="0"/>
    <xf numFmtId="244" fontId="56" fillId="0" borderId="0"/>
    <xf numFmtId="244" fontId="174" fillId="0" borderId="90"/>
    <xf numFmtId="244" fontId="56" fillId="0" borderId="0"/>
    <xf numFmtId="244" fontId="56" fillId="0" borderId="0"/>
    <xf numFmtId="244" fontId="174" fillId="0" borderId="90"/>
    <xf numFmtId="0" fontId="174" fillId="0" borderId="90"/>
    <xf numFmtId="0" fontId="174" fillId="0" borderId="9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56" fillId="0" borderId="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0" fontId="173" fillId="0" borderId="90"/>
    <xf numFmtId="0" fontId="173" fillId="0" borderId="9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244" fontId="173" fillId="0" borderId="90"/>
    <xf numFmtId="244" fontId="173" fillId="0" borderId="90"/>
    <xf numFmtId="244" fontId="56" fillId="0" borderId="0"/>
    <xf numFmtId="244" fontId="56" fillId="0" borderId="0"/>
    <xf numFmtId="244" fontId="173" fillId="0" borderId="90"/>
    <xf numFmtId="244" fontId="56" fillId="0" borderId="0"/>
    <xf numFmtId="244" fontId="56" fillId="0" borderId="0"/>
    <xf numFmtId="244" fontId="173" fillId="0" borderId="90"/>
    <xf numFmtId="0" fontId="173" fillId="0" borderId="90"/>
    <xf numFmtId="0" fontId="173" fillId="0" borderId="90"/>
    <xf numFmtId="244" fontId="56" fillId="0" borderId="0"/>
    <xf numFmtId="244" fontId="56" fillId="0" borderId="0"/>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56" fillId="0" borderId="0"/>
    <xf numFmtId="244" fontId="56" fillId="0" borderId="0"/>
    <xf numFmtId="244" fontId="56" fillId="0" borderId="0"/>
    <xf numFmtId="244" fontId="28" fillId="0" borderId="0">
      <alignment vertical="top"/>
    </xf>
    <xf numFmtId="244" fontId="56" fillId="0" borderId="0"/>
    <xf numFmtId="244"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244" fontId="56" fillId="0" borderId="0"/>
    <xf numFmtId="244" fontId="77" fillId="92" borderId="38" applyNumberFormat="0" applyBorder="0" applyAlignment="0">
      <alignment horizontal="center"/>
    </xf>
    <xf numFmtId="244" fontId="77" fillId="92" borderId="38" applyNumberFormat="0" applyBorder="0" applyAlignment="0">
      <alignment horizontal="center"/>
    </xf>
    <xf numFmtId="244" fontId="56" fillId="0" borderId="0"/>
    <xf numFmtId="244" fontId="77" fillId="92" borderId="38" applyNumberFormat="0" applyBorder="0" applyAlignment="0">
      <alignment horizontal="center"/>
    </xf>
    <xf numFmtId="0" fontId="77" fillId="92" borderId="38" applyNumberFormat="0" applyBorder="0" applyAlignment="0">
      <alignment horizontal="center"/>
    </xf>
    <xf numFmtId="0" fontId="77" fillId="92" borderId="38" applyNumberFormat="0" applyBorder="0" applyAlignment="0">
      <alignment horizontal="center"/>
    </xf>
    <xf numFmtId="244" fontId="56" fillId="0" borderId="0"/>
    <xf numFmtId="244" fontId="77" fillId="92" borderId="38" applyNumberFormat="0" applyBorder="0" applyAlignment="0">
      <alignment horizontal="center"/>
    </xf>
    <xf numFmtId="244" fontId="77" fillId="92" borderId="38" applyNumberFormat="0" applyBorder="0" applyAlignment="0">
      <alignment horizontal="center"/>
    </xf>
    <xf numFmtId="244" fontId="56" fillId="0" borderId="0"/>
    <xf numFmtId="244" fontId="77" fillId="92" borderId="38" applyNumberFormat="0" applyBorder="0" applyAlignment="0">
      <alignment horizontal="center"/>
    </xf>
    <xf numFmtId="0" fontId="77" fillId="92" borderId="38" applyNumberFormat="0" applyBorder="0" applyAlignment="0">
      <alignment horizontal="center"/>
    </xf>
    <xf numFmtId="0" fontId="77" fillId="92" borderId="38" applyNumberFormat="0" applyBorder="0" applyAlignment="0">
      <alignment horizontal="center"/>
    </xf>
    <xf numFmtId="244" fontId="56" fillId="0" borderId="0"/>
    <xf numFmtId="244" fontId="28" fillId="0" borderId="0">
      <alignment vertical="top"/>
    </xf>
    <xf numFmtId="244" fontId="56" fillId="0" borderId="0"/>
    <xf numFmtId="244" fontId="56" fillId="0" borderId="0"/>
    <xf numFmtId="244" fontId="128" fillId="19" borderId="0" applyNumberFormat="0" applyBorder="0" applyProtection="0">
      <alignment vertical="top"/>
    </xf>
    <xf numFmtId="244" fontId="128" fillId="20" borderId="0" applyNumberFormat="0" applyBorder="0" applyProtection="0">
      <alignment vertical="top"/>
    </xf>
    <xf numFmtId="244" fontId="128" fillId="52" borderId="0" applyNumberFormat="0" applyBorder="0" applyProtection="0">
      <alignment vertical="top"/>
    </xf>
    <xf numFmtId="244" fontId="128" fillId="50" borderId="0" applyNumberFormat="0" applyBorder="0" applyProtection="0">
      <alignment vertical="top"/>
    </xf>
    <xf numFmtId="244" fontId="128" fillId="51" borderId="0" applyNumberFormat="0" applyBorder="0" applyProtection="0">
      <alignment vertical="top"/>
    </xf>
    <xf numFmtId="244" fontId="128" fillId="24" borderId="0" applyNumberFormat="0" applyBorder="0" applyProtection="0">
      <alignment vertical="top"/>
    </xf>
    <xf numFmtId="244" fontId="154" fillId="0" borderId="11" applyNumberFormat="0" applyFill="0" applyProtection="0">
      <alignment vertical="top"/>
    </xf>
    <xf numFmtId="244" fontId="155" fillId="0" borderId="12" applyNumberFormat="0" applyFill="0" applyProtection="0">
      <alignment vertical="top"/>
    </xf>
    <xf numFmtId="244" fontId="156" fillId="0" borderId="13" applyNumberFormat="0" applyFill="0" applyProtection="0">
      <alignment vertical="top"/>
    </xf>
    <xf numFmtId="244" fontId="156" fillId="0" borderId="0" applyNumberFormat="0" applyFill="0" applyBorder="0" applyProtection="0">
      <alignment vertical="top"/>
    </xf>
    <xf numFmtId="244" fontId="158" fillId="55" borderId="4" applyNumberFormat="0" applyProtection="0">
      <alignment vertical="top"/>
    </xf>
    <xf numFmtId="244" fontId="159" fillId="0" borderId="0" applyNumberFormat="0" applyFill="0" applyBorder="0" applyProtection="0">
      <alignment vertical="top"/>
    </xf>
    <xf numFmtId="244" fontId="160" fillId="32" borderId="0" applyNumberFormat="0" applyBorder="0" applyProtection="0">
      <alignment vertical="top"/>
    </xf>
    <xf numFmtId="244" fontId="161" fillId="43" borderId="0" applyNumberFormat="0" applyBorder="0" applyProtection="0">
      <alignment vertical="top"/>
    </xf>
    <xf numFmtId="244" fontId="162" fillId="0" borderId="0" applyNumberFormat="0" applyFill="0" applyBorder="0" applyProtection="0">
      <alignment vertical="top"/>
    </xf>
    <xf numFmtId="244" fontId="163" fillId="0" borderId="14" applyNumberFormat="0" applyFill="0" applyProtection="0">
      <alignment vertical="top"/>
    </xf>
    <xf numFmtId="244" fontId="164" fillId="0" borderId="0" applyNumberFormat="0" applyFill="0" applyBorder="0" applyProtection="0">
      <alignment vertical="top"/>
    </xf>
    <xf numFmtId="244" fontId="165" fillId="6" borderId="0" applyNumberFormat="0" applyBorder="0" applyProtection="0">
      <alignment vertical="top"/>
    </xf>
    <xf numFmtId="244" fontId="28" fillId="0" borderId="0">
      <alignment vertical="top"/>
    </xf>
    <xf numFmtId="244" fontId="177" fillId="0" borderId="0"/>
    <xf numFmtId="0" fontId="177" fillId="0" borderId="0"/>
    <xf numFmtId="244" fontId="28" fillId="0" borderId="0">
      <alignment vertical="top"/>
    </xf>
    <xf numFmtId="244" fontId="177" fillId="0" borderId="0"/>
    <xf numFmtId="0" fontId="177" fillId="0" borderId="0"/>
    <xf numFmtId="244" fontId="28" fillId="0" borderId="0">
      <alignment vertical="top"/>
    </xf>
    <xf numFmtId="244" fontId="177" fillId="0" borderId="0"/>
    <xf numFmtId="0" fontId="177" fillId="0" borderId="0"/>
    <xf numFmtId="244" fontId="28" fillId="0" borderId="0">
      <alignment vertical="top"/>
    </xf>
    <xf numFmtId="244" fontId="177" fillId="0" borderId="0"/>
    <xf numFmtId="0" fontId="177" fillId="0" borderId="0"/>
    <xf numFmtId="244" fontId="28" fillId="0" borderId="0">
      <alignment vertical="top"/>
    </xf>
    <xf numFmtId="244" fontId="177" fillId="0" borderId="0"/>
    <xf numFmtId="0" fontId="177" fillId="0" borderId="0"/>
    <xf numFmtId="244" fontId="28" fillId="0" borderId="0">
      <alignment vertical="top"/>
    </xf>
    <xf numFmtId="244" fontId="177" fillId="0" borderId="0"/>
    <xf numFmtId="0" fontId="177" fillId="0" borderId="0"/>
    <xf numFmtId="244" fontId="28" fillId="0" borderId="0">
      <alignment vertical="top"/>
    </xf>
    <xf numFmtId="244" fontId="177" fillId="0" borderId="0"/>
    <xf numFmtId="0" fontId="177" fillId="0" borderId="0"/>
    <xf numFmtId="244" fontId="28" fillId="0" borderId="0">
      <alignment vertical="top"/>
    </xf>
    <xf numFmtId="244" fontId="177" fillId="0" borderId="0"/>
    <xf numFmtId="0" fontId="177" fillId="0" borderId="0"/>
    <xf numFmtId="0" fontId="16" fillId="0" borderId="0"/>
    <xf numFmtId="9" fontId="16" fillId="0" borderId="0" applyFont="0" applyFill="0" applyBorder="0" applyAlignment="0" applyProtection="0"/>
    <xf numFmtId="43" fontId="16"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37" fontId="178" fillId="0" borderId="0" applyNumberFormat="0" applyFill="0" applyBorder="0" applyAlignment="0" applyProtection="0"/>
    <xf numFmtId="43" fontId="28" fillId="0" borderId="0" applyFont="0" applyFill="0" applyBorder="0" applyAlignment="0" applyProtection="0"/>
    <xf numFmtId="43" fontId="56" fillId="0" borderId="0" applyFont="0" applyFill="0" applyBorder="0" applyAlignment="0" applyProtection="0"/>
    <xf numFmtId="43" fontId="169"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56" fillId="0" borderId="0" applyFont="0" applyFill="0" applyBorder="0" applyAlignment="0" applyProtection="0"/>
    <xf numFmtId="0" fontId="15" fillId="0" borderId="0"/>
    <xf numFmtId="0" fontId="15" fillId="0" borderId="0"/>
    <xf numFmtId="0" fontId="15" fillId="0" borderId="0"/>
    <xf numFmtId="0" fontId="169" fillId="0" borderId="0"/>
    <xf numFmtId="0" fontId="15" fillId="0" borderId="0"/>
    <xf numFmtId="0" fontId="15" fillId="0" borderId="0"/>
    <xf numFmtId="0" fontId="15" fillId="0" borderId="0"/>
    <xf numFmtId="0" fontId="15" fillId="0" borderId="0"/>
    <xf numFmtId="9" fontId="56" fillId="0" borderId="0" applyFont="0" applyFill="0" applyBorder="0" applyAlignment="0" applyProtection="0"/>
    <xf numFmtId="37" fontId="200" fillId="0" borderId="0" applyNumberFormat="0" applyFill="0" applyBorder="0" applyAlignment="0" applyProtection="0"/>
    <xf numFmtId="259" fontId="201" fillId="0" borderId="37" applyFont="0" applyBorder="0" applyAlignment="0">
      <alignment horizontal="center" vertical="center"/>
    </xf>
    <xf numFmtId="40" fontId="211" fillId="0" borderId="29" applyFont="0" applyFill="0" applyBorder="0" applyAlignment="0" applyProtection="0"/>
    <xf numFmtId="0" fontId="28" fillId="0" borderId="0">
      <alignment vertical="top"/>
    </xf>
    <xf numFmtId="170" fontId="28" fillId="0" borderId="0" applyFill="0" applyBorder="0" applyProtection="0">
      <alignment vertical="top"/>
    </xf>
    <xf numFmtId="0" fontId="28" fillId="2" borderId="0"/>
    <xf numFmtId="220" fontId="28" fillId="0" borderId="0" applyFill="0" applyBorder="0" applyProtection="0">
      <alignment vertical="top"/>
    </xf>
    <xf numFmtId="235" fontId="28" fillId="3" borderId="0" applyBorder="0"/>
    <xf numFmtId="0" fontId="28" fillId="3" borderId="0">
      <alignment horizontal="center" vertical="top" wrapText="1"/>
    </xf>
    <xf numFmtId="244" fontId="28" fillId="0" borderId="0" applyFill="0" applyBorder="0" applyProtection="0">
      <alignment vertical="top"/>
    </xf>
    <xf numFmtId="0" fontId="28" fillId="0" borderId="0"/>
    <xf numFmtId="0" fontId="34" fillId="0" borderId="0"/>
    <xf numFmtId="0" fontId="28" fillId="21" borderId="16" applyNumberFormat="0" applyProtection="0">
      <alignment vertical="top"/>
    </xf>
    <xf numFmtId="9" fontId="28" fillId="0" borderId="0" applyFill="0" applyBorder="0" applyProtection="0">
      <alignment vertical="top"/>
    </xf>
    <xf numFmtId="9" fontId="28" fillId="0" borderId="0" applyFill="0" applyBorder="0" applyProtection="0">
      <alignment vertical="top"/>
    </xf>
    <xf numFmtId="9" fontId="28" fillId="0" borderId="0" applyFill="0" applyBorder="0" applyProtection="0">
      <alignment vertical="top"/>
    </xf>
    <xf numFmtId="0" fontId="28" fillId="0" borderId="19"/>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28"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38" fillId="0" borderId="116">
      <alignment horizontal="center"/>
    </xf>
    <xf numFmtId="0" fontId="38" fillId="0" borderId="116">
      <alignment horizontal="center"/>
    </xf>
    <xf numFmtId="0" fontId="38" fillId="0" borderId="116">
      <alignment horizontal="center"/>
    </xf>
    <xf numFmtId="166"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73" fillId="0" borderId="90"/>
    <xf numFmtId="0" fontId="173" fillId="0" borderId="90"/>
    <xf numFmtId="0" fontId="173" fillId="0" borderId="90"/>
    <xf numFmtId="0" fontId="173" fillId="0" borderId="90"/>
    <xf numFmtId="0" fontId="173" fillId="0" borderId="90"/>
    <xf numFmtId="0" fontId="173" fillId="0" borderId="90"/>
    <xf numFmtId="0" fontId="174" fillId="0" borderId="90"/>
    <xf numFmtId="0" fontId="174" fillId="0" borderId="90"/>
    <xf numFmtId="0" fontId="174" fillId="0" borderId="90"/>
    <xf numFmtId="0" fontId="174" fillId="0" borderId="90"/>
    <xf numFmtId="0" fontId="174" fillId="0" borderId="90"/>
    <xf numFmtId="0" fontId="174" fillId="0" borderId="90"/>
    <xf numFmtId="0" fontId="173" fillId="0" borderId="90"/>
    <xf numFmtId="0" fontId="173" fillId="0" borderId="90"/>
    <xf numFmtId="0" fontId="173" fillId="0" borderId="90"/>
    <xf numFmtId="0" fontId="173" fillId="0" borderId="90"/>
    <xf numFmtId="0" fontId="173" fillId="0" borderId="90"/>
    <xf numFmtId="0" fontId="173" fillId="0" borderId="9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244" fontId="15" fillId="0" borderId="0"/>
    <xf numFmtId="9"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0"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08" fillId="0" borderId="118"/>
    <xf numFmtId="0" fontId="56" fillId="0" borderId="0"/>
    <xf numFmtId="0" fontId="219" fillId="0" borderId="0"/>
    <xf numFmtId="0" fontId="220" fillId="0" borderId="0"/>
    <xf numFmtId="0" fontId="56" fillId="0" borderId="0"/>
    <xf numFmtId="282" fontId="118" fillId="0" borderId="0" applyFont="0" applyFill="0" applyBorder="0" applyAlignment="0" applyProtection="0"/>
    <xf numFmtId="265" fontId="222" fillId="0" borderId="119" applyFont="0" applyBorder="0"/>
    <xf numFmtId="170" fontId="223" fillId="0" borderId="0" applyFont="0" applyFill="0" applyBorder="0" applyAlignment="0" applyProtection="0"/>
    <xf numFmtId="288" fontId="223" fillId="0" borderId="0" applyFont="0" applyFill="0" applyBorder="0" applyAlignment="0" applyProtection="0"/>
    <xf numFmtId="284" fontId="118" fillId="0" borderId="0" applyFont="0" applyFill="0" applyBorder="0" applyAlignment="0" applyProtection="0"/>
    <xf numFmtId="291" fontId="176" fillId="0" borderId="0" applyFont="0" applyFill="0" applyBorder="0" applyAlignment="0" applyProtection="0"/>
    <xf numFmtId="291" fontId="176" fillId="0" borderId="0" applyFont="0" applyFill="0" applyBorder="0" applyAlignment="0" applyProtection="0"/>
    <xf numFmtId="291" fontId="176" fillId="0" borderId="0" applyFont="0" applyFill="0" applyBorder="0" applyAlignment="0" applyProtection="0"/>
    <xf numFmtId="42" fontId="176" fillId="0" borderId="0" applyFont="0" applyFill="0" applyBorder="0" applyAlignment="0" applyProtection="0"/>
    <xf numFmtId="292" fontId="176" fillId="0" borderId="0" applyFont="0" applyFill="0" applyBorder="0" applyAlignment="0" applyProtection="0"/>
    <xf numFmtId="293" fontId="176" fillId="0" borderId="0" applyFont="0" applyFill="0" applyBorder="0" applyAlignment="0" applyProtection="0"/>
    <xf numFmtId="293" fontId="176" fillId="0" borderId="0" applyFont="0" applyFill="0" applyBorder="0" applyAlignment="0" applyProtection="0"/>
    <xf numFmtId="293" fontId="176" fillId="0" borderId="0" applyFont="0" applyFill="0" applyBorder="0" applyAlignment="0" applyProtection="0"/>
    <xf numFmtId="292" fontId="176" fillId="0" borderId="0" applyFont="0" applyFill="0" applyBorder="0" applyAlignment="0" applyProtection="0"/>
    <xf numFmtId="292" fontId="176" fillId="0" borderId="0" applyFont="0" applyFill="0" applyBorder="0" applyAlignment="0" applyProtection="0"/>
    <xf numFmtId="294" fontId="118" fillId="0" borderId="0" applyFont="0" applyFill="0" applyBorder="0" applyAlignment="0" applyProtection="0"/>
    <xf numFmtId="294" fontId="118" fillId="0" borderId="0" applyFont="0" applyFill="0" applyBorder="0" applyAlignment="0" applyProtection="0"/>
    <xf numFmtId="294" fontId="118" fillId="0" borderId="0" applyFont="0" applyFill="0" applyBorder="0" applyAlignment="0" applyProtection="0"/>
    <xf numFmtId="284" fontId="118" fillId="0" borderId="0" applyFont="0" applyFill="0" applyBorder="0" applyAlignment="0" applyProtection="0"/>
    <xf numFmtId="284" fontId="118" fillId="0" borderId="0" applyFont="0" applyFill="0" applyBorder="0" applyAlignment="0" applyProtection="0"/>
    <xf numFmtId="42" fontId="176" fillId="0" borderId="0" applyFont="0" applyFill="0" applyBorder="0" applyAlignment="0" applyProtection="0"/>
    <xf numFmtId="282" fontId="118" fillId="0" borderId="0" applyFont="0" applyFill="0" applyBorder="0" applyAlignment="0" applyProtection="0"/>
    <xf numFmtId="295" fontId="118" fillId="0" borderId="0" applyFont="0" applyFill="0" applyBorder="0" applyAlignment="0" applyProtection="0"/>
    <xf numFmtId="295" fontId="118" fillId="0" borderId="0" applyFont="0" applyFill="0" applyBorder="0" applyAlignment="0" applyProtection="0"/>
    <xf numFmtId="295" fontId="118" fillId="0" borderId="0" applyFont="0" applyFill="0" applyBorder="0" applyAlignment="0" applyProtection="0"/>
    <xf numFmtId="282" fontId="118" fillId="0" borderId="0" applyFont="0" applyFill="0" applyBorder="0" applyAlignment="0" applyProtection="0"/>
    <xf numFmtId="282" fontId="118" fillId="0" borderId="0" applyFont="0" applyFill="0" applyBorder="0" applyAlignment="0" applyProtection="0"/>
    <xf numFmtId="295" fontId="118" fillId="0" borderId="0" applyFont="0" applyFill="0" applyBorder="0" applyAlignment="0" applyProtection="0"/>
    <xf numFmtId="295" fontId="118" fillId="0" borderId="0" applyFont="0" applyFill="0" applyBorder="0" applyAlignment="0" applyProtection="0"/>
    <xf numFmtId="295" fontId="118" fillId="0" borderId="0" applyFont="0" applyFill="0" applyBorder="0" applyAlignment="0" applyProtection="0"/>
    <xf numFmtId="282" fontId="118" fillId="0" borderId="0" applyFont="0" applyFill="0" applyBorder="0" applyAlignment="0" applyProtection="0"/>
    <xf numFmtId="282" fontId="118" fillId="0" borderId="0" applyFont="0" applyFill="0" applyBorder="0" applyAlignment="0" applyProtection="0"/>
    <xf numFmtId="296" fontId="118" fillId="0" borderId="0" applyFont="0" applyFill="0" applyBorder="0" applyAlignment="0" applyProtection="0"/>
    <xf numFmtId="297" fontId="118" fillId="0" borderId="0" applyFont="0" applyFill="0" applyBorder="0" applyAlignment="0" applyProtection="0"/>
    <xf numFmtId="297" fontId="118" fillId="0" borderId="0" applyFont="0" applyFill="0" applyBorder="0" applyAlignment="0" applyProtection="0"/>
    <xf numFmtId="297" fontId="118" fillId="0" borderId="0" applyFont="0" applyFill="0" applyBorder="0" applyAlignment="0" applyProtection="0"/>
    <xf numFmtId="296" fontId="118" fillId="0" borderId="0" applyFont="0" applyFill="0" applyBorder="0" applyAlignment="0" applyProtection="0"/>
    <xf numFmtId="296" fontId="118" fillId="0" borderId="0" applyFont="0" applyFill="0" applyBorder="0" applyAlignment="0" applyProtection="0"/>
    <xf numFmtId="282" fontId="118" fillId="0" borderId="0" applyFont="0" applyFill="0" applyBorder="0" applyAlignment="0" applyProtection="0"/>
    <xf numFmtId="166" fontId="118" fillId="0" borderId="0" applyFont="0" applyFill="0" applyBorder="0" applyAlignment="0" applyProtection="0"/>
    <xf numFmtId="298" fontId="118" fillId="0" borderId="0" applyFont="0" applyFill="0" applyBorder="0" applyAlignment="0" applyProtection="0"/>
    <xf numFmtId="298" fontId="118" fillId="0" borderId="0" applyFont="0" applyFill="0" applyBorder="0" applyAlignment="0" applyProtection="0"/>
    <xf numFmtId="298" fontId="118" fillId="0" borderId="0" applyFont="0" applyFill="0" applyBorder="0" applyAlignment="0" applyProtection="0"/>
    <xf numFmtId="166" fontId="118" fillId="0" borderId="0" applyFont="0" applyFill="0" applyBorder="0" applyAlignment="0" applyProtection="0"/>
    <xf numFmtId="299" fontId="176" fillId="0" borderId="0" applyFont="0" applyFill="0" applyBorder="0" applyAlignment="0" applyProtection="0"/>
    <xf numFmtId="289" fontId="176" fillId="0" borderId="0" applyFont="0" applyFill="0" applyBorder="0" applyAlignment="0" applyProtection="0"/>
    <xf numFmtId="300" fontId="176" fillId="0" borderId="0" applyFont="0" applyFill="0" applyBorder="0" applyAlignment="0" applyProtection="0"/>
    <xf numFmtId="300" fontId="176" fillId="0" borderId="0" applyFont="0" applyFill="0" applyBorder="0" applyAlignment="0" applyProtection="0"/>
    <xf numFmtId="300" fontId="176" fillId="0" borderId="0" applyFont="0" applyFill="0" applyBorder="0" applyAlignment="0" applyProtection="0"/>
    <xf numFmtId="289" fontId="176" fillId="0" borderId="0" applyFont="0" applyFill="0" applyBorder="0" applyAlignment="0" applyProtection="0"/>
    <xf numFmtId="289"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289" fontId="176" fillId="0" borderId="0" applyFont="0" applyFill="0" applyBorder="0" applyAlignment="0" applyProtection="0"/>
    <xf numFmtId="300" fontId="176" fillId="0" borderId="0" applyFont="0" applyFill="0" applyBorder="0" applyAlignment="0" applyProtection="0"/>
    <xf numFmtId="300" fontId="176" fillId="0" borderId="0" applyFont="0" applyFill="0" applyBorder="0" applyAlignment="0" applyProtection="0"/>
    <xf numFmtId="300" fontId="176" fillId="0" borderId="0" applyFont="0" applyFill="0" applyBorder="0" applyAlignment="0" applyProtection="0"/>
    <xf numFmtId="289" fontId="176" fillId="0" borderId="0" applyFont="0" applyFill="0" applyBorder="0" applyAlignment="0" applyProtection="0"/>
    <xf numFmtId="289"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304" fontId="176" fillId="0" borderId="0" applyFont="0" applyFill="0" applyBorder="0" applyAlignment="0" applyProtection="0"/>
    <xf numFmtId="305" fontId="176" fillId="0" borderId="0" applyFont="0" applyFill="0" applyBorder="0" applyAlignment="0" applyProtection="0"/>
    <xf numFmtId="305" fontId="176" fillId="0" borderId="0" applyFont="0" applyFill="0" applyBorder="0" applyAlignment="0" applyProtection="0"/>
    <xf numFmtId="305" fontId="176" fillId="0" borderId="0" applyFont="0" applyFill="0" applyBorder="0" applyAlignment="0" applyProtection="0"/>
    <xf numFmtId="304" fontId="176" fillId="0" borderId="0" applyFont="0" applyFill="0" applyBorder="0" applyAlignment="0" applyProtection="0"/>
    <xf numFmtId="304" fontId="176" fillId="0" borderId="0" applyFont="0" applyFill="0" applyBorder="0" applyAlignment="0" applyProtection="0"/>
    <xf numFmtId="306" fontId="176" fillId="0" borderId="0" applyFont="0" applyFill="0" applyBorder="0" applyAlignment="0" applyProtection="0"/>
    <xf numFmtId="307" fontId="176" fillId="0" borderId="0" applyFont="0" applyFill="0" applyBorder="0" applyAlignment="0" applyProtection="0"/>
    <xf numFmtId="307" fontId="176" fillId="0" borderId="0" applyFont="0" applyFill="0" applyBorder="0" applyAlignment="0" applyProtection="0"/>
    <xf numFmtId="307" fontId="176" fillId="0" borderId="0" applyFont="0" applyFill="0" applyBorder="0" applyAlignment="0" applyProtection="0"/>
    <xf numFmtId="306" fontId="176" fillId="0" borderId="0" applyFont="0" applyFill="0" applyBorder="0" applyAlignment="0" applyProtection="0"/>
    <xf numFmtId="306" fontId="176" fillId="0" borderId="0" applyFont="0" applyFill="0" applyBorder="0" applyAlignment="0" applyProtection="0"/>
    <xf numFmtId="299" fontId="176" fillId="0" borderId="0" applyFont="0" applyFill="0" applyBorder="0" applyAlignment="0" applyProtection="0"/>
    <xf numFmtId="166" fontId="176" fillId="0" borderId="0" applyFont="0" applyFill="0" applyBorder="0" applyAlignment="0" applyProtection="0"/>
    <xf numFmtId="166" fontId="118" fillId="0" borderId="0" applyFont="0" applyFill="0" applyBorder="0" applyAlignment="0" applyProtection="0"/>
    <xf numFmtId="165" fontId="118" fillId="0" borderId="0" applyFont="0" applyFill="0" applyBorder="0" applyAlignment="0" applyProtection="0"/>
    <xf numFmtId="308" fontId="118" fillId="0" borderId="0" applyFont="0" applyFill="0" applyBorder="0" applyAlignment="0" applyProtection="0"/>
    <xf numFmtId="308" fontId="118" fillId="0" borderId="0" applyFont="0" applyFill="0" applyBorder="0" applyAlignment="0" applyProtection="0"/>
    <xf numFmtId="308" fontId="118" fillId="0" borderId="0" applyFont="0" applyFill="0" applyBorder="0" applyAlignment="0" applyProtection="0"/>
    <xf numFmtId="165" fontId="118" fillId="0" borderId="0" applyFont="0" applyFill="0" applyBorder="0" applyAlignment="0" applyProtection="0"/>
    <xf numFmtId="42" fontId="176" fillId="0" borderId="0" applyFont="0" applyFill="0" applyBorder="0" applyAlignment="0" applyProtection="0"/>
    <xf numFmtId="284" fontId="118" fillId="0" borderId="0" applyFont="0" applyFill="0" applyBorder="0" applyAlignment="0" applyProtection="0"/>
    <xf numFmtId="291" fontId="176" fillId="0" borderId="0" applyFont="0" applyFill="0" applyBorder="0" applyAlignment="0" applyProtection="0"/>
    <xf numFmtId="291" fontId="176" fillId="0" borderId="0" applyFont="0" applyFill="0" applyBorder="0" applyAlignment="0" applyProtection="0"/>
    <xf numFmtId="291" fontId="176" fillId="0" borderId="0" applyFont="0" applyFill="0" applyBorder="0" applyAlignment="0" applyProtection="0"/>
    <xf numFmtId="42" fontId="176" fillId="0" borderId="0" applyFont="0" applyFill="0" applyBorder="0" applyAlignment="0" applyProtection="0"/>
    <xf numFmtId="292" fontId="176" fillId="0" borderId="0" applyFont="0" applyFill="0" applyBorder="0" applyAlignment="0" applyProtection="0"/>
    <xf numFmtId="293" fontId="176" fillId="0" borderId="0" applyFont="0" applyFill="0" applyBorder="0" applyAlignment="0" applyProtection="0"/>
    <xf numFmtId="293" fontId="176" fillId="0" borderId="0" applyFont="0" applyFill="0" applyBorder="0" applyAlignment="0" applyProtection="0"/>
    <xf numFmtId="293" fontId="176" fillId="0" borderId="0" applyFont="0" applyFill="0" applyBorder="0" applyAlignment="0" applyProtection="0"/>
    <xf numFmtId="292" fontId="176" fillId="0" borderId="0" applyFont="0" applyFill="0" applyBorder="0" applyAlignment="0" applyProtection="0"/>
    <xf numFmtId="292" fontId="176" fillId="0" borderId="0" applyFont="0" applyFill="0" applyBorder="0" applyAlignment="0" applyProtection="0"/>
    <xf numFmtId="294" fontId="118" fillId="0" borderId="0" applyFont="0" applyFill="0" applyBorder="0" applyAlignment="0" applyProtection="0"/>
    <xf numFmtId="294" fontId="118" fillId="0" borderId="0" applyFont="0" applyFill="0" applyBorder="0" applyAlignment="0" applyProtection="0"/>
    <xf numFmtId="294" fontId="118" fillId="0" borderId="0" applyFont="0" applyFill="0" applyBorder="0" applyAlignment="0" applyProtection="0"/>
    <xf numFmtId="284" fontId="118" fillId="0" borderId="0" applyFont="0" applyFill="0" applyBorder="0" applyAlignment="0" applyProtection="0"/>
    <xf numFmtId="284" fontId="118" fillId="0" borderId="0" applyFont="0" applyFill="0" applyBorder="0" applyAlignment="0" applyProtection="0"/>
    <xf numFmtId="42" fontId="176" fillId="0" borderId="0" applyFont="0" applyFill="0" applyBorder="0" applyAlignment="0" applyProtection="0"/>
    <xf numFmtId="291" fontId="176" fillId="0" borderId="0" applyFont="0" applyFill="0" applyBorder="0" applyAlignment="0" applyProtection="0"/>
    <xf numFmtId="291" fontId="176" fillId="0" borderId="0" applyFont="0" applyFill="0" applyBorder="0" applyAlignment="0" applyProtection="0"/>
    <xf numFmtId="291" fontId="176" fillId="0" borderId="0" applyFont="0" applyFill="0" applyBorder="0" applyAlignment="0" applyProtection="0"/>
    <xf numFmtId="42" fontId="176" fillId="0" borderId="0" applyFont="0" applyFill="0" applyBorder="0" applyAlignment="0" applyProtection="0"/>
    <xf numFmtId="42" fontId="176" fillId="0" borderId="0" applyFont="0" applyFill="0" applyBorder="0" applyAlignment="0" applyProtection="0"/>
    <xf numFmtId="284" fontId="176" fillId="0" borderId="0" applyFont="0" applyFill="0" applyBorder="0" applyAlignment="0" applyProtection="0"/>
    <xf numFmtId="284" fontId="118" fillId="0" borderId="0" applyFont="0" applyFill="0" applyBorder="0" applyAlignment="0" applyProtection="0"/>
    <xf numFmtId="294" fontId="176" fillId="0" borderId="0" applyFont="0" applyFill="0" applyBorder="0" applyAlignment="0" applyProtection="0"/>
    <xf numFmtId="294" fontId="176" fillId="0" borderId="0" applyFont="0" applyFill="0" applyBorder="0" applyAlignment="0" applyProtection="0"/>
    <xf numFmtId="294" fontId="176" fillId="0" borderId="0" applyFont="0" applyFill="0" applyBorder="0" applyAlignment="0" applyProtection="0"/>
    <xf numFmtId="284" fontId="176" fillId="0" borderId="0" applyFont="0" applyFill="0" applyBorder="0" applyAlignment="0" applyProtection="0"/>
    <xf numFmtId="294" fontId="118" fillId="0" borderId="0" applyFont="0" applyFill="0" applyBorder="0" applyAlignment="0" applyProtection="0"/>
    <xf numFmtId="294" fontId="118" fillId="0" borderId="0" applyFont="0" applyFill="0" applyBorder="0" applyAlignment="0" applyProtection="0"/>
    <xf numFmtId="294" fontId="118" fillId="0" borderId="0" applyFont="0" applyFill="0" applyBorder="0" applyAlignment="0" applyProtection="0"/>
    <xf numFmtId="284" fontId="118" fillId="0" borderId="0" applyFont="0" applyFill="0" applyBorder="0" applyAlignment="0" applyProtection="0"/>
    <xf numFmtId="284" fontId="118" fillId="0" borderId="0" applyFont="0" applyFill="0" applyBorder="0" applyAlignment="0" applyProtection="0"/>
    <xf numFmtId="309" fontId="176" fillId="0" borderId="0" applyFont="0" applyFill="0" applyBorder="0" applyAlignment="0" applyProtection="0"/>
    <xf numFmtId="310" fontId="176" fillId="0" borderId="0" applyFont="0" applyFill="0" applyBorder="0" applyAlignment="0" applyProtection="0"/>
    <xf numFmtId="310" fontId="176" fillId="0" borderId="0" applyFont="0" applyFill="0" applyBorder="0" applyAlignment="0" applyProtection="0"/>
    <xf numFmtId="310" fontId="176" fillId="0" borderId="0" applyFont="0" applyFill="0" applyBorder="0" applyAlignment="0" applyProtection="0"/>
    <xf numFmtId="309" fontId="176" fillId="0" borderId="0" applyFont="0" applyFill="0" applyBorder="0" applyAlignment="0" applyProtection="0"/>
    <xf numFmtId="309" fontId="176" fillId="0" borderId="0" applyFont="0" applyFill="0" applyBorder="0" applyAlignment="0" applyProtection="0"/>
    <xf numFmtId="309" fontId="176" fillId="0" borderId="0" applyFont="0" applyFill="0" applyBorder="0" applyAlignment="0" applyProtection="0"/>
    <xf numFmtId="310" fontId="176" fillId="0" borderId="0" applyFont="0" applyFill="0" applyBorder="0" applyAlignment="0" applyProtection="0"/>
    <xf numFmtId="310" fontId="176" fillId="0" borderId="0" applyFont="0" applyFill="0" applyBorder="0" applyAlignment="0" applyProtection="0"/>
    <xf numFmtId="310" fontId="176" fillId="0" borderId="0" applyFont="0" applyFill="0" applyBorder="0" applyAlignment="0" applyProtection="0"/>
    <xf numFmtId="309" fontId="176" fillId="0" borderId="0" applyFont="0" applyFill="0" applyBorder="0" applyAlignment="0" applyProtection="0"/>
    <xf numFmtId="309" fontId="176" fillId="0" borderId="0" applyFont="0" applyFill="0" applyBorder="0" applyAlignment="0" applyProtection="0"/>
    <xf numFmtId="284" fontId="176" fillId="0" borderId="0" applyFont="0" applyFill="0" applyBorder="0" applyAlignment="0" applyProtection="0"/>
    <xf numFmtId="294" fontId="176" fillId="0" borderId="0" applyFont="0" applyFill="0" applyBorder="0" applyAlignment="0" applyProtection="0"/>
    <xf numFmtId="294" fontId="176" fillId="0" borderId="0" applyFont="0" applyFill="0" applyBorder="0" applyAlignment="0" applyProtection="0"/>
    <xf numFmtId="294" fontId="176" fillId="0" borderId="0" applyFont="0" applyFill="0" applyBorder="0" applyAlignment="0" applyProtection="0"/>
    <xf numFmtId="284" fontId="176" fillId="0" borderId="0" applyFont="0" applyFill="0" applyBorder="0" applyAlignment="0" applyProtection="0"/>
    <xf numFmtId="284" fontId="176" fillId="0" borderId="0" applyFont="0" applyFill="0" applyBorder="0" applyAlignment="0" applyProtection="0"/>
    <xf numFmtId="284" fontId="176" fillId="0" borderId="0" applyFont="0" applyFill="0" applyBorder="0" applyAlignment="0" applyProtection="0"/>
    <xf numFmtId="311" fontId="176" fillId="0" borderId="0" applyFont="0" applyFill="0" applyBorder="0" applyAlignment="0" applyProtection="0"/>
    <xf numFmtId="312" fontId="176" fillId="0" borderId="0" applyFont="0" applyFill="0" applyBorder="0" applyAlignment="0" applyProtection="0"/>
    <xf numFmtId="312" fontId="176" fillId="0" borderId="0" applyFont="0" applyFill="0" applyBorder="0" applyAlignment="0" applyProtection="0"/>
    <xf numFmtId="312" fontId="176" fillId="0" borderId="0" applyFont="0" applyFill="0" applyBorder="0" applyAlignment="0" applyProtection="0"/>
    <xf numFmtId="311" fontId="176" fillId="0" borderId="0" applyFont="0" applyFill="0" applyBorder="0" applyAlignment="0" applyProtection="0"/>
    <xf numFmtId="311" fontId="176" fillId="0" borderId="0" applyFont="0" applyFill="0" applyBorder="0" applyAlignment="0" applyProtection="0"/>
    <xf numFmtId="42" fontId="176" fillId="0" borderId="0" applyFont="0" applyFill="0" applyBorder="0" applyAlignment="0" applyProtection="0"/>
    <xf numFmtId="42" fontId="176" fillId="0" borderId="0" applyFont="0" applyFill="0" applyBorder="0" applyAlignment="0" applyProtection="0"/>
    <xf numFmtId="165" fontId="118" fillId="0" borderId="0" applyFont="0" applyFill="0" applyBorder="0" applyAlignment="0" applyProtection="0"/>
    <xf numFmtId="299" fontId="176" fillId="0" borderId="0" applyFont="0" applyFill="0" applyBorder="0" applyAlignment="0" applyProtection="0"/>
    <xf numFmtId="289" fontId="176" fillId="0" borderId="0" applyFont="0" applyFill="0" applyBorder="0" applyAlignment="0" applyProtection="0"/>
    <xf numFmtId="300" fontId="176" fillId="0" borderId="0" applyFont="0" applyFill="0" applyBorder="0" applyAlignment="0" applyProtection="0"/>
    <xf numFmtId="300" fontId="176" fillId="0" borderId="0" applyFont="0" applyFill="0" applyBorder="0" applyAlignment="0" applyProtection="0"/>
    <xf numFmtId="300" fontId="176" fillId="0" borderId="0" applyFont="0" applyFill="0" applyBorder="0" applyAlignment="0" applyProtection="0"/>
    <xf numFmtId="289" fontId="176" fillId="0" borderId="0" applyFont="0" applyFill="0" applyBorder="0" applyAlignment="0" applyProtection="0"/>
    <xf numFmtId="289"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289" fontId="176" fillId="0" borderId="0" applyFont="0" applyFill="0" applyBorder="0" applyAlignment="0" applyProtection="0"/>
    <xf numFmtId="300" fontId="176" fillId="0" borderId="0" applyFont="0" applyFill="0" applyBorder="0" applyAlignment="0" applyProtection="0"/>
    <xf numFmtId="300" fontId="176" fillId="0" borderId="0" applyFont="0" applyFill="0" applyBorder="0" applyAlignment="0" applyProtection="0"/>
    <xf numFmtId="300" fontId="176" fillId="0" borderId="0" applyFont="0" applyFill="0" applyBorder="0" applyAlignment="0" applyProtection="0"/>
    <xf numFmtId="289" fontId="176" fillId="0" borderId="0" applyFont="0" applyFill="0" applyBorder="0" applyAlignment="0" applyProtection="0"/>
    <xf numFmtId="289"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304" fontId="176" fillId="0" borderId="0" applyFont="0" applyFill="0" applyBorder="0" applyAlignment="0" applyProtection="0"/>
    <xf numFmtId="305" fontId="176" fillId="0" borderId="0" applyFont="0" applyFill="0" applyBorder="0" applyAlignment="0" applyProtection="0"/>
    <xf numFmtId="305" fontId="176" fillId="0" borderId="0" applyFont="0" applyFill="0" applyBorder="0" applyAlignment="0" applyProtection="0"/>
    <xf numFmtId="305" fontId="176" fillId="0" borderId="0" applyFont="0" applyFill="0" applyBorder="0" applyAlignment="0" applyProtection="0"/>
    <xf numFmtId="304" fontId="176" fillId="0" borderId="0" applyFont="0" applyFill="0" applyBorder="0" applyAlignment="0" applyProtection="0"/>
    <xf numFmtId="304" fontId="176" fillId="0" borderId="0" applyFont="0" applyFill="0" applyBorder="0" applyAlignment="0" applyProtection="0"/>
    <xf numFmtId="166" fontId="118" fillId="0" borderId="0" applyFont="0" applyFill="0" applyBorder="0" applyAlignment="0" applyProtection="0"/>
    <xf numFmtId="298" fontId="118" fillId="0" borderId="0" applyFont="0" applyFill="0" applyBorder="0" applyAlignment="0" applyProtection="0"/>
    <xf numFmtId="298" fontId="118" fillId="0" borderId="0" applyFont="0" applyFill="0" applyBorder="0" applyAlignment="0" applyProtection="0"/>
    <xf numFmtId="298" fontId="118" fillId="0" borderId="0" applyFont="0" applyFill="0" applyBorder="0" applyAlignment="0" applyProtection="0"/>
    <xf numFmtId="166" fontId="118" fillId="0" borderId="0" applyFont="0" applyFill="0" applyBorder="0" applyAlignment="0" applyProtection="0"/>
    <xf numFmtId="166" fontId="118" fillId="0" borderId="0" applyFont="0" applyFill="0" applyBorder="0" applyAlignment="0" applyProtection="0"/>
    <xf numFmtId="306" fontId="176" fillId="0" borderId="0" applyFont="0" applyFill="0" applyBorder="0" applyAlignment="0" applyProtection="0"/>
    <xf numFmtId="307" fontId="176" fillId="0" borderId="0" applyFont="0" applyFill="0" applyBorder="0" applyAlignment="0" applyProtection="0"/>
    <xf numFmtId="307" fontId="176" fillId="0" borderId="0" applyFont="0" applyFill="0" applyBorder="0" applyAlignment="0" applyProtection="0"/>
    <xf numFmtId="307" fontId="176" fillId="0" borderId="0" applyFont="0" applyFill="0" applyBorder="0" applyAlignment="0" applyProtection="0"/>
    <xf numFmtId="306" fontId="176" fillId="0" borderId="0" applyFont="0" applyFill="0" applyBorder="0" applyAlignment="0" applyProtection="0"/>
    <xf numFmtId="306" fontId="176" fillId="0" borderId="0" applyFont="0" applyFill="0" applyBorder="0" applyAlignment="0" applyProtection="0"/>
    <xf numFmtId="299" fontId="176" fillId="0" borderId="0" applyFont="0" applyFill="0" applyBorder="0" applyAlignment="0" applyProtection="0"/>
    <xf numFmtId="166" fontId="176" fillId="0" borderId="0" applyFont="0" applyFill="0" applyBorder="0" applyAlignment="0" applyProtection="0"/>
    <xf numFmtId="313" fontId="176" fillId="0" borderId="0" applyFont="0" applyFill="0" applyBorder="0" applyAlignment="0" applyProtection="0"/>
    <xf numFmtId="290" fontId="176" fillId="0" borderId="0" applyFont="0" applyFill="0" applyBorder="0" applyAlignment="0" applyProtection="0"/>
    <xf numFmtId="314" fontId="176" fillId="0" borderId="0" applyFont="0" applyFill="0" applyBorder="0" applyAlignment="0" applyProtection="0"/>
    <xf numFmtId="314" fontId="176" fillId="0" borderId="0" applyFont="0" applyFill="0" applyBorder="0" applyAlignment="0" applyProtection="0"/>
    <xf numFmtId="314" fontId="176" fillId="0" borderId="0" applyFont="0" applyFill="0" applyBorder="0" applyAlignment="0" applyProtection="0"/>
    <xf numFmtId="290" fontId="176" fillId="0" borderId="0" applyFont="0" applyFill="0" applyBorder="0" applyAlignment="0" applyProtection="0"/>
    <xf numFmtId="290"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90" fontId="176" fillId="0" borderId="0" applyFont="0" applyFill="0" applyBorder="0" applyAlignment="0" applyProtection="0"/>
    <xf numFmtId="314" fontId="176" fillId="0" borderId="0" applyFont="0" applyFill="0" applyBorder="0" applyAlignment="0" applyProtection="0"/>
    <xf numFmtId="314" fontId="176" fillId="0" borderId="0" applyFont="0" applyFill="0" applyBorder="0" applyAlignment="0" applyProtection="0"/>
    <xf numFmtId="314" fontId="176" fillId="0" borderId="0" applyFont="0" applyFill="0" applyBorder="0" applyAlignment="0" applyProtection="0"/>
    <xf numFmtId="290" fontId="176" fillId="0" borderId="0" applyFont="0" applyFill="0" applyBorder="0" applyAlignment="0" applyProtection="0"/>
    <xf numFmtId="290" fontId="176" fillId="0" borderId="0" applyFont="0" applyFill="0" applyBorder="0" applyAlignment="0" applyProtection="0"/>
    <xf numFmtId="287" fontId="118" fillId="0" borderId="0" applyFont="0" applyFill="0" applyBorder="0" applyAlignment="0" applyProtection="0"/>
    <xf numFmtId="316" fontId="118" fillId="0" borderId="0" applyFont="0" applyFill="0" applyBorder="0" applyAlignment="0" applyProtection="0"/>
    <xf numFmtId="316" fontId="118" fillId="0" borderId="0" applyFont="0" applyFill="0" applyBorder="0" applyAlignment="0" applyProtection="0"/>
    <xf numFmtId="316" fontId="118" fillId="0" borderId="0" applyFont="0" applyFill="0" applyBorder="0" applyAlignment="0" applyProtection="0"/>
    <xf numFmtId="287" fontId="118" fillId="0" borderId="0" applyFont="0" applyFill="0" applyBorder="0" applyAlignment="0" applyProtection="0"/>
    <xf numFmtId="287" fontId="118"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7" fontId="176" fillId="0" borderId="0" applyFont="0" applyFill="0" applyBorder="0" applyAlignment="0" applyProtection="0"/>
    <xf numFmtId="318" fontId="176" fillId="0" borderId="0" applyFont="0" applyFill="0" applyBorder="0" applyAlignment="0" applyProtection="0"/>
    <xf numFmtId="318" fontId="176" fillId="0" borderId="0" applyFont="0" applyFill="0" applyBorder="0" applyAlignment="0" applyProtection="0"/>
    <xf numFmtId="318" fontId="176" fillId="0" borderId="0" applyFont="0" applyFill="0" applyBorder="0" applyAlignment="0" applyProtection="0"/>
    <xf numFmtId="317" fontId="176" fillId="0" borderId="0" applyFont="0" applyFill="0" applyBorder="0" applyAlignment="0" applyProtection="0"/>
    <xf numFmtId="31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9" fontId="176" fillId="0" borderId="0" applyFont="0" applyFill="0" applyBorder="0" applyAlignment="0" applyProtection="0"/>
    <xf numFmtId="320" fontId="176" fillId="0" borderId="0" applyFont="0" applyFill="0" applyBorder="0" applyAlignment="0" applyProtection="0"/>
    <xf numFmtId="320" fontId="176" fillId="0" borderId="0" applyFont="0" applyFill="0" applyBorder="0" applyAlignment="0" applyProtection="0"/>
    <xf numFmtId="320" fontId="176" fillId="0" borderId="0" applyFont="0" applyFill="0" applyBorder="0" applyAlignment="0" applyProtection="0"/>
    <xf numFmtId="319" fontId="176" fillId="0" borderId="0" applyFont="0" applyFill="0" applyBorder="0" applyAlignment="0" applyProtection="0"/>
    <xf numFmtId="319" fontId="176" fillId="0" borderId="0" applyFont="0" applyFill="0" applyBorder="0" applyAlignment="0" applyProtection="0"/>
    <xf numFmtId="321" fontId="176" fillId="0" borderId="0" applyFont="0" applyFill="0" applyBorder="0" applyAlignment="0" applyProtection="0"/>
    <xf numFmtId="322" fontId="176" fillId="0" borderId="0" applyFont="0" applyFill="0" applyBorder="0" applyAlignment="0" applyProtection="0"/>
    <xf numFmtId="322" fontId="176" fillId="0" borderId="0" applyFont="0" applyFill="0" applyBorder="0" applyAlignment="0" applyProtection="0"/>
    <xf numFmtId="322" fontId="176" fillId="0" borderId="0" applyFont="0" applyFill="0" applyBorder="0" applyAlignment="0" applyProtection="0"/>
    <xf numFmtId="321" fontId="176" fillId="0" borderId="0" applyFont="0" applyFill="0" applyBorder="0" applyAlignment="0" applyProtection="0"/>
    <xf numFmtId="321" fontId="176" fillId="0" borderId="0" applyFont="0" applyFill="0" applyBorder="0" applyAlignment="0" applyProtection="0"/>
    <xf numFmtId="313" fontId="176" fillId="0" borderId="0" applyFont="0" applyFill="0" applyBorder="0" applyAlignment="0" applyProtection="0"/>
    <xf numFmtId="165" fontId="176" fillId="0" borderId="0" applyFont="0" applyFill="0" applyBorder="0" applyAlignment="0" applyProtection="0"/>
    <xf numFmtId="284" fontId="118" fillId="0" borderId="0" applyFont="0" applyFill="0" applyBorder="0" applyAlignment="0" applyProtection="0"/>
    <xf numFmtId="291" fontId="176" fillId="0" borderId="0" applyFont="0" applyFill="0" applyBorder="0" applyAlignment="0" applyProtection="0"/>
    <xf numFmtId="291" fontId="176" fillId="0" borderId="0" applyFont="0" applyFill="0" applyBorder="0" applyAlignment="0" applyProtection="0"/>
    <xf numFmtId="291" fontId="176" fillId="0" borderId="0" applyFont="0" applyFill="0" applyBorder="0" applyAlignment="0" applyProtection="0"/>
    <xf numFmtId="42" fontId="176" fillId="0" borderId="0" applyFont="0" applyFill="0" applyBorder="0" applyAlignment="0" applyProtection="0"/>
    <xf numFmtId="292" fontId="176" fillId="0" borderId="0" applyFont="0" applyFill="0" applyBorder="0" applyAlignment="0" applyProtection="0"/>
    <xf numFmtId="293" fontId="176" fillId="0" borderId="0" applyFont="0" applyFill="0" applyBorder="0" applyAlignment="0" applyProtection="0"/>
    <xf numFmtId="293" fontId="176" fillId="0" borderId="0" applyFont="0" applyFill="0" applyBorder="0" applyAlignment="0" applyProtection="0"/>
    <xf numFmtId="293" fontId="176" fillId="0" borderId="0" applyFont="0" applyFill="0" applyBorder="0" applyAlignment="0" applyProtection="0"/>
    <xf numFmtId="292" fontId="176" fillId="0" borderId="0" applyFont="0" applyFill="0" applyBorder="0" applyAlignment="0" applyProtection="0"/>
    <xf numFmtId="292" fontId="176" fillId="0" borderId="0" applyFont="0" applyFill="0" applyBorder="0" applyAlignment="0" applyProtection="0"/>
    <xf numFmtId="294" fontId="118" fillId="0" borderId="0" applyFont="0" applyFill="0" applyBorder="0" applyAlignment="0" applyProtection="0"/>
    <xf numFmtId="294" fontId="118" fillId="0" borderId="0" applyFont="0" applyFill="0" applyBorder="0" applyAlignment="0" applyProtection="0"/>
    <xf numFmtId="294" fontId="118" fillId="0" borderId="0" applyFont="0" applyFill="0" applyBorder="0" applyAlignment="0" applyProtection="0"/>
    <xf numFmtId="284" fontId="118" fillId="0" borderId="0" applyFont="0" applyFill="0" applyBorder="0" applyAlignment="0" applyProtection="0"/>
    <xf numFmtId="284" fontId="118" fillId="0" borderId="0" applyFont="0" applyFill="0" applyBorder="0" applyAlignment="0" applyProtection="0"/>
    <xf numFmtId="42" fontId="176" fillId="0" borderId="0" applyFont="0" applyFill="0" applyBorder="0" applyAlignment="0" applyProtection="0"/>
    <xf numFmtId="291" fontId="176" fillId="0" borderId="0" applyFont="0" applyFill="0" applyBorder="0" applyAlignment="0" applyProtection="0"/>
    <xf numFmtId="291" fontId="176" fillId="0" borderId="0" applyFont="0" applyFill="0" applyBorder="0" applyAlignment="0" applyProtection="0"/>
    <xf numFmtId="291" fontId="176" fillId="0" borderId="0" applyFont="0" applyFill="0" applyBorder="0" applyAlignment="0" applyProtection="0"/>
    <xf numFmtId="42" fontId="176" fillId="0" borderId="0" applyFont="0" applyFill="0" applyBorder="0" applyAlignment="0" applyProtection="0"/>
    <xf numFmtId="42" fontId="176" fillId="0" borderId="0" applyFont="0" applyFill="0" applyBorder="0" applyAlignment="0" applyProtection="0"/>
    <xf numFmtId="284" fontId="176" fillId="0" borderId="0" applyFont="0" applyFill="0" applyBorder="0" applyAlignment="0" applyProtection="0"/>
    <xf numFmtId="284" fontId="118" fillId="0" borderId="0" applyFont="0" applyFill="0" applyBorder="0" applyAlignment="0" applyProtection="0"/>
    <xf numFmtId="294" fontId="176" fillId="0" borderId="0" applyFont="0" applyFill="0" applyBorder="0" applyAlignment="0" applyProtection="0"/>
    <xf numFmtId="294" fontId="176" fillId="0" borderId="0" applyFont="0" applyFill="0" applyBorder="0" applyAlignment="0" applyProtection="0"/>
    <xf numFmtId="294" fontId="176" fillId="0" borderId="0" applyFont="0" applyFill="0" applyBorder="0" applyAlignment="0" applyProtection="0"/>
    <xf numFmtId="284" fontId="176" fillId="0" borderId="0" applyFont="0" applyFill="0" applyBorder="0" applyAlignment="0" applyProtection="0"/>
    <xf numFmtId="294" fontId="118" fillId="0" borderId="0" applyFont="0" applyFill="0" applyBorder="0" applyAlignment="0" applyProtection="0"/>
    <xf numFmtId="294" fontId="118" fillId="0" borderId="0" applyFont="0" applyFill="0" applyBorder="0" applyAlignment="0" applyProtection="0"/>
    <xf numFmtId="294" fontId="118" fillId="0" borderId="0" applyFont="0" applyFill="0" applyBorder="0" applyAlignment="0" applyProtection="0"/>
    <xf numFmtId="284" fontId="118" fillId="0" borderId="0" applyFont="0" applyFill="0" applyBorder="0" applyAlignment="0" applyProtection="0"/>
    <xf numFmtId="284" fontId="118" fillId="0" borderId="0" applyFont="0" applyFill="0" applyBorder="0" applyAlignment="0" applyProtection="0"/>
    <xf numFmtId="309" fontId="176" fillId="0" borderId="0" applyFont="0" applyFill="0" applyBorder="0" applyAlignment="0" applyProtection="0"/>
    <xf numFmtId="310" fontId="176" fillId="0" borderId="0" applyFont="0" applyFill="0" applyBorder="0" applyAlignment="0" applyProtection="0"/>
    <xf numFmtId="310" fontId="176" fillId="0" borderId="0" applyFont="0" applyFill="0" applyBorder="0" applyAlignment="0" applyProtection="0"/>
    <xf numFmtId="310" fontId="176" fillId="0" borderId="0" applyFont="0" applyFill="0" applyBorder="0" applyAlignment="0" applyProtection="0"/>
    <xf numFmtId="309" fontId="176" fillId="0" borderId="0" applyFont="0" applyFill="0" applyBorder="0" applyAlignment="0" applyProtection="0"/>
    <xf numFmtId="309" fontId="176" fillId="0" borderId="0" applyFont="0" applyFill="0" applyBorder="0" applyAlignment="0" applyProtection="0"/>
    <xf numFmtId="309" fontId="176" fillId="0" borderId="0" applyFont="0" applyFill="0" applyBorder="0" applyAlignment="0" applyProtection="0"/>
    <xf numFmtId="310" fontId="176" fillId="0" borderId="0" applyFont="0" applyFill="0" applyBorder="0" applyAlignment="0" applyProtection="0"/>
    <xf numFmtId="310" fontId="176" fillId="0" borderId="0" applyFont="0" applyFill="0" applyBorder="0" applyAlignment="0" applyProtection="0"/>
    <xf numFmtId="310" fontId="176" fillId="0" borderId="0" applyFont="0" applyFill="0" applyBorder="0" applyAlignment="0" applyProtection="0"/>
    <xf numFmtId="309" fontId="176" fillId="0" borderId="0" applyFont="0" applyFill="0" applyBorder="0" applyAlignment="0" applyProtection="0"/>
    <xf numFmtId="309" fontId="176" fillId="0" borderId="0" applyFont="0" applyFill="0" applyBorder="0" applyAlignment="0" applyProtection="0"/>
    <xf numFmtId="284" fontId="176" fillId="0" borderId="0" applyFont="0" applyFill="0" applyBorder="0" applyAlignment="0" applyProtection="0"/>
    <xf numFmtId="294" fontId="176" fillId="0" borderId="0" applyFont="0" applyFill="0" applyBorder="0" applyAlignment="0" applyProtection="0"/>
    <xf numFmtId="294" fontId="176" fillId="0" borderId="0" applyFont="0" applyFill="0" applyBorder="0" applyAlignment="0" applyProtection="0"/>
    <xf numFmtId="294" fontId="176" fillId="0" borderId="0" applyFont="0" applyFill="0" applyBorder="0" applyAlignment="0" applyProtection="0"/>
    <xf numFmtId="284" fontId="176" fillId="0" borderId="0" applyFont="0" applyFill="0" applyBorder="0" applyAlignment="0" applyProtection="0"/>
    <xf numFmtId="284" fontId="176" fillId="0" borderId="0" applyFont="0" applyFill="0" applyBorder="0" applyAlignment="0" applyProtection="0"/>
    <xf numFmtId="284" fontId="176" fillId="0" borderId="0" applyFont="0" applyFill="0" applyBorder="0" applyAlignment="0" applyProtection="0"/>
    <xf numFmtId="311" fontId="176" fillId="0" borderId="0" applyFont="0" applyFill="0" applyBorder="0" applyAlignment="0" applyProtection="0"/>
    <xf numFmtId="312" fontId="176" fillId="0" borderId="0" applyFont="0" applyFill="0" applyBorder="0" applyAlignment="0" applyProtection="0"/>
    <xf numFmtId="312" fontId="176" fillId="0" borderId="0" applyFont="0" applyFill="0" applyBorder="0" applyAlignment="0" applyProtection="0"/>
    <xf numFmtId="312" fontId="176" fillId="0" borderId="0" applyFont="0" applyFill="0" applyBorder="0" applyAlignment="0" applyProtection="0"/>
    <xf numFmtId="311" fontId="176" fillId="0" borderId="0" applyFont="0" applyFill="0" applyBorder="0" applyAlignment="0" applyProtection="0"/>
    <xf numFmtId="311" fontId="176" fillId="0" borderId="0" applyFont="0" applyFill="0" applyBorder="0" applyAlignment="0" applyProtection="0"/>
    <xf numFmtId="165" fontId="118" fillId="0" borderId="0" applyFont="0" applyFill="0" applyBorder="0" applyAlignment="0" applyProtection="0"/>
    <xf numFmtId="308" fontId="118" fillId="0" borderId="0" applyFont="0" applyFill="0" applyBorder="0" applyAlignment="0" applyProtection="0"/>
    <xf numFmtId="308" fontId="118" fillId="0" borderId="0" applyFont="0" applyFill="0" applyBorder="0" applyAlignment="0" applyProtection="0"/>
    <xf numFmtId="308" fontId="118" fillId="0" borderId="0" applyFont="0" applyFill="0" applyBorder="0" applyAlignment="0" applyProtection="0"/>
    <xf numFmtId="165" fontId="118" fillId="0" borderId="0" applyFont="0" applyFill="0" applyBorder="0" applyAlignment="0" applyProtection="0"/>
    <xf numFmtId="165" fontId="118" fillId="0" borderId="0" applyFont="0" applyFill="0" applyBorder="0" applyAlignment="0" applyProtection="0"/>
    <xf numFmtId="42" fontId="176" fillId="0" borderId="0" applyFont="0" applyFill="0" applyBorder="0" applyAlignment="0" applyProtection="0"/>
    <xf numFmtId="42" fontId="176" fillId="0" borderId="0" applyFont="0" applyFill="0" applyBorder="0" applyAlignment="0" applyProtection="0"/>
    <xf numFmtId="166" fontId="118" fillId="0" borderId="0" applyFont="0" applyFill="0" applyBorder="0" applyAlignment="0" applyProtection="0"/>
    <xf numFmtId="313" fontId="176" fillId="0" borderId="0" applyFont="0" applyFill="0" applyBorder="0" applyAlignment="0" applyProtection="0"/>
    <xf numFmtId="290" fontId="176" fillId="0" borderId="0" applyFont="0" applyFill="0" applyBorder="0" applyAlignment="0" applyProtection="0"/>
    <xf numFmtId="314" fontId="176" fillId="0" borderId="0" applyFont="0" applyFill="0" applyBorder="0" applyAlignment="0" applyProtection="0"/>
    <xf numFmtId="314" fontId="176" fillId="0" borderId="0" applyFont="0" applyFill="0" applyBorder="0" applyAlignment="0" applyProtection="0"/>
    <xf numFmtId="314" fontId="176" fillId="0" borderId="0" applyFont="0" applyFill="0" applyBorder="0" applyAlignment="0" applyProtection="0"/>
    <xf numFmtId="290" fontId="176" fillId="0" borderId="0" applyFont="0" applyFill="0" applyBorder="0" applyAlignment="0" applyProtection="0"/>
    <xf numFmtId="290"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90" fontId="176" fillId="0" borderId="0" applyFont="0" applyFill="0" applyBorder="0" applyAlignment="0" applyProtection="0"/>
    <xf numFmtId="314" fontId="176" fillId="0" borderId="0" applyFont="0" applyFill="0" applyBorder="0" applyAlignment="0" applyProtection="0"/>
    <xf numFmtId="314" fontId="176" fillId="0" borderId="0" applyFont="0" applyFill="0" applyBorder="0" applyAlignment="0" applyProtection="0"/>
    <xf numFmtId="314" fontId="176" fillId="0" borderId="0" applyFont="0" applyFill="0" applyBorder="0" applyAlignment="0" applyProtection="0"/>
    <xf numFmtId="290" fontId="176" fillId="0" borderId="0" applyFont="0" applyFill="0" applyBorder="0" applyAlignment="0" applyProtection="0"/>
    <xf numFmtId="290" fontId="176" fillId="0" borderId="0" applyFont="0" applyFill="0" applyBorder="0" applyAlignment="0" applyProtection="0"/>
    <xf numFmtId="287" fontId="118" fillId="0" borderId="0" applyFont="0" applyFill="0" applyBorder="0" applyAlignment="0" applyProtection="0"/>
    <xf numFmtId="316" fontId="118" fillId="0" borderId="0" applyFont="0" applyFill="0" applyBorder="0" applyAlignment="0" applyProtection="0"/>
    <xf numFmtId="316" fontId="118" fillId="0" borderId="0" applyFont="0" applyFill="0" applyBorder="0" applyAlignment="0" applyProtection="0"/>
    <xf numFmtId="316" fontId="118" fillId="0" borderId="0" applyFont="0" applyFill="0" applyBorder="0" applyAlignment="0" applyProtection="0"/>
    <xf numFmtId="287" fontId="118" fillId="0" borderId="0" applyFont="0" applyFill="0" applyBorder="0" applyAlignment="0" applyProtection="0"/>
    <xf numFmtId="287" fontId="118"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7" fontId="176" fillId="0" borderId="0" applyFont="0" applyFill="0" applyBorder="0" applyAlignment="0" applyProtection="0"/>
    <xf numFmtId="318" fontId="176" fillId="0" borderId="0" applyFont="0" applyFill="0" applyBorder="0" applyAlignment="0" applyProtection="0"/>
    <xf numFmtId="318" fontId="176" fillId="0" borderId="0" applyFont="0" applyFill="0" applyBorder="0" applyAlignment="0" applyProtection="0"/>
    <xf numFmtId="318" fontId="176" fillId="0" borderId="0" applyFont="0" applyFill="0" applyBorder="0" applyAlignment="0" applyProtection="0"/>
    <xf numFmtId="317" fontId="176" fillId="0" borderId="0" applyFont="0" applyFill="0" applyBorder="0" applyAlignment="0" applyProtection="0"/>
    <xf numFmtId="31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9" fontId="176" fillId="0" borderId="0" applyFont="0" applyFill="0" applyBorder="0" applyAlignment="0" applyProtection="0"/>
    <xf numFmtId="320" fontId="176" fillId="0" borderId="0" applyFont="0" applyFill="0" applyBorder="0" applyAlignment="0" applyProtection="0"/>
    <xf numFmtId="320" fontId="176" fillId="0" borderId="0" applyFont="0" applyFill="0" applyBorder="0" applyAlignment="0" applyProtection="0"/>
    <xf numFmtId="320" fontId="176" fillId="0" borderId="0" applyFont="0" applyFill="0" applyBorder="0" applyAlignment="0" applyProtection="0"/>
    <xf numFmtId="319" fontId="176" fillId="0" borderId="0" applyFont="0" applyFill="0" applyBorder="0" applyAlignment="0" applyProtection="0"/>
    <xf numFmtId="319" fontId="176" fillId="0" borderId="0" applyFont="0" applyFill="0" applyBorder="0" applyAlignment="0" applyProtection="0"/>
    <xf numFmtId="321" fontId="176" fillId="0" borderId="0" applyFont="0" applyFill="0" applyBorder="0" applyAlignment="0" applyProtection="0"/>
    <xf numFmtId="322" fontId="176" fillId="0" borderId="0" applyFont="0" applyFill="0" applyBorder="0" applyAlignment="0" applyProtection="0"/>
    <xf numFmtId="322" fontId="176" fillId="0" borderId="0" applyFont="0" applyFill="0" applyBorder="0" applyAlignment="0" applyProtection="0"/>
    <xf numFmtId="322" fontId="176" fillId="0" borderId="0" applyFont="0" applyFill="0" applyBorder="0" applyAlignment="0" applyProtection="0"/>
    <xf numFmtId="321" fontId="176" fillId="0" borderId="0" applyFont="0" applyFill="0" applyBorder="0" applyAlignment="0" applyProtection="0"/>
    <xf numFmtId="321" fontId="176" fillId="0" borderId="0" applyFont="0" applyFill="0" applyBorder="0" applyAlignment="0" applyProtection="0"/>
    <xf numFmtId="313" fontId="176" fillId="0" borderId="0" applyFont="0" applyFill="0" applyBorder="0" applyAlignment="0" applyProtection="0"/>
    <xf numFmtId="165" fontId="176" fillId="0" borderId="0" applyFont="0" applyFill="0" applyBorder="0" applyAlignment="0" applyProtection="0"/>
    <xf numFmtId="299" fontId="176" fillId="0" borderId="0" applyFont="0" applyFill="0" applyBorder="0" applyAlignment="0" applyProtection="0"/>
    <xf numFmtId="289" fontId="176" fillId="0" borderId="0" applyFont="0" applyFill="0" applyBorder="0" applyAlignment="0" applyProtection="0"/>
    <xf numFmtId="300" fontId="176" fillId="0" borderId="0" applyFont="0" applyFill="0" applyBorder="0" applyAlignment="0" applyProtection="0"/>
    <xf numFmtId="300" fontId="176" fillId="0" borderId="0" applyFont="0" applyFill="0" applyBorder="0" applyAlignment="0" applyProtection="0"/>
    <xf numFmtId="300" fontId="176" fillId="0" borderId="0" applyFont="0" applyFill="0" applyBorder="0" applyAlignment="0" applyProtection="0"/>
    <xf numFmtId="289" fontId="176" fillId="0" borderId="0" applyFont="0" applyFill="0" applyBorder="0" applyAlignment="0" applyProtection="0"/>
    <xf numFmtId="289"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289" fontId="176" fillId="0" borderId="0" applyFont="0" applyFill="0" applyBorder="0" applyAlignment="0" applyProtection="0"/>
    <xf numFmtId="300" fontId="176" fillId="0" borderId="0" applyFont="0" applyFill="0" applyBorder="0" applyAlignment="0" applyProtection="0"/>
    <xf numFmtId="300" fontId="176" fillId="0" borderId="0" applyFont="0" applyFill="0" applyBorder="0" applyAlignment="0" applyProtection="0"/>
    <xf numFmtId="300" fontId="176" fillId="0" borderId="0" applyFont="0" applyFill="0" applyBorder="0" applyAlignment="0" applyProtection="0"/>
    <xf numFmtId="289" fontId="176" fillId="0" borderId="0" applyFont="0" applyFill="0" applyBorder="0" applyAlignment="0" applyProtection="0"/>
    <xf numFmtId="289"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304" fontId="176" fillId="0" borderId="0" applyFont="0" applyFill="0" applyBorder="0" applyAlignment="0" applyProtection="0"/>
    <xf numFmtId="305" fontId="176" fillId="0" borderId="0" applyFont="0" applyFill="0" applyBorder="0" applyAlignment="0" applyProtection="0"/>
    <xf numFmtId="305" fontId="176" fillId="0" borderId="0" applyFont="0" applyFill="0" applyBorder="0" applyAlignment="0" applyProtection="0"/>
    <xf numFmtId="305" fontId="176" fillId="0" borderId="0" applyFont="0" applyFill="0" applyBorder="0" applyAlignment="0" applyProtection="0"/>
    <xf numFmtId="304" fontId="176" fillId="0" borderId="0" applyFont="0" applyFill="0" applyBorder="0" applyAlignment="0" applyProtection="0"/>
    <xf numFmtId="304" fontId="176" fillId="0" borderId="0" applyFont="0" applyFill="0" applyBorder="0" applyAlignment="0" applyProtection="0"/>
    <xf numFmtId="306" fontId="176" fillId="0" borderId="0" applyFont="0" applyFill="0" applyBorder="0" applyAlignment="0" applyProtection="0"/>
    <xf numFmtId="307" fontId="176" fillId="0" borderId="0" applyFont="0" applyFill="0" applyBorder="0" applyAlignment="0" applyProtection="0"/>
    <xf numFmtId="307" fontId="176" fillId="0" borderId="0" applyFont="0" applyFill="0" applyBorder="0" applyAlignment="0" applyProtection="0"/>
    <xf numFmtId="307" fontId="176" fillId="0" borderId="0" applyFont="0" applyFill="0" applyBorder="0" applyAlignment="0" applyProtection="0"/>
    <xf numFmtId="306" fontId="176" fillId="0" borderId="0" applyFont="0" applyFill="0" applyBorder="0" applyAlignment="0" applyProtection="0"/>
    <xf numFmtId="306" fontId="176" fillId="0" borderId="0" applyFont="0" applyFill="0" applyBorder="0" applyAlignment="0" applyProtection="0"/>
    <xf numFmtId="299" fontId="176" fillId="0" borderId="0" applyFont="0" applyFill="0" applyBorder="0" applyAlignment="0" applyProtection="0"/>
    <xf numFmtId="166" fontId="176" fillId="0" borderId="0" applyFont="0" applyFill="0" applyBorder="0" applyAlignment="0" applyProtection="0"/>
    <xf numFmtId="165" fontId="118" fillId="0" borderId="0" applyFont="0" applyFill="0" applyBorder="0" applyAlignment="0" applyProtection="0"/>
    <xf numFmtId="308" fontId="118" fillId="0" borderId="0" applyFont="0" applyFill="0" applyBorder="0" applyAlignment="0" applyProtection="0"/>
    <xf numFmtId="308" fontId="118" fillId="0" borderId="0" applyFont="0" applyFill="0" applyBorder="0" applyAlignment="0" applyProtection="0"/>
    <xf numFmtId="308" fontId="118" fillId="0" borderId="0" applyFont="0" applyFill="0" applyBorder="0" applyAlignment="0" applyProtection="0"/>
    <xf numFmtId="165" fontId="118" fillId="0" borderId="0" applyFont="0" applyFill="0" applyBorder="0" applyAlignment="0" applyProtection="0"/>
    <xf numFmtId="165" fontId="118" fillId="0" borderId="0" applyFont="0" applyFill="0" applyBorder="0" applyAlignment="0" applyProtection="0"/>
    <xf numFmtId="282" fontId="118" fillId="0" borderId="0" applyFont="0" applyFill="0" applyBorder="0" applyAlignment="0" applyProtection="0"/>
    <xf numFmtId="295" fontId="118" fillId="0" borderId="0" applyFont="0" applyFill="0" applyBorder="0" applyAlignment="0" applyProtection="0"/>
    <xf numFmtId="295" fontId="118" fillId="0" borderId="0" applyFont="0" applyFill="0" applyBorder="0" applyAlignment="0" applyProtection="0"/>
    <xf numFmtId="295" fontId="118" fillId="0" borderId="0" applyFont="0" applyFill="0" applyBorder="0" applyAlignment="0" applyProtection="0"/>
    <xf numFmtId="282" fontId="118" fillId="0" borderId="0" applyFont="0" applyFill="0" applyBorder="0" applyAlignment="0" applyProtection="0"/>
    <xf numFmtId="282" fontId="118" fillId="0" borderId="0" applyFont="0" applyFill="0" applyBorder="0" applyAlignment="0" applyProtection="0"/>
    <xf numFmtId="295" fontId="118" fillId="0" borderId="0" applyFont="0" applyFill="0" applyBorder="0" applyAlignment="0" applyProtection="0"/>
    <xf numFmtId="295" fontId="118" fillId="0" borderId="0" applyFont="0" applyFill="0" applyBorder="0" applyAlignment="0" applyProtection="0"/>
    <xf numFmtId="295" fontId="118" fillId="0" borderId="0" applyFont="0" applyFill="0" applyBorder="0" applyAlignment="0" applyProtection="0"/>
    <xf numFmtId="282" fontId="118" fillId="0" borderId="0" applyFont="0" applyFill="0" applyBorder="0" applyAlignment="0" applyProtection="0"/>
    <xf numFmtId="282" fontId="118" fillId="0" borderId="0" applyFont="0" applyFill="0" applyBorder="0" applyAlignment="0" applyProtection="0"/>
    <xf numFmtId="296" fontId="118" fillId="0" borderId="0" applyFont="0" applyFill="0" applyBorder="0" applyAlignment="0" applyProtection="0"/>
    <xf numFmtId="297" fontId="118" fillId="0" borderId="0" applyFont="0" applyFill="0" applyBorder="0" applyAlignment="0" applyProtection="0"/>
    <xf numFmtId="297" fontId="118" fillId="0" borderId="0" applyFont="0" applyFill="0" applyBorder="0" applyAlignment="0" applyProtection="0"/>
    <xf numFmtId="297" fontId="118" fillId="0" borderId="0" applyFont="0" applyFill="0" applyBorder="0" applyAlignment="0" applyProtection="0"/>
    <xf numFmtId="296" fontId="118" fillId="0" borderId="0" applyFont="0" applyFill="0" applyBorder="0" applyAlignment="0" applyProtection="0"/>
    <xf numFmtId="296" fontId="118" fillId="0" borderId="0" applyFont="0" applyFill="0" applyBorder="0" applyAlignment="0" applyProtection="0"/>
    <xf numFmtId="282" fontId="118" fillId="0" borderId="0" applyFont="0" applyFill="0" applyBorder="0" applyAlignment="0" applyProtection="0"/>
    <xf numFmtId="298" fontId="118" fillId="0" borderId="0" applyFont="0" applyFill="0" applyBorder="0" applyAlignment="0" applyProtection="0"/>
    <xf numFmtId="298" fontId="118" fillId="0" borderId="0" applyFont="0" applyFill="0" applyBorder="0" applyAlignment="0" applyProtection="0"/>
    <xf numFmtId="298" fontId="118" fillId="0" borderId="0" applyFont="0" applyFill="0" applyBorder="0" applyAlignment="0" applyProtection="0"/>
    <xf numFmtId="166" fontId="118" fillId="0" borderId="0" applyFont="0" applyFill="0" applyBorder="0" applyAlignment="0" applyProtection="0"/>
    <xf numFmtId="166" fontId="118" fillId="0" borderId="0" applyFont="0" applyFill="0" applyBorder="0" applyAlignment="0" applyProtection="0"/>
    <xf numFmtId="42" fontId="176" fillId="0" borderId="0" applyFont="0" applyFill="0" applyBorder="0" applyAlignment="0" applyProtection="0"/>
    <xf numFmtId="291" fontId="176" fillId="0" borderId="0" applyFont="0" applyFill="0" applyBorder="0" applyAlignment="0" applyProtection="0"/>
    <xf numFmtId="291" fontId="176" fillId="0" borderId="0" applyFont="0" applyFill="0" applyBorder="0" applyAlignment="0" applyProtection="0"/>
    <xf numFmtId="291" fontId="176" fillId="0" borderId="0" applyFont="0" applyFill="0" applyBorder="0" applyAlignment="0" applyProtection="0"/>
    <xf numFmtId="42" fontId="176" fillId="0" borderId="0" applyFont="0" applyFill="0" applyBorder="0" applyAlignment="0" applyProtection="0"/>
    <xf numFmtId="42" fontId="176" fillId="0" borderId="0" applyFont="0" applyFill="0" applyBorder="0" applyAlignment="0" applyProtection="0"/>
    <xf numFmtId="42" fontId="176" fillId="0" borderId="0" applyFont="0" applyFill="0" applyBorder="0" applyAlignment="0" applyProtection="0"/>
    <xf numFmtId="284" fontId="176" fillId="0" borderId="0" applyFont="0" applyFill="0" applyBorder="0" applyAlignment="0" applyProtection="0"/>
    <xf numFmtId="284" fontId="118" fillId="0" borderId="0" applyFont="0" applyFill="0" applyBorder="0" applyAlignment="0" applyProtection="0"/>
    <xf numFmtId="294" fontId="176" fillId="0" borderId="0" applyFont="0" applyFill="0" applyBorder="0" applyAlignment="0" applyProtection="0"/>
    <xf numFmtId="294" fontId="176" fillId="0" borderId="0" applyFont="0" applyFill="0" applyBorder="0" applyAlignment="0" applyProtection="0"/>
    <xf numFmtId="294" fontId="176" fillId="0" borderId="0" applyFont="0" applyFill="0" applyBorder="0" applyAlignment="0" applyProtection="0"/>
    <xf numFmtId="284" fontId="176" fillId="0" borderId="0" applyFont="0" applyFill="0" applyBorder="0" applyAlignment="0" applyProtection="0"/>
    <xf numFmtId="294" fontId="118" fillId="0" borderId="0" applyFont="0" applyFill="0" applyBorder="0" applyAlignment="0" applyProtection="0"/>
    <xf numFmtId="294" fontId="118" fillId="0" borderId="0" applyFont="0" applyFill="0" applyBorder="0" applyAlignment="0" applyProtection="0"/>
    <xf numFmtId="294" fontId="118" fillId="0" borderId="0" applyFont="0" applyFill="0" applyBorder="0" applyAlignment="0" applyProtection="0"/>
    <xf numFmtId="284" fontId="118" fillId="0" borderId="0" applyFont="0" applyFill="0" applyBorder="0" applyAlignment="0" applyProtection="0"/>
    <xf numFmtId="284" fontId="118" fillId="0" borderId="0" applyFont="0" applyFill="0" applyBorder="0" applyAlignment="0" applyProtection="0"/>
    <xf numFmtId="309" fontId="176" fillId="0" borderId="0" applyFont="0" applyFill="0" applyBorder="0" applyAlignment="0" applyProtection="0"/>
    <xf numFmtId="310" fontId="176" fillId="0" borderId="0" applyFont="0" applyFill="0" applyBorder="0" applyAlignment="0" applyProtection="0"/>
    <xf numFmtId="310" fontId="176" fillId="0" borderId="0" applyFont="0" applyFill="0" applyBorder="0" applyAlignment="0" applyProtection="0"/>
    <xf numFmtId="310" fontId="176" fillId="0" borderId="0" applyFont="0" applyFill="0" applyBorder="0" applyAlignment="0" applyProtection="0"/>
    <xf numFmtId="309" fontId="176" fillId="0" borderId="0" applyFont="0" applyFill="0" applyBorder="0" applyAlignment="0" applyProtection="0"/>
    <xf numFmtId="309" fontId="176" fillId="0" borderId="0" applyFont="0" applyFill="0" applyBorder="0" applyAlignment="0" applyProtection="0"/>
    <xf numFmtId="309" fontId="176" fillId="0" borderId="0" applyFont="0" applyFill="0" applyBorder="0" applyAlignment="0" applyProtection="0"/>
    <xf numFmtId="310" fontId="176" fillId="0" borderId="0" applyFont="0" applyFill="0" applyBorder="0" applyAlignment="0" applyProtection="0"/>
    <xf numFmtId="310" fontId="176" fillId="0" borderId="0" applyFont="0" applyFill="0" applyBorder="0" applyAlignment="0" applyProtection="0"/>
    <xf numFmtId="310" fontId="176" fillId="0" borderId="0" applyFont="0" applyFill="0" applyBorder="0" applyAlignment="0" applyProtection="0"/>
    <xf numFmtId="309" fontId="176" fillId="0" borderId="0" applyFont="0" applyFill="0" applyBorder="0" applyAlignment="0" applyProtection="0"/>
    <xf numFmtId="309" fontId="176" fillId="0" borderId="0" applyFont="0" applyFill="0" applyBorder="0" applyAlignment="0" applyProtection="0"/>
    <xf numFmtId="284" fontId="176" fillId="0" borderId="0" applyFont="0" applyFill="0" applyBorder="0" applyAlignment="0" applyProtection="0"/>
    <xf numFmtId="294" fontId="176" fillId="0" borderId="0" applyFont="0" applyFill="0" applyBorder="0" applyAlignment="0" applyProtection="0"/>
    <xf numFmtId="294" fontId="176" fillId="0" borderId="0" applyFont="0" applyFill="0" applyBorder="0" applyAlignment="0" applyProtection="0"/>
    <xf numFmtId="294" fontId="176" fillId="0" borderId="0" applyFont="0" applyFill="0" applyBorder="0" applyAlignment="0" applyProtection="0"/>
    <xf numFmtId="284" fontId="176" fillId="0" borderId="0" applyFont="0" applyFill="0" applyBorder="0" applyAlignment="0" applyProtection="0"/>
    <xf numFmtId="284" fontId="176" fillId="0" borderId="0" applyFont="0" applyFill="0" applyBorder="0" applyAlignment="0" applyProtection="0"/>
    <xf numFmtId="284" fontId="176" fillId="0" borderId="0" applyFont="0" applyFill="0" applyBorder="0" applyAlignment="0" applyProtection="0"/>
    <xf numFmtId="311" fontId="176" fillId="0" borderId="0" applyFont="0" applyFill="0" applyBorder="0" applyAlignment="0" applyProtection="0"/>
    <xf numFmtId="312" fontId="176" fillId="0" borderId="0" applyFont="0" applyFill="0" applyBorder="0" applyAlignment="0" applyProtection="0"/>
    <xf numFmtId="312" fontId="176" fillId="0" borderId="0" applyFont="0" applyFill="0" applyBorder="0" applyAlignment="0" applyProtection="0"/>
    <xf numFmtId="312" fontId="176" fillId="0" borderId="0" applyFont="0" applyFill="0" applyBorder="0" applyAlignment="0" applyProtection="0"/>
    <xf numFmtId="311" fontId="176" fillId="0" borderId="0" applyFont="0" applyFill="0" applyBorder="0" applyAlignment="0" applyProtection="0"/>
    <xf numFmtId="311" fontId="176" fillId="0" borderId="0" applyFont="0" applyFill="0" applyBorder="0" applyAlignment="0" applyProtection="0"/>
    <xf numFmtId="165" fontId="118" fillId="0" borderId="0" applyFont="0" applyFill="0" applyBorder="0" applyAlignment="0" applyProtection="0"/>
    <xf numFmtId="313" fontId="176" fillId="0" borderId="0" applyFont="0" applyFill="0" applyBorder="0" applyAlignment="0" applyProtection="0"/>
    <xf numFmtId="290" fontId="176" fillId="0" borderId="0" applyFont="0" applyFill="0" applyBorder="0" applyAlignment="0" applyProtection="0"/>
    <xf numFmtId="314" fontId="176" fillId="0" borderId="0" applyFont="0" applyFill="0" applyBorder="0" applyAlignment="0" applyProtection="0"/>
    <xf numFmtId="314" fontId="176" fillId="0" borderId="0" applyFont="0" applyFill="0" applyBorder="0" applyAlignment="0" applyProtection="0"/>
    <xf numFmtId="314" fontId="176" fillId="0" borderId="0" applyFont="0" applyFill="0" applyBorder="0" applyAlignment="0" applyProtection="0"/>
    <xf numFmtId="290" fontId="176" fillId="0" borderId="0" applyFont="0" applyFill="0" applyBorder="0" applyAlignment="0" applyProtection="0"/>
    <xf numFmtId="290"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90" fontId="176" fillId="0" borderId="0" applyFont="0" applyFill="0" applyBorder="0" applyAlignment="0" applyProtection="0"/>
    <xf numFmtId="314" fontId="176" fillId="0" borderId="0" applyFont="0" applyFill="0" applyBorder="0" applyAlignment="0" applyProtection="0"/>
    <xf numFmtId="314" fontId="176" fillId="0" borderId="0" applyFont="0" applyFill="0" applyBorder="0" applyAlignment="0" applyProtection="0"/>
    <xf numFmtId="314" fontId="176" fillId="0" borderId="0" applyFont="0" applyFill="0" applyBorder="0" applyAlignment="0" applyProtection="0"/>
    <xf numFmtId="290" fontId="176" fillId="0" borderId="0" applyFont="0" applyFill="0" applyBorder="0" applyAlignment="0" applyProtection="0"/>
    <xf numFmtId="290" fontId="176" fillId="0" borderId="0" applyFont="0" applyFill="0" applyBorder="0" applyAlignment="0" applyProtection="0"/>
    <xf numFmtId="287" fontId="118" fillId="0" borderId="0" applyFont="0" applyFill="0" applyBorder="0" applyAlignment="0" applyProtection="0"/>
    <xf numFmtId="316" fontId="118" fillId="0" borderId="0" applyFont="0" applyFill="0" applyBorder="0" applyAlignment="0" applyProtection="0"/>
    <xf numFmtId="316" fontId="118" fillId="0" borderId="0" applyFont="0" applyFill="0" applyBorder="0" applyAlignment="0" applyProtection="0"/>
    <xf numFmtId="316" fontId="118" fillId="0" borderId="0" applyFont="0" applyFill="0" applyBorder="0" applyAlignment="0" applyProtection="0"/>
    <xf numFmtId="287" fontId="118" fillId="0" borderId="0" applyFont="0" applyFill="0" applyBorder="0" applyAlignment="0" applyProtection="0"/>
    <xf numFmtId="287" fontId="118"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7" fontId="176" fillId="0" borderId="0" applyFont="0" applyFill="0" applyBorder="0" applyAlignment="0" applyProtection="0"/>
    <xf numFmtId="318" fontId="176" fillId="0" borderId="0" applyFont="0" applyFill="0" applyBorder="0" applyAlignment="0" applyProtection="0"/>
    <xf numFmtId="318" fontId="176" fillId="0" borderId="0" applyFont="0" applyFill="0" applyBorder="0" applyAlignment="0" applyProtection="0"/>
    <xf numFmtId="318" fontId="176" fillId="0" borderId="0" applyFont="0" applyFill="0" applyBorder="0" applyAlignment="0" applyProtection="0"/>
    <xf numFmtId="317" fontId="176" fillId="0" borderId="0" applyFont="0" applyFill="0" applyBorder="0" applyAlignment="0" applyProtection="0"/>
    <xf numFmtId="31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9" fontId="176" fillId="0" borderId="0" applyFont="0" applyFill="0" applyBorder="0" applyAlignment="0" applyProtection="0"/>
    <xf numFmtId="320" fontId="176" fillId="0" borderId="0" applyFont="0" applyFill="0" applyBorder="0" applyAlignment="0" applyProtection="0"/>
    <xf numFmtId="320" fontId="176" fillId="0" borderId="0" applyFont="0" applyFill="0" applyBorder="0" applyAlignment="0" applyProtection="0"/>
    <xf numFmtId="320" fontId="176" fillId="0" borderId="0" applyFont="0" applyFill="0" applyBorder="0" applyAlignment="0" applyProtection="0"/>
    <xf numFmtId="319" fontId="176" fillId="0" borderId="0" applyFont="0" applyFill="0" applyBorder="0" applyAlignment="0" applyProtection="0"/>
    <xf numFmtId="319" fontId="176" fillId="0" borderId="0" applyFont="0" applyFill="0" applyBorder="0" applyAlignment="0" applyProtection="0"/>
    <xf numFmtId="321" fontId="176" fillId="0" borderId="0" applyFont="0" applyFill="0" applyBorder="0" applyAlignment="0" applyProtection="0"/>
    <xf numFmtId="322" fontId="176" fillId="0" borderId="0" applyFont="0" applyFill="0" applyBorder="0" applyAlignment="0" applyProtection="0"/>
    <xf numFmtId="322" fontId="176" fillId="0" borderId="0" applyFont="0" applyFill="0" applyBorder="0" applyAlignment="0" applyProtection="0"/>
    <xf numFmtId="322" fontId="176" fillId="0" borderId="0" applyFont="0" applyFill="0" applyBorder="0" applyAlignment="0" applyProtection="0"/>
    <xf numFmtId="321" fontId="176" fillId="0" borderId="0" applyFont="0" applyFill="0" applyBorder="0" applyAlignment="0" applyProtection="0"/>
    <xf numFmtId="321" fontId="176" fillId="0" borderId="0" applyFont="0" applyFill="0" applyBorder="0" applyAlignment="0" applyProtection="0"/>
    <xf numFmtId="313" fontId="176" fillId="0" borderId="0" applyFont="0" applyFill="0" applyBorder="0" applyAlignment="0" applyProtection="0"/>
    <xf numFmtId="165" fontId="176" fillId="0" borderId="0" applyFont="0" applyFill="0" applyBorder="0" applyAlignment="0" applyProtection="0"/>
    <xf numFmtId="299" fontId="176" fillId="0" borderId="0" applyFont="0" applyFill="0" applyBorder="0" applyAlignment="0" applyProtection="0"/>
    <xf numFmtId="289" fontId="176" fillId="0" borderId="0" applyFont="0" applyFill="0" applyBorder="0" applyAlignment="0" applyProtection="0"/>
    <xf numFmtId="300" fontId="176" fillId="0" borderId="0" applyFont="0" applyFill="0" applyBorder="0" applyAlignment="0" applyProtection="0"/>
    <xf numFmtId="300" fontId="176" fillId="0" borderId="0" applyFont="0" applyFill="0" applyBorder="0" applyAlignment="0" applyProtection="0"/>
    <xf numFmtId="300" fontId="176" fillId="0" borderId="0" applyFont="0" applyFill="0" applyBorder="0" applyAlignment="0" applyProtection="0"/>
    <xf numFmtId="289" fontId="176" fillId="0" borderId="0" applyFont="0" applyFill="0" applyBorder="0" applyAlignment="0" applyProtection="0"/>
    <xf numFmtId="289"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289" fontId="176" fillId="0" borderId="0" applyFont="0" applyFill="0" applyBorder="0" applyAlignment="0" applyProtection="0"/>
    <xf numFmtId="300" fontId="176" fillId="0" borderId="0" applyFont="0" applyFill="0" applyBorder="0" applyAlignment="0" applyProtection="0"/>
    <xf numFmtId="300" fontId="176" fillId="0" borderId="0" applyFont="0" applyFill="0" applyBorder="0" applyAlignment="0" applyProtection="0"/>
    <xf numFmtId="300" fontId="176" fillId="0" borderId="0" applyFont="0" applyFill="0" applyBorder="0" applyAlignment="0" applyProtection="0"/>
    <xf numFmtId="289" fontId="176" fillId="0" borderId="0" applyFont="0" applyFill="0" applyBorder="0" applyAlignment="0" applyProtection="0"/>
    <xf numFmtId="289"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299" fontId="176" fillId="0" borderId="0" applyFont="0" applyFill="0" applyBorder="0" applyAlignment="0" applyProtection="0"/>
    <xf numFmtId="301"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302" fontId="176" fillId="0" borderId="0" applyFont="0" applyFill="0" applyBorder="0" applyAlignment="0" applyProtection="0"/>
    <xf numFmtId="299"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3" fontId="176" fillId="0" borderId="0" applyFont="0" applyFill="0" applyBorder="0" applyAlignment="0" applyProtection="0"/>
    <xf numFmtId="301" fontId="176" fillId="0" borderId="0" applyFont="0" applyFill="0" applyBorder="0" applyAlignment="0" applyProtection="0"/>
    <xf numFmtId="301" fontId="176" fillId="0" borderId="0" applyFont="0" applyFill="0" applyBorder="0" applyAlignment="0" applyProtection="0"/>
    <xf numFmtId="299" fontId="176" fillId="0" borderId="0" applyFont="0" applyFill="0" applyBorder="0" applyAlignment="0" applyProtection="0"/>
    <xf numFmtId="304" fontId="176" fillId="0" borderId="0" applyFont="0" applyFill="0" applyBorder="0" applyAlignment="0" applyProtection="0"/>
    <xf numFmtId="305" fontId="176" fillId="0" borderId="0" applyFont="0" applyFill="0" applyBorder="0" applyAlignment="0" applyProtection="0"/>
    <xf numFmtId="305" fontId="176" fillId="0" borderId="0" applyFont="0" applyFill="0" applyBorder="0" applyAlignment="0" applyProtection="0"/>
    <xf numFmtId="305" fontId="176" fillId="0" borderId="0" applyFont="0" applyFill="0" applyBorder="0" applyAlignment="0" applyProtection="0"/>
    <xf numFmtId="304" fontId="176" fillId="0" borderId="0" applyFont="0" applyFill="0" applyBorder="0" applyAlignment="0" applyProtection="0"/>
    <xf numFmtId="304" fontId="176" fillId="0" borderId="0" applyFont="0" applyFill="0" applyBorder="0" applyAlignment="0" applyProtection="0"/>
    <xf numFmtId="306" fontId="176" fillId="0" borderId="0" applyFont="0" applyFill="0" applyBorder="0" applyAlignment="0" applyProtection="0"/>
    <xf numFmtId="307" fontId="176" fillId="0" borderId="0" applyFont="0" applyFill="0" applyBorder="0" applyAlignment="0" applyProtection="0"/>
    <xf numFmtId="307" fontId="176" fillId="0" borderId="0" applyFont="0" applyFill="0" applyBorder="0" applyAlignment="0" applyProtection="0"/>
    <xf numFmtId="307" fontId="176" fillId="0" borderId="0" applyFont="0" applyFill="0" applyBorder="0" applyAlignment="0" applyProtection="0"/>
    <xf numFmtId="306" fontId="176" fillId="0" borderId="0" applyFont="0" applyFill="0" applyBorder="0" applyAlignment="0" applyProtection="0"/>
    <xf numFmtId="306" fontId="176" fillId="0" borderId="0" applyFont="0" applyFill="0" applyBorder="0" applyAlignment="0" applyProtection="0"/>
    <xf numFmtId="299" fontId="176" fillId="0" borderId="0" applyFont="0" applyFill="0" applyBorder="0" applyAlignment="0" applyProtection="0"/>
    <xf numFmtId="166" fontId="176" fillId="0" borderId="0" applyFont="0" applyFill="0" applyBorder="0" applyAlignment="0" applyProtection="0"/>
    <xf numFmtId="282" fontId="118" fillId="0" borderId="0" applyFont="0" applyFill="0" applyBorder="0" applyAlignment="0" applyProtection="0"/>
    <xf numFmtId="295" fontId="118" fillId="0" borderId="0" applyFont="0" applyFill="0" applyBorder="0" applyAlignment="0" applyProtection="0"/>
    <xf numFmtId="295" fontId="118" fillId="0" borderId="0" applyFont="0" applyFill="0" applyBorder="0" applyAlignment="0" applyProtection="0"/>
    <xf numFmtId="295" fontId="118" fillId="0" borderId="0" applyFont="0" applyFill="0" applyBorder="0" applyAlignment="0" applyProtection="0"/>
    <xf numFmtId="282" fontId="118" fillId="0" borderId="0" applyFont="0" applyFill="0" applyBorder="0" applyAlignment="0" applyProtection="0"/>
    <xf numFmtId="282" fontId="118" fillId="0" borderId="0" applyFont="0" applyFill="0" applyBorder="0" applyAlignment="0" applyProtection="0"/>
    <xf numFmtId="295" fontId="118" fillId="0" borderId="0" applyFont="0" applyFill="0" applyBorder="0" applyAlignment="0" applyProtection="0"/>
    <xf numFmtId="295" fontId="118" fillId="0" borderId="0" applyFont="0" applyFill="0" applyBorder="0" applyAlignment="0" applyProtection="0"/>
    <xf numFmtId="295" fontId="118" fillId="0" borderId="0" applyFont="0" applyFill="0" applyBorder="0" applyAlignment="0" applyProtection="0"/>
    <xf numFmtId="282" fontId="118" fillId="0" borderId="0" applyFont="0" applyFill="0" applyBorder="0" applyAlignment="0" applyProtection="0"/>
    <xf numFmtId="282" fontId="118" fillId="0" borderId="0" applyFont="0" applyFill="0" applyBorder="0" applyAlignment="0" applyProtection="0"/>
    <xf numFmtId="296" fontId="118" fillId="0" borderId="0" applyFont="0" applyFill="0" applyBorder="0" applyAlignment="0" applyProtection="0"/>
    <xf numFmtId="297" fontId="118" fillId="0" borderId="0" applyFont="0" applyFill="0" applyBorder="0" applyAlignment="0" applyProtection="0"/>
    <xf numFmtId="297" fontId="118" fillId="0" borderId="0" applyFont="0" applyFill="0" applyBorder="0" applyAlignment="0" applyProtection="0"/>
    <xf numFmtId="297" fontId="118" fillId="0" borderId="0" applyFont="0" applyFill="0" applyBorder="0" applyAlignment="0" applyProtection="0"/>
    <xf numFmtId="296" fontId="118" fillId="0" borderId="0" applyFont="0" applyFill="0" applyBorder="0" applyAlignment="0" applyProtection="0"/>
    <xf numFmtId="296" fontId="118" fillId="0" borderId="0" applyFont="0" applyFill="0" applyBorder="0" applyAlignment="0" applyProtection="0"/>
    <xf numFmtId="282" fontId="118" fillId="0" borderId="0" applyFont="0" applyFill="0" applyBorder="0" applyAlignment="0" applyProtection="0"/>
    <xf numFmtId="166" fontId="118" fillId="0" borderId="0" applyFont="0" applyFill="0" applyBorder="0" applyAlignment="0" applyProtection="0"/>
    <xf numFmtId="298" fontId="118" fillId="0" borderId="0" applyFont="0" applyFill="0" applyBorder="0" applyAlignment="0" applyProtection="0"/>
    <xf numFmtId="298" fontId="118" fillId="0" borderId="0" applyFont="0" applyFill="0" applyBorder="0" applyAlignment="0" applyProtection="0"/>
    <xf numFmtId="298" fontId="118" fillId="0" borderId="0" applyFont="0" applyFill="0" applyBorder="0" applyAlignment="0" applyProtection="0"/>
    <xf numFmtId="166" fontId="118" fillId="0" borderId="0" applyFont="0" applyFill="0" applyBorder="0" applyAlignment="0" applyProtection="0"/>
    <xf numFmtId="166" fontId="118" fillId="0" borderId="0" applyFont="0" applyFill="0" applyBorder="0" applyAlignment="0" applyProtection="0"/>
    <xf numFmtId="308" fontId="118" fillId="0" borderId="0" applyFont="0" applyFill="0" applyBorder="0" applyAlignment="0" applyProtection="0"/>
    <xf numFmtId="308" fontId="118" fillId="0" borderId="0" applyFont="0" applyFill="0" applyBorder="0" applyAlignment="0" applyProtection="0"/>
    <xf numFmtId="308" fontId="118" fillId="0" borderId="0" applyFont="0" applyFill="0" applyBorder="0" applyAlignment="0" applyProtection="0"/>
    <xf numFmtId="165" fontId="118" fillId="0" borderId="0" applyFont="0" applyFill="0" applyBorder="0" applyAlignment="0" applyProtection="0"/>
    <xf numFmtId="165" fontId="118" fillId="0" borderId="0" applyFont="0" applyFill="0" applyBorder="0" applyAlignment="0" applyProtection="0"/>
    <xf numFmtId="42" fontId="176" fillId="0" borderId="0" applyFont="0" applyFill="0" applyBorder="0" applyAlignment="0" applyProtection="0"/>
    <xf numFmtId="42" fontId="176" fillId="0" borderId="0" applyFont="0" applyFill="0" applyBorder="0" applyAlignment="0" applyProtection="0"/>
    <xf numFmtId="0" fontId="38" fillId="0" borderId="116">
      <alignment horizontal="center"/>
    </xf>
    <xf numFmtId="0" fontId="38" fillId="0" borderId="116">
      <alignment horizontal="center"/>
    </xf>
    <xf numFmtId="282" fontId="118" fillId="0" borderId="0" applyFont="0" applyFill="0" applyBorder="0" applyAlignment="0" applyProtection="0"/>
    <xf numFmtId="41" fontId="44" fillId="0" borderId="0"/>
    <xf numFmtId="37" fontId="224" fillId="0" borderId="0" applyNumberFormat="0" applyFill="0" applyBorder="0" applyAlignment="0" applyProtection="0"/>
    <xf numFmtId="323" fontId="50" fillId="0" borderId="0" applyFill="0" applyBorder="0" applyAlignment="0"/>
    <xf numFmtId="3" fontId="53" fillId="0" borderId="116"/>
    <xf numFmtId="1" fontId="55" fillId="0" borderId="46" applyBorder="0"/>
    <xf numFmtId="43" fontId="56" fillId="0" borderId="0" applyFont="0" applyFill="0" applyBorder="0" applyAlignment="0" applyProtection="0"/>
    <xf numFmtId="218" fontId="225" fillId="0" borderId="0"/>
    <xf numFmtId="218" fontId="225" fillId="0" borderId="0"/>
    <xf numFmtId="218" fontId="225" fillId="0" borderId="0"/>
    <xf numFmtId="218" fontId="225" fillId="0" borderId="0"/>
    <xf numFmtId="218" fontId="225" fillId="0" borderId="0"/>
    <xf numFmtId="218" fontId="225" fillId="0" borderId="0"/>
    <xf numFmtId="218" fontId="225" fillId="0" borderId="0"/>
    <xf numFmtId="218" fontId="225" fillId="0" borderId="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219" fontId="226" fillId="0" borderId="0" applyFont="0" applyFill="0" applyBorder="0" applyAlignment="0" applyProtection="0">
      <alignment horizontal="right"/>
    </xf>
    <xf numFmtId="43" fontId="28" fillId="0" borderId="0" applyFont="0" applyFill="0" applyBorder="0" applyAlignment="0" applyProtection="0"/>
    <xf numFmtId="43" fontId="28" fillId="0" borderId="0" applyFont="0" applyFill="0" applyBorder="0" applyAlignment="0" applyProtection="0"/>
    <xf numFmtId="221" fontId="97" fillId="0" borderId="0" applyFont="0" applyFill="0" applyBorder="0" applyAlignment="0" applyProtection="0">
      <alignment vertical="center"/>
    </xf>
    <xf numFmtId="221" fontId="97" fillId="0" borderId="0" applyFont="0" applyFill="0" applyBorder="0" applyAlignment="0" applyProtection="0">
      <alignment vertical="center"/>
    </xf>
    <xf numFmtId="221" fontId="97" fillId="0" borderId="0" applyFont="0" applyFill="0" applyBorder="0" applyAlignment="0" applyProtection="0">
      <alignment vertical="center"/>
    </xf>
    <xf numFmtId="221" fontId="97" fillId="0" borderId="0" applyFont="0" applyFill="0" applyBorder="0" applyAlignment="0" applyProtection="0">
      <alignment vertical="center"/>
    </xf>
    <xf numFmtId="222" fontId="97" fillId="0" borderId="0" applyFont="0" applyFill="0" applyBorder="0" applyAlignment="0" applyProtection="0">
      <alignment vertical="center"/>
    </xf>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27" fillId="0" borderId="0" applyFont="0" applyFill="0" applyBorder="0" applyAlignment="0" applyProtection="0"/>
    <xf numFmtId="43" fontId="28" fillId="0" borderId="0" applyFont="0" applyFill="0" applyBorder="0" applyAlignment="0" applyProtection="0"/>
    <xf numFmtId="43" fontId="11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324" fontId="179" fillId="0" borderId="116"/>
    <xf numFmtId="325" fontId="226" fillId="0" borderId="0" applyFont="0" applyFill="0" applyBorder="0" applyAlignment="0" applyProtection="0">
      <alignment horizontal="right"/>
    </xf>
    <xf numFmtId="326" fontId="226" fillId="0" borderId="0" applyFont="0" applyFill="0" applyBorder="0" applyAlignment="0" applyProtection="0">
      <alignment horizontal="right"/>
    </xf>
    <xf numFmtId="235" fontId="28" fillId="41" borderId="0" applyFont="0" applyBorder="0"/>
    <xf numFmtId="14" fontId="60" fillId="0" borderId="0">
      <alignment horizontal="centerContinuous"/>
    </xf>
    <xf numFmtId="236" fontId="226" fillId="0" borderId="0" applyFont="0" applyFill="0" applyBorder="0" applyAlignment="0" applyProtection="0"/>
    <xf numFmtId="14" fontId="50" fillId="0" borderId="0" applyFill="0" applyBorder="0" applyAlignment="0"/>
    <xf numFmtId="44" fontId="61" fillId="0" borderId="0"/>
    <xf numFmtId="42" fontId="61" fillId="0" borderId="0"/>
    <xf numFmtId="38" fontId="53" fillId="0" borderId="120">
      <alignment vertical="center"/>
    </xf>
    <xf numFmtId="327" fontId="226" fillId="0" borderId="121" applyNumberFormat="0" applyFont="0" applyFill="0" applyAlignment="0" applyProtection="0"/>
    <xf numFmtId="245" fontId="78" fillId="41" borderId="0" applyBorder="0" applyProtection="0"/>
    <xf numFmtId="328" fontId="226" fillId="0" borderId="0" applyFont="0" applyFill="0" applyBorder="0" applyAlignment="0" applyProtection="0">
      <alignment horizontal="right"/>
    </xf>
    <xf numFmtId="5" fontId="83" fillId="95" borderId="116" applyNumberFormat="0" applyAlignment="0">
      <alignment horizontal="left" vertical="top"/>
    </xf>
    <xf numFmtId="49" fontId="85" fillId="0" borderId="116">
      <alignment vertical="center"/>
    </xf>
    <xf numFmtId="313" fontId="176" fillId="0" borderId="0" applyFont="0" applyFill="0" applyBorder="0" applyAlignment="0" applyProtection="0"/>
    <xf numFmtId="10" fontId="77" fillId="71" borderId="116" applyNumberFormat="0" applyBorder="0" applyAlignment="0" applyProtection="0"/>
    <xf numFmtId="10" fontId="77" fillId="71" borderId="116" applyNumberFormat="0" applyBorder="0" applyAlignment="0" applyProtection="0"/>
    <xf numFmtId="248" fontId="221" fillId="96" borderId="0"/>
    <xf numFmtId="223" fontId="187" fillId="0" borderId="0"/>
    <xf numFmtId="248" fontId="228" fillId="89" borderId="0"/>
    <xf numFmtId="254" fontId="226" fillId="0" borderId="0" applyFont="0" applyFill="0" applyBorder="0" applyAlignment="0" applyProtection="0">
      <alignment horizontal="right"/>
    </xf>
    <xf numFmtId="265" fontId="44" fillId="0" borderId="0" applyNumberFormat="0" applyFont="0" applyFill="0" applyBorder="0" applyAlignment="0" applyProtection="0"/>
    <xf numFmtId="265" fontId="44" fillId="0" borderId="0" applyNumberFormat="0" applyFont="0" applyFill="0" applyBorder="0" applyAlignment="0" applyProtection="0"/>
    <xf numFmtId="0" fontId="193" fillId="0" borderId="116" applyNumberFormat="0" applyFont="0" applyFill="0" applyBorder="0" applyAlignment="0">
      <alignment horizontal="center"/>
    </xf>
    <xf numFmtId="255" fontId="229" fillId="0" borderId="0"/>
    <xf numFmtId="0" fontId="28" fillId="0" borderId="0">
      <alignment vertical="top"/>
    </xf>
    <xf numFmtId="0" fontId="49" fillId="0" borderId="0"/>
    <xf numFmtId="0" fontId="40" fillId="0" borderId="0"/>
    <xf numFmtId="0" fontId="28" fillId="0" borderId="0"/>
    <xf numFmtId="0" fontId="28" fillId="0" borderId="0"/>
    <xf numFmtId="0" fontId="34" fillId="0" borderId="0"/>
    <xf numFmtId="0" fontId="40" fillId="0" borderId="0"/>
    <xf numFmtId="0" fontId="49" fillId="83" borderId="16" applyNumberFormat="0" applyFont="0" applyAlignment="0" applyProtection="0"/>
    <xf numFmtId="256" fontId="230" fillId="0" borderId="0" applyFont="0" applyFill="0" applyBorder="0" applyProtection="0">
      <alignment vertical="top" wrapText="1"/>
    </xf>
    <xf numFmtId="49" fontId="88" fillId="41" borderId="49"/>
    <xf numFmtId="9" fontId="56" fillId="0" borderId="0" applyFont="0" applyFill="0" applyBorder="0" applyAlignment="0" applyProtection="0"/>
    <xf numFmtId="9" fontId="97" fillId="0" borderId="0" applyFont="0" applyFill="0" applyBorder="0" applyAlignment="0" applyProtection="0">
      <alignment vertical="center"/>
    </xf>
    <xf numFmtId="223" fontId="199" fillId="0" borderId="0"/>
    <xf numFmtId="10" fontId="105" fillId="70" borderId="0"/>
    <xf numFmtId="37" fontId="231" fillId="0" borderId="0" applyNumberFormat="0" applyFill="0" applyBorder="0" applyAlignment="0" applyProtection="0"/>
    <xf numFmtId="5" fontId="232" fillId="0" borderId="0"/>
    <xf numFmtId="0" fontId="77" fillId="85" borderId="47" applyNumberFormat="0" applyFont="0" applyBorder="0" applyAlignment="0" applyProtection="0"/>
    <xf numFmtId="0" fontId="77" fillId="85" borderId="47" applyNumberFormat="0" applyFont="0" applyBorder="0" applyAlignment="0" applyProtection="0"/>
    <xf numFmtId="0" fontId="53" fillId="0" borderId="0" applyNumberFormat="0" applyFont="0" applyFill="0" applyBorder="0" applyAlignment="0" applyProtection="0">
      <alignment horizontal="left"/>
    </xf>
    <xf numFmtId="324" fontId="53" fillId="0" borderId="0" applyFont="0" applyFill="0" applyBorder="0" applyAlignment="0" applyProtection="0"/>
    <xf numFmtId="329" fontId="199" fillId="0" borderId="0" applyNumberFormat="0" applyFill="0" applyBorder="0" applyAlignment="0" applyProtection="0">
      <alignment horizontal="left"/>
    </xf>
    <xf numFmtId="0" fontId="28" fillId="0" borderId="40"/>
    <xf numFmtId="313" fontId="176" fillId="0" borderId="0" applyFont="0" applyFill="0" applyBorder="0" applyAlignment="0" applyProtection="0"/>
    <xf numFmtId="0" fontId="28" fillId="0" borderId="40"/>
    <xf numFmtId="330" fontId="225" fillId="0" borderId="0"/>
    <xf numFmtId="164" fontId="47" fillId="0" borderId="0" applyBorder="0" applyAlignment="0"/>
    <xf numFmtId="0" fontId="98" fillId="0" borderId="0" applyNumberForma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9" fontId="176" fillId="0" borderId="0" applyFont="0" applyFill="0" applyBorder="0" applyAlignment="0" applyProtection="0"/>
    <xf numFmtId="320" fontId="176" fillId="0" borderId="0" applyFont="0" applyFill="0" applyBorder="0" applyAlignment="0" applyProtection="0"/>
    <xf numFmtId="320" fontId="176" fillId="0" borderId="0" applyFont="0" applyFill="0" applyBorder="0" applyAlignment="0" applyProtection="0"/>
    <xf numFmtId="320" fontId="176" fillId="0" borderId="0" applyFont="0" applyFill="0" applyBorder="0" applyAlignment="0" applyProtection="0"/>
    <xf numFmtId="319" fontId="176" fillId="0" borderId="0" applyFont="0" applyFill="0" applyBorder="0" applyAlignment="0" applyProtection="0"/>
    <xf numFmtId="319" fontId="176" fillId="0" borderId="0" applyFont="0" applyFill="0" applyBorder="0" applyAlignment="0" applyProtection="0"/>
    <xf numFmtId="321" fontId="176" fillId="0" borderId="0" applyFont="0" applyFill="0" applyBorder="0" applyAlignment="0" applyProtection="0"/>
    <xf numFmtId="315" fontId="176" fillId="0" borderId="0" applyFont="0" applyFill="0" applyBorder="0" applyAlignment="0" applyProtection="0"/>
    <xf numFmtId="322" fontId="176" fillId="0" borderId="0" applyFont="0" applyFill="0" applyBorder="0" applyAlignment="0" applyProtection="0"/>
    <xf numFmtId="322" fontId="176" fillId="0" borderId="0" applyFont="0" applyFill="0" applyBorder="0" applyAlignment="0" applyProtection="0"/>
    <xf numFmtId="322" fontId="176" fillId="0" borderId="0" applyFont="0" applyFill="0" applyBorder="0" applyAlignment="0" applyProtection="0"/>
    <xf numFmtId="321" fontId="176" fillId="0" borderId="0" applyFont="0" applyFill="0" applyBorder="0" applyAlignment="0" applyProtection="0"/>
    <xf numFmtId="321"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90" fontId="176" fillId="0" borderId="0" applyFont="0" applyFill="0" applyBorder="0" applyAlignment="0" applyProtection="0"/>
    <xf numFmtId="314" fontId="176" fillId="0" borderId="0" applyFont="0" applyFill="0" applyBorder="0" applyAlignment="0" applyProtection="0"/>
    <xf numFmtId="314" fontId="176" fillId="0" borderId="0" applyFont="0" applyFill="0" applyBorder="0" applyAlignment="0" applyProtection="0"/>
    <xf numFmtId="315" fontId="176" fillId="0" borderId="0" applyFont="0" applyFill="0" applyBorder="0" applyAlignment="0" applyProtection="0"/>
    <xf numFmtId="314" fontId="176" fillId="0" borderId="0" applyFont="0" applyFill="0" applyBorder="0" applyAlignment="0" applyProtection="0"/>
    <xf numFmtId="290" fontId="176" fillId="0" borderId="0" applyFont="0" applyFill="0" applyBorder="0" applyAlignment="0" applyProtection="0"/>
    <xf numFmtId="290"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6" fontId="176" fillId="0" borderId="0" applyFont="0" applyFill="0" applyBorder="0" applyAlignment="0" applyProtection="0"/>
    <xf numFmtId="315"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90" fontId="176" fillId="0" borderId="0" applyFont="0" applyFill="0" applyBorder="0" applyAlignment="0" applyProtection="0"/>
    <xf numFmtId="314" fontId="176" fillId="0" borderId="0" applyFont="0" applyFill="0" applyBorder="0" applyAlignment="0" applyProtection="0"/>
    <xf numFmtId="314" fontId="176" fillId="0" borderId="0" applyFont="0" applyFill="0" applyBorder="0" applyAlignment="0" applyProtection="0"/>
    <xf numFmtId="314" fontId="176" fillId="0" borderId="0" applyFont="0" applyFill="0" applyBorder="0" applyAlignment="0" applyProtection="0"/>
    <xf numFmtId="290" fontId="176" fillId="0" borderId="0" applyFont="0" applyFill="0" applyBorder="0" applyAlignment="0" applyProtection="0"/>
    <xf numFmtId="290" fontId="176" fillId="0" borderId="0" applyFont="0" applyFill="0" applyBorder="0" applyAlignment="0" applyProtection="0"/>
    <xf numFmtId="287" fontId="118" fillId="0" borderId="0" applyFont="0" applyFill="0" applyBorder="0" applyAlignment="0" applyProtection="0"/>
    <xf numFmtId="316" fontId="118" fillId="0" borderId="0" applyFont="0" applyFill="0" applyBorder="0" applyAlignment="0" applyProtection="0"/>
    <xf numFmtId="316" fontId="176" fillId="0" borderId="0" applyFont="0" applyFill="0" applyBorder="0" applyAlignment="0" applyProtection="0"/>
    <xf numFmtId="316" fontId="118" fillId="0" borderId="0" applyFont="0" applyFill="0" applyBorder="0" applyAlignment="0" applyProtection="0"/>
    <xf numFmtId="316" fontId="118" fillId="0" borderId="0" applyFont="0" applyFill="0" applyBorder="0" applyAlignment="0" applyProtection="0"/>
    <xf numFmtId="287" fontId="118" fillId="0" borderId="0" applyFont="0" applyFill="0" applyBorder="0" applyAlignment="0" applyProtection="0"/>
    <xf numFmtId="287" fontId="118"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7" fontId="176" fillId="0" borderId="0" applyFont="0" applyFill="0" applyBorder="0" applyAlignment="0" applyProtection="0"/>
    <xf numFmtId="318" fontId="176" fillId="0" borderId="0" applyFont="0" applyFill="0" applyBorder="0" applyAlignment="0" applyProtection="0"/>
    <xf numFmtId="316" fontId="176" fillId="0" borderId="0" applyFont="0" applyFill="0" applyBorder="0" applyAlignment="0" applyProtection="0"/>
    <xf numFmtId="318" fontId="176" fillId="0" borderId="0" applyFont="0" applyFill="0" applyBorder="0" applyAlignment="0" applyProtection="0"/>
    <xf numFmtId="318" fontId="176" fillId="0" borderId="0" applyFont="0" applyFill="0" applyBorder="0" applyAlignment="0" applyProtection="0"/>
    <xf numFmtId="317" fontId="176" fillId="0" borderId="0" applyFont="0" applyFill="0" applyBorder="0" applyAlignment="0" applyProtection="0"/>
    <xf numFmtId="31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287"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6" fontId="176" fillId="0" borderId="0" applyFont="0" applyFill="0" applyBorder="0" applyAlignment="0" applyProtection="0"/>
    <xf numFmtId="313"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9" fontId="176" fillId="0" borderId="0" applyFont="0" applyFill="0" applyBorder="0" applyAlignment="0" applyProtection="0"/>
    <xf numFmtId="320" fontId="176" fillId="0" borderId="0" applyFont="0" applyFill="0" applyBorder="0" applyAlignment="0" applyProtection="0"/>
    <xf numFmtId="320" fontId="176" fillId="0" borderId="0" applyFont="0" applyFill="0" applyBorder="0" applyAlignment="0" applyProtection="0"/>
    <xf numFmtId="315" fontId="176" fillId="0" borderId="0" applyFont="0" applyFill="0" applyBorder="0" applyAlignment="0" applyProtection="0"/>
    <xf numFmtId="320" fontId="176" fillId="0" borderId="0" applyFont="0" applyFill="0" applyBorder="0" applyAlignment="0" applyProtection="0"/>
    <xf numFmtId="319" fontId="176" fillId="0" borderId="0" applyFont="0" applyFill="0" applyBorder="0" applyAlignment="0" applyProtection="0"/>
    <xf numFmtId="319" fontId="176" fillId="0" borderId="0" applyFont="0" applyFill="0" applyBorder="0" applyAlignment="0" applyProtection="0"/>
    <xf numFmtId="321" fontId="176" fillId="0" borderId="0" applyFont="0" applyFill="0" applyBorder="0" applyAlignment="0" applyProtection="0"/>
    <xf numFmtId="322" fontId="176" fillId="0" borderId="0" applyFont="0" applyFill="0" applyBorder="0" applyAlignment="0" applyProtection="0"/>
    <xf numFmtId="322" fontId="176" fillId="0" borderId="0" applyFont="0" applyFill="0" applyBorder="0" applyAlignment="0" applyProtection="0"/>
    <xf numFmtId="322" fontId="176" fillId="0" borderId="0" applyFont="0" applyFill="0" applyBorder="0" applyAlignment="0" applyProtection="0"/>
    <xf numFmtId="321" fontId="176" fillId="0" borderId="0" applyFont="0" applyFill="0" applyBorder="0" applyAlignment="0" applyProtection="0"/>
    <xf numFmtId="321" fontId="176" fillId="0" borderId="0" applyFont="0" applyFill="0" applyBorder="0" applyAlignment="0" applyProtection="0"/>
    <xf numFmtId="313" fontId="176" fillId="0" borderId="0" applyFont="0" applyFill="0" applyBorder="0" applyAlignment="0" applyProtection="0"/>
    <xf numFmtId="315" fontId="176" fillId="0" borderId="0" applyFont="0" applyFill="0" applyBorder="0" applyAlignment="0" applyProtection="0"/>
    <xf numFmtId="42" fontId="176" fillId="0" borderId="0" applyFont="0" applyFill="0" applyBorder="0" applyAlignment="0" applyProtection="0"/>
    <xf numFmtId="284" fontId="118" fillId="0" borderId="0" applyFont="0" applyFill="0" applyBorder="0" applyAlignment="0" applyProtection="0"/>
    <xf numFmtId="291" fontId="176" fillId="0" borderId="0" applyFont="0" applyFill="0" applyBorder="0" applyAlignment="0" applyProtection="0"/>
    <xf numFmtId="291" fontId="176" fillId="0" borderId="0" applyFont="0" applyFill="0" applyBorder="0" applyAlignment="0" applyProtection="0"/>
    <xf numFmtId="291" fontId="176" fillId="0" borderId="0" applyFont="0" applyFill="0" applyBorder="0" applyAlignment="0" applyProtection="0"/>
    <xf numFmtId="42" fontId="176" fillId="0" borderId="0" applyFont="0" applyFill="0" applyBorder="0" applyAlignment="0" applyProtection="0"/>
    <xf numFmtId="292" fontId="176" fillId="0" borderId="0" applyFont="0" applyFill="0" applyBorder="0" applyAlignment="0" applyProtection="0"/>
    <xf numFmtId="293" fontId="176" fillId="0" borderId="0" applyFont="0" applyFill="0" applyBorder="0" applyAlignment="0" applyProtection="0"/>
    <xf numFmtId="293" fontId="176" fillId="0" borderId="0" applyFont="0" applyFill="0" applyBorder="0" applyAlignment="0" applyProtection="0"/>
    <xf numFmtId="293" fontId="176" fillId="0" borderId="0" applyFont="0" applyFill="0" applyBorder="0" applyAlignment="0" applyProtection="0"/>
    <xf numFmtId="315" fontId="176" fillId="0" borderId="0" applyFont="0" applyFill="0" applyBorder="0" applyAlignment="0" applyProtection="0"/>
    <xf numFmtId="292" fontId="176" fillId="0" borderId="0" applyFont="0" applyFill="0" applyBorder="0" applyAlignment="0" applyProtection="0"/>
    <xf numFmtId="292" fontId="176" fillId="0" borderId="0" applyFont="0" applyFill="0" applyBorder="0" applyAlignment="0" applyProtection="0"/>
    <xf numFmtId="294" fontId="118" fillId="0" borderId="0" applyFont="0" applyFill="0" applyBorder="0" applyAlignment="0" applyProtection="0"/>
    <xf numFmtId="294" fontId="118" fillId="0" borderId="0" applyFont="0" applyFill="0" applyBorder="0" applyAlignment="0" applyProtection="0"/>
    <xf numFmtId="294" fontId="118" fillId="0" borderId="0" applyFont="0" applyFill="0" applyBorder="0" applyAlignment="0" applyProtection="0"/>
    <xf numFmtId="284" fontId="118" fillId="0" borderId="0" applyFont="0" applyFill="0" applyBorder="0" applyAlignment="0" applyProtection="0"/>
    <xf numFmtId="284" fontId="118" fillId="0" borderId="0" applyFont="0" applyFill="0" applyBorder="0" applyAlignment="0" applyProtection="0"/>
    <xf numFmtId="42" fontId="176" fillId="0" borderId="0" applyFont="0" applyFill="0" applyBorder="0" applyAlignment="0" applyProtection="0"/>
    <xf numFmtId="291" fontId="176" fillId="0" borderId="0" applyFont="0" applyFill="0" applyBorder="0" applyAlignment="0" applyProtection="0"/>
    <xf numFmtId="291" fontId="176" fillId="0" borderId="0" applyFont="0" applyFill="0" applyBorder="0" applyAlignment="0" applyProtection="0"/>
    <xf numFmtId="313" fontId="176" fillId="0" borderId="0" applyFont="0" applyFill="0" applyBorder="0" applyAlignment="0" applyProtection="0"/>
    <xf numFmtId="291" fontId="176" fillId="0" borderId="0" applyFont="0" applyFill="0" applyBorder="0" applyAlignment="0" applyProtection="0"/>
    <xf numFmtId="42" fontId="176" fillId="0" borderId="0" applyFont="0" applyFill="0" applyBorder="0" applyAlignment="0" applyProtection="0"/>
    <xf numFmtId="42" fontId="176" fillId="0" borderId="0" applyFont="0" applyFill="0" applyBorder="0" applyAlignment="0" applyProtection="0"/>
    <xf numFmtId="284" fontId="176" fillId="0" borderId="0" applyFont="0" applyFill="0" applyBorder="0" applyAlignment="0" applyProtection="0"/>
    <xf numFmtId="284" fontId="118" fillId="0" borderId="0" applyFont="0" applyFill="0" applyBorder="0" applyAlignment="0" applyProtection="0"/>
    <xf numFmtId="42"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90" fontId="176" fillId="0" borderId="0" applyFont="0" applyFill="0" applyBorder="0" applyAlignment="0" applyProtection="0"/>
    <xf numFmtId="314" fontId="176" fillId="0" borderId="0" applyFont="0" applyFill="0" applyBorder="0" applyAlignment="0" applyProtection="0"/>
    <xf numFmtId="290" fontId="176" fillId="0" borderId="0" applyFont="0" applyFill="0" applyBorder="0" applyAlignment="0" applyProtection="0"/>
    <xf numFmtId="314" fontId="176" fillId="0" borderId="0" applyFont="0" applyFill="0" applyBorder="0" applyAlignment="0" applyProtection="0"/>
    <xf numFmtId="314" fontId="176" fillId="0" borderId="0" applyFont="0" applyFill="0" applyBorder="0" applyAlignment="0" applyProtection="0"/>
    <xf numFmtId="290" fontId="176" fillId="0" borderId="0" applyFont="0" applyFill="0" applyBorder="0" applyAlignment="0" applyProtection="0"/>
    <xf numFmtId="290" fontId="176" fillId="0" borderId="0" applyFont="0" applyFill="0" applyBorder="0" applyAlignment="0" applyProtection="0"/>
    <xf numFmtId="287" fontId="118" fillId="0" borderId="0" applyFont="0" applyFill="0" applyBorder="0" applyAlignment="0" applyProtection="0"/>
    <xf numFmtId="316" fontId="118" fillId="0" borderId="0" applyFont="0" applyFill="0" applyBorder="0" applyAlignment="0" applyProtection="0"/>
    <xf numFmtId="316" fontId="118" fillId="0" borderId="0" applyFont="0" applyFill="0" applyBorder="0" applyAlignment="0" applyProtection="0"/>
    <xf numFmtId="316" fontId="118" fillId="0" borderId="0" applyFont="0" applyFill="0" applyBorder="0" applyAlignment="0" applyProtection="0"/>
    <xf numFmtId="287" fontId="118" fillId="0" borderId="0" applyFont="0" applyFill="0" applyBorder="0" applyAlignment="0" applyProtection="0"/>
    <xf numFmtId="287" fontId="118" fillId="0" borderId="0" applyFont="0" applyFill="0" applyBorder="0" applyAlignment="0" applyProtection="0"/>
    <xf numFmtId="314"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7" fontId="176" fillId="0" borderId="0" applyFont="0" applyFill="0" applyBorder="0" applyAlignment="0" applyProtection="0"/>
    <xf numFmtId="318" fontId="176" fillId="0" borderId="0" applyFont="0" applyFill="0" applyBorder="0" applyAlignment="0" applyProtection="0"/>
    <xf numFmtId="318" fontId="176" fillId="0" borderId="0" applyFont="0" applyFill="0" applyBorder="0" applyAlignment="0" applyProtection="0"/>
    <xf numFmtId="318" fontId="176" fillId="0" borderId="0" applyFont="0" applyFill="0" applyBorder="0" applyAlignment="0" applyProtection="0"/>
    <xf numFmtId="317" fontId="176" fillId="0" borderId="0" applyFont="0" applyFill="0" applyBorder="0" applyAlignment="0" applyProtection="0"/>
    <xf numFmtId="317" fontId="176" fillId="0" borderId="0" applyFont="0" applyFill="0" applyBorder="0" applyAlignment="0" applyProtection="0"/>
    <xf numFmtId="314"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4"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90"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90" fontId="176" fillId="0" borderId="0" applyFont="0" applyFill="0" applyBorder="0" applyAlignment="0" applyProtection="0"/>
    <xf numFmtId="28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14" fontId="233" fillId="0" borderId="0"/>
    <xf numFmtId="3" fontId="234" fillId="0" borderId="0" applyNumberFormat="0" applyFill="0" applyBorder="0" applyAlignment="0" applyProtection="0">
      <alignment vertical="center"/>
    </xf>
    <xf numFmtId="0" fontId="191" fillId="0" borderId="0"/>
    <xf numFmtId="0" fontId="111" fillId="0" borderId="103"/>
    <xf numFmtId="40" fontId="235" fillId="0" borderId="0" applyBorder="0">
      <alignment horizontal="right"/>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0" fontId="180" fillId="0" borderId="1"/>
    <xf numFmtId="0" fontId="179" fillId="0" borderId="1"/>
    <xf numFmtId="0" fontId="204" fillId="0" borderId="0" applyBorder="0" applyProtection="0">
      <alignment vertical="center"/>
    </xf>
    <xf numFmtId="327" fontId="204" fillId="0" borderId="39" applyBorder="0" applyProtection="0">
      <alignment horizontal="right" vertical="center"/>
    </xf>
    <xf numFmtId="0" fontId="205" fillId="87" borderId="0" applyBorder="0" applyProtection="0">
      <alignment horizontal="centerContinuous" vertical="center"/>
    </xf>
    <xf numFmtId="0" fontId="205" fillId="88" borderId="39" applyBorder="0" applyProtection="0">
      <alignment horizontal="centerContinuous" vertical="center"/>
    </xf>
    <xf numFmtId="0" fontId="206" fillId="0" borderId="0" applyFill="0" applyBorder="0" applyProtection="0">
      <alignment horizontal="left"/>
    </xf>
    <xf numFmtId="0" fontId="74" fillId="0" borderId="31" applyFill="0" applyBorder="0" applyProtection="0">
      <alignment horizontal="left" vertical="top"/>
    </xf>
    <xf numFmtId="3" fontId="236" fillId="97" borderId="116" applyFill="0" applyAlignment="0" applyProtection="0">
      <alignment horizontal="justify" vertical="center"/>
    </xf>
    <xf numFmtId="0" fontId="44" fillId="0" borderId="104" applyBorder="0">
      <alignment vertical="justify"/>
    </xf>
    <xf numFmtId="49" fontId="50" fillId="0" borderId="0" applyFill="0" applyBorder="0" applyAlignment="0"/>
    <xf numFmtId="0" fontId="98" fillId="0" borderId="0" applyNumberFormat="0" applyFill="0" applyBorder="0" applyAlignment="0" applyProtection="0"/>
    <xf numFmtId="0" fontId="98" fillId="0" borderId="0" applyNumberFormat="0" applyFill="0" applyBorder="0" applyAlignment="0" applyProtection="0"/>
    <xf numFmtId="0" fontId="207" fillId="0" borderId="105"/>
    <xf numFmtId="0" fontId="98" fillId="0" borderId="0" applyNumberFormat="0" applyFill="0" applyBorder="0" applyAlignment="0" applyProtection="0"/>
    <xf numFmtId="0" fontId="91" fillId="0" borderId="0" applyNumberFormat="0" applyFill="0" applyBorder="0" applyAlignment="0" applyProtection="0"/>
    <xf numFmtId="0" fontId="98" fillId="0" borderId="0" applyNumberFormat="0" applyFill="0" applyBorder="0" applyAlignment="0" applyProtection="0"/>
    <xf numFmtId="40" fontId="78" fillId="0" borderId="0"/>
    <xf numFmtId="0" fontId="208" fillId="89" borderId="0"/>
    <xf numFmtId="0" fontId="209" fillId="89" borderId="0"/>
    <xf numFmtId="0" fontId="210" fillId="41" borderId="0" applyFont="0"/>
    <xf numFmtId="37" fontId="225" fillId="0" borderId="0" applyNumberFormat="0" applyBorder="0" applyAlignment="0"/>
    <xf numFmtId="0" fontId="56" fillId="0" borderId="0" applyNumberFormat="0" applyBorder="0" applyAlignment="0"/>
    <xf numFmtId="0" fontId="190" fillId="0" borderId="106"/>
    <xf numFmtId="0" fontId="186" fillId="0" borderId="106"/>
    <xf numFmtId="0" fontId="190" fillId="0" borderId="1"/>
    <xf numFmtId="0" fontId="186" fillId="0" borderId="1"/>
    <xf numFmtId="0" fontId="29" fillId="74" borderId="0"/>
    <xf numFmtId="0" fontId="29" fillId="74" borderId="0"/>
    <xf numFmtId="40" fontId="211" fillId="0" borderId="116" applyFont="0" applyFill="0" applyBorder="0" applyAlignment="0" applyProtection="0"/>
    <xf numFmtId="282" fontId="118" fillId="0" borderId="0" applyFont="0" applyFill="0" applyBorder="0" applyAlignment="0" applyProtection="0"/>
    <xf numFmtId="0" fontId="56" fillId="0" borderId="0"/>
    <xf numFmtId="286" fontId="203" fillId="0" borderId="116"/>
    <xf numFmtId="286" fontId="203" fillId="0" borderId="116"/>
    <xf numFmtId="0" fontId="212" fillId="0" borderId="0"/>
    <xf numFmtId="0" fontId="212" fillId="0" borderId="0"/>
    <xf numFmtId="5" fontId="237" fillId="98" borderId="60">
      <alignment vertical="top"/>
    </xf>
    <xf numFmtId="0" fontId="213" fillId="90" borderId="116">
      <alignment horizontal="left" vertical="center"/>
    </xf>
    <xf numFmtId="6" fontId="238" fillId="21" borderId="60"/>
    <xf numFmtId="5" fontId="83" fillId="0" borderId="60">
      <alignment horizontal="left" vertical="top"/>
    </xf>
    <xf numFmtId="0" fontId="214" fillId="91" borderId="0">
      <alignment horizontal="left" vertical="center"/>
    </xf>
    <xf numFmtId="5" fontId="239" fillId="0" borderId="45">
      <alignment horizontal="left" vertical="top"/>
    </xf>
    <xf numFmtId="0" fontId="215" fillId="0" borderId="45">
      <alignment horizontal="left" vertical="center"/>
    </xf>
    <xf numFmtId="332" fontId="47" fillId="0" borderId="0" applyBorder="0"/>
    <xf numFmtId="0" fontId="173" fillId="0" borderId="90"/>
    <xf numFmtId="333" fontId="30" fillId="0" borderId="0" applyBorder="0"/>
    <xf numFmtId="333" fontId="30" fillId="0" borderId="0" applyBorder="0"/>
    <xf numFmtId="0" fontId="173" fillId="0" borderId="90"/>
    <xf numFmtId="0" fontId="174" fillId="0" borderId="90"/>
    <xf numFmtId="0" fontId="174" fillId="0" borderId="90"/>
    <xf numFmtId="333" fontId="30" fillId="0" borderId="0" applyBorder="0"/>
    <xf numFmtId="334" fontId="30" fillId="0" borderId="0" applyBorder="0" applyAlignment="0"/>
    <xf numFmtId="332" fontId="47" fillId="0" borderId="0" applyBorder="0"/>
    <xf numFmtId="332" fontId="47" fillId="0" borderId="0" applyBorder="0"/>
    <xf numFmtId="0" fontId="173" fillId="0" borderId="90"/>
    <xf numFmtId="0" fontId="173" fillId="0" borderId="90"/>
    <xf numFmtId="333" fontId="30" fillId="0" borderId="0" applyBorder="0"/>
    <xf numFmtId="333" fontId="30" fillId="0" borderId="0" applyBorder="0"/>
    <xf numFmtId="333" fontId="30" fillId="0" borderId="0" applyBorder="0"/>
    <xf numFmtId="0" fontId="216" fillId="0" borderId="0" applyNumberFormat="0" applyFill="0" applyBorder="0" applyAlignment="0" applyProtection="0"/>
    <xf numFmtId="0" fontId="77" fillId="92" borderId="38" applyNumberFormat="0" applyBorder="0" applyAlignment="0">
      <alignment horizontal="center"/>
    </xf>
    <xf numFmtId="0" fontId="77" fillId="92" borderId="38" applyNumberFormat="0" applyBorder="0" applyAlignment="0">
      <alignment horizontal="center"/>
    </xf>
    <xf numFmtId="335" fontId="86" fillId="0" borderId="60" applyFont="0" applyBorder="0" applyAlignment="0">
      <alignment horizontal="center" vertical="center"/>
    </xf>
    <xf numFmtId="0" fontId="170" fillId="0" borderId="0">
      <alignment vertical="center"/>
    </xf>
    <xf numFmtId="43" fontId="170" fillId="0" borderId="0" applyFont="0" applyFill="0" applyBorder="0" applyAlignment="0" applyProtection="0"/>
    <xf numFmtId="0" fontId="197" fillId="0" borderId="0">
      <alignment vertical="top"/>
    </xf>
    <xf numFmtId="9" fontId="40" fillId="0" borderId="0" applyFont="0" applyFill="0" applyBorder="0" applyAlignment="0" applyProtection="0"/>
    <xf numFmtId="41" fontId="40" fillId="0" borderId="0" applyFont="0" applyFill="0" applyBorder="0" applyAlignment="0" applyProtection="0"/>
    <xf numFmtId="0" fontId="40" fillId="0" borderId="0"/>
    <xf numFmtId="0" fontId="15" fillId="0" borderId="0"/>
    <xf numFmtId="43" fontId="40"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41" fontId="28" fillId="0" borderId="0" applyFont="0" applyFill="0" applyBorder="0" applyAlignment="0" applyProtection="0"/>
    <xf numFmtId="0" fontId="240" fillId="0" borderId="0" applyNumberFormat="0" applyFill="0" applyBorder="0" applyAlignment="0" applyProtection="0">
      <alignment vertical="top"/>
      <protection locked="0"/>
    </xf>
    <xf numFmtId="0" fontId="15" fillId="0" borderId="0"/>
    <xf numFmtId="43" fontId="15" fillId="0" borderId="0" applyFont="0" applyFill="0" applyBorder="0" applyAlignment="0" applyProtection="0"/>
    <xf numFmtId="0" fontId="56" fillId="0" borderId="0"/>
    <xf numFmtId="0" fontId="38" fillId="0" borderId="116">
      <alignment horizontal="center"/>
    </xf>
    <xf numFmtId="0" fontId="28" fillId="70" borderId="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8"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274" fontId="28" fillId="0" borderId="0" applyFont="0" applyFill="0" applyBorder="0" applyAlignment="0" applyProtection="0"/>
    <xf numFmtId="266" fontId="28" fillId="0" borderId="0" applyFont="0" applyFill="0" applyBorder="0" applyAlignment="0" applyProtection="0"/>
    <xf numFmtId="228" fontId="28" fillId="0" borderId="0" applyFont="0" applyFill="0" applyBorder="0" applyAlignment="0" applyProtection="0"/>
    <xf numFmtId="229" fontId="28" fillId="0" borderId="0" applyFont="0" applyFill="0" applyBorder="0" applyAlignment="0" applyProtection="0"/>
    <xf numFmtId="166"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0" fontId="28" fillId="41" borderId="0">
      <alignment horizontal="center" vertical="top" wrapText="1"/>
    </xf>
    <xf numFmtId="275"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0" fontId="28" fillId="0" borderId="40"/>
    <xf numFmtId="0" fontId="28" fillId="0" borderId="40"/>
    <xf numFmtId="170" fontId="223" fillId="0" borderId="0" applyFont="0" applyFill="0" applyBorder="0" applyAlignment="0" applyProtection="0"/>
    <xf numFmtId="0" fontId="56" fillId="0" borderId="0" applyNumberFormat="0" applyBorder="0" applyAlignment="0"/>
    <xf numFmtId="0" fontId="173" fillId="0" borderId="90"/>
    <xf numFmtId="0" fontId="173" fillId="0" borderId="90"/>
    <xf numFmtId="0" fontId="174" fillId="0" borderId="90"/>
    <xf numFmtId="0" fontId="174" fillId="0" borderId="90"/>
    <xf numFmtId="0" fontId="173" fillId="0" borderId="90"/>
    <xf numFmtId="0" fontId="173" fillId="0" borderId="90"/>
    <xf numFmtId="0" fontId="15" fillId="0" borderId="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3" fontId="53" fillId="0" borderId="29"/>
    <xf numFmtId="43" fontId="56" fillId="0" borderId="0" applyFont="0" applyFill="0" applyBorder="0" applyAlignment="0" applyProtection="0"/>
    <xf numFmtId="324" fontId="179" fillId="0" borderId="29"/>
    <xf numFmtId="235" fontId="28" fillId="41" borderId="0" applyFont="0" applyBorder="0"/>
    <xf numFmtId="5" fontId="83" fillId="95" borderId="29" applyNumberFormat="0" applyAlignment="0">
      <alignment horizontal="left" vertical="top"/>
    </xf>
    <xf numFmtId="49" fontId="85" fillId="0" borderId="29">
      <alignment vertical="center"/>
    </xf>
    <xf numFmtId="4" fontId="92" fillId="0" borderId="90" applyBorder="0"/>
    <xf numFmtId="0" fontId="28" fillId="0" borderId="0">
      <alignment vertical="top"/>
    </xf>
    <xf numFmtId="0" fontId="49" fillId="0" borderId="0"/>
    <xf numFmtId="0" fontId="40" fillId="0" borderId="0"/>
    <xf numFmtId="0" fontId="28" fillId="0" borderId="0"/>
    <xf numFmtId="0" fontId="34" fillId="0" borderId="0"/>
    <xf numFmtId="0" fontId="40" fillId="0" borderId="0"/>
    <xf numFmtId="0" fontId="49" fillId="83" borderId="16" applyNumberFormat="0" applyFont="0" applyAlignment="0" applyProtection="0"/>
    <xf numFmtId="9" fontId="56" fillId="0" borderId="0" applyFont="0" applyFill="0" applyBorder="0" applyAlignment="0" applyProtection="0"/>
    <xf numFmtId="0" fontId="77" fillId="85" borderId="47" applyNumberFormat="0" applyFont="0" applyBorder="0" applyAlignment="0" applyProtection="0"/>
    <xf numFmtId="0" fontId="77" fillId="85" borderId="47" applyNumberFormat="0" applyFont="0" applyBorder="0" applyAlignment="0" applyProtection="0"/>
    <xf numFmtId="0" fontId="53" fillId="0" borderId="0" applyNumberFormat="0" applyFont="0" applyFill="0" applyBorder="0" applyAlignment="0" applyProtection="0">
      <alignment horizontal="left"/>
    </xf>
    <xf numFmtId="0" fontId="28" fillId="0" borderId="40"/>
    <xf numFmtId="313" fontId="176" fillId="0" borderId="0" applyFont="0" applyFill="0" applyBorder="0" applyAlignment="0" applyProtection="0"/>
    <xf numFmtId="0" fontId="28" fillId="0" borderId="40"/>
    <xf numFmtId="0" fontId="98" fillId="0" borderId="0" applyNumberFormat="0" applyFill="0" applyBorder="0" applyAlignment="0" applyProtection="0"/>
    <xf numFmtId="43" fontId="15"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9" fontId="176" fillId="0" borderId="0" applyFont="0" applyFill="0" applyBorder="0" applyAlignment="0" applyProtection="0"/>
    <xf numFmtId="320" fontId="176" fillId="0" borderId="0" applyFont="0" applyFill="0" applyBorder="0" applyAlignment="0" applyProtection="0"/>
    <xf numFmtId="320" fontId="176" fillId="0" borderId="0" applyFont="0" applyFill="0" applyBorder="0" applyAlignment="0" applyProtection="0"/>
    <xf numFmtId="315" fontId="176" fillId="0" borderId="0" applyFont="0" applyFill="0" applyBorder="0" applyAlignment="0" applyProtection="0"/>
    <xf numFmtId="320" fontId="176" fillId="0" borderId="0" applyFont="0" applyFill="0" applyBorder="0" applyAlignment="0" applyProtection="0"/>
    <xf numFmtId="319" fontId="176" fillId="0" borderId="0" applyFont="0" applyFill="0" applyBorder="0" applyAlignment="0" applyProtection="0"/>
    <xf numFmtId="319" fontId="176" fillId="0" borderId="0" applyFont="0" applyFill="0" applyBorder="0" applyAlignment="0" applyProtection="0"/>
    <xf numFmtId="321" fontId="176" fillId="0" borderId="0" applyFont="0" applyFill="0" applyBorder="0" applyAlignment="0" applyProtection="0"/>
    <xf numFmtId="322" fontId="176" fillId="0" borderId="0" applyFont="0" applyFill="0" applyBorder="0" applyAlignment="0" applyProtection="0"/>
    <xf numFmtId="322" fontId="176" fillId="0" borderId="0" applyFont="0" applyFill="0" applyBorder="0" applyAlignment="0" applyProtection="0"/>
    <xf numFmtId="322" fontId="176" fillId="0" borderId="0" applyFont="0" applyFill="0" applyBorder="0" applyAlignment="0" applyProtection="0"/>
    <xf numFmtId="321" fontId="176" fillId="0" borderId="0" applyFont="0" applyFill="0" applyBorder="0" applyAlignment="0" applyProtection="0"/>
    <xf numFmtId="321" fontId="176" fillId="0" borderId="0" applyFont="0" applyFill="0" applyBorder="0" applyAlignment="0" applyProtection="0"/>
    <xf numFmtId="313" fontId="176" fillId="0" borderId="0" applyFont="0" applyFill="0" applyBorder="0" applyAlignment="0" applyProtection="0"/>
    <xf numFmtId="315" fontId="176" fillId="0" borderId="0" applyFont="0" applyFill="0" applyBorder="0" applyAlignment="0" applyProtection="0"/>
    <xf numFmtId="42" fontId="176" fillId="0" borderId="0" applyFont="0" applyFill="0" applyBorder="0" applyAlignment="0" applyProtection="0"/>
    <xf numFmtId="284" fontId="118" fillId="0" borderId="0" applyFont="0" applyFill="0" applyBorder="0" applyAlignment="0" applyProtection="0"/>
    <xf numFmtId="291" fontId="176" fillId="0" borderId="0" applyFont="0" applyFill="0" applyBorder="0" applyAlignment="0" applyProtection="0"/>
    <xf numFmtId="291" fontId="176" fillId="0" borderId="0" applyFont="0" applyFill="0" applyBorder="0" applyAlignment="0" applyProtection="0"/>
    <xf numFmtId="291" fontId="176" fillId="0" borderId="0" applyFont="0" applyFill="0" applyBorder="0" applyAlignment="0" applyProtection="0"/>
    <xf numFmtId="42" fontId="176" fillId="0" borderId="0" applyFont="0" applyFill="0" applyBorder="0" applyAlignment="0" applyProtection="0"/>
    <xf numFmtId="292" fontId="176" fillId="0" borderId="0" applyFont="0" applyFill="0" applyBorder="0" applyAlignment="0" applyProtection="0"/>
    <xf numFmtId="293" fontId="176" fillId="0" borderId="0" applyFont="0" applyFill="0" applyBorder="0" applyAlignment="0" applyProtection="0"/>
    <xf numFmtId="293" fontId="176" fillId="0" borderId="0" applyFont="0" applyFill="0" applyBorder="0" applyAlignment="0" applyProtection="0"/>
    <xf numFmtId="293" fontId="176" fillId="0" borderId="0" applyFont="0" applyFill="0" applyBorder="0" applyAlignment="0" applyProtection="0"/>
    <xf numFmtId="315" fontId="176" fillId="0" borderId="0" applyFont="0" applyFill="0" applyBorder="0" applyAlignment="0" applyProtection="0"/>
    <xf numFmtId="292" fontId="176" fillId="0" borderId="0" applyFont="0" applyFill="0" applyBorder="0" applyAlignment="0" applyProtection="0"/>
    <xf numFmtId="292" fontId="176" fillId="0" borderId="0" applyFont="0" applyFill="0" applyBorder="0" applyAlignment="0" applyProtection="0"/>
    <xf numFmtId="294" fontId="118" fillId="0" borderId="0" applyFont="0" applyFill="0" applyBorder="0" applyAlignment="0" applyProtection="0"/>
    <xf numFmtId="294" fontId="118" fillId="0" borderId="0" applyFont="0" applyFill="0" applyBorder="0" applyAlignment="0" applyProtection="0"/>
    <xf numFmtId="294" fontId="118" fillId="0" borderId="0" applyFont="0" applyFill="0" applyBorder="0" applyAlignment="0" applyProtection="0"/>
    <xf numFmtId="284" fontId="118" fillId="0" borderId="0" applyFont="0" applyFill="0" applyBorder="0" applyAlignment="0" applyProtection="0"/>
    <xf numFmtId="284" fontId="118" fillId="0" borderId="0" applyFont="0" applyFill="0" applyBorder="0" applyAlignment="0" applyProtection="0"/>
    <xf numFmtId="42" fontId="176" fillId="0" borderId="0" applyFont="0" applyFill="0" applyBorder="0" applyAlignment="0" applyProtection="0"/>
    <xf numFmtId="291" fontId="176" fillId="0" borderId="0" applyFont="0" applyFill="0" applyBorder="0" applyAlignment="0" applyProtection="0"/>
    <xf numFmtId="291" fontId="176" fillId="0" borderId="0" applyFont="0" applyFill="0" applyBorder="0" applyAlignment="0" applyProtection="0"/>
    <xf numFmtId="313" fontId="176" fillId="0" borderId="0" applyFont="0" applyFill="0" applyBorder="0" applyAlignment="0" applyProtection="0"/>
    <xf numFmtId="291" fontId="176" fillId="0" borderId="0" applyFont="0" applyFill="0" applyBorder="0" applyAlignment="0" applyProtection="0"/>
    <xf numFmtId="42" fontId="176" fillId="0" borderId="0" applyFont="0" applyFill="0" applyBorder="0" applyAlignment="0" applyProtection="0"/>
    <xf numFmtId="42" fontId="176" fillId="0" borderId="0" applyFont="0" applyFill="0" applyBorder="0" applyAlignment="0" applyProtection="0"/>
    <xf numFmtId="284" fontId="176" fillId="0" borderId="0" applyFont="0" applyFill="0" applyBorder="0" applyAlignment="0" applyProtection="0"/>
    <xf numFmtId="284" fontId="118" fillId="0" borderId="0" applyFont="0" applyFill="0" applyBorder="0" applyAlignment="0" applyProtection="0"/>
    <xf numFmtId="42"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90" fontId="176" fillId="0" borderId="0" applyFont="0" applyFill="0" applyBorder="0" applyAlignment="0" applyProtection="0"/>
    <xf numFmtId="314" fontId="176" fillId="0" borderId="0" applyFont="0" applyFill="0" applyBorder="0" applyAlignment="0" applyProtection="0"/>
    <xf numFmtId="290" fontId="176" fillId="0" borderId="0" applyFont="0" applyFill="0" applyBorder="0" applyAlignment="0" applyProtection="0"/>
    <xf numFmtId="314" fontId="176" fillId="0" borderId="0" applyFont="0" applyFill="0" applyBorder="0" applyAlignment="0" applyProtection="0"/>
    <xf numFmtId="314" fontId="176" fillId="0" borderId="0" applyFont="0" applyFill="0" applyBorder="0" applyAlignment="0" applyProtection="0"/>
    <xf numFmtId="290" fontId="176" fillId="0" borderId="0" applyFont="0" applyFill="0" applyBorder="0" applyAlignment="0" applyProtection="0"/>
    <xf numFmtId="290" fontId="176" fillId="0" borderId="0" applyFont="0" applyFill="0" applyBorder="0" applyAlignment="0" applyProtection="0"/>
    <xf numFmtId="287" fontId="118" fillId="0" borderId="0" applyFont="0" applyFill="0" applyBorder="0" applyAlignment="0" applyProtection="0"/>
    <xf numFmtId="316" fontId="118" fillId="0" borderId="0" applyFont="0" applyFill="0" applyBorder="0" applyAlignment="0" applyProtection="0"/>
    <xf numFmtId="316" fontId="118" fillId="0" borderId="0" applyFont="0" applyFill="0" applyBorder="0" applyAlignment="0" applyProtection="0"/>
    <xf numFmtId="316" fontId="118" fillId="0" borderId="0" applyFont="0" applyFill="0" applyBorder="0" applyAlignment="0" applyProtection="0"/>
    <xf numFmtId="287" fontId="118" fillId="0" borderId="0" applyFont="0" applyFill="0" applyBorder="0" applyAlignment="0" applyProtection="0"/>
    <xf numFmtId="287" fontId="118" fillId="0" borderId="0" applyFont="0" applyFill="0" applyBorder="0" applyAlignment="0" applyProtection="0"/>
    <xf numFmtId="314"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7" fontId="176" fillId="0" borderId="0" applyFont="0" applyFill="0" applyBorder="0" applyAlignment="0" applyProtection="0"/>
    <xf numFmtId="318" fontId="176" fillId="0" borderId="0" applyFont="0" applyFill="0" applyBorder="0" applyAlignment="0" applyProtection="0"/>
    <xf numFmtId="318" fontId="176" fillId="0" borderId="0" applyFont="0" applyFill="0" applyBorder="0" applyAlignment="0" applyProtection="0"/>
    <xf numFmtId="318" fontId="176" fillId="0" borderId="0" applyFont="0" applyFill="0" applyBorder="0" applyAlignment="0" applyProtection="0"/>
    <xf numFmtId="317" fontId="176" fillId="0" borderId="0" applyFont="0" applyFill="0" applyBorder="0" applyAlignment="0" applyProtection="0"/>
    <xf numFmtId="317" fontId="176" fillId="0" borderId="0" applyFont="0" applyFill="0" applyBorder="0" applyAlignment="0" applyProtection="0"/>
    <xf numFmtId="314"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4"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90"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90" fontId="176" fillId="0" borderId="0" applyFont="0" applyFill="0" applyBorder="0" applyAlignment="0" applyProtection="0"/>
    <xf numFmtId="28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287" fontId="176" fillId="0" borderId="0" applyFont="0" applyFill="0" applyBorder="0" applyAlignment="0" applyProtection="0"/>
    <xf numFmtId="287"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313" fontId="176" fillId="0" borderId="0" applyFont="0" applyFill="0" applyBorder="0" applyAlignment="0" applyProtection="0"/>
    <xf numFmtId="287"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5" fontId="176" fillId="0" borderId="0" applyFont="0" applyFill="0" applyBorder="0" applyAlignment="0" applyProtection="0"/>
    <xf numFmtId="313"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316" fontId="176" fillId="0" borderId="0" applyFont="0" applyFill="0" applyBorder="0" applyAlignment="0" applyProtection="0"/>
    <xf numFmtId="14" fontId="233" fillId="0" borderId="0"/>
    <xf numFmtId="3" fontId="234" fillId="0" borderId="0" applyNumberFormat="0" applyFill="0" applyBorder="0" applyAlignment="0" applyProtection="0">
      <alignment vertical="center"/>
    </xf>
    <xf numFmtId="0" fontId="191" fillId="0" borderId="0"/>
    <xf numFmtId="0" fontId="111" fillId="0" borderId="103"/>
    <xf numFmtId="40" fontId="235" fillId="0" borderId="0" applyBorder="0">
      <alignment horizontal="right"/>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331" fontId="192" fillId="0" borderId="30">
      <alignment horizontal="right" vertical="center"/>
    </xf>
    <xf numFmtId="0" fontId="180" fillId="0" borderId="1"/>
    <xf numFmtId="0" fontId="179" fillId="0" borderId="1"/>
    <xf numFmtId="0" fontId="204" fillId="0" borderId="0" applyBorder="0" applyProtection="0">
      <alignment vertical="center"/>
    </xf>
    <xf numFmtId="327" fontId="204" fillId="0" borderId="39" applyBorder="0" applyProtection="0">
      <alignment horizontal="right" vertical="center"/>
    </xf>
    <xf numFmtId="0" fontId="205" fillId="87" borderId="0" applyBorder="0" applyProtection="0">
      <alignment horizontal="centerContinuous" vertical="center"/>
    </xf>
    <xf numFmtId="0" fontId="205" fillId="88" borderId="39" applyBorder="0" applyProtection="0">
      <alignment horizontal="centerContinuous" vertical="center"/>
    </xf>
    <xf numFmtId="0" fontId="206" fillId="0" borderId="0" applyFill="0" applyBorder="0" applyProtection="0">
      <alignment horizontal="left"/>
    </xf>
    <xf numFmtId="0" fontId="74" fillId="0" borderId="31" applyFill="0" applyBorder="0" applyProtection="0">
      <alignment horizontal="left" vertical="top"/>
    </xf>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3" fontId="236" fillId="97" borderId="29" applyFill="0" applyAlignment="0" applyProtection="0">
      <alignment horizontal="justify" vertical="center"/>
    </xf>
    <xf numFmtId="0" fontId="44" fillId="0" borderId="104" applyBorder="0">
      <alignment vertical="justify"/>
    </xf>
    <xf numFmtId="49" fontId="50" fillId="0" borderId="0" applyFill="0" applyBorder="0" applyAlignment="0"/>
    <xf numFmtId="0" fontId="98" fillId="0" borderId="0" applyNumberFormat="0" applyFill="0" applyBorder="0" applyAlignment="0" applyProtection="0"/>
    <xf numFmtId="0" fontId="98" fillId="0" borderId="0" applyNumberFormat="0" applyFill="0" applyBorder="0" applyAlignment="0" applyProtection="0"/>
    <xf numFmtId="0" fontId="207" fillId="0" borderId="105"/>
    <xf numFmtId="0" fontId="98" fillId="0" borderId="0" applyNumberFormat="0" applyFill="0" applyBorder="0" applyAlignment="0" applyProtection="0"/>
    <xf numFmtId="0" fontId="91" fillId="0" borderId="0" applyNumberFormat="0" applyFill="0" applyBorder="0" applyAlignment="0" applyProtection="0"/>
    <xf numFmtId="0" fontId="98" fillId="0" borderId="0" applyNumberFormat="0" applyFill="0" applyBorder="0" applyAlignment="0" applyProtection="0"/>
    <xf numFmtId="40" fontId="78" fillId="0" borderId="0"/>
    <xf numFmtId="0" fontId="208" fillId="89" borderId="0"/>
    <xf numFmtId="0" fontId="209" fillId="89" borderId="0"/>
    <xf numFmtId="0" fontId="210" fillId="41" borderId="0" applyFont="0"/>
    <xf numFmtId="37" fontId="225" fillId="0" borderId="0" applyNumberFormat="0" applyBorder="0" applyAlignment="0"/>
    <xf numFmtId="0" fontId="190" fillId="0" borderId="106"/>
    <xf numFmtId="0" fontId="186" fillId="0" borderId="106"/>
    <xf numFmtId="0" fontId="190" fillId="0" borderId="1"/>
    <xf numFmtId="0" fontId="186" fillId="0" borderId="1"/>
    <xf numFmtId="0" fontId="29" fillId="74" borderId="0"/>
    <xf numFmtId="0" fontId="212" fillId="0" borderId="0"/>
    <xf numFmtId="0" fontId="212" fillId="0" borderId="0"/>
    <xf numFmtId="5" fontId="237" fillId="98" borderId="60">
      <alignment vertical="top"/>
    </xf>
    <xf numFmtId="0" fontId="213" fillId="90" borderId="29">
      <alignment horizontal="left" vertical="center"/>
    </xf>
    <xf numFmtId="6" fontId="238" fillId="21" borderId="60"/>
    <xf numFmtId="5" fontId="83" fillId="0" borderId="60">
      <alignment horizontal="left" vertical="top"/>
    </xf>
    <xf numFmtId="0" fontId="214" fillId="91" borderId="0">
      <alignment horizontal="left" vertical="center"/>
    </xf>
    <xf numFmtId="5" fontId="239" fillId="0" borderId="45">
      <alignment horizontal="left" vertical="top"/>
    </xf>
    <xf numFmtId="0" fontId="215" fillId="0" borderId="45">
      <alignment horizontal="left" vertical="center"/>
    </xf>
    <xf numFmtId="332" fontId="47" fillId="0" borderId="0" applyBorder="0"/>
    <xf numFmtId="0" fontId="173" fillId="0" borderId="90"/>
    <xf numFmtId="333" fontId="30" fillId="0" borderId="0" applyBorder="0"/>
    <xf numFmtId="333" fontId="30" fillId="0" borderId="0" applyBorder="0"/>
    <xf numFmtId="0" fontId="173" fillId="0" borderId="90"/>
    <xf numFmtId="0" fontId="174" fillId="0" borderId="90"/>
    <xf numFmtId="0" fontId="174" fillId="0" borderId="90"/>
    <xf numFmtId="333" fontId="30" fillId="0" borderId="0" applyBorder="0"/>
    <xf numFmtId="334" fontId="30" fillId="0" borderId="0" applyBorder="0" applyAlignment="0"/>
    <xf numFmtId="332" fontId="47" fillId="0" borderId="0" applyBorder="0"/>
    <xf numFmtId="332" fontId="47" fillId="0" borderId="0" applyBorder="0"/>
    <xf numFmtId="0" fontId="173" fillId="0" borderId="90"/>
    <xf numFmtId="0" fontId="173" fillId="0" borderId="90"/>
    <xf numFmtId="333" fontId="30" fillId="0" borderId="0" applyBorder="0"/>
    <xf numFmtId="333" fontId="30" fillId="0" borderId="0" applyBorder="0"/>
    <xf numFmtId="333" fontId="30" fillId="0" borderId="0" applyBorder="0"/>
    <xf numFmtId="0" fontId="216" fillId="0" borderId="0" applyNumberFormat="0" applyFill="0" applyBorder="0" applyAlignment="0" applyProtection="0"/>
    <xf numFmtId="0" fontId="77" fillId="92" borderId="38" applyNumberFormat="0" applyBorder="0" applyAlignment="0">
      <alignment horizontal="center"/>
    </xf>
    <xf numFmtId="0" fontId="77" fillId="92" borderId="38" applyNumberFormat="0" applyBorder="0" applyAlignment="0">
      <alignment horizontal="center"/>
    </xf>
    <xf numFmtId="335" fontId="86" fillId="0" borderId="60" applyFont="0" applyBorder="0" applyAlignment="0">
      <alignment horizontal="center" vertical="center"/>
    </xf>
    <xf numFmtId="0" fontId="170" fillId="0" borderId="0">
      <alignment vertical="center"/>
    </xf>
    <xf numFmtId="0" fontId="197" fillId="0" borderId="0">
      <alignment vertical="top"/>
    </xf>
    <xf numFmtId="0" fontId="15" fillId="0" borderId="0"/>
    <xf numFmtId="9" fontId="15"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56" fillId="0" borderId="0"/>
    <xf numFmtId="0" fontId="38" fillId="0" borderId="29">
      <alignment horizontal="center"/>
    </xf>
    <xf numFmtId="4" fontId="92" fillId="0" borderId="90" applyBorder="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0" fontId="28" fillId="0" borderId="40"/>
    <xf numFmtId="0" fontId="28" fillId="0" borderId="40"/>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0" fontId="173" fillId="0" borderId="90"/>
    <xf numFmtId="0" fontId="173" fillId="0" borderId="90"/>
    <xf numFmtId="0" fontId="174" fillId="0" borderId="90"/>
    <xf numFmtId="0" fontId="174" fillId="0" borderId="90"/>
    <xf numFmtId="0" fontId="173" fillId="0" borderId="90"/>
    <xf numFmtId="0" fontId="173" fillId="0" borderId="90"/>
    <xf numFmtId="0" fontId="15" fillId="0" borderId="0"/>
    <xf numFmtId="9" fontId="15"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28" fillId="0" borderId="0"/>
    <xf numFmtId="0" fontId="15" fillId="0" borderId="0"/>
    <xf numFmtId="43" fontId="15" fillId="0" borderId="0" applyFont="0" applyFill="0" applyBorder="0" applyAlignment="0" applyProtection="0"/>
    <xf numFmtId="0" fontId="15" fillId="0" borderId="0"/>
    <xf numFmtId="43" fontId="15" fillId="0" borderId="0" applyFont="0" applyFill="0" applyBorder="0" applyAlignment="0" applyProtection="0"/>
    <xf numFmtId="0" fontId="241" fillId="0" borderId="0" applyNumberFormat="0" applyFill="0" applyBorder="0" applyAlignment="0" applyProtection="0"/>
    <xf numFmtId="0" fontId="15" fillId="0" borderId="0"/>
    <xf numFmtId="0" fontId="15" fillId="0" borderId="0"/>
    <xf numFmtId="43" fontId="15" fillId="0" borderId="0" applyFont="0" applyFill="0" applyBorder="0" applyAlignment="0" applyProtection="0"/>
    <xf numFmtId="43"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43" fontId="15" fillId="0" borderId="0" applyFont="0" applyFill="0" applyBorder="0" applyAlignment="0" applyProtection="0"/>
    <xf numFmtId="166"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92" fillId="0" borderId="0" applyNumberFormat="0" applyFill="0" applyBorder="0" applyAlignment="0" applyProtection="0"/>
    <xf numFmtId="0" fontId="177" fillId="0" borderId="0"/>
    <xf numFmtId="0" fontId="192" fillId="0" borderId="0"/>
    <xf numFmtId="0" fontId="239"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70" fillId="0" borderId="0" applyFont="0" applyFill="0" applyBorder="0" applyAlignment="0" applyProtection="0"/>
    <xf numFmtId="43" fontId="56" fillId="0" borderId="0" applyFont="0" applyFill="0" applyBorder="0" applyAlignment="0" applyProtection="0"/>
    <xf numFmtId="43" fontId="15" fillId="0" borderId="0" applyFont="0" applyFill="0" applyBorder="0" applyAlignment="0" applyProtection="0"/>
    <xf numFmtId="43" fontId="28" fillId="0" borderId="0" applyFont="0" applyFill="0" applyBorder="0" applyAlignment="0" applyProtection="0"/>
    <xf numFmtId="259" fontId="192" fillId="0" borderId="123"/>
    <xf numFmtId="3" fontId="192" fillId="0" borderId="0" applyFont="0" applyBorder="0" applyAlignment="0"/>
    <xf numFmtId="0" fontId="242" fillId="0" borderId="0"/>
    <xf numFmtId="0" fontId="242" fillId="0" borderId="0"/>
    <xf numFmtId="3" fontId="192" fillId="0" borderId="0" applyFont="0" applyBorder="0" applyAlignment="0"/>
    <xf numFmtId="336" fontId="243" fillId="0" borderId="107"/>
    <xf numFmtId="0" fontId="40" fillId="0" borderId="0"/>
    <xf numFmtId="0" fontId="15" fillId="0" borderId="0"/>
    <xf numFmtId="0" fontId="15" fillId="0" borderId="0"/>
    <xf numFmtId="0" fontId="125" fillId="0" borderId="0"/>
    <xf numFmtId="0" fontId="15" fillId="0" borderId="0"/>
    <xf numFmtId="0" fontId="28" fillId="0" borderId="0"/>
    <xf numFmtId="0" fontId="15" fillId="0" borderId="0"/>
    <xf numFmtId="0" fontId="15" fillId="0" borderId="0"/>
    <xf numFmtId="0" fontId="15" fillId="0" borderId="0"/>
    <xf numFmtId="0" fontId="15" fillId="0" borderId="0"/>
    <xf numFmtId="0" fontId="15" fillId="0" borderId="0"/>
    <xf numFmtId="0" fontId="15" fillId="0" borderId="0"/>
    <xf numFmtId="0" fontId="192" fillId="0" borderId="0"/>
    <xf numFmtId="0" fontId="203" fillId="0" borderId="0" applyNumberFormat="0" applyFill="0" applyBorder="0" applyAlignment="0" applyProtection="0"/>
    <xf numFmtId="0" fontId="192" fillId="0" borderId="0" applyNumberFormat="0" applyFill="0" applyBorder="0" applyAlignment="0" applyProtection="0"/>
    <xf numFmtId="9" fontId="28"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259" fontId="201" fillId="0" borderId="122" applyFont="0" applyBorder="0" applyAlignment="0">
      <alignment horizontal="center" vertical="center"/>
    </xf>
    <xf numFmtId="0" fontId="192" fillId="0" borderId="0" applyNumberFormat="0" applyFill="0" applyBorder="0" applyAlignment="0" applyProtection="0"/>
    <xf numFmtId="0" fontId="244" fillId="0" borderId="0"/>
    <xf numFmtId="337" fontId="192" fillId="0" borderId="117">
      <alignment horizontal="right" vertical="center"/>
    </xf>
    <xf numFmtId="0" fontId="203" fillId="0" borderId="0" applyNumberFormat="0" applyFill="0" applyBorder="0" applyAlignment="0" applyProtection="0"/>
    <xf numFmtId="0" fontId="28" fillId="0" borderId="0" applyNumberFormat="0" applyFill="0" applyBorder="0" applyAlignment="0" applyProtection="0"/>
    <xf numFmtId="40" fontId="211" fillId="0" borderId="116" applyFont="0" applyFill="0" applyBorder="0" applyAlignment="0" applyProtection="0"/>
    <xf numFmtId="0" fontId="15" fillId="0" borderId="0"/>
    <xf numFmtId="43"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43" fontId="15" fillId="0" borderId="0" applyFont="0" applyFill="0" applyBorder="0" applyAlignment="0" applyProtection="0"/>
    <xf numFmtId="166" fontId="15" fillId="0" borderId="0" applyFont="0" applyFill="0" applyBorder="0" applyAlignment="0" applyProtection="0"/>
    <xf numFmtId="0" fontId="15" fillId="0" borderId="0"/>
    <xf numFmtId="9" fontId="169" fillId="0" borderId="0" applyFont="0" applyFill="0" applyBorder="0" applyAlignment="0" applyProtection="0"/>
    <xf numFmtId="43" fontId="15" fillId="0" borderId="0" applyFont="0" applyFill="0" applyBorder="0" applyAlignment="0" applyProtection="0"/>
    <xf numFmtId="0" fontId="245" fillId="0" borderId="0">
      <alignment vertical="center"/>
    </xf>
    <xf numFmtId="43" fontId="245" fillId="0" borderId="0" applyFont="0" applyFill="0" applyBorder="0" applyAlignment="0" applyProtection="0"/>
    <xf numFmtId="0" fontId="15" fillId="0" borderId="0"/>
    <xf numFmtId="43"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40" fillId="99" borderId="0" applyNumberFormat="0" applyBorder="0" applyAlignment="0" applyProtection="0"/>
    <xf numFmtId="0" fontId="40" fillId="100" borderId="0" applyNumberFormat="0" applyBorder="0" applyAlignment="0" applyProtection="0"/>
    <xf numFmtId="0" fontId="40" fillId="101" borderId="0" applyNumberFormat="0" applyBorder="0" applyAlignment="0" applyProtection="0"/>
    <xf numFmtId="0" fontId="40" fillId="102" borderId="0" applyNumberFormat="0" applyBorder="0" applyAlignment="0" applyProtection="0"/>
    <xf numFmtId="0" fontId="40" fillId="103" borderId="0" applyNumberFormat="0" applyBorder="0" applyAlignment="0" applyProtection="0"/>
    <xf numFmtId="0" fontId="40" fillId="104" borderId="0" applyNumberFormat="0" applyBorder="0" applyAlignment="0" applyProtection="0"/>
    <xf numFmtId="0" fontId="40" fillId="105" borderId="0" applyNumberFormat="0" applyBorder="0" applyAlignment="0" applyProtection="0"/>
    <xf numFmtId="0" fontId="40" fillId="106" borderId="0" applyNumberFormat="0" applyBorder="0" applyAlignment="0" applyProtection="0"/>
    <xf numFmtId="0" fontId="40" fillId="107" borderId="0" applyNumberFormat="0" applyBorder="0" applyAlignment="0" applyProtection="0"/>
    <xf numFmtId="0" fontId="40" fillId="102" borderId="0" applyNumberFormat="0" applyBorder="0" applyAlignment="0" applyProtection="0"/>
    <xf numFmtId="0" fontId="40" fillId="105" borderId="0" applyNumberFormat="0" applyBorder="0" applyAlignment="0" applyProtection="0"/>
    <xf numFmtId="0" fontId="40" fillId="108" borderId="0" applyNumberFormat="0" applyBorder="0" applyAlignment="0" applyProtection="0"/>
    <xf numFmtId="41" fontId="15" fillId="0" borderId="0" applyFont="0" applyFill="0" applyBorder="0" applyAlignment="0" applyProtection="0"/>
    <xf numFmtId="43" fontId="28"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0" fontId="15" fillId="0" borderId="0"/>
    <xf numFmtId="43" fontId="15" fillId="0" borderId="0" applyFont="0" applyFill="0" applyBorder="0" applyAlignment="0" applyProtection="0"/>
    <xf numFmtId="0" fontId="56" fillId="0" borderId="0"/>
    <xf numFmtId="9" fontId="15" fillId="0" borderId="0" applyFont="0" applyFill="0" applyBorder="0" applyAlignment="0" applyProtection="0"/>
    <xf numFmtId="0" fontId="15" fillId="0" borderId="0"/>
    <xf numFmtId="0" fontId="41" fillId="109" borderId="0" applyNumberFormat="0" applyBorder="0" applyAlignment="0" applyProtection="0"/>
    <xf numFmtId="0" fontId="41" fillId="106" borderId="0" applyNumberFormat="0" applyBorder="0" applyAlignment="0" applyProtection="0"/>
    <xf numFmtId="0" fontId="41" fillId="107" borderId="0" applyNumberFormat="0" applyBorder="0" applyAlignment="0" applyProtection="0"/>
    <xf numFmtId="0" fontId="41" fillId="110" borderId="0" applyNumberFormat="0" applyBorder="0" applyAlignment="0" applyProtection="0"/>
    <xf numFmtId="0" fontId="41" fillId="111" borderId="0" applyNumberFormat="0" applyBorder="0" applyAlignment="0" applyProtection="0"/>
    <xf numFmtId="0" fontId="41" fillId="112" borderId="0" applyNumberFormat="0" applyBorder="0" applyAlignment="0" applyProtection="0"/>
    <xf numFmtId="3" fontId="246" fillId="0" borderId="0">
      <alignment vertical="center"/>
    </xf>
    <xf numFmtId="338" fontId="247" fillId="113" borderId="0" applyBorder="0" applyProtection="0">
      <alignment horizontal="right" vertical="center" indent="1"/>
    </xf>
    <xf numFmtId="0" fontId="248" fillId="0" borderId="0" applyNumberFormat="0" applyFill="0" applyBorder="0" applyAlignment="0" applyProtection="0">
      <alignment vertical="center" wrapText="1"/>
    </xf>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269" fontId="249" fillId="0" borderId="0" applyFont="0" applyFill="0" applyBorder="0" applyAlignment="0" applyProtection="0"/>
    <xf numFmtId="269" fontId="24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269" fontId="249" fillId="0" borderId="0" applyFont="0" applyFill="0" applyBorder="0" applyAlignment="0" applyProtection="0"/>
    <xf numFmtId="269" fontId="249" fillId="0" borderId="0" applyFont="0" applyFill="0" applyBorder="0" applyAlignment="0" applyProtection="0"/>
    <xf numFmtId="269" fontId="249" fillId="0" borderId="0" applyFont="0" applyFill="0" applyBorder="0" applyAlignment="0" applyProtection="0"/>
    <xf numFmtId="43" fontId="28" fillId="0" borderId="0" applyFont="0" applyFill="0" applyBorder="0" applyAlignment="0" applyProtection="0"/>
    <xf numFmtId="43" fontId="197"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28"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248" fillId="0" borderId="124" applyNumberFormat="0" applyFill="0" applyProtection="0">
      <alignment vertical="center"/>
    </xf>
    <xf numFmtId="0" fontId="250" fillId="0" borderId="0" applyNumberFormat="0" applyFill="0" applyBorder="0" applyProtection="0">
      <alignment horizontal="left" vertical="center" indent="1"/>
    </xf>
    <xf numFmtId="0" fontId="251" fillId="0" borderId="125" applyNumberFormat="0" applyFont="0" applyFill="0" applyAlignment="0" applyProtection="0">
      <alignment vertical="center" wrapText="1"/>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252" fillId="0" borderId="0" applyNumberFormat="0" applyFill="0" applyBorder="0" applyAlignment="0" applyProtection="0">
      <alignment vertical="center" wrapText="1"/>
    </xf>
    <xf numFmtId="0" fontId="251" fillId="0" borderId="126" applyNumberFormat="0" applyFont="0" applyFill="0" applyAlignment="0" applyProtection="0">
      <alignment vertical="center" wrapText="1"/>
    </xf>
    <xf numFmtId="0" fontId="251" fillId="0" borderId="127" applyNumberFormat="0" applyFont="0" applyFill="0" applyAlignment="0" applyProtection="0">
      <alignment vertical="center" wrapText="1"/>
    </xf>
    <xf numFmtId="0" fontId="250" fillId="0" borderId="0">
      <alignment vertical="center"/>
    </xf>
    <xf numFmtId="0" fontId="250" fillId="0" borderId="0">
      <alignment vertical="center"/>
    </xf>
    <xf numFmtId="0" fontId="15" fillId="0" borderId="0"/>
    <xf numFmtId="0" fontId="15" fillId="0" borderId="0"/>
    <xf numFmtId="0" fontId="15" fillId="0" borderId="0"/>
    <xf numFmtId="0" fontId="15" fillId="0" borderId="0"/>
    <xf numFmtId="0" fontId="15" fillId="0" borderId="0"/>
    <xf numFmtId="0" fontId="250" fillId="0" borderId="0">
      <alignment vertical="center"/>
    </xf>
    <xf numFmtId="0" fontId="250" fillId="0" borderId="0">
      <alignment vertical="center"/>
    </xf>
    <xf numFmtId="0" fontId="28" fillId="0" borderId="0"/>
    <xf numFmtId="0" fontId="28"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28"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28"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247" fillId="0" borderId="0" applyNumberFormat="0" applyFill="0" applyBorder="0" applyProtection="0">
      <alignment horizontal="center" vertical="center" wrapText="1"/>
    </xf>
    <xf numFmtId="0" fontId="253" fillId="0" borderId="0" applyNumberFormat="0" applyFill="0" applyBorder="0" applyAlignment="0" applyProtection="0">
      <alignment vertical="center" wrapText="1"/>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0" fontId="255" fillId="0" borderId="128" applyNumberFormat="0" applyFill="0" applyAlignment="0" applyProtection="0"/>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7" fontId="250" fillId="0" borderId="0" applyFill="0" applyBorder="0" applyProtection="0">
      <alignment horizontal="right" vertical="center" indent="1"/>
    </xf>
    <xf numFmtId="14" fontId="257" fillId="113" borderId="0" applyBorder="0" applyProtection="0">
      <alignment horizontal="left" vertical="center" wrapText="1"/>
    </xf>
    <xf numFmtId="341" fontId="254" fillId="0" borderId="116"/>
    <xf numFmtId="341" fontId="254" fillId="0" borderId="116"/>
    <xf numFmtId="341" fontId="254" fillId="0" borderId="116"/>
    <xf numFmtId="341" fontId="254" fillId="0" borderId="116"/>
    <xf numFmtId="341" fontId="254" fillId="0" borderId="116"/>
    <xf numFmtId="341" fontId="254" fillId="0" borderId="116"/>
    <xf numFmtId="341" fontId="254" fillId="0" borderId="116"/>
    <xf numFmtId="341" fontId="254" fillId="0" borderId="116"/>
    <xf numFmtId="341" fontId="254" fillId="0" borderId="116"/>
    <xf numFmtId="341" fontId="254" fillId="0" borderId="116"/>
    <xf numFmtId="341" fontId="254" fillId="0" borderId="116"/>
    <xf numFmtId="341" fontId="254" fillId="0" borderId="116"/>
    <xf numFmtId="341" fontId="254" fillId="0" borderId="116"/>
    <xf numFmtId="341" fontId="254" fillId="0" borderId="116"/>
    <xf numFmtId="341" fontId="254" fillId="0" borderId="116"/>
    <xf numFmtId="341" fontId="254" fillId="0" borderId="116"/>
    <xf numFmtId="341" fontId="254" fillId="0" borderId="116"/>
    <xf numFmtId="341" fontId="254" fillId="0" borderId="116"/>
    <xf numFmtId="341" fontId="254" fillId="0" borderId="116"/>
    <xf numFmtId="169" fontId="28" fillId="0" borderId="0" applyBorder="0"/>
    <xf numFmtId="176"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8" fontId="28" fillId="0" borderId="0" applyFill="0" applyBorder="0" applyProtection="0">
      <alignment vertical="top"/>
    </xf>
    <xf numFmtId="179" fontId="28" fillId="0" borderId="0" applyFill="0" applyBorder="0" applyProtection="0">
      <alignment vertical="top"/>
    </xf>
    <xf numFmtId="180" fontId="28" fillId="0" borderId="0" applyFill="0" applyBorder="0" applyProtection="0">
      <alignment vertical="top"/>
    </xf>
    <xf numFmtId="180" fontId="28" fillId="0" borderId="0" applyFill="0" applyBorder="0" applyProtection="0">
      <alignment vertical="top"/>
    </xf>
    <xf numFmtId="180" fontId="28" fillId="0" borderId="0" applyFill="0" applyBorder="0" applyProtection="0">
      <alignment vertical="top"/>
    </xf>
    <xf numFmtId="179" fontId="28" fillId="0" borderId="0" applyFill="0" applyBorder="0" applyProtection="0">
      <alignment vertical="top"/>
    </xf>
    <xf numFmtId="179"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78" fontId="28" fillId="0" borderId="0" applyFill="0" applyBorder="0" applyProtection="0">
      <alignment vertical="top"/>
    </xf>
    <xf numFmtId="167"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67" fontId="28" fillId="0" borderId="0" applyFill="0" applyBorder="0" applyProtection="0">
      <alignment vertical="top"/>
    </xf>
    <xf numFmtId="167"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67" fontId="28" fillId="0" borderId="0" applyFill="0" applyBorder="0" applyProtection="0">
      <alignment vertical="top"/>
    </xf>
    <xf numFmtId="167" fontId="28" fillId="0" borderId="0" applyFill="0" applyBorder="0" applyProtection="0">
      <alignment vertical="top"/>
    </xf>
    <xf numFmtId="183" fontId="28" fillId="0" borderId="0" applyFill="0" applyBorder="0" applyProtection="0">
      <alignment vertical="top"/>
    </xf>
    <xf numFmtId="184" fontId="28" fillId="0" borderId="0" applyFill="0" applyBorder="0" applyProtection="0">
      <alignment vertical="top"/>
    </xf>
    <xf numFmtId="184" fontId="28" fillId="0" borderId="0" applyFill="0" applyBorder="0" applyProtection="0">
      <alignment vertical="top"/>
    </xf>
    <xf numFmtId="184" fontId="28" fillId="0" borderId="0" applyFill="0" applyBorder="0" applyProtection="0">
      <alignment vertical="top"/>
    </xf>
    <xf numFmtId="183" fontId="28" fillId="0" borderId="0" applyFill="0" applyBorder="0" applyProtection="0">
      <alignment vertical="top"/>
    </xf>
    <xf numFmtId="183" fontId="28" fillId="0" borderId="0" applyFill="0" applyBorder="0" applyProtection="0">
      <alignment vertical="top"/>
    </xf>
    <xf numFmtId="167" fontId="28" fillId="0" borderId="0" applyFill="0" applyBorder="0" applyProtection="0">
      <alignment vertical="top"/>
    </xf>
    <xf numFmtId="185" fontId="28" fillId="0" borderId="0" applyFill="0" applyBorder="0" applyProtection="0">
      <alignment vertical="top"/>
    </xf>
    <xf numFmtId="186" fontId="28" fillId="0" borderId="0" applyFill="0" applyBorder="0" applyProtection="0">
      <alignment vertical="top"/>
    </xf>
    <xf numFmtId="186" fontId="28" fillId="0" borderId="0" applyFill="0" applyBorder="0" applyProtection="0">
      <alignment vertical="top"/>
    </xf>
    <xf numFmtId="186" fontId="28" fillId="0" borderId="0" applyFill="0" applyBorder="0" applyProtection="0">
      <alignment vertical="top"/>
    </xf>
    <xf numFmtId="185" fontId="28" fillId="0" borderId="0" applyFill="0" applyBorder="0" applyProtection="0">
      <alignment vertical="top"/>
    </xf>
    <xf numFmtId="187" fontId="28" fillId="0" borderId="0" applyFill="0" applyBorder="0" applyProtection="0">
      <alignment vertical="top"/>
    </xf>
    <xf numFmtId="173"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73"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92" fontId="28" fillId="0" borderId="0" applyFill="0" applyBorder="0" applyProtection="0">
      <alignment vertical="top"/>
    </xf>
    <xf numFmtId="193" fontId="28" fillId="0" borderId="0" applyFill="0" applyBorder="0" applyProtection="0">
      <alignment vertical="top"/>
    </xf>
    <xf numFmtId="193" fontId="28" fillId="0" borderId="0" applyFill="0" applyBorder="0" applyProtection="0">
      <alignment vertical="top"/>
    </xf>
    <xf numFmtId="193" fontId="28" fillId="0" borderId="0" applyFill="0" applyBorder="0" applyProtection="0">
      <alignment vertical="top"/>
    </xf>
    <xf numFmtId="192" fontId="28" fillId="0" borderId="0" applyFill="0" applyBorder="0" applyProtection="0">
      <alignment vertical="top"/>
    </xf>
    <xf numFmtId="192" fontId="28" fillId="0" borderId="0" applyFill="0" applyBorder="0" applyProtection="0">
      <alignment vertical="top"/>
    </xf>
    <xf numFmtId="194" fontId="28" fillId="0" borderId="0" applyFill="0" applyBorder="0" applyProtection="0">
      <alignment vertical="top"/>
    </xf>
    <xf numFmtId="195" fontId="28" fillId="0" borderId="0" applyFill="0" applyBorder="0" applyProtection="0">
      <alignment vertical="top"/>
    </xf>
    <xf numFmtId="195" fontId="28" fillId="0" borderId="0" applyFill="0" applyBorder="0" applyProtection="0">
      <alignment vertical="top"/>
    </xf>
    <xf numFmtId="195" fontId="28" fillId="0" borderId="0" applyFill="0" applyBorder="0" applyProtection="0">
      <alignment vertical="top"/>
    </xf>
    <xf numFmtId="194" fontId="28" fillId="0" borderId="0" applyFill="0" applyBorder="0" applyProtection="0">
      <alignment vertical="top"/>
    </xf>
    <xf numFmtId="194" fontId="28" fillId="0" borderId="0" applyFill="0" applyBorder="0" applyProtection="0">
      <alignment vertical="top"/>
    </xf>
    <xf numFmtId="187"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175" fontId="28" fillId="0" borderId="0" applyFill="0" applyBorder="0" applyProtection="0">
      <alignment vertical="top"/>
    </xf>
    <xf numFmtId="196" fontId="28" fillId="0" borderId="0" applyFill="0" applyBorder="0" applyProtection="0">
      <alignment vertical="top"/>
    </xf>
    <xf numFmtId="196" fontId="28" fillId="0" borderId="0" applyFill="0" applyBorder="0" applyProtection="0">
      <alignment vertical="top"/>
    </xf>
    <xf numFmtId="196" fontId="28" fillId="0" borderId="0" applyFill="0" applyBorder="0" applyProtection="0">
      <alignment vertical="top"/>
    </xf>
    <xf numFmtId="175" fontId="28" fillId="0" borderId="0" applyFill="0" applyBorder="0" applyProtection="0">
      <alignment vertical="top"/>
    </xf>
    <xf numFmtId="178" fontId="28" fillId="0" borderId="0" applyFill="0" applyBorder="0" applyProtection="0">
      <alignment vertical="top"/>
    </xf>
    <xf numFmtId="176"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8" fontId="28" fillId="0" borderId="0" applyFill="0" applyBorder="0" applyProtection="0">
      <alignment vertical="top"/>
    </xf>
    <xf numFmtId="179" fontId="28" fillId="0" borderId="0" applyFill="0" applyBorder="0" applyProtection="0">
      <alignment vertical="top"/>
    </xf>
    <xf numFmtId="180" fontId="28" fillId="0" borderId="0" applyFill="0" applyBorder="0" applyProtection="0">
      <alignment vertical="top"/>
    </xf>
    <xf numFmtId="180" fontId="28" fillId="0" borderId="0" applyFill="0" applyBorder="0" applyProtection="0">
      <alignment vertical="top"/>
    </xf>
    <xf numFmtId="180" fontId="28" fillId="0" borderId="0" applyFill="0" applyBorder="0" applyProtection="0">
      <alignment vertical="top"/>
    </xf>
    <xf numFmtId="179" fontId="28" fillId="0" borderId="0" applyFill="0" applyBorder="0" applyProtection="0">
      <alignment vertical="top"/>
    </xf>
    <xf numFmtId="179"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78"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8" fontId="28" fillId="0" borderId="0" applyFill="0" applyBorder="0" applyProtection="0">
      <alignment vertical="top"/>
    </xf>
    <xf numFmtId="178"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97"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7" fontId="28" fillId="0" borderId="0" applyFill="0" applyBorder="0" applyProtection="0">
      <alignment vertical="top"/>
    </xf>
    <xf numFmtId="197" fontId="28" fillId="0" borderId="0" applyFill="0" applyBorder="0" applyProtection="0">
      <alignment vertical="top"/>
    </xf>
    <xf numFmtId="197"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7" fontId="28" fillId="0" borderId="0" applyFill="0" applyBorder="0" applyProtection="0">
      <alignment vertical="top"/>
    </xf>
    <xf numFmtId="197" fontId="28" fillId="0" borderId="0" applyFill="0" applyBorder="0" applyProtection="0">
      <alignment vertical="top"/>
    </xf>
    <xf numFmtId="176"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99" fontId="28" fillId="0" borderId="0" applyFill="0" applyBorder="0" applyProtection="0">
      <alignment vertical="top"/>
    </xf>
    <xf numFmtId="200" fontId="28" fillId="0" borderId="0" applyFill="0" applyBorder="0" applyProtection="0">
      <alignment vertical="top"/>
    </xf>
    <xf numFmtId="200" fontId="28" fillId="0" borderId="0" applyFill="0" applyBorder="0" applyProtection="0">
      <alignment vertical="top"/>
    </xf>
    <xf numFmtId="200" fontId="28" fillId="0" borderId="0" applyFill="0" applyBorder="0" applyProtection="0">
      <alignment vertical="top"/>
    </xf>
    <xf numFmtId="199" fontId="28" fillId="0" borderId="0" applyFill="0" applyBorder="0" applyProtection="0">
      <alignment vertical="top"/>
    </xf>
    <xf numFmtId="199" fontId="28" fillId="0" borderId="0" applyFill="0" applyBorder="0" applyProtection="0">
      <alignment vertical="top"/>
    </xf>
    <xf numFmtId="178" fontId="28" fillId="0" borderId="0" applyFill="0" applyBorder="0" applyProtection="0">
      <alignment vertical="top"/>
    </xf>
    <xf numFmtId="178" fontId="28" fillId="0" borderId="0" applyFill="0" applyBorder="0" applyProtection="0">
      <alignment vertical="top"/>
    </xf>
    <xf numFmtId="175" fontId="28" fillId="0" borderId="0" applyFill="0" applyBorder="0" applyProtection="0">
      <alignment vertical="top"/>
    </xf>
    <xf numFmtId="187" fontId="28" fillId="0" borderId="0" applyFill="0" applyBorder="0" applyProtection="0">
      <alignment vertical="top"/>
    </xf>
    <xf numFmtId="173"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73"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92" fontId="28" fillId="0" borderId="0" applyFill="0" applyBorder="0" applyProtection="0">
      <alignment vertical="top"/>
    </xf>
    <xf numFmtId="193" fontId="28" fillId="0" borderId="0" applyFill="0" applyBorder="0" applyProtection="0">
      <alignment vertical="top"/>
    </xf>
    <xf numFmtId="193" fontId="28" fillId="0" borderId="0" applyFill="0" applyBorder="0" applyProtection="0">
      <alignment vertical="top"/>
    </xf>
    <xf numFmtId="193" fontId="28" fillId="0" borderId="0" applyFill="0" applyBorder="0" applyProtection="0">
      <alignment vertical="top"/>
    </xf>
    <xf numFmtId="192" fontId="28" fillId="0" borderId="0" applyFill="0" applyBorder="0" applyProtection="0">
      <alignment vertical="top"/>
    </xf>
    <xf numFmtId="192" fontId="28" fillId="0" borderId="0" applyFill="0" applyBorder="0" applyProtection="0">
      <alignment vertical="top"/>
    </xf>
    <xf numFmtId="185" fontId="28" fillId="0" borderId="0" applyFill="0" applyBorder="0" applyProtection="0">
      <alignment vertical="top"/>
    </xf>
    <xf numFmtId="186" fontId="28" fillId="0" borderId="0" applyFill="0" applyBorder="0" applyProtection="0">
      <alignment vertical="top"/>
    </xf>
    <xf numFmtId="186" fontId="28" fillId="0" borderId="0" applyFill="0" applyBorder="0" applyProtection="0">
      <alignment vertical="top"/>
    </xf>
    <xf numFmtId="186"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194" fontId="28" fillId="0" borderId="0" applyFill="0" applyBorder="0" applyProtection="0">
      <alignment vertical="top"/>
    </xf>
    <xf numFmtId="195" fontId="28" fillId="0" borderId="0" applyFill="0" applyBorder="0" applyProtection="0">
      <alignment vertical="top"/>
    </xf>
    <xf numFmtId="195" fontId="28" fillId="0" borderId="0" applyFill="0" applyBorder="0" applyProtection="0">
      <alignment vertical="top"/>
    </xf>
    <xf numFmtId="195" fontId="28" fillId="0" borderId="0" applyFill="0" applyBorder="0" applyProtection="0">
      <alignment vertical="top"/>
    </xf>
    <xf numFmtId="194" fontId="28" fillId="0" borderId="0" applyFill="0" applyBorder="0" applyProtection="0">
      <alignment vertical="top"/>
    </xf>
    <xf numFmtId="194" fontId="28" fillId="0" borderId="0" applyFill="0" applyBorder="0" applyProtection="0">
      <alignment vertical="top"/>
    </xf>
    <xf numFmtId="187" fontId="28" fillId="0" borderId="0" applyFill="0" applyBorder="0" applyProtection="0">
      <alignment vertical="top"/>
    </xf>
    <xf numFmtId="185" fontId="28" fillId="0" borderId="0" applyFill="0" applyBorder="0" applyProtection="0">
      <alignment vertical="top"/>
    </xf>
    <xf numFmtId="201" fontId="28" fillId="0" borderId="0" applyFill="0" applyBorder="0" applyProtection="0">
      <alignment vertical="top"/>
    </xf>
    <xf numFmtId="174"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4"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5" fontId="28" fillId="0" borderId="0" applyFill="0" applyBorder="0" applyProtection="0">
      <alignment vertical="top"/>
    </xf>
    <xf numFmtId="206" fontId="28" fillId="0" borderId="0" applyFill="0" applyBorder="0" applyProtection="0">
      <alignment vertical="top"/>
    </xf>
    <xf numFmtId="206" fontId="28" fillId="0" borderId="0" applyFill="0" applyBorder="0" applyProtection="0">
      <alignment vertical="top"/>
    </xf>
    <xf numFmtId="206" fontId="28" fillId="0" borderId="0" applyFill="0" applyBorder="0" applyProtection="0">
      <alignment vertical="top"/>
    </xf>
    <xf numFmtId="205" fontId="28" fillId="0" borderId="0" applyFill="0" applyBorder="0" applyProtection="0">
      <alignment vertical="top"/>
    </xf>
    <xf numFmtId="205"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7" fontId="28" fillId="0" borderId="0" applyFill="0" applyBorder="0" applyProtection="0">
      <alignment vertical="top"/>
    </xf>
    <xf numFmtId="208" fontId="28" fillId="0" borderId="0" applyFill="0" applyBorder="0" applyProtection="0">
      <alignment vertical="top"/>
    </xf>
    <xf numFmtId="208" fontId="28" fillId="0" borderId="0" applyFill="0" applyBorder="0" applyProtection="0">
      <alignment vertical="top"/>
    </xf>
    <xf numFmtId="208" fontId="28" fillId="0" borderId="0" applyFill="0" applyBorder="0" applyProtection="0">
      <alignment vertical="top"/>
    </xf>
    <xf numFmtId="207" fontId="28" fillId="0" borderId="0" applyFill="0" applyBorder="0" applyProtection="0">
      <alignment vertical="top"/>
    </xf>
    <xf numFmtId="207" fontId="28" fillId="0" borderId="0" applyFill="0" applyBorder="0" applyProtection="0">
      <alignment vertical="top"/>
    </xf>
    <xf numFmtId="209" fontId="28" fillId="0" borderId="0" applyFill="0" applyBorder="0" applyProtection="0">
      <alignment vertical="top"/>
    </xf>
    <xf numFmtId="210" fontId="28" fillId="0" borderId="0" applyFill="0" applyBorder="0" applyProtection="0">
      <alignment vertical="top"/>
    </xf>
    <xf numFmtId="210" fontId="28" fillId="0" borderId="0" applyFill="0" applyBorder="0" applyProtection="0">
      <alignment vertical="top"/>
    </xf>
    <xf numFmtId="210" fontId="28" fillId="0" borderId="0" applyFill="0" applyBorder="0" applyProtection="0">
      <alignment vertical="top"/>
    </xf>
    <xf numFmtId="209" fontId="28" fillId="0" borderId="0" applyFill="0" applyBorder="0" applyProtection="0">
      <alignment vertical="top"/>
    </xf>
    <xf numFmtId="209" fontId="28" fillId="0" borderId="0" applyFill="0" applyBorder="0" applyProtection="0">
      <alignment vertical="top"/>
    </xf>
    <xf numFmtId="201" fontId="28" fillId="0" borderId="0" applyFill="0" applyBorder="0" applyProtection="0">
      <alignment vertical="top"/>
    </xf>
    <xf numFmtId="175" fontId="28" fillId="0" borderId="0" applyFill="0" applyBorder="0" applyProtection="0">
      <alignment vertical="top"/>
    </xf>
    <xf numFmtId="176"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8" fontId="28" fillId="0" borderId="0" applyFill="0" applyBorder="0" applyProtection="0">
      <alignment vertical="top"/>
    </xf>
    <xf numFmtId="179" fontId="28" fillId="0" borderId="0" applyFill="0" applyBorder="0" applyProtection="0">
      <alignment vertical="top"/>
    </xf>
    <xf numFmtId="180" fontId="28" fillId="0" borderId="0" applyFill="0" applyBorder="0" applyProtection="0">
      <alignment vertical="top"/>
    </xf>
    <xf numFmtId="180" fontId="28" fillId="0" borderId="0" applyFill="0" applyBorder="0" applyProtection="0">
      <alignment vertical="top"/>
    </xf>
    <xf numFmtId="180" fontId="28" fillId="0" borderId="0" applyFill="0" applyBorder="0" applyProtection="0">
      <alignment vertical="top"/>
    </xf>
    <xf numFmtId="179" fontId="28" fillId="0" borderId="0" applyFill="0" applyBorder="0" applyProtection="0">
      <alignment vertical="top"/>
    </xf>
    <xf numFmtId="179"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78"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8" fontId="28" fillId="0" borderId="0" applyFill="0" applyBorder="0" applyProtection="0">
      <alignment vertical="top"/>
    </xf>
    <xf numFmtId="178"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97"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7" fontId="28" fillId="0" borderId="0" applyFill="0" applyBorder="0" applyProtection="0">
      <alignment vertical="top"/>
    </xf>
    <xf numFmtId="197" fontId="28" fillId="0" borderId="0" applyFill="0" applyBorder="0" applyProtection="0">
      <alignment vertical="top"/>
    </xf>
    <xf numFmtId="197"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8" fontId="28" fillId="0" borderId="0" applyFill="0" applyBorder="0" applyProtection="0">
      <alignment vertical="top"/>
    </xf>
    <xf numFmtId="197" fontId="28" fillId="0" borderId="0" applyFill="0" applyBorder="0" applyProtection="0">
      <alignment vertical="top"/>
    </xf>
    <xf numFmtId="197" fontId="28" fillId="0" borderId="0" applyFill="0" applyBorder="0" applyProtection="0">
      <alignment vertical="top"/>
    </xf>
    <xf numFmtId="176"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99" fontId="28" fillId="0" borderId="0" applyFill="0" applyBorder="0" applyProtection="0">
      <alignment vertical="top"/>
    </xf>
    <xf numFmtId="200" fontId="28" fillId="0" borderId="0" applyFill="0" applyBorder="0" applyProtection="0">
      <alignment vertical="top"/>
    </xf>
    <xf numFmtId="200" fontId="28" fillId="0" borderId="0" applyFill="0" applyBorder="0" applyProtection="0">
      <alignment vertical="top"/>
    </xf>
    <xf numFmtId="200" fontId="28" fillId="0" borderId="0" applyFill="0" applyBorder="0" applyProtection="0">
      <alignment vertical="top"/>
    </xf>
    <xf numFmtId="199" fontId="28" fillId="0" borderId="0" applyFill="0" applyBorder="0" applyProtection="0">
      <alignment vertical="top"/>
    </xf>
    <xf numFmtId="199" fontId="28" fillId="0" borderId="0" applyFill="0" applyBorder="0" applyProtection="0">
      <alignment vertical="top"/>
    </xf>
    <xf numFmtId="175" fontId="28" fillId="0" borderId="0" applyFill="0" applyBorder="0" applyProtection="0">
      <alignment vertical="top"/>
    </xf>
    <xf numFmtId="196" fontId="28" fillId="0" borderId="0" applyFill="0" applyBorder="0" applyProtection="0">
      <alignment vertical="top"/>
    </xf>
    <xf numFmtId="196" fontId="28" fillId="0" borderId="0" applyFill="0" applyBorder="0" applyProtection="0">
      <alignment vertical="top"/>
    </xf>
    <xf numFmtId="196" fontId="28" fillId="0" borderId="0" applyFill="0" applyBorder="0" applyProtection="0">
      <alignment vertical="top"/>
    </xf>
    <xf numFmtId="175" fontId="28" fillId="0" borderId="0" applyFill="0" applyBorder="0" applyProtection="0">
      <alignment vertical="top"/>
    </xf>
    <xf numFmtId="175" fontId="28" fillId="0" borderId="0" applyFill="0" applyBorder="0" applyProtection="0">
      <alignment vertical="top"/>
    </xf>
    <xf numFmtId="178" fontId="28" fillId="0" borderId="0" applyFill="0" applyBorder="0" applyProtection="0">
      <alignment vertical="top"/>
    </xf>
    <xf numFmtId="178" fontId="28" fillId="0" borderId="0" applyFill="0" applyBorder="0" applyProtection="0">
      <alignment vertical="top"/>
    </xf>
    <xf numFmtId="185" fontId="28" fillId="0" borderId="0" applyFill="0" applyBorder="0" applyProtection="0">
      <alignment vertical="top"/>
    </xf>
    <xf numFmtId="201" fontId="28" fillId="0" borderId="0" applyFill="0" applyBorder="0" applyProtection="0">
      <alignment vertical="top"/>
    </xf>
    <xf numFmtId="174"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4"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202" fontId="28" fillId="0" borderId="0" applyFill="0" applyBorder="0" applyProtection="0">
      <alignment vertical="top"/>
    </xf>
    <xf numFmtId="174" fontId="28" fillId="0" borderId="0" applyFill="0" applyBorder="0" applyProtection="0">
      <alignment vertical="top"/>
    </xf>
    <xf numFmtId="174"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5" fontId="28" fillId="0" borderId="0" applyFill="0" applyBorder="0" applyProtection="0">
      <alignment vertical="top"/>
    </xf>
    <xf numFmtId="206" fontId="28" fillId="0" borderId="0" applyFill="0" applyBorder="0" applyProtection="0">
      <alignment vertical="top"/>
    </xf>
    <xf numFmtId="206" fontId="28" fillId="0" borderId="0" applyFill="0" applyBorder="0" applyProtection="0">
      <alignment vertical="top"/>
    </xf>
    <xf numFmtId="206" fontId="28" fillId="0" borderId="0" applyFill="0" applyBorder="0" applyProtection="0">
      <alignment vertical="top"/>
    </xf>
    <xf numFmtId="205" fontId="28" fillId="0" borderId="0" applyFill="0" applyBorder="0" applyProtection="0">
      <alignment vertical="top"/>
    </xf>
    <xf numFmtId="205"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1" fontId="28" fillId="0" borderId="0" applyFill="0" applyBorder="0" applyProtection="0">
      <alignment vertical="top"/>
    </xf>
    <xf numFmtId="171"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3" fontId="28" fillId="0" borderId="0" applyFill="0" applyBorder="0" applyProtection="0">
      <alignment vertical="top"/>
    </xf>
    <xf numFmtId="201"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204" fontId="28" fillId="0" borderId="0" applyFill="0" applyBorder="0" applyProtection="0">
      <alignment vertical="top"/>
    </xf>
    <xf numFmtId="171" fontId="28" fillId="0" borderId="0" applyFill="0" applyBorder="0" applyProtection="0">
      <alignment vertical="top"/>
    </xf>
    <xf numFmtId="171" fontId="28" fillId="0" borderId="0" applyFill="0" applyBorder="0" applyProtection="0">
      <alignment vertical="top"/>
    </xf>
    <xf numFmtId="201" fontId="28" fillId="0" borderId="0" applyFill="0" applyBorder="0" applyProtection="0">
      <alignment vertical="top"/>
    </xf>
    <xf numFmtId="207" fontId="28" fillId="0" borderId="0" applyFill="0" applyBorder="0" applyProtection="0">
      <alignment vertical="top"/>
    </xf>
    <xf numFmtId="208" fontId="28" fillId="0" borderId="0" applyFill="0" applyBorder="0" applyProtection="0">
      <alignment vertical="top"/>
    </xf>
    <xf numFmtId="208" fontId="28" fillId="0" borderId="0" applyFill="0" applyBorder="0" applyProtection="0">
      <alignment vertical="top"/>
    </xf>
    <xf numFmtId="208" fontId="28" fillId="0" borderId="0" applyFill="0" applyBorder="0" applyProtection="0">
      <alignment vertical="top"/>
    </xf>
    <xf numFmtId="207" fontId="28" fillId="0" borderId="0" applyFill="0" applyBorder="0" applyProtection="0">
      <alignment vertical="top"/>
    </xf>
    <xf numFmtId="207" fontId="28" fillId="0" borderId="0" applyFill="0" applyBorder="0" applyProtection="0">
      <alignment vertical="top"/>
    </xf>
    <xf numFmtId="209" fontId="28" fillId="0" borderId="0" applyFill="0" applyBorder="0" applyProtection="0">
      <alignment vertical="top"/>
    </xf>
    <xf numFmtId="210" fontId="28" fillId="0" borderId="0" applyFill="0" applyBorder="0" applyProtection="0">
      <alignment vertical="top"/>
    </xf>
    <xf numFmtId="210" fontId="28" fillId="0" borderId="0" applyFill="0" applyBorder="0" applyProtection="0">
      <alignment vertical="top"/>
    </xf>
    <xf numFmtId="210" fontId="28" fillId="0" borderId="0" applyFill="0" applyBorder="0" applyProtection="0">
      <alignment vertical="top"/>
    </xf>
    <xf numFmtId="209" fontId="28" fillId="0" borderId="0" applyFill="0" applyBorder="0" applyProtection="0">
      <alignment vertical="top"/>
    </xf>
    <xf numFmtId="209" fontId="28" fillId="0" borderId="0" applyFill="0" applyBorder="0" applyProtection="0">
      <alignment vertical="top"/>
    </xf>
    <xf numFmtId="201" fontId="28" fillId="0" borderId="0" applyFill="0" applyBorder="0" applyProtection="0">
      <alignment vertical="top"/>
    </xf>
    <xf numFmtId="175" fontId="28" fillId="0" borderId="0" applyFill="0" applyBorder="0" applyProtection="0">
      <alignment vertical="top"/>
    </xf>
    <xf numFmtId="187" fontId="28" fillId="0" borderId="0" applyFill="0" applyBorder="0" applyProtection="0">
      <alignment vertical="top"/>
    </xf>
    <xf numFmtId="173"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73"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88" fontId="28" fillId="0" borderId="0" applyFill="0" applyBorder="0" applyProtection="0">
      <alignment vertical="top"/>
    </xf>
    <xf numFmtId="173" fontId="28" fillId="0" borderId="0" applyFill="0" applyBorder="0" applyProtection="0">
      <alignment vertical="top"/>
    </xf>
    <xf numFmtId="173" fontId="28" fillId="0" borderId="0" applyFill="0" applyBorder="0" applyProtection="0">
      <alignment vertical="top"/>
    </xf>
    <xf numFmtId="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87" fontId="28" fillId="0" borderId="0" applyFill="0" applyBorder="0" applyProtection="0">
      <alignment vertical="top"/>
    </xf>
    <xf numFmtId="189"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90" fontId="28" fillId="0" borderId="0" applyFill="0" applyBorder="0" applyProtection="0">
      <alignment vertical="top"/>
    </xf>
    <xf numFmtId="187"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91" fontId="28" fillId="0" borderId="0" applyFill="0" applyBorder="0" applyProtection="0">
      <alignment vertical="top"/>
    </xf>
    <xf numFmtId="189" fontId="28" fillId="0" borderId="0" applyFill="0" applyBorder="0" applyProtection="0">
      <alignment vertical="top"/>
    </xf>
    <xf numFmtId="189" fontId="28" fillId="0" borderId="0" applyFill="0" applyBorder="0" applyProtection="0">
      <alignment vertical="top"/>
    </xf>
    <xf numFmtId="187" fontId="28" fillId="0" borderId="0" applyFill="0" applyBorder="0" applyProtection="0">
      <alignment vertical="top"/>
    </xf>
    <xf numFmtId="192" fontId="28" fillId="0" borderId="0" applyFill="0" applyBorder="0" applyProtection="0">
      <alignment vertical="top"/>
    </xf>
    <xf numFmtId="193" fontId="28" fillId="0" borderId="0" applyFill="0" applyBorder="0" applyProtection="0">
      <alignment vertical="top"/>
    </xf>
    <xf numFmtId="193" fontId="28" fillId="0" borderId="0" applyFill="0" applyBorder="0" applyProtection="0">
      <alignment vertical="top"/>
    </xf>
    <xf numFmtId="193" fontId="28" fillId="0" borderId="0" applyFill="0" applyBorder="0" applyProtection="0">
      <alignment vertical="top"/>
    </xf>
    <xf numFmtId="192" fontId="28" fillId="0" borderId="0" applyFill="0" applyBorder="0" applyProtection="0">
      <alignment vertical="top"/>
    </xf>
    <xf numFmtId="192" fontId="28" fillId="0" borderId="0" applyFill="0" applyBorder="0" applyProtection="0">
      <alignment vertical="top"/>
    </xf>
    <xf numFmtId="194" fontId="28" fillId="0" borderId="0" applyFill="0" applyBorder="0" applyProtection="0">
      <alignment vertical="top"/>
    </xf>
    <xf numFmtId="195" fontId="28" fillId="0" borderId="0" applyFill="0" applyBorder="0" applyProtection="0">
      <alignment vertical="top"/>
    </xf>
    <xf numFmtId="195" fontId="28" fillId="0" borderId="0" applyFill="0" applyBorder="0" applyProtection="0">
      <alignment vertical="top"/>
    </xf>
    <xf numFmtId="195" fontId="28" fillId="0" borderId="0" applyFill="0" applyBorder="0" applyProtection="0">
      <alignment vertical="top"/>
    </xf>
    <xf numFmtId="194" fontId="28" fillId="0" borderId="0" applyFill="0" applyBorder="0" applyProtection="0">
      <alignment vertical="top"/>
    </xf>
    <xf numFmtId="194" fontId="28" fillId="0" borderId="0" applyFill="0" applyBorder="0" applyProtection="0">
      <alignment vertical="top"/>
    </xf>
    <xf numFmtId="187" fontId="28" fillId="0" borderId="0" applyFill="0" applyBorder="0" applyProtection="0">
      <alignment vertical="top"/>
    </xf>
    <xf numFmtId="185" fontId="28" fillId="0" borderId="0" applyFill="0" applyBorder="0" applyProtection="0">
      <alignment vertical="top"/>
    </xf>
    <xf numFmtId="175" fontId="28" fillId="0" borderId="0" applyFill="0" applyBorder="0" applyProtection="0">
      <alignment vertical="top"/>
    </xf>
    <xf numFmtId="196" fontId="28" fillId="0" borderId="0" applyFill="0" applyBorder="0" applyProtection="0">
      <alignment vertical="top"/>
    </xf>
    <xf numFmtId="196" fontId="28" fillId="0" borderId="0" applyFill="0" applyBorder="0" applyProtection="0">
      <alignment vertical="top"/>
    </xf>
    <xf numFmtId="196" fontId="28" fillId="0" borderId="0" applyFill="0" applyBorder="0" applyProtection="0">
      <alignment vertical="top"/>
    </xf>
    <xf numFmtId="175" fontId="28" fillId="0" borderId="0" applyFill="0" applyBorder="0" applyProtection="0">
      <alignment vertical="top"/>
    </xf>
    <xf numFmtId="175" fontId="28" fillId="0" borderId="0" applyFill="0" applyBorder="0" applyProtection="0">
      <alignment vertical="top"/>
    </xf>
    <xf numFmtId="167"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67" fontId="28" fillId="0" borderId="0" applyFill="0" applyBorder="0" applyProtection="0">
      <alignment vertical="top"/>
    </xf>
    <xf numFmtId="167"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82" fontId="28" fillId="0" borderId="0" applyFill="0" applyBorder="0" applyProtection="0">
      <alignment vertical="top"/>
    </xf>
    <xf numFmtId="167" fontId="28" fillId="0" borderId="0" applyFill="0" applyBorder="0" applyProtection="0">
      <alignment vertical="top"/>
    </xf>
    <xf numFmtId="167" fontId="28" fillId="0" borderId="0" applyFill="0" applyBorder="0" applyProtection="0">
      <alignment vertical="top"/>
    </xf>
    <xf numFmtId="183" fontId="28" fillId="0" borderId="0" applyFill="0" applyBorder="0" applyProtection="0">
      <alignment vertical="top"/>
    </xf>
    <xf numFmtId="184" fontId="28" fillId="0" borderId="0" applyFill="0" applyBorder="0" applyProtection="0">
      <alignment vertical="top"/>
    </xf>
    <xf numFmtId="184" fontId="28" fillId="0" borderId="0" applyFill="0" applyBorder="0" applyProtection="0">
      <alignment vertical="top"/>
    </xf>
    <xf numFmtId="184" fontId="28" fillId="0" borderId="0" applyFill="0" applyBorder="0" applyProtection="0">
      <alignment vertical="top"/>
    </xf>
    <xf numFmtId="183" fontId="28" fillId="0" borderId="0" applyFill="0" applyBorder="0" applyProtection="0">
      <alignment vertical="top"/>
    </xf>
    <xf numFmtId="183" fontId="28" fillId="0" borderId="0" applyFill="0" applyBorder="0" applyProtection="0">
      <alignment vertical="top"/>
    </xf>
    <xf numFmtId="167" fontId="28" fillId="0" borderId="0" applyFill="0" applyBorder="0" applyProtection="0">
      <alignment vertical="top"/>
    </xf>
    <xf numFmtId="186" fontId="28" fillId="0" borderId="0" applyFill="0" applyBorder="0" applyProtection="0">
      <alignment vertical="top"/>
    </xf>
    <xf numFmtId="186" fontId="28" fillId="0" borderId="0" applyFill="0" applyBorder="0" applyProtection="0">
      <alignment vertical="top"/>
    </xf>
    <xf numFmtId="186" fontId="28" fillId="0" borderId="0" applyFill="0" applyBorder="0" applyProtection="0">
      <alignment vertical="top"/>
    </xf>
    <xf numFmtId="185" fontId="28" fillId="0" borderId="0" applyFill="0" applyBorder="0" applyProtection="0">
      <alignment vertical="top"/>
    </xf>
    <xf numFmtId="185" fontId="28" fillId="0" borderId="0" applyFill="0" applyBorder="0" applyProtection="0">
      <alignment vertical="top"/>
    </xf>
    <xf numFmtId="178"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7" fontId="28" fillId="0" borderId="0" applyFill="0" applyBorder="0" applyProtection="0">
      <alignment vertical="top"/>
    </xf>
    <xf numFmtId="178" fontId="28" fillId="0" borderId="0" applyFill="0" applyBorder="0" applyProtection="0">
      <alignment vertical="top"/>
    </xf>
    <xf numFmtId="178" fontId="28" fillId="0" borderId="0" applyFill="0" applyBorder="0" applyProtection="0">
      <alignment vertical="top"/>
    </xf>
    <xf numFmtId="178" fontId="28" fillId="0" borderId="0" applyFill="0" applyBorder="0" applyProtection="0">
      <alignment vertical="top"/>
    </xf>
    <xf numFmtId="176" fontId="28" fillId="0" borderId="0" applyFill="0" applyBorder="0" applyProtection="0">
      <alignment vertical="top"/>
    </xf>
    <xf numFmtId="176"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81" fontId="28" fillId="0" borderId="0" applyFill="0" applyBorder="0" applyProtection="0">
      <alignment vertical="top"/>
    </xf>
    <xf numFmtId="176" fontId="28" fillId="0" borderId="0" applyFill="0" applyBorder="0" applyProtection="0">
      <alignment vertical="top"/>
    </xf>
    <xf numFmtId="181" fontId="28" fillId="0" borderId="0" applyFill="0" applyBorder="0" applyProtection="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170" fontId="28" fillId="0" borderId="0" applyFill="0" applyBorder="0" applyProtection="0">
      <alignment vertical="top"/>
    </xf>
    <xf numFmtId="0" fontId="38" fillId="0" borderId="1">
      <alignment horizontal="center"/>
    </xf>
    <xf numFmtId="0" fontId="28" fillId="2" borderId="0"/>
    <xf numFmtId="0" fontId="51" fillId="3" borderId="3" applyNumberFormat="0" applyProtection="0">
      <alignment vertical="top"/>
    </xf>
    <xf numFmtId="3" fontId="53" fillId="0" borderId="1"/>
    <xf numFmtId="220" fontId="28" fillId="0" borderId="0" applyFill="0" applyBorder="0" applyProtection="0">
      <alignment vertical="top"/>
    </xf>
    <xf numFmtId="220" fontId="28" fillId="0" borderId="0" applyFill="0" applyBorder="0" applyProtection="0">
      <alignment vertical="top"/>
    </xf>
    <xf numFmtId="221" fontId="28" fillId="0" borderId="0" applyFill="0" applyBorder="0" applyProtection="0">
      <alignment vertical="top"/>
    </xf>
    <xf numFmtId="221"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225" fontId="28" fillId="0" borderId="0" applyFill="0" applyBorder="0" applyProtection="0">
      <alignment vertical="top"/>
    </xf>
    <xf numFmtId="220" fontId="28" fillId="0" borderId="0" applyFill="0" applyBorder="0" applyProtection="0">
      <alignment vertical="top"/>
    </xf>
    <xf numFmtId="220" fontId="28" fillId="0" borderId="0" applyFill="0" applyBorder="0" applyProtection="0">
      <alignment vertical="top"/>
    </xf>
    <xf numFmtId="226" fontId="28" fillId="0" borderId="0" applyFill="0" applyBorder="0" applyProtection="0">
      <alignment vertical="top"/>
    </xf>
    <xf numFmtId="227" fontId="28" fillId="0" borderId="0" applyFill="0" applyBorder="0" applyProtection="0">
      <alignment vertical="top"/>
    </xf>
    <xf numFmtId="228" fontId="28" fillId="0" borderId="0" applyFill="0" applyBorder="0" applyProtection="0">
      <alignment vertical="top"/>
    </xf>
    <xf numFmtId="229" fontId="28" fillId="0" borderId="0" applyFill="0" applyBorder="0" applyProtection="0">
      <alignment vertical="top"/>
    </xf>
    <xf numFmtId="185" fontId="28" fillId="0" borderId="0" applyFill="0" applyBorder="0" applyProtection="0">
      <alignment vertical="top"/>
    </xf>
    <xf numFmtId="220" fontId="28" fillId="0" borderId="0" applyFill="0" applyBorder="0" applyProtection="0">
      <alignment vertical="top"/>
    </xf>
    <xf numFmtId="231" fontId="47" fillId="0" borderId="1"/>
    <xf numFmtId="233" fontId="28" fillId="0" borderId="0" applyFill="0" applyBorder="0" applyProtection="0">
      <alignment vertical="top"/>
    </xf>
    <xf numFmtId="235" fontId="28" fillId="3" borderId="0" applyBorder="0"/>
    <xf numFmtId="0" fontId="47" fillId="0" borderId="1"/>
    <xf numFmtId="0" fontId="63" fillId="2" borderId="1"/>
    <xf numFmtId="0" fontId="28" fillId="3" borderId="0">
      <alignment horizontal="center" vertical="top" wrapText="1"/>
    </xf>
    <xf numFmtId="0" fontId="63" fillId="2" borderId="1"/>
    <xf numFmtId="0" fontId="63" fillId="2" borderId="1"/>
    <xf numFmtId="0" fontId="52" fillId="0" borderId="7"/>
    <xf numFmtId="244" fontId="28" fillId="0" borderId="0" applyFill="0" applyBorder="0" applyProtection="0">
      <alignment vertical="top"/>
    </xf>
    <xf numFmtId="0" fontId="75" fillId="2" borderId="8"/>
    <xf numFmtId="0" fontId="75" fillId="2" borderId="1"/>
    <xf numFmtId="0" fontId="75" fillId="29" borderId="1"/>
    <xf numFmtId="0" fontId="79" fillId="0" borderId="10">
      <alignment horizontal="left" vertical="center"/>
    </xf>
    <xf numFmtId="0" fontId="83" fillId="30" borderId="1" applyNumberFormat="0">
      <alignment vertical="top"/>
    </xf>
    <xf numFmtId="49" fontId="85" fillId="0" borderId="1">
      <alignment vertical="center"/>
    </xf>
    <xf numFmtId="0" fontId="87" fillId="9" borderId="3" applyNumberFormat="0" applyProtection="0">
      <alignment vertical="top"/>
    </xf>
    <xf numFmtId="0" fontId="88" fillId="29" borderId="1"/>
    <xf numFmtId="0" fontId="28" fillId="0" borderId="0"/>
    <xf numFmtId="0" fontId="28" fillId="0" borderId="0">
      <alignment vertical="top"/>
    </xf>
    <xf numFmtId="0" fontId="28" fillId="0" borderId="0"/>
    <xf numFmtId="0" fontId="28" fillId="0" borderId="0"/>
    <xf numFmtId="0" fontId="28" fillId="0" borderId="0"/>
    <xf numFmtId="0" fontId="34" fillId="0" borderId="0"/>
    <xf numFmtId="0" fontId="28" fillId="21" borderId="16" applyNumberFormat="0" applyProtection="0">
      <alignment vertical="top"/>
    </xf>
    <xf numFmtId="0" fontId="101" fillId="3" borderId="17" applyNumberFormat="0" applyProtection="0">
      <alignment vertical="top"/>
    </xf>
    <xf numFmtId="9" fontId="28" fillId="0" borderId="0" applyFill="0" applyBorder="0" applyProtection="0">
      <alignment vertical="top"/>
    </xf>
    <xf numFmtId="9" fontId="28" fillId="0" borderId="0" applyFill="0" applyBorder="0" applyProtection="0">
      <alignment vertical="top"/>
    </xf>
    <xf numFmtId="9" fontId="28" fillId="0" borderId="0" applyFill="0" applyBorder="0" applyProtection="0">
      <alignment vertical="top"/>
    </xf>
    <xf numFmtId="9" fontId="28" fillId="0" borderId="0" applyFill="0" applyBorder="0" applyProtection="0">
      <alignment vertical="top"/>
    </xf>
    <xf numFmtId="9" fontId="28" fillId="0" borderId="0" applyFill="0" applyBorder="0" applyProtection="0">
      <alignment vertical="top"/>
    </xf>
    <xf numFmtId="0" fontId="63" fillId="2" borderId="1"/>
    <xf numFmtId="0" fontId="28" fillId="0" borderId="19"/>
    <xf numFmtId="0" fontId="28" fillId="0" borderId="0">
      <alignment vertical="top"/>
    </xf>
    <xf numFmtId="0" fontId="108" fillId="0" borderId="20"/>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5" fillId="0" borderId="0"/>
    <xf numFmtId="43" fontId="15" fillId="0" borderId="0" applyFont="0" applyFill="0" applyBorder="0" applyAlignment="0" applyProtection="0"/>
    <xf numFmtId="9" fontId="15" fillId="0" borderId="0" applyFont="0" applyFill="0" applyBorder="0" applyAlignment="0" applyProtection="0"/>
    <xf numFmtId="0" fontId="28" fillId="21" borderId="16" applyNumberFormat="0" applyProtection="0">
      <alignment vertical="top"/>
    </xf>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28"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38" fillId="0" borderId="116">
      <alignment horizontal="center"/>
    </xf>
    <xf numFmtId="0" fontId="38" fillId="0" borderId="116">
      <alignment horizontal="center"/>
    </xf>
    <xf numFmtId="0" fontId="38" fillId="0" borderId="116">
      <alignment horizontal="center"/>
    </xf>
    <xf numFmtId="0" fontId="38" fillId="0" borderId="1">
      <alignment horizontal="center"/>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131" fillId="54" borderId="3" applyNumberFormat="0" applyProtection="0">
      <alignment vertical="top"/>
    </xf>
    <xf numFmtId="0" fontId="51" fillId="3" borderId="3" applyNumberFormat="0" applyProtection="0">
      <alignment vertical="top"/>
    </xf>
    <xf numFmtId="3" fontId="53" fillId="0" borderId="1"/>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49" fontId="133" fillId="54" borderId="1">
      <alignment horizontal="center" vertical="center" wrapText="1"/>
    </xf>
    <xf numFmtId="166"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231" fontId="47" fillId="0" borderId="1"/>
    <xf numFmtId="0" fontId="47" fillId="0" borderId="1"/>
    <xf numFmtId="0" fontId="63" fillId="2" borderId="1"/>
    <xf numFmtId="0" fontId="63" fillId="2" borderId="1"/>
    <xf numFmtId="0" fontId="63" fillId="2" borderId="1"/>
    <xf numFmtId="0" fontId="52" fillId="0" borderId="7"/>
    <xf numFmtId="0" fontId="75" fillId="2" borderId="8"/>
    <xf numFmtId="0" fontId="75" fillId="2" borderId="1"/>
    <xf numFmtId="0" fontId="75" fillId="29" borderId="1"/>
    <xf numFmtId="0" fontId="79" fillId="0" borderId="10">
      <alignment horizontal="left" vertical="center"/>
    </xf>
    <xf numFmtId="0" fontId="83" fillId="30" borderId="1" applyNumberFormat="0">
      <alignment vertical="top"/>
    </xf>
    <xf numFmtId="49" fontId="85" fillId="0" borderId="1">
      <alignment vertical="center"/>
    </xf>
    <xf numFmtId="10" fontId="77" fillId="71" borderId="116" applyNumberFormat="0" applyBorder="0" applyAlignment="0" applyProtection="0"/>
    <xf numFmtId="10" fontId="77" fillId="71" borderId="116" applyNumberFormat="0" applyBorder="0" applyAlignment="0" applyProtection="0"/>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139" fillId="45" borderId="3" applyNumberFormat="0" applyProtection="0">
      <alignment vertical="top"/>
    </xf>
    <xf numFmtId="0" fontId="87" fillId="9" borderId="3" applyNumberFormat="0" applyProtection="0">
      <alignment vertical="top"/>
    </xf>
    <xf numFmtId="0" fontId="88" fillId="29" borderId="1"/>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28" fillId="21" borderId="16" applyNumberFormat="0" applyProtection="0">
      <alignment vertical="top"/>
    </xf>
    <xf numFmtId="0" fontId="28" fillId="21" borderId="16"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46" fillId="54" borderId="17" applyNumberFormat="0" applyProtection="0">
      <alignment vertical="top"/>
    </xf>
    <xf numFmtId="0" fontId="101" fillId="3" borderId="17" applyNumberFormat="0" applyProtection="0">
      <alignment vertical="top"/>
    </xf>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63" fillId="2" borderId="1"/>
    <xf numFmtId="0" fontId="28" fillId="0" borderId="40"/>
    <xf numFmtId="0" fontId="28" fillId="0" borderId="40"/>
    <xf numFmtId="0" fontId="28" fillId="0" borderId="40"/>
    <xf numFmtId="0" fontId="28" fillId="0" borderId="40"/>
    <xf numFmtId="0" fontId="108" fillId="0" borderId="20"/>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49" fillId="0" borderId="48" applyNumberFormat="0" applyFill="0" applyProtection="0">
      <alignment vertical="top"/>
    </xf>
    <xf numFmtId="0" fontId="173" fillId="0" borderId="90"/>
    <xf numFmtId="0" fontId="173" fillId="0" borderId="90"/>
    <xf numFmtId="0" fontId="173" fillId="0" borderId="90"/>
    <xf numFmtId="0" fontId="173" fillId="0" borderId="90"/>
    <xf numFmtId="0" fontId="173" fillId="0" borderId="90"/>
    <xf numFmtId="0" fontId="173" fillId="0" borderId="90"/>
    <xf numFmtId="0" fontId="174" fillId="0" borderId="90"/>
    <xf numFmtId="0" fontId="174" fillId="0" borderId="90"/>
    <xf numFmtId="0" fontId="174" fillId="0" borderId="90"/>
    <xf numFmtId="0" fontId="174" fillId="0" borderId="90"/>
    <xf numFmtId="0" fontId="174" fillId="0" borderId="90"/>
    <xf numFmtId="0" fontId="174" fillId="0" borderId="90"/>
    <xf numFmtId="0" fontId="173" fillId="0" borderId="90"/>
    <xf numFmtId="0" fontId="173" fillId="0" borderId="90"/>
    <xf numFmtId="0" fontId="173" fillId="0" borderId="90"/>
    <xf numFmtId="0" fontId="173" fillId="0" borderId="90"/>
    <xf numFmtId="0" fontId="173" fillId="0" borderId="90"/>
    <xf numFmtId="0" fontId="173" fillId="0" borderId="90"/>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1" fillId="45" borderId="3"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2" fillId="54" borderId="17"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3" fillId="54" borderId="3" applyNumberFormat="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57" fillId="0" borderId="48" applyNumberFormat="0" applyFill="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17" fillId="21" borderId="16" applyNumberFormat="0" applyProtection="0">
      <alignment vertical="top"/>
    </xf>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244" fontId="15" fillId="0" borderId="0"/>
    <xf numFmtId="9" fontId="15" fillId="0" borderId="0" applyFont="0" applyFill="0" applyBorder="0" applyAlignment="0" applyProtection="0"/>
    <xf numFmtId="43" fontId="15" fillId="0" borderId="0" applyFont="0" applyFill="0" applyBorder="0" applyAlignment="0" applyProtection="0"/>
    <xf numFmtId="244" fontId="38" fillId="0" borderId="116">
      <alignment horizontal="center"/>
    </xf>
    <xf numFmtId="0" fontId="38" fillId="0" borderId="116">
      <alignment horizontal="center"/>
    </xf>
    <xf numFmtId="0" fontId="38" fillId="0" borderId="116">
      <alignment horizontal="center"/>
    </xf>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79" fillId="0" borderId="1"/>
    <xf numFmtId="0" fontId="63" fillId="74" borderId="1"/>
    <xf numFmtId="0" fontId="63" fillId="74" borderId="1"/>
    <xf numFmtId="0" fontId="63" fillId="74" borderId="1"/>
    <xf numFmtId="0" fontId="52" fillId="0" borderId="117"/>
    <xf numFmtId="0" fontId="75" fillId="74" borderId="8"/>
    <xf numFmtId="0" fontId="75" fillId="74" borderId="1"/>
    <xf numFmtId="0" fontId="75" fillId="81" borderId="1"/>
    <xf numFmtId="0" fontId="190" fillId="82" borderId="1"/>
    <xf numFmtId="244" fontId="193" fillId="0" borderId="116" applyNumberFormat="0" applyFont="0" applyFill="0" applyBorder="0" applyAlignment="0">
      <alignment horizontal="center"/>
    </xf>
    <xf numFmtId="0" fontId="193" fillId="0" borderId="116" applyNumberFormat="0" applyFont="0" applyFill="0" applyBorder="0" applyAlignment="0">
      <alignment horizontal="center"/>
    </xf>
    <xf numFmtId="0" fontId="15" fillId="0" borderId="0"/>
    <xf numFmtId="0"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0"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15" fillId="0" borderId="0"/>
    <xf numFmtId="244" fontId="49" fillId="83" borderId="16" applyNumberFormat="0" applyFont="0" applyAlignment="0" applyProtection="0"/>
    <xf numFmtId="244" fontId="49" fillId="83" borderId="16" applyNumberFormat="0" applyFont="0" applyAlignment="0" applyProtection="0"/>
    <xf numFmtId="0" fontId="49" fillId="83" borderId="16" applyNumberFormat="0" applyFont="0" applyAlignment="0" applyProtection="0"/>
    <xf numFmtId="0" fontId="49" fillId="83" borderId="16" applyNumberFormat="0" applyFont="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259" fontId="201" fillId="0" borderId="122" applyFont="0" applyBorder="0" applyAlignment="0">
      <alignment horizontal="center" vertical="center"/>
    </xf>
    <xf numFmtId="259" fontId="201" fillId="0" borderId="122" applyFont="0" applyBorder="0" applyAlignment="0">
      <alignment horizontal="center" vertical="center"/>
    </xf>
    <xf numFmtId="0" fontId="63" fillId="74" borderId="1"/>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0" fontId="28" fillId="0" borderId="40"/>
    <xf numFmtId="0"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0" fontId="28" fillId="0" borderId="40"/>
    <xf numFmtId="0"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244" fontId="28" fillId="0" borderId="40"/>
    <xf numFmtId="0" fontId="108" fillId="0" borderId="118"/>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44" fontId="180" fillId="0" borderId="1"/>
    <xf numFmtId="0" fontId="180" fillId="0" borderId="1"/>
    <xf numFmtId="0" fontId="180" fillId="0" borderId="1"/>
    <xf numFmtId="244" fontId="179" fillId="0" borderId="1"/>
    <xf numFmtId="0" fontId="179" fillId="0" borderId="1"/>
    <xf numFmtId="0" fontId="179" fillId="0" borderId="1"/>
    <xf numFmtId="244" fontId="205" fillId="88" borderId="39" applyBorder="0" applyProtection="0">
      <alignment horizontal="centerContinuous" vertical="center"/>
    </xf>
    <xf numFmtId="0" fontId="205" fillId="88" borderId="39" applyBorder="0" applyProtection="0">
      <alignment horizontal="centerContinuous" vertical="center"/>
    </xf>
    <xf numFmtId="0" fontId="205" fillId="88" borderId="39" applyBorder="0" applyProtection="0">
      <alignment horizontal="centerContinuous" vertical="center"/>
    </xf>
    <xf numFmtId="284" fontId="203" fillId="0" borderId="117">
      <alignment horizontal="center"/>
    </xf>
    <xf numFmtId="244" fontId="190" fillId="0" borderId="1"/>
    <xf numFmtId="0" fontId="190" fillId="0" borderId="1"/>
    <xf numFmtId="0" fontId="190" fillId="0" borderId="1"/>
    <xf numFmtId="244" fontId="186" fillId="0" borderId="1"/>
    <xf numFmtId="0" fontId="186" fillId="0" borderId="1"/>
    <xf numFmtId="0" fontId="186" fillId="0" borderId="1"/>
    <xf numFmtId="40" fontId="211" fillId="0" borderId="116" applyFont="0" applyFill="0" applyBorder="0" applyAlignment="0" applyProtection="0"/>
    <xf numFmtId="40" fontId="211" fillId="0" borderId="116" applyFont="0" applyFill="0" applyBorder="0" applyAlignment="0" applyProtection="0"/>
    <xf numFmtId="286" fontId="203" fillId="0" borderId="116"/>
    <xf numFmtId="244" fontId="213" fillId="90" borderId="116">
      <alignment horizontal="left" vertical="center"/>
    </xf>
    <xf numFmtId="0" fontId="213" fillId="90" borderId="116">
      <alignment horizontal="left" vertical="center"/>
    </xf>
    <xf numFmtId="0" fontId="213" fillId="90" borderId="116">
      <alignment horizontal="left" vertical="center"/>
    </xf>
    <xf numFmtId="244" fontId="77" fillId="92" borderId="38" applyNumberFormat="0" applyBorder="0" applyAlignment="0">
      <alignment horizontal="center"/>
    </xf>
    <xf numFmtId="244" fontId="77" fillId="92" borderId="38" applyNumberFormat="0" applyBorder="0" applyAlignment="0">
      <alignment horizontal="center"/>
    </xf>
    <xf numFmtId="244" fontId="77" fillId="92" borderId="38" applyNumberFormat="0" applyBorder="0" applyAlignment="0">
      <alignment horizontal="center"/>
    </xf>
    <xf numFmtId="0" fontId="77" fillId="92" borderId="38" applyNumberFormat="0" applyBorder="0" applyAlignment="0">
      <alignment horizontal="center"/>
    </xf>
    <xf numFmtId="0" fontId="77" fillId="92" borderId="38" applyNumberFormat="0" applyBorder="0" applyAlignment="0">
      <alignment horizontal="center"/>
    </xf>
    <xf numFmtId="244" fontId="77" fillId="92" borderId="38" applyNumberFormat="0" applyBorder="0" applyAlignment="0">
      <alignment horizontal="center"/>
    </xf>
    <xf numFmtId="244" fontId="77" fillId="92" borderId="38" applyNumberFormat="0" applyBorder="0" applyAlignment="0">
      <alignment horizontal="center"/>
    </xf>
    <xf numFmtId="244" fontId="77" fillId="92" borderId="38" applyNumberFormat="0" applyBorder="0" applyAlignment="0">
      <alignment horizontal="center"/>
    </xf>
    <xf numFmtId="0" fontId="77" fillId="92" borderId="38" applyNumberFormat="0" applyBorder="0" applyAlignment="0">
      <alignment horizontal="center"/>
    </xf>
    <xf numFmtId="0" fontId="77" fillId="92" borderId="38" applyNumberFormat="0" applyBorder="0" applyAlignment="0">
      <alignment horizontal="center"/>
    </xf>
    <xf numFmtId="9" fontId="15" fillId="0" borderId="0" applyFont="0" applyFill="0" applyBorder="0" applyAlignment="0" applyProtection="0"/>
    <xf numFmtId="43" fontId="15" fillId="0" borderId="0" applyFont="0" applyFill="0" applyBorder="0" applyAlignment="0" applyProtection="0"/>
    <xf numFmtId="0" fontId="56" fillId="0" borderId="0"/>
    <xf numFmtId="0" fontId="49" fillId="83" borderId="16" applyNumberFormat="0" applyFont="0" applyAlignment="0" applyProtection="0"/>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0" fontId="180" fillId="0" borderId="1"/>
    <xf numFmtId="0" fontId="179" fillId="0" borderId="1"/>
    <xf numFmtId="0" fontId="190" fillId="0" borderId="1"/>
    <xf numFmtId="0" fontId="186" fillId="0" borderId="1"/>
    <xf numFmtId="0" fontId="15" fillId="0" borderId="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43" fontId="15"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3" fontId="53" fillId="0" borderId="116"/>
    <xf numFmtId="324" fontId="179" fillId="0" borderId="116"/>
    <xf numFmtId="5" fontId="83" fillId="95" borderId="116" applyNumberFormat="0" applyAlignment="0">
      <alignment horizontal="left" vertical="top"/>
    </xf>
    <xf numFmtId="49" fontId="85" fillId="0" borderId="116">
      <alignment vertical="center"/>
    </xf>
    <xf numFmtId="4" fontId="92" fillId="0" borderId="90" applyBorder="0"/>
    <xf numFmtId="0" fontId="49" fillId="83" borderId="16" applyNumberFormat="0" applyFont="0" applyAlignment="0" applyProtection="0"/>
    <xf numFmtId="0" fontId="15" fillId="0" borderId="0"/>
    <xf numFmtId="43" fontId="15" fillId="0" borderId="0" applyFont="0" applyFill="0" applyBorder="0" applyAlignment="0" applyProtection="0"/>
    <xf numFmtId="43" fontId="15" fillId="0" borderId="0" applyFont="0" applyFill="0" applyBorder="0" applyAlignment="0" applyProtection="0"/>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331" fontId="192" fillId="0" borderId="117">
      <alignment horizontal="right" vertical="center"/>
    </xf>
    <xf numFmtId="0" fontId="180" fillId="0" borderId="1"/>
    <xf numFmtId="0" fontId="179" fillId="0" borderId="1"/>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3" fontId="236" fillId="97" borderId="116" applyFill="0" applyAlignment="0" applyProtection="0">
      <alignment horizontal="justify" vertical="center"/>
    </xf>
    <xf numFmtId="0" fontId="190" fillId="0" borderId="1"/>
    <xf numFmtId="0" fontId="186" fillId="0" borderId="1"/>
    <xf numFmtId="0" fontId="213" fillId="90" borderId="116">
      <alignment horizontal="left" vertical="center"/>
    </xf>
    <xf numFmtId="0" fontId="173" fillId="0" borderId="90"/>
    <xf numFmtId="0" fontId="173" fillId="0" borderId="90"/>
    <xf numFmtId="0" fontId="174" fillId="0" borderId="90"/>
    <xf numFmtId="0" fontId="174" fillId="0" borderId="90"/>
    <xf numFmtId="0" fontId="173" fillId="0" borderId="90"/>
    <xf numFmtId="0" fontId="173" fillId="0" borderId="90"/>
    <xf numFmtId="0" fontId="15" fillId="0" borderId="0"/>
    <xf numFmtId="9" fontId="15"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38" fillId="0" borderId="116">
      <alignment horizontal="center"/>
    </xf>
    <xf numFmtId="4" fontId="92" fillId="0" borderId="90" applyBorder="0"/>
    <xf numFmtId="279" fontId="77" fillId="0" borderId="90" applyNumberFormat="0" applyFont="0" applyFill="0" applyAlignment="0" applyProtection="0">
      <alignment horizontal="right"/>
    </xf>
    <xf numFmtId="279" fontId="77" fillId="0" borderId="90" applyNumberFormat="0" applyFont="0" applyFill="0" applyAlignment="0" applyProtection="0">
      <alignment horizontal="right"/>
    </xf>
    <xf numFmtId="0" fontId="173" fillId="0" borderId="90"/>
    <xf numFmtId="0" fontId="173" fillId="0" borderId="90"/>
    <xf numFmtId="0" fontId="174" fillId="0" borderId="90"/>
    <xf numFmtId="0" fontId="174" fillId="0" borderId="90"/>
    <xf numFmtId="0" fontId="173" fillId="0" borderId="90"/>
    <xf numFmtId="0" fontId="173" fillId="0" borderId="90"/>
    <xf numFmtId="0" fontId="15" fillId="0" borderId="0"/>
    <xf numFmtId="9" fontId="15"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43" fontId="15" fillId="0" borderId="0" applyFont="0" applyFill="0" applyBorder="0" applyAlignment="0" applyProtection="0"/>
    <xf numFmtId="0" fontId="15" fillId="0" borderId="0"/>
    <xf numFmtId="43"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43"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43" fontId="15" fillId="0" borderId="0" applyFont="0" applyFill="0" applyBorder="0" applyAlignment="0" applyProtection="0"/>
    <xf numFmtId="166"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259" fontId="201" fillId="0" borderId="122" applyFont="0" applyBorder="0" applyAlignment="0">
      <alignment horizontal="center" vertical="center"/>
    </xf>
    <xf numFmtId="337" fontId="192" fillId="0" borderId="117">
      <alignment horizontal="right" vertical="center"/>
    </xf>
    <xf numFmtId="0" fontId="15" fillId="0" borderId="0"/>
    <xf numFmtId="43"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43" fontId="15" fillId="0" borderId="0" applyFont="0" applyFill="0" applyBorder="0" applyAlignment="0" applyProtection="0"/>
    <xf numFmtId="166" fontId="15" fillId="0" borderId="0" applyFont="0" applyFill="0" applyBorder="0" applyAlignment="0" applyProtection="0"/>
    <xf numFmtId="0" fontId="15" fillId="0" borderId="0"/>
    <xf numFmtId="43" fontId="15" fillId="0" borderId="0" applyFont="0" applyFill="0" applyBorder="0" applyAlignment="0" applyProtection="0"/>
    <xf numFmtId="0" fontId="15" fillId="0" borderId="0"/>
    <xf numFmtId="43"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41"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79" fillId="0" borderId="55">
      <alignment horizontal="left" vertical="center"/>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283" fontId="203"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39" fontId="254" fillId="0" borderId="117">
      <alignment horizontal="right" vertic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340" fontId="254" fillId="0" borderId="117">
      <alignment horizontal="center"/>
    </xf>
    <xf numFmtId="0" fontId="15" fillId="0" borderId="0"/>
    <xf numFmtId="9"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76" fillId="0" borderId="0"/>
    <xf numFmtId="0" fontId="15" fillId="0" borderId="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xf numFmtId="0" fontId="34" fillId="4" borderId="0" applyNumberFormat="0" applyBorder="0" applyProtection="0">
      <alignment vertical="top"/>
    </xf>
    <xf numFmtId="0" fontId="34" fillId="5" borderId="0" applyNumberFormat="0" applyBorder="0" applyProtection="0">
      <alignment vertical="top"/>
    </xf>
    <xf numFmtId="0" fontId="34" fillId="6" borderId="0" applyNumberFormat="0" applyBorder="0" applyProtection="0">
      <alignment vertical="top"/>
    </xf>
    <xf numFmtId="0" fontId="34" fillId="7" borderId="0" applyNumberFormat="0" applyBorder="0" applyProtection="0">
      <alignment vertical="top"/>
    </xf>
    <xf numFmtId="0" fontId="34" fillId="8" borderId="0" applyNumberFormat="0" applyBorder="0" applyProtection="0">
      <alignment vertical="top"/>
    </xf>
    <xf numFmtId="0" fontId="34" fillId="9" borderId="0" applyNumberFormat="0" applyBorder="0" applyProtection="0">
      <alignment vertical="top"/>
    </xf>
    <xf numFmtId="0" fontId="34" fillId="10" borderId="0" applyNumberFormat="0" applyBorder="0" applyProtection="0">
      <alignment vertical="top"/>
    </xf>
    <xf numFmtId="0" fontId="34" fillId="11" borderId="0" applyNumberFormat="0" applyBorder="0" applyProtection="0">
      <alignment vertical="top"/>
    </xf>
    <xf numFmtId="0" fontId="34" fillId="12" borderId="0" applyNumberFormat="0" applyBorder="0" applyProtection="0">
      <alignment vertical="top"/>
    </xf>
    <xf numFmtId="0" fontId="34" fillId="7" borderId="0" applyNumberFormat="0" applyBorder="0" applyProtection="0">
      <alignment vertical="top"/>
    </xf>
    <xf numFmtId="0" fontId="34" fillId="10" borderId="0" applyNumberFormat="0" applyBorder="0" applyProtection="0">
      <alignment vertical="top"/>
    </xf>
    <xf numFmtId="0" fontId="34" fillId="13" borderId="0" applyNumberFormat="0" applyBorder="0" applyProtection="0">
      <alignment vertical="top"/>
    </xf>
    <xf numFmtId="0" fontId="37" fillId="14" borderId="0" applyNumberFormat="0" applyBorder="0" applyProtection="0">
      <alignment vertical="top"/>
    </xf>
    <xf numFmtId="0" fontId="37" fillId="11" borderId="0" applyNumberFormat="0" applyBorder="0" applyProtection="0">
      <alignment vertical="top"/>
    </xf>
    <xf numFmtId="0" fontId="37" fillId="12" borderId="0" applyNumberFormat="0" applyBorder="0" applyProtection="0">
      <alignment vertical="top"/>
    </xf>
    <xf numFmtId="0" fontId="37" fillId="15" borderId="0" applyNumberFormat="0" applyBorder="0" applyProtection="0">
      <alignment vertical="top"/>
    </xf>
    <xf numFmtId="0" fontId="37" fillId="16" borderId="0" applyNumberFormat="0" applyBorder="0" applyProtection="0">
      <alignment vertical="top"/>
    </xf>
    <xf numFmtId="0" fontId="37" fillId="17" borderId="0" applyNumberFormat="0" applyBorder="0" applyProtection="0">
      <alignment vertical="top"/>
    </xf>
    <xf numFmtId="0" fontId="37" fillId="19" borderId="0" applyNumberFormat="0" applyBorder="0" applyProtection="0">
      <alignment vertical="top"/>
    </xf>
    <xf numFmtId="0" fontId="37" fillId="20" borderId="0" applyNumberFormat="0" applyBorder="0" applyProtection="0">
      <alignment vertical="top"/>
    </xf>
    <xf numFmtId="0" fontId="37" fillId="23" borderId="0" applyNumberFormat="0" applyBorder="0" applyProtection="0">
      <alignment vertical="top"/>
    </xf>
    <xf numFmtId="0" fontId="37" fillId="15" borderId="0" applyNumberFormat="0" applyBorder="0" applyProtection="0">
      <alignment vertical="top"/>
    </xf>
    <xf numFmtId="0" fontId="37" fillId="16" borderId="0" applyNumberFormat="0" applyBorder="0" applyProtection="0">
      <alignment vertical="top"/>
    </xf>
    <xf numFmtId="0" fontId="37" fillId="24" borderId="0" applyNumberFormat="0" applyBorder="0" applyProtection="0">
      <alignment vertical="top"/>
    </xf>
    <xf numFmtId="0" fontId="45" fillId="5" borderId="0" applyNumberFormat="0" applyBorder="0" applyProtection="0">
      <alignment vertical="top"/>
    </xf>
    <xf numFmtId="0" fontId="51" fillId="3" borderId="129" applyNumberFormat="0" applyProtection="0">
      <alignment vertical="top"/>
    </xf>
    <xf numFmtId="0" fontId="54" fillId="22" borderId="4" applyNumberFormat="0" applyProtection="0">
      <alignment vertical="top"/>
    </xf>
    <xf numFmtId="0" fontId="67" fillId="0" borderId="0" applyNumberFormat="0" applyFill="0" applyBorder="0" applyProtection="0">
      <alignment vertical="top"/>
    </xf>
    <xf numFmtId="0" fontId="76" fillId="6" borderId="0" applyNumberFormat="0" applyBorder="0" applyProtection="0">
      <alignment vertical="top"/>
    </xf>
    <xf numFmtId="0" fontId="80" fillId="0" borderId="11" applyNumberFormat="0" applyFill="0" applyProtection="0">
      <alignment vertical="top"/>
    </xf>
    <xf numFmtId="0" fontId="81" fillId="0" borderId="12" applyNumberFormat="0" applyFill="0" applyProtection="0">
      <alignment vertical="top"/>
    </xf>
    <xf numFmtId="0" fontId="82" fillId="0" borderId="13" applyNumberFormat="0" applyFill="0" applyProtection="0">
      <alignment vertical="top"/>
    </xf>
    <xf numFmtId="0" fontId="82" fillId="0" borderId="0" applyNumberFormat="0" applyFill="0" applyBorder="0" applyProtection="0">
      <alignment vertical="top"/>
    </xf>
    <xf numFmtId="0" fontId="87" fillId="9" borderId="129" applyNumberFormat="0" applyProtection="0">
      <alignment vertical="top"/>
    </xf>
    <xf numFmtId="0" fontId="89" fillId="0" borderId="14" applyNumberFormat="0" applyFill="0" applyProtection="0">
      <alignment vertical="top"/>
    </xf>
    <xf numFmtId="0" fontId="93" fillId="32" borderId="0" applyNumberFormat="0" applyBorder="0" applyProtection="0">
      <alignment vertical="top"/>
    </xf>
    <xf numFmtId="0" fontId="28" fillId="0" borderId="0">
      <alignment vertical="top"/>
    </xf>
    <xf numFmtId="0" fontId="28" fillId="21" borderId="130" applyNumberFormat="0" applyProtection="0">
      <alignment vertical="top"/>
    </xf>
    <xf numFmtId="0" fontId="101" fillId="3" borderId="131" applyNumberFormat="0" applyProtection="0">
      <alignment vertical="top"/>
    </xf>
    <xf numFmtId="0" fontId="28" fillId="0" borderId="0">
      <alignment vertical="top"/>
    </xf>
    <xf numFmtId="0" fontId="28" fillId="0" borderId="0">
      <alignment vertical="top"/>
    </xf>
    <xf numFmtId="0" fontId="28" fillId="0" borderId="0">
      <alignment vertical="top"/>
    </xf>
    <xf numFmtId="0" fontId="15" fillId="0" borderId="0"/>
    <xf numFmtId="0" fontId="14" fillId="0" borderId="0"/>
    <xf numFmtId="0" fontId="13" fillId="0" borderId="0"/>
    <xf numFmtId="0" fontId="28" fillId="0" borderId="0">
      <alignment vertical="top"/>
    </xf>
    <xf numFmtId="0" fontId="12" fillId="0" borderId="0"/>
    <xf numFmtId="43" fontId="12" fillId="0" borderId="0" applyFont="0" applyFill="0" applyBorder="0" applyAlignment="0" applyProtection="0"/>
    <xf numFmtId="9" fontId="12" fillId="0" borderId="0" applyFont="0" applyFill="0" applyBorder="0" applyAlignment="0" applyProtection="0"/>
    <xf numFmtId="0" fontId="12" fillId="0" borderId="0"/>
    <xf numFmtId="0" fontId="11" fillId="0" borderId="0"/>
    <xf numFmtId="43" fontId="11" fillId="0" borderId="0" applyFont="0" applyFill="0" applyBorder="0" applyAlignment="0" applyProtection="0"/>
    <xf numFmtId="0" fontId="11" fillId="0" borderId="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8" fillId="0" borderId="0"/>
    <xf numFmtId="43" fontId="8" fillId="0" borderId="0" applyFont="0" applyFill="0" applyBorder="0" applyAlignment="0" applyProtection="0"/>
    <xf numFmtId="0" fontId="7" fillId="0" borderId="0"/>
    <xf numFmtId="43" fontId="7" fillId="0" borderId="0" applyFont="0" applyFill="0" applyBorder="0" applyAlignment="0" applyProtection="0"/>
    <xf numFmtId="0" fontId="60" fillId="0" borderId="0"/>
    <xf numFmtId="0" fontId="7" fillId="0" borderId="0"/>
    <xf numFmtId="43" fontId="60" fillId="0" borderId="0" applyFont="0" applyFill="0" applyBorder="0" applyAlignment="0" applyProtection="0"/>
    <xf numFmtId="0" fontId="6" fillId="0" borderId="0"/>
    <xf numFmtId="0" fontId="5" fillId="0" borderId="0"/>
    <xf numFmtId="43" fontId="5" fillId="0" borderId="0" applyFont="0" applyFill="0" applyBorder="0" applyAlignment="0" applyProtection="0"/>
    <xf numFmtId="0" fontId="259" fillId="0" borderId="0"/>
    <xf numFmtId="0" fontId="260" fillId="0" borderId="0" applyNumberFormat="0" applyFill="0" applyBorder="0" applyAlignment="0" applyProtection="0">
      <alignment vertical="top"/>
      <protection locked="0"/>
    </xf>
    <xf numFmtId="9" fontId="40" fillId="0" borderId="0" applyFont="0" applyFill="0" applyBorder="0" applyAlignment="0" applyProtection="0"/>
    <xf numFmtId="43" fontId="40" fillId="0" borderId="0" applyFont="0" applyFill="0" applyBorder="0" applyAlignment="0" applyProtection="0"/>
    <xf numFmtId="0" fontId="5" fillId="0" borderId="0"/>
    <xf numFmtId="43" fontId="5"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342" fontId="4"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220" fontId="28" fillId="0" borderId="0" applyFill="0" applyBorder="0" applyProtection="0">
      <alignment vertical="top"/>
    </xf>
    <xf numFmtId="0" fontId="3"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269" fontId="3" fillId="0" borderId="0" applyFont="0" applyFill="0" applyBorder="0" applyAlignment="0" applyProtection="0"/>
    <xf numFmtId="0" fontId="254" fillId="0" borderId="0"/>
    <xf numFmtId="43" fontId="254" fillId="0" borderId="0" applyFont="0" applyFill="0" applyBorder="0" applyAlignment="0" applyProtection="0"/>
    <xf numFmtId="9" fontId="254"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8"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8" fillId="0" borderId="0">
      <alignment vertical="top"/>
    </xf>
    <xf numFmtId="9" fontId="1" fillId="0" borderId="0" applyFont="0" applyFill="0" applyBorder="0" applyAlignment="0" applyProtection="0"/>
    <xf numFmtId="43" fontId="56" fillId="0" borderId="0" applyFont="0" applyFill="0" applyBorder="0" applyAlignment="0" applyProtection="0"/>
    <xf numFmtId="43" fontId="28" fillId="0" borderId="0" applyFont="0" applyFill="0" applyBorder="0" applyAlignment="0" applyProtection="0"/>
    <xf numFmtId="9" fontId="56" fillId="0" borderId="0" applyFont="0" applyFill="0" applyBorder="0" applyAlignment="0" applyProtection="0"/>
    <xf numFmtId="0" fontId="1" fillId="0" borderId="0"/>
    <xf numFmtId="43" fontId="56" fillId="0" borderId="0" applyFont="0" applyFill="0" applyBorder="0" applyAlignment="0" applyProtection="0"/>
    <xf numFmtId="165" fontId="56" fillId="0" borderId="0" applyFont="0" applyFill="0" applyBorder="0" applyAlignment="0" applyProtection="0"/>
    <xf numFmtId="9" fontId="28" fillId="0" borderId="0" applyFont="0" applyFill="0" applyBorder="0" applyAlignment="0" applyProtection="0"/>
    <xf numFmtId="0" fontId="28" fillId="0" borderId="0">
      <alignment vertical="top"/>
    </xf>
    <xf numFmtId="166" fontId="1" fillId="0" borderId="0" applyFont="0" applyFill="0" applyBorder="0" applyAlignment="0" applyProtection="0"/>
    <xf numFmtId="166" fontId="1" fillId="0" borderId="0" applyFont="0" applyFill="0" applyBorder="0" applyAlignment="0" applyProtection="0"/>
    <xf numFmtId="166" fontId="56"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5" fontId="56" fillId="0" borderId="0" applyFont="0" applyFill="0" applyBorder="0" applyAlignment="0" applyProtection="0"/>
    <xf numFmtId="0" fontId="246" fillId="0" borderId="0"/>
    <xf numFmtId="0" fontId="1" fillId="0" borderId="0"/>
    <xf numFmtId="344" fontId="246" fillId="0" borderId="0" applyFont="0" applyFill="0" applyBorder="0" applyAlignment="0" applyProtection="0"/>
    <xf numFmtId="9" fontId="246" fillId="0" borderId="0" applyFont="0" applyFill="0" applyBorder="0" applyAlignment="0" applyProtection="0"/>
    <xf numFmtId="43" fontId="28" fillId="0" borderId="0" applyFont="0" applyFill="0" applyBorder="0" applyAlignment="0" applyProtection="0"/>
    <xf numFmtId="166" fontId="1" fillId="0" borderId="0" applyFont="0" applyFill="0" applyBorder="0" applyAlignment="0" applyProtection="0"/>
    <xf numFmtId="0" fontId="246" fillId="0" borderId="0"/>
    <xf numFmtId="344" fontId="246" fillId="0" borderId="0" applyFont="0" applyFill="0" applyBorder="0" applyAlignment="0" applyProtection="0"/>
    <xf numFmtId="0" fontId="273" fillId="0" borderId="0"/>
    <xf numFmtId="344" fontId="273" fillId="0" borderId="0" applyFont="0" applyFill="0" applyBorder="0" applyAlignment="0" applyProtection="0"/>
    <xf numFmtId="9" fontId="273" fillId="0" borderId="0" applyFont="0" applyFill="0" applyBorder="0" applyAlignment="0" applyProtection="0"/>
    <xf numFmtId="9" fontId="56" fillId="0" borderId="0" applyFont="0" applyFill="0" applyBorder="0" applyAlignment="0" applyProtection="0"/>
    <xf numFmtId="165" fontId="56" fillId="0" borderId="0" applyFont="0" applyFill="0" applyBorder="0" applyAlignment="0" applyProtection="0"/>
    <xf numFmtId="9" fontId="28" fillId="0" borderId="0" applyFont="0" applyFill="0" applyBorder="0" applyAlignment="0" applyProtection="0"/>
    <xf numFmtId="166" fontId="1" fillId="0" borderId="0" applyFont="0" applyFill="0" applyBorder="0" applyAlignment="0" applyProtection="0"/>
    <xf numFmtId="166" fontId="56" fillId="0" borderId="0" applyFont="0" applyFill="0" applyBorder="0" applyAlignment="0" applyProtection="0"/>
    <xf numFmtId="165" fontId="56" fillId="0" borderId="0" applyFont="0" applyFill="0" applyBorder="0" applyAlignment="0" applyProtection="0"/>
    <xf numFmtId="0" fontId="246" fillId="0" borderId="0"/>
    <xf numFmtId="344" fontId="246" fillId="0" borderId="0" applyFont="0" applyFill="0" applyBorder="0" applyAlignment="0" applyProtection="0"/>
    <xf numFmtId="9" fontId="246" fillId="0" borderId="0" applyFont="0" applyFill="0" applyBorder="0" applyAlignment="0" applyProtection="0"/>
    <xf numFmtId="166" fontId="1" fillId="0" borderId="0" applyFont="0" applyFill="0" applyBorder="0" applyAlignment="0" applyProtection="0"/>
    <xf numFmtId="0" fontId="273" fillId="0" borderId="0"/>
    <xf numFmtId="344" fontId="273" fillId="0" borderId="0" applyFont="0" applyFill="0" applyBorder="0" applyAlignment="0" applyProtection="0"/>
    <xf numFmtId="9" fontId="273" fillId="0" borderId="0" applyFont="0" applyFill="0" applyBorder="0" applyAlignment="0" applyProtection="0"/>
  </cellStyleXfs>
  <cellXfs count="2494">
    <xf numFmtId="0" fontId="0" fillId="0" borderId="0" xfId="0">
      <alignment vertical="top"/>
    </xf>
    <xf numFmtId="0" fontId="291" fillId="122" borderId="0" xfId="0" applyFont="1" applyFill="1" applyAlignment="1">
      <alignment horizontal="left" vertical="center"/>
    </xf>
    <xf numFmtId="169" fontId="115" fillId="0" borderId="0" xfId="1155" applyNumberFormat="1">
      <alignment vertical="top"/>
    </xf>
    <xf numFmtId="220" fontId="261" fillId="0" borderId="0" xfId="1155" applyFont="1" applyFill="1" applyBorder="1" applyAlignment="1" applyProtection="1">
      <alignment horizontal="center" vertical="center"/>
    </xf>
    <xf numFmtId="220" fontId="261" fillId="0" borderId="0" xfId="1155" applyFont="1" applyFill="1" applyBorder="1" applyAlignment="1" applyProtection="1">
      <alignment vertical="center"/>
    </xf>
    <xf numFmtId="220" fontId="261" fillId="0" borderId="0" xfId="1155" applyFont="1" applyFill="1" applyBorder="1" applyAlignment="1" applyProtection="1">
      <alignment horizontal="left" vertical="center"/>
    </xf>
    <xf numFmtId="0" fontId="263" fillId="0" borderId="0" xfId="1057" applyFont="1" applyAlignment="1"/>
    <xf numFmtId="0" fontId="262" fillId="38" borderId="0" xfId="1057" applyFont="1" applyFill="1" applyAlignment="1"/>
    <xf numFmtId="0" fontId="262" fillId="0" borderId="0" xfId="1057" applyFont="1" applyAlignment="1"/>
    <xf numFmtId="0" fontId="263" fillId="0" borderId="0" xfId="1370" applyFont="1" applyProtection="1">
      <protection locked="0"/>
    </xf>
    <xf numFmtId="9" fontId="263" fillId="0" borderId="0" xfId="1390" applyFont="1" applyFill="1" applyBorder="1" applyAlignment="1" applyProtection="1">
      <alignment horizontal="center"/>
      <protection locked="0"/>
    </xf>
    <xf numFmtId="0" fontId="28" fillId="0" borderId="0" xfId="0" applyFont="1" applyAlignment="1">
      <alignment vertical="center"/>
    </xf>
    <xf numFmtId="0" fontId="28" fillId="0" borderId="0" xfId="10919" applyFont="1" applyAlignment="1">
      <alignment vertical="center"/>
    </xf>
    <xf numFmtId="0" fontId="52" fillId="0" borderId="144" xfId="10919" applyFont="1" applyBorder="1" applyAlignment="1">
      <alignment horizontal="center" vertical="center"/>
    </xf>
    <xf numFmtId="0" fontId="52" fillId="0" borderId="135" xfId="10919" applyFont="1" applyBorder="1" applyAlignment="1">
      <alignment horizontal="center" vertical="center"/>
    </xf>
    <xf numFmtId="0" fontId="52" fillId="0" borderId="135" xfId="10919" applyFont="1" applyBorder="1" applyAlignment="1">
      <alignment horizontal="center" vertical="center" wrapText="1"/>
    </xf>
    <xf numFmtId="0" fontId="52" fillId="0" borderId="145" xfId="10919" applyFont="1" applyBorder="1" applyAlignment="1">
      <alignment horizontal="center" vertical="center" wrapText="1"/>
    </xf>
    <xf numFmtId="265" fontId="52" fillId="0" borderId="135" xfId="9187" applyNumberFormat="1" applyFont="1" applyBorder="1" applyAlignment="1">
      <alignment vertical="center"/>
    </xf>
    <xf numFmtId="0" fontId="52" fillId="0" borderId="135" xfId="10919" applyFont="1" applyBorder="1" applyAlignment="1">
      <alignment vertical="center"/>
    </xf>
    <xf numFmtId="265" fontId="52" fillId="0" borderId="135" xfId="32255" applyNumberFormat="1" applyFont="1" applyFill="1" applyBorder="1" applyAlignment="1">
      <alignment vertical="center" wrapText="1"/>
    </xf>
    <xf numFmtId="269" fontId="28" fillId="0" borderId="145" xfId="10919" applyNumberFormat="1" applyFont="1" applyBorder="1" applyAlignment="1">
      <alignment vertical="center"/>
    </xf>
    <xf numFmtId="43" fontId="28" fillId="0" borderId="0" xfId="9187" applyFont="1" applyFill="1" applyAlignment="1">
      <alignment vertical="center"/>
    </xf>
    <xf numFmtId="223" fontId="52" fillId="0" borderId="135" xfId="19046" applyNumberFormat="1" applyFont="1" applyFill="1" applyBorder="1" applyAlignment="1">
      <alignment vertical="center"/>
    </xf>
    <xf numFmtId="43" fontId="52" fillId="0" borderId="135" xfId="10919" applyNumberFormat="1" applyFont="1" applyBorder="1" applyAlignment="1">
      <alignment vertical="center"/>
    </xf>
    <xf numFmtId="9" fontId="52" fillId="0" borderId="135" xfId="18658" applyFont="1" applyFill="1" applyBorder="1" applyAlignment="1">
      <alignment vertical="center"/>
    </xf>
    <xf numFmtId="0" fontId="52" fillId="0" borderId="145" xfId="10919" applyFont="1" applyBorder="1" applyAlignment="1">
      <alignment vertical="center"/>
    </xf>
    <xf numFmtId="0" fontId="52" fillId="0" borderId="0" xfId="10919" applyFont="1" applyAlignment="1">
      <alignment vertical="center"/>
    </xf>
    <xf numFmtId="269" fontId="52" fillId="0" borderId="145" xfId="10919" applyNumberFormat="1" applyFont="1" applyBorder="1" applyAlignment="1">
      <alignment vertical="center"/>
    </xf>
    <xf numFmtId="43" fontId="52" fillId="0" borderId="0" xfId="9187" applyFont="1" applyFill="1" applyAlignment="1">
      <alignment vertical="center"/>
    </xf>
    <xf numFmtId="0" fontId="28" fillId="0" borderId="144" xfId="10919" applyFont="1" applyBorder="1" applyAlignment="1">
      <alignment horizontal="center" vertical="center"/>
    </xf>
    <xf numFmtId="265" fontId="28" fillId="0" borderId="135" xfId="9187" applyNumberFormat="1" applyFont="1" applyBorder="1" applyAlignment="1">
      <alignment horizontal="right" vertical="center"/>
    </xf>
    <xf numFmtId="0" fontId="28" fillId="0" borderId="135" xfId="10919" applyFont="1" applyBorder="1" applyAlignment="1">
      <alignment vertical="center"/>
    </xf>
    <xf numFmtId="265" fontId="28" fillId="0" borderId="135" xfId="32255" applyNumberFormat="1" applyFont="1" applyFill="1" applyBorder="1" applyAlignment="1">
      <alignment vertical="center"/>
    </xf>
    <xf numFmtId="0" fontId="28" fillId="0" borderId="145" xfId="10919" applyFont="1" applyBorder="1" applyAlignment="1">
      <alignment vertical="center"/>
    </xf>
    <xf numFmtId="265" fontId="52" fillId="0" borderId="135" xfId="9187" applyNumberFormat="1" applyFont="1" applyFill="1" applyBorder="1" applyAlignment="1">
      <alignment vertical="center"/>
    </xf>
    <xf numFmtId="265" fontId="52" fillId="0" borderId="0" xfId="32255" applyNumberFormat="1" applyFont="1" applyFill="1" applyBorder="1" applyAlignment="1">
      <alignment vertical="center"/>
    </xf>
    <xf numFmtId="265" fontId="28" fillId="0" borderId="135" xfId="9187" applyNumberFormat="1" applyFont="1" applyFill="1" applyBorder="1" applyAlignment="1">
      <alignment vertical="center"/>
    </xf>
    <xf numFmtId="0" fontId="112" fillId="0" borderId="144" xfId="10919" applyFont="1" applyBorder="1" applyAlignment="1">
      <alignment horizontal="center" vertical="center"/>
    </xf>
    <xf numFmtId="223" fontId="112" fillId="0" borderId="135" xfId="19046" applyNumberFormat="1" applyFont="1" applyFill="1" applyBorder="1" applyAlignment="1">
      <alignment vertical="center"/>
    </xf>
    <xf numFmtId="0" fontId="112" fillId="0" borderId="135" xfId="10919" applyFont="1" applyBorder="1" applyAlignment="1">
      <alignment vertical="center"/>
    </xf>
    <xf numFmtId="265" fontId="112" fillId="0" borderId="135" xfId="32255" applyNumberFormat="1" applyFont="1" applyFill="1" applyBorder="1" applyAlignment="1">
      <alignment vertical="center"/>
    </xf>
    <xf numFmtId="0" fontId="112" fillId="0" borderId="145" xfId="10919" applyFont="1" applyBorder="1" applyAlignment="1">
      <alignment vertical="center"/>
    </xf>
    <xf numFmtId="0" fontId="112" fillId="0" borderId="0" xfId="10919" applyFont="1" applyAlignment="1">
      <alignment vertical="center"/>
    </xf>
    <xf numFmtId="0" fontId="175" fillId="0" borderId="144" xfId="10919" applyFont="1" applyBorder="1" applyAlignment="1">
      <alignment horizontal="center" vertical="center"/>
    </xf>
    <xf numFmtId="0" fontId="175" fillId="0" borderId="0" xfId="10919" applyFont="1" applyAlignment="1">
      <alignment horizontal="center" vertical="center"/>
    </xf>
    <xf numFmtId="0" fontId="112" fillId="0" borderId="0" xfId="10919" applyFont="1" applyAlignment="1">
      <alignment horizontal="center" vertical="center"/>
    </xf>
    <xf numFmtId="10" fontId="112" fillId="0" borderId="0" xfId="19046" applyNumberFormat="1" applyFont="1" applyFill="1" applyBorder="1" applyAlignment="1">
      <alignment vertical="center"/>
    </xf>
    <xf numFmtId="0" fontId="28" fillId="0" borderId="0" xfId="10919" applyFont="1" applyAlignment="1">
      <alignment horizontal="center" vertical="center"/>
    </xf>
    <xf numFmtId="0" fontId="28" fillId="0" borderId="0" xfId="10919" applyFont="1" applyAlignment="1">
      <alignment horizontal="left" vertical="center"/>
    </xf>
    <xf numFmtId="43" fontId="28" fillId="0" borderId="0" xfId="9187" applyFont="1" applyBorder="1" applyAlignment="1">
      <alignment horizontal="right" vertical="center"/>
    </xf>
    <xf numFmtId="43" fontId="28" fillId="0" borderId="0" xfId="9187" applyFont="1" applyFill="1" applyBorder="1" applyAlignment="1">
      <alignment vertical="center"/>
    </xf>
    <xf numFmtId="43" fontId="28" fillId="0" borderId="0" xfId="10919" applyNumberFormat="1" applyFont="1" applyAlignment="1">
      <alignment vertical="center"/>
    </xf>
    <xf numFmtId="43" fontId="52" fillId="0" borderId="135" xfId="9187" applyFont="1" applyFill="1" applyBorder="1" applyAlignment="1">
      <alignment vertical="center"/>
    </xf>
    <xf numFmtId="223" fontId="28" fillId="0" borderId="135" xfId="19046" applyNumberFormat="1" applyFont="1" applyFill="1" applyBorder="1" applyAlignment="1">
      <alignment vertical="center"/>
    </xf>
    <xf numFmtId="43" fontId="28" fillId="0" borderId="135" xfId="9187" applyFont="1" applyFill="1" applyBorder="1" applyAlignment="1">
      <alignment vertical="center"/>
    </xf>
    <xf numFmtId="43" fontId="28" fillId="56" borderId="135" xfId="9187" applyFont="1" applyFill="1" applyBorder="1" applyAlignment="1">
      <alignment vertical="center"/>
    </xf>
    <xf numFmtId="0" fontId="124" fillId="0" borderId="145" xfId="10919" quotePrefix="1" applyFont="1" applyBorder="1" applyAlignment="1">
      <alignment vertical="center"/>
    </xf>
    <xf numFmtId="265" fontId="28" fillId="0" borderId="135" xfId="9187" applyNumberFormat="1" applyFont="1" applyBorder="1" applyAlignment="1">
      <alignment horizontal="center" vertical="center"/>
    </xf>
    <xf numFmtId="43" fontId="28" fillId="0" borderId="145" xfId="10919" applyNumberFormat="1" applyFont="1" applyBorder="1" applyAlignment="1">
      <alignment vertical="center"/>
    </xf>
    <xf numFmtId="0" fontId="28" fillId="0" borderId="146" xfId="10919" applyFont="1" applyBorder="1" applyAlignment="1">
      <alignment horizontal="center" vertical="center"/>
    </xf>
    <xf numFmtId="265" fontId="28" fillId="0" borderId="147" xfId="9187" applyNumberFormat="1" applyFont="1" applyFill="1" applyBorder="1" applyAlignment="1">
      <alignment vertical="center"/>
    </xf>
    <xf numFmtId="0" fontId="28" fillId="0" borderId="147" xfId="10919" applyFont="1" applyBorder="1" applyAlignment="1">
      <alignment vertical="center"/>
    </xf>
    <xf numFmtId="43" fontId="28" fillId="0" borderId="148" xfId="10919" applyNumberFormat="1" applyFont="1" applyBorder="1" applyAlignment="1">
      <alignment vertical="center"/>
    </xf>
    <xf numFmtId="0" fontId="28" fillId="0" borderId="0" xfId="10919" applyFont="1" applyAlignment="1">
      <alignment horizontal="left" vertical="center" wrapText="1"/>
    </xf>
    <xf numFmtId="0" fontId="28" fillId="0" borderId="0" xfId="10919" applyFont="1" applyAlignment="1">
      <alignment vertical="center" wrapText="1"/>
    </xf>
    <xf numFmtId="0" fontId="28" fillId="61" borderId="0" xfId="10919" applyFont="1" applyFill="1" applyAlignment="1">
      <alignment vertical="center"/>
    </xf>
    <xf numFmtId="0" fontId="52" fillId="61" borderId="144" xfId="10919" applyFont="1" applyFill="1" applyBorder="1" applyAlignment="1">
      <alignment horizontal="center" vertical="center"/>
    </xf>
    <xf numFmtId="0" fontId="52" fillId="61" borderId="135" xfId="10919" applyFont="1" applyFill="1" applyBorder="1" applyAlignment="1">
      <alignment horizontal="center" vertical="center"/>
    </xf>
    <xf numFmtId="0" fontId="52" fillId="61" borderId="135" xfId="10919" applyFont="1" applyFill="1" applyBorder="1" applyAlignment="1">
      <alignment horizontal="center" vertical="center" wrapText="1"/>
    </xf>
    <xf numFmtId="0" fontId="52" fillId="61" borderId="145" xfId="10919" applyFont="1" applyFill="1" applyBorder="1" applyAlignment="1">
      <alignment horizontal="center" vertical="center" wrapText="1"/>
    </xf>
    <xf numFmtId="0" fontId="52" fillId="61" borderId="135" xfId="10919" applyFont="1" applyFill="1" applyBorder="1" applyAlignment="1">
      <alignment vertical="center"/>
    </xf>
    <xf numFmtId="0" fontId="28" fillId="61" borderId="135" xfId="10919" applyFont="1" applyFill="1" applyBorder="1" applyAlignment="1">
      <alignment vertical="center" wrapText="1"/>
    </xf>
    <xf numFmtId="269" fontId="28" fillId="61" borderId="145" xfId="10919" applyNumberFormat="1" applyFont="1" applyFill="1" applyBorder="1" applyAlignment="1">
      <alignment vertical="center"/>
    </xf>
    <xf numFmtId="43" fontId="28" fillId="61" borderId="0" xfId="9187" applyFont="1" applyFill="1" applyAlignment="1">
      <alignment vertical="center"/>
    </xf>
    <xf numFmtId="0" fontId="28" fillId="61" borderId="144" xfId="10919" applyFont="1" applyFill="1" applyBorder="1" applyAlignment="1">
      <alignment horizontal="center" vertical="center"/>
    </xf>
    <xf numFmtId="43" fontId="28" fillId="61" borderId="135" xfId="9187" applyFont="1" applyFill="1" applyBorder="1" applyAlignment="1">
      <alignment vertical="center"/>
    </xf>
    <xf numFmtId="0" fontId="28" fillId="61" borderId="135" xfId="10919" applyFont="1" applyFill="1" applyBorder="1" applyAlignment="1">
      <alignment vertical="center"/>
    </xf>
    <xf numFmtId="0" fontId="28" fillId="61" borderId="145" xfId="10919" applyFont="1" applyFill="1" applyBorder="1" applyAlignment="1">
      <alignment vertical="center"/>
    </xf>
    <xf numFmtId="0" fontId="28" fillId="61" borderId="146" xfId="10919" applyFont="1" applyFill="1" applyBorder="1" applyAlignment="1">
      <alignment horizontal="center" vertical="center"/>
    </xf>
    <xf numFmtId="0" fontId="28" fillId="61" borderId="147" xfId="10919" applyFont="1" applyFill="1" applyBorder="1" applyAlignment="1">
      <alignment vertical="center"/>
    </xf>
    <xf numFmtId="0" fontId="28" fillId="61" borderId="148" xfId="10919" applyFont="1" applyFill="1" applyBorder="1" applyAlignment="1">
      <alignment vertical="center"/>
    </xf>
    <xf numFmtId="265" fontId="112" fillId="0" borderId="0" xfId="9187" applyNumberFormat="1" applyFont="1" applyFill="1" applyBorder="1" applyAlignment="1">
      <alignment vertical="center"/>
    </xf>
    <xf numFmtId="0" fontId="52" fillId="0" borderId="145" xfId="10919" applyFont="1" applyBorder="1" applyAlignment="1">
      <alignment horizontal="center" vertical="center"/>
    </xf>
    <xf numFmtId="265" fontId="28" fillId="0" borderId="145" xfId="9187" applyNumberFormat="1" applyFont="1" applyFill="1" applyBorder="1" applyAlignment="1">
      <alignment vertical="center" wrapText="1"/>
    </xf>
    <xf numFmtId="265" fontId="28" fillId="0" borderId="135" xfId="10919" applyNumberFormat="1" applyFont="1" applyBorder="1" applyAlignment="1">
      <alignment vertical="center"/>
    </xf>
    <xf numFmtId="0" fontId="28" fillId="0" borderId="135" xfId="4864" applyFont="1" applyBorder="1" applyAlignment="1">
      <alignment vertical="center"/>
    </xf>
    <xf numFmtId="265" fontId="167" fillId="0" borderId="145" xfId="32256" applyNumberFormat="1" applyFont="1" applyFill="1" applyBorder="1" applyAlignment="1">
      <alignment vertical="center" wrapText="1"/>
    </xf>
    <xf numFmtId="169" fontId="269" fillId="115" borderId="165" xfId="1155" applyNumberFormat="1" applyFont="1" applyFill="1" applyBorder="1" applyAlignment="1">
      <alignment vertical="center"/>
    </xf>
    <xf numFmtId="0" fontId="28" fillId="115" borderId="162" xfId="10919" applyFont="1" applyFill="1" applyBorder="1" applyAlignment="1">
      <alignment vertical="center"/>
    </xf>
    <xf numFmtId="270" fontId="269" fillId="115" borderId="168" xfId="1155" applyNumberFormat="1" applyFont="1" applyFill="1" applyBorder="1" applyAlignment="1">
      <alignment vertical="center"/>
    </xf>
    <xf numFmtId="0" fontId="52" fillId="115" borderId="162" xfId="10919" applyFont="1" applyFill="1" applyBorder="1" applyAlignment="1">
      <alignment vertical="center"/>
    </xf>
    <xf numFmtId="169" fontId="115" fillId="115" borderId="168" xfId="1155" applyNumberFormat="1" applyFill="1" applyBorder="1" applyAlignment="1">
      <alignment vertical="center"/>
    </xf>
    <xf numFmtId="0" fontId="167" fillId="0" borderId="0" xfId="10919" applyFont="1" applyAlignment="1">
      <alignment vertical="center"/>
    </xf>
    <xf numFmtId="265" fontId="167" fillId="0" borderId="0" xfId="4865" applyNumberFormat="1" applyFont="1" applyFill="1" applyBorder="1" applyAlignment="1">
      <alignment vertical="center" wrapText="1"/>
    </xf>
    <xf numFmtId="265" fontId="113" fillId="56" borderId="135" xfId="9187" applyNumberFormat="1" applyFont="1" applyFill="1" applyBorder="1" applyAlignment="1">
      <alignment vertical="center"/>
    </xf>
    <xf numFmtId="265" fontId="113" fillId="0" borderId="0" xfId="4865" applyNumberFormat="1" applyFont="1" applyFill="1" applyBorder="1" applyAlignment="1">
      <alignment vertical="center" wrapText="1"/>
    </xf>
    <xf numFmtId="265" fontId="113" fillId="0" borderId="0" xfId="4865" applyNumberFormat="1" applyFont="1" applyFill="1" applyBorder="1" applyAlignment="1">
      <alignment vertical="center"/>
    </xf>
    <xf numFmtId="3" fontId="28" fillId="0" borderId="0" xfId="10919" applyNumberFormat="1" applyFont="1" applyAlignment="1">
      <alignment vertical="center"/>
    </xf>
    <xf numFmtId="169" fontId="115" fillId="0" borderId="0" xfId="1155" applyNumberFormat="1" applyAlignment="1">
      <alignment vertical="center"/>
    </xf>
    <xf numFmtId="0" fontId="175" fillId="115" borderId="71" xfId="10919" applyFont="1" applyFill="1" applyBorder="1" applyAlignment="1">
      <alignment vertical="center"/>
    </xf>
    <xf numFmtId="0" fontId="28" fillId="115" borderId="73" xfId="10919" applyFont="1" applyFill="1" applyBorder="1" applyAlignment="1">
      <alignment vertical="center"/>
    </xf>
    <xf numFmtId="0" fontId="28" fillId="115" borderId="67" xfId="10919" applyFont="1" applyFill="1" applyBorder="1" applyAlignment="1">
      <alignment vertical="center"/>
    </xf>
    <xf numFmtId="10" fontId="28" fillId="0" borderId="135" xfId="10919" applyNumberFormat="1" applyFont="1" applyBorder="1" applyAlignment="1">
      <alignment vertical="center"/>
    </xf>
    <xf numFmtId="0" fontId="52" fillId="115" borderId="69" xfId="10919" applyFont="1" applyFill="1" applyBorder="1" applyAlignment="1">
      <alignment vertical="center"/>
    </xf>
    <xf numFmtId="169" fontId="52" fillId="115" borderId="70" xfId="1155" applyNumberFormat="1" applyFont="1" applyFill="1" applyBorder="1" applyAlignment="1">
      <alignment vertical="center"/>
    </xf>
    <xf numFmtId="10" fontId="28" fillId="56" borderId="135" xfId="10919" applyNumberFormat="1" applyFont="1" applyFill="1" applyBorder="1" applyAlignment="1">
      <alignment vertical="center"/>
    </xf>
    <xf numFmtId="169" fontId="115" fillId="115" borderId="68" xfId="1155" applyNumberFormat="1" applyFill="1" applyBorder="1" applyAlignment="1">
      <alignment vertical="center"/>
    </xf>
    <xf numFmtId="0" fontId="28" fillId="0" borderId="145" xfId="10919" applyFont="1" applyBorder="1" applyAlignment="1">
      <alignment vertical="center" wrapText="1"/>
    </xf>
    <xf numFmtId="0" fontId="28" fillId="115" borderId="169" xfId="10919" applyFont="1" applyFill="1" applyBorder="1" applyAlignment="1">
      <alignment vertical="center"/>
    </xf>
    <xf numFmtId="169" fontId="115" fillId="115" borderId="170" xfId="1155" applyNumberFormat="1" applyFill="1" applyBorder="1" applyAlignment="1">
      <alignment vertical="center"/>
    </xf>
    <xf numFmtId="0" fontId="28" fillId="0" borderId="148" xfId="10919" applyFont="1" applyBorder="1" applyAlignment="1">
      <alignment vertical="center"/>
    </xf>
    <xf numFmtId="0" fontId="28" fillId="115" borderId="69" xfId="10919" applyFont="1" applyFill="1" applyBorder="1" applyAlignment="1">
      <alignment vertical="center"/>
    </xf>
    <xf numFmtId="169" fontId="115" fillId="115" borderId="70" xfId="1155" applyNumberFormat="1" applyFill="1" applyBorder="1" applyAlignment="1">
      <alignment vertical="center"/>
    </xf>
    <xf numFmtId="265" fontId="28" fillId="0" borderId="0" xfId="9187" applyNumberFormat="1" applyFont="1" applyFill="1" applyAlignment="1">
      <alignment vertical="center"/>
    </xf>
    <xf numFmtId="265" fontId="52" fillId="0" borderId="135" xfId="10919" applyNumberFormat="1" applyFont="1" applyBorder="1" applyAlignment="1">
      <alignment vertical="center"/>
    </xf>
    <xf numFmtId="9" fontId="112" fillId="0" borderId="135" xfId="9187" applyNumberFormat="1" applyFont="1" applyFill="1" applyBorder="1" applyAlignment="1">
      <alignment vertical="center"/>
    </xf>
    <xf numFmtId="265" fontId="112" fillId="0" borderId="135" xfId="9187" applyNumberFormat="1" applyFont="1" applyFill="1" applyBorder="1" applyAlignment="1">
      <alignment vertical="center"/>
    </xf>
    <xf numFmtId="0" fontId="112" fillId="0" borderId="145" xfId="10919" applyFont="1" applyBorder="1" applyAlignment="1">
      <alignment vertical="center" wrapText="1"/>
    </xf>
    <xf numFmtId="43" fontId="112" fillId="0" borderId="135" xfId="9187" applyFont="1" applyFill="1" applyBorder="1" applyAlignment="1">
      <alignment vertical="center"/>
    </xf>
    <xf numFmtId="9" fontId="28" fillId="0" borderId="0" xfId="19046" applyFont="1" applyFill="1" applyAlignment="1">
      <alignment vertical="center"/>
    </xf>
    <xf numFmtId="43" fontId="112" fillId="0" borderId="145" xfId="10919" applyNumberFormat="1" applyFont="1" applyBorder="1" applyAlignment="1">
      <alignment vertical="center"/>
    </xf>
    <xf numFmtId="265" fontId="28" fillId="0" borderId="0" xfId="10919" applyNumberFormat="1" applyFont="1" applyAlignment="1">
      <alignment vertical="center"/>
    </xf>
    <xf numFmtId="0" fontId="52" fillId="0" borderId="145" xfId="10919" applyFont="1" applyBorder="1" applyAlignment="1">
      <alignment vertical="center" wrapText="1"/>
    </xf>
    <xf numFmtId="9" fontId="112" fillId="0" borderId="135" xfId="19046" applyFont="1" applyFill="1" applyBorder="1" applyAlignment="1">
      <alignment vertical="center"/>
    </xf>
    <xf numFmtId="0" fontId="112" fillId="0" borderId="144" xfId="10919" quotePrefix="1" applyFont="1" applyBorder="1" applyAlignment="1">
      <alignment horizontal="center" vertical="center"/>
    </xf>
    <xf numFmtId="265" fontId="28" fillId="0" borderId="148" xfId="9187" applyNumberFormat="1" applyFont="1" applyFill="1" applyBorder="1" applyAlignment="1">
      <alignment vertical="center" wrapText="1"/>
    </xf>
    <xf numFmtId="0" fontId="52" fillId="0" borderId="0" xfId="10919" applyFont="1" applyAlignment="1">
      <alignment horizontal="center" vertical="center" wrapText="1"/>
    </xf>
    <xf numFmtId="49" fontId="175" fillId="0" borderId="0" xfId="10919" applyNumberFormat="1" applyFont="1" applyAlignment="1">
      <alignment horizontal="center" vertical="center"/>
    </xf>
    <xf numFmtId="49" fontId="52" fillId="0" borderId="135" xfId="10919" applyNumberFormat="1" applyFont="1" applyBorder="1" applyAlignment="1">
      <alignment horizontal="center" vertical="center"/>
    </xf>
    <xf numFmtId="49" fontId="52" fillId="0" borderId="145" xfId="10919" applyNumberFormat="1" applyFont="1" applyBorder="1" applyAlignment="1">
      <alignment horizontal="center" vertical="center"/>
    </xf>
    <xf numFmtId="9" fontId="112" fillId="0" borderId="0" xfId="10919" applyNumberFormat="1" applyFont="1" applyAlignment="1">
      <alignment vertical="center"/>
    </xf>
    <xf numFmtId="9" fontId="28" fillId="0" borderId="0" xfId="19046" applyFont="1" applyFill="1" applyBorder="1" applyAlignment="1">
      <alignment vertical="center"/>
    </xf>
    <xf numFmtId="0" fontId="28" fillId="0" borderId="144" xfId="10919" applyFont="1" applyBorder="1" applyAlignment="1">
      <alignment vertical="center"/>
    </xf>
    <xf numFmtId="9" fontId="28" fillId="0" borderId="168" xfId="4866" applyNumberFormat="1" applyFont="1" applyBorder="1" applyAlignment="1">
      <alignment vertical="center"/>
    </xf>
    <xf numFmtId="9" fontId="28" fillId="0" borderId="168" xfId="4867" applyFont="1" applyFill="1" applyBorder="1" applyAlignment="1">
      <alignment vertical="center"/>
    </xf>
    <xf numFmtId="9" fontId="28" fillId="0" borderId="0" xfId="10919" applyNumberFormat="1" applyFont="1" applyAlignment="1">
      <alignment vertical="center"/>
    </xf>
    <xf numFmtId="9" fontId="28" fillId="61" borderId="147" xfId="10919" applyNumberFormat="1" applyFont="1" applyFill="1" applyBorder="1" applyAlignment="1">
      <alignment vertical="center"/>
    </xf>
    <xf numFmtId="0" fontId="124" fillId="0" borderId="0" xfId="10919" applyFont="1" applyAlignment="1">
      <alignment vertical="center"/>
    </xf>
    <xf numFmtId="0" fontId="52" fillId="0" borderId="142" xfId="10919" applyFont="1" applyBorder="1" applyAlignment="1">
      <alignment horizontal="center" vertical="center" wrapText="1"/>
    </xf>
    <xf numFmtId="0" fontId="52" fillId="0" borderId="143" xfId="10919" applyFont="1" applyBorder="1" applyAlignment="1">
      <alignment horizontal="center" vertical="center" wrapText="1"/>
    </xf>
    <xf numFmtId="49" fontId="175" fillId="0" borderId="135" xfId="10919" applyNumberFormat="1" applyFont="1" applyBorder="1" applyAlignment="1">
      <alignment horizontal="center" vertical="center"/>
    </xf>
    <xf numFmtId="49" fontId="175" fillId="0" borderId="135" xfId="10919" applyNumberFormat="1" applyFont="1" applyBorder="1" applyAlignment="1">
      <alignment horizontal="center" vertical="center" wrapText="1"/>
    </xf>
    <xf numFmtId="49" fontId="175" fillId="0" borderId="145" xfId="10919" applyNumberFormat="1" applyFont="1" applyBorder="1" applyAlignment="1">
      <alignment horizontal="center" vertical="center"/>
    </xf>
    <xf numFmtId="265" fontId="28" fillId="56" borderId="135" xfId="9187" applyNumberFormat="1" applyFont="1" applyFill="1" applyBorder="1" applyAlignment="1">
      <alignment vertical="center"/>
    </xf>
    <xf numFmtId="343" fontId="28" fillId="0" borderId="135" xfId="9187" applyNumberFormat="1" applyFont="1" applyFill="1" applyBorder="1" applyAlignment="1">
      <alignment vertical="center"/>
    </xf>
    <xf numFmtId="265" fontId="28" fillId="0" borderId="145" xfId="9187" applyNumberFormat="1" applyFont="1" applyFill="1" applyBorder="1" applyAlignment="1">
      <alignment vertical="center"/>
    </xf>
    <xf numFmtId="265" fontId="52" fillId="0" borderId="147" xfId="10919" applyNumberFormat="1" applyFont="1" applyBorder="1" applyAlignment="1">
      <alignment vertical="center"/>
    </xf>
    <xf numFmtId="265" fontId="52" fillId="0" borderId="148" xfId="10919" applyNumberFormat="1" applyFont="1" applyBorder="1" applyAlignment="1">
      <alignment vertical="center"/>
    </xf>
    <xf numFmtId="8" fontId="28" fillId="0" borderId="0" xfId="10919" applyNumberFormat="1" applyFont="1" applyAlignment="1">
      <alignment vertical="center"/>
    </xf>
    <xf numFmtId="0" fontId="266" fillId="0" borderId="0" xfId="10919" applyFont="1" applyAlignment="1">
      <alignment vertical="center"/>
    </xf>
    <xf numFmtId="49" fontId="175" fillId="0" borderId="145" xfId="10919" applyNumberFormat="1" applyFont="1" applyBorder="1" applyAlignment="1">
      <alignment horizontal="center" vertical="center" wrapText="1"/>
    </xf>
    <xf numFmtId="265" fontId="28" fillId="56" borderId="135" xfId="10919" applyNumberFormat="1" applyFont="1" applyFill="1" applyBorder="1" applyAlignment="1">
      <alignment vertical="center"/>
    </xf>
    <xf numFmtId="0" fontId="28" fillId="0" borderId="146" xfId="10919" applyFont="1" applyBorder="1" applyAlignment="1">
      <alignment vertical="center"/>
    </xf>
    <xf numFmtId="265" fontId="124" fillId="0" borderId="0" xfId="10919" applyNumberFormat="1" applyFont="1" applyAlignment="1">
      <alignment vertical="center"/>
    </xf>
    <xf numFmtId="10" fontId="28" fillId="0" borderId="0" xfId="19046" applyNumberFormat="1" applyFont="1" applyFill="1" applyAlignment="1">
      <alignment vertical="center"/>
    </xf>
    <xf numFmtId="265" fontId="124" fillId="56" borderId="148" xfId="9187" applyNumberFormat="1" applyFont="1" applyFill="1" applyBorder="1" applyAlignment="1">
      <alignment vertical="center"/>
    </xf>
    <xf numFmtId="265" fontId="52" fillId="0" borderId="145" xfId="10919" applyNumberFormat="1" applyFont="1" applyBorder="1" applyAlignment="1">
      <alignment vertical="center"/>
    </xf>
    <xf numFmtId="265" fontId="52" fillId="0" borderId="0" xfId="10919" applyNumberFormat="1" applyFont="1" applyAlignment="1">
      <alignment vertical="center"/>
    </xf>
    <xf numFmtId="265" fontId="52" fillId="0" borderId="171" xfId="10919" applyNumberFormat="1" applyFont="1" applyBorder="1" applyAlignment="1">
      <alignment vertical="center"/>
    </xf>
    <xf numFmtId="169" fontId="115" fillId="0" borderId="0" xfId="1155" applyNumberFormat="1" applyFill="1" applyBorder="1" applyAlignment="1">
      <alignment vertical="center"/>
    </xf>
    <xf numFmtId="43" fontId="28" fillId="0" borderId="0" xfId="4425" applyNumberFormat="1" applyAlignment="1">
      <alignment horizontal="center" vertical="center"/>
    </xf>
    <xf numFmtId="43" fontId="28" fillId="0" borderId="0" xfId="4425" applyNumberFormat="1" applyAlignment="1">
      <alignment horizontal="left" vertical="center"/>
    </xf>
    <xf numFmtId="265" fontId="52" fillId="0" borderId="0" xfId="4425" applyNumberFormat="1" applyFont="1" applyAlignment="1">
      <alignment horizontal="center" vertical="center"/>
    </xf>
    <xf numFmtId="265" fontId="52" fillId="0" borderId="0" xfId="9187" applyNumberFormat="1" applyFont="1" applyFill="1" applyAlignment="1">
      <alignment vertical="center"/>
    </xf>
    <xf numFmtId="280" fontId="52" fillId="0" borderId="0" xfId="9187" applyNumberFormat="1" applyFont="1" applyFill="1" applyAlignment="1">
      <alignment vertical="center"/>
    </xf>
    <xf numFmtId="270" fontId="115" fillId="0" borderId="0" xfId="1155" applyNumberFormat="1" applyFill="1" applyAlignment="1">
      <alignment vertical="center"/>
    </xf>
    <xf numFmtId="0" fontId="28" fillId="0" borderId="0" xfId="4425" applyAlignment="1">
      <alignment horizontal="center" vertical="center"/>
    </xf>
    <xf numFmtId="0" fontId="28" fillId="0" borderId="0" xfId="4425" applyAlignment="1">
      <alignment horizontal="left" vertical="center"/>
    </xf>
    <xf numFmtId="265" fontId="124" fillId="0" borderId="0" xfId="4425" applyNumberFormat="1" applyFont="1" applyAlignment="1">
      <alignment horizontal="center" vertical="center"/>
    </xf>
    <xf numFmtId="0" fontId="122" fillId="0" borderId="0" xfId="10919" applyFont="1" applyAlignment="1">
      <alignment vertical="center"/>
    </xf>
    <xf numFmtId="265" fontId="52" fillId="117" borderId="135" xfId="10919" applyNumberFormat="1" applyFont="1" applyFill="1" applyBorder="1" applyAlignment="1">
      <alignment vertical="center"/>
    </xf>
    <xf numFmtId="0" fontId="264" fillId="0" borderId="0" xfId="1057" applyFont="1" applyAlignment="1"/>
    <xf numFmtId="0" fontId="52" fillId="0" borderId="164" xfId="10919" applyFont="1" applyBorder="1" applyAlignment="1">
      <alignment horizontal="center" vertical="center" wrapText="1"/>
    </xf>
    <xf numFmtId="0" fontId="52" fillId="61" borderId="164" xfId="10919" applyFont="1" applyFill="1" applyBorder="1" applyAlignment="1">
      <alignment horizontal="center" vertical="center" wrapText="1"/>
    </xf>
    <xf numFmtId="49" fontId="52" fillId="0" borderId="164" xfId="10919" applyNumberFormat="1" applyFont="1" applyBorder="1" applyAlignment="1">
      <alignment horizontal="center" vertical="center"/>
    </xf>
    <xf numFmtId="49" fontId="52" fillId="61" borderId="164" xfId="10919" applyNumberFormat="1" applyFont="1" applyFill="1" applyBorder="1" applyAlignment="1">
      <alignment horizontal="center" vertical="center"/>
    </xf>
    <xf numFmtId="0" fontId="28" fillId="0" borderId="164" xfId="10919" applyFont="1" applyBorder="1" applyAlignment="1">
      <alignment vertical="center"/>
    </xf>
    <xf numFmtId="9" fontId="28" fillId="61" borderId="164" xfId="10919" applyNumberFormat="1" applyFont="1" applyFill="1" applyBorder="1" applyAlignment="1">
      <alignment vertical="center"/>
    </xf>
    <xf numFmtId="9" fontId="28" fillId="0" borderId="174" xfId="4866" applyNumberFormat="1" applyFont="1" applyBorder="1" applyAlignment="1">
      <alignment vertical="center"/>
    </xf>
    <xf numFmtId="9" fontId="28" fillId="0" borderId="175" xfId="4866" applyNumberFormat="1" applyFont="1" applyBorder="1" applyAlignment="1">
      <alignment vertical="center"/>
    </xf>
    <xf numFmtId="0" fontId="265" fillId="38" borderId="0" xfId="1057" applyFont="1" applyFill="1" applyAlignment="1"/>
    <xf numFmtId="0" fontId="272" fillId="38" borderId="0" xfId="1057" applyFont="1" applyFill="1" applyAlignment="1"/>
    <xf numFmtId="0" fontId="52" fillId="0" borderId="0" xfId="10919" applyFont="1" applyAlignment="1">
      <alignment horizontal="center" vertical="center"/>
    </xf>
    <xf numFmtId="262" fontId="115" fillId="0" borderId="0" xfId="1155" applyNumberFormat="1" applyBorder="1" applyAlignment="1">
      <alignment vertical="center"/>
    </xf>
    <xf numFmtId="262" fontId="52" fillId="0" borderId="0" xfId="1155" applyNumberFormat="1" applyFont="1" applyBorder="1" applyAlignment="1">
      <alignment vertical="center"/>
    </xf>
    <xf numFmtId="0" fontId="258" fillId="0" borderId="0" xfId="10919" applyFont="1" applyAlignment="1">
      <alignment vertical="center"/>
    </xf>
    <xf numFmtId="0" fontId="175" fillId="0" borderId="0" xfId="10919" applyFont="1" applyAlignment="1">
      <alignment vertical="center"/>
    </xf>
    <xf numFmtId="43" fontId="167" fillId="0" borderId="0" xfId="1155" applyNumberFormat="1" applyFont="1" applyFill="1" applyBorder="1" applyAlignment="1">
      <alignment vertical="center"/>
    </xf>
    <xf numFmtId="2" fontId="28" fillId="0" borderId="0" xfId="10919" applyNumberFormat="1" applyFont="1" applyAlignment="1">
      <alignment vertical="center"/>
    </xf>
    <xf numFmtId="0" fontId="28" fillId="115" borderId="197" xfId="10919" applyFont="1" applyFill="1" applyBorder="1" applyAlignment="1">
      <alignment vertical="center"/>
    </xf>
    <xf numFmtId="43" fontId="112" fillId="0" borderId="0" xfId="10919" applyNumberFormat="1" applyFont="1" applyAlignment="1">
      <alignment vertical="center"/>
    </xf>
    <xf numFmtId="0" fontId="112" fillId="56" borderId="0" xfId="10919" applyFont="1" applyFill="1" applyAlignment="1">
      <alignment vertical="center"/>
    </xf>
    <xf numFmtId="262" fontId="52" fillId="93" borderId="177" xfId="1155" applyNumberFormat="1" applyFont="1" applyFill="1" applyBorder="1" applyAlignment="1">
      <alignment horizontal="center" vertical="center"/>
    </xf>
    <xf numFmtId="0" fontId="52" fillId="93" borderId="177" xfId="0" applyFont="1" applyFill="1" applyBorder="1" applyAlignment="1">
      <alignment horizontal="center" vertical="center"/>
    </xf>
    <xf numFmtId="262" fontId="115" fillId="0" borderId="177" xfId="1155" applyNumberFormat="1" applyFill="1" applyBorder="1" applyAlignment="1">
      <alignment vertical="center"/>
    </xf>
    <xf numFmtId="262" fontId="115" fillId="0" borderId="177" xfId="1155" applyNumberFormat="1" applyBorder="1" applyAlignment="1">
      <alignment vertical="center"/>
    </xf>
    <xf numFmtId="1" fontId="115" fillId="0" borderId="177" xfId="1155" applyNumberFormat="1" applyFill="1" applyBorder="1" applyAlignment="1">
      <alignment horizontal="center" vertical="center"/>
    </xf>
    <xf numFmtId="0" fontId="79" fillId="0" borderId="0" xfId="0" applyFont="1" applyAlignment="1">
      <alignment horizontal="left" vertical="center"/>
    </xf>
    <xf numFmtId="259" fontId="112" fillId="56" borderId="0" xfId="10919" applyNumberFormat="1" applyFont="1" applyFill="1" applyAlignment="1">
      <alignment vertical="center"/>
    </xf>
    <xf numFmtId="0" fontId="274" fillId="0" borderId="0" xfId="4841" applyFont="1" applyAlignment="1">
      <alignment horizontal="center" vertical="center"/>
    </xf>
    <xf numFmtId="0" fontId="274" fillId="0" borderId="0" xfId="4841" applyFont="1"/>
    <xf numFmtId="0" fontId="275" fillId="0" borderId="0" xfId="32262" applyFont="1" applyAlignment="1">
      <alignment horizontal="left" indent="6"/>
    </xf>
    <xf numFmtId="0" fontId="276" fillId="0" borderId="0" xfId="4841" applyFont="1"/>
    <xf numFmtId="43" fontId="277" fillId="0" borderId="0" xfId="4842" applyFont="1" applyFill="1" applyBorder="1" applyAlignment="1">
      <alignment vertical="center"/>
    </xf>
    <xf numFmtId="0" fontId="278" fillId="60" borderId="177" xfId="1848" applyFont="1" applyFill="1" applyBorder="1" applyAlignment="1" applyProtection="1">
      <alignment horizontal="center" vertical="center"/>
      <protection locked="0"/>
    </xf>
    <xf numFmtId="0" fontId="278" fillId="60" borderId="177" xfId="1848" applyFont="1" applyFill="1" applyBorder="1" applyAlignment="1" applyProtection="1">
      <alignment horizontal="center" vertical="center" wrapText="1"/>
      <protection locked="0"/>
    </xf>
    <xf numFmtId="0" fontId="277" fillId="119" borderId="178" xfId="4841" applyFont="1" applyFill="1" applyBorder="1" applyAlignment="1">
      <alignment horizontal="center" vertical="center"/>
    </xf>
    <xf numFmtId="0" fontId="277" fillId="119" borderId="178" xfId="1848" applyFont="1" applyFill="1" applyBorder="1" applyAlignment="1" applyProtection="1">
      <alignment horizontal="left" vertical="center"/>
      <protection locked="0"/>
    </xf>
    <xf numFmtId="266" fontId="277" fillId="119" borderId="178" xfId="4842" applyNumberFormat="1" applyFont="1" applyFill="1" applyBorder="1" applyAlignment="1" applyProtection="1">
      <alignment horizontal="right" vertical="center"/>
      <protection locked="0"/>
    </xf>
    <xf numFmtId="0" fontId="278" fillId="119" borderId="178" xfId="4842" applyNumberFormat="1" applyFont="1" applyFill="1" applyBorder="1" applyAlignment="1" applyProtection="1">
      <alignment horizontal="left" vertical="center"/>
      <protection locked="0"/>
    </xf>
    <xf numFmtId="0" fontId="274" fillId="38" borderId="195" xfId="4841" applyFont="1" applyFill="1" applyBorder="1" applyAlignment="1">
      <alignment horizontal="center" vertical="center"/>
    </xf>
    <xf numFmtId="0" fontId="274" fillId="38" borderId="195" xfId="1848" quotePrefix="1" applyFont="1" applyFill="1" applyBorder="1" applyAlignment="1" applyProtection="1">
      <alignment horizontal="left" vertical="center"/>
      <protection locked="0"/>
    </xf>
    <xf numFmtId="266" fontId="274" fillId="38" borderId="195" xfId="4842" applyNumberFormat="1" applyFont="1" applyFill="1" applyBorder="1" applyAlignment="1" applyProtection="1">
      <alignment horizontal="right" vertical="center"/>
      <protection locked="0"/>
    </xf>
    <xf numFmtId="0" fontId="279" fillId="38" borderId="195" xfId="4842" applyNumberFormat="1" applyFont="1" applyFill="1" applyBorder="1" applyAlignment="1" applyProtection="1">
      <alignment horizontal="left" vertical="center"/>
      <protection locked="0"/>
    </xf>
    <xf numFmtId="266" fontId="276" fillId="0" borderId="0" xfId="4841" applyNumberFormat="1" applyFont="1"/>
    <xf numFmtId="0" fontId="280" fillId="0" borderId="0" xfId="4841" applyFont="1" applyAlignment="1">
      <alignment horizontal="center" vertical="center"/>
    </xf>
    <xf numFmtId="0" fontId="281" fillId="38" borderId="195" xfId="4841" applyFont="1" applyFill="1" applyBorder="1" applyAlignment="1">
      <alignment horizontal="center" vertical="center"/>
    </xf>
    <xf numFmtId="0" fontId="280" fillId="38" borderId="195" xfId="1848" quotePrefix="1" applyFont="1" applyFill="1" applyBorder="1" applyAlignment="1" applyProtection="1">
      <alignment horizontal="left" vertical="center"/>
      <protection locked="0"/>
    </xf>
    <xf numFmtId="266" fontId="280" fillId="38" borderId="195" xfId="4842" applyNumberFormat="1" applyFont="1" applyFill="1" applyBorder="1" applyAlignment="1" applyProtection="1">
      <alignment horizontal="right" vertical="center"/>
      <protection locked="0"/>
    </xf>
    <xf numFmtId="0" fontId="282" fillId="38" borderId="195" xfId="4842" applyNumberFormat="1" applyFont="1" applyFill="1" applyBorder="1" applyAlignment="1" applyProtection="1">
      <alignment horizontal="left" vertical="center"/>
      <protection locked="0"/>
    </xf>
    <xf numFmtId="0" fontId="283" fillId="0" borderId="0" xfId="4841" applyFont="1"/>
    <xf numFmtId="0" fontId="280" fillId="0" borderId="0" xfId="4841" applyFont="1"/>
    <xf numFmtId="0" fontId="277" fillId="0" borderId="0" xfId="4841" applyFont="1" applyAlignment="1">
      <alignment horizontal="center" vertical="center"/>
    </xf>
    <xf numFmtId="0" fontId="277" fillId="119" borderId="195" xfId="4841" applyFont="1" applyFill="1" applyBorder="1" applyAlignment="1">
      <alignment horizontal="center" vertical="center"/>
    </xf>
    <xf numFmtId="0" fontId="277" fillId="119" borderId="195" xfId="1848" applyFont="1" applyFill="1" applyBorder="1" applyAlignment="1" applyProtection="1">
      <alignment horizontal="left" vertical="center"/>
      <protection locked="0"/>
    </xf>
    <xf numFmtId="223" fontId="277" fillId="119" borderId="195" xfId="4843" applyNumberFormat="1" applyFont="1" applyFill="1" applyBorder="1" applyAlignment="1" applyProtection="1">
      <alignment horizontal="right" vertical="center"/>
      <protection locked="0"/>
    </xf>
    <xf numFmtId="0" fontId="278" fillId="119" borderId="195" xfId="4843" applyNumberFormat="1" applyFont="1" applyFill="1" applyBorder="1" applyAlignment="1" applyProtection="1">
      <alignment horizontal="left" vertical="center"/>
      <protection locked="0"/>
    </xf>
    <xf numFmtId="0" fontId="277" fillId="0" borderId="0" xfId="4841" applyFont="1"/>
    <xf numFmtId="223" fontId="284" fillId="38" borderId="195" xfId="1390" applyNumberFormat="1" applyFont="1" applyFill="1" applyBorder="1" applyProtection="1">
      <alignment vertical="top"/>
      <protection locked="0"/>
    </xf>
    <xf numFmtId="0" fontId="279" fillId="38" borderId="195" xfId="4843" applyNumberFormat="1" applyFont="1" applyFill="1" applyBorder="1" applyAlignment="1" applyProtection="1">
      <alignment horizontal="left" vertical="center"/>
      <protection locked="0"/>
    </xf>
    <xf numFmtId="1" fontId="277" fillId="119" borderId="195" xfId="1848" applyNumberFormat="1" applyFont="1" applyFill="1" applyBorder="1" applyAlignment="1" applyProtection="1">
      <alignment horizontal="right" vertical="center"/>
      <protection locked="0"/>
    </xf>
    <xf numFmtId="0" fontId="278" fillId="119" borderId="195" xfId="1848" applyFont="1" applyFill="1" applyBorder="1" applyAlignment="1" applyProtection="1">
      <alignment horizontal="left" vertical="center"/>
      <protection locked="0"/>
    </xf>
    <xf numFmtId="1" fontId="274" fillId="38" borderId="195" xfId="1848" applyNumberFormat="1" applyFont="1" applyFill="1" applyBorder="1" applyAlignment="1" applyProtection="1">
      <alignment horizontal="right" vertical="center"/>
      <protection locked="0"/>
    </xf>
    <xf numFmtId="0" fontId="279" fillId="38" borderId="195" xfId="1848" applyFont="1" applyFill="1" applyBorder="1" applyAlignment="1" applyProtection="1">
      <alignment horizontal="left" vertical="center"/>
      <protection locked="0"/>
    </xf>
    <xf numFmtId="0" fontId="274" fillId="0" borderId="0" xfId="4841" applyFont="1" applyAlignment="1">
      <alignment horizontal="center" vertical="center" wrapText="1"/>
    </xf>
    <xf numFmtId="0" fontId="274" fillId="38" borderId="195" xfId="4841" applyFont="1" applyFill="1" applyBorder="1" applyAlignment="1">
      <alignment horizontal="center" vertical="center" wrapText="1"/>
    </xf>
    <xf numFmtId="0" fontId="280" fillId="38" borderId="195" xfId="1848" quotePrefix="1" applyFont="1" applyFill="1" applyBorder="1" applyAlignment="1" applyProtection="1">
      <alignment horizontal="left" vertical="center" wrapText="1"/>
      <protection locked="0"/>
    </xf>
    <xf numFmtId="0" fontId="282" fillId="38" borderId="195" xfId="1848" applyFont="1" applyFill="1" applyBorder="1" applyAlignment="1" applyProtection="1">
      <alignment horizontal="left" vertical="center" wrapText="1"/>
      <protection locked="0"/>
    </xf>
    <xf numFmtId="0" fontId="276" fillId="0" borderId="0" xfId="4841" applyFont="1" applyAlignment="1">
      <alignment wrapText="1"/>
    </xf>
    <xf numFmtId="0" fontId="274" fillId="0" borderId="0" xfId="4841" applyFont="1" applyAlignment="1">
      <alignment wrapText="1"/>
    </xf>
    <xf numFmtId="251" fontId="280" fillId="38" borderId="195" xfId="1848" applyNumberFormat="1" applyFont="1" applyFill="1" applyBorder="1" applyAlignment="1" applyProtection="1">
      <alignment horizontal="right" vertical="center" wrapText="1"/>
      <protection locked="0"/>
    </xf>
    <xf numFmtId="2" fontId="277" fillId="119" borderId="195" xfId="1848" applyNumberFormat="1" applyFont="1" applyFill="1" applyBorder="1" applyAlignment="1" applyProtection="1">
      <alignment horizontal="right" vertical="center"/>
      <protection locked="0"/>
    </xf>
    <xf numFmtId="0" fontId="277" fillId="38" borderId="195" xfId="4841" applyFont="1" applyFill="1" applyBorder="1" applyAlignment="1">
      <alignment horizontal="center" vertical="center"/>
    </xf>
    <xf numFmtId="2" fontId="274" fillId="38" borderId="195" xfId="1848" applyNumberFormat="1" applyFont="1" applyFill="1" applyBorder="1" applyAlignment="1" applyProtection="1">
      <alignment horizontal="right" vertical="center"/>
      <protection locked="0"/>
    </xf>
    <xf numFmtId="0" fontId="277" fillId="119" borderId="195" xfId="1848" quotePrefix="1" applyFont="1" applyFill="1" applyBorder="1" applyAlignment="1" applyProtection="1">
      <alignment horizontal="left" vertical="center"/>
      <protection locked="0"/>
    </xf>
    <xf numFmtId="0" fontId="285" fillId="0" borderId="0" xfId="4841" applyFont="1"/>
    <xf numFmtId="223" fontId="274" fillId="38" borderId="195" xfId="1390" applyNumberFormat="1" applyFont="1" applyFill="1" applyBorder="1" applyAlignment="1" applyProtection="1">
      <alignment vertical="center"/>
      <protection locked="0"/>
    </xf>
    <xf numFmtId="0" fontId="277" fillId="119" borderId="195" xfId="1848" applyFont="1" applyFill="1" applyBorder="1" applyAlignment="1" applyProtection="1">
      <alignment horizontal="center" vertical="center"/>
      <protection locked="0"/>
    </xf>
    <xf numFmtId="265" fontId="277" fillId="119" borderId="195" xfId="4842" applyNumberFormat="1" applyFont="1" applyFill="1" applyBorder="1" applyAlignment="1" applyProtection="1">
      <alignment horizontal="right" vertical="center"/>
      <protection locked="0"/>
    </xf>
    <xf numFmtId="0" fontId="278" fillId="119" borderId="195" xfId="4842" applyNumberFormat="1" applyFont="1" applyFill="1" applyBorder="1" applyAlignment="1" applyProtection="1">
      <alignment horizontal="left" vertical="center"/>
      <protection locked="0"/>
    </xf>
    <xf numFmtId="0" fontId="277" fillId="38" borderId="195" xfId="1848" applyFont="1" applyFill="1" applyBorder="1" applyAlignment="1" applyProtection="1">
      <alignment horizontal="center" vertical="center"/>
      <protection locked="0"/>
    </xf>
    <xf numFmtId="0" fontId="277" fillId="38" borderId="195" xfId="1848" applyFont="1" applyFill="1" applyBorder="1" applyAlignment="1" applyProtection="1">
      <alignment horizontal="left" vertical="center"/>
      <protection locked="0"/>
    </xf>
    <xf numFmtId="265" fontId="277" fillId="38" borderId="195" xfId="4842" applyNumberFormat="1" applyFont="1" applyFill="1" applyBorder="1" applyAlignment="1" applyProtection="1">
      <alignment horizontal="right" vertical="center"/>
      <protection locked="0"/>
    </xf>
    <xf numFmtId="0" fontId="274" fillId="0" borderId="195" xfId="4841" applyFont="1" applyBorder="1" applyAlignment="1">
      <alignment horizontal="left"/>
    </xf>
    <xf numFmtId="43" fontId="283" fillId="0" borderId="0" xfId="4842" applyFont="1" applyFill="1" applyBorder="1" applyAlignment="1" applyProtection="1">
      <alignment horizontal="left" vertical="center"/>
      <protection locked="0"/>
    </xf>
    <xf numFmtId="0" fontId="278" fillId="38" borderId="195" xfId="4842" applyNumberFormat="1" applyFont="1" applyFill="1" applyBorder="1" applyAlignment="1" applyProtection="1">
      <alignment horizontal="left" vertical="center"/>
      <protection locked="0"/>
    </xf>
    <xf numFmtId="265" fontId="274" fillId="38" borderId="195" xfId="4842" applyNumberFormat="1" applyFont="1" applyFill="1" applyBorder="1" applyAlignment="1" applyProtection="1">
      <alignment horizontal="right" vertical="center"/>
      <protection locked="0"/>
    </xf>
    <xf numFmtId="43" fontId="284" fillId="38" borderId="195" xfId="4842" applyFont="1" applyFill="1" applyBorder="1" applyAlignment="1" applyProtection="1">
      <alignment horizontal="left" vertical="center"/>
      <protection locked="0"/>
    </xf>
    <xf numFmtId="265" fontId="280" fillId="38" borderId="195" xfId="4842" applyNumberFormat="1" applyFont="1" applyFill="1" applyBorder="1" applyAlignment="1" applyProtection="1">
      <alignment horizontal="right" vertical="center"/>
      <protection locked="0"/>
    </xf>
    <xf numFmtId="9" fontId="286" fillId="0" borderId="0" xfId="1390" applyFont="1">
      <alignment vertical="top"/>
    </xf>
    <xf numFmtId="0" fontId="281" fillId="38" borderId="195" xfId="1848" quotePrefix="1" applyFont="1" applyFill="1" applyBorder="1" applyAlignment="1" applyProtection="1">
      <alignment horizontal="left" vertical="center"/>
      <protection locked="0"/>
    </xf>
    <xf numFmtId="265" fontId="276" fillId="0" borderId="0" xfId="4841" applyNumberFormat="1" applyFont="1"/>
    <xf numFmtId="0" fontId="274" fillId="38" borderId="195" xfId="4842" applyNumberFormat="1" applyFont="1" applyFill="1" applyBorder="1" applyAlignment="1" applyProtection="1">
      <alignment horizontal="left" vertical="center"/>
      <protection locked="0"/>
    </xf>
    <xf numFmtId="0" fontId="280" fillId="38" borderId="195" xfId="4842" applyNumberFormat="1" applyFont="1" applyFill="1" applyBorder="1" applyAlignment="1" applyProtection="1">
      <alignment horizontal="left" vertical="center"/>
      <protection locked="0"/>
    </xf>
    <xf numFmtId="265" fontId="277" fillId="119" borderId="195" xfId="4842" applyNumberFormat="1" applyFont="1" applyFill="1" applyBorder="1" applyAlignment="1" applyProtection="1">
      <alignment horizontal="right" vertical="center" indent="3"/>
      <protection locked="0"/>
    </xf>
    <xf numFmtId="0" fontId="277" fillId="119" borderId="195" xfId="4842" applyNumberFormat="1" applyFont="1" applyFill="1" applyBorder="1" applyAlignment="1" applyProtection="1">
      <alignment horizontal="left" vertical="center"/>
      <protection locked="0"/>
    </xf>
    <xf numFmtId="266" fontId="280" fillId="38" borderId="195" xfId="4842" applyNumberFormat="1" applyFont="1" applyFill="1" applyBorder="1" applyAlignment="1" applyProtection="1">
      <alignment horizontal="left" vertical="center"/>
      <protection locked="0"/>
    </xf>
    <xf numFmtId="0" fontId="274" fillId="38" borderId="195" xfId="4842" applyNumberFormat="1" applyFont="1" applyFill="1" applyBorder="1" applyAlignment="1" applyProtection="1">
      <alignment vertical="center"/>
      <protection locked="0"/>
    </xf>
    <xf numFmtId="0" fontId="274" fillId="38" borderId="195" xfId="1848" applyFont="1" applyFill="1" applyBorder="1" applyAlignment="1" applyProtection="1">
      <alignment horizontal="center" vertical="center"/>
      <protection locked="0"/>
    </xf>
    <xf numFmtId="265" fontId="274" fillId="38" borderId="195" xfId="4842" applyNumberFormat="1" applyFont="1" applyFill="1" applyBorder="1" applyAlignment="1" applyProtection="1">
      <alignment horizontal="right" vertical="center" indent="3"/>
      <protection locked="0"/>
    </xf>
    <xf numFmtId="265" fontId="277" fillId="119" borderId="195" xfId="4842" applyNumberFormat="1" applyFont="1" applyFill="1" applyBorder="1" applyAlignment="1" applyProtection="1">
      <alignment horizontal="left" vertical="center"/>
      <protection locked="0"/>
    </xf>
    <xf numFmtId="265" fontId="277" fillId="38" borderId="195" xfId="4842" applyNumberFormat="1" applyFont="1" applyFill="1" applyBorder="1" applyAlignment="1" applyProtection="1">
      <alignment horizontal="left" vertical="center"/>
      <protection locked="0"/>
    </xf>
    <xf numFmtId="0" fontId="274" fillId="38" borderId="195" xfId="1848" applyFont="1" applyFill="1" applyBorder="1" applyAlignment="1" applyProtection="1">
      <alignment horizontal="left" vertical="center" indent="1"/>
      <protection locked="0"/>
    </xf>
    <xf numFmtId="265" fontId="274" fillId="38" borderId="195" xfId="4842" applyNumberFormat="1" applyFont="1" applyFill="1" applyBorder="1" applyAlignment="1" applyProtection="1">
      <alignment horizontal="left" vertical="center"/>
      <protection locked="0"/>
    </xf>
    <xf numFmtId="0" fontId="274" fillId="0" borderId="0" xfId="4841" applyFont="1" applyAlignment="1">
      <alignment horizontal="left"/>
    </xf>
    <xf numFmtId="9" fontId="288" fillId="0" borderId="0" xfId="1390" applyFont="1" applyFill="1" applyBorder="1" applyProtection="1">
      <alignment vertical="top"/>
      <protection locked="0"/>
    </xf>
    <xf numFmtId="223" fontId="288" fillId="0" borderId="0" xfId="4841" applyNumberFormat="1" applyFont="1"/>
    <xf numFmtId="0" fontId="290" fillId="0" borderId="0" xfId="4841" applyFont="1"/>
    <xf numFmtId="265" fontId="284" fillId="0" borderId="0" xfId="4841" applyNumberFormat="1" applyFont="1"/>
    <xf numFmtId="0" fontId="277" fillId="38" borderId="199" xfId="4841" applyFont="1" applyFill="1" applyBorder="1" applyAlignment="1">
      <alignment horizontal="center" vertical="center"/>
    </xf>
    <xf numFmtId="266" fontId="280" fillId="38" borderId="199" xfId="4842" applyNumberFormat="1" applyFont="1" applyFill="1" applyBorder="1" applyAlignment="1" applyProtection="1">
      <alignment horizontal="left" vertical="center"/>
      <protection locked="0"/>
    </xf>
    <xf numFmtId="1" fontId="284" fillId="0" borderId="0" xfId="4841" applyNumberFormat="1" applyFont="1"/>
    <xf numFmtId="0" fontId="277" fillId="38" borderId="199" xfId="1848" applyFont="1" applyFill="1" applyBorder="1" applyAlignment="1" applyProtection="1">
      <alignment horizontal="center" vertical="center"/>
      <protection locked="0"/>
    </xf>
    <xf numFmtId="0" fontId="277" fillId="38" borderId="199" xfId="1848" applyFont="1" applyFill="1" applyBorder="1" applyAlignment="1" applyProtection="1">
      <alignment horizontal="left" vertical="center"/>
      <protection locked="0"/>
    </xf>
    <xf numFmtId="265" fontId="277" fillId="38" borderId="199" xfId="4842" applyNumberFormat="1" applyFont="1" applyFill="1" applyBorder="1" applyAlignment="1" applyProtection="1">
      <alignment horizontal="right" vertical="center"/>
      <protection locked="0"/>
    </xf>
    <xf numFmtId="43" fontId="280" fillId="0" borderId="0" xfId="4842" applyFont="1" applyFill="1" applyBorder="1" applyAlignment="1" applyProtection="1">
      <alignment horizontal="left" vertical="center"/>
      <protection locked="0"/>
    </xf>
    <xf numFmtId="265" fontId="284" fillId="38" borderId="195" xfId="4842" applyNumberFormat="1" applyFont="1" applyFill="1" applyBorder="1" applyAlignment="1" applyProtection="1">
      <alignment horizontal="right" vertical="center"/>
      <protection locked="0"/>
    </xf>
    <xf numFmtId="43" fontId="276" fillId="0" borderId="0" xfId="4841" applyNumberFormat="1" applyFont="1"/>
    <xf numFmtId="2" fontId="284" fillId="0" borderId="0" xfId="4841" applyNumberFormat="1" applyFont="1"/>
    <xf numFmtId="0" fontId="277" fillId="0" borderId="0" xfId="4841" applyFont="1" applyAlignment="1">
      <alignment horizontal="center"/>
    </xf>
    <xf numFmtId="9" fontId="284" fillId="0" borderId="0" xfId="4841" applyNumberFormat="1" applyFont="1" applyAlignment="1">
      <alignment horizontal="left"/>
    </xf>
    <xf numFmtId="278" fontId="281" fillId="38" borderId="195" xfId="4842" applyNumberFormat="1" applyFont="1" applyFill="1" applyBorder="1" applyAlignment="1" applyProtection="1">
      <alignment horizontal="right" vertical="center"/>
      <protection locked="0"/>
    </xf>
    <xf numFmtId="2" fontId="276" fillId="0" borderId="0" xfId="4841" applyNumberFormat="1" applyFont="1"/>
    <xf numFmtId="0" fontId="292" fillId="0" borderId="0" xfId="1057" applyFont="1" applyAlignment="1" applyProtection="1">
      <protection locked="0"/>
    </xf>
    <xf numFmtId="0" fontId="293" fillId="0" borderId="0" xfId="1057" applyFont="1" applyAlignment="1" applyProtection="1">
      <protection locked="0"/>
    </xf>
    <xf numFmtId="0" fontId="296" fillId="2" borderId="79" xfId="1057" applyFont="1" applyFill="1" applyBorder="1" applyAlignment="1" applyProtection="1">
      <alignment horizontal="center"/>
      <protection locked="0"/>
    </xf>
    <xf numFmtId="0" fontId="296" fillId="2" borderId="80" xfId="1057" applyFont="1" applyFill="1" applyBorder="1" applyAlignment="1" applyProtection="1">
      <alignment horizontal="left" indent="1"/>
      <protection locked="0"/>
    </xf>
    <xf numFmtId="0" fontId="296" fillId="2" borderId="80" xfId="1057" applyFont="1" applyFill="1" applyBorder="1" applyAlignment="1" applyProtection="1">
      <alignment horizontal="center"/>
      <protection locked="0"/>
    </xf>
    <xf numFmtId="9" fontId="296" fillId="2" borderId="81" xfId="1390" applyFont="1" applyFill="1" applyBorder="1" applyAlignment="1" applyProtection="1">
      <alignment horizontal="center"/>
      <protection locked="0"/>
    </xf>
    <xf numFmtId="0" fontId="294" fillId="37" borderId="79" xfId="1057" applyFont="1" applyFill="1" applyBorder="1" applyAlignment="1" applyProtection="1">
      <alignment horizontal="center" vertical="center"/>
      <protection locked="0"/>
    </xf>
    <xf numFmtId="0" fontId="296" fillId="37" borderId="80" xfId="1057" applyFont="1" applyFill="1" applyBorder="1" applyAlignment="1" applyProtection="1">
      <alignment horizontal="left" indent="1"/>
      <protection locked="0"/>
    </xf>
    <xf numFmtId="0" fontId="296" fillId="37" borderId="80" xfId="1057" applyFont="1" applyFill="1" applyBorder="1" applyAlignment="1" applyProtection="1">
      <alignment horizontal="center"/>
      <protection locked="0"/>
    </xf>
    <xf numFmtId="263" fontId="297" fillId="37" borderId="81" xfId="1057" applyNumberFormat="1" applyFont="1" applyFill="1" applyBorder="1" applyAlignment="1" applyProtection="1">
      <alignment horizontal="center"/>
      <protection locked="0"/>
    </xf>
    <xf numFmtId="220" fontId="298" fillId="37" borderId="79" xfId="1155" applyFont="1" applyFill="1" applyBorder="1" applyAlignment="1" applyProtection="1">
      <alignment horizontal="center" vertical="center"/>
      <protection locked="0"/>
    </xf>
    <xf numFmtId="220" fontId="299" fillId="37" borderId="80" xfId="1057" applyNumberFormat="1" applyFont="1" applyFill="1" applyBorder="1" applyAlignment="1" applyProtection="1">
      <alignment horizontal="left" indent="1"/>
      <protection locked="0"/>
    </xf>
    <xf numFmtId="220" fontId="299" fillId="37" borderId="80" xfId="1155" applyFont="1" applyFill="1" applyBorder="1" applyAlignment="1" applyProtection="1">
      <alignment horizontal="center"/>
      <protection locked="0"/>
    </xf>
    <xf numFmtId="220" fontId="299" fillId="37" borderId="81" xfId="1155" applyFont="1" applyFill="1" applyBorder="1" applyAlignment="1" applyProtection="1">
      <alignment horizontal="center"/>
      <protection locked="0"/>
    </xf>
    <xf numFmtId="169" fontId="296" fillId="37" borderId="79" xfId="1155" applyNumberFormat="1" applyFont="1" applyFill="1" applyBorder="1" applyAlignment="1" applyProtection="1">
      <alignment horizontal="center" vertical="center"/>
      <protection locked="0"/>
    </xf>
    <xf numFmtId="169" fontId="296" fillId="37" borderId="80" xfId="1155" applyNumberFormat="1" applyFont="1" applyFill="1" applyBorder="1" applyAlignment="1" applyProtection="1">
      <alignment horizontal="center"/>
      <protection locked="0"/>
    </xf>
    <xf numFmtId="169" fontId="294" fillId="37" borderId="81" xfId="1155" applyNumberFormat="1" applyFont="1" applyFill="1" applyBorder="1" applyAlignment="1" applyProtection="1">
      <alignment horizontal="right"/>
      <protection locked="0"/>
    </xf>
    <xf numFmtId="0" fontId="294" fillId="2" borderId="80" xfId="1057" applyFont="1" applyFill="1" applyBorder="1" applyAlignment="1" applyProtection="1">
      <alignment horizontal="left" indent="1"/>
      <protection locked="0"/>
    </xf>
    <xf numFmtId="169" fontId="294" fillId="2" borderId="80" xfId="1155" applyNumberFormat="1" applyFont="1" applyFill="1" applyBorder="1" applyAlignment="1" applyProtection="1">
      <alignment horizontal="center"/>
      <protection locked="0"/>
    </xf>
    <xf numFmtId="169" fontId="294" fillId="0" borderId="81" xfId="1155" applyNumberFormat="1" applyFont="1" applyFill="1" applyBorder="1" applyAlignment="1" applyProtection="1">
      <alignment horizontal="right"/>
      <protection locked="0"/>
    </xf>
    <xf numFmtId="0" fontId="301" fillId="0" borderId="0" xfId="1057" applyFont="1" applyAlignment="1" applyProtection="1">
      <protection locked="0"/>
    </xf>
    <xf numFmtId="220" fontId="286" fillId="0" borderId="0" xfId="1155" quotePrefix="1" applyFont="1" applyFill="1" applyBorder="1" applyProtection="1">
      <alignment vertical="top"/>
      <protection locked="0"/>
    </xf>
    <xf numFmtId="9" fontId="286" fillId="0" borderId="0" xfId="1390" applyFont="1" applyFill="1" applyBorder="1" applyAlignment="1" applyProtection="1">
      <alignment horizontal="center" vertical="top"/>
      <protection locked="0"/>
    </xf>
    <xf numFmtId="0" fontId="286" fillId="0" borderId="0" xfId="1155" quotePrefix="1" applyNumberFormat="1" applyFont="1" applyFill="1" applyBorder="1" applyProtection="1">
      <alignment vertical="top"/>
      <protection locked="0"/>
    </xf>
    <xf numFmtId="0" fontId="302" fillId="0" borderId="0" xfId="1057" applyFont="1" applyAlignment="1" applyProtection="1">
      <protection locked="0"/>
    </xf>
    <xf numFmtId="0" fontId="302" fillId="0" borderId="36" xfId="1057" applyFont="1" applyBorder="1" applyAlignment="1" applyProtection="1">
      <protection locked="0"/>
    </xf>
    <xf numFmtId="0" fontId="292" fillId="0" borderId="36" xfId="1057" applyFont="1" applyBorder="1" applyAlignment="1" applyProtection="1">
      <protection locked="0"/>
    </xf>
    <xf numFmtId="169" fontId="296" fillId="0" borderId="0" xfId="1155" applyNumberFormat="1" applyFont="1" applyFill="1" applyBorder="1" applyAlignment="1" applyProtection="1">
      <protection locked="0"/>
    </xf>
    <xf numFmtId="169" fontId="294" fillId="0" borderId="0" xfId="1155" applyNumberFormat="1" applyFont="1" applyFill="1" applyBorder="1" applyAlignment="1" applyProtection="1">
      <protection locked="0"/>
    </xf>
    <xf numFmtId="169" fontId="296" fillId="2" borderId="77" xfId="1155" applyNumberFormat="1" applyFont="1" applyFill="1" applyBorder="1" applyAlignment="1" applyProtection="1">
      <alignment horizontal="center"/>
      <protection locked="0"/>
    </xf>
    <xf numFmtId="9" fontId="297" fillId="0" borderId="98" xfId="1390" applyFont="1" applyFill="1" applyBorder="1" applyAlignment="1" applyProtection="1"/>
    <xf numFmtId="0" fontId="296" fillId="0" borderId="0" xfId="1057" applyFont="1" applyAlignment="1" applyProtection="1">
      <alignment horizontal="center"/>
      <protection locked="0"/>
    </xf>
    <xf numFmtId="169" fontId="296" fillId="37" borderId="77" xfId="1155" applyNumberFormat="1" applyFont="1" applyFill="1" applyBorder="1" applyAlignment="1" applyProtection="1">
      <protection locked="0"/>
    </xf>
    <xf numFmtId="169" fontId="296" fillId="38" borderId="23" xfId="1155" applyNumberFormat="1" applyFont="1" applyFill="1" applyBorder="1" applyProtection="1">
      <alignment vertical="top"/>
    </xf>
    <xf numFmtId="0" fontId="296" fillId="38" borderId="0" xfId="1057" applyFont="1" applyFill="1" applyAlignment="1" applyProtection="1">
      <protection locked="0"/>
    </xf>
    <xf numFmtId="220" fontId="299" fillId="37" borderId="77" xfId="1155" applyFont="1" applyFill="1" applyBorder="1" applyAlignment="1" applyProtection="1">
      <protection locked="0"/>
    </xf>
    <xf numFmtId="220" fontId="299" fillId="37" borderId="23" xfId="1155" applyFont="1" applyFill="1" applyBorder="1" applyAlignment="1" applyProtection="1">
      <protection locked="0"/>
    </xf>
    <xf numFmtId="220" fontId="299" fillId="38" borderId="0" xfId="1155" applyFont="1" applyFill="1" applyBorder="1" applyAlignment="1" applyProtection="1">
      <protection locked="0"/>
    </xf>
    <xf numFmtId="169" fontId="294" fillId="37" borderId="77" xfId="1155" applyNumberFormat="1" applyFont="1" applyFill="1" applyBorder="1" applyAlignment="1" applyProtection="1">
      <protection locked="0"/>
    </xf>
    <xf numFmtId="169" fontId="296" fillId="37" borderId="23" xfId="1155" applyNumberFormat="1" applyFont="1" applyFill="1" applyBorder="1" applyAlignment="1" applyProtection="1">
      <protection locked="0"/>
    </xf>
    <xf numFmtId="169" fontId="296" fillId="38" borderId="0" xfId="1155" applyNumberFormat="1" applyFont="1" applyFill="1" applyBorder="1" applyAlignment="1" applyProtection="1">
      <protection locked="0"/>
    </xf>
    <xf numFmtId="169" fontId="294" fillId="2" borderId="77" xfId="1155" applyNumberFormat="1" applyFont="1" applyFill="1" applyBorder="1" applyAlignment="1" applyProtection="1">
      <protection locked="0"/>
    </xf>
    <xf numFmtId="169" fontId="294" fillId="0" borderId="23" xfId="1155" applyNumberFormat="1" applyFont="1" applyFill="1" applyBorder="1" applyAlignment="1" applyProtection="1">
      <protection locked="0"/>
    </xf>
    <xf numFmtId="220" fontId="296" fillId="37" borderId="80" xfId="1155" applyFont="1" applyFill="1" applyBorder="1" applyAlignment="1" applyProtection="1">
      <alignment horizontal="center"/>
      <protection locked="0"/>
    </xf>
    <xf numFmtId="169" fontId="294" fillId="0" borderId="75" xfId="1155" applyNumberFormat="1" applyFont="1" applyFill="1" applyBorder="1" applyAlignment="1" applyProtection="1">
      <alignment horizontal="right"/>
      <protection locked="0"/>
    </xf>
    <xf numFmtId="0" fontId="296" fillId="2" borderId="74" xfId="1057" applyFont="1" applyFill="1" applyBorder="1" applyAlignment="1" applyProtection="1">
      <alignment horizontal="center"/>
      <protection locked="0"/>
    </xf>
    <xf numFmtId="169" fontId="294" fillId="2" borderId="24" xfId="1155" applyNumberFormat="1" applyFont="1" applyFill="1" applyBorder="1" applyAlignment="1" applyProtection="1">
      <alignment horizontal="center"/>
      <protection locked="0"/>
    </xf>
    <xf numFmtId="169" fontId="294" fillId="0" borderId="24" xfId="1155" applyNumberFormat="1" applyFont="1" applyFill="1" applyBorder="1" applyAlignment="1" applyProtection="1">
      <protection locked="0"/>
    </xf>
    <xf numFmtId="0" fontId="294" fillId="0" borderId="83" xfId="1057" applyFont="1" applyBorder="1" applyAlignment="1" applyProtection="1">
      <alignment horizontal="left" indent="1"/>
      <protection locked="0"/>
    </xf>
    <xf numFmtId="223" fontId="296" fillId="2" borderId="81" xfId="1390" applyNumberFormat="1" applyFont="1" applyFill="1" applyBorder="1" applyAlignment="1" applyProtection="1">
      <alignment horizontal="center"/>
      <protection locked="0"/>
    </xf>
    <xf numFmtId="169" fontId="294" fillId="0" borderId="79" xfId="1155" applyNumberFormat="1" applyFont="1" applyFill="1" applyBorder="1" applyAlignment="1" applyProtection="1">
      <alignment horizontal="center"/>
      <protection locked="0"/>
    </xf>
    <xf numFmtId="0" fontId="294" fillId="2" borderId="79" xfId="1057" applyFont="1" applyFill="1" applyBorder="1" applyAlignment="1" applyProtection="1">
      <alignment horizontal="center"/>
      <protection locked="0"/>
    </xf>
    <xf numFmtId="169" fontId="304" fillId="2" borderId="83" xfId="1155" applyNumberFormat="1" applyFont="1" applyFill="1" applyBorder="1" applyAlignment="1" applyProtection="1">
      <alignment horizontal="left" indent="1"/>
      <protection locked="0"/>
    </xf>
    <xf numFmtId="169" fontId="294" fillId="2" borderId="83" xfId="1155" applyNumberFormat="1" applyFont="1" applyFill="1" applyBorder="1" applyAlignment="1" applyProtection="1">
      <alignment horizontal="center"/>
      <protection locked="0"/>
    </xf>
    <xf numFmtId="220" fontId="294" fillId="2" borderId="81" xfId="1155" applyFont="1" applyFill="1" applyBorder="1" applyAlignment="1" applyProtection="1">
      <alignment horizontal="right"/>
      <protection locked="0"/>
    </xf>
    <xf numFmtId="0" fontId="293" fillId="2" borderId="0" xfId="1057" applyFont="1" applyFill="1" applyAlignment="1" applyProtection="1">
      <alignment horizontal="center"/>
      <protection locked="0"/>
    </xf>
    <xf numFmtId="0" fontId="301" fillId="2" borderId="0" xfId="1057" applyFont="1" applyFill="1" applyAlignment="1" applyProtection="1">
      <protection locked="0"/>
    </xf>
    <xf numFmtId="0" fontId="301" fillId="2" borderId="0" xfId="1057" applyFont="1" applyFill="1" applyAlignment="1" applyProtection="1">
      <alignment horizontal="center"/>
      <protection locked="0"/>
    </xf>
    <xf numFmtId="169" fontId="294" fillId="2" borderId="0" xfId="1155" applyNumberFormat="1" applyFont="1" applyFill="1" applyBorder="1" applyAlignment="1" applyProtection="1">
      <protection locked="0"/>
    </xf>
    <xf numFmtId="169" fontId="305" fillId="56" borderId="52" xfId="1155" applyNumberFormat="1" applyFont="1" applyFill="1" applyBorder="1" applyAlignment="1" applyProtection="1">
      <protection locked="0"/>
    </xf>
    <xf numFmtId="169" fontId="294" fillId="2" borderId="23" xfId="1155" applyNumberFormat="1" applyFont="1" applyFill="1" applyBorder="1" applyAlignment="1" applyProtection="1">
      <protection locked="0"/>
    </xf>
    <xf numFmtId="169" fontId="294" fillId="37" borderId="23" xfId="1155" applyNumberFormat="1" applyFont="1" applyFill="1" applyBorder="1" applyAlignment="1" applyProtection="1">
      <protection locked="0"/>
    </xf>
    <xf numFmtId="169" fontId="294" fillId="2" borderId="35" xfId="1155" applyNumberFormat="1" applyFont="1" applyFill="1" applyBorder="1" applyAlignment="1" applyProtection="1">
      <protection locked="0"/>
    </xf>
    <xf numFmtId="169" fontId="294" fillId="2" borderId="32" xfId="1155" applyNumberFormat="1" applyFont="1" applyFill="1" applyBorder="1" applyAlignment="1" applyProtection="1">
      <protection locked="0"/>
    </xf>
    <xf numFmtId="169" fontId="301" fillId="2" borderId="0" xfId="1155" applyNumberFormat="1" applyFont="1" applyFill="1" applyBorder="1" applyAlignment="1" applyProtection="1">
      <alignment horizontal="center"/>
      <protection locked="0"/>
    </xf>
    <xf numFmtId="0" fontId="301" fillId="37" borderId="0" xfId="1057" applyFont="1" applyFill="1" applyAlignment="1" applyProtection="1">
      <protection locked="0"/>
    </xf>
    <xf numFmtId="9" fontId="296" fillId="2" borderId="77" xfId="1390" applyFont="1" applyFill="1" applyBorder="1" applyAlignment="1" applyProtection="1">
      <alignment horizontal="center"/>
      <protection locked="0"/>
    </xf>
    <xf numFmtId="263" fontId="297" fillId="37" borderId="77" xfId="1057" applyNumberFormat="1" applyFont="1" applyFill="1" applyBorder="1" applyAlignment="1" applyProtection="1">
      <alignment horizontal="center"/>
      <protection locked="0"/>
    </xf>
    <xf numFmtId="220" fontId="299" fillId="37" borderId="77" xfId="1155" applyFont="1" applyFill="1" applyBorder="1" applyAlignment="1" applyProtection="1">
      <alignment horizontal="center"/>
      <protection locked="0"/>
    </xf>
    <xf numFmtId="169" fontId="296" fillId="37" borderId="77" xfId="1155" applyNumberFormat="1" applyFont="1" applyFill="1" applyBorder="1" applyAlignment="1" applyProtection="1">
      <alignment horizontal="right"/>
      <protection locked="0"/>
    </xf>
    <xf numFmtId="169" fontId="294" fillId="0" borderId="77" xfId="1155" applyNumberFormat="1" applyFont="1" applyFill="1" applyBorder="1" applyAlignment="1" applyProtection="1">
      <alignment horizontal="right"/>
      <protection locked="0"/>
    </xf>
    <xf numFmtId="220" fontId="294" fillId="2" borderId="0" xfId="1155" applyFont="1" applyFill="1" applyBorder="1" applyAlignment="1" applyProtection="1">
      <alignment horizontal="right"/>
      <protection locked="0"/>
    </xf>
    <xf numFmtId="169" fontId="294" fillId="0" borderId="132" xfId="1155" applyNumberFormat="1" applyFont="1" applyFill="1" applyBorder="1" applyAlignment="1" applyProtection="1">
      <alignment horizontal="right"/>
      <protection locked="0"/>
    </xf>
    <xf numFmtId="263" fontId="296" fillId="37" borderId="81" xfId="1057" applyNumberFormat="1" applyFont="1" applyFill="1" applyBorder="1" applyAlignment="1" applyProtection="1">
      <alignment horizontal="center"/>
      <protection locked="0"/>
    </xf>
    <xf numFmtId="220" fontId="298" fillId="37" borderId="79" xfId="1155" applyFont="1" applyFill="1" applyBorder="1" applyAlignment="1" applyProtection="1">
      <alignment horizontal="center"/>
      <protection locked="0"/>
    </xf>
    <xf numFmtId="0" fontId="296" fillId="37" borderId="74" xfId="1057" applyFont="1" applyFill="1" applyBorder="1" applyAlignment="1" applyProtection="1">
      <alignment horizontal="center"/>
      <protection locked="0"/>
    </xf>
    <xf numFmtId="169" fontId="294" fillId="37" borderId="24" xfId="1155" applyNumberFormat="1" applyFont="1" applyFill="1" applyBorder="1" applyAlignment="1" applyProtection="1">
      <alignment horizontal="center"/>
      <protection locked="0"/>
    </xf>
    <xf numFmtId="169" fontId="294" fillId="38" borderId="75" xfId="1155" applyNumberFormat="1" applyFont="1" applyFill="1" applyBorder="1" applyAlignment="1" applyProtection="1">
      <alignment horizontal="right"/>
      <protection locked="0"/>
    </xf>
    <xf numFmtId="169" fontId="294" fillId="38" borderId="132" xfId="1155" applyNumberFormat="1" applyFont="1" applyFill="1" applyBorder="1" applyAlignment="1" applyProtection="1">
      <alignment horizontal="right"/>
      <protection locked="0"/>
    </xf>
    <xf numFmtId="169" fontId="294" fillId="38" borderId="6" xfId="1155" applyNumberFormat="1" applyFont="1" applyFill="1" applyBorder="1" applyAlignment="1" applyProtection="1">
      <alignment horizontal="right"/>
      <protection locked="0"/>
    </xf>
    <xf numFmtId="169" fontId="294" fillId="0" borderId="83" xfId="1155" applyNumberFormat="1" applyFont="1" applyFill="1" applyBorder="1" applyAlignment="1" applyProtection="1">
      <protection locked="0"/>
    </xf>
    <xf numFmtId="169" fontId="303" fillId="0" borderId="77" xfId="1155" applyNumberFormat="1" applyFont="1" applyFill="1" applyBorder="1" applyAlignment="1" applyProtection="1">
      <alignment horizontal="right"/>
      <protection locked="0"/>
    </xf>
    <xf numFmtId="0" fontId="296" fillId="2" borderId="99" xfId="1057" applyFont="1" applyFill="1" applyBorder="1" applyAlignment="1" applyProtection="1">
      <alignment horizontal="center"/>
      <protection locked="0"/>
    </xf>
    <xf numFmtId="169" fontId="294" fillId="0" borderId="97" xfId="1155" applyNumberFormat="1" applyFont="1" applyFill="1" applyBorder="1" applyAlignment="1" applyProtection="1">
      <alignment horizontal="right"/>
      <protection locked="0"/>
    </xf>
    <xf numFmtId="169" fontId="294" fillId="0" borderId="78" xfId="1155" applyNumberFormat="1" applyFont="1" applyFill="1" applyBorder="1" applyAlignment="1" applyProtection="1">
      <protection locked="0"/>
    </xf>
    <xf numFmtId="169" fontId="294" fillId="0" borderId="82" xfId="1155" applyNumberFormat="1" applyFont="1" applyFill="1" applyBorder="1" applyAlignment="1" applyProtection="1">
      <protection locked="0"/>
    </xf>
    <xf numFmtId="265" fontId="112" fillId="56" borderId="135" xfId="9187" applyNumberFormat="1" applyFont="1" applyFill="1" applyBorder="1" applyAlignment="1">
      <alignment vertical="center"/>
    </xf>
    <xf numFmtId="0" fontId="306" fillId="0" borderId="0" xfId="0" applyFont="1" applyAlignment="1">
      <alignment vertical="center" wrapText="1"/>
    </xf>
    <xf numFmtId="0" fontId="309" fillId="0" borderId="0" xfId="0" applyFont="1" applyAlignment="1">
      <alignment horizontal="left" vertical="center"/>
    </xf>
    <xf numFmtId="0" fontId="306" fillId="122" borderId="203" xfId="0" applyFont="1" applyFill="1" applyBorder="1" applyAlignment="1">
      <alignment vertical="center" wrapText="1"/>
    </xf>
    <xf numFmtId="0" fontId="306" fillId="38" borderId="0" xfId="0" applyFont="1" applyFill="1" applyAlignment="1">
      <alignment vertical="center" wrapText="1"/>
    </xf>
    <xf numFmtId="0" fontId="306" fillId="122" borderId="0" xfId="0" applyFont="1" applyFill="1" applyAlignment="1">
      <alignment vertical="center"/>
    </xf>
    <xf numFmtId="0" fontId="309" fillId="122" borderId="203" xfId="0" applyFont="1" applyFill="1" applyBorder="1" applyAlignment="1">
      <alignment horizontal="left" vertical="center"/>
    </xf>
    <xf numFmtId="0" fontId="310" fillId="122" borderId="203" xfId="0" applyFont="1" applyFill="1" applyBorder="1" applyAlignment="1">
      <alignment horizontal="left" vertical="center" wrapText="1"/>
    </xf>
    <xf numFmtId="0" fontId="277" fillId="119" borderId="205" xfId="1848" applyFont="1" applyFill="1" applyBorder="1" applyAlignment="1" applyProtection="1">
      <alignment horizontal="center" vertical="center"/>
      <protection locked="0"/>
    </xf>
    <xf numFmtId="0" fontId="277" fillId="119" borderId="205" xfId="1848" applyFont="1" applyFill="1" applyBorder="1" applyAlignment="1" applyProtection="1">
      <alignment horizontal="left" vertical="center"/>
      <protection locked="0"/>
    </xf>
    <xf numFmtId="265" fontId="277" fillId="119" borderId="205" xfId="4842" applyNumberFormat="1" applyFont="1" applyFill="1" applyBorder="1" applyAlignment="1" applyProtection="1">
      <alignment horizontal="left" vertical="center"/>
      <protection locked="0"/>
    </xf>
    <xf numFmtId="265" fontId="287" fillId="38" borderId="195" xfId="4842" applyNumberFormat="1" applyFont="1" applyFill="1" applyBorder="1" applyAlignment="1" applyProtection="1">
      <alignment horizontal="right" vertical="center"/>
      <protection locked="0"/>
    </xf>
    <xf numFmtId="0" fontId="277" fillId="38" borderId="195" xfId="4842" applyNumberFormat="1" applyFont="1" applyFill="1" applyBorder="1" applyAlignment="1" applyProtection="1">
      <alignment horizontal="left" vertical="center"/>
      <protection locked="0"/>
    </xf>
    <xf numFmtId="0" fontId="309" fillId="38" borderId="0" xfId="0" applyFont="1" applyFill="1" applyAlignment="1">
      <alignment horizontal="left" vertical="center"/>
    </xf>
    <xf numFmtId="0" fontId="310" fillId="38" borderId="0" xfId="0" applyFont="1" applyFill="1" applyAlignment="1">
      <alignment horizontal="left" vertical="center" wrapText="1"/>
    </xf>
    <xf numFmtId="0" fontId="274" fillId="0" borderId="0" xfId="1057" applyFont="1" applyAlignment="1">
      <alignment horizontal="center"/>
    </xf>
    <xf numFmtId="0" fontId="278" fillId="58" borderId="135" xfId="1155" applyNumberFormat="1" applyFont="1" applyFill="1" applyBorder="1" applyAlignment="1" applyProtection="1">
      <alignment horizontal="center" vertical="center"/>
    </xf>
    <xf numFmtId="0" fontId="278" fillId="58" borderId="164" xfId="1155" applyNumberFormat="1" applyFont="1" applyFill="1" applyBorder="1" applyAlignment="1" applyProtection="1">
      <alignment horizontal="center" vertical="center"/>
    </xf>
    <xf numFmtId="0" fontId="278" fillId="39" borderId="0" xfId="1155" applyNumberFormat="1" applyFont="1" applyFill="1" applyBorder="1" applyAlignment="1" applyProtection="1">
      <alignment horizontal="center" vertical="center"/>
    </xf>
    <xf numFmtId="0" fontId="315" fillId="0" borderId="0" xfId="1057" applyFont="1" applyAlignment="1">
      <alignment horizontal="center"/>
    </xf>
    <xf numFmtId="220" fontId="278" fillId="58" borderId="135" xfId="1155" applyFont="1" applyFill="1" applyBorder="1" applyAlignment="1" applyProtection="1">
      <alignment horizontal="center" vertical="center"/>
    </xf>
    <xf numFmtId="220" fontId="278" fillId="58" borderId="164" xfId="1155" applyFont="1" applyFill="1" applyBorder="1" applyAlignment="1" applyProtection="1">
      <alignment horizontal="center" vertical="center"/>
    </xf>
    <xf numFmtId="220" fontId="278" fillId="39" borderId="0" xfId="1155" applyFont="1" applyFill="1" applyBorder="1" applyAlignment="1" applyProtection="1">
      <alignment horizontal="center" vertical="center"/>
    </xf>
    <xf numFmtId="0" fontId="279" fillId="38" borderId="0" xfId="1057" applyFont="1" applyFill="1" applyAlignment="1">
      <alignment horizontal="center"/>
    </xf>
    <xf numFmtId="0" fontId="296" fillId="38" borderId="0" xfId="1057" applyFont="1" applyFill="1" applyAlignment="1">
      <alignment vertical="center"/>
    </xf>
    <xf numFmtId="220" fontId="294" fillId="0" borderId="164" xfId="1155" applyFont="1" applyFill="1" applyBorder="1" applyAlignment="1" applyProtection="1">
      <alignment horizontal="center" vertical="center" wrapText="1"/>
    </xf>
    <xf numFmtId="220" fontId="304" fillId="38" borderId="0" xfId="1155" applyFont="1" applyFill="1" applyBorder="1" applyAlignment="1" applyProtection="1">
      <alignment horizontal="center" vertical="center" wrapText="1"/>
    </xf>
    <xf numFmtId="0" fontId="316" fillId="38" borderId="0" xfId="1057" applyFont="1" applyFill="1" applyAlignment="1">
      <alignment vertical="center"/>
    </xf>
    <xf numFmtId="0" fontId="296" fillId="38" borderId="0" xfId="1057" applyFont="1" applyFill="1" applyAlignment="1"/>
    <xf numFmtId="220" fontId="294" fillId="38" borderId="164" xfId="1155" applyFont="1" applyFill="1" applyBorder="1" applyAlignment="1" applyProtection="1">
      <alignment horizontal="center"/>
    </xf>
    <xf numFmtId="220" fontId="304" fillId="38" borderId="0" xfId="1155" applyFont="1" applyFill="1" applyBorder="1" applyAlignment="1" applyProtection="1">
      <alignment horizontal="center"/>
    </xf>
    <xf numFmtId="0" fontId="316" fillId="38" borderId="0" xfId="1057" applyFont="1" applyFill="1" applyAlignment="1"/>
    <xf numFmtId="9" fontId="296" fillId="38" borderId="164" xfId="1390" applyFont="1" applyFill="1" applyBorder="1" applyAlignment="1" applyProtection="1">
      <alignment horizontal="center" wrapText="1"/>
      <protection locked="0"/>
    </xf>
    <xf numFmtId="9" fontId="316" fillId="38" borderId="0" xfId="1390" applyFont="1" applyFill="1" applyBorder="1" applyAlignment="1" applyProtection="1">
      <alignment horizontal="center" wrapText="1"/>
      <protection locked="0"/>
    </xf>
    <xf numFmtId="0" fontId="294" fillId="38" borderId="0" xfId="1057" applyFont="1" applyFill="1" applyAlignment="1"/>
    <xf numFmtId="0" fontId="304" fillId="38" borderId="0" xfId="1057" applyFont="1" applyFill="1" applyAlignment="1"/>
    <xf numFmtId="9" fontId="316" fillId="38" borderId="0" xfId="1390" applyFont="1" applyFill="1" applyBorder="1" applyAlignment="1" applyProtection="1">
      <alignment horizontal="center" wrapText="1"/>
    </xf>
    <xf numFmtId="9" fontId="316" fillId="38" borderId="0" xfId="1404" applyFont="1" applyFill="1" applyBorder="1" applyAlignment="1" applyProtection="1">
      <alignment horizontal="center" vertical="center" wrapText="1"/>
    </xf>
    <xf numFmtId="9" fontId="297" fillId="38" borderId="164" xfId="1390" applyFont="1" applyFill="1" applyBorder="1" applyAlignment="1" applyProtection="1">
      <alignment horizontal="center" wrapText="1"/>
    </xf>
    <xf numFmtId="9" fontId="313" fillId="38" borderId="0" xfId="1390" applyFont="1" applyFill="1" applyBorder="1" applyAlignment="1" applyProtection="1">
      <alignment horizontal="center" wrapText="1"/>
    </xf>
    <xf numFmtId="223" fontId="316" fillId="38" borderId="0" xfId="1390" applyNumberFormat="1" applyFont="1" applyFill="1" applyBorder="1" applyAlignment="1" applyProtection="1">
      <alignment horizontal="center" wrapText="1"/>
    </xf>
    <xf numFmtId="220" fontId="294" fillId="38" borderId="204" xfId="1155" applyFont="1" applyFill="1" applyBorder="1" applyAlignment="1" applyProtection="1">
      <alignment horizontal="center"/>
    </xf>
    <xf numFmtId="9" fontId="296" fillId="38" borderId="195" xfId="1390" applyFont="1" applyFill="1" applyBorder="1" applyAlignment="1" applyProtection="1">
      <alignment horizontal="center" wrapText="1"/>
      <protection locked="0"/>
    </xf>
    <xf numFmtId="220" fontId="294" fillId="38" borderId="195" xfId="1155" applyFont="1" applyFill="1" applyBorder="1" applyAlignment="1" applyProtection="1">
      <alignment horizontal="center"/>
    </xf>
    <xf numFmtId="9" fontId="296" fillId="38" borderId="195" xfId="1390" applyFont="1" applyFill="1" applyBorder="1" applyAlignment="1" applyProtection="1">
      <alignment horizontal="center" wrapText="1"/>
    </xf>
    <xf numFmtId="9" fontId="296" fillId="38" borderId="195" xfId="1404" applyFont="1" applyFill="1" applyBorder="1" applyAlignment="1" applyProtection="1">
      <alignment horizontal="center" vertical="center" wrapText="1"/>
    </xf>
    <xf numFmtId="220" fontId="294" fillId="38" borderId="196" xfId="1155" applyFont="1" applyFill="1" applyBorder="1" applyAlignment="1" applyProtection="1">
      <alignment horizontal="center"/>
    </xf>
    <xf numFmtId="9" fontId="296" fillId="38" borderId="204" xfId="1390" applyFont="1" applyFill="1" applyBorder="1" applyAlignment="1" applyProtection="1">
      <alignment horizontal="center" wrapText="1"/>
    </xf>
    <xf numFmtId="223" fontId="296" fillId="38" borderId="196" xfId="1390" applyNumberFormat="1" applyFont="1" applyFill="1" applyBorder="1" applyAlignment="1" applyProtection="1">
      <alignment horizontal="center" wrapText="1"/>
    </xf>
    <xf numFmtId="0" fontId="274" fillId="38" borderId="0" xfId="1057" applyFont="1" applyFill="1" applyAlignment="1">
      <alignment horizontal="center"/>
    </xf>
    <xf numFmtId="0" fontId="263" fillId="38" borderId="0" xfId="1057" applyFont="1" applyFill="1" applyAlignment="1"/>
    <xf numFmtId="0" fontId="277" fillId="38" borderId="135" xfId="1057" applyFont="1" applyFill="1" applyBorder="1" applyAlignment="1">
      <alignment vertical="center"/>
    </xf>
    <xf numFmtId="2" fontId="274" fillId="38" borderId="135" xfId="1370" applyNumberFormat="1" applyFont="1" applyFill="1" applyBorder="1" applyAlignment="1" applyProtection="1">
      <alignment horizontal="left" vertical="center"/>
      <protection locked="0"/>
    </xf>
    <xf numFmtId="9" fontId="277" fillId="38" borderId="135" xfId="1390" applyFont="1" applyFill="1" applyBorder="1" applyAlignment="1" applyProtection="1">
      <alignment horizontal="center" vertical="center" wrapText="1"/>
    </xf>
    <xf numFmtId="220" fontId="277" fillId="0" borderId="135" xfId="1155" applyFont="1" applyFill="1" applyBorder="1" applyAlignment="1" applyProtection="1">
      <alignment horizontal="center" vertical="center" wrapText="1"/>
    </xf>
    <xf numFmtId="0" fontId="274" fillId="38" borderId="204" xfId="1057" applyFont="1" applyFill="1" applyBorder="1" applyAlignment="1">
      <alignment horizontal="right"/>
    </xf>
    <xf numFmtId="2" fontId="274" fillId="38" borderId="204" xfId="1370" applyNumberFormat="1" applyFont="1" applyFill="1" applyBorder="1" applyAlignment="1" applyProtection="1">
      <alignment horizontal="left" indent="1"/>
      <protection locked="0"/>
    </xf>
    <xf numFmtId="9" fontId="274" fillId="0" borderId="204" xfId="1390" applyFont="1" applyFill="1" applyBorder="1" applyAlignment="1" applyProtection="1">
      <alignment horizontal="center" wrapText="1"/>
    </xf>
    <xf numFmtId="9" fontId="274" fillId="0" borderId="204" xfId="1390" applyFont="1" applyFill="1" applyBorder="1" applyAlignment="1" applyProtection="1">
      <alignment horizontal="center" vertical="top"/>
      <protection locked="0"/>
    </xf>
    <xf numFmtId="220" fontId="277" fillId="0" borderId="204" xfId="1155" applyFont="1" applyFill="1" applyBorder="1" applyAlignment="1" applyProtection="1">
      <alignment horizontal="center"/>
    </xf>
    <xf numFmtId="220" fontId="277" fillId="38" borderId="204" xfId="1155" applyFont="1" applyFill="1" applyBorder="1" applyAlignment="1" applyProtection="1">
      <alignment horizontal="center"/>
    </xf>
    <xf numFmtId="0" fontId="274" fillId="38" borderId="195" xfId="1057" applyFont="1" applyFill="1" applyBorder="1" applyAlignment="1">
      <alignment horizontal="right"/>
    </xf>
    <xf numFmtId="2" fontId="274" fillId="38" borderId="195" xfId="1370" applyNumberFormat="1" applyFont="1" applyFill="1" applyBorder="1" applyAlignment="1" applyProtection="1">
      <alignment horizontal="left" indent="1"/>
      <protection locked="0"/>
    </xf>
    <xf numFmtId="9" fontId="274" fillId="0" borderId="195" xfId="1390" applyFont="1" applyFill="1" applyBorder="1" applyAlignment="1" applyProtection="1">
      <alignment horizontal="center" wrapText="1"/>
      <protection locked="0"/>
    </xf>
    <xf numFmtId="9" fontId="274" fillId="0" borderId="195" xfId="4847" applyFont="1" applyFill="1" applyBorder="1" applyAlignment="1">
      <alignment horizontal="center" vertical="center" wrapText="1"/>
    </xf>
    <xf numFmtId="9" fontId="274" fillId="38" borderId="195" xfId="1390" applyFont="1" applyFill="1" applyBorder="1" applyAlignment="1" applyProtection="1">
      <alignment horizontal="center" wrapText="1"/>
      <protection locked="0"/>
    </xf>
    <xf numFmtId="9" fontId="274" fillId="0" borderId="195" xfId="1390" applyFont="1" applyFill="1" applyBorder="1" applyAlignment="1" applyProtection="1">
      <alignment horizontal="center" vertical="top"/>
      <protection locked="0"/>
    </xf>
    <xf numFmtId="0" fontId="274" fillId="38" borderId="196" xfId="1057" applyFont="1" applyFill="1" applyBorder="1" applyAlignment="1">
      <alignment horizontal="right"/>
    </xf>
    <xf numFmtId="2" fontId="274" fillId="38" borderId="196" xfId="1370" applyNumberFormat="1" applyFont="1" applyFill="1" applyBorder="1" applyAlignment="1" applyProtection="1">
      <alignment horizontal="left" indent="1"/>
      <protection locked="0"/>
    </xf>
    <xf numFmtId="2" fontId="274" fillId="38" borderId="135" xfId="1370" applyNumberFormat="1" applyFont="1" applyFill="1" applyBorder="1" applyAlignment="1" applyProtection="1">
      <alignment horizontal="left" indent="1"/>
      <protection locked="0"/>
    </xf>
    <xf numFmtId="9" fontId="274" fillId="0" borderId="135" xfId="1390" applyFont="1" applyFill="1" applyBorder="1" applyAlignment="1" applyProtection="1">
      <alignment horizontal="center" wrapText="1"/>
      <protection locked="0"/>
    </xf>
    <xf numFmtId="9" fontId="274" fillId="38" borderId="135" xfId="1390" applyFont="1" applyFill="1" applyBorder="1" applyAlignment="1" applyProtection="1">
      <alignment horizontal="center" wrapText="1"/>
      <protection locked="0"/>
    </xf>
    <xf numFmtId="0" fontId="277" fillId="38" borderId="135" xfId="1057" applyFont="1" applyFill="1" applyBorder="1" applyAlignment="1"/>
    <xf numFmtId="2" fontId="277" fillId="38" borderId="135" xfId="1370" applyNumberFormat="1" applyFont="1" applyFill="1" applyBorder="1" applyAlignment="1" applyProtection="1">
      <alignment horizontal="left"/>
      <protection locked="0"/>
    </xf>
    <xf numFmtId="9" fontId="277" fillId="0" borderId="135" xfId="1390" applyFont="1" applyFill="1" applyBorder="1" applyAlignment="1" applyProtection="1">
      <alignment horizontal="center" wrapText="1"/>
    </xf>
    <xf numFmtId="9" fontId="277" fillId="38" borderId="135" xfId="1390" applyFont="1" applyFill="1" applyBorder="1" applyAlignment="1" applyProtection="1">
      <alignment horizontal="center" wrapText="1"/>
    </xf>
    <xf numFmtId="220" fontId="277" fillId="38" borderId="135" xfId="1155" applyFont="1" applyFill="1" applyBorder="1" applyAlignment="1" applyProtection="1">
      <alignment horizontal="center"/>
    </xf>
    <xf numFmtId="0" fontId="277" fillId="38" borderId="204" xfId="1057" applyFont="1" applyFill="1" applyBorder="1" applyAlignment="1"/>
    <xf numFmtId="2" fontId="277" fillId="38" borderId="204" xfId="1370" applyNumberFormat="1" applyFont="1" applyFill="1" applyBorder="1" applyAlignment="1" applyProtection="1">
      <alignment horizontal="left"/>
      <protection locked="0"/>
    </xf>
    <xf numFmtId="9" fontId="277" fillId="0" borderId="204" xfId="1390" applyFont="1" applyFill="1" applyBorder="1" applyAlignment="1" applyProtection="1">
      <alignment horizontal="center" wrapText="1"/>
    </xf>
    <xf numFmtId="9" fontId="312" fillId="0" borderId="204" xfId="1390" applyFont="1" applyFill="1" applyBorder="1" applyAlignment="1" applyProtection="1">
      <alignment horizontal="center" wrapText="1"/>
    </xf>
    <xf numFmtId="9" fontId="315" fillId="0" borderId="204" xfId="1390" applyFont="1" applyFill="1" applyBorder="1" applyAlignment="1" applyProtection="1">
      <alignment horizontal="center" wrapText="1"/>
      <protection locked="0"/>
    </xf>
    <xf numFmtId="9" fontId="277" fillId="38" borderId="204" xfId="1390" applyFont="1" applyFill="1" applyBorder="1" applyAlignment="1" applyProtection="1">
      <alignment horizontal="center" wrapText="1"/>
    </xf>
    <xf numFmtId="0" fontId="277" fillId="38" borderId="195" xfId="1057" applyFont="1" applyFill="1" applyBorder="1" applyAlignment="1"/>
    <xf numFmtId="2" fontId="280" fillId="38" borderId="195" xfId="1370" applyNumberFormat="1" applyFont="1" applyFill="1" applyBorder="1" applyAlignment="1" applyProtection="1">
      <alignment horizontal="left" indent="2"/>
      <protection locked="0"/>
    </xf>
    <xf numFmtId="9" fontId="277" fillId="0" borderId="195" xfId="1390" applyFont="1" applyFill="1" applyBorder="1" applyAlignment="1" applyProtection="1">
      <alignment horizontal="center" wrapText="1"/>
    </xf>
    <xf numFmtId="9" fontId="274" fillId="0" borderId="195" xfId="1390" applyFont="1" applyFill="1" applyBorder="1" applyAlignment="1" applyProtection="1">
      <alignment horizontal="center" wrapText="1"/>
    </xf>
    <xf numFmtId="9" fontId="277" fillId="38" borderId="195" xfId="1390" applyFont="1" applyFill="1" applyBorder="1" applyAlignment="1" applyProtection="1">
      <alignment horizontal="center" wrapText="1"/>
    </xf>
    <xf numFmtId="220" fontId="277" fillId="38" borderId="195" xfId="1155" applyFont="1" applyFill="1" applyBorder="1" applyAlignment="1" applyProtection="1">
      <alignment horizontal="center"/>
    </xf>
    <xf numFmtId="0" fontId="274" fillId="38" borderId="195" xfId="1057" applyFont="1" applyFill="1" applyBorder="1" applyAlignment="1">
      <alignment horizontal="left"/>
    </xf>
    <xf numFmtId="9" fontId="274" fillId="38" borderId="195" xfId="1390" applyFont="1" applyFill="1" applyBorder="1" applyAlignment="1" applyProtection="1">
      <alignment horizontal="center" wrapText="1"/>
    </xf>
    <xf numFmtId="9" fontId="274" fillId="38" borderId="195" xfId="1404" applyFont="1" applyFill="1" applyBorder="1" applyAlignment="1" applyProtection="1">
      <alignment horizontal="center" vertical="center" wrapText="1"/>
    </xf>
    <xf numFmtId="9" fontId="274" fillId="0" borderId="195" xfId="1404" applyFont="1" applyFill="1" applyBorder="1" applyAlignment="1" applyProtection="1">
      <alignment horizontal="center" vertical="center" wrapText="1"/>
    </xf>
    <xf numFmtId="223" fontId="274" fillId="0" borderId="195" xfId="1390" applyNumberFormat="1" applyFont="1" applyFill="1" applyBorder="1" applyAlignment="1" applyProtection="1">
      <alignment horizontal="center" wrapText="1"/>
    </xf>
    <xf numFmtId="251" fontId="274" fillId="38" borderId="195" xfId="1057" quotePrefix="1" applyNumberFormat="1" applyFont="1" applyFill="1" applyBorder="1" applyAlignment="1">
      <alignment horizontal="left"/>
    </xf>
    <xf numFmtId="9" fontId="280" fillId="0" borderId="195" xfId="4847" applyFont="1" applyFill="1" applyBorder="1" applyAlignment="1">
      <alignment horizontal="center" vertical="center" wrapText="1"/>
    </xf>
    <xf numFmtId="2" fontId="274" fillId="38" borderId="196" xfId="1057" quotePrefix="1" applyNumberFormat="1" applyFont="1" applyFill="1" applyBorder="1" applyAlignment="1">
      <alignment horizontal="left"/>
    </xf>
    <xf numFmtId="9" fontId="274" fillId="0" borderId="196" xfId="1390" applyFont="1" applyFill="1" applyBorder="1" applyAlignment="1" applyProtection="1">
      <alignment horizontal="center" wrapText="1"/>
    </xf>
    <xf numFmtId="9" fontId="274" fillId="0" borderId="196" xfId="1404" applyFont="1" applyFill="1" applyBorder="1" applyAlignment="1" applyProtection="1">
      <alignment horizontal="center" vertical="center" wrapText="1"/>
    </xf>
    <xf numFmtId="223" fontId="274" fillId="0" borderId="196" xfId="1390" applyNumberFormat="1" applyFont="1" applyFill="1" applyBorder="1" applyAlignment="1" applyProtection="1">
      <alignment horizontal="center" wrapText="1"/>
    </xf>
    <xf numFmtId="9" fontId="280" fillId="0" borderId="196" xfId="4847" applyFont="1" applyFill="1" applyBorder="1" applyAlignment="1">
      <alignment horizontal="center" vertical="center" wrapText="1"/>
    </xf>
    <xf numFmtId="9" fontId="274" fillId="0" borderId="135" xfId="1390" applyFont="1" applyFill="1" applyBorder="1" applyAlignment="1" applyProtection="1">
      <alignment horizontal="center" wrapText="1"/>
    </xf>
    <xf numFmtId="9" fontId="274" fillId="0" borderId="135" xfId="1404" applyFont="1" applyFill="1" applyBorder="1" applyAlignment="1" applyProtection="1">
      <alignment horizontal="center" vertical="center" wrapText="1"/>
    </xf>
    <xf numFmtId="9" fontId="274" fillId="38" borderId="135" xfId="1404" applyFont="1" applyFill="1" applyBorder="1" applyAlignment="1" applyProtection="1">
      <alignment horizontal="center" vertical="center" wrapText="1"/>
    </xf>
    <xf numFmtId="9" fontId="312" fillId="0" borderId="135" xfId="1390" applyFont="1" applyFill="1" applyBorder="1" applyAlignment="1" applyProtection="1">
      <alignment horizontal="center" wrapText="1"/>
    </xf>
    <xf numFmtId="9" fontId="315" fillId="0" borderId="135" xfId="1390" applyFont="1" applyFill="1" applyBorder="1" applyAlignment="1" applyProtection="1">
      <alignment horizontal="center" wrapText="1"/>
    </xf>
    <xf numFmtId="0" fontId="277" fillId="38" borderId="135" xfId="1057" applyFont="1" applyFill="1" applyBorder="1" applyAlignment="1" applyProtection="1">
      <alignment horizontal="center"/>
      <protection locked="0"/>
    </xf>
    <xf numFmtId="9" fontId="280" fillId="38" borderId="135" xfId="1390" applyFont="1" applyFill="1" applyBorder="1" applyAlignment="1" applyProtection="1">
      <alignment horizontal="center" wrapText="1"/>
    </xf>
    <xf numFmtId="0" fontId="274" fillId="38" borderId="204" xfId="1057" applyFont="1" applyFill="1" applyBorder="1" applyAlignment="1" applyProtection="1">
      <alignment horizontal="left" indent="1"/>
      <protection locked="0"/>
    </xf>
    <xf numFmtId="9" fontId="315" fillId="0" borderId="204" xfId="1390" applyFont="1" applyFill="1" applyBorder="1" applyAlignment="1" applyProtection="1">
      <alignment horizontal="center" wrapText="1"/>
    </xf>
    <xf numFmtId="9" fontId="274" fillId="38" borderId="204" xfId="1390" applyFont="1" applyFill="1" applyBorder="1" applyAlignment="1" applyProtection="1">
      <alignment horizontal="center" wrapText="1"/>
    </xf>
    <xf numFmtId="0" fontId="274" fillId="38" borderId="195" xfId="1057" applyFont="1" applyFill="1" applyBorder="1" applyAlignment="1" applyProtection="1">
      <alignment horizontal="left" indent="1"/>
      <protection locked="0"/>
    </xf>
    <xf numFmtId="9" fontId="315" fillId="38" borderId="195" xfId="1390" applyFont="1" applyFill="1" applyBorder="1" applyAlignment="1" applyProtection="1">
      <alignment horizontal="center" wrapText="1"/>
    </xf>
    <xf numFmtId="9" fontId="274" fillId="38" borderId="196" xfId="1390" applyFont="1" applyFill="1" applyBorder="1" applyAlignment="1" applyProtection="1">
      <alignment horizontal="center" wrapText="1"/>
    </xf>
    <xf numFmtId="223" fontId="274" fillId="38" borderId="196" xfId="1390" applyNumberFormat="1" applyFont="1" applyFill="1" applyBorder="1" applyAlignment="1" applyProtection="1">
      <alignment horizontal="center" wrapText="1"/>
    </xf>
    <xf numFmtId="9" fontId="274" fillId="38" borderId="196" xfId="1390" applyFont="1" applyFill="1" applyBorder="1" applyAlignment="1" applyProtection="1">
      <alignment horizontal="center" vertical="top"/>
    </xf>
    <xf numFmtId="0" fontId="296" fillId="0" borderId="0" xfId="1057" applyFont="1" applyAlignment="1"/>
    <xf numFmtId="220" fontId="294" fillId="0" borderId="0" xfId="1155" applyFont="1" applyFill="1" applyBorder="1" applyAlignment="1" applyProtection="1">
      <alignment horizontal="center" vertical="center"/>
    </xf>
    <xf numFmtId="220" fontId="296" fillId="0" borderId="0" xfId="1155" applyFont="1" applyFill="1" applyBorder="1" applyAlignment="1" applyProtection="1">
      <alignment horizontal="center" vertical="center"/>
    </xf>
    <xf numFmtId="169" fontId="296" fillId="0" borderId="0" xfId="1155" applyNumberFormat="1" applyFont="1" applyFill="1" applyBorder="1" applyAlignment="1" applyProtection="1">
      <alignment horizontal="center" vertical="center"/>
    </xf>
    <xf numFmtId="220" fontId="294" fillId="0" borderId="0" xfId="1155" applyFont="1" applyFill="1" applyBorder="1" applyAlignment="1" applyProtection="1">
      <alignment vertical="center"/>
    </xf>
    <xf numFmtId="220" fontId="294" fillId="0" borderId="0" xfId="1155" applyFont="1" applyFill="1" applyBorder="1" applyAlignment="1" applyProtection="1">
      <alignment horizontal="left" vertical="center"/>
    </xf>
    <xf numFmtId="169" fontId="317" fillId="0" borderId="0" xfId="1155" applyNumberFormat="1" applyFont="1" applyFill="1" applyBorder="1">
      <alignment vertical="top"/>
    </xf>
    <xf numFmtId="0" fontId="316" fillId="0" borderId="0" xfId="1057" applyFont="1" applyAlignment="1"/>
    <xf numFmtId="0" fontId="294" fillId="0" borderId="0" xfId="1370" applyFont="1" applyProtection="1">
      <protection locked="0"/>
    </xf>
    <xf numFmtId="169" fontId="316" fillId="0" borderId="0" xfId="1155" applyNumberFormat="1" applyFont="1" applyFill="1" applyBorder="1" applyAlignment="1" applyProtection="1">
      <alignment horizontal="right"/>
      <protection locked="0"/>
    </xf>
    <xf numFmtId="0" fontId="317" fillId="0" borderId="0" xfId="1370" applyFont="1" applyProtection="1">
      <protection locked="0"/>
    </xf>
    <xf numFmtId="169" fontId="316" fillId="0" borderId="0" xfId="1155" applyNumberFormat="1" applyFont="1" applyFill="1" applyBorder="1" applyAlignment="1" applyProtection="1"/>
    <xf numFmtId="9" fontId="316" fillId="0" borderId="0" xfId="1390" applyFont="1" applyFill="1" applyBorder="1" applyProtection="1">
      <alignment vertical="top"/>
    </xf>
    <xf numFmtId="0" fontId="316" fillId="0" borderId="0" xfId="1370" applyFont="1" applyProtection="1">
      <protection locked="0"/>
    </xf>
    <xf numFmtId="0" fontId="316" fillId="0" borderId="0" xfId="1370" applyFont="1" applyAlignment="1" applyProtection="1">
      <alignment horizontal="center"/>
      <protection locked="0"/>
    </xf>
    <xf numFmtId="0" fontId="296" fillId="0" borderId="0" xfId="1057" applyFont="1" applyAlignment="1" applyProtection="1">
      <protection locked="0"/>
    </xf>
    <xf numFmtId="0" fontId="296" fillId="0" borderId="0" xfId="1370" applyFont="1" applyProtection="1">
      <protection locked="0"/>
    </xf>
    <xf numFmtId="169" fontId="314" fillId="0" borderId="0" xfId="1155" applyNumberFormat="1" applyFont="1" applyFill="1" applyBorder="1" applyAlignment="1" applyProtection="1">
      <alignment horizontal="right"/>
      <protection locked="0"/>
    </xf>
    <xf numFmtId="169" fontId="317" fillId="0" borderId="0" xfId="1155" applyNumberFormat="1" applyFont="1" applyFill="1" applyBorder="1" applyAlignment="1" applyProtection="1">
      <protection locked="0"/>
    </xf>
    <xf numFmtId="169" fontId="314" fillId="0" borderId="0" xfId="1155" applyNumberFormat="1" applyFont="1" applyFill="1" applyBorder="1" applyAlignment="1" applyProtection="1"/>
    <xf numFmtId="169" fontId="296" fillId="0" borderId="0" xfId="1155" applyNumberFormat="1" applyFont="1" applyFill="1" applyBorder="1" applyProtection="1">
      <alignment vertical="top"/>
    </xf>
    <xf numFmtId="0" fontId="296" fillId="0" borderId="0" xfId="1370" applyFont="1" applyAlignment="1" applyProtection="1">
      <alignment horizontal="center"/>
      <protection locked="0"/>
    </xf>
    <xf numFmtId="169" fontId="294" fillId="0" borderId="0" xfId="1155" applyNumberFormat="1" applyFont="1" applyFill="1" applyBorder="1" applyAlignment="1" applyProtection="1">
      <alignment horizontal="center" vertical="center" wrapText="1"/>
    </xf>
    <xf numFmtId="0" fontId="294" fillId="0" borderId="0" xfId="1370" applyFont="1" applyAlignment="1" applyProtection="1">
      <alignment horizontal="center"/>
      <protection locked="0"/>
    </xf>
    <xf numFmtId="9" fontId="294" fillId="0" borderId="0" xfId="1390" applyFont="1" applyFill="1" applyBorder="1" applyAlignment="1" applyProtection="1">
      <alignment horizontal="center" vertical="center"/>
    </xf>
    <xf numFmtId="0" fontId="294" fillId="0" borderId="0" xfId="1057" applyFont="1" applyAlignment="1"/>
    <xf numFmtId="0" fontId="294" fillId="57" borderId="67" xfId="1370" applyFont="1" applyFill="1" applyBorder="1" applyAlignment="1" applyProtection="1">
      <alignment horizontal="left"/>
      <protection locked="0"/>
    </xf>
    <xf numFmtId="0" fontId="294" fillId="57" borderId="135" xfId="1370" applyFont="1" applyFill="1" applyBorder="1" applyAlignment="1" applyProtection="1">
      <alignment horizontal="left" vertical="center"/>
      <protection locked="0"/>
    </xf>
    <xf numFmtId="169" fontId="294" fillId="57" borderId="135" xfId="1155" applyNumberFormat="1" applyFont="1" applyFill="1" applyBorder="1" applyAlignment="1" applyProtection="1">
      <alignment horizontal="center" vertical="center"/>
      <protection locked="0"/>
    </xf>
    <xf numFmtId="169" fontId="294" fillId="57" borderId="135" xfId="1370" applyNumberFormat="1" applyFont="1" applyFill="1" applyBorder="1" applyAlignment="1" applyProtection="1">
      <alignment horizontal="center" vertical="center"/>
      <protection locked="0"/>
    </xf>
    <xf numFmtId="169" fontId="294" fillId="57" borderId="135" xfId="1155" applyNumberFormat="1" applyFont="1" applyFill="1" applyBorder="1" applyAlignment="1" applyProtection="1">
      <alignment vertical="center"/>
    </xf>
    <xf numFmtId="9" fontId="294" fillId="0" borderId="0" xfId="1390" applyFont="1" applyFill="1" applyBorder="1" applyAlignment="1" applyProtection="1"/>
    <xf numFmtId="169" fontId="294" fillId="57" borderId="181" xfId="1155" applyNumberFormat="1" applyFont="1" applyFill="1" applyBorder="1" applyAlignment="1" applyProtection="1">
      <alignment vertical="center"/>
    </xf>
    <xf numFmtId="169" fontId="294" fillId="57" borderId="178" xfId="1155" applyNumberFormat="1" applyFont="1" applyFill="1" applyBorder="1" applyAlignment="1" applyProtection="1">
      <alignment vertical="center"/>
    </xf>
    <xf numFmtId="169" fontId="294" fillId="0" borderId="0" xfId="1057" applyNumberFormat="1" applyFont="1" applyAlignment="1"/>
    <xf numFmtId="9" fontId="296" fillId="38" borderId="178" xfId="1390" applyFont="1" applyFill="1" applyBorder="1" applyAlignment="1" applyProtection="1"/>
    <xf numFmtId="9" fontId="296" fillId="38" borderId="182" xfId="1390" applyFont="1" applyFill="1" applyBorder="1" applyAlignment="1" applyProtection="1"/>
    <xf numFmtId="9" fontId="294" fillId="38" borderId="0" xfId="1390" applyFont="1" applyFill="1" applyBorder="1" applyAlignment="1" applyProtection="1"/>
    <xf numFmtId="169" fontId="294" fillId="118" borderId="176" xfId="1155" applyNumberFormat="1" applyFont="1" applyFill="1" applyBorder="1" applyAlignment="1" applyProtection="1">
      <protection locked="0"/>
    </xf>
    <xf numFmtId="0" fontId="296" fillId="38" borderId="179" xfId="1370" applyFont="1" applyFill="1" applyBorder="1" applyAlignment="1" applyProtection="1">
      <alignment horizontal="center" vertical="center"/>
      <protection locked="0"/>
    </xf>
    <xf numFmtId="169" fontId="296" fillId="38" borderId="176" xfId="1155" applyNumberFormat="1" applyFont="1" applyFill="1" applyBorder="1" applyAlignment="1" applyProtection="1">
      <alignment horizontal="center" vertical="center"/>
      <protection locked="0"/>
    </xf>
    <xf numFmtId="169" fontId="317" fillId="38" borderId="176" xfId="1370" applyNumberFormat="1" applyFont="1" applyFill="1" applyBorder="1" applyAlignment="1" applyProtection="1">
      <alignment horizontal="right" vertical="center"/>
      <protection locked="0"/>
    </xf>
    <xf numFmtId="265" fontId="296" fillId="38" borderId="176" xfId="1155" applyNumberFormat="1" applyFont="1" applyFill="1" applyBorder="1" applyAlignment="1" applyProtection="1">
      <alignment vertical="center"/>
    </xf>
    <xf numFmtId="169" fontId="296" fillId="38" borderId="176" xfId="1155" applyNumberFormat="1" applyFont="1" applyFill="1" applyBorder="1" applyAlignment="1" applyProtection="1">
      <alignment vertical="center"/>
    </xf>
    <xf numFmtId="9" fontId="296" fillId="38" borderId="176" xfId="1390" applyFont="1" applyFill="1" applyBorder="1" applyAlignment="1" applyProtection="1"/>
    <xf numFmtId="9" fontId="296" fillId="38" borderId="180" xfId="1390" applyFont="1" applyFill="1" applyBorder="1" applyAlignment="1" applyProtection="1"/>
    <xf numFmtId="169" fontId="296" fillId="38" borderId="179" xfId="1155" applyNumberFormat="1" applyFont="1" applyFill="1" applyBorder="1" applyAlignment="1" applyProtection="1">
      <protection locked="0"/>
    </xf>
    <xf numFmtId="169" fontId="296" fillId="38" borderId="176" xfId="1155" applyNumberFormat="1" applyFont="1" applyFill="1" applyBorder="1" applyAlignment="1" applyProtection="1">
      <protection locked="0"/>
    </xf>
    <xf numFmtId="10" fontId="296" fillId="38" borderId="0" xfId="1390" applyNumberFormat="1" applyFont="1" applyFill="1" applyBorder="1" applyAlignment="1" applyProtection="1"/>
    <xf numFmtId="169" fontId="296" fillId="38" borderId="176" xfId="1370" applyNumberFormat="1" applyFont="1" applyFill="1" applyBorder="1" applyAlignment="1" applyProtection="1">
      <alignment horizontal="right" vertical="center"/>
      <protection locked="0"/>
    </xf>
    <xf numFmtId="169" fontId="317" fillId="0" borderId="0" xfId="1057" applyNumberFormat="1" applyFont="1" applyAlignment="1"/>
    <xf numFmtId="169" fontId="294" fillId="57" borderId="176" xfId="1155" applyNumberFormat="1" applyFont="1" applyFill="1" applyBorder="1" applyAlignment="1" applyProtection="1">
      <alignment vertical="center"/>
    </xf>
    <xf numFmtId="223" fontId="294" fillId="0" borderId="0" xfId="1390" applyNumberFormat="1" applyFont="1" applyFill="1" applyBorder="1">
      <alignment vertical="top"/>
    </xf>
    <xf numFmtId="9" fontId="296" fillId="38" borderId="0" xfId="1390" applyFont="1" applyFill="1" applyBorder="1" applyAlignment="1" applyProtection="1"/>
    <xf numFmtId="169" fontId="294" fillId="118" borderId="176" xfId="1155" applyNumberFormat="1" applyFont="1" applyFill="1" applyBorder="1" applyAlignment="1" applyProtection="1">
      <alignment vertical="center"/>
    </xf>
    <xf numFmtId="223" fontId="296" fillId="0" borderId="0" xfId="1390" applyNumberFormat="1" applyFont="1" applyFill="1" applyBorder="1">
      <alignment vertical="top"/>
    </xf>
    <xf numFmtId="169" fontId="294" fillId="72" borderId="176" xfId="1370" applyNumberFormat="1" applyFont="1" applyFill="1" applyBorder="1" applyAlignment="1" applyProtection="1">
      <alignment horizontal="center" vertical="center"/>
      <protection locked="0"/>
    </xf>
    <xf numFmtId="0" fontId="297" fillId="38" borderId="0" xfId="1057" applyFont="1" applyFill="1" applyAlignment="1"/>
    <xf numFmtId="2" fontId="296" fillId="38" borderId="179" xfId="1370" applyNumberFormat="1" applyFont="1" applyFill="1" applyBorder="1" applyAlignment="1" applyProtection="1">
      <alignment horizontal="center" vertical="center"/>
      <protection locked="0"/>
    </xf>
    <xf numFmtId="0" fontId="294" fillId="38" borderId="179" xfId="1370" applyFont="1" applyFill="1" applyBorder="1" applyAlignment="1" applyProtection="1">
      <alignment horizontal="center"/>
      <protection locked="0"/>
    </xf>
    <xf numFmtId="169" fontId="294" fillId="38" borderId="176" xfId="1155" applyNumberFormat="1" applyFont="1" applyFill="1" applyBorder="1" applyAlignment="1" applyProtection="1">
      <alignment horizontal="center"/>
      <protection locked="0"/>
    </xf>
    <xf numFmtId="9" fontId="294" fillId="38" borderId="176" xfId="1390" applyFont="1" applyFill="1" applyBorder="1" applyAlignment="1" applyProtection="1"/>
    <xf numFmtId="0" fontId="294" fillId="38" borderId="201" xfId="1370" applyFont="1" applyFill="1" applyBorder="1" applyAlignment="1" applyProtection="1">
      <alignment horizontal="center"/>
      <protection locked="0"/>
    </xf>
    <xf numFmtId="169" fontId="294" fillId="38" borderId="200" xfId="1155" applyNumberFormat="1" applyFont="1" applyFill="1" applyBorder="1" applyAlignment="1" applyProtection="1">
      <alignment horizontal="center"/>
      <protection locked="0"/>
    </xf>
    <xf numFmtId="9" fontId="294" fillId="38" borderId="200" xfId="1390" applyFont="1" applyFill="1" applyBorder="1" applyAlignment="1" applyProtection="1"/>
    <xf numFmtId="169" fontId="296" fillId="38" borderId="200" xfId="1155" applyNumberFormat="1" applyFont="1" applyFill="1" applyBorder="1" applyAlignment="1" applyProtection="1">
      <protection locked="0"/>
    </xf>
    <xf numFmtId="169" fontId="316" fillId="59" borderId="135" xfId="1155" applyNumberFormat="1" applyFont="1" applyFill="1" applyBorder="1" applyAlignment="1" applyProtection="1">
      <alignment vertical="center"/>
    </xf>
    <xf numFmtId="169" fontId="316" fillId="59" borderId="68" xfId="1155" applyNumberFormat="1" applyFont="1" applyFill="1" applyBorder="1" applyAlignment="1" applyProtection="1">
      <alignment vertical="center"/>
    </xf>
    <xf numFmtId="169" fontId="316" fillId="0" borderId="0" xfId="1155" applyNumberFormat="1" applyFont="1" applyFill="1" applyBorder="1" applyAlignment="1" applyProtection="1">
      <alignment vertical="center"/>
    </xf>
    <xf numFmtId="169" fontId="304" fillId="59" borderId="176" xfId="1370" applyNumberFormat="1" applyFont="1" applyFill="1" applyBorder="1" applyAlignment="1" applyProtection="1">
      <alignment vertical="center"/>
      <protection locked="0"/>
    </xf>
    <xf numFmtId="169" fontId="296" fillId="0" borderId="0" xfId="1155" applyNumberFormat="1" applyFont="1" applyFill="1" applyBorder="1" applyAlignment="1" applyProtection="1"/>
    <xf numFmtId="0" fontId="294" fillId="57" borderId="158" xfId="1370" applyFont="1" applyFill="1" applyBorder="1" applyAlignment="1" applyProtection="1">
      <alignment horizontal="left"/>
      <protection locked="0"/>
    </xf>
    <xf numFmtId="0" fontId="294" fillId="57" borderId="89" xfId="1370" applyFont="1" applyFill="1" applyBorder="1" applyAlignment="1" applyProtection="1">
      <alignment horizontal="left" vertical="center"/>
      <protection locked="0"/>
    </xf>
    <xf numFmtId="169" fontId="294" fillId="57" borderId="89" xfId="1155" applyNumberFormat="1" applyFont="1" applyFill="1" applyBorder="1" applyAlignment="1" applyProtection="1">
      <alignment horizontal="center" vertical="center"/>
      <protection locked="0"/>
    </xf>
    <xf numFmtId="169" fontId="294" fillId="57" borderId="89" xfId="1370" applyNumberFormat="1" applyFont="1" applyFill="1" applyBorder="1" applyAlignment="1" applyProtection="1">
      <alignment horizontal="center" vertical="center"/>
      <protection locked="0"/>
    </xf>
    <xf numFmtId="169" fontId="294" fillId="57" borderId="89" xfId="1155" applyNumberFormat="1" applyFont="1" applyFill="1" applyBorder="1" applyAlignment="1" applyProtection="1">
      <alignment vertical="center"/>
    </xf>
    <xf numFmtId="9" fontId="294" fillId="40" borderId="89" xfId="1390" applyFont="1" applyFill="1" applyBorder="1" applyAlignment="1" applyProtection="1"/>
    <xf numFmtId="9" fontId="294" fillId="40" borderId="191" xfId="1390" applyFont="1" applyFill="1" applyBorder="1" applyAlignment="1" applyProtection="1"/>
    <xf numFmtId="169" fontId="294" fillId="57" borderId="91" xfId="1155" applyNumberFormat="1" applyFont="1" applyFill="1" applyBorder="1" applyAlignment="1" applyProtection="1">
      <alignment vertical="center"/>
    </xf>
    <xf numFmtId="169" fontId="294" fillId="57" borderId="139" xfId="1155" applyNumberFormat="1" applyFont="1" applyFill="1" applyBorder="1" applyAlignment="1" applyProtection="1">
      <alignment vertical="center"/>
    </xf>
    <xf numFmtId="169" fontId="304" fillId="59" borderId="62" xfId="1370" applyNumberFormat="1" applyFont="1" applyFill="1" applyBorder="1" applyAlignment="1" applyProtection="1">
      <alignment vertical="center"/>
      <protection locked="0"/>
    </xf>
    <xf numFmtId="169" fontId="316" fillId="59" borderId="62" xfId="1155" applyNumberFormat="1" applyFont="1" applyFill="1" applyBorder="1" applyAlignment="1" applyProtection="1">
      <alignment vertical="center"/>
    </xf>
    <xf numFmtId="169" fontId="316" fillId="59" borderId="63" xfId="1155" applyNumberFormat="1" applyFont="1" applyFill="1" applyBorder="1" applyAlignment="1" applyProtection="1">
      <alignment vertical="center"/>
    </xf>
    <xf numFmtId="169" fontId="304" fillId="59" borderId="63" xfId="1370" applyNumberFormat="1" applyFont="1" applyFill="1" applyBorder="1" applyAlignment="1" applyProtection="1">
      <alignment vertical="center"/>
      <protection locked="0"/>
    </xf>
    <xf numFmtId="169" fontId="296" fillId="0" borderId="0" xfId="1155" applyNumberFormat="1" applyFont="1" applyFill="1" applyBorder="1" applyProtection="1">
      <alignment vertical="top"/>
      <protection locked="0"/>
    </xf>
    <xf numFmtId="2" fontId="318" fillId="0" borderId="0" xfId="1370" applyNumberFormat="1" applyFont="1" applyProtection="1">
      <protection locked="0"/>
    </xf>
    <xf numFmtId="169" fontId="318" fillId="0" borderId="0" xfId="1155" applyNumberFormat="1" applyFont="1" applyFill="1" applyBorder="1" applyAlignment="1" applyProtection="1"/>
    <xf numFmtId="223" fontId="294" fillId="38" borderId="0" xfId="1390" applyNumberFormat="1" applyFont="1" applyFill="1" applyBorder="1" applyProtection="1">
      <alignment vertical="top"/>
      <protection locked="0"/>
    </xf>
    <xf numFmtId="169" fontId="317" fillId="38" borderId="0" xfId="1155" applyNumberFormat="1" applyFont="1" applyFill="1" applyBorder="1" applyAlignment="1" applyProtection="1"/>
    <xf numFmtId="169" fontId="296" fillId="38" borderId="0" xfId="1155" applyNumberFormat="1" applyFont="1" applyFill="1" applyBorder="1" applyAlignment="1" applyProtection="1"/>
    <xf numFmtId="169" fontId="296" fillId="38" borderId="0" xfId="1155" applyNumberFormat="1" applyFont="1" applyFill="1" applyBorder="1" applyAlignment="1" applyProtection="1">
      <alignment horizontal="right"/>
      <protection locked="0"/>
    </xf>
    <xf numFmtId="169" fontId="296" fillId="0" borderId="0" xfId="1155" applyNumberFormat="1" applyFont="1" applyFill="1" applyBorder="1" applyAlignment="1" applyProtection="1">
      <alignment horizontal="right"/>
      <protection locked="0"/>
    </xf>
    <xf numFmtId="220" fontId="296" fillId="0" borderId="0" xfId="1155" applyFont="1" applyFill="1" applyBorder="1" applyProtection="1">
      <alignment vertical="top"/>
    </xf>
    <xf numFmtId="0" fontId="304" fillId="94" borderId="56" xfId="4845" quotePrefix="1" applyNumberFormat="1" applyFont="1" applyFill="1" applyBorder="1" applyAlignment="1">
      <alignment horizontal="center" vertical="center"/>
    </xf>
    <xf numFmtId="9" fontId="304" fillId="94" borderId="116" xfId="4845" applyNumberFormat="1" applyFont="1" applyFill="1" applyBorder="1" applyAlignment="1">
      <alignment horizontal="center" vertical="center"/>
    </xf>
    <xf numFmtId="0" fontId="294" fillId="93" borderId="116" xfId="1848" applyFont="1" applyFill="1" applyBorder="1" applyAlignment="1" applyProtection="1">
      <alignment horizontal="center" vertical="center"/>
      <protection locked="0"/>
    </xf>
    <xf numFmtId="0" fontId="294" fillId="93" borderId="116" xfId="1848" applyFont="1" applyFill="1" applyBorder="1" applyAlignment="1" applyProtection="1">
      <alignment horizontal="left" vertical="center"/>
      <protection locked="0"/>
    </xf>
    <xf numFmtId="169" fontId="294" fillId="93" borderId="116" xfId="1155" applyNumberFormat="1" applyFont="1" applyFill="1" applyBorder="1" applyAlignment="1" applyProtection="1">
      <alignment horizontal="right"/>
      <protection locked="0"/>
    </xf>
    <xf numFmtId="265" fontId="294" fillId="93" borderId="116" xfId="1848" applyNumberFormat="1" applyFont="1" applyFill="1" applyBorder="1" applyProtection="1">
      <protection locked="0"/>
    </xf>
    <xf numFmtId="0" fontId="296" fillId="93" borderId="116" xfId="1848" applyFont="1" applyFill="1" applyBorder="1" applyAlignment="1" applyProtection="1">
      <alignment horizontal="center"/>
      <protection locked="0"/>
    </xf>
    <xf numFmtId="0" fontId="296" fillId="93" borderId="116" xfId="1848" applyFont="1" applyFill="1" applyBorder="1" applyAlignment="1" applyProtection="1">
      <alignment horizontal="left" vertical="center"/>
      <protection locked="0"/>
    </xf>
    <xf numFmtId="265" fontId="296" fillId="93" borderId="116" xfId="1848" applyNumberFormat="1" applyFont="1" applyFill="1" applyBorder="1" applyProtection="1">
      <protection locked="0"/>
    </xf>
    <xf numFmtId="0" fontId="296" fillId="115" borderId="116" xfId="1848" applyFont="1" applyFill="1" applyBorder="1" applyAlignment="1" applyProtection="1">
      <alignment horizontal="center"/>
      <protection locked="0"/>
    </xf>
    <xf numFmtId="2" fontId="297" fillId="115" borderId="116" xfId="1848" applyNumberFormat="1" applyFont="1" applyFill="1" applyBorder="1" applyAlignment="1" applyProtection="1">
      <alignment horizontal="left" vertical="center" indent="2"/>
      <protection locked="0"/>
    </xf>
    <xf numFmtId="169" fontId="296" fillId="0" borderId="116" xfId="1155" applyNumberFormat="1" applyFont="1" applyFill="1" applyBorder="1" applyAlignment="1" applyProtection="1">
      <alignment horizontal="right"/>
      <protection locked="0"/>
    </xf>
    <xf numFmtId="265" fontId="296" fillId="0" borderId="116" xfId="1848" applyNumberFormat="1" applyFont="1" applyBorder="1" applyProtection="1">
      <protection locked="0"/>
    </xf>
    <xf numFmtId="169" fontId="296" fillId="93" borderId="116" xfId="1155" applyNumberFormat="1" applyFont="1" applyFill="1" applyBorder="1" applyAlignment="1" applyProtection="1">
      <alignment horizontal="right"/>
      <protection locked="0"/>
    </xf>
    <xf numFmtId="169" fontId="296" fillId="93" borderId="116" xfId="1155" applyNumberFormat="1" applyFont="1" applyFill="1" applyBorder="1" applyProtection="1">
      <alignment vertical="top"/>
      <protection locked="0"/>
    </xf>
    <xf numFmtId="0" fontId="294" fillId="93" borderId="116" xfId="1848" applyFont="1" applyFill="1" applyBorder="1" applyAlignment="1" applyProtection="1">
      <alignment horizontal="center"/>
      <protection locked="0"/>
    </xf>
    <xf numFmtId="169" fontId="294" fillId="93" borderId="116" xfId="1155" applyNumberFormat="1" applyFont="1" applyFill="1" applyBorder="1" applyProtection="1">
      <alignment vertical="top"/>
      <protection locked="0"/>
    </xf>
    <xf numFmtId="0" fontId="294" fillId="116" borderId="116" xfId="1848" applyFont="1" applyFill="1" applyBorder="1" applyAlignment="1" applyProtection="1">
      <alignment horizontal="center"/>
      <protection locked="0"/>
    </xf>
    <xf numFmtId="0" fontId="296" fillId="116" borderId="116" xfId="1848" applyFont="1" applyFill="1" applyBorder="1" applyAlignment="1" applyProtection="1">
      <alignment horizontal="left" vertical="center"/>
      <protection locked="0"/>
    </xf>
    <xf numFmtId="169" fontId="296" fillId="0" borderId="116" xfId="1155" applyNumberFormat="1" applyFont="1" applyFill="1" applyBorder="1" applyProtection="1">
      <alignment vertical="top"/>
      <protection locked="0"/>
    </xf>
    <xf numFmtId="0" fontId="319" fillId="93" borderId="116" xfId="1848" applyFont="1" applyFill="1" applyBorder="1" applyAlignment="1" applyProtection="1">
      <alignment horizontal="center"/>
      <protection locked="0"/>
    </xf>
    <xf numFmtId="0" fontId="319" fillId="93" borderId="116" xfId="1848" applyFont="1" applyFill="1" applyBorder="1" applyAlignment="1" applyProtection="1">
      <alignment horizontal="left" vertical="center"/>
      <protection locked="0"/>
    </xf>
    <xf numFmtId="169" fontId="294" fillId="93" borderId="116" xfId="1848" applyNumberFormat="1" applyFont="1" applyFill="1" applyBorder="1" applyProtection="1">
      <protection locked="0"/>
    </xf>
    <xf numFmtId="0" fontId="320" fillId="0" borderId="116" xfId="1848" applyFont="1" applyBorder="1" applyAlignment="1" applyProtection="1">
      <alignment horizontal="center"/>
      <protection locked="0"/>
    </xf>
    <xf numFmtId="0" fontId="297" fillId="0" borderId="116" xfId="1848" applyFont="1" applyBorder="1" applyAlignment="1" applyProtection="1">
      <alignment horizontal="left" vertical="center" indent="2"/>
      <protection locked="0"/>
    </xf>
    <xf numFmtId="223" fontId="296" fillId="0" borderId="176" xfId="1390" applyNumberFormat="1" applyFont="1" applyFill="1" applyBorder="1">
      <alignment vertical="top"/>
    </xf>
    <xf numFmtId="9" fontId="294" fillId="57" borderId="135" xfId="1390" applyFont="1" applyFill="1" applyBorder="1" applyAlignment="1" applyProtection="1"/>
    <xf numFmtId="9" fontId="294" fillId="57" borderId="68" xfId="1390" applyFont="1" applyFill="1" applyBorder="1" applyAlignment="1" applyProtection="1"/>
    <xf numFmtId="169" fontId="304" fillId="124" borderId="72" xfId="1155" applyNumberFormat="1" applyFont="1" applyFill="1" applyBorder="1" applyAlignment="1" applyProtection="1">
      <alignment horizontal="center" vertical="center" wrapText="1"/>
    </xf>
    <xf numFmtId="169" fontId="304" fillId="124" borderId="73" xfId="1155" applyNumberFormat="1" applyFont="1" applyFill="1" applyBorder="1" applyAlignment="1" applyProtection="1">
      <alignment horizontal="center" vertical="center" wrapText="1"/>
    </xf>
    <xf numFmtId="0" fontId="304" fillId="124" borderId="187" xfId="1370" applyFont="1" applyFill="1" applyBorder="1" applyProtection="1">
      <protection locked="0"/>
    </xf>
    <xf numFmtId="0" fontId="304" fillId="124" borderId="188" xfId="1370" applyFont="1" applyFill="1" applyBorder="1" applyProtection="1">
      <protection locked="0"/>
    </xf>
    <xf numFmtId="0" fontId="304" fillId="124" borderId="189" xfId="1370" applyFont="1" applyFill="1" applyBorder="1" applyAlignment="1" applyProtection="1">
      <alignment horizontal="center" vertical="center"/>
      <protection locked="0"/>
    </xf>
    <xf numFmtId="0" fontId="304" fillId="124" borderId="190" xfId="1370" applyFont="1" applyFill="1" applyBorder="1" applyAlignment="1" applyProtection="1">
      <alignment horizontal="center" vertical="center"/>
      <protection locked="0"/>
    </xf>
    <xf numFmtId="0" fontId="304" fillId="0" borderId="0" xfId="1057" applyFont="1" applyAlignment="1"/>
    <xf numFmtId="169" fontId="296" fillId="38" borderId="212" xfId="1155" applyNumberFormat="1" applyFont="1" applyFill="1" applyBorder="1" applyAlignment="1" applyProtection="1">
      <protection locked="0"/>
    </xf>
    <xf numFmtId="169" fontId="296" fillId="38" borderId="209" xfId="1155" applyNumberFormat="1" applyFont="1" applyFill="1" applyBorder="1" applyAlignment="1" applyProtection="1">
      <protection locked="0"/>
    </xf>
    <xf numFmtId="169" fontId="294" fillId="72" borderId="181" xfId="1370" applyNumberFormat="1" applyFont="1" applyFill="1" applyBorder="1" applyAlignment="1" applyProtection="1">
      <alignment horizontal="center" vertical="center"/>
      <protection locked="0"/>
    </xf>
    <xf numFmtId="169" fontId="294" fillId="72" borderId="178" xfId="1370" applyNumberFormat="1" applyFont="1" applyFill="1" applyBorder="1" applyAlignment="1" applyProtection="1">
      <alignment horizontal="center" vertical="center"/>
      <protection locked="0"/>
    </xf>
    <xf numFmtId="169" fontId="294" fillId="57" borderId="177" xfId="1155" applyNumberFormat="1" applyFont="1" applyFill="1" applyBorder="1" applyAlignment="1" applyProtection="1">
      <alignment vertical="center"/>
    </xf>
    <xf numFmtId="0" fontId="297" fillId="0" borderId="176" xfId="19164" applyFont="1" applyBorder="1" applyAlignment="1">
      <alignment horizontal="left" vertical="center" indent="2"/>
    </xf>
    <xf numFmtId="169" fontId="294" fillId="0" borderId="179" xfId="1370" applyNumberFormat="1" applyFont="1" applyBorder="1" applyAlignment="1" applyProtection="1">
      <alignment horizontal="center" vertical="center"/>
      <protection locked="0"/>
    </xf>
    <xf numFmtId="169" fontId="294" fillId="0" borderId="176" xfId="1370" applyNumberFormat="1" applyFont="1" applyBorder="1" applyAlignment="1" applyProtection="1">
      <alignment horizontal="center" vertical="center"/>
      <protection locked="0"/>
    </xf>
    <xf numFmtId="0" fontId="294" fillId="0" borderId="176" xfId="14592" applyFont="1" applyBorder="1" applyAlignment="1">
      <alignment vertical="center"/>
    </xf>
    <xf numFmtId="223" fontId="294" fillId="38" borderId="176" xfId="1390" applyNumberFormat="1" applyFont="1" applyFill="1" applyBorder="1" applyProtection="1">
      <alignment vertical="top"/>
      <protection locked="0"/>
    </xf>
    <xf numFmtId="169" fontId="294" fillId="38" borderId="176" xfId="1155" applyNumberFormat="1" applyFont="1" applyFill="1" applyBorder="1" applyAlignment="1" applyProtection="1"/>
    <xf numFmtId="3" fontId="294" fillId="0" borderId="176" xfId="14592" applyNumberFormat="1" applyFont="1" applyBorder="1" applyAlignment="1">
      <alignment vertical="center"/>
    </xf>
    <xf numFmtId="169" fontId="294" fillId="38" borderId="179" xfId="1155" applyNumberFormat="1" applyFont="1" applyFill="1" applyBorder="1" applyAlignment="1" applyProtection="1">
      <protection locked="0"/>
    </xf>
    <xf numFmtId="169" fontId="294" fillId="38" borderId="176" xfId="1155" applyNumberFormat="1" applyFont="1" applyFill="1" applyBorder="1" applyAlignment="1" applyProtection="1">
      <protection locked="0"/>
    </xf>
    <xf numFmtId="169" fontId="294" fillId="72" borderId="179" xfId="1155" applyNumberFormat="1" applyFont="1" applyFill="1" applyBorder="1" applyAlignment="1" applyProtection="1">
      <protection locked="0"/>
    </xf>
    <xf numFmtId="169" fontId="294" fillId="72" borderId="176" xfId="1155" applyNumberFormat="1" applyFont="1" applyFill="1" applyBorder="1" applyAlignment="1" applyProtection="1">
      <protection locked="0"/>
    </xf>
    <xf numFmtId="2" fontId="296" fillId="38" borderId="176" xfId="1370" quotePrefix="1" applyNumberFormat="1" applyFont="1" applyFill="1" applyBorder="1" applyAlignment="1" applyProtection="1">
      <alignment horizontal="left" vertical="center"/>
      <protection locked="0"/>
    </xf>
    <xf numFmtId="2" fontId="296" fillId="38" borderId="176" xfId="1370" applyNumberFormat="1" applyFont="1" applyFill="1" applyBorder="1" applyAlignment="1" applyProtection="1">
      <alignment horizontal="left" vertical="center"/>
      <protection locked="0"/>
    </xf>
    <xf numFmtId="0" fontId="294" fillId="72" borderId="181" xfId="1370" applyFont="1" applyFill="1" applyBorder="1" applyAlignment="1" applyProtection="1">
      <alignment horizontal="center" vertical="center"/>
      <protection locked="0"/>
    </xf>
    <xf numFmtId="2" fontId="294" fillId="72" borderId="178" xfId="1370" applyNumberFormat="1" applyFont="1" applyFill="1" applyBorder="1" applyAlignment="1" applyProtection="1">
      <alignment horizontal="left" vertical="center"/>
      <protection locked="0"/>
    </xf>
    <xf numFmtId="9" fontId="296" fillId="72" borderId="178" xfId="1390" applyFont="1" applyFill="1" applyBorder="1" applyAlignment="1" applyProtection="1"/>
    <xf numFmtId="169" fontId="294" fillId="72" borderId="178" xfId="1155" applyNumberFormat="1" applyFont="1" applyFill="1" applyBorder="1" applyAlignment="1" applyProtection="1">
      <alignment horizontal="center" vertical="center"/>
      <protection locked="0"/>
    </xf>
    <xf numFmtId="169" fontId="294" fillId="72" borderId="178" xfId="1155" applyNumberFormat="1" applyFont="1" applyFill="1" applyBorder="1" applyAlignment="1" applyProtection="1">
      <alignment vertical="center"/>
    </xf>
    <xf numFmtId="169" fontId="304" fillId="125" borderId="62" xfId="1370" applyNumberFormat="1" applyFont="1" applyFill="1" applyBorder="1" applyAlignment="1" applyProtection="1">
      <alignment vertical="center"/>
      <protection locked="0"/>
    </xf>
    <xf numFmtId="169" fontId="316" fillId="125" borderId="62" xfId="1155" applyNumberFormat="1" applyFont="1" applyFill="1" applyBorder="1" applyAlignment="1" applyProtection="1">
      <alignment vertical="center"/>
    </xf>
    <xf numFmtId="169" fontId="304" fillId="125" borderId="61" xfId="1370" applyNumberFormat="1" applyFont="1" applyFill="1" applyBorder="1" applyAlignment="1" applyProtection="1">
      <alignment vertical="center"/>
      <protection locked="0"/>
    </xf>
    <xf numFmtId="169" fontId="294" fillId="126" borderId="135" xfId="1370" applyNumberFormat="1" applyFont="1" applyFill="1" applyBorder="1" applyAlignment="1" applyProtection="1">
      <alignment vertical="center"/>
      <protection locked="0"/>
    </xf>
    <xf numFmtId="169" fontId="296" fillId="126" borderId="135" xfId="1155" applyNumberFormat="1" applyFont="1" applyFill="1" applyBorder="1" applyAlignment="1" applyProtection="1">
      <alignment vertical="center"/>
    </xf>
    <xf numFmtId="169" fontId="294" fillId="126" borderId="179" xfId="1370" applyNumberFormat="1" applyFont="1" applyFill="1" applyBorder="1" applyAlignment="1" applyProtection="1">
      <alignment vertical="center"/>
      <protection locked="0"/>
    </xf>
    <xf numFmtId="169" fontId="294" fillId="126" borderId="176" xfId="1370" applyNumberFormat="1" applyFont="1" applyFill="1" applyBorder="1" applyAlignment="1" applyProtection="1">
      <alignment vertical="center"/>
      <protection locked="0"/>
    </xf>
    <xf numFmtId="0" fontId="304" fillId="124" borderId="177" xfId="1370" applyFont="1" applyFill="1" applyBorder="1" applyAlignment="1" applyProtection="1">
      <alignment horizontal="center" vertical="center"/>
      <protection locked="0"/>
    </xf>
    <xf numFmtId="0" fontId="296" fillId="0" borderId="39" xfId="1370" applyFont="1" applyBorder="1" applyAlignment="1" applyProtection="1">
      <alignment horizontal="center"/>
      <protection locked="0"/>
    </xf>
    <xf numFmtId="0" fontId="310" fillId="0" borderId="0" xfId="0" applyFont="1" applyAlignment="1">
      <alignment horizontal="left" vertical="center" wrapText="1"/>
    </xf>
    <xf numFmtId="0" fontId="316" fillId="0" borderId="0" xfId="1057" applyFont="1" applyAlignment="1" applyProtection="1">
      <protection locked="0"/>
    </xf>
    <xf numFmtId="169" fontId="304" fillId="0" borderId="0" xfId="1155" applyNumberFormat="1" applyFont="1" applyFill="1" applyBorder="1" applyAlignment="1" applyProtection="1">
      <alignment vertical="center"/>
      <protection locked="0"/>
    </xf>
    <xf numFmtId="169" fontId="304" fillId="0" borderId="0" xfId="1155" applyNumberFormat="1" applyFont="1" applyFill="1" applyBorder="1" applyAlignment="1" applyProtection="1">
      <protection locked="0"/>
    </xf>
    <xf numFmtId="0" fontId="296" fillId="2" borderId="0" xfId="1057" applyFont="1" applyFill="1" applyAlignment="1" applyProtection="1">
      <protection locked="0"/>
    </xf>
    <xf numFmtId="0" fontId="296" fillId="2" borderId="0" xfId="1057" applyFont="1" applyFill="1" applyAlignment="1" applyProtection="1">
      <alignment horizontal="center"/>
      <protection locked="0"/>
    </xf>
    <xf numFmtId="169" fontId="296" fillId="2" borderId="0" xfId="1155" applyNumberFormat="1" applyFont="1" applyFill="1" applyBorder="1" applyAlignment="1" applyProtection="1">
      <protection locked="0"/>
    </xf>
    <xf numFmtId="0" fontId="296" fillId="37" borderId="0" xfId="1057" applyFont="1" applyFill="1" applyAlignment="1" applyProtection="1">
      <protection locked="0"/>
    </xf>
    <xf numFmtId="220" fontId="294" fillId="0" borderId="84" xfId="1155" applyFont="1" applyFill="1" applyBorder="1" applyAlignment="1" applyProtection="1">
      <alignment horizontal="center" vertical="center" wrapText="1"/>
      <protection locked="0"/>
    </xf>
    <xf numFmtId="220" fontId="294" fillId="0" borderId="85" xfId="1155" applyFont="1" applyFill="1" applyBorder="1" applyAlignment="1" applyProtection="1">
      <alignment horizontal="left" vertical="center" wrapText="1"/>
      <protection locked="0"/>
    </xf>
    <xf numFmtId="220" fontId="294" fillId="0" borderId="85" xfId="1155" applyFont="1" applyFill="1" applyBorder="1" applyAlignment="1" applyProtection="1">
      <alignment horizontal="center" vertical="center" wrapText="1"/>
      <protection locked="0"/>
    </xf>
    <xf numFmtId="0" fontId="323" fillId="2" borderId="85" xfId="1057" applyFont="1" applyFill="1" applyBorder="1" applyAlignment="1" applyProtection="1">
      <protection locked="0"/>
    </xf>
    <xf numFmtId="0" fontId="294" fillId="0" borderId="80" xfId="1057" applyFont="1" applyBorder="1" applyAlignment="1" applyProtection="1">
      <alignment horizontal="right"/>
      <protection locked="0"/>
    </xf>
    <xf numFmtId="0" fontId="323" fillId="2" borderId="80" xfId="1057" applyFont="1" applyFill="1" applyBorder="1" applyAlignment="1" applyProtection="1">
      <protection locked="0"/>
    </xf>
    <xf numFmtId="0" fontId="323" fillId="2" borderId="98" xfId="1057" applyFont="1" applyFill="1" applyBorder="1" applyAlignment="1" applyProtection="1">
      <protection locked="0"/>
    </xf>
    <xf numFmtId="9" fontId="296" fillId="0" borderId="80" xfId="1390" applyFont="1" applyFill="1" applyBorder="1" applyProtection="1">
      <alignment vertical="top"/>
      <protection locked="0"/>
    </xf>
    <xf numFmtId="9" fontId="324" fillId="2" borderId="80" xfId="1390" applyFont="1" applyFill="1" applyBorder="1" applyProtection="1">
      <alignment vertical="top"/>
      <protection locked="0"/>
    </xf>
    <xf numFmtId="0" fontId="294" fillId="0" borderId="86" xfId="1057" applyFont="1" applyBorder="1" applyAlignment="1" applyProtection="1">
      <alignment horizontal="center"/>
      <protection locked="0"/>
    </xf>
    <xf numFmtId="0" fontId="323" fillId="0" borderId="80" xfId="1057" applyFont="1" applyBorder="1" applyAlignment="1" applyProtection="1">
      <protection locked="0"/>
    </xf>
    <xf numFmtId="0" fontId="323" fillId="0" borderId="98" xfId="1057" applyFont="1" applyBorder="1" applyAlignment="1" applyProtection="1">
      <protection locked="0"/>
    </xf>
    <xf numFmtId="9" fontId="323" fillId="2" borderId="80" xfId="1390" applyFont="1" applyFill="1" applyBorder="1" applyProtection="1">
      <alignment vertical="top"/>
      <protection locked="0"/>
    </xf>
    <xf numFmtId="0" fontId="294" fillId="0" borderId="80" xfId="1057" applyFont="1" applyBorder="1" applyAlignment="1" applyProtection="1">
      <protection locked="0"/>
    </xf>
    <xf numFmtId="0" fontId="294" fillId="0" borderId="98" xfId="1057" applyFont="1" applyBorder="1" applyAlignment="1" applyProtection="1">
      <protection locked="0"/>
    </xf>
    <xf numFmtId="9" fontId="295" fillId="2" borderId="80" xfId="1390" applyFont="1" applyFill="1" applyBorder="1" applyAlignment="1" applyProtection="1">
      <alignment horizontal="center"/>
      <protection locked="0"/>
    </xf>
    <xf numFmtId="0" fontId="294" fillId="0" borderId="0" xfId="1057" applyFont="1" applyAlignment="1" applyProtection="1">
      <protection locked="0"/>
    </xf>
    <xf numFmtId="9" fontId="305" fillId="2" borderId="80" xfId="1390" applyFont="1" applyFill="1" applyBorder="1" applyAlignment="1" applyProtection="1">
      <alignment horizontal="center"/>
      <protection locked="0"/>
    </xf>
    <xf numFmtId="0" fontId="322" fillId="0" borderId="80" xfId="1057" applyFont="1" applyBorder="1" applyAlignment="1" applyProtection="1">
      <protection locked="0"/>
    </xf>
    <xf numFmtId="0" fontId="294" fillId="0" borderId="92" xfId="1057" applyFont="1" applyBorder="1" applyAlignment="1" applyProtection="1">
      <alignment horizontal="center"/>
      <protection locked="0"/>
    </xf>
    <xf numFmtId="0" fontId="322" fillId="0" borderId="93" xfId="1057" applyFont="1" applyBorder="1" applyAlignment="1" applyProtection="1">
      <protection locked="0"/>
    </xf>
    <xf numFmtId="0" fontId="294" fillId="0" borderId="156" xfId="1057" applyFont="1" applyBorder="1" applyAlignment="1" applyProtection="1">
      <alignment horizontal="center"/>
      <protection locked="0"/>
    </xf>
    <xf numFmtId="0" fontId="322" fillId="0" borderId="157" xfId="1057" applyFont="1" applyBorder="1" applyAlignment="1" applyProtection="1">
      <protection locked="0"/>
    </xf>
    <xf numFmtId="0" fontId="294" fillId="0" borderId="140" xfId="1057" applyFont="1" applyBorder="1" applyAlignment="1" applyProtection="1">
      <protection locked="0"/>
    </xf>
    <xf numFmtId="0" fontId="294" fillId="0" borderId="87" xfId="1057" applyFont="1" applyBorder="1" applyAlignment="1" applyProtection="1">
      <alignment horizontal="center"/>
      <protection locked="0"/>
    </xf>
    <xf numFmtId="0" fontId="322" fillId="0" borderId="94" xfId="1057" applyFont="1" applyBorder="1" applyAlignment="1" applyProtection="1">
      <protection locked="0"/>
    </xf>
    <xf numFmtId="0" fontId="294" fillId="0" borderId="88" xfId="1057" applyFont="1" applyBorder="1" applyAlignment="1" applyProtection="1">
      <alignment horizontal="right"/>
      <protection locked="0"/>
    </xf>
    <xf numFmtId="0" fontId="294" fillId="0" borderId="108" xfId="1057" applyFont="1" applyBorder="1" applyAlignment="1" applyProtection="1">
      <protection locked="0"/>
    </xf>
    <xf numFmtId="0" fontId="294" fillId="2" borderId="0" xfId="1057" applyFont="1" applyFill="1" applyAlignment="1" applyProtection="1">
      <alignment horizontal="center"/>
      <protection locked="0"/>
    </xf>
    <xf numFmtId="169" fontId="296" fillId="2" borderId="0" xfId="1155" applyNumberFormat="1" applyFont="1" applyFill="1" applyBorder="1" applyAlignment="1" applyProtection="1">
      <alignment horizontal="center"/>
      <protection locked="0"/>
    </xf>
    <xf numFmtId="9" fontId="317" fillId="2" borderId="0" xfId="1390" applyFont="1" applyFill="1" applyProtection="1">
      <alignment vertical="top"/>
      <protection locked="0"/>
    </xf>
    <xf numFmtId="0" fontId="291" fillId="0" borderId="0" xfId="1057" applyFont="1" applyAlignment="1" applyProtection="1">
      <alignment horizontal="left"/>
      <protection locked="0"/>
    </xf>
    <xf numFmtId="0" fontId="308" fillId="0" borderId="0" xfId="1057" applyFont="1" applyAlignment="1" applyProtection="1">
      <alignment horizontal="left"/>
      <protection locked="0"/>
    </xf>
    <xf numFmtId="0" fontId="291" fillId="0" borderId="0" xfId="1057" applyFont="1" applyAlignment="1" applyProtection="1">
      <alignment horizontal="center"/>
      <protection locked="0"/>
    </xf>
    <xf numFmtId="0" fontId="300" fillId="0" borderId="0" xfId="1057" applyFont="1" applyAlignment="1" applyProtection="1">
      <alignment horizontal="center" vertical="center" wrapText="1"/>
      <protection locked="0"/>
    </xf>
    <xf numFmtId="0" fontId="291" fillId="0" borderId="0" xfId="1057" applyFont="1" applyAlignment="1" applyProtection="1">
      <protection locked="0"/>
    </xf>
    <xf numFmtId="43" fontId="300" fillId="0" borderId="0" xfId="1057" applyNumberFormat="1" applyFont="1" applyAlignment="1" applyProtection="1">
      <alignment horizontal="center" vertical="center" wrapText="1"/>
      <protection locked="0"/>
    </xf>
    <xf numFmtId="0" fontId="304" fillId="124" borderId="111" xfId="1370" applyFont="1" applyFill="1" applyBorder="1" applyAlignment="1" applyProtection="1">
      <alignment horizontal="center" vertical="center"/>
      <protection locked="0"/>
    </xf>
    <xf numFmtId="0" fontId="304" fillId="124" borderId="34" xfId="1370" applyFont="1" applyFill="1" applyBorder="1" applyAlignment="1" applyProtection="1">
      <alignment horizontal="center" vertical="center"/>
      <protection locked="0"/>
    </xf>
    <xf numFmtId="220" fontId="304" fillId="124" borderId="28" xfId="1155" applyFont="1" applyFill="1" applyBorder="1" applyAlignment="1" applyProtection="1">
      <alignment horizontal="center" vertical="center"/>
    </xf>
    <xf numFmtId="169" fontId="304" fillId="124" borderId="193" xfId="1155" applyNumberFormat="1" applyFont="1" applyFill="1" applyBorder="1" applyAlignment="1" applyProtection="1">
      <alignment horizontal="center" vertical="center"/>
      <protection locked="0"/>
    </xf>
    <xf numFmtId="169" fontId="304" fillId="124" borderId="192" xfId="1155" applyNumberFormat="1" applyFont="1" applyFill="1" applyBorder="1" applyAlignment="1" applyProtection="1">
      <alignment horizontal="left" vertical="center"/>
      <protection locked="0"/>
    </xf>
    <xf numFmtId="169" fontId="316" fillId="124" borderId="192" xfId="1155" applyNumberFormat="1" applyFont="1" applyFill="1" applyBorder="1" applyAlignment="1" applyProtection="1">
      <alignment horizontal="center" vertical="center"/>
      <protection locked="0"/>
    </xf>
    <xf numFmtId="169" fontId="304" fillId="124" borderId="192" xfId="1155" applyNumberFormat="1" applyFont="1" applyFill="1" applyBorder="1" applyAlignment="1" applyProtection="1">
      <alignment vertical="center"/>
      <protection locked="0"/>
    </xf>
    <xf numFmtId="169" fontId="304" fillId="124" borderId="110" xfId="1155" applyNumberFormat="1" applyFont="1" applyFill="1" applyBorder="1" applyAlignment="1" applyProtection="1">
      <alignment vertical="center"/>
      <protection locked="0"/>
    </xf>
    <xf numFmtId="169" fontId="304" fillId="124" borderId="194" xfId="1155" applyNumberFormat="1" applyFont="1" applyFill="1" applyBorder="1" applyAlignment="1" applyProtection="1">
      <alignment vertical="center"/>
      <protection locked="0"/>
    </xf>
    <xf numFmtId="169" fontId="304" fillId="124" borderId="23" xfId="1155" applyNumberFormat="1" applyFont="1" applyFill="1" applyBorder="1" applyAlignment="1" applyProtection="1">
      <alignment vertical="center"/>
      <protection locked="0"/>
    </xf>
    <xf numFmtId="169" fontId="294" fillId="57" borderId="50" xfId="1155" applyNumberFormat="1" applyFont="1" applyFill="1" applyBorder="1" applyAlignment="1" applyProtection="1">
      <alignment horizontal="center"/>
      <protection locked="0"/>
    </xf>
    <xf numFmtId="0" fontId="294" fillId="121" borderId="22" xfId="1057" applyFont="1" applyFill="1" applyBorder="1" applyAlignment="1" applyProtection="1">
      <alignment horizontal="left" indent="1"/>
      <protection locked="0"/>
    </xf>
    <xf numFmtId="169" fontId="294" fillId="121" borderId="22" xfId="1155" applyNumberFormat="1" applyFont="1" applyFill="1" applyBorder="1" applyAlignment="1" applyProtection="1">
      <alignment horizontal="center"/>
      <protection locked="0"/>
    </xf>
    <xf numFmtId="169" fontId="294" fillId="57" borderId="51" xfId="1155" applyNumberFormat="1" applyFont="1" applyFill="1" applyBorder="1" applyAlignment="1" applyProtection="1">
      <alignment horizontal="right"/>
      <protection locked="0"/>
    </xf>
    <xf numFmtId="169" fontId="294" fillId="57" borderId="76" xfId="1155" applyNumberFormat="1" applyFont="1" applyFill="1" applyBorder="1" applyAlignment="1" applyProtection="1">
      <alignment horizontal="right"/>
      <protection locked="0"/>
    </xf>
    <xf numFmtId="169" fontId="294" fillId="57" borderId="76" xfId="1155" applyNumberFormat="1" applyFont="1" applyFill="1" applyBorder="1" applyAlignment="1" applyProtection="1">
      <protection locked="0"/>
    </xf>
    <xf numFmtId="0" fontId="294" fillId="57" borderId="22" xfId="1155" applyNumberFormat="1" applyFont="1" applyFill="1" applyBorder="1" applyAlignment="1" applyProtection="1">
      <alignment horizontal="center" vertical="center"/>
      <protection locked="0"/>
    </xf>
    <xf numFmtId="169" fontId="294" fillId="127" borderId="83" xfId="1155" applyNumberFormat="1" applyFont="1" applyFill="1" applyBorder="1" applyAlignment="1" applyProtection="1">
      <protection locked="0"/>
    </xf>
    <xf numFmtId="223" fontId="295" fillId="127" borderId="81" xfId="1390" applyNumberFormat="1" applyFont="1" applyFill="1" applyBorder="1" applyAlignment="1" applyProtection="1">
      <alignment horizontal="right"/>
      <protection locked="0"/>
    </xf>
    <xf numFmtId="223" fontId="295" fillId="127" borderId="77" xfId="1390" applyNumberFormat="1" applyFont="1" applyFill="1" applyBorder="1" applyAlignment="1" applyProtection="1">
      <alignment horizontal="right"/>
      <protection locked="0"/>
    </xf>
    <xf numFmtId="10" fontId="294" fillId="127" borderId="77" xfId="1390" applyNumberFormat="1" applyFont="1" applyFill="1" applyBorder="1" applyAlignment="1" applyProtection="1">
      <alignment horizontal="left"/>
      <protection locked="0"/>
    </xf>
    <xf numFmtId="10" fontId="294" fillId="127" borderId="23" xfId="1390" applyNumberFormat="1" applyFont="1" applyFill="1" applyBorder="1" applyAlignment="1" applyProtection="1">
      <alignment horizontal="center"/>
      <protection locked="0"/>
    </xf>
    <xf numFmtId="169" fontId="294" fillId="127" borderId="23" xfId="1155" applyNumberFormat="1" applyFont="1" applyFill="1" applyBorder="1" applyAlignment="1" applyProtection="1">
      <protection locked="0"/>
    </xf>
    <xf numFmtId="169" fontId="294" fillId="127" borderId="35" xfId="1155" applyNumberFormat="1" applyFont="1" applyFill="1" applyBorder="1" applyAlignment="1" applyProtection="1">
      <protection locked="0"/>
    </xf>
    <xf numFmtId="169" fontId="294" fillId="127" borderId="32" xfId="1155" applyNumberFormat="1" applyFont="1" applyFill="1" applyBorder="1" applyAlignment="1" applyProtection="1">
      <protection locked="0"/>
    </xf>
    <xf numFmtId="10" fontId="294" fillId="127" borderId="77" xfId="1390" applyNumberFormat="1" applyFont="1" applyFill="1" applyBorder="1" applyAlignment="1" applyProtection="1">
      <alignment horizontal="center"/>
      <protection locked="0"/>
    </xf>
    <xf numFmtId="169" fontId="294" fillId="120" borderId="79" xfId="1155" applyNumberFormat="1" applyFont="1" applyFill="1" applyBorder="1" applyAlignment="1" applyProtection="1">
      <alignment horizontal="center" vertical="center"/>
      <protection locked="0"/>
    </xf>
    <xf numFmtId="169" fontId="297" fillId="0" borderId="0" xfId="1155" applyNumberFormat="1" applyFont="1" applyFill="1" applyBorder="1" applyAlignment="1" applyProtection="1">
      <protection locked="0"/>
    </xf>
    <xf numFmtId="169" fontId="290" fillId="0" borderId="0" xfId="1155" applyNumberFormat="1" applyFont="1" applyFill="1" applyBorder="1" applyAlignment="1" applyProtection="1">
      <protection locked="0"/>
    </xf>
    <xf numFmtId="0" fontId="290" fillId="2" borderId="79" xfId="1057" applyFont="1" applyFill="1" applyBorder="1" applyAlignment="1" applyProtection="1">
      <alignment horizontal="center"/>
      <protection locked="0"/>
    </xf>
    <xf numFmtId="0" fontId="303" fillId="0" borderId="83" xfId="1057" applyFont="1" applyBorder="1" applyAlignment="1" applyProtection="1">
      <alignment horizontal="left" indent="1"/>
      <protection locked="0"/>
    </xf>
    <xf numFmtId="169" fontId="303" fillId="2" borderId="80" xfId="1155" applyNumberFormat="1" applyFont="1" applyFill="1" applyBorder="1" applyAlignment="1" applyProtection="1">
      <alignment horizontal="center"/>
      <protection locked="0"/>
    </xf>
    <xf numFmtId="169" fontId="303" fillId="0" borderId="81" xfId="1155" applyNumberFormat="1" applyFont="1" applyFill="1" applyBorder="1" applyAlignment="1" applyProtection="1">
      <alignment horizontal="right"/>
      <protection locked="0"/>
    </xf>
    <xf numFmtId="169" fontId="303" fillId="2" borderId="77" xfId="1155" applyNumberFormat="1" applyFont="1" applyFill="1" applyBorder="1" applyAlignment="1" applyProtection="1">
      <protection locked="0"/>
    </xf>
    <xf numFmtId="169" fontId="303" fillId="0" borderId="53" xfId="1155" applyNumberFormat="1" applyFont="1" applyFill="1" applyBorder="1" applyAlignment="1" applyProtection="1">
      <protection locked="0"/>
    </xf>
    <xf numFmtId="0" fontId="326" fillId="128" borderId="83" xfId="1057" applyFont="1" applyFill="1" applyBorder="1" applyAlignment="1" applyProtection="1">
      <alignment horizontal="left" indent="1"/>
      <protection locked="0"/>
    </xf>
    <xf numFmtId="169" fontId="326" fillId="129" borderId="80" xfId="1155" applyNumberFormat="1" applyFont="1" applyFill="1" applyBorder="1" applyAlignment="1" applyProtection="1">
      <alignment horizontal="center"/>
      <protection locked="0"/>
    </xf>
    <xf numFmtId="169" fontId="326" fillId="128" borderId="81" xfId="1155" applyNumberFormat="1" applyFont="1" applyFill="1" applyBorder="1" applyAlignment="1" applyProtection="1">
      <alignment horizontal="right"/>
      <protection locked="0"/>
    </xf>
    <xf numFmtId="169" fontId="326" fillId="128" borderId="82" xfId="1155" applyNumberFormat="1" applyFont="1" applyFill="1" applyBorder="1" applyAlignment="1" applyProtection="1">
      <alignment horizontal="right"/>
      <protection locked="0"/>
    </xf>
    <xf numFmtId="169" fontId="326" fillId="129" borderId="82" xfId="1155" applyNumberFormat="1" applyFont="1" applyFill="1" applyBorder="1" applyAlignment="1" applyProtection="1">
      <protection locked="0"/>
    </xf>
    <xf numFmtId="169" fontId="326" fillId="128" borderId="53" xfId="1155" applyNumberFormat="1" applyFont="1" applyFill="1" applyBorder="1" applyAlignment="1" applyProtection="1">
      <protection locked="0"/>
    </xf>
    <xf numFmtId="0" fontId="297" fillId="129" borderId="79" xfId="1057" applyFont="1" applyFill="1" applyBorder="1" applyAlignment="1" applyProtection="1">
      <alignment horizontal="center"/>
      <protection locked="0"/>
    </xf>
    <xf numFmtId="0" fontId="274" fillId="0" borderId="0" xfId="1057" applyFont="1" applyAlignment="1"/>
    <xf numFmtId="0" fontId="274" fillId="0" borderId="0" xfId="1057" applyFont="1" applyAlignment="1" applyProtection="1">
      <protection locked="0"/>
    </xf>
    <xf numFmtId="0" fontId="274" fillId="0" borderId="0" xfId="1370" applyFont="1" applyProtection="1">
      <protection locked="0"/>
    </xf>
    <xf numFmtId="169" fontId="274" fillId="0" borderId="0" xfId="1155" applyNumberFormat="1" applyFont="1" applyFill="1" applyBorder="1" applyAlignment="1" applyProtection="1">
      <alignment horizontal="right"/>
      <protection locked="0"/>
    </xf>
    <xf numFmtId="169" fontId="321" fillId="0" borderId="0" xfId="1155" applyNumberFormat="1" applyFont="1" applyFill="1" applyBorder="1" applyAlignment="1" applyProtection="1"/>
    <xf numFmtId="0" fontId="274" fillId="0" borderId="0" xfId="1370" applyFont="1" applyAlignment="1" applyProtection="1">
      <alignment horizontal="center"/>
      <protection locked="0"/>
    </xf>
    <xf numFmtId="0" fontId="279" fillId="0" borderId="0" xfId="1057" applyFont="1" applyAlignment="1"/>
    <xf numFmtId="0" fontId="274" fillId="0" borderId="37" xfId="1057" applyFont="1" applyBorder="1" applyAlignment="1"/>
    <xf numFmtId="169" fontId="280" fillId="38" borderId="176" xfId="1155" applyNumberFormat="1" applyFont="1" applyFill="1" applyBorder="1" applyAlignment="1" applyProtection="1">
      <protection locked="0"/>
    </xf>
    <xf numFmtId="0" fontId="277" fillId="0" borderId="0" xfId="1057" applyFont="1" applyAlignment="1"/>
    <xf numFmtId="169" fontId="277" fillId="38" borderId="176" xfId="1155" applyNumberFormat="1" applyFont="1" applyFill="1" applyBorder="1" applyAlignment="1" applyProtection="1">
      <protection locked="0"/>
    </xf>
    <xf numFmtId="169" fontId="277" fillId="38" borderId="180" xfId="1155" applyNumberFormat="1" applyFont="1" applyFill="1" applyBorder="1" applyAlignment="1" applyProtection="1">
      <protection locked="0"/>
    </xf>
    <xf numFmtId="0" fontId="280" fillId="0" borderId="0" xfId="1057" applyFont="1" applyAlignment="1"/>
    <xf numFmtId="169" fontId="274" fillId="0" borderId="176" xfId="1155" applyNumberFormat="1" applyFont="1" applyFill="1" applyBorder="1" applyAlignment="1" applyProtection="1">
      <protection locked="0"/>
    </xf>
    <xf numFmtId="169" fontId="274" fillId="0" borderId="180" xfId="1155" applyNumberFormat="1" applyFont="1" applyFill="1" applyBorder="1" applyAlignment="1" applyProtection="1">
      <protection locked="0"/>
    </xf>
    <xf numFmtId="169" fontId="280" fillId="0" borderId="176" xfId="1155" applyNumberFormat="1" applyFont="1" applyFill="1" applyBorder="1" applyAlignment="1" applyProtection="1">
      <protection locked="0"/>
    </xf>
    <xf numFmtId="169" fontId="280" fillId="0" borderId="180" xfId="1155" applyNumberFormat="1" applyFont="1" applyFill="1" applyBorder="1" applyAlignment="1" applyProtection="1">
      <protection locked="0"/>
    </xf>
    <xf numFmtId="0" fontId="278" fillId="0" borderId="0" xfId="1057" applyFont="1" applyAlignment="1">
      <alignment vertical="center"/>
    </xf>
    <xf numFmtId="169" fontId="274" fillId="0" borderId="0" xfId="1155" applyNumberFormat="1" applyFont="1" applyFill="1" applyBorder="1">
      <alignment vertical="top"/>
    </xf>
    <xf numFmtId="169" fontId="274" fillId="0" borderId="0" xfId="1155" applyNumberFormat="1" applyFont="1" applyFill="1" applyBorder="1" applyProtection="1">
      <alignment vertical="top"/>
      <protection locked="0"/>
    </xf>
    <xf numFmtId="0" fontId="274" fillId="0" borderId="0" xfId="1057" applyFont="1" applyAlignment="1">
      <alignment vertical="center"/>
    </xf>
    <xf numFmtId="169" fontId="274" fillId="0" borderId="44" xfId="1155" applyNumberFormat="1" applyFont="1" applyFill="1" applyBorder="1" applyAlignment="1" applyProtection="1">
      <alignment vertical="center"/>
      <protection locked="0"/>
    </xf>
    <xf numFmtId="0" fontId="294" fillId="38" borderId="181" xfId="1370" applyFont="1" applyFill="1" applyBorder="1" applyAlignment="1" applyProtection="1">
      <alignment horizontal="center"/>
      <protection locked="0"/>
    </xf>
    <xf numFmtId="0" fontId="294" fillId="38" borderId="178" xfId="1370" applyFont="1" applyFill="1" applyBorder="1" applyAlignment="1" applyProtection="1">
      <alignment horizontal="left"/>
      <protection locked="0"/>
    </xf>
    <xf numFmtId="223" fontId="327" fillId="38" borderId="178" xfId="1390" applyNumberFormat="1" applyFont="1" applyFill="1" applyBorder="1" applyAlignment="1" applyProtection="1">
      <alignment horizontal="center"/>
      <protection locked="0"/>
    </xf>
    <xf numFmtId="169" fontId="325" fillId="38" borderId="178" xfId="1155" applyNumberFormat="1" applyFont="1" applyFill="1" applyBorder="1" applyAlignment="1" applyProtection="1"/>
    <xf numFmtId="169" fontId="294" fillId="38" borderId="178" xfId="1155" applyNumberFormat="1" applyFont="1" applyFill="1" applyBorder="1" applyAlignment="1" applyProtection="1">
      <protection locked="0"/>
    </xf>
    <xf numFmtId="0" fontId="296" fillId="38" borderId="179" xfId="1370" applyFont="1" applyFill="1" applyBorder="1" applyAlignment="1" applyProtection="1">
      <alignment horizontal="center"/>
      <protection locked="0"/>
    </xf>
    <xf numFmtId="0" fontId="297" fillId="38" borderId="176" xfId="1370" applyFont="1" applyFill="1" applyBorder="1" applyAlignment="1" applyProtection="1">
      <alignment horizontal="left" indent="1"/>
      <protection locked="0"/>
    </xf>
    <xf numFmtId="169" fontId="297" fillId="38" borderId="176" xfId="1155" applyNumberFormat="1" applyFont="1" applyFill="1" applyBorder="1" applyAlignment="1" applyProtection="1"/>
    <xf numFmtId="169" fontId="297" fillId="38" borderId="176" xfId="1155" applyNumberFormat="1" applyFont="1" applyFill="1" applyBorder="1" applyAlignment="1" applyProtection="1">
      <protection locked="0"/>
    </xf>
    <xf numFmtId="169" fontId="297" fillId="37" borderId="176" xfId="1155" applyNumberFormat="1" applyFont="1" applyFill="1" applyBorder="1" applyAlignment="1" applyProtection="1">
      <protection locked="0"/>
    </xf>
    <xf numFmtId="0" fontId="294" fillId="38" borderId="176" xfId="1370" applyFont="1" applyFill="1" applyBorder="1" applyAlignment="1" applyProtection="1">
      <alignment horizontal="left"/>
      <protection locked="0"/>
    </xf>
    <xf numFmtId="223" fontId="294" fillId="38" borderId="176" xfId="1390" applyNumberFormat="1" applyFont="1" applyFill="1" applyBorder="1" applyAlignment="1" applyProtection="1">
      <alignment horizontal="right"/>
      <protection locked="0"/>
    </xf>
    <xf numFmtId="220" fontId="296" fillId="38" borderId="176" xfId="1155" applyFont="1" applyFill="1" applyBorder="1" applyProtection="1">
      <alignment vertical="top"/>
      <protection locked="0"/>
    </xf>
    <xf numFmtId="2" fontId="294" fillId="38" borderId="176" xfId="1370" applyNumberFormat="1" applyFont="1" applyFill="1" applyBorder="1" applyAlignment="1" applyProtection="1">
      <alignment horizontal="left"/>
      <protection locked="0"/>
    </xf>
    <xf numFmtId="0" fontId="297" fillId="0" borderId="179" xfId="1370" applyFont="1" applyBorder="1" applyAlignment="1" applyProtection="1">
      <alignment horizontal="center"/>
      <protection locked="0"/>
    </xf>
    <xf numFmtId="223" fontId="297" fillId="0" borderId="176" xfId="1390" applyNumberFormat="1" applyFont="1" applyFill="1" applyBorder="1" applyAlignment="1" applyProtection="1">
      <alignment horizontal="right"/>
      <protection locked="0"/>
    </xf>
    <xf numFmtId="169" fontId="297" fillId="0" borderId="176" xfId="1155" applyNumberFormat="1" applyFont="1" applyFill="1" applyBorder="1" applyAlignment="1" applyProtection="1"/>
    <xf numFmtId="169" fontId="296" fillId="0" borderId="176" xfId="1155" applyNumberFormat="1" applyFont="1" applyFill="1" applyBorder="1" applyAlignment="1" applyProtection="1">
      <protection locked="0"/>
    </xf>
    <xf numFmtId="169" fontId="297" fillId="0" borderId="176" xfId="1155" applyNumberFormat="1" applyFont="1" applyFill="1" applyBorder="1" applyAlignment="1" applyProtection="1">
      <protection locked="0"/>
    </xf>
    <xf numFmtId="0" fontId="297" fillId="0" borderId="134" xfId="1370" applyFont="1" applyBorder="1" applyAlignment="1" applyProtection="1">
      <alignment horizontal="center"/>
      <protection locked="0"/>
    </xf>
    <xf numFmtId="223" fontId="297" fillId="0" borderId="133" xfId="1390" applyNumberFormat="1" applyFont="1" applyFill="1" applyBorder="1" applyAlignment="1" applyProtection="1">
      <alignment horizontal="right"/>
      <protection locked="0"/>
    </xf>
    <xf numFmtId="169" fontId="297" fillId="0" borderId="133" xfId="1155" applyNumberFormat="1" applyFont="1" applyFill="1" applyBorder="1" applyAlignment="1" applyProtection="1"/>
    <xf numFmtId="169" fontId="297" fillId="0" borderId="133" xfId="1155" applyNumberFormat="1" applyFont="1" applyFill="1" applyBorder="1" applyAlignment="1" applyProtection="1">
      <protection locked="0"/>
    </xf>
    <xf numFmtId="169" fontId="294" fillId="16" borderId="26" xfId="1155" applyNumberFormat="1" applyFont="1" applyFill="1" applyBorder="1" applyAlignment="1" applyProtection="1">
      <protection locked="0"/>
    </xf>
    <xf numFmtId="169" fontId="294" fillId="24" borderId="1" xfId="1370" applyNumberFormat="1" applyFont="1" applyFill="1" applyBorder="1" applyProtection="1">
      <protection locked="0"/>
    </xf>
    <xf numFmtId="169" fontId="294" fillId="16" borderId="1" xfId="1155" applyNumberFormat="1" applyFont="1" applyFill="1" applyBorder="1" applyAlignment="1" applyProtection="1">
      <protection locked="0"/>
    </xf>
    <xf numFmtId="9" fontId="294" fillId="24" borderId="1" xfId="1390" applyFont="1" applyFill="1" applyBorder="1" applyAlignment="1" applyProtection="1">
      <alignment horizontal="right"/>
      <protection locked="0"/>
    </xf>
    <xf numFmtId="169" fontId="305" fillId="56" borderId="0" xfId="1155" applyNumberFormat="1" applyFont="1" applyFill="1" applyBorder="1" applyAlignment="1" applyProtection="1">
      <alignment horizontal="right"/>
      <protection locked="0"/>
    </xf>
    <xf numFmtId="169" fontId="294" fillId="0" borderId="0" xfId="1155" applyNumberFormat="1" applyFont="1" applyFill="1" applyBorder="1" applyProtection="1">
      <alignment vertical="top"/>
      <protection locked="0"/>
    </xf>
    <xf numFmtId="169" fontId="296" fillId="0" borderId="0" xfId="1155" applyNumberFormat="1" applyFont="1" applyFill="1" applyBorder="1">
      <alignment vertical="top"/>
    </xf>
    <xf numFmtId="169" fontId="317" fillId="56" borderId="0" xfId="1155" applyNumberFormat="1" applyFont="1" applyFill="1" applyBorder="1" applyAlignment="1" applyProtection="1"/>
    <xf numFmtId="169" fontId="294" fillId="0" borderId="0" xfId="1155" applyNumberFormat="1" applyFont="1" applyFill="1" applyBorder="1" applyAlignment="1" applyProtection="1"/>
    <xf numFmtId="0" fontId="296" fillId="0" borderId="0" xfId="1057" applyFont="1" applyAlignment="1" applyProtection="1">
      <alignment vertical="center"/>
      <protection locked="0"/>
    </xf>
    <xf numFmtId="169" fontId="296" fillId="0" borderId="42" xfId="1155" applyNumberFormat="1" applyFont="1" applyFill="1" applyBorder="1" applyAlignment="1" applyProtection="1">
      <alignment horizontal="right" vertical="center"/>
      <protection locked="0"/>
    </xf>
    <xf numFmtId="0" fontId="296" fillId="0" borderId="42" xfId="1370" applyFont="1" applyBorder="1" applyAlignment="1" applyProtection="1">
      <alignment vertical="center"/>
      <protection locked="0"/>
    </xf>
    <xf numFmtId="169" fontId="296" fillId="0" borderId="42" xfId="1155" applyNumberFormat="1" applyFont="1" applyFill="1" applyBorder="1" applyAlignment="1" applyProtection="1">
      <alignment vertical="center"/>
      <protection locked="0"/>
    </xf>
    <xf numFmtId="0" fontId="296" fillId="0" borderId="43" xfId="1057" applyFont="1" applyBorder="1" applyAlignment="1" applyProtection="1">
      <alignment horizontal="left" vertical="center"/>
      <protection locked="0"/>
    </xf>
    <xf numFmtId="169" fontId="296" fillId="0" borderId="44" xfId="1155" applyNumberFormat="1" applyFont="1" applyFill="1" applyBorder="1" applyAlignment="1" applyProtection="1">
      <alignment horizontal="right" vertical="center"/>
      <protection locked="0"/>
    </xf>
    <xf numFmtId="0" fontId="296" fillId="0" borderId="44" xfId="1370" applyFont="1" applyBorder="1" applyAlignment="1" applyProtection="1">
      <alignment vertical="center"/>
      <protection locked="0"/>
    </xf>
    <xf numFmtId="169" fontId="296" fillId="0" borderId="44" xfId="1155" applyNumberFormat="1" applyFont="1" applyFill="1" applyBorder="1" applyAlignment="1" applyProtection="1">
      <alignment vertical="center"/>
      <protection locked="0"/>
    </xf>
    <xf numFmtId="0" fontId="296" fillId="0" borderId="42" xfId="1370" applyFont="1" applyBorder="1" applyProtection="1">
      <protection locked="0"/>
    </xf>
    <xf numFmtId="169" fontId="296" fillId="0" borderId="90" xfId="1155" applyNumberFormat="1" applyFont="1" applyFill="1" applyBorder="1" applyAlignment="1" applyProtection="1">
      <alignment horizontal="right" vertical="center"/>
      <protection locked="0"/>
    </xf>
    <xf numFmtId="0" fontId="296" fillId="0" borderId="44" xfId="1370" applyFont="1" applyBorder="1" applyProtection="1">
      <protection locked="0"/>
    </xf>
    <xf numFmtId="265" fontId="296" fillId="0" borderId="0" xfId="1155" applyNumberFormat="1" applyFont="1" applyFill="1" applyBorder="1" applyAlignment="1" applyProtection="1">
      <alignment horizontal="right"/>
      <protection locked="0"/>
    </xf>
    <xf numFmtId="2" fontId="297" fillId="0" borderId="176" xfId="1370" applyNumberFormat="1" applyFont="1" applyBorder="1" applyAlignment="1" applyProtection="1">
      <alignment horizontal="left" indent="1"/>
      <protection locked="0"/>
    </xf>
    <xf numFmtId="2" fontId="297" fillId="0" borderId="133" xfId="1370" applyNumberFormat="1" applyFont="1" applyBorder="1" applyAlignment="1" applyProtection="1">
      <alignment horizontal="left" indent="1"/>
      <protection locked="0"/>
    </xf>
    <xf numFmtId="169" fontId="296" fillId="0" borderId="71" xfId="1155" applyNumberFormat="1" applyFont="1" applyFill="1" applyBorder="1" applyProtection="1">
      <alignment vertical="top"/>
      <protection locked="0"/>
    </xf>
    <xf numFmtId="265" fontId="296" fillId="0" borderId="72" xfId="1155" applyNumberFormat="1" applyFont="1" applyFill="1" applyBorder="1" applyAlignment="1" applyProtection="1">
      <alignment horizontal="right"/>
      <protection locked="0"/>
    </xf>
    <xf numFmtId="169" fontId="296" fillId="0" borderId="72" xfId="1155" applyNumberFormat="1" applyFont="1" applyFill="1" applyBorder="1" applyAlignment="1" applyProtection="1"/>
    <xf numFmtId="169" fontId="296" fillId="0" borderId="216" xfId="1155" applyNumberFormat="1" applyFont="1" applyFill="1" applyBorder="1" applyProtection="1">
      <alignment vertical="top"/>
      <protection locked="0"/>
    </xf>
    <xf numFmtId="0" fontId="304" fillId="94" borderId="216" xfId="1370" applyFont="1" applyFill="1" applyBorder="1" applyProtection="1">
      <protection locked="0"/>
    </xf>
    <xf numFmtId="265" fontId="304" fillId="94" borderId="0" xfId="1155" applyNumberFormat="1" applyFont="1" applyFill="1" applyBorder="1" applyAlignment="1" applyProtection="1">
      <alignment horizontal="right"/>
      <protection locked="0"/>
    </xf>
    <xf numFmtId="169" fontId="316" fillId="94" borderId="0" xfId="1155" applyNumberFormat="1" applyFont="1" applyFill="1" applyBorder="1" applyAlignment="1" applyProtection="1"/>
    <xf numFmtId="169" fontId="316" fillId="94" borderId="0" xfId="1155" applyNumberFormat="1" applyFont="1" applyFill="1" applyBorder="1" applyAlignment="1" applyProtection="1">
      <alignment horizontal="right"/>
      <protection locked="0"/>
    </xf>
    <xf numFmtId="169" fontId="279" fillId="94" borderId="0" xfId="1155" applyNumberFormat="1" applyFont="1" applyFill="1" applyBorder="1" applyAlignment="1" applyProtection="1">
      <alignment horizontal="right"/>
      <protection locked="0"/>
    </xf>
    <xf numFmtId="169" fontId="279" fillId="94" borderId="217" xfId="1155" applyNumberFormat="1" applyFont="1" applyFill="1" applyBorder="1" applyAlignment="1" applyProtection="1">
      <alignment horizontal="right"/>
      <protection locked="0"/>
    </xf>
    <xf numFmtId="0" fontId="304" fillId="94" borderId="218" xfId="1370" applyFont="1" applyFill="1" applyBorder="1" applyProtection="1">
      <protection locked="0"/>
    </xf>
    <xf numFmtId="169" fontId="326" fillId="94" borderId="49" xfId="1155" applyNumberFormat="1" applyFont="1" applyFill="1" applyBorder="1" applyAlignment="1" applyProtection="1">
      <alignment horizontal="right"/>
      <protection locked="0"/>
    </xf>
    <xf numFmtId="169" fontId="316" fillId="94" borderId="49" xfId="1155" applyNumberFormat="1" applyFont="1" applyFill="1" applyBorder="1" applyAlignment="1" applyProtection="1"/>
    <xf numFmtId="0" fontId="316" fillId="94" borderId="49" xfId="1370" applyFont="1" applyFill="1" applyBorder="1" applyProtection="1">
      <protection locked="0"/>
    </xf>
    <xf numFmtId="0" fontId="316" fillId="94" borderId="49" xfId="1370" applyFont="1" applyFill="1" applyBorder="1" applyAlignment="1" applyProtection="1">
      <alignment horizontal="center"/>
      <protection locked="0"/>
    </xf>
    <xf numFmtId="0" fontId="279" fillId="94" borderId="49" xfId="1370" applyFont="1" applyFill="1" applyBorder="1" applyAlignment="1" applyProtection="1">
      <alignment horizontal="center"/>
      <protection locked="0"/>
    </xf>
    <xf numFmtId="0" fontId="279" fillId="94" borderId="49" xfId="1057" applyFont="1" applyFill="1" applyBorder="1" applyAlignment="1"/>
    <xf numFmtId="0" fontId="279" fillId="94" borderId="219" xfId="1057" applyFont="1" applyFill="1" applyBorder="1" applyAlignment="1"/>
    <xf numFmtId="0" fontId="277" fillId="0" borderId="0" xfId="1057" applyFont="1" applyAlignment="1">
      <alignment horizontal="right"/>
    </xf>
    <xf numFmtId="0" fontId="311" fillId="0" borderId="0" xfId="1057" applyFont="1" applyAlignment="1" applyProtection="1">
      <protection locked="0"/>
    </xf>
    <xf numFmtId="0" fontId="329" fillId="0" borderId="0" xfId="1370" applyFont="1" applyProtection="1">
      <protection locked="0"/>
    </xf>
    <xf numFmtId="169" fontId="294" fillId="0" borderId="72" xfId="1155" applyNumberFormat="1" applyFont="1" applyFill="1" applyBorder="1" applyProtection="1">
      <alignment vertical="top"/>
      <protection locked="0"/>
    </xf>
    <xf numFmtId="169" fontId="296" fillId="0" borderId="72" xfId="1155" applyNumberFormat="1" applyFont="1" applyFill="1" applyBorder="1">
      <alignment vertical="top"/>
    </xf>
    <xf numFmtId="169" fontId="296" fillId="0" borderId="72" xfId="1155" applyNumberFormat="1" applyFont="1" applyFill="1" applyBorder="1" applyProtection="1">
      <alignment vertical="top"/>
      <protection locked="0"/>
    </xf>
    <xf numFmtId="169" fontId="274" fillId="0" borderId="72" xfId="1155" applyNumberFormat="1" applyFont="1" applyFill="1" applyBorder="1" applyProtection="1">
      <alignment vertical="top"/>
      <protection locked="0"/>
    </xf>
    <xf numFmtId="169" fontId="274" fillId="0" borderId="73" xfId="1155" applyNumberFormat="1" applyFont="1" applyFill="1" applyBorder="1" applyProtection="1">
      <alignment vertical="top"/>
      <protection locked="0"/>
    </xf>
    <xf numFmtId="169" fontId="274" fillId="0" borderId="217" xfId="1155" applyNumberFormat="1" applyFont="1" applyFill="1" applyBorder="1" applyProtection="1">
      <alignment vertical="top"/>
      <protection locked="0"/>
    </xf>
    <xf numFmtId="169" fontId="294" fillId="0" borderId="220" xfId="1155" applyNumberFormat="1" applyFont="1" applyFill="1" applyBorder="1" applyAlignment="1" applyProtection="1"/>
    <xf numFmtId="169" fontId="317" fillId="56" borderId="220" xfId="1155" applyNumberFormat="1" applyFont="1" applyFill="1" applyBorder="1" applyAlignment="1" applyProtection="1"/>
    <xf numFmtId="0" fontId="296" fillId="0" borderId="220" xfId="1057" applyFont="1" applyBorder="1" applyAlignment="1"/>
    <xf numFmtId="169" fontId="296" fillId="0" borderId="220" xfId="1370" applyNumberFormat="1" applyFont="1" applyBorder="1" applyProtection="1">
      <protection locked="0"/>
    </xf>
    <xf numFmtId="169" fontId="274" fillId="0" borderId="220" xfId="1370" applyNumberFormat="1" applyFont="1" applyBorder="1" applyProtection="1">
      <protection locked="0"/>
    </xf>
    <xf numFmtId="169" fontId="274" fillId="0" borderId="222" xfId="1370" applyNumberFormat="1" applyFont="1" applyBorder="1" applyProtection="1">
      <protection locked="0"/>
    </xf>
    <xf numFmtId="169" fontId="296" fillId="0" borderId="0" xfId="1370" applyNumberFormat="1" applyFont="1" applyProtection="1">
      <protection locked="0"/>
    </xf>
    <xf numFmtId="169" fontId="274" fillId="0" borderId="0" xfId="1370" applyNumberFormat="1" applyFont="1" applyProtection="1">
      <protection locked="0"/>
    </xf>
    <xf numFmtId="0" fontId="297" fillId="0" borderId="0" xfId="1370" applyFont="1" applyProtection="1">
      <protection locked="0"/>
    </xf>
    <xf numFmtId="0" fontId="297" fillId="0" borderId="0" xfId="1057" applyFont="1" applyAlignment="1" applyProtection="1">
      <protection locked="0"/>
    </xf>
    <xf numFmtId="169" fontId="325" fillId="0" borderId="0" xfId="1155" applyNumberFormat="1" applyFont="1" applyFill="1" applyBorder="1" applyAlignment="1" applyProtection="1"/>
    <xf numFmtId="169" fontId="330" fillId="0" borderId="0" xfId="1155" applyNumberFormat="1" applyFont="1" applyFill="1" applyBorder="1" applyAlignment="1" applyProtection="1"/>
    <xf numFmtId="0" fontId="297" fillId="0" borderId="0" xfId="1057" applyFont="1" applyAlignment="1"/>
    <xf numFmtId="169" fontId="297" fillId="0" borderId="0" xfId="1370" applyNumberFormat="1" applyFont="1" applyProtection="1">
      <protection locked="0"/>
    </xf>
    <xf numFmtId="169" fontId="280" fillId="0" borderId="0" xfId="1370" applyNumberFormat="1" applyFont="1" applyProtection="1">
      <protection locked="0"/>
    </xf>
    <xf numFmtId="0" fontId="280" fillId="0" borderId="0" xfId="1370" applyFont="1" applyAlignment="1" applyProtection="1">
      <alignment horizontal="center"/>
      <protection locked="0"/>
    </xf>
    <xf numFmtId="0" fontId="294" fillId="0" borderId="221" xfId="1370" applyFont="1" applyBorder="1" applyProtection="1">
      <protection locked="0"/>
    </xf>
    <xf numFmtId="0" fontId="306" fillId="0" borderId="0" xfId="1057" applyFont="1" applyAlignment="1"/>
    <xf numFmtId="220" fontId="331" fillId="0" borderId="0" xfId="1155" applyFont="1" applyFill="1" applyBorder="1" applyAlignment="1" applyProtection="1">
      <alignment horizontal="left" vertical="center"/>
    </xf>
    <xf numFmtId="0" fontId="306" fillId="0" borderId="0" xfId="1155" applyNumberFormat="1" applyFont="1" applyFill="1" applyBorder="1" applyAlignment="1" applyProtection="1"/>
    <xf numFmtId="0" fontId="332" fillId="0" borderId="0" xfId="1057" applyFont="1" applyAlignment="1"/>
    <xf numFmtId="0" fontId="291" fillId="0" borderId="0" xfId="1057" applyFont="1" applyAlignment="1"/>
    <xf numFmtId="0" fontId="307" fillId="0" borderId="0" xfId="1057" applyFont="1" applyAlignment="1"/>
    <xf numFmtId="0" fontId="308" fillId="0" borderId="0" xfId="1057" applyFont="1" applyAlignment="1"/>
    <xf numFmtId="10" fontId="306" fillId="0" borderId="0" xfId="1057" applyNumberFormat="1" applyFont="1" applyAlignment="1"/>
    <xf numFmtId="220" fontId="301" fillId="0" borderId="0" xfId="1155" applyFont="1" applyFill="1" applyBorder="1" applyAlignment="1" applyProtection="1"/>
    <xf numFmtId="220" fontId="333" fillId="0" borderId="0" xfId="1155" applyFont="1" applyFill="1" applyBorder="1" applyAlignment="1" applyProtection="1"/>
    <xf numFmtId="220" fontId="306" fillId="0" borderId="0" xfId="1155" applyFont="1" applyFill="1" applyBorder="1" applyAlignment="1" applyProtection="1"/>
    <xf numFmtId="0" fontId="334" fillId="0" borderId="0" xfId="1057" applyFont="1" applyAlignment="1"/>
    <xf numFmtId="0" fontId="333" fillId="0" borderId="0" xfId="1057" applyFont="1" applyAlignment="1">
      <alignment vertical="center"/>
    </xf>
    <xf numFmtId="0" fontId="334" fillId="0" borderId="0" xfId="1057" applyFont="1" applyAlignment="1">
      <alignment vertical="center"/>
    </xf>
    <xf numFmtId="0" fontId="294" fillId="0" borderId="0" xfId="1155" applyNumberFormat="1" applyFont="1" applyFill="1" applyBorder="1" applyAlignment="1" applyProtection="1">
      <alignment horizontal="left" vertical="center"/>
    </xf>
    <xf numFmtId="220" fontId="294" fillId="0" borderId="0" xfId="1057" applyNumberFormat="1" applyFont="1" applyAlignment="1"/>
    <xf numFmtId="220" fontId="296" fillId="0" borderId="0" xfId="1155" applyFont="1" applyFill="1" applyBorder="1" applyAlignment="1" applyProtection="1"/>
    <xf numFmtId="0" fontId="295" fillId="0" borderId="22" xfId="1057" applyFont="1" applyBorder="1" applyAlignment="1" applyProtection="1">
      <alignment horizontal="left" vertical="center"/>
      <protection locked="0"/>
    </xf>
    <xf numFmtId="169" fontId="295" fillId="0" borderId="22" xfId="1057" applyNumberFormat="1" applyFont="1" applyBorder="1" applyAlignment="1" applyProtection="1">
      <alignment horizontal="center" vertical="center"/>
      <protection locked="0"/>
    </xf>
    <xf numFmtId="10" fontId="294" fillId="0" borderId="22" xfId="1057" applyNumberFormat="1" applyFont="1" applyBorder="1" applyAlignment="1" applyProtection="1">
      <alignment horizontal="center" vertical="center"/>
      <protection locked="0"/>
    </xf>
    <xf numFmtId="37" fontId="294" fillId="0" borderId="22" xfId="1057" applyNumberFormat="1" applyFont="1" applyBorder="1" applyAlignment="1" applyProtection="1">
      <alignment horizontal="center" vertical="center"/>
      <protection locked="0"/>
    </xf>
    <xf numFmtId="0" fontId="294" fillId="0" borderId="25" xfId="1057" applyFont="1" applyBorder="1" applyAlignment="1" applyProtection="1">
      <alignment horizontal="left" vertical="center"/>
      <protection locked="0"/>
    </xf>
    <xf numFmtId="223" fontId="305" fillId="56" borderId="25" xfId="1390" applyNumberFormat="1" applyFont="1" applyFill="1" applyBorder="1" applyProtection="1">
      <alignment vertical="top"/>
      <protection locked="0"/>
    </xf>
    <xf numFmtId="10" fontId="294" fillId="0" borderId="25" xfId="1057" applyNumberFormat="1" applyFont="1" applyBorder="1" applyAlignment="1" applyProtection="1">
      <alignment horizontal="center" vertical="center"/>
      <protection locked="0"/>
    </xf>
    <xf numFmtId="223" fontId="296" fillId="0" borderId="25" xfId="1390" applyNumberFormat="1" applyFont="1" applyFill="1" applyBorder="1" applyAlignment="1" applyProtection="1">
      <alignment horizontal="center" vertical="center" wrapText="1"/>
    </xf>
    <xf numFmtId="223" fontId="296" fillId="73" borderId="25" xfId="1390" applyNumberFormat="1" applyFont="1" applyFill="1" applyBorder="1" applyAlignment="1" applyProtection="1">
      <alignment horizontal="center" vertical="center" wrapText="1"/>
    </xf>
    <xf numFmtId="0" fontId="294" fillId="0" borderId="0" xfId="1057" applyFont="1" applyAlignment="1" applyProtection="1">
      <alignment horizontal="left" vertical="center"/>
      <protection locked="0"/>
    </xf>
    <xf numFmtId="169" fontId="294" fillId="0" borderId="0" xfId="1057" applyNumberFormat="1" applyFont="1" applyAlignment="1" applyProtection="1">
      <alignment horizontal="center" vertical="center"/>
      <protection locked="0"/>
    </xf>
    <xf numFmtId="10" fontId="294" fillId="0" borderId="0" xfId="1057" applyNumberFormat="1" applyFont="1" applyAlignment="1" applyProtection="1">
      <alignment horizontal="center" vertical="center"/>
      <protection locked="0"/>
    </xf>
    <xf numFmtId="169" fontId="296" fillId="0" borderId="0" xfId="1155" applyNumberFormat="1" applyFont="1" applyFill="1" applyBorder="1" applyAlignment="1" applyProtection="1">
      <alignment horizontal="center" vertical="center" wrapText="1"/>
    </xf>
    <xf numFmtId="37" fontId="294" fillId="0" borderId="24" xfId="1057" applyNumberFormat="1" applyFont="1" applyBorder="1" applyAlignment="1" applyProtection="1">
      <alignment horizontal="center" vertical="center"/>
      <protection locked="0"/>
    </xf>
    <xf numFmtId="0" fontId="294" fillId="0" borderId="23" xfId="1057" applyFont="1" applyBorder="1" applyAlignment="1" applyProtection="1">
      <alignment horizontal="left" vertical="center"/>
      <protection locked="0"/>
    </xf>
    <xf numFmtId="169" fontId="294" fillId="0" borderId="23" xfId="1057" applyNumberFormat="1" applyFont="1" applyBorder="1" applyAlignment="1" applyProtection="1">
      <alignment horizontal="center" vertical="center"/>
      <protection locked="0"/>
    </xf>
    <xf numFmtId="169" fontId="296" fillId="0" borderId="23" xfId="1155" applyNumberFormat="1" applyFont="1" applyFill="1" applyBorder="1" applyAlignment="1" applyProtection="1">
      <alignment horizontal="center" vertical="center" wrapText="1"/>
    </xf>
    <xf numFmtId="0" fontId="294" fillId="0" borderId="23" xfId="1155" applyNumberFormat="1" applyFont="1" applyFill="1" applyBorder="1" applyAlignment="1" applyProtection="1">
      <alignment horizontal="left" vertical="center" wrapText="1"/>
    </xf>
    <xf numFmtId="0" fontId="295" fillId="0" borderId="23" xfId="1155" applyNumberFormat="1" applyFont="1" applyFill="1" applyBorder="1" applyAlignment="1" applyProtection="1">
      <alignment horizontal="left" vertical="center" wrapText="1"/>
    </xf>
    <xf numFmtId="37" fontId="296" fillId="0" borderId="23" xfId="1155" applyNumberFormat="1" applyFont="1" applyFill="1" applyBorder="1" applyAlignment="1" applyProtection="1">
      <alignment horizontal="center" vertical="center"/>
    </xf>
    <xf numFmtId="169" fontId="296" fillId="0" borderId="23" xfId="1155" applyNumberFormat="1" applyFont="1" applyFill="1" applyBorder="1" applyAlignment="1" applyProtection="1">
      <alignment horizontal="center" vertical="center"/>
    </xf>
    <xf numFmtId="169" fontId="296" fillId="56" borderId="25" xfId="1155" applyNumberFormat="1" applyFont="1" applyFill="1" applyBorder="1" applyAlignment="1" applyProtection="1">
      <alignment horizontal="center" vertical="center"/>
    </xf>
    <xf numFmtId="0" fontId="296" fillId="56" borderId="0" xfId="1057" applyFont="1" applyFill="1" applyAlignment="1"/>
    <xf numFmtId="0" fontId="294" fillId="0" borderId="0" xfId="1155" applyNumberFormat="1" applyFont="1" applyFill="1" applyBorder="1" applyAlignment="1" applyProtection="1">
      <alignment horizontal="left" vertical="center" wrapText="1"/>
    </xf>
    <xf numFmtId="37" fontId="296" fillId="0" borderId="0" xfId="1155" applyNumberFormat="1" applyFont="1" applyFill="1" applyBorder="1" applyAlignment="1" applyProtection="1">
      <alignment horizontal="center" vertical="center"/>
    </xf>
    <xf numFmtId="223" fontId="296" fillId="0" borderId="0" xfId="1390" applyNumberFormat="1" applyFont="1" applyFill="1" applyBorder="1" applyAlignment="1" applyProtection="1">
      <alignment horizontal="center" vertical="center"/>
    </xf>
    <xf numFmtId="263" fontId="296" fillId="0" borderId="0" xfId="1155" applyNumberFormat="1" applyFont="1" applyFill="1" applyBorder="1" applyAlignment="1" applyProtection="1">
      <alignment horizontal="center" vertical="center"/>
    </xf>
    <xf numFmtId="9" fontId="314" fillId="0" borderId="0" xfId="1390" applyFont="1" applyFill="1" applyBorder="1" applyAlignment="1" applyProtection="1"/>
    <xf numFmtId="169" fontId="317" fillId="56" borderId="80" xfId="1057" applyNumberFormat="1" applyFont="1" applyFill="1" applyBorder="1" applyAlignment="1" applyProtection="1">
      <alignment horizontal="center" vertical="center"/>
      <protection locked="0"/>
    </xf>
    <xf numFmtId="37" fontId="294" fillId="0" borderId="22" xfId="1155" applyNumberFormat="1" applyFont="1" applyFill="1" applyBorder="1" applyAlignment="1" applyProtection="1">
      <alignment horizontal="center" vertical="center"/>
      <protection locked="0"/>
    </xf>
    <xf numFmtId="0" fontId="296" fillId="0" borderId="23" xfId="1057" applyFont="1" applyBorder="1" applyAlignment="1" applyProtection="1">
      <alignment horizontal="left" vertical="center"/>
      <protection locked="0"/>
    </xf>
    <xf numFmtId="169" fontId="296" fillId="0" borderId="23" xfId="1057" applyNumberFormat="1" applyFont="1" applyBorder="1" applyAlignment="1" applyProtection="1">
      <alignment horizontal="center" vertical="center"/>
      <protection locked="0"/>
    </xf>
    <xf numFmtId="10" fontId="296" fillId="0" borderId="23" xfId="1390" applyNumberFormat="1" applyFont="1" applyFill="1" applyBorder="1" applyAlignment="1" applyProtection="1">
      <alignment horizontal="center" vertical="center"/>
      <protection locked="0"/>
    </xf>
    <xf numFmtId="169" fontId="296" fillId="0" borderId="23" xfId="1155" applyNumberFormat="1" applyFont="1" applyFill="1" applyBorder="1" applyAlignment="1" applyProtection="1">
      <alignment horizontal="right" vertical="center"/>
      <protection locked="0"/>
    </xf>
    <xf numFmtId="0" fontId="296" fillId="0" borderId="23" xfId="1155" applyNumberFormat="1" applyFont="1" applyFill="1" applyBorder="1" applyAlignment="1" applyProtection="1">
      <alignment horizontal="left" vertical="center" wrapText="1"/>
    </xf>
    <xf numFmtId="169" fontId="296" fillId="0" borderId="198" xfId="1155" applyNumberFormat="1" applyFont="1" applyFill="1" applyBorder="1" applyAlignment="1" applyProtection="1">
      <alignment horizontal="center" vertical="center" wrapText="1"/>
    </xf>
    <xf numFmtId="169" fontId="296" fillId="0" borderId="23" xfId="1155" applyNumberFormat="1" applyFont="1" applyFill="1" applyBorder="1" applyAlignment="1" applyProtection="1">
      <alignment horizontal="right" vertical="center" wrapText="1"/>
    </xf>
    <xf numFmtId="0" fontId="335" fillId="0" borderId="0" xfId="1057" applyFont="1" applyAlignment="1"/>
    <xf numFmtId="0" fontId="327" fillId="0" borderId="0" xfId="1057" applyFont="1" applyAlignment="1">
      <alignment vertical="center"/>
    </xf>
    <xf numFmtId="0" fontId="335" fillId="0" borderId="0" xfId="1057" applyFont="1" applyAlignment="1">
      <alignment vertical="center"/>
    </xf>
    <xf numFmtId="263" fontId="294" fillId="0" borderId="23" xfId="1155" applyNumberFormat="1" applyFont="1" applyFill="1" applyBorder="1" applyAlignment="1" applyProtection="1">
      <alignment horizontal="center" vertical="center" wrapText="1"/>
    </xf>
    <xf numFmtId="263" fontId="296" fillId="0" borderId="0" xfId="1057" applyNumberFormat="1" applyFont="1" applyAlignment="1"/>
    <xf numFmtId="169" fontId="296" fillId="0" borderId="0" xfId="1057" applyNumberFormat="1" applyFont="1" applyAlignment="1"/>
    <xf numFmtId="169" fontId="295" fillId="0" borderId="22" xfId="1155" applyNumberFormat="1" applyFont="1" applyFill="1" applyBorder="1" applyAlignment="1" applyProtection="1">
      <alignment horizontal="right" vertical="center"/>
      <protection locked="0"/>
    </xf>
    <xf numFmtId="169" fontId="294" fillId="0" borderId="22" xfId="1057" applyNumberFormat="1" applyFont="1" applyBorder="1" applyAlignment="1" applyProtection="1">
      <alignment horizontal="center" vertical="center"/>
      <protection locked="0"/>
    </xf>
    <xf numFmtId="0" fontId="318" fillId="0" borderId="0" xfId="1057" applyFont="1" applyAlignment="1"/>
    <xf numFmtId="10" fontId="296" fillId="0" borderId="23" xfId="1390" applyNumberFormat="1" applyFont="1" applyFill="1" applyBorder="1" applyAlignment="1" applyProtection="1">
      <alignment horizontal="center" vertical="center"/>
    </xf>
    <xf numFmtId="37" fontId="296" fillId="0" borderId="23" xfId="1155" applyNumberFormat="1" applyFont="1" applyFill="1" applyBorder="1" applyAlignment="1" applyProtection="1">
      <alignment horizontal="center" vertical="center" wrapText="1"/>
    </xf>
    <xf numFmtId="0" fontId="278" fillId="124" borderId="65" xfId="1370" applyFont="1" applyFill="1" applyBorder="1" applyProtection="1">
      <protection locked="0"/>
    </xf>
    <xf numFmtId="0" fontId="279" fillId="130" borderId="65" xfId="1057" applyFont="1" applyFill="1" applyBorder="1" applyAlignment="1"/>
    <xf numFmtId="0" fontId="279" fillId="130" borderId="66" xfId="1057" applyFont="1" applyFill="1" applyBorder="1" applyAlignment="1"/>
    <xf numFmtId="0" fontId="304" fillId="124" borderId="135" xfId="1370" applyFont="1" applyFill="1" applyBorder="1" applyAlignment="1" applyProtection="1">
      <alignment horizontal="center" vertical="center"/>
      <protection locked="0"/>
    </xf>
    <xf numFmtId="0" fontId="278" fillId="124" borderId="135" xfId="1370" applyFont="1" applyFill="1" applyBorder="1" applyAlignment="1" applyProtection="1">
      <alignment horizontal="center" vertical="center"/>
      <protection locked="0"/>
    </xf>
    <xf numFmtId="0" fontId="278" fillId="130" borderId="135" xfId="1057" applyFont="1" applyFill="1" applyBorder="1" applyAlignment="1">
      <alignment horizontal="center"/>
    </xf>
    <xf numFmtId="0" fontId="278" fillId="130" borderId="68" xfId="1057" applyFont="1" applyFill="1" applyBorder="1" applyAlignment="1">
      <alignment horizontal="center"/>
    </xf>
    <xf numFmtId="0" fontId="304" fillId="124" borderId="57" xfId="1370" applyFont="1" applyFill="1" applyBorder="1" applyAlignment="1" applyProtection="1">
      <alignment horizontal="center" vertical="center"/>
      <protection locked="0"/>
    </xf>
    <xf numFmtId="0" fontId="278" fillId="124" borderId="57" xfId="1370" applyFont="1" applyFill="1" applyBorder="1" applyAlignment="1" applyProtection="1">
      <alignment horizontal="center" vertical="center"/>
      <protection locked="0"/>
    </xf>
    <xf numFmtId="9" fontId="278" fillId="124" borderId="57" xfId="1390" applyFont="1" applyFill="1" applyBorder="1" applyAlignment="1" applyProtection="1">
      <alignment horizontal="center" vertical="center"/>
    </xf>
    <xf numFmtId="0" fontId="279" fillId="130" borderId="57" xfId="1057" applyFont="1" applyFill="1" applyBorder="1" applyAlignment="1"/>
    <xf numFmtId="0" fontId="279" fillId="130" borderId="70" xfId="1057" applyFont="1" applyFill="1" applyBorder="1" applyAlignment="1"/>
    <xf numFmtId="169" fontId="304" fillId="125" borderId="62" xfId="1155" applyNumberFormat="1" applyFont="1" applyFill="1" applyBorder="1" applyAlignment="1" applyProtection="1">
      <alignment vertical="center"/>
      <protection locked="0"/>
    </xf>
    <xf numFmtId="169" fontId="278" fillId="125" borderId="62" xfId="1155" applyNumberFormat="1" applyFont="1" applyFill="1" applyBorder="1" applyAlignment="1" applyProtection="1">
      <alignment vertical="center"/>
      <protection locked="0"/>
    </xf>
    <xf numFmtId="169" fontId="278" fillId="125" borderId="63" xfId="1155" applyNumberFormat="1" applyFont="1" applyFill="1" applyBorder="1" applyAlignment="1" applyProtection="1">
      <alignment vertical="center"/>
      <protection locked="0"/>
    </xf>
    <xf numFmtId="0" fontId="304" fillId="124" borderId="1" xfId="1370" applyFont="1" applyFill="1" applyBorder="1" applyAlignment="1" applyProtection="1">
      <alignment horizontal="center"/>
      <protection locked="0"/>
    </xf>
    <xf numFmtId="9" fontId="304" fillId="124" borderId="1" xfId="1390" applyFont="1" applyFill="1" applyBorder="1" applyAlignment="1" applyProtection="1">
      <alignment horizontal="center" vertical="center"/>
    </xf>
    <xf numFmtId="9" fontId="304" fillId="124" borderId="26" xfId="1390" applyFont="1" applyFill="1" applyBorder="1" applyAlignment="1" applyProtection="1">
      <alignment horizontal="center" vertical="center"/>
    </xf>
    <xf numFmtId="9" fontId="304" fillId="124" borderId="28" xfId="1390" applyFont="1" applyFill="1" applyBorder="1" applyAlignment="1" applyProtection="1">
      <alignment horizontal="center" vertical="center"/>
    </xf>
    <xf numFmtId="0" fontId="304" fillId="130" borderId="0" xfId="1057" applyFont="1" applyFill="1" applyAlignment="1">
      <alignment horizontal="center"/>
    </xf>
    <xf numFmtId="0" fontId="297" fillId="0" borderId="0" xfId="1155" applyNumberFormat="1" applyFont="1" applyFill="1" applyBorder="1" applyAlignment="1" applyProtection="1">
      <alignment horizontal="left" vertical="center"/>
    </xf>
    <xf numFmtId="263" fontId="297" fillId="0" borderId="0" xfId="1155" applyNumberFormat="1" applyFont="1" applyFill="1" applyBorder="1" applyAlignment="1" applyProtection="1">
      <alignment horizontal="center" vertical="center"/>
    </xf>
    <xf numFmtId="10" fontId="297" fillId="0" borderId="0" xfId="1390" applyNumberFormat="1" applyFont="1" applyFill="1" applyBorder="1" applyAlignment="1" applyProtection="1">
      <alignment horizontal="center" vertical="center"/>
    </xf>
    <xf numFmtId="0" fontId="294" fillId="0" borderId="80" xfId="1155" applyNumberFormat="1" applyFont="1" applyFill="1" applyBorder="1" applyAlignment="1" applyProtection="1">
      <alignment horizontal="left" vertical="center" wrapText="1"/>
    </xf>
    <xf numFmtId="169" fontId="294" fillId="0" borderId="80" xfId="1155" applyNumberFormat="1" applyFont="1" applyFill="1" applyBorder="1" applyAlignment="1" applyProtection="1">
      <alignment horizontal="right" vertical="center" wrapText="1"/>
    </xf>
    <xf numFmtId="10" fontId="294" fillId="0" borderId="80" xfId="1390" applyNumberFormat="1" applyFont="1" applyFill="1" applyBorder="1" applyAlignment="1" applyProtection="1">
      <alignment horizontal="center" vertical="center"/>
      <protection locked="0"/>
    </xf>
    <xf numFmtId="169" fontId="294" fillId="0" borderId="23" xfId="1155" applyNumberFormat="1" applyFont="1" applyFill="1" applyBorder="1" applyAlignment="1" applyProtection="1">
      <alignment horizontal="right" vertical="center" wrapText="1"/>
    </xf>
    <xf numFmtId="169" fontId="294" fillId="0" borderId="80" xfId="1155" applyNumberFormat="1" applyFont="1" applyFill="1" applyBorder="1" applyAlignment="1" applyProtection="1">
      <alignment horizontal="left" vertical="center" wrapText="1"/>
    </xf>
    <xf numFmtId="169" fontId="296" fillId="0" borderId="23" xfId="1155" applyNumberFormat="1" applyFont="1" applyFill="1" applyBorder="1" applyAlignment="1" applyProtection="1">
      <alignment vertical="center" wrapText="1"/>
    </xf>
    <xf numFmtId="0" fontId="296" fillId="0" borderId="84" xfId="1155" applyNumberFormat="1" applyFont="1" applyFill="1" applyBorder="1" applyAlignment="1" applyProtection="1">
      <alignment horizontal="left" vertical="center" wrapText="1"/>
    </xf>
    <xf numFmtId="169" fontId="296" fillId="0" borderId="85" xfId="1155" applyNumberFormat="1" applyFont="1" applyFill="1" applyBorder="1" applyAlignment="1" applyProtection="1">
      <alignment horizontal="right" vertical="center" wrapText="1"/>
    </xf>
    <xf numFmtId="169" fontId="296" fillId="0" borderId="85" xfId="1155" applyNumberFormat="1" applyFont="1" applyFill="1" applyBorder="1" applyAlignment="1" applyProtection="1">
      <alignment vertical="center" wrapText="1"/>
    </xf>
    <xf numFmtId="0" fontId="296" fillId="0" borderId="86" xfId="1155" applyNumberFormat="1" applyFont="1" applyFill="1" applyBorder="1" applyAlignment="1" applyProtection="1">
      <alignment horizontal="left" vertical="center" wrapText="1"/>
    </xf>
    <xf numFmtId="169" fontId="296" fillId="0" borderId="80" xfId="1155" applyNumberFormat="1" applyFont="1" applyFill="1" applyBorder="1" applyAlignment="1" applyProtection="1">
      <alignment horizontal="right" vertical="center" wrapText="1"/>
    </xf>
    <xf numFmtId="169" fontId="296" fillId="0" borderId="80" xfId="1155" applyNumberFormat="1" applyFont="1" applyFill="1" applyBorder="1" applyAlignment="1" applyProtection="1">
      <alignment vertical="center" wrapText="1"/>
    </xf>
    <xf numFmtId="0" fontId="296" fillId="0" borderId="87" xfId="1155" applyNumberFormat="1" applyFont="1" applyFill="1" applyBorder="1" applyAlignment="1" applyProtection="1">
      <alignment horizontal="left" vertical="center" wrapText="1"/>
    </xf>
    <xf numFmtId="169" fontId="296" fillId="0" borderId="88" xfId="1155" applyNumberFormat="1" applyFont="1" applyFill="1" applyBorder="1" applyAlignment="1" applyProtection="1">
      <alignment horizontal="right" vertical="center" wrapText="1"/>
    </xf>
    <xf numFmtId="169" fontId="296" fillId="0" borderId="88" xfId="1155" applyNumberFormat="1" applyFont="1" applyFill="1" applyBorder="1" applyAlignment="1" applyProtection="1">
      <alignment vertical="center" wrapText="1"/>
    </xf>
    <xf numFmtId="169" fontId="306" fillId="0" borderId="0" xfId="1057" applyNumberFormat="1" applyFont="1" applyAlignment="1"/>
    <xf numFmtId="169" fontId="294" fillId="56" borderId="80" xfId="1155" applyNumberFormat="1" applyFont="1" applyFill="1" applyBorder="1" applyAlignment="1" applyProtection="1">
      <alignment horizontal="left" vertical="center" wrapText="1"/>
    </xf>
    <xf numFmtId="10" fontId="296" fillId="0" borderId="23" xfId="1057" applyNumberFormat="1" applyFont="1" applyBorder="1" applyAlignment="1" applyProtection="1">
      <alignment horizontal="center" vertical="center"/>
      <protection locked="0"/>
    </xf>
    <xf numFmtId="0" fontId="296" fillId="56" borderId="25" xfId="1155" applyNumberFormat="1" applyFont="1" applyFill="1" applyBorder="1" applyAlignment="1" applyProtection="1">
      <alignment horizontal="left" vertical="center" wrapText="1"/>
    </xf>
    <xf numFmtId="169" fontId="296" fillId="56" borderId="25" xfId="1057" applyNumberFormat="1" applyFont="1" applyFill="1" applyBorder="1" applyAlignment="1" applyProtection="1">
      <alignment horizontal="center" vertical="center"/>
      <protection locked="0"/>
    </xf>
    <xf numFmtId="0" fontId="337" fillId="0" borderId="0" xfId="1057" applyFont="1" applyAlignment="1"/>
    <xf numFmtId="169" fontId="294" fillId="0" borderId="23" xfId="1155" applyNumberFormat="1" applyFont="1" applyFill="1" applyBorder="1" applyAlignment="1" applyProtection="1">
      <alignment vertical="center" wrapText="1"/>
    </xf>
    <xf numFmtId="0" fontId="336" fillId="0" borderId="0" xfId="1057" applyFont="1" applyAlignment="1"/>
    <xf numFmtId="0" fontId="296" fillId="0" borderId="214" xfId="1155" applyNumberFormat="1" applyFont="1" applyFill="1" applyBorder="1" applyAlignment="1" applyProtection="1">
      <alignment horizontal="left" vertical="center" wrapText="1"/>
    </xf>
    <xf numFmtId="169" fontId="296" fillId="0" borderId="214" xfId="1057" applyNumberFormat="1" applyFont="1" applyBorder="1" applyAlignment="1" applyProtection="1">
      <alignment horizontal="center" vertical="center"/>
      <protection locked="0"/>
    </xf>
    <xf numFmtId="220" fontId="296" fillId="0" borderId="214" xfId="1155" applyFont="1" applyFill="1" applyBorder="1" applyAlignment="1" applyProtection="1">
      <alignment horizontal="center" vertical="center"/>
    </xf>
    <xf numFmtId="169" fontId="296" fillId="0" borderId="214" xfId="1155" applyNumberFormat="1" applyFont="1" applyFill="1" applyBorder="1" applyAlignment="1" applyProtection="1">
      <alignment horizontal="center" vertical="center"/>
    </xf>
    <xf numFmtId="169" fontId="296" fillId="0" borderId="214" xfId="1155" applyNumberFormat="1" applyFont="1" applyFill="1" applyBorder="1" applyAlignment="1" applyProtection="1">
      <alignment horizontal="left" vertical="center" wrapText="1"/>
    </xf>
    <xf numFmtId="37" fontId="296" fillId="0" borderId="214" xfId="1155" applyNumberFormat="1" applyFont="1" applyFill="1" applyBorder="1" applyAlignment="1" applyProtection="1">
      <alignment horizontal="right" vertical="center"/>
    </xf>
    <xf numFmtId="0" fontId="296" fillId="0" borderId="224" xfId="1155" applyNumberFormat="1" applyFont="1" applyFill="1" applyBorder="1" applyAlignment="1" applyProtection="1">
      <alignment horizontal="left" vertical="center" wrapText="1"/>
    </xf>
    <xf numFmtId="169" fontId="296" fillId="0" borderId="224" xfId="1057" applyNumberFormat="1" applyFont="1" applyBorder="1" applyAlignment="1" applyProtection="1">
      <alignment horizontal="center" vertical="center"/>
      <protection locked="0"/>
    </xf>
    <xf numFmtId="169" fontId="296" fillId="0" borderId="224" xfId="1155" applyNumberFormat="1" applyFont="1" applyFill="1" applyBorder="1" applyAlignment="1" applyProtection="1">
      <alignment horizontal="center" vertical="center"/>
    </xf>
    <xf numFmtId="0" fontId="317" fillId="0" borderId="223" xfId="1155" applyNumberFormat="1" applyFont="1" applyFill="1" applyBorder="1" applyAlignment="1" applyProtection="1">
      <alignment horizontal="left" vertical="center" wrapText="1"/>
    </xf>
    <xf numFmtId="169" fontId="317" fillId="56" borderId="223" xfId="1057" applyNumberFormat="1" applyFont="1" applyFill="1" applyBorder="1" applyAlignment="1" applyProtection="1">
      <alignment horizontal="center" vertical="center"/>
      <protection locked="0"/>
    </xf>
    <xf numFmtId="0" fontId="295" fillId="0" borderId="225" xfId="1155" applyNumberFormat="1" applyFont="1" applyFill="1" applyBorder="1" applyAlignment="1" applyProtection="1">
      <alignment horizontal="left" vertical="center" wrapText="1"/>
    </xf>
    <xf numFmtId="263" fontId="294" fillId="0" borderId="225" xfId="1155" applyNumberFormat="1" applyFont="1" applyFill="1" applyBorder="1" applyAlignment="1" applyProtection="1">
      <alignment horizontal="center" vertical="center" wrapText="1"/>
    </xf>
    <xf numFmtId="37" fontId="296" fillId="0" borderId="225" xfId="1155" applyNumberFormat="1" applyFont="1" applyFill="1" applyBorder="1" applyAlignment="1" applyProtection="1">
      <alignment horizontal="center" vertical="center"/>
    </xf>
    <xf numFmtId="0" fontId="327" fillId="0" borderId="184" xfId="1155" applyNumberFormat="1" applyFont="1" applyFill="1" applyBorder="1" applyAlignment="1" applyProtection="1">
      <alignment horizontal="left" vertical="center" wrapText="1"/>
    </xf>
    <xf numFmtId="169" fontId="327" fillId="0" borderId="184" xfId="1155" applyNumberFormat="1" applyFont="1" applyFill="1" applyBorder="1" applyAlignment="1" applyProtection="1">
      <alignment horizontal="right" vertical="center" wrapText="1"/>
    </xf>
    <xf numFmtId="169" fontId="327" fillId="0" borderId="184" xfId="1155" applyNumberFormat="1" applyFont="1" applyFill="1" applyBorder="1" applyAlignment="1" applyProtection="1">
      <alignment horizontal="left" vertical="center" wrapText="1"/>
    </xf>
    <xf numFmtId="169" fontId="335" fillId="0" borderId="184" xfId="1155" applyNumberFormat="1" applyFont="1" applyFill="1" applyBorder="1" applyAlignment="1" applyProtection="1">
      <alignment vertical="center" wrapText="1"/>
    </xf>
    <xf numFmtId="0" fontId="296" fillId="0" borderId="0" xfId="1155" applyNumberFormat="1" applyFont="1" applyFill="1" applyBorder="1" applyAlignment="1" applyProtection="1">
      <alignment horizontal="left" vertical="center" wrapText="1"/>
    </xf>
    <xf numFmtId="169" fontId="296" fillId="0" borderId="0" xfId="1057" applyNumberFormat="1" applyFont="1" applyAlignment="1" applyProtection="1">
      <alignment horizontal="center" vertical="center"/>
      <protection locked="0"/>
    </xf>
    <xf numFmtId="9" fontId="296" fillId="0" borderId="0" xfId="1390" applyFont="1" applyFill="1" applyBorder="1">
      <alignment vertical="top"/>
    </xf>
    <xf numFmtId="0" fontId="296" fillId="0" borderId="204" xfId="1057" applyFont="1" applyBorder="1" applyAlignment="1"/>
    <xf numFmtId="223" fontId="296" fillId="0" borderId="204" xfId="1390" applyNumberFormat="1" applyFont="1" applyFill="1" applyBorder="1">
      <alignment vertical="top"/>
    </xf>
    <xf numFmtId="263" fontId="296" fillId="0" borderId="204" xfId="1057" applyNumberFormat="1" applyFont="1" applyBorder="1" applyAlignment="1"/>
    <xf numFmtId="0" fontId="296" fillId="0" borderId="226" xfId="1057" applyFont="1" applyBorder="1" applyAlignment="1"/>
    <xf numFmtId="9" fontId="296" fillId="0" borderId="226" xfId="1390" applyFont="1" applyFill="1" applyBorder="1">
      <alignment vertical="top"/>
    </xf>
    <xf numFmtId="263" fontId="296" fillId="0" borderId="226" xfId="1057" applyNumberFormat="1" applyFont="1" applyBorder="1" applyAlignment="1"/>
    <xf numFmtId="0" fontId="294" fillId="0" borderId="226" xfId="1057" applyFont="1" applyBorder="1" applyAlignment="1"/>
    <xf numFmtId="169" fontId="294" fillId="56" borderId="226" xfId="1057" applyNumberFormat="1" applyFont="1" applyFill="1" applyBorder="1" applyAlignment="1"/>
    <xf numFmtId="169" fontId="296" fillId="0" borderId="226" xfId="1155" applyNumberFormat="1" applyFont="1" applyFill="1" applyBorder="1" applyAlignment="1" applyProtection="1"/>
    <xf numFmtId="0" fontId="296" fillId="0" borderId="205" xfId="1057" applyFont="1" applyBorder="1" applyAlignment="1"/>
    <xf numFmtId="0" fontId="294" fillId="0" borderId="227" xfId="1155" applyNumberFormat="1" applyFont="1" applyFill="1" applyBorder="1" applyAlignment="1" applyProtection="1">
      <alignment horizontal="left" vertical="center" wrapText="1"/>
    </xf>
    <xf numFmtId="169" fontId="294" fillId="0" borderId="227" xfId="1155" applyNumberFormat="1" applyFont="1" applyFill="1" applyBorder="1" applyAlignment="1" applyProtection="1">
      <alignment horizontal="right" vertical="center" wrapText="1"/>
    </xf>
    <xf numFmtId="169" fontId="294" fillId="56" borderId="227" xfId="1155" applyNumberFormat="1" applyFont="1" applyFill="1" applyBorder="1" applyAlignment="1" applyProtection="1">
      <alignment horizontal="left" vertical="center" wrapText="1"/>
    </xf>
    <xf numFmtId="169" fontId="296" fillId="0" borderId="227" xfId="1155" applyNumberFormat="1" applyFont="1" applyFill="1" applyBorder="1" applyAlignment="1" applyProtection="1">
      <alignment vertical="center" wrapText="1"/>
    </xf>
    <xf numFmtId="0" fontId="296" fillId="0" borderId="227" xfId="1155" applyNumberFormat="1" applyFont="1" applyFill="1" applyBorder="1" applyAlignment="1" applyProtection="1">
      <alignment horizontal="left" vertical="center" wrapText="1"/>
    </xf>
    <xf numFmtId="10" fontId="296" fillId="0" borderId="227" xfId="1390" applyNumberFormat="1" applyFont="1" applyFill="1" applyBorder="1" applyAlignment="1" applyProtection="1">
      <alignment horizontal="center" vertical="center"/>
      <protection locked="0"/>
    </xf>
    <xf numFmtId="169" fontId="296" fillId="0" borderId="227" xfId="1155" applyNumberFormat="1" applyFont="1" applyFill="1" applyBorder="1" applyAlignment="1" applyProtection="1">
      <alignment horizontal="right" vertical="center" wrapText="1"/>
    </xf>
    <xf numFmtId="220" fontId="294" fillId="0" borderId="0" xfId="1155" applyFont="1" applyFill="1" applyBorder="1" applyAlignment="1" applyProtection="1">
      <alignment horizontal="center" vertical="center" wrapText="1"/>
      <protection locked="0"/>
    </xf>
    <xf numFmtId="169" fontId="304" fillId="124" borderId="228" xfId="1155" applyNumberFormat="1" applyFont="1" applyFill="1" applyBorder="1" applyAlignment="1" applyProtection="1">
      <alignment horizontal="center"/>
      <protection locked="0"/>
    </xf>
    <xf numFmtId="169" fontId="304" fillId="124" borderId="223" xfId="1155" applyNumberFormat="1" applyFont="1" applyFill="1" applyBorder="1" applyAlignment="1" applyProtection="1">
      <alignment horizontal="left" vertical="center"/>
      <protection locked="0"/>
    </xf>
    <xf numFmtId="169" fontId="316" fillId="124" borderId="223" xfId="1155" applyNumberFormat="1" applyFont="1" applyFill="1" applyBorder="1" applyAlignment="1" applyProtection="1">
      <alignment horizontal="center"/>
      <protection locked="0"/>
    </xf>
    <xf numFmtId="169" fontId="316" fillId="124" borderId="229" xfId="1155" applyNumberFormat="1" applyFont="1" applyFill="1" applyBorder="1" applyAlignment="1" applyProtection="1">
      <alignment horizontal="center"/>
      <protection locked="0"/>
    </xf>
    <xf numFmtId="169" fontId="304" fillId="124" borderId="230" xfId="1155" applyNumberFormat="1" applyFont="1" applyFill="1" applyBorder="1" applyAlignment="1" applyProtection="1">
      <alignment vertical="center"/>
      <protection locked="0"/>
    </xf>
    <xf numFmtId="169" fontId="304" fillId="124" borderId="223" xfId="1155" applyNumberFormat="1" applyFont="1" applyFill="1" applyBorder="1" applyAlignment="1" applyProtection="1">
      <protection locked="0"/>
    </xf>
    <xf numFmtId="0" fontId="322" fillId="2" borderId="0" xfId="1057" applyFont="1" applyFill="1" applyAlignment="1" applyProtection="1">
      <protection locked="0"/>
    </xf>
    <xf numFmtId="169" fontId="305" fillId="56" borderId="0" xfId="1155" applyNumberFormat="1" applyFont="1" applyFill="1" applyBorder="1" applyAlignment="1" applyProtection="1">
      <protection locked="0"/>
    </xf>
    <xf numFmtId="43" fontId="305" fillId="56" borderId="0" xfId="1155" applyNumberFormat="1" applyFont="1" applyFill="1" applyBorder="1" applyAlignment="1" applyProtection="1">
      <protection locked="0"/>
    </xf>
    <xf numFmtId="9" fontId="323" fillId="2" borderId="0" xfId="1390" applyFont="1" applyFill="1" applyBorder="1" applyAlignment="1" applyProtection="1">
      <alignment horizontal="center"/>
      <protection locked="0"/>
    </xf>
    <xf numFmtId="223" fontId="323" fillId="37" borderId="0" xfId="1390" applyNumberFormat="1" applyFont="1" applyFill="1" applyBorder="1" applyAlignment="1" applyProtection="1">
      <alignment horizontal="center"/>
      <protection locked="0"/>
    </xf>
    <xf numFmtId="169" fontId="323" fillId="2" borderId="0" xfId="1390" applyNumberFormat="1" applyFont="1" applyFill="1" applyBorder="1" applyAlignment="1" applyProtection="1">
      <alignment horizontal="center"/>
      <protection locked="0"/>
    </xf>
    <xf numFmtId="264" fontId="296" fillId="2" borderId="0" xfId="1057" applyNumberFormat="1" applyFont="1" applyFill="1" applyAlignment="1" applyProtection="1">
      <alignment horizontal="center"/>
      <protection locked="0"/>
    </xf>
    <xf numFmtId="169" fontId="323" fillId="2" borderId="215" xfId="1390" applyNumberFormat="1" applyFont="1" applyFill="1" applyBorder="1" applyAlignment="1" applyProtection="1">
      <alignment horizontal="center"/>
      <protection locked="0"/>
    </xf>
    <xf numFmtId="220" fontId="294" fillId="0" borderId="231" xfId="1155" applyFont="1" applyFill="1" applyBorder="1" applyAlignment="1" applyProtection="1">
      <alignment horizontal="center" vertical="center" wrapText="1"/>
      <protection locked="0"/>
    </xf>
    <xf numFmtId="0" fontId="286" fillId="0" borderId="0" xfId="0" applyFont="1">
      <alignment vertical="top"/>
    </xf>
    <xf numFmtId="0" fontId="286" fillId="0" borderId="0" xfId="1057" applyFont="1" applyAlignment="1">
      <alignment horizontal="center"/>
    </xf>
    <xf numFmtId="0" fontId="286" fillId="0" borderId="0" xfId="1057" applyFont="1" applyAlignment="1"/>
    <xf numFmtId="0" fontId="279" fillId="0" borderId="0" xfId="0" applyFont="1">
      <alignment vertical="top"/>
    </xf>
    <xf numFmtId="0" fontId="338" fillId="0" borderId="0" xfId="1057" applyFont="1" applyAlignment="1"/>
    <xf numFmtId="0" fontId="339" fillId="0" borderId="0" xfId="1057" applyFont="1" applyAlignment="1">
      <alignment horizontal="center"/>
    </xf>
    <xf numFmtId="0" fontId="338" fillId="0" borderId="0" xfId="1057" applyFont="1" applyAlignment="1">
      <alignment vertical="center"/>
    </xf>
    <xf numFmtId="0" fontId="339" fillId="0" borderId="0" xfId="1057" applyFont="1" applyAlignment="1"/>
    <xf numFmtId="0" fontId="286" fillId="0" borderId="0" xfId="0" applyFont="1" applyAlignment="1">
      <alignment vertical="center"/>
    </xf>
    <xf numFmtId="0" fontId="296" fillId="0" borderId="0" xfId="1057" applyFont="1" applyAlignment="1">
      <alignment horizontal="center"/>
    </xf>
    <xf numFmtId="0" fontId="296" fillId="0" borderId="0" xfId="0" applyFont="1">
      <alignment vertical="top"/>
    </xf>
    <xf numFmtId="169" fontId="296" fillId="0" borderId="0" xfId="1155" applyNumberFormat="1" applyFont="1">
      <alignment vertical="top"/>
    </xf>
    <xf numFmtId="0" fontId="316" fillId="0" borderId="0" xfId="0" applyFont="1">
      <alignment vertical="top"/>
    </xf>
    <xf numFmtId="0" fontId="294" fillId="0" borderId="22" xfId="1057" applyFont="1" applyBorder="1" applyAlignment="1">
      <alignment horizontal="center"/>
    </xf>
    <xf numFmtId="0" fontId="294" fillId="0" borderId="22" xfId="1057" applyFont="1" applyBorder="1" applyAlignment="1"/>
    <xf numFmtId="169" fontId="294" fillId="0" borderId="23" xfId="1057" applyNumberFormat="1" applyFont="1" applyBorder="1" applyAlignment="1"/>
    <xf numFmtId="220" fontId="296" fillId="0" borderId="22" xfId="1155" applyFont="1" applyBorder="1">
      <alignment vertical="top"/>
    </xf>
    <xf numFmtId="38" fontId="294" fillId="0" borderId="22" xfId="1057" applyNumberFormat="1" applyFont="1" applyBorder="1" applyAlignment="1"/>
    <xf numFmtId="0" fontId="294" fillId="0" borderId="23" xfId="1057" applyFont="1" applyBorder="1" applyAlignment="1">
      <alignment horizontal="right"/>
    </xf>
    <xf numFmtId="0" fontId="294" fillId="0" borderId="23" xfId="1057" applyFont="1" applyBorder="1" applyAlignment="1">
      <alignment horizontal="left" indent="1"/>
    </xf>
    <xf numFmtId="169" fontId="294" fillId="0" borderId="23" xfId="1155" applyNumberFormat="1" applyFont="1" applyFill="1" applyBorder="1" applyAlignment="1" applyProtection="1"/>
    <xf numFmtId="0" fontId="296" fillId="0" borderId="23" xfId="1057" applyFont="1" applyBorder="1" applyAlignment="1">
      <alignment horizontal="center"/>
    </xf>
    <xf numFmtId="0" fontId="296" fillId="0" borderId="23" xfId="1057" applyFont="1" applyBorder="1" applyAlignment="1">
      <alignment horizontal="left" indent="2"/>
    </xf>
    <xf numFmtId="169" fontId="296" fillId="0" borderId="23" xfId="1057" applyNumberFormat="1" applyFont="1" applyBorder="1" applyAlignment="1"/>
    <xf numFmtId="169" fontId="296" fillId="0" borderId="23" xfId="1155" applyNumberFormat="1" applyFont="1" applyFill="1" applyBorder="1" applyAlignment="1" applyProtection="1"/>
    <xf numFmtId="0" fontId="294" fillId="0" borderId="23" xfId="1057" applyFont="1" applyBorder="1" applyAlignment="1">
      <alignment horizontal="center"/>
    </xf>
    <xf numFmtId="0" fontId="296" fillId="0" borderId="23" xfId="1057" quotePrefix="1" applyFont="1" applyBorder="1" applyAlignment="1">
      <alignment horizontal="left" indent="2"/>
    </xf>
    <xf numFmtId="0" fontId="294" fillId="0" borderId="27" xfId="1057" applyFont="1" applyBorder="1" applyAlignment="1">
      <alignment horizontal="center"/>
    </xf>
    <xf numFmtId="0" fontId="294" fillId="0" borderId="23" xfId="1057" applyFont="1" applyBorder="1" applyAlignment="1"/>
    <xf numFmtId="0" fontId="296" fillId="0" borderId="27" xfId="1057" applyFont="1" applyBorder="1" applyAlignment="1">
      <alignment horizontal="center"/>
    </xf>
    <xf numFmtId="0" fontId="296" fillId="0" borderId="23" xfId="1057" applyFont="1" applyBorder="1" applyAlignment="1">
      <alignment horizontal="left" indent="1"/>
    </xf>
    <xf numFmtId="0" fontId="341" fillId="0" borderId="0" xfId="1057" applyFont="1" applyAlignment="1">
      <alignment horizontal="center"/>
    </xf>
    <xf numFmtId="169" fontId="341" fillId="0" borderId="0" xfId="1057" applyNumberFormat="1" applyFont="1" applyAlignment="1">
      <alignment horizontal="center"/>
    </xf>
    <xf numFmtId="169" fontId="294" fillId="0" borderId="0" xfId="1057" applyNumberFormat="1" applyFont="1" applyAlignment="1">
      <alignment vertical="center"/>
    </xf>
    <xf numFmtId="0" fontId="294" fillId="0" borderId="0" xfId="1057" applyFont="1" applyAlignment="1">
      <alignment vertical="center"/>
    </xf>
    <xf numFmtId="0" fontId="341" fillId="0" borderId="0" xfId="1057" applyFont="1" applyAlignment="1"/>
    <xf numFmtId="169" fontId="341" fillId="0" borderId="0" xfId="1057" applyNumberFormat="1" applyFont="1" applyAlignment="1"/>
    <xf numFmtId="169" fontId="314" fillId="0" borderId="0" xfId="1057" applyNumberFormat="1" applyFont="1" applyAlignment="1"/>
    <xf numFmtId="0" fontId="296" fillId="0" borderId="0" xfId="1057" applyFont="1" applyAlignment="1">
      <alignment horizontal="center" vertical="center"/>
    </xf>
    <xf numFmtId="0" fontId="296" fillId="0" borderId="0" xfId="0" applyFont="1" applyAlignment="1">
      <alignment vertical="center"/>
    </xf>
    <xf numFmtId="43" fontId="294" fillId="0" borderId="0" xfId="1057" applyNumberFormat="1" applyFont="1" applyAlignment="1">
      <alignment horizontal="right" vertical="center"/>
    </xf>
    <xf numFmtId="0" fontId="294" fillId="0" borderId="0" xfId="1057" applyFont="1" applyAlignment="1">
      <alignment horizontal="right" vertical="center"/>
    </xf>
    <xf numFmtId="0" fontId="296" fillId="0" borderId="0" xfId="1057" applyFont="1" applyAlignment="1">
      <alignment vertical="center"/>
    </xf>
    <xf numFmtId="0" fontId="304" fillId="0" borderId="0" xfId="1057" applyFont="1" applyAlignment="1">
      <alignment horizontal="right" vertical="center"/>
    </xf>
    <xf numFmtId="0" fontId="303" fillId="0" borderId="0" xfId="1057" applyFont="1" applyAlignment="1">
      <alignment horizontal="left" vertical="center"/>
    </xf>
    <xf numFmtId="43" fontId="305" fillId="0" borderId="0" xfId="1057" applyNumberFormat="1" applyFont="1" applyAlignment="1">
      <alignment horizontal="left" vertical="center"/>
    </xf>
    <xf numFmtId="265" fontId="303" fillId="0" borderId="0" xfId="1057" applyNumberFormat="1" applyFont="1" applyAlignment="1">
      <alignment horizontal="left" vertical="center"/>
    </xf>
    <xf numFmtId="0" fontId="342" fillId="0" borderId="0" xfId="1057" applyFont="1" applyAlignment="1">
      <alignment horizontal="left" vertical="center"/>
    </xf>
    <xf numFmtId="0" fontId="314" fillId="0" borderId="0" xfId="1057" applyFont="1" applyAlignment="1">
      <alignment vertical="center"/>
    </xf>
    <xf numFmtId="169" fontId="305" fillId="0" borderId="0" xfId="1155" applyNumberFormat="1" applyFont="1" applyFill="1" applyBorder="1" applyAlignment="1" applyProtection="1">
      <alignment vertical="center"/>
    </xf>
    <xf numFmtId="169" fontId="296" fillId="0" borderId="0" xfId="1057" applyNumberFormat="1" applyFont="1" applyAlignment="1">
      <alignment vertical="center"/>
    </xf>
    <xf numFmtId="169" fontId="327" fillId="0" borderId="0" xfId="1155" applyNumberFormat="1" applyFont="1" applyFill="1" applyBorder="1" applyAlignment="1" applyProtection="1">
      <alignment vertical="center"/>
    </xf>
    <xf numFmtId="43" fontId="317" fillId="0" borderId="0" xfId="1057" applyNumberFormat="1" applyFont="1" applyAlignment="1">
      <alignment vertical="center"/>
    </xf>
    <xf numFmtId="10" fontId="296" fillId="0" borderId="0" xfId="1057" applyNumberFormat="1" applyFont="1" applyAlignment="1">
      <alignment vertical="center"/>
    </xf>
    <xf numFmtId="0" fontId="305" fillId="0" borderId="0" xfId="1057" applyFont="1" applyAlignment="1">
      <alignment vertical="center"/>
    </xf>
    <xf numFmtId="0" fontId="316" fillId="0" borderId="0" xfId="1057" applyFont="1" applyAlignment="1">
      <alignment vertical="center"/>
    </xf>
    <xf numFmtId="9" fontId="294" fillId="0" borderId="0" xfId="1057" applyNumberFormat="1" applyFont="1" applyAlignment="1">
      <alignment vertical="center"/>
    </xf>
    <xf numFmtId="0" fontId="294" fillId="0" borderId="0" xfId="1057" applyFont="1" applyAlignment="1">
      <alignment horizontal="center" vertical="center"/>
    </xf>
    <xf numFmtId="0" fontId="294" fillId="0" borderId="0" xfId="1057" applyFont="1" applyAlignment="1">
      <alignment horizontal="left" vertical="center"/>
    </xf>
    <xf numFmtId="169" fontId="294" fillId="0" borderId="0" xfId="1057" applyNumberFormat="1" applyFont="1" applyAlignment="1">
      <alignment horizontal="right" vertical="center"/>
    </xf>
    <xf numFmtId="169" fontId="296" fillId="0" borderId="0" xfId="1057" applyNumberFormat="1" applyFont="1" applyAlignment="1">
      <alignment horizontal="right" vertical="center"/>
    </xf>
    <xf numFmtId="0" fontId="294" fillId="0" borderId="227" xfId="1057" applyFont="1" applyBorder="1" applyAlignment="1">
      <alignment horizontal="center"/>
    </xf>
    <xf numFmtId="0" fontId="294" fillId="0" borderId="227" xfId="1057" applyFont="1" applyBorder="1" applyAlignment="1">
      <alignment horizontal="left" indent="1"/>
    </xf>
    <xf numFmtId="169" fontId="294" fillId="0" borderId="227" xfId="1057" applyNumberFormat="1" applyFont="1" applyBorder="1" applyAlignment="1"/>
    <xf numFmtId="169" fontId="305" fillId="0" borderId="0" xfId="1057" applyNumberFormat="1" applyFont="1" applyAlignment="1">
      <alignment vertical="center"/>
    </xf>
    <xf numFmtId="169" fontId="305" fillId="0" borderId="0" xfId="1057" applyNumberFormat="1" applyFont="1" applyAlignment="1"/>
    <xf numFmtId="262" fontId="296" fillId="0" borderId="0" xfId="1057" applyNumberFormat="1" applyFont="1" applyAlignment="1"/>
    <xf numFmtId="169" fontId="296" fillId="0" borderId="0" xfId="1155" applyNumberFormat="1" applyFont="1" applyFill="1" applyBorder="1" applyAlignment="1" applyProtection="1">
      <alignment vertical="center" wrapText="1"/>
      <protection locked="0"/>
    </xf>
    <xf numFmtId="0" fontId="286" fillId="0" borderId="0" xfId="1354" applyFont="1">
      <alignment vertical="top"/>
    </xf>
    <xf numFmtId="0" fontId="286" fillId="0" borderId="0" xfId="1846" applyFont="1">
      <alignment vertical="top"/>
    </xf>
    <xf numFmtId="0" fontId="294" fillId="0" borderId="0" xfId="1371" applyFont="1" applyAlignment="1">
      <alignment horizontal="right"/>
    </xf>
    <xf numFmtId="223" fontId="294" fillId="0" borderId="0" xfId="1371" applyNumberFormat="1" applyFont="1"/>
    <xf numFmtId="0" fontId="335" fillId="39" borderId="0" xfId="1371" applyFont="1" applyFill="1" applyAlignment="1">
      <alignment horizontal="center"/>
    </xf>
    <xf numFmtId="251" fontId="327" fillId="29" borderId="0" xfId="1371" applyNumberFormat="1" applyFont="1" applyFill="1" applyAlignment="1">
      <alignment horizontal="center"/>
    </xf>
    <xf numFmtId="251" fontId="286" fillId="0" borderId="0" xfId="1846" applyNumberFormat="1" applyFont="1">
      <alignment vertical="top"/>
    </xf>
    <xf numFmtId="0" fontId="286" fillId="0" borderId="0" xfId="4428" applyFont="1">
      <alignment vertical="top"/>
    </xf>
    <xf numFmtId="0" fontId="306" fillId="0" borderId="0" xfId="1371" applyFont="1"/>
    <xf numFmtId="259" fontId="306" fillId="0" borderId="0" xfId="1371" applyNumberFormat="1" applyFont="1"/>
    <xf numFmtId="169" fontId="306" fillId="0" borderId="0" xfId="1212" applyNumberFormat="1" applyFont="1" applyFill="1" applyBorder="1" applyAlignment="1" applyProtection="1"/>
    <xf numFmtId="169" fontId="306" fillId="0" borderId="0" xfId="1371" applyNumberFormat="1" applyFont="1"/>
    <xf numFmtId="9" fontId="286" fillId="0" borderId="0" xfId="1846" applyNumberFormat="1" applyFont="1">
      <alignment vertical="top"/>
    </xf>
    <xf numFmtId="220" fontId="286" fillId="0" borderId="0" xfId="1212" applyFont="1" applyFill="1" applyBorder="1" applyAlignment="1" applyProtection="1"/>
    <xf numFmtId="220" fontId="306" fillId="0" borderId="0" xfId="1212" applyFont="1" applyFill="1" applyBorder="1" applyAlignment="1" applyProtection="1"/>
    <xf numFmtId="9" fontId="306" fillId="0" borderId="0" xfId="1403" applyFont="1" applyFill="1" applyBorder="1" applyAlignment="1" applyProtection="1">
      <alignment horizontal="center"/>
    </xf>
    <xf numFmtId="265" fontId="286" fillId="0" borderId="0" xfId="1354" applyNumberFormat="1" applyFont="1">
      <alignment vertical="top"/>
    </xf>
    <xf numFmtId="43" fontId="286" fillId="0" borderId="0" xfId="1354" applyNumberFormat="1" applyFont="1">
      <alignment vertical="top"/>
    </xf>
    <xf numFmtId="0" fontId="343" fillId="0" borderId="0" xfId="1371" applyFont="1"/>
    <xf numFmtId="169" fontId="343" fillId="0" borderId="0" xfId="1371" applyNumberFormat="1" applyFont="1"/>
    <xf numFmtId="169" fontId="300" fillId="56" borderId="0" xfId="1371" applyNumberFormat="1" applyFont="1" applyFill="1"/>
    <xf numFmtId="169" fontId="296" fillId="0" borderId="244" xfId="1155" applyNumberFormat="1" applyFont="1" applyFill="1" applyBorder="1" applyAlignment="1" applyProtection="1"/>
    <xf numFmtId="0" fontId="294" fillId="0" borderId="244" xfId="1057" applyFont="1" applyBorder="1" applyAlignment="1">
      <alignment horizontal="center"/>
    </xf>
    <xf numFmtId="0" fontId="297" fillId="0" borderId="244" xfId="1057" quotePrefix="1" applyFont="1" applyBorder="1" applyAlignment="1">
      <alignment horizontal="left" indent="3"/>
    </xf>
    <xf numFmtId="169" fontId="297" fillId="0" borderId="23" xfId="1057" applyNumberFormat="1" applyFont="1" applyBorder="1" applyAlignment="1"/>
    <xf numFmtId="345" fontId="115" fillId="0" borderId="0" xfId="1155" applyNumberFormat="1" applyFill="1" applyBorder="1" applyProtection="1">
      <alignment vertical="top"/>
      <protection locked="0"/>
    </xf>
    <xf numFmtId="0" fontId="296" fillId="0" borderId="250" xfId="1057" applyFont="1" applyBorder="1" applyAlignment="1">
      <alignment vertical="center"/>
    </xf>
    <xf numFmtId="169" fontId="296" fillId="0" borderId="251" xfId="1057" applyNumberFormat="1" applyFont="1" applyBorder="1" applyAlignment="1">
      <alignment vertical="center"/>
    </xf>
    <xf numFmtId="0" fontId="317" fillId="0" borderId="250" xfId="1057" applyFont="1" applyBorder="1" applyAlignment="1">
      <alignment vertical="center"/>
    </xf>
    <xf numFmtId="265" fontId="317" fillId="0" borderId="251" xfId="1155" applyNumberFormat="1" applyFont="1" applyFill="1" applyBorder="1" applyAlignment="1" applyProtection="1">
      <alignment vertical="center"/>
    </xf>
    <xf numFmtId="10" fontId="296" fillId="0" borderId="251" xfId="1057" applyNumberFormat="1" applyFont="1" applyBorder="1" applyAlignment="1">
      <alignment vertical="center"/>
    </xf>
    <xf numFmtId="223" fontId="317" fillId="0" borderId="251" xfId="1390" applyNumberFormat="1" applyFont="1" applyBorder="1" applyAlignment="1">
      <alignment vertical="center"/>
    </xf>
    <xf numFmtId="0" fontId="296" fillId="0" borderId="252" xfId="1057" applyFont="1" applyBorder="1" applyAlignment="1">
      <alignment vertical="center"/>
    </xf>
    <xf numFmtId="10" fontId="296" fillId="0" borderId="253" xfId="1057" applyNumberFormat="1" applyFont="1" applyBorder="1" applyAlignment="1">
      <alignment vertical="center"/>
    </xf>
    <xf numFmtId="0" fontId="296" fillId="0" borderId="254" xfId="1057" applyFont="1" applyBorder="1" applyAlignment="1">
      <alignment vertical="center"/>
    </xf>
    <xf numFmtId="169" fontId="296" fillId="0" borderId="255" xfId="1057" applyNumberFormat="1" applyFont="1" applyBorder="1" applyAlignment="1">
      <alignment vertical="center"/>
    </xf>
    <xf numFmtId="0" fontId="296" fillId="0" borderId="256" xfId="1057" applyFont="1" applyBorder="1" applyAlignment="1">
      <alignment vertical="center"/>
    </xf>
    <xf numFmtId="10" fontId="296" fillId="0" borderId="257" xfId="1390" applyNumberFormat="1" applyFont="1" applyBorder="1" applyAlignment="1">
      <alignment vertical="center"/>
    </xf>
    <xf numFmtId="0" fontId="297" fillId="0" borderId="159" xfId="1057" applyFont="1" applyBorder="1" applyAlignment="1">
      <alignment vertical="center"/>
    </xf>
    <xf numFmtId="223" fontId="297" fillId="0" borderId="159" xfId="1057" applyNumberFormat="1" applyFont="1" applyBorder="1" applyAlignment="1">
      <alignment vertical="center"/>
    </xf>
    <xf numFmtId="9" fontId="115" fillId="0" borderId="0" xfId="1390">
      <alignment vertical="top"/>
    </xf>
    <xf numFmtId="9" fontId="296" fillId="0" borderId="0" xfId="1390" applyFont="1" applyFill="1" applyBorder="1" applyProtection="1">
      <alignment vertical="top"/>
      <protection locked="0"/>
    </xf>
    <xf numFmtId="0" fontId="281" fillId="38" borderId="226" xfId="4841" applyFont="1" applyFill="1" applyBorder="1" applyAlignment="1">
      <alignment horizontal="center" vertical="center"/>
    </xf>
    <xf numFmtId="0" fontId="274" fillId="38" borderId="226" xfId="1848" quotePrefix="1" applyFont="1" applyFill="1" applyBorder="1" applyAlignment="1" applyProtection="1">
      <alignment horizontal="left" vertical="center"/>
      <protection locked="0"/>
    </xf>
    <xf numFmtId="0" fontId="282" fillId="38" borderId="226" xfId="4842" applyNumberFormat="1" applyFont="1" applyFill="1" applyBorder="1" applyAlignment="1" applyProtection="1">
      <alignment horizontal="left" vertical="center"/>
      <protection locked="0"/>
    </xf>
    <xf numFmtId="169" fontId="49" fillId="0" borderId="0" xfId="1155" applyNumberFormat="1" applyFont="1">
      <alignment vertical="top"/>
    </xf>
    <xf numFmtId="265" fontId="284" fillId="119" borderId="195" xfId="4842" applyNumberFormat="1" applyFont="1" applyFill="1" applyBorder="1" applyAlignment="1" applyProtection="1">
      <alignment horizontal="right" vertical="center"/>
      <protection locked="0"/>
    </xf>
    <xf numFmtId="2" fontId="284" fillId="38" borderId="195" xfId="1848" applyNumberFormat="1" applyFont="1" applyFill="1" applyBorder="1" applyAlignment="1" applyProtection="1">
      <alignment horizontal="right" vertical="center"/>
      <protection locked="0"/>
    </xf>
    <xf numFmtId="265" fontId="274" fillId="0" borderId="195" xfId="4842" applyNumberFormat="1" applyFont="1" applyFill="1" applyBorder="1" applyAlignment="1" applyProtection="1">
      <alignment horizontal="right" vertical="center"/>
      <protection locked="0"/>
    </xf>
    <xf numFmtId="9" fontId="274" fillId="0" borderId="0" xfId="4841" applyNumberFormat="1" applyFont="1"/>
    <xf numFmtId="9" fontId="280" fillId="0" borderId="0" xfId="4841" applyNumberFormat="1" applyFont="1"/>
    <xf numFmtId="9" fontId="289" fillId="0" borderId="0" xfId="4841" applyNumberFormat="1" applyFont="1"/>
    <xf numFmtId="43" fontId="277" fillId="38" borderId="199" xfId="4842" applyFont="1" applyFill="1" applyBorder="1" applyAlignment="1" applyProtection="1">
      <alignment horizontal="left" vertical="center"/>
      <protection locked="0"/>
    </xf>
    <xf numFmtId="9" fontId="280" fillId="0" borderId="0" xfId="4842" applyNumberFormat="1" applyFont="1" applyFill="1" applyBorder="1" applyAlignment="1" applyProtection="1">
      <alignment horizontal="right" vertical="center"/>
      <protection locked="0"/>
    </xf>
    <xf numFmtId="9" fontId="289" fillId="0" borderId="0" xfId="4842" applyNumberFormat="1" applyFont="1" applyFill="1" applyBorder="1" applyAlignment="1" applyProtection="1">
      <alignment horizontal="right" vertical="center"/>
      <protection locked="0"/>
    </xf>
    <xf numFmtId="0" fontId="309" fillId="122" borderId="203" xfId="0" applyFont="1" applyFill="1" applyBorder="1" applyAlignment="1">
      <alignment vertical="center"/>
    </xf>
    <xf numFmtId="0" fontId="277" fillId="0" borderId="0" xfId="4842" applyNumberFormat="1" applyFont="1" applyFill="1" applyBorder="1" applyAlignment="1">
      <alignment vertical="center"/>
    </xf>
    <xf numFmtId="43" fontId="274" fillId="0" borderId="0" xfId="4842" applyFont="1" applyFill="1" applyBorder="1" applyAlignment="1">
      <alignment vertical="center"/>
    </xf>
    <xf numFmtId="9" fontId="274" fillId="0" borderId="0" xfId="1390" applyFont="1" applyFill="1" applyBorder="1" applyAlignment="1">
      <alignment vertical="center"/>
    </xf>
    <xf numFmtId="0" fontId="277" fillId="0" borderId="0" xfId="4841" applyFont="1" applyAlignment="1">
      <alignment horizontal="center" vertical="center" wrapText="1"/>
    </xf>
    <xf numFmtId="0" fontId="277" fillId="0" borderId="0" xfId="4841" applyFont="1" applyAlignment="1">
      <alignment vertical="center" wrapText="1"/>
    </xf>
    <xf numFmtId="43" fontId="284" fillId="0" borderId="0" xfId="4842" applyFont="1" applyFill="1" applyBorder="1" applyAlignment="1">
      <alignment vertical="center"/>
    </xf>
    <xf numFmtId="43" fontId="277" fillId="0" borderId="239" xfId="4842" applyFont="1" applyFill="1" applyBorder="1" applyAlignment="1">
      <alignment vertical="center"/>
    </xf>
    <xf numFmtId="0" fontId="276" fillId="0" borderId="239" xfId="4841" applyFont="1" applyBorder="1"/>
    <xf numFmtId="0" fontId="274" fillId="0" borderId="239" xfId="4841" applyFont="1" applyBorder="1"/>
    <xf numFmtId="0" fontId="308" fillId="0" borderId="258" xfId="0" applyFont="1" applyBorder="1" applyAlignment="1">
      <alignment horizontal="left" vertical="center"/>
    </xf>
    <xf numFmtId="43" fontId="277" fillId="0" borderId="258" xfId="4842" applyFont="1" applyFill="1" applyBorder="1" applyAlignment="1">
      <alignment vertical="center"/>
    </xf>
    <xf numFmtId="43" fontId="343" fillId="0" borderId="258" xfId="4842" applyFont="1" applyFill="1" applyBorder="1" applyAlignment="1">
      <alignment vertical="center"/>
    </xf>
    <xf numFmtId="0" fontId="276" fillId="0" borderId="258" xfId="4841" applyFont="1" applyBorder="1"/>
    <xf numFmtId="0" fontId="274" fillId="0" borderId="258" xfId="4841" applyFont="1" applyBorder="1"/>
    <xf numFmtId="0" fontId="274" fillId="0" borderId="0" xfId="4842" applyNumberFormat="1" applyFont="1" applyFill="1" applyBorder="1" applyAlignment="1">
      <alignment horizontal="right" vertical="center"/>
    </xf>
    <xf numFmtId="0" fontId="277" fillId="0" borderId="258" xfId="4842" applyNumberFormat="1" applyFont="1" applyFill="1" applyBorder="1" applyAlignment="1">
      <alignment horizontal="right" vertical="center"/>
    </xf>
    <xf numFmtId="0" fontId="277" fillId="57" borderId="0" xfId="4842" applyNumberFormat="1" applyFont="1" applyFill="1" applyBorder="1" applyAlignment="1">
      <alignment horizontal="right" vertical="center"/>
    </xf>
    <xf numFmtId="43" fontId="277" fillId="57" borderId="0" xfId="4842" applyFont="1" applyFill="1" applyBorder="1" applyAlignment="1">
      <alignment vertical="center"/>
    </xf>
    <xf numFmtId="223" fontId="277" fillId="57" borderId="0" xfId="1390" applyNumberFormat="1" applyFont="1" applyFill="1" applyBorder="1" applyAlignment="1">
      <alignment vertical="center"/>
    </xf>
    <xf numFmtId="0" fontId="276" fillId="57" borderId="0" xfId="4841" applyFont="1" applyFill="1"/>
    <xf numFmtId="0" fontId="274" fillId="57" borderId="0" xfId="4841" applyFont="1" applyFill="1"/>
    <xf numFmtId="0" fontId="277" fillId="72" borderId="220" xfId="4842" applyNumberFormat="1" applyFont="1" applyFill="1" applyBorder="1" applyAlignment="1">
      <alignment vertical="center" wrapText="1"/>
    </xf>
    <xf numFmtId="43" fontId="277" fillId="72" borderId="220" xfId="4842" applyFont="1" applyFill="1" applyBorder="1" applyAlignment="1">
      <alignment vertical="center" wrapText="1"/>
    </xf>
    <xf numFmtId="43" fontId="277" fillId="72" borderId="220" xfId="4842" applyFont="1" applyFill="1" applyBorder="1" applyAlignment="1">
      <alignment horizontal="center" vertical="center" wrapText="1"/>
    </xf>
    <xf numFmtId="0" fontId="277" fillId="72" borderId="220" xfId="4841" applyFont="1" applyFill="1" applyBorder="1" applyAlignment="1">
      <alignment horizontal="center" vertical="center" wrapText="1"/>
    </xf>
    <xf numFmtId="43" fontId="277" fillId="119" borderId="205" xfId="4842" applyFont="1" applyFill="1" applyBorder="1" applyAlignment="1" applyProtection="1">
      <alignment horizontal="right" vertical="center"/>
      <protection locked="0"/>
    </xf>
    <xf numFmtId="266" fontId="345" fillId="38" borderId="226" xfId="4842" applyNumberFormat="1" applyFont="1" applyFill="1" applyBorder="1" applyAlignment="1" applyProtection="1">
      <alignment horizontal="right" vertical="center"/>
      <protection locked="0"/>
    </xf>
    <xf numFmtId="9" fontId="274" fillId="0" borderId="239" xfId="1390" applyFont="1" applyFill="1" applyBorder="1" applyAlignment="1">
      <alignment vertical="center"/>
    </xf>
    <xf numFmtId="0" fontId="277" fillId="0" borderId="239" xfId="4842" applyNumberFormat="1" applyFont="1" applyFill="1" applyBorder="1" applyAlignment="1">
      <alignment horizontal="right" vertical="center"/>
    </xf>
    <xf numFmtId="9" fontId="277" fillId="0" borderId="239" xfId="1390" applyFont="1" applyFill="1" applyBorder="1" applyAlignment="1">
      <alignment vertical="center"/>
    </xf>
    <xf numFmtId="43" fontId="287" fillId="0" borderId="239" xfId="4842" applyFont="1" applyFill="1" applyBorder="1" applyAlignment="1">
      <alignment vertical="center"/>
    </xf>
    <xf numFmtId="0" fontId="277" fillId="57" borderId="239" xfId="4842" applyNumberFormat="1" applyFont="1" applyFill="1" applyBorder="1" applyAlignment="1">
      <alignment horizontal="right" vertical="center"/>
    </xf>
    <xf numFmtId="43" fontId="277" fillId="57" borderId="239" xfId="4842" applyFont="1" applyFill="1" applyBorder="1" applyAlignment="1">
      <alignment vertical="center"/>
    </xf>
    <xf numFmtId="9" fontId="277" fillId="57" borderId="239" xfId="1390" applyFont="1" applyFill="1" applyBorder="1" applyAlignment="1">
      <alignment vertical="center"/>
    </xf>
    <xf numFmtId="0" fontId="276" fillId="57" borderId="239" xfId="4841" applyFont="1" applyFill="1" applyBorder="1"/>
    <xf numFmtId="0" fontId="274" fillId="57" borderId="239" xfId="4841" applyFont="1" applyFill="1" applyBorder="1"/>
    <xf numFmtId="0" fontId="274" fillId="0" borderId="245" xfId="4842" applyNumberFormat="1" applyFont="1" applyFill="1" applyBorder="1" applyAlignment="1">
      <alignment horizontal="right" vertical="center"/>
    </xf>
    <xf numFmtId="43" fontId="274" fillId="0" borderId="245" xfId="4842" applyFont="1" applyFill="1" applyBorder="1" applyAlignment="1">
      <alignment vertical="center"/>
    </xf>
    <xf numFmtId="43" fontId="284" fillId="0" borderId="245" xfId="4842" applyFont="1" applyFill="1" applyBorder="1" applyAlignment="1">
      <alignment vertical="center"/>
    </xf>
    <xf numFmtId="9" fontId="274" fillId="0" borderId="245" xfId="1390" applyFont="1" applyFill="1" applyBorder="1" applyAlignment="1">
      <alignment vertical="center"/>
    </xf>
    <xf numFmtId="9" fontId="274" fillId="0" borderId="245" xfId="4841" applyNumberFormat="1" applyFont="1" applyBorder="1"/>
    <xf numFmtId="251" fontId="274" fillId="0" borderId="245" xfId="4841" applyNumberFormat="1" applyFont="1" applyBorder="1"/>
    <xf numFmtId="265" fontId="274" fillId="0" borderId="245" xfId="4841" applyNumberFormat="1" applyFont="1" applyBorder="1"/>
    <xf numFmtId="266" fontId="274" fillId="0" borderId="245" xfId="4841" applyNumberFormat="1" applyFont="1" applyBorder="1"/>
    <xf numFmtId="0" fontId="274" fillId="0" borderId="245" xfId="4841" applyFont="1" applyBorder="1"/>
    <xf numFmtId="0" fontId="274" fillId="0" borderId="259" xfId="4842" applyNumberFormat="1" applyFont="1" applyFill="1" applyBorder="1" applyAlignment="1">
      <alignment horizontal="right" vertical="center"/>
    </xf>
    <xf numFmtId="43" fontId="274" fillId="0" borderId="259" xfId="4842" applyFont="1" applyFill="1" applyBorder="1" applyAlignment="1">
      <alignment vertical="center"/>
    </xf>
    <xf numFmtId="43" fontId="284" fillId="0" borderId="259" xfId="4842" applyFont="1" applyFill="1" applyBorder="1" applyAlignment="1">
      <alignment vertical="center"/>
    </xf>
    <xf numFmtId="9" fontId="274" fillId="0" borderId="259" xfId="1390" applyFont="1" applyFill="1" applyBorder="1" applyAlignment="1">
      <alignment vertical="center"/>
    </xf>
    <xf numFmtId="9" fontId="274" fillId="0" borderId="259" xfId="4841" applyNumberFormat="1" applyFont="1" applyBorder="1"/>
    <xf numFmtId="251" fontId="274" fillId="0" borderId="259" xfId="4841" applyNumberFormat="1" applyFont="1" applyBorder="1"/>
    <xf numFmtId="265" fontId="274" fillId="0" borderId="259" xfId="4841" applyNumberFormat="1" applyFont="1" applyBorder="1"/>
    <xf numFmtId="0" fontId="274" fillId="0" borderId="259" xfId="4841" applyFont="1" applyBorder="1"/>
    <xf numFmtId="0" fontId="274" fillId="0" borderId="260" xfId="4842" applyNumberFormat="1" applyFont="1" applyFill="1" applyBorder="1" applyAlignment="1">
      <alignment horizontal="right" vertical="center"/>
    </xf>
    <xf numFmtId="43" fontId="274" fillId="0" borderId="260" xfId="4842" applyFont="1" applyFill="1" applyBorder="1" applyAlignment="1">
      <alignment vertical="center"/>
    </xf>
    <xf numFmtId="43" fontId="284" fillId="0" borderId="260" xfId="4842" applyFont="1" applyFill="1" applyBorder="1" applyAlignment="1">
      <alignment vertical="center"/>
    </xf>
    <xf numFmtId="9" fontId="274" fillId="0" borderId="260" xfId="1390" applyFont="1" applyFill="1" applyBorder="1" applyAlignment="1">
      <alignment vertical="center"/>
    </xf>
    <xf numFmtId="265" fontId="274" fillId="0" borderId="260" xfId="4841" applyNumberFormat="1" applyFont="1" applyBorder="1"/>
    <xf numFmtId="0" fontId="274" fillId="0" borderId="260" xfId="4841" applyFont="1" applyBorder="1"/>
    <xf numFmtId="9" fontId="284" fillId="0" borderId="245" xfId="4841" applyNumberFormat="1" applyFont="1" applyBorder="1"/>
    <xf numFmtId="0" fontId="284" fillId="0" borderId="245" xfId="4841" applyFont="1" applyBorder="1"/>
    <xf numFmtId="265" fontId="284" fillId="0" borderId="245" xfId="4841" applyNumberFormat="1" applyFont="1" applyBorder="1"/>
    <xf numFmtId="265" fontId="284" fillId="0" borderId="259" xfId="4841" applyNumberFormat="1" applyFont="1" applyBorder="1"/>
    <xf numFmtId="10" fontId="284" fillId="0" borderId="260" xfId="4841" applyNumberFormat="1" applyFont="1" applyBorder="1"/>
    <xf numFmtId="265" fontId="284" fillId="0" borderId="260" xfId="4841" applyNumberFormat="1" applyFont="1" applyBorder="1"/>
    <xf numFmtId="0" fontId="276" fillId="0" borderId="245" xfId="4841" applyFont="1" applyBorder="1"/>
    <xf numFmtId="265" fontId="277" fillId="0" borderId="239" xfId="4841" applyNumberFormat="1" applyFont="1" applyBorder="1"/>
    <xf numFmtId="0" fontId="277" fillId="0" borderId="239" xfId="4841" applyFont="1" applyBorder="1"/>
    <xf numFmtId="262" fontId="274" fillId="0" borderId="0" xfId="1155" applyNumberFormat="1" applyFont="1" applyAlignment="1">
      <alignment vertical="center"/>
    </xf>
    <xf numFmtId="280" fontId="277" fillId="0" borderId="239" xfId="4841" applyNumberFormat="1" applyFont="1" applyBorder="1"/>
    <xf numFmtId="9" fontId="277" fillId="0" borderId="239" xfId="4841" applyNumberFormat="1" applyFont="1" applyBorder="1"/>
    <xf numFmtId="0" fontId="274" fillId="38" borderId="226" xfId="1057" applyFont="1" applyFill="1" applyBorder="1" applyAlignment="1">
      <alignment horizontal="right"/>
    </xf>
    <xf numFmtId="2" fontId="274" fillId="38" borderId="226" xfId="1370" applyNumberFormat="1" applyFont="1" applyFill="1" applyBorder="1" applyAlignment="1" applyProtection="1">
      <alignment horizontal="left" indent="1"/>
      <protection locked="0"/>
    </xf>
    <xf numFmtId="9" fontId="274" fillId="0" borderId="226" xfId="1390" applyFont="1" applyFill="1" applyBorder="1" applyAlignment="1" applyProtection="1">
      <alignment horizontal="center" wrapText="1"/>
      <protection locked="0"/>
    </xf>
    <xf numFmtId="9" fontId="274" fillId="0" borderId="226" xfId="4847" applyFont="1" applyFill="1" applyBorder="1" applyAlignment="1">
      <alignment horizontal="center" vertical="center" wrapText="1"/>
    </xf>
    <xf numFmtId="9" fontId="274" fillId="38" borderId="226" xfId="1390" applyFont="1" applyFill="1" applyBorder="1" applyAlignment="1" applyProtection="1">
      <alignment horizontal="center" wrapText="1"/>
      <protection locked="0"/>
    </xf>
    <xf numFmtId="9" fontId="296" fillId="38" borderId="226" xfId="1390" applyFont="1" applyFill="1" applyBorder="1" applyAlignment="1" applyProtection="1">
      <alignment horizontal="center" wrapText="1"/>
      <protection locked="0"/>
    </xf>
    <xf numFmtId="0" fontId="274" fillId="38" borderId="205" xfId="1057" applyFont="1" applyFill="1" applyBorder="1" applyAlignment="1">
      <alignment horizontal="right"/>
    </xf>
    <xf numFmtId="2" fontId="274" fillId="38" borderId="205" xfId="1370" applyNumberFormat="1" applyFont="1" applyFill="1" applyBorder="1" applyAlignment="1" applyProtection="1">
      <alignment horizontal="left" indent="1"/>
      <protection locked="0"/>
    </xf>
    <xf numFmtId="9" fontId="274" fillId="0" borderId="205" xfId="1390" applyFont="1" applyFill="1" applyBorder="1" applyAlignment="1" applyProtection="1">
      <alignment horizontal="center" wrapText="1"/>
      <protection locked="0"/>
    </xf>
    <xf numFmtId="9" fontId="274" fillId="38" borderId="205" xfId="1390" applyFont="1" applyFill="1" applyBorder="1" applyAlignment="1" applyProtection="1">
      <alignment horizontal="center" wrapText="1"/>
      <protection locked="0"/>
    </xf>
    <xf numFmtId="9" fontId="296" fillId="38" borderId="205" xfId="1390" applyFont="1" applyFill="1" applyBorder="1" applyAlignment="1" applyProtection="1">
      <alignment horizontal="center" wrapText="1"/>
      <protection locked="0"/>
    </xf>
    <xf numFmtId="0" fontId="277" fillId="0" borderId="135" xfId="14592" applyFont="1" applyBorder="1" applyAlignment="1">
      <alignment vertical="center"/>
    </xf>
    <xf numFmtId="9" fontId="274" fillId="0" borderId="240" xfId="1390" applyFont="1" applyFill="1" applyBorder="1" applyAlignment="1" applyProtection="1">
      <alignment horizontal="center" wrapText="1"/>
    </xf>
    <xf numFmtId="9" fontId="312" fillId="0" borderId="240" xfId="1390" applyFont="1" applyFill="1" applyBorder="1" applyAlignment="1" applyProtection="1">
      <alignment horizontal="center" wrapText="1"/>
    </xf>
    <xf numFmtId="9" fontId="315" fillId="0" borderId="240" xfId="1404" applyFont="1" applyFill="1" applyBorder="1" applyAlignment="1" applyProtection="1">
      <alignment horizontal="center" vertical="center" wrapText="1"/>
    </xf>
    <xf numFmtId="9" fontId="315" fillId="0" borderId="240" xfId="1390" applyFont="1" applyFill="1" applyBorder="1" applyAlignment="1" applyProtection="1">
      <alignment horizontal="center" wrapText="1"/>
    </xf>
    <xf numFmtId="9" fontId="274" fillId="0" borderId="240" xfId="1404" applyFont="1" applyFill="1" applyBorder="1" applyAlignment="1" applyProtection="1">
      <alignment horizontal="center" vertical="center" wrapText="1"/>
    </xf>
    <xf numFmtId="9" fontId="274" fillId="38" borderId="240" xfId="1404" applyFont="1" applyFill="1" applyBorder="1" applyAlignment="1" applyProtection="1">
      <alignment horizontal="center" vertical="center" wrapText="1"/>
    </xf>
    <xf numFmtId="9" fontId="296" fillId="38" borderId="240" xfId="1404" applyFont="1" applyFill="1" applyBorder="1" applyAlignment="1" applyProtection="1">
      <alignment horizontal="center" vertical="center" wrapText="1"/>
    </xf>
    <xf numFmtId="0" fontId="277" fillId="38" borderId="135" xfId="1057" applyFont="1" applyFill="1" applyBorder="1" applyAlignment="1">
      <alignment horizontal="right"/>
    </xf>
    <xf numFmtId="2" fontId="274" fillId="38" borderId="204" xfId="1057" quotePrefix="1" applyNumberFormat="1" applyFont="1" applyFill="1" applyBorder="1" applyAlignment="1">
      <alignment horizontal="left"/>
    </xf>
    <xf numFmtId="9" fontId="274" fillId="0" borderId="204" xfId="1404" applyFont="1" applyFill="1" applyBorder="1" applyAlignment="1" applyProtection="1">
      <alignment horizontal="center" vertical="center" wrapText="1"/>
    </xf>
    <xf numFmtId="9" fontId="274" fillId="38" borderId="204" xfId="1404" applyFont="1" applyFill="1" applyBorder="1" applyAlignment="1" applyProtection="1">
      <alignment horizontal="center" vertical="center" wrapText="1"/>
    </xf>
    <xf numFmtId="9" fontId="296" fillId="38" borderId="204" xfId="1404" applyFont="1" applyFill="1" applyBorder="1" applyAlignment="1" applyProtection="1">
      <alignment horizontal="center" vertical="center" wrapText="1"/>
    </xf>
    <xf numFmtId="2" fontId="274" fillId="38" borderId="226" xfId="1057" quotePrefix="1" applyNumberFormat="1" applyFont="1" applyFill="1" applyBorder="1" applyAlignment="1">
      <alignment horizontal="left"/>
    </xf>
    <xf numFmtId="9" fontId="274" fillId="0" borderId="226" xfId="1390" applyFont="1" applyFill="1" applyBorder="1" applyAlignment="1" applyProtection="1">
      <alignment horizontal="center" wrapText="1"/>
    </xf>
    <xf numFmtId="9" fontId="312" fillId="0" borderId="226" xfId="1390" applyFont="1" applyFill="1" applyBorder="1" applyAlignment="1" applyProtection="1">
      <alignment horizontal="center" wrapText="1"/>
    </xf>
    <xf numFmtId="9" fontId="315" fillId="0" borderId="226" xfId="1404" applyFont="1" applyFill="1" applyBorder="1" applyAlignment="1" applyProtection="1">
      <alignment horizontal="center" vertical="center" wrapText="1"/>
    </xf>
    <xf numFmtId="9" fontId="315" fillId="0" borderId="226" xfId="1390" applyFont="1" applyFill="1" applyBorder="1" applyAlignment="1" applyProtection="1">
      <alignment horizontal="center" wrapText="1"/>
    </xf>
    <xf numFmtId="9" fontId="274" fillId="0" borderId="226" xfId="1404" applyFont="1" applyFill="1" applyBorder="1" applyAlignment="1" applyProtection="1">
      <alignment horizontal="center" vertical="center" wrapText="1"/>
    </xf>
    <xf numFmtId="9" fontId="274" fillId="38" borderId="226" xfId="1404" applyFont="1" applyFill="1" applyBorder="1" applyAlignment="1" applyProtection="1">
      <alignment horizontal="center" vertical="center" wrapText="1"/>
    </xf>
    <xf numFmtId="9" fontId="296" fillId="38" borderId="226" xfId="1404" applyFont="1" applyFill="1" applyBorder="1" applyAlignment="1" applyProtection="1">
      <alignment horizontal="center" vertical="center" wrapText="1"/>
    </xf>
    <xf numFmtId="0" fontId="274" fillId="38" borderId="205" xfId="1057" applyFont="1" applyFill="1" applyBorder="1" applyAlignment="1">
      <alignment horizontal="left"/>
    </xf>
    <xf numFmtId="9" fontId="274" fillId="0" borderId="205" xfId="1390" applyFont="1" applyFill="1" applyBorder="1" applyAlignment="1" applyProtection="1">
      <alignment horizontal="center" wrapText="1"/>
    </xf>
    <xf numFmtId="9" fontId="312" fillId="0" borderId="205" xfId="1390" applyFont="1" applyFill="1" applyBorder="1" applyAlignment="1" applyProtection="1">
      <alignment horizontal="center" wrapText="1"/>
    </xf>
    <xf numFmtId="9" fontId="315" fillId="0" borderId="205" xfId="1404" applyFont="1" applyFill="1" applyBorder="1" applyAlignment="1" applyProtection="1">
      <alignment horizontal="center" vertical="center" wrapText="1"/>
    </xf>
    <xf numFmtId="9" fontId="315" fillId="0" borderId="205" xfId="1390" applyFont="1" applyFill="1" applyBorder="1" applyAlignment="1" applyProtection="1">
      <alignment horizontal="center" wrapText="1"/>
    </xf>
    <xf numFmtId="9" fontId="274" fillId="0" borderId="205" xfId="1404" applyFont="1" applyFill="1" applyBorder="1" applyAlignment="1" applyProtection="1">
      <alignment horizontal="center" vertical="center" wrapText="1"/>
    </xf>
    <xf numFmtId="9" fontId="274" fillId="38" borderId="205" xfId="1404" applyFont="1" applyFill="1" applyBorder="1" applyAlignment="1" applyProtection="1">
      <alignment horizontal="center" vertical="center" wrapText="1"/>
    </xf>
    <xf numFmtId="9" fontId="296" fillId="38" borderId="205" xfId="1404" applyFont="1" applyFill="1" applyBorder="1" applyAlignment="1" applyProtection="1">
      <alignment horizontal="center" vertical="center" wrapText="1"/>
    </xf>
    <xf numFmtId="2" fontId="274" fillId="38" borderId="209" xfId="1057" quotePrefix="1" applyNumberFormat="1" applyFont="1" applyFill="1" applyBorder="1" applyAlignment="1">
      <alignment horizontal="left"/>
    </xf>
    <xf numFmtId="2" fontId="274" fillId="38" borderId="209" xfId="1370" applyNumberFormat="1" applyFont="1" applyFill="1" applyBorder="1" applyAlignment="1" applyProtection="1">
      <alignment horizontal="left" indent="1"/>
      <protection locked="0"/>
    </xf>
    <xf numFmtId="9" fontId="274" fillId="0" borderId="209" xfId="1390" applyFont="1" applyFill="1" applyBorder="1" applyAlignment="1" applyProtection="1">
      <alignment horizontal="center" wrapText="1"/>
    </xf>
    <xf numFmtId="9" fontId="312" fillId="0" borderId="209" xfId="1390" applyFont="1" applyFill="1" applyBorder="1" applyAlignment="1" applyProtection="1">
      <alignment horizontal="center" wrapText="1"/>
    </xf>
    <xf numFmtId="9" fontId="315" fillId="0" borderId="209" xfId="1390" applyFont="1" applyFill="1" applyBorder="1" applyAlignment="1" applyProtection="1">
      <alignment horizontal="center" wrapText="1"/>
    </xf>
    <xf numFmtId="9" fontId="274" fillId="0" borderId="209" xfId="1404" applyFont="1" applyFill="1" applyBorder="1" applyAlignment="1" applyProtection="1">
      <alignment horizontal="center" vertical="center" wrapText="1"/>
    </xf>
    <xf numFmtId="9" fontId="274" fillId="38" borderId="209" xfId="1404" applyFont="1" applyFill="1" applyBorder="1" applyAlignment="1" applyProtection="1">
      <alignment horizontal="center" vertical="center" wrapText="1"/>
    </xf>
    <xf numFmtId="9" fontId="296" fillId="38" borderId="209" xfId="1404" applyFont="1" applyFill="1" applyBorder="1" applyAlignment="1" applyProtection="1">
      <alignment horizontal="center" vertical="center" wrapText="1"/>
    </xf>
    <xf numFmtId="2" fontId="274" fillId="38" borderId="178" xfId="1057" quotePrefix="1" applyNumberFormat="1" applyFont="1" applyFill="1" applyBorder="1" applyAlignment="1">
      <alignment horizontal="left"/>
    </xf>
    <xf numFmtId="2" fontId="274" fillId="38" borderId="178" xfId="1370" applyNumberFormat="1" applyFont="1" applyFill="1" applyBorder="1" applyAlignment="1" applyProtection="1">
      <alignment horizontal="left" indent="1"/>
      <protection locked="0"/>
    </xf>
    <xf numFmtId="9" fontId="274" fillId="0" borderId="178" xfId="1390" applyFont="1" applyFill="1" applyBorder="1" applyAlignment="1" applyProtection="1">
      <alignment horizontal="center" wrapText="1"/>
    </xf>
    <xf numFmtId="9" fontId="312" fillId="0" borderId="178" xfId="1390" applyFont="1" applyFill="1" applyBorder="1" applyAlignment="1" applyProtection="1">
      <alignment horizontal="center" wrapText="1"/>
    </xf>
    <xf numFmtId="9" fontId="315" fillId="0" borderId="178" xfId="1404" applyFont="1" applyFill="1" applyBorder="1" applyAlignment="1" applyProtection="1">
      <alignment horizontal="center" vertical="center" wrapText="1"/>
    </xf>
    <xf numFmtId="9" fontId="315" fillId="0" borderId="178" xfId="1390" applyFont="1" applyFill="1" applyBorder="1" applyAlignment="1" applyProtection="1">
      <alignment horizontal="center" wrapText="1"/>
    </xf>
    <xf numFmtId="9" fontId="274" fillId="0" borderId="178" xfId="1404" applyFont="1" applyFill="1" applyBorder="1" applyAlignment="1" applyProtection="1">
      <alignment horizontal="center" vertical="center" wrapText="1"/>
    </xf>
    <xf numFmtId="9" fontId="274" fillId="38" borderId="178" xfId="1404" applyFont="1" applyFill="1" applyBorder="1" applyAlignment="1" applyProtection="1">
      <alignment horizontal="center" vertical="center" wrapText="1"/>
    </xf>
    <xf numFmtId="9" fontId="296" fillId="38" borderId="178" xfId="1404" applyFont="1" applyFill="1" applyBorder="1" applyAlignment="1" applyProtection="1">
      <alignment horizontal="center" vertical="center" wrapText="1"/>
    </xf>
    <xf numFmtId="0" fontId="277" fillId="38" borderId="240" xfId="1057" applyFont="1" applyFill="1" applyBorder="1" applyAlignment="1">
      <alignment horizontal="right"/>
    </xf>
    <xf numFmtId="0" fontId="277" fillId="0" borderId="240" xfId="14592" applyFont="1" applyBorder="1" applyAlignment="1">
      <alignment vertical="center"/>
    </xf>
    <xf numFmtId="0" fontId="274" fillId="38" borderId="209" xfId="1057" applyFont="1" applyFill="1" applyBorder="1" applyAlignment="1">
      <alignment horizontal="right"/>
    </xf>
    <xf numFmtId="0" fontId="274" fillId="38" borderId="209" xfId="1057" applyFont="1" applyFill="1" applyBorder="1" applyAlignment="1" applyProtection="1">
      <alignment horizontal="left" indent="1"/>
      <protection locked="0"/>
    </xf>
    <xf numFmtId="9" fontId="274" fillId="38" borderId="209" xfId="1390" applyFont="1" applyFill="1" applyBorder="1" applyAlignment="1" applyProtection="1">
      <alignment horizontal="center" wrapText="1"/>
    </xf>
    <xf numFmtId="9" fontId="315" fillId="38" borderId="209" xfId="1390" applyFont="1" applyFill="1" applyBorder="1" applyAlignment="1" applyProtection="1">
      <alignment horizontal="center" wrapText="1"/>
    </xf>
    <xf numFmtId="9" fontId="296" fillId="38" borderId="209" xfId="1390" applyFont="1" applyFill="1" applyBorder="1" applyAlignment="1" applyProtection="1">
      <alignment horizontal="center" wrapText="1"/>
    </xf>
    <xf numFmtId="0" fontId="294" fillId="0" borderId="173" xfId="14592" applyFont="1" applyBorder="1" applyAlignment="1">
      <alignment vertical="center"/>
    </xf>
    <xf numFmtId="169" fontId="294" fillId="38" borderId="166" xfId="1155" applyNumberFormat="1" applyFont="1" applyFill="1" applyBorder="1" applyAlignment="1" applyProtection="1">
      <alignment horizontal="center" vertical="center"/>
      <protection locked="0"/>
    </xf>
    <xf numFmtId="223" fontId="294" fillId="38" borderId="166" xfId="1390" applyNumberFormat="1" applyFont="1" applyFill="1" applyBorder="1" applyProtection="1">
      <alignment vertical="top"/>
      <protection locked="0"/>
    </xf>
    <xf numFmtId="265" fontId="294" fillId="38" borderId="166" xfId="1155" applyNumberFormat="1" applyFont="1" applyFill="1" applyBorder="1" applyAlignment="1" applyProtection="1"/>
    <xf numFmtId="9" fontId="294" fillId="38" borderId="166" xfId="1390" applyFont="1" applyFill="1" applyBorder="1" applyAlignment="1" applyProtection="1"/>
    <xf numFmtId="9" fontId="296" fillId="38" borderId="166" xfId="1390" applyFont="1" applyFill="1" applyBorder="1" applyAlignment="1" applyProtection="1"/>
    <xf numFmtId="169" fontId="294" fillId="38" borderId="261" xfId="1155" applyNumberFormat="1" applyFont="1" applyFill="1" applyBorder="1" applyAlignment="1" applyProtection="1">
      <protection locked="0"/>
    </xf>
    <xf numFmtId="169" fontId="294" fillId="38" borderId="226" xfId="1155" applyNumberFormat="1" applyFont="1" applyFill="1" applyBorder="1" applyAlignment="1" applyProtection="1">
      <protection locked="0"/>
    </xf>
    <xf numFmtId="169" fontId="296" fillId="38" borderId="226" xfId="1155" applyNumberFormat="1" applyFont="1" applyFill="1" applyBorder="1" applyAlignment="1" applyProtection="1">
      <protection locked="0"/>
    </xf>
    <xf numFmtId="169" fontId="294" fillId="57" borderId="226" xfId="1155" applyNumberFormat="1" applyFont="1" applyFill="1" applyBorder="1" applyAlignment="1" applyProtection="1">
      <alignment vertical="center"/>
    </xf>
    <xf numFmtId="9" fontId="296" fillId="38" borderId="236" xfId="1390" applyFont="1" applyFill="1" applyBorder="1" applyAlignment="1" applyProtection="1"/>
    <xf numFmtId="9" fontId="296" fillId="38" borderId="263" xfId="1390" applyFont="1" applyFill="1" applyBorder="1" applyAlignment="1" applyProtection="1"/>
    <xf numFmtId="0" fontId="294" fillId="38" borderId="212" xfId="1370" applyFont="1" applyFill="1" applyBorder="1" applyAlignment="1" applyProtection="1">
      <alignment horizontal="center" vertical="center"/>
      <protection locked="0"/>
    </xf>
    <xf numFmtId="0" fontId="294" fillId="0" borderId="209" xfId="14592" applyFont="1" applyBorder="1" applyAlignment="1">
      <alignment vertical="center"/>
    </xf>
    <xf numFmtId="169" fontId="294" fillId="38" borderId="209" xfId="1155" applyNumberFormat="1" applyFont="1" applyFill="1" applyBorder="1" applyAlignment="1" applyProtection="1">
      <alignment horizontal="center" vertical="center"/>
      <protection locked="0"/>
    </xf>
    <xf numFmtId="223" fontId="294" fillId="38" borderId="209" xfId="1390" applyNumberFormat="1" applyFont="1" applyFill="1" applyBorder="1" applyProtection="1">
      <alignment vertical="top"/>
      <protection locked="0"/>
    </xf>
    <xf numFmtId="265" fontId="294" fillId="38" borderId="209" xfId="1155" applyNumberFormat="1" applyFont="1" applyFill="1" applyBorder="1" applyAlignment="1" applyProtection="1"/>
    <xf numFmtId="9" fontId="294" fillId="38" borderId="209" xfId="1390" applyFont="1" applyFill="1" applyBorder="1" applyAlignment="1" applyProtection="1"/>
    <xf numFmtId="9" fontId="296" fillId="38" borderId="209" xfId="1390" applyFont="1" applyFill="1" applyBorder="1" applyAlignment="1" applyProtection="1"/>
    <xf numFmtId="9" fontId="296" fillId="38" borderId="264" xfId="1390" applyFont="1" applyFill="1" applyBorder="1" applyAlignment="1" applyProtection="1"/>
    <xf numFmtId="0" fontId="294" fillId="72" borderId="213" xfId="1370" applyFont="1" applyFill="1" applyBorder="1" applyAlignment="1" applyProtection="1">
      <alignment horizontal="center" vertical="center"/>
      <protection locked="0"/>
    </xf>
    <xf numFmtId="0" fontId="294" fillId="72" borderId="243" xfId="14592" applyFont="1" applyFill="1" applyBorder="1" applyAlignment="1">
      <alignment vertical="center"/>
    </xf>
    <xf numFmtId="169" fontId="294" fillId="72" borderId="240" xfId="1155" applyNumberFormat="1" applyFont="1" applyFill="1" applyBorder="1" applyAlignment="1" applyProtection="1">
      <alignment horizontal="center" vertical="center"/>
      <protection locked="0"/>
    </xf>
    <xf numFmtId="223" fontId="294" fillId="72" borderId="240" xfId="1390" applyNumberFormat="1" applyFont="1" applyFill="1" applyBorder="1" applyProtection="1">
      <alignment vertical="top"/>
      <protection locked="0"/>
    </xf>
    <xf numFmtId="265" fontId="294" fillId="72" borderId="240" xfId="1155" applyNumberFormat="1" applyFont="1" applyFill="1" applyBorder="1" applyAlignment="1" applyProtection="1"/>
    <xf numFmtId="9" fontId="294" fillId="72" borderId="240" xfId="1390" applyFont="1" applyFill="1" applyBorder="1" applyAlignment="1" applyProtection="1"/>
    <xf numFmtId="9" fontId="296" fillId="72" borderId="240" xfId="1390" applyFont="1" applyFill="1" applyBorder="1" applyAlignment="1" applyProtection="1"/>
    <xf numFmtId="9" fontId="296" fillId="72" borderId="68" xfId="1390" applyFont="1" applyFill="1" applyBorder="1" applyAlignment="1" applyProtection="1"/>
    <xf numFmtId="0" fontId="294" fillId="0" borderId="265" xfId="14592" applyFont="1" applyBorder="1" applyAlignment="1">
      <alignment vertical="center"/>
    </xf>
    <xf numFmtId="169" fontId="294" fillId="38" borderId="266" xfId="1155" applyNumberFormat="1" applyFont="1" applyFill="1" applyBorder="1" applyAlignment="1" applyProtection="1">
      <alignment horizontal="center" vertical="center"/>
      <protection locked="0"/>
    </xf>
    <xf numFmtId="223" fontId="294" fillId="38" borderId="266" xfId="1390" applyNumberFormat="1" applyFont="1" applyFill="1" applyBorder="1" applyProtection="1">
      <alignment vertical="top"/>
      <protection locked="0"/>
    </xf>
    <xf numFmtId="265" fontId="294" fillId="38" borderId="266" xfId="1155" applyNumberFormat="1" applyFont="1" applyFill="1" applyBorder="1" applyAlignment="1" applyProtection="1"/>
    <xf numFmtId="9" fontId="294" fillId="38" borderId="266" xfId="1390" applyFont="1" applyFill="1" applyBorder="1" applyAlignment="1" applyProtection="1"/>
    <xf numFmtId="9" fontId="296" fillId="38" borderId="266" xfId="1390" applyFont="1" applyFill="1" applyBorder="1" applyAlignment="1" applyProtection="1"/>
    <xf numFmtId="9" fontId="296" fillId="38" borderId="267" xfId="1390" applyFont="1" applyFill="1" applyBorder="1" applyAlignment="1" applyProtection="1"/>
    <xf numFmtId="0" fontId="294" fillId="38" borderId="234" xfId="1370" applyFont="1" applyFill="1" applyBorder="1" applyAlignment="1" applyProtection="1">
      <alignment horizontal="center" vertical="center"/>
      <protection locked="0"/>
    </xf>
    <xf numFmtId="0" fontId="294" fillId="0" borderId="241" xfId="14592" applyFont="1" applyBorder="1" applyAlignment="1">
      <alignment vertical="center"/>
    </xf>
    <xf numFmtId="169" fontId="294" fillId="38" borderId="226" xfId="1155" applyNumberFormat="1" applyFont="1" applyFill="1" applyBorder="1" applyAlignment="1" applyProtection="1">
      <alignment horizontal="center" vertical="center"/>
      <protection locked="0"/>
    </xf>
    <xf numFmtId="223" fontId="294" fillId="38" borderId="226" xfId="1390" applyNumberFormat="1" applyFont="1" applyFill="1" applyBorder="1" applyProtection="1">
      <alignment vertical="top"/>
      <protection locked="0"/>
    </xf>
    <xf numFmtId="265" fontId="294" fillId="38" borderId="226" xfId="1155" applyNumberFormat="1" applyFont="1" applyFill="1" applyBorder="1" applyAlignment="1" applyProtection="1"/>
    <xf numFmtId="9" fontId="294" fillId="38" borderId="226" xfId="1390" applyFont="1" applyFill="1" applyBorder="1" applyAlignment="1" applyProtection="1"/>
    <xf numFmtId="9" fontId="296" fillId="38" borderId="226" xfId="1390" applyFont="1" applyFill="1" applyBorder="1" applyAlignment="1" applyProtection="1"/>
    <xf numFmtId="0" fontId="296" fillId="0" borderId="226" xfId="14592" applyFont="1" applyBorder="1" applyAlignment="1">
      <alignment vertical="center"/>
    </xf>
    <xf numFmtId="3" fontId="296" fillId="0" borderId="226" xfId="14592" applyNumberFormat="1" applyFont="1" applyBorder="1" applyAlignment="1">
      <alignment vertical="center"/>
    </xf>
    <xf numFmtId="0" fontId="294" fillId="38" borderId="268" xfId="1370" applyFont="1" applyFill="1" applyBorder="1" applyAlignment="1" applyProtection="1">
      <alignment horizontal="center" vertical="center"/>
      <protection locked="0"/>
    </xf>
    <xf numFmtId="0" fontId="296" fillId="0" borderId="205" xfId="14592" applyFont="1" applyBorder="1" applyAlignment="1">
      <alignment vertical="center"/>
    </xf>
    <xf numFmtId="169" fontId="294" fillId="38" borderId="205" xfId="1155" applyNumberFormat="1" applyFont="1" applyFill="1" applyBorder="1" applyAlignment="1" applyProtection="1">
      <alignment horizontal="center" vertical="center"/>
      <protection locked="0"/>
    </xf>
    <xf numFmtId="9" fontId="294" fillId="38" borderId="205" xfId="1390" applyFont="1" applyFill="1" applyBorder="1" applyAlignment="1" applyProtection="1"/>
    <xf numFmtId="9" fontId="296" fillId="38" borderId="205" xfId="1390" applyFont="1" applyFill="1" applyBorder="1" applyAlignment="1" applyProtection="1"/>
    <xf numFmtId="9" fontId="296" fillId="38" borderId="269" xfId="1390" applyFont="1" applyFill="1" applyBorder="1" applyAlignment="1" applyProtection="1"/>
    <xf numFmtId="0" fontId="294" fillId="38" borderId="270" xfId="1370" applyFont="1" applyFill="1" applyBorder="1" applyAlignment="1" applyProtection="1">
      <alignment horizontal="center" vertical="center"/>
      <protection locked="0"/>
    </xf>
    <xf numFmtId="0" fontId="294" fillId="38" borderId="261" xfId="1370" applyFont="1" applyFill="1" applyBorder="1" applyAlignment="1" applyProtection="1">
      <alignment horizontal="center" vertical="center"/>
      <protection locked="0"/>
    </xf>
    <xf numFmtId="9" fontId="296" fillId="38" borderId="240" xfId="1390" applyFont="1" applyFill="1" applyBorder="1" applyAlignment="1" applyProtection="1"/>
    <xf numFmtId="9" fontId="296" fillId="38" borderId="68" xfId="1390" applyFont="1" applyFill="1" applyBorder="1" applyAlignment="1" applyProtection="1"/>
    <xf numFmtId="0" fontId="294" fillId="38" borderId="262" xfId="1370" applyFont="1" applyFill="1" applyBorder="1" applyAlignment="1" applyProtection="1">
      <alignment horizontal="center" vertical="center"/>
      <protection locked="0"/>
    </xf>
    <xf numFmtId="0" fontId="294" fillId="38" borderId="271" xfId="1370" applyFont="1" applyFill="1" applyBorder="1" applyAlignment="1" applyProtection="1">
      <alignment horizontal="center" vertical="center"/>
      <protection locked="0"/>
    </xf>
    <xf numFmtId="0" fontId="296" fillId="0" borderId="173" xfId="14592" applyFont="1" applyBorder="1" applyAlignment="1">
      <alignment vertical="center"/>
    </xf>
    <xf numFmtId="0" fontId="294" fillId="72" borderId="67" xfId="1370" applyFont="1" applyFill="1" applyBorder="1" applyAlignment="1" applyProtection="1">
      <alignment horizontal="center" vertical="center"/>
      <protection locked="0"/>
    </xf>
    <xf numFmtId="0" fontId="294" fillId="0" borderId="181" xfId="1370" applyFont="1" applyBorder="1" applyAlignment="1" applyProtection="1">
      <alignment horizontal="center"/>
      <protection locked="0"/>
    </xf>
    <xf numFmtId="2" fontId="294" fillId="0" borderId="178" xfId="1370" applyNumberFormat="1" applyFont="1" applyBorder="1" applyAlignment="1" applyProtection="1">
      <alignment horizontal="left" vertical="center"/>
      <protection locked="0"/>
    </xf>
    <xf numFmtId="169" fontId="294" fillId="0" borderId="178" xfId="1155" applyNumberFormat="1" applyFont="1" applyFill="1" applyBorder="1" applyAlignment="1" applyProtection="1">
      <alignment horizontal="center" vertical="center"/>
      <protection locked="0"/>
    </xf>
    <xf numFmtId="169" fontId="305" fillId="0" borderId="178" xfId="1155" applyNumberFormat="1" applyFont="1" applyFill="1" applyBorder="1">
      <alignment vertical="top"/>
    </xf>
    <xf numFmtId="169" fontId="294" fillId="0" borderId="178" xfId="1155" applyNumberFormat="1" applyFont="1" applyFill="1" applyBorder="1" applyAlignment="1" applyProtection="1">
      <alignment vertical="center"/>
    </xf>
    <xf numFmtId="0" fontId="294" fillId="57" borderId="67" xfId="1370" applyFont="1" applyFill="1" applyBorder="1" applyAlignment="1" applyProtection="1">
      <alignment horizontal="right"/>
      <protection locked="0"/>
    </xf>
    <xf numFmtId="0" fontId="294" fillId="57" borderId="240" xfId="1370" applyFont="1" applyFill="1" applyBorder="1" applyAlignment="1" applyProtection="1">
      <alignment horizontal="left" vertical="center"/>
      <protection locked="0"/>
    </xf>
    <xf numFmtId="169" fontId="294" fillId="57" borderId="240" xfId="1155" applyNumberFormat="1" applyFont="1" applyFill="1" applyBorder="1" applyAlignment="1" applyProtection="1">
      <alignment horizontal="center" vertical="center"/>
      <protection locked="0"/>
    </xf>
    <xf numFmtId="169" fontId="294" fillId="57" borderId="240" xfId="1370" applyNumberFormat="1" applyFont="1" applyFill="1" applyBorder="1" applyAlignment="1" applyProtection="1">
      <alignment horizontal="center" vertical="center"/>
      <protection locked="0"/>
    </xf>
    <xf numFmtId="169" fontId="294" fillId="57" borderId="240" xfId="1155" applyNumberFormat="1" applyFont="1" applyFill="1" applyBorder="1" applyAlignment="1" applyProtection="1">
      <alignment vertical="center"/>
    </xf>
    <xf numFmtId="9" fontId="294" fillId="57" borderId="240" xfId="1390" applyFont="1" applyFill="1" applyBorder="1" applyAlignment="1" applyProtection="1"/>
    <xf numFmtId="0" fontId="294" fillId="72" borderId="67" xfId="1370" applyFont="1" applyFill="1" applyBorder="1" applyAlignment="1" applyProtection="1">
      <alignment horizontal="right"/>
      <protection locked="0"/>
    </xf>
    <xf numFmtId="2" fontId="294" fillId="72" borderId="240" xfId="1370" applyNumberFormat="1" applyFont="1" applyFill="1" applyBorder="1" applyAlignment="1" applyProtection="1">
      <alignment horizontal="left" vertical="center"/>
      <protection locked="0"/>
    </xf>
    <xf numFmtId="169" fontId="294" fillId="72" borderId="240" xfId="1155" applyNumberFormat="1" applyFont="1" applyFill="1" applyBorder="1" applyAlignment="1" applyProtection="1">
      <alignment vertical="center"/>
    </xf>
    <xf numFmtId="0" fontId="274" fillId="38" borderId="272" xfId="1057" applyFont="1" applyFill="1" applyBorder="1" applyAlignment="1">
      <alignment horizontal="right"/>
    </xf>
    <xf numFmtId="0" fontId="274" fillId="38" borderId="272" xfId="1057" applyFont="1" applyFill="1" applyBorder="1" applyAlignment="1" applyProtection="1">
      <alignment horizontal="left" indent="1"/>
      <protection locked="0"/>
    </xf>
    <xf numFmtId="9" fontId="274" fillId="38" borderId="272" xfId="1390" applyFont="1" applyFill="1" applyBorder="1" applyAlignment="1" applyProtection="1">
      <alignment horizontal="center" wrapText="1"/>
    </xf>
    <xf numFmtId="9" fontId="315" fillId="38" borderId="272" xfId="1390" applyFont="1" applyFill="1" applyBorder="1" applyAlignment="1" applyProtection="1">
      <alignment horizontal="center" wrapText="1"/>
    </xf>
    <xf numFmtId="9" fontId="296" fillId="38" borderId="272" xfId="1390" applyFont="1" applyFill="1" applyBorder="1" applyAlignment="1" applyProtection="1">
      <alignment horizontal="center" wrapText="1"/>
    </xf>
    <xf numFmtId="9" fontId="297" fillId="38" borderId="195" xfId="1390" applyFont="1" applyFill="1" applyBorder="1" applyAlignment="1" applyProtection="1">
      <alignment vertical="center"/>
      <protection locked="0"/>
    </xf>
    <xf numFmtId="9" fontId="290" fillId="0" borderId="0" xfId="4841" applyNumberFormat="1" applyFont="1"/>
    <xf numFmtId="169" fontId="294" fillId="38" borderId="212" xfId="1155" applyNumberFormat="1" applyFont="1" applyFill="1" applyBorder="1" applyAlignment="1" applyProtection="1">
      <protection locked="0"/>
    </xf>
    <xf numFmtId="169" fontId="294" fillId="38" borderId="272" xfId="1155" applyNumberFormat="1" applyFont="1" applyFill="1" applyBorder="1" applyAlignment="1" applyProtection="1">
      <protection locked="0"/>
    </xf>
    <xf numFmtId="169" fontId="294" fillId="38" borderId="181" xfId="1155" applyNumberFormat="1" applyFont="1" applyFill="1" applyBorder="1" applyAlignment="1" applyProtection="1">
      <protection locked="0"/>
    </xf>
    <xf numFmtId="169" fontId="294" fillId="72" borderId="67" xfId="1155" applyNumberFormat="1" applyFont="1" applyFill="1" applyBorder="1" applyAlignment="1" applyProtection="1">
      <protection locked="0"/>
    </xf>
    <xf numFmtId="169" fontId="294" fillId="72" borderId="240" xfId="1155" applyNumberFormat="1" applyFont="1" applyFill="1" applyBorder="1" applyAlignment="1" applyProtection="1">
      <protection locked="0"/>
    </xf>
    <xf numFmtId="169" fontId="294" fillId="57" borderId="67" xfId="1155" applyNumberFormat="1" applyFont="1" applyFill="1" applyBorder="1" applyAlignment="1" applyProtection="1">
      <alignment vertical="center"/>
    </xf>
    <xf numFmtId="169" fontId="294" fillId="56" borderId="23" xfId="1155" applyNumberFormat="1" applyFont="1" applyFill="1" applyBorder="1" applyAlignment="1" applyProtection="1">
      <protection locked="0"/>
    </xf>
    <xf numFmtId="169" fontId="305" fillId="0" borderId="0" xfId="1155" applyNumberFormat="1" applyFont="1" applyFill="1" applyBorder="1" applyAlignment="1" applyProtection="1">
      <protection locked="0"/>
    </xf>
    <xf numFmtId="0" fontId="294" fillId="2" borderId="277" xfId="1057" applyFont="1" applyFill="1" applyBorder="1" applyAlignment="1" applyProtection="1">
      <alignment horizontal="center"/>
      <protection locked="0"/>
    </xf>
    <xf numFmtId="169" fontId="304" fillId="2" borderId="278" xfId="1155" applyNumberFormat="1" applyFont="1" applyFill="1" applyBorder="1" applyAlignment="1" applyProtection="1">
      <alignment horizontal="left" indent="1"/>
      <protection locked="0"/>
    </xf>
    <xf numFmtId="169" fontId="294" fillId="2" borderId="278" xfId="1155" applyNumberFormat="1" applyFont="1" applyFill="1" applyBorder="1" applyAlignment="1" applyProtection="1">
      <alignment horizontal="center"/>
      <protection locked="0"/>
    </xf>
    <xf numFmtId="220" fontId="294" fillId="2" borderId="279" xfId="1155" applyFont="1" applyFill="1" applyBorder="1" applyAlignment="1" applyProtection="1">
      <alignment horizontal="right"/>
      <protection locked="0"/>
    </xf>
    <xf numFmtId="169" fontId="294" fillId="2" borderId="274" xfId="1155" applyNumberFormat="1" applyFont="1" applyFill="1" applyBorder="1" applyAlignment="1" applyProtection="1">
      <protection locked="0"/>
    </xf>
    <xf numFmtId="169" fontId="294" fillId="37" borderId="274" xfId="1155" applyNumberFormat="1" applyFont="1" applyFill="1" applyBorder="1" applyAlignment="1" applyProtection="1">
      <protection locked="0"/>
    </xf>
    <xf numFmtId="169" fontId="294" fillId="2" borderId="278" xfId="1155" applyNumberFormat="1" applyFont="1" applyFill="1" applyBorder="1" applyAlignment="1" applyProtection="1">
      <protection locked="0"/>
    </xf>
    <xf numFmtId="169" fontId="294" fillId="2" borderId="280" xfId="1155" applyNumberFormat="1" applyFont="1" applyFill="1" applyBorder="1" applyAlignment="1" applyProtection="1">
      <protection locked="0"/>
    </xf>
    <xf numFmtId="169" fontId="294" fillId="2" borderId="281" xfId="1155" applyNumberFormat="1" applyFont="1" applyFill="1" applyBorder="1" applyAlignment="1" applyProtection="1">
      <protection locked="0"/>
    </xf>
    <xf numFmtId="169" fontId="305" fillId="56" borderId="279" xfId="1155" applyNumberFormat="1" applyFont="1" applyFill="1" applyBorder="1" applyAlignment="1" applyProtection="1">
      <protection locked="0"/>
    </xf>
    <xf numFmtId="169" fontId="305" fillId="56" borderId="283" xfId="1155" applyNumberFormat="1" applyFont="1" applyFill="1" applyBorder="1" applyAlignment="1" applyProtection="1">
      <protection locked="0"/>
    </xf>
    <xf numFmtId="169" fontId="294" fillId="2" borderId="284" xfId="1155" applyNumberFormat="1" applyFont="1" applyFill="1" applyBorder="1" applyAlignment="1" applyProtection="1">
      <protection locked="0"/>
    </xf>
    <xf numFmtId="169" fontId="294" fillId="2" borderId="282" xfId="1155" applyNumberFormat="1" applyFont="1" applyFill="1" applyBorder="1" applyAlignment="1" applyProtection="1">
      <protection locked="0"/>
    </xf>
    <xf numFmtId="169" fontId="294" fillId="0" borderId="277" xfId="1155" applyNumberFormat="1" applyFont="1" applyFill="1" applyBorder="1" applyAlignment="1" applyProtection="1">
      <alignment horizontal="center"/>
      <protection locked="0"/>
    </xf>
    <xf numFmtId="0" fontId="294" fillId="2" borderId="278" xfId="1057" applyFont="1" applyFill="1" applyBorder="1" applyAlignment="1" applyProtection="1">
      <alignment horizontal="left" indent="1"/>
      <protection locked="0"/>
    </xf>
    <xf numFmtId="169" fontId="294" fillId="0" borderId="279" xfId="1155" applyNumberFormat="1" applyFont="1" applyFill="1" applyBorder="1" applyAlignment="1" applyProtection="1">
      <alignment horizontal="right"/>
      <protection locked="0"/>
    </xf>
    <xf numFmtId="169" fontId="294" fillId="0" borderId="0" xfId="1155" applyNumberFormat="1" applyFont="1" applyFill="1" applyBorder="1" applyAlignment="1" applyProtection="1">
      <alignment horizontal="right"/>
      <protection locked="0"/>
    </xf>
    <xf numFmtId="169" fontId="294" fillId="37" borderId="283" xfId="1155" applyNumberFormat="1" applyFont="1" applyFill="1" applyBorder="1" applyAlignment="1" applyProtection="1">
      <protection locked="0"/>
    </xf>
    <xf numFmtId="169" fontId="294" fillId="0" borderId="283" xfId="1155" applyNumberFormat="1" applyFont="1" applyFill="1" applyBorder="1" applyAlignment="1" applyProtection="1">
      <protection locked="0"/>
    </xf>
    <xf numFmtId="169" fontId="294" fillId="0" borderId="274" xfId="1155" applyNumberFormat="1" applyFont="1" applyFill="1" applyBorder="1" applyAlignment="1" applyProtection="1">
      <protection locked="0"/>
    </xf>
    <xf numFmtId="169" fontId="294" fillId="0" borderId="278" xfId="1155" applyNumberFormat="1" applyFont="1" applyFill="1" applyBorder="1" applyAlignment="1" applyProtection="1">
      <protection locked="0"/>
    </xf>
    <xf numFmtId="169" fontId="294" fillId="0" borderId="281" xfId="1155" applyNumberFormat="1" applyFont="1" applyFill="1" applyBorder="1" applyAlignment="1" applyProtection="1">
      <protection locked="0"/>
    </xf>
    <xf numFmtId="220" fontId="294" fillId="61" borderId="85" xfId="1155" applyFont="1" applyFill="1" applyBorder="1" applyAlignment="1" applyProtection="1">
      <alignment horizontal="center" vertical="center" wrapText="1"/>
      <protection locked="0"/>
    </xf>
    <xf numFmtId="169" fontId="296" fillId="2" borderId="80" xfId="1057" applyNumberFormat="1" applyFont="1" applyFill="1" applyBorder="1" applyAlignment="1" applyProtection="1">
      <protection locked="0"/>
    </xf>
    <xf numFmtId="0" fontId="296" fillId="2" borderId="86" xfId="1057" applyFont="1" applyFill="1" applyBorder="1" applyAlignment="1" applyProtection="1">
      <alignment horizontal="center"/>
      <protection locked="0"/>
    </xf>
    <xf numFmtId="0" fontId="296" fillId="0" borderId="86" xfId="1057" applyFont="1" applyBorder="1" applyAlignment="1" applyProtection="1">
      <alignment horizontal="center"/>
      <protection locked="0"/>
    </xf>
    <xf numFmtId="0" fontId="294" fillId="0" borderId="0" xfId="1371" applyFont="1" applyAlignment="1">
      <alignment horizontal="center" vertical="top"/>
    </xf>
    <xf numFmtId="3" fontId="294" fillId="0" borderId="0" xfId="1371" applyNumberFormat="1" applyFont="1" applyAlignment="1">
      <alignment vertical="top"/>
    </xf>
    <xf numFmtId="0" fontId="294" fillId="39" borderId="0" xfId="1371" applyFont="1" applyFill="1" applyAlignment="1">
      <alignment horizontal="center" vertical="top"/>
    </xf>
    <xf numFmtId="0" fontId="294" fillId="29" borderId="0" xfId="1371" applyFont="1" applyFill="1" applyAlignment="1">
      <alignment horizontal="center" vertical="top" wrapText="1"/>
    </xf>
    <xf numFmtId="169" fontId="296" fillId="0" borderId="266" xfId="1057" applyNumberFormat="1" applyFont="1" applyBorder="1" applyAlignment="1"/>
    <xf numFmtId="0" fontId="296" fillId="0" borderId="275" xfId="1057" applyFont="1" applyBorder="1" applyAlignment="1"/>
    <xf numFmtId="169" fontId="296" fillId="0" borderId="276" xfId="1057" applyNumberFormat="1" applyFont="1" applyBorder="1" applyAlignment="1"/>
    <xf numFmtId="169" fontId="294" fillId="38" borderId="286" xfId="1155" applyNumberFormat="1" applyFont="1" applyFill="1" applyBorder="1" applyAlignment="1" applyProtection="1">
      <protection locked="0"/>
    </xf>
    <xf numFmtId="169" fontId="297" fillId="38" borderId="285" xfId="1155" applyNumberFormat="1" applyFont="1" applyFill="1" applyBorder="1" applyAlignment="1" applyProtection="1">
      <protection locked="0"/>
    </xf>
    <xf numFmtId="169" fontId="280" fillId="38" borderId="285" xfId="1155" applyNumberFormat="1" applyFont="1" applyFill="1" applyBorder="1" applyAlignment="1" applyProtection="1">
      <protection locked="0"/>
    </xf>
    <xf numFmtId="169" fontId="280" fillId="0" borderId="0" xfId="1057" applyNumberFormat="1" applyFont="1" applyAlignment="1"/>
    <xf numFmtId="169" fontId="274" fillId="0" borderId="0" xfId="1057" applyNumberFormat="1" applyFont="1" applyAlignment="1"/>
    <xf numFmtId="43" fontId="274" fillId="0" borderId="288" xfId="4842" applyFont="1" applyFill="1" applyBorder="1" applyAlignment="1">
      <alignment vertical="center"/>
    </xf>
    <xf numFmtId="43" fontId="274" fillId="0" borderId="289" xfId="4842" applyFont="1" applyFill="1" applyBorder="1" applyAlignment="1">
      <alignment vertical="center"/>
    </xf>
    <xf numFmtId="169" fontId="296" fillId="2" borderId="274" xfId="1057" applyNumberFormat="1" applyFont="1" applyFill="1" applyBorder="1" applyAlignment="1" applyProtection="1">
      <protection locked="0"/>
    </xf>
    <xf numFmtId="0" fontId="294" fillId="0" borderId="274" xfId="1057" applyFont="1" applyBorder="1" applyAlignment="1" applyProtection="1">
      <alignment horizontal="right"/>
      <protection locked="0"/>
    </xf>
    <xf numFmtId="0" fontId="294" fillId="0" borderId="274" xfId="1057" applyFont="1" applyBorder="1" applyAlignment="1" applyProtection="1">
      <protection locked="0"/>
    </xf>
    <xf numFmtId="9" fontId="295" fillId="2" borderId="274" xfId="1390" applyFont="1" applyFill="1" applyBorder="1" applyAlignment="1" applyProtection="1">
      <alignment horizontal="center"/>
      <protection locked="0"/>
    </xf>
    <xf numFmtId="9" fontId="324" fillId="2" borderId="274" xfId="1390" applyFont="1" applyFill="1" applyBorder="1" applyProtection="1">
      <alignment vertical="top"/>
      <protection locked="0"/>
    </xf>
    <xf numFmtId="265" fontId="288" fillId="56" borderId="176" xfId="1155" applyNumberFormat="1" applyFont="1" applyFill="1" applyBorder="1" applyAlignment="1" applyProtection="1">
      <alignment vertical="center"/>
    </xf>
    <xf numFmtId="0" fontId="294" fillId="0" borderId="0" xfId="1057" applyFont="1" applyAlignment="1" applyProtection="1">
      <alignment vertical="center"/>
      <protection locked="0"/>
    </xf>
    <xf numFmtId="0" fontId="277" fillId="0" borderId="0" xfId="1057" applyFont="1" applyAlignment="1">
      <alignment vertical="center"/>
    </xf>
    <xf numFmtId="169" fontId="340" fillId="0" borderId="0" xfId="0" applyNumberFormat="1" applyFont="1" applyAlignment="1">
      <alignment vertical="center"/>
    </xf>
    <xf numFmtId="223" fontId="288" fillId="0" borderId="85" xfId="1390" applyNumberFormat="1" applyFont="1" applyFill="1" applyBorder="1" applyProtection="1">
      <alignment vertical="top"/>
    </xf>
    <xf numFmtId="223" fontId="288" fillId="0" borderId="0" xfId="1390" applyNumberFormat="1" applyFont="1" applyFill="1" applyBorder="1" applyProtection="1">
      <alignment vertical="top"/>
    </xf>
    <xf numFmtId="223" fontId="288" fillId="0" borderId="39" xfId="1390" applyNumberFormat="1" applyFont="1" applyFill="1" applyBorder="1" applyProtection="1">
      <alignment vertical="top"/>
    </xf>
    <xf numFmtId="0" fontId="296" fillId="0" borderId="292" xfId="1057" applyFont="1" applyBorder="1" applyAlignment="1"/>
    <xf numFmtId="263" fontId="296" fillId="0" borderId="292" xfId="1057" applyNumberFormat="1" applyFont="1" applyBorder="1" applyAlignment="1"/>
    <xf numFmtId="169" fontId="296" fillId="0" borderId="292" xfId="1155" applyNumberFormat="1" applyFont="1" applyFill="1" applyBorder="1" applyAlignment="1" applyProtection="1"/>
    <xf numFmtId="0" fontId="294" fillId="0" borderId="290" xfId="1057" applyFont="1" applyBorder="1" applyAlignment="1"/>
    <xf numFmtId="169" fontId="294" fillId="0" borderId="290" xfId="1057" applyNumberFormat="1" applyFont="1" applyBorder="1" applyAlignment="1"/>
    <xf numFmtId="0" fontId="296" fillId="0" borderId="290" xfId="1057" applyFont="1" applyBorder="1" applyAlignment="1"/>
    <xf numFmtId="263" fontId="296" fillId="0" borderId="290" xfId="1057" applyNumberFormat="1" applyFont="1" applyBorder="1" applyAlignment="1"/>
    <xf numFmtId="169" fontId="296" fillId="0" borderId="290" xfId="1155" applyNumberFormat="1" applyFont="1" applyFill="1" applyBorder="1" applyAlignment="1" applyProtection="1"/>
    <xf numFmtId="169" fontId="294" fillId="0" borderId="290" xfId="1155" applyNumberFormat="1" applyFont="1" applyBorder="1">
      <alignment vertical="top"/>
    </xf>
    <xf numFmtId="0" fontId="296" fillId="0" borderId="290" xfId="1057" applyFont="1" applyBorder="1" applyAlignment="1">
      <alignment horizontal="left" indent="1"/>
    </xf>
    <xf numFmtId="0" fontId="296" fillId="0" borderId="292" xfId="1057" applyFont="1" applyBorder="1" applyAlignment="1">
      <alignment horizontal="left" indent="1"/>
    </xf>
    <xf numFmtId="169" fontId="296" fillId="0" borderId="290" xfId="1057" applyNumberFormat="1" applyFont="1" applyBorder="1" applyAlignment="1"/>
    <xf numFmtId="169" fontId="296" fillId="0" borderId="292" xfId="1057" applyNumberFormat="1" applyFont="1" applyBorder="1" applyAlignment="1"/>
    <xf numFmtId="10" fontId="296" fillId="0" borderId="251" xfId="1390" applyNumberFormat="1" applyFont="1" applyFill="1" applyBorder="1" applyAlignment="1" applyProtection="1">
      <alignment horizontal="right" vertical="center"/>
    </xf>
    <xf numFmtId="0" fontId="277" fillId="38" borderId="293" xfId="1848" applyFont="1" applyFill="1" applyBorder="1" applyAlignment="1" applyProtection="1">
      <alignment horizontal="center" vertical="center"/>
      <protection locked="0"/>
    </xf>
    <xf numFmtId="265" fontId="287" fillId="38" borderId="293" xfId="4842" applyNumberFormat="1" applyFont="1" applyFill="1" applyBorder="1" applyAlignment="1" applyProtection="1">
      <alignment horizontal="right" vertical="center"/>
      <protection locked="0"/>
    </xf>
    <xf numFmtId="265" fontId="277" fillId="38" borderId="293" xfId="4842" applyNumberFormat="1" applyFont="1" applyFill="1" applyBorder="1" applyAlignment="1" applyProtection="1">
      <alignment horizontal="left" vertical="center"/>
      <protection locked="0"/>
    </xf>
    <xf numFmtId="0" fontId="280" fillId="38" borderId="293" xfId="1848" applyFont="1" applyFill="1" applyBorder="1" applyAlignment="1" applyProtection="1">
      <alignment horizontal="left" vertical="center"/>
      <protection locked="0"/>
    </xf>
    <xf numFmtId="43" fontId="274" fillId="0" borderId="0" xfId="4841" applyNumberFormat="1" applyFont="1" applyAlignment="1">
      <alignment horizontal="center" vertical="center"/>
    </xf>
    <xf numFmtId="1" fontId="280" fillId="0" borderId="0" xfId="4841" applyNumberFormat="1" applyFont="1"/>
    <xf numFmtId="43" fontId="274" fillId="0" borderId="0" xfId="4841" applyNumberFormat="1" applyFont="1"/>
    <xf numFmtId="169" fontId="115" fillId="0" borderId="0" xfId="1155" applyNumberFormat="1" applyFill="1" applyBorder="1">
      <alignment vertical="top"/>
    </xf>
    <xf numFmtId="223" fontId="288" fillId="38" borderId="293" xfId="1390" applyNumberFormat="1" applyFont="1" applyFill="1" applyBorder="1" applyProtection="1">
      <alignment vertical="top"/>
      <protection locked="0"/>
    </xf>
    <xf numFmtId="223" fontId="296" fillId="38" borderId="293" xfId="1390" applyNumberFormat="1" applyFont="1" applyFill="1" applyBorder="1" applyProtection="1">
      <alignment vertical="top"/>
      <protection locked="0"/>
    </xf>
    <xf numFmtId="223" fontId="296" fillId="38" borderId="292" xfId="1390" applyNumberFormat="1" applyFont="1" applyFill="1" applyBorder="1" applyProtection="1">
      <alignment vertical="top"/>
      <protection locked="0"/>
    </xf>
    <xf numFmtId="9" fontId="296" fillId="38" borderId="293" xfId="1390" applyFont="1" applyFill="1" applyBorder="1" applyAlignment="1" applyProtection="1"/>
    <xf numFmtId="265" fontId="296" fillId="38" borderId="293" xfId="1155" applyNumberFormat="1" applyFont="1" applyFill="1" applyBorder="1" applyAlignment="1" applyProtection="1"/>
    <xf numFmtId="0" fontId="296" fillId="122" borderId="203" xfId="0" applyFont="1" applyFill="1" applyBorder="1" applyAlignment="1">
      <alignment horizontal="left" vertical="center"/>
    </xf>
    <xf numFmtId="0" fontId="296" fillId="122" borderId="203" xfId="0" applyFont="1" applyFill="1" applyBorder="1" applyAlignment="1">
      <alignment vertical="center"/>
    </xf>
    <xf numFmtId="0" fontId="274" fillId="0" borderId="215" xfId="4842" applyNumberFormat="1" applyFont="1" applyFill="1" applyBorder="1" applyAlignment="1">
      <alignment horizontal="right" vertical="center"/>
    </xf>
    <xf numFmtId="43" fontId="274" fillId="0" borderId="215" xfId="4842" applyFont="1" applyFill="1" applyBorder="1" applyAlignment="1">
      <alignment vertical="center"/>
    </xf>
    <xf numFmtId="43" fontId="284" fillId="0" borderId="215" xfId="4842" applyFont="1" applyFill="1" applyBorder="1" applyAlignment="1">
      <alignment vertical="center"/>
    </xf>
    <xf numFmtId="9" fontId="274" fillId="0" borderId="215" xfId="1390" applyFont="1" applyFill="1" applyBorder="1" applyAlignment="1">
      <alignment vertical="center"/>
    </xf>
    <xf numFmtId="9" fontId="274" fillId="0" borderId="215" xfId="4841" applyNumberFormat="1" applyFont="1" applyBorder="1"/>
    <xf numFmtId="251" fontId="274" fillId="0" borderId="215" xfId="4841" applyNumberFormat="1" applyFont="1" applyBorder="1"/>
    <xf numFmtId="265" fontId="274" fillId="0" borderId="215" xfId="4841" applyNumberFormat="1" applyFont="1" applyBorder="1"/>
    <xf numFmtId="43" fontId="274" fillId="0" borderId="245" xfId="4842" applyFont="1" applyFill="1" applyBorder="1" applyAlignment="1">
      <alignment horizontal="left" vertical="center" indent="1"/>
    </xf>
    <xf numFmtId="43" fontId="274" fillId="0" borderId="259" xfId="4842" applyFont="1" applyFill="1" applyBorder="1" applyAlignment="1">
      <alignment horizontal="left" vertical="center" indent="1"/>
    </xf>
    <xf numFmtId="0" fontId="284" fillId="0" borderId="259" xfId="4841" applyFont="1" applyBorder="1" applyAlignment="1">
      <alignment vertical="center"/>
    </xf>
    <xf numFmtId="0" fontId="284" fillId="0" borderId="260" xfId="4841" applyFont="1" applyBorder="1" applyAlignment="1">
      <alignment vertical="center"/>
    </xf>
    <xf numFmtId="9" fontId="284" fillId="0" borderId="259" xfId="4841" applyNumberFormat="1" applyFont="1" applyBorder="1"/>
    <xf numFmtId="0" fontId="284" fillId="0" borderId="259" xfId="4841" applyFont="1" applyBorder="1"/>
    <xf numFmtId="0" fontId="274" fillId="0" borderId="288" xfId="4842" applyNumberFormat="1" applyFont="1" applyFill="1" applyBorder="1" applyAlignment="1">
      <alignment horizontal="right" vertical="center"/>
    </xf>
    <xf numFmtId="43" fontId="284" fillId="0" borderId="288" xfId="4842" applyFont="1" applyFill="1" applyBorder="1" applyAlignment="1">
      <alignment vertical="center"/>
    </xf>
    <xf numFmtId="9" fontId="274" fillId="0" borderId="288" xfId="1390" applyFont="1" applyFill="1" applyBorder="1" applyAlignment="1">
      <alignment vertical="center"/>
    </xf>
    <xf numFmtId="0" fontId="274" fillId="0" borderId="288" xfId="4841" applyFont="1" applyBorder="1"/>
    <xf numFmtId="0" fontId="274" fillId="0" borderId="289" xfId="4842" applyNumberFormat="1" applyFont="1" applyFill="1" applyBorder="1" applyAlignment="1">
      <alignment horizontal="right" vertical="center"/>
    </xf>
    <xf numFmtId="43" fontId="284" fillId="0" borderId="289" xfId="4842" applyFont="1" applyFill="1" applyBorder="1" applyAlignment="1">
      <alignment vertical="center"/>
    </xf>
    <xf numFmtId="9" fontId="274" fillId="0" borderId="289" xfId="1390" applyFont="1" applyFill="1" applyBorder="1" applyAlignment="1">
      <alignment vertical="center"/>
    </xf>
    <xf numFmtId="0" fontId="276" fillId="0" borderId="289" xfId="4841" applyFont="1" applyBorder="1"/>
    <xf numFmtId="0" fontId="274" fillId="0" borderId="289" xfId="4841" applyFont="1" applyBorder="1"/>
    <xf numFmtId="43" fontId="274" fillId="0" borderId="0" xfId="4842" applyFont="1" applyFill="1" applyBorder="1" applyAlignment="1">
      <alignment horizontal="left" vertical="center" indent="1"/>
    </xf>
    <xf numFmtId="9" fontId="274" fillId="0" borderId="159" xfId="1390" applyFont="1" applyFill="1" applyBorder="1" applyAlignment="1">
      <alignment vertical="center"/>
    </xf>
    <xf numFmtId="251" fontId="274" fillId="0" borderId="0" xfId="4841" applyNumberFormat="1" applyFont="1"/>
    <xf numFmtId="265" fontId="274" fillId="0" borderId="0" xfId="4841" applyNumberFormat="1" applyFont="1"/>
    <xf numFmtId="0" fontId="274" fillId="0" borderId="295" xfId="4842" applyNumberFormat="1" applyFont="1" applyFill="1" applyBorder="1" applyAlignment="1">
      <alignment horizontal="right" vertical="center"/>
    </xf>
    <xf numFmtId="43" fontId="274" fillId="0" borderId="295" xfId="4842" applyFont="1" applyFill="1" applyBorder="1" applyAlignment="1">
      <alignment horizontal="left" vertical="center" indent="1"/>
    </xf>
    <xf numFmtId="43" fontId="284" fillId="0" borderId="295" xfId="4842" applyFont="1" applyFill="1" applyBorder="1" applyAlignment="1">
      <alignment vertical="center"/>
    </xf>
    <xf numFmtId="9" fontId="274" fillId="0" borderId="295" xfId="1390" applyFont="1" applyFill="1" applyBorder="1" applyAlignment="1">
      <alignment vertical="center"/>
    </xf>
    <xf numFmtId="9" fontId="274" fillId="0" borderId="295" xfId="4841" applyNumberFormat="1" applyFont="1" applyBorder="1"/>
    <xf numFmtId="251" fontId="274" fillId="0" borderId="295" xfId="4841" applyNumberFormat="1" applyFont="1" applyBorder="1"/>
    <xf numFmtId="265" fontId="274" fillId="0" borderId="295" xfId="4841" applyNumberFormat="1" applyFont="1" applyBorder="1"/>
    <xf numFmtId="0" fontId="274" fillId="0" borderId="295" xfId="4841" applyFont="1" applyBorder="1"/>
    <xf numFmtId="0" fontId="274" fillId="0" borderId="294" xfId="4842" applyNumberFormat="1" applyFont="1" applyFill="1" applyBorder="1" applyAlignment="1">
      <alignment horizontal="right" vertical="center"/>
    </xf>
    <xf numFmtId="43" fontId="274" fillId="0" borderId="294" xfId="4842" applyFont="1" applyFill="1" applyBorder="1" applyAlignment="1">
      <alignment horizontal="left" vertical="center" indent="1"/>
    </xf>
    <xf numFmtId="43" fontId="284" fillId="0" borderId="294" xfId="4842" applyFont="1" applyFill="1" applyBorder="1" applyAlignment="1">
      <alignment vertical="center"/>
    </xf>
    <xf numFmtId="9" fontId="274" fillId="0" borderId="294" xfId="1390" applyFont="1" applyFill="1" applyBorder="1" applyAlignment="1">
      <alignment vertical="center"/>
    </xf>
    <xf numFmtId="9" fontId="274" fillId="0" borderId="294" xfId="4841" applyNumberFormat="1" applyFont="1" applyBorder="1"/>
    <xf numFmtId="251" fontId="274" fillId="0" borderId="294" xfId="4841" applyNumberFormat="1" applyFont="1" applyBorder="1"/>
    <xf numFmtId="265" fontId="274" fillId="0" borderId="294" xfId="4841" applyNumberFormat="1" applyFont="1" applyBorder="1"/>
    <xf numFmtId="0" fontId="274" fillId="0" borderId="294" xfId="4841" applyFont="1" applyBorder="1"/>
    <xf numFmtId="251" fontId="277" fillId="0" borderId="239" xfId="4841" applyNumberFormat="1" applyFont="1" applyBorder="1"/>
    <xf numFmtId="9" fontId="284" fillId="0" borderId="288" xfId="4841" applyNumberFormat="1" applyFont="1" applyBorder="1"/>
    <xf numFmtId="0" fontId="274" fillId="38" borderId="293" xfId="1057" applyFont="1" applyFill="1" applyBorder="1" applyAlignment="1">
      <alignment horizontal="right"/>
    </xf>
    <xf numFmtId="0" fontId="274" fillId="38" borderId="293" xfId="1057" applyFont="1" applyFill="1" applyBorder="1" applyAlignment="1" applyProtection="1">
      <alignment horizontal="left" indent="1"/>
      <protection locked="0"/>
    </xf>
    <xf numFmtId="9" fontId="274" fillId="38" borderId="293" xfId="1390" applyFont="1" applyFill="1" applyBorder="1" applyAlignment="1" applyProtection="1">
      <alignment horizontal="center" wrapText="1"/>
    </xf>
    <xf numFmtId="9" fontId="274" fillId="0" borderId="293" xfId="1390" applyFont="1" applyFill="1" applyBorder="1" applyAlignment="1" applyProtection="1">
      <alignment horizontal="center" wrapText="1"/>
    </xf>
    <xf numFmtId="9" fontId="315" fillId="38" borderId="293" xfId="1390" applyFont="1" applyFill="1" applyBorder="1" applyAlignment="1" applyProtection="1">
      <alignment horizontal="center" wrapText="1"/>
    </xf>
    <xf numFmtId="9" fontId="296" fillId="38" borderId="293" xfId="1390" applyFont="1" applyFill="1" applyBorder="1" applyAlignment="1" applyProtection="1">
      <alignment horizontal="center" wrapText="1"/>
    </xf>
    <xf numFmtId="0" fontId="274" fillId="38" borderId="291" xfId="1057" applyFont="1" applyFill="1" applyBorder="1" applyAlignment="1">
      <alignment horizontal="right"/>
    </xf>
    <xf numFmtId="0" fontId="274" fillId="38" borderId="291" xfId="1057" applyFont="1" applyFill="1" applyBorder="1" applyAlignment="1" applyProtection="1">
      <alignment horizontal="left" indent="1"/>
      <protection locked="0"/>
    </xf>
    <xf numFmtId="9" fontId="274" fillId="38" borderId="291" xfId="1390" applyFont="1" applyFill="1" applyBorder="1" applyAlignment="1" applyProtection="1">
      <alignment horizontal="center" wrapText="1"/>
    </xf>
    <xf numFmtId="9" fontId="315" fillId="38" borderId="291" xfId="1390" applyFont="1" applyFill="1" applyBorder="1" applyAlignment="1" applyProtection="1">
      <alignment horizontal="center" wrapText="1"/>
    </xf>
    <xf numFmtId="9" fontId="296" fillId="38" borderId="291" xfId="1390" applyFont="1" applyFill="1" applyBorder="1" applyAlignment="1" applyProtection="1">
      <alignment horizontal="center" wrapText="1"/>
    </xf>
    <xf numFmtId="0" fontId="274" fillId="0" borderId="296" xfId="4842" applyNumberFormat="1" applyFont="1" applyFill="1" applyBorder="1" applyAlignment="1">
      <alignment horizontal="right" vertical="center"/>
    </xf>
    <xf numFmtId="43" fontId="274" fillId="0" borderId="296" xfId="4842" applyFont="1" applyFill="1" applyBorder="1" applyAlignment="1">
      <alignment vertical="center"/>
    </xf>
    <xf numFmtId="43" fontId="284" fillId="0" borderId="296" xfId="4842" applyFont="1" applyFill="1" applyBorder="1" applyAlignment="1">
      <alignment vertical="center"/>
    </xf>
    <xf numFmtId="9" fontId="274" fillId="0" borderId="296" xfId="1390" applyFont="1" applyFill="1" applyBorder="1" applyAlignment="1">
      <alignment vertical="center"/>
    </xf>
    <xf numFmtId="9" fontId="284" fillId="0" borderId="296" xfId="4841" applyNumberFormat="1" applyFont="1" applyBorder="1"/>
    <xf numFmtId="0" fontId="284" fillId="0" borderId="296" xfId="4841" applyFont="1" applyBorder="1"/>
    <xf numFmtId="265" fontId="274" fillId="0" borderId="296" xfId="4841" applyNumberFormat="1" applyFont="1" applyBorder="1"/>
    <xf numFmtId="265" fontId="284" fillId="0" borderId="296" xfId="4841" applyNumberFormat="1" applyFont="1" applyBorder="1"/>
    <xf numFmtId="2" fontId="294" fillId="0" borderId="265" xfId="14592" applyNumberFormat="1" applyFont="1" applyBorder="1" applyAlignment="1">
      <alignment vertical="center"/>
    </xf>
    <xf numFmtId="169" fontId="294" fillId="37" borderId="225" xfId="1155" applyNumberFormat="1" applyFont="1" applyFill="1" applyBorder="1" applyAlignment="1" applyProtection="1">
      <alignment horizontal="center"/>
      <protection locked="0"/>
    </xf>
    <xf numFmtId="169" fontId="294" fillId="2" borderId="283" xfId="1155" applyNumberFormat="1" applyFont="1" applyFill="1" applyBorder="1" applyAlignment="1" applyProtection="1">
      <protection locked="0"/>
    </xf>
    <xf numFmtId="169" fontId="305" fillId="56" borderId="278" xfId="1155" applyNumberFormat="1" applyFont="1" applyFill="1" applyBorder="1" applyAlignment="1" applyProtection="1">
      <protection locked="0"/>
    </xf>
    <xf numFmtId="169" fontId="294" fillId="2" borderId="225" xfId="1155" applyNumberFormat="1" applyFont="1" applyFill="1" applyBorder="1" applyAlignment="1" applyProtection="1">
      <alignment horizontal="center"/>
      <protection locked="0"/>
    </xf>
    <xf numFmtId="169" fontId="294" fillId="0" borderId="6" xfId="1155" applyNumberFormat="1" applyFont="1" applyFill="1" applyBorder="1" applyAlignment="1" applyProtection="1">
      <alignment horizontal="right"/>
      <protection locked="0"/>
    </xf>
    <xf numFmtId="169" fontId="294" fillId="0" borderId="297" xfId="1155" applyNumberFormat="1" applyFont="1" applyFill="1" applyBorder="1" applyAlignment="1" applyProtection="1">
      <protection locked="0"/>
    </xf>
    <xf numFmtId="0" fontId="296" fillId="2" borderId="277" xfId="1057" applyFont="1" applyFill="1" applyBorder="1" applyAlignment="1" applyProtection="1">
      <alignment horizontal="center"/>
      <protection locked="0"/>
    </xf>
    <xf numFmtId="169" fontId="294" fillId="0" borderId="225" xfId="1155" applyNumberFormat="1" applyFont="1" applyFill="1" applyBorder="1" applyAlignment="1" applyProtection="1">
      <protection locked="0"/>
    </xf>
    <xf numFmtId="0" fontId="296" fillId="0" borderId="298" xfId="1057" applyFont="1" applyBorder="1" applyAlignment="1" applyProtection="1">
      <alignment horizontal="left" vertical="center"/>
      <protection locked="0"/>
    </xf>
    <xf numFmtId="169" fontId="296" fillId="0" borderId="205" xfId="1155" applyNumberFormat="1" applyFont="1" applyFill="1" applyBorder="1" applyAlignment="1" applyProtection="1">
      <alignment vertical="center"/>
      <protection locked="0"/>
    </xf>
    <xf numFmtId="169" fontId="317" fillId="56" borderId="159" xfId="1155" applyNumberFormat="1" applyFont="1" applyFill="1" applyBorder="1" applyAlignment="1" applyProtection="1"/>
    <xf numFmtId="0" fontId="296" fillId="0" borderId="205" xfId="1370" applyFont="1" applyBorder="1" applyAlignment="1" applyProtection="1">
      <alignment vertical="center"/>
      <protection locked="0"/>
    </xf>
    <xf numFmtId="169" fontId="274" fillId="0" borderId="205" xfId="1155" applyNumberFormat="1" applyFont="1" applyFill="1" applyBorder="1" applyAlignment="1" applyProtection="1">
      <alignment vertical="center"/>
      <protection locked="0"/>
    </xf>
    <xf numFmtId="169" fontId="317" fillId="56" borderId="299" xfId="1155" applyNumberFormat="1" applyFont="1" applyFill="1" applyBorder="1" applyAlignment="1" applyProtection="1"/>
    <xf numFmtId="0" fontId="294" fillId="0" borderId="270" xfId="1057" applyFont="1" applyBorder="1" applyAlignment="1" applyProtection="1">
      <alignment horizontal="left" vertical="center"/>
      <protection locked="0"/>
    </xf>
    <xf numFmtId="0" fontId="296" fillId="119" borderId="41" xfId="1057" applyFont="1" applyFill="1" applyBorder="1" applyAlignment="1" applyProtection="1">
      <alignment horizontal="left" vertical="center"/>
      <protection locked="0"/>
    </xf>
    <xf numFmtId="169" fontId="294" fillId="0" borderId="226" xfId="1370" applyNumberFormat="1" applyFont="1" applyBorder="1" applyAlignment="1" applyProtection="1">
      <alignment vertical="center"/>
      <protection locked="0"/>
    </xf>
    <xf numFmtId="169" fontId="294" fillId="0" borderId="266" xfId="1370" applyNumberFormat="1" applyFont="1" applyBorder="1" applyAlignment="1" applyProtection="1">
      <alignment vertical="center"/>
      <protection locked="0"/>
    </xf>
    <xf numFmtId="169" fontId="305" fillId="56" borderId="266" xfId="1155" applyNumberFormat="1" applyFont="1" applyFill="1" applyBorder="1" applyAlignment="1" applyProtection="1"/>
    <xf numFmtId="0" fontId="294" fillId="0" borderId="266" xfId="1370" applyFont="1" applyBorder="1" applyAlignment="1" applyProtection="1">
      <alignment vertical="center"/>
      <protection locked="0"/>
    </xf>
    <xf numFmtId="169" fontId="294" fillId="0" borderId="266" xfId="1155" applyNumberFormat="1" applyFont="1" applyFill="1" applyBorder="1" applyAlignment="1" applyProtection="1">
      <alignment vertical="center"/>
      <protection locked="0"/>
    </xf>
    <xf numFmtId="169" fontId="277" fillId="0" borderId="266" xfId="1155" applyNumberFormat="1" applyFont="1" applyFill="1" applyBorder="1" applyAlignment="1" applyProtection="1">
      <alignment vertical="center"/>
      <protection locked="0"/>
    </xf>
    <xf numFmtId="0" fontId="296" fillId="0" borderId="205" xfId="1370" applyFont="1" applyBorder="1" applyProtection="1">
      <protection locked="0"/>
    </xf>
    <xf numFmtId="0" fontId="294" fillId="0" borderId="266" xfId="1370" applyFont="1" applyBorder="1" applyProtection="1">
      <protection locked="0"/>
    </xf>
    <xf numFmtId="169" fontId="294" fillId="0" borderId="267" xfId="1155" applyNumberFormat="1" applyFont="1" applyFill="1" applyBorder="1" applyAlignment="1" applyProtection="1">
      <alignment vertical="center"/>
      <protection locked="0"/>
    </xf>
    <xf numFmtId="169" fontId="296" fillId="0" borderId="275" xfId="1057" applyNumberFormat="1" applyFont="1" applyBorder="1" applyAlignment="1"/>
    <xf numFmtId="265" fontId="274" fillId="0" borderId="300" xfId="4841" applyNumberFormat="1" applyFont="1" applyBorder="1"/>
    <xf numFmtId="265" fontId="274" fillId="0" borderId="289" xfId="4841" applyNumberFormat="1" applyFont="1" applyBorder="1"/>
    <xf numFmtId="0" fontId="274" fillId="0" borderId="300" xfId="4841" applyFont="1" applyBorder="1"/>
    <xf numFmtId="346" fontId="294" fillId="38" borderId="176" xfId="1155" applyNumberFormat="1" applyFont="1" applyFill="1" applyBorder="1" applyAlignment="1" applyProtection="1">
      <protection locked="0"/>
    </xf>
    <xf numFmtId="43" fontId="287" fillId="57" borderId="239" xfId="4842" applyFont="1" applyFill="1" applyBorder="1" applyAlignment="1">
      <alignment vertical="center"/>
    </xf>
    <xf numFmtId="220" fontId="274" fillId="0" borderId="0" xfId="1155" applyFont="1">
      <alignment vertical="top"/>
    </xf>
    <xf numFmtId="220" fontId="346" fillId="0" borderId="0" xfId="1212" applyFont="1" applyFill="1" applyBorder="1" applyAlignment="1" applyProtection="1"/>
    <xf numFmtId="169" fontId="296" fillId="56" borderId="23" xfId="1155" applyNumberFormat="1" applyFont="1" applyFill="1" applyBorder="1" applyAlignment="1" applyProtection="1">
      <alignment horizontal="right" vertical="center"/>
      <protection locked="0"/>
    </xf>
    <xf numFmtId="169" fontId="296" fillId="0" borderId="274" xfId="1057" applyNumberFormat="1" applyFont="1" applyBorder="1" applyAlignment="1" applyProtection="1">
      <alignment horizontal="center" vertical="center"/>
      <protection locked="0"/>
    </xf>
    <xf numFmtId="10" fontId="296" fillId="0" borderId="274" xfId="1390" applyNumberFormat="1" applyFont="1" applyFill="1" applyBorder="1" applyAlignment="1" applyProtection="1">
      <alignment horizontal="center" vertical="center"/>
      <protection locked="0"/>
    </xf>
    <xf numFmtId="169" fontId="296" fillId="0" borderId="274" xfId="1155" applyNumberFormat="1" applyFont="1" applyFill="1" applyBorder="1" applyAlignment="1" applyProtection="1">
      <alignment horizontal="center" vertical="center" wrapText="1"/>
    </xf>
    <xf numFmtId="169" fontId="296" fillId="0" borderId="274" xfId="1155" applyNumberFormat="1" applyFont="1" applyFill="1" applyBorder="1" applyAlignment="1" applyProtection="1">
      <alignment horizontal="right" vertical="center" wrapText="1"/>
    </xf>
    <xf numFmtId="0" fontId="294" fillId="0" borderId="225" xfId="32208" applyFont="1" applyBorder="1" applyAlignment="1" applyProtection="1">
      <alignment horizontal="left" vertical="center"/>
      <protection locked="0"/>
    </xf>
    <xf numFmtId="0" fontId="294" fillId="0" borderId="274" xfId="32208" applyFont="1" applyBorder="1" applyAlignment="1" applyProtection="1">
      <alignment horizontal="left" vertical="center"/>
      <protection locked="0"/>
    </xf>
    <xf numFmtId="280" fontId="284" fillId="0" borderId="215" xfId="4842" applyNumberFormat="1" applyFont="1" applyFill="1" applyBorder="1" applyAlignment="1">
      <alignment vertical="center"/>
    </xf>
    <xf numFmtId="265" fontId="284" fillId="0" borderId="295" xfId="4841" applyNumberFormat="1" applyFont="1" applyBorder="1"/>
    <xf numFmtId="265" fontId="284" fillId="0" borderId="294" xfId="4841" applyNumberFormat="1" applyFont="1" applyBorder="1"/>
    <xf numFmtId="266" fontId="284" fillId="0" borderId="245" xfId="4841" applyNumberFormat="1" applyFont="1" applyBorder="1"/>
    <xf numFmtId="1" fontId="284" fillId="0" borderId="259" xfId="4841" applyNumberFormat="1" applyFont="1" applyBorder="1"/>
    <xf numFmtId="9" fontId="274" fillId="38" borderId="208" xfId="1057" applyNumberFormat="1" applyFont="1" applyFill="1" applyBorder="1" applyAlignment="1"/>
    <xf numFmtId="0" fontId="52" fillId="93" borderId="177" xfId="0" applyFont="1" applyFill="1" applyBorder="1" applyAlignment="1">
      <alignment horizontal="center" vertical="center" wrapText="1"/>
    </xf>
    <xf numFmtId="0" fontId="28" fillId="0" borderId="301" xfId="10919" applyFont="1" applyBorder="1" applyAlignment="1">
      <alignment horizontal="center" vertical="center"/>
    </xf>
    <xf numFmtId="0" fontId="28" fillId="0" borderId="165" xfId="10919" applyFont="1" applyBorder="1" applyAlignment="1">
      <alignment vertical="center"/>
    </xf>
    <xf numFmtId="43" fontId="28" fillId="0" borderId="171" xfId="10919" applyNumberFormat="1" applyFont="1" applyBorder="1" applyAlignment="1">
      <alignment vertical="center"/>
    </xf>
    <xf numFmtId="265" fontId="28" fillId="0" borderId="165" xfId="9187" applyNumberFormat="1" applyFont="1" applyFill="1" applyBorder="1" applyAlignment="1">
      <alignment vertical="center"/>
    </xf>
    <xf numFmtId="280" fontId="269" fillId="0" borderId="135" xfId="9187" applyNumberFormat="1" applyFont="1" applyFill="1" applyBorder="1" applyAlignment="1">
      <alignment horizontal="center" vertical="center"/>
    </xf>
    <xf numFmtId="0" fontId="52" fillId="0" borderId="0" xfId="4425" applyFont="1" applyAlignment="1">
      <alignment horizontal="center" vertical="center"/>
    </xf>
    <xf numFmtId="0" fontId="52" fillId="0" borderId="0" xfId="4425" applyFont="1" applyAlignment="1">
      <alignment horizontal="center" vertical="center" wrapText="1"/>
    </xf>
    <xf numFmtId="265" fontId="52" fillId="117" borderId="135" xfId="10919" applyNumberFormat="1" applyFont="1" applyFill="1" applyBorder="1" applyAlignment="1">
      <alignment horizontal="center" vertical="center"/>
    </xf>
    <xf numFmtId="265" fontId="28" fillId="0" borderId="0" xfId="4425" applyNumberFormat="1" applyAlignment="1">
      <alignment horizontal="center" vertical="center"/>
    </xf>
    <xf numFmtId="220" fontId="115" fillId="0" borderId="0" xfId="1155" applyBorder="1" applyAlignment="1">
      <alignment vertical="center"/>
    </xf>
    <xf numFmtId="262" fontId="28" fillId="0" borderId="177" xfId="1155" applyNumberFormat="1" applyFont="1" applyFill="1" applyBorder="1" applyAlignment="1">
      <alignment horizontal="center" vertical="center"/>
    </xf>
    <xf numFmtId="0" fontId="284" fillId="0" borderId="294" xfId="4841" applyFont="1" applyBorder="1"/>
    <xf numFmtId="9" fontId="275" fillId="0" borderId="239" xfId="4841" applyNumberFormat="1" applyFont="1" applyBorder="1"/>
    <xf numFmtId="9" fontId="347" fillId="0" borderId="204" xfId="1390" applyFont="1" applyFill="1" applyBorder="1" applyAlignment="1" applyProtection="1">
      <alignment horizontal="center" wrapText="1"/>
    </xf>
    <xf numFmtId="268" fontId="274" fillId="0" borderId="0" xfId="4841" applyNumberFormat="1" applyFont="1"/>
    <xf numFmtId="169" fontId="286" fillId="0" borderId="0" xfId="1057" applyNumberFormat="1" applyFont="1" applyAlignment="1"/>
    <xf numFmtId="169" fontId="338" fillId="0" borderId="0" xfId="1057" applyNumberFormat="1" applyFont="1" applyAlignment="1"/>
    <xf numFmtId="265" fontId="269" fillId="0" borderId="135" xfId="9187" applyNumberFormat="1" applyFont="1" applyBorder="1" applyAlignment="1">
      <alignment horizontal="right" vertical="center"/>
    </xf>
    <xf numFmtId="265" fontId="348" fillId="0" borderId="135" xfId="9187" applyNumberFormat="1" applyFont="1" applyBorder="1" applyAlignment="1">
      <alignment horizontal="right" vertical="center"/>
    </xf>
    <xf numFmtId="265" fontId="348" fillId="0" borderId="135" xfId="9187" applyNumberFormat="1" applyFont="1" applyFill="1" applyBorder="1" applyAlignment="1">
      <alignment horizontal="center" vertical="center"/>
    </xf>
    <xf numFmtId="265" fontId="348" fillId="0" borderId="135" xfId="9187" applyNumberFormat="1" applyFont="1" applyBorder="1" applyAlignment="1">
      <alignment horizontal="center" vertical="center"/>
    </xf>
    <xf numFmtId="265" fontId="348" fillId="0" borderId="135" xfId="9187" applyNumberFormat="1" applyFont="1" applyFill="1" applyBorder="1" applyAlignment="1">
      <alignment vertical="center"/>
    </xf>
    <xf numFmtId="265" fontId="348" fillId="0" borderId="165" xfId="9187" applyNumberFormat="1" applyFont="1" applyFill="1" applyBorder="1" applyAlignment="1">
      <alignment vertical="center"/>
    </xf>
    <xf numFmtId="265" fontId="348" fillId="0" borderId="147" xfId="9187" applyNumberFormat="1" applyFont="1" applyFill="1" applyBorder="1" applyAlignment="1">
      <alignment vertical="center"/>
    </xf>
    <xf numFmtId="43" fontId="348" fillId="61" borderId="135" xfId="9187" applyFont="1" applyFill="1" applyBorder="1" applyAlignment="1">
      <alignment horizontal="right" vertical="center"/>
    </xf>
    <xf numFmtId="43" fontId="349" fillId="61" borderId="135" xfId="9187" applyFont="1" applyFill="1" applyBorder="1" applyAlignment="1">
      <alignment vertical="center"/>
    </xf>
    <xf numFmtId="43" fontId="348" fillId="61" borderId="147" xfId="9187" applyFont="1" applyFill="1" applyBorder="1" applyAlignment="1">
      <alignment vertical="center"/>
    </xf>
    <xf numFmtId="0" fontId="52" fillId="115" borderId="0" xfId="10919" applyFont="1" applyFill="1" applyAlignment="1">
      <alignment vertical="center"/>
    </xf>
    <xf numFmtId="169" fontId="115" fillId="115" borderId="0" xfId="1155" applyNumberFormat="1" applyFill="1" applyBorder="1" applyAlignment="1">
      <alignment vertical="center"/>
    </xf>
    <xf numFmtId="0" fontId="52" fillId="72" borderId="144" xfId="10919" applyFont="1" applyFill="1" applyBorder="1" applyAlignment="1">
      <alignment horizontal="center" vertical="center"/>
    </xf>
    <xf numFmtId="265" fontId="175" fillId="72" borderId="135" xfId="10919" applyNumberFormat="1" applyFont="1" applyFill="1" applyBorder="1" applyAlignment="1">
      <alignment vertical="center"/>
    </xf>
    <xf numFmtId="43" fontId="175" fillId="72" borderId="135" xfId="9187" applyFont="1" applyFill="1" applyBorder="1" applyAlignment="1">
      <alignment vertical="center"/>
    </xf>
    <xf numFmtId="265" fontId="28" fillId="72" borderId="145" xfId="9187" applyNumberFormat="1" applyFont="1" applyFill="1" applyBorder="1" applyAlignment="1">
      <alignment vertical="center" wrapText="1"/>
    </xf>
    <xf numFmtId="0" fontId="28" fillId="38" borderId="144" xfId="10919" applyFont="1" applyFill="1" applyBorder="1" applyAlignment="1">
      <alignment horizontal="center" vertical="center"/>
    </xf>
    <xf numFmtId="265" fontId="28" fillId="38" borderId="135" xfId="10919" applyNumberFormat="1" applyFont="1" applyFill="1" applyBorder="1" applyAlignment="1">
      <alignment vertical="center"/>
    </xf>
    <xf numFmtId="0" fontId="28" fillId="38" borderId="135" xfId="10919" applyFont="1" applyFill="1" applyBorder="1" applyAlignment="1">
      <alignment vertical="center"/>
    </xf>
    <xf numFmtId="265" fontId="28" fillId="38" borderId="145" xfId="9187" applyNumberFormat="1" applyFont="1" applyFill="1" applyBorder="1" applyAlignment="1">
      <alignment vertical="center" wrapText="1"/>
    </xf>
    <xf numFmtId="265" fontId="28" fillId="38" borderId="135" xfId="32256" applyNumberFormat="1" applyFont="1" applyFill="1" applyBorder="1" applyAlignment="1">
      <alignment vertical="center"/>
    </xf>
    <xf numFmtId="0" fontId="28" fillId="38" borderId="135" xfId="4864" applyFont="1" applyFill="1" applyBorder="1" applyAlignment="1">
      <alignment vertical="center"/>
    </xf>
    <xf numFmtId="265" fontId="167" fillId="38" borderId="145" xfId="32256" applyNumberFormat="1" applyFont="1" applyFill="1" applyBorder="1" applyAlignment="1">
      <alignment vertical="center" wrapText="1"/>
    </xf>
    <xf numFmtId="43" fontId="28" fillId="38" borderId="135" xfId="9187" applyFont="1" applyFill="1" applyBorder="1" applyAlignment="1">
      <alignment vertical="center"/>
    </xf>
    <xf numFmtId="0" fontId="350" fillId="128" borderId="144" xfId="10919" applyFont="1" applyFill="1" applyBorder="1" applyAlignment="1">
      <alignment horizontal="center" vertical="center"/>
    </xf>
    <xf numFmtId="265" fontId="351" fillId="128" borderId="135" xfId="10919" applyNumberFormat="1" applyFont="1" applyFill="1" applyBorder="1" applyAlignment="1">
      <alignment vertical="center"/>
    </xf>
    <xf numFmtId="43" fontId="351" fillId="128" borderId="135" xfId="9187" applyFont="1" applyFill="1" applyBorder="1" applyAlignment="1">
      <alignment vertical="center"/>
    </xf>
    <xf numFmtId="265" fontId="122" fillId="128" borderId="145" xfId="9187" applyNumberFormat="1" applyFont="1" applyFill="1" applyBorder="1" applyAlignment="1">
      <alignment vertical="center" wrapText="1"/>
    </xf>
    <xf numFmtId="43" fontId="350" fillId="128" borderId="135" xfId="9187" applyFont="1" applyFill="1" applyBorder="1" applyAlignment="1">
      <alignment vertical="center"/>
    </xf>
    <xf numFmtId="0" fontId="350" fillId="128" borderId="135" xfId="10919" applyFont="1" applyFill="1" applyBorder="1" applyAlignment="1">
      <alignment vertical="center"/>
    </xf>
    <xf numFmtId="265" fontId="350" fillId="128" borderId="145" xfId="9187" applyNumberFormat="1" applyFont="1" applyFill="1" applyBorder="1" applyAlignment="1">
      <alignment vertical="center" wrapText="1"/>
    </xf>
    <xf numFmtId="43" fontId="52" fillId="72" borderId="240" xfId="9187" applyFont="1" applyFill="1" applyBorder="1" applyAlignment="1">
      <alignment vertical="center"/>
    </xf>
    <xf numFmtId="0" fontId="52" fillId="72" borderId="240" xfId="10919" applyFont="1" applyFill="1" applyBorder="1" applyAlignment="1">
      <alignment vertical="center"/>
    </xf>
    <xf numFmtId="265" fontId="52" fillId="72" borderId="145" xfId="9187" applyNumberFormat="1" applyFont="1" applyFill="1" applyBorder="1" applyAlignment="1">
      <alignment vertical="center" wrapText="1"/>
    </xf>
    <xf numFmtId="169" fontId="269" fillId="115" borderId="68" xfId="1155" applyNumberFormat="1" applyFont="1" applyFill="1" applyBorder="1" applyAlignment="1">
      <alignment vertical="center"/>
    </xf>
    <xf numFmtId="270" fontId="269" fillId="115" borderId="68" xfId="1155" applyNumberFormat="1" applyFont="1" applyFill="1" applyBorder="1" applyAlignment="1">
      <alignment vertical="center"/>
    </xf>
    <xf numFmtId="220" fontId="28" fillId="115" borderId="68" xfId="1155" applyFont="1" applyFill="1" applyBorder="1" applyAlignment="1">
      <alignment vertical="center"/>
    </xf>
    <xf numFmtId="265" fontId="28" fillId="0" borderId="135" xfId="32256" applyNumberFormat="1" applyFont="1" applyFill="1" applyBorder="1" applyAlignment="1">
      <alignment vertical="center"/>
    </xf>
    <xf numFmtId="265" fontId="269" fillId="56" borderId="135" xfId="9187" applyNumberFormat="1" applyFont="1" applyFill="1" applyBorder="1" applyAlignment="1">
      <alignment vertical="center"/>
    </xf>
    <xf numFmtId="0" fontId="52" fillId="61" borderId="168" xfId="10919" applyFont="1" applyFill="1" applyBorder="1" applyAlignment="1">
      <alignment horizontal="center" vertical="center" wrapText="1"/>
    </xf>
    <xf numFmtId="0" fontId="52" fillId="0" borderId="168" xfId="10919" applyFont="1" applyBorder="1" applyAlignment="1">
      <alignment horizontal="center" vertical="center" wrapText="1"/>
    </xf>
    <xf numFmtId="49" fontId="52" fillId="61" borderId="240" xfId="10919" applyNumberFormat="1" applyFont="1" applyFill="1" applyBorder="1" applyAlignment="1">
      <alignment horizontal="center" vertical="center"/>
    </xf>
    <xf numFmtId="49" fontId="52" fillId="0" borderId="240" xfId="10919" applyNumberFormat="1" applyFont="1" applyBorder="1" applyAlignment="1">
      <alignment horizontal="center" vertical="center"/>
    </xf>
    <xf numFmtId="9" fontId="28" fillId="61" borderId="240" xfId="10919" applyNumberFormat="1" applyFont="1" applyFill="1" applyBorder="1" applyAlignment="1">
      <alignment vertical="center"/>
    </xf>
    <xf numFmtId="9" fontId="28" fillId="0" borderId="240" xfId="4866" applyNumberFormat="1" applyFont="1" applyBorder="1" applyAlignment="1">
      <alignment vertical="center"/>
    </xf>
    <xf numFmtId="9" fontId="28" fillId="0" borderId="147" xfId="4866" applyNumberFormat="1" applyFont="1" applyBorder="1" applyAlignment="1">
      <alignment vertical="center"/>
    </xf>
    <xf numFmtId="9" fontId="28" fillId="0" borderId="148" xfId="4866" applyNumberFormat="1" applyFont="1" applyBorder="1" applyAlignment="1">
      <alignment vertical="center"/>
    </xf>
    <xf numFmtId="0" fontId="52" fillId="38" borderId="160" xfId="10919" applyFont="1" applyFill="1" applyBorder="1" applyAlignment="1">
      <alignment vertical="center"/>
    </xf>
    <xf numFmtId="0" fontId="52" fillId="38" borderId="161" xfId="10919" applyFont="1" applyFill="1" applyBorder="1" applyAlignment="1">
      <alignment vertical="center"/>
    </xf>
    <xf numFmtId="265" fontId="52" fillId="38" borderId="165" xfId="9187" applyNumberFormat="1" applyFont="1" applyFill="1" applyBorder="1" applyAlignment="1">
      <alignment vertical="center"/>
    </xf>
    <xf numFmtId="265" fontId="52" fillId="38" borderId="165" xfId="10919" applyNumberFormat="1" applyFont="1" applyFill="1" applyBorder="1" applyAlignment="1">
      <alignment vertical="center"/>
    </xf>
    <xf numFmtId="0" fontId="52" fillId="38" borderId="197" xfId="10919" applyFont="1" applyFill="1" applyBorder="1" applyAlignment="1">
      <alignment vertical="center"/>
    </xf>
    <xf numFmtId="0" fontId="266" fillId="38" borderId="202" xfId="10919" applyFont="1" applyFill="1" applyBorder="1" applyAlignment="1">
      <alignment vertical="center"/>
    </xf>
    <xf numFmtId="0" fontId="266" fillId="38" borderId="165" xfId="10919" applyFont="1" applyFill="1" applyBorder="1" applyAlignment="1">
      <alignment vertical="center"/>
    </xf>
    <xf numFmtId="265" fontId="28" fillId="38" borderId="165" xfId="10919" applyNumberFormat="1" applyFont="1" applyFill="1" applyBorder="1" applyAlignment="1">
      <alignment vertical="center"/>
    </xf>
    <xf numFmtId="0" fontId="28" fillId="38" borderId="172" xfId="10919" applyFont="1" applyFill="1" applyBorder="1" applyAlignment="1">
      <alignment vertical="center"/>
    </xf>
    <xf numFmtId="0" fontId="28" fillId="38" borderId="173" xfId="10919" applyFont="1" applyFill="1" applyBorder="1" applyAlignment="1">
      <alignment vertical="center"/>
    </xf>
    <xf numFmtId="265" fontId="28" fillId="38" borderId="166" xfId="10919" applyNumberFormat="1" applyFont="1" applyFill="1" applyBorder="1" applyAlignment="1">
      <alignment vertical="center"/>
    </xf>
    <xf numFmtId="0" fontId="28" fillId="38" borderId="302" xfId="10919" applyFont="1" applyFill="1" applyBorder="1" applyAlignment="1">
      <alignment vertical="center"/>
    </xf>
    <xf numFmtId="0" fontId="112" fillId="38" borderId="162" xfId="10919" applyFont="1" applyFill="1" applyBorder="1" applyAlignment="1">
      <alignment vertical="center"/>
    </xf>
    <xf numFmtId="0" fontId="28" fillId="38" borderId="163" xfId="10919" applyFont="1" applyFill="1" applyBorder="1" applyAlignment="1">
      <alignment vertical="center"/>
    </xf>
    <xf numFmtId="265" fontId="28" fillId="38" borderId="163" xfId="10919" applyNumberFormat="1" applyFont="1" applyFill="1" applyBorder="1" applyAlignment="1">
      <alignment vertical="center"/>
    </xf>
    <xf numFmtId="265" fontId="28" fillId="38" borderId="168" xfId="10919" applyNumberFormat="1" applyFont="1" applyFill="1" applyBorder="1" applyAlignment="1">
      <alignment vertical="center"/>
    </xf>
    <xf numFmtId="0" fontId="52" fillId="38" borderId="162" xfId="10919" applyFont="1" applyFill="1" applyBorder="1" applyAlignment="1">
      <alignment vertical="center"/>
    </xf>
    <xf numFmtId="0" fontId="266" fillId="38" borderId="159" xfId="10919" applyFont="1" applyFill="1" applyBorder="1" applyAlignment="1">
      <alignment vertical="center"/>
    </xf>
    <xf numFmtId="0" fontId="266" fillId="38" borderId="185" xfId="10919" applyFont="1" applyFill="1" applyBorder="1" applyAlignment="1">
      <alignment vertical="center"/>
    </xf>
    <xf numFmtId="265" fontId="52" fillId="38" borderId="135" xfId="10919" applyNumberFormat="1" applyFont="1" applyFill="1" applyBorder="1" applyAlignment="1">
      <alignment vertical="center"/>
    </xf>
    <xf numFmtId="343" fontId="28" fillId="0" borderId="0" xfId="10919" applyNumberFormat="1" applyFont="1" applyAlignment="1">
      <alignment vertical="center"/>
    </xf>
    <xf numFmtId="0" fontId="52" fillId="0" borderId="0" xfId="10919" applyFont="1" applyAlignment="1">
      <alignment horizontal="left" vertical="center"/>
    </xf>
    <xf numFmtId="265" fontId="52" fillId="117" borderId="135" xfId="10919" applyNumberFormat="1" applyFont="1" applyFill="1" applyBorder="1" applyAlignment="1">
      <alignment horizontal="center" vertical="center" wrapText="1"/>
    </xf>
    <xf numFmtId="265" fontId="28" fillId="0" borderId="0" xfId="0" applyNumberFormat="1" applyFont="1" applyAlignment="1">
      <alignment vertical="center"/>
    </xf>
    <xf numFmtId="169" fontId="354" fillId="57" borderId="240" xfId="1370" applyNumberFormat="1" applyFont="1" applyFill="1" applyBorder="1" applyAlignment="1" applyProtection="1">
      <alignment horizontal="center" vertical="center"/>
      <protection locked="0"/>
    </xf>
    <xf numFmtId="169" fontId="355" fillId="0" borderId="178" xfId="1155" applyNumberFormat="1" applyFont="1" applyFill="1" applyBorder="1">
      <alignment vertical="top"/>
    </xf>
    <xf numFmtId="169" fontId="294" fillId="72" borderId="178" xfId="1370" applyNumberFormat="1" applyFont="1" applyFill="1" applyBorder="1" applyAlignment="1" applyProtection="1">
      <alignment horizontal="right" vertical="center"/>
      <protection locked="0"/>
    </xf>
    <xf numFmtId="0" fontId="356" fillId="0" borderId="0" xfId="0" applyFont="1" applyAlignment="1">
      <alignment vertical="center" wrapText="1"/>
    </xf>
    <xf numFmtId="0" fontId="357" fillId="128" borderId="0" xfId="0" applyFont="1" applyFill="1" applyAlignment="1">
      <alignment vertical="center"/>
    </xf>
    <xf numFmtId="0" fontId="358" fillId="128" borderId="203" xfId="0" applyFont="1" applyFill="1" applyBorder="1" applyAlignment="1">
      <alignment horizontal="left" vertical="center"/>
    </xf>
    <xf numFmtId="0" fontId="357" fillId="128" borderId="203" xfId="0" applyFont="1" applyFill="1" applyBorder="1" applyAlignment="1">
      <alignment vertical="center" wrapText="1"/>
    </xf>
    <xf numFmtId="0" fontId="360" fillId="0" borderId="0" xfId="0" applyFont="1" applyAlignment="1">
      <alignment vertical="center"/>
    </xf>
    <xf numFmtId="0" fontId="356" fillId="0" borderId="0" xfId="0" applyFont="1" applyAlignment="1">
      <alignment vertical="center"/>
    </xf>
    <xf numFmtId="0" fontId="361" fillId="0" borderId="0" xfId="0" applyFont="1" applyAlignment="1">
      <alignment vertical="center"/>
    </xf>
    <xf numFmtId="0" fontId="359" fillId="0" borderId="0" xfId="0" applyFont="1" applyAlignment="1">
      <alignment vertical="center" wrapText="1"/>
    </xf>
    <xf numFmtId="0" fontId="88" fillId="0" borderId="0" xfId="0" applyFont="1" applyAlignment="1">
      <alignment vertical="center" wrapText="1"/>
    </xf>
    <xf numFmtId="0" fontId="361" fillId="0" borderId="0" xfId="0" applyFont="1" applyAlignment="1">
      <alignment vertical="center" wrapText="1"/>
    </xf>
    <xf numFmtId="0" fontId="362" fillId="0" borderId="0" xfId="0" applyFont="1" applyAlignment="1">
      <alignment vertical="center" wrapText="1"/>
    </xf>
    <xf numFmtId="0" fontId="363" fillId="0" borderId="0" xfId="0" applyFont="1" applyAlignment="1">
      <alignment vertical="center" wrapText="1"/>
    </xf>
    <xf numFmtId="0" fontId="364" fillId="0" borderId="0" xfId="0" applyFont="1" applyAlignment="1">
      <alignment vertical="center" wrapText="1"/>
    </xf>
    <xf numFmtId="0" fontId="79" fillId="0" borderId="159" xfId="0" applyFont="1" applyBorder="1" applyAlignment="1">
      <alignment vertical="center"/>
    </xf>
    <xf numFmtId="0" fontId="79" fillId="0" borderId="239" xfId="0" applyFont="1" applyBorder="1" applyAlignment="1">
      <alignment vertical="center"/>
    </xf>
    <xf numFmtId="0" fontId="366" fillId="128" borderId="165" xfId="4844" applyFont="1" applyFill="1" applyBorder="1" applyAlignment="1">
      <alignment horizontal="center" vertical="center" wrapText="1"/>
    </xf>
    <xf numFmtId="0" fontId="366" fillId="128" borderId="116" xfId="4844" applyFont="1" applyFill="1" applyBorder="1" applyAlignment="1">
      <alignment horizontal="center" vertical="center"/>
    </xf>
    <xf numFmtId="0" fontId="366" fillId="128" borderId="135" xfId="4844" applyFont="1" applyFill="1" applyBorder="1" applyAlignment="1">
      <alignment horizontal="center" vertical="center" wrapText="1"/>
    </xf>
    <xf numFmtId="0" fontId="79" fillId="0" borderId="239" xfId="4844" applyFont="1" applyBorder="1" applyAlignment="1">
      <alignment horizontal="center" vertical="center" wrapText="1"/>
    </xf>
    <xf numFmtId="0" fontId="79" fillId="0" borderId="239" xfId="4844" applyFont="1" applyBorder="1" applyAlignment="1">
      <alignment horizontal="left" vertical="center" wrapText="1"/>
    </xf>
    <xf numFmtId="220" fontId="79" fillId="0" borderId="239" xfId="1155" quotePrefix="1" applyFont="1" applyFill="1" applyBorder="1" applyAlignment="1">
      <alignment horizontal="right" vertical="top"/>
    </xf>
    <xf numFmtId="9" fontId="79" fillId="0" borderId="239" xfId="1390" quotePrefix="1" applyFont="1" applyFill="1" applyBorder="1">
      <alignment vertical="top"/>
    </xf>
    <xf numFmtId="0" fontId="79" fillId="0" borderId="239" xfId="4844" quotePrefix="1" applyFont="1" applyBorder="1" applyAlignment="1">
      <alignment horizontal="center" vertical="center" wrapText="1"/>
    </xf>
    <xf numFmtId="220" fontId="79" fillId="0" borderId="239" xfId="1155" quotePrefix="1" applyFont="1" applyFill="1" applyBorder="1" applyAlignment="1">
      <alignment vertical="center"/>
    </xf>
    <xf numFmtId="169" fontId="79" fillId="0" borderId="239" xfId="1155" quotePrefix="1" applyNumberFormat="1" applyFont="1" applyFill="1" applyBorder="1" applyAlignment="1">
      <alignment vertical="center"/>
    </xf>
    <xf numFmtId="0" fontId="79" fillId="38" borderId="239" xfId="4844" applyFont="1" applyFill="1" applyBorder="1" applyAlignment="1">
      <alignment horizontal="center" vertical="center" wrapText="1"/>
    </xf>
    <xf numFmtId="43" fontId="79" fillId="38" borderId="239" xfId="4842" applyFont="1" applyFill="1" applyBorder="1" applyAlignment="1">
      <alignment vertical="center"/>
    </xf>
    <xf numFmtId="220" fontId="79" fillId="38" borderId="159" xfId="1155" quotePrefix="1" applyFont="1" applyFill="1" applyBorder="1" applyAlignment="1">
      <alignment horizontal="right" vertical="top"/>
    </xf>
    <xf numFmtId="9" fontId="79" fillId="38" borderId="159" xfId="1390" quotePrefix="1" applyFont="1" applyFill="1" applyBorder="1">
      <alignment vertical="top"/>
    </xf>
    <xf numFmtId="0" fontId="79" fillId="38" borderId="159" xfId="4844" quotePrefix="1" applyFont="1" applyFill="1" applyBorder="1" applyAlignment="1">
      <alignment horizontal="center" vertical="center" wrapText="1"/>
    </xf>
    <xf numFmtId="220" fontId="79" fillId="38" borderId="159" xfId="1155" quotePrefix="1" applyFont="1" applyFill="1" applyBorder="1" applyAlignment="1">
      <alignment vertical="center"/>
    </xf>
    <xf numFmtId="169" fontId="79" fillId="38" borderId="159" xfId="1155" quotePrefix="1" applyNumberFormat="1" applyFont="1" applyFill="1" applyBorder="1" applyAlignment="1">
      <alignment vertical="center"/>
    </xf>
    <xf numFmtId="169" fontId="79" fillId="38" borderId="159" xfId="4844" applyNumberFormat="1" applyFont="1" applyFill="1" applyBorder="1" applyAlignment="1">
      <alignment horizontal="left" vertical="center" wrapText="1"/>
    </xf>
    <xf numFmtId="169" fontId="79" fillId="38" borderId="159" xfId="4844" applyNumberFormat="1" applyFont="1" applyFill="1" applyBorder="1" applyAlignment="1">
      <alignment horizontal="center" vertical="center" wrapText="1"/>
    </xf>
    <xf numFmtId="9" fontId="49" fillId="38" borderId="159" xfId="1390" quotePrefix="1" applyFont="1" applyFill="1" applyBorder="1">
      <alignment vertical="top"/>
    </xf>
    <xf numFmtId="0" fontId="49" fillId="38" borderId="159" xfId="4844" quotePrefix="1" applyFont="1" applyFill="1" applyBorder="1" applyAlignment="1">
      <alignment horizontal="center" vertical="center" wrapText="1"/>
    </xf>
    <xf numFmtId="169" fontId="49" fillId="38" borderId="159" xfId="1155" quotePrefix="1" applyNumberFormat="1" applyFont="1" applyFill="1" applyBorder="1" applyAlignment="1">
      <alignment vertical="center"/>
    </xf>
    <xf numFmtId="169" fontId="49" fillId="38" borderId="159" xfId="1155" applyNumberFormat="1" applyFont="1" applyFill="1" applyBorder="1">
      <alignment vertical="top"/>
    </xf>
    <xf numFmtId="43" fontId="49" fillId="38" borderId="300" xfId="4842" applyFont="1" applyFill="1" applyBorder="1" applyAlignment="1">
      <alignment vertical="center"/>
    </xf>
    <xf numFmtId="220" fontId="49" fillId="38" borderId="300" xfId="1155" quotePrefix="1" applyFont="1" applyFill="1" applyBorder="1" applyAlignment="1">
      <alignment horizontal="right" vertical="top"/>
    </xf>
    <xf numFmtId="9" fontId="49" fillId="38" borderId="300" xfId="1390" quotePrefix="1" applyFont="1" applyFill="1" applyBorder="1">
      <alignment vertical="top"/>
    </xf>
    <xf numFmtId="0" fontId="49" fillId="38" borderId="300" xfId="4844" quotePrefix="1" applyFont="1" applyFill="1" applyBorder="1" applyAlignment="1">
      <alignment horizontal="center" vertical="center" wrapText="1"/>
    </xf>
    <xf numFmtId="220" fontId="49" fillId="38" borderId="300" xfId="1155" quotePrefix="1" applyFont="1" applyFill="1" applyBorder="1" applyAlignment="1">
      <alignment vertical="center"/>
    </xf>
    <xf numFmtId="251" fontId="49" fillId="38" borderId="300" xfId="4844" quotePrefix="1" applyNumberFormat="1" applyFont="1" applyFill="1" applyBorder="1" applyAlignment="1">
      <alignment horizontal="right" vertical="center" wrapText="1"/>
    </xf>
    <xf numFmtId="169" fontId="49" fillId="38" borderId="300" xfId="1155" quotePrefix="1" applyNumberFormat="1" applyFont="1" applyFill="1" applyBorder="1" applyAlignment="1">
      <alignment vertical="center"/>
    </xf>
    <xf numFmtId="169" fontId="49" fillId="38" borderId="300" xfId="1155" applyNumberFormat="1" applyFont="1" applyFill="1" applyBorder="1">
      <alignment vertical="top"/>
    </xf>
    <xf numFmtId="43" fontId="49" fillId="38" borderId="306" xfId="4842" applyFont="1" applyFill="1" applyBorder="1" applyAlignment="1">
      <alignment vertical="center"/>
    </xf>
    <xf numFmtId="220" fontId="49" fillId="38" borderId="306" xfId="1155" quotePrefix="1" applyFont="1" applyFill="1" applyBorder="1" applyAlignment="1">
      <alignment horizontal="right" vertical="top"/>
    </xf>
    <xf numFmtId="9" fontId="49" fillId="38" borderId="306" xfId="1390" quotePrefix="1" applyFont="1" applyFill="1" applyBorder="1">
      <alignment vertical="top"/>
    </xf>
    <xf numFmtId="0" fontId="49" fillId="38" borderId="306" xfId="4844" quotePrefix="1" applyFont="1" applyFill="1" applyBorder="1" applyAlignment="1">
      <alignment horizontal="center" vertical="center" wrapText="1"/>
    </xf>
    <xf numFmtId="220" fontId="49" fillId="38" borderId="306" xfId="1155" quotePrefix="1" applyFont="1" applyFill="1" applyBorder="1" applyAlignment="1">
      <alignment vertical="center"/>
    </xf>
    <xf numFmtId="169" fontId="49" fillId="38" borderId="306" xfId="1155" quotePrefix="1" applyNumberFormat="1" applyFont="1" applyFill="1" applyBorder="1" applyAlignment="1">
      <alignment vertical="center"/>
    </xf>
    <xf numFmtId="169" fontId="49" fillId="38" borderId="306" xfId="1155" applyNumberFormat="1" applyFont="1" applyFill="1" applyBorder="1">
      <alignment vertical="top"/>
    </xf>
    <xf numFmtId="0" fontId="49" fillId="38" borderId="305" xfId="4844" quotePrefix="1" applyFont="1" applyFill="1" applyBorder="1" applyAlignment="1">
      <alignment horizontal="center" vertical="center" wrapText="1"/>
    </xf>
    <xf numFmtId="43" fontId="79" fillId="38" borderId="159" xfId="4842" applyFont="1" applyFill="1" applyBorder="1" applyAlignment="1">
      <alignment vertical="center"/>
    </xf>
    <xf numFmtId="0" fontId="79" fillId="0" borderId="159" xfId="4844" applyFont="1" applyBorder="1" applyAlignment="1">
      <alignment horizontal="left" vertical="center" wrapText="1"/>
    </xf>
    <xf numFmtId="220" fontId="79" fillId="0" borderId="159" xfId="1155" quotePrefix="1" applyFont="1" applyFill="1" applyBorder="1" applyAlignment="1">
      <alignment horizontal="right" vertical="top"/>
    </xf>
    <xf numFmtId="9" fontId="79" fillId="0" borderId="159" xfId="1390" quotePrefix="1" applyFont="1" applyFill="1" applyBorder="1">
      <alignment vertical="top"/>
    </xf>
    <xf numFmtId="0" fontId="79" fillId="0" borderId="159" xfId="4844" quotePrefix="1" applyFont="1" applyBorder="1" applyAlignment="1">
      <alignment horizontal="center" vertical="center" wrapText="1"/>
    </xf>
    <xf numFmtId="220" fontId="79" fillId="0" borderId="159" xfId="1155" quotePrefix="1" applyFont="1" applyFill="1" applyBorder="1" applyAlignment="1">
      <alignment vertical="center"/>
    </xf>
    <xf numFmtId="169" fontId="79" fillId="0" borderId="159" xfId="1155" quotePrefix="1" applyNumberFormat="1" applyFont="1" applyFill="1" applyBorder="1" applyAlignment="1">
      <alignment vertical="center"/>
    </xf>
    <xf numFmtId="0" fontId="79" fillId="0" borderId="159" xfId="4844" applyFont="1" applyBorder="1" applyAlignment="1">
      <alignment horizontal="center" vertical="center" wrapText="1"/>
    </xf>
    <xf numFmtId="0" fontId="49" fillId="0" borderId="0" xfId="0" applyFont="1" applyAlignment="1">
      <alignment vertical="center"/>
    </xf>
    <xf numFmtId="0" fontId="79" fillId="0" borderId="102" xfId="0" applyFont="1" applyBorder="1" applyAlignment="1">
      <alignment horizontal="left" vertical="center"/>
    </xf>
    <xf numFmtId="0" fontId="49" fillId="0" borderId="102" xfId="0" applyFont="1" applyBorder="1" applyAlignment="1">
      <alignment vertical="center"/>
    </xf>
    <xf numFmtId="0" fontId="49" fillId="0" borderId="0" xfId="0" applyFont="1" applyAlignment="1">
      <alignment horizontal="left" vertical="center"/>
    </xf>
    <xf numFmtId="0" fontId="79" fillId="0" borderId="0" xfId="0" applyFont="1" applyAlignment="1">
      <alignment horizontal="left" vertical="center" wrapText="1"/>
    </xf>
    <xf numFmtId="0" fontId="49" fillId="0" borderId="0" xfId="0" applyFont="1" applyAlignment="1">
      <alignment vertical="center" wrapText="1"/>
    </xf>
    <xf numFmtId="0" fontId="366" fillId="128" borderId="0" xfId="0" applyFont="1" applyFill="1" applyAlignment="1">
      <alignment horizontal="left" vertical="center"/>
    </xf>
    <xf numFmtId="0" fontId="358" fillId="128" borderId="0" xfId="0" applyFont="1" applyFill="1" applyAlignment="1">
      <alignment vertical="center"/>
    </xf>
    <xf numFmtId="0" fontId="358" fillId="128" borderId="203" xfId="0" applyFont="1" applyFill="1" applyBorder="1" applyAlignment="1">
      <alignment horizontal="left" vertical="center" wrapText="1"/>
    </xf>
    <xf numFmtId="0" fontId="358" fillId="128" borderId="203" xfId="0" applyFont="1" applyFill="1" applyBorder="1" applyAlignment="1">
      <alignment vertical="center" wrapText="1"/>
    </xf>
    <xf numFmtId="169" fontId="49" fillId="0" borderId="0" xfId="0" applyNumberFormat="1" applyFont="1" applyAlignment="1">
      <alignment vertical="center"/>
    </xf>
    <xf numFmtId="268" fontId="49" fillId="0" borderId="0" xfId="0" applyNumberFormat="1" applyFont="1" applyAlignment="1">
      <alignment vertical="center"/>
    </xf>
    <xf numFmtId="0" fontId="369" fillId="38" borderId="0" xfId="4844" applyFont="1" applyFill="1" applyAlignment="1">
      <alignment vertical="center" wrapText="1"/>
    </xf>
    <xf numFmtId="0" fontId="49" fillId="0" borderId="159" xfId="0" applyFont="1" applyBorder="1" applyAlignment="1">
      <alignment vertical="center"/>
    </xf>
    <xf numFmtId="9" fontId="49" fillId="0" borderId="159" xfId="1390" applyFont="1" applyBorder="1">
      <alignment vertical="top"/>
    </xf>
    <xf numFmtId="0" fontId="49" fillId="0" borderId="239" xfId="0" applyFont="1" applyBorder="1" applyAlignment="1">
      <alignment vertical="center"/>
    </xf>
    <xf numFmtId="9" fontId="49" fillId="0" borderId="239" xfId="1390" applyFont="1" applyBorder="1">
      <alignment vertical="top"/>
    </xf>
    <xf numFmtId="0" fontId="79" fillId="38" borderId="0" xfId="4844" applyFont="1" applyFill="1" applyAlignment="1">
      <alignment vertical="center"/>
    </xf>
    <xf numFmtId="0" fontId="79" fillId="0" borderId="0" xfId="0" applyFont="1" applyAlignment="1">
      <alignment vertical="center" wrapText="1"/>
    </xf>
    <xf numFmtId="0" fontId="366" fillId="0" borderId="0" xfId="4844" quotePrefix="1" applyFont="1" applyAlignment="1">
      <alignment horizontal="center" vertical="center" wrapText="1"/>
    </xf>
    <xf numFmtId="220" fontId="49" fillId="0" borderId="172" xfId="1155" applyFont="1" applyFill="1" applyBorder="1" applyAlignment="1">
      <alignment vertical="center"/>
    </xf>
    <xf numFmtId="0" fontId="49" fillId="0" borderId="0" xfId="4844" applyFont="1" applyAlignment="1">
      <alignment horizontal="center" vertical="center" wrapText="1"/>
    </xf>
    <xf numFmtId="220" fontId="49" fillId="0" borderId="0" xfId="1155" applyFont="1" applyAlignment="1">
      <alignment vertical="center"/>
    </xf>
    <xf numFmtId="0" fontId="79" fillId="123" borderId="239" xfId="4844" applyFont="1" applyFill="1" applyBorder="1" applyAlignment="1">
      <alignment horizontal="center" vertical="center" wrapText="1"/>
    </xf>
    <xf numFmtId="0" fontId="49" fillId="38" borderId="239" xfId="4845" quotePrefix="1" applyNumberFormat="1" applyFont="1" applyFill="1" applyBorder="1" applyAlignment="1">
      <alignment horizontal="left" vertical="center" wrapText="1"/>
    </xf>
    <xf numFmtId="0" fontId="49" fillId="0" borderId="0" xfId="0" quotePrefix="1" applyFont="1" applyAlignment="1">
      <alignment vertical="center"/>
    </xf>
    <xf numFmtId="0" fontId="373" fillId="0" borderId="0" xfId="0" applyFont="1" applyAlignment="1">
      <alignment vertical="center" wrapText="1"/>
    </xf>
    <xf numFmtId="0" fontId="374" fillId="0" borderId="0" xfId="0" applyFont="1" applyAlignment="1">
      <alignment vertical="center" wrapText="1"/>
    </xf>
    <xf numFmtId="265" fontId="374" fillId="0" borderId="0" xfId="0" applyNumberFormat="1" applyFont="1" applyAlignment="1">
      <alignment vertical="center" wrapText="1"/>
    </xf>
    <xf numFmtId="0" fontId="79" fillId="38" borderId="239" xfId="4844" applyFont="1" applyFill="1" applyBorder="1" applyAlignment="1">
      <alignment horizontal="left" vertical="center" wrapText="1"/>
    </xf>
    <xf numFmtId="0" fontId="365" fillId="0" borderId="0" xfId="0" applyFont="1" applyAlignment="1">
      <alignment vertical="center" wrapText="1"/>
    </xf>
    <xf numFmtId="220" fontId="49" fillId="38" borderId="0" xfId="1155" applyFont="1" applyFill="1" applyBorder="1" applyAlignment="1">
      <alignment vertical="center"/>
    </xf>
    <xf numFmtId="220" fontId="49" fillId="0" borderId="0" xfId="1155" applyFont="1" applyFill="1" applyBorder="1" applyAlignment="1">
      <alignment vertical="center"/>
    </xf>
    <xf numFmtId="0" fontId="79" fillId="0" borderId="0" xfId="4844" applyFont="1" applyAlignment="1">
      <alignment vertical="center"/>
    </xf>
    <xf numFmtId="0" fontId="79" fillId="38" borderId="0" xfId="4844" applyFont="1" applyFill="1" applyAlignment="1">
      <alignment horizontal="center" vertical="center" wrapText="1"/>
    </xf>
    <xf numFmtId="0" fontId="79" fillId="38" borderId="0" xfId="4844" applyFont="1" applyFill="1" applyAlignment="1">
      <alignment horizontal="left" vertical="center" wrapText="1"/>
    </xf>
    <xf numFmtId="0" fontId="49" fillId="0" borderId="0" xfId="4844" quotePrefix="1" applyFont="1" applyAlignment="1">
      <alignment horizontal="center" vertical="center" wrapText="1"/>
    </xf>
    <xf numFmtId="169" fontId="49" fillId="38" borderId="0" xfId="1155" applyNumberFormat="1" applyFont="1" applyFill="1" applyBorder="1" applyAlignment="1">
      <alignment vertical="center" wrapText="1"/>
    </xf>
    <xf numFmtId="10" fontId="79" fillId="0" borderId="0" xfId="1390" quotePrefix="1" applyNumberFormat="1" applyFont="1" applyBorder="1" applyAlignment="1">
      <alignment horizontal="right" vertical="center" wrapText="1"/>
    </xf>
    <xf numFmtId="0" fontId="79" fillId="0" borderId="0" xfId="0" applyFont="1" applyAlignment="1">
      <alignment horizontal="right" vertical="center"/>
    </xf>
    <xf numFmtId="0" fontId="368" fillId="0" borderId="0" xfId="0" applyFont="1" applyAlignment="1">
      <alignment horizontal="right" vertical="center"/>
    </xf>
    <xf numFmtId="0" fontId="79" fillId="0" borderId="102" xfId="0" applyFont="1" applyBorder="1" applyAlignment="1">
      <alignment horizontal="right" vertical="center"/>
    </xf>
    <xf numFmtId="0" fontId="79" fillId="0" borderId="0" xfId="0" applyFont="1" applyAlignment="1">
      <alignment horizontal="right" vertical="center" wrapText="1"/>
    </xf>
    <xf numFmtId="0" fontId="49" fillId="0" borderId="0" xfId="0" applyFont="1" applyAlignment="1">
      <alignment horizontal="right" vertical="center" wrapText="1"/>
    </xf>
    <xf numFmtId="0" fontId="373" fillId="0" borderId="0" xfId="0" applyFont="1" applyAlignment="1">
      <alignment horizontal="right" vertical="center" wrapText="1"/>
    </xf>
    <xf numFmtId="0" fontId="374" fillId="0" borderId="0" xfId="0" applyFont="1" applyAlignment="1">
      <alignment horizontal="right" vertical="center" wrapText="1"/>
    </xf>
    <xf numFmtId="0" fontId="365" fillId="0" borderId="0" xfId="0" applyFont="1" applyAlignment="1">
      <alignment horizontal="right" vertical="center" wrapText="1"/>
    </xf>
    <xf numFmtId="0" fontId="366" fillId="128" borderId="177" xfId="4844" applyFont="1" applyFill="1" applyBorder="1" applyAlignment="1">
      <alignment horizontal="center" vertical="center" wrapText="1"/>
    </xf>
    <xf numFmtId="0" fontId="79" fillId="123" borderId="239" xfId="0" applyFont="1" applyFill="1" applyBorder="1" applyAlignment="1">
      <alignment horizontal="left" vertical="center"/>
    </xf>
    <xf numFmtId="169" fontId="79" fillId="123" borderId="239" xfId="1155" applyNumberFormat="1" applyFont="1" applyFill="1" applyBorder="1">
      <alignment vertical="top"/>
    </xf>
    <xf numFmtId="262" fontId="79" fillId="123" borderId="239" xfId="1155" applyNumberFormat="1" applyFont="1" applyFill="1" applyBorder="1">
      <alignment vertical="top"/>
    </xf>
    <xf numFmtId="9" fontId="79" fillId="123" borderId="239" xfId="1390" applyFont="1" applyFill="1" applyBorder="1">
      <alignment vertical="top"/>
    </xf>
    <xf numFmtId="0" fontId="49" fillId="0" borderId="300" xfId="0" applyFont="1" applyBorder="1" applyAlignment="1">
      <alignment horizontal="left" vertical="center"/>
    </xf>
    <xf numFmtId="169" fontId="49" fillId="0" borderId="300" xfId="1155" applyNumberFormat="1" applyFont="1" applyBorder="1">
      <alignment vertical="top"/>
    </xf>
    <xf numFmtId="262" fontId="49" fillId="0" borderId="300" xfId="1155" applyNumberFormat="1" applyFont="1" applyBorder="1">
      <alignment vertical="top"/>
    </xf>
    <xf numFmtId="9" fontId="79" fillId="0" borderId="300" xfId="1390" applyFont="1" applyBorder="1">
      <alignment vertical="top"/>
    </xf>
    <xf numFmtId="0" fontId="49" fillId="0" borderId="306" xfId="0" applyFont="1" applyBorder="1" applyAlignment="1">
      <alignment horizontal="left" vertical="center"/>
    </xf>
    <xf numFmtId="169" fontId="49" fillId="0" borderId="306" xfId="1155" applyNumberFormat="1" applyFont="1" applyBorder="1">
      <alignment vertical="top"/>
    </xf>
    <xf numFmtId="262" fontId="49" fillId="0" borderId="306" xfId="1155" applyNumberFormat="1" applyFont="1" applyBorder="1">
      <alignment vertical="top"/>
    </xf>
    <xf numFmtId="9" fontId="79" fillId="0" borderId="306" xfId="1390" applyFont="1" applyBorder="1">
      <alignment vertical="top"/>
    </xf>
    <xf numFmtId="0" fontId="49" fillId="0" borderId="305" xfId="0" applyFont="1" applyBorder="1" applyAlignment="1">
      <alignment horizontal="left" vertical="center"/>
    </xf>
    <xf numFmtId="169" fontId="49" fillId="0" borderId="305" xfId="1155" applyNumberFormat="1" applyFont="1" applyBorder="1">
      <alignment vertical="top"/>
    </xf>
    <xf numFmtId="262" fontId="49" fillId="0" borderId="305" xfId="1155" applyNumberFormat="1" applyFont="1" applyBorder="1">
      <alignment vertical="top"/>
    </xf>
    <xf numFmtId="9" fontId="79" fillId="0" borderId="305" xfId="1390" applyFont="1" applyBorder="1">
      <alignment vertical="top"/>
    </xf>
    <xf numFmtId="0" fontId="49" fillId="0" borderId="296" xfId="0" applyFont="1" applyBorder="1" applyAlignment="1">
      <alignment horizontal="left" vertical="center"/>
    </xf>
    <xf numFmtId="169" fontId="49" fillId="0" borderId="296" xfId="1155" applyNumberFormat="1" applyFont="1" applyBorder="1">
      <alignment vertical="top"/>
    </xf>
    <xf numFmtId="262" fontId="49" fillId="0" borderId="296" xfId="1155" applyNumberFormat="1" applyFont="1" applyBorder="1">
      <alignment vertical="top"/>
    </xf>
    <xf numFmtId="9" fontId="79" fillId="0" borderId="296" xfId="1390" applyFont="1" applyBorder="1">
      <alignment vertical="top"/>
    </xf>
    <xf numFmtId="0" fontId="365" fillId="0" borderId="296" xfId="0" applyFont="1" applyBorder="1" applyAlignment="1">
      <alignment horizontal="left" vertical="center" indent="2"/>
    </xf>
    <xf numFmtId="169" fontId="365" fillId="0" borderId="296" xfId="1155" applyNumberFormat="1" applyFont="1" applyBorder="1">
      <alignment vertical="top"/>
    </xf>
    <xf numFmtId="262" fontId="365" fillId="0" borderId="296" xfId="1155" applyNumberFormat="1" applyFont="1" applyBorder="1">
      <alignment vertical="top"/>
    </xf>
    <xf numFmtId="0" fontId="79" fillId="0" borderId="239" xfId="0" applyFont="1" applyBorder="1" applyAlignment="1">
      <alignment horizontal="center" vertical="center"/>
    </xf>
    <xf numFmtId="0" fontId="79" fillId="0" borderId="239" xfId="0" applyFont="1" applyBorder="1" applyAlignment="1">
      <alignment horizontal="left" vertical="center"/>
    </xf>
    <xf numFmtId="169" fontId="49" fillId="0" borderId="159" xfId="1155" applyNumberFormat="1" applyFont="1" applyBorder="1">
      <alignment vertical="top"/>
    </xf>
    <xf numFmtId="169" fontId="79" fillId="56" borderId="159" xfId="1390" applyNumberFormat="1" applyFont="1" applyFill="1" applyBorder="1" applyAlignment="1">
      <alignment horizontal="right" vertical="top"/>
    </xf>
    <xf numFmtId="220" fontId="49" fillId="0" borderId="0" xfId="1155" quotePrefix="1" applyFont="1" applyFill="1" applyBorder="1" applyAlignment="1">
      <alignment vertical="center"/>
    </xf>
    <xf numFmtId="0" fontId="49" fillId="38" borderId="300" xfId="4844" applyFont="1" applyFill="1" applyBorder="1" applyAlignment="1">
      <alignment horizontal="left" vertical="center" wrapText="1"/>
    </xf>
    <xf numFmtId="223" fontId="49" fillId="38" borderId="300" xfId="1390" applyNumberFormat="1" applyFont="1" applyFill="1" applyBorder="1">
      <alignment vertical="top"/>
    </xf>
    <xf numFmtId="0" fontId="49" fillId="38" borderId="306" xfId="4844" applyFont="1" applyFill="1" applyBorder="1" applyAlignment="1">
      <alignment horizontal="left" vertical="center" wrapText="1"/>
    </xf>
    <xf numFmtId="223" fontId="49" fillId="38" borderId="306" xfId="1390" applyNumberFormat="1" applyFont="1" applyFill="1" applyBorder="1" applyAlignment="1">
      <alignment vertical="center"/>
    </xf>
    <xf numFmtId="0" fontId="49" fillId="38" borderId="305" xfId="4844" applyFont="1" applyFill="1" applyBorder="1" applyAlignment="1">
      <alignment horizontal="left" vertical="center" wrapText="1"/>
    </xf>
    <xf numFmtId="223" fontId="49" fillId="38" borderId="305" xfId="1390" applyNumberFormat="1" applyFont="1" applyFill="1" applyBorder="1">
      <alignment vertical="top"/>
    </xf>
    <xf numFmtId="9" fontId="79" fillId="0" borderId="239" xfId="1390" applyFont="1" applyBorder="1">
      <alignment vertical="top"/>
    </xf>
    <xf numFmtId="0" fontId="366" fillId="128" borderId="240" xfId="4844" applyFont="1" applyFill="1" applyBorder="1" applyAlignment="1">
      <alignment horizontal="center" vertical="center" wrapText="1"/>
    </xf>
    <xf numFmtId="0" fontId="366" fillId="128" borderId="240" xfId="4844" applyFont="1" applyFill="1" applyBorder="1" applyAlignment="1">
      <alignment horizontal="left" vertical="center" wrapText="1"/>
    </xf>
    <xf numFmtId="9" fontId="366" fillId="128" borderId="240" xfId="1390" applyFont="1" applyFill="1" applyBorder="1" applyAlignment="1">
      <alignment horizontal="center" vertical="center"/>
    </xf>
    <xf numFmtId="9" fontId="49" fillId="0" borderId="306" xfId="1390" applyFont="1" applyBorder="1">
      <alignment vertical="top"/>
    </xf>
    <xf numFmtId="0" fontId="49" fillId="0" borderId="306" xfId="0" applyFont="1" applyBorder="1" applyAlignment="1">
      <alignment horizontal="center" vertical="center"/>
    </xf>
    <xf numFmtId="169" fontId="49" fillId="0" borderId="306" xfId="0" applyNumberFormat="1" applyFont="1" applyBorder="1" applyAlignment="1">
      <alignment vertical="center"/>
    </xf>
    <xf numFmtId="220" fontId="49" fillId="0" borderId="306" xfId="1155" applyFont="1" applyBorder="1">
      <alignment vertical="top"/>
    </xf>
    <xf numFmtId="265" fontId="49" fillId="0" borderId="306" xfId="0" applyNumberFormat="1" applyFont="1" applyBorder="1" applyAlignment="1">
      <alignment vertical="center"/>
    </xf>
    <xf numFmtId="220" fontId="49" fillId="38" borderId="295" xfId="1155" quotePrefix="1" applyFont="1" applyFill="1" applyBorder="1" applyAlignment="1">
      <alignment horizontal="right" vertical="top"/>
    </xf>
    <xf numFmtId="9" fontId="49" fillId="38" borderId="295" xfId="1390" quotePrefix="1" applyFont="1" applyFill="1" applyBorder="1">
      <alignment vertical="top"/>
    </xf>
    <xf numFmtId="0" fontId="49" fillId="38" borderId="295" xfId="4844" quotePrefix="1" applyFont="1" applyFill="1" applyBorder="1" applyAlignment="1">
      <alignment horizontal="center" vertical="center" wrapText="1"/>
    </xf>
    <xf numFmtId="220" fontId="49" fillId="38" borderId="295" xfId="1155" quotePrefix="1" applyFont="1" applyFill="1" applyBorder="1" applyAlignment="1">
      <alignment vertical="center"/>
    </xf>
    <xf numFmtId="169" fontId="49" fillId="38" borderId="295" xfId="1155" quotePrefix="1" applyNumberFormat="1" applyFont="1" applyFill="1" applyBorder="1" applyAlignment="1">
      <alignment vertical="center"/>
    </xf>
    <xf numFmtId="169" fontId="49" fillId="38" borderId="295" xfId="1155" applyNumberFormat="1" applyFont="1" applyFill="1" applyBorder="1">
      <alignment vertical="top"/>
    </xf>
    <xf numFmtId="43" fontId="49" fillId="38" borderId="215" xfId="4842" applyFont="1" applyFill="1" applyBorder="1" applyAlignment="1">
      <alignment vertical="center"/>
    </xf>
    <xf numFmtId="220" fontId="49" fillId="38" borderId="215" xfId="1155" quotePrefix="1" applyFont="1" applyFill="1" applyBorder="1" applyAlignment="1">
      <alignment horizontal="right" vertical="top"/>
    </xf>
    <xf numFmtId="9" fontId="49" fillId="38" borderId="215" xfId="1390" quotePrefix="1" applyFont="1" applyFill="1" applyBorder="1">
      <alignment vertical="top"/>
    </xf>
    <xf numFmtId="0" fontId="49" fillId="38" borderId="215" xfId="4844" quotePrefix="1" applyFont="1" applyFill="1" applyBorder="1" applyAlignment="1">
      <alignment horizontal="center" vertical="center" wrapText="1"/>
    </xf>
    <xf numFmtId="169" fontId="49" fillId="38" borderId="215" xfId="1155" quotePrefix="1" applyNumberFormat="1" applyFont="1" applyFill="1" applyBorder="1" applyAlignment="1">
      <alignment vertical="center"/>
    </xf>
    <xf numFmtId="169" fontId="49" fillId="38" borderId="215" xfId="1155" applyNumberFormat="1" applyFont="1" applyFill="1" applyBorder="1">
      <alignment vertical="top"/>
    </xf>
    <xf numFmtId="0" fontId="79" fillId="38" borderId="239" xfId="4844" applyFont="1" applyFill="1" applyBorder="1" applyAlignment="1">
      <alignment horizontal="right" vertical="center" wrapText="1"/>
    </xf>
    <xf numFmtId="0" fontId="79" fillId="38" borderId="300" xfId="4844" applyFont="1" applyFill="1" applyBorder="1" applyAlignment="1">
      <alignment horizontal="right" vertical="center" wrapText="1"/>
    </xf>
    <xf numFmtId="0" fontId="79" fillId="38" borderId="306" xfId="4844" applyFont="1" applyFill="1" applyBorder="1" applyAlignment="1">
      <alignment horizontal="right" vertical="center" wrapText="1"/>
    </xf>
    <xf numFmtId="0" fontId="79" fillId="38" borderId="295" xfId="4844" applyFont="1" applyFill="1" applyBorder="1" applyAlignment="1">
      <alignment horizontal="right" vertical="center" wrapText="1"/>
    </xf>
    <xf numFmtId="0" fontId="79" fillId="38" borderId="215" xfId="4844" applyFont="1" applyFill="1" applyBorder="1" applyAlignment="1">
      <alignment horizontal="right" vertical="center" wrapText="1"/>
    </xf>
    <xf numFmtId="0" fontId="375" fillId="128" borderId="0" xfId="0" applyFont="1" applyFill="1" applyAlignment="1">
      <alignment horizontal="left" vertical="center"/>
    </xf>
    <xf numFmtId="0" fontId="49" fillId="0" borderId="296" xfId="0" applyFont="1" applyBorder="1" applyAlignment="1">
      <alignment vertical="center"/>
    </xf>
    <xf numFmtId="9" fontId="49" fillId="0" borderId="296" xfId="1390" applyFont="1" applyBorder="1">
      <alignment vertical="top"/>
    </xf>
    <xf numFmtId="9" fontId="370" fillId="0" borderId="296" xfId="1390" applyFont="1" applyBorder="1">
      <alignment vertical="top"/>
    </xf>
    <xf numFmtId="0" fontId="49" fillId="0" borderId="306" xfId="0" applyFont="1" applyBorder="1" applyAlignment="1">
      <alignment vertical="center"/>
    </xf>
    <xf numFmtId="9" fontId="370" fillId="0" borderId="306" xfId="1390" applyFont="1" applyBorder="1">
      <alignment vertical="top"/>
    </xf>
    <xf numFmtId="0" fontId="49" fillId="0" borderId="305" xfId="0" applyFont="1" applyBorder="1" applyAlignment="1">
      <alignment vertical="center"/>
    </xf>
    <xf numFmtId="9" fontId="49" fillId="0" borderId="305" xfId="1390" applyFont="1" applyBorder="1">
      <alignment vertical="top"/>
    </xf>
    <xf numFmtId="9" fontId="370" fillId="0" borderId="305" xfId="1390" applyFont="1" applyBorder="1">
      <alignment vertical="top"/>
    </xf>
    <xf numFmtId="0" fontId="79" fillId="123" borderId="239" xfId="4844" applyFont="1" applyFill="1" applyBorder="1" applyAlignment="1">
      <alignment horizontal="left" vertical="center" wrapText="1"/>
    </xf>
    <xf numFmtId="169" fontId="79" fillId="123" borderId="239" xfId="1155" quotePrefix="1" applyNumberFormat="1" applyFont="1" applyFill="1" applyBorder="1" applyAlignment="1">
      <alignment vertical="center" wrapText="1"/>
    </xf>
    <xf numFmtId="0" fontId="79" fillId="123" borderId="239" xfId="4844" quotePrefix="1" applyFont="1" applyFill="1" applyBorder="1" applyAlignment="1">
      <alignment horizontal="center" vertical="center" wrapText="1"/>
    </xf>
    <xf numFmtId="220" fontId="79" fillId="123" borderId="239" xfId="1155" quotePrefix="1" applyFont="1" applyFill="1" applyBorder="1" applyAlignment="1">
      <alignment vertical="center"/>
    </xf>
    <xf numFmtId="169" fontId="79" fillId="123" borderId="239" xfId="1155" quotePrefix="1" applyNumberFormat="1" applyFont="1" applyFill="1" applyBorder="1" applyAlignment="1">
      <alignment vertical="center"/>
    </xf>
    <xf numFmtId="265" fontId="79" fillId="123" borderId="239" xfId="4845" applyNumberFormat="1" applyFont="1" applyFill="1" applyBorder="1" applyAlignment="1">
      <alignment horizontal="center" vertical="center" wrapText="1"/>
    </xf>
    <xf numFmtId="9" fontId="49" fillId="123" borderId="239" xfId="1390" quotePrefix="1" applyFont="1" applyFill="1" applyBorder="1" applyAlignment="1">
      <alignment horizontal="center" vertical="center" wrapText="1"/>
    </xf>
    <xf numFmtId="169" fontId="79" fillId="0" borderId="239" xfId="1155" quotePrefix="1" applyNumberFormat="1" applyFont="1" applyBorder="1" applyAlignment="1">
      <alignment vertical="center" wrapText="1"/>
    </xf>
    <xf numFmtId="43" fontId="79" fillId="0" borderId="239" xfId="4844" quotePrefix="1" applyNumberFormat="1" applyFont="1" applyBorder="1" applyAlignment="1">
      <alignment horizontal="center" vertical="center" wrapText="1"/>
    </xf>
    <xf numFmtId="220" fontId="79" fillId="0" borderId="239" xfId="1155" quotePrefix="1" applyFont="1" applyBorder="1" applyAlignment="1">
      <alignment vertical="center"/>
    </xf>
    <xf numFmtId="223" fontId="79" fillId="0" borderId="239" xfId="1390" quotePrefix="1" applyNumberFormat="1" applyFont="1" applyBorder="1" applyAlignment="1">
      <alignment horizontal="center" vertical="center" wrapText="1"/>
    </xf>
    <xf numFmtId="265" fontId="79" fillId="0" borderId="239" xfId="4845" applyNumberFormat="1" applyFont="1" applyBorder="1" applyAlignment="1">
      <alignment horizontal="center" vertical="center" wrapText="1"/>
    </xf>
    <xf numFmtId="220" fontId="365" fillId="0" borderId="239" xfId="1155" quotePrefix="1" applyFont="1" applyBorder="1" applyAlignment="1">
      <alignment vertical="center"/>
    </xf>
    <xf numFmtId="223" fontId="365" fillId="0" borderId="239" xfId="1390" quotePrefix="1" applyNumberFormat="1" applyFont="1" applyBorder="1" applyAlignment="1">
      <alignment horizontal="center" vertical="center" wrapText="1"/>
    </xf>
    <xf numFmtId="0" fontId="79" fillId="0" borderId="0" xfId="4844" applyFont="1" applyAlignment="1">
      <alignment horizontal="center" vertical="center" wrapText="1"/>
    </xf>
    <xf numFmtId="0" fontId="79" fillId="0" borderId="239" xfId="4844" quotePrefix="1" applyFont="1" applyBorder="1" applyAlignment="1">
      <alignment vertical="center" wrapText="1"/>
    </xf>
    <xf numFmtId="220" fontId="79" fillId="123" borderId="159" xfId="1155" quotePrefix="1" applyFont="1" applyFill="1" applyBorder="1" applyAlignment="1">
      <alignment vertical="center"/>
    </xf>
    <xf numFmtId="0" fontId="373" fillId="38" borderId="239" xfId="4844" applyFont="1" applyFill="1" applyBorder="1" applyAlignment="1">
      <alignment horizontal="left" vertical="center" wrapText="1"/>
    </xf>
    <xf numFmtId="169" fontId="373" fillId="38" borderId="239" xfId="1155" applyNumberFormat="1" applyFont="1" applyFill="1" applyBorder="1" applyAlignment="1">
      <alignment horizontal="left" vertical="center" wrapText="1"/>
    </xf>
    <xf numFmtId="220" fontId="79" fillId="38" borderId="239" xfId="1155" applyFont="1" applyFill="1" applyBorder="1" applyAlignment="1">
      <alignment vertical="center"/>
    </xf>
    <xf numFmtId="169" fontId="79" fillId="38" borderId="239" xfId="1155" applyNumberFormat="1" applyFont="1" applyFill="1" applyBorder="1" applyAlignment="1">
      <alignment horizontal="left" vertical="center" wrapText="1"/>
    </xf>
    <xf numFmtId="10" fontId="79" fillId="38" borderId="239" xfId="1390" applyNumberFormat="1" applyFont="1" applyFill="1" applyBorder="1" applyAlignment="1">
      <alignment vertical="center"/>
    </xf>
    <xf numFmtId="265" fontId="79" fillId="38" borderId="239" xfId="4845" applyNumberFormat="1" applyFont="1" applyFill="1" applyBorder="1" applyAlignment="1">
      <alignment horizontal="left" vertical="center" wrapText="1"/>
    </xf>
    <xf numFmtId="0" fontId="79" fillId="38" borderId="300" xfId="4844" applyFont="1" applyFill="1" applyBorder="1" applyAlignment="1">
      <alignment vertical="center"/>
    </xf>
    <xf numFmtId="169" fontId="49" fillId="0" borderId="300" xfId="1155" quotePrefix="1" applyNumberFormat="1" applyFont="1" applyBorder="1" applyAlignment="1">
      <alignment vertical="center" wrapText="1"/>
    </xf>
    <xf numFmtId="262" fontId="371" fillId="0" borderId="300" xfId="1155" quotePrefix="1" applyNumberFormat="1" applyFont="1" applyBorder="1" applyAlignment="1">
      <alignment vertical="center" wrapText="1"/>
    </xf>
    <xf numFmtId="220" fontId="372" fillId="0" borderId="300" xfId="1155" quotePrefix="1" applyFont="1" applyBorder="1" applyAlignment="1">
      <alignment vertical="center"/>
    </xf>
    <xf numFmtId="9" fontId="49" fillId="0" borderId="300" xfId="1390" quotePrefix="1" applyFont="1" applyBorder="1" applyAlignment="1">
      <alignment horizontal="center" vertical="center" wrapText="1"/>
    </xf>
    <xf numFmtId="265" fontId="49" fillId="38" borderId="300" xfId="4845" applyNumberFormat="1" applyFont="1" applyFill="1" applyBorder="1" applyAlignment="1">
      <alignment horizontal="right" vertical="center" wrapText="1"/>
    </xf>
    <xf numFmtId="0" fontId="79" fillId="38" borderId="306" xfId="4844" applyFont="1" applyFill="1" applyBorder="1" applyAlignment="1">
      <alignment vertical="center"/>
    </xf>
    <xf numFmtId="169" fontId="49" fillId="0" borderId="306" xfId="1155" quotePrefix="1" applyNumberFormat="1" applyFont="1" applyBorder="1" applyAlignment="1">
      <alignment vertical="center" wrapText="1"/>
    </xf>
    <xf numFmtId="262" fontId="371" fillId="0" borderId="306" xfId="1155" quotePrefix="1" applyNumberFormat="1" applyFont="1" applyBorder="1" applyAlignment="1">
      <alignment vertical="center" wrapText="1"/>
    </xf>
    <xf numFmtId="220" fontId="372" fillId="0" borderId="306" xfId="1155" quotePrefix="1" applyFont="1" applyBorder="1" applyAlignment="1">
      <alignment vertical="center"/>
    </xf>
    <xf numFmtId="9" fontId="49" fillId="0" borderId="306" xfId="1390" quotePrefix="1" applyFont="1" applyBorder="1" applyAlignment="1">
      <alignment horizontal="center" vertical="center" wrapText="1"/>
    </xf>
    <xf numFmtId="265" fontId="49" fillId="38" borderId="306" xfId="4845" applyNumberFormat="1" applyFont="1" applyFill="1" applyBorder="1" applyAlignment="1">
      <alignment horizontal="right" vertical="center" wrapText="1"/>
    </xf>
    <xf numFmtId="0" fontId="79" fillId="0" borderId="239" xfId="4844" applyFont="1" applyBorder="1" applyAlignment="1">
      <alignment vertical="center" wrapText="1"/>
    </xf>
    <xf numFmtId="0" fontId="79" fillId="0" borderId="300" xfId="4844" applyFont="1" applyBorder="1" applyAlignment="1">
      <alignment vertical="center" wrapText="1"/>
    </xf>
    <xf numFmtId="0" fontId="365" fillId="0" borderId="300" xfId="4844" quotePrefix="1" applyFont="1" applyBorder="1" applyAlignment="1">
      <alignment horizontal="left" vertical="center" wrapText="1" indent="2"/>
    </xf>
    <xf numFmtId="169" fontId="365" fillId="0" borderId="300" xfId="1155" quotePrefix="1" applyNumberFormat="1" applyFont="1" applyBorder="1" applyAlignment="1">
      <alignment vertical="center" wrapText="1"/>
    </xf>
    <xf numFmtId="43" fontId="365" fillId="0" borderId="300" xfId="4844" quotePrefix="1" applyNumberFormat="1" applyFont="1" applyBorder="1" applyAlignment="1">
      <alignment horizontal="center" vertical="center" wrapText="1"/>
    </xf>
    <xf numFmtId="220" fontId="365" fillId="0" borderId="300" xfId="1155" quotePrefix="1" applyFont="1" applyBorder="1" applyAlignment="1">
      <alignment vertical="center"/>
    </xf>
    <xf numFmtId="223" fontId="365" fillId="0" borderId="300" xfId="1390" quotePrefix="1" applyNumberFormat="1" applyFont="1" applyBorder="1" applyAlignment="1">
      <alignment horizontal="center" vertical="center" wrapText="1"/>
    </xf>
    <xf numFmtId="265" fontId="365" fillId="56" borderId="300" xfId="4845" applyNumberFormat="1" applyFont="1" applyFill="1" applyBorder="1" applyAlignment="1">
      <alignment horizontal="center" vertical="center" wrapText="1"/>
    </xf>
    <xf numFmtId="0" fontId="79" fillId="0" borderId="306" xfId="4844" applyFont="1" applyBorder="1" applyAlignment="1">
      <alignment vertical="center" wrapText="1"/>
    </xf>
    <xf numFmtId="0" fontId="365" fillId="0" borderId="306" xfId="4844" quotePrefix="1" applyFont="1" applyBorder="1" applyAlignment="1">
      <alignment horizontal="left" vertical="center" wrapText="1" indent="2"/>
    </xf>
    <xf numFmtId="169" fontId="365" fillId="0" borderId="306" xfId="1155" quotePrefix="1" applyNumberFormat="1" applyFont="1" applyBorder="1" applyAlignment="1">
      <alignment vertical="center" wrapText="1"/>
    </xf>
    <xf numFmtId="43" fontId="365" fillId="0" borderId="306" xfId="4844" quotePrefix="1" applyNumberFormat="1" applyFont="1" applyBorder="1" applyAlignment="1">
      <alignment horizontal="center" vertical="center" wrapText="1"/>
    </xf>
    <xf numFmtId="220" fontId="365" fillId="0" borderId="306" xfId="1155" quotePrefix="1" applyFont="1" applyBorder="1" applyAlignment="1">
      <alignment vertical="center"/>
    </xf>
    <xf numFmtId="223" fontId="365" fillId="0" borderId="306" xfId="1390" quotePrefix="1" applyNumberFormat="1" applyFont="1" applyBorder="1" applyAlignment="1">
      <alignment horizontal="center" vertical="center" wrapText="1"/>
    </xf>
    <xf numFmtId="265" fontId="365" fillId="0" borderId="306" xfId="4845" applyNumberFormat="1" applyFont="1" applyBorder="1" applyAlignment="1">
      <alignment horizontal="center" vertical="center" wrapText="1"/>
    </xf>
    <xf numFmtId="0" fontId="79" fillId="0" borderId="305" xfId="4844" applyFont="1" applyBorder="1" applyAlignment="1">
      <alignment vertical="center" wrapText="1"/>
    </xf>
    <xf numFmtId="0" fontId="365" fillId="0" borderId="305" xfId="4844" applyFont="1" applyBorder="1" applyAlignment="1">
      <alignment horizontal="left" vertical="center" wrapText="1" indent="2"/>
    </xf>
    <xf numFmtId="169" fontId="79" fillId="0" borderId="305" xfId="1155" quotePrefix="1" applyNumberFormat="1" applyFont="1" applyBorder="1" applyAlignment="1">
      <alignment vertical="center" wrapText="1"/>
    </xf>
    <xf numFmtId="43" fontId="79" fillId="0" borderId="305" xfId="4844" quotePrefix="1" applyNumberFormat="1" applyFont="1" applyBorder="1" applyAlignment="1">
      <alignment horizontal="center" vertical="center" wrapText="1"/>
    </xf>
    <xf numFmtId="220" fontId="365" fillId="0" borderId="305" xfId="1155" quotePrefix="1" applyFont="1" applyBorder="1" applyAlignment="1">
      <alignment vertical="center"/>
    </xf>
    <xf numFmtId="223" fontId="365" fillId="0" borderId="305" xfId="1390" quotePrefix="1" applyNumberFormat="1" applyFont="1" applyBorder="1" applyAlignment="1">
      <alignment horizontal="center" vertical="center" wrapText="1"/>
    </xf>
    <xf numFmtId="265" fontId="365" fillId="0" borderId="305" xfId="4845" applyNumberFormat="1" applyFont="1" applyBorder="1" applyAlignment="1">
      <alignment horizontal="center" vertical="center" wrapText="1"/>
    </xf>
    <xf numFmtId="0" fontId="79" fillId="38" borderId="159" xfId="4844" applyFont="1" applyFill="1" applyBorder="1" applyAlignment="1">
      <alignment horizontal="left" vertical="center" wrapText="1"/>
    </xf>
    <xf numFmtId="0" fontId="79" fillId="0" borderId="159" xfId="0" applyFont="1" applyBorder="1" applyAlignment="1">
      <alignment horizontal="left" vertical="center"/>
    </xf>
    <xf numFmtId="0" fontId="79" fillId="0" borderId="300" xfId="4844" quotePrefix="1" applyFont="1" applyBorder="1" applyAlignment="1">
      <alignment vertical="center" wrapText="1"/>
    </xf>
    <xf numFmtId="43" fontId="49" fillId="0" borderId="300" xfId="4844" quotePrefix="1" applyNumberFormat="1" applyFont="1" applyBorder="1" applyAlignment="1">
      <alignment horizontal="center" vertical="center" wrapText="1"/>
    </xf>
    <xf numFmtId="223" fontId="49" fillId="0" borderId="300" xfId="1390" quotePrefix="1" applyNumberFormat="1" applyFont="1" applyBorder="1" applyAlignment="1">
      <alignment horizontal="center" vertical="center" wrapText="1"/>
    </xf>
    <xf numFmtId="265" fontId="365" fillId="0" borderId="300" xfId="4845" applyNumberFormat="1" applyFont="1" applyBorder="1" applyAlignment="1">
      <alignment horizontal="center" vertical="center" wrapText="1"/>
    </xf>
    <xf numFmtId="251" fontId="79" fillId="38" borderId="159" xfId="4844" quotePrefix="1" applyNumberFormat="1" applyFont="1" applyFill="1" applyBorder="1" applyAlignment="1">
      <alignment horizontal="center" vertical="center" wrapText="1"/>
    </xf>
    <xf numFmtId="169" fontId="79" fillId="38" borderId="159" xfId="1155" applyNumberFormat="1" applyFont="1" applyFill="1" applyBorder="1">
      <alignment vertical="top"/>
    </xf>
    <xf numFmtId="0" fontId="79" fillId="38" borderId="295" xfId="4844" applyFont="1" applyFill="1" applyBorder="1" applyAlignment="1">
      <alignment vertical="center"/>
    </xf>
    <xf numFmtId="262" fontId="371" fillId="0" borderId="295" xfId="1155" quotePrefix="1" applyNumberFormat="1" applyFont="1" applyBorder="1" applyAlignment="1">
      <alignment vertical="center" wrapText="1"/>
    </xf>
    <xf numFmtId="9" fontId="49" fillId="0" borderId="295" xfId="1390" quotePrefix="1" applyFont="1" applyBorder="1" applyAlignment="1">
      <alignment horizontal="center" vertical="center" wrapText="1"/>
    </xf>
    <xf numFmtId="0" fontId="365" fillId="38" borderId="300" xfId="4844" quotePrefix="1" applyFont="1" applyFill="1" applyBorder="1" applyAlignment="1">
      <alignment vertical="center" wrapText="1"/>
    </xf>
    <xf numFmtId="0" fontId="365" fillId="38" borderId="300" xfId="4844" applyFont="1" applyFill="1" applyBorder="1" applyAlignment="1">
      <alignment horizontal="left" vertical="center" wrapText="1" indent="2"/>
    </xf>
    <xf numFmtId="169" fontId="365" fillId="38" borderId="300" xfId="1155" applyNumberFormat="1" applyFont="1" applyFill="1" applyBorder="1" applyAlignment="1">
      <alignment horizontal="left" vertical="center" wrapText="1"/>
    </xf>
    <xf numFmtId="0" fontId="365" fillId="38" borderId="300" xfId="4844" applyFont="1" applyFill="1" applyBorder="1" applyAlignment="1">
      <alignment horizontal="left" vertical="center" wrapText="1"/>
    </xf>
    <xf numFmtId="220" fontId="365" fillId="38" borderId="300" xfId="1155" applyFont="1" applyFill="1" applyBorder="1" applyAlignment="1">
      <alignment vertical="center"/>
    </xf>
    <xf numFmtId="223" fontId="365" fillId="38" borderId="300" xfId="1390" applyNumberFormat="1" applyFont="1" applyFill="1" applyBorder="1" applyAlignment="1">
      <alignment vertical="center"/>
    </xf>
    <xf numFmtId="0" fontId="365" fillId="38" borderId="306" xfId="4844" quotePrefix="1" applyFont="1" applyFill="1" applyBorder="1" applyAlignment="1">
      <alignment vertical="center" wrapText="1"/>
    </xf>
    <xf numFmtId="0" fontId="365" fillId="38" borderId="306" xfId="4844" applyFont="1" applyFill="1" applyBorder="1" applyAlignment="1">
      <alignment horizontal="left" vertical="center" wrapText="1" indent="2"/>
    </xf>
    <xf numFmtId="169" fontId="365" fillId="38" borderId="306" xfId="1155" applyNumberFormat="1" applyFont="1" applyFill="1" applyBorder="1" applyAlignment="1">
      <alignment horizontal="left" vertical="center" wrapText="1"/>
    </xf>
    <xf numFmtId="0" fontId="365" fillId="38" borderId="306" xfId="4844" applyFont="1" applyFill="1" applyBorder="1" applyAlignment="1">
      <alignment horizontal="left" vertical="center" wrapText="1"/>
    </xf>
    <xf numFmtId="220" fontId="365" fillId="38" borderId="306" xfId="1155" applyFont="1" applyFill="1" applyBorder="1" applyAlignment="1">
      <alignment vertical="center"/>
    </xf>
    <xf numFmtId="223" fontId="365" fillId="38" borderId="306" xfId="1390" applyNumberFormat="1" applyFont="1" applyFill="1" applyBorder="1" applyAlignment="1">
      <alignment vertical="center"/>
    </xf>
    <xf numFmtId="0" fontId="365" fillId="38" borderId="305" xfId="4844" quotePrefix="1" applyFont="1" applyFill="1" applyBorder="1" applyAlignment="1">
      <alignment vertical="center" wrapText="1"/>
    </xf>
    <xf numFmtId="0" fontId="365" fillId="38" borderId="305" xfId="4844" applyFont="1" applyFill="1" applyBorder="1" applyAlignment="1">
      <alignment horizontal="left" vertical="center" wrapText="1" indent="2"/>
    </xf>
    <xf numFmtId="169" fontId="365" fillId="38" borderId="305" xfId="1155" applyNumberFormat="1" applyFont="1" applyFill="1" applyBorder="1" applyAlignment="1">
      <alignment horizontal="left" vertical="center" wrapText="1"/>
    </xf>
    <xf numFmtId="0" fontId="365" fillId="38" borderId="305" xfId="4844" applyFont="1" applyFill="1" applyBorder="1" applyAlignment="1">
      <alignment horizontal="left" vertical="center" wrapText="1"/>
    </xf>
    <xf numFmtId="220" fontId="365" fillId="38" borderId="305" xfId="1155" applyFont="1" applyFill="1" applyBorder="1" applyAlignment="1">
      <alignment vertical="center"/>
    </xf>
    <xf numFmtId="223" fontId="365" fillId="38" borderId="305" xfId="1390" applyNumberFormat="1" applyFont="1" applyFill="1" applyBorder="1" applyAlignment="1">
      <alignment vertical="center"/>
    </xf>
    <xf numFmtId="0" fontId="79" fillId="0" borderId="306" xfId="4844" quotePrefix="1" applyFont="1" applyBorder="1" applyAlignment="1">
      <alignment vertical="center" wrapText="1"/>
    </xf>
    <xf numFmtId="0" fontId="49" fillId="0" borderId="306" xfId="4844" applyFont="1" applyBorder="1" applyAlignment="1">
      <alignment horizontal="left" vertical="center" wrapText="1"/>
    </xf>
    <xf numFmtId="169" fontId="374" fillId="0" borderId="306" xfId="1155" quotePrefix="1" applyNumberFormat="1" applyFont="1" applyBorder="1" applyAlignment="1">
      <alignment vertical="center" wrapText="1"/>
    </xf>
    <xf numFmtId="43" fontId="374" fillId="0" borderId="306" xfId="4844" quotePrefix="1" applyNumberFormat="1" applyFont="1" applyBorder="1" applyAlignment="1">
      <alignment horizontal="center" vertical="center" wrapText="1"/>
    </xf>
    <xf numFmtId="220" fontId="49" fillId="0" borderId="306" xfId="1155" quotePrefix="1" applyFont="1" applyBorder="1" applyAlignment="1">
      <alignment vertical="center"/>
    </xf>
    <xf numFmtId="223" fontId="49" fillId="0" borderId="306" xfId="1390" quotePrefix="1" applyNumberFormat="1" applyFont="1" applyBorder="1" applyAlignment="1">
      <alignment horizontal="center" vertical="center" wrapText="1"/>
    </xf>
    <xf numFmtId="265" fontId="49" fillId="0" borderId="306" xfId="4845" applyNumberFormat="1" applyFont="1" applyBorder="1" applyAlignment="1">
      <alignment horizontal="center" vertical="center" wrapText="1"/>
    </xf>
    <xf numFmtId="0" fontId="79" fillId="0" borderId="295" xfId="4844" quotePrefix="1" applyFont="1" applyBorder="1" applyAlignment="1">
      <alignment vertical="center" wrapText="1"/>
    </xf>
    <xf numFmtId="223" fontId="49" fillId="0" borderId="295" xfId="1390" quotePrefix="1" applyNumberFormat="1" applyFont="1" applyBorder="1" applyAlignment="1">
      <alignment horizontal="center" vertical="center" wrapText="1"/>
    </xf>
    <xf numFmtId="43" fontId="344" fillId="0" borderId="306" xfId="4844" quotePrefix="1" applyNumberFormat="1" applyFont="1" applyBorder="1" applyAlignment="1">
      <alignment horizontal="center" vertical="center" wrapText="1"/>
    </xf>
    <xf numFmtId="220" fontId="79" fillId="0" borderId="0" xfId="1155" quotePrefix="1" applyFont="1" applyFill="1" applyBorder="1" applyAlignment="1">
      <alignment vertical="center"/>
    </xf>
    <xf numFmtId="223" fontId="49" fillId="0" borderId="0" xfId="1390" applyNumberFormat="1" applyFont="1" applyFill="1" applyBorder="1">
      <alignment vertical="top"/>
    </xf>
    <xf numFmtId="265" fontId="49" fillId="0" borderId="300" xfId="4845" applyNumberFormat="1" applyFont="1" applyFill="1" applyBorder="1" applyAlignment="1">
      <alignment horizontal="center" vertical="center" wrapText="1"/>
    </xf>
    <xf numFmtId="0" fontId="49" fillId="0" borderId="300" xfId="4844" applyFont="1" applyBorder="1" applyAlignment="1">
      <alignment horizontal="center" vertical="center" wrapText="1"/>
    </xf>
    <xf numFmtId="0" fontId="49" fillId="0" borderId="300" xfId="4844" applyFont="1" applyBorder="1" applyAlignment="1">
      <alignment horizontal="left" vertical="center" wrapText="1"/>
    </xf>
    <xf numFmtId="0" fontId="79" fillId="0" borderId="0" xfId="4844" quotePrefix="1" applyFont="1" applyAlignment="1">
      <alignment horizontal="center" vertical="center" wrapText="1"/>
    </xf>
    <xf numFmtId="0" fontId="79" fillId="0" borderId="306" xfId="4844" applyFont="1" applyBorder="1" applyAlignment="1">
      <alignment horizontal="center" vertical="center" wrapText="1"/>
    </xf>
    <xf numFmtId="0" fontId="79" fillId="0" borderId="306" xfId="4844" applyFont="1" applyBorder="1" applyAlignment="1">
      <alignment horizontal="left" vertical="center" wrapText="1"/>
    </xf>
    <xf numFmtId="265" fontId="79" fillId="0" borderId="306" xfId="4845" applyNumberFormat="1" applyFont="1" applyFill="1" applyBorder="1" applyAlignment="1">
      <alignment horizontal="center" vertical="center" wrapText="1"/>
    </xf>
    <xf numFmtId="43" fontId="79" fillId="0" borderId="0" xfId="4844" quotePrefix="1" applyNumberFormat="1" applyFont="1" applyAlignment="1">
      <alignment horizontal="center" vertical="center" wrapText="1"/>
    </xf>
    <xf numFmtId="0" fontId="49" fillId="0" borderId="306" xfId="4844" applyFont="1" applyBorder="1" applyAlignment="1">
      <alignment horizontal="center" vertical="center" wrapText="1"/>
    </xf>
    <xf numFmtId="10" fontId="49" fillId="0" borderId="306" xfId="1390" quotePrefix="1" applyNumberFormat="1" applyFont="1" applyFill="1" applyBorder="1" applyAlignment="1">
      <alignment horizontal="right" vertical="center" wrapText="1"/>
    </xf>
    <xf numFmtId="0" fontId="79" fillId="0" borderId="305" xfId="4844" applyFont="1" applyBorder="1" applyAlignment="1">
      <alignment horizontal="center" vertical="center" wrapText="1"/>
    </xf>
    <xf numFmtId="0" fontId="79" fillId="0" borderId="305" xfId="4844" applyFont="1" applyBorder="1" applyAlignment="1">
      <alignment horizontal="left" vertical="center" wrapText="1"/>
    </xf>
    <xf numFmtId="0" fontId="366" fillId="128" borderId="240" xfId="0" applyFont="1" applyFill="1" applyBorder="1" applyAlignment="1">
      <alignment horizontal="center" vertical="center"/>
    </xf>
    <xf numFmtId="0" fontId="366" fillId="128" borderId="287" xfId="0" applyFont="1" applyFill="1" applyBorder="1" applyAlignment="1">
      <alignment horizontal="center" vertical="center"/>
    </xf>
    <xf numFmtId="0" fontId="366" fillId="128" borderId="243" xfId="0" applyFont="1" applyFill="1" applyBorder="1" applyAlignment="1">
      <alignment vertical="center"/>
    </xf>
    <xf numFmtId="0" fontId="49" fillId="0" borderId="300" xfId="0" applyFont="1" applyBorder="1" applyAlignment="1">
      <alignment vertical="center"/>
    </xf>
    <xf numFmtId="9" fontId="49" fillId="0" borderId="300" xfId="1390" applyFont="1" applyBorder="1">
      <alignment vertical="top"/>
    </xf>
    <xf numFmtId="9" fontId="370" fillId="0" borderId="300" xfId="1390" applyFont="1" applyBorder="1">
      <alignment vertical="top"/>
    </xf>
    <xf numFmtId="0" fontId="365" fillId="0" borderId="306" xfId="0" applyFont="1" applyBorder="1" applyAlignment="1">
      <alignment horizontal="left" vertical="center" indent="2"/>
    </xf>
    <xf numFmtId="0" fontId="366" fillId="128" borderId="239" xfId="0" applyFont="1" applyFill="1" applyBorder="1" applyAlignment="1">
      <alignment vertical="center"/>
    </xf>
    <xf numFmtId="169" fontId="49" fillId="0" borderId="296" xfId="1155" applyNumberFormat="1" applyFont="1" applyFill="1" applyBorder="1" applyAlignment="1">
      <alignment vertical="center"/>
    </xf>
    <xf numFmtId="169" fontId="49" fillId="0" borderId="306" xfId="1155" applyNumberFormat="1" applyFont="1" applyFill="1" applyBorder="1" applyAlignment="1">
      <alignment vertical="center"/>
    </xf>
    <xf numFmtId="169" fontId="49" fillId="0" borderId="295" xfId="1155" applyNumberFormat="1" applyFont="1" applyFill="1" applyBorder="1" applyAlignment="1">
      <alignment vertical="center"/>
    </xf>
    <xf numFmtId="169" fontId="79" fillId="0" borderId="239" xfId="1155" applyNumberFormat="1" applyFont="1" applyFill="1" applyBorder="1" applyAlignment="1">
      <alignment vertical="center"/>
    </xf>
    <xf numFmtId="169" fontId="49" fillId="0" borderId="300" xfId="1155" applyNumberFormat="1" applyFont="1" applyFill="1" applyBorder="1" applyAlignment="1">
      <alignment vertical="center"/>
    </xf>
    <xf numFmtId="169" fontId="49" fillId="0" borderId="300" xfId="1155" applyNumberFormat="1" applyFont="1" applyBorder="1" applyAlignment="1">
      <alignment vertical="center"/>
    </xf>
    <xf numFmtId="169" fontId="49" fillId="0" borderId="306" xfId="1155" applyNumberFormat="1" applyFont="1" applyBorder="1" applyAlignment="1">
      <alignment vertical="center"/>
    </xf>
    <xf numFmtId="169" fontId="79" fillId="0" borderId="239" xfId="1155" applyNumberFormat="1" applyFont="1" applyBorder="1" applyAlignment="1">
      <alignment vertical="center"/>
    </xf>
    <xf numFmtId="169" fontId="49" fillId="0" borderId="239" xfId="1155" applyNumberFormat="1" applyFont="1" applyFill="1" applyBorder="1" applyAlignment="1">
      <alignment vertical="center"/>
    </xf>
    <xf numFmtId="169" fontId="79" fillId="0" borderId="239" xfId="1155" applyNumberFormat="1" applyFont="1" applyBorder="1" applyAlignment="1"/>
    <xf numFmtId="43" fontId="52" fillId="38" borderId="185" xfId="10919" applyNumberFormat="1" applyFont="1" applyFill="1" applyBorder="1" applyAlignment="1">
      <alignment vertical="center"/>
    </xf>
    <xf numFmtId="265" fontId="52" fillId="38" borderId="185" xfId="10919" applyNumberFormat="1" applyFont="1" applyFill="1" applyBorder="1" applyAlignment="1">
      <alignment vertical="center"/>
    </xf>
    <xf numFmtId="0" fontId="356" fillId="0" borderId="0" xfId="1057" applyFont="1" applyAlignment="1"/>
    <xf numFmtId="220" fontId="376" fillId="0" borderId="0" xfId="1155" applyFont="1" applyFill="1" applyBorder="1" applyAlignment="1" applyProtection="1">
      <alignment horizontal="left" vertical="center"/>
    </xf>
    <xf numFmtId="0" fontId="356" fillId="0" borderId="0" xfId="1155" applyNumberFormat="1" applyFont="1" applyFill="1" applyBorder="1" applyAlignment="1" applyProtection="1"/>
    <xf numFmtId="0" fontId="356" fillId="122" borderId="0" xfId="0" applyFont="1" applyFill="1" applyAlignment="1">
      <alignment vertical="center"/>
    </xf>
    <xf numFmtId="0" fontId="377" fillId="122" borderId="0" xfId="0" applyFont="1" applyFill="1" applyAlignment="1">
      <alignment horizontal="left" vertical="center"/>
    </xf>
    <xf numFmtId="0" fontId="356" fillId="122" borderId="203" xfId="0" applyFont="1" applyFill="1" applyBorder="1" applyAlignment="1">
      <alignment vertical="center" wrapText="1"/>
    </xf>
    <xf numFmtId="0" fontId="359" fillId="122" borderId="203" xfId="0" applyFont="1" applyFill="1" applyBorder="1" applyAlignment="1">
      <alignment horizontal="left" vertical="center"/>
    </xf>
    <xf numFmtId="0" fontId="378" fillId="122" borderId="203" xfId="0" applyFont="1" applyFill="1" applyBorder="1" applyAlignment="1">
      <alignment horizontal="left" vertical="center" wrapText="1"/>
    </xf>
    <xf numFmtId="0" fontId="49" fillId="38" borderId="0" xfId="1057" applyFont="1" applyFill="1" applyAlignment="1">
      <alignment horizontal="center"/>
    </xf>
    <xf numFmtId="0" fontId="88" fillId="2" borderId="0" xfId="1057" applyFont="1" applyFill="1" applyAlignment="1">
      <alignment horizontal="left"/>
    </xf>
    <xf numFmtId="0" fontId="379" fillId="2" borderId="0" xfId="1057" applyFont="1" applyFill="1" applyAlignment="1"/>
    <xf numFmtId="0" fontId="49" fillId="2" borderId="0" xfId="1057" applyFont="1" applyFill="1" applyAlignment="1"/>
    <xf numFmtId="0" fontId="49" fillId="0" borderId="0" xfId="1057" applyFont="1" applyAlignment="1"/>
    <xf numFmtId="0" fontId="49" fillId="2" borderId="0" xfId="1057" applyFont="1" applyFill="1" applyAlignment="1">
      <alignment horizontal="left"/>
    </xf>
    <xf numFmtId="0" fontId="79" fillId="38" borderId="0" xfId="1057" applyFont="1" applyFill="1" applyAlignment="1">
      <alignment horizontal="center" vertical="center"/>
    </xf>
    <xf numFmtId="0" fontId="79" fillId="121" borderId="96" xfId="1057" applyFont="1" applyFill="1" applyBorder="1" applyAlignment="1">
      <alignment horizontal="center" vertical="center"/>
    </xf>
    <xf numFmtId="0" fontId="79" fillId="121" borderId="62" xfId="1057" applyFont="1" applyFill="1" applyBorder="1" applyAlignment="1">
      <alignment horizontal="center" vertical="center"/>
    </xf>
    <xf numFmtId="0" fontId="79" fillId="121" borderId="63" xfId="1057" applyFont="1" applyFill="1" applyBorder="1" applyAlignment="1">
      <alignment horizontal="center" vertical="center"/>
    </xf>
    <xf numFmtId="0" fontId="79" fillId="0" borderId="0" xfId="1057" applyFont="1" applyAlignment="1">
      <alignment horizontal="center" vertical="center"/>
    </xf>
    <xf numFmtId="0" fontId="79" fillId="2" borderId="0" xfId="1057" applyFont="1" applyFill="1" applyAlignment="1">
      <alignment horizontal="center" vertical="center"/>
    </xf>
    <xf numFmtId="0" fontId="79" fillId="0" borderId="240" xfId="1057" applyFont="1" applyBorder="1" applyAlignment="1">
      <alignment horizontal="center" vertical="center"/>
    </xf>
    <xf numFmtId="251" fontId="49" fillId="38" borderId="0" xfId="1057" applyNumberFormat="1" applyFont="1" applyFill="1" applyAlignment="1">
      <alignment horizontal="center" vertical="center"/>
    </xf>
    <xf numFmtId="0" fontId="49" fillId="0" borderId="232" xfId="1057" applyFont="1" applyBorder="1" applyAlignment="1">
      <alignment vertical="center"/>
    </xf>
    <xf numFmtId="0" fontId="49" fillId="0" borderId="178" xfId="1057" applyFont="1" applyBorder="1" applyAlignment="1">
      <alignment vertical="center"/>
    </xf>
    <xf numFmtId="0" fontId="49" fillId="0" borderId="182" xfId="1057" applyFont="1" applyBorder="1" applyAlignment="1">
      <alignment vertical="center"/>
    </xf>
    <xf numFmtId="169" fontId="49" fillId="2" borderId="0" xfId="1155" applyNumberFormat="1" applyFont="1" applyFill="1">
      <alignment vertical="top"/>
    </xf>
    <xf numFmtId="0" fontId="49" fillId="0" borderId="0" xfId="1057" applyFont="1" applyAlignment="1">
      <alignment vertical="center"/>
    </xf>
    <xf numFmtId="0" fontId="49" fillId="2" borderId="0" xfId="1057" applyFont="1" applyFill="1" applyAlignment="1">
      <alignment vertical="center"/>
    </xf>
    <xf numFmtId="0" fontId="49" fillId="0" borderId="266" xfId="1057" applyFont="1" applyBorder="1" applyAlignment="1">
      <alignment horizontal="center" vertical="center"/>
    </xf>
    <xf numFmtId="0" fontId="49" fillId="0" borderId="266" xfId="1057" applyFont="1" applyBorder="1" applyAlignment="1">
      <alignment vertical="center"/>
    </xf>
    <xf numFmtId="169" fontId="49" fillId="0" borderId="266" xfId="1155" applyNumberFormat="1" applyFont="1" applyBorder="1" applyAlignment="1">
      <alignment vertical="center"/>
    </xf>
    <xf numFmtId="0" fontId="49" fillId="0" borderId="290" xfId="1057" applyFont="1" applyBorder="1" applyAlignment="1">
      <alignment horizontal="center" vertical="center"/>
    </xf>
    <xf numFmtId="0" fontId="49" fillId="0" borderId="290" xfId="1057" applyFont="1" applyBorder="1" applyAlignment="1">
      <alignment vertical="center"/>
    </xf>
    <xf numFmtId="169" fontId="49" fillId="0" borderId="290" xfId="1155" applyNumberFormat="1" applyFont="1" applyBorder="1" applyAlignment="1">
      <alignment vertical="center"/>
    </xf>
    <xf numFmtId="169" fontId="79" fillId="0" borderId="290" xfId="1155" applyNumberFormat="1" applyFont="1" applyBorder="1" applyAlignment="1">
      <alignment vertical="center"/>
    </xf>
    <xf numFmtId="0" fontId="49" fillId="0" borderId="0" xfId="1057" quotePrefix="1" applyFont="1" applyAlignment="1">
      <alignment vertical="center"/>
    </xf>
    <xf numFmtId="220" fontId="49" fillId="0" borderId="0" xfId="1057" applyNumberFormat="1" applyFont="1" applyAlignment="1">
      <alignment vertical="center"/>
    </xf>
    <xf numFmtId="251" fontId="49" fillId="0" borderId="0" xfId="1057" applyNumberFormat="1" applyFont="1" applyAlignment="1">
      <alignment vertical="center"/>
    </xf>
    <xf numFmtId="220" fontId="49" fillId="0" borderId="0" xfId="1155" applyFont="1">
      <alignment vertical="top"/>
    </xf>
    <xf numFmtId="0" fontId="49" fillId="38" borderId="0" xfId="1057" applyFont="1" applyFill="1" applyAlignment="1">
      <alignment horizontal="center" vertical="center"/>
    </xf>
    <xf numFmtId="0" fontId="49" fillId="0" borderId="226" xfId="1057" applyFont="1" applyBorder="1" applyAlignment="1">
      <alignment vertical="center"/>
    </xf>
    <xf numFmtId="0" fontId="49" fillId="0" borderId="236" xfId="1057" applyFont="1" applyBorder="1" applyAlignment="1">
      <alignment vertical="center"/>
    </xf>
    <xf numFmtId="0" fontId="79" fillId="0" borderId="290" xfId="1057" applyFont="1" applyBorder="1" applyAlignment="1">
      <alignment vertical="center"/>
    </xf>
    <xf numFmtId="169" fontId="79" fillId="0" borderId="290" xfId="1057" applyNumberFormat="1" applyFont="1" applyBorder="1" applyAlignment="1">
      <alignment vertical="center"/>
    </xf>
    <xf numFmtId="0" fontId="49" fillId="0" borderId="234" xfId="1057" applyFont="1" applyBorder="1" applyAlignment="1">
      <alignment vertical="center"/>
    </xf>
    <xf numFmtId="0" fontId="49" fillId="0" borderId="207" xfId="1057" applyFont="1" applyBorder="1" applyAlignment="1">
      <alignment vertical="center"/>
    </xf>
    <xf numFmtId="220" fontId="49" fillId="0" borderId="0" xfId="1155" applyFont="1" applyFill="1" applyAlignment="1">
      <alignment vertical="center"/>
    </xf>
    <xf numFmtId="220" fontId="372" fillId="0" borderId="0" xfId="1155" applyFont="1" applyFill="1" applyAlignment="1">
      <alignment vertical="center"/>
    </xf>
    <xf numFmtId="251" fontId="49" fillId="0" borderId="290" xfId="1057" applyNumberFormat="1" applyFont="1" applyBorder="1" applyAlignment="1">
      <alignment vertical="center"/>
    </xf>
    <xf numFmtId="0" fontId="49" fillId="0" borderId="273" xfId="1057" applyFont="1" applyBorder="1" applyAlignment="1">
      <alignment vertical="center"/>
    </xf>
    <xf numFmtId="0" fontId="49" fillId="0" borderId="292" xfId="1057" applyFont="1" applyBorder="1" applyAlignment="1">
      <alignment vertical="center"/>
    </xf>
    <xf numFmtId="259" fontId="49" fillId="0" borderId="292" xfId="1057" applyNumberFormat="1" applyFont="1" applyBorder="1" applyAlignment="1">
      <alignment vertical="center"/>
    </xf>
    <xf numFmtId="0" fontId="49" fillId="0" borderId="234" xfId="1057" applyFont="1" applyBorder="1" applyAlignment="1">
      <alignment horizontal="left" vertical="center"/>
    </xf>
    <xf numFmtId="0" fontId="49" fillId="0" borderId="235" xfId="1057" applyFont="1" applyBorder="1" applyAlignment="1">
      <alignment horizontal="left" vertical="center"/>
    </xf>
    <xf numFmtId="0" fontId="49" fillId="0" borderId="237" xfId="1057" applyFont="1" applyBorder="1" applyAlignment="1">
      <alignment vertical="center"/>
    </xf>
    <xf numFmtId="0" fontId="49" fillId="0" borderId="238" xfId="1057" applyFont="1" applyBorder="1" applyAlignment="1">
      <alignment vertical="center"/>
    </xf>
    <xf numFmtId="0" fontId="49" fillId="0" borderId="0" xfId="1057" applyFont="1" applyAlignment="1">
      <alignment horizontal="left" vertical="center"/>
    </xf>
    <xf numFmtId="223" fontId="379" fillId="0" borderId="0" xfId="1390" applyNumberFormat="1" applyFont="1" applyFill="1" applyBorder="1" applyAlignment="1">
      <alignment vertical="center"/>
    </xf>
    <xf numFmtId="9" fontId="379" fillId="0" borderId="0" xfId="1390" applyFont="1" applyFill="1" applyBorder="1" applyAlignment="1">
      <alignment vertical="center"/>
    </xf>
    <xf numFmtId="0" fontId="49" fillId="0" borderId="0" xfId="1057" applyFont="1" applyAlignment="1">
      <alignment horizontal="left"/>
    </xf>
    <xf numFmtId="0" fontId="79" fillId="0" borderId="0" xfId="1057" applyFont="1" applyAlignment="1">
      <alignment horizontal="left"/>
    </xf>
    <xf numFmtId="9" fontId="49" fillId="0" borderId="0" xfId="1390" applyFont="1" applyFill="1" applyBorder="1">
      <alignment vertical="top"/>
    </xf>
    <xf numFmtId="169" fontId="372" fillId="38" borderId="0" xfId="1057" applyNumberFormat="1" applyFont="1" applyFill="1" applyAlignment="1">
      <alignment horizontal="center" vertical="center"/>
    </xf>
    <xf numFmtId="0" fontId="79" fillId="0" borderId="240" xfId="1057" applyFont="1" applyBorder="1" applyAlignment="1">
      <alignment horizontal="center" vertical="center" wrapText="1"/>
    </xf>
    <xf numFmtId="0" fontId="79" fillId="2" borderId="183" xfId="1057" applyFont="1" applyFill="1" applyBorder="1" applyAlignment="1">
      <alignment horizontal="left" vertical="center"/>
    </xf>
    <xf numFmtId="169" fontId="90" fillId="37" borderId="239" xfId="1155" applyNumberFormat="1" applyFont="1" applyFill="1" applyBorder="1" applyAlignment="1" applyProtection="1">
      <alignment vertical="center"/>
    </xf>
    <xf numFmtId="248" fontId="79" fillId="37" borderId="240" xfId="1057" applyNumberFormat="1" applyFont="1" applyFill="1" applyBorder="1" applyAlignment="1">
      <alignment horizontal="right" vertical="center"/>
    </xf>
    <xf numFmtId="248" fontId="79" fillId="2" borderId="240" xfId="1057" applyNumberFormat="1" applyFont="1" applyFill="1" applyBorder="1" applyAlignment="1">
      <alignment horizontal="right" vertical="center"/>
    </xf>
    <xf numFmtId="169" fontId="49" fillId="0" borderId="266" xfId="1155" applyNumberFormat="1" applyFont="1" applyBorder="1" applyAlignment="1">
      <alignment horizontal="right" vertical="top"/>
    </xf>
    <xf numFmtId="43" fontId="49" fillId="0" borderId="0" xfId="1057" applyNumberFormat="1" applyFont="1" applyAlignment="1">
      <alignment vertical="center"/>
    </xf>
    <xf numFmtId="280" fontId="380" fillId="37" borderId="204" xfId="1155" applyNumberFormat="1" applyFont="1" applyFill="1" applyBorder="1" applyAlignment="1">
      <alignment horizontal="center" vertical="center"/>
    </xf>
    <xf numFmtId="169" fontId="49" fillId="37" borderId="233" xfId="1155" applyNumberFormat="1" applyFont="1" applyFill="1" applyBorder="1" applyAlignment="1" applyProtection="1">
      <alignment vertical="center"/>
    </xf>
    <xf numFmtId="169" fontId="49" fillId="37" borderId="178" xfId="1155" applyNumberFormat="1" applyFont="1" applyFill="1" applyBorder="1" applyAlignment="1" applyProtection="1">
      <alignment vertical="center"/>
    </xf>
    <xf numFmtId="169" fontId="79" fillId="37" borderId="178" xfId="1155" applyNumberFormat="1" applyFont="1" applyFill="1" applyBorder="1" applyAlignment="1" applyProtection="1">
      <alignment vertical="center"/>
    </xf>
    <xf numFmtId="0" fontId="49" fillId="0" borderId="293" xfId="1155" applyNumberFormat="1" applyFont="1" applyBorder="1" applyAlignment="1">
      <alignment horizontal="right" vertical="top"/>
    </xf>
    <xf numFmtId="0" fontId="49" fillId="0" borderId="293" xfId="1057" applyFont="1" applyBorder="1" applyAlignment="1">
      <alignment vertical="center"/>
    </xf>
    <xf numFmtId="169" fontId="49" fillId="0" borderId="293" xfId="1155" applyNumberFormat="1" applyFont="1" applyBorder="1" applyAlignment="1">
      <alignment horizontal="right" vertical="top"/>
    </xf>
    <xf numFmtId="280" fontId="380" fillId="37" borderId="226" xfId="1155" applyNumberFormat="1" applyFont="1" applyFill="1" applyBorder="1" applyAlignment="1">
      <alignment horizontal="center" vertical="center"/>
    </xf>
    <xf numFmtId="169" fontId="49" fillId="37" borderId="241" xfId="1155" applyNumberFormat="1" applyFont="1" applyFill="1" applyBorder="1" applyAlignment="1" applyProtection="1">
      <alignment vertical="center"/>
    </xf>
    <xf numFmtId="169" fontId="49" fillId="37" borderId="207" xfId="1155" applyNumberFormat="1" applyFont="1" applyFill="1" applyBorder="1" applyAlignment="1" applyProtection="1">
      <alignment vertical="center"/>
    </xf>
    <xf numFmtId="169" fontId="79" fillId="37" borderId="207" xfId="1155" applyNumberFormat="1" applyFont="1" applyFill="1" applyBorder="1" applyAlignment="1" applyProtection="1">
      <alignment vertical="center"/>
    </xf>
    <xf numFmtId="223" fontId="49" fillId="0" borderId="292" xfId="1057" applyNumberFormat="1" applyFont="1" applyBorder="1" applyAlignment="1">
      <alignment vertical="center"/>
    </xf>
    <xf numFmtId="0" fontId="79" fillId="0" borderId="292" xfId="1057" applyFont="1" applyBorder="1" applyAlignment="1">
      <alignment vertical="center"/>
    </xf>
    <xf numFmtId="169" fontId="79" fillId="0" borderId="292" xfId="1155" applyNumberFormat="1" applyFont="1" applyBorder="1" applyAlignment="1">
      <alignment horizontal="right" vertical="top"/>
    </xf>
    <xf numFmtId="280" fontId="79" fillId="37" borderId="226" xfId="1155" applyNumberFormat="1" applyFont="1" applyFill="1" applyBorder="1" applyAlignment="1">
      <alignment horizontal="center" vertical="center"/>
    </xf>
    <xf numFmtId="169" fontId="79" fillId="37" borderId="241" xfId="1155" applyNumberFormat="1" applyFont="1" applyFill="1" applyBorder="1" applyAlignment="1" applyProtection="1">
      <alignment vertical="center"/>
    </xf>
    <xf numFmtId="223" fontId="49" fillId="0" borderId="0" xfId="1057" applyNumberFormat="1" applyFont="1" applyAlignment="1">
      <alignment vertical="center"/>
    </xf>
    <xf numFmtId="280" fontId="380" fillId="2" borderId="226" xfId="1155" applyNumberFormat="1" applyFont="1" applyFill="1" applyBorder="1" applyAlignment="1">
      <alignment horizontal="center" vertical="center"/>
    </xf>
    <xf numFmtId="280" fontId="380" fillId="2" borderId="205" xfId="1155" applyNumberFormat="1" applyFont="1" applyFill="1" applyBorder="1" applyAlignment="1">
      <alignment horizontal="center" vertical="center"/>
    </xf>
    <xf numFmtId="169" fontId="49" fillId="37" borderId="206" xfId="1155" applyNumberFormat="1" applyFont="1" applyFill="1" applyBorder="1" applyAlignment="1" applyProtection="1">
      <alignment vertical="center"/>
    </xf>
    <xf numFmtId="169" fontId="49" fillId="37" borderId="205" xfId="1155" applyNumberFormat="1" applyFont="1" applyFill="1" applyBorder="1" applyAlignment="1" applyProtection="1">
      <alignment vertical="center"/>
    </xf>
    <xf numFmtId="169" fontId="79" fillId="37" borderId="205" xfId="1155" applyNumberFormat="1" applyFont="1" applyFill="1" applyBorder="1" applyAlignment="1" applyProtection="1">
      <alignment vertical="center"/>
    </xf>
    <xf numFmtId="0" fontId="366" fillId="38" borderId="0" xfId="1057" applyFont="1" applyFill="1" applyAlignment="1">
      <alignment horizontal="center" vertical="center"/>
    </xf>
    <xf numFmtId="0" fontId="366" fillId="0" borderId="0" xfId="1057" applyFont="1" applyAlignment="1">
      <alignment horizontal="left" vertical="center" wrapText="1"/>
    </xf>
    <xf numFmtId="0" fontId="358" fillId="0" borderId="0" xfId="1057" applyFont="1" applyAlignment="1">
      <alignment vertical="center"/>
    </xf>
    <xf numFmtId="169" fontId="49" fillId="2" borderId="178" xfId="1155" applyNumberFormat="1" applyFont="1" applyFill="1" applyBorder="1" applyAlignment="1" applyProtection="1">
      <alignment vertical="center"/>
    </xf>
    <xf numFmtId="169" fontId="49" fillId="2" borderId="207" xfId="1155" applyNumberFormat="1" applyFont="1" applyFill="1" applyBorder="1" applyAlignment="1" applyProtection="1">
      <alignment vertical="center"/>
    </xf>
    <xf numFmtId="169" fontId="49" fillId="2" borderId="241" xfId="1155" applyNumberFormat="1" applyFont="1" applyFill="1" applyBorder="1" applyAlignment="1" applyProtection="1">
      <alignment vertical="center"/>
    </xf>
    <xf numFmtId="169" fontId="49" fillId="2" borderId="206" xfId="1155" applyNumberFormat="1" applyFont="1" applyFill="1" applyBorder="1" applyAlignment="1" applyProtection="1">
      <alignment vertical="center"/>
    </xf>
    <xf numFmtId="169" fontId="49" fillId="2" borderId="205" xfId="1155" applyNumberFormat="1" applyFont="1" applyFill="1" applyBorder="1" applyAlignment="1" applyProtection="1">
      <alignment vertical="center"/>
    </xf>
    <xf numFmtId="169" fontId="90" fillId="37" borderId="243" xfId="1155" applyNumberFormat="1" applyFont="1" applyFill="1" applyBorder="1" applyAlignment="1" applyProtection="1">
      <alignment vertical="center"/>
    </xf>
    <xf numFmtId="248" fontId="79" fillId="37" borderId="243" xfId="1057" applyNumberFormat="1" applyFont="1" applyFill="1" applyBorder="1" applyAlignment="1">
      <alignment horizontal="right" vertical="center"/>
    </xf>
    <xf numFmtId="223" fontId="49" fillId="37" borderId="204" xfId="1390" applyNumberFormat="1" applyFont="1" applyFill="1" applyBorder="1" applyProtection="1">
      <alignment vertical="top"/>
    </xf>
    <xf numFmtId="223" fontId="79" fillId="132" borderId="204" xfId="1390" applyNumberFormat="1" applyFont="1" applyFill="1" applyBorder="1" applyProtection="1">
      <alignment vertical="top"/>
    </xf>
    <xf numFmtId="223" fontId="49" fillId="37" borderId="226" xfId="1390" applyNumberFormat="1" applyFont="1" applyFill="1" applyBorder="1" applyProtection="1">
      <alignment vertical="top"/>
    </xf>
    <xf numFmtId="223" fontId="79" fillId="132" borderId="226" xfId="1390" applyNumberFormat="1" applyFont="1" applyFill="1" applyBorder="1" applyProtection="1">
      <alignment vertical="top"/>
    </xf>
    <xf numFmtId="280" fontId="380" fillId="37" borderId="205" xfId="1155" applyNumberFormat="1" applyFont="1" applyFill="1" applyBorder="1" applyAlignment="1">
      <alignment horizontal="center" vertical="center"/>
    </xf>
    <xf numFmtId="223" fontId="49" fillId="37" borderId="205" xfId="1390" applyNumberFormat="1" applyFont="1" applyFill="1" applyBorder="1" applyProtection="1">
      <alignment vertical="top"/>
    </xf>
    <xf numFmtId="223" fontId="79" fillId="132" borderId="205" xfId="1390" applyNumberFormat="1" applyFont="1" applyFill="1" applyBorder="1" applyProtection="1">
      <alignment vertical="top"/>
    </xf>
    <xf numFmtId="0" fontId="79" fillId="2" borderId="242" xfId="1057" applyFont="1" applyFill="1" applyBorder="1" applyAlignment="1">
      <alignment horizontal="left" vertical="center"/>
    </xf>
    <xf numFmtId="37" fontId="79" fillId="37" borderId="240" xfId="1057" applyNumberFormat="1" applyFont="1" applyFill="1" applyBorder="1" applyAlignment="1">
      <alignment horizontal="right" vertical="center"/>
    </xf>
    <xf numFmtId="280" fontId="380" fillId="37" borderId="178" xfId="1155" applyNumberFormat="1" applyFont="1" applyFill="1" applyBorder="1" applyAlignment="1">
      <alignment horizontal="center" vertical="center"/>
    </xf>
    <xf numFmtId="169" fontId="49" fillId="37" borderId="226" xfId="1155" applyNumberFormat="1" applyFont="1" applyFill="1" applyBorder="1" applyAlignment="1" applyProtection="1">
      <alignment vertical="center"/>
    </xf>
    <xf numFmtId="0" fontId="79" fillId="2" borderId="0" xfId="1057" applyFont="1" applyFill="1" applyAlignment="1">
      <alignment horizontal="left" vertical="center"/>
    </xf>
    <xf numFmtId="169" fontId="90" fillId="2" borderId="0" xfId="1155" applyNumberFormat="1" applyFont="1" applyFill="1" applyBorder="1" applyAlignment="1" applyProtection="1">
      <alignment vertical="center"/>
    </xf>
    <xf numFmtId="248" fontId="79" fillId="2" borderId="0" xfId="1057" applyNumberFormat="1" applyFont="1" applyFill="1" applyAlignment="1">
      <alignment horizontal="right" vertical="center"/>
    </xf>
    <xf numFmtId="37" fontId="79" fillId="132" borderId="240" xfId="1057" applyNumberFormat="1" applyFont="1" applyFill="1" applyBorder="1" applyAlignment="1">
      <alignment horizontal="right" vertical="center"/>
    </xf>
    <xf numFmtId="280" fontId="79" fillId="132" borderId="226" xfId="1155" applyNumberFormat="1" applyFont="1" applyFill="1" applyBorder="1" applyAlignment="1">
      <alignment horizontal="center" vertical="center"/>
    </xf>
    <xf numFmtId="262" fontId="79" fillId="56" borderId="0" xfId="0" applyNumberFormat="1" applyFont="1" applyFill="1" applyAlignment="1">
      <alignment horizontal="center" vertical="center"/>
    </xf>
    <xf numFmtId="169" fontId="381" fillId="0" borderId="0" xfId="1155" applyNumberFormat="1" applyFont="1">
      <alignment vertical="top"/>
    </xf>
    <xf numFmtId="223" fontId="79" fillId="132" borderId="311" xfId="1390" applyNumberFormat="1" applyFont="1" applyFill="1" applyBorder="1" applyProtection="1">
      <alignment vertical="top"/>
    </xf>
    <xf numFmtId="223" fontId="79" fillId="132" borderId="312" xfId="1390" applyNumberFormat="1" applyFont="1" applyFill="1" applyBorder="1" applyProtection="1">
      <alignment vertical="top"/>
    </xf>
    <xf numFmtId="223" fontId="79" fillId="132" borderId="310" xfId="1390" applyNumberFormat="1" applyFont="1" applyFill="1" applyBorder="1" applyProtection="1">
      <alignment vertical="top"/>
    </xf>
    <xf numFmtId="223" fontId="49" fillId="37" borderId="178" xfId="1390" applyNumberFormat="1" applyFont="1" applyFill="1" applyBorder="1" applyProtection="1">
      <alignment vertical="top"/>
    </xf>
    <xf numFmtId="343" fontId="79" fillId="0" borderId="0" xfId="0" applyNumberFormat="1" applyFont="1" applyAlignment="1">
      <alignment horizontal="left" vertical="center"/>
    </xf>
    <xf numFmtId="220" fontId="277" fillId="0" borderId="240" xfId="26948" applyFont="1" applyFill="1" applyBorder="1" applyAlignment="1" applyProtection="1">
      <alignment horizontal="center" vertical="center" wrapText="1"/>
    </xf>
    <xf numFmtId="220" fontId="277" fillId="0" borderId="240" xfId="26948" quotePrefix="1" applyFont="1" applyFill="1" applyBorder="1" applyAlignment="1" applyProtection="1">
      <alignment horizontal="center" vertical="center" wrapText="1"/>
    </xf>
    <xf numFmtId="9" fontId="274" fillId="0" borderId="293" xfId="4847" applyFont="1" applyFill="1" applyBorder="1" applyAlignment="1">
      <alignment horizontal="center" vertical="center" wrapText="1"/>
    </xf>
    <xf numFmtId="9" fontId="274" fillId="0" borderId="293" xfId="4442" applyFont="1" applyFill="1" applyBorder="1" applyAlignment="1" applyProtection="1">
      <alignment horizontal="center" wrapText="1"/>
      <protection locked="0"/>
    </xf>
    <xf numFmtId="9" fontId="274" fillId="0" borderId="293" xfId="4442" applyFont="1" applyFill="1" applyBorder="1" applyAlignment="1" applyProtection="1">
      <alignment horizontal="center" wrapText="1"/>
    </xf>
    <xf numFmtId="223" fontId="274" fillId="0" borderId="293" xfId="4442" applyNumberFormat="1" applyFont="1" applyFill="1" applyBorder="1" applyAlignment="1" applyProtection="1">
      <alignment horizontal="center" wrapText="1"/>
    </xf>
    <xf numFmtId="9" fontId="274" fillId="0" borderId="292" xfId="4442" applyFont="1" applyFill="1" applyBorder="1" applyAlignment="1" applyProtection="1">
      <alignment horizontal="center" wrapText="1"/>
    </xf>
    <xf numFmtId="223" fontId="274" fillId="0" borderId="292" xfId="4442" applyNumberFormat="1" applyFont="1" applyFill="1" applyBorder="1" applyAlignment="1" applyProtection="1">
      <alignment horizontal="center" wrapText="1"/>
    </xf>
    <xf numFmtId="9" fontId="274" fillId="0" borderId="266" xfId="4442" applyFont="1" applyFill="1" applyBorder="1" applyAlignment="1" applyProtection="1">
      <alignment horizontal="center" wrapText="1"/>
    </xf>
    <xf numFmtId="9" fontId="315" fillId="0" borderId="266" xfId="4442" applyFont="1" applyFill="1" applyBorder="1" applyAlignment="1" applyProtection="1">
      <alignment horizontal="center" wrapText="1"/>
    </xf>
    <xf numFmtId="223" fontId="328" fillId="38" borderId="226" xfId="4442" applyNumberFormat="1" applyFont="1" applyFill="1" applyBorder="1" applyAlignment="1" applyProtection="1">
      <alignment horizontal="center"/>
      <protection locked="0"/>
    </xf>
    <xf numFmtId="347" fontId="365" fillId="0" borderId="300" xfId="4844" applyNumberFormat="1" applyFont="1" applyBorder="1" applyAlignment="1">
      <alignment horizontal="left" vertical="center" wrapText="1" indent="2"/>
    </xf>
    <xf numFmtId="0" fontId="365" fillId="0" borderId="306" xfId="4844" applyFont="1" applyBorder="1" applyAlignment="1">
      <alignment horizontal="left" vertical="center" wrapText="1" indent="2"/>
    </xf>
    <xf numFmtId="0" fontId="365" fillId="0" borderId="295" xfId="4844" applyFont="1" applyBorder="1" applyAlignment="1">
      <alignment horizontal="left" vertical="center" wrapText="1" indent="2"/>
    </xf>
    <xf numFmtId="169" fontId="374" fillId="0" borderId="295" xfId="1155" quotePrefix="1" applyNumberFormat="1" applyFont="1" applyBorder="1" applyAlignment="1">
      <alignment vertical="center" wrapText="1"/>
    </xf>
    <xf numFmtId="43" fontId="374" fillId="0" borderId="295" xfId="4844" quotePrefix="1" applyNumberFormat="1" applyFont="1" applyBorder="1" applyAlignment="1">
      <alignment horizontal="center" vertical="center" wrapText="1"/>
    </xf>
    <xf numFmtId="220" fontId="49" fillId="0" borderId="295" xfId="1155" quotePrefix="1" applyFont="1" applyBorder="1" applyAlignment="1">
      <alignment vertical="center"/>
    </xf>
    <xf numFmtId="265" fontId="49" fillId="0" borderId="295" xfId="4845" applyNumberFormat="1" applyFont="1" applyBorder="1" applyAlignment="1">
      <alignment horizontal="center" vertical="center" wrapText="1"/>
    </xf>
    <xf numFmtId="169" fontId="374" fillId="0" borderId="239" xfId="1155" quotePrefix="1" applyNumberFormat="1" applyFont="1" applyBorder="1" applyAlignment="1">
      <alignment vertical="center" wrapText="1"/>
    </xf>
    <xf numFmtId="43" fontId="374" fillId="0" borderId="239" xfId="4844" quotePrefix="1" applyNumberFormat="1" applyFont="1" applyBorder="1" applyAlignment="1">
      <alignment horizontal="center" vertical="center" wrapText="1"/>
    </xf>
    <xf numFmtId="0" fontId="49" fillId="0" borderId="313" xfId="0" applyFont="1" applyBorder="1" applyAlignment="1">
      <alignment vertical="center"/>
    </xf>
    <xf numFmtId="9" fontId="49" fillId="0" borderId="313" xfId="1390" applyFont="1" applyBorder="1">
      <alignment vertical="top"/>
    </xf>
    <xf numFmtId="9" fontId="370" fillId="0" borderId="313" xfId="1390" applyFont="1" applyBorder="1">
      <alignment vertical="top"/>
    </xf>
    <xf numFmtId="169" fontId="365" fillId="0" borderId="306" xfId="1155" applyNumberFormat="1" applyFont="1" applyBorder="1">
      <alignment vertical="top"/>
    </xf>
    <xf numFmtId="262" fontId="365" fillId="0" borderId="306" xfId="1155" applyNumberFormat="1" applyFont="1" applyBorder="1">
      <alignment vertical="top"/>
    </xf>
    <xf numFmtId="220" fontId="79" fillId="38" borderId="239" xfId="1155" quotePrefix="1" applyFont="1" applyFill="1" applyBorder="1" applyAlignment="1">
      <alignment horizontal="right" vertical="top"/>
    </xf>
    <xf numFmtId="9" fontId="79" fillId="38" borderId="239" xfId="1390" quotePrefix="1" applyFont="1" applyFill="1" applyBorder="1">
      <alignment vertical="top"/>
    </xf>
    <xf numFmtId="0" fontId="79" fillId="38" borderId="239" xfId="4844" quotePrefix="1" applyFont="1" applyFill="1" applyBorder="1" applyAlignment="1">
      <alignment horizontal="center" vertical="center" wrapText="1"/>
    </xf>
    <xf numFmtId="169" fontId="79" fillId="38" borderId="239" xfId="1155" quotePrefix="1" applyNumberFormat="1" applyFont="1" applyFill="1" applyBorder="1" applyAlignment="1">
      <alignment vertical="center"/>
    </xf>
    <xf numFmtId="169" fontId="79" fillId="38" borderId="239" xfId="1155" quotePrefix="1" applyNumberFormat="1" applyFont="1" applyFill="1" applyBorder="1">
      <alignment vertical="top"/>
    </xf>
    <xf numFmtId="169" fontId="79" fillId="38" borderId="239" xfId="1155" applyNumberFormat="1" applyFont="1" applyFill="1" applyBorder="1">
      <alignment vertical="top"/>
    </xf>
    <xf numFmtId="0" fontId="79" fillId="38" borderId="159" xfId="4844" applyFont="1" applyFill="1" applyBorder="1" applyAlignment="1">
      <alignment horizontal="right" vertical="center" wrapText="1"/>
    </xf>
    <xf numFmtId="9" fontId="379" fillId="2" borderId="0" xfId="1057" applyNumberFormat="1" applyFont="1" applyFill="1" applyAlignment="1"/>
    <xf numFmtId="0" fontId="49" fillId="0" borderId="314" xfId="1057" applyFont="1" applyBorder="1" applyAlignment="1">
      <alignment horizontal="left" vertical="center"/>
    </xf>
    <xf numFmtId="0" fontId="49" fillId="0" borderId="309" xfId="1057" applyFont="1" applyBorder="1" applyAlignment="1">
      <alignment vertical="center"/>
    </xf>
    <xf numFmtId="0" fontId="49" fillId="0" borderId="264" xfId="1057" applyFont="1" applyBorder="1" applyAlignment="1">
      <alignment vertical="center"/>
    </xf>
    <xf numFmtId="262" fontId="344" fillId="0" borderId="178" xfId="1057" applyNumberFormat="1" applyFont="1" applyBorder="1" applyAlignment="1">
      <alignment vertical="center"/>
    </xf>
    <xf numFmtId="262" fontId="344" fillId="0" borderId="226" xfId="1057" applyNumberFormat="1" applyFont="1" applyBorder="1" applyAlignment="1">
      <alignment vertical="center"/>
    </xf>
    <xf numFmtId="262" fontId="344" fillId="0" borderId="207" xfId="1057" applyNumberFormat="1" applyFont="1" applyBorder="1" applyAlignment="1">
      <alignment vertical="center"/>
    </xf>
    <xf numFmtId="220" fontId="344" fillId="0" borderId="207" xfId="1155" applyFont="1" applyFill="1" applyBorder="1" applyAlignment="1" applyProtection="1">
      <alignment vertical="center"/>
    </xf>
    <xf numFmtId="262" fontId="344" fillId="0" borderId="207" xfId="1155" applyNumberFormat="1" applyFont="1" applyFill="1" applyBorder="1" applyAlignment="1" applyProtection="1">
      <alignment vertical="center"/>
    </xf>
    <xf numFmtId="220" fontId="344" fillId="0" borderId="207" xfId="1057" applyNumberFormat="1" applyFont="1" applyBorder="1" applyAlignment="1">
      <alignment vertical="center"/>
    </xf>
    <xf numFmtId="169" fontId="344" fillId="0" borderId="207" xfId="1155" applyNumberFormat="1" applyFont="1" applyFill="1" applyBorder="1" applyAlignment="1">
      <alignment vertical="center"/>
    </xf>
    <xf numFmtId="169" fontId="344" fillId="0" borderId="207" xfId="1155" applyNumberFormat="1" applyFont="1" applyFill="1" applyBorder="1" applyAlignment="1" applyProtection="1">
      <alignment vertical="center"/>
    </xf>
    <xf numFmtId="9" fontId="344" fillId="0" borderId="207" xfId="1390" applyFont="1" applyFill="1" applyBorder="1">
      <alignment vertical="top"/>
    </xf>
    <xf numFmtId="169" fontId="344" fillId="0" borderId="309" xfId="1155" applyNumberFormat="1" applyFont="1" applyFill="1" applyBorder="1" applyAlignment="1" applyProtection="1">
      <alignment vertical="center"/>
    </xf>
    <xf numFmtId="223" fontId="344" fillId="0" borderId="237" xfId="1390" applyNumberFormat="1" applyFont="1" applyFill="1" applyBorder="1" applyAlignment="1">
      <alignment vertical="center"/>
    </xf>
    <xf numFmtId="9" fontId="344" fillId="0" borderId="237" xfId="1390" applyFont="1" applyFill="1" applyBorder="1" applyAlignment="1">
      <alignment vertical="center"/>
    </xf>
    <xf numFmtId="0" fontId="365" fillId="0" borderId="313" xfId="0" applyFont="1" applyBorder="1" applyAlignment="1">
      <alignment horizontal="left" vertical="center" indent="2"/>
    </xf>
    <xf numFmtId="0" fontId="49" fillId="0" borderId="307" xfId="0" applyFont="1" applyBorder="1" applyAlignment="1">
      <alignment horizontal="center" vertical="center"/>
    </xf>
    <xf numFmtId="0" fontId="49" fillId="0" borderId="307" xfId="0" applyFont="1" applyBorder="1" applyAlignment="1">
      <alignment horizontal="left" vertical="center"/>
    </xf>
    <xf numFmtId="169" fontId="49" fillId="0" borderId="307" xfId="0" applyNumberFormat="1" applyFont="1" applyBorder="1" applyAlignment="1">
      <alignment vertical="center"/>
    </xf>
    <xf numFmtId="220" fontId="49" fillId="0" borderId="307" xfId="1155" applyFont="1" applyBorder="1">
      <alignment vertical="top"/>
    </xf>
    <xf numFmtId="169" fontId="49" fillId="0" borderId="307" xfId="1155" applyNumberFormat="1" applyFont="1" applyBorder="1">
      <alignment vertical="top"/>
    </xf>
    <xf numFmtId="265" fontId="49" fillId="0" borderId="307" xfId="0" applyNumberFormat="1" applyFont="1" applyBorder="1" applyAlignment="1">
      <alignment vertical="center"/>
    </xf>
    <xf numFmtId="0" fontId="49" fillId="0" borderId="315" xfId="0" applyFont="1" applyBorder="1" applyAlignment="1">
      <alignment horizontal="center" vertical="center"/>
    </xf>
    <xf numFmtId="0" fontId="49" fillId="0" borderId="315" xfId="0" applyFont="1" applyBorder="1" applyAlignment="1">
      <alignment horizontal="left" vertical="center"/>
    </xf>
    <xf numFmtId="169" fontId="49" fillId="0" borderId="315" xfId="0" applyNumberFormat="1" applyFont="1" applyBorder="1" applyAlignment="1">
      <alignment vertical="center"/>
    </xf>
    <xf numFmtId="220" fontId="49" fillId="0" borderId="315" xfId="1155" applyFont="1" applyBorder="1">
      <alignment vertical="top"/>
    </xf>
    <xf numFmtId="262" fontId="49" fillId="0" borderId="315" xfId="1155" applyNumberFormat="1" applyFont="1" applyBorder="1" applyAlignment="1">
      <alignment horizontal="center" vertical="top"/>
    </xf>
    <xf numFmtId="169" fontId="49" fillId="0" borderId="315" xfId="1155" applyNumberFormat="1" applyFont="1" applyBorder="1">
      <alignment vertical="top"/>
    </xf>
    <xf numFmtId="265" fontId="49" fillId="0" borderId="315" xfId="0" applyNumberFormat="1" applyFont="1" applyBorder="1" applyAlignment="1">
      <alignment vertical="center"/>
    </xf>
    <xf numFmtId="262" fontId="79" fillId="38" borderId="0" xfId="0" applyNumberFormat="1" applyFont="1" applyFill="1" applyAlignment="1">
      <alignment horizontal="center" vertical="center"/>
    </xf>
    <xf numFmtId="10" fontId="294" fillId="0" borderId="274" xfId="1390" applyNumberFormat="1" applyFont="1" applyFill="1" applyBorder="1" applyAlignment="1" applyProtection="1">
      <alignment horizontal="center" vertical="center"/>
      <protection locked="0"/>
    </xf>
    <xf numFmtId="9" fontId="288" fillId="0" borderId="0" xfId="1390" applyFont="1" applyFill="1" applyBorder="1" applyAlignment="1" applyProtection="1"/>
    <xf numFmtId="280" fontId="380" fillId="132" borderId="226" xfId="1155" applyNumberFormat="1" applyFont="1" applyFill="1" applyBorder="1" applyAlignment="1">
      <alignment horizontal="center" vertical="center"/>
    </xf>
    <xf numFmtId="345" fontId="330" fillId="0" borderId="0" xfId="1155" applyNumberFormat="1" applyFont="1" applyFill="1" applyBorder="1" applyAlignment="1" applyProtection="1"/>
    <xf numFmtId="2" fontId="286" fillId="0" borderId="0" xfId="1354" applyNumberFormat="1" applyFont="1">
      <alignment vertical="top"/>
    </xf>
    <xf numFmtId="10" fontId="49" fillId="37" borderId="204" xfId="1390" applyNumberFormat="1" applyFont="1" applyFill="1" applyBorder="1" applyProtection="1">
      <alignment vertical="top"/>
    </xf>
    <xf numFmtId="10" fontId="79" fillId="132" borderId="204" xfId="1390" applyNumberFormat="1" applyFont="1" applyFill="1" applyBorder="1" applyProtection="1">
      <alignment vertical="top"/>
    </xf>
    <xf numFmtId="10" fontId="49" fillId="37" borderId="226" xfId="1390" applyNumberFormat="1" applyFont="1" applyFill="1" applyBorder="1" applyProtection="1">
      <alignment vertical="top"/>
    </xf>
    <xf numFmtId="10" fontId="79" fillId="132" borderId="226" xfId="1390" applyNumberFormat="1" applyFont="1" applyFill="1" applyBorder="1" applyProtection="1">
      <alignment vertical="top"/>
    </xf>
    <xf numFmtId="10" fontId="49" fillId="37" borderId="205" xfId="1390" applyNumberFormat="1" applyFont="1" applyFill="1" applyBorder="1" applyProtection="1">
      <alignment vertical="top"/>
    </xf>
    <xf numFmtId="10" fontId="79" fillId="132" borderId="205" xfId="1390" applyNumberFormat="1" applyFont="1" applyFill="1" applyBorder="1" applyProtection="1">
      <alignment vertical="top"/>
    </xf>
    <xf numFmtId="223" fontId="79" fillId="0" borderId="305" xfId="1390" applyNumberFormat="1" applyFont="1" applyFill="1" applyBorder="1" applyAlignment="1">
      <alignment horizontal="right" vertical="center" wrapText="1"/>
    </xf>
    <xf numFmtId="0" fontId="294" fillId="0" borderId="316" xfId="1057" applyFont="1" applyBorder="1" applyAlignment="1">
      <alignment horizontal="center"/>
    </xf>
    <xf numFmtId="169" fontId="296" fillId="0" borderId="317" xfId="1057" applyNumberFormat="1" applyFont="1" applyBorder="1" applyAlignment="1"/>
    <xf numFmtId="0" fontId="294" fillId="0" borderId="318" xfId="1057" applyFont="1" applyBorder="1" applyAlignment="1">
      <alignment horizontal="center"/>
    </xf>
    <xf numFmtId="169" fontId="294" fillId="0" borderId="318" xfId="1057" applyNumberFormat="1" applyFont="1" applyBorder="1" applyAlignment="1"/>
    <xf numFmtId="0" fontId="296" fillId="0" borderId="23" xfId="1057" quotePrefix="1" applyFont="1" applyBorder="1" applyAlignment="1">
      <alignment horizontal="left" indent="1"/>
    </xf>
    <xf numFmtId="0" fontId="79" fillId="38" borderId="239" xfId="4844" applyFont="1" applyFill="1" applyBorder="1" applyAlignment="1">
      <alignment vertical="center"/>
    </xf>
    <xf numFmtId="220" fontId="49" fillId="38" borderId="239" xfId="1155" applyFont="1" applyFill="1" applyBorder="1" applyAlignment="1">
      <alignment vertical="center"/>
    </xf>
    <xf numFmtId="0" fontId="49" fillId="0" borderId="239" xfId="0" applyFont="1" applyBorder="1" applyAlignment="1">
      <alignment vertical="center" wrapText="1"/>
    </xf>
    <xf numFmtId="9" fontId="274" fillId="0" borderId="319" xfId="4442" applyFont="1" applyFill="1" applyBorder="1" applyAlignment="1" applyProtection="1">
      <alignment horizontal="center" wrapText="1"/>
    </xf>
    <xf numFmtId="9" fontId="315" fillId="38" borderId="319" xfId="4442" applyFont="1" applyFill="1" applyBorder="1" applyAlignment="1" applyProtection="1">
      <alignment horizontal="center" wrapText="1"/>
    </xf>
    <xf numFmtId="169" fontId="344" fillId="0" borderId="321" xfId="1155" applyNumberFormat="1" applyFont="1" applyFill="1" applyBorder="1" applyAlignment="1">
      <alignment vertical="center"/>
    </xf>
    <xf numFmtId="169" fontId="49" fillId="0" borderId="0" xfId="1057" applyNumberFormat="1" applyFont="1" applyAlignment="1">
      <alignment vertical="center"/>
    </xf>
    <xf numFmtId="169" fontId="49" fillId="0" borderId="0" xfId="1155" applyNumberFormat="1" applyFont="1" applyFill="1" applyBorder="1" applyAlignment="1">
      <alignment vertical="center"/>
    </xf>
    <xf numFmtId="169" fontId="49" fillId="0" borderId="322" xfId="1155" applyNumberFormat="1" applyFont="1" applyFill="1" applyBorder="1" applyAlignment="1">
      <alignment vertical="center"/>
    </xf>
    <xf numFmtId="0" fontId="294" fillId="0" borderId="320" xfId="1057" applyFont="1" applyBorder="1" applyAlignment="1">
      <alignment horizontal="center"/>
    </xf>
    <xf numFmtId="0" fontId="294" fillId="0" borderId="320" xfId="1057" applyFont="1" applyBorder="1" applyAlignment="1">
      <alignment horizontal="left" indent="1"/>
    </xf>
    <xf numFmtId="169" fontId="294" fillId="0" borderId="320" xfId="1057" applyNumberFormat="1" applyFont="1" applyBorder="1" applyAlignment="1"/>
    <xf numFmtId="0" fontId="294" fillId="0" borderId="250" xfId="1057" applyFont="1" applyBorder="1" applyAlignment="1">
      <alignment vertical="center"/>
    </xf>
    <xf numFmtId="169" fontId="294" fillId="0" borderId="323" xfId="1057" applyNumberFormat="1" applyFont="1" applyBorder="1" applyAlignment="1">
      <alignment vertical="center"/>
    </xf>
    <xf numFmtId="0" fontId="305" fillId="0" borderId="250" xfId="1057" applyFont="1" applyBorder="1" applyAlignment="1">
      <alignment vertical="center"/>
    </xf>
    <xf numFmtId="223" fontId="305" fillId="0" borderId="251" xfId="1390" applyNumberFormat="1" applyFont="1" applyBorder="1" applyAlignment="1">
      <alignment vertical="center"/>
    </xf>
    <xf numFmtId="0" fontId="79" fillId="2" borderId="287" xfId="1057" applyFont="1" applyFill="1" applyBorder="1" applyAlignment="1">
      <alignment horizontal="left" vertical="center"/>
    </xf>
    <xf numFmtId="0" fontId="49" fillId="2" borderId="287" xfId="1057" applyFont="1" applyFill="1" applyBorder="1" applyAlignment="1">
      <alignment horizontal="left" vertical="center"/>
    </xf>
    <xf numFmtId="248" fontId="49" fillId="37" borderId="240" xfId="1057" applyNumberFormat="1" applyFont="1" applyFill="1" applyBorder="1" applyAlignment="1">
      <alignment horizontal="right" vertical="center"/>
    </xf>
    <xf numFmtId="248" fontId="49" fillId="132" borderId="240" xfId="1057" applyNumberFormat="1" applyFont="1" applyFill="1" applyBorder="1" applyAlignment="1">
      <alignment horizontal="right" vertical="center"/>
    </xf>
    <xf numFmtId="169" fontId="79" fillId="132" borderId="226" xfId="1155" applyNumberFormat="1" applyFont="1" applyFill="1" applyBorder="1" applyAlignment="1" applyProtection="1">
      <alignment vertical="center"/>
    </xf>
    <xf numFmtId="169" fontId="79" fillId="132" borderId="178" xfId="1155" applyNumberFormat="1" applyFont="1" applyFill="1" applyBorder="1" applyAlignment="1" applyProtection="1">
      <alignment vertical="center"/>
    </xf>
    <xf numFmtId="169" fontId="79" fillId="132" borderId="205" xfId="1155" applyNumberFormat="1" applyFont="1" applyFill="1" applyBorder="1" applyAlignment="1" applyProtection="1">
      <alignment vertical="center"/>
    </xf>
    <xf numFmtId="223" fontId="49" fillId="132" borderId="226" xfId="1390" applyNumberFormat="1" applyFont="1" applyFill="1" applyBorder="1" applyProtection="1">
      <alignment vertical="top"/>
    </xf>
    <xf numFmtId="1" fontId="284" fillId="0" borderId="245" xfId="4841" applyNumberFormat="1" applyFont="1" applyBorder="1"/>
    <xf numFmtId="0" fontId="49" fillId="38" borderId="324" xfId="4844" applyFont="1" applyFill="1" applyBorder="1" applyAlignment="1">
      <alignment horizontal="left" vertical="center" wrapText="1"/>
    </xf>
    <xf numFmtId="169" fontId="49" fillId="0" borderId="324" xfId="1155" quotePrefix="1" applyNumberFormat="1" applyFont="1" applyBorder="1" applyAlignment="1">
      <alignment vertical="center" wrapText="1"/>
    </xf>
    <xf numFmtId="0" fontId="49" fillId="38" borderId="324" xfId="4845" quotePrefix="1" applyNumberFormat="1" applyFont="1" applyFill="1" applyBorder="1" applyAlignment="1">
      <alignment horizontal="left" vertical="center" wrapText="1"/>
    </xf>
    <xf numFmtId="1" fontId="115" fillId="0" borderId="0" xfId="1155" applyNumberFormat="1" applyFill="1" applyBorder="1" applyAlignment="1">
      <alignment horizontal="center" vertical="center"/>
    </xf>
    <xf numFmtId="0" fontId="28" fillId="0" borderId="307" xfId="0" applyFont="1" applyBorder="1" applyAlignment="1">
      <alignment horizontal="center" vertical="center" wrapText="1"/>
    </xf>
    <xf numFmtId="262" fontId="28" fillId="0" borderId="0" xfId="1155" applyNumberFormat="1" applyFont="1" applyFill="1" applyBorder="1" applyAlignment="1">
      <alignment horizontal="center" vertical="center"/>
    </xf>
    <xf numFmtId="262" fontId="115" fillId="0" borderId="240" xfId="1155" applyNumberFormat="1" applyBorder="1" applyAlignment="1">
      <alignment vertical="center"/>
    </xf>
    <xf numFmtId="265" fontId="28" fillId="0" borderId="240" xfId="0" applyNumberFormat="1" applyFont="1" applyBorder="1" applyAlignment="1">
      <alignment vertical="center"/>
    </xf>
    <xf numFmtId="169" fontId="28" fillId="0" borderId="240" xfId="0" applyNumberFormat="1" applyFont="1" applyBorder="1" applyAlignment="1">
      <alignment vertical="center"/>
    </xf>
    <xf numFmtId="43" fontId="49" fillId="38" borderId="324" xfId="4842" applyFont="1" applyFill="1" applyBorder="1" applyAlignment="1">
      <alignment vertical="center"/>
    </xf>
    <xf numFmtId="169" fontId="49" fillId="56" borderId="296" xfId="1155" applyNumberFormat="1" applyFont="1" applyFill="1" applyBorder="1">
      <alignment vertical="top"/>
    </xf>
    <xf numFmtId="262" fontId="365" fillId="56" borderId="296" xfId="1155" applyNumberFormat="1" applyFont="1" applyFill="1" applyBorder="1">
      <alignment vertical="top"/>
    </xf>
    <xf numFmtId="169" fontId="365" fillId="56" borderId="0" xfId="1155" applyNumberFormat="1" applyFont="1" applyFill="1" applyBorder="1">
      <alignment vertical="top"/>
    </xf>
    <xf numFmtId="262" fontId="365" fillId="56" borderId="0" xfId="1155" applyNumberFormat="1" applyFont="1" applyFill="1" applyBorder="1">
      <alignment vertical="top"/>
    </xf>
    <xf numFmtId="0" fontId="49" fillId="56" borderId="296" xfId="0" applyFont="1" applyFill="1" applyBorder="1" applyAlignment="1">
      <alignment horizontal="left" vertical="center" indent="1"/>
    </xf>
    <xf numFmtId="9" fontId="79" fillId="56" borderId="296" xfId="1390" applyFont="1" applyFill="1" applyBorder="1">
      <alignment vertical="top"/>
    </xf>
    <xf numFmtId="9" fontId="49" fillId="56" borderId="0" xfId="1390" applyFont="1" applyFill="1" applyBorder="1">
      <alignment vertical="top"/>
    </xf>
    <xf numFmtId="169" fontId="49" fillId="0" borderId="324" xfId="0" applyNumberFormat="1" applyFont="1" applyBorder="1" applyAlignment="1">
      <alignment vertical="center"/>
    </xf>
    <xf numFmtId="220" fontId="49" fillId="0" borderId="324" xfId="1155" applyFont="1" applyBorder="1">
      <alignment vertical="top"/>
    </xf>
    <xf numFmtId="262" fontId="49" fillId="0" borderId="324" xfId="1155" applyNumberFormat="1" applyFont="1" applyBorder="1" applyAlignment="1">
      <alignment horizontal="center" vertical="top"/>
    </xf>
    <xf numFmtId="0" fontId="79" fillId="0" borderId="307" xfId="4844" quotePrefix="1" applyFont="1" applyBorder="1" applyAlignment="1">
      <alignment vertical="center" wrapText="1"/>
    </xf>
    <xf numFmtId="0" fontId="49" fillId="38" borderId="307" xfId="4845" quotePrefix="1" applyNumberFormat="1" applyFont="1" applyFill="1" applyBorder="1" applyAlignment="1">
      <alignment horizontal="left" vertical="center" wrapText="1"/>
    </xf>
    <xf numFmtId="0" fontId="365" fillId="0" borderId="307" xfId="4844" applyFont="1" applyBorder="1" applyAlignment="1">
      <alignment horizontal="left" vertical="center" wrapText="1"/>
    </xf>
    <xf numFmtId="265" fontId="49" fillId="0" borderId="307" xfId="4845" applyNumberFormat="1" applyFont="1" applyBorder="1" applyAlignment="1">
      <alignment horizontal="center" vertical="center" wrapText="1"/>
    </xf>
    <xf numFmtId="0" fontId="365" fillId="0" borderId="239" xfId="4844" applyFont="1" applyBorder="1" applyAlignment="1">
      <alignment horizontal="left" vertical="center" wrapText="1"/>
    </xf>
    <xf numFmtId="220" fontId="49" fillId="0" borderId="239" xfId="1155" quotePrefix="1" applyFont="1" applyBorder="1" applyAlignment="1">
      <alignment vertical="center"/>
    </xf>
    <xf numFmtId="223" fontId="49" fillId="0" borderId="239" xfId="1390" quotePrefix="1" applyNumberFormat="1" applyFont="1" applyBorder="1" applyAlignment="1">
      <alignment horizontal="center" vertical="center" wrapText="1"/>
    </xf>
    <xf numFmtId="265" fontId="49" fillId="0" borderId="239" xfId="4845" applyNumberFormat="1" applyFont="1" applyBorder="1" applyAlignment="1">
      <alignment horizontal="center" vertical="center" wrapText="1"/>
    </xf>
    <xf numFmtId="220" fontId="49" fillId="0" borderId="300" xfId="1155" quotePrefix="1" applyFont="1" applyBorder="1" applyAlignment="1">
      <alignment vertical="center"/>
    </xf>
    <xf numFmtId="169" fontId="49" fillId="0" borderId="307" xfId="1155" quotePrefix="1" applyNumberFormat="1" applyFont="1" applyBorder="1" applyAlignment="1">
      <alignment vertical="center" wrapText="1"/>
    </xf>
    <xf numFmtId="43" fontId="49" fillId="0" borderId="307" xfId="4844" quotePrefix="1" applyNumberFormat="1" applyFont="1" applyBorder="1" applyAlignment="1">
      <alignment horizontal="center" vertical="center" wrapText="1"/>
    </xf>
    <xf numFmtId="220" fontId="49" fillId="0" borderId="307" xfId="1155" quotePrefix="1" applyFont="1" applyBorder="1" applyAlignment="1">
      <alignment vertical="center"/>
    </xf>
    <xf numFmtId="223" fontId="49" fillId="0" borderId="307" xfId="1390" quotePrefix="1" applyNumberFormat="1" applyFont="1" applyBorder="1" applyAlignment="1">
      <alignment horizontal="center" vertical="center" wrapText="1"/>
    </xf>
    <xf numFmtId="0" fontId="49" fillId="0" borderId="324" xfId="0" applyFont="1" applyBorder="1" applyAlignment="1">
      <alignment vertical="center"/>
    </xf>
    <xf numFmtId="0" fontId="365" fillId="0" borderId="324" xfId="0" applyFont="1" applyBorder="1" applyAlignment="1">
      <alignment horizontal="left" vertical="center" indent="2"/>
    </xf>
    <xf numFmtId="9" fontId="49" fillId="0" borderId="324" xfId="1390" applyFont="1" applyBorder="1">
      <alignment vertical="top"/>
    </xf>
    <xf numFmtId="9" fontId="370" fillId="0" borderId="324" xfId="1390" applyFont="1" applyBorder="1">
      <alignment vertical="top"/>
    </xf>
    <xf numFmtId="0" fontId="361" fillId="0" borderId="313" xfId="0" applyFont="1" applyBorder="1" applyAlignment="1">
      <alignment vertical="center"/>
    </xf>
    <xf numFmtId="169" fontId="79" fillId="0" borderId="0" xfId="1155" quotePrefix="1" applyNumberFormat="1" applyFont="1" applyFill="1" applyBorder="1" applyAlignment="1">
      <alignment vertical="center"/>
    </xf>
    <xf numFmtId="223" fontId="49" fillId="37" borderId="309" xfId="1390" applyNumberFormat="1" applyFont="1" applyFill="1" applyBorder="1" applyProtection="1">
      <alignment vertical="top"/>
    </xf>
    <xf numFmtId="169" fontId="382" fillId="0" borderId="0" xfId="1155" applyNumberFormat="1" applyFont="1">
      <alignment vertical="top"/>
    </xf>
    <xf numFmtId="0" fontId="79" fillId="2" borderId="287" xfId="32208" applyFont="1" applyFill="1" applyBorder="1" applyAlignment="1">
      <alignment horizontal="left" vertical="center"/>
    </xf>
    <xf numFmtId="0" fontId="52" fillId="38" borderId="240" xfId="0" applyFont="1" applyFill="1" applyBorder="1" applyAlignment="1">
      <alignment horizontal="center" vertical="center" wrapText="1"/>
    </xf>
    <xf numFmtId="0" fontId="52" fillId="38" borderId="0" xfId="0" applyFont="1" applyFill="1" applyAlignment="1">
      <alignment horizontal="center" vertical="center" wrapText="1"/>
    </xf>
    <xf numFmtId="262" fontId="28" fillId="0" borderId="0" xfId="1155" quotePrefix="1" applyNumberFormat="1" applyFont="1" applyBorder="1" applyAlignment="1">
      <alignment vertical="center"/>
    </xf>
    <xf numFmtId="0" fontId="52" fillId="38" borderId="202" xfId="10919" applyFont="1" applyFill="1" applyBorder="1" applyAlignment="1">
      <alignment vertical="center"/>
    </xf>
    <xf numFmtId="265" fontId="28" fillId="0" borderId="165" xfId="0" applyNumberFormat="1" applyFont="1" applyBorder="1" applyAlignment="1">
      <alignment vertical="center"/>
    </xf>
    <xf numFmtId="169" fontId="28" fillId="0" borderId="165" xfId="0" applyNumberFormat="1" applyFont="1" applyBorder="1" applyAlignment="1">
      <alignment vertical="center"/>
    </xf>
    <xf numFmtId="0" fontId="52" fillId="38" borderId="163" xfId="10919" applyFont="1" applyFill="1" applyBorder="1" applyAlignment="1">
      <alignment vertical="center"/>
    </xf>
    <xf numFmtId="265" fontId="28" fillId="0" borderId="326" xfId="0" applyNumberFormat="1" applyFont="1" applyBorder="1" applyAlignment="1">
      <alignment vertical="center"/>
    </xf>
    <xf numFmtId="169" fontId="28" fillId="0" borderId="326" xfId="0" applyNumberFormat="1" applyFont="1" applyBorder="1" applyAlignment="1">
      <alignment vertical="center"/>
    </xf>
    <xf numFmtId="0" fontId="49" fillId="38" borderId="0" xfId="4844" applyFont="1" applyFill="1" applyAlignment="1">
      <alignment horizontal="left" vertical="center"/>
    </xf>
    <xf numFmtId="223" fontId="79" fillId="37" borderId="178" xfId="1390" applyNumberFormat="1" applyFont="1" applyFill="1" applyBorder="1" applyProtection="1">
      <alignment vertical="top"/>
    </xf>
    <xf numFmtId="223" fontId="79" fillId="37" borderId="226" xfId="1390" applyNumberFormat="1" applyFont="1" applyFill="1" applyBorder="1" applyProtection="1">
      <alignment vertical="top"/>
    </xf>
    <xf numFmtId="223" fontId="79" fillId="37" borderId="205" xfId="1390" applyNumberFormat="1" applyFont="1" applyFill="1" applyBorder="1" applyProtection="1">
      <alignment vertical="top"/>
    </xf>
    <xf numFmtId="223" fontId="49" fillId="132" borderId="178" xfId="1390" applyNumberFormat="1" applyFont="1" applyFill="1" applyBorder="1" applyProtection="1">
      <alignment vertical="top"/>
    </xf>
    <xf numFmtId="223" fontId="79" fillId="37" borderId="204" xfId="1390" applyNumberFormat="1" applyFont="1" applyFill="1" applyBorder="1" applyProtection="1">
      <alignment vertical="top"/>
    </xf>
    <xf numFmtId="223" fontId="79" fillId="37" borderId="309" xfId="1390" applyNumberFormat="1" applyFont="1" applyFill="1" applyBorder="1" applyProtection="1">
      <alignment vertical="top"/>
    </xf>
    <xf numFmtId="223" fontId="79" fillId="132" borderId="325" xfId="1390" applyNumberFormat="1" applyFont="1" applyFill="1" applyBorder="1" applyProtection="1">
      <alignment vertical="top"/>
    </xf>
    <xf numFmtId="37" fontId="49" fillId="37" borderId="240" xfId="1057" applyNumberFormat="1" applyFont="1" applyFill="1" applyBorder="1" applyAlignment="1">
      <alignment horizontal="right" vertical="center"/>
    </xf>
    <xf numFmtId="248" fontId="79" fillId="132" borderId="240" xfId="1057" applyNumberFormat="1" applyFont="1" applyFill="1" applyBorder="1" applyAlignment="1">
      <alignment horizontal="right" vertical="center"/>
    </xf>
    <xf numFmtId="169" fontId="340" fillId="0" borderId="0" xfId="1390" applyNumberFormat="1" applyFont="1" applyFill="1">
      <alignment vertical="top"/>
    </xf>
    <xf numFmtId="43" fontId="338" fillId="0" borderId="0" xfId="1057" applyNumberFormat="1" applyFont="1" applyAlignment="1"/>
    <xf numFmtId="169" fontId="49" fillId="38" borderId="0" xfId="1155" applyNumberFormat="1" applyFont="1" applyFill="1" applyBorder="1" applyAlignment="1">
      <alignment vertical="center"/>
    </xf>
    <xf numFmtId="220" fontId="115" fillId="0" borderId="240" xfId="1155" applyBorder="1" applyAlignment="1">
      <alignment vertical="center"/>
    </xf>
    <xf numFmtId="0" fontId="304" fillId="124" borderId="1" xfId="1057" applyFont="1" applyFill="1" applyBorder="1" applyAlignment="1">
      <alignment horizontal="center" vertical="center"/>
    </xf>
    <xf numFmtId="0" fontId="304" fillId="124" borderId="109" xfId="1057" applyFont="1" applyFill="1" applyBorder="1" applyAlignment="1">
      <alignment horizontal="center" vertical="center" wrapText="1"/>
    </xf>
    <xf numFmtId="0" fontId="304" fillId="124" borderId="26" xfId="1057" applyFont="1" applyFill="1" applyBorder="1" applyAlignment="1">
      <alignment horizontal="center" vertical="center" wrapText="1"/>
    </xf>
    <xf numFmtId="220" fontId="304" fillId="124" borderId="109" xfId="1155" applyFont="1" applyFill="1" applyBorder="1" applyAlignment="1" applyProtection="1">
      <alignment horizontal="center" vertical="center"/>
    </xf>
    <xf numFmtId="220" fontId="304" fillId="124" borderId="26" xfId="1155" applyFont="1" applyFill="1" applyBorder="1" applyAlignment="1" applyProtection="1">
      <alignment horizontal="center" vertical="center"/>
    </xf>
    <xf numFmtId="169" fontId="304" fillId="124" borderId="247" xfId="1155" applyNumberFormat="1" applyFont="1" applyFill="1" applyBorder="1" applyAlignment="1" applyProtection="1">
      <alignment horizontal="center" vertical="center" wrapText="1"/>
      <protection locked="0"/>
    </xf>
    <xf numFmtId="169" fontId="304" fillId="124" borderId="249" xfId="1155" applyNumberFormat="1" applyFont="1" applyFill="1" applyBorder="1" applyAlignment="1" applyProtection="1">
      <alignment horizontal="center" vertical="center" wrapText="1"/>
      <protection locked="0"/>
    </xf>
    <xf numFmtId="169" fontId="304" fillId="124" borderId="246" xfId="1155" applyNumberFormat="1" applyFont="1" applyFill="1" applyBorder="1" applyAlignment="1" applyProtection="1">
      <alignment horizontal="center" vertical="center"/>
      <protection locked="0"/>
    </xf>
    <xf numFmtId="169" fontId="304" fillId="124" borderId="248" xfId="1155" applyNumberFormat="1" applyFont="1" applyFill="1" applyBorder="1" applyAlignment="1" applyProtection="1">
      <alignment horizontal="center" vertical="center"/>
      <protection locked="0"/>
    </xf>
    <xf numFmtId="0" fontId="49" fillId="38" borderId="306" xfId="4845" quotePrefix="1" applyNumberFormat="1" applyFont="1" applyFill="1" applyBorder="1" applyAlignment="1">
      <alignment horizontal="left" vertical="center" wrapText="1"/>
    </xf>
    <xf numFmtId="0" fontId="49" fillId="38" borderId="295" xfId="4845" quotePrefix="1" applyNumberFormat="1" applyFont="1" applyFill="1" applyBorder="1" applyAlignment="1">
      <alignment horizontal="left" vertical="center" wrapText="1"/>
    </xf>
    <xf numFmtId="0" fontId="49" fillId="38" borderId="305" xfId="4845" quotePrefix="1" applyNumberFormat="1" applyFont="1" applyFill="1" applyBorder="1" applyAlignment="1">
      <alignment horizontal="left" vertical="center" wrapText="1"/>
    </xf>
    <xf numFmtId="0" fontId="365" fillId="38" borderId="306" xfId="4844" applyFont="1" applyFill="1" applyBorder="1" applyAlignment="1">
      <alignment horizontal="left" vertical="center" wrapText="1"/>
    </xf>
    <xf numFmtId="0" fontId="79" fillId="38" borderId="239" xfId="4845" quotePrefix="1" applyNumberFormat="1" applyFont="1" applyFill="1" applyBorder="1" applyAlignment="1">
      <alignment horizontal="left" vertical="center" wrapText="1"/>
    </xf>
    <xf numFmtId="223" fontId="79" fillId="123" borderId="239" xfId="1390" applyNumberFormat="1" applyFont="1" applyFill="1" applyBorder="1" applyAlignment="1">
      <alignment horizontal="left" vertical="center"/>
    </xf>
    <xf numFmtId="0" fontId="79" fillId="38" borderId="239" xfId="4844" applyFont="1" applyFill="1" applyBorder="1" applyAlignment="1">
      <alignment horizontal="left" vertical="center" wrapText="1"/>
    </xf>
    <xf numFmtId="0" fontId="365" fillId="38" borderId="300" xfId="4844" applyFont="1" applyFill="1" applyBorder="1" applyAlignment="1">
      <alignment horizontal="left" vertical="center" wrapText="1"/>
    </xf>
    <xf numFmtId="169" fontId="365" fillId="0" borderId="306" xfId="1155" applyNumberFormat="1" applyFont="1" applyBorder="1">
      <alignment vertical="top"/>
    </xf>
    <xf numFmtId="0" fontId="79" fillId="0" borderId="239" xfId="0" applyFont="1" applyBorder="1" applyAlignment="1">
      <alignment horizontal="center"/>
    </xf>
    <xf numFmtId="262" fontId="79" fillId="0" borderId="239" xfId="0" applyNumberFormat="1" applyFont="1" applyBorder="1" applyAlignment="1">
      <alignment horizontal="center"/>
    </xf>
    <xf numFmtId="0" fontId="79" fillId="0" borderId="239" xfId="0" applyFont="1" applyBorder="1" applyAlignment="1">
      <alignment horizontal="center" vertical="center"/>
    </xf>
    <xf numFmtId="265" fontId="366" fillId="128" borderId="240" xfId="4845" applyNumberFormat="1" applyFont="1" applyFill="1" applyBorder="1" applyAlignment="1">
      <alignment horizontal="center" vertical="center" wrapText="1"/>
    </xf>
    <xf numFmtId="169" fontId="49" fillId="38" borderId="300" xfId="1155" applyNumberFormat="1" applyFont="1" applyFill="1" applyBorder="1">
      <alignment vertical="top"/>
    </xf>
    <xf numFmtId="169" fontId="49" fillId="38" borderId="306" xfId="1155" applyNumberFormat="1" applyFont="1" applyFill="1" applyBorder="1" applyAlignment="1">
      <alignment vertical="center"/>
    </xf>
    <xf numFmtId="169" fontId="49" fillId="38" borderId="305" xfId="1155" applyNumberFormat="1" applyFont="1" applyFill="1" applyBorder="1">
      <alignment vertical="top"/>
    </xf>
    <xf numFmtId="265" fontId="79" fillId="0" borderId="239" xfId="0" applyNumberFormat="1" applyFont="1" applyBorder="1" applyAlignment="1">
      <alignment horizontal="center" vertical="center"/>
    </xf>
    <xf numFmtId="262" fontId="49" fillId="0" borderId="307" xfId="1155" applyNumberFormat="1" applyFont="1" applyBorder="1" applyAlignment="1">
      <alignment horizontal="center" vertical="top"/>
    </xf>
    <xf numFmtId="169" fontId="79" fillId="123" borderId="239" xfId="1155" applyNumberFormat="1" applyFont="1" applyFill="1" applyBorder="1">
      <alignment vertical="top"/>
    </xf>
    <xf numFmtId="169" fontId="79" fillId="0" borderId="239" xfId="1155" applyNumberFormat="1" applyFont="1" applyBorder="1">
      <alignment vertical="top"/>
    </xf>
    <xf numFmtId="0" fontId="366" fillId="128" borderId="287" xfId="4844" applyFont="1" applyFill="1" applyBorder="1" applyAlignment="1">
      <alignment horizontal="center" vertical="center" wrapText="1"/>
    </xf>
    <xf numFmtId="0" fontId="366" fillId="128" borderId="243" xfId="4844" applyFont="1" applyFill="1" applyBorder="1" applyAlignment="1">
      <alignment horizontal="center" vertical="center" wrapText="1"/>
    </xf>
    <xf numFmtId="262" fontId="49" fillId="0" borderId="308" xfId="1155" applyNumberFormat="1" applyFont="1" applyBorder="1" applyAlignment="1">
      <alignment horizontal="center" vertical="top"/>
    </xf>
    <xf numFmtId="169" fontId="49" fillId="0" borderId="305" xfId="1155" applyNumberFormat="1" applyFont="1" applyBorder="1">
      <alignment vertical="top"/>
    </xf>
    <xf numFmtId="169" fontId="49" fillId="0" borderId="296" xfId="1155" applyNumberFormat="1" applyFont="1" applyBorder="1">
      <alignment vertical="top"/>
    </xf>
    <xf numFmtId="169" fontId="49" fillId="0" borderId="300" xfId="1155" applyNumberFormat="1" applyFont="1" applyBorder="1">
      <alignment vertical="top"/>
    </xf>
    <xf numFmtId="0" fontId="79" fillId="0" borderId="0" xfId="0" applyFont="1" applyAlignment="1">
      <alignment horizontal="left" vertical="center" wrapText="1"/>
    </xf>
    <xf numFmtId="0" fontId="366" fillId="128" borderId="116" xfId="4844" applyFont="1" applyFill="1" applyBorder="1" applyAlignment="1">
      <alignment horizontal="center" vertical="center" wrapText="1"/>
    </xf>
    <xf numFmtId="169" fontId="49" fillId="0" borderId="306" xfId="1155" applyNumberFormat="1" applyFont="1" applyBorder="1">
      <alignment vertical="top"/>
    </xf>
    <xf numFmtId="0" fontId="366" fillId="128" borderId="239" xfId="4844" applyFont="1" applyFill="1" applyBorder="1" applyAlignment="1">
      <alignment horizontal="center" vertical="center" wrapText="1"/>
    </xf>
    <xf numFmtId="0" fontId="79" fillId="123" borderId="239" xfId="4844" applyFont="1" applyFill="1" applyBorder="1" applyAlignment="1">
      <alignment horizontal="center" vertical="center" wrapText="1"/>
    </xf>
    <xf numFmtId="0" fontId="49" fillId="38" borderId="300" xfId="4845" quotePrefix="1" applyNumberFormat="1" applyFont="1" applyFill="1" applyBorder="1" applyAlignment="1">
      <alignment horizontal="left" vertical="center" wrapText="1"/>
    </xf>
    <xf numFmtId="0" fontId="49" fillId="38" borderId="239" xfId="4845" quotePrefix="1" applyNumberFormat="1" applyFont="1" applyFill="1" applyBorder="1" applyAlignment="1">
      <alignment horizontal="left" vertical="center" wrapText="1"/>
    </xf>
    <xf numFmtId="0" fontId="365" fillId="38" borderId="239" xfId="4844" applyFont="1" applyFill="1" applyBorder="1" applyAlignment="1">
      <alignment horizontal="left" vertical="center" wrapText="1"/>
    </xf>
    <xf numFmtId="0" fontId="365" fillId="38" borderId="305" xfId="4844" applyFont="1" applyFill="1" applyBorder="1" applyAlignment="1">
      <alignment horizontal="left" vertical="center" wrapText="1"/>
    </xf>
    <xf numFmtId="0" fontId="49" fillId="0" borderId="239" xfId="0" applyFont="1" applyBorder="1" applyAlignment="1">
      <alignment horizontal="left" vertical="center" wrapText="1"/>
    </xf>
    <xf numFmtId="0" fontId="49" fillId="0" borderId="322" xfId="0" applyFont="1" applyBorder="1" applyAlignment="1">
      <alignment horizontal="left" vertical="center" wrapText="1"/>
    </xf>
    <xf numFmtId="0" fontId="79" fillId="0" borderId="239" xfId="0" applyFont="1" applyBorder="1" applyAlignment="1">
      <alignment horizontal="left" vertical="center" wrapText="1"/>
    </xf>
    <xf numFmtId="0" fontId="49" fillId="0" borderId="296" xfId="0" applyFont="1" applyBorder="1" applyAlignment="1">
      <alignment horizontal="left" vertical="center" wrapText="1"/>
    </xf>
    <xf numFmtId="0" fontId="49" fillId="0" borderId="306" xfId="0" applyFont="1" applyBorder="1" applyAlignment="1">
      <alignment horizontal="left" vertical="top"/>
    </xf>
    <xf numFmtId="0" fontId="49" fillId="0" borderId="306" xfId="0" applyFont="1" applyBorder="1" applyAlignment="1">
      <alignment horizontal="left" vertical="center" wrapText="1"/>
    </xf>
    <xf numFmtId="0" fontId="49" fillId="0" borderId="307" xfId="0" applyFont="1" applyBorder="1" applyAlignment="1">
      <alignment horizontal="left" vertical="center" wrapText="1"/>
    </xf>
    <xf numFmtId="0" fontId="49" fillId="0" borderId="0" xfId="0" applyFont="1" applyAlignment="1">
      <alignment horizontal="left" vertical="center" wrapText="1"/>
    </xf>
    <xf numFmtId="0" fontId="49" fillId="0" borderId="306" xfId="0" applyFont="1" applyBorder="1" applyAlignment="1">
      <alignment horizontal="left" vertical="center" wrapText="1" indent="1"/>
    </xf>
    <xf numFmtId="0" fontId="79" fillId="0" borderId="300" xfId="0" applyFont="1" applyBorder="1" applyAlignment="1">
      <alignment horizontal="left" vertical="center" wrapText="1" indent="1"/>
    </xf>
    <xf numFmtId="0" fontId="79" fillId="0" borderId="306" xfId="0" applyFont="1" applyBorder="1" applyAlignment="1">
      <alignment horizontal="left" vertical="center" wrapText="1" indent="1"/>
    </xf>
    <xf numFmtId="0" fontId="49" fillId="0" borderId="305" xfId="0" applyFont="1" applyBorder="1" applyAlignment="1">
      <alignment horizontal="left" vertical="center" wrapText="1"/>
    </xf>
    <xf numFmtId="0" fontId="275" fillId="0" borderId="0" xfId="32262" applyFont="1" applyAlignment="1">
      <alignment horizontal="center"/>
    </xf>
    <xf numFmtId="0" fontId="291" fillId="122" borderId="0" xfId="0" applyFont="1" applyFill="1" applyAlignment="1">
      <alignment horizontal="left" vertical="center"/>
    </xf>
    <xf numFmtId="0" fontId="278" fillId="58" borderId="135" xfId="1057" applyFont="1" applyFill="1" applyBorder="1" applyAlignment="1" applyProtection="1">
      <alignment horizontal="center" vertical="center"/>
      <protection locked="0"/>
    </xf>
    <xf numFmtId="9" fontId="278" fillId="58" borderId="135" xfId="1390" applyFont="1" applyFill="1" applyBorder="1" applyAlignment="1" applyProtection="1">
      <alignment horizontal="center" vertical="center" wrapText="1"/>
    </xf>
    <xf numFmtId="0" fontId="308" fillId="38" borderId="0" xfId="0" applyFont="1" applyFill="1" applyAlignment="1">
      <alignment horizontal="left" vertical="center"/>
    </xf>
    <xf numFmtId="0" fontId="308" fillId="0" borderId="0" xfId="1370" applyFont="1" applyAlignment="1" applyProtection="1">
      <alignment horizontal="left"/>
      <protection locked="0"/>
    </xf>
    <xf numFmtId="220" fontId="304" fillId="124" borderId="210" xfId="1155" applyFont="1" applyFill="1" applyBorder="1" applyAlignment="1" applyProtection="1">
      <alignment horizontal="center" vertical="center" wrapText="1"/>
    </xf>
    <xf numFmtId="220" fontId="304" fillId="124" borderId="211" xfId="1155" applyFont="1" applyFill="1" applyBorder="1" applyAlignment="1" applyProtection="1">
      <alignment horizontal="center" vertical="center" wrapText="1"/>
    </xf>
    <xf numFmtId="169" fontId="304" fillId="124" borderId="186" xfId="1155" applyNumberFormat="1" applyFont="1" applyFill="1" applyBorder="1" applyAlignment="1" applyProtection="1">
      <alignment horizontal="center" vertical="center" wrapText="1"/>
    </xf>
    <xf numFmtId="220" fontId="304" fillId="124" borderId="165" xfId="1155" applyFont="1" applyFill="1" applyBorder="1" applyAlignment="1" applyProtection="1">
      <alignment horizontal="center" vertical="center" wrapText="1"/>
    </xf>
    <xf numFmtId="220" fontId="304" fillId="124" borderId="46" xfId="1155" applyFont="1" applyFill="1" applyBorder="1" applyAlignment="1" applyProtection="1">
      <alignment horizontal="center" vertical="center" wrapText="1"/>
    </xf>
    <xf numFmtId="0" fontId="304" fillId="124" borderId="183" xfId="1370" applyFont="1" applyFill="1" applyBorder="1" applyAlignment="1" applyProtection="1">
      <alignment horizontal="center"/>
      <protection locked="0"/>
    </xf>
    <xf numFmtId="0" fontId="304" fillId="124" borderId="184" xfId="1370" applyFont="1" applyFill="1" applyBorder="1" applyAlignment="1" applyProtection="1">
      <alignment horizontal="center"/>
      <protection locked="0"/>
    </xf>
    <xf numFmtId="0" fontId="304" fillId="124" borderId="185" xfId="1370" applyFont="1" applyFill="1" applyBorder="1" applyAlignment="1" applyProtection="1">
      <alignment horizontal="center"/>
      <protection locked="0"/>
    </xf>
    <xf numFmtId="0" fontId="304" fillId="124" borderId="64" xfId="1057" applyFont="1" applyFill="1" applyBorder="1" applyAlignment="1" applyProtection="1">
      <alignment horizontal="center" vertical="center"/>
      <protection locked="0"/>
    </xf>
    <xf numFmtId="0" fontId="304" fillId="124" borderId="67" xfId="1057" applyFont="1" applyFill="1" applyBorder="1" applyAlignment="1" applyProtection="1">
      <alignment horizontal="center" vertical="center"/>
      <protection locked="0"/>
    </xf>
    <xf numFmtId="0" fontId="304" fillId="124" borderId="158" xfId="1057" applyFont="1" applyFill="1" applyBorder="1" applyAlignment="1" applyProtection="1">
      <alignment horizontal="center" vertical="center"/>
      <protection locked="0"/>
    </xf>
    <xf numFmtId="0" fontId="304" fillId="124" borderId="65" xfId="1057" applyFont="1" applyFill="1" applyBorder="1" applyAlignment="1">
      <alignment horizontal="center" vertical="center"/>
    </xf>
    <xf numFmtId="0" fontId="304" fillId="124" borderId="135" xfId="1057" applyFont="1" applyFill="1" applyBorder="1" applyAlignment="1">
      <alignment horizontal="center" vertical="center"/>
    </xf>
    <xf numFmtId="0" fontId="304" fillId="124" borderId="89" xfId="1057" applyFont="1" applyFill="1" applyBorder="1" applyAlignment="1">
      <alignment horizontal="center" vertical="center"/>
    </xf>
    <xf numFmtId="0" fontId="304" fillId="124" borderId="65" xfId="1370" applyFont="1" applyFill="1" applyBorder="1" applyAlignment="1" applyProtection="1">
      <alignment horizontal="center" vertical="center"/>
      <protection locked="0"/>
    </xf>
    <xf numFmtId="169" fontId="304" fillId="124" borderId="65" xfId="1155" applyNumberFormat="1" applyFont="1" applyFill="1" applyBorder="1" applyAlignment="1" applyProtection="1">
      <alignment horizontal="center" vertical="center" wrapText="1"/>
    </xf>
    <xf numFmtId="169" fontId="304" fillId="124" borderId="135" xfId="1155" applyNumberFormat="1" applyFont="1" applyFill="1" applyBorder="1" applyAlignment="1" applyProtection="1">
      <alignment horizontal="center" vertical="center" wrapText="1"/>
    </xf>
    <xf numFmtId="169" fontId="304" fillId="124" borderId="89" xfId="1155" applyNumberFormat="1" applyFont="1" applyFill="1" applyBorder="1" applyAlignment="1" applyProtection="1">
      <alignment horizontal="center" vertical="center" wrapText="1"/>
    </xf>
    <xf numFmtId="169" fontId="304" fillId="124" borderId="135" xfId="1155" applyNumberFormat="1" applyFont="1" applyFill="1" applyBorder="1" applyAlignment="1" applyProtection="1">
      <alignment horizontal="center" vertical="center" wrapText="1"/>
      <protection locked="0"/>
    </xf>
    <xf numFmtId="169" fontId="304" fillId="124" borderId="89" xfId="1155" applyNumberFormat="1" applyFont="1" applyFill="1" applyBorder="1" applyAlignment="1" applyProtection="1">
      <alignment horizontal="center" vertical="center" wrapText="1"/>
      <protection locked="0"/>
    </xf>
    <xf numFmtId="0" fontId="304" fillId="124" borderId="135" xfId="1370" applyFont="1" applyFill="1" applyBorder="1" applyAlignment="1" applyProtection="1">
      <alignment horizontal="center" vertical="center" wrapText="1"/>
      <protection locked="0"/>
    </xf>
    <xf numFmtId="0" fontId="304" fillId="124" borderId="89" xfId="1370" applyFont="1" applyFill="1" applyBorder="1" applyAlignment="1" applyProtection="1">
      <alignment horizontal="center" vertical="center" wrapText="1"/>
      <protection locked="0"/>
    </xf>
    <xf numFmtId="169" fontId="294" fillId="126" borderId="213" xfId="1370" applyNumberFormat="1" applyFont="1" applyFill="1" applyBorder="1" applyAlignment="1" applyProtection="1">
      <alignment horizontal="center" vertical="center"/>
      <protection locked="0"/>
    </xf>
    <xf numFmtId="169" fontId="294" fillId="126" borderId="185" xfId="1370" applyNumberFormat="1" applyFont="1" applyFill="1" applyBorder="1" applyAlignment="1" applyProtection="1">
      <alignment horizontal="center" vertical="center"/>
      <protection locked="0"/>
    </xf>
    <xf numFmtId="0" fontId="304" fillId="114" borderId="116" xfId="32208" applyFont="1" applyFill="1" applyBorder="1" applyAlignment="1" applyProtection="1">
      <alignment horizontal="center" vertical="center"/>
      <protection locked="0"/>
    </xf>
    <xf numFmtId="0" fontId="304" fillId="114" borderId="116" xfId="32208" applyFont="1" applyFill="1" applyBorder="1" applyAlignment="1">
      <alignment horizontal="center" vertical="center"/>
    </xf>
    <xf numFmtId="169" fontId="304" fillId="114" borderId="116" xfId="1155" applyNumberFormat="1" applyFont="1" applyFill="1" applyBorder="1" applyAlignment="1" applyProtection="1">
      <alignment horizontal="center" vertical="center" wrapText="1"/>
    </xf>
    <xf numFmtId="169" fontId="304" fillId="125" borderId="61" xfId="1370" applyNumberFormat="1" applyFont="1" applyFill="1" applyBorder="1" applyAlignment="1" applyProtection="1">
      <alignment horizontal="center" vertical="center"/>
      <protection locked="0"/>
    </xf>
    <xf numFmtId="169" fontId="304" fillId="125" borderId="62" xfId="1370" applyNumberFormat="1" applyFont="1" applyFill="1" applyBorder="1" applyAlignment="1" applyProtection="1">
      <alignment horizontal="center" vertical="center"/>
      <protection locked="0"/>
    </xf>
    <xf numFmtId="0" fontId="304" fillId="124" borderId="95" xfId="1057" applyFont="1" applyFill="1" applyBorder="1" applyAlignment="1" applyProtection="1">
      <alignment horizontal="center" vertical="center"/>
      <protection locked="0"/>
    </xf>
    <xf numFmtId="0" fontId="304" fillId="124" borderId="115" xfId="1057" applyFont="1" applyFill="1" applyBorder="1" applyAlignment="1" applyProtection="1">
      <alignment horizontal="center" vertical="center"/>
      <protection locked="0"/>
    </xf>
    <xf numFmtId="0" fontId="304" fillId="124" borderId="114" xfId="1057" applyFont="1" applyFill="1" applyBorder="1" applyAlignment="1" applyProtection="1">
      <alignment horizontal="center" vertical="center"/>
      <protection locked="0"/>
    </xf>
    <xf numFmtId="0" fontId="304" fillId="124" borderId="26" xfId="1057" applyFont="1" applyFill="1" applyBorder="1" applyAlignment="1" applyProtection="1">
      <alignment horizontal="center" vertical="center"/>
      <protection locked="0"/>
    </xf>
    <xf numFmtId="169" fontId="304" fillId="124" borderId="112" xfId="1155" applyNumberFormat="1" applyFont="1" applyFill="1" applyBorder="1" applyAlignment="1" applyProtection="1">
      <alignment horizontal="center" vertical="center" wrapText="1"/>
      <protection locked="0"/>
    </xf>
    <xf numFmtId="169" fontId="304" fillId="124" borderId="113" xfId="1155" applyNumberFormat="1" applyFont="1" applyFill="1" applyBorder="1" applyAlignment="1" applyProtection="1">
      <alignment horizontal="center" vertical="center" wrapText="1"/>
      <protection locked="0"/>
    </xf>
    <xf numFmtId="169" fontId="277" fillId="23" borderId="29" xfId="1370" applyNumberFormat="1" applyFont="1" applyFill="1" applyBorder="1" applyAlignment="1" applyProtection="1">
      <alignment horizontal="center"/>
      <protection locked="0"/>
    </xf>
    <xf numFmtId="0" fontId="294" fillId="30" borderId="1" xfId="1057" applyFont="1" applyFill="1" applyBorder="1" applyAlignment="1" applyProtection="1">
      <alignment horizontal="center"/>
      <protection locked="0"/>
    </xf>
    <xf numFmtId="10" fontId="294" fillId="5" borderId="1" xfId="1370" applyNumberFormat="1" applyFont="1" applyFill="1" applyBorder="1" applyAlignment="1" applyProtection="1">
      <alignment horizontal="right"/>
      <protection locked="0"/>
    </xf>
    <xf numFmtId="10" fontId="294" fillId="6" borderId="1" xfId="1370" applyNumberFormat="1" applyFont="1" applyFill="1" applyBorder="1" applyAlignment="1" applyProtection="1">
      <alignment horizontal="right"/>
      <protection locked="0"/>
    </xf>
    <xf numFmtId="10" fontId="294" fillId="16" borderId="1" xfId="1370" applyNumberFormat="1" applyFont="1" applyFill="1" applyBorder="1" applyAlignment="1" applyProtection="1">
      <alignment horizontal="right"/>
      <protection locked="0"/>
    </xf>
    <xf numFmtId="10" fontId="277" fillId="23" borderId="29" xfId="1390" applyNumberFormat="1" applyFont="1" applyFill="1" applyBorder="1" applyAlignment="1" applyProtection="1">
      <alignment horizontal="right"/>
      <protection locked="0"/>
    </xf>
    <xf numFmtId="10" fontId="294" fillId="11" borderId="1" xfId="1370" applyNumberFormat="1" applyFont="1" applyFill="1" applyBorder="1" applyAlignment="1" applyProtection="1">
      <alignment horizontal="right"/>
      <protection locked="0"/>
    </xf>
    <xf numFmtId="10" fontId="294" fillId="11" borderId="7" xfId="1370" applyNumberFormat="1" applyFont="1" applyFill="1" applyBorder="1" applyAlignment="1" applyProtection="1">
      <alignment horizontal="right"/>
      <protection locked="0"/>
    </xf>
    <xf numFmtId="169" fontId="294" fillId="16" borderId="1" xfId="1155" applyNumberFormat="1" applyFont="1" applyFill="1" applyBorder="1" applyAlignment="1" applyProtection="1">
      <alignment horizontal="center"/>
      <protection locked="0"/>
    </xf>
    <xf numFmtId="41" fontId="294" fillId="11" borderId="7" xfId="1155" applyNumberFormat="1" applyFont="1" applyFill="1" applyBorder="1" applyAlignment="1" applyProtection="1">
      <alignment horizontal="center"/>
      <protection locked="0"/>
    </xf>
    <xf numFmtId="41" fontId="294" fillId="11" borderId="10" xfId="1155" applyNumberFormat="1" applyFont="1" applyFill="1" applyBorder="1" applyAlignment="1" applyProtection="1">
      <alignment horizontal="center"/>
      <protection locked="0"/>
    </xf>
    <xf numFmtId="0" fontId="304" fillId="125" borderId="61" xfId="1057" applyFont="1" applyFill="1" applyBorder="1" applyAlignment="1" applyProtection="1">
      <alignment horizontal="center" vertical="center"/>
      <protection locked="0"/>
    </xf>
    <xf numFmtId="0" fontId="304" fillId="125" borderId="62" xfId="1057" applyFont="1" applyFill="1" applyBorder="1" applyAlignment="1" applyProtection="1">
      <alignment horizontal="center" vertical="center"/>
      <protection locked="0"/>
    </xf>
    <xf numFmtId="0" fontId="294" fillId="30" borderId="26" xfId="1057" applyFont="1" applyFill="1" applyBorder="1" applyAlignment="1" applyProtection="1">
      <alignment horizontal="center"/>
      <protection locked="0"/>
    </xf>
    <xf numFmtId="169" fontId="294" fillId="5" borderId="1" xfId="1370" applyNumberFormat="1" applyFont="1" applyFill="1" applyBorder="1" applyAlignment="1" applyProtection="1">
      <alignment horizontal="center"/>
      <protection locked="0"/>
    </xf>
    <xf numFmtId="169" fontId="294" fillId="6" borderId="1" xfId="1155" applyNumberFormat="1" applyFont="1" applyFill="1" applyBorder="1" applyAlignment="1" applyProtection="1">
      <alignment horizontal="center"/>
      <protection locked="0"/>
    </xf>
    <xf numFmtId="220" fontId="304" fillId="124" borderId="135" xfId="1155" applyFont="1" applyFill="1" applyBorder="1" applyAlignment="1" applyProtection="1">
      <alignment horizontal="center" vertical="center" wrapText="1"/>
    </xf>
    <xf numFmtId="220" fontId="304" fillId="124" borderId="57" xfId="1155" applyFont="1" applyFill="1" applyBorder="1" applyAlignment="1" applyProtection="1">
      <alignment horizontal="center" vertical="center" wrapText="1"/>
    </xf>
    <xf numFmtId="0" fontId="304" fillId="124" borderId="69" xfId="1057" applyFont="1" applyFill="1" applyBorder="1" applyAlignment="1" applyProtection="1">
      <alignment horizontal="center" vertical="center"/>
      <protection locked="0"/>
    </xf>
    <xf numFmtId="0" fontId="304" fillId="124" borderId="57" xfId="1057" applyFont="1" applyFill="1" applyBorder="1" applyAlignment="1">
      <alignment horizontal="center" vertical="center"/>
    </xf>
    <xf numFmtId="169" fontId="304" fillId="124" borderId="57" xfId="1155" applyNumberFormat="1" applyFont="1" applyFill="1" applyBorder="1" applyAlignment="1" applyProtection="1">
      <alignment horizontal="center" vertical="center" wrapText="1"/>
    </xf>
    <xf numFmtId="0" fontId="304" fillId="124" borderId="65" xfId="1370" applyFont="1" applyFill="1" applyBorder="1" applyAlignment="1" applyProtection="1">
      <alignment horizontal="center"/>
      <protection locked="0"/>
    </xf>
    <xf numFmtId="169" fontId="297" fillId="0" borderId="0" xfId="1155" applyNumberFormat="1" applyFont="1" applyFill="1" applyBorder="1" applyAlignment="1" applyProtection="1">
      <alignment horizontal="right" vertical="center"/>
    </xf>
    <xf numFmtId="220" fontId="304" fillId="124" borderId="1" xfId="1155" applyFont="1" applyFill="1" applyBorder="1" applyAlignment="1" applyProtection="1">
      <alignment horizontal="center" vertical="center" wrapText="1"/>
    </xf>
    <xf numFmtId="0" fontId="304" fillId="124" borderId="1" xfId="1057" applyFont="1" applyFill="1" applyBorder="1" applyAlignment="1" applyProtection="1">
      <alignment horizontal="center" vertical="center"/>
      <protection locked="0"/>
    </xf>
    <xf numFmtId="0" fontId="52" fillId="38" borderId="240" xfId="0" applyFont="1" applyFill="1" applyBorder="1" applyAlignment="1">
      <alignment horizontal="center" vertical="center" wrapText="1"/>
    </xf>
    <xf numFmtId="0" fontId="352" fillId="128" borderId="0" xfId="10919" applyFont="1" applyFill="1" applyAlignment="1">
      <alignment horizontal="center" vertical="center"/>
    </xf>
    <xf numFmtId="0" fontId="52" fillId="117" borderId="287" xfId="10919" applyFont="1" applyFill="1" applyBorder="1" applyAlignment="1">
      <alignment horizontal="center" vertical="center"/>
    </xf>
    <xf numFmtId="0" fontId="52" fillId="117" borderId="243" xfId="10919" applyFont="1" applyFill="1" applyBorder="1" applyAlignment="1">
      <alignment horizontal="center" vertical="center"/>
    </xf>
    <xf numFmtId="0" fontId="52" fillId="72" borderId="287" xfId="10919" applyFont="1" applyFill="1" applyBorder="1" applyAlignment="1">
      <alignment horizontal="left" vertical="center"/>
    </xf>
    <xf numFmtId="0" fontId="52" fillId="72" borderId="239" xfId="10919" applyFont="1" applyFill="1" applyBorder="1" applyAlignment="1">
      <alignment horizontal="left" vertical="center"/>
    </xf>
    <xf numFmtId="0" fontId="52" fillId="72" borderId="243" xfId="10919" applyFont="1" applyFill="1" applyBorder="1" applyAlignment="1">
      <alignment horizontal="left" vertical="center"/>
    </xf>
    <xf numFmtId="0" fontId="28" fillId="0" borderId="135" xfId="10919" applyFont="1" applyBorder="1" applyAlignment="1">
      <alignment horizontal="left" vertical="center"/>
    </xf>
    <xf numFmtId="0" fontId="28" fillId="0" borderId="287" xfId="10919" applyFont="1" applyBorder="1" applyAlignment="1">
      <alignment horizontal="left" vertical="center"/>
    </xf>
    <xf numFmtId="0" fontId="28" fillId="0" borderId="239" xfId="10919" applyFont="1" applyBorder="1" applyAlignment="1">
      <alignment horizontal="left" vertical="center"/>
    </xf>
    <xf numFmtId="0" fontId="28" fillId="0" borderId="243" xfId="10919" applyFont="1" applyBorder="1" applyAlignment="1">
      <alignment horizontal="left" vertical="center"/>
    </xf>
    <xf numFmtId="0" fontId="350" fillId="128" borderId="135" xfId="10919" applyFont="1" applyFill="1" applyBorder="1" applyAlignment="1">
      <alignment horizontal="center" vertical="center"/>
    </xf>
    <xf numFmtId="0" fontId="28" fillId="0" borderId="135" xfId="10919" applyFont="1" applyBorder="1" applyAlignment="1">
      <alignment horizontal="left" vertical="center" wrapText="1"/>
    </xf>
    <xf numFmtId="0" fontId="28" fillId="0" borderId="0" xfId="10919" applyFont="1" applyAlignment="1">
      <alignment horizontal="center" vertical="center"/>
    </xf>
    <xf numFmtId="0" fontId="52" fillId="93" borderId="177" xfId="0" applyFont="1" applyFill="1" applyBorder="1" applyAlignment="1">
      <alignment horizontal="center" vertical="center" wrapText="1"/>
    </xf>
    <xf numFmtId="0" fontId="28" fillId="0" borderId="177" xfId="0" applyFont="1" applyBorder="1" applyAlignment="1">
      <alignment horizontal="center" vertical="center" wrapText="1"/>
    </xf>
    <xf numFmtId="0" fontId="112" fillId="0" borderId="135" xfId="10919" applyFont="1" applyBorder="1" applyAlignment="1">
      <alignment horizontal="left" vertical="center"/>
    </xf>
    <xf numFmtId="0" fontId="28" fillId="0" borderId="136" xfId="10919" applyFont="1" applyBorder="1" applyAlignment="1">
      <alignment horizontal="left" vertical="center"/>
    </xf>
    <xf numFmtId="0" fontId="28" fillId="0" borderId="167" xfId="10919" applyFont="1" applyBorder="1" applyAlignment="1">
      <alignment horizontal="left" vertical="center"/>
    </xf>
    <xf numFmtId="0" fontId="28" fillId="0" borderId="138" xfId="10919" applyFont="1" applyBorder="1" applyAlignment="1">
      <alignment horizontal="left" vertical="center"/>
    </xf>
    <xf numFmtId="0" fontId="52" fillId="0" borderId="240" xfId="10919" applyFont="1" applyBorder="1" applyAlignment="1">
      <alignment horizontal="center" vertical="center"/>
    </xf>
    <xf numFmtId="0" fontId="52" fillId="0" borderId="145" xfId="10919" applyFont="1" applyBorder="1" applyAlignment="1">
      <alignment horizontal="center" vertical="center"/>
    </xf>
    <xf numFmtId="0" fontId="52" fillId="0" borderId="287" xfId="10919" applyFont="1" applyBorder="1" applyAlignment="1">
      <alignment horizontal="center" vertical="center"/>
    </xf>
    <xf numFmtId="0" fontId="52" fillId="0" borderId="239" xfId="10919" applyFont="1" applyBorder="1" applyAlignment="1">
      <alignment horizontal="center" vertical="center"/>
    </xf>
    <xf numFmtId="0" fontId="52" fillId="0" borderId="303" xfId="10919" applyFont="1" applyBorder="1" applyAlignment="1">
      <alignment horizontal="center" vertical="center"/>
    </xf>
    <xf numFmtId="0" fontId="52" fillId="0" borderId="104" xfId="10919" applyFont="1" applyBorder="1" applyAlignment="1">
      <alignment horizontal="center" vertical="center"/>
    </xf>
    <xf numFmtId="0" fontId="52" fillId="0" borderId="304" xfId="10919" applyFont="1" applyBorder="1" applyAlignment="1">
      <alignment horizontal="center" vertical="center"/>
    </xf>
    <xf numFmtId="0" fontId="52" fillId="0" borderId="144" xfId="10919" applyFont="1" applyBorder="1" applyAlignment="1">
      <alignment horizontal="center" vertical="center"/>
    </xf>
    <xf numFmtId="0" fontId="52" fillId="0" borderId="164" xfId="10919" applyFont="1" applyBorder="1" applyAlignment="1">
      <alignment horizontal="center" vertical="center"/>
    </xf>
    <xf numFmtId="0" fontId="52" fillId="0" borderId="135" xfId="10919" applyFont="1" applyBorder="1" applyAlignment="1">
      <alignment horizontal="center" vertical="center"/>
    </xf>
    <xf numFmtId="0" fontId="52" fillId="0" borderId="136" xfId="10919" applyFont="1" applyBorder="1" applyAlignment="1">
      <alignment horizontal="center" vertical="center"/>
    </xf>
    <xf numFmtId="0" fontId="52" fillId="0" borderId="167" xfId="10919" applyFont="1" applyBorder="1" applyAlignment="1">
      <alignment horizontal="center" vertical="center"/>
    </xf>
    <xf numFmtId="0" fontId="52" fillId="0" borderId="138" xfId="10919" applyFont="1" applyBorder="1" applyAlignment="1">
      <alignment horizontal="center" vertical="center"/>
    </xf>
    <xf numFmtId="0" fontId="52" fillId="0" borderId="141" xfId="10919" applyFont="1" applyBorder="1" applyAlignment="1">
      <alignment horizontal="center" vertical="center"/>
    </xf>
    <xf numFmtId="0" fontId="52" fillId="0" borderId="142" xfId="10919" applyFont="1" applyBorder="1" applyAlignment="1">
      <alignment horizontal="center" vertical="center"/>
    </xf>
    <xf numFmtId="0" fontId="52" fillId="0" borderId="143" xfId="10919" applyFont="1" applyBorder="1" applyAlignment="1">
      <alignment horizontal="center" vertical="center"/>
    </xf>
    <xf numFmtId="0" fontId="52" fillId="0" borderId="137" xfId="10919" applyFont="1" applyBorder="1" applyAlignment="1">
      <alignment horizontal="center" vertical="center"/>
    </xf>
    <xf numFmtId="0" fontId="167" fillId="0" borderId="0" xfId="10919" applyFont="1" applyAlignment="1">
      <alignment horizontal="center" vertical="center" wrapText="1"/>
    </xf>
    <xf numFmtId="0" fontId="28" fillId="0" borderId="0" xfId="10919" applyFont="1" applyAlignment="1">
      <alignment horizontal="center" vertical="center" wrapText="1"/>
    </xf>
    <xf numFmtId="0" fontId="28" fillId="0" borderId="147" xfId="10919" applyFont="1" applyBorder="1" applyAlignment="1">
      <alignment horizontal="left" vertical="center"/>
    </xf>
    <xf numFmtId="0" fontId="52" fillId="0" borderId="149" xfId="10919" applyFont="1" applyBorder="1" applyAlignment="1">
      <alignment horizontal="center" vertical="center"/>
    </xf>
    <xf numFmtId="0" fontId="52" fillId="0" borderId="150" xfId="10919" applyFont="1" applyBorder="1" applyAlignment="1">
      <alignment horizontal="center" vertical="center"/>
    </xf>
    <xf numFmtId="0" fontId="52" fillId="0" borderId="151" xfId="10919" applyFont="1" applyBorder="1" applyAlignment="1">
      <alignment horizontal="center" vertical="center"/>
    </xf>
    <xf numFmtId="0" fontId="112" fillId="0" borderId="135" xfId="10919" applyFont="1" applyBorder="1" applyAlignment="1">
      <alignment horizontal="left" vertical="center" wrapText="1"/>
    </xf>
    <xf numFmtId="0" fontId="28" fillId="0" borderId="136" xfId="10919" applyFont="1" applyBorder="1" applyAlignment="1">
      <alignment horizontal="center" vertical="center"/>
    </xf>
    <xf numFmtId="0" fontId="28" fillId="0" borderId="137" xfId="10919" applyFont="1" applyBorder="1" applyAlignment="1">
      <alignment horizontal="center" vertical="center"/>
    </xf>
    <xf numFmtId="0" fontId="28" fillId="0" borderId="138" xfId="10919" applyFont="1" applyBorder="1" applyAlignment="1">
      <alignment horizontal="center" vertical="center"/>
    </xf>
    <xf numFmtId="0" fontId="28" fillId="0" borderId="135" xfId="10919" applyFont="1" applyBorder="1" applyAlignment="1">
      <alignment horizontal="center" vertical="center"/>
    </xf>
    <xf numFmtId="0" fontId="52" fillId="0" borderId="135" xfId="10919" applyFont="1" applyBorder="1" applyAlignment="1">
      <alignment horizontal="center" vertical="center" wrapText="1"/>
    </xf>
    <xf numFmtId="0" fontId="28" fillId="0" borderId="136" xfId="10919" applyFont="1" applyBorder="1" applyAlignment="1">
      <alignment horizontal="left" vertical="center" wrapText="1"/>
    </xf>
    <xf numFmtId="0" fontId="28" fillId="0" borderId="137" xfId="10919" applyFont="1" applyBorder="1" applyAlignment="1">
      <alignment horizontal="left" vertical="center" wrapText="1"/>
    </xf>
    <xf numFmtId="0" fontId="28" fillId="0" borderId="138" xfId="10919" applyFont="1" applyBorder="1" applyAlignment="1">
      <alignment horizontal="left" vertical="center" wrapText="1"/>
    </xf>
    <xf numFmtId="0" fontId="28" fillId="0" borderId="136" xfId="10919" applyFont="1" applyBorder="1" applyAlignment="1">
      <alignment horizontal="center" vertical="center" wrapText="1"/>
    </xf>
    <xf numFmtId="0" fontId="28" fillId="0" borderId="137" xfId="10919" applyFont="1" applyBorder="1" applyAlignment="1">
      <alignment horizontal="center" vertical="center" wrapText="1"/>
    </xf>
    <xf numFmtId="0" fontId="28" fillId="0" borderId="138" xfId="10919" applyFont="1" applyBorder="1" applyAlignment="1">
      <alignment horizontal="center" vertical="center" wrapText="1"/>
    </xf>
    <xf numFmtId="0" fontId="28" fillId="0" borderId="137" xfId="10919" applyFont="1" applyBorder="1" applyAlignment="1">
      <alignment horizontal="left" vertical="center"/>
    </xf>
    <xf numFmtId="0" fontId="352" fillId="128" borderId="0" xfId="10919" applyFont="1" applyFill="1" applyAlignment="1">
      <alignment horizontal="center" vertical="center" wrapText="1"/>
    </xf>
    <xf numFmtId="0" fontId="52" fillId="0" borderId="135" xfId="10919" applyFont="1" applyBorder="1" applyAlignment="1">
      <alignment horizontal="left" vertical="center"/>
    </xf>
    <xf numFmtId="0" fontId="52" fillId="0" borderId="136" xfId="10919" applyFont="1" applyBorder="1" applyAlignment="1">
      <alignment horizontal="left" vertical="center"/>
    </xf>
    <xf numFmtId="0" fontId="52" fillId="0" borderId="137" xfId="10919" applyFont="1" applyBorder="1" applyAlignment="1">
      <alignment horizontal="left" vertical="center"/>
    </xf>
    <xf numFmtId="0" fontId="52" fillId="0" borderId="138" xfId="10919" applyFont="1" applyBorder="1" applyAlignment="1">
      <alignment horizontal="left" vertical="center"/>
    </xf>
    <xf numFmtId="0" fontId="112" fillId="0" borderId="136" xfId="10919" applyFont="1" applyBorder="1" applyAlignment="1">
      <alignment horizontal="center" vertical="center"/>
    </xf>
    <xf numFmtId="0" fontId="112" fillId="0" borderId="137" xfId="10919" applyFont="1" applyBorder="1" applyAlignment="1">
      <alignment horizontal="center" vertical="center"/>
    </xf>
    <xf numFmtId="0" fontId="112" fillId="0" borderId="138" xfId="10919" applyFont="1" applyBorder="1" applyAlignment="1">
      <alignment horizontal="center" vertical="center"/>
    </xf>
    <xf numFmtId="0" fontId="28" fillId="0" borderId="165" xfId="10919" applyFont="1" applyBorder="1" applyAlignment="1">
      <alignment horizontal="left" vertical="center" wrapText="1"/>
    </xf>
    <xf numFmtId="0" fontId="52" fillId="61" borderId="141" xfId="10919" applyFont="1" applyFill="1" applyBorder="1" applyAlignment="1">
      <alignment horizontal="center" vertical="center"/>
    </xf>
    <xf numFmtId="0" fontId="52" fillId="61" borderId="142" xfId="10919" applyFont="1" applyFill="1" applyBorder="1" applyAlignment="1">
      <alignment horizontal="center" vertical="center"/>
    </xf>
    <xf numFmtId="0" fontId="52" fillId="61" borderId="143" xfId="10919" applyFont="1" applyFill="1" applyBorder="1" applyAlignment="1">
      <alignment horizontal="center" vertical="center"/>
    </xf>
    <xf numFmtId="0" fontId="52" fillId="61" borderId="135" xfId="10919" applyFont="1" applyFill="1" applyBorder="1" applyAlignment="1">
      <alignment horizontal="center" vertical="center"/>
    </xf>
    <xf numFmtId="0" fontId="28" fillId="0" borderId="147" xfId="10919" applyFont="1" applyBorder="1" applyAlignment="1">
      <alignment horizontal="left" vertical="center" wrapText="1"/>
    </xf>
    <xf numFmtId="0" fontId="28" fillId="38" borderId="135" xfId="10919" applyFont="1" applyFill="1" applyBorder="1" applyAlignment="1">
      <alignment horizontal="left" vertical="center"/>
    </xf>
    <xf numFmtId="0" fontId="52" fillId="61" borderId="136" xfId="10919" applyFont="1" applyFill="1" applyBorder="1" applyAlignment="1">
      <alignment horizontal="center" vertical="center"/>
    </xf>
    <xf numFmtId="0" fontId="52" fillId="61" borderId="137" xfId="10919" applyFont="1" applyFill="1" applyBorder="1" applyAlignment="1">
      <alignment horizontal="center" vertical="center"/>
    </xf>
    <xf numFmtId="0" fontId="52" fillId="61" borderId="138" xfId="10919" applyFont="1" applyFill="1" applyBorder="1" applyAlignment="1">
      <alignment horizontal="center" vertical="center"/>
    </xf>
    <xf numFmtId="0" fontId="28" fillId="61" borderId="136" xfId="10919" applyFont="1" applyFill="1" applyBorder="1" applyAlignment="1">
      <alignment horizontal="left" vertical="center"/>
    </xf>
    <xf numFmtId="0" fontId="28" fillId="61" borderId="137" xfId="10919" applyFont="1" applyFill="1" applyBorder="1" applyAlignment="1">
      <alignment horizontal="left" vertical="center"/>
    </xf>
    <xf numFmtId="0" fontId="28" fillId="61" borderId="138" xfId="10919" applyFont="1" applyFill="1" applyBorder="1" applyAlignment="1">
      <alignment horizontal="left" vertical="center"/>
    </xf>
    <xf numFmtId="0" fontId="52" fillId="72" borderId="136" xfId="10919" applyFont="1" applyFill="1" applyBorder="1" applyAlignment="1">
      <alignment horizontal="left" vertical="center"/>
    </xf>
    <xf numFmtId="0" fontId="52" fillId="72" borderId="137" xfId="10919" applyFont="1" applyFill="1" applyBorder="1" applyAlignment="1">
      <alignment horizontal="left" vertical="center"/>
    </xf>
    <xf numFmtId="0" fontId="52" fillId="72" borderId="138" xfId="10919" applyFont="1" applyFill="1" applyBorder="1" applyAlignment="1">
      <alignment horizontal="left" vertical="center"/>
    </xf>
    <xf numFmtId="0" fontId="28" fillId="61" borderId="136" xfId="10919" applyFont="1" applyFill="1" applyBorder="1" applyAlignment="1">
      <alignment horizontal="center" vertical="center"/>
    </xf>
    <xf numFmtId="0" fontId="28" fillId="61" borderId="137" xfId="10919" applyFont="1" applyFill="1" applyBorder="1" applyAlignment="1">
      <alignment horizontal="center" vertical="center"/>
    </xf>
    <xf numFmtId="0" fontId="28" fillId="61" borderId="138" xfId="10919" applyFont="1" applyFill="1" applyBorder="1" applyAlignment="1">
      <alignment horizontal="center" vertical="center"/>
    </xf>
    <xf numFmtId="0" fontId="28" fillId="61" borderId="135" xfId="10919" applyFont="1" applyFill="1" applyBorder="1" applyAlignment="1">
      <alignment horizontal="left" vertical="center"/>
    </xf>
    <xf numFmtId="0" fontId="28" fillId="61" borderId="147" xfId="10919" applyFont="1" applyFill="1" applyBorder="1" applyAlignment="1">
      <alignment horizontal="left" vertical="center"/>
    </xf>
    <xf numFmtId="0" fontId="52" fillId="0" borderId="0" xfId="10919" applyFont="1" applyAlignment="1">
      <alignment horizontal="center" vertical="center"/>
    </xf>
    <xf numFmtId="0" fontId="52" fillId="0" borderId="154" xfId="10919" applyFont="1" applyBorder="1" applyAlignment="1">
      <alignment horizontal="center" vertical="center"/>
    </xf>
    <xf numFmtId="0" fontId="52" fillId="0" borderId="58" xfId="10919" applyFont="1" applyBorder="1" applyAlignment="1">
      <alignment horizontal="center" vertical="center"/>
    </xf>
    <xf numFmtId="0" fontId="52" fillId="0" borderId="155" xfId="10919" applyFont="1" applyBorder="1" applyAlignment="1">
      <alignment horizontal="center" vertical="center"/>
    </xf>
    <xf numFmtId="0" fontId="52" fillId="0" borderId="153" xfId="10919" applyFont="1" applyBorder="1" applyAlignment="1">
      <alignment horizontal="center" vertical="center"/>
    </xf>
    <xf numFmtId="49" fontId="175" fillId="0" borderId="144" xfId="10919" applyNumberFormat="1" applyFont="1" applyBorder="1" applyAlignment="1">
      <alignment horizontal="center" vertical="center"/>
    </xf>
    <xf numFmtId="49" fontId="175" fillId="0" borderId="135" xfId="10919" applyNumberFormat="1" applyFont="1" applyBorder="1" applyAlignment="1">
      <alignment horizontal="center" vertical="center"/>
    </xf>
    <xf numFmtId="0" fontId="52" fillId="0" borderId="152" xfId="10919" applyFont="1" applyBorder="1" applyAlignment="1">
      <alignment horizontal="center" vertical="center"/>
    </xf>
    <xf numFmtId="0" fontId="266" fillId="0" borderId="0" xfId="10919" applyFont="1" applyAlignment="1">
      <alignment horizontal="center" vertical="center"/>
    </xf>
    <xf numFmtId="49" fontId="52" fillId="0" borderId="144" xfId="10919" applyNumberFormat="1" applyFont="1" applyBorder="1" applyAlignment="1">
      <alignment horizontal="center" vertical="center"/>
    </xf>
    <xf numFmtId="49" fontId="52" fillId="0" borderId="135" xfId="10919" applyNumberFormat="1" applyFont="1" applyBorder="1" applyAlignment="1">
      <alignment horizontal="center" vertical="center"/>
    </xf>
    <xf numFmtId="0" fontId="28" fillId="0" borderId="153" xfId="10919" applyFont="1" applyBorder="1" applyAlignment="1">
      <alignment horizontal="center" vertical="center"/>
    </xf>
    <xf numFmtId="0" fontId="28" fillId="0" borderId="167" xfId="10919" applyFont="1" applyBorder="1" applyAlignment="1">
      <alignment horizontal="center" vertical="center"/>
    </xf>
    <xf numFmtId="0" fontId="52" fillId="0" borderId="146" xfId="10919" applyFont="1" applyBorder="1" applyAlignment="1">
      <alignment horizontal="center" vertical="center"/>
    </xf>
    <xf numFmtId="0" fontId="52" fillId="0" borderId="147" xfId="10919" applyFont="1" applyBorder="1" applyAlignment="1">
      <alignment horizontal="center" vertical="center"/>
    </xf>
    <xf numFmtId="49" fontId="52" fillId="0" borderId="164" xfId="10919" applyNumberFormat="1" applyFont="1" applyBorder="1" applyAlignment="1">
      <alignment horizontal="center" vertical="center"/>
    </xf>
    <xf numFmtId="0" fontId="79" fillId="0" borderId="159" xfId="1057" applyFont="1" applyBorder="1" applyAlignment="1">
      <alignment horizontal="center"/>
    </xf>
    <xf numFmtId="0" fontId="79" fillId="2" borderId="0" xfId="1057" applyFont="1" applyFill="1" applyAlignment="1">
      <alignment horizontal="center"/>
    </xf>
    <xf numFmtId="0" fontId="79" fillId="2" borderId="46" xfId="1057" applyFont="1" applyFill="1" applyBorder="1" applyAlignment="1">
      <alignment horizontal="left" vertical="center" wrapText="1"/>
    </xf>
    <xf numFmtId="0" fontId="79" fillId="2" borderId="240" xfId="1057" applyFont="1" applyFill="1" applyBorder="1" applyAlignment="1">
      <alignment horizontal="left" vertical="center" wrapText="1"/>
    </xf>
    <xf numFmtId="0" fontId="79" fillId="2" borderId="60" xfId="1057" applyFont="1" applyFill="1" applyBorder="1" applyAlignment="1">
      <alignment horizontal="left" vertical="center" wrapText="1"/>
    </xf>
    <xf numFmtId="0" fontId="366" fillId="129" borderId="197" xfId="1057" applyFont="1" applyFill="1" applyBorder="1" applyAlignment="1">
      <alignment horizontal="center" vertical="center"/>
    </xf>
    <xf numFmtId="0" fontId="366" fillId="129" borderId="215" xfId="1057" applyFont="1" applyFill="1" applyBorder="1" applyAlignment="1">
      <alignment horizontal="center" vertical="center"/>
    </xf>
    <xf numFmtId="0" fontId="366" fillId="129" borderId="202" xfId="1057" applyFont="1" applyFill="1" applyBorder="1" applyAlignment="1">
      <alignment horizontal="center" vertical="center"/>
    </xf>
    <xf numFmtId="0" fontId="79" fillId="2" borderId="162" xfId="1057" applyFont="1" applyFill="1" applyBorder="1" applyAlignment="1">
      <alignment horizontal="left" vertical="center" wrapText="1"/>
    </xf>
    <xf numFmtId="0" fontId="79" fillId="2" borderId="242" xfId="1057" applyFont="1" applyFill="1" applyBorder="1" applyAlignment="1">
      <alignment horizontal="left" vertical="center" wrapText="1"/>
    </xf>
    <xf numFmtId="0" fontId="79" fillId="2" borderId="197" xfId="1057" applyFont="1" applyFill="1" applyBorder="1" applyAlignment="1">
      <alignment horizontal="left" vertical="center" wrapText="1"/>
    </xf>
    <xf numFmtId="0" fontId="366" fillId="131" borderId="197" xfId="1057" applyFont="1" applyFill="1" applyBorder="1" applyAlignment="1">
      <alignment horizontal="center" vertical="center"/>
    </xf>
    <xf numFmtId="0" fontId="366" fillId="131" borderId="215" xfId="1057" applyFont="1" applyFill="1" applyBorder="1" applyAlignment="1">
      <alignment horizontal="center" vertical="center"/>
    </xf>
    <xf numFmtId="0" fontId="366" fillId="131" borderId="202" xfId="1057" applyFont="1" applyFill="1" applyBorder="1" applyAlignment="1">
      <alignment horizontal="center" vertical="center"/>
    </xf>
    <xf numFmtId="0" fontId="79" fillId="2" borderId="177" xfId="1057" applyFont="1" applyFill="1" applyBorder="1" applyAlignment="1">
      <alignment horizontal="left" vertical="center" wrapText="1"/>
    </xf>
    <xf numFmtId="0" fontId="49" fillId="0" borderId="0" xfId="1057" applyFont="1" applyAlignment="1">
      <alignment horizontal="center"/>
    </xf>
    <xf numFmtId="0" fontId="79" fillId="0" borderId="172" xfId="1057" applyFont="1" applyBorder="1" applyAlignment="1">
      <alignment horizontal="center" vertical="center" wrapText="1"/>
    </xf>
    <xf numFmtId="0" fontId="294" fillId="0" borderId="0" xfId="1371" applyFont="1" applyAlignment="1">
      <alignment horizontal="center" wrapText="1"/>
    </xf>
    <xf numFmtId="0" fontId="294" fillId="0" borderId="0" xfId="1371" applyFont="1" applyAlignment="1">
      <alignment horizontal="center"/>
    </xf>
  </cellXfs>
  <cellStyles count="32310">
    <cellStyle name="_x0001_" xfId="1" xr:uid="{00000000-0005-0000-0000-000000000000}"/>
    <cellStyle name="_x000e_" xfId="2" xr:uid="{00000000-0005-0000-0000-000001000000}"/>
    <cellStyle name="          _x000d__x000a_shell=progman.exe_x000d__x000a_m" xfId="18975" xr:uid="{00000000-0005-0000-0000-000002000000}"/>
    <cellStyle name="_x0001_ 2" xfId="17105" xr:uid="{00000000-0005-0000-0000-000003000000}"/>
    <cellStyle name="_x000e_ 2" xfId="6646" xr:uid="{00000000-0005-0000-0000-000004000000}"/>
    <cellStyle name="_x0001_ 3" xfId="18545" xr:uid="{00000000-0005-0000-0000-000005000000}"/>
    <cellStyle name="_x000e_ 3" xfId="6647" xr:uid="{00000000-0005-0000-0000-000006000000}"/>
    <cellStyle name="_x000e_ 4" xfId="18543" xr:uid="{00000000-0005-0000-0000-000007000000}"/>
    <cellStyle name="(1529.8)" xfId="3" xr:uid="{00000000-0005-0000-0000-000008000000}"/>
    <cellStyle name="." xfId="4" xr:uid="{00000000-0005-0000-0000-000009000000}"/>
    <cellStyle name=". 2" xfId="3277" xr:uid="{00000000-0005-0000-0000-00000A000000}"/>
    <cellStyle name=". 3" xfId="17106" xr:uid="{00000000-0005-0000-0000-00000B000000}"/>
    <cellStyle name="._TOM TAT" xfId="19373" xr:uid="{00000000-0005-0000-0000-00000C000000}"/>
    <cellStyle name="??" xfId="5" xr:uid="{00000000-0005-0000-0000-00000D000000}"/>
    <cellStyle name="?? [ - ??1" xfId="6648" xr:uid="{00000000-0005-0000-0000-00000E000000}"/>
    <cellStyle name="?? [ - ??1 2" xfId="6649" xr:uid="{00000000-0005-0000-0000-00000F000000}"/>
    <cellStyle name="?? [ - ??1 2 2" xfId="6650" xr:uid="{00000000-0005-0000-0000-000010000000}"/>
    <cellStyle name="?? [ - ??1 3" xfId="6651" xr:uid="{00000000-0005-0000-0000-000011000000}"/>
    <cellStyle name="?? [ - ??2" xfId="6652" xr:uid="{00000000-0005-0000-0000-000012000000}"/>
    <cellStyle name="?? [ - ??2 2" xfId="6653" xr:uid="{00000000-0005-0000-0000-000013000000}"/>
    <cellStyle name="?? [ - ??2 2 2" xfId="6654" xr:uid="{00000000-0005-0000-0000-000014000000}"/>
    <cellStyle name="?? [ - ??2 3" xfId="6655" xr:uid="{00000000-0005-0000-0000-000015000000}"/>
    <cellStyle name="?? [ - ??3" xfId="6656" xr:uid="{00000000-0005-0000-0000-000016000000}"/>
    <cellStyle name="?? [ - ??3 2" xfId="6657" xr:uid="{00000000-0005-0000-0000-000017000000}"/>
    <cellStyle name="?? [ - ??3 2 2" xfId="6658" xr:uid="{00000000-0005-0000-0000-000018000000}"/>
    <cellStyle name="?? [ - ??3 3" xfId="6659" xr:uid="{00000000-0005-0000-0000-000019000000}"/>
    <cellStyle name="?? [ - ??4" xfId="6660" xr:uid="{00000000-0005-0000-0000-00001A000000}"/>
    <cellStyle name="?? [ - ??4 2" xfId="6661" xr:uid="{00000000-0005-0000-0000-00001B000000}"/>
    <cellStyle name="?? [ - ??4 2 2" xfId="6662" xr:uid="{00000000-0005-0000-0000-00001C000000}"/>
    <cellStyle name="?? [ - ??4 3" xfId="6663" xr:uid="{00000000-0005-0000-0000-00001D000000}"/>
    <cellStyle name="?? [ - ??5" xfId="6664" xr:uid="{00000000-0005-0000-0000-00001E000000}"/>
    <cellStyle name="?? [ - ??5 2" xfId="6665" xr:uid="{00000000-0005-0000-0000-00001F000000}"/>
    <cellStyle name="?? [ - ??5 2 2" xfId="6666" xr:uid="{00000000-0005-0000-0000-000020000000}"/>
    <cellStyle name="?? [ - ??5 3" xfId="6667" xr:uid="{00000000-0005-0000-0000-000021000000}"/>
    <cellStyle name="?? [ - ??6" xfId="6668" xr:uid="{00000000-0005-0000-0000-000022000000}"/>
    <cellStyle name="?? [ - ??6 2" xfId="6669" xr:uid="{00000000-0005-0000-0000-000023000000}"/>
    <cellStyle name="?? [ - ??6 2 2" xfId="6670" xr:uid="{00000000-0005-0000-0000-000024000000}"/>
    <cellStyle name="?? [ - ??6 3" xfId="6671" xr:uid="{00000000-0005-0000-0000-000025000000}"/>
    <cellStyle name="?? [ - ??7" xfId="6672" xr:uid="{00000000-0005-0000-0000-000026000000}"/>
    <cellStyle name="?? [ - ??7 2" xfId="6673" xr:uid="{00000000-0005-0000-0000-000027000000}"/>
    <cellStyle name="?? [ - ??7 2 2" xfId="6674" xr:uid="{00000000-0005-0000-0000-000028000000}"/>
    <cellStyle name="?? [ - ??7 3" xfId="6675" xr:uid="{00000000-0005-0000-0000-000029000000}"/>
    <cellStyle name="?? [ - ??8" xfId="6676" xr:uid="{00000000-0005-0000-0000-00002A000000}"/>
    <cellStyle name="?? [ - ??8 2" xfId="6677" xr:uid="{00000000-0005-0000-0000-00002B000000}"/>
    <cellStyle name="?? [ - ??8 2 2" xfId="6678" xr:uid="{00000000-0005-0000-0000-00002C000000}"/>
    <cellStyle name="?? [ - ??8 3" xfId="6679" xr:uid="{00000000-0005-0000-0000-00002D000000}"/>
    <cellStyle name="?? [0.00]_ Att. 1- Cover" xfId="6680" xr:uid="{00000000-0005-0000-0000-00002E000000}"/>
    <cellStyle name="?? [0]" xfId="6" xr:uid="{00000000-0005-0000-0000-00002F000000}"/>
    <cellStyle name="?? [0] 2" xfId="3279" xr:uid="{00000000-0005-0000-0000-000030000000}"/>
    <cellStyle name="?? [0] 3" xfId="17108" xr:uid="{00000000-0005-0000-0000-000031000000}"/>
    <cellStyle name="?? [0]_ ??? ???? " xfId="6681" xr:uid="{00000000-0005-0000-0000-000032000000}"/>
    <cellStyle name="?? 10" xfId="14623" xr:uid="{00000000-0005-0000-0000-000033000000}"/>
    <cellStyle name="?? 2" xfId="3278" xr:uid="{00000000-0005-0000-0000-000034000000}"/>
    <cellStyle name="?? 3" xfId="4868" xr:uid="{00000000-0005-0000-0000-000035000000}"/>
    <cellStyle name="?? 4" xfId="6682" xr:uid="{00000000-0005-0000-0000-000036000000}"/>
    <cellStyle name="?? 5" xfId="6683" xr:uid="{00000000-0005-0000-0000-000037000000}"/>
    <cellStyle name="?? 6" xfId="6684" xr:uid="{00000000-0005-0000-0000-000038000000}"/>
    <cellStyle name="?? 7" xfId="17107" xr:uid="{00000000-0005-0000-0000-000039000000}"/>
    <cellStyle name="?? 8" xfId="18648" xr:uid="{00000000-0005-0000-0000-00003A000000}"/>
    <cellStyle name="?? 9" xfId="26943" xr:uid="{00000000-0005-0000-0000-00003B000000}"/>
    <cellStyle name="????" xfId="6685" xr:uid="{00000000-0005-0000-0000-00003C000000}"/>
    <cellStyle name="???? " xfId="6686" xr:uid="{00000000-0005-0000-0000-00003D000000}"/>
    <cellStyle name="????  10" xfId="6687" xr:uid="{00000000-0005-0000-0000-00003E000000}"/>
    <cellStyle name="????  10 2" xfId="6688" xr:uid="{00000000-0005-0000-0000-00003F000000}"/>
    <cellStyle name="????  10 2 2" xfId="6689" xr:uid="{00000000-0005-0000-0000-000040000000}"/>
    <cellStyle name="????  10 3" xfId="6690" xr:uid="{00000000-0005-0000-0000-000041000000}"/>
    <cellStyle name="????  11" xfId="6691" xr:uid="{00000000-0005-0000-0000-000042000000}"/>
    <cellStyle name="????  11 2" xfId="6692" xr:uid="{00000000-0005-0000-0000-000043000000}"/>
    <cellStyle name="????  12" xfId="6693" xr:uid="{00000000-0005-0000-0000-000044000000}"/>
    <cellStyle name="????  12 2" xfId="6694" xr:uid="{00000000-0005-0000-0000-000045000000}"/>
    <cellStyle name="????  13" xfId="6695" xr:uid="{00000000-0005-0000-0000-000046000000}"/>
    <cellStyle name="????  2" xfId="6696" xr:uid="{00000000-0005-0000-0000-000047000000}"/>
    <cellStyle name="????  2 10" xfId="6697" xr:uid="{00000000-0005-0000-0000-000048000000}"/>
    <cellStyle name="????  2 10 2" xfId="6698" xr:uid="{00000000-0005-0000-0000-000049000000}"/>
    <cellStyle name="????  2 11" xfId="6699" xr:uid="{00000000-0005-0000-0000-00004A000000}"/>
    <cellStyle name="????  2 2" xfId="6700" xr:uid="{00000000-0005-0000-0000-00004B000000}"/>
    <cellStyle name="????  2 2 2" xfId="6701" xr:uid="{00000000-0005-0000-0000-00004C000000}"/>
    <cellStyle name="????  2 2 2 2" xfId="6702" xr:uid="{00000000-0005-0000-0000-00004D000000}"/>
    <cellStyle name="????  2 2 2 2 2" xfId="6703" xr:uid="{00000000-0005-0000-0000-00004E000000}"/>
    <cellStyle name="????  2 2 2 2 2 2" xfId="6704" xr:uid="{00000000-0005-0000-0000-00004F000000}"/>
    <cellStyle name="????  2 2 2 2 2 2 2" xfId="6705" xr:uid="{00000000-0005-0000-0000-000050000000}"/>
    <cellStyle name="????  2 2 2 2 2 3" xfId="6706" xr:uid="{00000000-0005-0000-0000-000051000000}"/>
    <cellStyle name="????  2 2 2 2 3" xfId="6707" xr:uid="{00000000-0005-0000-0000-000052000000}"/>
    <cellStyle name="????  2 2 2 2 3 2" xfId="6708" xr:uid="{00000000-0005-0000-0000-000053000000}"/>
    <cellStyle name="????  2 2 2 2 4" xfId="6709" xr:uid="{00000000-0005-0000-0000-000054000000}"/>
    <cellStyle name="????  2 2 2 2 4 2" xfId="6710" xr:uid="{00000000-0005-0000-0000-000055000000}"/>
    <cellStyle name="????  2 2 2 2 5" xfId="6711" xr:uid="{00000000-0005-0000-0000-000056000000}"/>
    <cellStyle name="????  2 2 2 3" xfId="6712" xr:uid="{00000000-0005-0000-0000-000057000000}"/>
    <cellStyle name="????  2 2 2 3 2" xfId="6713" xr:uid="{00000000-0005-0000-0000-000058000000}"/>
    <cellStyle name="????  2 2 2 3 2 2" xfId="6714" xr:uid="{00000000-0005-0000-0000-000059000000}"/>
    <cellStyle name="????  2 2 2 3 3" xfId="6715" xr:uid="{00000000-0005-0000-0000-00005A000000}"/>
    <cellStyle name="????  2 2 2 4" xfId="6716" xr:uid="{00000000-0005-0000-0000-00005B000000}"/>
    <cellStyle name="????  2 2 2 4 2" xfId="6717" xr:uid="{00000000-0005-0000-0000-00005C000000}"/>
    <cellStyle name="????  2 2 2 4 2 2" xfId="6718" xr:uid="{00000000-0005-0000-0000-00005D000000}"/>
    <cellStyle name="????  2 2 2 4 3" xfId="6719" xr:uid="{00000000-0005-0000-0000-00005E000000}"/>
    <cellStyle name="????  2 2 2 5" xfId="6720" xr:uid="{00000000-0005-0000-0000-00005F000000}"/>
    <cellStyle name="????  2 2 2 5 2" xfId="6721" xr:uid="{00000000-0005-0000-0000-000060000000}"/>
    <cellStyle name="????  2 2 2 6" xfId="6722" xr:uid="{00000000-0005-0000-0000-000061000000}"/>
    <cellStyle name="????  2 2 2 6 2" xfId="6723" xr:uid="{00000000-0005-0000-0000-000062000000}"/>
    <cellStyle name="????  2 2 2 7" xfId="6724" xr:uid="{00000000-0005-0000-0000-000063000000}"/>
    <cellStyle name="????  2 2 3" xfId="6725" xr:uid="{00000000-0005-0000-0000-000064000000}"/>
    <cellStyle name="????  2 2 3 2" xfId="6726" xr:uid="{00000000-0005-0000-0000-000065000000}"/>
    <cellStyle name="????  2 2 3 2 2" xfId="6727" xr:uid="{00000000-0005-0000-0000-000066000000}"/>
    <cellStyle name="????  2 2 3 2 2 2" xfId="6728" xr:uid="{00000000-0005-0000-0000-000067000000}"/>
    <cellStyle name="????  2 2 3 2 2 2 2" xfId="6729" xr:uid="{00000000-0005-0000-0000-000068000000}"/>
    <cellStyle name="????  2 2 3 2 2 3" xfId="6730" xr:uid="{00000000-0005-0000-0000-000069000000}"/>
    <cellStyle name="????  2 2 3 2 3" xfId="6731" xr:uid="{00000000-0005-0000-0000-00006A000000}"/>
    <cellStyle name="????  2 2 3 2 3 2" xfId="6732" xr:uid="{00000000-0005-0000-0000-00006B000000}"/>
    <cellStyle name="????  2 2 3 2 4" xfId="6733" xr:uid="{00000000-0005-0000-0000-00006C000000}"/>
    <cellStyle name="????  2 2 3 2 4 2" xfId="6734" xr:uid="{00000000-0005-0000-0000-00006D000000}"/>
    <cellStyle name="????  2 2 3 2 5" xfId="6735" xr:uid="{00000000-0005-0000-0000-00006E000000}"/>
    <cellStyle name="????  2 2 3 3" xfId="6736" xr:uid="{00000000-0005-0000-0000-00006F000000}"/>
    <cellStyle name="????  2 2 3 3 2" xfId="6737" xr:uid="{00000000-0005-0000-0000-000070000000}"/>
    <cellStyle name="????  2 2 3 3 2 2" xfId="6738" xr:uid="{00000000-0005-0000-0000-000071000000}"/>
    <cellStyle name="????  2 2 3 3 3" xfId="6739" xr:uid="{00000000-0005-0000-0000-000072000000}"/>
    <cellStyle name="????  2 2 3 4" xfId="6740" xr:uid="{00000000-0005-0000-0000-000073000000}"/>
    <cellStyle name="????  2 2 3 4 2" xfId="6741" xr:uid="{00000000-0005-0000-0000-000074000000}"/>
    <cellStyle name="????  2 2 3 4 2 2" xfId="6742" xr:uid="{00000000-0005-0000-0000-000075000000}"/>
    <cellStyle name="????  2 2 3 4 3" xfId="6743" xr:uid="{00000000-0005-0000-0000-000076000000}"/>
    <cellStyle name="????  2 2 3 5" xfId="6744" xr:uid="{00000000-0005-0000-0000-000077000000}"/>
    <cellStyle name="????  2 2 3 5 2" xfId="6745" xr:uid="{00000000-0005-0000-0000-000078000000}"/>
    <cellStyle name="????  2 2 3 6" xfId="6746" xr:uid="{00000000-0005-0000-0000-000079000000}"/>
    <cellStyle name="????  2 2 3 6 2" xfId="6747" xr:uid="{00000000-0005-0000-0000-00007A000000}"/>
    <cellStyle name="????  2 2 3 7" xfId="6748" xr:uid="{00000000-0005-0000-0000-00007B000000}"/>
    <cellStyle name="????  2 2 4" xfId="6749" xr:uid="{00000000-0005-0000-0000-00007C000000}"/>
    <cellStyle name="????  2 2 4 2" xfId="6750" xr:uid="{00000000-0005-0000-0000-00007D000000}"/>
    <cellStyle name="????  2 2 4 2 2" xfId="6751" xr:uid="{00000000-0005-0000-0000-00007E000000}"/>
    <cellStyle name="????  2 2 4 2 2 2" xfId="6752" xr:uid="{00000000-0005-0000-0000-00007F000000}"/>
    <cellStyle name="????  2 2 4 2 3" xfId="6753" xr:uid="{00000000-0005-0000-0000-000080000000}"/>
    <cellStyle name="????  2 2 4 3" xfId="6754" xr:uid="{00000000-0005-0000-0000-000081000000}"/>
    <cellStyle name="????  2 2 4 3 2" xfId="6755" xr:uid="{00000000-0005-0000-0000-000082000000}"/>
    <cellStyle name="????  2 2 4 4" xfId="6756" xr:uid="{00000000-0005-0000-0000-000083000000}"/>
    <cellStyle name="????  2 2 4 4 2" xfId="6757" xr:uid="{00000000-0005-0000-0000-000084000000}"/>
    <cellStyle name="????  2 2 4 5" xfId="6758" xr:uid="{00000000-0005-0000-0000-000085000000}"/>
    <cellStyle name="????  2 2 5" xfId="6759" xr:uid="{00000000-0005-0000-0000-000086000000}"/>
    <cellStyle name="????  2 2 5 2" xfId="6760" xr:uid="{00000000-0005-0000-0000-000087000000}"/>
    <cellStyle name="????  2 2 5 2 2" xfId="6761" xr:uid="{00000000-0005-0000-0000-000088000000}"/>
    <cellStyle name="????  2 2 5 3" xfId="6762" xr:uid="{00000000-0005-0000-0000-000089000000}"/>
    <cellStyle name="????  2 2 6" xfId="6763" xr:uid="{00000000-0005-0000-0000-00008A000000}"/>
    <cellStyle name="????  2 2 6 2" xfId="6764" xr:uid="{00000000-0005-0000-0000-00008B000000}"/>
    <cellStyle name="????  2 2 6 2 2" xfId="6765" xr:uid="{00000000-0005-0000-0000-00008C000000}"/>
    <cellStyle name="????  2 2 6 3" xfId="6766" xr:uid="{00000000-0005-0000-0000-00008D000000}"/>
    <cellStyle name="????  2 2 7" xfId="6767" xr:uid="{00000000-0005-0000-0000-00008E000000}"/>
    <cellStyle name="????  2 2 7 2" xfId="6768" xr:uid="{00000000-0005-0000-0000-00008F000000}"/>
    <cellStyle name="????  2 2 8" xfId="6769" xr:uid="{00000000-0005-0000-0000-000090000000}"/>
    <cellStyle name="????  2 2 8 2" xfId="6770" xr:uid="{00000000-0005-0000-0000-000091000000}"/>
    <cellStyle name="????  2 2 9" xfId="6771" xr:uid="{00000000-0005-0000-0000-000092000000}"/>
    <cellStyle name="????  2 3" xfId="6772" xr:uid="{00000000-0005-0000-0000-000093000000}"/>
    <cellStyle name="????  2 3 2" xfId="6773" xr:uid="{00000000-0005-0000-0000-000094000000}"/>
    <cellStyle name="????  2 3 2 2" xfId="6774" xr:uid="{00000000-0005-0000-0000-000095000000}"/>
    <cellStyle name="????  2 3 2 2 2" xfId="6775" xr:uid="{00000000-0005-0000-0000-000096000000}"/>
    <cellStyle name="????  2 3 2 2 2 2" xfId="6776" xr:uid="{00000000-0005-0000-0000-000097000000}"/>
    <cellStyle name="????  2 3 2 2 2 2 2" xfId="6777" xr:uid="{00000000-0005-0000-0000-000098000000}"/>
    <cellStyle name="????  2 3 2 2 2 3" xfId="6778" xr:uid="{00000000-0005-0000-0000-000099000000}"/>
    <cellStyle name="????  2 3 2 2 3" xfId="6779" xr:uid="{00000000-0005-0000-0000-00009A000000}"/>
    <cellStyle name="????  2 3 2 2 3 2" xfId="6780" xr:uid="{00000000-0005-0000-0000-00009B000000}"/>
    <cellStyle name="????  2 3 2 2 4" xfId="6781" xr:uid="{00000000-0005-0000-0000-00009C000000}"/>
    <cellStyle name="????  2 3 2 2 4 2" xfId="6782" xr:uid="{00000000-0005-0000-0000-00009D000000}"/>
    <cellStyle name="????  2 3 2 2 5" xfId="6783" xr:uid="{00000000-0005-0000-0000-00009E000000}"/>
    <cellStyle name="????  2 3 2 3" xfId="6784" xr:uid="{00000000-0005-0000-0000-00009F000000}"/>
    <cellStyle name="????  2 3 2 3 2" xfId="6785" xr:uid="{00000000-0005-0000-0000-0000A0000000}"/>
    <cellStyle name="????  2 3 2 3 2 2" xfId="6786" xr:uid="{00000000-0005-0000-0000-0000A1000000}"/>
    <cellStyle name="????  2 3 2 3 3" xfId="6787" xr:uid="{00000000-0005-0000-0000-0000A2000000}"/>
    <cellStyle name="????  2 3 2 4" xfId="6788" xr:uid="{00000000-0005-0000-0000-0000A3000000}"/>
    <cellStyle name="????  2 3 2 4 2" xfId="6789" xr:uid="{00000000-0005-0000-0000-0000A4000000}"/>
    <cellStyle name="????  2 3 2 4 2 2" xfId="6790" xr:uid="{00000000-0005-0000-0000-0000A5000000}"/>
    <cellStyle name="????  2 3 2 4 3" xfId="6791" xr:uid="{00000000-0005-0000-0000-0000A6000000}"/>
    <cellStyle name="????  2 3 2 5" xfId="6792" xr:uid="{00000000-0005-0000-0000-0000A7000000}"/>
    <cellStyle name="????  2 3 2 5 2" xfId="6793" xr:uid="{00000000-0005-0000-0000-0000A8000000}"/>
    <cellStyle name="????  2 3 2 6" xfId="6794" xr:uid="{00000000-0005-0000-0000-0000A9000000}"/>
    <cellStyle name="????  2 3 2 6 2" xfId="6795" xr:uid="{00000000-0005-0000-0000-0000AA000000}"/>
    <cellStyle name="????  2 3 2 7" xfId="6796" xr:uid="{00000000-0005-0000-0000-0000AB000000}"/>
    <cellStyle name="????  2 3 3" xfId="6797" xr:uid="{00000000-0005-0000-0000-0000AC000000}"/>
    <cellStyle name="????  2 3 3 2" xfId="6798" xr:uid="{00000000-0005-0000-0000-0000AD000000}"/>
    <cellStyle name="????  2 3 3 2 2" xfId="6799" xr:uid="{00000000-0005-0000-0000-0000AE000000}"/>
    <cellStyle name="????  2 3 3 2 2 2" xfId="6800" xr:uid="{00000000-0005-0000-0000-0000AF000000}"/>
    <cellStyle name="????  2 3 3 2 3" xfId="6801" xr:uid="{00000000-0005-0000-0000-0000B0000000}"/>
    <cellStyle name="????  2 3 3 3" xfId="6802" xr:uid="{00000000-0005-0000-0000-0000B1000000}"/>
    <cellStyle name="????  2 3 3 3 2" xfId="6803" xr:uid="{00000000-0005-0000-0000-0000B2000000}"/>
    <cellStyle name="????  2 3 3 4" xfId="6804" xr:uid="{00000000-0005-0000-0000-0000B3000000}"/>
    <cellStyle name="????  2 3 3 4 2" xfId="6805" xr:uid="{00000000-0005-0000-0000-0000B4000000}"/>
    <cellStyle name="????  2 3 3 5" xfId="6806" xr:uid="{00000000-0005-0000-0000-0000B5000000}"/>
    <cellStyle name="????  2 3 4" xfId="6807" xr:uid="{00000000-0005-0000-0000-0000B6000000}"/>
    <cellStyle name="????  2 3 4 2" xfId="6808" xr:uid="{00000000-0005-0000-0000-0000B7000000}"/>
    <cellStyle name="????  2 3 4 2 2" xfId="6809" xr:uid="{00000000-0005-0000-0000-0000B8000000}"/>
    <cellStyle name="????  2 3 4 3" xfId="6810" xr:uid="{00000000-0005-0000-0000-0000B9000000}"/>
    <cellStyle name="????  2 3 5" xfId="6811" xr:uid="{00000000-0005-0000-0000-0000BA000000}"/>
    <cellStyle name="????  2 3 5 2" xfId="6812" xr:uid="{00000000-0005-0000-0000-0000BB000000}"/>
    <cellStyle name="????  2 3 5 2 2" xfId="6813" xr:uid="{00000000-0005-0000-0000-0000BC000000}"/>
    <cellStyle name="????  2 3 5 3" xfId="6814" xr:uid="{00000000-0005-0000-0000-0000BD000000}"/>
    <cellStyle name="????  2 3 6" xfId="6815" xr:uid="{00000000-0005-0000-0000-0000BE000000}"/>
    <cellStyle name="????  2 3 6 2" xfId="6816" xr:uid="{00000000-0005-0000-0000-0000BF000000}"/>
    <cellStyle name="????  2 3 7" xfId="6817" xr:uid="{00000000-0005-0000-0000-0000C0000000}"/>
    <cellStyle name="????  2 3 7 2" xfId="6818" xr:uid="{00000000-0005-0000-0000-0000C1000000}"/>
    <cellStyle name="????  2 3 8" xfId="6819" xr:uid="{00000000-0005-0000-0000-0000C2000000}"/>
    <cellStyle name="????  2 4" xfId="6820" xr:uid="{00000000-0005-0000-0000-0000C3000000}"/>
    <cellStyle name="????  2 4 2" xfId="6821" xr:uid="{00000000-0005-0000-0000-0000C4000000}"/>
    <cellStyle name="????  2 4 2 2" xfId="6822" xr:uid="{00000000-0005-0000-0000-0000C5000000}"/>
    <cellStyle name="????  2 4 2 2 2" xfId="6823" xr:uid="{00000000-0005-0000-0000-0000C6000000}"/>
    <cellStyle name="????  2 4 2 2 2 2" xfId="6824" xr:uid="{00000000-0005-0000-0000-0000C7000000}"/>
    <cellStyle name="????  2 4 2 2 3" xfId="6825" xr:uid="{00000000-0005-0000-0000-0000C8000000}"/>
    <cellStyle name="????  2 4 2 3" xfId="6826" xr:uid="{00000000-0005-0000-0000-0000C9000000}"/>
    <cellStyle name="????  2 4 2 3 2" xfId="6827" xr:uid="{00000000-0005-0000-0000-0000CA000000}"/>
    <cellStyle name="????  2 4 2 4" xfId="6828" xr:uid="{00000000-0005-0000-0000-0000CB000000}"/>
    <cellStyle name="????  2 4 2 4 2" xfId="6829" xr:uid="{00000000-0005-0000-0000-0000CC000000}"/>
    <cellStyle name="????  2 4 2 5" xfId="6830" xr:uid="{00000000-0005-0000-0000-0000CD000000}"/>
    <cellStyle name="????  2 4 3" xfId="6831" xr:uid="{00000000-0005-0000-0000-0000CE000000}"/>
    <cellStyle name="????  2 4 3 2" xfId="6832" xr:uid="{00000000-0005-0000-0000-0000CF000000}"/>
    <cellStyle name="????  2 4 3 2 2" xfId="6833" xr:uid="{00000000-0005-0000-0000-0000D0000000}"/>
    <cellStyle name="????  2 4 3 3" xfId="6834" xr:uid="{00000000-0005-0000-0000-0000D1000000}"/>
    <cellStyle name="????  2 4 4" xfId="6835" xr:uid="{00000000-0005-0000-0000-0000D2000000}"/>
    <cellStyle name="????  2 4 4 2" xfId="6836" xr:uid="{00000000-0005-0000-0000-0000D3000000}"/>
    <cellStyle name="????  2 4 4 2 2" xfId="6837" xr:uid="{00000000-0005-0000-0000-0000D4000000}"/>
    <cellStyle name="????  2 4 4 3" xfId="6838" xr:uid="{00000000-0005-0000-0000-0000D5000000}"/>
    <cellStyle name="????  2 4 5" xfId="6839" xr:uid="{00000000-0005-0000-0000-0000D6000000}"/>
    <cellStyle name="????  2 4 5 2" xfId="6840" xr:uid="{00000000-0005-0000-0000-0000D7000000}"/>
    <cellStyle name="????  2 4 6" xfId="6841" xr:uid="{00000000-0005-0000-0000-0000D8000000}"/>
    <cellStyle name="????  2 4 6 2" xfId="6842" xr:uid="{00000000-0005-0000-0000-0000D9000000}"/>
    <cellStyle name="????  2 4 7" xfId="6843" xr:uid="{00000000-0005-0000-0000-0000DA000000}"/>
    <cellStyle name="????  2 5" xfId="6844" xr:uid="{00000000-0005-0000-0000-0000DB000000}"/>
    <cellStyle name="????  2 5 2" xfId="6845" xr:uid="{00000000-0005-0000-0000-0000DC000000}"/>
    <cellStyle name="????  2 5 2 2" xfId="6846" xr:uid="{00000000-0005-0000-0000-0000DD000000}"/>
    <cellStyle name="????  2 5 2 2 2" xfId="6847" xr:uid="{00000000-0005-0000-0000-0000DE000000}"/>
    <cellStyle name="????  2 5 2 2 2 2" xfId="6848" xr:uid="{00000000-0005-0000-0000-0000DF000000}"/>
    <cellStyle name="????  2 5 2 2 3" xfId="6849" xr:uid="{00000000-0005-0000-0000-0000E0000000}"/>
    <cellStyle name="????  2 5 2 3" xfId="6850" xr:uid="{00000000-0005-0000-0000-0000E1000000}"/>
    <cellStyle name="????  2 5 2 3 2" xfId="6851" xr:uid="{00000000-0005-0000-0000-0000E2000000}"/>
    <cellStyle name="????  2 5 2 4" xfId="6852" xr:uid="{00000000-0005-0000-0000-0000E3000000}"/>
    <cellStyle name="????  2 5 2 4 2" xfId="6853" xr:uid="{00000000-0005-0000-0000-0000E4000000}"/>
    <cellStyle name="????  2 5 2 5" xfId="6854" xr:uid="{00000000-0005-0000-0000-0000E5000000}"/>
    <cellStyle name="????  2 5 3" xfId="6855" xr:uid="{00000000-0005-0000-0000-0000E6000000}"/>
    <cellStyle name="????  2 5 3 2" xfId="6856" xr:uid="{00000000-0005-0000-0000-0000E7000000}"/>
    <cellStyle name="????  2 5 3 2 2" xfId="6857" xr:uid="{00000000-0005-0000-0000-0000E8000000}"/>
    <cellStyle name="????  2 5 3 3" xfId="6858" xr:uid="{00000000-0005-0000-0000-0000E9000000}"/>
    <cellStyle name="????  2 5 4" xfId="6859" xr:uid="{00000000-0005-0000-0000-0000EA000000}"/>
    <cellStyle name="????  2 5 4 2" xfId="6860" xr:uid="{00000000-0005-0000-0000-0000EB000000}"/>
    <cellStyle name="????  2 5 4 2 2" xfId="6861" xr:uid="{00000000-0005-0000-0000-0000EC000000}"/>
    <cellStyle name="????  2 5 4 3" xfId="6862" xr:uid="{00000000-0005-0000-0000-0000ED000000}"/>
    <cellStyle name="????  2 5 5" xfId="6863" xr:uid="{00000000-0005-0000-0000-0000EE000000}"/>
    <cellStyle name="????  2 5 5 2" xfId="6864" xr:uid="{00000000-0005-0000-0000-0000EF000000}"/>
    <cellStyle name="????  2 5 6" xfId="6865" xr:uid="{00000000-0005-0000-0000-0000F0000000}"/>
    <cellStyle name="????  2 5 6 2" xfId="6866" xr:uid="{00000000-0005-0000-0000-0000F1000000}"/>
    <cellStyle name="????  2 5 7" xfId="6867" xr:uid="{00000000-0005-0000-0000-0000F2000000}"/>
    <cellStyle name="????  2 6" xfId="6868" xr:uid="{00000000-0005-0000-0000-0000F3000000}"/>
    <cellStyle name="????  2 6 2" xfId="6869" xr:uid="{00000000-0005-0000-0000-0000F4000000}"/>
    <cellStyle name="????  2 6 2 2" xfId="6870" xr:uid="{00000000-0005-0000-0000-0000F5000000}"/>
    <cellStyle name="????  2 6 2 2 2" xfId="6871" xr:uid="{00000000-0005-0000-0000-0000F6000000}"/>
    <cellStyle name="????  2 6 2 3" xfId="6872" xr:uid="{00000000-0005-0000-0000-0000F7000000}"/>
    <cellStyle name="????  2 6 3" xfId="6873" xr:uid="{00000000-0005-0000-0000-0000F8000000}"/>
    <cellStyle name="????  2 6 3 2" xfId="6874" xr:uid="{00000000-0005-0000-0000-0000F9000000}"/>
    <cellStyle name="????  2 6 4" xfId="6875" xr:uid="{00000000-0005-0000-0000-0000FA000000}"/>
    <cellStyle name="????  2 6 4 2" xfId="6876" xr:uid="{00000000-0005-0000-0000-0000FB000000}"/>
    <cellStyle name="????  2 6 5" xfId="6877" xr:uid="{00000000-0005-0000-0000-0000FC000000}"/>
    <cellStyle name="????  2 7" xfId="6878" xr:uid="{00000000-0005-0000-0000-0000FD000000}"/>
    <cellStyle name="????  2 7 2" xfId="6879" xr:uid="{00000000-0005-0000-0000-0000FE000000}"/>
    <cellStyle name="????  2 7 2 2" xfId="6880" xr:uid="{00000000-0005-0000-0000-0000FF000000}"/>
    <cellStyle name="????  2 7 3" xfId="6881" xr:uid="{00000000-0005-0000-0000-000000010000}"/>
    <cellStyle name="????  2 8" xfId="6882" xr:uid="{00000000-0005-0000-0000-000001010000}"/>
    <cellStyle name="????  2 8 2" xfId="6883" xr:uid="{00000000-0005-0000-0000-000002010000}"/>
    <cellStyle name="????  2 8 2 2" xfId="6884" xr:uid="{00000000-0005-0000-0000-000003010000}"/>
    <cellStyle name="????  2 8 3" xfId="6885" xr:uid="{00000000-0005-0000-0000-000004010000}"/>
    <cellStyle name="????  2 9" xfId="6886" xr:uid="{00000000-0005-0000-0000-000005010000}"/>
    <cellStyle name="????  2 9 2" xfId="6887" xr:uid="{00000000-0005-0000-0000-000006010000}"/>
    <cellStyle name="????  3" xfId="6888" xr:uid="{00000000-0005-0000-0000-000007010000}"/>
    <cellStyle name="????  3 10" xfId="6889" xr:uid="{00000000-0005-0000-0000-000008010000}"/>
    <cellStyle name="????  3 10 2" xfId="6890" xr:uid="{00000000-0005-0000-0000-000009010000}"/>
    <cellStyle name="????  3 11" xfId="6891" xr:uid="{00000000-0005-0000-0000-00000A010000}"/>
    <cellStyle name="????  3 2" xfId="6892" xr:uid="{00000000-0005-0000-0000-00000B010000}"/>
    <cellStyle name="????  3 2 2" xfId="6893" xr:uid="{00000000-0005-0000-0000-00000C010000}"/>
    <cellStyle name="????  3 2 2 2" xfId="6894" xr:uid="{00000000-0005-0000-0000-00000D010000}"/>
    <cellStyle name="????  3 2 2 2 2" xfId="6895" xr:uid="{00000000-0005-0000-0000-00000E010000}"/>
    <cellStyle name="????  3 2 2 2 2 2" xfId="6896" xr:uid="{00000000-0005-0000-0000-00000F010000}"/>
    <cellStyle name="????  3 2 2 2 2 2 2" xfId="6897" xr:uid="{00000000-0005-0000-0000-000010010000}"/>
    <cellStyle name="????  3 2 2 2 2 3" xfId="6898" xr:uid="{00000000-0005-0000-0000-000011010000}"/>
    <cellStyle name="????  3 2 2 2 3" xfId="6899" xr:uid="{00000000-0005-0000-0000-000012010000}"/>
    <cellStyle name="????  3 2 2 2 3 2" xfId="6900" xr:uid="{00000000-0005-0000-0000-000013010000}"/>
    <cellStyle name="????  3 2 2 2 4" xfId="6901" xr:uid="{00000000-0005-0000-0000-000014010000}"/>
    <cellStyle name="????  3 2 2 2 4 2" xfId="6902" xr:uid="{00000000-0005-0000-0000-000015010000}"/>
    <cellStyle name="????  3 2 2 2 5" xfId="6903" xr:uid="{00000000-0005-0000-0000-000016010000}"/>
    <cellStyle name="????  3 2 2 3" xfId="6904" xr:uid="{00000000-0005-0000-0000-000017010000}"/>
    <cellStyle name="????  3 2 2 3 2" xfId="6905" xr:uid="{00000000-0005-0000-0000-000018010000}"/>
    <cellStyle name="????  3 2 2 3 2 2" xfId="6906" xr:uid="{00000000-0005-0000-0000-000019010000}"/>
    <cellStyle name="????  3 2 2 3 3" xfId="6907" xr:uid="{00000000-0005-0000-0000-00001A010000}"/>
    <cellStyle name="????  3 2 2 4" xfId="6908" xr:uid="{00000000-0005-0000-0000-00001B010000}"/>
    <cellStyle name="????  3 2 2 4 2" xfId="6909" xr:uid="{00000000-0005-0000-0000-00001C010000}"/>
    <cellStyle name="????  3 2 2 4 2 2" xfId="6910" xr:uid="{00000000-0005-0000-0000-00001D010000}"/>
    <cellStyle name="????  3 2 2 4 3" xfId="6911" xr:uid="{00000000-0005-0000-0000-00001E010000}"/>
    <cellStyle name="????  3 2 2 5" xfId="6912" xr:uid="{00000000-0005-0000-0000-00001F010000}"/>
    <cellStyle name="????  3 2 2 5 2" xfId="6913" xr:uid="{00000000-0005-0000-0000-000020010000}"/>
    <cellStyle name="????  3 2 2 6" xfId="6914" xr:uid="{00000000-0005-0000-0000-000021010000}"/>
    <cellStyle name="????  3 2 2 6 2" xfId="6915" xr:uid="{00000000-0005-0000-0000-000022010000}"/>
    <cellStyle name="????  3 2 2 7" xfId="6916" xr:uid="{00000000-0005-0000-0000-000023010000}"/>
    <cellStyle name="????  3 2 3" xfId="6917" xr:uid="{00000000-0005-0000-0000-000024010000}"/>
    <cellStyle name="????  3 2 3 2" xfId="6918" xr:uid="{00000000-0005-0000-0000-000025010000}"/>
    <cellStyle name="????  3 2 3 2 2" xfId="6919" xr:uid="{00000000-0005-0000-0000-000026010000}"/>
    <cellStyle name="????  3 2 3 2 2 2" xfId="6920" xr:uid="{00000000-0005-0000-0000-000027010000}"/>
    <cellStyle name="????  3 2 3 2 2 2 2" xfId="6921" xr:uid="{00000000-0005-0000-0000-000028010000}"/>
    <cellStyle name="????  3 2 3 2 2 3" xfId="6922" xr:uid="{00000000-0005-0000-0000-000029010000}"/>
    <cellStyle name="????  3 2 3 2 3" xfId="6923" xr:uid="{00000000-0005-0000-0000-00002A010000}"/>
    <cellStyle name="????  3 2 3 2 3 2" xfId="6924" xr:uid="{00000000-0005-0000-0000-00002B010000}"/>
    <cellStyle name="????  3 2 3 2 4" xfId="6925" xr:uid="{00000000-0005-0000-0000-00002C010000}"/>
    <cellStyle name="????  3 2 3 2 4 2" xfId="6926" xr:uid="{00000000-0005-0000-0000-00002D010000}"/>
    <cellStyle name="????  3 2 3 2 5" xfId="6927" xr:uid="{00000000-0005-0000-0000-00002E010000}"/>
    <cellStyle name="????  3 2 3 3" xfId="6928" xr:uid="{00000000-0005-0000-0000-00002F010000}"/>
    <cellStyle name="????  3 2 3 3 2" xfId="6929" xr:uid="{00000000-0005-0000-0000-000030010000}"/>
    <cellStyle name="????  3 2 3 3 2 2" xfId="6930" xr:uid="{00000000-0005-0000-0000-000031010000}"/>
    <cellStyle name="????  3 2 3 3 3" xfId="6931" xr:uid="{00000000-0005-0000-0000-000032010000}"/>
    <cellStyle name="????  3 2 3 4" xfId="6932" xr:uid="{00000000-0005-0000-0000-000033010000}"/>
    <cellStyle name="????  3 2 3 4 2" xfId="6933" xr:uid="{00000000-0005-0000-0000-000034010000}"/>
    <cellStyle name="????  3 2 3 4 2 2" xfId="6934" xr:uid="{00000000-0005-0000-0000-000035010000}"/>
    <cellStyle name="????  3 2 3 4 3" xfId="6935" xr:uid="{00000000-0005-0000-0000-000036010000}"/>
    <cellStyle name="????  3 2 3 5" xfId="6936" xr:uid="{00000000-0005-0000-0000-000037010000}"/>
    <cellStyle name="????  3 2 3 5 2" xfId="6937" xr:uid="{00000000-0005-0000-0000-000038010000}"/>
    <cellStyle name="????  3 2 3 6" xfId="6938" xr:uid="{00000000-0005-0000-0000-000039010000}"/>
    <cellStyle name="????  3 2 3 6 2" xfId="6939" xr:uid="{00000000-0005-0000-0000-00003A010000}"/>
    <cellStyle name="????  3 2 3 7" xfId="6940" xr:uid="{00000000-0005-0000-0000-00003B010000}"/>
    <cellStyle name="????  3 2 4" xfId="6941" xr:uid="{00000000-0005-0000-0000-00003C010000}"/>
    <cellStyle name="????  3 2 4 2" xfId="6942" xr:uid="{00000000-0005-0000-0000-00003D010000}"/>
    <cellStyle name="????  3 2 4 2 2" xfId="6943" xr:uid="{00000000-0005-0000-0000-00003E010000}"/>
    <cellStyle name="????  3 2 4 2 2 2" xfId="6944" xr:uid="{00000000-0005-0000-0000-00003F010000}"/>
    <cellStyle name="????  3 2 4 2 3" xfId="6945" xr:uid="{00000000-0005-0000-0000-000040010000}"/>
    <cellStyle name="????  3 2 4 3" xfId="6946" xr:uid="{00000000-0005-0000-0000-000041010000}"/>
    <cellStyle name="????  3 2 4 3 2" xfId="6947" xr:uid="{00000000-0005-0000-0000-000042010000}"/>
    <cellStyle name="????  3 2 4 4" xfId="6948" xr:uid="{00000000-0005-0000-0000-000043010000}"/>
    <cellStyle name="????  3 2 4 4 2" xfId="6949" xr:uid="{00000000-0005-0000-0000-000044010000}"/>
    <cellStyle name="????  3 2 4 5" xfId="6950" xr:uid="{00000000-0005-0000-0000-000045010000}"/>
    <cellStyle name="????  3 2 5" xfId="6951" xr:uid="{00000000-0005-0000-0000-000046010000}"/>
    <cellStyle name="????  3 2 5 2" xfId="6952" xr:uid="{00000000-0005-0000-0000-000047010000}"/>
    <cellStyle name="????  3 2 5 2 2" xfId="6953" xr:uid="{00000000-0005-0000-0000-000048010000}"/>
    <cellStyle name="????  3 2 5 3" xfId="6954" xr:uid="{00000000-0005-0000-0000-000049010000}"/>
    <cellStyle name="????  3 2 6" xfId="6955" xr:uid="{00000000-0005-0000-0000-00004A010000}"/>
    <cellStyle name="????  3 2 6 2" xfId="6956" xr:uid="{00000000-0005-0000-0000-00004B010000}"/>
    <cellStyle name="????  3 2 6 2 2" xfId="6957" xr:uid="{00000000-0005-0000-0000-00004C010000}"/>
    <cellStyle name="????  3 2 6 3" xfId="6958" xr:uid="{00000000-0005-0000-0000-00004D010000}"/>
    <cellStyle name="????  3 2 7" xfId="6959" xr:uid="{00000000-0005-0000-0000-00004E010000}"/>
    <cellStyle name="????  3 2 7 2" xfId="6960" xr:uid="{00000000-0005-0000-0000-00004F010000}"/>
    <cellStyle name="????  3 2 8" xfId="6961" xr:uid="{00000000-0005-0000-0000-000050010000}"/>
    <cellStyle name="????  3 2 8 2" xfId="6962" xr:uid="{00000000-0005-0000-0000-000051010000}"/>
    <cellStyle name="????  3 2 9" xfId="6963" xr:uid="{00000000-0005-0000-0000-000052010000}"/>
    <cellStyle name="????  3 3" xfId="6964" xr:uid="{00000000-0005-0000-0000-000053010000}"/>
    <cellStyle name="????  3 3 2" xfId="6965" xr:uid="{00000000-0005-0000-0000-000054010000}"/>
    <cellStyle name="????  3 3 2 2" xfId="6966" xr:uid="{00000000-0005-0000-0000-000055010000}"/>
    <cellStyle name="????  3 3 2 2 2" xfId="6967" xr:uid="{00000000-0005-0000-0000-000056010000}"/>
    <cellStyle name="????  3 3 2 2 2 2" xfId="6968" xr:uid="{00000000-0005-0000-0000-000057010000}"/>
    <cellStyle name="????  3 3 2 2 2 2 2" xfId="6969" xr:uid="{00000000-0005-0000-0000-000058010000}"/>
    <cellStyle name="????  3 3 2 2 2 3" xfId="6970" xr:uid="{00000000-0005-0000-0000-000059010000}"/>
    <cellStyle name="????  3 3 2 2 3" xfId="6971" xr:uid="{00000000-0005-0000-0000-00005A010000}"/>
    <cellStyle name="????  3 3 2 2 3 2" xfId="6972" xr:uid="{00000000-0005-0000-0000-00005B010000}"/>
    <cellStyle name="????  3 3 2 2 4" xfId="6973" xr:uid="{00000000-0005-0000-0000-00005C010000}"/>
    <cellStyle name="????  3 3 2 2 4 2" xfId="6974" xr:uid="{00000000-0005-0000-0000-00005D010000}"/>
    <cellStyle name="????  3 3 2 2 5" xfId="6975" xr:uid="{00000000-0005-0000-0000-00005E010000}"/>
    <cellStyle name="????  3 3 2 3" xfId="6976" xr:uid="{00000000-0005-0000-0000-00005F010000}"/>
    <cellStyle name="????  3 3 2 3 2" xfId="6977" xr:uid="{00000000-0005-0000-0000-000060010000}"/>
    <cellStyle name="????  3 3 2 3 2 2" xfId="6978" xr:uid="{00000000-0005-0000-0000-000061010000}"/>
    <cellStyle name="????  3 3 2 3 3" xfId="6979" xr:uid="{00000000-0005-0000-0000-000062010000}"/>
    <cellStyle name="????  3 3 2 4" xfId="6980" xr:uid="{00000000-0005-0000-0000-000063010000}"/>
    <cellStyle name="????  3 3 2 4 2" xfId="6981" xr:uid="{00000000-0005-0000-0000-000064010000}"/>
    <cellStyle name="????  3 3 2 4 2 2" xfId="6982" xr:uid="{00000000-0005-0000-0000-000065010000}"/>
    <cellStyle name="????  3 3 2 4 3" xfId="6983" xr:uid="{00000000-0005-0000-0000-000066010000}"/>
    <cellStyle name="????  3 3 2 5" xfId="6984" xr:uid="{00000000-0005-0000-0000-000067010000}"/>
    <cellStyle name="????  3 3 2 5 2" xfId="6985" xr:uid="{00000000-0005-0000-0000-000068010000}"/>
    <cellStyle name="????  3 3 2 6" xfId="6986" xr:uid="{00000000-0005-0000-0000-000069010000}"/>
    <cellStyle name="????  3 3 2 6 2" xfId="6987" xr:uid="{00000000-0005-0000-0000-00006A010000}"/>
    <cellStyle name="????  3 3 2 7" xfId="6988" xr:uid="{00000000-0005-0000-0000-00006B010000}"/>
    <cellStyle name="????  3 3 3" xfId="6989" xr:uid="{00000000-0005-0000-0000-00006C010000}"/>
    <cellStyle name="????  3 3 3 2" xfId="6990" xr:uid="{00000000-0005-0000-0000-00006D010000}"/>
    <cellStyle name="????  3 3 3 2 2" xfId="6991" xr:uid="{00000000-0005-0000-0000-00006E010000}"/>
    <cellStyle name="????  3 3 3 2 2 2" xfId="6992" xr:uid="{00000000-0005-0000-0000-00006F010000}"/>
    <cellStyle name="????  3 3 3 2 3" xfId="6993" xr:uid="{00000000-0005-0000-0000-000070010000}"/>
    <cellStyle name="????  3 3 3 3" xfId="6994" xr:uid="{00000000-0005-0000-0000-000071010000}"/>
    <cellStyle name="????  3 3 3 3 2" xfId="6995" xr:uid="{00000000-0005-0000-0000-000072010000}"/>
    <cellStyle name="????  3 3 3 4" xfId="6996" xr:uid="{00000000-0005-0000-0000-000073010000}"/>
    <cellStyle name="????  3 3 3 4 2" xfId="6997" xr:uid="{00000000-0005-0000-0000-000074010000}"/>
    <cellStyle name="????  3 3 3 5" xfId="6998" xr:uid="{00000000-0005-0000-0000-000075010000}"/>
    <cellStyle name="????  3 3 4" xfId="6999" xr:uid="{00000000-0005-0000-0000-000076010000}"/>
    <cellStyle name="????  3 3 4 2" xfId="7000" xr:uid="{00000000-0005-0000-0000-000077010000}"/>
    <cellStyle name="????  3 3 4 2 2" xfId="7001" xr:uid="{00000000-0005-0000-0000-000078010000}"/>
    <cellStyle name="????  3 3 4 3" xfId="7002" xr:uid="{00000000-0005-0000-0000-000079010000}"/>
    <cellStyle name="????  3 3 5" xfId="7003" xr:uid="{00000000-0005-0000-0000-00007A010000}"/>
    <cellStyle name="????  3 3 5 2" xfId="7004" xr:uid="{00000000-0005-0000-0000-00007B010000}"/>
    <cellStyle name="????  3 3 5 2 2" xfId="7005" xr:uid="{00000000-0005-0000-0000-00007C010000}"/>
    <cellStyle name="????  3 3 5 3" xfId="7006" xr:uid="{00000000-0005-0000-0000-00007D010000}"/>
    <cellStyle name="????  3 3 6" xfId="7007" xr:uid="{00000000-0005-0000-0000-00007E010000}"/>
    <cellStyle name="????  3 3 6 2" xfId="7008" xr:uid="{00000000-0005-0000-0000-00007F010000}"/>
    <cellStyle name="????  3 3 7" xfId="7009" xr:uid="{00000000-0005-0000-0000-000080010000}"/>
    <cellStyle name="????  3 3 7 2" xfId="7010" xr:uid="{00000000-0005-0000-0000-000081010000}"/>
    <cellStyle name="????  3 3 8" xfId="7011" xr:uid="{00000000-0005-0000-0000-000082010000}"/>
    <cellStyle name="????  3 4" xfId="7012" xr:uid="{00000000-0005-0000-0000-000083010000}"/>
    <cellStyle name="????  3 4 2" xfId="7013" xr:uid="{00000000-0005-0000-0000-000084010000}"/>
    <cellStyle name="????  3 4 2 2" xfId="7014" xr:uid="{00000000-0005-0000-0000-000085010000}"/>
    <cellStyle name="????  3 4 2 2 2" xfId="7015" xr:uid="{00000000-0005-0000-0000-000086010000}"/>
    <cellStyle name="????  3 4 2 2 2 2" xfId="7016" xr:uid="{00000000-0005-0000-0000-000087010000}"/>
    <cellStyle name="????  3 4 2 2 3" xfId="7017" xr:uid="{00000000-0005-0000-0000-000088010000}"/>
    <cellStyle name="????  3 4 2 3" xfId="7018" xr:uid="{00000000-0005-0000-0000-000089010000}"/>
    <cellStyle name="????  3 4 2 3 2" xfId="7019" xr:uid="{00000000-0005-0000-0000-00008A010000}"/>
    <cellStyle name="????  3 4 2 4" xfId="7020" xr:uid="{00000000-0005-0000-0000-00008B010000}"/>
    <cellStyle name="????  3 4 2 4 2" xfId="7021" xr:uid="{00000000-0005-0000-0000-00008C010000}"/>
    <cellStyle name="????  3 4 2 5" xfId="7022" xr:uid="{00000000-0005-0000-0000-00008D010000}"/>
    <cellStyle name="????  3 4 3" xfId="7023" xr:uid="{00000000-0005-0000-0000-00008E010000}"/>
    <cellStyle name="????  3 4 3 2" xfId="7024" xr:uid="{00000000-0005-0000-0000-00008F010000}"/>
    <cellStyle name="????  3 4 3 2 2" xfId="7025" xr:uid="{00000000-0005-0000-0000-000090010000}"/>
    <cellStyle name="????  3 4 3 3" xfId="7026" xr:uid="{00000000-0005-0000-0000-000091010000}"/>
    <cellStyle name="????  3 4 4" xfId="7027" xr:uid="{00000000-0005-0000-0000-000092010000}"/>
    <cellStyle name="????  3 4 4 2" xfId="7028" xr:uid="{00000000-0005-0000-0000-000093010000}"/>
    <cellStyle name="????  3 4 4 2 2" xfId="7029" xr:uid="{00000000-0005-0000-0000-000094010000}"/>
    <cellStyle name="????  3 4 4 3" xfId="7030" xr:uid="{00000000-0005-0000-0000-000095010000}"/>
    <cellStyle name="????  3 4 5" xfId="7031" xr:uid="{00000000-0005-0000-0000-000096010000}"/>
    <cellStyle name="????  3 4 5 2" xfId="7032" xr:uid="{00000000-0005-0000-0000-000097010000}"/>
    <cellStyle name="????  3 4 6" xfId="7033" xr:uid="{00000000-0005-0000-0000-000098010000}"/>
    <cellStyle name="????  3 4 6 2" xfId="7034" xr:uid="{00000000-0005-0000-0000-000099010000}"/>
    <cellStyle name="????  3 4 7" xfId="7035" xr:uid="{00000000-0005-0000-0000-00009A010000}"/>
    <cellStyle name="????  3 5" xfId="7036" xr:uid="{00000000-0005-0000-0000-00009B010000}"/>
    <cellStyle name="????  3 5 2" xfId="7037" xr:uid="{00000000-0005-0000-0000-00009C010000}"/>
    <cellStyle name="????  3 5 2 2" xfId="7038" xr:uid="{00000000-0005-0000-0000-00009D010000}"/>
    <cellStyle name="????  3 5 2 2 2" xfId="7039" xr:uid="{00000000-0005-0000-0000-00009E010000}"/>
    <cellStyle name="????  3 5 2 2 2 2" xfId="7040" xr:uid="{00000000-0005-0000-0000-00009F010000}"/>
    <cellStyle name="????  3 5 2 2 3" xfId="7041" xr:uid="{00000000-0005-0000-0000-0000A0010000}"/>
    <cellStyle name="????  3 5 2 3" xfId="7042" xr:uid="{00000000-0005-0000-0000-0000A1010000}"/>
    <cellStyle name="????  3 5 2 3 2" xfId="7043" xr:uid="{00000000-0005-0000-0000-0000A2010000}"/>
    <cellStyle name="????  3 5 2 4" xfId="7044" xr:uid="{00000000-0005-0000-0000-0000A3010000}"/>
    <cellStyle name="????  3 5 2 4 2" xfId="7045" xr:uid="{00000000-0005-0000-0000-0000A4010000}"/>
    <cellStyle name="????  3 5 2 5" xfId="7046" xr:uid="{00000000-0005-0000-0000-0000A5010000}"/>
    <cellStyle name="????  3 5 3" xfId="7047" xr:uid="{00000000-0005-0000-0000-0000A6010000}"/>
    <cellStyle name="????  3 5 3 2" xfId="7048" xr:uid="{00000000-0005-0000-0000-0000A7010000}"/>
    <cellStyle name="????  3 5 3 2 2" xfId="7049" xr:uid="{00000000-0005-0000-0000-0000A8010000}"/>
    <cellStyle name="????  3 5 3 3" xfId="7050" xr:uid="{00000000-0005-0000-0000-0000A9010000}"/>
    <cellStyle name="????  3 5 4" xfId="7051" xr:uid="{00000000-0005-0000-0000-0000AA010000}"/>
    <cellStyle name="????  3 5 4 2" xfId="7052" xr:uid="{00000000-0005-0000-0000-0000AB010000}"/>
    <cellStyle name="????  3 5 4 2 2" xfId="7053" xr:uid="{00000000-0005-0000-0000-0000AC010000}"/>
    <cellStyle name="????  3 5 4 3" xfId="7054" xr:uid="{00000000-0005-0000-0000-0000AD010000}"/>
    <cellStyle name="????  3 5 5" xfId="7055" xr:uid="{00000000-0005-0000-0000-0000AE010000}"/>
    <cellStyle name="????  3 5 5 2" xfId="7056" xr:uid="{00000000-0005-0000-0000-0000AF010000}"/>
    <cellStyle name="????  3 5 6" xfId="7057" xr:uid="{00000000-0005-0000-0000-0000B0010000}"/>
    <cellStyle name="????  3 5 6 2" xfId="7058" xr:uid="{00000000-0005-0000-0000-0000B1010000}"/>
    <cellStyle name="????  3 5 7" xfId="7059" xr:uid="{00000000-0005-0000-0000-0000B2010000}"/>
    <cellStyle name="????  3 6" xfId="7060" xr:uid="{00000000-0005-0000-0000-0000B3010000}"/>
    <cellStyle name="????  3 6 2" xfId="7061" xr:uid="{00000000-0005-0000-0000-0000B4010000}"/>
    <cellStyle name="????  3 6 2 2" xfId="7062" xr:uid="{00000000-0005-0000-0000-0000B5010000}"/>
    <cellStyle name="????  3 6 2 2 2" xfId="7063" xr:uid="{00000000-0005-0000-0000-0000B6010000}"/>
    <cellStyle name="????  3 6 2 3" xfId="7064" xr:uid="{00000000-0005-0000-0000-0000B7010000}"/>
    <cellStyle name="????  3 6 3" xfId="7065" xr:uid="{00000000-0005-0000-0000-0000B8010000}"/>
    <cellStyle name="????  3 6 3 2" xfId="7066" xr:uid="{00000000-0005-0000-0000-0000B9010000}"/>
    <cellStyle name="????  3 6 4" xfId="7067" xr:uid="{00000000-0005-0000-0000-0000BA010000}"/>
    <cellStyle name="????  3 6 4 2" xfId="7068" xr:uid="{00000000-0005-0000-0000-0000BB010000}"/>
    <cellStyle name="????  3 6 5" xfId="7069" xr:uid="{00000000-0005-0000-0000-0000BC010000}"/>
    <cellStyle name="????  3 7" xfId="7070" xr:uid="{00000000-0005-0000-0000-0000BD010000}"/>
    <cellStyle name="????  3 7 2" xfId="7071" xr:uid="{00000000-0005-0000-0000-0000BE010000}"/>
    <cellStyle name="????  3 7 2 2" xfId="7072" xr:uid="{00000000-0005-0000-0000-0000BF010000}"/>
    <cellStyle name="????  3 7 3" xfId="7073" xr:uid="{00000000-0005-0000-0000-0000C0010000}"/>
    <cellStyle name="????  3 8" xfId="7074" xr:uid="{00000000-0005-0000-0000-0000C1010000}"/>
    <cellStyle name="????  3 8 2" xfId="7075" xr:uid="{00000000-0005-0000-0000-0000C2010000}"/>
    <cellStyle name="????  3 8 2 2" xfId="7076" xr:uid="{00000000-0005-0000-0000-0000C3010000}"/>
    <cellStyle name="????  3 8 3" xfId="7077" xr:uid="{00000000-0005-0000-0000-0000C4010000}"/>
    <cellStyle name="????  3 9" xfId="7078" xr:uid="{00000000-0005-0000-0000-0000C5010000}"/>
    <cellStyle name="????  3 9 2" xfId="7079" xr:uid="{00000000-0005-0000-0000-0000C6010000}"/>
    <cellStyle name="????  4" xfId="7080" xr:uid="{00000000-0005-0000-0000-0000C7010000}"/>
    <cellStyle name="????  4 2" xfId="7081" xr:uid="{00000000-0005-0000-0000-0000C8010000}"/>
    <cellStyle name="????  4 2 2" xfId="7082" xr:uid="{00000000-0005-0000-0000-0000C9010000}"/>
    <cellStyle name="????  4 2 2 2" xfId="7083" xr:uid="{00000000-0005-0000-0000-0000CA010000}"/>
    <cellStyle name="????  4 2 2 2 2" xfId="7084" xr:uid="{00000000-0005-0000-0000-0000CB010000}"/>
    <cellStyle name="????  4 2 2 2 2 2" xfId="7085" xr:uid="{00000000-0005-0000-0000-0000CC010000}"/>
    <cellStyle name="????  4 2 2 2 3" xfId="7086" xr:uid="{00000000-0005-0000-0000-0000CD010000}"/>
    <cellStyle name="????  4 2 2 3" xfId="7087" xr:uid="{00000000-0005-0000-0000-0000CE010000}"/>
    <cellStyle name="????  4 2 2 3 2" xfId="7088" xr:uid="{00000000-0005-0000-0000-0000CF010000}"/>
    <cellStyle name="????  4 2 2 4" xfId="7089" xr:uid="{00000000-0005-0000-0000-0000D0010000}"/>
    <cellStyle name="????  4 2 2 4 2" xfId="7090" xr:uid="{00000000-0005-0000-0000-0000D1010000}"/>
    <cellStyle name="????  4 2 2 5" xfId="7091" xr:uid="{00000000-0005-0000-0000-0000D2010000}"/>
    <cellStyle name="????  4 2 3" xfId="7092" xr:uid="{00000000-0005-0000-0000-0000D3010000}"/>
    <cellStyle name="????  4 2 3 2" xfId="7093" xr:uid="{00000000-0005-0000-0000-0000D4010000}"/>
    <cellStyle name="????  4 2 3 2 2" xfId="7094" xr:uid="{00000000-0005-0000-0000-0000D5010000}"/>
    <cellStyle name="????  4 2 3 3" xfId="7095" xr:uid="{00000000-0005-0000-0000-0000D6010000}"/>
    <cellStyle name="????  4 2 4" xfId="7096" xr:uid="{00000000-0005-0000-0000-0000D7010000}"/>
    <cellStyle name="????  4 2 4 2" xfId="7097" xr:uid="{00000000-0005-0000-0000-0000D8010000}"/>
    <cellStyle name="????  4 2 4 2 2" xfId="7098" xr:uid="{00000000-0005-0000-0000-0000D9010000}"/>
    <cellStyle name="????  4 2 4 3" xfId="7099" xr:uid="{00000000-0005-0000-0000-0000DA010000}"/>
    <cellStyle name="????  4 2 5" xfId="7100" xr:uid="{00000000-0005-0000-0000-0000DB010000}"/>
    <cellStyle name="????  4 2 5 2" xfId="7101" xr:uid="{00000000-0005-0000-0000-0000DC010000}"/>
    <cellStyle name="????  4 2 6" xfId="7102" xr:uid="{00000000-0005-0000-0000-0000DD010000}"/>
    <cellStyle name="????  4 2 6 2" xfId="7103" xr:uid="{00000000-0005-0000-0000-0000DE010000}"/>
    <cellStyle name="????  4 2 7" xfId="7104" xr:uid="{00000000-0005-0000-0000-0000DF010000}"/>
    <cellStyle name="????  4 3" xfId="7105" xr:uid="{00000000-0005-0000-0000-0000E0010000}"/>
    <cellStyle name="????  4 3 2" xfId="7106" xr:uid="{00000000-0005-0000-0000-0000E1010000}"/>
    <cellStyle name="????  4 3 2 2" xfId="7107" xr:uid="{00000000-0005-0000-0000-0000E2010000}"/>
    <cellStyle name="????  4 3 2 2 2" xfId="7108" xr:uid="{00000000-0005-0000-0000-0000E3010000}"/>
    <cellStyle name="????  4 3 2 2 2 2" xfId="7109" xr:uid="{00000000-0005-0000-0000-0000E4010000}"/>
    <cellStyle name="????  4 3 2 2 3" xfId="7110" xr:uid="{00000000-0005-0000-0000-0000E5010000}"/>
    <cellStyle name="????  4 3 2 3" xfId="7111" xr:uid="{00000000-0005-0000-0000-0000E6010000}"/>
    <cellStyle name="????  4 3 2 3 2" xfId="7112" xr:uid="{00000000-0005-0000-0000-0000E7010000}"/>
    <cellStyle name="????  4 3 2 4" xfId="7113" xr:uid="{00000000-0005-0000-0000-0000E8010000}"/>
    <cellStyle name="????  4 3 2 4 2" xfId="7114" xr:uid="{00000000-0005-0000-0000-0000E9010000}"/>
    <cellStyle name="????  4 3 2 5" xfId="7115" xr:uid="{00000000-0005-0000-0000-0000EA010000}"/>
    <cellStyle name="????  4 3 3" xfId="7116" xr:uid="{00000000-0005-0000-0000-0000EB010000}"/>
    <cellStyle name="????  4 3 3 2" xfId="7117" xr:uid="{00000000-0005-0000-0000-0000EC010000}"/>
    <cellStyle name="????  4 3 3 2 2" xfId="7118" xr:uid="{00000000-0005-0000-0000-0000ED010000}"/>
    <cellStyle name="????  4 3 3 3" xfId="7119" xr:uid="{00000000-0005-0000-0000-0000EE010000}"/>
    <cellStyle name="????  4 3 4" xfId="7120" xr:uid="{00000000-0005-0000-0000-0000EF010000}"/>
    <cellStyle name="????  4 3 4 2" xfId="7121" xr:uid="{00000000-0005-0000-0000-0000F0010000}"/>
    <cellStyle name="????  4 3 4 2 2" xfId="7122" xr:uid="{00000000-0005-0000-0000-0000F1010000}"/>
    <cellStyle name="????  4 3 4 3" xfId="7123" xr:uid="{00000000-0005-0000-0000-0000F2010000}"/>
    <cellStyle name="????  4 3 5" xfId="7124" xr:uid="{00000000-0005-0000-0000-0000F3010000}"/>
    <cellStyle name="????  4 3 5 2" xfId="7125" xr:uid="{00000000-0005-0000-0000-0000F4010000}"/>
    <cellStyle name="????  4 3 6" xfId="7126" xr:uid="{00000000-0005-0000-0000-0000F5010000}"/>
    <cellStyle name="????  4 3 6 2" xfId="7127" xr:uid="{00000000-0005-0000-0000-0000F6010000}"/>
    <cellStyle name="????  4 3 7" xfId="7128" xr:uid="{00000000-0005-0000-0000-0000F7010000}"/>
    <cellStyle name="????  4 4" xfId="7129" xr:uid="{00000000-0005-0000-0000-0000F8010000}"/>
    <cellStyle name="????  4 4 2" xfId="7130" xr:uid="{00000000-0005-0000-0000-0000F9010000}"/>
    <cellStyle name="????  4 4 2 2" xfId="7131" xr:uid="{00000000-0005-0000-0000-0000FA010000}"/>
    <cellStyle name="????  4 4 2 2 2" xfId="7132" xr:uid="{00000000-0005-0000-0000-0000FB010000}"/>
    <cellStyle name="????  4 4 2 3" xfId="7133" xr:uid="{00000000-0005-0000-0000-0000FC010000}"/>
    <cellStyle name="????  4 4 3" xfId="7134" xr:uid="{00000000-0005-0000-0000-0000FD010000}"/>
    <cellStyle name="????  4 4 3 2" xfId="7135" xr:uid="{00000000-0005-0000-0000-0000FE010000}"/>
    <cellStyle name="????  4 4 4" xfId="7136" xr:uid="{00000000-0005-0000-0000-0000FF010000}"/>
    <cellStyle name="????  4 4 4 2" xfId="7137" xr:uid="{00000000-0005-0000-0000-000000020000}"/>
    <cellStyle name="????  4 4 5" xfId="7138" xr:uid="{00000000-0005-0000-0000-000001020000}"/>
    <cellStyle name="????  4 5" xfId="7139" xr:uid="{00000000-0005-0000-0000-000002020000}"/>
    <cellStyle name="????  4 5 2" xfId="7140" xr:uid="{00000000-0005-0000-0000-000003020000}"/>
    <cellStyle name="????  4 5 2 2" xfId="7141" xr:uid="{00000000-0005-0000-0000-000004020000}"/>
    <cellStyle name="????  4 5 3" xfId="7142" xr:uid="{00000000-0005-0000-0000-000005020000}"/>
    <cellStyle name="????  4 6" xfId="7143" xr:uid="{00000000-0005-0000-0000-000006020000}"/>
    <cellStyle name="????  4 6 2" xfId="7144" xr:uid="{00000000-0005-0000-0000-000007020000}"/>
    <cellStyle name="????  4 6 2 2" xfId="7145" xr:uid="{00000000-0005-0000-0000-000008020000}"/>
    <cellStyle name="????  4 6 3" xfId="7146" xr:uid="{00000000-0005-0000-0000-000009020000}"/>
    <cellStyle name="????  4 7" xfId="7147" xr:uid="{00000000-0005-0000-0000-00000A020000}"/>
    <cellStyle name="????  4 7 2" xfId="7148" xr:uid="{00000000-0005-0000-0000-00000B020000}"/>
    <cellStyle name="????  4 8" xfId="7149" xr:uid="{00000000-0005-0000-0000-00000C020000}"/>
    <cellStyle name="????  4 8 2" xfId="7150" xr:uid="{00000000-0005-0000-0000-00000D020000}"/>
    <cellStyle name="????  4 9" xfId="7151" xr:uid="{00000000-0005-0000-0000-00000E020000}"/>
    <cellStyle name="????  5" xfId="7152" xr:uid="{00000000-0005-0000-0000-00000F020000}"/>
    <cellStyle name="????  5 2" xfId="7153" xr:uid="{00000000-0005-0000-0000-000010020000}"/>
    <cellStyle name="????  5 2 2" xfId="7154" xr:uid="{00000000-0005-0000-0000-000011020000}"/>
    <cellStyle name="????  5 2 2 2" xfId="7155" xr:uid="{00000000-0005-0000-0000-000012020000}"/>
    <cellStyle name="????  5 2 2 2 2" xfId="7156" xr:uid="{00000000-0005-0000-0000-000013020000}"/>
    <cellStyle name="????  5 2 2 2 2 2" xfId="7157" xr:uid="{00000000-0005-0000-0000-000014020000}"/>
    <cellStyle name="????  5 2 2 2 3" xfId="7158" xr:uid="{00000000-0005-0000-0000-000015020000}"/>
    <cellStyle name="????  5 2 2 3" xfId="7159" xr:uid="{00000000-0005-0000-0000-000016020000}"/>
    <cellStyle name="????  5 2 2 3 2" xfId="7160" xr:uid="{00000000-0005-0000-0000-000017020000}"/>
    <cellStyle name="????  5 2 2 4" xfId="7161" xr:uid="{00000000-0005-0000-0000-000018020000}"/>
    <cellStyle name="????  5 2 2 4 2" xfId="7162" xr:uid="{00000000-0005-0000-0000-000019020000}"/>
    <cellStyle name="????  5 2 2 5" xfId="7163" xr:uid="{00000000-0005-0000-0000-00001A020000}"/>
    <cellStyle name="????  5 2 3" xfId="7164" xr:uid="{00000000-0005-0000-0000-00001B020000}"/>
    <cellStyle name="????  5 2 3 2" xfId="7165" xr:uid="{00000000-0005-0000-0000-00001C020000}"/>
    <cellStyle name="????  5 2 3 2 2" xfId="7166" xr:uid="{00000000-0005-0000-0000-00001D020000}"/>
    <cellStyle name="????  5 2 3 3" xfId="7167" xr:uid="{00000000-0005-0000-0000-00001E020000}"/>
    <cellStyle name="????  5 2 4" xfId="7168" xr:uid="{00000000-0005-0000-0000-00001F020000}"/>
    <cellStyle name="????  5 2 4 2" xfId="7169" xr:uid="{00000000-0005-0000-0000-000020020000}"/>
    <cellStyle name="????  5 2 4 2 2" xfId="7170" xr:uid="{00000000-0005-0000-0000-000021020000}"/>
    <cellStyle name="????  5 2 4 3" xfId="7171" xr:uid="{00000000-0005-0000-0000-000022020000}"/>
    <cellStyle name="????  5 2 5" xfId="7172" xr:uid="{00000000-0005-0000-0000-000023020000}"/>
    <cellStyle name="????  5 2 5 2" xfId="7173" xr:uid="{00000000-0005-0000-0000-000024020000}"/>
    <cellStyle name="????  5 2 6" xfId="7174" xr:uid="{00000000-0005-0000-0000-000025020000}"/>
    <cellStyle name="????  5 2 6 2" xfId="7175" xr:uid="{00000000-0005-0000-0000-000026020000}"/>
    <cellStyle name="????  5 2 7" xfId="7176" xr:uid="{00000000-0005-0000-0000-000027020000}"/>
    <cellStyle name="????  5 3" xfId="7177" xr:uid="{00000000-0005-0000-0000-000028020000}"/>
    <cellStyle name="????  5 3 2" xfId="7178" xr:uid="{00000000-0005-0000-0000-000029020000}"/>
    <cellStyle name="????  5 3 2 2" xfId="7179" xr:uid="{00000000-0005-0000-0000-00002A020000}"/>
    <cellStyle name="????  5 3 2 2 2" xfId="7180" xr:uid="{00000000-0005-0000-0000-00002B020000}"/>
    <cellStyle name="????  5 3 2 2 2 2" xfId="7181" xr:uid="{00000000-0005-0000-0000-00002C020000}"/>
    <cellStyle name="????  5 3 2 2 3" xfId="7182" xr:uid="{00000000-0005-0000-0000-00002D020000}"/>
    <cellStyle name="????  5 3 2 3" xfId="7183" xr:uid="{00000000-0005-0000-0000-00002E020000}"/>
    <cellStyle name="????  5 3 2 3 2" xfId="7184" xr:uid="{00000000-0005-0000-0000-00002F020000}"/>
    <cellStyle name="????  5 3 2 4" xfId="7185" xr:uid="{00000000-0005-0000-0000-000030020000}"/>
    <cellStyle name="????  5 3 2 4 2" xfId="7186" xr:uid="{00000000-0005-0000-0000-000031020000}"/>
    <cellStyle name="????  5 3 2 5" xfId="7187" xr:uid="{00000000-0005-0000-0000-000032020000}"/>
    <cellStyle name="????  5 3 3" xfId="7188" xr:uid="{00000000-0005-0000-0000-000033020000}"/>
    <cellStyle name="????  5 3 3 2" xfId="7189" xr:uid="{00000000-0005-0000-0000-000034020000}"/>
    <cellStyle name="????  5 3 3 2 2" xfId="7190" xr:uid="{00000000-0005-0000-0000-000035020000}"/>
    <cellStyle name="????  5 3 3 3" xfId="7191" xr:uid="{00000000-0005-0000-0000-000036020000}"/>
    <cellStyle name="????  5 3 4" xfId="7192" xr:uid="{00000000-0005-0000-0000-000037020000}"/>
    <cellStyle name="????  5 3 4 2" xfId="7193" xr:uid="{00000000-0005-0000-0000-000038020000}"/>
    <cellStyle name="????  5 3 4 2 2" xfId="7194" xr:uid="{00000000-0005-0000-0000-000039020000}"/>
    <cellStyle name="????  5 3 4 3" xfId="7195" xr:uid="{00000000-0005-0000-0000-00003A020000}"/>
    <cellStyle name="????  5 3 5" xfId="7196" xr:uid="{00000000-0005-0000-0000-00003B020000}"/>
    <cellStyle name="????  5 3 5 2" xfId="7197" xr:uid="{00000000-0005-0000-0000-00003C020000}"/>
    <cellStyle name="????  5 3 6" xfId="7198" xr:uid="{00000000-0005-0000-0000-00003D020000}"/>
    <cellStyle name="????  5 3 6 2" xfId="7199" xr:uid="{00000000-0005-0000-0000-00003E020000}"/>
    <cellStyle name="????  5 3 7" xfId="7200" xr:uid="{00000000-0005-0000-0000-00003F020000}"/>
    <cellStyle name="????  5 4" xfId="7201" xr:uid="{00000000-0005-0000-0000-000040020000}"/>
    <cellStyle name="????  5 4 2" xfId="7202" xr:uid="{00000000-0005-0000-0000-000041020000}"/>
    <cellStyle name="????  5 4 2 2" xfId="7203" xr:uid="{00000000-0005-0000-0000-000042020000}"/>
    <cellStyle name="????  5 4 2 2 2" xfId="7204" xr:uid="{00000000-0005-0000-0000-000043020000}"/>
    <cellStyle name="????  5 4 2 3" xfId="7205" xr:uid="{00000000-0005-0000-0000-000044020000}"/>
    <cellStyle name="????  5 4 3" xfId="7206" xr:uid="{00000000-0005-0000-0000-000045020000}"/>
    <cellStyle name="????  5 4 3 2" xfId="7207" xr:uid="{00000000-0005-0000-0000-000046020000}"/>
    <cellStyle name="????  5 4 4" xfId="7208" xr:uid="{00000000-0005-0000-0000-000047020000}"/>
    <cellStyle name="????  5 4 4 2" xfId="7209" xr:uid="{00000000-0005-0000-0000-000048020000}"/>
    <cellStyle name="????  5 4 5" xfId="7210" xr:uid="{00000000-0005-0000-0000-000049020000}"/>
    <cellStyle name="????  5 5" xfId="7211" xr:uid="{00000000-0005-0000-0000-00004A020000}"/>
    <cellStyle name="????  5 5 2" xfId="7212" xr:uid="{00000000-0005-0000-0000-00004B020000}"/>
    <cellStyle name="????  5 5 2 2" xfId="7213" xr:uid="{00000000-0005-0000-0000-00004C020000}"/>
    <cellStyle name="????  5 5 3" xfId="7214" xr:uid="{00000000-0005-0000-0000-00004D020000}"/>
    <cellStyle name="????  5 6" xfId="7215" xr:uid="{00000000-0005-0000-0000-00004E020000}"/>
    <cellStyle name="????  5 6 2" xfId="7216" xr:uid="{00000000-0005-0000-0000-00004F020000}"/>
    <cellStyle name="????  5 6 2 2" xfId="7217" xr:uid="{00000000-0005-0000-0000-000050020000}"/>
    <cellStyle name="????  5 6 3" xfId="7218" xr:uid="{00000000-0005-0000-0000-000051020000}"/>
    <cellStyle name="????  5 7" xfId="7219" xr:uid="{00000000-0005-0000-0000-000052020000}"/>
    <cellStyle name="????  5 7 2" xfId="7220" xr:uid="{00000000-0005-0000-0000-000053020000}"/>
    <cellStyle name="????  5 8" xfId="7221" xr:uid="{00000000-0005-0000-0000-000054020000}"/>
    <cellStyle name="????  5 8 2" xfId="7222" xr:uid="{00000000-0005-0000-0000-000055020000}"/>
    <cellStyle name="????  5 9" xfId="7223" xr:uid="{00000000-0005-0000-0000-000056020000}"/>
    <cellStyle name="????  6" xfId="7224" xr:uid="{00000000-0005-0000-0000-000057020000}"/>
    <cellStyle name="????  6 2" xfId="7225" xr:uid="{00000000-0005-0000-0000-000058020000}"/>
    <cellStyle name="????  6 2 2" xfId="7226" xr:uid="{00000000-0005-0000-0000-000059020000}"/>
    <cellStyle name="????  6 2 2 2" xfId="7227" xr:uid="{00000000-0005-0000-0000-00005A020000}"/>
    <cellStyle name="????  6 2 2 2 2" xfId="7228" xr:uid="{00000000-0005-0000-0000-00005B020000}"/>
    <cellStyle name="????  6 2 2 3" xfId="7229" xr:uid="{00000000-0005-0000-0000-00005C020000}"/>
    <cellStyle name="????  6 2 3" xfId="7230" xr:uid="{00000000-0005-0000-0000-00005D020000}"/>
    <cellStyle name="????  6 2 3 2" xfId="7231" xr:uid="{00000000-0005-0000-0000-00005E020000}"/>
    <cellStyle name="????  6 2 4" xfId="7232" xr:uid="{00000000-0005-0000-0000-00005F020000}"/>
    <cellStyle name="????  6 2 4 2" xfId="7233" xr:uid="{00000000-0005-0000-0000-000060020000}"/>
    <cellStyle name="????  6 2 5" xfId="7234" xr:uid="{00000000-0005-0000-0000-000061020000}"/>
    <cellStyle name="????  6 3" xfId="7235" xr:uid="{00000000-0005-0000-0000-000062020000}"/>
    <cellStyle name="????  6 3 2" xfId="7236" xr:uid="{00000000-0005-0000-0000-000063020000}"/>
    <cellStyle name="????  6 3 2 2" xfId="7237" xr:uid="{00000000-0005-0000-0000-000064020000}"/>
    <cellStyle name="????  6 3 3" xfId="7238" xr:uid="{00000000-0005-0000-0000-000065020000}"/>
    <cellStyle name="????  6 4" xfId="7239" xr:uid="{00000000-0005-0000-0000-000066020000}"/>
    <cellStyle name="????  6 4 2" xfId="7240" xr:uid="{00000000-0005-0000-0000-000067020000}"/>
    <cellStyle name="????  6 4 2 2" xfId="7241" xr:uid="{00000000-0005-0000-0000-000068020000}"/>
    <cellStyle name="????  6 4 3" xfId="7242" xr:uid="{00000000-0005-0000-0000-000069020000}"/>
    <cellStyle name="????  6 5" xfId="7243" xr:uid="{00000000-0005-0000-0000-00006A020000}"/>
    <cellStyle name="????  6 5 2" xfId="7244" xr:uid="{00000000-0005-0000-0000-00006B020000}"/>
    <cellStyle name="????  6 6" xfId="7245" xr:uid="{00000000-0005-0000-0000-00006C020000}"/>
    <cellStyle name="????  6 6 2" xfId="7246" xr:uid="{00000000-0005-0000-0000-00006D020000}"/>
    <cellStyle name="????  6 7" xfId="7247" xr:uid="{00000000-0005-0000-0000-00006E020000}"/>
    <cellStyle name="????  7" xfId="7248" xr:uid="{00000000-0005-0000-0000-00006F020000}"/>
    <cellStyle name="????  7 2" xfId="7249" xr:uid="{00000000-0005-0000-0000-000070020000}"/>
    <cellStyle name="????  7 2 2" xfId="7250" xr:uid="{00000000-0005-0000-0000-000071020000}"/>
    <cellStyle name="????  7 2 2 2" xfId="7251" xr:uid="{00000000-0005-0000-0000-000072020000}"/>
    <cellStyle name="????  7 2 2 2 2" xfId="7252" xr:uid="{00000000-0005-0000-0000-000073020000}"/>
    <cellStyle name="????  7 2 2 3" xfId="7253" xr:uid="{00000000-0005-0000-0000-000074020000}"/>
    <cellStyle name="????  7 2 3" xfId="7254" xr:uid="{00000000-0005-0000-0000-000075020000}"/>
    <cellStyle name="????  7 2 3 2" xfId="7255" xr:uid="{00000000-0005-0000-0000-000076020000}"/>
    <cellStyle name="????  7 2 4" xfId="7256" xr:uid="{00000000-0005-0000-0000-000077020000}"/>
    <cellStyle name="????  7 2 4 2" xfId="7257" xr:uid="{00000000-0005-0000-0000-000078020000}"/>
    <cellStyle name="????  7 2 5" xfId="7258" xr:uid="{00000000-0005-0000-0000-000079020000}"/>
    <cellStyle name="????  7 3" xfId="7259" xr:uid="{00000000-0005-0000-0000-00007A020000}"/>
    <cellStyle name="????  7 3 2" xfId="7260" xr:uid="{00000000-0005-0000-0000-00007B020000}"/>
    <cellStyle name="????  7 3 2 2" xfId="7261" xr:uid="{00000000-0005-0000-0000-00007C020000}"/>
    <cellStyle name="????  7 3 3" xfId="7262" xr:uid="{00000000-0005-0000-0000-00007D020000}"/>
    <cellStyle name="????  7 4" xfId="7263" xr:uid="{00000000-0005-0000-0000-00007E020000}"/>
    <cellStyle name="????  7 4 2" xfId="7264" xr:uid="{00000000-0005-0000-0000-00007F020000}"/>
    <cellStyle name="????  7 4 2 2" xfId="7265" xr:uid="{00000000-0005-0000-0000-000080020000}"/>
    <cellStyle name="????  7 4 3" xfId="7266" xr:uid="{00000000-0005-0000-0000-000081020000}"/>
    <cellStyle name="????  7 5" xfId="7267" xr:uid="{00000000-0005-0000-0000-000082020000}"/>
    <cellStyle name="????  7 5 2" xfId="7268" xr:uid="{00000000-0005-0000-0000-000083020000}"/>
    <cellStyle name="????  7 6" xfId="7269" xr:uid="{00000000-0005-0000-0000-000084020000}"/>
    <cellStyle name="????  7 6 2" xfId="7270" xr:uid="{00000000-0005-0000-0000-000085020000}"/>
    <cellStyle name="????  7 7" xfId="7271" xr:uid="{00000000-0005-0000-0000-000086020000}"/>
    <cellStyle name="????  8" xfId="7272" xr:uid="{00000000-0005-0000-0000-000087020000}"/>
    <cellStyle name="????  8 2" xfId="7273" xr:uid="{00000000-0005-0000-0000-000088020000}"/>
    <cellStyle name="????  8 2 2" xfId="7274" xr:uid="{00000000-0005-0000-0000-000089020000}"/>
    <cellStyle name="????  8 2 2 2" xfId="7275" xr:uid="{00000000-0005-0000-0000-00008A020000}"/>
    <cellStyle name="????  8 2 3" xfId="7276" xr:uid="{00000000-0005-0000-0000-00008B020000}"/>
    <cellStyle name="????  8 3" xfId="7277" xr:uid="{00000000-0005-0000-0000-00008C020000}"/>
    <cellStyle name="????  8 3 2" xfId="7278" xr:uid="{00000000-0005-0000-0000-00008D020000}"/>
    <cellStyle name="????  8 4" xfId="7279" xr:uid="{00000000-0005-0000-0000-00008E020000}"/>
    <cellStyle name="????  8 4 2" xfId="7280" xr:uid="{00000000-0005-0000-0000-00008F020000}"/>
    <cellStyle name="????  8 5" xfId="7281" xr:uid="{00000000-0005-0000-0000-000090020000}"/>
    <cellStyle name="????  9" xfId="7282" xr:uid="{00000000-0005-0000-0000-000091020000}"/>
    <cellStyle name="????  9 2" xfId="7283" xr:uid="{00000000-0005-0000-0000-000092020000}"/>
    <cellStyle name="????  9 2 2" xfId="7284" xr:uid="{00000000-0005-0000-0000-000093020000}"/>
    <cellStyle name="????  9 3" xfId="7285" xr:uid="{00000000-0005-0000-0000-000094020000}"/>
    <cellStyle name="???? [0.00]_AUG98" xfId="7286" xr:uid="{00000000-0005-0000-0000-000095020000}"/>
    <cellStyle name="???? 10" xfId="7287" xr:uid="{00000000-0005-0000-0000-000096020000}"/>
    <cellStyle name="???? 2" xfId="7288" xr:uid="{00000000-0005-0000-0000-000097020000}"/>
    <cellStyle name="???? 2 10" xfId="7289" xr:uid="{00000000-0005-0000-0000-000098020000}"/>
    <cellStyle name="???? 2 2" xfId="7290" xr:uid="{00000000-0005-0000-0000-000099020000}"/>
    <cellStyle name="???? 2 2 2" xfId="7291" xr:uid="{00000000-0005-0000-0000-00009A020000}"/>
    <cellStyle name="???? 2 2 2 2" xfId="7292" xr:uid="{00000000-0005-0000-0000-00009B020000}"/>
    <cellStyle name="???? 2 2 2 2 2" xfId="7293" xr:uid="{00000000-0005-0000-0000-00009C020000}"/>
    <cellStyle name="???? 2 2 2 2 2 2" xfId="7294" xr:uid="{00000000-0005-0000-0000-00009D020000}"/>
    <cellStyle name="???? 2 2 2 2 3" xfId="7295" xr:uid="{00000000-0005-0000-0000-00009E020000}"/>
    <cellStyle name="???? 2 2 2 3" xfId="7296" xr:uid="{00000000-0005-0000-0000-00009F020000}"/>
    <cellStyle name="???? 2 2 2 3 2" xfId="7297" xr:uid="{00000000-0005-0000-0000-0000A0020000}"/>
    <cellStyle name="???? 2 2 2 4" xfId="7298" xr:uid="{00000000-0005-0000-0000-0000A1020000}"/>
    <cellStyle name="???? 2 2 2 4 2" xfId="7299" xr:uid="{00000000-0005-0000-0000-0000A2020000}"/>
    <cellStyle name="???? 2 2 2 5" xfId="7300" xr:uid="{00000000-0005-0000-0000-0000A3020000}"/>
    <cellStyle name="???? 2 2 3" xfId="7301" xr:uid="{00000000-0005-0000-0000-0000A4020000}"/>
    <cellStyle name="???? 2 2 3 2" xfId="7302" xr:uid="{00000000-0005-0000-0000-0000A5020000}"/>
    <cellStyle name="???? 2 2 3 2 2" xfId="7303" xr:uid="{00000000-0005-0000-0000-0000A6020000}"/>
    <cellStyle name="???? 2 2 3 3" xfId="7304" xr:uid="{00000000-0005-0000-0000-0000A7020000}"/>
    <cellStyle name="???? 2 2 4" xfId="7305" xr:uid="{00000000-0005-0000-0000-0000A8020000}"/>
    <cellStyle name="???? 2 2 4 2" xfId="7306" xr:uid="{00000000-0005-0000-0000-0000A9020000}"/>
    <cellStyle name="???? 2 2 5" xfId="7307" xr:uid="{00000000-0005-0000-0000-0000AA020000}"/>
    <cellStyle name="???? 2 2 5 2" xfId="7308" xr:uid="{00000000-0005-0000-0000-0000AB020000}"/>
    <cellStyle name="???? 2 2 6" xfId="7309" xr:uid="{00000000-0005-0000-0000-0000AC020000}"/>
    <cellStyle name="???? 2 2 6 2" xfId="7310" xr:uid="{00000000-0005-0000-0000-0000AD020000}"/>
    <cellStyle name="???? 2 2 7" xfId="7311" xr:uid="{00000000-0005-0000-0000-0000AE020000}"/>
    <cellStyle name="???? 2 2 7 2" xfId="7312" xr:uid="{00000000-0005-0000-0000-0000AF020000}"/>
    <cellStyle name="???? 2 2 8" xfId="7313" xr:uid="{00000000-0005-0000-0000-0000B0020000}"/>
    <cellStyle name="???? 2 3" xfId="7314" xr:uid="{00000000-0005-0000-0000-0000B1020000}"/>
    <cellStyle name="???? 2 3 2" xfId="7315" xr:uid="{00000000-0005-0000-0000-0000B2020000}"/>
    <cellStyle name="???? 2 3 2 2" xfId="7316" xr:uid="{00000000-0005-0000-0000-0000B3020000}"/>
    <cellStyle name="???? 2 3 2 2 2" xfId="7317" xr:uid="{00000000-0005-0000-0000-0000B4020000}"/>
    <cellStyle name="???? 2 3 2 2 2 2" xfId="7318" xr:uid="{00000000-0005-0000-0000-0000B5020000}"/>
    <cellStyle name="???? 2 3 2 2 3" xfId="7319" xr:uid="{00000000-0005-0000-0000-0000B6020000}"/>
    <cellStyle name="???? 2 3 2 3" xfId="7320" xr:uid="{00000000-0005-0000-0000-0000B7020000}"/>
    <cellStyle name="???? 2 3 2 3 2" xfId="7321" xr:uid="{00000000-0005-0000-0000-0000B8020000}"/>
    <cellStyle name="???? 2 3 2 4" xfId="7322" xr:uid="{00000000-0005-0000-0000-0000B9020000}"/>
    <cellStyle name="???? 2 3 2 4 2" xfId="7323" xr:uid="{00000000-0005-0000-0000-0000BA020000}"/>
    <cellStyle name="???? 2 3 2 5" xfId="7324" xr:uid="{00000000-0005-0000-0000-0000BB020000}"/>
    <cellStyle name="???? 2 3 3" xfId="7325" xr:uid="{00000000-0005-0000-0000-0000BC020000}"/>
    <cellStyle name="???? 2 3 3 2" xfId="7326" xr:uid="{00000000-0005-0000-0000-0000BD020000}"/>
    <cellStyle name="???? 2 3 3 2 2" xfId="7327" xr:uid="{00000000-0005-0000-0000-0000BE020000}"/>
    <cellStyle name="???? 2 3 3 3" xfId="7328" xr:uid="{00000000-0005-0000-0000-0000BF020000}"/>
    <cellStyle name="???? 2 3 4" xfId="7329" xr:uid="{00000000-0005-0000-0000-0000C0020000}"/>
    <cellStyle name="???? 2 3 4 2" xfId="7330" xr:uid="{00000000-0005-0000-0000-0000C1020000}"/>
    <cellStyle name="???? 2 3 5" xfId="7331" xr:uid="{00000000-0005-0000-0000-0000C2020000}"/>
    <cellStyle name="???? 2 3 5 2" xfId="7332" xr:uid="{00000000-0005-0000-0000-0000C3020000}"/>
    <cellStyle name="???? 2 3 6" xfId="7333" xr:uid="{00000000-0005-0000-0000-0000C4020000}"/>
    <cellStyle name="???? 2 3 6 2" xfId="7334" xr:uid="{00000000-0005-0000-0000-0000C5020000}"/>
    <cellStyle name="???? 2 3 7" xfId="7335" xr:uid="{00000000-0005-0000-0000-0000C6020000}"/>
    <cellStyle name="???? 2 3 7 2" xfId="7336" xr:uid="{00000000-0005-0000-0000-0000C7020000}"/>
    <cellStyle name="???? 2 3 8" xfId="7337" xr:uid="{00000000-0005-0000-0000-0000C8020000}"/>
    <cellStyle name="???? 2 4" xfId="7338" xr:uid="{00000000-0005-0000-0000-0000C9020000}"/>
    <cellStyle name="???? 2 4 2" xfId="7339" xr:uid="{00000000-0005-0000-0000-0000CA020000}"/>
    <cellStyle name="???? 2 4 2 2" xfId="7340" xr:uid="{00000000-0005-0000-0000-0000CB020000}"/>
    <cellStyle name="???? 2 4 2 2 2" xfId="7341" xr:uid="{00000000-0005-0000-0000-0000CC020000}"/>
    <cellStyle name="???? 2 4 2 3" xfId="7342" xr:uid="{00000000-0005-0000-0000-0000CD020000}"/>
    <cellStyle name="???? 2 4 3" xfId="7343" xr:uid="{00000000-0005-0000-0000-0000CE020000}"/>
    <cellStyle name="???? 2 4 3 2" xfId="7344" xr:uid="{00000000-0005-0000-0000-0000CF020000}"/>
    <cellStyle name="???? 2 4 4" xfId="7345" xr:uid="{00000000-0005-0000-0000-0000D0020000}"/>
    <cellStyle name="???? 2 4 4 2" xfId="7346" xr:uid="{00000000-0005-0000-0000-0000D1020000}"/>
    <cellStyle name="???? 2 4 5" xfId="7347" xr:uid="{00000000-0005-0000-0000-0000D2020000}"/>
    <cellStyle name="???? 2 5" xfId="7348" xr:uid="{00000000-0005-0000-0000-0000D3020000}"/>
    <cellStyle name="???? 2 5 2" xfId="7349" xr:uid="{00000000-0005-0000-0000-0000D4020000}"/>
    <cellStyle name="???? 2 5 2 2" xfId="7350" xr:uid="{00000000-0005-0000-0000-0000D5020000}"/>
    <cellStyle name="???? 2 5 3" xfId="7351" xr:uid="{00000000-0005-0000-0000-0000D6020000}"/>
    <cellStyle name="???? 2 6" xfId="7352" xr:uid="{00000000-0005-0000-0000-0000D7020000}"/>
    <cellStyle name="???? 2 6 2" xfId="7353" xr:uid="{00000000-0005-0000-0000-0000D8020000}"/>
    <cellStyle name="???? 2 7" xfId="7354" xr:uid="{00000000-0005-0000-0000-0000D9020000}"/>
    <cellStyle name="???? 2 7 2" xfId="7355" xr:uid="{00000000-0005-0000-0000-0000DA020000}"/>
    <cellStyle name="???? 2 8" xfId="7356" xr:uid="{00000000-0005-0000-0000-0000DB020000}"/>
    <cellStyle name="???? 2 8 2" xfId="7357" xr:uid="{00000000-0005-0000-0000-0000DC020000}"/>
    <cellStyle name="???? 2 9" xfId="7358" xr:uid="{00000000-0005-0000-0000-0000DD020000}"/>
    <cellStyle name="???? 2 9 2" xfId="7359" xr:uid="{00000000-0005-0000-0000-0000DE020000}"/>
    <cellStyle name="???? 3" xfId="7360" xr:uid="{00000000-0005-0000-0000-0000DF020000}"/>
    <cellStyle name="???? 3 2" xfId="7361" xr:uid="{00000000-0005-0000-0000-0000E0020000}"/>
    <cellStyle name="???? 3 2 2" xfId="7362" xr:uid="{00000000-0005-0000-0000-0000E1020000}"/>
    <cellStyle name="???? 3 2 2 2" xfId="7363" xr:uid="{00000000-0005-0000-0000-0000E2020000}"/>
    <cellStyle name="???? 3 2 2 2 2" xfId="7364" xr:uid="{00000000-0005-0000-0000-0000E3020000}"/>
    <cellStyle name="???? 3 2 2 3" xfId="7365" xr:uid="{00000000-0005-0000-0000-0000E4020000}"/>
    <cellStyle name="???? 3 2 3" xfId="7366" xr:uid="{00000000-0005-0000-0000-0000E5020000}"/>
    <cellStyle name="???? 3 2 3 2" xfId="7367" xr:uid="{00000000-0005-0000-0000-0000E6020000}"/>
    <cellStyle name="???? 3 2 4" xfId="7368" xr:uid="{00000000-0005-0000-0000-0000E7020000}"/>
    <cellStyle name="???? 3 2 4 2" xfId="7369" xr:uid="{00000000-0005-0000-0000-0000E8020000}"/>
    <cellStyle name="???? 3 2 5" xfId="7370" xr:uid="{00000000-0005-0000-0000-0000E9020000}"/>
    <cellStyle name="???? 3 3" xfId="7371" xr:uid="{00000000-0005-0000-0000-0000EA020000}"/>
    <cellStyle name="???? 3 3 2" xfId="7372" xr:uid="{00000000-0005-0000-0000-0000EB020000}"/>
    <cellStyle name="???? 3 3 2 2" xfId="7373" xr:uid="{00000000-0005-0000-0000-0000EC020000}"/>
    <cellStyle name="???? 3 3 3" xfId="7374" xr:uid="{00000000-0005-0000-0000-0000ED020000}"/>
    <cellStyle name="???? 3 4" xfId="7375" xr:uid="{00000000-0005-0000-0000-0000EE020000}"/>
    <cellStyle name="???? 3 4 2" xfId="7376" xr:uid="{00000000-0005-0000-0000-0000EF020000}"/>
    <cellStyle name="???? 3 5" xfId="7377" xr:uid="{00000000-0005-0000-0000-0000F0020000}"/>
    <cellStyle name="???? 3 5 2" xfId="7378" xr:uid="{00000000-0005-0000-0000-0000F1020000}"/>
    <cellStyle name="???? 3 6" xfId="7379" xr:uid="{00000000-0005-0000-0000-0000F2020000}"/>
    <cellStyle name="???? 3 6 2" xfId="7380" xr:uid="{00000000-0005-0000-0000-0000F3020000}"/>
    <cellStyle name="???? 3 7" xfId="7381" xr:uid="{00000000-0005-0000-0000-0000F4020000}"/>
    <cellStyle name="???? 3 7 2" xfId="7382" xr:uid="{00000000-0005-0000-0000-0000F5020000}"/>
    <cellStyle name="???? 3 8" xfId="7383" xr:uid="{00000000-0005-0000-0000-0000F6020000}"/>
    <cellStyle name="???? 4" xfId="7384" xr:uid="{00000000-0005-0000-0000-0000F7020000}"/>
    <cellStyle name="???? 4 2" xfId="7385" xr:uid="{00000000-0005-0000-0000-0000F8020000}"/>
    <cellStyle name="???? 4 2 2" xfId="7386" xr:uid="{00000000-0005-0000-0000-0000F9020000}"/>
    <cellStyle name="???? 4 2 2 2" xfId="7387" xr:uid="{00000000-0005-0000-0000-0000FA020000}"/>
    <cellStyle name="???? 4 2 3" xfId="7388" xr:uid="{00000000-0005-0000-0000-0000FB020000}"/>
    <cellStyle name="???? 4 3" xfId="7389" xr:uid="{00000000-0005-0000-0000-0000FC020000}"/>
    <cellStyle name="???? 4 3 2" xfId="7390" xr:uid="{00000000-0005-0000-0000-0000FD020000}"/>
    <cellStyle name="???? 4 4" xfId="7391" xr:uid="{00000000-0005-0000-0000-0000FE020000}"/>
    <cellStyle name="???? 4 4 2" xfId="7392" xr:uid="{00000000-0005-0000-0000-0000FF020000}"/>
    <cellStyle name="???? 4 5" xfId="7393" xr:uid="{00000000-0005-0000-0000-000000030000}"/>
    <cellStyle name="???? 5" xfId="7394" xr:uid="{00000000-0005-0000-0000-000001030000}"/>
    <cellStyle name="???? 5 2" xfId="7395" xr:uid="{00000000-0005-0000-0000-000002030000}"/>
    <cellStyle name="???? 5 2 2" xfId="7396" xr:uid="{00000000-0005-0000-0000-000003030000}"/>
    <cellStyle name="???? 5 3" xfId="7397" xr:uid="{00000000-0005-0000-0000-000004030000}"/>
    <cellStyle name="???? 6" xfId="7398" xr:uid="{00000000-0005-0000-0000-000005030000}"/>
    <cellStyle name="???? 6 2" xfId="7399" xr:uid="{00000000-0005-0000-0000-000006030000}"/>
    <cellStyle name="???? 7" xfId="7400" xr:uid="{00000000-0005-0000-0000-000007030000}"/>
    <cellStyle name="???? 7 2" xfId="7401" xr:uid="{00000000-0005-0000-0000-000008030000}"/>
    <cellStyle name="???? 8" xfId="7402" xr:uid="{00000000-0005-0000-0000-000009030000}"/>
    <cellStyle name="???? 8 2" xfId="7403" xr:uid="{00000000-0005-0000-0000-00000A030000}"/>
    <cellStyle name="???? 9" xfId="7404" xr:uid="{00000000-0005-0000-0000-00000B030000}"/>
    <cellStyle name="???? 9 2" xfId="7405" xr:uid="{00000000-0005-0000-0000-00000C030000}"/>
    <cellStyle name="?????" xfId="7406" xr:uid="{00000000-0005-0000-0000-00000D030000}"/>
    <cellStyle name="????? ??????????????" xfId="7407" xr:uid="{00000000-0005-0000-0000-00000E030000}"/>
    <cellStyle name="????? ?????????????? 2" xfId="7408" xr:uid="{00000000-0005-0000-0000-00000F030000}"/>
    <cellStyle name="????? 10" xfId="7409" xr:uid="{00000000-0005-0000-0000-000010030000}"/>
    <cellStyle name="????? 2" xfId="7410" xr:uid="{00000000-0005-0000-0000-000011030000}"/>
    <cellStyle name="????? 2 10" xfId="7411" xr:uid="{00000000-0005-0000-0000-000012030000}"/>
    <cellStyle name="????? 2 2" xfId="7412" xr:uid="{00000000-0005-0000-0000-000013030000}"/>
    <cellStyle name="????? 2 2 2" xfId="7413" xr:uid="{00000000-0005-0000-0000-000014030000}"/>
    <cellStyle name="????? 2 2 2 2" xfId="7414" xr:uid="{00000000-0005-0000-0000-000015030000}"/>
    <cellStyle name="????? 2 2 2 2 2" xfId="7415" xr:uid="{00000000-0005-0000-0000-000016030000}"/>
    <cellStyle name="????? 2 2 2 2 2 2" xfId="7416" xr:uid="{00000000-0005-0000-0000-000017030000}"/>
    <cellStyle name="????? 2 2 2 2 3" xfId="7417" xr:uid="{00000000-0005-0000-0000-000018030000}"/>
    <cellStyle name="????? 2 2 2 3" xfId="7418" xr:uid="{00000000-0005-0000-0000-000019030000}"/>
    <cellStyle name="????? 2 2 2 3 2" xfId="7419" xr:uid="{00000000-0005-0000-0000-00001A030000}"/>
    <cellStyle name="????? 2 2 2 4" xfId="7420" xr:uid="{00000000-0005-0000-0000-00001B030000}"/>
    <cellStyle name="????? 2 2 2 4 2" xfId="7421" xr:uid="{00000000-0005-0000-0000-00001C030000}"/>
    <cellStyle name="????? 2 2 2 5" xfId="7422" xr:uid="{00000000-0005-0000-0000-00001D030000}"/>
    <cellStyle name="????? 2 2 3" xfId="7423" xr:uid="{00000000-0005-0000-0000-00001E030000}"/>
    <cellStyle name="????? 2 2 3 2" xfId="7424" xr:uid="{00000000-0005-0000-0000-00001F030000}"/>
    <cellStyle name="????? 2 2 3 2 2" xfId="7425" xr:uid="{00000000-0005-0000-0000-000020030000}"/>
    <cellStyle name="????? 2 2 3 3" xfId="7426" xr:uid="{00000000-0005-0000-0000-000021030000}"/>
    <cellStyle name="????? 2 2 4" xfId="7427" xr:uid="{00000000-0005-0000-0000-000022030000}"/>
    <cellStyle name="????? 2 2 4 2" xfId="7428" xr:uid="{00000000-0005-0000-0000-000023030000}"/>
    <cellStyle name="????? 2 2 5" xfId="7429" xr:uid="{00000000-0005-0000-0000-000024030000}"/>
    <cellStyle name="????? 2 2 5 2" xfId="7430" xr:uid="{00000000-0005-0000-0000-000025030000}"/>
    <cellStyle name="????? 2 2 6" xfId="7431" xr:uid="{00000000-0005-0000-0000-000026030000}"/>
    <cellStyle name="????? 2 2 6 2" xfId="7432" xr:uid="{00000000-0005-0000-0000-000027030000}"/>
    <cellStyle name="????? 2 2 7" xfId="7433" xr:uid="{00000000-0005-0000-0000-000028030000}"/>
    <cellStyle name="????? 2 2 7 2" xfId="7434" xr:uid="{00000000-0005-0000-0000-000029030000}"/>
    <cellStyle name="????? 2 2 8" xfId="7435" xr:uid="{00000000-0005-0000-0000-00002A030000}"/>
    <cellStyle name="????? 2 3" xfId="7436" xr:uid="{00000000-0005-0000-0000-00002B030000}"/>
    <cellStyle name="????? 2 3 2" xfId="7437" xr:uid="{00000000-0005-0000-0000-00002C030000}"/>
    <cellStyle name="????? 2 3 2 2" xfId="7438" xr:uid="{00000000-0005-0000-0000-00002D030000}"/>
    <cellStyle name="????? 2 3 2 2 2" xfId="7439" xr:uid="{00000000-0005-0000-0000-00002E030000}"/>
    <cellStyle name="????? 2 3 2 2 2 2" xfId="7440" xr:uid="{00000000-0005-0000-0000-00002F030000}"/>
    <cellStyle name="????? 2 3 2 2 3" xfId="7441" xr:uid="{00000000-0005-0000-0000-000030030000}"/>
    <cellStyle name="????? 2 3 2 3" xfId="7442" xr:uid="{00000000-0005-0000-0000-000031030000}"/>
    <cellStyle name="????? 2 3 2 3 2" xfId="7443" xr:uid="{00000000-0005-0000-0000-000032030000}"/>
    <cellStyle name="????? 2 3 2 4" xfId="7444" xr:uid="{00000000-0005-0000-0000-000033030000}"/>
    <cellStyle name="????? 2 3 2 4 2" xfId="7445" xr:uid="{00000000-0005-0000-0000-000034030000}"/>
    <cellStyle name="????? 2 3 2 5" xfId="7446" xr:uid="{00000000-0005-0000-0000-000035030000}"/>
    <cellStyle name="????? 2 3 3" xfId="7447" xr:uid="{00000000-0005-0000-0000-000036030000}"/>
    <cellStyle name="????? 2 3 3 2" xfId="7448" xr:uid="{00000000-0005-0000-0000-000037030000}"/>
    <cellStyle name="????? 2 3 3 2 2" xfId="7449" xr:uid="{00000000-0005-0000-0000-000038030000}"/>
    <cellStyle name="????? 2 3 3 3" xfId="7450" xr:uid="{00000000-0005-0000-0000-000039030000}"/>
    <cellStyle name="????? 2 3 4" xfId="7451" xr:uid="{00000000-0005-0000-0000-00003A030000}"/>
    <cellStyle name="????? 2 3 4 2" xfId="7452" xr:uid="{00000000-0005-0000-0000-00003B030000}"/>
    <cellStyle name="????? 2 3 5" xfId="7453" xr:uid="{00000000-0005-0000-0000-00003C030000}"/>
    <cellStyle name="????? 2 3 5 2" xfId="7454" xr:uid="{00000000-0005-0000-0000-00003D030000}"/>
    <cellStyle name="????? 2 3 6" xfId="7455" xr:uid="{00000000-0005-0000-0000-00003E030000}"/>
    <cellStyle name="????? 2 3 6 2" xfId="7456" xr:uid="{00000000-0005-0000-0000-00003F030000}"/>
    <cellStyle name="????? 2 3 7" xfId="7457" xr:uid="{00000000-0005-0000-0000-000040030000}"/>
    <cellStyle name="????? 2 3 7 2" xfId="7458" xr:uid="{00000000-0005-0000-0000-000041030000}"/>
    <cellStyle name="????? 2 3 8" xfId="7459" xr:uid="{00000000-0005-0000-0000-000042030000}"/>
    <cellStyle name="????? 2 4" xfId="7460" xr:uid="{00000000-0005-0000-0000-000043030000}"/>
    <cellStyle name="????? 2 4 2" xfId="7461" xr:uid="{00000000-0005-0000-0000-000044030000}"/>
    <cellStyle name="????? 2 4 2 2" xfId="7462" xr:uid="{00000000-0005-0000-0000-000045030000}"/>
    <cellStyle name="????? 2 4 2 2 2" xfId="7463" xr:uid="{00000000-0005-0000-0000-000046030000}"/>
    <cellStyle name="????? 2 4 2 3" xfId="7464" xr:uid="{00000000-0005-0000-0000-000047030000}"/>
    <cellStyle name="????? 2 4 3" xfId="7465" xr:uid="{00000000-0005-0000-0000-000048030000}"/>
    <cellStyle name="????? 2 4 3 2" xfId="7466" xr:uid="{00000000-0005-0000-0000-000049030000}"/>
    <cellStyle name="????? 2 4 4" xfId="7467" xr:uid="{00000000-0005-0000-0000-00004A030000}"/>
    <cellStyle name="????? 2 4 4 2" xfId="7468" xr:uid="{00000000-0005-0000-0000-00004B030000}"/>
    <cellStyle name="????? 2 4 5" xfId="7469" xr:uid="{00000000-0005-0000-0000-00004C030000}"/>
    <cellStyle name="????? 2 5" xfId="7470" xr:uid="{00000000-0005-0000-0000-00004D030000}"/>
    <cellStyle name="????? 2 5 2" xfId="7471" xr:uid="{00000000-0005-0000-0000-00004E030000}"/>
    <cellStyle name="????? 2 5 2 2" xfId="7472" xr:uid="{00000000-0005-0000-0000-00004F030000}"/>
    <cellStyle name="????? 2 5 3" xfId="7473" xr:uid="{00000000-0005-0000-0000-000050030000}"/>
    <cellStyle name="????? 2 6" xfId="7474" xr:uid="{00000000-0005-0000-0000-000051030000}"/>
    <cellStyle name="????? 2 6 2" xfId="7475" xr:uid="{00000000-0005-0000-0000-000052030000}"/>
    <cellStyle name="????? 2 7" xfId="7476" xr:uid="{00000000-0005-0000-0000-000053030000}"/>
    <cellStyle name="????? 2 7 2" xfId="7477" xr:uid="{00000000-0005-0000-0000-000054030000}"/>
    <cellStyle name="????? 2 8" xfId="7478" xr:uid="{00000000-0005-0000-0000-000055030000}"/>
    <cellStyle name="????? 2 8 2" xfId="7479" xr:uid="{00000000-0005-0000-0000-000056030000}"/>
    <cellStyle name="????? 2 9" xfId="7480" xr:uid="{00000000-0005-0000-0000-000057030000}"/>
    <cellStyle name="????? 2 9 2" xfId="7481" xr:uid="{00000000-0005-0000-0000-000058030000}"/>
    <cellStyle name="????? 3" xfId="7482" xr:uid="{00000000-0005-0000-0000-000059030000}"/>
    <cellStyle name="????? 3 2" xfId="7483" xr:uid="{00000000-0005-0000-0000-00005A030000}"/>
    <cellStyle name="????? 3 2 2" xfId="7484" xr:uid="{00000000-0005-0000-0000-00005B030000}"/>
    <cellStyle name="????? 3 2 2 2" xfId="7485" xr:uid="{00000000-0005-0000-0000-00005C030000}"/>
    <cellStyle name="????? 3 2 2 2 2" xfId="7486" xr:uid="{00000000-0005-0000-0000-00005D030000}"/>
    <cellStyle name="????? 3 2 2 3" xfId="7487" xr:uid="{00000000-0005-0000-0000-00005E030000}"/>
    <cellStyle name="????? 3 2 3" xfId="7488" xr:uid="{00000000-0005-0000-0000-00005F030000}"/>
    <cellStyle name="????? 3 2 3 2" xfId="7489" xr:uid="{00000000-0005-0000-0000-000060030000}"/>
    <cellStyle name="????? 3 2 4" xfId="7490" xr:uid="{00000000-0005-0000-0000-000061030000}"/>
    <cellStyle name="????? 3 2 4 2" xfId="7491" xr:uid="{00000000-0005-0000-0000-000062030000}"/>
    <cellStyle name="????? 3 2 5" xfId="7492" xr:uid="{00000000-0005-0000-0000-000063030000}"/>
    <cellStyle name="????? 3 3" xfId="7493" xr:uid="{00000000-0005-0000-0000-000064030000}"/>
    <cellStyle name="????? 3 3 2" xfId="7494" xr:uid="{00000000-0005-0000-0000-000065030000}"/>
    <cellStyle name="????? 3 3 2 2" xfId="7495" xr:uid="{00000000-0005-0000-0000-000066030000}"/>
    <cellStyle name="????? 3 3 3" xfId="7496" xr:uid="{00000000-0005-0000-0000-000067030000}"/>
    <cellStyle name="????? 3 4" xfId="7497" xr:uid="{00000000-0005-0000-0000-000068030000}"/>
    <cellStyle name="????? 3 4 2" xfId="7498" xr:uid="{00000000-0005-0000-0000-000069030000}"/>
    <cellStyle name="????? 3 5" xfId="7499" xr:uid="{00000000-0005-0000-0000-00006A030000}"/>
    <cellStyle name="????? 3 5 2" xfId="7500" xr:uid="{00000000-0005-0000-0000-00006B030000}"/>
    <cellStyle name="????? 3 6" xfId="7501" xr:uid="{00000000-0005-0000-0000-00006C030000}"/>
    <cellStyle name="????? 3 6 2" xfId="7502" xr:uid="{00000000-0005-0000-0000-00006D030000}"/>
    <cellStyle name="????? 3 7" xfId="7503" xr:uid="{00000000-0005-0000-0000-00006E030000}"/>
    <cellStyle name="????? 3 7 2" xfId="7504" xr:uid="{00000000-0005-0000-0000-00006F030000}"/>
    <cellStyle name="????? 3 8" xfId="7505" xr:uid="{00000000-0005-0000-0000-000070030000}"/>
    <cellStyle name="????? 4" xfId="7506" xr:uid="{00000000-0005-0000-0000-000071030000}"/>
    <cellStyle name="????? 4 2" xfId="7507" xr:uid="{00000000-0005-0000-0000-000072030000}"/>
    <cellStyle name="????? 4 2 2" xfId="7508" xr:uid="{00000000-0005-0000-0000-000073030000}"/>
    <cellStyle name="????? 4 2 2 2" xfId="7509" xr:uid="{00000000-0005-0000-0000-000074030000}"/>
    <cellStyle name="????? 4 2 3" xfId="7510" xr:uid="{00000000-0005-0000-0000-000075030000}"/>
    <cellStyle name="????? 4 3" xfId="7511" xr:uid="{00000000-0005-0000-0000-000076030000}"/>
    <cellStyle name="????? 4 3 2" xfId="7512" xr:uid="{00000000-0005-0000-0000-000077030000}"/>
    <cellStyle name="????? 4 4" xfId="7513" xr:uid="{00000000-0005-0000-0000-000078030000}"/>
    <cellStyle name="????? 4 4 2" xfId="7514" xr:uid="{00000000-0005-0000-0000-000079030000}"/>
    <cellStyle name="????? 4 5" xfId="7515" xr:uid="{00000000-0005-0000-0000-00007A030000}"/>
    <cellStyle name="????? 5" xfId="7516" xr:uid="{00000000-0005-0000-0000-00007B030000}"/>
    <cellStyle name="????? 5 2" xfId="7517" xr:uid="{00000000-0005-0000-0000-00007C030000}"/>
    <cellStyle name="????? 5 2 2" xfId="7518" xr:uid="{00000000-0005-0000-0000-00007D030000}"/>
    <cellStyle name="????? 5 3" xfId="7519" xr:uid="{00000000-0005-0000-0000-00007E030000}"/>
    <cellStyle name="????? 6" xfId="7520" xr:uid="{00000000-0005-0000-0000-00007F030000}"/>
    <cellStyle name="????? 6 2" xfId="7521" xr:uid="{00000000-0005-0000-0000-000080030000}"/>
    <cellStyle name="????? 7" xfId="7522" xr:uid="{00000000-0005-0000-0000-000081030000}"/>
    <cellStyle name="????? 7 2" xfId="7523" xr:uid="{00000000-0005-0000-0000-000082030000}"/>
    <cellStyle name="????? 8" xfId="7524" xr:uid="{00000000-0005-0000-0000-000083030000}"/>
    <cellStyle name="????? 8 2" xfId="7525" xr:uid="{00000000-0005-0000-0000-000084030000}"/>
    <cellStyle name="????? 9" xfId="7526" xr:uid="{00000000-0005-0000-0000-000085030000}"/>
    <cellStyle name="????? 9 2" xfId="7527" xr:uid="{00000000-0005-0000-0000-000086030000}"/>
    <cellStyle name="??????" xfId="7528" xr:uid="{00000000-0005-0000-0000-000087030000}"/>
    <cellStyle name="?????? 2" xfId="7529" xr:uid="{00000000-0005-0000-0000-000088030000}"/>
    <cellStyle name="???????" xfId="7530" xr:uid="{00000000-0005-0000-0000-000089030000}"/>
    <cellStyle name="??????? 2" xfId="7531" xr:uid="{00000000-0005-0000-0000-00008A030000}"/>
    <cellStyle name="????????" xfId="7532" xr:uid="{00000000-0005-0000-0000-00008B030000}"/>
    <cellStyle name="???????? 2" xfId="7533" xr:uid="{00000000-0005-0000-0000-00008C030000}"/>
    <cellStyle name="?????????" xfId="7534" xr:uid="{00000000-0005-0000-0000-00008D030000}"/>
    <cellStyle name="????????? ??????" xfId="7535" xr:uid="{00000000-0005-0000-0000-00008E030000}"/>
    <cellStyle name="????????? ?????? 2" xfId="7536" xr:uid="{00000000-0005-0000-0000-00008F030000}"/>
    <cellStyle name="????????? 1" xfId="7537" xr:uid="{00000000-0005-0000-0000-000090030000}"/>
    <cellStyle name="????????? 1 2" xfId="7538" xr:uid="{00000000-0005-0000-0000-000091030000}"/>
    <cellStyle name="????????? 2" xfId="7539" xr:uid="{00000000-0005-0000-0000-000092030000}"/>
    <cellStyle name="????????? 2 2" xfId="7540" xr:uid="{00000000-0005-0000-0000-000093030000}"/>
    <cellStyle name="????????? 3" xfId="7541" xr:uid="{00000000-0005-0000-0000-000094030000}"/>
    <cellStyle name="????????? 3 2" xfId="7542" xr:uid="{00000000-0005-0000-0000-000095030000}"/>
    <cellStyle name="????????? 4" xfId="7543" xr:uid="{00000000-0005-0000-0000-000096030000}"/>
    <cellStyle name="????????? 4 2" xfId="7544" xr:uid="{00000000-0005-0000-0000-000097030000}"/>
    <cellStyle name="????????? 5" xfId="7545" xr:uid="{00000000-0005-0000-0000-000098030000}"/>
    <cellStyle name="??????????" xfId="7546" xr:uid="{00000000-0005-0000-0000-000099030000}"/>
    <cellStyle name="?????????? 10" xfId="7547" xr:uid="{00000000-0005-0000-0000-00009A030000}"/>
    <cellStyle name="?????????? 10 2" xfId="7548" xr:uid="{00000000-0005-0000-0000-00009B030000}"/>
    <cellStyle name="?????????? 10 2 2" xfId="7549" xr:uid="{00000000-0005-0000-0000-00009C030000}"/>
    <cellStyle name="?????????? 10 3" xfId="7550" xr:uid="{00000000-0005-0000-0000-00009D030000}"/>
    <cellStyle name="?????????? 11" xfId="7551" xr:uid="{00000000-0005-0000-0000-00009E030000}"/>
    <cellStyle name="?????????? 11 2" xfId="7552" xr:uid="{00000000-0005-0000-0000-00009F030000}"/>
    <cellStyle name="?????????? 12" xfId="7553" xr:uid="{00000000-0005-0000-0000-0000A0030000}"/>
    <cellStyle name="?????????? 12 2" xfId="7554" xr:uid="{00000000-0005-0000-0000-0000A1030000}"/>
    <cellStyle name="?????????? 13" xfId="7555" xr:uid="{00000000-0005-0000-0000-0000A2030000}"/>
    <cellStyle name="?????????? 2" xfId="7556" xr:uid="{00000000-0005-0000-0000-0000A3030000}"/>
    <cellStyle name="?????????? 2 10" xfId="7557" xr:uid="{00000000-0005-0000-0000-0000A4030000}"/>
    <cellStyle name="?????????? 2 10 2" xfId="7558" xr:uid="{00000000-0005-0000-0000-0000A5030000}"/>
    <cellStyle name="?????????? 2 11" xfId="7559" xr:uid="{00000000-0005-0000-0000-0000A6030000}"/>
    <cellStyle name="?????????? 2 2" xfId="7560" xr:uid="{00000000-0005-0000-0000-0000A7030000}"/>
    <cellStyle name="?????????? 2 2 2" xfId="7561" xr:uid="{00000000-0005-0000-0000-0000A8030000}"/>
    <cellStyle name="?????????? 2 2 2 2" xfId="7562" xr:uid="{00000000-0005-0000-0000-0000A9030000}"/>
    <cellStyle name="?????????? 2 2 2 2 2" xfId="7563" xr:uid="{00000000-0005-0000-0000-0000AA030000}"/>
    <cellStyle name="?????????? 2 2 2 2 2 2" xfId="7564" xr:uid="{00000000-0005-0000-0000-0000AB030000}"/>
    <cellStyle name="?????????? 2 2 2 2 2 2 2" xfId="7565" xr:uid="{00000000-0005-0000-0000-0000AC030000}"/>
    <cellStyle name="?????????? 2 2 2 2 2 3" xfId="7566" xr:uid="{00000000-0005-0000-0000-0000AD030000}"/>
    <cellStyle name="?????????? 2 2 2 2 3" xfId="7567" xr:uid="{00000000-0005-0000-0000-0000AE030000}"/>
    <cellStyle name="?????????? 2 2 2 2 3 2" xfId="7568" xr:uid="{00000000-0005-0000-0000-0000AF030000}"/>
    <cellStyle name="?????????? 2 2 2 2 4" xfId="7569" xr:uid="{00000000-0005-0000-0000-0000B0030000}"/>
    <cellStyle name="?????????? 2 2 2 2 4 2" xfId="7570" xr:uid="{00000000-0005-0000-0000-0000B1030000}"/>
    <cellStyle name="?????????? 2 2 2 2 5" xfId="7571" xr:uid="{00000000-0005-0000-0000-0000B2030000}"/>
    <cellStyle name="?????????? 2 2 2 3" xfId="7572" xr:uid="{00000000-0005-0000-0000-0000B3030000}"/>
    <cellStyle name="?????????? 2 2 2 3 2" xfId="7573" xr:uid="{00000000-0005-0000-0000-0000B4030000}"/>
    <cellStyle name="?????????? 2 2 2 3 2 2" xfId="7574" xr:uid="{00000000-0005-0000-0000-0000B5030000}"/>
    <cellStyle name="?????????? 2 2 2 3 3" xfId="7575" xr:uid="{00000000-0005-0000-0000-0000B6030000}"/>
    <cellStyle name="?????????? 2 2 2 4" xfId="7576" xr:uid="{00000000-0005-0000-0000-0000B7030000}"/>
    <cellStyle name="?????????? 2 2 2 4 2" xfId="7577" xr:uid="{00000000-0005-0000-0000-0000B8030000}"/>
    <cellStyle name="?????????? 2 2 2 4 2 2" xfId="7578" xr:uid="{00000000-0005-0000-0000-0000B9030000}"/>
    <cellStyle name="?????????? 2 2 2 4 3" xfId="7579" xr:uid="{00000000-0005-0000-0000-0000BA030000}"/>
    <cellStyle name="?????????? 2 2 2 5" xfId="7580" xr:uid="{00000000-0005-0000-0000-0000BB030000}"/>
    <cellStyle name="?????????? 2 2 2 5 2" xfId="7581" xr:uid="{00000000-0005-0000-0000-0000BC030000}"/>
    <cellStyle name="?????????? 2 2 2 6" xfId="7582" xr:uid="{00000000-0005-0000-0000-0000BD030000}"/>
    <cellStyle name="?????????? 2 2 2 6 2" xfId="7583" xr:uid="{00000000-0005-0000-0000-0000BE030000}"/>
    <cellStyle name="?????????? 2 2 2 7" xfId="7584" xr:uid="{00000000-0005-0000-0000-0000BF030000}"/>
    <cellStyle name="?????????? 2 2 3" xfId="7585" xr:uid="{00000000-0005-0000-0000-0000C0030000}"/>
    <cellStyle name="?????????? 2 2 3 2" xfId="7586" xr:uid="{00000000-0005-0000-0000-0000C1030000}"/>
    <cellStyle name="?????????? 2 2 3 2 2" xfId="7587" xr:uid="{00000000-0005-0000-0000-0000C2030000}"/>
    <cellStyle name="?????????? 2 2 3 2 2 2" xfId="7588" xr:uid="{00000000-0005-0000-0000-0000C3030000}"/>
    <cellStyle name="?????????? 2 2 3 2 2 2 2" xfId="7589" xr:uid="{00000000-0005-0000-0000-0000C4030000}"/>
    <cellStyle name="?????????? 2 2 3 2 2 3" xfId="7590" xr:uid="{00000000-0005-0000-0000-0000C5030000}"/>
    <cellStyle name="?????????? 2 2 3 2 3" xfId="7591" xr:uid="{00000000-0005-0000-0000-0000C6030000}"/>
    <cellStyle name="?????????? 2 2 3 2 3 2" xfId="7592" xr:uid="{00000000-0005-0000-0000-0000C7030000}"/>
    <cellStyle name="?????????? 2 2 3 2 4" xfId="7593" xr:uid="{00000000-0005-0000-0000-0000C8030000}"/>
    <cellStyle name="?????????? 2 2 3 2 4 2" xfId="7594" xr:uid="{00000000-0005-0000-0000-0000C9030000}"/>
    <cellStyle name="?????????? 2 2 3 2 5" xfId="7595" xr:uid="{00000000-0005-0000-0000-0000CA030000}"/>
    <cellStyle name="?????????? 2 2 3 3" xfId="7596" xr:uid="{00000000-0005-0000-0000-0000CB030000}"/>
    <cellStyle name="?????????? 2 2 3 3 2" xfId="7597" xr:uid="{00000000-0005-0000-0000-0000CC030000}"/>
    <cellStyle name="?????????? 2 2 3 3 2 2" xfId="7598" xr:uid="{00000000-0005-0000-0000-0000CD030000}"/>
    <cellStyle name="?????????? 2 2 3 3 3" xfId="7599" xr:uid="{00000000-0005-0000-0000-0000CE030000}"/>
    <cellStyle name="?????????? 2 2 3 4" xfId="7600" xr:uid="{00000000-0005-0000-0000-0000CF030000}"/>
    <cellStyle name="?????????? 2 2 3 4 2" xfId="7601" xr:uid="{00000000-0005-0000-0000-0000D0030000}"/>
    <cellStyle name="?????????? 2 2 3 4 2 2" xfId="7602" xr:uid="{00000000-0005-0000-0000-0000D1030000}"/>
    <cellStyle name="?????????? 2 2 3 4 3" xfId="7603" xr:uid="{00000000-0005-0000-0000-0000D2030000}"/>
    <cellStyle name="?????????? 2 2 3 5" xfId="7604" xr:uid="{00000000-0005-0000-0000-0000D3030000}"/>
    <cellStyle name="?????????? 2 2 3 5 2" xfId="7605" xr:uid="{00000000-0005-0000-0000-0000D4030000}"/>
    <cellStyle name="?????????? 2 2 3 6" xfId="7606" xr:uid="{00000000-0005-0000-0000-0000D5030000}"/>
    <cellStyle name="?????????? 2 2 3 6 2" xfId="7607" xr:uid="{00000000-0005-0000-0000-0000D6030000}"/>
    <cellStyle name="?????????? 2 2 3 7" xfId="7608" xr:uid="{00000000-0005-0000-0000-0000D7030000}"/>
    <cellStyle name="?????????? 2 2 4" xfId="7609" xr:uid="{00000000-0005-0000-0000-0000D8030000}"/>
    <cellStyle name="?????????? 2 2 4 2" xfId="7610" xr:uid="{00000000-0005-0000-0000-0000D9030000}"/>
    <cellStyle name="?????????? 2 2 4 2 2" xfId="7611" xr:uid="{00000000-0005-0000-0000-0000DA030000}"/>
    <cellStyle name="?????????? 2 2 4 2 2 2" xfId="7612" xr:uid="{00000000-0005-0000-0000-0000DB030000}"/>
    <cellStyle name="?????????? 2 2 4 2 3" xfId="7613" xr:uid="{00000000-0005-0000-0000-0000DC030000}"/>
    <cellStyle name="?????????? 2 2 4 3" xfId="7614" xr:uid="{00000000-0005-0000-0000-0000DD030000}"/>
    <cellStyle name="?????????? 2 2 4 3 2" xfId="7615" xr:uid="{00000000-0005-0000-0000-0000DE030000}"/>
    <cellStyle name="?????????? 2 2 4 4" xfId="7616" xr:uid="{00000000-0005-0000-0000-0000DF030000}"/>
    <cellStyle name="?????????? 2 2 4 4 2" xfId="7617" xr:uid="{00000000-0005-0000-0000-0000E0030000}"/>
    <cellStyle name="?????????? 2 2 4 5" xfId="7618" xr:uid="{00000000-0005-0000-0000-0000E1030000}"/>
    <cellStyle name="?????????? 2 2 5" xfId="7619" xr:uid="{00000000-0005-0000-0000-0000E2030000}"/>
    <cellStyle name="?????????? 2 2 5 2" xfId="7620" xr:uid="{00000000-0005-0000-0000-0000E3030000}"/>
    <cellStyle name="?????????? 2 2 5 2 2" xfId="7621" xr:uid="{00000000-0005-0000-0000-0000E4030000}"/>
    <cellStyle name="?????????? 2 2 5 3" xfId="7622" xr:uid="{00000000-0005-0000-0000-0000E5030000}"/>
    <cellStyle name="?????????? 2 2 6" xfId="7623" xr:uid="{00000000-0005-0000-0000-0000E6030000}"/>
    <cellStyle name="?????????? 2 2 6 2" xfId="7624" xr:uid="{00000000-0005-0000-0000-0000E7030000}"/>
    <cellStyle name="?????????? 2 2 6 2 2" xfId="7625" xr:uid="{00000000-0005-0000-0000-0000E8030000}"/>
    <cellStyle name="?????????? 2 2 6 3" xfId="7626" xr:uid="{00000000-0005-0000-0000-0000E9030000}"/>
    <cellStyle name="?????????? 2 2 7" xfId="7627" xr:uid="{00000000-0005-0000-0000-0000EA030000}"/>
    <cellStyle name="?????????? 2 2 7 2" xfId="7628" xr:uid="{00000000-0005-0000-0000-0000EB030000}"/>
    <cellStyle name="?????????? 2 2 8" xfId="7629" xr:uid="{00000000-0005-0000-0000-0000EC030000}"/>
    <cellStyle name="?????????? 2 2 8 2" xfId="7630" xr:uid="{00000000-0005-0000-0000-0000ED030000}"/>
    <cellStyle name="?????????? 2 2 9" xfId="7631" xr:uid="{00000000-0005-0000-0000-0000EE030000}"/>
    <cellStyle name="?????????? 2 3" xfId="7632" xr:uid="{00000000-0005-0000-0000-0000EF030000}"/>
    <cellStyle name="?????????? 2 3 2" xfId="7633" xr:uid="{00000000-0005-0000-0000-0000F0030000}"/>
    <cellStyle name="?????????? 2 3 2 2" xfId="7634" xr:uid="{00000000-0005-0000-0000-0000F1030000}"/>
    <cellStyle name="?????????? 2 3 2 2 2" xfId="7635" xr:uid="{00000000-0005-0000-0000-0000F2030000}"/>
    <cellStyle name="?????????? 2 3 2 2 2 2" xfId="7636" xr:uid="{00000000-0005-0000-0000-0000F3030000}"/>
    <cellStyle name="?????????? 2 3 2 2 2 2 2" xfId="7637" xr:uid="{00000000-0005-0000-0000-0000F4030000}"/>
    <cellStyle name="?????????? 2 3 2 2 2 3" xfId="7638" xr:uid="{00000000-0005-0000-0000-0000F5030000}"/>
    <cellStyle name="?????????? 2 3 2 2 3" xfId="7639" xr:uid="{00000000-0005-0000-0000-0000F6030000}"/>
    <cellStyle name="?????????? 2 3 2 2 3 2" xfId="7640" xr:uid="{00000000-0005-0000-0000-0000F7030000}"/>
    <cellStyle name="?????????? 2 3 2 2 4" xfId="7641" xr:uid="{00000000-0005-0000-0000-0000F8030000}"/>
    <cellStyle name="?????????? 2 3 2 2 4 2" xfId="7642" xr:uid="{00000000-0005-0000-0000-0000F9030000}"/>
    <cellStyle name="?????????? 2 3 2 2 5" xfId="7643" xr:uid="{00000000-0005-0000-0000-0000FA030000}"/>
    <cellStyle name="?????????? 2 3 2 3" xfId="7644" xr:uid="{00000000-0005-0000-0000-0000FB030000}"/>
    <cellStyle name="?????????? 2 3 2 3 2" xfId="7645" xr:uid="{00000000-0005-0000-0000-0000FC030000}"/>
    <cellStyle name="?????????? 2 3 2 3 2 2" xfId="7646" xr:uid="{00000000-0005-0000-0000-0000FD030000}"/>
    <cellStyle name="?????????? 2 3 2 3 3" xfId="7647" xr:uid="{00000000-0005-0000-0000-0000FE030000}"/>
    <cellStyle name="?????????? 2 3 2 4" xfId="7648" xr:uid="{00000000-0005-0000-0000-0000FF030000}"/>
    <cellStyle name="?????????? 2 3 2 4 2" xfId="7649" xr:uid="{00000000-0005-0000-0000-000000040000}"/>
    <cellStyle name="?????????? 2 3 2 4 2 2" xfId="7650" xr:uid="{00000000-0005-0000-0000-000001040000}"/>
    <cellStyle name="?????????? 2 3 2 4 3" xfId="7651" xr:uid="{00000000-0005-0000-0000-000002040000}"/>
    <cellStyle name="?????????? 2 3 2 5" xfId="7652" xr:uid="{00000000-0005-0000-0000-000003040000}"/>
    <cellStyle name="?????????? 2 3 2 5 2" xfId="7653" xr:uid="{00000000-0005-0000-0000-000004040000}"/>
    <cellStyle name="?????????? 2 3 2 6" xfId="7654" xr:uid="{00000000-0005-0000-0000-000005040000}"/>
    <cellStyle name="?????????? 2 3 2 6 2" xfId="7655" xr:uid="{00000000-0005-0000-0000-000006040000}"/>
    <cellStyle name="?????????? 2 3 2 7" xfId="7656" xr:uid="{00000000-0005-0000-0000-000007040000}"/>
    <cellStyle name="?????????? 2 3 3" xfId="7657" xr:uid="{00000000-0005-0000-0000-000008040000}"/>
    <cellStyle name="?????????? 2 3 3 2" xfId="7658" xr:uid="{00000000-0005-0000-0000-000009040000}"/>
    <cellStyle name="?????????? 2 3 3 2 2" xfId="7659" xr:uid="{00000000-0005-0000-0000-00000A040000}"/>
    <cellStyle name="?????????? 2 3 3 2 2 2" xfId="7660" xr:uid="{00000000-0005-0000-0000-00000B040000}"/>
    <cellStyle name="?????????? 2 3 3 2 3" xfId="7661" xr:uid="{00000000-0005-0000-0000-00000C040000}"/>
    <cellStyle name="?????????? 2 3 3 3" xfId="7662" xr:uid="{00000000-0005-0000-0000-00000D040000}"/>
    <cellStyle name="?????????? 2 3 3 3 2" xfId="7663" xr:uid="{00000000-0005-0000-0000-00000E040000}"/>
    <cellStyle name="?????????? 2 3 3 4" xfId="7664" xr:uid="{00000000-0005-0000-0000-00000F040000}"/>
    <cellStyle name="?????????? 2 3 3 4 2" xfId="7665" xr:uid="{00000000-0005-0000-0000-000010040000}"/>
    <cellStyle name="?????????? 2 3 3 5" xfId="7666" xr:uid="{00000000-0005-0000-0000-000011040000}"/>
    <cellStyle name="?????????? 2 3 4" xfId="7667" xr:uid="{00000000-0005-0000-0000-000012040000}"/>
    <cellStyle name="?????????? 2 3 4 2" xfId="7668" xr:uid="{00000000-0005-0000-0000-000013040000}"/>
    <cellStyle name="?????????? 2 3 4 2 2" xfId="7669" xr:uid="{00000000-0005-0000-0000-000014040000}"/>
    <cellStyle name="?????????? 2 3 4 3" xfId="7670" xr:uid="{00000000-0005-0000-0000-000015040000}"/>
    <cellStyle name="?????????? 2 3 5" xfId="7671" xr:uid="{00000000-0005-0000-0000-000016040000}"/>
    <cellStyle name="?????????? 2 3 5 2" xfId="7672" xr:uid="{00000000-0005-0000-0000-000017040000}"/>
    <cellStyle name="?????????? 2 3 5 2 2" xfId="7673" xr:uid="{00000000-0005-0000-0000-000018040000}"/>
    <cellStyle name="?????????? 2 3 5 3" xfId="7674" xr:uid="{00000000-0005-0000-0000-000019040000}"/>
    <cellStyle name="?????????? 2 3 6" xfId="7675" xr:uid="{00000000-0005-0000-0000-00001A040000}"/>
    <cellStyle name="?????????? 2 3 6 2" xfId="7676" xr:uid="{00000000-0005-0000-0000-00001B040000}"/>
    <cellStyle name="?????????? 2 3 7" xfId="7677" xr:uid="{00000000-0005-0000-0000-00001C040000}"/>
    <cellStyle name="?????????? 2 3 7 2" xfId="7678" xr:uid="{00000000-0005-0000-0000-00001D040000}"/>
    <cellStyle name="?????????? 2 3 8" xfId="7679" xr:uid="{00000000-0005-0000-0000-00001E040000}"/>
    <cellStyle name="?????????? 2 4" xfId="7680" xr:uid="{00000000-0005-0000-0000-00001F040000}"/>
    <cellStyle name="?????????? 2 4 2" xfId="7681" xr:uid="{00000000-0005-0000-0000-000020040000}"/>
    <cellStyle name="?????????? 2 4 2 2" xfId="7682" xr:uid="{00000000-0005-0000-0000-000021040000}"/>
    <cellStyle name="?????????? 2 4 2 2 2" xfId="7683" xr:uid="{00000000-0005-0000-0000-000022040000}"/>
    <cellStyle name="?????????? 2 4 2 2 2 2" xfId="7684" xr:uid="{00000000-0005-0000-0000-000023040000}"/>
    <cellStyle name="?????????? 2 4 2 2 3" xfId="7685" xr:uid="{00000000-0005-0000-0000-000024040000}"/>
    <cellStyle name="?????????? 2 4 2 3" xfId="7686" xr:uid="{00000000-0005-0000-0000-000025040000}"/>
    <cellStyle name="?????????? 2 4 2 3 2" xfId="7687" xr:uid="{00000000-0005-0000-0000-000026040000}"/>
    <cellStyle name="?????????? 2 4 2 4" xfId="7688" xr:uid="{00000000-0005-0000-0000-000027040000}"/>
    <cellStyle name="?????????? 2 4 2 4 2" xfId="7689" xr:uid="{00000000-0005-0000-0000-000028040000}"/>
    <cellStyle name="?????????? 2 4 2 5" xfId="7690" xr:uid="{00000000-0005-0000-0000-000029040000}"/>
    <cellStyle name="?????????? 2 4 3" xfId="7691" xr:uid="{00000000-0005-0000-0000-00002A040000}"/>
    <cellStyle name="?????????? 2 4 3 2" xfId="7692" xr:uid="{00000000-0005-0000-0000-00002B040000}"/>
    <cellStyle name="?????????? 2 4 3 2 2" xfId="7693" xr:uid="{00000000-0005-0000-0000-00002C040000}"/>
    <cellStyle name="?????????? 2 4 3 3" xfId="7694" xr:uid="{00000000-0005-0000-0000-00002D040000}"/>
    <cellStyle name="?????????? 2 4 4" xfId="7695" xr:uid="{00000000-0005-0000-0000-00002E040000}"/>
    <cellStyle name="?????????? 2 4 4 2" xfId="7696" xr:uid="{00000000-0005-0000-0000-00002F040000}"/>
    <cellStyle name="?????????? 2 4 4 2 2" xfId="7697" xr:uid="{00000000-0005-0000-0000-000030040000}"/>
    <cellStyle name="?????????? 2 4 4 3" xfId="7698" xr:uid="{00000000-0005-0000-0000-000031040000}"/>
    <cellStyle name="?????????? 2 4 5" xfId="7699" xr:uid="{00000000-0005-0000-0000-000032040000}"/>
    <cellStyle name="?????????? 2 4 5 2" xfId="7700" xr:uid="{00000000-0005-0000-0000-000033040000}"/>
    <cellStyle name="?????????? 2 4 6" xfId="7701" xr:uid="{00000000-0005-0000-0000-000034040000}"/>
    <cellStyle name="?????????? 2 4 6 2" xfId="7702" xr:uid="{00000000-0005-0000-0000-000035040000}"/>
    <cellStyle name="?????????? 2 4 7" xfId="7703" xr:uid="{00000000-0005-0000-0000-000036040000}"/>
    <cellStyle name="?????????? 2 5" xfId="7704" xr:uid="{00000000-0005-0000-0000-000037040000}"/>
    <cellStyle name="?????????? 2 5 2" xfId="7705" xr:uid="{00000000-0005-0000-0000-000038040000}"/>
    <cellStyle name="?????????? 2 5 2 2" xfId="7706" xr:uid="{00000000-0005-0000-0000-000039040000}"/>
    <cellStyle name="?????????? 2 5 2 2 2" xfId="7707" xr:uid="{00000000-0005-0000-0000-00003A040000}"/>
    <cellStyle name="?????????? 2 5 2 2 2 2" xfId="7708" xr:uid="{00000000-0005-0000-0000-00003B040000}"/>
    <cellStyle name="?????????? 2 5 2 2 3" xfId="7709" xr:uid="{00000000-0005-0000-0000-00003C040000}"/>
    <cellStyle name="?????????? 2 5 2 3" xfId="7710" xr:uid="{00000000-0005-0000-0000-00003D040000}"/>
    <cellStyle name="?????????? 2 5 2 3 2" xfId="7711" xr:uid="{00000000-0005-0000-0000-00003E040000}"/>
    <cellStyle name="?????????? 2 5 2 4" xfId="7712" xr:uid="{00000000-0005-0000-0000-00003F040000}"/>
    <cellStyle name="?????????? 2 5 2 4 2" xfId="7713" xr:uid="{00000000-0005-0000-0000-000040040000}"/>
    <cellStyle name="?????????? 2 5 2 5" xfId="7714" xr:uid="{00000000-0005-0000-0000-000041040000}"/>
    <cellStyle name="?????????? 2 5 3" xfId="7715" xr:uid="{00000000-0005-0000-0000-000042040000}"/>
    <cellStyle name="?????????? 2 5 3 2" xfId="7716" xr:uid="{00000000-0005-0000-0000-000043040000}"/>
    <cellStyle name="?????????? 2 5 3 2 2" xfId="7717" xr:uid="{00000000-0005-0000-0000-000044040000}"/>
    <cellStyle name="?????????? 2 5 3 3" xfId="7718" xr:uid="{00000000-0005-0000-0000-000045040000}"/>
    <cellStyle name="?????????? 2 5 4" xfId="7719" xr:uid="{00000000-0005-0000-0000-000046040000}"/>
    <cellStyle name="?????????? 2 5 4 2" xfId="7720" xr:uid="{00000000-0005-0000-0000-000047040000}"/>
    <cellStyle name="?????????? 2 5 4 2 2" xfId="7721" xr:uid="{00000000-0005-0000-0000-000048040000}"/>
    <cellStyle name="?????????? 2 5 4 3" xfId="7722" xr:uid="{00000000-0005-0000-0000-000049040000}"/>
    <cellStyle name="?????????? 2 5 5" xfId="7723" xr:uid="{00000000-0005-0000-0000-00004A040000}"/>
    <cellStyle name="?????????? 2 5 5 2" xfId="7724" xr:uid="{00000000-0005-0000-0000-00004B040000}"/>
    <cellStyle name="?????????? 2 5 6" xfId="7725" xr:uid="{00000000-0005-0000-0000-00004C040000}"/>
    <cellStyle name="?????????? 2 5 6 2" xfId="7726" xr:uid="{00000000-0005-0000-0000-00004D040000}"/>
    <cellStyle name="?????????? 2 5 7" xfId="7727" xr:uid="{00000000-0005-0000-0000-00004E040000}"/>
    <cellStyle name="?????????? 2 6" xfId="7728" xr:uid="{00000000-0005-0000-0000-00004F040000}"/>
    <cellStyle name="?????????? 2 6 2" xfId="7729" xr:uid="{00000000-0005-0000-0000-000050040000}"/>
    <cellStyle name="?????????? 2 6 2 2" xfId="7730" xr:uid="{00000000-0005-0000-0000-000051040000}"/>
    <cellStyle name="?????????? 2 6 2 2 2" xfId="7731" xr:uid="{00000000-0005-0000-0000-000052040000}"/>
    <cellStyle name="?????????? 2 6 2 3" xfId="7732" xr:uid="{00000000-0005-0000-0000-000053040000}"/>
    <cellStyle name="?????????? 2 6 3" xfId="7733" xr:uid="{00000000-0005-0000-0000-000054040000}"/>
    <cellStyle name="?????????? 2 6 3 2" xfId="7734" xr:uid="{00000000-0005-0000-0000-000055040000}"/>
    <cellStyle name="?????????? 2 6 4" xfId="7735" xr:uid="{00000000-0005-0000-0000-000056040000}"/>
    <cellStyle name="?????????? 2 6 4 2" xfId="7736" xr:uid="{00000000-0005-0000-0000-000057040000}"/>
    <cellStyle name="?????????? 2 6 5" xfId="7737" xr:uid="{00000000-0005-0000-0000-000058040000}"/>
    <cellStyle name="?????????? 2 7" xfId="7738" xr:uid="{00000000-0005-0000-0000-000059040000}"/>
    <cellStyle name="?????????? 2 7 2" xfId="7739" xr:uid="{00000000-0005-0000-0000-00005A040000}"/>
    <cellStyle name="?????????? 2 7 2 2" xfId="7740" xr:uid="{00000000-0005-0000-0000-00005B040000}"/>
    <cellStyle name="?????????? 2 7 3" xfId="7741" xr:uid="{00000000-0005-0000-0000-00005C040000}"/>
    <cellStyle name="?????????? 2 8" xfId="7742" xr:uid="{00000000-0005-0000-0000-00005D040000}"/>
    <cellStyle name="?????????? 2 8 2" xfId="7743" xr:uid="{00000000-0005-0000-0000-00005E040000}"/>
    <cellStyle name="?????????? 2 8 2 2" xfId="7744" xr:uid="{00000000-0005-0000-0000-00005F040000}"/>
    <cellStyle name="?????????? 2 8 3" xfId="7745" xr:uid="{00000000-0005-0000-0000-000060040000}"/>
    <cellStyle name="?????????? 2 9" xfId="7746" xr:uid="{00000000-0005-0000-0000-000061040000}"/>
    <cellStyle name="?????????? 2 9 2" xfId="7747" xr:uid="{00000000-0005-0000-0000-000062040000}"/>
    <cellStyle name="?????????? 3" xfId="7748" xr:uid="{00000000-0005-0000-0000-000063040000}"/>
    <cellStyle name="?????????? 3 10" xfId="7749" xr:uid="{00000000-0005-0000-0000-000064040000}"/>
    <cellStyle name="?????????? 3 10 2" xfId="7750" xr:uid="{00000000-0005-0000-0000-000065040000}"/>
    <cellStyle name="?????????? 3 11" xfId="7751" xr:uid="{00000000-0005-0000-0000-000066040000}"/>
    <cellStyle name="?????????? 3 2" xfId="7752" xr:uid="{00000000-0005-0000-0000-000067040000}"/>
    <cellStyle name="?????????? 3 2 2" xfId="7753" xr:uid="{00000000-0005-0000-0000-000068040000}"/>
    <cellStyle name="?????????? 3 2 2 2" xfId="7754" xr:uid="{00000000-0005-0000-0000-000069040000}"/>
    <cellStyle name="?????????? 3 2 2 2 2" xfId="7755" xr:uid="{00000000-0005-0000-0000-00006A040000}"/>
    <cellStyle name="?????????? 3 2 2 2 2 2" xfId="7756" xr:uid="{00000000-0005-0000-0000-00006B040000}"/>
    <cellStyle name="?????????? 3 2 2 2 2 2 2" xfId="7757" xr:uid="{00000000-0005-0000-0000-00006C040000}"/>
    <cellStyle name="?????????? 3 2 2 2 2 3" xfId="7758" xr:uid="{00000000-0005-0000-0000-00006D040000}"/>
    <cellStyle name="?????????? 3 2 2 2 3" xfId="7759" xr:uid="{00000000-0005-0000-0000-00006E040000}"/>
    <cellStyle name="?????????? 3 2 2 2 3 2" xfId="7760" xr:uid="{00000000-0005-0000-0000-00006F040000}"/>
    <cellStyle name="?????????? 3 2 2 2 4" xfId="7761" xr:uid="{00000000-0005-0000-0000-000070040000}"/>
    <cellStyle name="?????????? 3 2 2 2 4 2" xfId="7762" xr:uid="{00000000-0005-0000-0000-000071040000}"/>
    <cellStyle name="?????????? 3 2 2 2 5" xfId="7763" xr:uid="{00000000-0005-0000-0000-000072040000}"/>
    <cellStyle name="?????????? 3 2 2 3" xfId="7764" xr:uid="{00000000-0005-0000-0000-000073040000}"/>
    <cellStyle name="?????????? 3 2 2 3 2" xfId="7765" xr:uid="{00000000-0005-0000-0000-000074040000}"/>
    <cellStyle name="?????????? 3 2 2 3 2 2" xfId="7766" xr:uid="{00000000-0005-0000-0000-000075040000}"/>
    <cellStyle name="?????????? 3 2 2 3 3" xfId="7767" xr:uid="{00000000-0005-0000-0000-000076040000}"/>
    <cellStyle name="?????????? 3 2 2 4" xfId="7768" xr:uid="{00000000-0005-0000-0000-000077040000}"/>
    <cellStyle name="?????????? 3 2 2 4 2" xfId="7769" xr:uid="{00000000-0005-0000-0000-000078040000}"/>
    <cellStyle name="?????????? 3 2 2 4 2 2" xfId="7770" xr:uid="{00000000-0005-0000-0000-000079040000}"/>
    <cellStyle name="?????????? 3 2 2 4 3" xfId="7771" xr:uid="{00000000-0005-0000-0000-00007A040000}"/>
    <cellStyle name="?????????? 3 2 2 5" xfId="7772" xr:uid="{00000000-0005-0000-0000-00007B040000}"/>
    <cellStyle name="?????????? 3 2 2 5 2" xfId="7773" xr:uid="{00000000-0005-0000-0000-00007C040000}"/>
    <cellStyle name="?????????? 3 2 2 6" xfId="7774" xr:uid="{00000000-0005-0000-0000-00007D040000}"/>
    <cellStyle name="?????????? 3 2 2 6 2" xfId="7775" xr:uid="{00000000-0005-0000-0000-00007E040000}"/>
    <cellStyle name="?????????? 3 2 2 7" xfId="7776" xr:uid="{00000000-0005-0000-0000-00007F040000}"/>
    <cellStyle name="?????????? 3 2 3" xfId="7777" xr:uid="{00000000-0005-0000-0000-000080040000}"/>
    <cellStyle name="?????????? 3 2 3 2" xfId="7778" xr:uid="{00000000-0005-0000-0000-000081040000}"/>
    <cellStyle name="?????????? 3 2 3 2 2" xfId="7779" xr:uid="{00000000-0005-0000-0000-000082040000}"/>
    <cellStyle name="?????????? 3 2 3 2 2 2" xfId="7780" xr:uid="{00000000-0005-0000-0000-000083040000}"/>
    <cellStyle name="?????????? 3 2 3 2 2 2 2" xfId="7781" xr:uid="{00000000-0005-0000-0000-000084040000}"/>
    <cellStyle name="?????????? 3 2 3 2 2 3" xfId="7782" xr:uid="{00000000-0005-0000-0000-000085040000}"/>
    <cellStyle name="?????????? 3 2 3 2 3" xfId="7783" xr:uid="{00000000-0005-0000-0000-000086040000}"/>
    <cellStyle name="?????????? 3 2 3 2 3 2" xfId="7784" xr:uid="{00000000-0005-0000-0000-000087040000}"/>
    <cellStyle name="?????????? 3 2 3 2 4" xfId="7785" xr:uid="{00000000-0005-0000-0000-000088040000}"/>
    <cellStyle name="?????????? 3 2 3 2 4 2" xfId="7786" xr:uid="{00000000-0005-0000-0000-000089040000}"/>
    <cellStyle name="?????????? 3 2 3 2 5" xfId="7787" xr:uid="{00000000-0005-0000-0000-00008A040000}"/>
    <cellStyle name="?????????? 3 2 3 3" xfId="7788" xr:uid="{00000000-0005-0000-0000-00008B040000}"/>
    <cellStyle name="?????????? 3 2 3 3 2" xfId="7789" xr:uid="{00000000-0005-0000-0000-00008C040000}"/>
    <cellStyle name="?????????? 3 2 3 3 2 2" xfId="7790" xr:uid="{00000000-0005-0000-0000-00008D040000}"/>
    <cellStyle name="?????????? 3 2 3 3 3" xfId="7791" xr:uid="{00000000-0005-0000-0000-00008E040000}"/>
    <cellStyle name="?????????? 3 2 3 4" xfId="7792" xr:uid="{00000000-0005-0000-0000-00008F040000}"/>
    <cellStyle name="?????????? 3 2 3 4 2" xfId="7793" xr:uid="{00000000-0005-0000-0000-000090040000}"/>
    <cellStyle name="?????????? 3 2 3 4 2 2" xfId="7794" xr:uid="{00000000-0005-0000-0000-000091040000}"/>
    <cellStyle name="?????????? 3 2 3 4 3" xfId="7795" xr:uid="{00000000-0005-0000-0000-000092040000}"/>
    <cellStyle name="?????????? 3 2 3 5" xfId="7796" xr:uid="{00000000-0005-0000-0000-000093040000}"/>
    <cellStyle name="?????????? 3 2 3 5 2" xfId="7797" xr:uid="{00000000-0005-0000-0000-000094040000}"/>
    <cellStyle name="?????????? 3 2 3 6" xfId="7798" xr:uid="{00000000-0005-0000-0000-000095040000}"/>
    <cellStyle name="?????????? 3 2 3 6 2" xfId="7799" xr:uid="{00000000-0005-0000-0000-000096040000}"/>
    <cellStyle name="?????????? 3 2 3 7" xfId="7800" xr:uid="{00000000-0005-0000-0000-000097040000}"/>
    <cellStyle name="?????????? 3 2 4" xfId="7801" xr:uid="{00000000-0005-0000-0000-000098040000}"/>
    <cellStyle name="?????????? 3 2 4 2" xfId="7802" xr:uid="{00000000-0005-0000-0000-000099040000}"/>
    <cellStyle name="?????????? 3 2 4 2 2" xfId="7803" xr:uid="{00000000-0005-0000-0000-00009A040000}"/>
    <cellStyle name="?????????? 3 2 4 2 2 2" xfId="7804" xr:uid="{00000000-0005-0000-0000-00009B040000}"/>
    <cellStyle name="?????????? 3 2 4 2 3" xfId="7805" xr:uid="{00000000-0005-0000-0000-00009C040000}"/>
    <cellStyle name="?????????? 3 2 4 3" xfId="7806" xr:uid="{00000000-0005-0000-0000-00009D040000}"/>
    <cellStyle name="?????????? 3 2 4 3 2" xfId="7807" xr:uid="{00000000-0005-0000-0000-00009E040000}"/>
    <cellStyle name="?????????? 3 2 4 4" xfId="7808" xr:uid="{00000000-0005-0000-0000-00009F040000}"/>
    <cellStyle name="?????????? 3 2 4 4 2" xfId="7809" xr:uid="{00000000-0005-0000-0000-0000A0040000}"/>
    <cellStyle name="?????????? 3 2 4 5" xfId="7810" xr:uid="{00000000-0005-0000-0000-0000A1040000}"/>
    <cellStyle name="?????????? 3 2 5" xfId="7811" xr:uid="{00000000-0005-0000-0000-0000A2040000}"/>
    <cellStyle name="?????????? 3 2 5 2" xfId="7812" xr:uid="{00000000-0005-0000-0000-0000A3040000}"/>
    <cellStyle name="?????????? 3 2 5 2 2" xfId="7813" xr:uid="{00000000-0005-0000-0000-0000A4040000}"/>
    <cellStyle name="?????????? 3 2 5 3" xfId="7814" xr:uid="{00000000-0005-0000-0000-0000A5040000}"/>
    <cellStyle name="?????????? 3 2 6" xfId="7815" xr:uid="{00000000-0005-0000-0000-0000A6040000}"/>
    <cellStyle name="?????????? 3 2 6 2" xfId="7816" xr:uid="{00000000-0005-0000-0000-0000A7040000}"/>
    <cellStyle name="?????????? 3 2 6 2 2" xfId="7817" xr:uid="{00000000-0005-0000-0000-0000A8040000}"/>
    <cellStyle name="?????????? 3 2 6 3" xfId="7818" xr:uid="{00000000-0005-0000-0000-0000A9040000}"/>
    <cellStyle name="?????????? 3 2 7" xfId="7819" xr:uid="{00000000-0005-0000-0000-0000AA040000}"/>
    <cellStyle name="?????????? 3 2 7 2" xfId="7820" xr:uid="{00000000-0005-0000-0000-0000AB040000}"/>
    <cellStyle name="?????????? 3 2 8" xfId="7821" xr:uid="{00000000-0005-0000-0000-0000AC040000}"/>
    <cellStyle name="?????????? 3 2 8 2" xfId="7822" xr:uid="{00000000-0005-0000-0000-0000AD040000}"/>
    <cellStyle name="?????????? 3 2 9" xfId="7823" xr:uid="{00000000-0005-0000-0000-0000AE040000}"/>
    <cellStyle name="?????????? 3 3" xfId="7824" xr:uid="{00000000-0005-0000-0000-0000AF040000}"/>
    <cellStyle name="?????????? 3 3 2" xfId="7825" xr:uid="{00000000-0005-0000-0000-0000B0040000}"/>
    <cellStyle name="?????????? 3 3 2 2" xfId="7826" xr:uid="{00000000-0005-0000-0000-0000B1040000}"/>
    <cellStyle name="?????????? 3 3 2 2 2" xfId="7827" xr:uid="{00000000-0005-0000-0000-0000B2040000}"/>
    <cellStyle name="?????????? 3 3 2 2 2 2" xfId="7828" xr:uid="{00000000-0005-0000-0000-0000B3040000}"/>
    <cellStyle name="?????????? 3 3 2 2 2 2 2" xfId="7829" xr:uid="{00000000-0005-0000-0000-0000B4040000}"/>
    <cellStyle name="?????????? 3 3 2 2 2 3" xfId="7830" xr:uid="{00000000-0005-0000-0000-0000B5040000}"/>
    <cellStyle name="?????????? 3 3 2 2 3" xfId="7831" xr:uid="{00000000-0005-0000-0000-0000B6040000}"/>
    <cellStyle name="?????????? 3 3 2 2 3 2" xfId="7832" xr:uid="{00000000-0005-0000-0000-0000B7040000}"/>
    <cellStyle name="?????????? 3 3 2 2 4" xfId="7833" xr:uid="{00000000-0005-0000-0000-0000B8040000}"/>
    <cellStyle name="?????????? 3 3 2 2 4 2" xfId="7834" xr:uid="{00000000-0005-0000-0000-0000B9040000}"/>
    <cellStyle name="?????????? 3 3 2 2 5" xfId="7835" xr:uid="{00000000-0005-0000-0000-0000BA040000}"/>
    <cellStyle name="?????????? 3 3 2 3" xfId="7836" xr:uid="{00000000-0005-0000-0000-0000BB040000}"/>
    <cellStyle name="?????????? 3 3 2 3 2" xfId="7837" xr:uid="{00000000-0005-0000-0000-0000BC040000}"/>
    <cellStyle name="?????????? 3 3 2 3 2 2" xfId="7838" xr:uid="{00000000-0005-0000-0000-0000BD040000}"/>
    <cellStyle name="?????????? 3 3 2 3 3" xfId="7839" xr:uid="{00000000-0005-0000-0000-0000BE040000}"/>
    <cellStyle name="?????????? 3 3 2 4" xfId="7840" xr:uid="{00000000-0005-0000-0000-0000BF040000}"/>
    <cellStyle name="?????????? 3 3 2 4 2" xfId="7841" xr:uid="{00000000-0005-0000-0000-0000C0040000}"/>
    <cellStyle name="?????????? 3 3 2 4 2 2" xfId="7842" xr:uid="{00000000-0005-0000-0000-0000C1040000}"/>
    <cellStyle name="?????????? 3 3 2 4 3" xfId="7843" xr:uid="{00000000-0005-0000-0000-0000C2040000}"/>
    <cellStyle name="?????????? 3 3 2 5" xfId="7844" xr:uid="{00000000-0005-0000-0000-0000C3040000}"/>
    <cellStyle name="?????????? 3 3 2 5 2" xfId="7845" xr:uid="{00000000-0005-0000-0000-0000C4040000}"/>
    <cellStyle name="?????????? 3 3 2 6" xfId="7846" xr:uid="{00000000-0005-0000-0000-0000C5040000}"/>
    <cellStyle name="?????????? 3 3 2 6 2" xfId="7847" xr:uid="{00000000-0005-0000-0000-0000C6040000}"/>
    <cellStyle name="?????????? 3 3 2 7" xfId="7848" xr:uid="{00000000-0005-0000-0000-0000C7040000}"/>
    <cellStyle name="?????????? 3 3 3" xfId="7849" xr:uid="{00000000-0005-0000-0000-0000C8040000}"/>
    <cellStyle name="?????????? 3 3 3 2" xfId="7850" xr:uid="{00000000-0005-0000-0000-0000C9040000}"/>
    <cellStyle name="?????????? 3 3 3 2 2" xfId="7851" xr:uid="{00000000-0005-0000-0000-0000CA040000}"/>
    <cellStyle name="?????????? 3 3 3 2 2 2" xfId="7852" xr:uid="{00000000-0005-0000-0000-0000CB040000}"/>
    <cellStyle name="?????????? 3 3 3 2 3" xfId="7853" xr:uid="{00000000-0005-0000-0000-0000CC040000}"/>
    <cellStyle name="?????????? 3 3 3 3" xfId="7854" xr:uid="{00000000-0005-0000-0000-0000CD040000}"/>
    <cellStyle name="?????????? 3 3 3 3 2" xfId="7855" xr:uid="{00000000-0005-0000-0000-0000CE040000}"/>
    <cellStyle name="?????????? 3 3 3 4" xfId="7856" xr:uid="{00000000-0005-0000-0000-0000CF040000}"/>
    <cellStyle name="?????????? 3 3 3 4 2" xfId="7857" xr:uid="{00000000-0005-0000-0000-0000D0040000}"/>
    <cellStyle name="?????????? 3 3 3 5" xfId="7858" xr:uid="{00000000-0005-0000-0000-0000D1040000}"/>
    <cellStyle name="?????????? 3 3 4" xfId="7859" xr:uid="{00000000-0005-0000-0000-0000D2040000}"/>
    <cellStyle name="?????????? 3 3 4 2" xfId="7860" xr:uid="{00000000-0005-0000-0000-0000D3040000}"/>
    <cellStyle name="?????????? 3 3 4 2 2" xfId="7861" xr:uid="{00000000-0005-0000-0000-0000D4040000}"/>
    <cellStyle name="?????????? 3 3 4 3" xfId="7862" xr:uid="{00000000-0005-0000-0000-0000D5040000}"/>
    <cellStyle name="?????????? 3 3 5" xfId="7863" xr:uid="{00000000-0005-0000-0000-0000D6040000}"/>
    <cellStyle name="?????????? 3 3 5 2" xfId="7864" xr:uid="{00000000-0005-0000-0000-0000D7040000}"/>
    <cellStyle name="?????????? 3 3 5 2 2" xfId="7865" xr:uid="{00000000-0005-0000-0000-0000D8040000}"/>
    <cellStyle name="?????????? 3 3 5 3" xfId="7866" xr:uid="{00000000-0005-0000-0000-0000D9040000}"/>
    <cellStyle name="?????????? 3 3 6" xfId="7867" xr:uid="{00000000-0005-0000-0000-0000DA040000}"/>
    <cellStyle name="?????????? 3 3 6 2" xfId="7868" xr:uid="{00000000-0005-0000-0000-0000DB040000}"/>
    <cellStyle name="?????????? 3 3 7" xfId="7869" xr:uid="{00000000-0005-0000-0000-0000DC040000}"/>
    <cellStyle name="?????????? 3 3 7 2" xfId="7870" xr:uid="{00000000-0005-0000-0000-0000DD040000}"/>
    <cellStyle name="?????????? 3 3 8" xfId="7871" xr:uid="{00000000-0005-0000-0000-0000DE040000}"/>
    <cellStyle name="?????????? 3 4" xfId="7872" xr:uid="{00000000-0005-0000-0000-0000DF040000}"/>
    <cellStyle name="?????????? 3 4 2" xfId="7873" xr:uid="{00000000-0005-0000-0000-0000E0040000}"/>
    <cellStyle name="?????????? 3 4 2 2" xfId="7874" xr:uid="{00000000-0005-0000-0000-0000E1040000}"/>
    <cellStyle name="?????????? 3 4 2 2 2" xfId="7875" xr:uid="{00000000-0005-0000-0000-0000E2040000}"/>
    <cellStyle name="?????????? 3 4 2 2 2 2" xfId="7876" xr:uid="{00000000-0005-0000-0000-0000E3040000}"/>
    <cellStyle name="?????????? 3 4 2 2 3" xfId="7877" xr:uid="{00000000-0005-0000-0000-0000E4040000}"/>
    <cellStyle name="?????????? 3 4 2 3" xfId="7878" xr:uid="{00000000-0005-0000-0000-0000E5040000}"/>
    <cellStyle name="?????????? 3 4 2 3 2" xfId="7879" xr:uid="{00000000-0005-0000-0000-0000E6040000}"/>
    <cellStyle name="?????????? 3 4 2 4" xfId="7880" xr:uid="{00000000-0005-0000-0000-0000E7040000}"/>
    <cellStyle name="?????????? 3 4 2 4 2" xfId="7881" xr:uid="{00000000-0005-0000-0000-0000E8040000}"/>
    <cellStyle name="?????????? 3 4 2 5" xfId="7882" xr:uid="{00000000-0005-0000-0000-0000E9040000}"/>
    <cellStyle name="?????????? 3 4 3" xfId="7883" xr:uid="{00000000-0005-0000-0000-0000EA040000}"/>
    <cellStyle name="?????????? 3 4 3 2" xfId="7884" xr:uid="{00000000-0005-0000-0000-0000EB040000}"/>
    <cellStyle name="?????????? 3 4 3 2 2" xfId="7885" xr:uid="{00000000-0005-0000-0000-0000EC040000}"/>
    <cellStyle name="?????????? 3 4 3 3" xfId="7886" xr:uid="{00000000-0005-0000-0000-0000ED040000}"/>
    <cellStyle name="?????????? 3 4 4" xfId="7887" xr:uid="{00000000-0005-0000-0000-0000EE040000}"/>
    <cellStyle name="?????????? 3 4 4 2" xfId="7888" xr:uid="{00000000-0005-0000-0000-0000EF040000}"/>
    <cellStyle name="?????????? 3 4 4 2 2" xfId="7889" xr:uid="{00000000-0005-0000-0000-0000F0040000}"/>
    <cellStyle name="?????????? 3 4 4 3" xfId="7890" xr:uid="{00000000-0005-0000-0000-0000F1040000}"/>
    <cellStyle name="?????????? 3 4 5" xfId="7891" xr:uid="{00000000-0005-0000-0000-0000F2040000}"/>
    <cellStyle name="?????????? 3 4 5 2" xfId="7892" xr:uid="{00000000-0005-0000-0000-0000F3040000}"/>
    <cellStyle name="?????????? 3 4 6" xfId="7893" xr:uid="{00000000-0005-0000-0000-0000F4040000}"/>
    <cellStyle name="?????????? 3 4 6 2" xfId="7894" xr:uid="{00000000-0005-0000-0000-0000F5040000}"/>
    <cellStyle name="?????????? 3 4 7" xfId="7895" xr:uid="{00000000-0005-0000-0000-0000F6040000}"/>
    <cellStyle name="?????????? 3 5" xfId="7896" xr:uid="{00000000-0005-0000-0000-0000F7040000}"/>
    <cellStyle name="?????????? 3 5 2" xfId="7897" xr:uid="{00000000-0005-0000-0000-0000F8040000}"/>
    <cellStyle name="?????????? 3 5 2 2" xfId="7898" xr:uid="{00000000-0005-0000-0000-0000F9040000}"/>
    <cellStyle name="?????????? 3 5 2 2 2" xfId="7899" xr:uid="{00000000-0005-0000-0000-0000FA040000}"/>
    <cellStyle name="?????????? 3 5 2 2 2 2" xfId="7900" xr:uid="{00000000-0005-0000-0000-0000FB040000}"/>
    <cellStyle name="?????????? 3 5 2 2 3" xfId="7901" xr:uid="{00000000-0005-0000-0000-0000FC040000}"/>
    <cellStyle name="?????????? 3 5 2 3" xfId="7902" xr:uid="{00000000-0005-0000-0000-0000FD040000}"/>
    <cellStyle name="?????????? 3 5 2 3 2" xfId="7903" xr:uid="{00000000-0005-0000-0000-0000FE040000}"/>
    <cellStyle name="?????????? 3 5 2 4" xfId="7904" xr:uid="{00000000-0005-0000-0000-0000FF040000}"/>
    <cellStyle name="?????????? 3 5 2 4 2" xfId="7905" xr:uid="{00000000-0005-0000-0000-000000050000}"/>
    <cellStyle name="?????????? 3 5 2 5" xfId="7906" xr:uid="{00000000-0005-0000-0000-000001050000}"/>
    <cellStyle name="?????????? 3 5 3" xfId="7907" xr:uid="{00000000-0005-0000-0000-000002050000}"/>
    <cellStyle name="?????????? 3 5 3 2" xfId="7908" xr:uid="{00000000-0005-0000-0000-000003050000}"/>
    <cellStyle name="?????????? 3 5 3 2 2" xfId="7909" xr:uid="{00000000-0005-0000-0000-000004050000}"/>
    <cellStyle name="?????????? 3 5 3 3" xfId="7910" xr:uid="{00000000-0005-0000-0000-000005050000}"/>
    <cellStyle name="?????????? 3 5 4" xfId="7911" xr:uid="{00000000-0005-0000-0000-000006050000}"/>
    <cellStyle name="?????????? 3 5 4 2" xfId="7912" xr:uid="{00000000-0005-0000-0000-000007050000}"/>
    <cellStyle name="?????????? 3 5 4 2 2" xfId="7913" xr:uid="{00000000-0005-0000-0000-000008050000}"/>
    <cellStyle name="?????????? 3 5 4 3" xfId="7914" xr:uid="{00000000-0005-0000-0000-000009050000}"/>
    <cellStyle name="?????????? 3 5 5" xfId="7915" xr:uid="{00000000-0005-0000-0000-00000A050000}"/>
    <cellStyle name="?????????? 3 5 5 2" xfId="7916" xr:uid="{00000000-0005-0000-0000-00000B050000}"/>
    <cellStyle name="?????????? 3 5 6" xfId="7917" xr:uid="{00000000-0005-0000-0000-00000C050000}"/>
    <cellStyle name="?????????? 3 5 6 2" xfId="7918" xr:uid="{00000000-0005-0000-0000-00000D050000}"/>
    <cellStyle name="?????????? 3 5 7" xfId="7919" xr:uid="{00000000-0005-0000-0000-00000E050000}"/>
    <cellStyle name="?????????? 3 6" xfId="7920" xr:uid="{00000000-0005-0000-0000-00000F050000}"/>
    <cellStyle name="?????????? 3 6 2" xfId="7921" xr:uid="{00000000-0005-0000-0000-000010050000}"/>
    <cellStyle name="?????????? 3 6 2 2" xfId="7922" xr:uid="{00000000-0005-0000-0000-000011050000}"/>
    <cellStyle name="?????????? 3 6 2 2 2" xfId="7923" xr:uid="{00000000-0005-0000-0000-000012050000}"/>
    <cellStyle name="?????????? 3 6 2 3" xfId="7924" xr:uid="{00000000-0005-0000-0000-000013050000}"/>
    <cellStyle name="?????????? 3 6 3" xfId="7925" xr:uid="{00000000-0005-0000-0000-000014050000}"/>
    <cellStyle name="?????????? 3 6 3 2" xfId="7926" xr:uid="{00000000-0005-0000-0000-000015050000}"/>
    <cellStyle name="?????????? 3 6 4" xfId="7927" xr:uid="{00000000-0005-0000-0000-000016050000}"/>
    <cellStyle name="?????????? 3 6 4 2" xfId="7928" xr:uid="{00000000-0005-0000-0000-000017050000}"/>
    <cellStyle name="?????????? 3 6 5" xfId="7929" xr:uid="{00000000-0005-0000-0000-000018050000}"/>
    <cellStyle name="?????????? 3 7" xfId="7930" xr:uid="{00000000-0005-0000-0000-000019050000}"/>
    <cellStyle name="?????????? 3 7 2" xfId="7931" xr:uid="{00000000-0005-0000-0000-00001A050000}"/>
    <cellStyle name="?????????? 3 7 2 2" xfId="7932" xr:uid="{00000000-0005-0000-0000-00001B050000}"/>
    <cellStyle name="?????????? 3 7 3" xfId="7933" xr:uid="{00000000-0005-0000-0000-00001C050000}"/>
    <cellStyle name="?????????? 3 8" xfId="7934" xr:uid="{00000000-0005-0000-0000-00001D050000}"/>
    <cellStyle name="?????????? 3 8 2" xfId="7935" xr:uid="{00000000-0005-0000-0000-00001E050000}"/>
    <cellStyle name="?????????? 3 8 2 2" xfId="7936" xr:uid="{00000000-0005-0000-0000-00001F050000}"/>
    <cellStyle name="?????????? 3 8 3" xfId="7937" xr:uid="{00000000-0005-0000-0000-000020050000}"/>
    <cellStyle name="?????????? 3 9" xfId="7938" xr:uid="{00000000-0005-0000-0000-000021050000}"/>
    <cellStyle name="?????????? 3 9 2" xfId="7939" xr:uid="{00000000-0005-0000-0000-000022050000}"/>
    <cellStyle name="?????????? 4" xfId="7940" xr:uid="{00000000-0005-0000-0000-000023050000}"/>
    <cellStyle name="?????????? 4 2" xfId="7941" xr:uid="{00000000-0005-0000-0000-000024050000}"/>
    <cellStyle name="?????????? 4 2 2" xfId="7942" xr:uid="{00000000-0005-0000-0000-000025050000}"/>
    <cellStyle name="?????????? 4 2 2 2" xfId="7943" xr:uid="{00000000-0005-0000-0000-000026050000}"/>
    <cellStyle name="?????????? 4 2 2 2 2" xfId="7944" xr:uid="{00000000-0005-0000-0000-000027050000}"/>
    <cellStyle name="?????????? 4 2 2 2 2 2" xfId="7945" xr:uid="{00000000-0005-0000-0000-000028050000}"/>
    <cellStyle name="?????????? 4 2 2 2 3" xfId="7946" xr:uid="{00000000-0005-0000-0000-000029050000}"/>
    <cellStyle name="?????????? 4 2 2 3" xfId="7947" xr:uid="{00000000-0005-0000-0000-00002A050000}"/>
    <cellStyle name="?????????? 4 2 2 3 2" xfId="7948" xr:uid="{00000000-0005-0000-0000-00002B050000}"/>
    <cellStyle name="?????????? 4 2 2 4" xfId="7949" xr:uid="{00000000-0005-0000-0000-00002C050000}"/>
    <cellStyle name="?????????? 4 2 2 4 2" xfId="7950" xr:uid="{00000000-0005-0000-0000-00002D050000}"/>
    <cellStyle name="?????????? 4 2 2 5" xfId="7951" xr:uid="{00000000-0005-0000-0000-00002E050000}"/>
    <cellStyle name="?????????? 4 2 3" xfId="7952" xr:uid="{00000000-0005-0000-0000-00002F050000}"/>
    <cellStyle name="?????????? 4 2 3 2" xfId="7953" xr:uid="{00000000-0005-0000-0000-000030050000}"/>
    <cellStyle name="?????????? 4 2 3 2 2" xfId="7954" xr:uid="{00000000-0005-0000-0000-000031050000}"/>
    <cellStyle name="?????????? 4 2 3 3" xfId="7955" xr:uid="{00000000-0005-0000-0000-000032050000}"/>
    <cellStyle name="?????????? 4 2 4" xfId="7956" xr:uid="{00000000-0005-0000-0000-000033050000}"/>
    <cellStyle name="?????????? 4 2 4 2" xfId="7957" xr:uid="{00000000-0005-0000-0000-000034050000}"/>
    <cellStyle name="?????????? 4 2 4 2 2" xfId="7958" xr:uid="{00000000-0005-0000-0000-000035050000}"/>
    <cellStyle name="?????????? 4 2 4 3" xfId="7959" xr:uid="{00000000-0005-0000-0000-000036050000}"/>
    <cellStyle name="?????????? 4 2 5" xfId="7960" xr:uid="{00000000-0005-0000-0000-000037050000}"/>
    <cellStyle name="?????????? 4 2 5 2" xfId="7961" xr:uid="{00000000-0005-0000-0000-000038050000}"/>
    <cellStyle name="?????????? 4 2 6" xfId="7962" xr:uid="{00000000-0005-0000-0000-000039050000}"/>
    <cellStyle name="?????????? 4 2 6 2" xfId="7963" xr:uid="{00000000-0005-0000-0000-00003A050000}"/>
    <cellStyle name="?????????? 4 2 7" xfId="7964" xr:uid="{00000000-0005-0000-0000-00003B050000}"/>
    <cellStyle name="?????????? 4 3" xfId="7965" xr:uid="{00000000-0005-0000-0000-00003C050000}"/>
    <cellStyle name="?????????? 4 3 2" xfId="7966" xr:uid="{00000000-0005-0000-0000-00003D050000}"/>
    <cellStyle name="?????????? 4 3 2 2" xfId="7967" xr:uid="{00000000-0005-0000-0000-00003E050000}"/>
    <cellStyle name="?????????? 4 3 2 2 2" xfId="7968" xr:uid="{00000000-0005-0000-0000-00003F050000}"/>
    <cellStyle name="?????????? 4 3 2 2 2 2" xfId="7969" xr:uid="{00000000-0005-0000-0000-000040050000}"/>
    <cellStyle name="?????????? 4 3 2 2 3" xfId="7970" xr:uid="{00000000-0005-0000-0000-000041050000}"/>
    <cellStyle name="?????????? 4 3 2 3" xfId="7971" xr:uid="{00000000-0005-0000-0000-000042050000}"/>
    <cellStyle name="?????????? 4 3 2 3 2" xfId="7972" xr:uid="{00000000-0005-0000-0000-000043050000}"/>
    <cellStyle name="?????????? 4 3 2 4" xfId="7973" xr:uid="{00000000-0005-0000-0000-000044050000}"/>
    <cellStyle name="?????????? 4 3 2 4 2" xfId="7974" xr:uid="{00000000-0005-0000-0000-000045050000}"/>
    <cellStyle name="?????????? 4 3 2 5" xfId="7975" xr:uid="{00000000-0005-0000-0000-000046050000}"/>
    <cellStyle name="?????????? 4 3 3" xfId="7976" xr:uid="{00000000-0005-0000-0000-000047050000}"/>
    <cellStyle name="?????????? 4 3 3 2" xfId="7977" xr:uid="{00000000-0005-0000-0000-000048050000}"/>
    <cellStyle name="?????????? 4 3 3 2 2" xfId="7978" xr:uid="{00000000-0005-0000-0000-000049050000}"/>
    <cellStyle name="?????????? 4 3 3 3" xfId="7979" xr:uid="{00000000-0005-0000-0000-00004A050000}"/>
    <cellStyle name="?????????? 4 3 4" xfId="7980" xr:uid="{00000000-0005-0000-0000-00004B050000}"/>
    <cellStyle name="?????????? 4 3 4 2" xfId="7981" xr:uid="{00000000-0005-0000-0000-00004C050000}"/>
    <cellStyle name="?????????? 4 3 4 2 2" xfId="7982" xr:uid="{00000000-0005-0000-0000-00004D050000}"/>
    <cellStyle name="?????????? 4 3 4 3" xfId="7983" xr:uid="{00000000-0005-0000-0000-00004E050000}"/>
    <cellStyle name="?????????? 4 3 5" xfId="7984" xr:uid="{00000000-0005-0000-0000-00004F050000}"/>
    <cellStyle name="?????????? 4 3 5 2" xfId="7985" xr:uid="{00000000-0005-0000-0000-000050050000}"/>
    <cellStyle name="?????????? 4 3 6" xfId="7986" xr:uid="{00000000-0005-0000-0000-000051050000}"/>
    <cellStyle name="?????????? 4 3 6 2" xfId="7987" xr:uid="{00000000-0005-0000-0000-000052050000}"/>
    <cellStyle name="?????????? 4 3 7" xfId="7988" xr:uid="{00000000-0005-0000-0000-000053050000}"/>
    <cellStyle name="?????????? 4 4" xfId="7989" xr:uid="{00000000-0005-0000-0000-000054050000}"/>
    <cellStyle name="?????????? 4 4 2" xfId="7990" xr:uid="{00000000-0005-0000-0000-000055050000}"/>
    <cellStyle name="?????????? 4 4 2 2" xfId="7991" xr:uid="{00000000-0005-0000-0000-000056050000}"/>
    <cellStyle name="?????????? 4 4 2 2 2" xfId="7992" xr:uid="{00000000-0005-0000-0000-000057050000}"/>
    <cellStyle name="?????????? 4 4 2 3" xfId="7993" xr:uid="{00000000-0005-0000-0000-000058050000}"/>
    <cellStyle name="?????????? 4 4 3" xfId="7994" xr:uid="{00000000-0005-0000-0000-000059050000}"/>
    <cellStyle name="?????????? 4 4 3 2" xfId="7995" xr:uid="{00000000-0005-0000-0000-00005A050000}"/>
    <cellStyle name="?????????? 4 4 4" xfId="7996" xr:uid="{00000000-0005-0000-0000-00005B050000}"/>
    <cellStyle name="?????????? 4 4 4 2" xfId="7997" xr:uid="{00000000-0005-0000-0000-00005C050000}"/>
    <cellStyle name="?????????? 4 4 5" xfId="7998" xr:uid="{00000000-0005-0000-0000-00005D050000}"/>
    <cellStyle name="?????????? 4 5" xfId="7999" xr:uid="{00000000-0005-0000-0000-00005E050000}"/>
    <cellStyle name="?????????? 4 5 2" xfId="8000" xr:uid="{00000000-0005-0000-0000-00005F050000}"/>
    <cellStyle name="?????????? 4 5 2 2" xfId="8001" xr:uid="{00000000-0005-0000-0000-000060050000}"/>
    <cellStyle name="?????????? 4 5 3" xfId="8002" xr:uid="{00000000-0005-0000-0000-000061050000}"/>
    <cellStyle name="?????????? 4 6" xfId="8003" xr:uid="{00000000-0005-0000-0000-000062050000}"/>
    <cellStyle name="?????????? 4 6 2" xfId="8004" xr:uid="{00000000-0005-0000-0000-000063050000}"/>
    <cellStyle name="?????????? 4 6 2 2" xfId="8005" xr:uid="{00000000-0005-0000-0000-000064050000}"/>
    <cellStyle name="?????????? 4 6 3" xfId="8006" xr:uid="{00000000-0005-0000-0000-000065050000}"/>
    <cellStyle name="?????????? 4 7" xfId="8007" xr:uid="{00000000-0005-0000-0000-000066050000}"/>
    <cellStyle name="?????????? 4 7 2" xfId="8008" xr:uid="{00000000-0005-0000-0000-000067050000}"/>
    <cellStyle name="?????????? 4 8" xfId="8009" xr:uid="{00000000-0005-0000-0000-000068050000}"/>
    <cellStyle name="?????????? 4 8 2" xfId="8010" xr:uid="{00000000-0005-0000-0000-000069050000}"/>
    <cellStyle name="?????????? 4 9" xfId="8011" xr:uid="{00000000-0005-0000-0000-00006A050000}"/>
    <cellStyle name="?????????? 5" xfId="8012" xr:uid="{00000000-0005-0000-0000-00006B050000}"/>
    <cellStyle name="?????????? 5 2" xfId="8013" xr:uid="{00000000-0005-0000-0000-00006C050000}"/>
    <cellStyle name="?????????? 5 2 2" xfId="8014" xr:uid="{00000000-0005-0000-0000-00006D050000}"/>
    <cellStyle name="?????????? 5 2 2 2" xfId="8015" xr:uid="{00000000-0005-0000-0000-00006E050000}"/>
    <cellStyle name="?????????? 5 2 2 2 2" xfId="8016" xr:uid="{00000000-0005-0000-0000-00006F050000}"/>
    <cellStyle name="?????????? 5 2 2 2 2 2" xfId="8017" xr:uid="{00000000-0005-0000-0000-000070050000}"/>
    <cellStyle name="?????????? 5 2 2 2 3" xfId="8018" xr:uid="{00000000-0005-0000-0000-000071050000}"/>
    <cellStyle name="?????????? 5 2 2 3" xfId="8019" xr:uid="{00000000-0005-0000-0000-000072050000}"/>
    <cellStyle name="?????????? 5 2 2 3 2" xfId="8020" xr:uid="{00000000-0005-0000-0000-000073050000}"/>
    <cellStyle name="?????????? 5 2 2 4" xfId="8021" xr:uid="{00000000-0005-0000-0000-000074050000}"/>
    <cellStyle name="?????????? 5 2 2 4 2" xfId="8022" xr:uid="{00000000-0005-0000-0000-000075050000}"/>
    <cellStyle name="?????????? 5 2 2 5" xfId="8023" xr:uid="{00000000-0005-0000-0000-000076050000}"/>
    <cellStyle name="?????????? 5 2 3" xfId="8024" xr:uid="{00000000-0005-0000-0000-000077050000}"/>
    <cellStyle name="?????????? 5 2 3 2" xfId="8025" xr:uid="{00000000-0005-0000-0000-000078050000}"/>
    <cellStyle name="?????????? 5 2 3 2 2" xfId="8026" xr:uid="{00000000-0005-0000-0000-000079050000}"/>
    <cellStyle name="?????????? 5 2 3 3" xfId="8027" xr:uid="{00000000-0005-0000-0000-00007A050000}"/>
    <cellStyle name="?????????? 5 2 4" xfId="8028" xr:uid="{00000000-0005-0000-0000-00007B050000}"/>
    <cellStyle name="?????????? 5 2 4 2" xfId="8029" xr:uid="{00000000-0005-0000-0000-00007C050000}"/>
    <cellStyle name="?????????? 5 2 4 2 2" xfId="8030" xr:uid="{00000000-0005-0000-0000-00007D050000}"/>
    <cellStyle name="?????????? 5 2 4 3" xfId="8031" xr:uid="{00000000-0005-0000-0000-00007E050000}"/>
    <cellStyle name="?????????? 5 2 5" xfId="8032" xr:uid="{00000000-0005-0000-0000-00007F050000}"/>
    <cellStyle name="?????????? 5 2 5 2" xfId="8033" xr:uid="{00000000-0005-0000-0000-000080050000}"/>
    <cellStyle name="?????????? 5 2 6" xfId="8034" xr:uid="{00000000-0005-0000-0000-000081050000}"/>
    <cellStyle name="?????????? 5 2 6 2" xfId="8035" xr:uid="{00000000-0005-0000-0000-000082050000}"/>
    <cellStyle name="?????????? 5 2 7" xfId="8036" xr:uid="{00000000-0005-0000-0000-000083050000}"/>
    <cellStyle name="?????????? 5 3" xfId="8037" xr:uid="{00000000-0005-0000-0000-000084050000}"/>
    <cellStyle name="?????????? 5 3 2" xfId="8038" xr:uid="{00000000-0005-0000-0000-000085050000}"/>
    <cellStyle name="?????????? 5 3 2 2" xfId="8039" xr:uid="{00000000-0005-0000-0000-000086050000}"/>
    <cellStyle name="?????????? 5 3 2 2 2" xfId="8040" xr:uid="{00000000-0005-0000-0000-000087050000}"/>
    <cellStyle name="?????????? 5 3 2 2 2 2" xfId="8041" xr:uid="{00000000-0005-0000-0000-000088050000}"/>
    <cellStyle name="?????????? 5 3 2 2 3" xfId="8042" xr:uid="{00000000-0005-0000-0000-000089050000}"/>
    <cellStyle name="?????????? 5 3 2 3" xfId="8043" xr:uid="{00000000-0005-0000-0000-00008A050000}"/>
    <cellStyle name="?????????? 5 3 2 3 2" xfId="8044" xr:uid="{00000000-0005-0000-0000-00008B050000}"/>
    <cellStyle name="?????????? 5 3 2 4" xfId="8045" xr:uid="{00000000-0005-0000-0000-00008C050000}"/>
    <cellStyle name="?????????? 5 3 2 4 2" xfId="8046" xr:uid="{00000000-0005-0000-0000-00008D050000}"/>
    <cellStyle name="?????????? 5 3 2 5" xfId="8047" xr:uid="{00000000-0005-0000-0000-00008E050000}"/>
    <cellStyle name="?????????? 5 3 3" xfId="8048" xr:uid="{00000000-0005-0000-0000-00008F050000}"/>
    <cellStyle name="?????????? 5 3 3 2" xfId="8049" xr:uid="{00000000-0005-0000-0000-000090050000}"/>
    <cellStyle name="?????????? 5 3 3 2 2" xfId="8050" xr:uid="{00000000-0005-0000-0000-000091050000}"/>
    <cellStyle name="?????????? 5 3 3 3" xfId="8051" xr:uid="{00000000-0005-0000-0000-000092050000}"/>
    <cellStyle name="?????????? 5 3 4" xfId="8052" xr:uid="{00000000-0005-0000-0000-000093050000}"/>
    <cellStyle name="?????????? 5 3 4 2" xfId="8053" xr:uid="{00000000-0005-0000-0000-000094050000}"/>
    <cellStyle name="?????????? 5 3 4 2 2" xfId="8054" xr:uid="{00000000-0005-0000-0000-000095050000}"/>
    <cellStyle name="?????????? 5 3 4 3" xfId="8055" xr:uid="{00000000-0005-0000-0000-000096050000}"/>
    <cellStyle name="?????????? 5 3 5" xfId="8056" xr:uid="{00000000-0005-0000-0000-000097050000}"/>
    <cellStyle name="?????????? 5 3 5 2" xfId="8057" xr:uid="{00000000-0005-0000-0000-000098050000}"/>
    <cellStyle name="?????????? 5 3 6" xfId="8058" xr:uid="{00000000-0005-0000-0000-000099050000}"/>
    <cellStyle name="?????????? 5 3 6 2" xfId="8059" xr:uid="{00000000-0005-0000-0000-00009A050000}"/>
    <cellStyle name="?????????? 5 3 7" xfId="8060" xr:uid="{00000000-0005-0000-0000-00009B050000}"/>
    <cellStyle name="?????????? 5 4" xfId="8061" xr:uid="{00000000-0005-0000-0000-00009C050000}"/>
    <cellStyle name="?????????? 5 4 2" xfId="8062" xr:uid="{00000000-0005-0000-0000-00009D050000}"/>
    <cellStyle name="?????????? 5 4 2 2" xfId="8063" xr:uid="{00000000-0005-0000-0000-00009E050000}"/>
    <cellStyle name="?????????? 5 4 2 2 2" xfId="8064" xr:uid="{00000000-0005-0000-0000-00009F050000}"/>
    <cellStyle name="?????????? 5 4 2 3" xfId="8065" xr:uid="{00000000-0005-0000-0000-0000A0050000}"/>
    <cellStyle name="?????????? 5 4 3" xfId="8066" xr:uid="{00000000-0005-0000-0000-0000A1050000}"/>
    <cellStyle name="?????????? 5 4 3 2" xfId="8067" xr:uid="{00000000-0005-0000-0000-0000A2050000}"/>
    <cellStyle name="?????????? 5 4 4" xfId="8068" xr:uid="{00000000-0005-0000-0000-0000A3050000}"/>
    <cellStyle name="?????????? 5 4 4 2" xfId="8069" xr:uid="{00000000-0005-0000-0000-0000A4050000}"/>
    <cellStyle name="?????????? 5 4 5" xfId="8070" xr:uid="{00000000-0005-0000-0000-0000A5050000}"/>
    <cellStyle name="?????????? 5 5" xfId="8071" xr:uid="{00000000-0005-0000-0000-0000A6050000}"/>
    <cellStyle name="?????????? 5 5 2" xfId="8072" xr:uid="{00000000-0005-0000-0000-0000A7050000}"/>
    <cellStyle name="?????????? 5 5 2 2" xfId="8073" xr:uid="{00000000-0005-0000-0000-0000A8050000}"/>
    <cellStyle name="?????????? 5 5 3" xfId="8074" xr:uid="{00000000-0005-0000-0000-0000A9050000}"/>
    <cellStyle name="?????????? 5 6" xfId="8075" xr:uid="{00000000-0005-0000-0000-0000AA050000}"/>
    <cellStyle name="?????????? 5 6 2" xfId="8076" xr:uid="{00000000-0005-0000-0000-0000AB050000}"/>
    <cellStyle name="?????????? 5 6 2 2" xfId="8077" xr:uid="{00000000-0005-0000-0000-0000AC050000}"/>
    <cellStyle name="?????????? 5 6 3" xfId="8078" xr:uid="{00000000-0005-0000-0000-0000AD050000}"/>
    <cellStyle name="?????????? 5 7" xfId="8079" xr:uid="{00000000-0005-0000-0000-0000AE050000}"/>
    <cellStyle name="?????????? 5 7 2" xfId="8080" xr:uid="{00000000-0005-0000-0000-0000AF050000}"/>
    <cellStyle name="?????????? 5 8" xfId="8081" xr:uid="{00000000-0005-0000-0000-0000B0050000}"/>
    <cellStyle name="?????????? 5 8 2" xfId="8082" xr:uid="{00000000-0005-0000-0000-0000B1050000}"/>
    <cellStyle name="?????????? 5 9" xfId="8083" xr:uid="{00000000-0005-0000-0000-0000B2050000}"/>
    <cellStyle name="?????????? 6" xfId="8084" xr:uid="{00000000-0005-0000-0000-0000B3050000}"/>
    <cellStyle name="?????????? 6 2" xfId="8085" xr:uid="{00000000-0005-0000-0000-0000B4050000}"/>
    <cellStyle name="?????????? 6 2 2" xfId="8086" xr:uid="{00000000-0005-0000-0000-0000B5050000}"/>
    <cellStyle name="?????????? 6 2 2 2" xfId="8087" xr:uid="{00000000-0005-0000-0000-0000B6050000}"/>
    <cellStyle name="?????????? 6 2 2 2 2" xfId="8088" xr:uid="{00000000-0005-0000-0000-0000B7050000}"/>
    <cellStyle name="?????????? 6 2 2 3" xfId="8089" xr:uid="{00000000-0005-0000-0000-0000B8050000}"/>
    <cellStyle name="?????????? 6 2 3" xfId="8090" xr:uid="{00000000-0005-0000-0000-0000B9050000}"/>
    <cellStyle name="?????????? 6 2 3 2" xfId="8091" xr:uid="{00000000-0005-0000-0000-0000BA050000}"/>
    <cellStyle name="?????????? 6 2 4" xfId="8092" xr:uid="{00000000-0005-0000-0000-0000BB050000}"/>
    <cellStyle name="?????????? 6 2 4 2" xfId="8093" xr:uid="{00000000-0005-0000-0000-0000BC050000}"/>
    <cellStyle name="?????????? 6 2 5" xfId="8094" xr:uid="{00000000-0005-0000-0000-0000BD050000}"/>
    <cellStyle name="?????????? 6 3" xfId="8095" xr:uid="{00000000-0005-0000-0000-0000BE050000}"/>
    <cellStyle name="?????????? 6 3 2" xfId="8096" xr:uid="{00000000-0005-0000-0000-0000BF050000}"/>
    <cellStyle name="?????????? 6 3 2 2" xfId="8097" xr:uid="{00000000-0005-0000-0000-0000C0050000}"/>
    <cellStyle name="?????????? 6 3 3" xfId="8098" xr:uid="{00000000-0005-0000-0000-0000C1050000}"/>
    <cellStyle name="?????????? 6 4" xfId="8099" xr:uid="{00000000-0005-0000-0000-0000C2050000}"/>
    <cellStyle name="?????????? 6 4 2" xfId="8100" xr:uid="{00000000-0005-0000-0000-0000C3050000}"/>
    <cellStyle name="?????????? 6 4 2 2" xfId="8101" xr:uid="{00000000-0005-0000-0000-0000C4050000}"/>
    <cellStyle name="?????????? 6 4 3" xfId="8102" xr:uid="{00000000-0005-0000-0000-0000C5050000}"/>
    <cellStyle name="?????????? 6 5" xfId="8103" xr:uid="{00000000-0005-0000-0000-0000C6050000}"/>
    <cellStyle name="?????????? 6 5 2" xfId="8104" xr:uid="{00000000-0005-0000-0000-0000C7050000}"/>
    <cellStyle name="?????????? 6 6" xfId="8105" xr:uid="{00000000-0005-0000-0000-0000C8050000}"/>
    <cellStyle name="?????????? 6 6 2" xfId="8106" xr:uid="{00000000-0005-0000-0000-0000C9050000}"/>
    <cellStyle name="?????????? 6 7" xfId="8107" xr:uid="{00000000-0005-0000-0000-0000CA050000}"/>
    <cellStyle name="?????????? 7" xfId="8108" xr:uid="{00000000-0005-0000-0000-0000CB050000}"/>
    <cellStyle name="?????????? 7 2" xfId="8109" xr:uid="{00000000-0005-0000-0000-0000CC050000}"/>
    <cellStyle name="?????????? 7 2 2" xfId="8110" xr:uid="{00000000-0005-0000-0000-0000CD050000}"/>
    <cellStyle name="?????????? 7 2 2 2" xfId="8111" xr:uid="{00000000-0005-0000-0000-0000CE050000}"/>
    <cellStyle name="?????????? 7 2 2 2 2" xfId="8112" xr:uid="{00000000-0005-0000-0000-0000CF050000}"/>
    <cellStyle name="?????????? 7 2 2 3" xfId="8113" xr:uid="{00000000-0005-0000-0000-0000D0050000}"/>
    <cellStyle name="?????????? 7 2 3" xfId="8114" xr:uid="{00000000-0005-0000-0000-0000D1050000}"/>
    <cellStyle name="?????????? 7 2 3 2" xfId="8115" xr:uid="{00000000-0005-0000-0000-0000D2050000}"/>
    <cellStyle name="?????????? 7 2 4" xfId="8116" xr:uid="{00000000-0005-0000-0000-0000D3050000}"/>
    <cellStyle name="?????????? 7 2 4 2" xfId="8117" xr:uid="{00000000-0005-0000-0000-0000D4050000}"/>
    <cellStyle name="?????????? 7 2 5" xfId="8118" xr:uid="{00000000-0005-0000-0000-0000D5050000}"/>
    <cellStyle name="?????????? 7 3" xfId="8119" xr:uid="{00000000-0005-0000-0000-0000D6050000}"/>
    <cellStyle name="?????????? 7 3 2" xfId="8120" xr:uid="{00000000-0005-0000-0000-0000D7050000}"/>
    <cellStyle name="?????????? 7 3 2 2" xfId="8121" xr:uid="{00000000-0005-0000-0000-0000D8050000}"/>
    <cellStyle name="?????????? 7 3 3" xfId="8122" xr:uid="{00000000-0005-0000-0000-0000D9050000}"/>
    <cellStyle name="?????????? 7 4" xfId="8123" xr:uid="{00000000-0005-0000-0000-0000DA050000}"/>
    <cellStyle name="?????????? 7 4 2" xfId="8124" xr:uid="{00000000-0005-0000-0000-0000DB050000}"/>
    <cellStyle name="?????????? 7 4 2 2" xfId="8125" xr:uid="{00000000-0005-0000-0000-0000DC050000}"/>
    <cellStyle name="?????????? 7 4 3" xfId="8126" xr:uid="{00000000-0005-0000-0000-0000DD050000}"/>
    <cellStyle name="?????????? 7 5" xfId="8127" xr:uid="{00000000-0005-0000-0000-0000DE050000}"/>
    <cellStyle name="?????????? 7 5 2" xfId="8128" xr:uid="{00000000-0005-0000-0000-0000DF050000}"/>
    <cellStyle name="?????????? 7 6" xfId="8129" xr:uid="{00000000-0005-0000-0000-0000E0050000}"/>
    <cellStyle name="?????????? 7 6 2" xfId="8130" xr:uid="{00000000-0005-0000-0000-0000E1050000}"/>
    <cellStyle name="?????????? 7 7" xfId="8131" xr:uid="{00000000-0005-0000-0000-0000E2050000}"/>
    <cellStyle name="?????????? 8" xfId="8132" xr:uid="{00000000-0005-0000-0000-0000E3050000}"/>
    <cellStyle name="?????????? 8 2" xfId="8133" xr:uid="{00000000-0005-0000-0000-0000E4050000}"/>
    <cellStyle name="?????????? 8 2 2" xfId="8134" xr:uid="{00000000-0005-0000-0000-0000E5050000}"/>
    <cellStyle name="?????????? 8 2 2 2" xfId="8135" xr:uid="{00000000-0005-0000-0000-0000E6050000}"/>
    <cellStyle name="?????????? 8 2 3" xfId="8136" xr:uid="{00000000-0005-0000-0000-0000E7050000}"/>
    <cellStyle name="?????????? 8 3" xfId="8137" xr:uid="{00000000-0005-0000-0000-0000E8050000}"/>
    <cellStyle name="?????????? 8 3 2" xfId="8138" xr:uid="{00000000-0005-0000-0000-0000E9050000}"/>
    <cellStyle name="?????????? 8 4" xfId="8139" xr:uid="{00000000-0005-0000-0000-0000EA050000}"/>
    <cellStyle name="?????????? 8 4 2" xfId="8140" xr:uid="{00000000-0005-0000-0000-0000EB050000}"/>
    <cellStyle name="?????????? 8 5" xfId="8141" xr:uid="{00000000-0005-0000-0000-0000EC050000}"/>
    <cellStyle name="?????????? 9" xfId="8142" xr:uid="{00000000-0005-0000-0000-0000ED050000}"/>
    <cellStyle name="?????????? 9 2" xfId="8143" xr:uid="{00000000-0005-0000-0000-0000EE050000}"/>
    <cellStyle name="?????????? 9 2 2" xfId="8144" xr:uid="{00000000-0005-0000-0000-0000EF050000}"/>
    <cellStyle name="?????????? 9 3" xfId="8145" xr:uid="{00000000-0005-0000-0000-0000F0050000}"/>
    <cellStyle name="???????????" xfId="8146" xr:uid="{00000000-0005-0000-0000-0000F1050000}"/>
    <cellStyle name="??????????? ??????" xfId="8147" xr:uid="{00000000-0005-0000-0000-0000F2050000}"/>
    <cellStyle name="??????????? ?????? 2" xfId="8148" xr:uid="{00000000-0005-0000-0000-0000F3050000}"/>
    <cellStyle name="??????????? 2" xfId="8149" xr:uid="{00000000-0005-0000-0000-0000F4050000}"/>
    <cellStyle name="??????????????????? [0]_FTC_OFFER" xfId="8150" xr:uid="{00000000-0005-0000-0000-0000F5050000}"/>
    <cellStyle name="???????????????????_FTC_OFFER" xfId="8151" xr:uid="{00000000-0005-0000-0000-0000F6050000}"/>
    <cellStyle name="??????1" xfId="8152" xr:uid="{00000000-0005-0000-0000-0000F7050000}"/>
    <cellStyle name="??????1 2" xfId="8153" xr:uid="{00000000-0005-0000-0000-0000F8050000}"/>
    <cellStyle name="??????2" xfId="8154" xr:uid="{00000000-0005-0000-0000-0000F9050000}"/>
    <cellStyle name="??????2 2" xfId="8155" xr:uid="{00000000-0005-0000-0000-0000FA050000}"/>
    <cellStyle name="??????3" xfId="8156" xr:uid="{00000000-0005-0000-0000-0000FB050000}"/>
    <cellStyle name="??????3 2" xfId="8157" xr:uid="{00000000-0005-0000-0000-0000FC050000}"/>
    <cellStyle name="??????4" xfId="8158" xr:uid="{00000000-0005-0000-0000-0000FD050000}"/>
    <cellStyle name="??????4 2" xfId="8159" xr:uid="{00000000-0005-0000-0000-0000FE050000}"/>
    <cellStyle name="??????5" xfId="8160" xr:uid="{00000000-0005-0000-0000-0000FF050000}"/>
    <cellStyle name="??????5 2" xfId="8161" xr:uid="{00000000-0005-0000-0000-000000060000}"/>
    <cellStyle name="??????6" xfId="8162" xr:uid="{00000000-0005-0000-0000-000001060000}"/>
    <cellStyle name="??????6 2" xfId="8163" xr:uid="{00000000-0005-0000-0000-000002060000}"/>
    <cellStyle name="????_eve" xfId="8164" xr:uid="{00000000-0005-0000-0000-000003060000}"/>
    <cellStyle name="???[0]_00Q3902REV.1" xfId="8165" xr:uid="{00000000-0005-0000-0000-000004060000}"/>
    <cellStyle name="???_???" xfId="7" xr:uid="{00000000-0005-0000-0000-000005060000}"/>
    <cellStyle name="??[0]_BRE" xfId="8166" xr:uid="{00000000-0005-0000-0000-000006060000}"/>
    <cellStyle name="??_ ??? ???? " xfId="4869" xr:uid="{00000000-0005-0000-0000-000007060000}"/>
    <cellStyle name="_x0001__20141211 Tan Mai - Hanh" xfId="8167" xr:uid="{00000000-0005-0000-0000-000008060000}"/>
    <cellStyle name="_x0001__20141211 Tan Mai - Hanh 2" xfId="8168" xr:uid="{00000000-0005-0000-0000-000009060000}"/>
    <cellStyle name="_Book1" xfId="8" xr:uid="{00000000-0005-0000-0000-00000A060000}"/>
    <cellStyle name="_Book1 2" xfId="3280" xr:uid="{00000000-0005-0000-0000-00000B060000}"/>
    <cellStyle name="_Book1 3" xfId="17109" xr:uid="{00000000-0005-0000-0000-00000C060000}"/>
    <cellStyle name="_Book1_1" xfId="9" xr:uid="{00000000-0005-0000-0000-00000D060000}"/>
    <cellStyle name="_Book1_1 2" xfId="3281" xr:uid="{00000000-0005-0000-0000-00000E060000}"/>
    <cellStyle name="_Book1_1 3" xfId="17110" xr:uid="{00000000-0005-0000-0000-00000F060000}"/>
    <cellStyle name="_Book1_1_TOM TAT" xfId="19375" xr:uid="{00000000-0005-0000-0000-000010060000}"/>
    <cellStyle name="_Book1_2" xfId="10" xr:uid="{00000000-0005-0000-0000-000011060000}"/>
    <cellStyle name="_Book1_2 2" xfId="3282" xr:uid="{00000000-0005-0000-0000-000012060000}"/>
    <cellStyle name="_Book1_2 3" xfId="17111" xr:uid="{00000000-0005-0000-0000-000013060000}"/>
    <cellStyle name="_Book1_2_TOM TAT" xfId="19376" xr:uid="{00000000-0005-0000-0000-000014060000}"/>
    <cellStyle name="_Book1_3" xfId="11" xr:uid="{00000000-0005-0000-0000-000015060000}"/>
    <cellStyle name="_Book1_3 2" xfId="3283" xr:uid="{00000000-0005-0000-0000-000016060000}"/>
    <cellStyle name="_Book1_3 3" xfId="17112" xr:uid="{00000000-0005-0000-0000-000017060000}"/>
    <cellStyle name="_Book1_3_TOM TAT" xfId="19377" xr:uid="{00000000-0005-0000-0000-000018060000}"/>
    <cellStyle name="_Book1_4" xfId="12" xr:uid="{00000000-0005-0000-0000-000019060000}"/>
    <cellStyle name="_Book1_4 2" xfId="3284" xr:uid="{00000000-0005-0000-0000-00001A060000}"/>
    <cellStyle name="_Book1_4 3" xfId="17113" xr:uid="{00000000-0005-0000-0000-00001B060000}"/>
    <cellStyle name="_Book1_4_TOM TAT" xfId="19378" xr:uid="{00000000-0005-0000-0000-00001C060000}"/>
    <cellStyle name="_Book1_BC-QT-WB-dthao" xfId="13" xr:uid="{00000000-0005-0000-0000-00001D060000}"/>
    <cellStyle name="_Book1_BC-QT-WB-dthao 2" xfId="3285" xr:uid="{00000000-0005-0000-0000-00001E060000}"/>
    <cellStyle name="_Book1_BC-QT-WB-dthao 3" xfId="17114" xr:uid="{00000000-0005-0000-0000-00001F060000}"/>
    <cellStyle name="_Book1_BC-QT-WB-dthao_Book1" xfId="14" xr:uid="{00000000-0005-0000-0000-000020060000}"/>
    <cellStyle name="_Book1_BC-QT-WB-dthao_Book1 2" xfId="3286" xr:uid="{00000000-0005-0000-0000-000021060000}"/>
    <cellStyle name="_Book1_BC-QT-WB-dthao_Book1 3" xfId="17115" xr:uid="{00000000-0005-0000-0000-000022060000}"/>
    <cellStyle name="_Book1_BC-QT-WB-dthao_Book1_1" xfId="15" xr:uid="{00000000-0005-0000-0000-000023060000}"/>
    <cellStyle name="_Book1_BC-QT-WB-dthao_Book1_1 2" xfId="3287" xr:uid="{00000000-0005-0000-0000-000024060000}"/>
    <cellStyle name="_Book1_BC-QT-WB-dthao_Book1_1 3" xfId="17116" xr:uid="{00000000-0005-0000-0000-000025060000}"/>
    <cellStyle name="_Book1_BC-QT-WB-dthao_Book1_1_TOM TAT" xfId="19381" xr:uid="{00000000-0005-0000-0000-000026060000}"/>
    <cellStyle name="_Book1_BC-QT-WB-dthao_Book1_2" xfId="16" xr:uid="{00000000-0005-0000-0000-000027060000}"/>
    <cellStyle name="_Book1_BC-QT-WB-dthao_Book1_2 2" xfId="3288" xr:uid="{00000000-0005-0000-0000-000028060000}"/>
    <cellStyle name="_Book1_BC-QT-WB-dthao_Book1_2 3" xfId="17117" xr:uid="{00000000-0005-0000-0000-000029060000}"/>
    <cellStyle name="_Book1_BC-QT-WB-dthao_Book1_2_TOM TAT" xfId="19382" xr:uid="{00000000-0005-0000-0000-00002A060000}"/>
    <cellStyle name="_Book1_BC-QT-WB-dthao_Book1_3" xfId="17" xr:uid="{00000000-0005-0000-0000-00002B060000}"/>
    <cellStyle name="_Book1_BC-QT-WB-dthao_Book1_3 2" xfId="3289" xr:uid="{00000000-0005-0000-0000-00002C060000}"/>
    <cellStyle name="_Book1_BC-QT-WB-dthao_Book1_3 3" xfId="17118" xr:uid="{00000000-0005-0000-0000-00002D060000}"/>
    <cellStyle name="_Book1_BC-QT-WB-dthao_Book1_3_TOM TAT" xfId="19383" xr:uid="{00000000-0005-0000-0000-00002E060000}"/>
    <cellStyle name="_Book1_BC-QT-WB-dthao_Book1_TOM TAT" xfId="19380" xr:uid="{00000000-0005-0000-0000-00002F060000}"/>
    <cellStyle name="_Book1_BC-QT-WB-dthao_TOM TAT" xfId="19379" xr:uid="{00000000-0005-0000-0000-000030060000}"/>
    <cellStyle name="_Book1_BC-QT-WB-dthao_VATTUDIEN" xfId="18" xr:uid="{00000000-0005-0000-0000-000031060000}"/>
    <cellStyle name="_Book1_BC-QT-WB-dthao_VATTUDIEN 2" xfId="3290" xr:uid="{00000000-0005-0000-0000-000032060000}"/>
    <cellStyle name="_Book1_BC-QT-WB-dthao_VATTUDIEN 3" xfId="17119" xr:uid="{00000000-0005-0000-0000-000033060000}"/>
    <cellStyle name="_Book1_BC-QT-WB-dthao_VATTUDIEN_TOM TAT" xfId="19384" xr:uid="{00000000-0005-0000-0000-000034060000}"/>
    <cellStyle name="_Book1_Book1" xfId="19" xr:uid="{00000000-0005-0000-0000-000035060000}"/>
    <cellStyle name="_Book1_Book1 2" xfId="3291" xr:uid="{00000000-0005-0000-0000-000036060000}"/>
    <cellStyle name="_Book1_Book1 3" xfId="17120" xr:uid="{00000000-0005-0000-0000-000037060000}"/>
    <cellStyle name="_Book1_Book1_1" xfId="20" xr:uid="{00000000-0005-0000-0000-000038060000}"/>
    <cellStyle name="_Book1_Book1_1 2" xfId="3292" xr:uid="{00000000-0005-0000-0000-000039060000}"/>
    <cellStyle name="_Book1_Book1_1 3" xfId="17121" xr:uid="{00000000-0005-0000-0000-00003A060000}"/>
    <cellStyle name="_Book1_Book1_1_TOM TAT" xfId="19386" xr:uid="{00000000-0005-0000-0000-00003B060000}"/>
    <cellStyle name="_Book1_Book1_2" xfId="21" xr:uid="{00000000-0005-0000-0000-00003C060000}"/>
    <cellStyle name="_Book1_Book1_2 2" xfId="3293" xr:uid="{00000000-0005-0000-0000-00003D060000}"/>
    <cellStyle name="_Book1_Book1_2 3" xfId="17122" xr:uid="{00000000-0005-0000-0000-00003E060000}"/>
    <cellStyle name="_Book1_Book1_2_TOM TAT" xfId="19387" xr:uid="{00000000-0005-0000-0000-00003F060000}"/>
    <cellStyle name="_Book1_Book1_3" xfId="22" xr:uid="{00000000-0005-0000-0000-000040060000}"/>
    <cellStyle name="_Book1_Book1_3 2" xfId="3294" xr:uid="{00000000-0005-0000-0000-000041060000}"/>
    <cellStyle name="_Book1_Book1_3 3" xfId="17123" xr:uid="{00000000-0005-0000-0000-000042060000}"/>
    <cellStyle name="_Book1_Book1_3_TOM TAT" xfId="19388" xr:uid="{00000000-0005-0000-0000-000043060000}"/>
    <cellStyle name="_Book1_Book1_TOM TAT" xfId="19385" xr:uid="{00000000-0005-0000-0000-000044060000}"/>
    <cellStyle name="_Book1_TOM TAT" xfId="19374" xr:uid="{00000000-0005-0000-0000-000045060000}"/>
    <cellStyle name="_Book1_VATTUDIEN" xfId="23" xr:uid="{00000000-0005-0000-0000-000046060000}"/>
    <cellStyle name="_Book1_VATTUDIEN 2" xfId="3295" xr:uid="{00000000-0005-0000-0000-000047060000}"/>
    <cellStyle name="_Book1_VATTUDIEN 3" xfId="17124" xr:uid="{00000000-0005-0000-0000-000048060000}"/>
    <cellStyle name="_Book1_VATTUDIEN_TOM TAT" xfId="19389" xr:uid="{00000000-0005-0000-0000-000049060000}"/>
    <cellStyle name="_chi phi khac" xfId="4870" xr:uid="{00000000-0005-0000-0000-00004A060000}"/>
    <cellStyle name="_DU TOAN TONG MUC DAU TU" xfId="4871" xr:uid="{00000000-0005-0000-0000-00004B060000}"/>
    <cellStyle name="_x000e__G" xfId="24" xr:uid="{00000000-0005-0000-0000-00004C060000}"/>
    <cellStyle name="_x000e__G 2" xfId="8169" xr:uid="{00000000-0005-0000-0000-00004D060000}"/>
    <cellStyle name="_x000e__G 3" xfId="8170" xr:uid="{00000000-0005-0000-0000-00004E060000}"/>
    <cellStyle name="_KT (2)" xfId="25" xr:uid="{00000000-0005-0000-0000-00004F060000}"/>
    <cellStyle name="_KT (2) 2" xfId="3296" xr:uid="{00000000-0005-0000-0000-000050060000}"/>
    <cellStyle name="_KT (2) 3" xfId="17125" xr:uid="{00000000-0005-0000-0000-000051060000}"/>
    <cellStyle name="_KT (2)_1" xfId="26" xr:uid="{00000000-0005-0000-0000-000052060000}"/>
    <cellStyle name="_KT (2)_1 2" xfId="3297" xr:uid="{00000000-0005-0000-0000-000053060000}"/>
    <cellStyle name="_KT (2)_1 3" xfId="17126" xr:uid="{00000000-0005-0000-0000-000054060000}"/>
    <cellStyle name="_KT (2)_1_Book1" xfId="27" xr:uid="{00000000-0005-0000-0000-000055060000}"/>
    <cellStyle name="_KT (2)_1_Book1 2" xfId="3298" xr:uid="{00000000-0005-0000-0000-000056060000}"/>
    <cellStyle name="_KT (2)_1_Book1 3" xfId="17127" xr:uid="{00000000-0005-0000-0000-000057060000}"/>
    <cellStyle name="_KT (2)_1_Book1_1" xfId="28" xr:uid="{00000000-0005-0000-0000-000058060000}"/>
    <cellStyle name="_KT (2)_1_Book1_1 2" xfId="3299" xr:uid="{00000000-0005-0000-0000-000059060000}"/>
    <cellStyle name="_KT (2)_1_Book1_1 3" xfId="17128" xr:uid="{00000000-0005-0000-0000-00005A060000}"/>
    <cellStyle name="_KT (2)_1_Book1_1_TOM TAT" xfId="19393" xr:uid="{00000000-0005-0000-0000-00005B060000}"/>
    <cellStyle name="_KT (2)_1_Book1_2" xfId="29" xr:uid="{00000000-0005-0000-0000-00005C060000}"/>
    <cellStyle name="_KT (2)_1_Book1_2 2" xfId="3300" xr:uid="{00000000-0005-0000-0000-00005D060000}"/>
    <cellStyle name="_KT (2)_1_Book1_2 3" xfId="17129" xr:uid="{00000000-0005-0000-0000-00005E060000}"/>
    <cellStyle name="_KT (2)_1_Book1_2_TOM TAT" xfId="19394" xr:uid="{00000000-0005-0000-0000-00005F060000}"/>
    <cellStyle name="_KT (2)_1_Book1_3" xfId="30" xr:uid="{00000000-0005-0000-0000-000060060000}"/>
    <cellStyle name="_KT (2)_1_Book1_3 2" xfId="3301" xr:uid="{00000000-0005-0000-0000-000061060000}"/>
    <cellStyle name="_KT (2)_1_Book1_3 3" xfId="17130" xr:uid="{00000000-0005-0000-0000-000062060000}"/>
    <cellStyle name="_KT (2)_1_Book1_3_TOM TAT" xfId="19395" xr:uid="{00000000-0005-0000-0000-000063060000}"/>
    <cellStyle name="_KT (2)_1_Book1_TOM TAT" xfId="19392" xr:uid="{00000000-0005-0000-0000-000064060000}"/>
    <cellStyle name="_KT (2)_1_Lora-tungchau" xfId="31" xr:uid="{00000000-0005-0000-0000-000065060000}"/>
    <cellStyle name="_KT (2)_1_Lora-tungchau 2" xfId="3302" xr:uid="{00000000-0005-0000-0000-000066060000}"/>
    <cellStyle name="_KT (2)_1_Lora-tungchau 3" xfId="17131" xr:uid="{00000000-0005-0000-0000-000067060000}"/>
    <cellStyle name="_KT (2)_1_Lora-tungchau_Book1" xfId="32" xr:uid="{00000000-0005-0000-0000-000068060000}"/>
    <cellStyle name="_KT (2)_1_Lora-tungchau_Book1 2" xfId="3303" xr:uid="{00000000-0005-0000-0000-000069060000}"/>
    <cellStyle name="_KT (2)_1_Lora-tungchau_Book1 3" xfId="17132" xr:uid="{00000000-0005-0000-0000-00006A060000}"/>
    <cellStyle name="_KT (2)_1_Lora-tungchau_Book1_1" xfId="33" xr:uid="{00000000-0005-0000-0000-00006B060000}"/>
    <cellStyle name="_KT (2)_1_Lora-tungchau_Book1_1 2" xfId="3304" xr:uid="{00000000-0005-0000-0000-00006C060000}"/>
    <cellStyle name="_KT (2)_1_Lora-tungchau_Book1_1 3" xfId="17133" xr:uid="{00000000-0005-0000-0000-00006D060000}"/>
    <cellStyle name="_KT (2)_1_Lora-tungchau_Book1_1_TOM TAT" xfId="19398" xr:uid="{00000000-0005-0000-0000-00006E060000}"/>
    <cellStyle name="_KT (2)_1_Lora-tungchau_Book1_2" xfId="34" xr:uid="{00000000-0005-0000-0000-00006F060000}"/>
    <cellStyle name="_KT (2)_1_Lora-tungchau_Book1_2 2" xfId="3305" xr:uid="{00000000-0005-0000-0000-000070060000}"/>
    <cellStyle name="_KT (2)_1_Lora-tungchau_Book1_2 3" xfId="17134" xr:uid="{00000000-0005-0000-0000-000071060000}"/>
    <cellStyle name="_KT (2)_1_Lora-tungchau_Book1_2_TOM TAT" xfId="19399" xr:uid="{00000000-0005-0000-0000-000072060000}"/>
    <cellStyle name="_KT (2)_1_Lora-tungchau_Book1_3" xfId="35" xr:uid="{00000000-0005-0000-0000-000073060000}"/>
    <cellStyle name="_KT (2)_1_Lora-tungchau_Book1_3 2" xfId="3306" xr:uid="{00000000-0005-0000-0000-000074060000}"/>
    <cellStyle name="_KT (2)_1_Lora-tungchau_Book1_3 3" xfId="17135" xr:uid="{00000000-0005-0000-0000-000075060000}"/>
    <cellStyle name="_KT (2)_1_Lora-tungchau_Book1_3_TOM TAT" xfId="19400" xr:uid="{00000000-0005-0000-0000-000076060000}"/>
    <cellStyle name="_KT (2)_1_Lora-tungchau_Book1_TOM TAT" xfId="19397" xr:uid="{00000000-0005-0000-0000-000077060000}"/>
    <cellStyle name="_KT (2)_1_Lora-tungchau_TOM TAT" xfId="19396" xr:uid="{00000000-0005-0000-0000-000078060000}"/>
    <cellStyle name="_KT (2)_1_Lora-tungchau_VATTUDIEN" xfId="36" xr:uid="{00000000-0005-0000-0000-000079060000}"/>
    <cellStyle name="_KT (2)_1_Lora-tungchau_VATTUDIEN 2" xfId="3307" xr:uid="{00000000-0005-0000-0000-00007A060000}"/>
    <cellStyle name="_KT (2)_1_Lora-tungchau_VATTUDIEN 3" xfId="17136" xr:uid="{00000000-0005-0000-0000-00007B060000}"/>
    <cellStyle name="_KT (2)_1_Lora-tungchau_VATTUDIEN_TOM TAT" xfId="19401" xr:uid="{00000000-0005-0000-0000-00007C060000}"/>
    <cellStyle name="_KT (2)_1_Qt-HT3PQ1(CauKho)" xfId="37" xr:uid="{00000000-0005-0000-0000-00007D060000}"/>
    <cellStyle name="_KT (2)_1_Qt-HT3PQ1(CauKho) 2" xfId="3308" xr:uid="{00000000-0005-0000-0000-00007E060000}"/>
    <cellStyle name="_KT (2)_1_Qt-HT3PQ1(CauKho) 3" xfId="17137" xr:uid="{00000000-0005-0000-0000-00007F060000}"/>
    <cellStyle name="_KT (2)_1_Qt-HT3PQ1(CauKho)_Book1" xfId="38" xr:uid="{00000000-0005-0000-0000-000080060000}"/>
    <cellStyle name="_KT (2)_1_Qt-HT3PQ1(CauKho)_Book1 2" xfId="3309" xr:uid="{00000000-0005-0000-0000-000081060000}"/>
    <cellStyle name="_KT (2)_1_Qt-HT3PQ1(CauKho)_Book1 3" xfId="17138" xr:uid="{00000000-0005-0000-0000-000082060000}"/>
    <cellStyle name="_KT (2)_1_Qt-HT3PQ1(CauKho)_Book1_1" xfId="39" xr:uid="{00000000-0005-0000-0000-000083060000}"/>
    <cellStyle name="_KT (2)_1_Qt-HT3PQ1(CauKho)_Book1_1 2" xfId="3310" xr:uid="{00000000-0005-0000-0000-000084060000}"/>
    <cellStyle name="_KT (2)_1_Qt-HT3PQ1(CauKho)_Book1_1 3" xfId="17139" xr:uid="{00000000-0005-0000-0000-000085060000}"/>
    <cellStyle name="_KT (2)_1_Qt-HT3PQ1(CauKho)_Book1_1_TOM TAT" xfId="19404" xr:uid="{00000000-0005-0000-0000-000086060000}"/>
    <cellStyle name="_KT (2)_1_Qt-HT3PQ1(CauKho)_Book1_2" xfId="40" xr:uid="{00000000-0005-0000-0000-000087060000}"/>
    <cellStyle name="_KT (2)_1_Qt-HT3PQ1(CauKho)_Book1_2 2" xfId="3311" xr:uid="{00000000-0005-0000-0000-000088060000}"/>
    <cellStyle name="_KT (2)_1_Qt-HT3PQ1(CauKho)_Book1_2 3" xfId="17140" xr:uid="{00000000-0005-0000-0000-000089060000}"/>
    <cellStyle name="_KT (2)_1_Qt-HT3PQ1(CauKho)_Book1_2_TOM TAT" xfId="19405" xr:uid="{00000000-0005-0000-0000-00008A060000}"/>
    <cellStyle name="_KT (2)_1_Qt-HT3PQ1(CauKho)_Book1_3" xfId="41" xr:uid="{00000000-0005-0000-0000-00008B060000}"/>
    <cellStyle name="_KT (2)_1_Qt-HT3PQ1(CauKho)_Book1_3 2" xfId="3312" xr:uid="{00000000-0005-0000-0000-00008C060000}"/>
    <cellStyle name="_KT (2)_1_Qt-HT3PQ1(CauKho)_Book1_3 3" xfId="17141" xr:uid="{00000000-0005-0000-0000-00008D060000}"/>
    <cellStyle name="_KT (2)_1_Qt-HT3PQ1(CauKho)_Book1_3_TOM TAT" xfId="19406" xr:uid="{00000000-0005-0000-0000-00008E060000}"/>
    <cellStyle name="_KT (2)_1_Qt-HT3PQ1(CauKho)_Book1_TOM TAT" xfId="19403" xr:uid="{00000000-0005-0000-0000-00008F060000}"/>
    <cellStyle name="_KT (2)_1_Qt-HT3PQ1(CauKho)_TOM TAT" xfId="19402" xr:uid="{00000000-0005-0000-0000-000090060000}"/>
    <cellStyle name="_KT (2)_1_Qt-HT3PQ1(CauKho)_VATTUDIEN" xfId="42" xr:uid="{00000000-0005-0000-0000-000091060000}"/>
    <cellStyle name="_KT (2)_1_Qt-HT3PQ1(CauKho)_VATTUDIEN 2" xfId="3313" xr:uid="{00000000-0005-0000-0000-000092060000}"/>
    <cellStyle name="_KT (2)_1_Qt-HT3PQ1(CauKho)_VATTUDIEN 3" xfId="17142" xr:uid="{00000000-0005-0000-0000-000093060000}"/>
    <cellStyle name="_KT (2)_1_Qt-HT3PQ1(CauKho)_VATTUDIEN_TOM TAT" xfId="19407" xr:uid="{00000000-0005-0000-0000-000094060000}"/>
    <cellStyle name="_KT (2)_1_TOM TAT" xfId="19391" xr:uid="{00000000-0005-0000-0000-000095060000}"/>
    <cellStyle name="_KT (2)_1_VATTUDIEN" xfId="43" xr:uid="{00000000-0005-0000-0000-000096060000}"/>
    <cellStyle name="_KT (2)_1_VATTUDIEN 2" xfId="3314" xr:uid="{00000000-0005-0000-0000-000097060000}"/>
    <cellStyle name="_KT (2)_1_VATTUDIEN 3" xfId="17143" xr:uid="{00000000-0005-0000-0000-000098060000}"/>
    <cellStyle name="_KT (2)_1_VATTUDIEN_TOM TAT" xfId="19408" xr:uid="{00000000-0005-0000-0000-000099060000}"/>
    <cellStyle name="_KT (2)_2" xfId="44" xr:uid="{00000000-0005-0000-0000-00009A060000}"/>
    <cellStyle name="_KT (2)_2 2" xfId="3315" xr:uid="{00000000-0005-0000-0000-00009B060000}"/>
    <cellStyle name="_KT (2)_2 3" xfId="17144" xr:uid="{00000000-0005-0000-0000-00009C060000}"/>
    <cellStyle name="_KT (2)_2_Book1" xfId="45" xr:uid="{00000000-0005-0000-0000-00009D060000}"/>
    <cellStyle name="_KT (2)_2_Book1 2" xfId="3316" xr:uid="{00000000-0005-0000-0000-00009E060000}"/>
    <cellStyle name="_KT (2)_2_Book1 3" xfId="17145" xr:uid="{00000000-0005-0000-0000-00009F060000}"/>
    <cellStyle name="_KT (2)_2_Book1_1" xfId="46" xr:uid="{00000000-0005-0000-0000-0000A0060000}"/>
    <cellStyle name="_KT (2)_2_Book1_1 2" xfId="3317" xr:uid="{00000000-0005-0000-0000-0000A1060000}"/>
    <cellStyle name="_KT (2)_2_Book1_1 3" xfId="17146" xr:uid="{00000000-0005-0000-0000-0000A2060000}"/>
    <cellStyle name="_KT (2)_2_Book1_1_TOM TAT" xfId="19411" xr:uid="{00000000-0005-0000-0000-0000A3060000}"/>
    <cellStyle name="_KT (2)_2_Book1_2" xfId="47" xr:uid="{00000000-0005-0000-0000-0000A4060000}"/>
    <cellStyle name="_KT (2)_2_Book1_2 2" xfId="3318" xr:uid="{00000000-0005-0000-0000-0000A5060000}"/>
    <cellStyle name="_KT (2)_2_Book1_2 3" xfId="17147" xr:uid="{00000000-0005-0000-0000-0000A6060000}"/>
    <cellStyle name="_KT (2)_2_Book1_2_TOM TAT" xfId="19412" xr:uid="{00000000-0005-0000-0000-0000A7060000}"/>
    <cellStyle name="_KT (2)_2_Book1_3" xfId="48" xr:uid="{00000000-0005-0000-0000-0000A8060000}"/>
    <cellStyle name="_KT (2)_2_Book1_3 2" xfId="3319" xr:uid="{00000000-0005-0000-0000-0000A9060000}"/>
    <cellStyle name="_KT (2)_2_Book1_3 3" xfId="17148" xr:uid="{00000000-0005-0000-0000-0000AA060000}"/>
    <cellStyle name="_KT (2)_2_Book1_3_TOM TAT" xfId="19413" xr:uid="{00000000-0005-0000-0000-0000AB060000}"/>
    <cellStyle name="_KT (2)_2_Book1_TOM TAT" xfId="19410" xr:uid="{00000000-0005-0000-0000-0000AC060000}"/>
    <cellStyle name="_KT (2)_2_TG-TH" xfId="49" xr:uid="{00000000-0005-0000-0000-0000AD060000}"/>
    <cellStyle name="_KT (2)_2_TG-TH 2" xfId="3320" xr:uid="{00000000-0005-0000-0000-0000AE060000}"/>
    <cellStyle name="_KT (2)_2_TG-TH 3" xfId="17149" xr:uid="{00000000-0005-0000-0000-0000AF060000}"/>
    <cellStyle name="_KT (2)_2_TG-TH_BAO CAO KLCT PT2000" xfId="50" xr:uid="{00000000-0005-0000-0000-0000B0060000}"/>
    <cellStyle name="_KT (2)_2_TG-TH_BAO CAO KLCT PT2000 2" xfId="3321" xr:uid="{00000000-0005-0000-0000-0000B1060000}"/>
    <cellStyle name="_KT (2)_2_TG-TH_BAO CAO KLCT PT2000 3" xfId="17150" xr:uid="{00000000-0005-0000-0000-0000B2060000}"/>
    <cellStyle name="_KT (2)_2_TG-TH_BAO CAO KLCT PT2000_Book1" xfId="51" xr:uid="{00000000-0005-0000-0000-0000B3060000}"/>
    <cellStyle name="_KT (2)_2_TG-TH_BAO CAO KLCT PT2000_Book1 2" xfId="3322" xr:uid="{00000000-0005-0000-0000-0000B4060000}"/>
    <cellStyle name="_KT (2)_2_TG-TH_BAO CAO KLCT PT2000_Book1 3" xfId="17151" xr:uid="{00000000-0005-0000-0000-0000B5060000}"/>
    <cellStyle name="_KT (2)_2_TG-TH_BAO CAO KLCT PT2000_Book1_1" xfId="52" xr:uid="{00000000-0005-0000-0000-0000B6060000}"/>
    <cellStyle name="_KT (2)_2_TG-TH_BAO CAO KLCT PT2000_Book1_1 2" xfId="3323" xr:uid="{00000000-0005-0000-0000-0000B7060000}"/>
    <cellStyle name="_KT (2)_2_TG-TH_BAO CAO KLCT PT2000_Book1_1 3" xfId="17152" xr:uid="{00000000-0005-0000-0000-0000B8060000}"/>
    <cellStyle name="_KT (2)_2_TG-TH_BAO CAO KLCT PT2000_Book1_1_TOM TAT" xfId="19417" xr:uid="{00000000-0005-0000-0000-0000B9060000}"/>
    <cellStyle name="_KT (2)_2_TG-TH_BAO CAO KLCT PT2000_Book1_2" xfId="53" xr:uid="{00000000-0005-0000-0000-0000BA060000}"/>
    <cellStyle name="_KT (2)_2_TG-TH_BAO CAO KLCT PT2000_Book1_2 2" xfId="3324" xr:uid="{00000000-0005-0000-0000-0000BB060000}"/>
    <cellStyle name="_KT (2)_2_TG-TH_BAO CAO KLCT PT2000_Book1_2 3" xfId="17153" xr:uid="{00000000-0005-0000-0000-0000BC060000}"/>
    <cellStyle name="_KT (2)_2_TG-TH_BAO CAO KLCT PT2000_Book1_2_TOM TAT" xfId="19418" xr:uid="{00000000-0005-0000-0000-0000BD060000}"/>
    <cellStyle name="_KT (2)_2_TG-TH_BAO CAO KLCT PT2000_Book1_3" xfId="54" xr:uid="{00000000-0005-0000-0000-0000BE060000}"/>
    <cellStyle name="_KT (2)_2_TG-TH_BAO CAO KLCT PT2000_Book1_3 2" xfId="3325" xr:uid="{00000000-0005-0000-0000-0000BF060000}"/>
    <cellStyle name="_KT (2)_2_TG-TH_BAO CAO KLCT PT2000_Book1_3 3" xfId="17154" xr:uid="{00000000-0005-0000-0000-0000C0060000}"/>
    <cellStyle name="_KT (2)_2_TG-TH_BAO CAO KLCT PT2000_Book1_3_TOM TAT" xfId="19419" xr:uid="{00000000-0005-0000-0000-0000C1060000}"/>
    <cellStyle name="_KT (2)_2_TG-TH_BAO CAO KLCT PT2000_Book1_TOM TAT" xfId="19416" xr:uid="{00000000-0005-0000-0000-0000C2060000}"/>
    <cellStyle name="_KT (2)_2_TG-TH_BAO CAO KLCT PT2000_TOM TAT" xfId="19415" xr:uid="{00000000-0005-0000-0000-0000C3060000}"/>
    <cellStyle name="_KT (2)_2_TG-TH_BAO CAO KLCT PT2000_VATTUDIEN" xfId="55" xr:uid="{00000000-0005-0000-0000-0000C4060000}"/>
    <cellStyle name="_KT (2)_2_TG-TH_BAO CAO KLCT PT2000_VATTUDIEN 2" xfId="3326" xr:uid="{00000000-0005-0000-0000-0000C5060000}"/>
    <cellStyle name="_KT (2)_2_TG-TH_BAO CAO KLCT PT2000_VATTUDIEN 3" xfId="17155" xr:uid="{00000000-0005-0000-0000-0000C6060000}"/>
    <cellStyle name="_KT (2)_2_TG-TH_BAO CAO KLCT PT2000_VATTUDIEN_TOM TAT" xfId="19420" xr:uid="{00000000-0005-0000-0000-0000C7060000}"/>
    <cellStyle name="_KT (2)_2_TG-TH_BAO CAO PT2000" xfId="56" xr:uid="{00000000-0005-0000-0000-0000C8060000}"/>
    <cellStyle name="_KT (2)_2_TG-TH_BAO CAO PT2000 2" xfId="3327" xr:uid="{00000000-0005-0000-0000-0000C9060000}"/>
    <cellStyle name="_KT (2)_2_TG-TH_BAO CAO PT2000 3" xfId="17156" xr:uid="{00000000-0005-0000-0000-0000CA060000}"/>
    <cellStyle name="_KT (2)_2_TG-TH_BAO CAO PT2000_Book1" xfId="57" xr:uid="{00000000-0005-0000-0000-0000CB060000}"/>
    <cellStyle name="_KT (2)_2_TG-TH_BAO CAO PT2000_Book1 2" xfId="3328" xr:uid="{00000000-0005-0000-0000-0000CC060000}"/>
    <cellStyle name="_KT (2)_2_TG-TH_BAO CAO PT2000_Book1 3" xfId="17157" xr:uid="{00000000-0005-0000-0000-0000CD060000}"/>
    <cellStyle name="_KT (2)_2_TG-TH_BAO CAO PT2000_Book1_1" xfId="58" xr:uid="{00000000-0005-0000-0000-0000CE060000}"/>
    <cellStyle name="_KT (2)_2_TG-TH_BAO CAO PT2000_Book1_1 2" xfId="3329" xr:uid="{00000000-0005-0000-0000-0000CF060000}"/>
    <cellStyle name="_KT (2)_2_TG-TH_BAO CAO PT2000_Book1_1 3" xfId="17158" xr:uid="{00000000-0005-0000-0000-0000D0060000}"/>
    <cellStyle name="_KT (2)_2_TG-TH_BAO CAO PT2000_Book1_1_TOM TAT" xfId="19423" xr:uid="{00000000-0005-0000-0000-0000D1060000}"/>
    <cellStyle name="_KT (2)_2_TG-TH_BAO CAO PT2000_Book1_2" xfId="59" xr:uid="{00000000-0005-0000-0000-0000D2060000}"/>
    <cellStyle name="_KT (2)_2_TG-TH_BAO CAO PT2000_Book1_2 2" xfId="3330" xr:uid="{00000000-0005-0000-0000-0000D3060000}"/>
    <cellStyle name="_KT (2)_2_TG-TH_BAO CAO PT2000_Book1_2 3" xfId="17159" xr:uid="{00000000-0005-0000-0000-0000D4060000}"/>
    <cellStyle name="_KT (2)_2_TG-TH_BAO CAO PT2000_Book1_2_TOM TAT" xfId="19424" xr:uid="{00000000-0005-0000-0000-0000D5060000}"/>
    <cellStyle name="_KT (2)_2_TG-TH_BAO CAO PT2000_Book1_3" xfId="60" xr:uid="{00000000-0005-0000-0000-0000D6060000}"/>
    <cellStyle name="_KT (2)_2_TG-TH_BAO CAO PT2000_Book1_3 2" xfId="3331" xr:uid="{00000000-0005-0000-0000-0000D7060000}"/>
    <cellStyle name="_KT (2)_2_TG-TH_BAO CAO PT2000_Book1_3 3" xfId="17160" xr:uid="{00000000-0005-0000-0000-0000D8060000}"/>
    <cellStyle name="_KT (2)_2_TG-TH_BAO CAO PT2000_Book1_3_TOM TAT" xfId="19425" xr:uid="{00000000-0005-0000-0000-0000D9060000}"/>
    <cellStyle name="_KT (2)_2_TG-TH_BAO CAO PT2000_Book1_4" xfId="61" xr:uid="{00000000-0005-0000-0000-0000DA060000}"/>
    <cellStyle name="_KT (2)_2_TG-TH_BAO CAO PT2000_Book1_4 2" xfId="3332" xr:uid="{00000000-0005-0000-0000-0000DB060000}"/>
    <cellStyle name="_KT (2)_2_TG-TH_BAO CAO PT2000_Book1_4 3" xfId="17161" xr:uid="{00000000-0005-0000-0000-0000DC060000}"/>
    <cellStyle name="_KT (2)_2_TG-TH_BAO CAO PT2000_Book1_4_TOM TAT" xfId="19426" xr:uid="{00000000-0005-0000-0000-0000DD060000}"/>
    <cellStyle name="_KT (2)_2_TG-TH_BAO CAO PT2000_Book1_Book1" xfId="62" xr:uid="{00000000-0005-0000-0000-0000DE060000}"/>
    <cellStyle name="_KT (2)_2_TG-TH_BAO CAO PT2000_Book1_Book1 2" xfId="3333" xr:uid="{00000000-0005-0000-0000-0000DF060000}"/>
    <cellStyle name="_KT (2)_2_TG-TH_BAO CAO PT2000_Book1_Book1 3" xfId="17162" xr:uid="{00000000-0005-0000-0000-0000E0060000}"/>
    <cellStyle name="_KT (2)_2_TG-TH_BAO CAO PT2000_Book1_Book1_1" xfId="63" xr:uid="{00000000-0005-0000-0000-0000E1060000}"/>
    <cellStyle name="_KT (2)_2_TG-TH_BAO CAO PT2000_Book1_Book1_1 2" xfId="3334" xr:uid="{00000000-0005-0000-0000-0000E2060000}"/>
    <cellStyle name="_KT (2)_2_TG-TH_BAO CAO PT2000_Book1_Book1_1 3" xfId="17163" xr:uid="{00000000-0005-0000-0000-0000E3060000}"/>
    <cellStyle name="_KT (2)_2_TG-TH_BAO CAO PT2000_Book1_Book1_1_TOM TAT" xfId="19428" xr:uid="{00000000-0005-0000-0000-0000E4060000}"/>
    <cellStyle name="_KT (2)_2_TG-TH_BAO CAO PT2000_Book1_Book1_2" xfId="64" xr:uid="{00000000-0005-0000-0000-0000E5060000}"/>
    <cellStyle name="_KT (2)_2_TG-TH_BAO CAO PT2000_Book1_Book1_2 2" xfId="3335" xr:uid="{00000000-0005-0000-0000-0000E6060000}"/>
    <cellStyle name="_KT (2)_2_TG-TH_BAO CAO PT2000_Book1_Book1_2 3" xfId="17164" xr:uid="{00000000-0005-0000-0000-0000E7060000}"/>
    <cellStyle name="_KT (2)_2_TG-TH_BAO CAO PT2000_Book1_Book1_2_TOM TAT" xfId="19429" xr:uid="{00000000-0005-0000-0000-0000E8060000}"/>
    <cellStyle name="_KT (2)_2_TG-TH_BAO CAO PT2000_Book1_Book1_3" xfId="65" xr:uid="{00000000-0005-0000-0000-0000E9060000}"/>
    <cellStyle name="_KT (2)_2_TG-TH_BAO CAO PT2000_Book1_Book1_3 2" xfId="3336" xr:uid="{00000000-0005-0000-0000-0000EA060000}"/>
    <cellStyle name="_KT (2)_2_TG-TH_BAO CAO PT2000_Book1_Book1_3 3" xfId="17165" xr:uid="{00000000-0005-0000-0000-0000EB060000}"/>
    <cellStyle name="_KT (2)_2_TG-TH_BAO CAO PT2000_Book1_Book1_3_TOM TAT" xfId="19430" xr:uid="{00000000-0005-0000-0000-0000EC060000}"/>
    <cellStyle name="_KT (2)_2_TG-TH_BAO CAO PT2000_Book1_Book1_TOM TAT" xfId="19427" xr:uid="{00000000-0005-0000-0000-0000ED060000}"/>
    <cellStyle name="_KT (2)_2_TG-TH_BAO CAO PT2000_Book1_TOM TAT" xfId="19422" xr:uid="{00000000-0005-0000-0000-0000EE060000}"/>
    <cellStyle name="_KT (2)_2_TG-TH_BAO CAO PT2000_Book1_VATTUDIEN" xfId="66" xr:uid="{00000000-0005-0000-0000-0000EF060000}"/>
    <cellStyle name="_KT (2)_2_TG-TH_BAO CAO PT2000_Book1_VATTUDIEN 2" xfId="3337" xr:uid="{00000000-0005-0000-0000-0000F0060000}"/>
    <cellStyle name="_KT (2)_2_TG-TH_BAO CAO PT2000_Book1_VATTUDIEN 3" xfId="17166" xr:uid="{00000000-0005-0000-0000-0000F1060000}"/>
    <cellStyle name="_KT (2)_2_TG-TH_BAO CAO PT2000_Book1_VATTUDIEN_TOM TAT" xfId="19431" xr:uid="{00000000-0005-0000-0000-0000F2060000}"/>
    <cellStyle name="_KT (2)_2_TG-TH_BAO CAO PT2000_TOM TAT" xfId="19421" xr:uid="{00000000-0005-0000-0000-0000F3060000}"/>
    <cellStyle name="_KT (2)_2_TG-TH_BAO CAO PT2000_VATTUDIEN" xfId="67" xr:uid="{00000000-0005-0000-0000-0000F4060000}"/>
    <cellStyle name="_KT (2)_2_TG-TH_BAO CAO PT2000_VATTUDIEN 2" xfId="3338" xr:uid="{00000000-0005-0000-0000-0000F5060000}"/>
    <cellStyle name="_KT (2)_2_TG-TH_BAO CAO PT2000_VATTUDIEN 3" xfId="17167" xr:uid="{00000000-0005-0000-0000-0000F6060000}"/>
    <cellStyle name="_KT (2)_2_TG-TH_BAO CAO PT2000_VATTUDIEN_TOM TAT" xfId="19432" xr:uid="{00000000-0005-0000-0000-0000F7060000}"/>
    <cellStyle name="_KT (2)_2_TG-TH_Bao cao XDCB 2001 - T11 KH dieu chinh 20-11-THAI" xfId="68" xr:uid="{00000000-0005-0000-0000-0000F8060000}"/>
    <cellStyle name="_KT (2)_2_TG-TH_Bao cao XDCB 2001 - T11 KH dieu chinh 20-11-THAI 2" xfId="3339" xr:uid="{00000000-0005-0000-0000-0000F9060000}"/>
    <cellStyle name="_KT (2)_2_TG-TH_Bao cao XDCB 2001 - T11 KH dieu chinh 20-11-THAI 3" xfId="17168" xr:uid="{00000000-0005-0000-0000-0000FA060000}"/>
    <cellStyle name="_KT (2)_2_TG-TH_Bao cao XDCB 2001 - T11 KH dieu chinh 20-11-THAI_Book1" xfId="69" xr:uid="{00000000-0005-0000-0000-0000FB060000}"/>
    <cellStyle name="_KT (2)_2_TG-TH_Bao cao XDCB 2001 - T11 KH dieu chinh 20-11-THAI_Book1 2" xfId="3340" xr:uid="{00000000-0005-0000-0000-0000FC060000}"/>
    <cellStyle name="_KT (2)_2_TG-TH_Bao cao XDCB 2001 - T11 KH dieu chinh 20-11-THAI_Book1 3" xfId="17169" xr:uid="{00000000-0005-0000-0000-0000FD060000}"/>
    <cellStyle name="_KT (2)_2_TG-TH_Bao cao XDCB 2001 - T11 KH dieu chinh 20-11-THAI_Book1_1" xfId="70" xr:uid="{00000000-0005-0000-0000-0000FE060000}"/>
    <cellStyle name="_KT (2)_2_TG-TH_Bao cao XDCB 2001 - T11 KH dieu chinh 20-11-THAI_Book1_1 2" xfId="3341" xr:uid="{00000000-0005-0000-0000-0000FF060000}"/>
    <cellStyle name="_KT (2)_2_TG-TH_Bao cao XDCB 2001 - T11 KH dieu chinh 20-11-THAI_Book1_1 3" xfId="17170" xr:uid="{00000000-0005-0000-0000-000000070000}"/>
    <cellStyle name="_KT (2)_2_TG-TH_Bao cao XDCB 2001 - T11 KH dieu chinh 20-11-THAI_Book1_1_TOM TAT" xfId="19435" xr:uid="{00000000-0005-0000-0000-000001070000}"/>
    <cellStyle name="_KT (2)_2_TG-TH_Bao cao XDCB 2001 - T11 KH dieu chinh 20-11-THAI_Book1_2" xfId="71" xr:uid="{00000000-0005-0000-0000-000002070000}"/>
    <cellStyle name="_KT (2)_2_TG-TH_Bao cao XDCB 2001 - T11 KH dieu chinh 20-11-THAI_Book1_2 2" xfId="3342" xr:uid="{00000000-0005-0000-0000-000003070000}"/>
    <cellStyle name="_KT (2)_2_TG-TH_Bao cao XDCB 2001 - T11 KH dieu chinh 20-11-THAI_Book1_2 3" xfId="17171" xr:uid="{00000000-0005-0000-0000-000004070000}"/>
    <cellStyle name="_KT (2)_2_TG-TH_Bao cao XDCB 2001 - T11 KH dieu chinh 20-11-THAI_Book1_2_TOM TAT" xfId="19436" xr:uid="{00000000-0005-0000-0000-000005070000}"/>
    <cellStyle name="_KT (2)_2_TG-TH_Bao cao XDCB 2001 - T11 KH dieu chinh 20-11-THAI_Book1_3" xfId="72" xr:uid="{00000000-0005-0000-0000-000006070000}"/>
    <cellStyle name="_KT (2)_2_TG-TH_Bao cao XDCB 2001 - T11 KH dieu chinh 20-11-THAI_Book1_3 2" xfId="3343" xr:uid="{00000000-0005-0000-0000-000007070000}"/>
    <cellStyle name="_KT (2)_2_TG-TH_Bao cao XDCB 2001 - T11 KH dieu chinh 20-11-THAI_Book1_3 3" xfId="17172" xr:uid="{00000000-0005-0000-0000-000008070000}"/>
    <cellStyle name="_KT (2)_2_TG-TH_Bao cao XDCB 2001 - T11 KH dieu chinh 20-11-THAI_Book1_3_TOM TAT" xfId="19437" xr:uid="{00000000-0005-0000-0000-000009070000}"/>
    <cellStyle name="_KT (2)_2_TG-TH_Bao cao XDCB 2001 - T11 KH dieu chinh 20-11-THAI_Book1_TOM TAT" xfId="19434" xr:uid="{00000000-0005-0000-0000-00000A070000}"/>
    <cellStyle name="_KT (2)_2_TG-TH_Bao cao XDCB 2001 - T11 KH dieu chinh 20-11-THAI_TOM TAT" xfId="19433" xr:uid="{00000000-0005-0000-0000-00000B070000}"/>
    <cellStyle name="_KT (2)_2_TG-TH_Bao cao XDCB 2001 - T11 KH dieu chinh 20-11-THAI_VATTUDIEN" xfId="73" xr:uid="{00000000-0005-0000-0000-00000C070000}"/>
    <cellStyle name="_KT (2)_2_TG-TH_Bao cao XDCB 2001 - T11 KH dieu chinh 20-11-THAI_VATTUDIEN 2" xfId="3344" xr:uid="{00000000-0005-0000-0000-00000D070000}"/>
    <cellStyle name="_KT (2)_2_TG-TH_Bao cao XDCB 2001 - T11 KH dieu chinh 20-11-THAI_VATTUDIEN 3" xfId="17173" xr:uid="{00000000-0005-0000-0000-00000E070000}"/>
    <cellStyle name="_KT (2)_2_TG-TH_Bao cao XDCB 2001 - T11 KH dieu chinh 20-11-THAI_VATTUDIEN_TOM TAT" xfId="19438" xr:uid="{00000000-0005-0000-0000-00000F070000}"/>
    <cellStyle name="_KT (2)_2_TG-TH_Book1" xfId="74" xr:uid="{00000000-0005-0000-0000-000010070000}"/>
    <cellStyle name="_KT (2)_2_TG-TH_Book1 2" xfId="3345" xr:uid="{00000000-0005-0000-0000-000011070000}"/>
    <cellStyle name="_KT (2)_2_TG-TH_Book1 3" xfId="17174" xr:uid="{00000000-0005-0000-0000-000012070000}"/>
    <cellStyle name="_KT (2)_2_TG-TH_Book1_1" xfId="75" xr:uid="{00000000-0005-0000-0000-000013070000}"/>
    <cellStyle name="_KT (2)_2_TG-TH_Book1_1 2" xfId="3346" xr:uid="{00000000-0005-0000-0000-000014070000}"/>
    <cellStyle name="_KT (2)_2_TG-TH_Book1_1 3" xfId="17175" xr:uid="{00000000-0005-0000-0000-000015070000}"/>
    <cellStyle name="_KT (2)_2_TG-TH_Book1_1_Book1" xfId="76" xr:uid="{00000000-0005-0000-0000-000016070000}"/>
    <cellStyle name="_KT (2)_2_TG-TH_Book1_1_Book1 2" xfId="3347" xr:uid="{00000000-0005-0000-0000-000017070000}"/>
    <cellStyle name="_KT (2)_2_TG-TH_Book1_1_Book1 3" xfId="17176" xr:uid="{00000000-0005-0000-0000-000018070000}"/>
    <cellStyle name="_KT (2)_2_TG-TH_Book1_1_Book1_1" xfId="77" xr:uid="{00000000-0005-0000-0000-000019070000}"/>
    <cellStyle name="_KT (2)_2_TG-TH_Book1_1_Book1_1 2" xfId="3348" xr:uid="{00000000-0005-0000-0000-00001A070000}"/>
    <cellStyle name="_KT (2)_2_TG-TH_Book1_1_Book1_1 3" xfId="17177" xr:uid="{00000000-0005-0000-0000-00001B070000}"/>
    <cellStyle name="_KT (2)_2_TG-TH_Book1_1_Book1_1_TOM TAT" xfId="19442" xr:uid="{00000000-0005-0000-0000-00001C070000}"/>
    <cellStyle name="_KT (2)_2_TG-TH_Book1_1_Book1_2" xfId="78" xr:uid="{00000000-0005-0000-0000-00001D070000}"/>
    <cellStyle name="_KT (2)_2_TG-TH_Book1_1_Book1_2 2" xfId="3349" xr:uid="{00000000-0005-0000-0000-00001E070000}"/>
    <cellStyle name="_KT (2)_2_TG-TH_Book1_1_Book1_2 3" xfId="17178" xr:uid="{00000000-0005-0000-0000-00001F070000}"/>
    <cellStyle name="_KT (2)_2_TG-TH_Book1_1_Book1_2_TOM TAT" xfId="19443" xr:uid="{00000000-0005-0000-0000-000020070000}"/>
    <cellStyle name="_KT (2)_2_TG-TH_Book1_1_Book1_3" xfId="79" xr:uid="{00000000-0005-0000-0000-000021070000}"/>
    <cellStyle name="_KT (2)_2_TG-TH_Book1_1_Book1_3 2" xfId="3350" xr:uid="{00000000-0005-0000-0000-000022070000}"/>
    <cellStyle name="_KT (2)_2_TG-TH_Book1_1_Book1_3 3" xfId="17179" xr:uid="{00000000-0005-0000-0000-000023070000}"/>
    <cellStyle name="_KT (2)_2_TG-TH_Book1_1_Book1_3_TOM TAT" xfId="19444" xr:uid="{00000000-0005-0000-0000-000024070000}"/>
    <cellStyle name="_KT (2)_2_TG-TH_Book1_1_Book1_TOM TAT" xfId="19441" xr:uid="{00000000-0005-0000-0000-000025070000}"/>
    <cellStyle name="_KT (2)_2_TG-TH_Book1_1_DgklKNHA" xfId="4872" xr:uid="{00000000-0005-0000-0000-000026070000}"/>
    <cellStyle name="_KT (2)_2_TG-TH_Book1_1_dt khoi nha 3trai - VKg (cat xuong) (27-01-05)" xfId="4873" xr:uid="{00000000-0005-0000-0000-000027070000}"/>
    <cellStyle name="_KT (2)_2_TG-TH_Book1_1_Dtoan-LTT-18-01" xfId="4874" xr:uid="{00000000-0005-0000-0000-000028070000}"/>
    <cellStyle name="_KT (2)_2_TG-TH_Book1_1_DU TOAN NGUYEN HUE - GD2 (1-02-05) 1" xfId="4875" xr:uid="{00000000-0005-0000-0000-000029070000}"/>
    <cellStyle name="_KT (2)_2_TG-TH_Book1_1_dutoan dptd" xfId="4876" xr:uid="{00000000-0005-0000-0000-00002A070000}"/>
    <cellStyle name="_KT (2)_2_TG-TH_Book1_1_he thong dien" xfId="4877" xr:uid="{00000000-0005-0000-0000-00002B070000}"/>
    <cellStyle name="_KT (2)_2_TG-TH_Book1_1_Sheet1" xfId="4878" xr:uid="{00000000-0005-0000-0000-00002C070000}"/>
    <cellStyle name="_KT (2)_2_TG-TH_Book1_1_Sheet2" xfId="4879" xr:uid="{00000000-0005-0000-0000-00002D070000}"/>
    <cellStyle name="_KT (2)_2_TG-TH_Book1_1_TOM TAT" xfId="19440" xr:uid="{00000000-0005-0000-0000-00002E070000}"/>
    <cellStyle name="_KT (2)_2_TG-TH_Book1_1_VATTUDIEN" xfId="80" xr:uid="{00000000-0005-0000-0000-00002F070000}"/>
    <cellStyle name="_KT (2)_2_TG-TH_Book1_1_VATTUDIEN 2" xfId="3351" xr:uid="{00000000-0005-0000-0000-000030070000}"/>
    <cellStyle name="_KT (2)_2_TG-TH_Book1_1_VATTUDIEN 3" xfId="17180" xr:uid="{00000000-0005-0000-0000-000031070000}"/>
    <cellStyle name="_KT (2)_2_TG-TH_Book1_1_VATTUDIEN_TOM TAT" xfId="19445" xr:uid="{00000000-0005-0000-0000-000032070000}"/>
    <cellStyle name="_KT (2)_2_TG-TH_Book1_2" xfId="81" xr:uid="{00000000-0005-0000-0000-000033070000}"/>
    <cellStyle name="_KT (2)_2_TG-TH_Book1_2 2" xfId="3352" xr:uid="{00000000-0005-0000-0000-000034070000}"/>
    <cellStyle name="_KT (2)_2_TG-TH_Book1_2 2 2" xfId="8171" xr:uid="{00000000-0005-0000-0000-000035070000}"/>
    <cellStyle name="_KT (2)_2_TG-TH_Book1_2 3" xfId="8172" xr:uid="{00000000-0005-0000-0000-000036070000}"/>
    <cellStyle name="_KT (2)_2_TG-TH_Book1_2 4" xfId="8173" xr:uid="{00000000-0005-0000-0000-000037070000}"/>
    <cellStyle name="_KT (2)_2_TG-TH_Book1_2_DgklKNHA" xfId="4880" xr:uid="{00000000-0005-0000-0000-000038070000}"/>
    <cellStyle name="_KT (2)_2_TG-TH_Book1_2_DgklKNHA 2" xfId="8174" xr:uid="{00000000-0005-0000-0000-000039070000}"/>
    <cellStyle name="_KT (2)_2_TG-TH_Book1_2_dt khoi nha 3trai - VKg (cat xuong) (27-01-05)" xfId="4881" xr:uid="{00000000-0005-0000-0000-00003A070000}"/>
    <cellStyle name="_KT (2)_2_TG-TH_Book1_2_dt khoi nha 3trai - VKg (cat xuong) (27-01-05) 2" xfId="8175" xr:uid="{00000000-0005-0000-0000-00003B070000}"/>
    <cellStyle name="_KT (2)_2_TG-TH_Book1_2_Dtoan-LTT-18-01" xfId="4882" xr:uid="{00000000-0005-0000-0000-00003C070000}"/>
    <cellStyle name="_KT (2)_2_TG-TH_Book1_2_DU TOAN NGUYEN HUE - GD2 (1-02-05) 1" xfId="4883" xr:uid="{00000000-0005-0000-0000-00003D070000}"/>
    <cellStyle name="_KT (2)_2_TG-TH_Book1_2_dutoan dptd" xfId="4884" xr:uid="{00000000-0005-0000-0000-00003E070000}"/>
    <cellStyle name="_KT (2)_2_TG-TH_Book1_2_dutoan dptd 2" xfId="8176" xr:uid="{00000000-0005-0000-0000-00003F070000}"/>
    <cellStyle name="_KT (2)_2_TG-TH_Book1_2_he thong dien" xfId="4885" xr:uid="{00000000-0005-0000-0000-000040070000}"/>
    <cellStyle name="_KT (2)_2_TG-TH_Book1_2_he thong dien 2" xfId="8177" xr:uid="{00000000-0005-0000-0000-000041070000}"/>
    <cellStyle name="_KT (2)_2_TG-TH_Book1_2_Sheet1" xfId="4886" xr:uid="{00000000-0005-0000-0000-000042070000}"/>
    <cellStyle name="_KT (2)_2_TG-TH_Book1_2_Sheet2" xfId="4887" xr:uid="{00000000-0005-0000-0000-000043070000}"/>
    <cellStyle name="_KT (2)_2_TG-TH_Book1_2_TOM TAT" xfId="19446" xr:uid="{00000000-0005-0000-0000-000044070000}"/>
    <cellStyle name="_KT (2)_2_TG-TH_Book1_3" xfId="82" xr:uid="{00000000-0005-0000-0000-000045070000}"/>
    <cellStyle name="_KT (2)_2_TG-TH_Book1_3 2" xfId="3353" xr:uid="{00000000-0005-0000-0000-000046070000}"/>
    <cellStyle name="_KT (2)_2_TG-TH_Book1_3 3" xfId="17181" xr:uid="{00000000-0005-0000-0000-000047070000}"/>
    <cellStyle name="_KT (2)_2_TG-TH_Book1_3_TOM TAT" xfId="19447" xr:uid="{00000000-0005-0000-0000-000048070000}"/>
    <cellStyle name="_KT (2)_2_TG-TH_Book1_4" xfId="83" xr:uid="{00000000-0005-0000-0000-000049070000}"/>
    <cellStyle name="_KT (2)_2_TG-TH_Book1_4 2" xfId="3354" xr:uid="{00000000-0005-0000-0000-00004A070000}"/>
    <cellStyle name="_KT (2)_2_TG-TH_Book1_4 3" xfId="17182" xr:uid="{00000000-0005-0000-0000-00004B070000}"/>
    <cellStyle name="_KT (2)_2_TG-TH_Book1_4_TOM TAT" xfId="19448" xr:uid="{00000000-0005-0000-0000-00004C070000}"/>
    <cellStyle name="_KT (2)_2_TG-TH_Book1_5" xfId="84" xr:uid="{00000000-0005-0000-0000-00004D070000}"/>
    <cellStyle name="_KT (2)_2_TG-TH_Book1_5 2" xfId="3355" xr:uid="{00000000-0005-0000-0000-00004E070000}"/>
    <cellStyle name="_KT (2)_2_TG-TH_Book1_5 3" xfId="17183" xr:uid="{00000000-0005-0000-0000-00004F070000}"/>
    <cellStyle name="_KT (2)_2_TG-TH_Book1_5_TOM TAT" xfId="19449" xr:uid="{00000000-0005-0000-0000-000050070000}"/>
    <cellStyle name="_KT (2)_2_TG-TH_Book1_6" xfId="85" xr:uid="{00000000-0005-0000-0000-000051070000}"/>
    <cellStyle name="_KT (2)_2_TG-TH_Book1_6 2" xfId="3356" xr:uid="{00000000-0005-0000-0000-000052070000}"/>
    <cellStyle name="_KT (2)_2_TG-TH_Book1_6 3" xfId="17184" xr:uid="{00000000-0005-0000-0000-000053070000}"/>
    <cellStyle name="_KT (2)_2_TG-TH_Book1_6_TOM TAT" xfId="19450" xr:uid="{00000000-0005-0000-0000-000054070000}"/>
    <cellStyle name="_KT (2)_2_TG-TH_Book1_Book1" xfId="86" xr:uid="{00000000-0005-0000-0000-000055070000}"/>
    <cellStyle name="_KT (2)_2_TG-TH_Book1_Book1 2" xfId="3357" xr:uid="{00000000-0005-0000-0000-000056070000}"/>
    <cellStyle name="_KT (2)_2_TG-TH_Book1_Book1 3" xfId="17185" xr:uid="{00000000-0005-0000-0000-000057070000}"/>
    <cellStyle name="_KT (2)_2_TG-TH_Book1_Book1_1" xfId="87" xr:uid="{00000000-0005-0000-0000-000058070000}"/>
    <cellStyle name="_KT (2)_2_TG-TH_Book1_Book1_1 2" xfId="3358" xr:uid="{00000000-0005-0000-0000-000059070000}"/>
    <cellStyle name="_KT (2)_2_TG-TH_Book1_Book1_1 3" xfId="17186" xr:uid="{00000000-0005-0000-0000-00005A070000}"/>
    <cellStyle name="_KT (2)_2_TG-TH_Book1_Book1_1_TOM TAT" xfId="19452" xr:uid="{00000000-0005-0000-0000-00005B070000}"/>
    <cellStyle name="_KT (2)_2_TG-TH_Book1_Book1_2" xfId="88" xr:uid="{00000000-0005-0000-0000-00005C070000}"/>
    <cellStyle name="_KT (2)_2_TG-TH_Book1_Book1_2 2" xfId="3359" xr:uid="{00000000-0005-0000-0000-00005D070000}"/>
    <cellStyle name="_KT (2)_2_TG-TH_Book1_Book1_2 3" xfId="17187" xr:uid="{00000000-0005-0000-0000-00005E070000}"/>
    <cellStyle name="_KT (2)_2_TG-TH_Book1_Book1_2_TOM TAT" xfId="19453" xr:uid="{00000000-0005-0000-0000-00005F070000}"/>
    <cellStyle name="_KT (2)_2_TG-TH_Book1_Book1_3" xfId="89" xr:uid="{00000000-0005-0000-0000-000060070000}"/>
    <cellStyle name="_KT (2)_2_TG-TH_Book1_Book1_3 2" xfId="3360" xr:uid="{00000000-0005-0000-0000-000061070000}"/>
    <cellStyle name="_KT (2)_2_TG-TH_Book1_Book1_3 3" xfId="17188" xr:uid="{00000000-0005-0000-0000-000062070000}"/>
    <cellStyle name="_KT (2)_2_TG-TH_Book1_Book1_3_TOM TAT" xfId="19454" xr:uid="{00000000-0005-0000-0000-000063070000}"/>
    <cellStyle name="_KT (2)_2_TG-TH_Book1_Book1_TOM TAT" xfId="19451" xr:uid="{00000000-0005-0000-0000-000064070000}"/>
    <cellStyle name="_KT (2)_2_TG-TH_Book1_DgklKNHA" xfId="4888" xr:uid="{00000000-0005-0000-0000-000065070000}"/>
    <cellStyle name="_KT (2)_2_TG-TH_Book1_dt khoi nha 3trai - VKg (cat xuong) (27-01-05)" xfId="4889" xr:uid="{00000000-0005-0000-0000-000066070000}"/>
    <cellStyle name="_KT (2)_2_TG-TH_Book1_Dtoan-LTT-18-01" xfId="4890" xr:uid="{00000000-0005-0000-0000-000067070000}"/>
    <cellStyle name="_KT (2)_2_TG-TH_Book1_DU TOAN NGUYEN HUE - GD2 (1-02-05) 1" xfId="4891" xr:uid="{00000000-0005-0000-0000-000068070000}"/>
    <cellStyle name="_KT (2)_2_TG-TH_Book1_dutoan dptd" xfId="4892" xr:uid="{00000000-0005-0000-0000-000069070000}"/>
    <cellStyle name="_KT (2)_2_TG-TH_Book1_he thong dien" xfId="4893" xr:uid="{00000000-0005-0000-0000-00006A070000}"/>
    <cellStyle name="_KT (2)_2_TG-TH_Book1_Sheet1" xfId="4894" xr:uid="{00000000-0005-0000-0000-00006B070000}"/>
    <cellStyle name="_KT (2)_2_TG-TH_Book1_Sheet2" xfId="4895" xr:uid="{00000000-0005-0000-0000-00006C070000}"/>
    <cellStyle name="_KT (2)_2_TG-TH_Book1_TH KE" xfId="90" xr:uid="{00000000-0005-0000-0000-00006D070000}"/>
    <cellStyle name="_KT (2)_2_TG-TH_Book1_TH KE 2" xfId="3361" xr:uid="{00000000-0005-0000-0000-00006E070000}"/>
    <cellStyle name="_KT (2)_2_TG-TH_Book1_TH KE 3" xfId="17189" xr:uid="{00000000-0005-0000-0000-00006F070000}"/>
    <cellStyle name="_KT (2)_2_TG-TH_Book1_TH KE_Book1" xfId="91" xr:uid="{00000000-0005-0000-0000-000070070000}"/>
    <cellStyle name="_KT (2)_2_TG-TH_Book1_TH KE_Book1 2" xfId="3362" xr:uid="{00000000-0005-0000-0000-000071070000}"/>
    <cellStyle name="_KT (2)_2_TG-TH_Book1_TH KE_Book1 3" xfId="17190" xr:uid="{00000000-0005-0000-0000-000072070000}"/>
    <cellStyle name="_KT (2)_2_TG-TH_Book1_TH KE_Book1_1" xfId="92" xr:uid="{00000000-0005-0000-0000-000073070000}"/>
    <cellStyle name="_KT (2)_2_TG-TH_Book1_TH KE_Book1_1 2" xfId="3363" xr:uid="{00000000-0005-0000-0000-000074070000}"/>
    <cellStyle name="_KT (2)_2_TG-TH_Book1_TH KE_Book1_1 3" xfId="17191" xr:uid="{00000000-0005-0000-0000-000075070000}"/>
    <cellStyle name="_KT (2)_2_TG-TH_Book1_TH KE_Book1_1_TOM TAT" xfId="19457" xr:uid="{00000000-0005-0000-0000-000076070000}"/>
    <cellStyle name="_KT (2)_2_TG-TH_Book1_TH KE_Book1_2" xfId="93" xr:uid="{00000000-0005-0000-0000-000077070000}"/>
    <cellStyle name="_KT (2)_2_TG-TH_Book1_TH KE_Book1_2 2" xfId="3364" xr:uid="{00000000-0005-0000-0000-000078070000}"/>
    <cellStyle name="_KT (2)_2_TG-TH_Book1_TH KE_Book1_2 3" xfId="17192" xr:uid="{00000000-0005-0000-0000-000079070000}"/>
    <cellStyle name="_KT (2)_2_TG-TH_Book1_TH KE_Book1_2_TOM TAT" xfId="19458" xr:uid="{00000000-0005-0000-0000-00007A070000}"/>
    <cellStyle name="_KT (2)_2_TG-TH_Book1_TH KE_Book1_3" xfId="94" xr:uid="{00000000-0005-0000-0000-00007B070000}"/>
    <cellStyle name="_KT (2)_2_TG-TH_Book1_TH KE_Book1_3 2" xfId="3365" xr:uid="{00000000-0005-0000-0000-00007C070000}"/>
    <cellStyle name="_KT (2)_2_TG-TH_Book1_TH KE_Book1_3 3" xfId="17193" xr:uid="{00000000-0005-0000-0000-00007D070000}"/>
    <cellStyle name="_KT (2)_2_TG-TH_Book1_TH KE_Book1_3_TOM TAT" xfId="19459" xr:uid="{00000000-0005-0000-0000-00007E070000}"/>
    <cellStyle name="_KT (2)_2_TG-TH_Book1_TH KE_Book1_TOM TAT" xfId="19456" xr:uid="{00000000-0005-0000-0000-00007F070000}"/>
    <cellStyle name="_KT (2)_2_TG-TH_Book1_TH KE_TOM TAT" xfId="19455" xr:uid="{00000000-0005-0000-0000-000080070000}"/>
    <cellStyle name="_KT (2)_2_TG-TH_Book1_TH KE_VATTUDIEN" xfId="95" xr:uid="{00000000-0005-0000-0000-000081070000}"/>
    <cellStyle name="_KT (2)_2_TG-TH_Book1_TH KE_VATTUDIEN 2" xfId="3366" xr:uid="{00000000-0005-0000-0000-000082070000}"/>
    <cellStyle name="_KT (2)_2_TG-TH_Book1_TH KE_VATTUDIEN 3" xfId="17194" xr:uid="{00000000-0005-0000-0000-000083070000}"/>
    <cellStyle name="_KT (2)_2_TG-TH_Book1_TH KE_VATTUDIEN_TOM TAT" xfId="19460" xr:uid="{00000000-0005-0000-0000-000084070000}"/>
    <cellStyle name="_KT (2)_2_TG-TH_Book1_TOM TAT" xfId="19439" xr:uid="{00000000-0005-0000-0000-000085070000}"/>
    <cellStyle name="_KT (2)_2_TG-TH_Book1_VATTUDIEN" xfId="96" xr:uid="{00000000-0005-0000-0000-000086070000}"/>
    <cellStyle name="_KT (2)_2_TG-TH_Book1_VATTUDIEN 2" xfId="3367" xr:uid="{00000000-0005-0000-0000-000087070000}"/>
    <cellStyle name="_KT (2)_2_TG-TH_Book1_VATTUDIEN 3" xfId="17195" xr:uid="{00000000-0005-0000-0000-000088070000}"/>
    <cellStyle name="_KT (2)_2_TG-TH_Book1_VATTUDIEN_TOM TAT" xfId="19461" xr:uid="{00000000-0005-0000-0000-000089070000}"/>
    <cellStyle name="_KT (2)_2_TG-TH_DgklKNHA" xfId="4896" xr:uid="{00000000-0005-0000-0000-00008A070000}"/>
    <cellStyle name="_KT (2)_2_TG-TH_dt khoi nha 3trai - VKg (cat xuong) (27-01-05)" xfId="4897" xr:uid="{00000000-0005-0000-0000-00008B070000}"/>
    <cellStyle name="_KT (2)_2_TG-TH_DTCDT MR.2N110.HOCMON.TDTOAN.CCUNG" xfId="97" xr:uid="{00000000-0005-0000-0000-00008C070000}"/>
    <cellStyle name="_KT (2)_2_TG-TH_DTCDT MR.2N110.HOCMON.TDTOAN.CCUNG 2" xfId="3368" xr:uid="{00000000-0005-0000-0000-00008D070000}"/>
    <cellStyle name="_KT (2)_2_TG-TH_DTCDT MR.2N110.HOCMON.TDTOAN.CCUNG 3" xfId="17196" xr:uid="{00000000-0005-0000-0000-00008E070000}"/>
    <cellStyle name="_KT (2)_2_TG-TH_DTCDT MR.2N110.HOCMON.TDTOAN.CCUNG_Book1" xfId="98" xr:uid="{00000000-0005-0000-0000-00008F070000}"/>
    <cellStyle name="_KT (2)_2_TG-TH_DTCDT MR.2N110.HOCMON.TDTOAN.CCUNG_Book1 2" xfId="3369" xr:uid="{00000000-0005-0000-0000-000090070000}"/>
    <cellStyle name="_KT (2)_2_TG-TH_DTCDT MR.2N110.HOCMON.TDTOAN.CCUNG_Book1 3" xfId="17197" xr:uid="{00000000-0005-0000-0000-000091070000}"/>
    <cellStyle name="_KT (2)_2_TG-TH_DTCDT MR.2N110.HOCMON.TDTOAN.CCUNG_Book1_1" xfId="99" xr:uid="{00000000-0005-0000-0000-000092070000}"/>
    <cellStyle name="_KT (2)_2_TG-TH_DTCDT MR.2N110.HOCMON.TDTOAN.CCUNG_Book1_1 2" xfId="3370" xr:uid="{00000000-0005-0000-0000-000093070000}"/>
    <cellStyle name="_KT (2)_2_TG-TH_DTCDT MR.2N110.HOCMON.TDTOAN.CCUNG_Book1_1 3" xfId="17198" xr:uid="{00000000-0005-0000-0000-000094070000}"/>
    <cellStyle name="_KT (2)_2_TG-TH_DTCDT MR.2N110.HOCMON.TDTOAN.CCUNG_Book1_1_TOM TAT" xfId="19464" xr:uid="{00000000-0005-0000-0000-000095070000}"/>
    <cellStyle name="_KT (2)_2_TG-TH_DTCDT MR.2N110.HOCMON.TDTOAN.CCUNG_Book1_2" xfId="100" xr:uid="{00000000-0005-0000-0000-000096070000}"/>
    <cellStyle name="_KT (2)_2_TG-TH_DTCDT MR.2N110.HOCMON.TDTOAN.CCUNG_Book1_2 2" xfId="3371" xr:uid="{00000000-0005-0000-0000-000097070000}"/>
    <cellStyle name="_KT (2)_2_TG-TH_DTCDT MR.2N110.HOCMON.TDTOAN.CCUNG_Book1_2 3" xfId="17199" xr:uid="{00000000-0005-0000-0000-000098070000}"/>
    <cellStyle name="_KT (2)_2_TG-TH_DTCDT MR.2N110.HOCMON.TDTOAN.CCUNG_Book1_2_TOM TAT" xfId="19465" xr:uid="{00000000-0005-0000-0000-000099070000}"/>
    <cellStyle name="_KT (2)_2_TG-TH_DTCDT MR.2N110.HOCMON.TDTOAN.CCUNG_Book1_3" xfId="101" xr:uid="{00000000-0005-0000-0000-00009A070000}"/>
    <cellStyle name="_KT (2)_2_TG-TH_DTCDT MR.2N110.HOCMON.TDTOAN.CCUNG_Book1_3 2" xfId="3372" xr:uid="{00000000-0005-0000-0000-00009B070000}"/>
    <cellStyle name="_KT (2)_2_TG-TH_DTCDT MR.2N110.HOCMON.TDTOAN.CCUNG_Book1_3 3" xfId="17200" xr:uid="{00000000-0005-0000-0000-00009C070000}"/>
    <cellStyle name="_KT (2)_2_TG-TH_DTCDT MR.2N110.HOCMON.TDTOAN.CCUNG_Book1_3_TOM TAT" xfId="19466" xr:uid="{00000000-0005-0000-0000-00009D070000}"/>
    <cellStyle name="_KT (2)_2_TG-TH_DTCDT MR.2N110.HOCMON.TDTOAN.CCUNG_Book1_TOM TAT" xfId="19463" xr:uid="{00000000-0005-0000-0000-00009E070000}"/>
    <cellStyle name="_KT (2)_2_TG-TH_DTCDT MR.2N110.HOCMON.TDTOAN.CCUNG_TOM TAT" xfId="19462" xr:uid="{00000000-0005-0000-0000-00009F070000}"/>
    <cellStyle name="_KT (2)_2_TG-TH_DTCDT MR.2N110.HOCMON.TDTOAN.CCUNG_VATTUDIEN" xfId="102" xr:uid="{00000000-0005-0000-0000-0000A0070000}"/>
    <cellStyle name="_KT (2)_2_TG-TH_DTCDT MR.2N110.HOCMON.TDTOAN.CCUNG_VATTUDIEN 2" xfId="3373" xr:uid="{00000000-0005-0000-0000-0000A1070000}"/>
    <cellStyle name="_KT (2)_2_TG-TH_DTCDT MR.2N110.HOCMON.TDTOAN.CCUNG_VATTUDIEN 3" xfId="17201" xr:uid="{00000000-0005-0000-0000-0000A2070000}"/>
    <cellStyle name="_KT (2)_2_TG-TH_DTCDT MR.2N110.HOCMON.TDTOAN.CCUNG_VATTUDIEN_TOM TAT" xfId="19467" xr:uid="{00000000-0005-0000-0000-0000A3070000}"/>
    <cellStyle name="_KT (2)_2_TG-TH_Dtoan-LTT-18-01" xfId="4898" xr:uid="{00000000-0005-0000-0000-0000A4070000}"/>
    <cellStyle name="_KT (2)_2_TG-TH_DU TOAN NGUYEN HUE - GD2 (1-02-05) 1" xfId="4899" xr:uid="{00000000-0005-0000-0000-0000A5070000}"/>
    <cellStyle name="_KT (2)_2_TG-TH_dutoan dien" xfId="4900" xr:uid="{00000000-0005-0000-0000-0000A6070000}"/>
    <cellStyle name="_KT (2)_2_TG-TH_dutoan dptd" xfId="4901" xr:uid="{00000000-0005-0000-0000-0000A7070000}"/>
    <cellStyle name="_KT (2)_2_TG-TH_dutoan nuoc" xfId="4902" xr:uid="{00000000-0005-0000-0000-0000A8070000}"/>
    <cellStyle name="_KT (2)_2_TG-TH_he thong dien" xfId="4903" xr:uid="{00000000-0005-0000-0000-0000A9070000}"/>
    <cellStyle name="_KT (2)_2_TG-TH_Lora-tungchau" xfId="103" xr:uid="{00000000-0005-0000-0000-0000AA070000}"/>
    <cellStyle name="_KT (2)_2_TG-TH_Lora-tungchau 2" xfId="3374" xr:uid="{00000000-0005-0000-0000-0000AB070000}"/>
    <cellStyle name="_KT (2)_2_TG-TH_Lora-tungchau 3" xfId="17202" xr:uid="{00000000-0005-0000-0000-0000AC070000}"/>
    <cellStyle name="_KT (2)_2_TG-TH_Lora-tungchau_Book1" xfId="104" xr:uid="{00000000-0005-0000-0000-0000AD070000}"/>
    <cellStyle name="_KT (2)_2_TG-TH_Lora-tungchau_Book1 2" xfId="3375" xr:uid="{00000000-0005-0000-0000-0000AE070000}"/>
    <cellStyle name="_KT (2)_2_TG-TH_Lora-tungchau_Book1 3" xfId="17203" xr:uid="{00000000-0005-0000-0000-0000AF070000}"/>
    <cellStyle name="_KT (2)_2_TG-TH_Lora-tungchau_Book1_1" xfId="105" xr:uid="{00000000-0005-0000-0000-0000B0070000}"/>
    <cellStyle name="_KT (2)_2_TG-TH_Lora-tungchau_Book1_1 2" xfId="3376" xr:uid="{00000000-0005-0000-0000-0000B1070000}"/>
    <cellStyle name="_KT (2)_2_TG-TH_Lora-tungchau_Book1_1 3" xfId="17204" xr:uid="{00000000-0005-0000-0000-0000B2070000}"/>
    <cellStyle name="_KT (2)_2_TG-TH_Lora-tungchau_Book1_1_TOM TAT" xfId="19470" xr:uid="{00000000-0005-0000-0000-0000B3070000}"/>
    <cellStyle name="_KT (2)_2_TG-TH_Lora-tungchau_Book1_2" xfId="106" xr:uid="{00000000-0005-0000-0000-0000B4070000}"/>
    <cellStyle name="_KT (2)_2_TG-TH_Lora-tungchau_Book1_2 2" xfId="3377" xr:uid="{00000000-0005-0000-0000-0000B5070000}"/>
    <cellStyle name="_KT (2)_2_TG-TH_Lora-tungchau_Book1_2 3" xfId="17205" xr:uid="{00000000-0005-0000-0000-0000B6070000}"/>
    <cellStyle name="_KT (2)_2_TG-TH_Lora-tungchau_Book1_2_TOM TAT" xfId="19471" xr:uid="{00000000-0005-0000-0000-0000B7070000}"/>
    <cellStyle name="_KT (2)_2_TG-TH_Lora-tungchau_Book1_3" xfId="107" xr:uid="{00000000-0005-0000-0000-0000B8070000}"/>
    <cellStyle name="_KT (2)_2_TG-TH_Lora-tungchau_Book1_3 2" xfId="3378" xr:uid="{00000000-0005-0000-0000-0000B9070000}"/>
    <cellStyle name="_KT (2)_2_TG-TH_Lora-tungchau_Book1_3 3" xfId="17206" xr:uid="{00000000-0005-0000-0000-0000BA070000}"/>
    <cellStyle name="_KT (2)_2_TG-TH_Lora-tungchau_Book1_3_TOM TAT" xfId="19472" xr:uid="{00000000-0005-0000-0000-0000BB070000}"/>
    <cellStyle name="_KT (2)_2_TG-TH_Lora-tungchau_Book1_TOM TAT" xfId="19469" xr:uid="{00000000-0005-0000-0000-0000BC070000}"/>
    <cellStyle name="_KT (2)_2_TG-TH_Lora-tungchau_TOM TAT" xfId="19468" xr:uid="{00000000-0005-0000-0000-0000BD070000}"/>
    <cellStyle name="_KT (2)_2_TG-TH_Lora-tungchau_VATTUDIEN" xfId="108" xr:uid="{00000000-0005-0000-0000-0000BE070000}"/>
    <cellStyle name="_KT (2)_2_TG-TH_Lora-tungchau_VATTUDIEN 2" xfId="3379" xr:uid="{00000000-0005-0000-0000-0000BF070000}"/>
    <cellStyle name="_KT (2)_2_TG-TH_Lora-tungchau_VATTUDIEN 3" xfId="17207" xr:uid="{00000000-0005-0000-0000-0000C0070000}"/>
    <cellStyle name="_KT (2)_2_TG-TH_Lora-tungchau_VATTUDIEN_TOM TAT" xfId="19473" xr:uid="{00000000-0005-0000-0000-0000C1070000}"/>
    <cellStyle name="_KT (2)_2_TG-TH_PGIA-phieu tham tra Kho bac" xfId="109" xr:uid="{00000000-0005-0000-0000-0000C2070000}"/>
    <cellStyle name="_KT (2)_2_TG-TH_PGIA-phieu tham tra Kho bac 2" xfId="3380" xr:uid="{00000000-0005-0000-0000-0000C3070000}"/>
    <cellStyle name="_KT (2)_2_TG-TH_PGIA-phieu tham tra Kho bac 3" xfId="17208" xr:uid="{00000000-0005-0000-0000-0000C4070000}"/>
    <cellStyle name="_KT (2)_2_TG-TH_PGIA-phieu tham tra Kho bac_Book1" xfId="110" xr:uid="{00000000-0005-0000-0000-0000C5070000}"/>
    <cellStyle name="_KT (2)_2_TG-TH_PGIA-phieu tham tra Kho bac_Book1 2" xfId="3381" xr:uid="{00000000-0005-0000-0000-0000C6070000}"/>
    <cellStyle name="_KT (2)_2_TG-TH_PGIA-phieu tham tra Kho bac_Book1 3" xfId="17209" xr:uid="{00000000-0005-0000-0000-0000C7070000}"/>
    <cellStyle name="_KT (2)_2_TG-TH_PGIA-phieu tham tra Kho bac_Book1_1" xfId="111" xr:uid="{00000000-0005-0000-0000-0000C8070000}"/>
    <cellStyle name="_KT (2)_2_TG-TH_PGIA-phieu tham tra Kho bac_Book1_1 2" xfId="3382" xr:uid="{00000000-0005-0000-0000-0000C9070000}"/>
    <cellStyle name="_KT (2)_2_TG-TH_PGIA-phieu tham tra Kho bac_Book1_1 3" xfId="17210" xr:uid="{00000000-0005-0000-0000-0000CA070000}"/>
    <cellStyle name="_KT (2)_2_TG-TH_PGIA-phieu tham tra Kho bac_Book1_1_TOM TAT" xfId="19476" xr:uid="{00000000-0005-0000-0000-0000CB070000}"/>
    <cellStyle name="_KT (2)_2_TG-TH_PGIA-phieu tham tra Kho bac_Book1_2" xfId="112" xr:uid="{00000000-0005-0000-0000-0000CC070000}"/>
    <cellStyle name="_KT (2)_2_TG-TH_PGIA-phieu tham tra Kho bac_Book1_2 2" xfId="3383" xr:uid="{00000000-0005-0000-0000-0000CD070000}"/>
    <cellStyle name="_KT (2)_2_TG-TH_PGIA-phieu tham tra Kho bac_Book1_2 3" xfId="17211" xr:uid="{00000000-0005-0000-0000-0000CE070000}"/>
    <cellStyle name="_KT (2)_2_TG-TH_PGIA-phieu tham tra Kho bac_Book1_2_TOM TAT" xfId="19477" xr:uid="{00000000-0005-0000-0000-0000CF070000}"/>
    <cellStyle name="_KT (2)_2_TG-TH_PGIA-phieu tham tra Kho bac_Book1_3" xfId="113" xr:uid="{00000000-0005-0000-0000-0000D0070000}"/>
    <cellStyle name="_KT (2)_2_TG-TH_PGIA-phieu tham tra Kho bac_Book1_3 2" xfId="3384" xr:uid="{00000000-0005-0000-0000-0000D1070000}"/>
    <cellStyle name="_KT (2)_2_TG-TH_PGIA-phieu tham tra Kho bac_Book1_3 3" xfId="17212" xr:uid="{00000000-0005-0000-0000-0000D2070000}"/>
    <cellStyle name="_KT (2)_2_TG-TH_PGIA-phieu tham tra Kho bac_Book1_3_TOM TAT" xfId="19478" xr:uid="{00000000-0005-0000-0000-0000D3070000}"/>
    <cellStyle name="_KT (2)_2_TG-TH_PGIA-phieu tham tra Kho bac_Book1_TOM TAT" xfId="19475" xr:uid="{00000000-0005-0000-0000-0000D4070000}"/>
    <cellStyle name="_KT (2)_2_TG-TH_PGIA-phieu tham tra Kho bac_TOM TAT" xfId="19474" xr:uid="{00000000-0005-0000-0000-0000D5070000}"/>
    <cellStyle name="_KT (2)_2_TG-TH_PGIA-phieu tham tra Kho bac_VATTUDIEN" xfId="114" xr:uid="{00000000-0005-0000-0000-0000D6070000}"/>
    <cellStyle name="_KT (2)_2_TG-TH_PGIA-phieu tham tra Kho bac_VATTUDIEN 2" xfId="3385" xr:uid="{00000000-0005-0000-0000-0000D7070000}"/>
    <cellStyle name="_KT (2)_2_TG-TH_PGIA-phieu tham tra Kho bac_VATTUDIEN 3" xfId="17213" xr:uid="{00000000-0005-0000-0000-0000D8070000}"/>
    <cellStyle name="_KT (2)_2_TG-TH_PGIA-phieu tham tra Kho bac_VATTUDIEN_TOM TAT" xfId="19479" xr:uid="{00000000-0005-0000-0000-0000D9070000}"/>
    <cellStyle name="_KT (2)_2_TG-TH_PT02-02" xfId="115" xr:uid="{00000000-0005-0000-0000-0000DA070000}"/>
    <cellStyle name="_KT (2)_2_TG-TH_PT02-02 2" xfId="3386" xr:uid="{00000000-0005-0000-0000-0000DB070000}"/>
    <cellStyle name="_KT (2)_2_TG-TH_PT02-02 3" xfId="17214" xr:uid="{00000000-0005-0000-0000-0000DC070000}"/>
    <cellStyle name="_KT (2)_2_TG-TH_PT02-02_Book1" xfId="116" xr:uid="{00000000-0005-0000-0000-0000DD070000}"/>
    <cellStyle name="_KT (2)_2_TG-TH_PT02-02_Book1 2" xfId="3387" xr:uid="{00000000-0005-0000-0000-0000DE070000}"/>
    <cellStyle name="_KT (2)_2_TG-TH_PT02-02_Book1 3" xfId="17215" xr:uid="{00000000-0005-0000-0000-0000DF070000}"/>
    <cellStyle name="_KT (2)_2_TG-TH_PT02-02_Book1_1" xfId="117" xr:uid="{00000000-0005-0000-0000-0000E0070000}"/>
    <cellStyle name="_KT (2)_2_TG-TH_PT02-02_Book1_1 2" xfId="3388" xr:uid="{00000000-0005-0000-0000-0000E1070000}"/>
    <cellStyle name="_KT (2)_2_TG-TH_PT02-02_Book1_1 3" xfId="17216" xr:uid="{00000000-0005-0000-0000-0000E2070000}"/>
    <cellStyle name="_KT (2)_2_TG-TH_PT02-02_Book1_1_TOM TAT" xfId="19482" xr:uid="{00000000-0005-0000-0000-0000E3070000}"/>
    <cellStyle name="_KT (2)_2_TG-TH_PT02-02_Book1_2" xfId="118" xr:uid="{00000000-0005-0000-0000-0000E4070000}"/>
    <cellStyle name="_KT (2)_2_TG-TH_PT02-02_Book1_2 2" xfId="3389" xr:uid="{00000000-0005-0000-0000-0000E5070000}"/>
    <cellStyle name="_KT (2)_2_TG-TH_PT02-02_Book1_2 3" xfId="17217" xr:uid="{00000000-0005-0000-0000-0000E6070000}"/>
    <cellStyle name="_KT (2)_2_TG-TH_PT02-02_Book1_2_TOM TAT" xfId="19483" xr:uid="{00000000-0005-0000-0000-0000E7070000}"/>
    <cellStyle name="_KT (2)_2_TG-TH_PT02-02_Book1_3" xfId="119" xr:uid="{00000000-0005-0000-0000-0000E8070000}"/>
    <cellStyle name="_KT (2)_2_TG-TH_PT02-02_Book1_3 2" xfId="3390" xr:uid="{00000000-0005-0000-0000-0000E9070000}"/>
    <cellStyle name="_KT (2)_2_TG-TH_PT02-02_Book1_3 3" xfId="17218" xr:uid="{00000000-0005-0000-0000-0000EA070000}"/>
    <cellStyle name="_KT (2)_2_TG-TH_PT02-02_Book1_3_TOM TAT" xfId="19484" xr:uid="{00000000-0005-0000-0000-0000EB070000}"/>
    <cellStyle name="_KT (2)_2_TG-TH_PT02-02_Book1_4" xfId="120" xr:uid="{00000000-0005-0000-0000-0000EC070000}"/>
    <cellStyle name="_KT (2)_2_TG-TH_PT02-02_Book1_4 2" xfId="3391" xr:uid="{00000000-0005-0000-0000-0000ED070000}"/>
    <cellStyle name="_KT (2)_2_TG-TH_PT02-02_Book1_4 3" xfId="17219" xr:uid="{00000000-0005-0000-0000-0000EE070000}"/>
    <cellStyle name="_KT (2)_2_TG-TH_PT02-02_Book1_4_TOM TAT" xfId="19485" xr:uid="{00000000-0005-0000-0000-0000EF070000}"/>
    <cellStyle name="_KT (2)_2_TG-TH_PT02-02_Book1_Book1" xfId="121" xr:uid="{00000000-0005-0000-0000-0000F0070000}"/>
    <cellStyle name="_KT (2)_2_TG-TH_PT02-02_Book1_Book1 2" xfId="3392" xr:uid="{00000000-0005-0000-0000-0000F1070000}"/>
    <cellStyle name="_KT (2)_2_TG-TH_PT02-02_Book1_Book1 3" xfId="17220" xr:uid="{00000000-0005-0000-0000-0000F2070000}"/>
    <cellStyle name="_KT (2)_2_TG-TH_PT02-02_Book1_Book1_1" xfId="122" xr:uid="{00000000-0005-0000-0000-0000F3070000}"/>
    <cellStyle name="_KT (2)_2_TG-TH_PT02-02_Book1_Book1_1 2" xfId="3393" xr:uid="{00000000-0005-0000-0000-0000F4070000}"/>
    <cellStyle name="_KT (2)_2_TG-TH_PT02-02_Book1_Book1_1 3" xfId="17221" xr:uid="{00000000-0005-0000-0000-0000F5070000}"/>
    <cellStyle name="_KT (2)_2_TG-TH_PT02-02_Book1_Book1_1_TOM TAT" xfId="19487" xr:uid="{00000000-0005-0000-0000-0000F6070000}"/>
    <cellStyle name="_KT (2)_2_TG-TH_PT02-02_Book1_Book1_2" xfId="123" xr:uid="{00000000-0005-0000-0000-0000F7070000}"/>
    <cellStyle name="_KT (2)_2_TG-TH_PT02-02_Book1_Book1_2 2" xfId="3394" xr:uid="{00000000-0005-0000-0000-0000F8070000}"/>
    <cellStyle name="_KT (2)_2_TG-TH_PT02-02_Book1_Book1_2 3" xfId="17222" xr:uid="{00000000-0005-0000-0000-0000F9070000}"/>
    <cellStyle name="_KT (2)_2_TG-TH_PT02-02_Book1_Book1_2_TOM TAT" xfId="19488" xr:uid="{00000000-0005-0000-0000-0000FA070000}"/>
    <cellStyle name="_KT (2)_2_TG-TH_PT02-02_Book1_Book1_3" xfId="124" xr:uid="{00000000-0005-0000-0000-0000FB070000}"/>
    <cellStyle name="_KT (2)_2_TG-TH_PT02-02_Book1_Book1_3 2" xfId="3395" xr:uid="{00000000-0005-0000-0000-0000FC070000}"/>
    <cellStyle name="_KT (2)_2_TG-TH_PT02-02_Book1_Book1_3 3" xfId="17223" xr:uid="{00000000-0005-0000-0000-0000FD070000}"/>
    <cellStyle name="_KT (2)_2_TG-TH_PT02-02_Book1_Book1_3_TOM TAT" xfId="19489" xr:uid="{00000000-0005-0000-0000-0000FE070000}"/>
    <cellStyle name="_KT (2)_2_TG-TH_PT02-02_Book1_Book1_TOM TAT" xfId="19486" xr:uid="{00000000-0005-0000-0000-0000FF070000}"/>
    <cellStyle name="_KT (2)_2_TG-TH_PT02-02_Book1_TOM TAT" xfId="19481" xr:uid="{00000000-0005-0000-0000-000000080000}"/>
    <cellStyle name="_KT (2)_2_TG-TH_PT02-02_Book1_VATTUDIEN" xfId="125" xr:uid="{00000000-0005-0000-0000-000001080000}"/>
    <cellStyle name="_KT (2)_2_TG-TH_PT02-02_Book1_VATTUDIEN 2" xfId="3396" xr:uid="{00000000-0005-0000-0000-000002080000}"/>
    <cellStyle name="_KT (2)_2_TG-TH_PT02-02_Book1_VATTUDIEN 3" xfId="17224" xr:uid="{00000000-0005-0000-0000-000003080000}"/>
    <cellStyle name="_KT (2)_2_TG-TH_PT02-02_Book1_VATTUDIEN_TOM TAT" xfId="19490" xr:uid="{00000000-0005-0000-0000-000004080000}"/>
    <cellStyle name="_KT (2)_2_TG-TH_PT02-02_TOM TAT" xfId="19480" xr:uid="{00000000-0005-0000-0000-000005080000}"/>
    <cellStyle name="_KT (2)_2_TG-TH_PT02-02_VATTUDIEN" xfId="126" xr:uid="{00000000-0005-0000-0000-000006080000}"/>
    <cellStyle name="_KT (2)_2_TG-TH_PT02-02_VATTUDIEN 2" xfId="3397" xr:uid="{00000000-0005-0000-0000-000007080000}"/>
    <cellStyle name="_KT (2)_2_TG-TH_PT02-02_VATTUDIEN 3" xfId="17225" xr:uid="{00000000-0005-0000-0000-000008080000}"/>
    <cellStyle name="_KT (2)_2_TG-TH_PT02-02_VATTUDIEN_TOM TAT" xfId="19491" xr:uid="{00000000-0005-0000-0000-000009080000}"/>
    <cellStyle name="_KT (2)_2_TG-TH_PT02-03" xfId="127" xr:uid="{00000000-0005-0000-0000-00000A080000}"/>
    <cellStyle name="_KT (2)_2_TG-TH_PT02-03 2" xfId="3398" xr:uid="{00000000-0005-0000-0000-00000B080000}"/>
    <cellStyle name="_KT (2)_2_TG-TH_PT02-03 3" xfId="17226" xr:uid="{00000000-0005-0000-0000-00000C080000}"/>
    <cellStyle name="_KT (2)_2_TG-TH_PT02-03_Book1" xfId="128" xr:uid="{00000000-0005-0000-0000-00000D080000}"/>
    <cellStyle name="_KT (2)_2_TG-TH_PT02-03_Book1 2" xfId="3399" xr:uid="{00000000-0005-0000-0000-00000E080000}"/>
    <cellStyle name="_KT (2)_2_TG-TH_PT02-03_Book1 3" xfId="17227" xr:uid="{00000000-0005-0000-0000-00000F080000}"/>
    <cellStyle name="_KT (2)_2_TG-TH_PT02-03_Book1_1" xfId="129" xr:uid="{00000000-0005-0000-0000-000010080000}"/>
    <cellStyle name="_KT (2)_2_TG-TH_PT02-03_Book1_1 2" xfId="3400" xr:uid="{00000000-0005-0000-0000-000011080000}"/>
    <cellStyle name="_KT (2)_2_TG-TH_PT02-03_Book1_1 3" xfId="17228" xr:uid="{00000000-0005-0000-0000-000012080000}"/>
    <cellStyle name="_KT (2)_2_TG-TH_PT02-03_Book1_1_TOM TAT" xfId="19494" xr:uid="{00000000-0005-0000-0000-000013080000}"/>
    <cellStyle name="_KT (2)_2_TG-TH_PT02-03_Book1_2" xfId="130" xr:uid="{00000000-0005-0000-0000-000014080000}"/>
    <cellStyle name="_KT (2)_2_TG-TH_PT02-03_Book1_2 2" xfId="3401" xr:uid="{00000000-0005-0000-0000-000015080000}"/>
    <cellStyle name="_KT (2)_2_TG-TH_PT02-03_Book1_2 3" xfId="17229" xr:uid="{00000000-0005-0000-0000-000016080000}"/>
    <cellStyle name="_KT (2)_2_TG-TH_PT02-03_Book1_2_TOM TAT" xfId="19495" xr:uid="{00000000-0005-0000-0000-000017080000}"/>
    <cellStyle name="_KT (2)_2_TG-TH_PT02-03_Book1_3" xfId="131" xr:uid="{00000000-0005-0000-0000-000018080000}"/>
    <cellStyle name="_KT (2)_2_TG-TH_PT02-03_Book1_3 2" xfId="3402" xr:uid="{00000000-0005-0000-0000-000019080000}"/>
    <cellStyle name="_KT (2)_2_TG-TH_PT02-03_Book1_3 3" xfId="17230" xr:uid="{00000000-0005-0000-0000-00001A080000}"/>
    <cellStyle name="_KT (2)_2_TG-TH_PT02-03_Book1_3_TOM TAT" xfId="19496" xr:uid="{00000000-0005-0000-0000-00001B080000}"/>
    <cellStyle name="_KT (2)_2_TG-TH_PT02-03_Book1_4" xfId="132" xr:uid="{00000000-0005-0000-0000-00001C080000}"/>
    <cellStyle name="_KT (2)_2_TG-TH_PT02-03_Book1_4 2" xfId="3403" xr:uid="{00000000-0005-0000-0000-00001D080000}"/>
    <cellStyle name="_KT (2)_2_TG-TH_PT02-03_Book1_4 3" xfId="17231" xr:uid="{00000000-0005-0000-0000-00001E080000}"/>
    <cellStyle name="_KT (2)_2_TG-TH_PT02-03_Book1_4_TOM TAT" xfId="19497" xr:uid="{00000000-0005-0000-0000-00001F080000}"/>
    <cellStyle name="_KT (2)_2_TG-TH_PT02-03_Book1_Book1" xfId="133" xr:uid="{00000000-0005-0000-0000-000020080000}"/>
    <cellStyle name="_KT (2)_2_TG-TH_PT02-03_Book1_Book1 2" xfId="3404" xr:uid="{00000000-0005-0000-0000-000021080000}"/>
    <cellStyle name="_KT (2)_2_TG-TH_PT02-03_Book1_Book1 3" xfId="17232" xr:uid="{00000000-0005-0000-0000-000022080000}"/>
    <cellStyle name="_KT (2)_2_TG-TH_PT02-03_Book1_Book1_1" xfId="134" xr:uid="{00000000-0005-0000-0000-000023080000}"/>
    <cellStyle name="_KT (2)_2_TG-TH_PT02-03_Book1_Book1_1 2" xfId="3405" xr:uid="{00000000-0005-0000-0000-000024080000}"/>
    <cellStyle name="_KT (2)_2_TG-TH_PT02-03_Book1_Book1_1 3" xfId="17233" xr:uid="{00000000-0005-0000-0000-000025080000}"/>
    <cellStyle name="_KT (2)_2_TG-TH_PT02-03_Book1_Book1_1_TOM TAT" xfId="19499" xr:uid="{00000000-0005-0000-0000-000026080000}"/>
    <cellStyle name="_KT (2)_2_TG-TH_PT02-03_Book1_Book1_2" xfId="135" xr:uid="{00000000-0005-0000-0000-000027080000}"/>
    <cellStyle name="_KT (2)_2_TG-TH_PT02-03_Book1_Book1_2 2" xfId="3406" xr:uid="{00000000-0005-0000-0000-000028080000}"/>
    <cellStyle name="_KT (2)_2_TG-TH_PT02-03_Book1_Book1_2 3" xfId="17234" xr:uid="{00000000-0005-0000-0000-000029080000}"/>
    <cellStyle name="_KT (2)_2_TG-TH_PT02-03_Book1_Book1_2_TOM TAT" xfId="19500" xr:uid="{00000000-0005-0000-0000-00002A080000}"/>
    <cellStyle name="_KT (2)_2_TG-TH_PT02-03_Book1_Book1_3" xfId="136" xr:uid="{00000000-0005-0000-0000-00002B080000}"/>
    <cellStyle name="_KT (2)_2_TG-TH_PT02-03_Book1_Book1_3 2" xfId="3407" xr:uid="{00000000-0005-0000-0000-00002C080000}"/>
    <cellStyle name="_KT (2)_2_TG-TH_PT02-03_Book1_Book1_3 3" xfId="17235" xr:uid="{00000000-0005-0000-0000-00002D080000}"/>
    <cellStyle name="_KT (2)_2_TG-TH_PT02-03_Book1_Book1_3_TOM TAT" xfId="19501" xr:uid="{00000000-0005-0000-0000-00002E080000}"/>
    <cellStyle name="_KT (2)_2_TG-TH_PT02-03_Book1_Book1_TOM TAT" xfId="19498" xr:uid="{00000000-0005-0000-0000-00002F080000}"/>
    <cellStyle name="_KT (2)_2_TG-TH_PT02-03_Book1_TOM TAT" xfId="19493" xr:uid="{00000000-0005-0000-0000-000030080000}"/>
    <cellStyle name="_KT (2)_2_TG-TH_PT02-03_Book1_VATTUDIEN" xfId="137" xr:uid="{00000000-0005-0000-0000-000031080000}"/>
    <cellStyle name="_KT (2)_2_TG-TH_PT02-03_Book1_VATTUDIEN 2" xfId="3408" xr:uid="{00000000-0005-0000-0000-000032080000}"/>
    <cellStyle name="_KT (2)_2_TG-TH_PT02-03_Book1_VATTUDIEN 3" xfId="17236" xr:uid="{00000000-0005-0000-0000-000033080000}"/>
    <cellStyle name="_KT (2)_2_TG-TH_PT02-03_Book1_VATTUDIEN_TOM TAT" xfId="19502" xr:uid="{00000000-0005-0000-0000-000034080000}"/>
    <cellStyle name="_KT (2)_2_TG-TH_PT02-03_TOM TAT" xfId="19492" xr:uid="{00000000-0005-0000-0000-000035080000}"/>
    <cellStyle name="_KT (2)_2_TG-TH_PT02-03_VATTUDIEN" xfId="138" xr:uid="{00000000-0005-0000-0000-000036080000}"/>
    <cellStyle name="_KT (2)_2_TG-TH_PT02-03_VATTUDIEN 2" xfId="3409" xr:uid="{00000000-0005-0000-0000-000037080000}"/>
    <cellStyle name="_KT (2)_2_TG-TH_PT02-03_VATTUDIEN 3" xfId="17237" xr:uid="{00000000-0005-0000-0000-000038080000}"/>
    <cellStyle name="_KT (2)_2_TG-TH_PT02-03_VATTUDIEN_TOM TAT" xfId="19503" xr:uid="{00000000-0005-0000-0000-000039080000}"/>
    <cellStyle name="_KT (2)_2_TG-TH_Qt-HT3PQ1(CauKho)" xfId="139" xr:uid="{00000000-0005-0000-0000-00003A080000}"/>
    <cellStyle name="_KT (2)_2_TG-TH_Qt-HT3PQ1(CauKho) 2" xfId="3410" xr:uid="{00000000-0005-0000-0000-00003B080000}"/>
    <cellStyle name="_KT (2)_2_TG-TH_Qt-HT3PQ1(CauKho) 3" xfId="17238" xr:uid="{00000000-0005-0000-0000-00003C080000}"/>
    <cellStyle name="_KT (2)_2_TG-TH_Qt-HT3PQ1(CauKho)_Book1" xfId="140" xr:uid="{00000000-0005-0000-0000-00003D080000}"/>
    <cellStyle name="_KT (2)_2_TG-TH_Qt-HT3PQ1(CauKho)_Book1 2" xfId="3411" xr:uid="{00000000-0005-0000-0000-00003E080000}"/>
    <cellStyle name="_KT (2)_2_TG-TH_Qt-HT3PQ1(CauKho)_Book1 3" xfId="17239" xr:uid="{00000000-0005-0000-0000-00003F080000}"/>
    <cellStyle name="_KT (2)_2_TG-TH_Qt-HT3PQ1(CauKho)_Book1_1" xfId="141" xr:uid="{00000000-0005-0000-0000-000040080000}"/>
    <cellStyle name="_KT (2)_2_TG-TH_Qt-HT3PQ1(CauKho)_Book1_1 2" xfId="3412" xr:uid="{00000000-0005-0000-0000-000041080000}"/>
    <cellStyle name="_KT (2)_2_TG-TH_Qt-HT3PQ1(CauKho)_Book1_1 3" xfId="17240" xr:uid="{00000000-0005-0000-0000-000042080000}"/>
    <cellStyle name="_KT (2)_2_TG-TH_Qt-HT3PQ1(CauKho)_Book1_1_TOM TAT" xfId="19506" xr:uid="{00000000-0005-0000-0000-000043080000}"/>
    <cellStyle name="_KT (2)_2_TG-TH_Qt-HT3PQ1(CauKho)_Book1_2" xfId="142" xr:uid="{00000000-0005-0000-0000-000044080000}"/>
    <cellStyle name="_KT (2)_2_TG-TH_Qt-HT3PQ1(CauKho)_Book1_2 2" xfId="3413" xr:uid="{00000000-0005-0000-0000-000045080000}"/>
    <cellStyle name="_KT (2)_2_TG-TH_Qt-HT3PQ1(CauKho)_Book1_2 3" xfId="17241" xr:uid="{00000000-0005-0000-0000-000046080000}"/>
    <cellStyle name="_KT (2)_2_TG-TH_Qt-HT3PQ1(CauKho)_Book1_2_TOM TAT" xfId="19507" xr:uid="{00000000-0005-0000-0000-000047080000}"/>
    <cellStyle name="_KT (2)_2_TG-TH_Qt-HT3PQ1(CauKho)_Book1_3" xfId="143" xr:uid="{00000000-0005-0000-0000-000048080000}"/>
    <cellStyle name="_KT (2)_2_TG-TH_Qt-HT3PQ1(CauKho)_Book1_3 2" xfId="3414" xr:uid="{00000000-0005-0000-0000-000049080000}"/>
    <cellStyle name="_KT (2)_2_TG-TH_Qt-HT3PQ1(CauKho)_Book1_3 3" xfId="17242" xr:uid="{00000000-0005-0000-0000-00004A080000}"/>
    <cellStyle name="_KT (2)_2_TG-TH_Qt-HT3PQ1(CauKho)_Book1_3_TOM TAT" xfId="19508" xr:uid="{00000000-0005-0000-0000-00004B080000}"/>
    <cellStyle name="_KT (2)_2_TG-TH_Qt-HT3PQ1(CauKho)_Book1_TOM TAT" xfId="19505" xr:uid="{00000000-0005-0000-0000-00004C080000}"/>
    <cellStyle name="_KT (2)_2_TG-TH_Qt-HT3PQ1(CauKho)_TOM TAT" xfId="19504" xr:uid="{00000000-0005-0000-0000-00004D080000}"/>
    <cellStyle name="_KT (2)_2_TG-TH_Qt-HT3PQ1(CauKho)_VATTUDIEN" xfId="144" xr:uid="{00000000-0005-0000-0000-00004E080000}"/>
    <cellStyle name="_KT (2)_2_TG-TH_Qt-HT3PQ1(CauKho)_VATTUDIEN 2" xfId="3415" xr:uid="{00000000-0005-0000-0000-00004F080000}"/>
    <cellStyle name="_KT (2)_2_TG-TH_Qt-HT3PQ1(CauKho)_VATTUDIEN 3" xfId="17243" xr:uid="{00000000-0005-0000-0000-000050080000}"/>
    <cellStyle name="_KT (2)_2_TG-TH_Qt-HT3PQ1(CauKho)_VATTUDIEN_TOM TAT" xfId="19509" xr:uid="{00000000-0005-0000-0000-000051080000}"/>
    <cellStyle name="_KT (2)_2_TG-TH_Sheet1" xfId="4904" xr:uid="{00000000-0005-0000-0000-000052080000}"/>
    <cellStyle name="_KT (2)_2_TG-TH_Sheet2" xfId="4905" xr:uid="{00000000-0005-0000-0000-000053080000}"/>
    <cellStyle name="_KT (2)_2_TG-TH_TH KE" xfId="145" xr:uid="{00000000-0005-0000-0000-000054080000}"/>
    <cellStyle name="_KT (2)_2_TG-TH_TH KE 2" xfId="3416" xr:uid="{00000000-0005-0000-0000-000055080000}"/>
    <cellStyle name="_KT (2)_2_TG-TH_TH KE 3" xfId="17244" xr:uid="{00000000-0005-0000-0000-000056080000}"/>
    <cellStyle name="_KT (2)_2_TG-TH_TH KE_Book1" xfId="146" xr:uid="{00000000-0005-0000-0000-000057080000}"/>
    <cellStyle name="_KT (2)_2_TG-TH_TH KE_Book1 2" xfId="3417" xr:uid="{00000000-0005-0000-0000-000058080000}"/>
    <cellStyle name="_KT (2)_2_TG-TH_TH KE_Book1 3" xfId="17245" xr:uid="{00000000-0005-0000-0000-000059080000}"/>
    <cellStyle name="_KT (2)_2_TG-TH_TH KE_Book1_1" xfId="147" xr:uid="{00000000-0005-0000-0000-00005A080000}"/>
    <cellStyle name="_KT (2)_2_TG-TH_TH KE_Book1_1 2" xfId="3418" xr:uid="{00000000-0005-0000-0000-00005B080000}"/>
    <cellStyle name="_KT (2)_2_TG-TH_TH KE_Book1_1 3" xfId="17246" xr:uid="{00000000-0005-0000-0000-00005C080000}"/>
    <cellStyle name="_KT (2)_2_TG-TH_TH KE_Book1_1_TOM TAT" xfId="19512" xr:uid="{00000000-0005-0000-0000-00005D080000}"/>
    <cellStyle name="_KT (2)_2_TG-TH_TH KE_Book1_2" xfId="148" xr:uid="{00000000-0005-0000-0000-00005E080000}"/>
    <cellStyle name="_KT (2)_2_TG-TH_TH KE_Book1_2 2" xfId="3419" xr:uid="{00000000-0005-0000-0000-00005F080000}"/>
    <cellStyle name="_KT (2)_2_TG-TH_TH KE_Book1_2 3" xfId="17247" xr:uid="{00000000-0005-0000-0000-000060080000}"/>
    <cellStyle name="_KT (2)_2_TG-TH_TH KE_Book1_2_TOM TAT" xfId="19513" xr:uid="{00000000-0005-0000-0000-000061080000}"/>
    <cellStyle name="_KT (2)_2_TG-TH_TH KE_Book1_3" xfId="149" xr:uid="{00000000-0005-0000-0000-000062080000}"/>
    <cellStyle name="_KT (2)_2_TG-TH_TH KE_Book1_3 2" xfId="3420" xr:uid="{00000000-0005-0000-0000-000063080000}"/>
    <cellStyle name="_KT (2)_2_TG-TH_TH KE_Book1_3 3" xfId="17248" xr:uid="{00000000-0005-0000-0000-000064080000}"/>
    <cellStyle name="_KT (2)_2_TG-TH_TH KE_Book1_3_TOM TAT" xfId="19514" xr:uid="{00000000-0005-0000-0000-000065080000}"/>
    <cellStyle name="_KT (2)_2_TG-TH_TH KE_Book1_TOM TAT" xfId="19511" xr:uid="{00000000-0005-0000-0000-000066080000}"/>
    <cellStyle name="_KT (2)_2_TG-TH_TH KE_TOM TAT" xfId="19510" xr:uid="{00000000-0005-0000-0000-000067080000}"/>
    <cellStyle name="_KT (2)_2_TG-TH_TH KE_VATTUDIEN" xfId="150" xr:uid="{00000000-0005-0000-0000-000068080000}"/>
    <cellStyle name="_KT (2)_2_TG-TH_TH KE_VATTUDIEN 2" xfId="3421" xr:uid="{00000000-0005-0000-0000-000069080000}"/>
    <cellStyle name="_KT (2)_2_TG-TH_TH KE_VATTUDIEN 3" xfId="17249" xr:uid="{00000000-0005-0000-0000-00006A080000}"/>
    <cellStyle name="_KT (2)_2_TG-TH_TH KE_VATTUDIEN_TOM TAT" xfId="19515" xr:uid="{00000000-0005-0000-0000-00006B080000}"/>
    <cellStyle name="_KT (2)_2_TG-TH_TOM TAT" xfId="19414" xr:uid="{00000000-0005-0000-0000-00006C080000}"/>
    <cellStyle name="_KT (2)_2_TG-TH_VATTUDIEN" xfId="151" xr:uid="{00000000-0005-0000-0000-00006D080000}"/>
    <cellStyle name="_KT (2)_2_TG-TH_VATTUDIEN 2" xfId="3422" xr:uid="{00000000-0005-0000-0000-00006E080000}"/>
    <cellStyle name="_KT (2)_2_TG-TH_VATTUDIEN 3" xfId="17250" xr:uid="{00000000-0005-0000-0000-00006F080000}"/>
    <cellStyle name="_KT (2)_2_TG-TH_VATTUDIEN_TOM TAT" xfId="19516" xr:uid="{00000000-0005-0000-0000-000070080000}"/>
    <cellStyle name="_KT (2)_2_TG-TH_XN3-2005" xfId="152" xr:uid="{00000000-0005-0000-0000-000071080000}"/>
    <cellStyle name="_KT (2)_2_TG-TH_XN3-2005 2" xfId="3423" xr:uid="{00000000-0005-0000-0000-000072080000}"/>
    <cellStyle name="_KT (2)_2_TG-TH_XN3-2005 3" xfId="17251" xr:uid="{00000000-0005-0000-0000-000073080000}"/>
    <cellStyle name="_KT (2)_2_TG-TH_XN3-2005_TOM TAT" xfId="19517" xr:uid="{00000000-0005-0000-0000-000074080000}"/>
    <cellStyle name="_KT (2)_2_TOM TAT" xfId="19409" xr:uid="{00000000-0005-0000-0000-000075080000}"/>
    <cellStyle name="_KT (2)_2_VATTUDIEN" xfId="153" xr:uid="{00000000-0005-0000-0000-000076080000}"/>
    <cellStyle name="_KT (2)_2_VATTUDIEN 2" xfId="3424" xr:uid="{00000000-0005-0000-0000-000077080000}"/>
    <cellStyle name="_KT (2)_2_VATTUDIEN 3" xfId="17252" xr:uid="{00000000-0005-0000-0000-000078080000}"/>
    <cellStyle name="_KT (2)_2_VATTUDIEN_TOM TAT" xfId="19518" xr:uid="{00000000-0005-0000-0000-000079080000}"/>
    <cellStyle name="_KT (2)_3" xfId="154" xr:uid="{00000000-0005-0000-0000-00007A080000}"/>
    <cellStyle name="_KT (2)_3 2" xfId="3425" xr:uid="{00000000-0005-0000-0000-00007B080000}"/>
    <cellStyle name="_KT (2)_3 3" xfId="17253" xr:uid="{00000000-0005-0000-0000-00007C080000}"/>
    <cellStyle name="_KT (2)_3_Book1" xfId="155" xr:uid="{00000000-0005-0000-0000-00007D080000}"/>
    <cellStyle name="_KT (2)_3_Book1 2" xfId="3426" xr:uid="{00000000-0005-0000-0000-00007E080000}"/>
    <cellStyle name="_KT (2)_3_Book1 3" xfId="17254" xr:uid="{00000000-0005-0000-0000-00007F080000}"/>
    <cellStyle name="_KT (2)_3_Book1_1" xfId="156" xr:uid="{00000000-0005-0000-0000-000080080000}"/>
    <cellStyle name="_KT (2)_3_Book1_1 2" xfId="3427" xr:uid="{00000000-0005-0000-0000-000081080000}"/>
    <cellStyle name="_KT (2)_3_Book1_1 3" xfId="17255" xr:uid="{00000000-0005-0000-0000-000082080000}"/>
    <cellStyle name="_KT (2)_3_Book1_1_TOM TAT" xfId="19521" xr:uid="{00000000-0005-0000-0000-000083080000}"/>
    <cellStyle name="_KT (2)_3_Book1_2" xfId="157" xr:uid="{00000000-0005-0000-0000-000084080000}"/>
    <cellStyle name="_KT (2)_3_Book1_2 2" xfId="3428" xr:uid="{00000000-0005-0000-0000-000085080000}"/>
    <cellStyle name="_KT (2)_3_Book1_2 3" xfId="17256" xr:uid="{00000000-0005-0000-0000-000086080000}"/>
    <cellStyle name="_KT (2)_3_Book1_2_TOM TAT" xfId="19522" xr:uid="{00000000-0005-0000-0000-000087080000}"/>
    <cellStyle name="_KT (2)_3_Book1_3" xfId="158" xr:uid="{00000000-0005-0000-0000-000088080000}"/>
    <cellStyle name="_KT (2)_3_Book1_3 2" xfId="3429" xr:uid="{00000000-0005-0000-0000-000089080000}"/>
    <cellStyle name="_KT (2)_3_Book1_3 3" xfId="17257" xr:uid="{00000000-0005-0000-0000-00008A080000}"/>
    <cellStyle name="_KT (2)_3_Book1_3_TOM TAT" xfId="19523" xr:uid="{00000000-0005-0000-0000-00008B080000}"/>
    <cellStyle name="_KT (2)_3_Book1_TOM TAT" xfId="19520" xr:uid="{00000000-0005-0000-0000-00008C080000}"/>
    <cellStyle name="_KT (2)_3_TG-TH" xfId="159" xr:uid="{00000000-0005-0000-0000-00008D080000}"/>
    <cellStyle name="_KT (2)_3_TG-TH 2" xfId="3430" xr:uid="{00000000-0005-0000-0000-00008E080000}"/>
    <cellStyle name="_KT (2)_3_TG-TH 3" xfId="17258" xr:uid="{00000000-0005-0000-0000-00008F080000}"/>
    <cellStyle name="_KT (2)_3_TG-TH_Book1" xfId="160" xr:uid="{00000000-0005-0000-0000-000090080000}"/>
    <cellStyle name="_KT (2)_3_TG-TH_Book1 2" xfId="3431" xr:uid="{00000000-0005-0000-0000-000091080000}"/>
    <cellStyle name="_KT (2)_3_TG-TH_Book1 3" xfId="17259" xr:uid="{00000000-0005-0000-0000-000092080000}"/>
    <cellStyle name="_KT (2)_3_TG-TH_Book1_1" xfId="161" xr:uid="{00000000-0005-0000-0000-000093080000}"/>
    <cellStyle name="_KT (2)_3_TG-TH_Book1_1 2" xfId="3432" xr:uid="{00000000-0005-0000-0000-000094080000}"/>
    <cellStyle name="_KT (2)_3_TG-TH_Book1_1 3" xfId="17260" xr:uid="{00000000-0005-0000-0000-000095080000}"/>
    <cellStyle name="_KT (2)_3_TG-TH_Book1_1_TOM TAT" xfId="19526" xr:uid="{00000000-0005-0000-0000-000096080000}"/>
    <cellStyle name="_KT (2)_3_TG-TH_Book1_2" xfId="162" xr:uid="{00000000-0005-0000-0000-000097080000}"/>
    <cellStyle name="_KT (2)_3_TG-TH_Book1_2 2" xfId="3433" xr:uid="{00000000-0005-0000-0000-000098080000}"/>
    <cellStyle name="_KT (2)_3_TG-TH_Book1_2 3" xfId="17261" xr:uid="{00000000-0005-0000-0000-000099080000}"/>
    <cellStyle name="_KT (2)_3_TG-TH_Book1_2_TOM TAT" xfId="19527" xr:uid="{00000000-0005-0000-0000-00009A080000}"/>
    <cellStyle name="_KT (2)_3_TG-TH_Book1_3" xfId="163" xr:uid="{00000000-0005-0000-0000-00009B080000}"/>
    <cellStyle name="_KT (2)_3_TG-TH_Book1_3 2" xfId="3434" xr:uid="{00000000-0005-0000-0000-00009C080000}"/>
    <cellStyle name="_KT (2)_3_TG-TH_Book1_3 3" xfId="17262" xr:uid="{00000000-0005-0000-0000-00009D080000}"/>
    <cellStyle name="_KT (2)_3_TG-TH_Book1_3_TOM TAT" xfId="19528" xr:uid="{00000000-0005-0000-0000-00009E080000}"/>
    <cellStyle name="_KT (2)_3_TG-TH_Book1_4" xfId="164" xr:uid="{00000000-0005-0000-0000-00009F080000}"/>
    <cellStyle name="_KT (2)_3_TG-TH_Book1_4 2" xfId="3435" xr:uid="{00000000-0005-0000-0000-0000A0080000}"/>
    <cellStyle name="_KT (2)_3_TG-TH_Book1_4 3" xfId="17263" xr:uid="{00000000-0005-0000-0000-0000A1080000}"/>
    <cellStyle name="_KT (2)_3_TG-TH_Book1_4_TOM TAT" xfId="19529" xr:uid="{00000000-0005-0000-0000-0000A2080000}"/>
    <cellStyle name="_KT (2)_3_TG-TH_Book1_BC-QT-WB-dthao" xfId="165" xr:uid="{00000000-0005-0000-0000-0000A3080000}"/>
    <cellStyle name="_KT (2)_3_TG-TH_Book1_BC-QT-WB-dthao 2" xfId="3436" xr:uid="{00000000-0005-0000-0000-0000A4080000}"/>
    <cellStyle name="_KT (2)_3_TG-TH_Book1_BC-QT-WB-dthao 3" xfId="17264" xr:uid="{00000000-0005-0000-0000-0000A5080000}"/>
    <cellStyle name="_KT (2)_3_TG-TH_Book1_BC-QT-WB-dthao_Book1" xfId="166" xr:uid="{00000000-0005-0000-0000-0000A6080000}"/>
    <cellStyle name="_KT (2)_3_TG-TH_Book1_BC-QT-WB-dthao_Book1 2" xfId="3437" xr:uid="{00000000-0005-0000-0000-0000A7080000}"/>
    <cellStyle name="_KT (2)_3_TG-TH_Book1_BC-QT-WB-dthao_Book1 3" xfId="17265" xr:uid="{00000000-0005-0000-0000-0000A8080000}"/>
    <cellStyle name="_KT (2)_3_TG-TH_Book1_BC-QT-WB-dthao_Book1_1" xfId="167" xr:uid="{00000000-0005-0000-0000-0000A9080000}"/>
    <cellStyle name="_KT (2)_3_TG-TH_Book1_BC-QT-WB-dthao_Book1_1 2" xfId="3438" xr:uid="{00000000-0005-0000-0000-0000AA080000}"/>
    <cellStyle name="_KT (2)_3_TG-TH_Book1_BC-QT-WB-dthao_Book1_1 3" xfId="17266" xr:uid="{00000000-0005-0000-0000-0000AB080000}"/>
    <cellStyle name="_KT (2)_3_TG-TH_Book1_BC-QT-WB-dthao_Book1_1_TOM TAT" xfId="19532" xr:uid="{00000000-0005-0000-0000-0000AC080000}"/>
    <cellStyle name="_KT (2)_3_TG-TH_Book1_BC-QT-WB-dthao_Book1_2" xfId="168" xr:uid="{00000000-0005-0000-0000-0000AD080000}"/>
    <cellStyle name="_KT (2)_3_TG-TH_Book1_BC-QT-WB-dthao_Book1_2 2" xfId="3439" xr:uid="{00000000-0005-0000-0000-0000AE080000}"/>
    <cellStyle name="_KT (2)_3_TG-TH_Book1_BC-QT-WB-dthao_Book1_2 3" xfId="17267" xr:uid="{00000000-0005-0000-0000-0000AF080000}"/>
    <cellStyle name="_KT (2)_3_TG-TH_Book1_BC-QT-WB-dthao_Book1_2_TOM TAT" xfId="19533" xr:uid="{00000000-0005-0000-0000-0000B0080000}"/>
    <cellStyle name="_KT (2)_3_TG-TH_Book1_BC-QT-WB-dthao_Book1_3" xfId="169" xr:uid="{00000000-0005-0000-0000-0000B1080000}"/>
    <cellStyle name="_KT (2)_3_TG-TH_Book1_BC-QT-WB-dthao_Book1_3 2" xfId="3440" xr:uid="{00000000-0005-0000-0000-0000B2080000}"/>
    <cellStyle name="_KT (2)_3_TG-TH_Book1_BC-QT-WB-dthao_Book1_3 3" xfId="17268" xr:uid="{00000000-0005-0000-0000-0000B3080000}"/>
    <cellStyle name="_KT (2)_3_TG-TH_Book1_BC-QT-WB-dthao_Book1_3_TOM TAT" xfId="19534" xr:uid="{00000000-0005-0000-0000-0000B4080000}"/>
    <cellStyle name="_KT (2)_3_TG-TH_Book1_BC-QT-WB-dthao_Book1_TOM TAT" xfId="19531" xr:uid="{00000000-0005-0000-0000-0000B5080000}"/>
    <cellStyle name="_KT (2)_3_TG-TH_Book1_BC-QT-WB-dthao_TOM TAT" xfId="19530" xr:uid="{00000000-0005-0000-0000-0000B6080000}"/>
    <cellStyle name="_KT (2)_3_TG-TH_Book1_BC-QT-WB-dthao_VATTUDIEN" xfId="170" xr:uid="{00000000-0005-0000-0000-0000B7080000}"/>
    <cellStyle name="_KT (2)_3_TG-TH_Book1_BC-QT-WB-dthao_VATTUDIEN 2" xfId="3441" xr:uid="{00000000-0005-0000-0000-0000B8080000}"/>
    <cellStyle name="_KT (2)_3_TG-TH_Book1_BC-QT-WB-dthao_VATTUDIEN 3" xfId="17269" xr:uid="{00000000-0005-0000-0000-0000B9080000}"/>
    <cellStyle name="_KT (2)_3_TG-TH_Book1_BC-QT-WB-dthao_VATTUDIEN_TOM TAT" xfId="19535" xr:uid="{00000000-0005-0000-0000-0000BA080000}"/>
    <cellStyle name="_KT (2)_3_TG-TH_Book1_Book1" xfId="171" xr:uid="{00000000-0005-0000-0000-0000BB080000}"/>
    <cellStyle name="_KT (2)_3_TG-TH_Book1_Book1 2" xfId="3442" xr:uid="{00000000-0005-0000-0000-0000BC080000}"/>
    <cellStyle name="_KT (2)_3_TG-TH_Book1_Book1 3" xfId="17270" xr:uid="{00000000-0005-0000-0000-0000BD080000}"/>
    <cellStyle name="_KT (2)_3_TG-TH_Book1_Book1_1" xfId="172" xr:uid="{00000000-0005-0000-0000-0000BE080000}"/>
    <cellStyle name="_KT (2)_3_TG-TH_Book1_Book1_1 2" xfId="3443" xr:uid="{00000000-0005-0000-0000-0000BF080000}"/>
    <cellStyle name="_KT (2)_3_TG-TH_Book1_Book1_1 3" xfId="17271" xr:uid="{00000000-0005-0000-0000-0000C0080000}"/>
    <cellStyle name="_KT (2)_3_TG-TH_Book1_Book1_1_TOM TAT" xfId="19537" xr:uid="{00000000-0005-0000-0000-0000C1080000}"/>
    <cellStyle name="_KT (2)_3_TG-TH_Book1_Book1_2" xfId="173" xr:uid="{00000000-0005-0000-0000-0000C2080000}"/>
    <cellStyle name="_KT (2)_3_TG-TH_Book1_Book1_2 2" xfId="3444" xr:uid="{00000000-0005-0000-0000-0000C3080000}"/>
    <cellStyle name="_KT (2)_3_TG-TH_Book1_Book1_2 3" xfId="17272" xr:uid="{00000000-0005-0000-0000-0000C4080000}"/>
    <cellStyle name="_KT (2)_3_TG-TH_Book1_Book1_2_TOM TAT" xfId="19538" xr:uid="{00000000-0005-0000-0000-0000C5080000}"/>
    <cellStyle name="_KT (2)_3_TG-TH_Book1_Book1_3" xfId="174" xr:uid="{00000000-0005-0000-0000-0000C6080000}"/>
    <cellStyle name="_KT (2)_3_TG-TH_Book1_Book1_3 2" xfId="3445" xr:uid="{00000000-0005-0000-0000-0000C7080000}"/>
    <cellStyle name="_KT (2)_3_TG-TH_Book1_Book1_3 3" xfId="17273" xr:uid="{00000000-0005-0000-0000-0000C8080000}"/>
    <cellStyle name="_KT (2)_3_TG-TH_Book1_Book1_3_TOM TAT" xfId="19539" xr:uid="{00000000-0005-0000-0000-0000C9080000}"/>
    <cellStyle name="_KT (2)_3_TG-TH_Book1_Book1_TOM TAT" xfId="19536" xr:uid="{00000000-0005-0000-0000-0000CA080000}"/>
    <cellStyle name="_KT (2)_3_TG-TH_Book1_TOM TAT" xfId="19525" xr:uid="{00000000-0005-0000-0000-0000CB080000}"/>
    <cellStyle name="_KT (2)_3_TG-TH_Book1_VATTUDIEN" xfId="175" xr:uid="{00000000-0005-0000-0000-0000CC080000}"/>
    <cellStyle name="_KT (2)_3_TG-TH_Book1_VATTUDIEN 2" xfId="3446" xr:uid="{00000000-0005-0000-0000-0000CD080000}"/>
    <cellStyle name="_KT (2)_3_TG-TH_Book1_VATTUDIEN 3" xfId="17274" xr:uid="{00000000-0005-0000-0000-0000CE080000}"/>
    <cellStyle name="_KT (2)_3_TG-TH_Book1_VATTUDIEN_TOM TAT" xfId="19540" xr:uid="{00000000-0005-0000-0000-0000CF080000}"/>
    <cellStyle name="_KT (2)_3_TG-TH_Lora-tungchau" xfId="176" xr:uid="{00000000-0005-0000-0000-0000D0080000}"/>
    <cellStyle name="_KT (2)_3_TG-TH_Lora-tungchau 2" xfId="3447" xr:uid="{00000000-0005-0000-0000-0000D1080000}"/>
    <cellStyle name="_KT (2)_3_TG-TH_Lora-tungchau 3" xfId="17275" xr:uid="{00000000-0005-0000-0000-0000D2080000}"/>
    <cellStyle name="_KT (2)_3_TG-TH_Lora-tungchau_Book1" xfId="177" xr:uid="{00000000-0005-0000-0000-0000D3080000}"/>
    <cellStyle name="_KT (2)_3_TG-TH_Lora-tungchau_Book1 2" xfId="3448" xr:uid="{00000000-0005-0000-0000-0000D4080000}"/>
    <cellStyle name="_KT (2)_3_TG-TH_Lora-tungchau_Book1 3" xfId="17276" xr:uid="{00000000-0005-0000-0000-0000D5080000}"/>
    <cellStyle name="_KT (2)_3_TG-TH_Lora-tungchau_Book1_1" xfId="178" xr:uid="{00000000-0005-0000-0000-0000D6080000}"/>
    <cellStyle name="_KT (2)_3_TG-TH_Lora-tungchau_Book1_1 2" xfId="3449" xr:uid="{00000000-0005-0000-0000-0000D7080000}"/>
    <cellStyle name="_KT (2)_3_TG-TH_Lora-tungchau_Book1_1 3" xfId="17277" xr:uid="{00000000-0005-0000-0000-0000D8080000}"/>
    <cellStyle name="_KT (2)_3_TG-TH_Lora-tungchau_Book1_1_TOM TAT" xfId="19543" xr:uid="{00000000-0005-0000-0000-0000D9080000}"/>
    <cellStyle name="_KT (2)_3_TG-TH_Lora-tungchau_Book1_2" xfId="179" xr:uid="{00000000-0005-0000-0000-0000DA080000}"/>
    <cellStyle name="_KT (2)_3_TG-TH_Lora-tungchau_Book1_2 2" xfId="3450" xr:uid="{00000000-0005-0000-0000-0000DB080000}"/>
    <cellStyle name="_KT (2)_3_TG-TH_Lora-tungchau_Book1_2 3" xfId="17278" xr:uid="{00000000-0005-0000-0000-0000DC080000}"/>
    <cellStyle name="_KT (2)_3_TG-TH_Lora-tungchau_Book1_2_TOM TAT" xfId="19544" xr:uid="{00000000-0005-0000-0000-0000DD080000}"/>
    <cellStyle name="_KT (2)_3_TG-TH_Lora-tungchau_Book1_3" xfId="180" xr:uid="{00000000-0005-0000-0000-0000DE080000}"/>
    <cellStyle name="_KT (2)_3_TG-TH_Lora-tungchau_Book1_3 2" xfId="3451" xr:uid="{00000000-0005-0000-0000-0000DF080000}"/>
    <cellStyle name="_KT (2)_3_TG-TH_Lora-tungchau_Book1_3 3" xfId="17279" xr:uid="{00000000-0005-0000-0000-0000E0080000}"/>
    <cellStyle name="_KT (2)_3_TG-TH_Lora-tungchau_Book1_3_TOM TAT" xfId="19545" xr:uid="{00000000-0005-0000-0000-0000E1080000}"/>
    <cellStyle name="_KT (2)_3_TG-TH_Lora-tungchau_Book1_TOM TAT" xfId="19542" xr:uid="{00000000-0005-0000-0000-0000E2080000}"/>
    <cellStyle name="_KT (2)_3_TG-TH_Lora-tungchau_TOM TAT" xfId="19541" xr:uid="{00000000-0005-0000-0000-0000E3080000}"/>
    <cellStyle name="_KT (2)_3_TG-TH_Lora-tungchau_VATTUDIEN" xfId="181" xr:uid="{00000000-0005-0000-0000-0000E4080000}"/>
    <cellStyle name="_KT (2)_3_TG-TH_Lora-tungchau_VATTUDIEN 2" xfId="3452" xr:uid="{00000000-0005-0000-0000-0000E5080000}"/>
    <cellStyle name="_KT (2)_3_TG-TH_Lora-tungchau_VATTUDIEN 3" xfId="17280" xr:uid="{00000000-0005-0000-0000-0000E6080000}"/>
    <cellStyle name="_KT (2)_3_TG-TH_Lora-tungchau_VATTUDIEN_TOM TAT" xfId="19546" xr:uid="{00000000-0005-0000-0000-0000E7080000}"/>
    <cellStyle name="_KT (2)_3_TG-TH_PERSONAL" xfId="182" xr:uid="{00000000-0005-0000-0000-0000E8080000}"/>
    <cellStyle name="_KT (2)_3_TG-TH_PERSONAL 2" xfId="3453" xr:uid="{00000000-0005-0000-0000-0000E9080000}"/>
    <cellStyle name="_KT (2)_3_TG-TH_PERSONAL 3" xfId="17281" xr:uid="{00000000-0005-0000-0000-0000EA080000}"/>
    <cellStyle name="_KT (2)_3_TG-TH_PERSONAL_Book1" xfId="183" xr:uid="{00000000-0005-0000-0000-0000EB080000}"/>
    <cellStyle name="_KT (2)_3_TG-TH_PERSONAL_Book1 2" xfId="3454" xr:uid="{00000000-0005-0000-0000-0000EC080000}"/>
    <cellStyle name="_KT (2)_3_TG-TH_PERSONAL_Book1 3" xfId="17282" xr:uid="{00000000-0005-0000-0000-0000ED080000}"/>
    <cellStyle name="_KT (2)_3_TG-TH_PERSONAL_Book1_1" xfId="184" xr:uid="{00000000-0005-0000-0000-0000EE080000}"/>
    <cellStyle name="_KT (2)_3_TG-TH_PERSONAL_Book1_1 2" xfId="3455" xr:uid="{00000000-0005-0000-0000-0000EF080000}"/>
    <cellStyle name="_KT (2)_3_TG-TH_PERSONAL_Book1_1 3" xfId="17283" xr:uid="{00000000-0005-0000-0000-0000F0080000}"/>
    <cellStyle name="_KT (2)_3_TG-TH_PERSONAL_Book1_1_TOM TAT" xfId="19549" xr:uid="{00000000-0005-0000-0000-0000F1080000}"/>
    <cellStyle name="_KT (2)_3_TG-TH_PERSONAL_Book1_2" xfId="185" xr:uid="{00000000-0005-0000-0000-0000F2080000}"/>
    <cellStyle name="_KT (2)_3_TG-TH_PERSONAL_Book1_2 2" xfId="3456" xr:uid="{00000000-0005-0000-0000-0000F3080000}"/>
    <cellStyle name="_KT (2)_3_TG-TH_PERSONAL_Book1_2 3" xfId="17284" xr:uid="{00000000-0005-0000-0000-0000F4080000}"/>
    <cellStyle name="_KT (2)_3_TG-TH_PERSONAL_Book1_2_TOM TAT" xfId="19550" xr:uid="{00000000-0005-0000-0000-0000F5080000}"/>
    <cellStyle name="_KT (2)_3_TG-TH_PERSONAL_Book1_3" xfId="186" xr:uid="{00000000-0005-0000-0000-0000F6080000}"/>
    <cellStyle name="_KT (2)_3_TG-TH_PERSONAL_Book1_3 2" xfId="3457" xr:uid="{00000000-0005-0000-0000-0000F7080000}"/>
    <cellStyle name="_KT (2)_3_TG-TH_PERSONAL_Book1_3 3" xfId="17285" xr:uid="{00000000-0005-0000-0000-0000F8080000}"/>
    <cellStyle name="_KT (2)_3_TG-TH_PERSONAL_Book1_3_TOM TAT" xfId="19551" xr:uid="{00000000-0005-0000-0000-0000F9080000}"/>
    <cellStyle name="_KT (2)_3_TG-TH_PERSONAL_Book1_4" xfId="187" xr:uid="{00000000-0005-0000-0000-0000FA080000}"/>
    <cellStyle name="_KT (2)_3_TG-TH_PERSONAL_Book1_4 2" xfId="3458" xr:uid="{00000000-0005-0000-0000-0000FB080000}"/>
    <cellStyle name="_KT (2)_3_TG-TH_PERSONAL_Book1_4 3" xfId="17286" xr:uid="{00000000-0005-0000-0000-0000FC080000}"/>
    <cellStyle name="_KT (2)_3_TG-TH_PERSONAL_Book1_4_TOM TAT" xfId="19552" xr:uid="{00000000-0005-0000-0000-0000FD080000}"/>
    <cellStyle name="_KT (2)_3_TG-TH_PERSONAL_Book1_Book1" xfId="188" xr:uid="{00000000-0005-0000-0000-0000FE080000}"/>
    <cellStyle name="_KT (2)_3_TG-TH_PERSONAL_Book1_Book1 2" xfId="3459" xr:uid="{00000000-0005-0000-0000-0000FF080000}"/>
    <cellStyle name="_KT (2)_3_TG-TH_PERSONAL_Book1_Book1 3" xfId="17287" xr:uid="{00000000-0005-0000-0000-000000090000}"/>
    <cellStyle name="_KT (2)_3_TG-TH_PERSONAL_Book1_Book1_1" xfId="189" xr:uid="{00000000-0005-0000-0000-000001090000}"/>
    <cellStyle name="_KT (2)_3_TG-TH_PERSONAL_Book1_Book1_1 2" xfId="3460" xr:uid="{00000000-0005-0000-0000-000002090000}"/>
    <cellStyle name="_KT (2)_3_TG-TH_PERSONAL_Book1_Book1_1 3" xfId="17288" xr:uid="{00000000-0005-0000-0000-000003090000}"/>
    <cellStyle name="_KT (2)_3_TG-TH_PERSONAL_Book1_Book1_1_TOM TAT" xfId="19554" xr:uid="{00000000-0005-0000-0000-000004090000}"/>
    <cellStyle name="_KT (2)_3_TG-TH_PERSONAL_Book1_Book1_2" xfId="190" xr:uid="{00000000-0005-0000-0000-000005090000}"/>
    <cellStyle name="_KT (2)_3_TG-TH_PERSONAL_Book1_Book1_2 2" xfId="3461" xr:uid="{00000000-0005-0000-0000-000006090000}"/>
    <cellStyle name="_KT (2)_3_TG-TH_PERSONAL_Book1_Book1_2 3" xfId="17289" xr:uid="{00000000-0005-0000-0000-000007090000}"/>
    <cellStyle name="_KT (2)_3_TG-TH_PERSONAL_Book1_Book1_2_TOM TAT" xfId="19555" xr:uid="{00000000-0005-0000-0000-000008090000}"/>
    <cellStyle name="_KT (2)_3_TG-TH_PERSONAL_Book1_Book1_3" xfId="191" xr:uid="{00000000-0005-0000-0000-000009090000}"/>
    <cellStyle name="_KT (2)_3_TG-TH_PERSONAL_Book1_Book1_3 2" xfId="3462" xr:uid="{00000000-0005-0000-0000-00000A090000}"/>
    <cellStyle name="_KT (2)_3_TG-TH_PERSONAL_Book1_Book1_3 3" xfId="17290" xr:uid="{00000000-0005-0000-0000-00000B090000}"/>
    <cellStyle name="_KT (2)_3_TG-TH_PERSONAL_Book1_Book1_3_TOM TAT" xfId="19556" xr:uid="{00000000-0005-0000-0000-00000C090000}"/>
    <cellStyle name="_KT (2)_3_TG-TH_PERSONAL_Book1_Book1_TOM TAT" xfId="19553" xr:uid="{00000000-0005-0000-0000-00000D090000}"/>
    <cellStyle name="_KT (2)_3_TG-TH_PERSONAL_Book1_TOM TAT" xfId="19548" xr:uid="{00000000-0005-0000-0000-00000E090000}"/>
    <cellStyle name="_KT (2)_3_TG-TH_PERSONAL_Book1_VATTUDIEN" xfId="192" xr:uid="{00000000-0005-0000-0000-00000F090000}"/>
    <cellStyle name="_KT (2)_3_TG-TH_PERSONAL_Book1_VATTUDIEN 2" xfId="3463" xr:uid="{00000000-0005-0000-0000-000010090000}"/>
    <cellStyle name="_KT (2)_3_TG-TH_PERSONAL_Book1_VATTUDIEN 3" xfId="17291" xr:uid="{00000000-0005-0000-0000-000011090000}"/>
    <cellStyle name="_KT (2)_3_TG-TH_PERSONAL_Book1_VATTUDIEN_TOM TAT" xfId="19557" xr:uid="{00000000-0005-0000-0000-000012090000}"/>
    <cellStyle name="_KT (2)_3_TG-TH_PERSONAL_HTQ.8 GD1" xfId="193" xr:uid="{00000000-0005-0000-0000-000013090000}"/>
    <cellStyle name="_KT (2)_3_TG-TH_PERSONAL_HTQ.8 GD1 2" xfId="3464" xr:uid="{00000000-0005-0000-0000-000014090000}"/>
    <cellStyle name="_KT (2)_3_TG-TH_PERSONAL_HTQ.8 GD1 3" xfId="17292" xr:uid="{00000000-0005-0000-0000-000015090000}"/>
    <cellStyle name="_KT (2)_3_TG-TH_PERSONAL_HTQ.8 GD1_Book1" xfId="194" xr:uid="{00000000-0005-0000-0000-000016090000}"/>
    <cellStyle name="_KT (2)_3_TG-TH_PERSONAL_HTQ.8 GD1_Book1 2" xfId="3465" xr:uid="{00000000-0005-0000-0000-000017090000}"/>
    <cellStyle name="_KT (2)_3_TG-TH_PERSONAL_HTQ.8 GD1_Book1 3" xfId="17293" xr:uid="{00000000-0005-0000-0000-000018090000}"/>
    <cellStyle name="_KT (2)_3_TG-TH_PERSONAL_HTQ.8 GD1_Book1_1" xfId="195" xr:uid="{00000000-0005-0000-0000-000019090000}"/>
    <cellStyle name="_KT (2)_3_TG-TH_PERSONAL_HTQ.8 GD1_Book1_1 2" xfId="3466" xr:uid="{00000000-0005-0000-0000-00001A090000}"/>
    <cellStyle name="_KT (2)_3_TG-TH_PERSONAL_HTQ.8 GD1_Book1_1 3" xfId="17294" xr:uid="{00000000-0005-0000-0000-00001B090000}"/>
    <cellStyle name="_KT (2)_3_TG-TH_PERSONAL_HTQ.8 GD1_Book1_1_TOM TAT" xfId="19560" xr:uid="{00000000-0005-0000-0000-00001C090000}"/>
    <cellStyle name="_KT (2)_3_TG-TH_PERSONAL_HTQ.8 GD1_Book1_2" xfId="196" xr:uid="{00000000-0005-0000-0000-00001D090000}"/>
    <cellStyle name="_KT (2)_3_TG-TH_PERSONAL_HTQ.8 GD1_Book1_2 2" xfId="3467" xr:uid="{00000000-0005-0000-0000-00001E090000}"/>
    <cellStyle name="_KT (2)_3_TG-TH_PERSONAL_HTQ.8 GD1_Book1_2 3" xfId="17295" xr:uid="{00000000-0005-0000-0000-00001F090000}"/>
    <cellStyle name="_KT (2)_3_TG-TH_PERSONAL_HTQ.8 GD1_Book1_2_TOM TAT" xfId="19561" xr:uid="{00000000-0005-0000-0000-000020090000}"/>
    <cellStyle name="_KT (2)_3_TG-TH_PERSONAL_HTQ.8 GD1_Book1_3" xfId="197" xr:uid="{00000000-0005-0000-0000-000021090000}"/>
    <cellStyle name="_KT (2)_3_TG-TH_PERSONAL_HTQ.8 GD1_Book1_3 2" xfId="3468" xr:uid="{00000000-0005-0000-0000-000022090000}"/>
    <cellStyle name="_KT (2)_3_TG-TH_PERSONAL_HTQ.8 GD1_Book1_3 3" xfId="17296" xr:uid="{00000000-0005-0000-0000-000023090000}"/>
    <cellStyle name="_KT (2)_3_TG-TH_PERSONAL_HTQ.8 GD1_Book1_3_TOM TAT" xfId="19562" xr:uid="{00000000-0005-0000-0000-000024090000}"/>
    <cellStyle name="_KT (2)_3_TG-TH_PERSONAL_HTQ.8 GD1_Book1_TOM TAT" xfId="19559" xr:uid="{00000000-0005-0000-0000-000025090000}"/>
    <cellStyle name="_KT (2)_3_TG-TH_PERSONAL_HTQ.8 GD1_TOM TAT" xfId="19558" xr:uid="{00000000-0005-0000-0000-000026090000}"/>
    <cellStyle name="_KT (2)_3_TG-TH_PERSONAL_HTQ.8 GD1_VATTUDIEN" xfId="198" xr:uid="{00000000-0005-0000-0000-000027090000}"/>
    <cellStyle name="_KT (2)_3_TG-TH_PERSONAL_HTQ.8 GD1_VATTUDIEN 2" xfId="3469" xr:uid="{00000000-0005-0000-0000-000028090000}"/>
    <cellStyle name="_KT (2)_3_TG-TH_PERSONAL_HTQ.8 GD1_VATTUDIEN 3" xfId="17297" xr:uid="{00000000-0005-0000-0000-000029090000}"/>
    <cellStyle name="_KT (2)_3_TG-TH_PERSONAL_HTQ.8 GD1_VATTUDIEN_TOM TAT" xfId="19563" xr:uid="{00000000-0005-0000-0000-00002A090000}"/>
    <cellStyle name="_KT (2)_3_TG-TH_PERSONAL_TH KE" xfId="199" xr:uid="{00000000-0005-0000-0000-00002B090000}"/>
    <cellStyle name="_KT (2)_3_TG-TH_PERSONAL_TH KE 2" xfId="3470" xr:uid="{00000000-0005-0000-0000-00002C090000}"/>
    <cellStyle name="_KT (2)_3_TG-TH_PERSONAL_TH KE 3" xfId="17298" xr:uid="{00000000-0005-0000-0000-00002D090000}"/>
    <cellStyle name="_KT (2)_3_TG-TH_PERSONAL_TH KE_Book1" xfId="200" xr:uid="{00000000-0005-0000-0000-00002E090000}"/>
    <cellStyle name="_KT (2)_3_TG-TH_PERSONAL_TH KE_Book1 2" xfId="3471" xr:uid="{00000000-0005-0000-0000-00002F090000}"/>
    <cellStyle name="_KT (2)_3_TG-TH_PERSONAL_TH KE_Book1 3" xfId="17299" xr:uid="{00000000-0005-0000-0000-000030090000}"/>
    <cellStyle name="_KT (2)_3_TG-TH_PERSONAL_TH KE_Book1_1" xfId="201" xr:uid="{00000000-0005-0000-0000-000031090000}"/>
    <cellStyle name="_KT (2)_3_TG-TH_PERSONAL_TH KE_Book1_1 2" xfId="3472" xr:uid="{00000000-0005-0000-0000-000032090000}"/>
    <cellStyle name="_KT (2)_3_TG-TH_PERSONAL_TH KE_Book1_1 3" xfId="17300" xr:uid="{00000000-0005-0000-0000-000033090000}"/>
    <cellStyle name="_KT (2)_3_TG-TH_PERSONAL_TH KE_Book1_1_TOM TAT" xfId="19566" xr:uid="{00000000-0005-0000-0000-000034090000}"/>
    <cellStyle name="_KT (2)_3_TG-TH_PERSONAL_TH KE_Book1_2" xfId="202" xr:uid="{00000000-0005-0000-0000-000035090000}"/>
    <cellStyle name="_KT (2)_3_TG-TH_PERSONAL_TH KE_Book1_2 2" xfId="3473" xr:uid="{00000000-0005-0000-0000-000036090000}"/>
    <cellStyle name="_KT (2)_3_TG-TH_PERSONAL_TH KE_Book1_2 3" xfId="17301" xr:uid="{00000000-0005-0000-0000-000037090000}"/>
    <cellStyle name="_KT (2)_3_TG-TH_PERSONAL_TH KE_Book1_2_TOM TAT" xfId="19567" xr:uid="{00000000-0005-0000-0000-000038090000}"/>
    <cellStyle name="_KT (2)_3_TG-TH_PERSONAL_TH KE_Book1_3" xfId="203" xr:uid="{00000000-0005-0000-0000-000039090000}"/>
    <cellStyle name="_KT (2)_3_TG-TH_PERSONAL_TH KE_Book1_3 2" xfId="3474" xr:uid="{00000000-0005-0000-0000-00003A090000}"/>
    <cellStyle name="_KT (2)_3_TG-TH_PERSONAL_TH KE_Book1_3 3" xfId="17302" xr:uid="{00000000-0005-0000-0000-00003B090000}"/>
    <cellStyle name="_KT (2)_3_TG-TH_PERSONAL_TH KE_Book1_3_TOM TAT" xfId="19568" xr:uid="{00000000-0005-0000-0000-00003C090000}"/>
    <cellStyle name="_KT (2)_3_TG-TH_PERSONAL_TH KE_Book1_TOM TAT" xfId="19565" xr:uid="{00000000-0005-0000-0000-00003D090000}"/>
    <cellStyle name="_KT (2)_3_TG-TH_PERSONAL_TH KE_TOM TAT" xfId="19564" xr:uid="{00000000-0005-0000-0000-00003E090000}"/>
    <cellStyle name="_KT (2)_3_TG-TH_PERSONAL_TH KE_VATTUDIEN" xfId="204" xr:uid="{00000000-0005-0000-0000-00003F090000}"/>
    <cellStyle name="_KT (2)_3_TG-TH_PERSONAL_TH KE_VATTUDIEN 2" xfId="3475" xr:uid="{00000000-0005-0000-0000-000040090000}"/>
    <cellStyle name="_KT (2)_3_TG-TH_PERSONAL_TH KE_VATTUDIEN 3" xfId="17303" xr:uid="{00000000-0005-0000-0000-000041090000}"/>
    <cellStyle name="_KT (2)_3_TG-TH_PERSONAL_TH KE_VATTUDIEN_TOM TAT" xfId="19569" xr:uid="{00000000-0005-0000-0000-000042090000}"/>
    <cellStyle name="_KT (2)_3_TG-TH_PERSONAL_TOM TAT" xfId="19547" xr:uid="{00000000-0005-0000-0000-000043090000}"/>
    <cellStyle name="_KT (2)_3_TG-TH_PERSONAL_Tong hop KHCB 2001" xfId="205" xr:uid="{00000000-0005-0000-0000-000044090000}"/>
    <cellStyle name="_KT (2)_3_TG-TH_PERSONAL_Tong hop KHCB 2001 2" xfId="3476" xr:uid="{00000000-0005-0000-0000-000045090000}"/>
    <cellStyle name="_KT (2)_3_TG-TH_PERSONAL_Tong hop KHCB 2001 3" xfId="17304" xr:uid="{00000000-0005-0000-0000-000046090000}"/>
    <cellStyle name="_KT (2)_3_TG-TH_PERSONAL_Tong hop KHCB 2001_Book1" xfId="206" xr:uid="{00000000-0005-0000-0000-000047090000}"/>
    <cellStyle name="_KT (2)_3_TG-TH_PERSONAL_Tong hop KHCB 2001_Book1 2" xfId="3477" xr:uid="{00000000-0005-0000-0000-000048090000}"/>
    <cellStyle name="_KT (2)_3_TG-TH_PERSONAL_Tong hop KHCB 2001_Book1 3" xfId="17305" xr:uid="{00000000-0005-0000-0000-000049090000}"/>
    <cellStyle name="_KT (2)_3_TG-TH_PERSONAL_Tong hop KHCB 2001_Book1_1" xfId="207" xr:uid="{00000000-0005-0000-0000-00004A090000}"/>
    <cellStyle name="_KT (2)_3_TG-TH_PERSONAL_Tong hop KHCB 2001_Book1_1 2" xfId="3478" xr:uid="{00000000-0005-0000-0000-00004B090000}"/>
    <cellStyle name="_KT (2)_3_TG-TH_PERSONAL_Tong hop KHCB 2001_Book1_1 3" xfId="17306" xr:uid="{00000000-0005-0000-0000-00004C090000}"/>
    <cellStyle name="_KT (2)_3_TG-TH_PERSONAL_Tong hop KHCB 2001_Book1_1_TOM TAT" xfId="19572" xr:uid="{00000000-0005-0000-0000-00004D090000}"/>
    <cellStyle name="_KT (2)_3_TG-TH_PERSONAL_Tong hop KHCB 2001_Book1_2" xfId="208" xr:uid="{00000000-0005-0000-0000-00004E090000}"/>
    <cellStyle name="_KT (2)_3_TG-TH_PERSONAL_Tong hop KHCB 2001_Book1_2 2" xfId="3479" xr:uid="{00000000-0005-0000-0000-00004F090000}"/>
    <cellStyle name="_KT (2)_3_TG-TH_PERSONAL_Tong hop KHCB 2001_Book1_2 3" xfId="17307" xr:uid="{00000000-0005-0000-0000-000050090000}"/>
    <cellStyle name="_KT (2)_3_TG-TH_PERSONAL_Tong hop KHCB 2001_Book1_2_TOM TAT" xfId="19573" xr:uid="{00000000-0005-0000-0000-000051090000}"/>
    <cellStyle name="_KT (2)_3_TG-TH_PERSONAL_Tong hop KHCB 2001_Book1_3" xfId="209" xr:uid="{00000000-0005-0000-0000-000052090000}"/>
    <cellStyle name="_KT (2)_3_TG-TH_PERSONAL_Tong hop KHCB 2001_Book1_3 2" xfId="3480" xr:uid="{00000000-0005-0000-0000-000053090000}"/>
    <cellStyle name="_KT (2)_3_TG-TH_PERSONAL_Tong hop KHCB 2001_Book1_3 3" xfId="17308" xr:uid="{00000000-0005-0000-0000-000054090000}"/>
    <cellStyle name="_KT (2)_3_TG-TH_PERSONAL_Tong hop KHCB 2001_Book1_3_TOM TAT" xfId="19574" xr:uid="{00000000-0005-0000-0000-000055090000}"/>
    <cellStyle name="_KT (2)_3_TG-TH_PERSONAL_Tong hop KHCB 2001_Book1_TOM TAT" xfId="19571" xr:uid="{00000000-0005-0000-0000-000056090000}"/>
    <cellStyle name="_KT (2)_3_TG-TH_PERSONAL_Tong hop KHCB 2001_TOM TAT" xfId="19570" xr:uid="{00000000-0005-0000-0000-000057090000}"/>
    <cellStyle name="_KT (2)_3_TG-TH_PERSONAL_Tong hop KHCB 2001_VATTUDIEN" xfId="210" xr:uid="{00000000-0005-0000-0000-000058090000}"/>
    <cellStyle name="_KT (2)_3_TG-TH_PERSONAL_Tong hop KHCB 2001_VATTUDIEN 2" xfId="3481" xr:uid="{00000000-0005-0000-0000-000059090000}"/>
    <cellStyle name="_KT (2)_3_TG-TH_PERSONAL_Tong hop KHCB 2001_VATTUDIEN 3" xfId="17309" xr:uid="{00000000-0005-0000-0000-00005A090000}"/>
    <cellStyle name="_KT (2)_3_TG-TH_PERSONAL_Tong hop KHCB 2001_VATTUDIEN_TOM TAT" xfId="19575" xr:uid="{00000000-0005-0000-0000-00005B090000}"/>
    <cellStyle name="_KT (2)_3_TG-TH_PERSONAL_VATTUDIEN" xfId="211" xr:uid="{00000000-0005-0000-0000-00005C090000}"/>
    <cellStyle name="_KT (2)_3_TG-TH_PERSONAL_VATTUDIEN 2" xfId="3482" xr:uid="{00000000-0005-0000-0000-00005D090000}"/>
    <cellStyle name="_KT (2)_3_TG-TH_PERSONAL_VATTUDIEN 3" xfId="17310" xr:uid="{00000000-0005-0000-0000-00005E090000}"/>
    <cellStyle name="_KT (2)_3_TG-TH_PERSONAL_VATTUDIEN_TOM TAT" xfId="19576" xr:uid="{00000000-0005-0000-0000-00005F090000}"/>
    <cellStyle name="_KT (2)_3_TG-TH_Qt-HT3PQ1(CauKho)" xfId="212" xr:uid="{00000000-0005-0000-0000-000060090000}"/>
    <cellStyle name="_KT (2)_3_TG-TH_Qt-HT3PQ1(CauKho) 2" xfId="3483" xr:uid="{00000000-0005-0000-0000-000061090000}"/>
    <cellStyle name="_KT (2)_3_TG-TH_Qt-HT3PQ1(CauKho) 3" xfId="17311" xr:uid="{00000000-0005-0000-0000-000062090000}"/>
    <cellStyle name="_KT (2)_3_TG-TH_Qt-HT3PQ1(CauKho)_Book1" xfId="213" xr:uid="{00000000-0005-0000-0000-000063090000}"/>
    <cellStyle name="_KT (2)_3_TG-TH_Qt-HT3PQ1(CauKho)_Book1 2" xfId="3484" xr:uid="{00000000-0005-0000-0000-000064090000}"/>
    <cellStyle name="_KT (2)_3_TG-TH_Qt-HT3PQ1(CauKho)_Book1 3" xfId="17312" xr:uid="{00000000-0005-0000-0000-000065090000}"/>
    <cellStyle name="_KT (2)_3_TG-TH_Qt-HT3PQ1(CauKho)_Book1_1" xfId="214" xr:uid="{00000000-0005-0000-0000-000066090000}"/>
    <cellStyle name="_KT (2)_3_TG-TH_Qt-HT3PQ1(CauKho)_Book1_1 2" xfId="3485" xr:uid="{00000000-0005-0000-0000-000067090000}"/>
    <cellStyle name="_KT (2)_3_TG-TH_Qt-HT3PQ1(CauKho)_Book1_1 3" xfId="17313" xr:uid="{00000000-0005-0000-0000-000068090000}"/>
    <cellStyle name="_KT (2)_3_TG-TH_Qt-HT3PQ1(CauKho)_Book1_1_TOM TAT" xfId="19579" xr:uid="{00000000-0005-0000-0000-000069090000}"/>
    <cellStyle name="_KT (2)_3_TG-TH_Qt-HT3PQ1(CauKho)_Book1_2" xfId="215" xr:uid="{00000000-0005-0000-0000-00006A090000}"/>
    <cellStyle name="_KT (2)_3_TG-TH_Qt-HT3PQ1(CauKho)_Book1_2 2" xfId="3486" xr:uid="{00000000-0005-0000-0000-00006B090000}"/>
    <cellStyle name="_KT (2)_3_TG-TH_Qt-HT3PQ1(CauKho)_Book1_2 3" xfId="17314" xr:uid="{00000000-0005-0000-0000-00006C090000}"/>
    <cellStyle name="_KT (2)_3_TG-TH_Qt-HT3PQ1(CauKho)_Book1_2_TOM TAT" xfId="19580" xr:uid="{00000000-0005-0000-0000-00006D090000}"/>
    <cellStyle name="_KT (2)_3_TG-TH_Qt-HT3PQ1(CauKho)_Book1_3" xfId="216" xr:uid="{00000000-0005-0000-0000-00006E090000}"/>
    <cellStyle name="_KT (2)_3_TG-TH_Qt-HT3PQ1(CauKho)_Book1_3 2" xfId="3487" xr:uid="{00000000-0005-0000-0000-00006F090000}"/>
    <cellStyle name="_KT (2)_3_TG-TH_Qt-HT3PQ1(CauKho)_Book1_3 3" xfId="17315" xr:uid="{00000000-0005-0000-0000-000070090000}"/>
    <cellStyle name="_KT (2)_3_TG-TH_Qt-HT3PQ1(CauKho)_Book1_3_TOM TAT" xfId="19581" xr:uid="{00000000-0005-0000-0000-000071090000}"/>
    <cellStyle name="_KT (2)_3_TG-TH_Qt-HT3PQ1(CauKho)_Book1_TOM TAT" xfId="19578" xr:uid="{00000000-0005-0000-0000-000072090000}"/>
    <cellStyle name="_KT (2)_3_TG-TH_Qt-HT3PQ1(CauKho)_TOM TAT" xfId="19577" xr:uid="{00000000-0005-0000-0000-000073090000}"/>
    <cellStyle name="_KT (2)_3_TG-TH_Qt-HT3PQ1(CauKho)_VATTUDIEN" xfId="217" xr:uid="{00000000-0005-0000-0000-000074090000}"/>
    <cellStyle name="_KT (2)_3_TG-TH_Qt-HT3PQ1(CauKho)_VATTUDIEN 2" xfId="3488" xr:uid="{00000000-0005-0000-0000-000075090000}"/>
    <cellStyle name="_KT (2)_3_TG-TH_Qt-HT3PQ1(CauKho)_VATTUDIEN 3" xfId="17316" xr:uid="{00000000-0005-0000-0000-000076090000}"/>
    <cellStyle name="_KT (2)_3_TG-TH_Qt-HT3PQ1(CauKho)_VATTUDIEN_TOM TAT" xfId="19582" xr:uid="{00000000-0005-0000-0000-000077090000}"/>
    <cellStyle name="_KT (2)_3_TG-TH_TOM TAT" xfId="19524" xr:uid="{00000000-0005-0000-0000-000078090000}"/>
    <cellStyle name="_KT (2)_3_TG-TH_VATTUDIEN" xfId="218" xr:uid="{00000000-0005-0000-0000-000079090000}"/>
    <cellStyle name="_KT (2)_3_TG-TH_VATTUDIEN 2" xfId="3489" xr:uid="{00000000-0005-0000-0000-00007A090000}"/>
    <cellStyle name="_KT (2)_3_TG-TH_VATTUDIEN 3" xfId="17317" xr:uid="{00000000-0005-0000-0000-00007B090000}"/>
    <cellStyle name="_KT (2)_3_TG-TH_VATTUDIEN_TOM TAT" xfId="19583" xr:uid="{00000000-0005-0000-0000-00007C090000}"/>
    <cellStyle name="_KT (2)_3_TG-TH_XN3-2005" xfId="219" xr:uid="{00000000-0005-0000-0000-00007D090000}"/>
    <cellStyle name="_KT (2)_3_TG-TH_XN3-2005 2" xfId="3490" xr:uid="{00000000-0005-0000-0000-00007E090000}"/>
    <cellStyle name="_KT (2)_3_TG-TH_XN3-2005 3" xfId="17318" xr:uid="{00000000-0005-0000-0000-00007F090000}"/>
    <cellStyle name="_KT (2)_3_TG-TH_XN3-2005_TOM TAT" xfId="19584" xr:uid="{00000000-0005-0000-0000-000080090000}"/>
    <cellStyle name="_KT (2)_3_TOM TAT" xfId="19519" xr:uid="{00000000-0005-0000-0000-000081090000}"/>
    <cellStyle name="_KT (2)_3_VATTUDIEN" xfId="220" xr:uid="{00000000-0005-0000-0000-000082090000}"/>
    <cellStyle name="_KT (2)_3_VATTUDIEN 2" xfId="3491" xr:uid="{00000000-0005-0000-0000-000083090000}"/>
    <cellStyle name="_KT (2)_3_VATTUDIEN 3" xfId="17319" xr:uid="{00000000-0005-0000-0000-000084090000}"/>
    <cellStyle name="_KT (2)_3_VATTUDIEN_TOM TAT" xfId="19585" xr:uid="{00000000-0005-0000-0000-000085090000}"/>
    <cellStyle name="_KT (2)_4" xfId="221" xr:uid="{00000000-0005-0000-0000-000086090000}"/>
    <cellStyle name="_KT (2)_4 2" xfId="3492" xr:uid="{00000000-0005-0000-0000-000087090000}"/>
    <cellStyle name="_KT (2)_4 3" xfId="17320" xr:uid="{00000000-0005-0000-0000-000088090000}"/>
    <cellStyle name="_KT (2)_4_BAO CAO KLCT PT2000" xfId="222" xr:uid="{00000000-0005-0000-0000-000089090000}"/>
    <cellStyle name="_KT (2)_4_BAO CAO KLCT PT2000 2" xfId="3493" xr:uid="{00000000-0005-0000-0000-00008A090000}"/>
    <cellStyle name="_KT (2)_4_BAO CAO KLCT PT2000 3" xfId="17321" xr:uid="{00000000-0005-0000-0000-00008B090000}"/>
    <cellStyle name="_KT (2)_4_BAO CAO KLCT PT2000_Book1" xfId="223" xr:uid="{00000000-0005-0000-0000-00008C090000}"/>
    <cellStyle name="_KT (2)_4_BAO CAO KLCT PT2000_Book1 2" xfId="3494" xr:uid="{00000000-0005-0000-0000-00008D090000}"/>
    <cellStyle name="_KT (2)_4_BAO CAO KLCT PT2000_Book1 3" xfId="17322" xr:uid="{00000000-0005-0000-0000-00008E090000}"/>
    <cellStyle name="_KT (2)_4_BAO CAO KLCT PT2000_Book1_1" xfId="224" xr:uid="{00000000-0005-0000-0000-00008F090000}"/>
    <cellStyle name="_KT (2)_4_BAO CAO KLCT PT2000_Book1_1 2" xfId="3495" xr:uid="{00000000-0005-0000-0000-000090090000}"/>
    <cellStyle name="_KT (2)_4_BAO CAO KLCT PT2000_Book1_1 3" xfId="17323" xr:uid="{00000000-0005-0000-0000-000091090000}"/>
    <cellStyle name="_KT (2)_4_BAO CAO KLCT PT2000_Book1_1_TOM TAT" xfId="19589" xr:uid="{00000000-0005-0000-0000-000092090000}"/>
    <cellStyle name="_KT (2)_4_BAO CAO KLCT PT2000_Book1_2" xfId="225" xr:uid="{00000000-0005-0000-0000-000093090000}"/>
    <cellStyle name="_KT (2)_4_BAO CAO KLCT PT2000_Book1_2 2" xfId="3496" xr:uid="{00000000-0005-0000-0000-000094090000}"/>
    <cellStyle name="_KT (2)_4_BAO CAO KLCT PT2000_Book1_2 3" xfId="17324" xr:uid="{00000000-0005-0000-0000-000095090000}"/>
    <cellStyle name="_KT (2)_4_BAO CAO KLCT PT2000_Book1_2_TOM TAT" xfId="19590" xr:uid="{00000000-0005-0000-0000-000096090000}"/>
    <cellStyle name="_KT (2)_4_BAO CAO KLCT PT2000_Book1_3" xfId="226" xr:uid="{00000000-0005-0000-0000-000097090000}"/>
    <cellStyle name="_KT (2)_4_BAO CAO KLCT PT2000_Book1_3 2" xfId="3497" xr:uid="{00000000-0005-0000-0000-000098090000}"/>
    <cellStyle name="_KT (2)_4_BAO CAO KLCT PT2000_Book1_3 3" xfId="17325" xr:uid="{00000000-0005-0000-0000-000099090000}"/>
    <cellStyle name="_KT (2)_4_BAO CAO KLCT PT2000_Book1_3_TOM TAT" xfId="19591" xr:uid="{00000000-0005-0000-0000-00009A090000}"/>
    <cellStyle name="_KT (2)_4_BAO CAO KLCT PT2000_Book1_TOM TAT" xfId="19588" xr:uid="{00000000-0005-0000-0000-00009B090000}"/>
    <cellStyle name="_KT (2)_4_BAO CAO KLCT PT2000_TOM TAT" xfId="19587" xr:uid="{00000000-0005-0000-0000-00009C090000}"/>
    <cellStyle name="_KT (2)_4_BAO CAO KLCT PT2000_VATTUDIEN" xfId="227" xr:uid="{00000000-0005-0000-0000-00009D090000}"/>
    <cellStyle name="_KT (2)_4_BAO CAO KLCT PT2000_VATTUDIEN 2" xfId="3498" xr:uid="{00000000-0005-0000-0000-00009E090000}"/>
    <cellStyle name="_KT (2)_4_BAO CAO KLCT PT2000_VATTUDIEN 3" xfId="17326" xr:uid="{00000000-0005-0000-0000-00009F090000}"/>
    <cellStyle name="_KT (2)_4_BAO CAO KLCT PT2000_VATTUDIEN_TOM TAT" xfId="19592" xr:uid="{00000000-0005-0000-0000-0000A0090000}"/>
    <cellStyle name="_KT (2)_4_BAO CAO PT2000" xfId="228" xr:uid="{00000000-0005-0000-0000-0000A1090000}"/>
    <cellStyle name="_KT (2)_4_BAO CAO PT2000 2" xfId="3499" xr:uid="{00000000-0005-0000-0000-0000A2090000}"/>
    <cellStyle name="_KT (2)_4_BAO CAO PT2000 3" xfId="17327" xr:uid="{00000000-0005-0000-0000-0000A3090000}"/>
    <cellStyle name="_KT (2)_4_BAO CAO PT2000_Book1" xfId="229" xr:uid="{00000000-0005-0000-0000-0000A4090000}"/>
    <cellStyle name="_KT (2)_4_BAO CAO PT2000_Book1 2" xfId="3500" xr:uid="{00000000-0005-0000-0000-0000A5090000}"/>
    <cellStyle name="_KT (2)_4_BAO CAO PT2000_Book1 3" xfId="17328" xr:uid="{00000000-0005-0000-0000-0000A6090000}"/>
    <cellStyle name="_KT (2)_4_BAO CAO PT2000_Book1_1" xfId="230" xr:uid="{00000000-0005-0000-0000-0000A7090000}"/>
    <cellStyle name="_KT (2)_4_BAO CAO PT2000_Book1_1 2" xfId="3501" xr:uid="{00000000-0005-0000-0000-0000A8090000}"/>
    <cellStyle name="_KT (2)_4_BAO CAO PT2000_Book1_1 3" xfId="17329" xr:uid="{00000000-0005-0000-0000-0000A9090000}"/>
    <cellStyle name="_KT (2)_4_BAO CAO PT2000_Book1_1_TOM TAT" xfId="19595" xr:uid="{00000000-0005-0000-0000-0000AA090000}"/>
    <cellStyle name="_KT (2)_4_BAO CAO PT2000_Book1_2" xfId="231" xr:uid="{00000000-0005-0000-0000-0000AB090000}"/>
    <cellStyle name="_KT (2)_4_BAO CAO PT2000_Book1_2 2" xfId="3502" xr:uid="{00000000-0005-0000-0000-0000AC090000}"/>
    <cellStyle name="_KT (2)_4_BAO CAO PT2000_Book1_2 3" xfId="17330" xr:uid="{00000000-0005-0000-0000-0000AD090000}"/>
    <cellStyle name="_KT (2)_4_BAO CAO PT2000_Book1_2_TOM TAT" xfId="19596" xr:uid="{00000000-0005-0000-0000-0000AE090000}"/>
    <cellStyle name="_KT (2)_4_BAO CAO PT2000_Book1_3" xfId="232" xr:uid="{00000000-0005-0000-0000-0000AF090000}"/>
    <cellStyle name="_KT (2)_4_BAO CAO PT2000_Book1_3 2" xfId="3503" xr:uid="{00000000-0005-0000-0000-0000B0090000}"/>
    <cellStyle name="_KT (2)_4_BAO CAO PT2000_Book1_3 3" xfId="17331" xr:uid="{00000000-0005-0000-0000-0000B1090000}"/>
    <cellStyle name="_KT (2)_4_BAO CAO PT2000_Book1_3_TOM TAT" xfId="19597" xr:uid="{00000000-0005-0000-0000-0000B2090000}"/>
    <cellStyle name="_KT (2)_4_BAO CAO PT2000_Book1_4" xfId="233" xr:uid="{00000000-0005-0000-0000-0000B3090000}"/>
    <cellStyle name="_KT (2)_4_BAO CAO PT2000_Book1_4 2" xfId="3504" xr:uid="{00000000-0005-0000-0000-0000B4090000}"/>
    <cellStyle name="_KT (2)_4_BAO CAO PT2000_Book1_4 3" xfId="17332" xr:uid="{00000000-0005-0000-0000-0000B5090000}"/>
    <cellStyle name="_KT (2)_4_BAO CAO PT2000_Book1_4_TOM TAT" xfId="19598" xr:uid="{00000000-0005-0000-0000-0000B6090000}"/>
    <cellStyle name="_KT (2)_4_BAO CAO PT2000_Book1_Book1" xfId="234" xr:uid="{00000000-0005-0000-0000-0000B7090000}"/>
    <cellStyle name="_KT (2)_4_BAO CAO PT2000_Book1_Book1 2" xfId="3505" xr:uid="{00000000-0005-0000-0000-0000B8090000}"/>
    <cellStyle name="_KT (2)_4_BAO CAO PT2000_Book1_Book1 3" xfId="17333" xr:uid="{00000000-0005-0000-0000-0000B9090000}"/>
    <cellStyle name="_KT (2)_4_BAO CAO PT2000_Book1_Book1_1" xfId="235" xr:uid="{00000000-0005-0000-0000-0000BA090000}"/>
    <cellStyle name="_KT (2)_4_BAO CAO PT2000_Book1_Book1_1 2" xfId="3506" xr:uid="{00000000-0005-0000-0000-0000BB090000}"/>
    <cellStyle name="_KT (2)_4_BAO CAO PT2000_Book1_Book1_1 3" xfId="17334" xr:uid="{00000000-0005-0000-0000-0000BC090000}"/>
    <cellStyle name="_KT (2)_4_BAO CAO PT2000_Book1_Book1_1_TOM TAT" xfId="19600" xr:uid="{00000000-0005-0000-0000-0000BD090000}"/>
    <cellStyle name="_KT (2)_4_BAO CAO PT2000_Book1_Book1_2" xfId="236" xr:uid="{00000000-0005-0000-0000-0000BE090000}"/>
    <cellStyle name="_KT (2)_4_BAO CAO PT2000_Book1_Book1_2 2" xfId="3507" xr:uid="{00000000-0005-0000-0000-0000BF090000}"/>
    <cellStyle name="_KT (2)_4_BAO CAO PT2000_Book1_Book1_2 3" xfId="17335" xr:uid="{00000000-0005-0000-0000-0000C0090000}"/>
    <cellStyle name="_KT (2)_4_BAO CAO PT2000_Book1_Book1_2_TOM TAT" xfId="19601" xr:uid="{00000000-0005-0000-0000-0000C1090000}"/>
    <cellStyle name="_KT (2)_4_BAO CAO PT2000_Book1_Book1_3" xfId="237" xr:uid="{00000000-0005-0000-0000-0000C2090000}"/>
    <cellStyle name="_KT (2)_4_BAO CAO PT2000_Book1_Book1_3 2" xfId="3508" xr:uid="{00000000-0005-0000-0000-0000C3090000}"/>
    <cellStyle name="_KT (2)_4_BAO CAO PT2000_Book1_Book1_3 3" xfId="17336" xr:uid="{00000000-0005-0000-0000-0000C4090000}"/>
    <cellStyle name="_KT (2)_4_BAO CAO PT2000_Book1_Book1_3_TOM TAT" xfId="19602" xr:uid="{00000000-0005-0000-0000-0000C5090000}"/>
    <cellStyle name="_KT (2)_4_BAO CAO PT2000_Book1_Book1_TOM TAT" xfId="19599" xr:uid="{00000000-0005-0000-0000-0000C6090000}"/>
    <cellStyle name="_KT (2)_4_BAO CAO PT2000_Book1_TOM TAT" xfId="19594" xr:uid="{00000000-0005-0000-0000-0000C7090000}"/>
    <cellStyle name="_KT (2)_4_BAO CAO PT2000_Book1_VATTUDIEN" xfId="238" xr:uid="{00000000-0005-0000-0000-0000C8090000}"/>
    <cellStyle name="_KT (2)_4_BAO CAO PT2000_Book1_VATTUDIEN 2" xfId="3509" xr:uid="{00000000-0005-0000-0000-0000C9090000}"/>
    <cellStyle name="_KT (2)_4_BAO CAO PT2000_Book1_VATTUDIEN 3" xfId="17337" xr:uid="{00000000-0005-0000-0000-0000CA090000}"/>
    <cellStyle name="_KT (2)_4_BAO CAO PT2000_Book1_VATTUDIEN_TOM TAT" xfId="19603" xr:uid="{00000000-0005-0000-0000-0000CB090000}"/>
    <cellStyle name="_KT (2)_4_BAO CAO PT2000_TOM TAT" xfId="19593" xr:uid="{00000000-0005-0000-0000-0000CC090000}"/>
    <cellStyle name="_KT (2)_4_BAO CAO PT2000_VATTUDIEN" xfId="239" xr:uid="{00000000-0005-0000-0000-0000CD090000}"/>
    <cellStyle name="_KT (2)_4_BAO CAO PT2000_VATTUDIEN 2" xfId="3510" xr:uid="{00000000-0005-0000-0000-0000CE090000}"/>
    <cellStyle name="_KT (2)_4_BAO CAO PT2000_VATTUDIEN 3" xfId="17338" xr:uid="{00000000-0005-0000-0000-0000CF090000}"/>
    <cellStyle name="_KT (2)_4_BAO CAO PT2000_VATTUDIEN_TOM TAT" xfId="19604" xr:uid="{00000000-0005-0000-0000-0000D0090000}"/>
    <cellStyle name="_KT (2)_4_Bao cao XDCB 2001 - T11 KH dieu chinh 20-11-THAI" xfId="240" xr:uid="{00000000-0005-0000-0000-0000D1090000}"/>
    <cellStyle name="_KT (2)_4_Bao cao XDCB 2001 - T11 KH dieu chinh 20-11-THAI 2" xfId="3511" xr:uid="{00000000-0005-0000-0000-0000D2090000}"/>
    <cellStyle name="_KT (2)_4_Bao cao XDCB 2001 - T11 KH dieu chinh 20-11-THAI 3" xfId="17339" xr:uid="{00000000-0005-0000-0000-0000D3090000}"/>
    <cellStyle name="_KT (2)_4_Bao cao XDCB 2001 - T11 KH dieu chinh 20-11-THAI_Book1" xfId="241" xr:uid="{00000000-0005-0000-0000-0000D4090000}"/>
    <cellStyle name="_KT (2)_4_Bao cao XDCB 2001 - T11 KH dieu chinh 20-11-THAI_Book1 2" xfId="3512" xr:uid="{00000000-0005-0000-0000-0000D5090000}"/>
    <cellStyle name="_KT (2)_4_Bao cao XDCB 2001 - T11 KH dieu chinh 20-11-THAI_Book1 3" xfId="17340" xr:uid="{00000000-0005-0000-0000-0000D6090000}"/>
    <cellStyle name="_KT (2)_4_Bao cao XDCB 2001 - T11 KH dieu chinh 20-11-THAI_Book1_1" xfId="242" xr:uid="{00000000-0005-0000-0000-0000D7090000}"/>
    <cellStyle name="_KT (2)_4_Bao cao XDCB 2001 - T11 KH dieu chinh 20-11-THAI_Book1_1 2" xfId="3513" xr:uid="{00000000-0005-0000-0000-0000D8090000}"/>
    <cellStyle name="_KT (2)_4_Bao cao XDCB 2001 - T11 KH dieu chinh 20-11-THAI_Book1_1 3" xfId="17341" xr:uid="{00000000-0005-0000-0000-0000D9090000}"/>
    <cellStyle name="_KT (2)_4_Bao cao XDCB 2001 - T11 KH dieu chinh 20-11-THAI_Book1_1_TOM TAT" xfId="19607" xr:uid="{00000000-0005-0000-0000-0000DA090000}"/>
    <cellStyle name="_KT (2)_4_Bao cao XDCB 2001 - T11 KH dieu chinh 20-11-THAI_Book1_2" xfId="243" xr:uid="{00000000-0005-0000-0000-0000DB090000}"/>
    <cellStyle name="_KT (2)_4_Bao cao XDCB 2001 - T11 KH dieu chinh 20-11-THAI_Book1_2 2" xfId="3514" xr:uid="{00000000-0005-0000-0000-0000DC090000}"/>
    <cellStyle name="_KT (2)_4_Bao cao XDCB 2001 - T11 KH dieu chinh 20-11-THAI_Book1_2 3" xfId="17342" xr:uid="{00000000-0005-0000-0000-0000DD090000}"/>
    <cellStyle name="_KT (2)_4_Bao cao XDCB 2001 - T11 KH dieu chinh 20-11-THAI_Book1_2_TOM TAT" xfId="19608" xr:uid="{00000000-0005-0000-0000-0000DE090000}"/>
    <cellStyle name="_KT (2)_4_Bao cao XDCB 2001 - T11 KH dieu chinh 20-11-THAI_Book1_3" xfId="244" xr:uid="{00000000-0005-0000-0000-0000DF090000}"/>
    <cellStyle name="_KT (2)_4_Bao cao XDCB 2001 - T11 KH dieu chinh 20-11-THAI_Book1_3 2" xfId="3515" xr:uid="{00000000-0005-0000-0000-0000E0090000}"/>
    <cellStyle name="_KT (2)_4_Bao cao XDCB 2001 - T11 KH dieu chinh 20-11-THAI_Book1_3 3" xfId="17343" xr:uid="{00000000-0005-0000-0000-0000E1090000}"/>
    <cellStyle name="_KT (2)_4_Bao cao XDCB 2001 - T11 KH dieu chinh 20-11-THAI_Book1_3_TOM TAT" xfId="19609" xr:uid="{00000000-0005-0000-0000-0000E2090000}"/>
    <cellStyle name="_KT (2)_4_Bao cao XDCB 2001 - T11 KH dieu chinh 20-11-THAI_Book1_TOM TAT" xfId="19606" xr:uid="{00000000-0005-0000-0000-0000E3090000}"/>
    <cellStyle name="_KT (2)_4_Bao cao XDCB 2001 - T11 KH dieu chinh 20-11-THAI_TOM TAT" xfId="19605" xr:uid="{00000000-0005-0000-0000-0000E4090000}"/>
    <cellStyle name="_KT (2)_4_Bao cao XDCB 2001 - T11 KH dieu chinh 20-11-THAI_VATTUDIEN" xfId="245" xr:uid="{00000000-0005-0000-0000-0000E5090000}"/>
    <cellStyle name="_KT (2)_4_Bao cao XDCB 2001 - T11 KH dieu chinh 20-11-THAI_VATTUDIEN 2" xfId="3516" xr:uid="{00000000-0005-0000-0000-0000E6090000}"/>
    <cellStyle name="_KT (2)_4_Bao cao XDCB 2001 - T11 KH dieu chinh 20-11-THAI_VATTUDIEN 3" xfId="17344" xr:uid="{00000000-0005-0000-0000-0000E7090000}"/>
    <cellStyle name="_KT (2)_4_Bao cao XDCB 2001 - T11 KH dieu chinh 20-11-THAI_VATTUDIEN_TOM TAT" xfId="19610" xr:uid="{00000000-0005-0000-0000-0000E8090000}"/>
    <cellStyle name="_KT (2)_4_Book1" xfId="246" xr:uid="{00000000-0005-0000-0000-0000E9090000}"/>
    <cellStyle name="_KT (2)_4_Book1 2" xfId="3517" xr:uid="{00000000-0005-0000-0000-0000EA090000}"/>
    <cellStyle name="_KT (2)_4_Book1 3" xfId="17345" xr:uid="{00000000-0005-0000-0000-0000EB090000}"/>
    <cellStyle name="_KT (2)_4_Book1_1" xfId="247" xr:uid="{00000000-0005-0000-0000-0000EC090000}"/>
    <cellStyle name="_KT (2)_4_Book1_1 2" xfId="3518" xr:uid="{00000000-0005-0000-0000-0000ED090000}"/>
    <cellStyle name="_KT (2)_4_Book1_1 3" xfId="17346" xr:uid="{00000000-0005-0000-0000-0000EE090000}"/>
    <cellStyle name="_KT (2)_4_Book1_1_Book1" xfId="248" xr:uid="{00000000-0005-0000-0000-0000EF090000}"/>
    <cellStyle name="_KT (2)_4_Book1_1_Book1 2" xfId="3519" xr:uid="{00000000-0005-0000-0000-0000F0090000}"/>
    <cellStyle name="_KT (2)_4_Book1_1_Book1 3" xfId="17347" xr:uid="{00000000-0005-0000-0000-0000F1090000}"/>
    <cellStyle name="_KT (2)_4_Book1_1_Book1_1" xfId="249" xr:uid="{00000000-0005-0000-0000-0000F2090000}"/>
    <cellStyle name="_KT (2)_4_Book1_1_Book1_1 2" xfId="3520" xr:uid="{00000000-0005-0000-0000-0000F3090000}"/>
    <cellStyle name="_KT (2)_4_Book1_1_Book1_1 3" xfId="17348" xr:uid="{00000000-0005-0000-0000-0000F4090000}"/>
    <cellStyle name="_KT (2)_4_Book1_1_Book1_1_TOM TAT" xfId="19614" xr:uid="{00000000-0005-0000-0000-0000F5090000}"/>
    <cellStyle name="_KT (2)_4_Book1_1_Book1_2" xfId="250" xr:uid="{00000000-0005-0000-0000-0000F6090000}"/>
    <cellStyle name="_KT (2)_4_Book1_1_Book1_2 2" xfId="3521" xr:uid="{00000000-0005-0000-0000-0000F7090000}"/>
    <cellStyle name="_KT (2)_4_Book1_1_Book1_2 3" xfId="17349" xr:uid="{00000000-0005-0000-0000-0000F8090000}"/>
    <cellStyle name="_KT (2)_4_Book1_1_Book1_2_TOM TAT" xfId="19615" xr:uid="{00000000-0005-0000-0000-0000F9090000}"/>
    <cellStyle name="_KT (2)_4_Book1_1_Book1_3" xfId="251" xr:uid="{00000000-0005-0000-0000-0000FA090000}"/>
    <cellStyle name="_KT (2)_4_Book1_1_Book1_3 2" xfId="3522" xr:uid="{00000000-0005-0000-0000-0000FB090000}"/>
    <cellStyle name="_KT (2)_4_Book1_1_Book1_3 3" xfId="17350" xr:uid="{00000000-0005-0000-0000-0000FC090000}"/>
    <cellStyle name="_KT (2)_4_Book1_1_Book1_3_TOM TAT" xfId="19616" xr:uid="{00000000-0005-0000-0000-0000FD090000}"/>
    <cellStyle name="_KT (2)_4_Book1_1_Book1_TOM TAT" xfId="19613" xr:uid="{00000000-0005-0000-0000-0000FE090000}"/>
    <cellStyle name="_KT (2)_4_Book1_1_DgklKNHA" xfId="4906" xr:uid="{00000000-0005-0000-0000-0000FF090000}"/>
    <cellStyle name="_KT (2)_4_Book1_1_dt khoi nha 3trai - VKg (cat xuong) (27-01-05)" xfId="4907" xr:uid="{00000000-0005-0000-0000-0000000A0000}"/>
    <cellStyle name="_KT (2)_4_Book1_1_Dtoan-LTT-18-01" xfId="4908" xr:uid="{00000000-0005-0000-0000-0000010A0000}"/>
    <cellStyle name="_KT (2)_4_Book1_1_DU TOAN NGUYEN HUE - GD2 (1-02-05) 1" xfId="4909" xr:uid="{00000000-0005-0000-0000-0000020A0000}"/>
    <cellStyle name="_KT (2)_4_Book1_1_dutoan dptd" xfId="4910" xr:uid="{00000000-0005-0000-0000-0000030A0000}"/>
    <cellStyle name="_KT (2)_4_Book1_1_he thong dien" xfId="4911" xr:uid="{00000000-0005-0000-0000-0000040A0000}"/>
    <cellStyle name="_KT (2)_4_Book1_1_Sheet1" xfId="4912" xr:uid="{00000000-0005-0000-0000-0000050A0000}"/>
    <cellStyle name="_KT (2)_4_Book1_1_Sheet2" xfId="4913" xr:uid="{00000000-0005-0000-0000-0000060A0000}"/>
    <cellStyle name="_KT (2)_4_Book1_1_TOM TAT" xfId="19612" xr:uid="{00000000-0005-0000-0000-0000070A0000}"/>
    <cellStyle name="_KT (2)_4_Book1_1_VATTUDIEN" xfId="252" xr:uid="{00000000-0005-0000-0000-0000080A0000}"/>
    <cellStyle name="_KT (2)_4_Book1_1_VATTUDIEN 2" xfId="3523" xr:uid="{00000000-0005-0000-0000-0000090A0000}"/>
    <cellStyle name="_KT (2)_4_Book1_1_VATTUDIEN 3" xfId="17351" xr:uid="{00000000-0005-0000-0000-00000A0A0000}"/>
    <cellStyle name="_KT (2)_4_Book1_1_VATTUDIEN_TOM TAT" xfId="19617" xr:uid="{00000000-0005-0000-0000-00000B0A0000}"/>
    <cellStyle name="_KT (2)_4_Book1_2" xfId="253" xr:uid="{00000000-0005-0000-0000-00000C0A0000}"/>
    <cellStyle name="_KT (2)_4_Book1_2 2" xfId="3524" xr:uid="{00000000-0005-0000-0000-00000D0A0000}"/>
    <cellStyle name="_KT (2)_4_Book1_2 2 2" xfId="8178" xr:uid="{00000000-0005-0000-0000-00000E0A0000}"/>
    <cellStyle name="_KT (2)_4_Book1_2 3" xfId="8179" xr:uid="{00000000-0005-0000-0000-00000F0A0000}"/>
    <cellStyle name="_KT (2)_4_Book1_2 4" xfId="8180" xr:uid="{00000000-0005-0000-0000-0000100A0000}"/>
    <cellStyle name="_KT (2)_4_Book1_2_DgklKNHA" xfId="4914" xr:uid="{00000000-0005-0000-0000-0000110A0000}"/>
    <cellStyle name="_KT (2)_4_Book1_2_DgklKNHA 2" xfId="8181" xr:uid="{00000000-0005-0000-0000-0000120A0000}"/>
    <cellStyle name="_KT (2)_4_Book1_2_dt khoi nha 3trai - VKg (cat xuong) (27-01-05)" xfId="4915" xr:uid="{00000000-0005-0000-0000-0000130A0000}"/>
    <cellStyle name="_KT (2)_4_Book1_2_dt khoi nha 3trai - VKg (cat xuong) (27-01-05) 2" xfId="8182" xr:uid="{00000000-0005-0000-0000-0000140A0000}"/>
    <cellStyle name="_KT (2)_4_Book1_2_Dtoan-LTT-18-01" xfId="4916" xr:uid="{00000000-0005-0000-0000-0000150A0000}"/>
    <cellStyle name="_KT (2)_4_Book1_2_DU TOAN NGUYEN HUE - GD2 (1-02-05) 1" xfId="4917" xr:uid="{00000000-0005-0000-0000-0000160A0000}"/>
    <cellStyle name="_KT (2)_4_Book1_2_dutoan dptd" xfId="4918" xr:uid="{00000000-0005-0000-0000-0000170A0000}"/>
    <cellStyle name="_KT (2)_4_Book1_2_dutoan dptd 2" xfId="8183" xr:uid="{00000000-0005-0000-0000-0000180A0000}"/>
    <cellStyle name="_KT (2)_4_Book1_2_he thong dien" xfId="4919" xr:uid="{00000000-0005-0000-0000-0000190A0000}"/>
    <cellStyle name="_KT (2)_4_Book1_2_he thong dien 2" xfId="8184" xr:uid="{00000000-0005-0000-0000-00001A0A0000}"/>
    <cellStyle name="_KT (2)_4_Book1_2_Sheet1" xfId="4920" xr:uid="{00000000-0005-0000-0000-00001B0A0000}"/>
    <cellStyle name="_KT (2)_4_Book1_2_Sheet2" xfId="4921" xr:uid="{00000000-0005-0000-0000-00001C0A0000}"/>
    <cellStyle name="_KT (2)_4_Book1_2_TOM TAT" xfId="19618" xr:uid="{00000000-0005-0000-0000-00001D0A0000}"/>
    <cellStyle name="_KT (2)_4_Book1_3" xfId="254" xr:uid="{00000000-0005-0000-0000-00001E0A0000}"/>
    <cellStyle name="_KT (2)_4_Book1_3 2" xfId="3525" xr:uid="{00000000-0005-0000-0000-00001F0A0000}"/>
    <cellStyle name="_KT (2)_4_Book1_3 3" xfId="17352" xr:uid="{00000000-0005-0000-0000-0000200A0000}"/>
    <cellStyle name="_KT (2)_4_Book1_3_TOM TAT" xfId="19619" xr:uid="{00000000-0005-0000-0000-0000210A0000}"/>
    <cellStyle name="_KT (2)_4_Book1_4" xfId="255" xr:uid="{00000000-0005-0000-0000-0000220A0000}"/>
    <cellStyle name="_KT (2)_4_Book1_4 2" xfId="3526" xr:uid="{00000000-0005-0000-0000-0000230A0000}"/>
    <cellStyle name="_KT (2)_4_Book1_4 3" xfId="17353" xr:uid="{00000000-0005-0000-0000-0000240A0000}"/>
    <cellStyle name="_KT (2)_4_Book1_4_TOM TAT" xfId="19620" xr:uid="{00000000-0005-0000-0000-0000250A0000}"/>
    <cellStyle name="_KT (2)_4_Book1_5" xfId="256" xr:uid="{00000000-0005-0000-0000-0000260A0000}"/>
    <cellStyle name="_KT (2)_4_Book1_5 2" xfId="3527" xr:uid="{00000000-0005-0000-0000-0000270A0000}"/>
    <cellStyle name="_KT (2)_4_Book1_5 3" xfId="17354" xr:uid="{00000000-0005-0000-0000-0000280A0000}"/>
    <cellStyle name="_KT (2)_4_Book1_5_TOM TAT" xfId="19621" xr:uid="{00000000-0005-0000-0000-0000290A0000}"/>
    <cellStyle name="_KT (2)_4_Book1_6" xfId="257" xr:uid="{00000000-0005-0000-0000-00002A0A0000}"/>
    <cellStyle name="_KT (2)_4_Book1_6 2" xfId="3528" xr:uid="{00000000-0005-0000-0000-00002B0A0000}"/>
    <cellStyle name="_KT (2)_4_Book1_6 3" xfId="17355" xr:uid="{00000000-0005-0000-0000-00002C0A0000}"/>
    <cellStyle name="_KT (2)_4_Book1_6_TOM TAT" xfId="19622" xr:uid="{00000000-0005-0000-0000-00002D0A0000}"/>
    <cellStyle name="_KT (2)_4_Book1_Book1" xfId="258" xr:uid="{00000000-0005-0000-0000-00002E0A0000}"/>
    <cellStyle name="_KT (2)_4_Book1_Book1 2" xfId="3529" xr:uid="{00000000-0005-0000-0000-00002F0A0000}"/>
    <cellStyle name="_KT (2)_4_Book1_Book1 3" xfId="17356" xr:uid="{00000000-0005-0000-0000-0000300A0000}"/>
    <cellStyle name="_KT (2)_4_Book1_Book1_1" xfId="259" xr:uid="{00000000-0005-0000-0000-0000310A0000}"/>
    <cellStyle name="_KT (2)_4_Book1_Book1_1 2" xfId="3530" xr:uid="{00000000-0005-0000-0000-0000320A0000}"/>
    <cellStyle name="_KT (2)_4_Book1_Book1_1 3" xfId="17357" xr:uid="{00000000-0005-0000-0000-0000330A0000}"/>
    <cellStyle name="_KT (2)_4_Book1_Book1_1_TOM TAT" xfId="19624" xr:uid="{00000000-0005-0000-0000-0000340A0000}"/>
    <cellStyle name="_KT (2)_4_Book1_Book1_2" xfId="260" xr:uid="{00000000-0005-0000-0000-0000350A0000}"/>
    <cellStyle name="_KT (2)_4_Book1_Book1_2 2" xfId="3531" xr:uid="{00000000-0005-0000-0000-0000360A0000}"/>
    <cellStyle name="_KT (2)_4_Book1_Book1_2 3" xfId="17358" xr:uid="{00000000-0005-0000-0000-0000370A0000}"/>
    <cellStyle name="_KT (2)_4_Book1_Book1_2_TOM TAT" xfId="19625" xr:uid="{00000000-0005-0000-0000-0000380A0000}"/>
    <cellStyle name="_KT (2)_4_Book1_Book1_3" xfId="261" xr:uid="{00000000-0005-0000-0000-0000390A0000}"/>
    <cellStyle name="_KT (2)_4_Book1_Book1_3 2" xfId="3532" xr:uid="{00000000-0005-0000-0000-00003A0A0000}"/>
    <cellStyle name="_KT (2)_4_Book1_Book1_3 3" xfId="17359" xr:uid="{00000000-0005-0000-0000-00003B0A0000}"/>
    <cellStyle name="_KT (2)_4_Book1_Book1_3_TOM TAT" xfId="19626" xr:uid="{00000000-0005-0000-0000-00003C0A0000}"/>
    <cellStyle name="_KT (2)_4_Book1_Book1_TOM TAT" xfId="19623" xr:uid="{00000000-0005-0000-0000-00003D0A0000}"/>
    <cellStyle name="_KT (2)_4_Book1_DgklKNHA" xfId="4922" xr:uid="{00000000-0005-0000-0000-00003E0A0000}"/>
    <cellStyle name="_KT (2)_4_Book1_dt khoi nha 3trai - VKg (cat xuong) (27-01-05)" xfId="4923" xr:uid="{00000000-0005-0000-0000-00003F0A0000}"/>
    <cellStyle name="_KT (2)_4_Book1_Dtoan-LTT-18-01" xfId="4924" xr:uid="{00000000-0005-0000-0000-0000400A0000}"/>
    <cellStyle name="_KT (2)_4_Book1_DU TOAN NGUYEN HUE - GD2 (1-02-05) 1" xfId="4925" xr:uid="{00000000-0005-0000-0000-0000410A0000}"/>
    <cellStyle name="_KT (2)_4_Book1_dutoan dptd" xfId="4926" xr:uid="{00000000-0005-0000-0000-0000420A0000}"/>
    <cellStyle name="_KT (2)_4_Book1_he thong dien" xfId="4927" xr:uid="{00000000-0005-0000-0000-0000430A0000}"/>
    <cellStyle name="_KT (2)_4_Book1_Sheet1" xfId="4928" xr:uid="{00000000-0005-0000-0000-0000440A0000}"/>
    <cellStyle name="_KT (2)_4_Book1_Sheet2" xfId="4929" xr:uid="{00000000-0005-0000-0000-0000450A0000}"/>
    <cellStyle name="_KT (2)_4_Book1_TH KE" xfId="262" xr:uid="{00000000-0005-0000-0000-0000460A0000}"/>
    <cellStyle name="_KT (2)_4_Book1_TH KE 2" xfId="3533" xr:uid="{00000000-0005-0000-0000-0000470A0000}"/>
    <cellStyle name="_KT (2)_4_Book1_TH KE 3" xfId="17360" xr:uid="{00000000-0005-0000-0000-0000480A0000}"/>
    <cellStyle name="_KT (2)_4_Book1_TH KE_Book1" xfId="263" xr:uid="{00000000-0005-0000-0000-0000490A0000}"/>
    <cellStyle name="_KT (2)_4_Book1_TH KE_Book1 2" xfId="3534" xr:uid="{00000000-0005-0000-0000-00004A0A0000}"/>
    <cellStyle name="_KT (2)_4_Book1_TH KE_Book1 3" xfId="17361" xr:uid="{00000000-0005-0000-0000-00004B0A0000}"/>
    <cellStyle name="_KT (2)_4_Book1_TH KE_Book1_1" xfId="264" xr:uid="{00000000-0005-0000-0000-00004C0A0000}"/>
    <cellStyle name="_KT (2)_4_Book1_TH KE_Book1_1 2" xfId="3535" xr:uid="{00000000-0005-0000-0000-00004D0A0000}"/>
    <cellStyle name="_KT (2)_4_Book1_TH KE_Book1_1 3" xfId="17362" xr:uid="{00000000-0005-0000-0000-00004E0A0000}"/>
    <cellStyle name="_KT (2)_4_Book1_TH KE_Book1_1_TOM TAT" xfId="19629" xr:uid="{00000000-0005-0000-0000-00004F0A0000}"/>
    <cellStyle name="_KT (2)_4_Book1_TH KE_Book1_2" xfId="265" xr:uid="{00000000-0005-0000-0000-0000500A0000}"/>
    <cellStyle name="_KT (2)_4_Book1_TH KE_Book1_2 2" xfId="3536" xr:uid="{00000000-0005-0000-0000-0000510A0000}"/>
    <cellStyle name="_KT (2)_4_Book1_TH KE_Book1_2 3" xfId="17363" xr:uid="{00000000-0005-0000-0000-0000520A0000}"/>
    <cellStyle name="_KT (2)_4_Book1_TH KE_Book1_2_TOM TAT" xfId="19630" xr:uid="{00000000-0005-0000-0000-0000530A0000}"/>
    <cellStyle name="_KT (2)_4_Book1_TH KE_Book1_3" xfId="266" xr:uid="{00000000-0005-0000-0000-0000540A0000}"/>
    <cellStyle name="_KT (2)_4_Book1_TH KE_Book1_3 2" xfId="3537" xr:uid="{00000000-0005-0000-0000-0000550A0000}"/>
    <cellStyle name="_KT (2)_4_Book1_TH KE_Book1_3 3" xfId="17364" xr:uid="{00000000-0005-0000-0000-0000560A0000}"/>
    <cellStyle name="_KT (2)_4_Book1_TH KE_Book1_3_TOM TAT" xfId="19631" xr:uid="{00000000-0005-0000-0000-0000570A0000}"/>
    <cellStyle name="_KT (2)_4_Book1_TH KE_Book1_TOM TAT" xfId="19628" xr:uid="{00000000-0005-0000-0000-0000580A0000}"/>
    <cellStyle name="_KT (2)_4_Book1_TH KE_TOM TAT" xfId="19627" xr:uid="{00000000-0005-0000-0000-0000590A0000}"/>
    <cellStyle name="_KT (2)_4_Book1_TH KE_VATTUDIEN" xfId="267" xr:uid="{00000000-0005-0000-0000-00005A0A0000}"/>
    <cellStyle name="_KT (2)_4_Book1_TH KE_VATTUDIEN 2" xfId="3538" xr:uid="{00000000-0005-0000-0000-00005B0A0000}"/>
    <cellStyle name="_KT (2)_4_Book1_TH KE_VATTUDIEN 3" xfId="17365" xr:uid="{00000000-0005-0000-0000-00005C0A0000}"/>
    <cellStyle name="_KT (2)_4_Book1_TH KE_VATTUDIEN_TOM TAT" xfId="19632" xr:uid="{00000000-0005-0000-0000-00005D0A0000}"/>
    <cellStyle name="_KT (2)_4_Book1_TOM TAT" xfId="19611" xr:uid="{00000000-0005-0000-0000-00005E0A0000}"/>
    <cellStyle name="_KT (2)_4_Book1_VATTUDIEN" xfId="268" xr:uid="{00000000-0005-0000-0000-00005F0A0000}"/>
    <cellStyle name="_KT (2)_4_Book1_VATTUDIEN 2" xfId="3539" xr:uid="{00000000-0005-0000-0000-0000600A0000}"/>
    <cellStyle name="_KT (2)_4_Book1_VATTUDIEN 3" xfId="17366" xr:uid="{00000000-0005-0000-0000-0000610A0000}"/>
    <cellStyle name="_KT (2)_4_Book1_VATTUDIEN_TOM TAT" xfId="19633" xr:uid="{00000000-0005-0000-0000-0000620A0000}"/>
    <cellStyle name="_KT (2)_4_DgklKNHA" xfId="4930" xr:uid="{00000000-0005-0000-0000-0000630A0000}"/>
    <cellStyle name="_KT (2)_4_dt khoi nha 3trai - VKg (cat xuong) (27-01-05)" xfId="4931" xr:uid="{00000000-0005-0000-0000-0000640A0000}"/>
    <cellStyle name="_KT (2)_4_DTCDT MR.2N110.HOCMON.TDTOAN.CCUNG" xfId="269" xr:uid="{00000000-0005-0000-0000-0000650A0000}"/>
    <cellStyle name="_KT (2)_4_DTCDT MR.2N110.HOCMON.TDTOAN.CCUNG 2" xfId="3540" xr:uid="{00000000-0005-0000-0000-0000660A0000}"/>
    <cellStyle name="_KT (2)_4_DTCDT MR.2N110.HOCMON.TDTOAN.CCUNG 3" xfId="17367" xr:uid="{00000000-0005-0000-0000-0000670A0000}"/>
    <cellStyle name="_KT (2)_4_DTCDT MR.2N110.HOCMON.TDTOAN.CCUNG_Book1" xfId="270" xr:uid="{00000000-0005-0000-0000-0000680A0000}"/>
    <cellStyle name="_KT (2)_4_DTCDT MR.2N110.HOCMON.TDTOAN.CCUNG_Book1 2" xfId="3541" xr:uid="{00000000-0005-0000-0000-0000690A0000}"/>
    <cellStyle name="_KT (2)_4_DTCDT MR.2N110.HOCMON.TDTOAN.CCUNG_Book1 3" xfId="17368" xr:uid="{00000000-0005-0000-0000-00006A0A0000}"/>
    <cellStyle name="_KT (2)_4_DTCDT MR.2N110.HOCMON.TDTOAN.CCUNG_Book1_1" xfId="271" xr:uid="{00000000-0005-0000-0000-00006B0A0000}"/>
    <cellStyle name="_KT (2)_4_DTCDT MR.2N110.HOCMON.TDTOAN.CCUNG_Book1_1 2" xfId="3542" xr:uid="{00000000-0005-0000-0000-00006C0A0000}"/>
    <cellStyle name="_KT (2)_4_DTCDT MR.2N110.HOCMON.TDTOAN.CCUNG_Book1_1 3" xfId="17369" xr:uid="{00000000-0005-0000-0000-00006D0A0000}"/>
    <cellStyle name="_KT (2)_4_DTCDT MR.2N110.HOCMON.TDTOAN.CCUNG_Book1_1_TOM TAT" xfId="19636" xr:uid="{00000000-0005-0000-0000-00006E0A0000}"/>
    <cellStyle name="_KT (2)_4_DTCDT MR.2N110.HOCMON.TDTOAN.CCUNG_Book1_2" xfId="272" xr:uid="{00000000-0005-0000-0000-00006F0A0000}"/>
    <cellStyle name="_KT (2)_4_DTCDT MR.2N110.HOCMON.TDTOAN.CCUNG_Book1_2 2" xfId="3543" xr:uid="{00000000-0005-0000-0000-0000700A0000}"/>
    <cellStyle name="_KT (2)_4_DTCDT MR.2N110.HOCMON.TDTOAN.CCUNG_Book1_2 3" xfId="17370" xr:uid="{00000000-0005-0000-0000-0000710A0000}"/>
    <cellStyle name="_KT (2)_4_DTCDT MR.2N110.HOCMON.TDTOAN.CCUNG_Book1_2_TOM TAT" xfId="19637" xr:uid="{00000000-0005-0000-0000-0000720A0000}"/>
    <cellStyle name="_KT (2)_4_DTCDT MR.2N110.HOCMON.TDTOAN.CCUNG_Book1_3" xfId="273" xr:uid="{00000000-0005-0000-0000-0000730A0000}"/>
    <cellStyle name="_KT (2)_4_DTCDT MR.2N110.HOCMON.TDTOAN.CCUNG_Book1_3 2" xfId="3544" xr:uid="{00000000-0005-0000-0000-0000740A0000}"/>
    <cellStyle name="_KT (2)_4_DTCDT MR.2N110.HOCMON.TDTOAN.CCUNG_Book1_3 3" xfId="17371" xr:uid="{00000000-0005-0000-0000-0000750A0000}"/>
    <cellStyle name="_KT (2)_4_DTCDT MR.2N110.HOCMON.TDTOAN.CCUNG_Book1_3_TOM TAT" xfId="19638" xr:uid="{00000000-0005-0000-0000-0000760A0000}"/>
    <cellStyle name="_KT (2)_4_DTCDT MR.2N110.HOCMON.TDTOAN.CCUNG_Book1_TOM TAT" xfId="19635" xr:uid="{00000000-0005-0000-0000-0000770A0000}"/>
    <cellStyle name="_KT (2)_4_DTCDT MR.2N110.HOCMON.TDTOAN.CCUNG_TOM TAT" xfId="19634" xr:uid="{00000000-0005-0000-0000-0000780A0000}"/>
    <cellStyle name="_KT (2)_4_DTCDT MR.2N110.HOCMON.TDTOAN.CCUNG_VATTUDIEN" xfId="274" xr:uid="{00000000-0005-0000-0000-0000790A0000}"/>
    <cellStyle name="_KT (2)_4_DTCDT MR.2N110.HOCMON.TDTOAN.CCUNG_VATTUDIEN 2" xfId="3545" xr:uid="{00000000-0005-0000-0000-00007A0A0000}"/>
    <cellStyle name="_KT (2)_4_DTCDT MR.2N110.HOCMON.TDTOAN.CCUNG_VATTUDIEN 3" xfId="17372" xr:uid="{00000000-0005-0000-0000-00007B0A0000}"/>
    <cellStyle name="_KT (2)_4_DTCDT MR.2N110.HOCMON.TDTOAN.CCUNG_VATTUDIEN_TOM TAT" xfId="19639" xr:uid="{00000000-0005-0000-0000-00007C0A0000}"/>
    <cellStyle name="_KT (2)_4_Dtoan-LTT-18-01" xfId="4932" xr:uid="{00000000-0005-0000-0000-00007D0A0000}"/>
    <cellStyle name="_KT (2)_4_DU TOAN NGUYEN HUE - GD2 (1-02-05) 1" xfId="4933" xr:uid="{00000000-0005-0000-0000-00007E0A0000}"/>
    <cellStyle name="_KT (2)_4_dutoan dien" xfId="4934" xr:uid="{00000000-0005-0000-0000-00007F0A0000}"/>
    <cellStyle name="_KT (2)_4_dutoan dptd" xfId="4935" xr:uid="{00000000-0005-0000-0000-0000800A0000}"/>
    <cellStyle name="_KT (2)_4_dutoan nuoc" xfId="4936" xr:uid="{00000000-0005-0000-0000-0000810A0000}"/>
    <cellStyle name="_KT (2)_4_he thong dien" xfId="4937" xr:uid="{00000000-0005-0000-0000-0000820A0000}"/>
    <cellStyle name="_KT (2)_4_Lora-tungchau" xfId="275" xr:uid="{00000000-0005-0000-0000-0000830A0000}"/>
    <cellStyle name="_KT (2)_4_Lora-tungchau 2" xfId="3546" xr:uid="{00000000-0005-0000-0000-0000840A0000}"/>
    <cellStyle name="_KT (2)_4_Lora-tungchau 3" xfId="17373" xr:uid="{00000000-0005-0000-0000-0000850A0000}"/>
    <cellStyle name="_KT (2)_4_Lora-tungchau_Book1" xfId="276" xr:uid="{00000000-0005-0000-0000-0000860A0000}"/>
    <cellStyle name="_KT (2)_4_Lora-tungchau_Book1 2" xfId="3547" xr:uid="{00000000-0005-0000-0000-0000870A0000}"/>
    <cellStyle name="_KT (2)_4_Lora-tungchau_Book1 3" xfId="17374" xr:uid="{00000000-0005-0000-0000-0000880A0000}"/>
    <cellStyle name="_KT (2)_4_Lora-tungchau_Book1_1" xfId="277" xr:uid="{00000000-0005-0000-0000-0000890A0000}"/>
    <cellStyle name="_KT (2)_4_Lora-tungchau_Book1_1 2" xfId="3548" xr:uid="{00000000-0005-0000-0000-00008A0A0000}"/>
    <cellStyle name="_KT (2)_4_Lora-tungchau_Book1_1 3" xfId="17375" xr:uid="{00000000-0005-0000-0000-00008B0A0000}"/>
    <cellStyle name="_KT (2)_4_Lora-tungchau_Book1_1_TOM TAT" xfId="19642" xr:uid="{00000000-0005-0000-0000-00008C0A0000}"/>
    <cellStyle name="_KT (2)_4_Lora-tungchau_Book1_2" xfId="278" xr:uid="{00000000-0005-0000-0000-00008D0A0000}"/>
    <cellStyle name="_KT (2)_4_Lora-tungchau_Book1_2 2" xfId="3549" xr:uid="{00000000-0005-0000-0000-00008E0A0000}"/>
    <cellStyle name="_KT (2)_4_Lora-tungchau_Book1_2 3" xfId="17376" xr:uid="{00000000-0005-0000-0000-00008F0A0000}"/>
    <cellStyle name="_KT (2)_4_Lora-tungchau_Book1_2_TOM TAT" xfId="19643" xr:uid="{00000000-0005-0000-0000-0000900A0000}"/>
    <cellStyle name="_KT (2)_4_Lora-tungchau_Book1_3" xfId="279" xr:uid="{00000000-0005-0000-0000-0000910A0000}"/>
    <cellStyle name="_KT (2)_4_Lora-tungchau_Book1_3 2" xfId="3550" xr:uid="{00000000-0005-0000-0000-0000920A0000}"/>
    <cellStyle name="_KT (2)_4_Lora-tungchau_Book1_3 3" xfId="17377" xr:uid="{00000000-0005-0000-0000-0000930A0000}"/>
    <cellStyle name="_KT (2)_4_Lora-tungchau_Book1_3_TOM TAT" xfId="19644" xr:uid="{00000000-0005-0000-0000-0000940A0000}"/>
    <cellStyle name="_KT (2)_4_Lora-tungchau_Book1_TOM TAT" xfId="19641" xr:uid="{00000000-0005-0000-0000-0000950A0000}"/>
    <cellStyle name="_KT (2)_4_Lora-tungchau_TOM TAT" xfId="19640" xr:uid="{00000000-0005-0000-0000-0000960A0000}"/>
    <cellStyle name="_KT (2)_4_Lora-tungchau_VATTUDIEN" xfId="280" xr:uid="{00000000-0005-0000-0000-0000970A0000}"/>
    <cellStyle name="_KT (2)_4_Lora-tungchau_VATTUDIEN 2" xfId="3551" xr:uid="{00000000-0005-0000-0000-0000980A0000}"/>
    <cellStyle name="_KT (2)_4_Lora-tungchau_VATTUDIEN 3" xfId="17378" xr:uid="{00000000-0005-0000-0000-0000990A0000}"/>
    <cellStyle name="_KT (2)_4_Lora-tungchau_VATTUDIEN_TOM TAT" xfId="19645" xr:uid="{00000000-0005-0000-0000-00009A0A0000}"/>
    <cellStyle name="_KT (2)_4_PGIA-phieu tham tra Kho bac" xfId="281" xr:uid="{00000000-0005-0000-0000-00009B0A0000}"/>
    <cellStyle name="_KT (2)_4_PGIA-phieu tham tra Kho bac 2" xfId="3552" xr:uid="{00000000-0005-0000-0000-00009C0A0000}"/>
    <cellStyle name="_KT (2)_4_PGIA-phieu tham tra Kho bac 3" xfId="17379" xr:uid="{00000000-0005-0000-0000-00009D0A0000}"/>
    <cellStyle name="_KT (2)_4_PGIA-phieu tham tra Kho bac_Book1" xfId="282" xr:uid="{00000000-0005-0000-0000-00009E0A0000}"/>
    <cellStyle name="_KT (2)_4_PGIA-phieu tham tra Kho bac_Book1 2" xfId="3553" xr:uid="{00000000-0005-0000-0000-00009F0A0000}"/>
    <cellStyle name="_KT (2)_4_PGIA-phieu tham tra Kho bac_Book1 3" xfId="17380" xr:uid="{00000000-0005-0000-0000-0000A00A0000}"/>
    <cellStyle name="_KT (2)_4_PGIA-phieu tham tra Kho bac_Book1_1" xfId="283" xr:uid="{00000000-0005-0000-0000-0000A10A0000}"/>
    <cellStyle name="_KT (2)_4_PGIA-phieu tham tra Kho bac_Book1_1 2" xfId="3554" xr:uid="{00000000-0005-0000-0000-0000A20A0000}"/>
    <cellStyle name="_KT (2)_4_PGIA-phieu tham tra Kho bac_Book1_1 3" xfId="17381" xr:uid="{00000000-0005-0000-0000-0000A30A0000}"/>
    <cellStyle name="_KT (2)_4_PGIA-phieu tham tra Kho bac_Book1_1_TOM TAT" xfId="19648" xr:uid="{00000000-0005-0000-0000-0000A40A0000}"/>
    <cellStyle name="_KT (2)_4_PGIA-phieu tham tra Kho bac_Book1_2" xfId="284" xr:uid="{00000000-0005-0000-0000-0000A50A0000}"/>
    <cellStyle name="_KT (2)_4_PGIA-phieu tham tra Kho bac_Book1_2 2" xfId="3555" xr:uid="{00000000-0005-0000-0000-0000A60A0000}"/>
    <cellStyle name="_KT (2)_4_PGIA-phieu tham tra Kho bac_Book1_2 3" xfId="17382" xr:uid="{00000000-0005-0000-0000-0000A70A0000}"/>
    <cellStyle name="_KT (2)_4_PGIA-phieu tham tra Kho bac_Book1_2_TOM TAT" xfId="19649" xr:uid="{00000000-0005-0000-0000-0000A80A0000}"/>
    <cellStyle name="_KT (2)_4_PGIA-phieu tham tra Kho bac_Book1_3" xfId="285" xr:uid="{00000000-0005-0000-0000-0000A90A0000}"/>
    <cellStyle name="_KT (2)_4_PGIA-phieu tham tra Kho bac_Book1_3 2" xfId="3556" xr:uid="{00000000-0005-0000-0000-0000AA0A0000}"/>
    <cellStyle name="_KT (2)_4_PGIA-phieu tham tra Kho bac_Book1_3 3" xfId="17383" xr:uid="{00000000-0005-0000-0000-0000AB0A0000}"/>
    <cellStyle name="_KT (2)_4_PGIA-phieu tham tra Kho bac_Book1_3_TOM TAT" xfId="19650" xr:uid="{00000000-0005-0000-0000-0000AC0A0000}"/>
    <cellStyle name="_KT (2)_4_PGIA-phieu tham tra Kho bac_Book1_TOM TAT" xfId="19647" xr:uid="{00000000-0005-0000-0000-0000AD0A0000}"/>
    <cellStyle name="_KT (2)_4_PGIA-phieu tham tra Kho bac_TOM TAT" xfId="19646" xr:uid="{00000000-0005-0000-0000-0000AE0A0000}"/>
    <cellStyle name="_KT (2)_4_PGIA-phieu tham tra Kho bac_VATTUDIEN" xfId="286" xr:uid="{00000000-0005-0000-0000-0000AF0A0000}"/>
    <cellStyle name="_KT (2)_4_PGIA-phieu tham tra Kho bac_VATTUDIEN 2" xfId="3557" xr:uid="{00000000-0005-0000-0000-0000B00A0000}"/>
    <cellStyle name="_KT (2)_4_PGIA-phieu tham tra Kho bac_VATTUDIEN 3" xfId="17384" xr:uid="{00000000-0005-0000-0000-0000B10A0000}"/>
    <cellStyle name="_KT (2)_4_PGIA-phieu tham tra Kho bac_VATTUDIEN_TOM TAT" xfId="19651" xr:uid="{00000000-0005-0000-0000-0000B20A0000}"/>
    <cellStyle name="_KT (2)_4_PT02-02" xfId="287" xr:uid="{00000000-0005-0000-0000-0000B30A0000}"/>
    <cellStyle name="_KT (2)_4_PT02-02 2" xfId="3558" xr:uid="{00000000-0005-0000-0000-0000B40A0000}"/>
    <cellStyle name="_KT (2)_4_PT02-02 3" xfId="17385" xr:uid="{00000000-0005-0000-0000-0000B50A0000}"/>
    <cellStyle name="_KT (2)_4_PT02-02_Book1" xfId="288" xr:uid="{00000000-0005-0000-0000-0000B60A0000}"/>
    <cellStyle name="_KT (2)_4_PT02-02_Book1 2" xfId="3559" xr:uid="{00000000-0005-0000-0000-0000B70A0000}"/>
    <cellStyle name="_KT (2)_4_PT02-02_Book1 3" xfId="17386" xr:uid="{00000000-0005-0000-0000-0000B80A0000}"/>
    <cellStyle name="_KT (2)_4_PT02-02_Book1_1" xfId="289" xr:uid="{00000000-0005-0000-0000-0000B90A0000}"/>
    <cellStyle name="_KT (2)_4_PT02-02_Book1_1 2" xfId="3560" xr:uid="{00000000-0005-0000-0000-0000BA0A0000}"/>
    <cellStyle name="_KT (2)_4_PT02-02_Book1_1 3" xfId="17387" xr:uid="{00000000-0005-0000-0000-0000BB0A0000}"/>
    <cellStyle name="_KT (2)_4_PT02-02_Book1_1_TOM TAT" xfId="19654" xr:uid="{00000000-0005-0000-0000-0000BC0A0000}"/>
    <cellStyle name="_KT (2)_4_PT02-02_Book1_2" xfId="290" xr:uid="{00000000-0005-0000-0000-0000BD0A0000}"/>
    <cellStyle name="_KT (2)_4_PT02-02_Book1_2 2" xfId="3561" xr:uid="{00000000-0005-0000-0000-0000BE0A0000}"/>
    <cellStyle name="_KT (2)_4_PT02-02_Book1_2 3" xfId="17388" xr:uid="{00000000-0005-0000-0000-0000BF0A0000}"/>
    <cellStyle name="_KT (2)_4_PT02-02_Book1_2_TOM TAT" xfId="19655" xr:uid="{00000000-0005-0000-0000-0000C00A0000}"/>
    <cellStyle name="_KT (2)_4_PT02-02_Book1_3" xfId="291" xr:uid="{00000000-0005-0000-0000-0000C10A0000}"/>
    <cellStyle name="_KT (2)_4_PT02-02_Book1_3 2" xfId="3562" xr:uid="{00000000-0005-0000-0000-0000C20A0000}"/>
    <cellStyle name="_KT (2)_4_PT02-02_Book1_3 3" xfId="17389" xr:uid="{00000000-0005-0000-0000-0000C30A0000}"/>
    <cellStyle name="_KT (2)_4_PT02-02_Book1_3_TOM TAT" xfId="19656" xr:uid="{00000000-0005-0000-0000-0000C40A0000}"/>
    <cellStyle name="_KT (2)_4_PT02-02_Book1_4" xfId="292" xr:uid="{00000000-0005-0000-0000-0000C50A0000}"/>
    <cellStyle name="_KT (2)_4_PT02-02_Book1_4 2" xfId="3563" xr:uid="{00000000-0005-0000-0000-0000C60A0000}"/>
    <cellStyle name="_KT (2)_4_PT02-02_Book1_4 3" xfId="17390" xr:uid="{00000000-0005-0000-0000-0000C70A0000}"/>
    <cellStyle name="_KT (2)_4_PT02-02_Book1_4_TOM TAT" xfId="19657" xr:uid="{00000000-0005-0000-0000-0000C80A0000}"/>
    <cellStyle name="_KT (2)_4_PT02-02_Book1_Book1" xfId="293" xr:uid="{00000000-0005-0000-0000-0000C90A0000}"/>
    <cellStyle name="_KT (2)_4_PT02-02_Book1_Book1 2" xfId="3564" xr:uid="{00000000-0005-0000-0000-0000CA0A0000}"/>
    <cellStyle name="_KT (2)_4_PT02-02_Book1_Book1 3" xfId="17391" xr:uid="{00000000-0005-0000-0000-0000CB0A0000}"/>
    <cellStyle name="_KT (2)_4_PT02-02_Book1_Book1_1" xfId="294" xr:uid="{00000000-0005-0000-0000-0000CC0A0000}"/>
    <cellStyle name="_KT (2)_4_PT02-02_Book1_Book1_1 2" xfId="3565" xr:uid="{00000000-0005-0000-0000-0000CD0A0000}"/>
    <cellStyle name="_KT (2)_4_PT02-02_Book1_Book1_1 3" xfId="17392" xr:uid="{00000000-0005-0000-0000-0000CE0A0000}"/>
    <cellStyle name="_KT (2)_4_PT02-02_Book1_Book1_1_TOM TAT" xfId="19659" xr:uid="{00000000-0005-0000-0000-0000CF0A0000}"/>
    <cellStyle name="_KT (2)_4_PT02-02_Book1_Book1_2" xfId="295" xr:uid="{00000000-0005-0000-0000-0000D00A0000}"/>
    <cellStyle name="_KT (2)_4_PT02-02_Book1_Book1_2 2" xfId="3566" xr:uid="{00000000-0005-0000-0000-0000D10A0000}"/>
    <cellStyle name="_KT (2)_4_PT02-02_Book1_Book1_2 3" xfId="17393" xr:uid="{00000000-0005-0000-0000-0000D20A0000}"/>
    <cellStyle name="_KT (2)_4_PT02-02_Book1_Book1_2_TOM TAT" xfId="19660" xr:uid="{00000000-0005-0000-0000-0000D30A0000}"/>
    <cellStyle name="_KT (2)_4_PT02-02_Book1_Book1_3" xfId="296" xr:uid="{00000000-0005-0000-0000-0000D40A0000}"/>
    <cellStyle name="_KT (2)_4_PT02-02_Book1_Book1_3 2" xfId="3567" xr:uid="{00000000-0005-0000-0000-0000D50A0000}"/>
    <cellStyle name="_KT (2)_4_PT02-02_Book1_Book1_3 3" xfId="17394" xr:uid="{00000000-0005-0000-0000-0000D60A0000}"/>
    <cellStyle name="_KT (2)_4_PT02-02_Book1_Book1_3_TOM TAT" xfId="19661" xr:uid="{00000000-0005-0000-0000-0000D70A0000}"/>
    <cellStyle name="_KT (2)_4_PT02-02_Book1_Book1_TOM TAT" xfId="19658" xr:uid="{00000000-0005-0000-0000-0000D80A0000}"/>
    <cellStyle name="_KT (2)_4_PT02-02_Book1_TOM TAT" xfId="19653" xr:uid="{00000000-0005-0000-0000-0000D90A0000}"/>
    <cellStyle name="_KT (2)_4_PT02-02_Book1_VATTUDIEN" xfId="297" xr:uid="{00000000-0005-0000-0000-0000DA0A0000}"/>
    <cellStyle name="_KT (2)_4_PT02-02_Book1_VATTUDIEN 2" xfId="3568" xr:uid="{00000000-0005-0000-0000-0000DB0A0000}"/>
    <cellStyle name="_KT (2)_4_PT02-02_Book1_VATTUDIEN 3" xfId="17395" xr:uid="{00000000-0005-0000-0000-0000DC0A0000}"/>
    <cellStyle name="_KT (2)_4_PT02-02_Book1_VATTUDIEN_TOM TAT" xfId="19662" xr:uid="{00000000-0005-0000-0000-0000DD0A0000}"/>
    <cellStyle name="_KT (2)_4_PT02-02_TOM TAT" xfId="19652" xr:uid="{00000000-0005-0000-0000-0000DE0A0000}"/>
    <cellStyle name="_KT (2)_4_PT02-02_VATTUDIEN" xfId="298" xr:uid="{00000000-0005-0000-0000-0000DF0A0000}"/>
    <cellStyle name="_KT (2)_4_PT02-02_VATTUDIEN 2" xfId="3569" xr:uid="{00000000-0005-0000-0000-0000E00A0000}"/>
    <cellStyle name="_KT (2)_4_PT02-02_VATTUDIEN 3" xfId="17396" xr:uid="{00000000-0005-0000-0000-0000E10A0000}"/>
    <cellStyle name="_KT (2)_4_PT02-02_VATTUDIEN_TOM TAT" xfId="19663" xr:uid="{00000000-0005-0000-0000-0000E20A0000}"/>
    <cellStyle name="_KT (2)_4_PT02-03" xfId="299" xr:uid="{00000000-0005-0000-0000-0000E30A0000}"/>
    <cellStyle name="_KT (2)_4_PT02-03 2" xfId="3570" xr:uid="{00000000-0005-0000-0000-0000E40A0000}"/>
    <cellStyle name="_KT (2)_4_PT02-03 3" xfId="17397" xr:uid="{00000000-0005-0000-0000-0000E50A0000}"/>
    <cellStyle name="_KT (2)_4_PT02-03_Book1" xfId="300" xr:uid="{00000000-0005-0000-0000-0000E60A0000}"/>
    <cellStyle name="_KT (2)_4_PT02-03_Book1 2" xfId="3571" xr:uid="{00000000-0005-0000-0000-0000E70A0000}"/>
    <cellStyle name="_KT (2)_4_PT02-03_Book1 3" xfId="17398" xr:uid="{00000000-0005-0000-0000-0000E80A0000}"/>
    <cellStyle name="_KT (2)_4_PT02-03_Book1_1" xfId="301" xr:uid="{00000000-0005-0000-0000-0000E90A0000}"/>
    <cellStyle name="_KT (2)_4_PT02-03_Book1_1 2" xfId="3572" xr:uid="{00000000-0005-0000-0000-0000EA0A0000}"/>
    <cellStyle name="_KT (2)_4_PT02-03_Book1_1 3" xfId="17399" xr:uid="{00000000-0005-0000-0000-0000EB0A0000}"/>
    <cellStyle name="_KT (2)_4_PT02-03_Book1_1_TOM TAT" xfId="19666" xr:uid="{00000000-0005-0000-0000-0000EC0A0000}"/>
    <cellStyle name="_KT (2)_4_PT02-03_Book1_2" xfId="302" xr:uid="{00000000-0005-0000-0000-0000ED0A0000}"/>
    <cellStyle name="_KT (2)_4_PT02-03_Book1_2 2" xfId="3573" xr:uid="{00000000-0005-0000-0000-0000EE0A0000}"/>
    <cellStyle name="_KT (2)_4_PT02-03_Book1_2 3" xfId="17400" xr:uid="{00000000-0005-0000-0000-0000EF0A0000}"/>
    <cellStyle name="_KT (2)_4_PT02-03_Book1_2_TOM TAT" xfId="19667" xr:uid="{00000000-0005-0000-0000-0000F00A0000}"/>
    <cellStyle name="_KT (2)_4_PT02-03_Book1_3" xfId="303" xr:uid="{00000000-0005-0000-0000-0000F10A0000}"/>
    <cellStyle name="_KT (2)_4_PT02-03_Book1_3 2" xfId="3574" xr:uid="{00000000-0005-0000-0000-0000F20A0000}"/>
    <cellStyle name="_KT (2)_4_PT02-03_Book1_3 3" xfId="17401" xr:uid="{00000000-0005-0000-0000-0000F30A0000}"/>
    <cellStyle name="_KT (2)_4_PT02-03_Book1_3_TOM TAT" xfId="19668" xr:uid="{00000000-0005-0000-0000-0000F40A0000}"/>
    <cellStyle name="_KT (2)_4_PT02-03_Book1_4" xfId="304" xr:uid="{00000000-0005-0000-0000-0000F50A0000}"/>
    <cellStyle name="_KT (2)_4_PT02-03_Book1_4 2" xfId="3575" xr:uid="{00000000-0005-0000-0000-0000F60A0000}"/>
    <cellStyle name="_KT (2)_4_PT02-03_Book1_4 3" xfId="17402" xr:uid="{00000000-0005-0000-0000-0000F70A0000}"/>
    <cellStyle name="_KT (2)_4_PT02-03_Book1_4_TOM TAT" xfId="19669" xr:uid="{00000000-0005-0000-0000-0000F80A0000}"/>
    <cellStyle name="_KT (2)_4_PT02-03_Book1_Book1" xfId="305" xr:uid="{00000000-0005-0000-0000-0000F90A0000}"/>
    <cellStyle name="_KT (2)_4_PT02-03_Book1_Book1 2" xfId="3576" xr:uid="{00000000-0005-0000-0000-0000FA0A0000}"/>
    <cellStyle name="_KT (2)_4_PT02-03_Book1_Book1 3" xfId="17403" xr:uid="{00000000-0005-0000-0000-0000FB0A0000}"/>
    <cellStyle name="_KT (2)_4_PT02-03_Book1_Book1_1" xfId="306" xr:uid="{00000000-0005-0000-0000-0000FC0A0000}"/>
    <cellStyle name="_KT (2)_4_PT02-03_Book1_Book1_1 2" xfId="3577" xr:uid="{00000000-0005-0000-0000-0000FD0A0000}"/>
    <cellStyle name="_KT (2)_4_PT02-03_Book1_Book1_1 3" xfId="17404" xr:uid="{00000000-0005-0000-0000-0000FE0A0000}"/>
    <cellStyle name="_KT (2)_4_PT02-03_Book1_Book1_1_TOM TAT" xfId="19671" xr:uid="{00000000-0005-0000-0000-0000FF0A0000}"/>
    <cellStyle name="_KT (2)_4_PT02-03_Book1_Book1_2" xfId="307" xr:uid="{00000000-0005-0000-0000-0000000B0000}"/>
    <cellStyle name="_KT (2)_4_PT02-03_Book1_Book1_2 2" xfId="3578" xr:uid="{00000000-0005-0000-0000-0000010B0000}"/>
    <cellStyle name="_KT (2)_4_PT02-03_Book1_Book1_2 3" xfId="17405" xr:uid="{00000000-0005-0000-0000-0000020B0000}"/>
    <cellStyle name="_KT (2)_4_PT02-03_Book1_Book1_2_TOM TAT" xfId="19672" xr:uid="{00000000-0005-0000-0000-0000030B0000}"/>
    <cellStyle name="_KT (2)_4_PT02-03_Book1_Book1_3" xfId="308" xr:uid="{00000000-0005-0000-0000-0000040B0000}"/>
    <cellStyle name="_KT (2)_4_PT02-03_Book1_Book1_3 2" xfId="3579" xr:uid="{00000000-0005-0000-0000-0000050B0000}"/>
    <cellStyle name="_KT (2)_4_PT02-03_Book1_Book1_3 3" xfId="17406" xr:uid="{00000000-0005-0000-0000-0000060B0000}"/>
    <cellStyle name="_KT (2)_4_PT02-03_Book1_Book1_3_TOM TAT" xfId="19673" xr:uid="{00000000-0005-0000-0000-0000070B0000}"/>
    <cellStyle name="_KT (2)_4_PT02-03_Book1_Book1_TOM TAT" xfId="19670" xr:uid="{00000000-0005-0000-0000-0000080B0000}"/>
    <cellStyle name="_KT (2)_4_PT02-03_Book1_TOM TAT" xfId="19665" xr:uid="{00000000-0005-0000-0000-0000090B0000}"/>
    <cellStyle name="_KT (2)_4_PT02-03_Book1_VATTUDIEN" xfId="309" xr:uid="{00000000-0005-0000-0000-00000A0B0000}"/>
    <cellStyle name="_KT (2)_4_PT02-03_Book1_VATTUDIEN 2" xfId="3580" xr:uid="{00000000-0005-0000-0000-00000B0B0000}"/>
    <cellStyle name="_KT (2)_4_PT02-03_Book1_VATTUDIEN 3" xfId="17407" xr:uid="{00000000-0005-0000-0000-00000C0B0000}"/>
    <cellStyle name="_KT (2)_4_PT02-03_Book1_VATTUDIEN_TOM TAT" xfId="19674" xr:uid="{00000000-0005-0000-0000-00000D0B0000}"/>
    <cellStyle name="_KT (2)_4_PT02-03_TOM TAT" xfId="19664" xr:uid="{00000000-0005-0000-0000-00000E0B0000}"/>
    <cellStyle name="_KT (2)_4_PT02-03_VATTUDIEN" xfId="310" xr:uid="{00000000-0005-0000-0000-00000F0B0000}"/>
    <cellStyle name="_KT (2)_4_PT02-03_VATTUDIEN 2" xfId="3581" xr:uid="{00000000-0005-0000-0000-0000100B0000}"/>
    <cellStyle name="_KT (2)_4_PT02-03_VATTUDIEN 3" xfId="17408" xr:uid="{00000000-0005-0000-0000-0000110B0000}"/>
    <cellStyle name="_KT (2)_4_PT02-03_VATTUDIEN_TOM TAT" xfId="19675" xr:uid="{00000000-0005-0000-0000-0000120B0000}"/>
    <cellStyle name="_KT (2)_4_Qt-HT3PQ1(CauKho)" xfId="311" xr:uid="{00000000-0005-0000-0000-0000130B0000}"/>
    <cellStyle name="_KT (2)_4_Qt-HT3PQ1(CauKho) 2" xfId="3582" xr:uid="{00000000-0005-0000-0000-0000140B0000}"/>
    <cellStyle name="_KT (2)_4_Qt-HT3PQ1(CauKho) 3" xfId="17409" xr:uid="{00000000-0005-0000-0000-0000150B0000}"/>
    <cellStyle name="_KT (2)_4_Qt-HT3PQ1(CauKho)_Book1" xfId="312" xr:uid="{00000000-0005-0000-0000-0000160B0000}"/>
    <cellStyle name="_KT (2)_4_Qt-HT3PQ1(CauKho)_Book1 2" xfId="3583" xr:uid="{00000000-0005-0000-0000-0000170B0000}"/>
    <cellStyle name="_KT (2)_4_Qt-HT3PQ1(CauKho)_Book1 3" xfId="17410" xr:uid="{00000000-0005-0000-0000-0000180B0000}"/>
    <cellStyle name="_KT (2)_4_Qt-HT3PQ1(CauKho)_Book1_1" xfId="313" xr:uid="{00000000-0005-0000-0000-0000190B0000}"/>
    <cellStyle name="_KT (2)_4_Qt-HT3PQ1(CauKho)_Book1_1 2" xfId="3584" xr:uid="{00000000-0005-0000-0000-00001A0B0000}"/>
    <cellStyle name="_KT (2)_4_Qt-HT3PQ1(CauKho)_Book1_1 3" xfId="17411" xr:uid="{00000000-0005-0000-0000-00001B0B0000}"/>
    <cellStyle name="_KT (2)_4_Qt-HT3PQ1(CauKho)_Book1_1_TOM TAT" xfId="19678" xr:uid="{00000000-0005-0000-0000-00001C0B0000}"/>
    <cellStyle name="_KT (2)_4_Qt-HT3PQ1(CauKho)_Book1_2" xfId="314" xr:uid="{00000000-0005-0000-0000-00001D0B0000}"/>
    <cellStyle name="_KT (2)_4_Qt-HT3PQ1(CauKho)_Book1_2 2" xfId="3585" xr:uid="{00000000-0005-0000-0000-00001E0B0000}"/>
    <cellStyle name="_KT (2)_4_Qt-HT3PQ1(CauKho)_Book1_2 3" xfId="17412" xr:uid="{00000000-0005-0000-0000-00001F0B0000}"/>
    <cellStyle name="_KT (2)_4_Qt-HT3PQ1(CauKho)_Book1_2_TOM TAT" xfId="19679" xr:uid="{00000000-0005-0000-0000-0000200B0000}"/>
    <cellStyle name="_KT (2)_4_Qt-HT3PQ1(CauKho)_Book1_3" xfId="315" xr:uid="{00000000-0005-0000-0000-0000210B0000}"/>
    <cellStyle name="_KT (2)_4_Qt-HT3PQ1(CauKho)_Book1_3 2" xfId="3586" xr:uid="{00000000-0005-0000-0000-0000220B0000}"/>
    <cellStyle name="_KT (2)_4_Qt-HT3PQ1(CauKho)_Book1_3 3" xfId="17413" xr:uid="{00000000-0005-0000-0000-0000230B0000}"/>
    <cellStyle name="_KT (2)_4_Qt-HT3PQ1(CauKho)_Book1_3_TOM TAT" xfId="19680" xr:uid="{00000000-0005-0000-0000-0000240B0000}"/>
    <cellStyle name="_KT (2)_4_Qt-HT3PQ1(CauKho)_Book1_TOM TAT" xfId="19677" xr:uid="{00000000-0005-0000-0000-0000250B0000}"/>
    <cellStyle name="_KT (2)_4_Qt-HT3PQ1(CauKho)_TOM TAT" xfId="19676" xr:uid="{00000000-0005-0000-0000-0000260B0000}"/>
    <cellStyle name="_KT (2)_4_Qt-HT3PQ1(CauKho)_VATTUDIEN" xfId="316" xr:uid="{00000000-0005-0000-0000-0000270B0000}"/>
    <cellStyle name="_KT (2)_4_Qt-HT3PQ1(CauKho)_VATTUDIEN 2" xfId="3587" xr:uid="{00000000-0005-0000-0000-0000280B0000}"/>
    <cellStyle name="_KT (2)_4_Qt-HT3PQ1(CauKho)_VATTUDIEN 3" xfId="17414" xr:uid="{00000000-0005-0000-0000-0000290B0000}"/>
    <cellStyle name="_KT (2)_4_Qt-HT3PQ1(CauKho)_VATTUDIEN_TOM TAT" xfId="19681" xr:uid="{00000000-0005-0000-0000-00002A0B0000}"/>
    <cellStyle name="_KT (2)_4_Sheet1" xfId="4938" xr:uid="{00000000-0005-0000-0000-00002B0B0000}"/>
    <cellStyle name="_KT (2)_4_Sheet2" xfId="4939" xr:uid="{00000000-0005-0000-0000-00002C0B0000}"/>
    <cellStyle name="_KT (2)_4_TG-TH" xfId="317" xr:uid="{00000000-0005-0000-0000-00002D0B0000}"/>
    <cellStyle name="_KT (2)_4_TG-TH 2" xfId="3588" xr:uid="{00000000-0005-0000-0000-00002E0B0000}"/>
    <cellStyle name="_KT (2)_4_TG-TH 3" xfId="17415" xr:uid="{00000000-0005-0000-0000-00002F0B0000}"/>
    <cellStyle name="_KT (2)_4_TG-TH_Book1" xfId="318" xr:uid="{00000000-0005-0000-0000-0000300B0000}"/>
    <cellStyle name="_KT (2)_4_TG-TH_Book1 2" xfId="3589" xr:uid="{00000000-0005-0000-0000-0000310B0000}"/>
    <cellStyle name="_KT (2)_4_TG-TH_Book1 3" xfId="17416" xr:uid="{00000000-0005-0000-0000-0000320B0000}"/>
    <cellStyle name="_KT (2)_4_TG-TH_Book1_1" xfId="319" xr:uid="{00000000-0005-0000-0000-0000330B0000}"/>
    <cellStyle name="_KT (2)_4_TG-TH_Book1_1 2" xfId="3590" xr:uid="{00000000-0005-0000-0000-0000340B0000}"/>
    <cellStyle name="_KT (2)_4_TG-TH_Book1_1 3" xfId="17417" xr:uid="{00000000-0005-0000-0000-0000350B0000}"/>
    <cellStyle name="_KT (2)_4_TG-TH_Book1_1_TOM TAT" xfId="19684" xr:uid="{00000000-0005-0000-0000-0000360B0000}"/>
    <cellStyle name="_KT (2)_4_TG-TH_Book1_2" xfId="320" xr:uid="{00000000-0005-0000-0000-0000370B0000}"/>
    <cellStyle name="_KT (2)_4_TG-TH_Book1_2 2" xfId="3591" xr:uid="{00000000-0005-0000-0000-0000380B0000}"/>
    <cellStyle name="_KT (2)_4_TG-TH_Book1_2 3" xfId="17418" xr:uid="{00000000-0005-0000-0000-0000390B0000}"/>
    <cellStyle name="_KT (2)_4_TG-TH_Book1_2_TOM TAT" xfId="19685" xr:uid="{00000000-0005-0000-0000-00003A0B0000}"/>
    <cellStyle name="_KT (2)_4_TG-TH_Book1_3" xfId="321" xr:uid="{00000000-0005-0000-0000-00003B0B0000}"/>
    <cellStyle name="_KT (2)_4_TG-TH_Book1_3 2" xfId="3592" xr:uid="{00000000-0005-0000-0000-00003C0B0000}"/>
    <cellStyle name="_KT (2)_4_TG-TH_Book1_3 3" xfId="17419" xr:uid="{00000000-0005-0000-0000-00003D0B0000}"/>
    <cellStyle name="_KT (2)_4_TG-TH_Book1_3_TOM TAT" xfId="19686" xr:uid="{00000000-0005-0000-0000-00003E0B0000}"/>
    <cellStyle name="_KT (2)_4_TG-TH_Book1_TOM TAT" xfId="19683" xr:uid="{00000000-0005-0000-0000-00003F0B0000}"/>
    <cellStyle name="_KT (2)_4_TG-TH_TOM TAT" xfId="19682" xr:uid="{00000000-0005-0000-0000-0000400B0000}"/>
    <cellStyle name="_KT (2)_4_TG-TH_VATTUDIEN" xfId="322" xr:uid="{00000000-0005-0000-0000-0000410B0000}"/>
    <cellStyle name="_KT (2)_4_TG-TH_VATTUDIEN 2" xfId="3593" xr:uid="{00000000-0005-0000-0000-0000420B0000}"/>
    <cellStyle name="_KT (2)_4_TG-TH_VATTUDIEN 3" xfId="17420" xr:uid="{00000000-0005-0000-0000-0000430B0000}"/>
    <cellStyle name="_KT (2)_4_TG-TH_VATTUDIEN_TOM TAT" xfId="19687" xr:uid="{00000000-0005-0000-0000-0000440B0000}"/>
    <cellStyle name="_KT (2)_4_TH KE" xfId="323" xr:uid="{00000000-0005-0000-0000-0000450B0000}"/>
    <cellStyle name="_KT (2)_4_TH KE 2" xfId="3594" xr:uid="{00000000-0005-0000-0000-0000460B0000}"/>
    <cellStyle name="_KT (2)_4_TH KE 3" xfId="17421" xr:uid="{00000000-0005-0000-0000-0000470B0000}"/>
    <cellStyle name="_KT (2)_4_TH KE_Book1" xfId="324" xr:uid="{00000000-0005-0000-0000-0000480B0000}"/>
    <cellStyle name="_KT (2)_4_TH KE_Book1 2" xfId="3595" xr:uid="{00000000-0005-0000-0000-0000490B0000}"/>
    <cellStyle name="_KT (2)_4_TH KE_Book1 3" xfId="17422" xr:uid="{00000000-0005-0000-0000-00004A0B0000}"/>
    <cellStyle name="_KT (2)_4_TH KE_Book1_1" xfId="325" xr:uid="{00000000-0005-0000-0000-00004B0B0000}"/>
    <cellStyle name="_KT (2)_4_TH KE_Book1_1 2" xfId="3596" xr:uid="{00000000-0005-0000-0000-00004C0B0000}"/>
    <cellStyle name="_KT (2)_4_TH KE_Book1_1 3" xfId="17423" xr:uid="{00000000-0005-0000-0000-00004D0B0000}"/>
    <cellStyle name="_KT (2)_4_TH KE_Book1_1_TOM TAT" xfId="19690" xr:uid="{00000000-0005-0000-0000-00004E0B0000}"/>
    <cellStyle name="_KT (2)_4_TH KE_Book1_2" xfId="326" xr:uid="{00000000-0005-0000-0000-00004F0B0000}"/>
    <cellStyle name="_KT (2)_4_TH KE_Book1_2 2" xfId="3597" xr:uid="{00000000-0005-0000-0000-0000500B0000}"/>
    <cellStyle name="_KT (2)_4_TH KE_Book1_2 3" xfId="17424" xr:uid="{00000000-0005-0000-0000-0000510B0000}"/>
    <cellStyle name="_KT (2)_4_TH KE_Book1_2_TOM TAT" xfId="19691" xr:uid="{00000000-0005-0000-0000-0000520B0000}"/>
    <cellStyle name="_KT (2)_4_TH KE_Book1_3" xfId="327" xr:uid="{00000000-0005-0000-0000-0000530B0000}"/>
    <cellStyle name="_KT (2)_4_TH KE_Book1_3 2" xfId="3598" xr:uid="{00000000-0005-0000-0000-0000540B0000}"/>
    <cellStyle name="_KT (2)_4_TH KE_Book1_3 3" xfId="17425" xr:uid="{00000000-0005-0000-0000-0000550B0000}"/>
    <cellStyle name="_KT (2)_4_TH KE_Book1_3_TOM TAT" xfId="19692" xr:uid="{00000000-0005-0000-0000-0000560B0000}"/>
    <cellStyle name="_KT (2)_4_TH KE_Book1_TOM TAT" xfId="19689" xr:uid="{00000000-0005-0000-0000-0000570B0000}"/>
    <cellStyle name="_KT (2)_4_TH KE_TOM TAT" xfId="19688" xr:uid="{00000000-0005-0000-0000-0000580B0000}"/>
    <cellStyle name="_KT (2)_4_TH KE_VATTUDIEN" xfId="328" xr:uid="{00000000-0005-0000-0000-0000590B0000}"/>
    <cellStyle name="_KT (2)_4_TH KE_VATTUDIEN 2" xfId="3599" xr:uid="{00000000-0005-0000-0000-00005A0B0000}"/>
    <cellStyle name="_KT (2)_4_TH KE_VATTUDIEN 3" xfId="17426" xr:uid="{00000000-0005-0000-0000-00005B0B0000}"/>
    <cellStyle name="_KT (2)_4_TH KE_VATTUDIEN_TOM TAT" xfId="19693" xr:uid="{00000000-0005-0000-0000-00005C0B0000}"/>
    <cellStyle name="_KT (2)_4_TOM TAT" xfId="19586" xr:uid="{00000000-0005-0000-0000-00005D0B0000}"/>
    <cellStyle name="_KT (2)_4_VATTUDIEN" xfId="329" xr:uid="{00000000-0005-0000-0000-00005E0B0000}"/>
    <cellStyle name="_KT (2)_4_VATTUDIEN 2" xfId="3600" xr:uid="{00000000-0005-0000-0000-00005F0B0000}"/>
    <cellStyle name="_KT (2)_4_VATTUDIEN 3" xfId="17427" xr:uid="{00000000-0005-0000-0000-0000600B0000}"/>
    <cellStyle name="_KT (2)_4_VATTUDIEN_TOM TAT" xfId="19694" xr:uid="{00000000-0005-0000-0000-0000610B0000}"/>
    <cellStyle name="_KT (2)_4_XN3-2005" xfId="330" xr:uid="{00000000-0005-0000-0000-0000620B0000}"/>
    <cellStyle name="_KT (2)_4_XN3-2005 2" xfId="3601" xr:uid="{00000000-0005-0000-0000-0000630B0000}"/>
    <cellStyle name="_KT (2)_4_XN3-2005 3" xfId="17428" xr:uid="{00000000-0005-0000-0000-0000640B0000}"/>
    <cellStyle name="_KT (2)_4_XN3-2005_TOM TAT" xfId="19695" xr:uid="{00000000-0005-0000-0000-0000650B0000}"/>
    <cellStyle name="_KT (2)_5" xfId="331" xr:uid="{00000000-0005-0000-0000-0000660B0000}"/>
    <cellStyle name="_KT (2)_5 2" xfId="3602" xr:uid="{00000000-0005-0000-0000-0000670B0000}"/>
    <cellStyle name="_KT (2)_5 3" xfId="17429" xr:uid="{00000000-0005-0000-0000-0000680B0000}"/>
    <cellStyle name="_KT (2)_5_BAO CAO KLCT PT2000" xfId="332" xr:uid="{00000000-0005-0000-0000-0000690B0000}"/>
    <cellStyle name="_KT (2)_5_BAO CAO KLCT PT2000 2" xfId="3603" xr:uid="{00000000-0005-0000-0000-00006A0B0000}"/>
    <cellStyle name="_KT (2)_5_BAO CAO KLCT PT2000 3" xfId="17430" xr:uid="{00000000-0005-0000-0000-00006B0B0000}"/>
    <cellStyle name="_KT (2)_5_BAO CAO KLCT PT2000_Book1" xfId="333" xr:uid="{00000000-0005-0000-0000-00006C0B0000}"/>
    <cellStyle name="_KT (2)_5_BAO CAO KLCT PT2000_Book1 2" xfId="3604" xr:uid="{00000000-0005-0000-0000-00006D0B0000}"/>
    <cellStyle name="_KT (2)_5_BAO CAO KLCT PT2000_Book1 3" xfId="17431" xr:uid="{00000000-0005-0000-0000-00006E0B0000}"/>
    <cellStyle name="_KT (2)_5_BAO CAO KLCT PT2000_Book1_1" xfId="334" xr:uid="{00000000-0005-0000-0000-00006F0B0000}"/>
    <cellStyle name="_KT (2)_5_BAO CAO KLCT PT2000_Book1_1 2" xfId="3605" xr:uid="{00000000-0005-0000-0000-0000700B0000}"/>
    <cellStyle name="_KT (2)_5_BAO CAO KLCT PT2000_Book1_1 3" xfId="17432" xr:uid="{00000000-0005-0000-0000-0000710B0000}"/>
    <cellStyle name="_KT (2)_5_BAO CAO KLCT PT2000_Book1_1_TOM TAT" xfId="19699" xr:uid="{00000000-0005-0000-0000-0000720B0000}"/>
    <cellStyle name="_KT (2)_5_BAO CAO KLCT PT2000_Book1_2" xfId="335" xr:uid="{00000000-0005-0000-0000-0000730B0000}"/>
    <cellStyle name="_KT (2)_5_BAO CAO KLCT PT2000_Book1_2 2" xfId="3606" xr:uid="{00000000-0005-0000-0000-0000740B0000}"/>
    <cellStyle name="_KT (2)_5_BAO CAO KLCT PT2000_Book1_2 3" xfId="17433" xr:uid="{00000000-0005-0000-0000-0000750B0000}"/>
    <cellStyle name="_KT (2)_5_BAO CAO KLCT PT2000_Book1_2_TOM TAT" xfId="19700" xr:uid="{00000000-0005-0000-0000-0000760B0000}"/>
    <cellStyle name="_KT (2)_5_BAO CAO KLCT PT2000_Book1_3" xfId="336" xr:uid="{00000000-0005-0000-0000-0000770B0000}"/>
    <cellStyle name="_KT (2)_5_BAO CAO KLCT PT2000_Book1_3 2" xfId="3607" xr:uid="{00000000-0005-0000-0000-0000780B0000}"/>
    <cellStyle name="_KT (2)_5_BAO CAO KLCT PT2000_Book1_3 3" xfId="17434" xr:uid="{00000000-0005-0000-0000-0000790B0000}"/>
    <cellStyle name="_KT (2)_5_BAO CAO KLCT PT2000_Book1_3_TOM TAT" xfId="19701" xr:uid="{00000000-0005-0000-0000-00007A0B0000}"/>
    <cellStyle name="_KT (2)_5_BAO CAO KLCT PT2000_Book1_TOM TAT" xfId="19698" xr:uid="{00000000-0005-0000-0000-00007B0B0000}"/>
    <cellStyle name="_KT (2)_5_BAO CAO KLCT PT2000_TOM TAT" xfId="19697" xr:uid="{00000000-0005-0000-0000-00007C0B0000}"/>
    <cellStyle name="_KT (2)_5_BAO CAO KLCT PT2000_VATTUDIEN" xfId="337" xr:uid="{00000000-0005-0000-0000-00007D0B0000}"/>
    <cellStyle name="_KT (2)_5_BAO CAO KLCT PT2000_VATTUDIEN 2" xfId="3608" xr:uid="{00000000-0005-0000-0000-00007E0B0000}"/>
    <cellStyle name="_KT (2)_5_BAO CAO KLCT PT2000_VATTUDIEN 3" xfId="17435" xr:uid="{00000000-0005-0000-0000-00007F0B0000}"/>
    <cellStyle name="_KT (2)_5_BAO CAO KLCT PT2000_VATTUDIEN_TOM TAT" xfId="19702" xr:uid="{00000000-0005-0000-0000-0000800B0000}"/>
    <cellStyle name="_KT (2)_5_BAO CAO PT2000" xfId="338" xr:uid="{00000000-0005-0000-0000-0000810B0000}"/>
    <cellStyle name="_KT (2)_5_BAO CAO PT2000 2" xfId="3609" xr:uid="{00000000-0005-0000-0000-0000820B0000}"/>
    <cellStyle name="_KT (2)_5_BAO CAO PT2000 3" xfId="17436" xr:uid="{00000000-0005-0000-0000-0000830B0000}"/>
    <cellStyle name="_KT (2)_5_BAO CAO PT2000_Book1" xfId="339" xr:uid="{00000000-0005-0000-0000-0000840B0000}"/>
    <cellStyle name="_KT (2)_5_BAO CAO PT2000_Book1 2" xfId="3610" xr:uid="{00000000-0005-0000-0000-0000850B0000}"/>
    <cellStyle name="_KT (2)_5_BAO CAO PT2000_Book1 3" xfId="17437" xr:uid="{00000000-0005-0000-0000-0000860B0000}"/>
    <cellStyle name="_KT (2)_5_BAO CAO PT2000_Book1_1" xfId="340" xr:uid="{00000000-0005-0000-0000-0000870B0000}"/>
    <cellStyle name="_KT (2)_5_BAO CAO PT2000_Book1_1 2" xfId="3611" xr:uid="{00000000-0005-0000-0000-0000880B0000}"/>
    <cellStyle name="_KT (2)_5_BAO CAO PT2000_Book1_1 3" xfId="17438" xr:uid="{00000000-0005-0000-0000-0000890B0000}"/>
    <cellStyle name="_KT (2)_5_BAO CAO PT2000_Book1_1_TOM TAT" xfId="19705" xr:uid="{00000000-0005-0000-0000-00008A0B0000}"/>
    <cellStyle name="_KT (2)_5_BAO CAO PT2000_Book1_2" xfId="341" xr:uid="{00000000-0005-0000-0000-00008B0B0000}"/>
    <cellStyle name="_KT (2)_5_BAO CAO PT2000_Book1_2 2" xfId="3612" xr:uid="{00000000-0005-0000-0000-00008C0B0000}"/>
    <cellStyle name="_KT (2)_5_BAO CAO PT2000_Book1_2 3" xfId="17439" xr:uid="{00000000-0005-0000-0000-00008D0B0000}"/>
    <cellStyle name="_KT (2)_5_BAO CAO PT2000_Book1_2_TOM TAT" xfId="19706" xr:uid="{00000000-0005-0000-0000-00008E0B0000}"/>
    <cellStyle name="_KT (2)_5_BAO CAO PT2000_Book1_3" xfId="342" xr:uid="{00000000-0005-0000-0000-00008F0B0000}"/>
    <cellStyle name="_KT (2)_5_BAO CAO PT2000_Book1_3 2" xfId="3613" xr:uid="{00000000-0005-0000-0000-0000900B0000}"/>
    <cellStyle name="_KT (2)_5_BAO CAO PT2000_Book1_3 3" xfId="17440" xr:uid="{00000000-0005-0000-0000-0000910B0000}"/>
    <cellStyle name="_KT (2)_5_BAO CAO PT2000_Book1_3_TOM TAT" xfId="19707" xr:uid="{00000000-0005-0000-0000-0000920B0000}"/>
    <cellStyle name="_KT (2)_5_BAO CAO PT2000_Book1_4" xfId="343" xr:uid="{00000000-0005-0000-0000-0000930B0000}"/>
    <cellStyle name="_KT (2)_5_BAO CAO PT2000_Book1_4 2" xfId="3614" xr:uid="{00000000-0005-0000-0000-0000940B0000}"/>
    <cellStyle name="_KT (2)_5_BAO CAO PT2000_Book1_4 3" xfId="17441" xr:uid="{00000000-0005-0000-0000-0000950B0000}"/>
    <cellStyle name="_KT (2)_5_BAO CAO PT2000_Book1_4_TOM TAT" xfId="19708" xr:uid="{00000000-0005-0000-0000-0000960B0000}"/>
    <cellStyle name="_KT (2)_5_BAO CAO PT2000_Book1_Book1" xfId="344" xr:uid="{00000000-0005-0000-0000-0000970B0000}"/>
    <cellStyle name="_KT (2)_5_BAO CAO PT2000_Book1_Book1 2" xfId="3615" xr:uid="{00000000-0005-0000-0000-0000980B0000}"/>
    <cellStyle name="_KT (2)_5_BAO CAO PT2000_Book1_Book1 3" xfId="17442" xr:uid="{00000000-0005-0000-0000-0000990B0000}"/>
    <cellStyle name="_KT (2)_5_BAO CAO PT2000_Book1_Book1_1" xfId="345" xr:uid="{00000000-0005-0000-0000-00009A0B0000}"/>
    <cellStyle name="_KT (2)_5_BAO CAO PT2000_Book1_Book1_1 2" xfId="3616" xr:uid="{00000000-0005-0000-0000-00009B0B0000}"/>
    <cellStyle name="_KT (2)_5_BAO CAO PT2000_Book1_Book1_1 3" xfId="17443" xr:uid="{00000000-0005-0000-0000-00009C0B0000}"/>
    <cellStyle name="_KT (2)_5_BAO CAO PT2000_Book1_Book1_1_TOM TAT" xfId="19710" xr:uid="{00000000-0005-0000-0000-00009D0B0000}"/>
    <cellStyle name="_KT (2)_5_BAO CAO PT2000_Book1_Book1_2" xfId="346" xr:uid="{00000000-0005-0000-0000-00009E0B0000}"/>
    <cellStyle name="_KT (2)_5_BAO CAO PT2000_Book1_Book1_2 2" xfId="3617" xr:uid="{00000000-0005-0000-0000-00009F0B0000}"/>
    <cellStyle name="_KT (2)_5_BAO CAO PT2000_Book1_Book1_2 3" xfId="17444" xr:uid="{00000000-0005-0000-0000-0000A00B0000}"/>
    <cellStyle name="_KT (2)_5_BAO CAO PT2000_Book1_Book1_2_TOM TAT" xfId="19711" xr:uid="{00000000-0005-0000-0000-0000A10B0000}"/>
    <cellStyle name="_KT (2)_5_BAO CAO PT2000_Book1_Book1_3" xfId="347" xr:uid="{00000000-0005-0000-0000-0000A20B0000}"/>
    <cellStyle name="_KT (2)_5_BAO CAO PT2000_Book1_Book1_3 2" xfId="3618" xr:uid="{00000000-0005-0000-0000-0000A30B0000}"/>
    <cellStyle name="_KT (2)_5_BAO CAO PT2000_Book1_Book1_3 3" xfId="17445" xr:uid="{00000000-0005-0000-0000-0000A40B0000}"/>
    <cellStyle name="_KT (2)_5_BAO CAO PT2000_Book1_Book1_3_TOM TAT" xfId="19712" xr:uid="{00000000-0005-0000-0000-0000A50B0000}"/>
    <cellStyle name="_KT (2)_5_BAO CAO PT2000_Book1_Book1_TOM TAT" xfId="19709" xr:uid="{00000000-0005-0000-0000-0000A60B0000}"/>
    <cellStyle name="_KT (2)_5_BAO CAO PT2000_Book1_TOM TAT" xfId="19704" xr:uid="{00000000-0005-0000-0000-0000A70B0000}"/>
    <cellStyle name="_KT (2)_5_BAO CAO PT2000_Book1_VATTUDIEN" xfId="348" xr:uid="{00000000-0005-0000-0000-0000A80B0000}"/>
    <cellStyle name="_KT (2)_5_BAO CAO PT2000_Book1_VATTUDIEN 2" xfId="3619" xr:uid="{00000000-0005-0000-0000-0000A90B0000}"/>
    <cellStyle name="_KT (2)_5_BAO CAO PT2000_Book1_VATTUDIEN 3" xfId="17446" xr:uid="{00000000-0005-0000-0000-0000AA0B0000}"/>
    <cellStyle name="_KT (2)_5_BAO CAO PT2000_Book1_VATTUDIEN_TOM TAT" xfId="19713" xr:uid="{00000000-0005-0000-0000-0000AB0B0000}"/>
    <cellStyle name="_KT (2)_5_BAO CAO PT2000_TOM TAT" xfId="19703" xr:uid="{00000000-0005-0000-0000-0000AC0B0000}"/>
    <cellStyle name="_KT (2)_5_BAO CAO PT2000_VATTUDIEN" xfId="349" xr:uid="{00000000-0005-0000-0000-0000AD0B0000}"/>
    <cellStyle name="_KT (2)_5_BAO CAO PT2000_VATTUDIEN 2" xfId="3620" xr:uid="{00000000-0005-0000-0000-0000AE0B0000}"/>
    <cellStyle name="_KT (2)_5_BAO CAO PT2000_VATTUDIEN 3" xfId="17447" xr:uid="{00000000-0005-0000-0000-0000AF0B0000}"/>
    <cellStyle name="_KT (2)_5_BAO CAO PT2000_VATTUDIEN_TOM TAT" xfId="19714" xr:uid="{00000000-0005-0000-0000-0000B00B0000}"/>
    <cellStyle name="_KT (2)_5_Bao cao XDCB 2001 - T11 KH dieu chinh 20-11-THAI" xfId="350" xr:uid="{00000000-0005-0000-0000-0000B10B0000}"/>
    <cellStyle name="_KT (2)_5_Bao cao XDCB 2001 - T11 KH dieu chinh 20-11-THAI 2" xfId="3621" xr:uid="{00000000-0005-0000-0000-0000B20B0000}"/>
    <cellStyle name="_KT (2)_5_Bao cao XDCB 2001 - T11 KH dieu chinh 20-11-THAI 3" xfId="17448" xr:uid="{00000000-0005-0000-0000-0000B30B0000}"/>
    <cellStyle name="_KT (2)_5_Bao cao XDCB 2001 - T11 KH dieu chinh 20-11-THAI_Book1" xfId="351" xr:uid="{00000000-0005-0000-0000-0000B40B0000}"/>
    <cellStyle name="_KT (2)_5_Bao cao XDCB 2001 - T11 KH dieu chinh 20-11-THAI_Book1 2" xfId="3622" xr:uid="{00000000-0005-0000-0000-0000B50B0000}"/>
    <cellStyle name="_KT (2)_5_Bao cao XDCB 2001 - T11 KH dieu chinh 20-11-THAI_Book1 3" xfId="17449" xr:uid="{00000000-0005-0000-0000-0000B60B0000}"/>
    <cellStyle name="_KT (2)_5_Bao cao XDCB 2001 - T11 KH dieu chinh 20-11-THAI_Book1_1" xfId="352" xr:uid="{00000000-0005-0000-0000-0000B70B0000}"/>
    <cellStyle name="_KT (2)_5_Bao cao XDCB 2001 - T11 KH dieu chinh 20-11-THAI_Book1_1 2" xfId="3623" xr:uid="{00000000-0005-0000-0000-0000B80B0000}"/>
    <cellStyle name="_KT (2)_5_Bao cao XDCB 2001 - T11 KH dieu chinh 20-11-THAI_Book1_1 3" xfId="17450" xr:uid="{00000000-0005-0000-0000-0000B90B0000}"/>
    <cellStyle name="_KT (2)_5_Bao cao XDCB 2001 - T11 KH dieu chinh 20-11-THAI_Book1_1_TOM TAT" xfId="19717" xr:uid="{00000000-0005-0000-0000-0000BA0B0000}"/>
    <cellStyle name="_KT (2)_5_Bao cao XDCB 2001 - T11 KH dieu chinh 20-11-THAI_Book1_2" xfId="353" xr:uid="{00000000-0005-0000-0000-0000BB0B0000}"/>
    <cellStyle name="_KT (2)_5_Bao cao XDCB 2001 - T11 KH dieu chinh 20-11-THAI_Book1_2 2" xfId="3624" xr:uid="{00000000-0005-0000-0000-0000BC0B0000}"/>
    <cellStyle name="_KT (2)_5_Bao cao XDCB 2001 - T11 KH dieu chinh 20-11-THAI_Book1_2 3" xfId="17451" xr:uid="{00000000-0005-0000-0000-0000BD0B0000}"/>
    <cellStyle name="_KT (2)_5_Bao cao XDCB 2001 - T11 KH dieu chinh 20-11-THAI_Book1_2_TOM TAT" xfId="19718" xr:uid="{00000000-0005-0000-0000-0000BE0B0000}"/>
    <cellStyle name="_KT (2)_5_Bao cao XDCB 2001 - T11 KH dieu chinh 20-11-THAI_Book1_3" xfId="354" xr:uid="{00000000-0005-0000-0000-0000BF0B0000}"/>
    <cellStyle name="_KT (2)_5_Bao cao XDCB 2001 - T11 KH dieu chinh 20-11-THAI_Book1_3 2" xfId="3625" xr:uid="{00000000-0005-0000-0000-0000C00B0000}"/>
    <cellStyle name="_KT (2)_5_Bao cao XDCB 2001 - T11 KH dieu chinh 20-11-THAI_Book1_3 3" xfId="17452" xr:uid="{00000000-0005-0000-0000-0000C10B0000}"/>
    <cellStyle name="_KT (2)_5_Bao cao XDCB 2001 - T11 KH dieu chinh 20-11-THAI_Book1_3_TOM TAT" xfId="19719" xr:uid="{00000000-0005-0000-0000-0000C20B0000}"/>
    <cellStyle name="_KT (2)_5_Bao cao XDCB 2001 - T11 KH dieu chinh 20-11-THAI_Book1_TOM TAT" xfId="19716" xr:uid="{00000000-0005-0000-0000-0000C30B0000}"/>
    <cellStyle name="_KT (2)_5_Bao cao XDCB 2001 - T11 KH dieu chinh 20-11-THAI_TOM TAT" xfId="19715" xr:uid="{00000000-0005-0000-0000-0000C40B0000}"/>
    <cellStyle name="_KT (2)_5_Bao cao XDCB 2001 - T11 KH dieu chinh 20-11-THAI_VATTUDIEN" xfId="355" xr:uid="{00000000-0005-0000-0000-0000C50B0000}"/>
    <cellStyle name="_KT (2)_5_Bao cao XDCB 2001 - T11 KH dieu chinh 20-11-THAI_VATTUDIEN 2" xfId="3626" xr:uid="{00000000-0005-0000-0000-0000C60B0000}"/>
    <cellStyle name="_KT (2)_5_Bao cao XDCB 2001 - T11 KH dieu chinh 20-11-THAI_VATTUDIEN 3" xfId="17453" xr:uid="{00000000-0005-0000-0000-0000C70B0000}"/>
    <cellStyle name="_KT (2)_5_Bao cao XDCB 2001 - T11 KH dieu chinh 20-11-THAI_VATTUDIEN_TOM TAT" xfId="19720" xr:uid="{00000000-0005-0000-0000-0000C80B0000}"/>
    <cellStyle name="_KT (2)_5_Book1" xfId="356" xr:uid="{00000000-0005-0000-0000-0000C90B0000}"/>
    <cellStyle name="_KT (2)_5_Book1 2" xfId="3627" xr:uid="{00000000-0005-0000-0000-0000CA0B0000}"/>
    <cellStyle name="_KT (2)_5_Book1 3" xfId="17454" xr:uid="{00000000-0005-0000-0000-0000CB0B0000}"/>
    <cellStyle name="_KT (2)_5_Book1_1" xfId="357" xr:uid="{00000000-0005-0000-0000-0000CC0B0000}"/>
    <cellStyle name="_KT (2)_5_Book1_1 2" xfId="3628" xr:uid="{00000000-0005-0000-0000-0000CD0B0000}"/>
    <cellStyle name="_KT (2)_5_Book1_1 3" xfId="17455" xr:uid="{00000000-0005-0000-0000-0000CE0B0000}"/>
    <cellStyle name="_KT (2)_5_Book1_1_Book1" xfId="358" xr:uid="{00000000-0005-0000-0000-0000CF0B0000}"/>
    <cellStyle name="_KT (2)_5_Book1_1_Book1 2" xfId="3629" xr:uid="{00000000-0005-0000-0000-0000D00B0000}"/>
    <cellStyle name="_KT (2)_5_Book1_1_Book1 3" xfId="17456" xr:uid="{00000000-0005-0000-0000-0000D10B0000}"/>
    <cellStyle name="_KT (2)_5_Book1_1_Book1_1" xfId="359" xr:uid="{00000000-0005-0000-0000-0000D20B0000}"/>
    <cellStyle name="_KT (2)_5_Book1_1_Book1_1 2" xfId="3630" xr:uid="{00000000-0005-0000-0000-0000D30B0000}"/>
    <cellStyle name="_KT (2)_5_Book1_1_Book1_1 3" xfId="17457" xr:uid="{00000000-0005-0000-0000-0000D40B0000}"/>
    <cellStyle name="_KT (2)_5_Book1_1_Book1_1_TOM TAT" xfId="19724" xr:uid="{00000000-0005-0000-0000-0000D50B0000}"/>
    <cellStyle name="_KT (2)_5_Book1_1_Book1_2" xfId="360" xr:uid="{00000000-0005-0000-0000-0000D60B0000}"/>
    <cellStyle name="_KT (2)_5_Book1_1_Book1_2 2" xfId="3631" xr:uid="{00000000-0005-0000-0000-0000D70B0000}"/>
    <cellStyle name="_KT (2)_5_Book1_1_Book1_2 3" xfId="17458" xr:uid="{00000000-0005-0000-0000-0000D80B0000}"/>
    <cellStyle name="_KT (2)_5_Book1_1_Book1_2_TOM TAT" xfId="19725" xr:uid="{00000000-0005-0000-0000-0000D90B0000}"/>
    <cellStyle name="_KT (2)_5_Book1_1_Book1_3" xfId="361" xr:uid="{00000000-0005-0000-0000-0000DA0B0000}"/>
    <cellStyle name="_KT (2)_5_Book1_1_Book1_3 2" xfId="3632" xr:uid="{00000000-0005-0000-0000-0000DB0B0000}"/>
    <cellStyle name="_KT (2)_5_Book1_1_Book1_3 3" xfId="17459" xr:uid="{00000000-0005-0000-0000-0000DC0B0000}"/>
    <cellStyle name="_KT (2)_5_Book1_1_Book1_3_TOM TAT" xfId="19726" xr:uid="{00000000-0005-0000-0000-0000DD0B0000}"/>
    <cellStyle name="_KT (2)_5_Book1_1_Book1_TOM TAT" xfId="19723" xr:uid="{00000000-0005-0000-0000-0000DE0B0000}"/>
    <cellStyle name="_KT (2)_5_Book1_1_DgklKNHA" xfId="4940" xr:uid="{00000000-0005-0000-0000-0000DF0B0000}"/>
    <cellStyle name="_KT (2)_5_Book1_1_dt khoi nha 3trai - VKg (cat xuong) (27-01-05)" xfId="4941" xr:uid="{00000000-0005-0000-0000-0000E00B0000}"/>
    <cellStyle name="_KT (2)_5_Book1_1_Dtoan-LTT-18-01" xfId="4942" xr:uid="{00000000-0005-0000-0000-0000E10B0000}"/>
    <cellStyle name="_KT (2)_5_Book1_1_DU TOAN NGUYEN HUE - GD2 (1-02-05) 1" xfId="4943" xr:uid="{00000000-0005-0000-0000-0000E20B0000}"/>
    <cellStyle name="_KT (2)_5_Book1_1_dutoan dptd" xfId="4944" xr:uid="{00000000-0005-0000-0000-0000E30B0000}"/>
    <cellStyle name="_KT (2)_5_Book1_1_he thong dien" xfId="4945" xr:uid="{00000000-0005-0000-0000-0000E40B0000}"/>
    <cellStyle name="_KT (2)_5_Book1_1_Sheet1" xfId="4946" xr:uid="{00000000-0005-0000-0000-0000E50B0000}"/>
    <cellStyle name="_KT (2)_5_Book1_1_Sheet2" xfId="4947" xr:uid="{00000000-0005-0000-0000-0000E60B0000}"/>
    <cellStyle name="_KT (2)_5_Book1_1_TOM TAT" xfId="19722" xr:uid="{00000000-0005-0000-0000-0000E70B0000}"/>
    <cellStyle name="_KT (2)_5_Book1_1_VATTUDIEN" xfId="362" xr:uid="{00000000-0005-0000-0000-0000E80B0000}"/>
    <cellStyle name="_KT (2)_5_Book1_1_VATTUDIEN 2" xfId="3633" xr:uid="{00000000-0005-0000-0000-0000E90B0000}"/>
    <cellStyle name="_KT (2)_5_Book1_1_VATTUDIEN 3" xfId="17460" xr:uid="{00000000-0005-0000-0000-0000EA0B0000}"/>
    <cellStyle name="_KT (2)_5_Book1_1_VATTUDIEN_TOM TAT" xfId="19727" xr:uid="{00000000-0005-0000-0000-0000EB0B0000}"/>
    <cellStyle name="_KT (2)_5_Book1_2" xfId="363" xr:uid="{00000000-0005-0000-0000-0000EC0B0000}"/>
    <cellStyle name="_KT (2)_5_Book1_2 2" xfId="3634" xr:uid="{00000000-0005-0000-0000-0000ED0B0000}"/>
    <cellStyle name="_KT (2)_5_Book1_2 3" xfId="17461" xr:uid="{00000000-0005-0000-0000-0000EE0B0000}"/>
    <cellStyle name="_KT (2)_5_Book1_2_Book1" xfId="364" xr:uid="{00000000-0005-0000-0000-0000EF0B0000}"/>
    <cellStyle name="_KT (2)_5_Book1_2_Book1 2" xfId="3635" xr:uid="{00000000-0005-0000-0000-0000F00B0000}"/>
    <cellStyle name="_KT (2)_5_Book1_2_Book1 3" xfId="17462" xr:uid="{00000000-0005-0000-0000-0000F10B0000}"/>
    <cellStyle name="_KT (2)_5_Book1_2_Book1_1" xfId="365" xr:uid="{00000000-0005-0000-0000-0000F20B0000}"/>
    <cellStyle name="_KT (2)_5_Book1_2_Book1_1 2" xfId="3636" xr:uid="{00000000-0005-0000-0000-0000F30B0000}"/>
    <cellStyle name="_KT (2)_5_Book1_2_Book1_1 3" xfId="17463" xr:uid="{00000000-0005-0000-0000-0000F40B0000}"/>
    <cellStyle name="_KT (2)_5_Book1_2_Book1_1_TOM TAT" xfId="19730" xr:uid="{00000000-0005-0000-0000-0000F50B0000}"/>
    <cellStyle name="_KT (2)_5_Book1_2_Book1_2" xfId="366" xr:uid="{00000000-0005-0000-0000-0000F60B0000}"/>
    <cellStyle name="_KT (2)_5_Book1_2_Book1_2 2" xfId="3637" xr:uid="{00000000-0005-0000-0000-0000F70B0000}"/>
    <cellStyle name="_KT (2)_5_Book1_2_Book1_2 3" xfId="17464" xr:uid="{00000000-0005-0000-0000-0000F80B0000}"/>
    <cellStyle name="_KT (2)_5_Book1_2_Book1_2_TOM TAT" xfId="19731" xr:uid="{00000000-0005-0000-0000-0000F90B0000}"/>
    <cellStyle name="_KT (2)_5_Book1_2_Book1_3" xfId="367" xr:uid="{00000000-0005-0000-0000-0000FA0B0000}"/>
    <cellStyle name="_KT (2)_5_Book1_2_Book1_3 2" xfId="3638" xr:uid="{00000000-0005-0000-0000-0000FB0B0000}"/>
    <cellStyle name="_KT (2)_5_Book1_2_Book1_3 3" xfId="17465" xr:uid="{00000000-0005-0000-0000-0000FC0B0000}"/>
    <cellStyle name="_KT (2)_5_Book1_2_Book1_3_TOM TAT" xfId="19732" xr:uid="{00000000-0005-0000-0000-0000FD0B0000}"/>
    <cellStyle name="_KT (2)_5_Book1_2_Book1_TOM TAT" xfId="19729" xr:uid="{00000000-0005-0000-0000-0000FE0B0000}"/>
    <cellStyle name="_KT (2)_5_Book1_2_DgklKNHA" xfId="4948" xr:uid="{00000000-0005-0000-0000-0000FF0B0000}"/>
    <cellStyle name="_KT (2)_5_Book1_2_dt khoi nha 3trai - VKg (cat xuong) (27-01-05)" xfId="4949" xr:uid="{00000000-0005-0000-0000-0000000C0000}"/>
    <cellStyle name="_KT (2)_5_Book1_2_Dtoan-LTT-18-01" xfId="4950" xr:uid="{00000000-0005-0000-0000-0000010C0000}"/>
    <cellStyle name="_KT (2)_5_Book1_2_DU TOAN NGUYEN HUE - GD2 (1-02-05) 1" xfId="4951" xr:uid="{00000000-0005-0000-0000-0000020C0000}"/>
    <cellStyle name="_KT (2)_5_Book1_2_dutoan dptd" xfId="4952" xr:uid="{00000000-0005-0000-0000-0000030C0000}"/>
    <cellStyle name="_KT (2)_5_Book1_2_he thong dien" xfId="4953" xr:uid="{00000000-0005-0000-0000-0000040C0000}"/>
    <cellStyle name="_KT (2)_5_Book1_2_Sheet1" xfId="4954" xr:uid="{00000000-0005-0000-0000-0000050C0000}"/>
    <cellStyle name="_KT (2)_5_Book1_2_Sheet2" xfId="4955" xr:uid="{00000000-0005-0000-0000-0000060C0000}"/>
    <cellStyle name="_KT (2)_5_Book1_2_TOM TAT" xfId="19728" xr:uid="{00000000-0005-0000-0000-0000070C0000}"/>
    <cellStyle name="_KT (2)_5_Book1_2_VATTUDIEN" xfId="368" xr:uid="{00000000-0005-0000-0000-0000080C0000}"/>
    <cellStyle name="_KT (2)_5_Book1_2_VATTUDIEN 2" xfId="3639" xr:uid="{00000000-0005-0000-0000-0000090C0000}"/>
    <cellStyle name="_KT (2)_5_Book1_2_VATTUDIEN 3" xfId="17466" xr:uid="{00000000-0005-0000-0000-00000A0C0000}"/>
    <cellStyle name="_KT (2)_5_Book1_2_VATTUDIEN_TOM TAT" xfId="19733" xr:uid="{00000000-0005-0000-0000-00000B0C0000}"/>
    <cellStyle name="_KT (2)_5_Book1_3" xfId="369" xr:uid="{00000000-0005-0000-0000-00000C0C0000}"/>
    <cellStyle name="_KT (2)_5_Book1_3 2" xfId="3640" xr:uid="{00000000-0005-0000-0000-00000D0C0000}"/>
    <cellStyle name="_KT (2)_5_Book1_3 3" xfId="17467" xr:uid="{00000000-0005-0000-0000-00000E0C0000}"/>
    <cellStyle name="_KT (2)_5_Book1_3_TOM TAT" xfId="19734" xr:uid="{00000000-0005-0000-0000-00000F0C0000}"/>
    <cellStyle name="_KT (2)_5_Book1_4" xfId="370" xr:uid="{00000000-0005-0000-0000-0000100C0000}"/>
    <cellStyle name="_KT (2)_5_Book1_4 2" xfId="3641" xr:uid="{00000000-0005-0000-0000-0000110C0000}"/>
    <cellStyle name="_KT (2)_5_Book1_4 3" xfId="17468" xr:uid="{00000000-0005-0000-0000-0000120C0000}"/>
    <cellStyle name="_KT (2)_5_Book1_4_TOM TAT" xfId="19735" xr:uid="{00000000-0005-0000-0000-0000130C0000}"/>
    <cellStyle name="_KT (2)_5_Book1_5" xfId="371" xr:uid="{00000000-0005-0000-0000-0000140C0000}"/>
    <cellStyle name="_KT (2)_5_Book1_5 2" xfId="3642" xr:uid="{00000000-0005-0000-0000-0000150C0000}"/>
    <cellStyle name="_KT (2)_5_Book1_5 3" xfId="17469" xr:uid="{00000000-0005-0000-0000-0000160C0000}"/>
    <cellStyle name="_KT (2)_5_Book1_5_TOM TAT" xfId="19736" xr:uid="{00000000-0005-0000-0000-0000170C0000}"/>
    <cellStyle name="_KT (2)_5_Book1_6" xfId="372" xr:uid="{00000000-0005-0000-0000-0000180C0000}"/>
    <cellStyle name="_KT (2)_5_Book1_6 2" xfId="3643" xr:uid="{00000000-0005-0000-0000-0000190C0000}"/>
    <cellStyle name="_KT (2)_5_Book1_6 3" xfId="17470" xr:uid="{00000000-0005-0000-0000-00001A0C0000}"/>
    <cellStyle name="_KT (2)_5_Book1_6_TOM TAT" xfId="19737" xr:uid="{00000000-0005-0000-0000-00001B0C0000}"/>
    <cellStyle name="_KT (2)_5_Book1_BC-QT-WB-dthao" xfId="373" xr:uid="{00000000-0005-0000-0000-00001C0C0000}"/>
    <cellStyle name="_KT (2)_5_Book1_BC-QT-WB-dthao 2" xfId="3644" xr:uid="{00000000-0005-0000-0000-00001D0C0000}"/>
    <cellStyle name="_KT (2)_5_Book1_BC-QT-WB-dthao 3" xfId="17471" xr:uid="{00000000-0005-0000-0000-00001E0C0000}"/>
    <cellStyle name="_KT (2)_5_Book1_BC-QT-WB-dthao_Book1" xfId="374" xr:uid="{00000000-0005-0000-0000-00001F0C0000}"/>
    <cellStyle name="_KT (2)_5_Book1_BC-QT-WB-dthao_Book1 2" xfId="3645" xr:uid="{00000000-0005-0000-0000-0000200C0000}"/>
    <cellStyle name="_KT (2)_5_Book1_BC-QT-WB-dthao_Book1 3" xfId="17472" xr:uid="{00000000-0005-0000-0000-0000210C0000}"/>
    <cellStyle name="_KT (2)_5_Book1_BC-QT-WB-dthao_Book1_1" xfId="375" xr:uid="{00000000-0005-0000-0000-0000220C0000}"/>
    <cellStyle name="_KT (2)_5_Book1_BC-QT-WB-dthao_Book1_1 2" xfId="3646" xr:uid="{00000000-0005-0000-0000-0000230C0000}"/>
    <cellStyle name="_KT (2)_5_Book1_BC-QT-WB-dthao_Book1_1 3" xfId="17473" xr:uid="{00000000-0005-0000-0000-0000240C0000}"/>
    <cellStyle name="_KT (2)_5_Book1_BC-QT-WB-dthao_Book1_1_TOM TAT" xfId="19740" xr:uid="{00000000-0005-0000-0000-0000250C0000}"/>
    <cellStyle name="_KT (2)_5_Book1_BC-QT-WB-dthao_Book1_2" xfId="376" xr:uid="{00000000-0005-0000-0000-0000260C0000}"/>
    <cellStyle name="_KT (2)_5_Book1_BC-QT-WB-dthao_Book1_2 2" xfId="3647" xr:uid="{00000000-0005-0000-0000-0000270C0000}"/>
    <cellStyle name="_KT (2)_5_Book1_BC-QT-WB-dthao_Book1_2 3" xfId="17474" xr:uid="{00000000-0005-0000-0000-0000280C0000}"/>
    <cellStyle name="_KT (2)_5_Book1_BC-QT-WB-dthao_Book1_2_TOM TAT" xfId="19741" xr:uid="{00000000-0005-0000-0000-0000290C0000}"/>
    <cellStyle name="_KT (2)_5_Book1_BC-QT-WB-dthao_Book1_3" xfId="377" xr:uid="{00000000-0005-0000-0000-00002A0C0000}"/>
    <cellStyle name="_KT (2)_5_Book1_BC-QT-WB-dthao_Book1_3 2" xfId="3648" xr:uid="{00000000-0005-0000-0000-00002B0C0000}"/>
    <cellStyle name="_KT (2)_5_Book1_BC-QT-WB-dthao_Book1_3 3" xfId="17475" xr:uid="{00000000-0005-0000-0000-00002C0C0000}"/>
    <cellStyle name="_KT (2)_5_Book1_BC-QT-WB-dthao_Book1_3_TOM TAT" xfId="19742" xr:uid="{00000000-0005-0000-0000-00002D0C0000}"/>
    <cellStyle name="_KT (2)_5_Book1_BC-QT-WB-dthao_Book1_TOM TAT" xfId="19739" xr:uid="{00000000-0005-0000-0000-00002E0C0000}"/>
    <cellStyle name="_KT (2)_5_Book1_BC-QT-WB-dthao_TOM TAT" xfId="19738" xr:uid="{00000000-0005-0000-0000-00002F0C0000}"/>
    <cellStyle name="_KT (2)_5_Book1_BC-QT-WB-dthao_VATTUDIEN" xfId="378" xr:uid="{00000000-0005-0000-0000-0000300C0000}"/>
    <cellStyle name="_KT (2)_5_Book1_BC-QT-WB-dthao_VATTUDIEN 2" xfId="3649" xr:uid="{00000000-0005-0000-0000-0000310C0000}"/>
    <cellStyle name="_KT (2)_5_Book1_BC-QT-WB-dthao_VATTUDIEN 3" xfId="17476" xr:uid="{00000000-0005-0000-0000-0000320C0000}"/>
    <cellStyle name="_KT (2)_5_Book1_BC-QT-WB-dthao_VATTUDIEN_TOM TAT" xfId="19743" xr:uid="{00000000-0005-0000-0000-0000330C0000}"/>
    <cellStyle name="_KT (2)_5_Book1_Book1" xfId="379" xr:uid="{00000000-0005-0000-0000-0000340C0000}"/>
    <cellStyle name="_KT (2)_5_Book1_Book1 2" xfId="3650" xr:uid="{00000000-0005-0000-0000-0000350C0000}"/>
    <cellStyle name="_KT (2)_5_Book1_Book1 3" xfId="17477" xr:uid="{00000000-0005-0000-0000-0000360C0000}"/>
    <cellStyle name="_KT (2)_5_Book1_Book1_1" xfId="380" xr:uid="{00000000-0005-0000-0000-0000370C0000}"/>
    <cellStyle name="_KT (2)_5_Book1_Book1_1 2" xfId="3651" xr:uid="{00000000-0005-0000-0000-0000380C0000}"/>
    <cellStyle name="_KT (2)_5_Book1_Book1_1 3" xfId="17478" xr:uid="{00000000-0005-0000-0000-0000390C0000}"/>
    <cellStyle name="_KT (2)_5_Book1_Book1_1_TOM TAT" xfId="19745" xr:uid="{00000000-0005-0000-0000-00003A0C0000}"/>
    <cellStyle name="_KT (2)_5_Book1_Book1_2" xfId="381" xr:uid="{00000000-0005-0000-0000-00003B0C0000}"/>
    <cellStyle name="_KT (2)_5_Book1_Book1_2 2" xfId="3652" xr:uid="{00000000-0005-0000-0000-00003C0C0000}"/>
    <cellStyle name="_KT (2)_5_Book1_Book1_2 3" xfId="17479" xr:uid="{00000000-0005-0000-0000-00003D0C0000}"/>
    <cellStyle name="_KT (2)_5_Book1_Book1_2_TOM TAT" xfId="19746" xr:uid="{00000000-0005-0000-0000-00003E0C0000}"/>
    <cellStyle name="_KT (2)_5_Book1_Book1_3" xfId="382" xr:uid="{00000000-0005-0000-0000-00003F0C0000}"/>
    <cellStyle name="_KT (2)_5_Book1_Book1_3 2" xfId="3653" xr:uid="{00000000-0005-0000-0000-0000400C0000}"/>
    <cellStyle name="_KT (2)_5_Book1_Book1_3 3" xfId="17480" xr:uid="{00000000-0005-0000-0000-0000410C0000}"/>
    <cellStyle name="_KT (2)_5_Book1_Book1_3_TOM TAT" xfId="19747" xr:uid="{00000000-0005-0000-0000-0000420C0000}"/>
    <cellStyle name="_KT (2)_5_Book1_Book1_TOM TAT" xfId="19744" xr:uid="{00000000-0005-0000-0000-0000430C0000}"/>
    <cellStyle name="_KT (2)_5_Book1_DgklKNHA" xfId="4956" xr:uid="{00000000-0005-0000-0000-0000440C0000}"/>
    <cellStyle name="_KT (2)_5_Book1_dt khoi nha 3trai - VKg (cat xuong) (27-01-05)" xfId="4957" xr:uid="{00000000-0005-0000-0000-0000450C0000}"/>
    <cellStyle name="_KT (2)_5_Book1_Dtoan-LTT-18-01" xfId="4958" xr:uid="{00000000-0005-0000-0000-0000460C0000}"/>
    <cellStyle name="_KT (2)_5_Book1_DU TOAN NGUYEN HUE - GD2 (1-02-05) 1" xfId="4959" xr:uid="{00000000-0005-0000-0000-0000470C0000}"/>
    <cellStyle name="_KT (2)_5_Book1_dutoan dptd" xfId="4960" xr:uid="{00000000-0005-0000-0000-0000480C0000}"/>
    <cellStyle name="_KT (2)_5_Book1_he thong dien" xfId="4961" xr:uid="{00000000-0005-0000-0000-0000490C0000}"/>
    <cellStyle name="_KT (2)_5_Book1_Sheet1" xfId="4962" xr:uid="{00000000-0005-0000-0000-00004A0C0000}"/>
    <cellStyle name="_KT (2)_5_Book1_Sheet2" xfId="4963" xr:uid="{00000000-0005-0000-0000-00004B0C0000}"/>
    <cellStyle name="_KT (2)_5_Book1_TH KE" xfId="383" xr:uid="{00000000-0005-0000-0000-00004C0C0000}"/>
    <cellStyle name="_KT (2)_5_Book1_TH KE 2" xfId="3654" xr:uid="{00000000-0005-0000-0000-00004D0C0000}"/>
    <cellStyle name="_KT (2)_5_Book1_TH KE 3" xfId="17481" xr:uid="{00000000-0005-0000-0000-00004E0C0000}"/>
    <cellStyle name="_KT (2)_5_Book1_TH KE_Book1" xfId="384" xr:uid="{00000000-0005-0000-0000-00004F0C0000}"/>
    <cellStyle name="_KT (2)_5_Book1_TH KE_Book1 2" xfId="3655" xr:uid="{00000000-0005-0000-0000-0000500C0000}"/>
    <cellStyle name="_KT (2)_5_Book1_TH KE_Book1 3" xfId="17482" xr:uid="{00000000-0005-0000-0000-0000510C0000}"/>
    <cellStyle name="_KT (2)_5_Book1_TH KE_Book1_1" xfId="385" xr:uid="{00000000-0005-0000-0000-0000520C0000}"/>
    <cellStyle name="_KT (2)_5_Book1_TH KE_Book1_1 2" xfId="3656" xr:uid="{00000000-0005-0000-0000-0000530C0000}"/>
    <cellStyle name="_KT (2)_5_Book1_TH KE_Book1_1 3" xfId="17483" xr:uid="{00000000-0005-0000-0000-0000540C0000}"/>
    <cellStyle name="_KT (2)_5_Book1_TH KE_Book1_1_TOM TAT" xfId="19750" xr:uid="{00000000-0005-0000-0000-0000550C0000}"/>
    <cellStyle name="_KT (2)_5_Book1_TH KE_Book1_2" xfId="386" xr:uid="{00000000-0005-0000-0000-0000560C0000}"/>
    <cellStyle name="_KT (2)_5_Book1_TH KE_Book1_2 2" xfId="3657" xr:uid="{00000000-0005-0000-0000-0000570C0000}"/>
    <cellStyle name="_KT (2)_5_Book1_TH KE_Book1_2 3" xfId="17484" xr:uid="{00000000-0005-0000-0000-0000580C0000}"/>
    <cellStyle name="_KT (2)_5_Book1_TH KE_Book1_2_TOM TAT" xfId="19751" xr:uid="{00000000-0005-0000-0000-0000590C0000}"/>
    <cellStyle name="_KT (2)_5_Book1_TH KE_Book1_3" xfId="387" xr:uid="{00000000-0005-0000-0000-00005A0C0000}"/>
    <cellStyle name="_KT (2)_5_Book1_TH KE_Book1_3 2" xfId="3658" xr:uid="{00000000-0005-0000-0000-00005B0C0000}"/>
    <cellStyle name="_KT (2)_5_Book1_TH KE_Book1_3 3" xfId="17485" xr:uid="{00000000-0005-0000-0000-00005C0C0000}"/>
    <cellStyle name="_KT (2)_5_Book1_TH KE_Book1_3_TOM TAT" xfId="19752" xr:uid="{00000000-0005-0000-0000-00005D0C0000}"/>
    <cellStyle name="_KT (2)_5_Book1_TH KE_Book1_TOM TAT" xfId="19749" xr:uid="{00000000-0005-0000-0000-00005E0C0000}"/>
    <cellStyle name="_KT (2)_5_Book1_TH KE_TOM TAT" xfId="19748" xr:uid="{00000000-0005-0000-0000-00005F0C0000}"/>
    <cellStyle name="_KT (2)_5_Book1_TH KE_VATTUDIEN" xfId="388" xr:uid="{00000000-0005-0000-0000-0000600C0000}"/>
    <cellStyle name="_KT (2)_5_Book1_TH KE_VATTUDIEN 2" xfId="3659" xr:uid="{00000000-0005-0000-0000-0000610C0000}"/>
    <cellStyle name="_KT (2)_5_Book1_TH KE_VATTUDIEN 3" xfId="17486" xr:uid="{00000000-0005-0000-0000-0000620C0000}"/>
    <cellStyle name="_KT (2)_5_Book1_TH KE_VATTUDIEN_TOM TAT" xfId="19753" xr:uid="{00000000-0005-0000-0000-0000630C0000}"/>
    <cellStyle name="_KT (2)_5_Book1_TOM TAT" xfId="19721" xr:uid="{00000000-0005-0000-0000-0000640C0000}"/>
    <cellStyle name="_KT (2)_5_Book1_VATTUDIEN" xfId="389" xr:uid="{00000000-0005-0000-0000-0000650C0000}"/>
    <cellStyle name="_KT (2)_5_Book1_VATTUDIEN 2" xfId="3660" xr:uid="{00000000-0005-0000-0000-0000660C0000}"/>
    <cellStyle name="_KT (2)_5_Book1_VATTUDIEN 3" xfId="17487" xr:uid="{00000000-0005-0000-0000-0000670C0000}"/>
    <cellStyle name="_KT (2)_5_Book1_VATTUDIEN_TOM TAT" xfId="19754" xr:uid="{00000000-0005-0000-0000-0000680C0000}"/>
    <cellStyle name="_KT (2)_5_DgklKNHA" xfId="4964" xr:uid="{00000000-0005-0000-0000-0000690C0000}"/>
    <cellStyle name="_KT (2)_5_dt khoi nha 3trai - VKg (cat xuong) (27-01-05)" xfId="4965" xr:uid="{00000000-0005-0000-0000-00006A0C0000}"/>
    <cellStyle name="_KT (2)_5_DTCDT MR.2N110.HOCMON.TDTOAN.CCUNG" xfId="390" xr:uid="{00000000-0005-0000-0000-00006B0C0000}"/>
    <cellStyle name="_KT (2)_5_DTCDT MR.2N110.HOCMON.TDTOAN.CCUNG 2" xfId="3661" xr:uid="{00000000-0005-0000-0000-00006C0C0000}"/>
    <cellStyle name="_KT (2)_5_DTCDT MR.2N110.HOCMON.TDTOAN.CCUNG 3" xfId="17488" xr:uid="{00000000-0005-0000-0000-00006D0C0000}"/>
    <cellStyle name="_KT (2)_5_DTCDT MR.2N110.HOCMON.TDTOAN.CCUNG_Book1" xfId="391" xr:uid="{00000000-0005-0000-0000-00006E0C0000}"/>
    <cellStyle name="_KT (2)_5_DTCDT MR.2N110.HOCMON.TDTOAN.CCUNG_Book1 2" xfId="3662" xr:uid="{00000000-0005-0000-0000-00006F0C0000}"/>
    <cellStyle name="_KT (2)_5_DTCDT MR.2N110.HOCMON.TDTOAN.CCUNG_Book1 3" xfId="17489" xr:uid="{00000000-0005-0000-0000-0000700C0000}"/>
    <cellStyle name="_KT (2)_5_DTCDT MR.2N110.HOCMON.TDTOAN.CCUNG_Book1_1" xfId="392" xr:uid="{00000000-0005-0000-0000-0000710C0000}"/>
    <cellStyle name="_KT (2)_5_DTCDT MR.2N110.HOCMON.TDTOAN.CCUNG_Book1_1 2" xfId="3663" xr:uid="{00000000-0005-0000-0000-0000720C0000}"/>
    <cellStyle name="_KT (2)_5_DTCDT MR.2N110.HOCMON.TDTOAN.CCUNG_Book1_1 3" xfId="17490" xr:uid="{00000000-0005-0000-0000-0000730C0000}"/>
    <cellStyle name="_KT (2)_5_DTCDT MR.2N110.HOCMON.TDTOAN.CCUNG_Book1_1_TOM TAT" xfId="19757" xr:uid="{00000000-0005-0000-0000-0000740C0000}"/>
    <cellStyle name="_KT (2)_5_DTCDT MR.2N110.HOCMON.TDTOAN.CCUNG_Book1_2" xfId="393" xr:uid="{00000000-0005-0000-0000-0000750C0000}"/>
    <cellStyle name="_KT (2)_5_DTCDT MR.2N110.HOCMON.TDTOAN.CCUNG_Book1_2 2" xfId="3664" xr:uid="{00000000-0005-0000-0000-0000760C0000}"/>
    <cellStyle name="_KT (2)_5_DTCDT MR.2N110.HOCMON.TDTOAN.CCUNG_Book1_2 3" xfId="17491" xr:uid="{00000000-0005-0000-0000-0000770C0000}"/>
    <cellStyle name="_KT (2)_5_DTCDT MR.2N110.HOCMON.TDTOAN.CCUNG_Book1_2_TOM TAT" xfId="19758" xr:uid="{00000000-0005-0000-0000-0000780C0000}"/>
    <cellStyle name="_KT (2)_5_DTCDT MR.2N110.HOCMON.TDTOAN.CCUNG_Book1_3" xfId="394" xr:uid="{00000000-0005-0000-0000-0000790C0000}"/>
    <cellStyle name="_KT (2)_5_DTCDT MR.2N110.HOCMON.TDTOAN.CCUNG_Book1_3 2" xfId="3665" xr:uid="{00000000-0005-0000-0000-00007A0C0000}"/>
    <cellStyle name="_KT (2)_5_DTCDT MR.2N110.HOCMON.TDTOAN.CCUNG_Book1_3 3" xfId="17492" xr:uid="{00000000-0005-0000-0000-00007B0C0000}"/>
    <cellStyle name="_KT (2)_5_DTCDT MR.2N110.HOCMON.TDTOAN.CCUNG_Book1_3_TOM TAT" xfId="19759" xr:uid="{00000000-0005-0000-0000-00007C0C0000}"/>
    <cellStyle name="_KT (2)_5_DTCDT MR.2N110.HOCMON.TDTOAN.CCUNG_Book1_TOM TAT" xfId="19756" xr:uid="{00000000-0005-0000-0000-00007D0C0000}"/>
    <cellStyle name="_KT (2)_5_DTCDT MR.2N110.HOCMON.TDTOAN.CCUNG_TOM TAT" xfId="19755" xr:uid="{00000000-0005-0000-0000-00007E0C0000}"/>
    <cellStyle name="_KT (2)_5_DTCDT MR.2N110.HOCMON.TDTOAN.CCUNG_VATTUDIEN" xfId="395" xr:uid="{00000000-0005-0000-0000-00007F0C0000}"/>
    <cellStyle name="_KT (2)_5_DTCDT MR.2N110.HOCMON.TDTOAN.CCUNG_VATTUDIEN 2" xfId="3666" xr:uid="{00000000-0005-0000-0000-0000800C0000}"/>
    <cellStyle name="_KT (2)_5_DTCDT MR.2N110.HOCMON.TDTOAN.CCUNG_VATTUDIEN 3" xfId="17493" xr:uid="{00000000-0005-0000-0000-0000810C0000}"/>
    <cellStyle name="_KT (2)_5_DTCDT MR.2N110.HOCMON.TDTOAN.CCUNG_VATTUDIEN_TOM TAT" xfId="19760" xr:uid="{00000000-0005-0000-0000-0000820C0000}"/>
    <cellStyle name="_KT (2)_5_Dtoan-LTT-18-01" xfId="4966" xr:uid="{00000000-0005-0000-0000-0000830C0000}"/>
    <cellStyle name="_KT (2)_5_DU TOAN NGUYEN HUE - GD2 (1-02-05) 1" xfId="4967" xr:uid="{00000000-0005-0000-0000-0000840C0000}"/>
    <cellStyle name="_KT (2)_5_dutoan dien" xfId="4968" xr:uid="{00000000-0005-0000-0000-0000850C0000}"/>
    <cellStyle name="_KT (2)_5_dutoan dptd" xfId="4969" xr:uid="{00000000-0005-0000-0000-0000860C0000}"/>
    <cellStyle name="_KT (2)_5_dutoan nuoc" xfId="4970" xr:uid="{00000000-0005-0000-0000-0000870C0000}"/>
    <cellStyle name="_KT (2)_5_he thong dien" xfId="4971" xr:uid="{00000000-0005-0000-0000-0000880C0000}"/>
    <cellStyle name="_KT (2)_5_Lora-tungchau" xfId="396" xr:uid="{00000000-0005-0000-0000-0000890C0000}"/>
    <cellStyle name="_KT (2)_5_Lora-tungchau 2" xfId="3667" xr:uid="{00000000-0005-0000-0000-00008A0C0000}"/>
    <cellStyle name="_KT (2)_5_Lora-tungchau 3" xfId="17494" xr:uid="{00000000-0005-0000-0000-00008B0C0000}"/>
    <cellStyle name="_KT (2)_5_Lora-tungchau_Book1" xfId="397" xr:uid="{00000000-0005-0000-0000-00008C0C0000}"/>
    <cellStyle name="_KT (2)_5_Lora-tungchau_Book1 2" xfId="3668" xr:uid="{00000000-0005-0000-0000-00008D0C0000}"/>
    <cellStyle name="_KT (2)_5_Lora-tungchau_Book1 3" xfId="17495" xr:uid="{00000000-0005-0000-0000-00008E0C0000}"/>
    <cellStyle name="_KT (2)_5_Lora-tungchau_Book1_1" xfId="398" xr:uid="{00000000-0005-0000-0000-00008F0C0000}"/>
    <cellStyle name="_KT (2)_5_Lora-tungchau_Book1_1 2" xfId="3669" xr:uid="{00000000-0005-0000-0000-0000900C0000}"/>
    <cellStyle name="_KT (2)_5_Lora-tungchau_Book1_1 3" xfId="17496" xr:uid="{00000000-0005-0000-0000-0000910C0000}"/>
    <cellStyle name="_KT (2)_5_Lora-tungchau_Book1_1_TOM TAT" xfId="19763" xr:uid="{00000000-0005-0000-0000-0000920C0000}"/>
    <cellStyle name="_KT (2)_5_Lora-tungchau_Book1_2" xfId="399" xr:uid="{00000000-0005-0000-0000-0000930C0000}"/>
    <cellStyle name="_KT (2)_5_Lora-tungchau_Book1_2 2" xfId="3670" xr:uid="{00000000-0005-0000-0000-0000940C0000}"/>
    <cellStyle name="_KT (2)_5_Lora-tungchau_Book1_2 3" xfId="17497" xr:uid="{00000000-0005-0000-0000-0000950C0000}"/>
    <cellStyle name="_KT (2)_5_Lora-tungchau_Book1_2_TOM TAT" xfId="19764" xr:uid="{00000000-0005-0000-0000-0000960C0000}"/>
    <cellStyle name="_KT (2)_5_Lora-tungchau_Book1_3" xfId="400" xr:uid="{00000000-0005-0000-0000-0000970C0000}"/>
    <cellStyle name="_KT (2)_5_Lora-tungchau_Book1_3 2" xfId="3671" xr:uid="{00000000-0005-0000-0000-0000980C0000}"/>
    <cellStyle name="_KT (2)_5_Lora-tungchau_Book1_3 3" xfId="17498" xr:uid="{00000000-0005-0000-0000-0000990C0000}"/>
    <cellStyle name="_KT (2)_5_Lora-tungchau_Book1_3_TOM TAT" xfId="19765" xr:uid="{00000000-0005-0000-0000-00009A0C0000}"/>
    <cellStyle name="_KT (2)_5_Lora-tungchau_Book1_TOM TAT" xfId="19762" xr:uid="{00000000-0005-0000-0000-00009B0C0000}"/>
    <cellStyle name="_KT (2)_5_Lora-tungchau_TOM TAT" xfId="19761" xr:uid="{00000000-0005-0000-0000-00009C0C0000}"/>
    <cellStyle name="_KT (2)_5_Lora-tungchau_VATTUDIEN" xfId="401" xr:uid="{00000000-0005-0000-0000-00009D0C0000}"/>
    <cellStyle name="_KT (2)_5_Lora-tungchau_VATTUDIEN 2" xfId="3672" xr:uid="{00000000-0005-0000-0000-00009E0C0000}"/>
    <cellStyle name="_KT (2)_5_Lora-tungchau_VATTUDIEN 3" xfId="17499" xr:uid="{00000000-0005-0000-0000-00009F0C0000}"/>
    <cellStyle name="_KT (2)_5_Lora-tungchau_VATTUDIEN_TOM TAT" xfId="19766" xr:uid="{00000000-0005-0000-0000-0000A00C0000}"/>
    <cellStyle name="_KT (2)_5_PGIA-phieu tham tra Kho bac" xfId="402" xr:uid="{00000000-0005-0000-0000-0000A10C0000}"/>
    <cellStyle name="_KT (2)_5_PGIA-phieu tham tra Kho bac 2" xfId="3673" xr:uid="{00000000-0005-0000-0000-0000A20C0000}"/>
    <cellStyle name="_KT (2)_5_PGIA-phieu tham tra Kho bac 3" xfId="17500" xr:uid="{00000000-0005-0000-0000-0000A30C0000}"/>
    <cellStyle name="_KT (2)_5_PGIA-phieu tham tra Kho bac_Book1" xfId="403" xr:uid="{00000000-0005-0000-0000-0000A40C0000}"/>
    <cellStyle name="_KT (2)_5_PGIA-phieu tham tra Kho bac_Book1 2" xfId="3674" xr:uid="{00000000-0005-0000-0000-0000A50C0000}"/>
    <cellStyle name="_KT (2)_5_PGIA-phieu tham tra Kho bac_Book1 3" xfId="17501" xr:uid="{00000000-0005-0000-0000-0000A60C0000}"/>
    <cellStyle name="_KT (2)_5_PGIA-phieu tham tra Kho bac_Book1_1" xfId="404" xr:uid="{00000000-0005-0000-0000-0000A70C0000}"/>
    <cellStyle name="_KT (2)_5_PGIA-phieu tham tra Kho bac_Book1_1 2" xfId="3675" xr:uid="{00000000-0005-0000-0000-0000A80C0000}"/>
    <cellStyle name="_KT (2)_5_PGIA-phieu tham tra Kho bac_Book1_1 3" xfId="17502" xr:uid="{00000000-0005-0000-0000-0000A90C0000}"/>
    <cellStyle name="_KT (2)_5_PGIA-phieu tham tra Kho bac_Book1_1_TOM TAT" xfId="19769" xr:uid="{00000000-0005-0000-0000-0000AA0C0000}"/>
    <cellStyle name="_KT (2)_5_PGIA-phieu tham tra Kho bac_Book1_2" xfId="405" xr:uid="{00000000-0005-0000-0000-0000AB0C0000}"/>
    <cellStyle name="_KT (2)_5_PGIA-phieu tham tra Kho bac_Book1_2 2" xfId="3676" xr:uid="{00000000-0005-0000-0000-0000AC0C0000}"/>
    <cellStyle name="_KT (2)_5_PGIA-phieu tham tra Kho bac_Book1_2 3" xfId="17503" xr:uid="{00000000-0005-0000-0000-0000AD0C0000}"/>
    <cellStyle name="_KT (2)_5_PGIA-phieu tham tra Kho bac_Book1_2_TOM TAT" xfId="19770" xr:uid="{00000000-0005-0000-0000-0000AE0C0000}"/>
    <cellStyle name="_KT (2)_5_PGIA-phieu tham tra Kho bac_Book1_3" xfId="406" xr:uid="{00000000-0005-0000-0000-0000AF0C0000}"/>
    <cellStyle name="_KT (2)_5_PGIA-phieu tham tra Kho bac_Book1_3 2" xfId="3677" xr:uid="{00000000-0005-0000-0000-0000B00C0000}"/>
    <cellStyle name="_KT (2)_5_PGIA-phieu tham tra Kho bac_Book1_3 3" xfId="17504" xr:uid="{00000000-0005-0000-0000-0000B10C0000}"/>
    <cellStyle name="_KT (2)_5_PGIA-phieu tham tra Kho bac_Book1_3_TOM TAT" xfId="19771" xr:uid="{00000000-0005-0000-0000-0000B20C0000}"/>
    <cellStyle name="_KT (2)_5_PGIA-phieu tham tra Kho bac_Book1_TOM TAT" xfId="19768" xr:uid="{00000000-0005-0000-0000-0000B30C0000}"/>
    <cellStyle name="_KT (2)_5_PGIA-phieu tham tra Kho bac_TOM TAT" xfId="19767" xr:uid="{00000000-0005-0000-0000-0000B40C0000}"/>
    <cellStyle name="_KT (2)_5_PGIA-phieu tham tra Kho bac_VATTUDIEN" xfId="407" xr:uid="{00000000-0005-0000-0000-0000B50C0000}"/>
    <cellStyle name="_KT (2)_5_PGIA-phieu tham tra Kho bac_VATTUDIEN 2" xfId="3678" xr:uid="{00000000-0005-0000-0000-0000B60C0000}"/>
    <cellStyle name="_KT (2)_5_PGIA-phieu tham tra Kho bac_VATTUDIEN 3" xfId="17505" xr:uid="{00000000-0005-0000-0000-0000B70C0000}"/>
    <cellStyle name="_KT (2)_5_PGIA-phieu tham tra Kho bac_VATTUDIEN_TOM TAT" xfId="19772" xr:uid="{00000000-0005-0000-0000-0000B80C0000}"/>
    <cellStyle name="_KT (2)_5_PT02-02" xfId="408" xr:uid="{00000000-0005-0000-0000-0000B90C0000}"/>
    <cellStyle name="_KT (2)_5_PT02-02 2" xfId="3679" xr:uid="{00000000-0005-0000-0000-0000BA0C0000}"/>
    <cellStyle name="_KT (2)_5_PT02-02 3" xfId="17506" xr:uid="{00000000-0005-0000-0000-0000BB0C0000}"/>
    <cellStyle name="_KT (2)_5_PT02-02_Book1" xfId="409" xr:uid="{00000000-0005-0000-0000-0000BC0C0000}"/>
    <cellStyle name="_KT (2)_5_PT02-02_Book1 2" xfId="3680" xr:uid="{00000000-0005-0000-0000-0000BD0C0000}"/>
    <cellStyle name="_KT (2)_5_PT02-02_Book1 3" xfId="17507" xr:uid="{00000000-0005-0000-0000-0000BE0C0000}"/>
    <cellStyle name="_KT (2)_5_PT02-02_Book1_1" xfId="410" xr:uid="{00000000-0005-0000-0000-0000BF0C0000}"/>
    <cellStyle name="_KT (2)_5_PT02-02_Book1_1 2" xfId="3681" xr:uid="{00000000-0005-0000-0000-0000C00C0000}"/>
    <cellStyle name="_KT (2)_5_PT02-02_Book1_1 3" xfId="17508" xr:uid="{00000000-0005-0000-0000-0000C10C0000}"/>
    <cellStyle name="_KT (2)_5_PT02-02_Book1_1_TOM TAT" xfId="19775" xr:uid="{00000000-0005-0000-0000-0000C20C0000}"/>
    <cellStyle name="_KT (2)_5_PT02-02_Book1_2" xfId="411" xr:uid="{00000000-0005-0000-0000-0000C30C0000}"/>
    <cellStyle name="_KT (2)_5_PT02-02_Book1_2 2" xfId="3682" xr:uid="{00000000-0005-0000-0000-0000C40C0000}"/>
    <cellStyle name="_KT (2)_5_PT02-02_Book1_2 3" xfId="17509" xr:uid="{00000000-0005-0000-0000-0000C50C0000}"/>
    <cellStyle name="_KT (2)_5_PT02-02_Book1_2_TOM TAT" xfId="19776" xr:uid="{00000000-0005-0000-0000-0000C60C0000}"/>
    <cellStyle name="_KT (2)_5_PT02-02_Book1_3" xfId="412" xr:uid="{00000000-0005-0000-0000-0000C70C0000}"/>
    <cellStyle name="_KT (2)_5_PT02-02_Book1_3 2" xfId="3683" xr:uid="{00000000-0005-0000-0000-0000C80C0000}"/>
    <cellStyle name="_KT (2)_5_PT02-02_Book1_3 3" xfId="17510" xr:uid="{00000000-0005-0000-0000-0000C90C0000}"/>
    <cellStyle name="_KT (2)_5_PT02-02_Book1_3_TOM TAT" xfId="19777" xr:uid="{00000000-0005-0000-0000-0000CA0C0000}"/>
    <cellStyle name="_KT (2)_5_PT02-02_Book1_4" xfId="413" xr:uid="{00000000-0005-0000-0000-0000CB0C0000}"/>
    <cellStyle name="_KT (2)_5_PT02-02_Book1_4 2" xfId="3684" xr:uid="{00000000-0005-0000-0000-0000CC0C0000}"/>
    <cellStyle name="_KT (2)_5_PT02-02_Book1_4 3" xfId="17511" xr:uid="{00000000-0005-0000-0000-0000CD0C0000}"/>
    <cellStyle name="_KT (2)_5_PT02-02_Book1_4_TOM TAT" xfId="19778" xr:uid="{00000000-0005-0000-0000-0000CE0C0000}"/>
    <cellStyle name="_KT (2)_5_PT02-02_Book1_Book1" xfId="414" xr:uid="{00000000-0005-0000-0000-0000CF0C0000}"/>
    <cellStyle name="_KT (2)_5_PT02-02_Book1_Book1 2" xfId="3685" xr:uid="{00000000-0005-0000-0000-0000D00C0000}"/>
    <cellStyle name="_KT (2)_5_PT02-02_Book1_Book1 3" xfId="17512" xr:uid="{00000000-0005-0000-0000-0000D10C0000}"/>
    <cellStyle name="_KT (2)_5_PT02-02_Book1_Book1_1" xfId="415" xr:uid="{00000000-0005-0000-0000-0000D20C0000}"/>
    <cellStyle name="_KT (2)_5_PT02-02_Book1_Book1_1 2" xfId="3686" xr:uid="{00000000-0005-0000-0000-0000D30C0000}"/>
    <cellStyle name="_KT (2)_5_PT02-02_Book1_Book1_1 3" xfId="17513" xr:uid="{00000000-0005-0000-0000-0000D40C0000}"/>
    <cellStyle name="_KT (2)_5_PT02-02_Book1_Book1_1_TOM TAT" xfId="19780" xr:uid="{00000000-0005-0000-0000-0000D50C0000}"/>
    <cellStyle name="_KT (2)_5_PT02-02_Book1_Book1_2" xfId="416" xr:uid="{00000000-0005-0000-0000-0000D60C0000}"/>
    <cellStyle name="_KT (2)_5_PT02-02_Book1_Book1_2 2" xfId="3687" xr:uid="{00000000-0005-0000-0000-0000D70C0000}"/>
    <cellStyle name="_KT (2)_5_PT02-02_Book1_Book1_2 3" xfId="17514" xr:uid="{00000000-0005-0000-0000-0000D80C0000}"/>
    <cellStyle name="_KT (2)_5_PT02-02_Book1_Book1_2_TOM TAT" xfId="19781" xr:uid="{00000000-0005-0000-0000-0000D90C0000}"/>
    <cellStyle name="_KT (2)_5_PT02-02_Book1_Book1_3" xfId="417" xr:uid="{00000000-0005-0000-0000-0000DA0C0000}"/>
    <cellStyle name="_KT (2)_5_PT02-02_Book1_Book1_3 2" xfId="3688" xr:uid="{00000000-0005-0000-0000-0000DB0C0000}"/>
    <cellStyle name="_KT (2)_5_PT02-02_Book1_Book1_3 3" xfId="17515" xr:uid="{00000000-0005-0000-0000-0000DC0C0000}"/>
    <cellStyle name="_KT (2)_5_PT02-02_Book1_Book1_3_TOM TAT" xfId="19782" xr:uid="{00000000-0005-0000-0000-0000DD0C0000}"/>
    <cellStyle name="_KT (2)_5_PT02-02_Book1_Book1_TOM TAT" xfId="19779" xr:uid="{00000000-0005-0000-0000-0000DE0C0000}"/>
    <cellStyle name="_KT (2)_5_PT02-02_Book1_TOM TAT" xfId="19774" xr:uid="{00000000-0005-0000-0000-0000DF0C0000}"/>
    <cellStyle name="_KT (2)_5_PT02-02_Book1_VATTUDIEN" xfId="418" xr:uid="{00000000-0005-0000-0000-0000E00C0000}"/>
    <cellStyle name="_KT (2)_5_PT02-02_Book1_VATTUDIEN 2" xfId="3689" xr:uid="{00000000-0005-0000-0000-0000E10C0000}"/>
    <cellStyle name="_KT (2)_5_PT02-02_Book1_VATTUDIEN 3" xfId="17516" xr:uid="{00000000-0005-0000-0000-0000E20C0000}"/>
    <cellStyle name="_KT (2)_5_PT02-02_Book1_VATTUDIEN_TOM TAT" xfId="19783" xr:uid="{00000000-0005-0000-0000-0000E30C0000}"/>
    <cellStyle name="_KT (2)_5_PT02-02_TOM TAT" xfId="19773" xr:uid="{00000000-0005-0000-0000-0000E40C0000}"/>
    <cellStyle name="_KT (2)_5_PT02-02_VATTUDIEN" xfId="419" xr:uid="{00000000-0005-0000-0000-0000E50C0000}"/>
    <cellStyle name="_KT (2)_5_PT02-02_VATTUDIEN 2" xfId="3690" xr:uid="{00000000-0005-0000-0000-0000E60C0000}"/>
    <cellStyle name="_KT (2)_5_PT02-02_VATTUDIEN 3" xfId="17517" xr:uid="{00000000-0005-0000-0000-0000E70C0000}"/>
    <cellStyle name="_KT (2)_5_PT02-02_VATTUDIEN_TOM TAT" xfId="19784" xr:uid="{00000000-0005-0000-0000-0000E80C0000}"/>
    <cellStyle name="_KT (2)_5_PT02-03" xfId="420" xr:uid="{00000000-0005-0000-0000-0000E90C0000}"/>
    <cellStyle name="_KT (2)_5_PT02-03 2" xfId="3691" xr:uid="{00000000-0005-0000-0000-0000EA0C0000}"/>
    <cellStyle name="_KT (2)_5_PT02-03 3" xfId="17518" xr:uid="{00000000-0005-0000-0000-0000EB0C0000}"/>
    <cellStyle name="_KT (2)_5_PT02-03_Book1" xfId="421" xr:uid="{00000000-0005-0000-0000-0000EC0C0000}"/>
    <cellStyle name="_KT (2)_5_PT02-03_Book1 2" xfId="3692" xr:uid="{00000000-0005-0000-0000-0000ED0C0000}"/>
    <cellStyle name="_KT (2)_5_PT02-03_Book1 3" xfId="17519" xr:uid="{00000000-0005-0000-0000-0000EE0C0000}"/>
    <cellStyle name="_KT (2)_5_PT02-03_Book1_1" xfId="422" xr:uid="{00000000-0005-0000-0000-0000EF0C0000}"/>
    <cellStyle name="_KT (2)_5_PT02-03_Book1_1 2" xfId="3693" xr:uid="{00000000-0005-0000-0000-0000F00C0000}"/>
    <cellStyle name="_KT (2)_5_PT02-03_Book1_1 3" xfId="17520" xr:uid="{00000000-0005-0000-0000-0000F10C0000}"/>
    <cellStyle name="_KT (2)_5_PT02-03_Book1_1_TOM TAT" xfId="19787" xr:uid="{00000000-0005-0000-0000-0000F20C0000}"/>
    <cellStyle name="_KT (2)_5_PT02-03_Book1_2" xfId="423" xr:uid="{00000000-0005-0000-0000-0000F30C0000}"/>
    <cellStyle name="_KT (2)_5_PT02-03_Book1_2 2" xfId="3694" xr:uid="{00000000-0005-0000-0000-0000F40C0000}"/>
    <cellStyle name="_KT (2)_5_PT02-03_Book1_2 3" xfId="17521" xr:uid="{00000000-0005-0000-0000-0000F50C0000}"/>
    <cellStyle name="_KT (2)_5_PT02-03_Book1_2_TOM TAT" xfId="19788" xr:uid="{00000000-0005-0000-0000-0000F60C0000}"/>
    <cellStyle name="_KT (2)_5_PT02-03_Book1_3" xfId="424" xr:uid="{00000000-0005-0000-0000-0000F70C0000}"/>
    <cellStyle name="_KT (2)_5_PT02-03_Book1_3 2" xfId="3695" xr:uid="{00000000-0005-0000-0000-0000F80C0000}"/>
    <cellStyle name="_KT (2)_5_PT02-03_Book1_3 3" xfId="17522" xr:uid="{00000000-0005-0000-0000-0000F90C0000}"/>
    <cellStyle name="_KT (2)_5_PT02-03_Book1_3_TOM TAT" xfId="19789" xr:uid="{00000000-0005-0000-0000-0000FA0C0000}"/>
    <cellStyle name="_KT (2)_5_PT02-03_Book1_4" xfId="425" xr:uid="{00000000-0005-0000-0000-0000FB0C0000}"/>
    <cellStyle name="_KT (2)_5_PT02-03_Book1_4 2" xfId="3696" xr:uid="{00000000-0005-0000-0000-0000FC0C0000}"/>
    <cellStyle name="_KT (2)_5_PT02-03_Book1_4 3" xfId="17523" xr:uid="{00000000-0005-0000-0000-0000FD0C0000}"/>
    <cellStyle name="_KT (2)_5_PT02-03_Book1_4_TOM TAT" xfId="19790" xr:uid="{00000000-0005-0000-0000-0000FE0C0000}"/>
    <cellStyle name="_KT (2)_5_PT02-03_Book1_Book1" xfId="426" xr:uid="{00000000-0005-0000-0000-0000FF0C0000}"/>
    <cellStyle name="_KT (2)_5_PT02-03_Book1_Book1 2" xfId="3697" xr:uid="{00000000-0005-0000-0000-0000000D0000}"/>
    <cellStyle name="_KT (2)_5_PT02-03_Book1_Book1 3" xfId="17524" xr:uid="{00000000-0005-0000-0000-0000010D0000}"/>
    <cellStyle name="_KT (2)_5_PT02-03_Book1_Book1_1" xfId="427" xr:uid="{00000000-0005-0000-0000-0000020D0000}"/>
    <cellStyle name="_KT (2)_5_PT02-03_Book1_Book1_1 2" xfId="3698" xr:uid="{00000000-0005-0000-0000-0000030D0000}"/>
    <cellStyle name="_KT (2)_5_PT02-03_Book1_Book1_1 3" xfId="17525" xr:uid="{00000000-0005-0000-0000-0000040D0000}"/>
    <cellStyle name="_KT (2)_5_PT02-03_Book1_Book1_1_TOM TAT" xfId="19792" xr:uid="{00000000-0005-0000-0000-0000050D0000}"/>
    <cellStyle name="_KT (2)_5_PT02-03_Book1_Book1_2" xfId="428" xr:uid="{00000000-0005-0000-0000-0000060D0000}"/>
    <cellStyle name="_KT (2)_5_PT02-03_Book1_Book1_2 2" xfId="3699" xr:uid="{00000000-0005-0000-0000-0000070D0000}"/>
    <cellStyle name="_KT (2)_5_PT02-03_Book1_Book1_2 3" xfId="17526" xr:uid="{00000000-0005-0000-0000-0000080D0000}"/>
    <cellStyle name="_KT (2)_5_PT02-03_Book1_Book1_2_TOM TAT" xfId="19793" xr:uid="{00000000-0005-0000-0000-0000090D0000}"/>
    <cellStyle name="_KT (2)_5_PT02-03_Book1_Book1_3" xfId="429" xr:uid="{00000000-0005-0000-0000-00000A0D0000}"/>
    <cellStyle name="_KT (2)_5_PT02-03_Book1_Book1_3 2" xfId="3700" xr:uid="{00000000-0005-0000-0000-00000B0D0000}"/>
    <cellStyle name="_KT (2)_5_PT02-03_Book1_Book1_3 3" xfId="17527" xr:uid="{00000000-0005-0000-0000-00000C0D0000}"/>
    <cellStyle name="_KT (2)_5_PT02-03_Book1_Book1_3_TOM TAT" xfId="19794" xr:uid="{00000000-0005-0000-0000-00000D0D0000}"/>
    <cellStyle name="_KT (2)_5_PT02-03_Book1_Book1_TOM TAT" xfId="19791" xr:uid="{00000000-0005-0000-0000-00000E0D0000}"/>
    <cellStyle name="_KT (2)_5_PT02-03_Book1_TOM TAT" xfId="19786" xr:uid="{00000000-0005-0000-0000-00000F0D0000}"/>
    <cellStyle name="_KT (2)_5_PT02-03_Book1_VATTUDIEN" xfId="430" xr:uid="{00000000-0005-0000-0000-0000100D0000}"/>
    <cellStyle name="_KT (2)_5_PT02-03_Book1_VATTUDIEN 2" xfId="3701" xr:uid="{00000000-0005-0000-0000-0000110D0000}"/>
    <cellStyle name="_KT (2)_5_PT02-03_Book1_VATTUDIEN 3" xfId="17528" xr:uid="{00000000-0005-0000-0000-0000120D0000}"/>
    <cellStyle name="_KT (2)_5_PT02-03_Book1_VATTUDIEN_TOM TAT" xfId="19795" xr:uid="{00000000-0005-0000-0000-0000130D0000}"/>
    <cellStyle name="_KT (2)_5_PT02-03_TOM TAT" xfId="19785" xr:uid="{00000000-0005-0000-0000-0000140D0000}"/>
    <cellStyle name="_KT (2)_5_PT02-03_VATTUDIEN" xfId="431" xr:uid="{00000000-0005-0000-0000-0000150D0000}"/>
    <cellStyle name="_KT (2)_5_PT02-03_VATTUDIEN 2" xfId="3702" xr:uid="{00000000-0005-0000-0000-0000160D0000}"/>
    <cellStyle name="_KT (2)_5_PT02-03_VATTUDIEN 3" xfId="17529" xr:uid="{00000000-0005-0000-0000-0000170D0000}"/>
    <cellStyle name="_KT (2)_5_PT02-03_VATTUDIEN_TOM TAT" xfId="19796" xr:uid="{00000000-0005-0000-0000-0000180D0000}"/>
    <cellStyle name="_KT (2)_5_Qt-HT3PQ1(CauKho)" xfId="432" xr:uid="{00000000-0005-0000-0000-0000190D0000}"/>
    <cellStyle name="_KT (2)_5_Qt-HT3PQ1(CauKho) 2" xfId="3703" xr:uid="{00000000-0005-0000-0000-00001A0D0000}"/>
    <cellStyle name="_KT (2)_5_Qt-HT3PQ1(CauKho) 3" xfId="17530" xr:uid="{00000000-0005-0000-0000-00001B0D0000}"/>
    <cellStyle name="_KT (2)_5_Qt-HT3PQ1(CauKho)_Book1" xfId="433" xr:uid="{00000000-0005-0000-0000-00001C0D0000}"/>
    <cellStyle name="_KT (2)_5_Qt-HT3PQ1(CauKho)_Book1 2" xfId="3704" xr:uid="{00000000-0005-0000-0000-00001D0D0000}"/>
    <cellStyle name="_KT (2)_5_Qt-HT3PQ1(CauKho)_Book1 3" xfId="17531" xr:uid="{00000000-0005-0000-0000-00001E0D0000}"/>
    <cellStyle name="_KT (2)_5_Qt-HT3PQ1(CauKho)_Book1_1" xfId="434" xr:uid="{00000000-0005-0000-0000-00001F0D0000}"/>
    <cellStyle name="_KT (2)_5_Qt-HT3PQ1(CauKho)_Book1_1 2" xfId="3705" xr:uid="{00000000-0005-0000-0000-0000200D0000}"/>
    <cellStyle name="_KT (2)_5_Qt-HT3PQ1(CauKho)_Book1_1 3" xfId="17532" xr:uid="{00000000-0005-0000-0000-0000210D0000}"/>
    <cellStyle name="_KT (2)_5_Qt-HT3PQ1(CauKho)_Book1_1_TOM TAT" xfId="19799" xr:uid="{00000000-0005-0000-0000-0000220D0000}"/>
    <cellStyle name="_KT (2)_5_Qt-HT3PQ1(CauKho)_Book1_2" xfId="435" xr:uid="{00000000-0005-0000-0000-0000230D0000}"/>
    <cellStyle name="_KT (2)_5_Qt-HT3PQ1(CauKho)_Book1_2 2" xfId="3706" xr:uid="{00000000-0005-0000-0000-0000240D0000}"/>
    <cellStyle name="_KT (2)_5_Qt-HT3PQ1(CauKho)_Book1_2 3" xfId="17533" xr:uid="{00000000-0005-0000-0000-0000250D0000}"/>
    <cellStyle name="_KT (2)_5_Qt-HT3PQ1(CauKho)_Book1_2_TOM TAT" xfId="19800" xr:uid="{00000000-0005-0000-0000-0000260D0000}"/>
    <cellStyle name="_KT (2)_5_Qt-HT3PQ1(CauKho)_Book1_3" xfId="436" xr:uid="{00000000-0005-0000-0000-0000270D0000}"/>
    <cellStyle name="_KT (2)_5_Qt-HT3PQ1(CauKho)_Book1_3 2" xfId="3707" xr:uid="{00000000-0005-0000-0000-0000280D0000}"/>
    <cellStyle name="_KT (2)_5_Qt-HT3PQ1(CauKho)_Book1_3 3" xfId="17534" xr:uid="{00000000-0005-0000-0000-0000290D0000}"/>
    <cellStyle name="_KT (2)_5_Qt-HT3PQ1(CauKho)_Book1_3_TOM TAT" xfId="19801" xr:uid="{00000000-0005-0000-0000-00002A0D0000}"/>
    <cellStyle name="_KT (2)_5_Qt-HT3PQ1(CauKho)_Book1_TOM TAT" xfId="19798" xr:uid="{00000000-0005-0000-0000-00002B0D0000}"/>
    <cellStyle name="_KT (2)_5_Qt-HT3PQ1(CauKho)_TOM TAT" xfId="19797" xr:uid="{00000000-0005-0000-0000-00002C0D0000}"/>
    <cellStyle name="_KT (2)_5_Qt-HT3PQ1(CauKho)_VATTUDIEN" xfId="437" xr:uid="{00000000-0005-0000-0000-00002D0D0000}"/>
    <cellStyle name="_KT (2)_5_Qt-HT3PQ1(CauKho)_VATTUDIEN 2" xfId="3708" xr:uid="{00000000-0005-0000-0000-00002E0D0000}"/>
    <cellStyle name="_KT (2)_5_Qt-HT3PQ1(CauKho)_VATTUDIEN 3" xfId="17535" xr:uid="{00000000-0005-0000-0000-00002F0D0000}"/>
    <cellStyle name="_KT (2)_5_Qt-HT3PQ1(CauKho)_VATTUDIEN_TOM TAT" xfId="19802" xr:uid="{00000000-0005-0000-0000-0000300D0000}"/>
    <cellStyle name="_KT (2)_5_Sheet1" xfId="4972" xr:uid="{00000000-0005-0000-0000-0000310D0000}"/>
    <cellStyle name="_KT (2)_5_Sheet2" xfId="4973" xr:uid="{00000000-0005-0000-0000-0000320D0000}"/>
    <cellStyle name="_KT (2)_5_TH KE" xfId="438" xr:uid="{00000000-0005-0000-0000-0000330D0000}"/>
    <cellStyle name="_KT (2)_5_TH KE 2" xfId="3709" xr:uid="{00000000-0005-0000-0000-0000340D0000}"/>
    <cellStyle name="_KT (2)_5_TH KE 3" xfId="17536" xr:uid="{00000000-0005-0000-0000-0000350D0000}"/>
    <cellStyle name="_KT (2)_5_TH KE_Book1" xfId="439" xr:uid="{00000000-0005-0000-0000-0000360D0000}"/>
    <cellStyle name="_KT (2)_5_TH KE_Book1 2" xfId="3710" xr:uid="{00000000-0005-0000-0000-0000370D0000}"/>
    <cellStyle name="_KT (2)_5_TH KE_Book1 3" xfId="17537" xr:uid="{00000000-0005-0000-0000-0000380D0000}"/>
    <cellStyle name="_KT (2)_5_TH KE_Book1_1" xfId="440" xr:uid="{00000000-0005-0000-0000-0000390D0000}"/>
    <cellStyle name="_KT (2)_5_TH KE_Book1_1 2" xfId="3711" xr:uid="{00000000-0005-0000-0000-00003A0D0000}"/>
    <cellStyle name="_KT (2)_5_TH KE_Book1_1 3" xfId="17538" xr:uid="{00000000-0005-0000-0000-00003B0D0000}"/>
    <cellStyle name="_KT (2)_5_TH KE_Book1_1_TOM TAT" xfId="19805" xr:uid="{00000000-0005-0000-0000-00003C0D0000}"/>
    <cellStyle name="_KT (2)_5_TH KE_Book1_2" xfId="441" xr:uid="{00000000-0005-0000-0000-00003D0D0000}"/>
    <cellStyle name="_KT (2)_5_TH KE_Book1_2 2" xfId="3712" xr:uid="{00000000-0005-0000-0000-00003E0D0000}"/>
    <cellStyle name="_KT (2)_5_TH KE_Book1_2 3" xfId="17539" xr:uid="{00000000-0005-0000-0000-00003F0D0000}"/>
    <cellStyle name="_KT (2)_5_TH KE_Book1_2_TOM TAT" xfId="19806" xr:uid="{00000000-0005-0000-0000-0000400D0000}"/>
    <cellStyle name="_KT (2)_5_TH KE_Book1_3" xfId="442" xr:uid="{00000000-0005-0000-0000-0000410D0000}"/>
    <cellStyle name="_KT (2)_5_TH KE_Book1_3 2" xfId="3713" xr:uid="{00000000-0005-0000-0000-0000420D0000}"/>
    <cellStyle name="_KT (2)_5_TH KE_Book1_3 3" xfId="17540" xr:uid="{00000000-0005-0000-0000-0000430D0000}"/>
    <cellStyle name="_KT (2)_5_TH KE_Book1_3_TOM TAT" xfId="19807" xr:uid="{00000000-0005-0000-0000-0000440D0000}"/>
    <cellStyle name="_KT (2)_5_TH KE_Book1_TOM TAT" xfId="19804" xr:uid="{00000000-0005-0000-0000-0000450D0000}"/>
    <cellStyle name="_KT (2)_5_TH KE_TOM TAT" xfId="19803" xr:uid="{00000000-0005-0000-0000-0000460D0000}"/>
    <cellStyle name="_KT (2)_5_TH KE_VATTUDIEN" xfId="443" xr:uid="{00000000-0005-0000-0000-0000470D0000}"/>
    <cellStyle name="_KT (2)_5_TH KE_VATTUDIEN 2" xfId="3714" xr:uid="{00000000-0005-0000-0000-0000480D0000}"/>
    <cellStyle name="_KT (2)_5_TH KE_VATTUDIEN 3" xfId="17541" xr:uid="{00000000-0005-0000-0000-0000490D0000}"/>
    <cellStyle name="_KT (2)_5_TH KE_VATTUDIEN_TOM TAT" xfId="19808" xr:uid="{00000000-0005-0000-0000-00004A0D0000}"/>
    <cellStyle name="_KT (2)_5_TOM TAT" xfId="19696" xr:uid="{00000000-0005-0000-0000-00004B0D0000}"/>
    <cellStyle name="_KT (2)_5_VATTUDIEN" xfId="444" xr:uid="{00000000-0005-0000-0000-00004C0D0000}"/>
    <cellStyle name="_KT (2)_5_VATTUDIEN 2" xfId="3715" xr:uid="{00000000-0005-0000-0000-00004D0D0000}"/>
    <cellStyle name="_KT (2)_5_VATTUDIEN 3" xfId="17542" xr:uid="{00000000-0005-0000-0000-00004E0D0000}"/>
    <cellStyle name="_KT (2)_5_VATTUDIEN_TOM TAT" xfId="19809" xr:uid="{00000000-0005-0000-0000-00004F0D0000}"/>
    <cellStyle name="_KT (2)_5_XN3-2005" xfId="445" xr:uid="{00000000-0005-0000-0000-0000500D0000}"/>
    <cellStyle name="_KT (2)_5_XN3-2005 2" xfId="3716" xr:uid="{00000000-0005-0000-0000-0000510D0000}"/>
    <cellStyle name="_KT (2)_5_XN3-2005 3" xfId="17543" xr:uid="{00000000-0005-0000-0000-0000520D0000}"/>
    <cellStyle name="_KT (2)_5_XN3-2005_TOM TAT" xfId="19810" xr:uid="{00000000-0005-0000-0000-0000530D0000}"/>
    <cellStyle name="_KT (2)_Book1" xfId="446" xr:uid="{00000000-0005-0000-0000-0000540D0000}"/>
    <cellStyle name="_KT (2)_Book1 2" xfId="3717" xr:uid="{00000000-0005-0000-0000-0000550D0000}"/>
    <cellStyle name="_KT (2)_Book1 3" xfId="17544" xr:uid="{00000000-0005-0000-0000-0000560D0000}"/>
    <cellStyle name="_KT (2)_Book1_1" xfId="447" xr:uid="{00000000-0005-0000-0000-0000570D0000}"/>
    <cellStyle name="_KT (2)_Book1_1 2" xfId="3718" xr:uid="{00000000-0005-0000-0000-0000580D0000}"/>
    <cellStyle name="_KT (2)_Book1_1 3" xfId="17545" xr:uid="{00000000-0005-0000-0000-0000590D0000}"/>
    <cellStyle name="_KT (2)_Book1_1_TOM TAT" xfId="19812" xr:uid="{00000000-0005-0000-0000-00005A0D0000}"/>
    <cellStyle name="_KT (2)_Book1_2" xfId="448" xr:uid="{00000000-0005-0000-0000-00005B0D0000}"/>
    <cellStyle name="_KT (2)_Book1_2 2" xfId="3719" xr:uid="{00000000-0005-0000-0000-00005C0D0000}"/>
    <cellStyle name="_KT (2)_Book1_2 3" xfId="17546" xr:uid="{00000000-0005-0000-0000-00005D0D0000}"/>
    <cellStyle name="_KT (2)_Book1_2_TOM TAT" xfId="19813" xr:uid="{00000000-0005-0000-0000-00005E0D0000}"/>
    <cellStyle name="_KT (2)_Book1_3" xfId="449" xr:uid="{00000000-0005-0000-0000-00005F0D0000}"/>
    <cellStyle name="_KT (2)_Book1_3 2" xfId="3720" xr:uid="{00000000-0005-0000-0000-0000600D0000}"/>
    <cellStyle name="_KT (2)_Book1_3 3" xfId="17547" xr:uid="{00000000-0005-0000-0000-0000610D0000}"/>
    <cellStyle name="_KT (2)_Book1_3_TOM TAT" xfId="19814" xr:uid="{00000000-0005-0000-0000-0000620D0000}"/>
    <cellStyle name="_KT (2)_Book1_4" xfId="450" xr:uid="{00000000-0005-0000-0000-0000630D0000}"/>
    <cellStyle name="_KT (2)_Book1_4 2" xfId="3721" xr:uid="{00000000-0005-0000-0000-0000640D0000}"/>
    <cellStyle name="_KT (2)_Book1_4 3" xfId="17548" xr:uid="{00000000-0005-0000-0000-0000650D0000}"/>
    <cellStyle name="_KT (2)_Book1_4_TOM TAT" xfId="19815" xr:uid="{00000000-0005-0000-0000-0000660D0000}"/>
    <cellStyle name="_KT (2)_Book1_BC-QT-WB-dthao" xfId="451" xr:uid="{00000000-0005-0000-0000-0000670D0000}"/>
    <cellStyle name="_KT (2)_Book1_BC-QT-WB-dthao 2" xfId="3722" xr:uid="{00000000-0005-0000-0000-0000680D0000}"/>
    <cellStyle name="_KT (2)_Book1_BC-QT-WB-dthao 3" xfId="17549" xr:uid="{00000000-0005-0000-0000-0000690D0000}"/>
    <cellStyle name="_KT (2)_Book1_BC-QT-WB-dthao_Book1" xfId="452" xr:uid="{00000000-0005-0000-0000-00006A0D0000}"/>
    <cellStyle name="_KT (2)_Book1_BC-QT-WB-dthao_Book1 2" xfId="3723" xr:uid="{00000000-0005-0000-0000-00006B0D0000}"/>
    <cellStyle name="_KT (2)_Book1_BC-QT-WB-dthao_Book1 3" xfId="17550" xr:uid="{00000000-0005-0000-0000-00006C0D0000}"/>
    <cellStyle name="_KT (2)_Book1_BC-QT-WB-dthao_Book1_1" xfId="453" xr:uid="{00000000-0005-0000-0000-00006D0D0000}"/>
    <cellStyle name="_KT (2)_Book1_BC-QT-WB-dthao_Book1_1 2" xfId="3724" xr:uid="{00000000-0005-0000-0000-00006E0D0000}"/>
    <cellStyle name="_KT (2)_Book1_BC-QT-WB-dthao_Book1_1 3" xfId="17551" xr:uid="{00000000-0005-0000-0000-00006F0D0000}"/>
    <cellStyle name="_KT (2)_Book1_BC-QT-WB-dthao_Book1_1_TOM TAT" xfId="19818" xr:uid="{00000000-0005-0000-0000-0000700D0000}"/>
    <cellStyle name="_KT (2)_Book1_BC-QT-WB-dthao_Book1_2" xfId="454" xr:uid="{00000000-0005-0000-0000-0000710D0000}"/>
    <cellStyle name="_KT (2)_Book1_BC-QT-WB-dthao_Book1_2 2" xfId="3725" xr:uid="{00000000-0005-0000-0000-0000720D0000}"/>
    <cellStyle name="_KT (2)_Book1_BC-QT-WB-dthao_Book1_2 3" xfId="17552" xr:uid="{00000000-0005-0000-0000-0000730D0000}"/>
    <cellStyle name="_KT (2)_Book1_BC-QT-WB-dthao_Book1_2_TOM TAT" xfId="19819" xr:uid="{00000000-0005-0000-0000-0000740D0000}"/>
    <cellStyle name="_KT (2)_Book1_BC-QT-WB-dthao_Book1_3" xfId="455" xr:uid="{00000000-0005-0000-0000-0000750D0000}"/>
    <cellStyle name="_KT (2)_Book1_BC-QT-WB-dthao_Book1_3 2" xfId="3726" xr:uid="{00000000-0005-0000-0000-0000760D0000}"/>
    <cellStyle name="_KT (2)_Book1_BC-QT-WB-dthao_Book1_3 3" xfId="17553" xr:uid="{00000000-0005-0000-0000-0000770D0000}"/>
    <cellStyle name="_KT (2)_Book1_BC-QT-WB-dthao_Book1_3_TOM TAT" xfId="19820" xr:uid="{00000000-0005-0000-0000-0000780D0000}"/>
    <cellStyle name="_KT (2)_Book1_BC-QT-WB-dthao_Book1_TOM TAT" xfId="19817" xr:uid="{00000000-0005-0000-0000-0000790D0000}"/>
    <cellStyle name="_KT (2)_Book1_BC-QT-WB-dthao_TOM TAT" xfId="19816" xr:uid="{00000000-0005-0000-0000-00007A0D0000}"/>
    <cellStyle name="_KT (2)_Book1_BC-QT-WB-dthao_VATTUDIEN" xfId="456" xr:uid="{00000000-0005-0000-0000-00007B0D0000}"/>
    <cellStyle name="_KT (2)_Book1_BC-QT-WB-dthao_VATTUDIEN 2" xfId="3727" xr:uid="{00000000-0005-0000-0000-00007C0D0000}"/>
    <cellStyle name="_KT (2)_Book1_BC-QT-WB-dthao_VATTUDIEN 3" xfId="17554" xr:uid="{00000000-0005-0000-0000-00007D0D0000}"/>
    <cellStyle name="_KT (2)_Book1_BC-QT-WB-dthao_VATTUDIEN_TOM TAT" xfId="19821" xr:uid="{00000000-0005-0000-0000-00007E0D0000}"/>
    <cellStyle name="_KT (2)_Book1_Book1" xfId="457" xr:uid="{00000000-0005-0000-0000-00007F0D0000}"/>
    <cellStyle name="_KT (2)_Book1_Book1 2" xfId="3728" xr:uid="{00000000-0005-0000-0000-0000800D0000}"/>
    <cellStyle name="_KT (2)_Book1_Book1 3" xfId="17555" xr:uid="{00000000-0005-0000-0000-0000810D0000}"/>
    <cellStyle name="_KT (2)_Book1_Book1_1" xfId="458" xr:uid="{00000000-0005-0000-0000-0000820D0000}"/>
    <cellStyle name="_KT (2)_Book1_Book1_1 2" xfId="3729" xr:uid="{00000000-0005-0000-0000-0000830D0000}"/>
    <cellStyle name="_KT (2)_Book1_Book1_1 3" xfId="17556" xr:uid="{00000000-0005-0000-0000-0000840D0000}"/>
    <cellStyle name="_KT (2)_Book1_Book1_1_TOM TAT" xfId="19823" xr:uid="{00000000-0005-0000-0000-0000850D0000}"/>
    <cellStyle name="_KT (2)_Book1_Book1_2" xfId="459" xr:uid="{00000000-0005-0000-0000-0000860D0000}"/>
    <cellStyle name="_KT (2)_Book1_Book1_2 2" xfId="3730" xr:uid="{00000000-0005-0000-0000-0000870D0000}"/>
    <cellStyle name="_KT (2)_Book1_Book1_2 3" xfId="17557" xr:uid="{00000000-0005-0000-0000-0000880D0000}"/>
    <cellStyle name="_KT (2)_Book1_Book1_2_TOM TAT" xfId="19824" xr:uid="{00000000-0005-0000-0000-0000890D0000}"/>
    <cellStyle name="_KT (2)_Book1_Book1_3" xfId="460" xr:uid="{00000000-0005-0000-0000-00008A0D0000}"/>
    <cellStyle name="_KT (2)_Book1_Book1_3 2" xfId="3731" xr:uid="{00000000-0005-0000-0000-00008B0D0000}"/>
    <cellStyle name="_KT (2)_Book1_Book1_3 3" xfId="17558" xr:uid="{00000000-0005-0000-0000-00008C0D0000}"/>
    <cellStyle name="_KT (2)_Book1_Book1_3_TOM TAT" xfId="19825" xr:uid="{00000000-0005-0000-0000-00008D0D0000}"/>
    <cellStyle name="_KT (2)_Book1_Book1_TOM TAT" xfId="19822" xr:uid="{00000000-0005-0000-0000-00008E0D0000}"/>
    <cellStyle name="_KT (2)_Book1_TOM TAT" xfId="19811" xr:uid="{00000000-0005-0000-0000-00008F0D0000}"/>
    <cellStyle name="_KT (2)_Book1_VATTUDIEN" xfId="461" xr:uid="{00000000-0005-0000-0000-0000900D0000}"/>
    <cellStyle name="_KT (2)_Book1_VATTUDIEN 2" xfId="3732" xr:uid="{00000000-0005-0000-0000-0000910D0000}"/>
    <cellStyle name="_KT (2)_Book1_VATTUDIEN 3" xfId="17559" xr:uid="{00000000-0005-0000-0000-0000920D0000}"/>
    <cellStyle name="_KT (2)_Book1_VATTUDIEN_TOM TAT" xfId="19826" xr:uid="{00000000-0005-0000-0000-0000930D0000}"/>
    <cellStyle name="_KT (2)_Lora-tungchau" xfId="462" xr:uid="{00000000-0005-0000-0000-0000940D0000}"/>
    <cellStyle name="_KT (2)_Lora-tungchau 2" xfId="3733" xr:uid="{00000000-0005-0000-0000-0000950D0000}"/>
    <cellStyle name="_KT (2)_Lora-tungchau 3" xfId="17560" xr:uid="{00000000-0005-0000-0000-0000960D0000}"/>
    <cellStyle name="_KT (2)_Lora-tungchau_Book1" xfId="463" xr:uid="{00000000-0005-0000-0000-0000970D0000}"/>
    <cellStyle name="_KT (2)_Lora-tungchau_Book1 2" xfId="3734" xr:uid="{00000000-0005-0000-0000-0000980D0000}"/>
    <cellStyle name="_KT (2)_Lora-tungchau_Book1 3" xfId="17561" xr:uid="{00000000-0005-0000-0000-0000990D0000}"/>
    <cellStyle name="_KT (2)_Lora-tungchau_Book1_1" xfId="464" xr:uid="{00000000-0005-0000-0000-00009A0D0000}"/>
    <cellStyle name="_KT (2)_Lora-tungchau_Book1_1 2" xfId="3735" xr:uid="{00000000-0005-0000-0000-00009B0D0000}"/>
    <cellStyle name="_KT (2)_Lora-tungchau_Book1_1 3" xfId="17562" xr:uid="{00000000-0005-0000-0000-00009C0D0000}"/>
    <cellStyle name="_KT (2)_Lora-tungchau_Book1_1_TOM TAT" xfId="19829" xr:uid="{00000000-0005-0000-0000-00009D0D0000}"/>
    <cellStyle name="_KT (2)_Lora-tungchau_Book1_2" xfId="465" xr:uid="{00000000-0005-0000-0000-00009E0D0000}"/>
    <cellStyle name="_KT (2)_Lora-tungchau_Book1_2 2" xfId="3736" xr:uid="{00000000-0005-0000-0000-00009F0D0000}"/>
    <cellStyle name="_KT (2)_Lora-tungchau_Book1_2 3" xfId="17563" xr:uid="{00000000-0005-0000-0000-0000A00D0000}"/>
    <cellStyle name="_KT (2)_Lora-tungchau_Book1_2_TOM TAT" xfId="19830" xr:uid="{00000000-0005-0000-0000-0000A10D0000}"/>
    <cellStyle name="_KT (2)_Lora-tungchau_Book1_3" xfId="466" xr:uid="{00000000-0005-0000-0000-0000A20D0000}"/>
    <cellStyle name="_KT (2)_Lora-tungchau_Book1_3 2" xfId="3737" xr:uid="{00000000-0005-0000-0000-0000A30D0000}"/>
    <cellStyle name="_KT (2)_Lora-tungchau_Book1_3 3" xfId="17564" xr:uid="{00000000-0005-0000-0000-0000A40D0000}"/>
    <cellStyle name="_KT (2)_Lora-tungchau_Book1_3_TOM TAT" xfId="19831" xr:uid="{00000000-0005-0000-0000-0000A50D0000}"/>
    <cellStyle name="_KT (2)_Lora-tungchau_Book1_TOM TAT" xfId="19828" xr:uid="{00000000-0005-0000-0000-0000A60D0000}"/>
    <cellStyle name="_KT (2)_Lora-tungchau_TOM TAT" xfId="19827" xr:uid="{00000000-0005-0000-0000-0000A70D0000}"/>
    <cellStyle name="_KT (2)_Lora-tungchau_VATTUDIEN" xfId="467" xr:uid="{00000000-0005-0000-0000-0000A80D0000}"/>
    <cellStyle name="_KT (2)_Lora-tungchau_VATTUDIEN 2" xfId="3738" xr:uid="{00000000-0005-0000-0000-0000A90D0000}"/>
    <cellStyle name="_KT (2)_Lora-tungchau_VATTUDIEN 3" xfId="17565" xr:uid="{00000000-0005-0000-0000-0000AA0D0000}"/>
    <cellStyle name="_KT (2)_Lora-tungchau_VATTUDIEN_TOM TAT" xfId="19832" xr:uid="{00000000-0005-0000-0000-0000AB0D0000}"/>
    <cellStyle name="_KT (2)_PERSONAL" xfId="468" xr:uid="{00000000-0005-0000-0000-0000AC0D0000}"/>
    <cellStyle name="_KT (2)_PERSONAL 2" xfId="3739" xr:uid="{00000000-0005-0000-0000-0000AD0D0000}"/>
    <cellStyle name="_KT (2)_PERSONAL 3" xfId="17566" xr:uid="{00000000-0005-0000-0000-0000AE0D0000}"/>
    <cellStyle name="_KT (2)_PERSONAL_Book1" xfId="469" xr:uid="{00000000-0005-0000-0000-0000AF0D0000}"/>
    <cellStyle name="_KT (2)_PERSONAL_Book1 2" xfId="3740" xr:uid="{00000000-0005-0000-0000-0000B00D0000}"/>
    <cellStyle name="_KT (2)_PERSONAL_Book1 3" xfId="17567" xr:uid="{00000000-0005-0000-0000-0000B10D0000}"/>
    <cellStyle name="_KT (2)_PERSONAL_Book1_1" xfId="470" xr:uid="{00000000-0005-0000-0000-0000B20D0000}"/>
    <cellStyle name="_KT (2)_PERSONAL_Book1_1 2" xfId="3741" xr:uid="{00000000-0005-0000-0000-0000B30D0000}"/>
    <cellStyle name="_KT (2)_PERSONAL_Book1_1 3" xfId="17568" xr:uid="{00000000-0005-0000-0000-0000B40D0000}"/>
    <cellStyle name="_KT (2)_PERSONAL_Book1_1_TOM TAT" xfId="19835" xr:uid="{00000000-0005-0000-0000-0000B50D0000}"/>
    <cellStyle name="_KT (2)_PERSONAL_Book1_2" xfId="471" xr:uid="{00000000-0005-0000-0000-0000B60D0000}"/>
    <cellStyle name="_KT (2)_PERSONAL_Book1_2 2" xfId="3742" xr:uid="{00000000-0005-0000-0000-0000B70D0000}"/>
    <cellStyle name="_KT (2)_PERSONAL_Book1_2 3" xfId="17569" xr:uid="{00000000-0005-0000-0000-0000B80D0000}"/>
    <cellStyle name="_KT (2)_PERSONAL_Book1_2_TOM TAT" xfId="19836" xr:uid="{00000000-0005-0000-0000-0000B90D0000}"/>
    <cellStyle name="_KT (2)_PERSONAL_Book1_3" xfId="472" xr:uid="{00000000-0005-0000-0000-0000BA0D0000}"/>
    <cellStyle name="_KT (2)_PERSONAL_Book1_3 2" xfId="3743" xr:uid="{00000000-0005-0000-0000-0000BB0D0000}"/>
    <cellStyle name="_KT (2)_PERSONAL_Book1_3 3" xfId="17570" xr:uid="{00000000-0005-0000-0000-0000BC0D0000}"/>
    <cellStyle name="_KT (2)_PERSONAL_Book1_3_TOM TAT" xfId="19837" xr:uid="{00000000-0005-0000-0000-0000BD0D0000}"/>
    <cellStyle name="_KT (2)_PERSONAL_Book1_4" xfId="473" xr:uid="{00000000-0005-0000-0000-0000BE0D0000}"/>
    <cellStyle name="_KT (2)_PERSONAL_Book1_4 2" xfId="3744" xr:uid="{00000000-0005-0000-0000-0000BF0D0000}"/>
    <cellStyle name="_KT (2)_PERSONAL_Book1_4 3" xfId="17571" xr:uid="{00000000-0005-0000-0000-0000C00D0000}"/>
    <cellStyle name="_KT (2)_PERSONAL_Book1_4_TOM TAT" xfId="19838" xr:uid="{00000000-0005-0000-0000-0000C10D0000}"/>
    <cellStyle name="_KT (2)_PERSONAL_Book1_Book1" xfId="474" xr:uid="{00000000-0005-0000-0000-0000C20D0000}"/>
    <cellStyle name="_KT (2)_PERSONAL_Book1_Book1 2" xfId="3745" xr:uid="{00000000-0005-0000-0000-0000C30D0000}"/>
    <cellStyle name="_KT (2)_PERSONAL_Book1_Book1 3" xfId="17572" xr:uid="{00000000-0005-0000-0000-0000C40D0000}"/>
    <cellStyle name="_KT (2)_PERSONAL_Book1_Book1_1" xfId="475" xr:uid="{00000000-0005-0000-0000-0000C50D0000}"/>
    <cellStyle name="_KT (2)_PERSONAL_Book1_Book1_1 2" xfId="3746" xr:uid="{00000000-0005-0000-0000-0000C60D0000}"/>
    <cellStyle name="_KT (2)_PERSONAL_Book1_Book1_1 3" xfId="17573" xr:uid="{00000000-0005-0000-0000-0000C70D0000}"/>
    <cellStyle name="_KT (2)_PERSONAL_Book1_Book1_1_TOM TAT" xfId="19840" xr:uid="{00000000-0005-0000-0000-0000C80D0000}"/>
    <cellStyle name="_KT (2)_PERSONAL_Book1_Book1_2" xfId="476" xr:uid="{00000000-0005-0000-0000-0000C90D0000}"/>
    <cellStyle name="_KT (2)_PERSONAL_Book1_Book1_2 2" xfId="3747" xr:uid="{00000000-0005-0000-0000-0000CA0D0000}"/>
    <cellStyle name="_KT (2)_PERSONAL_Book1_Book1_2 3" xfId="17574" xr:uid="{00000000-0005-0000-0000-0000CB0D0000}"/>
    <cellStyle name="_KT (2)_PERSONAL_Book1_Book1_2_TOM TAT" xfId="19841" xr:uid="{00000000-0005-0000-0000-0000CC0D0000}"/>
    <cellStyle name="_KT (2)_PERSONAL_Book1_Book1_3" xfId="477" xr:uid="{00000000-0005-0000-0000-0000CD0D0000}"/>
    <cellStyle name="_KT (2)_PERSONAL_Book1_Book1_3 2" xfId="3748" xr:uid="{00000000-0005-0000-0000-0000CE0D0000}"/>
    <cellStyle name="_KT (2)_PERSONAL_Book1_Book1_3 3" xfId="17575" xr:uid="{00000000-0005-0000-0000-0000CF0D0000}"/>
    <cellStyle name="_KT (2)_PERSONAL_Book1_Book1_3_TOM TAT" xfId="19842" xr:uid="{00000000-0005-0000-0000-0000D00D0000}"/>
    <cellStyle name="_KT (2)_PERSONAL_Book1_Book1_TOM TAT" xfId="19839" xr:uid="{00000000-0005-0000-0000-0000D10D0000}"/>
    <cellStyle name="_KT (2)_PERSONAL_Book1_TOM TAT" xfId="19834" xr:uid="{00000000-0005-0000-0000-0000D20D0000}"/>
    <cellStyle name="_KT (2)_PERSONAL_Book1_VATTUDIEN" xfId="478" xr:uid="{00000000-0005-0000-0000-0000D30D0000}"/>
    <cellStyle name="_KT (2)_PERSONAL_Book1_VATTUDIEN 2" xfId="3749" xr:uid="{00000000-0005-0000-0000-0000D40D0000}"/>
    <cellStyle name="_KT (2)_PERSONAL_Book1_VATTUDIEN 3" xfId="17576" xr:uid="{00000000-0005-0000-0000-0000D50D0000}"/>
    <cellStyle name="_KT (2)_PERSONAL_Book1_VATTUDIEN_TOM TAT" xfId="19843" xr:uid="{00000000-0005-0000-0000-0000D60D0000}"/>
    <cellStyle name="_KT (2)_PERSONAL_HTQ.8 GD1" xfId="479" xr:uid="{00000000-0005-0000-0000-0000D70D0000}"/>
    <cellStyle name="_KT (2)_PERSONAL_HTQ.8 GD1 2" xfId="3750" xr:uid="{00000000-0005-0000-0000-0000D80D0000}"/>
    <cellStyle name="_KT (2)_PERSONAL_HTQ.8 GD1 3" xfId="17577" xr:uid="{00000000-0005-0000-0000-0000D90D0000}"/>
    <cellStyle name="_KT (2)_PERSONAL_HTQ.8 GD1_Book1" xfId="480" xr:uid="{00000000-0005-0000-0000-0000DA0D0000}"/>
    <cellStyle name="_KT (2)_PERSONAL_HTQ.8 GD1_Book1 2" xfId="3751" xr:uid="{00000000-0005-0000-0000-0000DB0D0000}"/>
    <cellStyle name="_KT (2)_PERSONAL_HTQ.8 GD1_Book1 3" xfId="17578" xr:uid="{00000000-0005-0000-0000-0000DC0D0000}"/>
    <cellStyle name="_KT (2)_PERSONAL_HTQ.8 GD1_Book1_1" xfId="481" xr:uid="{00000000-0005-0000-0000-0000DD0D0000}"/>
    <cellStyle name="_KT (2)_PERSONAL_HTQ.8 GD1_Book1_1 2" xfId="3752" xr:uid="{00000000-0005-0000-0000-0000DE0D0000}"/>
    <cellStyle name="_KT (2)_PERSONAL_HTQ.8 GD1_Book1_1 3" xfId="17579" xr:uid="{00000000-0005-0000-0000-0000DF0D0000}"/>
    <cellStyle name="_KT (2)_PERSONAL_HTQ.8 GD1_Book1_1_TOM TAT" xfId="19846" xr:uid="{00000000-0005-0000-0000-0000E00D0000}"/>
    <cellStyle name="_KT (2)_PERSONAL_HTQ.8 GD1_Book1_2" xfId="482" xr:uid="{00000000-0005-0000-0000-0000E10D0000}"/>
    <cellStyle name="_KT (2)_PERSONAL_HTQ.8 GD1_Book1_2 2" xfId="3753" xr:uid="{00000000-0005-0000-0000-0000E20D0000}"/>
    <cellStyle name="_KT (2)_PERSONAL_HTQ.8 GD1_Book1_2 3" xfId="17580" xr:uid="{00000000-0005-0000-0000-0000E30D0000}"/>
    <cellStyle name="_KT (2)_PERSONAL_HTQ.8 GD1_Book1_2_TOM TAT" xfId="19847" xr:uid="{00000000-0005-0000-0000-0000E40D0000}"/>
    <cellStyle name="_KT (2)_PERSONAL_HTQ.8 GD1_Book1_3" xfId="483" xr:uid="{00000000-0005-0000-0000-0000E50D0000}"/>
    <cellStyle name="_KT (2)_PERSONAL_HTQ.8 GD1_Book1_3 2" xfId="3754" xr:uid="{00000000-0005-0000-0000-0000E60D0000}"/>
    <cellStyle name="_KT (2)_PERSONAL_HTQ.8 GD1_Book1_3 3" xfId="17581" xr:uid="{00000000-0005-0000-0000-0000E70D0000}"/>
    <cellStyle name="_KT (2)_PERSONAL_HTQ.8 GD1_Book1_3_TOM TAT" xfId="19848" xr:uid="{00000000-0005-0000-0000-0000E80D0000}"/>
    <cellStyle name="_KT (2)_PERSONAL_HTQ.8 GD1_Book1_TOM TAT" xfId="19845" xr:uid="{00000000-0005-0000-0000-0000E90D0000}"/>
    <cellStyle name="_KT (2)_PERSONAL_HTQ.8 GD1_TOM TAT" xfId="19844" xr:uid="{00000000-0005-0000-0000-0000EA0D0000}"/>
    <cellStyle name="_KT (2)_PERSONAL_HTQ.8 GD1_VATTUDIEN" xfId="484" xr:uid="{00000000-0005-0000-0000-0000EB0D0000}"/>
    <cellStyle name="_KT (2)_PERSONAL_HTQ.8 GD1_VATTUDIEN 2" xfId="3755" xr:uid="{00000000-0005-0000-0000-0000EC0D0000}"/>
    <cellStyle name="_KT (2)_PERSONAL_HTQ.8 GD1_VATTUDIEN 3" xfId="17582" xr:uid="{00000000-0005-0000-0000-0000ED0D0000}"/>
    <cellStyle name="_KT (2)_PERSONAL_HTQ.8 GD1_VATTUDIEN_TOM TAT" xfId="19849" xr:uid="{00000000-0005-0000-0000-0000EE0D0000}"/>
    <cellStyle name="_KT (2)_PERSONAL_TH KE" xfId="485" xr:uid="{00000000-0005-0000-0000-0000EF0D0000}"/>
    <cellStyle name="_KT (2)_PERSONAL_TH KE 2" xfId="3756" xr:uid="{00000000-0005-0000-0000-0000F00D0000}"/>
    <cellStyle name="_KT (2)_PERSONAL_TH KE 3" xfId="17583" xr:uid="{00000000-0005-0000-0000-0000F10D0000}"/>
    <cellStyle name="_KT (2)_PERSONAL_TH KE_Book1" xfId="486" xr:uid="{00000000-0005-0000-0000-0000F20D0000}"/>
    <cellStyle name="_KT (2)_PERSONAL_TH KE_Book1 2" xfId="3757" xr:uid="{00000000-0005-0000-0000-0000F30D0000}"/>
    <cellStyle name="_KT (2)_PERSONAL_TH KE_Book1 3" xfId="17584" xr:uid="{00000000-0005-0000-0000-0000F40D0000}"/>
    <cellStyle name="_KT (2)_PERSONAL_TH KE_Book1_1" xfId="487" xr:uid="{00000000-0005-0000-0000-0000F50D0000}"/>
    <cellStyle name="_KT (2)_PERSONAL_TH KE_Book1_1 2" xfId="3758" xr:uid="{00000000-0005-0000-0000-0000F60D0000}"/>
    <cellStyle name="_KT (2)_PERSONAL_TH KE_Book1_1 3" xfId="17585" xr:uid="{00000000-0005-0000-0000-0000F70D0000}"/>
    <cellStyle name="_KT (2)_PERSONAL_TH KE_Book1_1_TOM TAT" xfId="19852" xr:uid="{00000000-0005-0000-0000-0000F80D0000}"/>
    <cellStyle name="_KT (2)_PERSONAL_TH KE_Book1_2" xfId="488" xr:uid="{00000000-0005-0000-0000-0000F90D0000}"/>
    <cellStyle name="_KT (2)_PERSONAL_TH KE_Book1_2 2" xfId="3759" xr:uid="{00000000-0005-0000-0000-0000FA0D0000}"/>
    <cellStyle name="_KT (2)_PERSONAL_TH KE_Book1_2 3" xfId="17586" xr:uid="{00000000-0005-0000-0000-0000FB0D0000}"/>
    <cellStyle name="_KT (2)_PERSONAL_TH KE_Book1_2_TOM TAT" xfId="19853" xr:uid="{00000000-0005-0000-0000-0000FC0D0000}"/>
    <cellStyle name="_KT (2)_PERSONAL_TH KE_Book1_3" xfId="489" xr:uid="{00000000-0005-0000-0000-0000FD0D0000}"/>
    <cellStyle name="_KT (2)_PERSONAL_TH KE_Book1_3 2" xfId="3760" xr:uid="{00000000-0005-0000-0000-0000FE0D0000}"/>
    <cellStyle name="_KT (2)_PERSONAL_TH KE_Book1_3 3" xfId="17587" xr:uid="{00000000-0005-0000-0000-0000FF0D0000}"/>
    <cellStyle name="_KT (2)_PERSONAL_TH KE_Book1_3_TOM TAT" xfId="19854" xr:uid="{00000000-0005-0000-0000-0000000E0000}"/>
    <cellStyle name="_KT (2)_PERSONAL_TH KE_Book1_TOM TAT" xfId="19851" xr:uid="{00000000-0005-0000-0000-0000010E0000}"/>
    <cellStyle name="_KT (2)_PERSONAL_TH KE_TOM TAT" xfId="19850" xr:uid="{00000000-0005-0000-0000-0000020E0000}"/>
    <cellStyle name="_KT (2)_PERSONAL_TH KE_VATTUDIEN" xfId="490" xr:uid="{00000000-0005-0000-0000-0000030E0000}"/>
    <cellStyle name="_KT (2)_PERSONAL_TH KE_VATTUDIEN 2" xfId="3761" xr:uid="{00000000-0005-0000-0000-0000040E0000}"/>
    <cellStyle name="_KT (2)_PERSONAL_TH KE_VATTUDIEN 3" xfId="17588" xr:uid="{00000000-0005-0000-0000-0000050E0000}"/>
    <cellStyle name="_KT (2)_PERSONAL_TH KE_VATTUDIEN_TOM TAT" xfId="19855" xr:uid="{00000000-0005-0000-0000-0000060E0000}"/>
    <cellStyle name="_KT (2)_PERSONAL_TOM TAT" xfId="19833" xr:uid="{00000000-0005-0000-0000-0000070E0000}"/>
    <cellStyle name="_KT (2)_PERSONAL_Tong hop KHCB 2001" xfId="491" xr:uid="{00000000-0005-0000-0000-0000080E0000}"/>
    <cellStyle name="_KT (2)_PERSONAL_Tong hop KHCB 2001 2" xfId="3762" xr:uid="{00000000-0005-0000-0000-0000090E0000}"/>
    <cellStyle name="_KT (2)_PERSONAL_Tong hop KHCB 2001 3" xfId="17589" xr:uid="{00000000-0005-0000-0000-00000A0E0000}"/>
    <cellStyle name="_KT (2)_PERSONAL_Tong hop KHCB 2001_Book1" xfId="492" xr:uid="{00000000-0005-0000-0000-00000B0E0000}"/>
    <cellStyle name="_KT (2)_PERSONAL_Tong hop KHCB 2001_Book1 2" xfId="3763" xr:uid="{00000000-0005-0000-0000-00000C0E0000}"/>
    <cellStyle name="_KT (2)_PERSONAL_Tong hop KHCB 2001_Book1 3" xfId="17590" xr:uid="{00000000-0005-0000-0000-00000D0E0000}"/>
    <cellStyle name="_KT (2)_PERSONAL_Tong hop KHCB 2001_Book1_1" xfId="493" xr:uid="{00000000-0005-0000-0000-00000E0E0000}"/>
    <cellStyle name="_KT (2)_PERSONAL_Tong hop KHCB 2001_Book1_1 2" xfId="3764" xr:uid="{00000000-0005-0000-0000-00000F0E0000}"/>
    <cellStyle name="_KT (2)_PERSONAL_Tong hop KHCB 2001_Book1_1 3" xfId="17591" xr:uid="{00000000-0005-0000-0000-0000100E0000}"/>
    <cellStyle name="_KT (2)_PERSONAL_Tong hop KHCB 2001_Book1_1_TOM TAT" xfId="19858" xr:uid="{00000000-0005-0000-0000-0000110E0000}"/>
    <cellStyle name="_KT (2)_PERSONAL_Tong hop KHCB 2001_Book1_2" xfId="494" xr:uid="{00000000-0005-0000-0000-0000120E0000}"/>
    <cellStyle name="_KT (2)_PERSONAL_Tong hop KHCB 2001_Book1_2 2" xfId="3765" xr:uid="{00000000-0005-0000-0000-0000130E0000}"/>
    <cellStyle name="_KT (2)_PERSONAL_Tong hop KHCB 2001_Book1_2 3" xfId="17592" xr:uid="{00000000-0005-0000-0000-0000140E0000}"/>
    <cellStyle name="_KT (2)_PERSONAL_Tong hop KHCB 2001_Book1_2_TOM TAT" xfId="19859" xr:uid="{00000000-0005-0000-0000-0000150E0000}"/>
    <cellStyle name="_KT (2)_PERSONAL_Tong hop KHCB 2001_Book1_3" xfId="495" xr:uid="{00000000-0005-0000-0000-0000160E0000}"/>
    <cellStyle name="_KT (2)_PERSONAL_Tong hop KHCB 2001_Book1_3 2" xfId="3766" xr:uid="{00000000-0005-0000-0000-0000170E0000}"/>
    <cellStyle name="_KT (2)_PERSONAL_Tong hop KHCB 2001_Book1_3 3" xfId="17593" xr:uid="{00000000-0005-0000-0000-0000180E0000}"/>
    <cellStyle name="_KT (2)_PERSONAL_Tong hop KHCB 2001_Book1_3_TOM TAT" xfId="19860" xr:uid="{00000000-0005-0000-0000-0000190E0000}"/>
    <cellStyle name="_KT (2)_PERSONAL_Tong hop KHCB 2001_Book1_TOM TAT" xfId="19857" xr:uid="{00000000-0005-0000-0000-00001A0E0000}"/>
    <cellStyle name="_KT (2)_PERSONAL_Tong hop KHCB 2001_TOM TAT" xfId="19856" xr:uid="{00000000-0005-0000-0000-00001B0E0000}"/>
    <cellStyle name="_KT (2)_PERSONAL_Tong hop KHCB 2001_VATTUDIEN" xfId="496" xr:uid="{00000000-0005-0000-0000-00001C0E0000}"/>
    <cellStyle name="_KT (2)_PERSONAL_Tong hop KHCB 2001_VATTUDIEN 2" xfId="3767" xr:uid="{00000000-0005-0000-0000-00001D0E0000}"/>
    <cellStyle name="_KT (2)_PERSONAL_Tong hop KHCB 2001_VATTUDIEN 3" xfId="17594" xr:uid="{00000000-0005-0000-0000-00001E0E0000}"/>
    <cellStyle name="_KT (2)_PERSONAL_Tong hop KHCB 2001_VATTUDIEN_TOM TAT" xfId="19861" xr:uid="{00000000-0005-0000-0000-00001F0E0000}"/>
    <cellStyle name="_KT (2)_PERSONAL_VATTUDIEN" xfId="497" xr:uid="{00000000-0005-0000-0000-0000200E0000}"/>
    <cellStyle name="_KT (2)_PERSONAL_VATTUDIEN 2" xfId="3768" xr:uid="{00000000-0005-0000-0000-0000210E0000}"/>
    <cellStyle name="_KT (2)_PERSONAL_VATTUDIEN 3" xfId="17595" xr:uid="{00000000-0005-0000-0000-0000220E0000}"/>
    <cellStyle name="_KT (2)_PERSONAL_VATTUDIEN_TOM TAT" xfId="19862" xr:uid="{00000000-0005-0000-0000-0000230E0000}"/>
    <cellStyle name="_KT (2)_Qt-HT3PQ1(CauKho)" xfId="498" xr:uid="{00000000-0005-0000-0000-0000240E0000}"/>
    <cellStyle name="_KT (2)_Qt-HT3PQ1(CauKho) 2" xfId="3769" xr:uid="{00000000-0005-0000-0000-0000250E0000}"/>
    <cellStyle name="_KT (2)_Qt-HT3PQ1(CauKho) 3" xfId="17596" xr:uid="{00000000-0005-0000-0000-0000260E0000}"/>
    <cellStyle name="_KT (2)_Qt-HT3PQ1(CauKho)_Book1" xfId="499" xr:uid="{00000000-0005-0000-0000-0000270E0000}"/>
    <cellStyle name="_KT (2)_Qt-HT3PQ1(CauKho)_Book1 2" xfId="3770" xr:uid="{00000000-0005-0000-0000-0000280E0000}"/>
    <cellStyle name="_KT (2)_Qt-HT3PQ1(CauKho)_Book1 3" xfId="17597" xr:uid="{00000000-0005-0000-0000-0000290E0000}"/>
    <cellStyle name="_KT (2)_Qt-HT3PQ1(CauKho)_Book1_1" xfId="500" xr:uid="{00000000-0005-0000-0000-00002A0E0000}"/>
    <cellStyle name="_KT (2)_Qt-HT3PQ1(CauKho)_Book1_1 2" xfId="3771" xr:uid="{00000000-0005-0000-0000-00002B0E0000}"/>
    <cellStyle name="_KT (2)_Qt-HT3PQ1(CauKho)_Book1_1 3" xfId="17598" xr:uid="{00000000-0005-0000-0000-00002C0E0000}"/>
    <cellStyle name="_KT (2)_Qt-HT3PQ1(CauKho)_Book1_1_TOM TAT" xfId="19865" xr:uid="{00000000-0005-0000-0000-00002D0E0000}"/>
    <cellStyle name="_KT (2)_Qt-HT3PQ1(CauKho)_Book1_2" xfId="501" xr:uid="{00000000-0005-0000-0000-00002E0E0000}"/>
    <cellStyle name="_KT (2)_Qt-HT3PQ1(CauKho)_Book1_2 2" xfId="3772" xr:uid="{00000000-0005-0000-0000-00002F0E0000}"/>
    <cellStyle name="_KT (2)_Qt-HT3PQ1(CauKho)_Book1_2 3" xfId="17599" xr:uid="{00000000-0005-0000-0000-0000300E0000}"/>
    <cellStyle name="_KT (2)_Qt-HT3PQ1(CauKho)_Book1_2_TOM TAT" xfId="19866" xr:uid="{00000000-0005-0000-0000-0000310E0000}"/>
    <cellStyle name="_KT (2)_Qt-HT3PQ1(CauKho)_Book1_3" xfId="502" xr:uid="{00000000-0005-0000-0000-0000320E0000}"/>
    <cellStyle name="_KT (2)_Qt-HT3PQ1(CauKho)_Book1_3 2" xfId="3773" xr:uid="{00000000-0005-0000-0000-0000330E0000}"/>
    <cellStyle name="_KT (2)_Qt-HT3PQ1(CauKho)_Book1_3 3" xfId="17600" xr:uid="{00000000-0005-0000-0000-0000340E0000}"/>
    <cellStyle name="_KT (2)_Qt-HT3PQ1(CauKho)_Book1_3_TOM TAT" xfId="19867" xr:uid="{00000000-0005-0000-0000-0000350E0000}"/>
    <cellStyle name="_KT (2)_Qt-HT3PQ1(CauKho)_Book1_TOM TAT" xfId="19864" xr:uid="{00000000-0005-0000-0000-0000360E0000}"/>
    <cellStyle name="_KT (2)_Qt-HT3PQ1(CauKho)_TOM TAT" xfId="19863" xr:uid="{00000000-0005-0000-0000-0000370E0000}"/>
    <cellStyle name="_KT (2)_Qt-HT3PQ1(CauKho)_VATTUDIEN" xfId="503" xr:uid="{00000000-0005-0000-0000-0000380E0000}"/>
    <cellStyle name="_KT (2)_Qt-HT3PQ1(CauKho)_VATTUDIEN 2" xfId="3774" xr:uid="{00000000-0005-0000-0000-0000390E0000}"/>
    <cellStyle name="_KT (2)_Qt-HT3PQ1(CauKho)_VATTUDIEN 3" xfId="17601" xr:uid="{00000000-0005-0000-0000-00003A0E0000}"/>
    <cellStyle name="_KT (2)_Qt-HT3PQ1(CauKho)_VATTUDIEN_TOM TAT" xfId="19868" xr:uid="{00000000-0005-0000-0000-00003B0E0000}"/>
    <cellStyle name="_KT (2)_TG-TH" xfId="504" xr:uid="{00000000-0005-0000-0000-00003C0E0000}"/>
    <cellStyle name="_KT (2)_TG-TH 2" xfId="3775" xr:uid="{00000000-0005-0000-0000-00003D0E0000}"/>
    <cellStyle name="_KT (2)_TG-TH 3" xfId="17602" xr:uid="{00000000-0005-0000-0000-00003E0E0000}"/>
    <cellStyle name="_KT (2)_TG-TH_Book1" xfId="505" xr:uid="{00000000-0005-0000-0000-00003F0E0000}"/>
    <cellStyle name="_KT (2)_TG-TH_Book1 2" xfId="3776" xr:uid="{00000000-0005-0000-0000-0000400E0000}"/>
    <cellStyle name="_KT (2)_TG-TH_Book1 3" xfId="17603" xr:uid="{00000000-0005-0000-0000-0000410E0000}"/>
    <cellStyle name="_KT (2)_TG-TH_Book1_1" xfId="506" xr:uid="{00000000-0005-0000-0000-0000420E0000}"/>
    <cellStyle name="_KT (2)_TG-TH_Book1_1 2" xfId="3777" xr:uid="{00000000-0005-0000-0000-0000430E0000}"/>
    <cellStyle name="_KT (2)_TG-TH_Book1_1 3" xfId="17604" xr:uid="{00000000-0005-0000-0000-0000440E0000}"/>
    <cellStyle name="_KT (2)_TG-TH_Book1_1_TOM TAT" xfId="19871" xr:uid="{00000000-0005-0000-0000-0000450E0000}"/>
    <cellStyle name="_KT (2)_TG-TH_Book1_2" xfId="507" xr:uid="{00000000-0005-0000-0000-0000460E0000}"/>
    <cellStyle name="_KT (2)_TG-TH_Book1_2 2" xfId="3778" xr:uid="{00000000-0005-0000-0000-0000470E0000}"/>
    <cellStyle name="_KT (2)_TG-TH_Book1_2 3" xfId="17605" xr:uid="{00000000-0005-0000-0000-0000480E0000}"/>
    <cellStyle name="_KT (2)_TG-TH_Book1_2_TOM TAT" xfId="19872" xr:uid="{00000000-0005-0000-0000-0000490E0000}"/>
    <cellStyle name="_KT (2)_TG-TH_Book1_3" xfId="508" xr:uid="{00000000-0005-0000-0000-00004A0E0000}"/>
    <cellStyle name="_KT (2)_TG-TH_Book1_3 2" xfId="3779" xr:uid="{00000000-0005-0000-0000-00004B0E0000}"/>
    <cellStyle name="_KT (2)_TG-TH_Book1_3 3" xfId="17606" xr:uid="{00000000-0005-0000-0000-00004C0E0000}"/>
    <cellStyle name="_KT (2)_TG-TH_Book1_3_TOM TAT" xfId="19873" xr:uid="{00000000-0005-0000-0000-00004D0E0000}"/>
    <cellStyle name="_KT (2)_TG-TH_Book1_TOM TAT" xfId="19870" xr:uid="{00000000-0005-0000-0000-00004E0E0000}"/>
    <cellStyle name="_KT (2)_TG-TH_TOM TAT" xfId="19869" xr:uid="{00000000-0005-0000-0000-00004F0E0000}"/>
    <cellStyle name="_KT (2)_TG-TH_VATTUDIEN" xfId="509" xr:uid="{00000000-0005-0000-0000-0000500E0000}"/>
    <cellStyle name="_KT (2)_TG-TH_VATTUDIEN 2" xfId="3780" xr:uid="{00000000-0005-0000-0000-0000510E0000}"/>
    <cellStyle name="_KT (2)_TG-TH_VATTUDIEN 3" xfId="17607" xr:uid="{00000000-0005-0000-0000-0000520E0000}"/>
    <cellStyle name="_KT (2)_TG-TH_VATTUDIEN_TOM TAT" xfId="19874" xr:uid="{00000000-0005-0000-0000-0000530E0000}"/>
    <cellStyle name="_KT (2)_TOM TAT" xfId="19390" xr:uid="{00000000-0005-0000-0000-0000540E0000}"/>
    <cellStyle name="_KT (2)_VATTUDIEN" xfId="510" xr:uid="{00000000-0005-0000-0000-0000550E0000}"/>
    <cellStyle name="_KT (2)_VATTUDIEN 2" xfId="3781" xr:uid="{00000000-0005-0000-0000-0000560E0000}"/>
    <cellStyle name="_KT (2)_VATTUDIEN 3" xfId="17608" xr:uid="{00000000-0005-0000-0000-0000570E0000}"/>
    <cellStyle name="_KT (2)_VATTUDIEN_TOM TAT" xfId="19875" xr:uid="{00000000-0005-0000-0000-0000580E0000}"/>
    <cellStyle name="_KT (2)_XN3-2005" xfId="511" xr:uid="{00000000-0005-0000-0000-0000590E0000}"/>
    <cellStyle name="_KT (2)_XN3-2005 2" xfId="3782" xr:uid="{00000000-0005-0000-0000-00005A0E0000}"/>
    <cellStyle name="_KT (2)_XN3-2005 3" xfId="17609" xr:uid="{00000000-0005-0000-0000-00005B0E0000}"/>
    <cellStyle name="_KT (2)_XN3-2005_TOM TAT" xfId="19876" xr:uid="{00000000-0005-0000-0000-00005C0E0000}"/>
    <cellStyle name="_KT_TG" xfId="512" xr:uid="{00000000-0005-0000-0000-00005D0E0000}"/>
    <cellStyle name="_KT_TG 2" xfId="3783" xr:uid="{00000000-0005-0000-0000-00005E0E0000}"/>
    <cellStyle name="_KT_TG 3" xfId="17610" xr:uid="{00000000-0005-0000-0000-00005F0E0000}"/>
    <cellStyle name="_KT_TG_1" xfId="513" xr:uid="{00000000-0005-0000-0000-0000600E0000}"/>
    <cellStyle name="_KT_TG_1 2" xfId="3784" xr:uid="{00000000-0005-0000-0000-0000610E0000}"/>
    <cellStyle name="_KT_TG_1 3" xfId="17611" xr:uid="{00000000-0005-0000-0000-0000620E0000}"/>
    <cellStyle name="_KT_TG_1_BAO CAO KLCT PT2000" xfId="514" xr:uid="{00000000-0005-0000-0000-0000630E0000}"/>
    <cellStyle name="_KT_TG_1_BAO CAO KLCT PT2000 2" xfId="3785" xr:uid="{00000000-0005-0000-0000-0000640E0000}"/>
    <cellStyle name="_KT_TG_1_BAO CAO KLCT PT2000 3" xfId="17612" xr:uid="{00000000-0005-0000-0000-0000650E0000}"/>
    <cellStyle name="_KT_TG_1_BAO CAO KLCT PT2000_Book1" xfId="515" xr:uid="{00000000-0005-0000-0000-0000660E0000}"/>
    <cellStyle name="_KT_TG_1_BAO CAO KLCT PT2000_Book1 2" xfId="3786" xr:uid="{00000000-0005-0000-0000-0000670E0000}"/>
    <cellStyle name="_KT_TG_1_BAO CAO KLCT PT2000_Book1 3" xfId="17613" xr:uid="{00000000-0005-0000-0000-0000680E0000}"/>
    <cellStyle name="_KT_TG_1_BAO CAO KLCT PT2000_Book1_1" xfId="516" xr:uid="{00000000-0005-0000-0000-0000690E0000}"/>
    <cellStyle name="_KT_TG_1_BAO CAO KLCT PT2000_Book1_1 2" xfId="3787" xr:uid="{00000000-0005-0000-0000-00006A0E0000}"/>
    <cellStyle name="_KT_TG_1_BAO CAO KLCT PT2000_Book1_1 3" xfId="17614" xr:uid="{00000000-0005-0000-0000-00006B0E0000}"/>
    <cellStyle name="_KT_TG_1_BAO CAO KLCT PT2000_Book1_1_TOM TAT" xfId="19881" xr:uid="{00000000-0005-0000-0000-00006C0E0000}"/>
    <cellStyle name="_KT_TG_1_BAO CAO KLCT PT2000_Book1_2" xfId="517" xr:uid="{00000000-0005-0000-0000-00006D0E0000}"/>
    <cellStyle name="_KT_TG_1_BAO CAO KLCT PT2000_Book1_2 2" xfId="3788" xr:uid="{00000000-0005-0000-0000-00006E0E0000}"/>
    <cellStyle name="_KT_TG_1_BAO CAO KLCT PT2000_Book1_2 3" xfId="17615" xr:uid="{00000000-0005-0000-0000-00006F0E0000}"/>
    <cellStyle name="_KT_TG_1_BAO CAO KLCT PT2000_Book1_2_TOM TAT" xfId="19882" xr:uid="{00000000-0005-0000-0000-0000700E0000}"/>
    <cellStyle name="_KT_TG_1_BAO CAO KLCT PT2000_Book1_3" xfId="518" xr:uid="{00000000-0005-0000-0000-0000710E0000}"/>
    <cellStyle name="_KT_TG_1_BAO CAO KLCT PT2000_Book1_3 2" xfId="3789" xr:uid="{00000000-0005-0000-0000-0000720E0000}"/>
    <cellStyle name="_KT_TG_1_BAO CAO KLCT PT2000_Book1_3 3" xfId="17616" xr:uid="{00000000-0005-0000-0000-0000730E0000}"/>
    <cellStyle name="_KT_TG_1_BAO CAO KLCT PT2000_Book1_3_TOM TAT" xfId="19883" xr:uid="{00000000-0005-0000-0000-0000740E0000}"/>
    <cellStyle name="_KT_TG_1_BAO CAO KLCT PT2000_Book1_TOM TAT" xfId="19880" xr:uid="{00000000-0005-0000-0000-0000750E0000}"/>
    <cellStyle name="_KT_TG_1_BAO CAO KLCT PT2000_TOM TAT" xfId="19879" xr:uid="{00000000-0005-0000-0000-0000760E0000}"/>
    <cellStyle name="_KT_TG_1_BAO CAO KLCT PT2000_VATTUDIEN" xfId="519" xr:uid="{00000000-0005-0000-0000-0000770E0000}"/>
    <cellStyle name="_KT_TG_1_BAO CAO KLCT PT2000_VATTUDIEN 2" xfId="3790" xr:uid="{00000000-0005-0000-0000-0000780E0000}"/>
    <cellStyle name="_KT_TG_1_BAO CAO KLCT PT2000_VATTUDIEN 3" xfId="17617" xr:uid="{00000000-0005-0000-0000-0000790E0000}"/>
    <cellStyle name="_KT_TG_1_BAO CAO KLCT PT2000_VATTUDIEN_TOM TAT" xfId="19884" xr:uid="{00000000-0005-0000-0000-00007A0E0000}"/>
    <cellStyle name="_KT_TG_1_BAO CAO PT2000" xfId="520" xr:uid="{00000000-0005-0000-0000-00007B0E0000}"/>
    <cellStyle name="_KT_TG_1_BAO CAO PT2000 2" xfId="3791" xr:uid="{00000000-0005-0000-0000-00007C0E0000}"/>
    <cellStyle name="_KT_TG_1_BAO CAO PT2000 3" xfId="17618" xr:uid="{00000000-0005-0000-0000-00007D0E0000}"/>
    <cellStyle name="_KT_TG_1_BAO CAO PT2000_Book1" xfId="521" xr:uid="{00000000-0005-0000-0000-00007E0E0000}"/>
    <cellStyle name="_KT_TG_1_BAO CAO PT2000_Book1 2" xfId="3792" xr:uid="{00000000-0005-0000-0000-00007F0E0000}"/>
    <cellStyle name="_KT_TG_1_BAO CAO PT2000_Book1 3" xfId="17619" xr:uid="{00000000-0005-0000-0000-0000800E0000}"/>
    <cellStyle name="_KT_TG_1_BAO CAO PT2000_Book1_1" xfId="522" xr:uid="{00000000-0005-0000-0000-0000810E0000}"/>
    <cellStyle name="_KT_TG_1_BAO CAO PT2000_Book1_1 2" xfId="3793" xr:uid="{00000000-0005-0000-0000-0000820E0000}"/>
    <cellStyle name="_KT_TG_1_BAO CAO PT2000_Book1_1 3" xfId="17620" xr:uid="{00000000-0005-0000-0000-0000830E0000}"/>
    <cellStyle name="_KT_TG_1_BAO CAO PT2000_Book1_1_TOM TAT" xfId="19887" xr:uid="{00000000-0005-0000-0000-0000840E0000}"/>
    <cellStyle name="_KT_TG_1_BAO CAO PT2000_Book1_2" xfId="523" xr:uid="{00000000-0005-0000-0000-0000850E0000}"/>
    <cellStyle name="_KT_TG_1_BAO CAO PT2000_Book1_2 2" xfId="3794" xr:uid="{00000000-0005-0000-0000-0000860E0000}"/>
    <cellStyle name="_KT_TG_1_BAO CAO PT2000_Book1_2 3" xfId="17621" xr:uid="{00000000-0005-0000-0000-0000870E0000}"/>
    <cellStyle name="_KT_TG_1_BAO CAO PT2000_Book1_2_TOM TAT" xfId="19888" xr:uid="{00000000-0005-0000-0000-0000880E0000}"/>
    <cellStyle name="_KT_TG_1_BAO CAO PT2000_Book1_3" xfId="524" xr:uid="{00000000-0005-0000-0000-0000890E0000}"/>
    <cellStyle name="_KT_TG_1_BAO CAO PT2000_Book1_3 2" xfId="3795" xr:uid="{00000000-0005-0000-0000-00008A0E0000}"/>
    <cellStyle name="_KT_TG_1_BAO CAO PT2000_Book1_3 3" xfId="17622" xr:uid="{00000000-0005-0000-0000-00008B0E0000}"/>
    <cellStyle name="_KT_TG_1_BAO CAO PT2000_Book1_3_TOM TAT" xfId="19889" xr:uid="{00000000-0005-0000-0000-00008C0E0000}"/>
    <cellStyle name="_KT_TG_1_BAO CAO PT2000_Book1_4" xfId="525" xr:uid="{00000000-0005-0000-0000-00008D0E0000}"/>
    <cellStyle name="_KT_TG_1_BAO CAO PT2000_Book1_4 2" xfId="3796" xr:uid="{00000000-0005-0000-0000-00008E0E0000}"/>
    <cellStyle name="_KT_TG_1_BAO CAO PT2000_Book1_4 3" xfId="17623" xr:uid="{00000000-0005-0000-0000-00008F0E0000}"/>
    <cellStyle name="_KT_TG_1_BAO CAO PT2000_Book1_4_TOM TAT" xfId="19890" xr:uid="{00000000-0005-0000-0000-0000900E0000}"/>
    <cellStyle name="_KT_TG_1_BAO CAO PT2000_Book1_Book1" xfId="526" xr:uid="{00000000-0005-0000-0000-0000910E0000}"/>
    <cellStyle name="_KT_TG_1_BAO CAO PT2000_Book1_Book1 2" xfId="3797" xr:uid="{00000000-0005-0000-0000-0000920E0000}"/>
    <cellStyle name="_KT_TG_1_BAO CAO PT2000_Book1_Book1 3" xfId="17624" xr:uid="{00000000-0005-0000-0000-0000930E0000}"/>
    <cellStyle name="_KT_TG_1_BAO CAO PT2000_Book1_Book1_1" xfId="527" xr:uid="{00000000-0005-0000-0000-0000940E0000}"/>
    <cellStyle name="_KT_TG_1_BAO CAO PT2000_Book1_Book1_1 2" xfId="3798" xr:uid="{00000000-0005-0000-0000-0000950E0000}"/>
    <cellStyle name="_KT_TG_1_BAO CAO PT2000_Book1_Book1_1 3" xfId="17625" xr:uid="{00000000-0005-0000-0000-0000960E0000}"/>
    <cellStyle name="_KT_TG_1_BAO CAO PT2000_Book1_Book1_1_TOM TAT" xfId="19892" xr:uid="{00000000-0005-0000-0000-0000970E0000}"/>
    <cellStyle name="_KT_TG_1_BAO CAO PT2000_Book1_Book1_2" xfId="528" xr:uid="{00000000-0005-0000-0000-0000980E0000}"/>
    <cellStyle name="_KT_TG_1_BAO CAO PT2000_Book1_Book1_2 2" xfId="3799" xr:uid="{00000000-0005-0000-0000-0000990E0000}"/>
    <cellStyle name="_KT_TG_1_BAO CAO PT2000_Book1_Book1_2 3" xfId="17626" xr:uid="{00000000-0005-0000-0000-00009A0E0000}"/>
    <cellStyle name="_KT_TG_1_BAO CAO PT2000_Book1_Book1_2_TOM TAT" xfId="19893" xr:uid="{00000000-0005-0000-0000-00009B0E0000}"/>
    <cellStyle name="_KT_TG_1_BAO CAO PT2000_Book1_Book1_3" xfId="529" xr:uid="{00000000-0005-0000-0000-00009C0E0000}"/>
    <cellStyle name="_KT_TG_1_BAO CAO PT2000_Book1_Book1_3 2" xfId="3800" xr:uid="{00000000-0005-0000-0000-00009D0E0000}"/>
    <cellStyle name="_KT_TG_1_BAO CAO PT2000_Book1_Book1_3 3" xfId="17627" xr:uid="{00000000-0005-0000-0000-00009E0E0000}"/>
    <cellStyle name="_KT_TG_1_BAO CAO PT2000_Book1_Book1_3_TOM TAT" xfId="19894" xr:uid="{00000000-0005-0000-0000-00009F0E0000}"/>
    <cellStyle name="_KT_TG_1_BAO CAO PT2000_Book1_Book1_TOM TAT" xfId="19891" xr:uid="{00000000-0005-0000-0000-0000A00E0000}"/>
    <cellStyle name="_KT_TG_1_BAO CAO PT2000_Book1_TOM TAT" xfId="19886" xr:uid="{00000000-0005-0000-0000-0000A10E0000}"/>
    <cellStyle name="_KT_TG_1_BAO CAO PT2000_Book1_VATTUDIEN" xfId="530" xr:uid="{00000000-0005-0000-0000-0000A20E0000}"/>
    <cellStyle name="_KT_TG_1_BAO CAO PT2000_Book1_VATTUDIEN 2" xfId="3801" xr:uid="{00000000-0005-0000-0000-0000A30E0000}"/>
    <cellStyle name="_KT_TG_1_BAO CAO PT2000_Book1_VATTUDIEN 3" xfId="17628" xr:uid="{00000000-0005-0000-0000-0000A40E0000}"/>
    <cellStyle name="_KT_TG_1_BAO CAO PT2000_Book1_VATTUDIEN_TOM TAT" xfId="19895" xr:uid="{00000000-0005-0000-0000-0000A50E0000}"/>
    <cellStyle name="_KT_TG_1_BAO CAO PT2000_TOM TAT" xfId="19885" xr:uid="{00000000-0005-0000-0000-0000A60E0000}"/>
    <cellStyle name="_KT_TG_1_BAO CAO PT2000_VATTUDIEN" xfId="531" xr:uid="{00000000-0005-0000-0000-0000A70E0000}"/>
    <cellStyle name="_KT_TG_1_BAO CAO PT2000_VATTUDIEN 2" xfId="3802" xr:uid="{00000000-0005-0000-0000-0000A80E0000}"/>
    <cellStyle name="_KT_TG_1_BAO CAO PT2000_VATTUDIEN 3" xfId="17629" xr:uid="{00000000-0005-0000-0000-0000A90E0000}"/>
    <cellStyle name="_KT_TG_1_BAO CAO PT2000_VATTUDIEN_TOM TAT" xfId="19896" xr:uid="{00000000-0005-0000-0000-0000AA0E0000}"/>
    <cellStyle name="_KT_TG_1_Bao cao XDCB 2001 - T11 KH dieu chinh 20-11-THAI" xfId="532" xr:uid="{00000000-0005-0000-0000-0000AB0E0000}"/>
    <cellStyle name="_KT_TG_1_Bao cao XDCB 2001 - T11 KH dieu chinh 20-11-THAI 2" xfId="3803" xr:uid="{00000000-0005-0000-0000-0000AC0E0000}"/>
    <cellStyle name="_KT_TG_1_Bao cao XDCB 2001 - T11 KH dieu chinh 20-11-THAI 3" xfId="17630" xr:uid="{00000000-0005-0000-0000-0000AD0E0000}"/>
    <cellStyle name="_KT_TG_1_Bao cao XDCB 2001 - T11 KH dieu chinh 20-11-THAI_Book1" xfId="533" xr:uid="{00000000-0005-0000-0000-0000AE0E0000}"/>
    <cellStyle name="_KT_TG_1_Bao cao XDCB 2001 - T11 KH dieu chinh 20-11-THAI_Book1 2" xfId="3804" xr:uid="{00000000-0005-0000-0000-0000AF0E0000}"/>
    <cellStyle name="_KT_TG_1_Bao cao XDCB 2001 - T11 KH dieu chinh 20-11-THAI_Book1 3" xfId="17631" xr:uid="{00000000-0005-0000-0000-0000B00E0000}"/>
    <cellStyle name="_KT_TG_1_Bao cao XDCB 2001 - T11 KH dieu chinh 20-11-THAI_Book1_1" xfId="534" xr:uid="{00000000-0005-0000-0000-0000B10E0000}"/>
    <cellStyle name="_KT_TG_1_Bao cao XDCB 2001 - T11 KH dieu chinh 20-11-THAI_Book1_1 2" xfId="3805" xr:uid="{00000000-0005-0000-0000-0000B20E0000}"/>
    <cellStyle name="_KT_TG_1_Bao cao XDCB 2001 - T11 KH dieu chinh 20-11-THAI_Book1_1 3" xfId="17632" xr:uid="{00000000-0005-0000-0000-0000B30E0000}"/>
    <cellStyle name="_KT_TG_1_Bao cao XDCB 2001 - T11 KH dieu chinh 20-11-THAI_Book1_1_TOM TAT" xfId="19899" xr:uid="{00000000-0005-0000-0000-0000B40E0000}"/>
    <cellStyle name="_KT_TG_1_Bao cao XDCB 2001 - T11 KH dieu chinh 20-11-THAI_Book1_2" xfId="535" xr:uid="{00000000-0005-0000-0000-0000B50E0000}"/>
    <cellStyle name="_KT_TG_1_Bao cao XDCB 2001 - T11 KH dieu chinh 20-11-THAI_Book1_2 2" xfId="3806" xr:uid="{00000000-0005-0000-0000-0000B60E0000}"/>
    <cellStyle name="_KT_TG_1_Bao cao XDCB 2001 - T11 KH dieu chinh 20-11-THAI_Book1_2 3" xfId="17633" xr:uid="{00000000-0005-0000-0000-0000B70E0000}"/>
    <cellStyle name="_KT_TG_1_Bao cao XDCB 2001 - T11 KH dieu chinh 20-11-THAI_Book1_2_TOM TAT" xfId="19900" xr:uid="{00000000-0005-0000-0000-0000B80E0000}"/>
    <cellStyle name="_KT_TG_1_Bao cao XDCB 2001 - T11 KH dieu chinh 20-11-THAI_Book1_3" xfId="536" xr:uid="{00000000-0005-0000-0000-0000B90E0000}"/>
    <cellStyle name="_KT_TG_1_Bao cao XDCB 2001 - T11 KH dieu chinh 20-11-THAI_Book1_3 2" xfId="3807" xr:uid="{00000000-0005-0000-0000-0000BA0E0000}"/>
    <cellStyle name="_KT_TG_1_Bao cao XDCB 2001 - T11 KH dieu chinh 20-11-THAI_Book1_3 3" xfId="17634" xr:uid="{00000000-0005-0000-0000-0000BB0E0000}"/>
    <cellStyle name="_KT_TG_1_Bao cao XDCB 2001 - T11 KH dieu chinh 20-11-THAI_Book1_3_TOM TAT" xfId="19901" xr:uid="{00000000-0005-0000-0000-0000BC0E0000}"/>
    <cellStyle name="_KT_TG_1_Bao cao XDCB 2001 - T11 KH dieu chinh 20-11-THAI_Book1_TOM TAT" xfId="19898" xr:uid="{00000000-0005-0000-0000-0000BD0E0000}"/>
    <cellStyle name="_KT_TG_1_Bao cao XDCB 2001 - T11 KH dieu chinh 20-11-THAI_TOM TAT" xfId="19897" xr:uid="{00000000-0005-0000-0000-0000BE0E0000}"/>
    <cellStyle name="_KT_TG_1_Bao cao XDCB 2001 - T11 KH dieu chinh 20-11-THAI_VATTUDIEN" xfId="537" xr:uid="{00000000-0005-0000-0000-0000BF0E0000}"/>
    <cellStyle name="_KT_TG_1_Bao cao XDCB 2001 - T11 KH dieu chinh 20-11-THAI_VATTUDIEN 2" xfId="3808" xr:uid="{00000000-0005-0000-0000-0000C00E0000}"/>
    <cellStyle name="_KT_TG_1_Bao cao XDCB 2001 - T11 KH dieu chinh 20-11-THAI_VATTUDIEN 3" xfId="17635" xr:uid="{00000000-0005-0000-0000-0000C10E0000}"/>
    <cellStyle name="_KT_TG_1_Bao cao XDCB 2001 - T11 KH dieu chinh 20-11-THAI_VATTUDIEN_TOM TAT" xfId="19902" xr:uid="{00000000-0005-0000-0000-0000C20E0000}"/>
    <cellStyle name="_KT_TG_1_Book1" xfId="538" xr:uid="{00000000-0005-0000-0000-0000C30E0000}"/>
    <cellStyle name="_KT_TG_1_Book1 2" xfId="3809" xr:uid="{00000000-0005-0000-0000-0000C40E0000}"/>
    <cellStyle name="_KT_TG_1_Book1 3" xfId="17636" xr:uid="{00000000-0005-0000-0000-0000C50E0000}"/>
    <cellStyle name="_KT_TG_1_Book1_1" xfId="539" xr:uid="{00000000-0005-0000-0000-0000C60E0000}"/>
    <cellStyle name="_KT_TG_1_Book1_1 2" xfId="3810" xr:uid="{00000000-0005-0000-0000-0000C70E0000}"/>
    <cellStyle name="_KT_TG_1_Book1_1 3" xfId="17637" xr:uid="{00000000-0005-0000-0000-0000C80E0000}"/>
    <cellStyle name="_KT_TG_1_Book1_1_Book1" xfId="540" xr:uid="{00000000-0005-0000-0000-0000C90E0000}"/>
    <cellStyle name="_KT_TG_1_Book1_1_Book1 2" xfId="3811" xr:uid="{00000000-0005-0000-0000-0000CA0E0000}"/>
    <cellStyle name="_KT_TG_1_Book1_1_Book1 3" xfId="17638" xr:uid="{00000000-0005-0000-0000-0000CB0E0000}"/>
    <cellStyle name="_KT_TG_1_Book1_1_Book1_1" xfId="541" xr:uid="{00000000-0005-0000-0000-0000CC0E0000}"/>
    <cellStyle name="_KT_TG_1_Book1_1_Book1_1 2" xfId="3812" xr:uid="{00000000-0005-0000-0000-0000CD0E0000}"/>
    <cellStyle name="_KT_TG_1_Book1_1_Book1_1 3" xfId="17639" xr:uid="{00000000-0005-0000-0000-0000CE0E0000}"/>
    <cellStyle name="_KT_TG_1_Book1_1_Book1_1_TOM TAT" xfId="19906" xr:uid="{00000000-0005-0000-0000-0000CF0E0000}"/>
    <cellStyle name="_KT_TG_1_Book1_1_Book1_2" xfId="542" xr:uid="{00000000-0005-0000-0000-0000D00E0000}"/>
    <cellStyle name="_KT_TG_1_Book1_1_Book1_2 2" xfId="3813" xr:uid="{00000000-0005-0000-0000-0000D10E0000}"/>
    <cellStyle name="_KT_TG_1_Book1_1_Book1_2 3" xfId="17640" xr:uid="{00000000-0005-0000-0000-0000D20E0000}"/>
    <cellStyle name="_KT_TG_1_Book1_1_Book1_2_TOM TAT" xfId="19907" xr:uid="{00000000-0005-0000-0000-0000D30E0000}"/>
    <cellStyle name="_KT_TG_1_Book1_1_Book1_3" xfId="543" xr:uid="{00000000-0005-0000-0000-0000D40E0000}"/>
    <cellStyle name="_KT_TG_1_Book1_1_Book1_3 2" xfId="3814" xr:uid="{00000000-0005-0000-0000-0000D50E0000}"/>
    <cellStyle name="_KT_TG_1_Book1_1_Book1_3 3" xfId="17641" xr:uid="{00000000-0005-0000-0000-0000D60E0000}"/>
    <cellStyle name="_KT_TG_1_Book1_1_Book1_3_TOM TAT" xfId="19908" xr:uid="{00000000-0005-0000-0000-0000D70E0000}"/>
    <cellStyle name="_KT_TG_1_Book1_1_Book1_TOM TAT" xfId="19905" xr:uid="{00000000-0005-0000-0000-0000D80E0000}"/>
    <cellStyle name="_KT_TG_1_Book1_1_DgklKNHA" xfId="4974" xr:uid="{00000000-0005-0000-0000-0000D90E0000}"/>
    <cellStyle name="_KT_TG_1_Book1_1_dt khoi nha 3trai - VKg (cat xuong) (27-01-05)" xfId="4975" xr:uid="{00000000-0005-0000-0000-0000DA0E0000}"/>
    <cellStyle name="_KT_TG_1_Book1_1_Dtoan-LTT-18-01" xfId="4976" xr:uid="{00000000-0005-0000-0000-0000DB0E0000}"/>
    <cellStyle name="_KT_TG_1_Book1_1_DU TOAN NGUYEN HUE - GD2 (1-02-05) 1" xfId="4977" xr:uid="{00000000-0005-0000-0000-0000DC0E0000}"/>
    <cellStyle name="_KT_TG_1_Book1_1_dutoan dptd" xfId="4978" xr:uid="{00000000-0005-0000-0000-0000DD0E0000}"/>
    <cellStyle name="_KT_TG_1_Book1_1_he thong dien" xfId="4979" xr:uid="{00000000-0005-0000-0000-0000DE0E0000}"/>
    <cellStyle name="_KT_TG_1_Book1_1_Sheet1" xfId="4980" xr:uid="{00000000-0005-0000-0000-0000DF0E0000}"/>
    <cellStyle name="_KT_TG_1_Book1_1_Sheet2" xfId="4981" xr:uid="{00000000-0005-0000-0000-0000E00E0000}"/>
    <cellStyle name="_KT_TG_1_Book1_1_TOM TAT" xfId="19904" xr:uid="{00000000-0005-0000-0000-0000E10E0000}"/>
    <cellStyle name="_KT_TG_1_Book1_1_VATTUDIEN" xfId="544" xr:uid="{00000000-0005-0000-0000-0000E20E0000}"/>
    <cellStyle name="_KT_TG_1_Book1_1_VATTUDIEN 2" xfId="3815" xr:uid="{00000000-0005-0000-0000-0000E30E0000}"/>
    <cellStyle name="_KT_TG_1_Book1_1_VATTUDIEN 3" xfId="17642" xr:uid="{00000000-0005-0000-0000-0000E40E0000}"/>
    <cellStyle name="_KT_TG_1_Book1_1_VATTUDIEN_TOM TAT" xfId="19909" xr:uid="{00000000-0005-0000-0000-0000E50E0000}"/>
    <cellStyle name="_KT_TG_1_Book1_2" xfId="545" xr:uid="{00000000-0005-0000-0000-0000E60E0000}"/>
    <cellStyle name="_KT_TG_1_Book1_2 2" xfId="3816" xr:uid="{00000000-0005-0000-0000-0000E70E0000}"/>
    <cellStyle name="_KT_TG_1_Book1_2 3" xfId="17643" xr:uid="{00000000-0005-0000-0000-0000E80E0000}"/>
    <cellStyle name="_KT_TG_1_Book1_2_Book1" xfId="546" xr:uid="{00000000-0005-0000-0000-0000E90E0000}"/>
    <cellStyle name="_KT_TG_1_Book1_2_Book1 2" xfId="3817" xr:uid="{00000000-0005-0000-0000-0000EA0E0000}"/>
    <cellStyle name="_KT_TG_1_Book1_2_Book1 3" xfId="17644" xr:uid="{00000000-0005-0000-0000-0000EB0E0000}"/>
    <cellStyle name="_KT_TG_1_Book1_2_Book1_1" xfId="547" xr:uid="{00000000-0005-0000-0000-0000EC0E0000}"/>
    <cellStyle name="_KT_TG_1_Book1_2_Book1_1 2" xfId="3818" xr:uid="{00000000-0005-0000-0000-0000ED0E0000}"/>
    <cellStyle name="_KT_TG_1_Book1_2_Book1_1 3" xfId="17645" xr:uid="{00000000-0005-0000-0000-0000EE0E0000}"/>
    <cellStyle name="_KT_TG_1_Book1_2_Book1_1_TOM TAT" xfId="19912" xr:uid="{00000000-0005-0000-0000-0000EF0E0000}"/>
    <cellStyle name="_KT_TG_1_Book1_2_Book1_2" xfId="548" xr:uid="{00000000-0005-0000-0000-0000F00E0000}"/>
    <cellStyle name="_KT_TG_1_Book1_2_Book1_2 2" xfId="3819" xr:uid="{00000000-0005-0000-0000-0000F10E0000}"/>
    <cellStyle name="_KT_TG_1_Book1_2_Book1_2 3" xfId="17646" xr:uid="{00000000-0005-0000-0000-0000F20E0000}"/>
    <cellStyle name="_KT_TG_1_Book1_2_Book1_2_TOM TAT" xfId="19913" xr:uid="{00000000-0005-0000-0000-0000F30E0000}"/>
    <cellStyle name="_KT_TG_1_Book1_2_Book1_3" xfId="549" xr:uid="{00000000-0005-0000-0000-0000F40E0000}"/>
    <cellStyle name="_KT_TG_1_Book1_2_Book1_3 2" xfId="3820" xr:uid="{00000000-0005-0000-0000-0000F50E0000}"/>
    <cellStyle name="_KT_TG_1_Book1_2_Book1_3 3" xfId="17647" xr:uid="{00000000-0005-0000-0000-0000F60E0000}"/>
    <cellStyle name="_KT_TG_1_Book1_2_Book1_3_TOM TAT" xfId="19914" xr:uid="{00000000-0005-0000-0000-0000F70E0000}"/>
    <cellStyle name="_KT_TG_1_Book1_2_Book1_TOM TAT" xfId="19911" xr:uid="{00000000-0005-0000-0000-0000F80E0000}"/>
    <cellStyle name="_KT_TG_1_Book1_2_DgklKNHA" xfId="4982" xr:uid="{00000000-0005-0000-0000-0000F90E0000}"/>
    <cellStyle name="_KT_TG_1_Book1_2_dt khoi nha 3trai - VKg (cat xuong) (27-01-05)" xfId="4983" xr:uid="{00000000-0005-0000-0000-0000FA0E0000}"/>
    <cellStyle name="_KT_TG_1_Book1_2_Dtoan-LTT-18-01" xfId="4984" xr:uid="{00000000-0005-0000-0000-0000FB0E0000}"/>
    <cellStyle name="_KT_TG_1_Book1_2_DU TOAN NGUYEN HUE - GD2 (1-02-05) 1" xfId="4985" xr:uid="{00000000-0005-0000-0000-0000FC0E0000}"/>
    <cellStyle name="_KT_TG_1_Book1_2_dutoan dptd" xfId="4986" xr:uid="{00000000-0005-0000-0000-0000FD0E0000}"/>
    <cellStyle name="_KT_TG_1_Book1_2_he thong dien" xfId="4987" xr:uid="{00000000-0005-0000-0000-0000FE0E0000}"/>
    <cellStyle name="_KT_TG_1_Book1_2_Sheet1" xfId="4988" xr:uid="{00000000-0005-0000-0000-0000FF0E0000}"/>
    <cellStyle name="_KT_TG_1_Book1_2_Sheet2" xfId="4989" xr:uid="{00000000-0005-0000-0000-0000000F0000}"/>
    <cellStyle name="_KT_TG_1_Book1_2_TOM TAT" xfId="19910" xr:uid="{00000000-0005-0000-0000-0000010F0000}"/>
    <cellStyle name="_KT_TG_1_Book1_2_VATTUDIEN" xfId="550" xr:uid="{00000000-0005-0000-0000-0000020F0000}"/>
    <cellStyle name="_KT_TG_1_Book1_2_VATTUDIEN 2" xfId="3821" xr:uid="{00000000-0005-0000-0000-0000030F0000}"/>
    <cellStyle name="_KT_TG_1_Book1_2_VATTUDIEN 3" xfId="17648" xr:uid="{00000000-0005-0000-0000-0000040F0000}"/>
    <cellStyle name="_KT_TG_1_Book1_2_VATTUDIEN_TOM TAT" xfId="19915" xr:uid="{00000000-0005-0000-0000-0000050F0000}"/>
    <cellStyle name="_KT_TG_1_Book1_3" xfId="551" xr:uid="{00000000-0005-0000-0000-0000060F0000}"/>
    <cellStyle name="_KT_TG_1_Book1_3 2" xfId="3822" xr:uid="{00000000-0005-0000-0000-0000070F0000}"/>
    <cellStyle name="_KT_TG_1_Book1_3 3" xfId="17649" xr:uid="{00000000-0005-0000-0000-0000080F0000}"/>
    <cellStyle name="_KT_TG_1_Book1_3_TOM TAT" xfId="19916" xr:uid="{00000000-0005-0000-0000-0000090F0000}"/>
    <cellStyle name="_KT_TG_1_Book1_4" xfId="552" xr:uid="{00000000-0005-0000-0000-00000A0F0000}"/>
    <cellStyle name="_KT_TG_1_Book1_4 2" xfId="3823" xr:uid="{00000000-0005-0000-0000-00000B0F0000}"/>
    <cellStyle name="_KT_TG_1_Book1_4 3" xfId="17650" xr:uid="{00000000-0005-0000-0000-00000C0F0000}"/>
    <cellStyle name="_KT_TG_1_Book1_4_TOM TAT" xfId="19917" xr:uid="{00000000-0005-0000-0000-00000D0F0000}"/>
    <cellStyle name="_KT_TG_1_Book1_5" xfId="553" xr:uid="{00000000-0005-0000-0000-00000E0F0000}"/>
    <cellStyle name="_KT_TG_1_Book1_5 2" xfId="3824" xr:uid="{00000000-0005-0000-0000-00000F0F0000}"/>
    <cellStyle name="_KT_TG_1_Book1_5 3" xfId="17651" xr:uid="{00000000-0005-0000-0000-0000100F0000}"/>
    <cellStyle name="_KT_TG_1_Book1_5_TOM TAT" xfId="19918" xr:uid="{00000000-0005-0000-0000-0000110F0000}"/>
    <cellStyle name="_KT_TG_1_Book1_6" xfId="554" xr:uid="{00000000-0005-0000-0000-0000120F0000}"/>
    <cellStyle name="_KT_TG_1_Book1_6 2" xfId="3825" xr:uid="{00000000-0005-0000-0000-0000130F0000}"/>
    <cellStyle name="_KT_TG_1_Book1_6 3" xfId="17652" xr:uid="{00000000-0005-0000-0000-0000140F0000}"/>
    <cellStyle name="_KT_TG_1_Book1_6_TOM TAT" xfId="19919" xr:uid="{00000000-0005-0000-0000-0000150F0000}"/>
    <cellStyle name="_KT_TG_1_Book1_BC-QT-WB-dthao" xfId="555" xr:uid="{00000000-0005-0000-0000-0000160F0000}"/>
    <cellStyle name="_KT_TG_1_Book1_BC-QT-WB-dthao 2" xfId="3826" xr:uid="{00000000-0005-0000-0000-0000170F0000}"/>
    <cellStyle name="_KT_TG_1_Book1_BC-QT-WB-dthao 3" xfId="17653" xr:uid="{00000000-0005-0000-0000-0000180F0000}"/>
    <cellStyle name="_KT_TG_1_Book1_BC-QT-WB-dthao_Book1" xfId="556" xr:uid="{00000000-0005-0000-0000-0000190F0000}"/>
    <cellStyle name="_KT_TG_1_Book1_BC-QT-WB-dthao_Book1 2" xfId="3827" xr:uid="{00000000-0005-0000-0000-00001A0F0000}"/>
    <cellStyle name="_KT_TG_1_Book1_BC-QT-WB-dthao_Book1 3" xfId="17654" xr:uid="{00000000-0005-0000-0000-00001B0F0000}"/>
    <cellStyle name="_KT_TG_1_Book1_BC-QT-WB-dthao_Book1_1" xfId="557" xr:uid="{00000000-0005-0000-0000-00001C0F0000}"/>
    <cellStyle name="_KT_TG_1_Book1_BC-QT-WB-dthao_Book1_1 2" xfId="3828" xr:uid="{00000000-0005-0000-0000-00001D0F0000}"/>
    <cellStyle name="_KT_TG_1_Book1_BC-QT-WB-dthao_Book1_1 3" xfId="17655" xr:uid="{00000000-0005-0000-0000-00001E0F0000}"/>
    <cellStyle name="_KT_TG_1_Book1_BC-QT-WB-dthao_Book1_1_TOM TAT" xfId="19922" xr:uid="{00000000-0005-0000-0000-00001F0F0000}"/>
    <cellStyle name="_KT_TG_1_Book1_BC-QT-WB-dthao_Book1_2" xfId="558" xr:uid="{00000000-0005-0000-0000-0000200F0000}"/>
    <cellStyle name="_KT_TG_1_Book1_BC-QT-WB-dthao_Book1_2 2" xfId="3829" xr:uid="{00000000-0005-0000-0000-0000210F0000}"/>
    <cellStyle name="_KT_TG_1_Book1_BC-QT-WB-dthao_Book1_2 3" xfId="17656" xr:uid="{00000000-0005-0000-0000-0000220F0000}"/>
    <cellStyle name="_KT_TG_1_Book1_BC-QT-WB-dthao_Book1_2_TOM TAT" xfId="19923" xr:uid="{00000000-0005-0000-0000-0000230F0000}"/>
    <cellStyle name="_KT_TG_1_Book1_BC-QT-WB-dthao_Book1_3" xfId="559" xr:uid="{00000000-0005-0000-0000-0000240F0000}"/>
    <cellStyle name="_KT_TG_1_Book1_BC-QT-WB-dthao_Book1_3 2" xfId="3830" xr:uid="{00000000-0005-0000-0000-0000250F0000}"/>
    <cellStyle name="_KT_TG_1_Book1_BC-QT-WB-dthao_Book1_3 3" xfId="17657" xr:uid="{00000000-0005-0000-0000-0000260F0000}"/>
    <cellStyle name="_KT_TG_1_Book1_BC-QT-WB-dthao_Book1_3_TOM TAT" xfId="19924" xr:uid="{00000000-0005-0000-0000-0000270F0000}"/>
    <cellStyle name="_KT_TG_1_Book1_BC-QT-WB-dthao_Book1_TOM TAT" xfId="19921" xr:uid="{00000000-0005-0000-0000-0000280F0000}"/>
    <cellStyle name="_KT_TG_1_Book1_BC-QT-WB-dthao_TOM TAT" xfId="19920" xr:uid="{00000000-0005-0000-0000-0000290F0000}"/>
    <cellStyle name="_KT_TG_1_Book1_BC-QT-WB-dthao_VATTUDIEN" xfId="560" xr:uid="{00000000-0005-0000-0000-00002A0F0000}"/>
    <cellStyle name="_KT_TG_1_Book1_BC-QT-WB-dthao_VATTUDIEN 2" xfId="3831" xr:uid="{00000000-0005-0000-0000-00002B0F0000}"/>
    <cellStyle name="_KT_TG_1_Book1_BC-QT-WB-dthao_VATTUDIEN 3" xfId="17658" xr:uid="{00000000-0005-0000-0000-00002C0F0000}"/>
    <cellStyle name="_KT_TG_1_Book1_BC-QT-WB-dthao_VATTUDIEN_TOM TAT" xfId="19925" xr:uid="{00000000-0005-0000-0000-00002D0F0000}"/>
    <cellStyle name="_KT_TG_1_Book1_Book1" xfId="561" xr:uid="{00000000-0005-0000-0000-00002E0F0000}"/>
    <cellStyle name="_KT_TG_1_Book1_Book1 2" xfId="3832" xr:uid="{00000000-0005-0000-0000-00002F0F0000}"/>
    <cellStyle name="_KT_TG_1_Book1_Book1 3" xfId="17659" xr:uid="{00000000-0005-0000-0000-0000300F0000}"/>
    <cellStyle name="_KT_TG_1_Book1_Book1_1" xfId="562" xr:uid="{00000000-0005-0000-0000-0000310F0000}"/>
    <cellStyle name="_KT_TG_1_Book1_Book1_1 2" xfId="3833" xr:uid="{00000000-0005-0000-0000-0000320F0000}"/>
    <cellStyle name="_KT_TG_1_Book1_Book1_1 3" xfId="17660" xr:uid="{00000000-0005-0000-0000-0000330F0000}"/>
    <cellStyle name="_KT_TG_1_Book1_Book1_1_TOM TAT" xfId="19927" xr:uid="{00000000-0005-0000-0000-0000340F0000}"/>
    <cellStyle name="_KT_TG_1_Book1_Book1_2" xfId="563" xr:uid="{00000000-0005-0000-0000-0000350F0000}"/>
    <cellStyle name="_KT_TG_1_Book1_Book1_2 2" xfId="3834" xr:uid="{00000000-0005-0000-0000-0000360F0000}"/>
    <cellStyle name="_KT_TG_1_Book1_Book1_2 3" xfId="17661" xr:uid="{00000000-0005-0000-0000-0000370F0000}"/>
    <cellStyle name="_KT_TG_1_Book1_Book1_2_TOM TAT" xfId="19928" xr:uid="{00000000-0005-0000-0000-0000380F0000}"/>
    <cellStyle name="_KT_TG_1_Book1_Book1_3" xfId="564" xr:uid="{00000000-0005-0000-0000-0000390F0000}"/>
    <cellStyle name="_KT_TG_1_Book1_Book1_3 2" xfId="3835" xr:uid="{00000000-0005-0000-0000-00003A0F0000}"/>
    <cellStyle name="_KT_TG_1_Book1_Book1_3 3" xfId="17662" xr:uid="{00000000-0005-0000-0000-00003B0F0000}"/>
    <cellStyle name="_KT_TG_1_Book1_Book1_3_TOM TAT" xfId="19929" xr:uid="{00000000-0005-0000-0000-00003C0F0000}"/>
    <cellStyle name="_KT_TG_1_Book1_Book1_TOM TAT" xfId="19926" xr:uid="{00000000-0005-0000-0000-00003D0F0000}"/>
    <cellStyle name="_KT_TG_1_Book1_DgklKNHA" xfId="4990" xr:uid="{00000000-0005-0000-0000-00003E0F0000}"/>
    <cellStyle name="_KT_TG_1_Book1_dt khoi nha 3trai - VKg (cat xuong) (27-01-05)" xfId="4991" xr:uid="{00000000-0005-0000-0000-00003F0F0000}"/>
    <cellStyle name="_KT_TG_1_Book1_Dtoan-LTT-18-01" xfId="4992" xr:uid="{00000000-0005-0000-0000-0000400F0000}"/>
    <cellStyle name="_KT_TG_1_Book1_DU TOAN NGUYEN HUE - GD2 (1-02-05) 1" xfId="4993" xr:uid="{00000000-0005-0000-0000-0000410F0000}"/>
    <cellStyle name="_KT_TG_1_Book1_dutoan dptd" xfId="4994" xr:uid="{00000000-0005-0000-0000-0000420F0000}"/>
    <cellStyle name="_KT_TG_1_Book1_he thong dien" xfId="4995" xr:uid="{00000000-0005-0000-0000-0000430F0000}"/>
    <cellStyle name="_KT_TG_1_Book1_Sheet1" xfId="4996" xr:uid="{00000000-0005-0000-0000-0000440F0000}"/>
    <cellStyle name="_KT_TG_1_Book1_Sheet2" xfId="4997" xr:uid="{00000000-0005-0000-0000-0000450F0000}"/>
    <cellStyle name="_KT_TG_1_Book1_TH KE" xfId="565" xr:uid="{00000000-0005-0000-0000-0000460F0000}"/>
    <cellStyle name="_KT_TG_1_Book1_TH KE 2" xfId="3836" xr:uid="{00000000-0005-0000-0000-0000470F0000}"/>
    <cellStyle name="_KT_TG_1_Book1_TH KE 3" xfId="17663" xr:uid="{00000000-0005-0000-0000-0000480F0000}"/>
    <cellStyle name="_KT_TG_1_Book1_TH KE_Book1" xfId="566" xr:uid="{00000000-0005-0000-0000-0000490F0000}"/>
    <cellStyle name="_KT_TG_1_Book1_TH KE_Book1 2" xfId="3837" xr:uid="{00000000-0005-0000-0000-00004A0F0000}"/>
    <cellStyle name="_KT_TG_1_Book1_TH KE_Book1 3" xfId="17664" xr:uid="{00000000-0005-0000-0000-00004B0F0000}"/>
    <cellStyle name="_KT_TG_1_Book1_TH KE_Book1_1" xfId="567" xr:uid="{00000000-0005-0000-0000-00004C0F0000}"/>
    <cellStyle name="_KT_TG_1_Book1_TH KE_Book1_1 2" xfId="3838" xr:uid="{00000000-0005-0000-0000-00004D0F0000}"/>
    <cellStyle name="_KT_TG_1_Book1_TH KE_Book1_1 3" xfId="17665" xr:uid="{00000000-0005-0000-0000-00004E0F0000}"/>
    <cellStyle name="_KT_TG_1_Book1_TH KE_Book1_1_TOM TAT" xfId="19932" xr:uid="{00000000-0005-0000-0000-00004F0F0000}"/>
    <cellStyle name="_KT_TG_1_Book1_TH KE_Book1_2" xfId="568" xr:uid="{00000000-0005-0000-0000-0000500F0000}"/>
    <cellStyle name="_KT_TG_1_Book1_TH KE_Book1_2 2" xfId="3839" xr:uid="{00000000-0005-0000-0000-0000510F0000}"/>
    <cellStyle name="_KT_TG_1_Book1_TH KE_Book1_2 3" xfId="17666" xr:uid="{00000000-0005-0000-0000-0000520F0000}"/>
    <cellStyle name="_KT_TG_1_Book1_TH KE_Book1_2_TOM TAT" xfId="19933" xr:uid="{00000000-0005-0000-0000-0000530F0000}"/>
    <cellStyle name="_KT_TG_1_Book1_TH KE_Book1_3" xfId="569" xr:uid="{00000000-0005-0000-0000-0000540F0000}"/>
    <cellStyle name="_KT_TG_1_Book1_TH KE_Book1_3 2" xfId="3840" xr:uid="{00000000-0005-0000-0000-0000550F0000}"/>
    <cellStyle name="_KT_TG_1_Book1_TH KE_Book1_3 3" xfId="17667" xr:uid="{00000000-0005-0000-0000-0000560F0000}"/>
    <cellStyle name="_KT_TG_1_Book1_TH KE_Book1_3_TOM TAT" xfId="19934" xr:uid="{00000000-0005-0000-0000-0000570F0000}"/>
    <cellStyle name="_KT_TG_1_Book1_TH KE_Book1_TOM TAT" xfId="19931" xr:uid="{00000000-0005-0000-0000-0000580F0000}"/>
    <cellStyle name="_KT_TG_1_Book1_TH KE_TOM TAT" xfId="19930" xr:uid="{00000000-0005-0000-0000-0000590F0000}"/>
    <cellStyle name="_KT_TG_1_Book1_TH KE_VATTUDIEN" xfId="570" xr:uid="{00000000-0005-0000-0000-00005A0F0000}"/>
    <cellStyle name="_KT_TG_1_Book1_TH KE_VATTUDIEN 2" xfId="3841" xr:uid="{00000000-0005-0000-0000-00005B0F0000}"/>
    <cellStyle name="_KT_TG_1_Book1_TH KE_VATTUDIEN 3" xfId="17668" xr:uid="{00000000-0005-0000-0000-00005C0F0000}"/>
    <cellStyle name="_KT_TG_1_Book1_TH KE_VATTUDIEN_TOM TAT" xfId="19935" xr:uid="{00000000-0005-0000-0000-00005D0F0000}"/>
    <cellStyle name="_KT_TG_1_Book1_TOM TAT" xfId="19903" xr:uid="{00000000-0005-0000-0000-00005E0F0000}"/>
    <cellStyle name="_KT_TG_1_Book1_VATTUDIEN" xfId="571" xr:uid="{00000000-0005-0000-0000-00005F0F0000}"/>
    <cellStyle name="_KT_TG_1_Book1_VATTUDIEN 2" xfId="3842" xr:uid="{00000000-0005-0000-0000-0000600F0000}"/>
    <cellStyle name="_KT_TG_1_Book1_VATTUDIEN 3" xfId="17669" xr:uid="{00000000-0005-0000-0000-0000610F0000}"/>
    <cellStyle name="_KT_TG_1_Book1_VATTUDIEN_TOM TAT" xfId="19936" xr:uid="{00000000-0005-0000-0000-0000620F0000}"/>
    <cellStyle name="_KT_TG_1_DgklKNHA" xfId="4998" xr:uid="{00000000-0005-0000-0000-0000630F0000}"/>
    <cellStyle name="_KT_TG_1_dt khoi nha 3trai - VKg (cat xuong) (27-01-05)" xfId="4999" xr:uid="{00000000-0005-0000-0000-0000640F0000}"/>
    <cellStyle name="_KT_TG_1_DTCDT MR.2N110.HOCMON.TDTOAN.CCUNG" xfId="572" xr:uid="{00000000-0005-0000-0000-0000650F0000}"/>
    <cellStyle name="_KT_TG_1_DTCDT MR.2N110.HOCMON.TDTOAN.CCUNG 2" xfId="3843" xr:uid="{00000000-0005-0000-0000-0000660F0000}"/>
    <cellStyle name="_KT_TG_1_DTCDT MR.2N110.HOCMON.TDTOAN.CCUNG 3" xfId="17670" xr:uid="{00000000-0005-0000-0000-0000670F0000}"/>
    <cellStyle name="_KT_TG_1_DTCDT MR.2N110.HOCMON.TDTOAN.CCUNG_Book1" xfId="573" xr:uid="{00000000-0005-0000-0000-0000680F0000}"/>
    <cellStyle name="_KT_TG_1_DTCDT MR.2N110.HOCMON.TDTOAN.CCUNG_Book1 2" xfId="3844" xr:uid="{00000000-0005-0000-0000-0000690F0000}"/>
    <cellStyle name="_KT_TG_1_DTCDT MR.2N110.HOCMON.TDTOAN.CCUNG_Book1 3" xfId="17671" xr:uid="{00000000-0005-0000-0000-00006A0F0000}"/>
    <cellStyle name="_KT_TG_1_DTCDT MR.2N110.HOCMON.TDTOAN.CCUNG_Book1_1" xfId="574" xr:uid="{00000000-0005-0000-0000-00006B0F0000}"/>
    <cellStyle name="_KT_TG_1_DTCDT MR.2N110.HOCMON.TDTOAN.CCUNG_Book1_1 2" xfId="3845" xr:uid="{00000000-0005-0000-0000-00006C0F0000}"/>
    <cellStyle name="_KT_TG_1_DTCDT MR.2N110.HOCMON.TDTOAN.CCUNG_Book1_1 3" xfId="17672" xr:uid="{00000000-0005-0000-0000-00006D0F0000}"/>
    <cellStyle name="_KT_TG_1_DTCDT MR.2N110.HOCMON.TDTOAN.CCUNG_Book1_1_TOM TAT" xfId="19939" xr:uid="{00000000-0005-0000-0000-00006E0F0000}"/>
    <cellStyle name="_KT_TG_1_DTCDT MR.2N110.HOCMON.TDTOAN.CCUNG_Book1_2" xfId="575" xr:uid="{00000000-0005-0000-0000-00006F0F0000}"/>
    <cellStyle name="_KT_TG_1_DTCDT MR.2N110.HOCMON.TDTOAN.CCUNG_Book1_2 2" xfId="3846" xr:uid="{00000000-0005-0000-0000-0000700F0000}"/>
    <cellStyle name="_KT_TG_1_DTCDT MR.2N110.HOCMON.TDTOAN.CCUNG_Book1_2 3" xfId="17673" xr:uid="{00000000-0005-0000-0000-0000710F0000}"/>
    <cellStyle name="_KT_TG_1_DTCDT MR.2N110.HOCMON.TDTOAN.CCUNG_Book1_2_TOM TAT" xfId="19940" xr:uid="{00000000-0005-0000-0000-0000720F0000}"/>
    <cellStyle name="_KT_TG_1_DTCDT MR.2N110.HOCMON.TDTOAN.CCUNG_Book1_3" xfId="576" xr:uid="{00000000-0005-0000-0000-0000730F0000}"/>
    <cellStyle name="_KT_TG_1_DTCDT MR.2N110.HOCMON.TDTOAN.CCUNG_Book1_3 2" xfId="3847" xr:uid="{00000000-0005-0000-0000-0000740F0000}"/>
    <cellStyle name="_KT_TG_1_DTCDT MR.2N110.HOCMON.TDTOAN.CCUNG_Book1_3 3" xfId="17674" xr:uid="{00000000-0005-0000-0000-0000750F0000}"/>
    <cellStyle name="_KT_TG_1_DTCDT MR.2N110.HOCMON.TDTOAN.CCUNG_Book1_3_TOM TAT" xfId="19941" xr:uid="{00000000-0005-0000-0000-0000760F0000}"/>
    <cellStyle name="_KT_TG_1_DTCDT MR.2N110.HOCMON.TDTOAN.CCUNG_Book1_TOM TAT" xfId="19938" xr:uid="{00000000-0005-0000-0000-0000770F0000}"/>
    <cellStyle name="_KT_TG_1_DTCDT MR.2N110.HOCMON.TDTOAN.CCUNG_TOM TAT" xfId="19937" xr:uid="{00000000-0005-0000-0000-0000780F0000}"/>
    <cellStyle name="_KT_TG_1_DTCDT MR.2N110.HOCMON.TDTOAN.CCUNG_VATTUDIEN" xfId="577" xr:uid="{00000000-0005-0000-0000-0000790F0000}"/>
    <cellStyle name="_KT_TG_1_DTCDT MR.2N110.HOCMON.TDTOAN.CCUNG_VATTUDIEN 2" xfId="3848" xr:uid="{00000000-0005-0000-0000-00007A0F0000}"/>
    <cellStyle name="_KT_TG_1_DTCDT MR.2N110.HOCMON.TDTOAN.CCUNG_VATTUDIEN 3" xfId="17675" xr:uid="{00000000-0005-0000-0000-00007B0F0000}"/>
    <cellStyle name="_KT_TG_1_DTCDT MR.2N110.HOCMON.TDTOAN.CCUNG_VATTUDIEN_TOM TAT" xfId="19942" xr:uid="{00000000-0005-0000-0000-00007C0F0000}"/>
    <cellStyle name="_KT_TG_1_Dtoan-LTT-18-01" xfId="5000" xr:uid="{00000000-0005-0000-0000-00007D0F0000}"/>
    <cellStyle name="_KT_TG_1_DU TOAN NGUYEN HUE - GD2 (1-02-05) 1" xfId="5001" xr:uid="{00000000-0005-0000-0000-00007E0F0000}"/>
    <cellStyle name="_KT_TG_1_dutoan dien" xfId="5002" xr:uid="{00000000-0005-0000-0000-00007F0F0000}"/>
    <cellStyle name="_KT_TG_1_dutoan dptd" xfId="5003" xr:uid="{00000000-0005-0000-0000-0000800F0000}"/>
    <cellStyle name="_KT_TG_1_dutoan nuoc" xfId="5004" xr:uid="{00000000-0005-0000-0000-0000810F0000}"/>
    <cellStyle name="_KT_TG_1_he thong dien" xfId="5005" xr:uid="{00000000-0005-0000-0000-0000820F0000}"/>
    <cellStyle name="_KT_TG_1_Lora-tungchau" xfId="578" xr:uid="{00000000-0005-0000-0000-0000830F0000}"/>
    <cellStyle name="_KT_TG_1_Lora-tungchau 2" xfId="3849" xr:uid="{00000000-0005-0000-0000-0000840F0000}"/>
    <cellStyle name="_KT_TG_1_Lora-tungchau 3" xfId="17676" xr:uid="{00000000-0005-0000-0000-0000850F0000}"/>
    <cellStyle name="_KT_TG_1_Lora-tungchau_Book1" xfId="579" xr:uid="{00000000-0005-0000-0000-0000860F0000}"/>
    <cellStyle name="_KT_TG_1_Lora-tungchau_Book1 2" xfId="3850" xr:uid="{00000000-0005-0000-0000-0000870F0000}"/>
    <cellStyle name="_KT_TG_1_Lora-tungchau_Book1 3" xfId="17677" xr:uid="{00000000-0005-0000-0000-0000880F0000}"/>
    <cellStyle name="_KT_TG_1_Lora-tungchau_Book1_1" xfId="580" xr:uid="{00000000-0005-0000-0000-0000890F0000}"/>
    <cellStyle name="_KT_TG_1_Lora-tungchau_Book1_1 2" xfId="3851" xr:uid="{00000000-0005-0000-0000-00008A0F0000}"/>
    <cellStyle name="_KT_TG_1_Lora-tungchau_Book1_1 3" xfId="17678" xr:uid="{00000000-0005-0000-0000-00008B0F0000}"/>
    <cellStyle name="_KT_TG_1_Lora-tungchau_Book1_1_TOM TAT" xfId="19945" xr:uid="{00000000-0005-0000-0000-00008C0F0000}"/>
    <cellStyle name="_KT_TG_1_Lora-tungchau_Book1_2" xfId="581" xr:uid="{00000000-0005-0000-0000-00008D0F0000}"/>
    <cellStyle name="_KT_TG_1_Lora-tungchau_Book1_2 2" xfId="3852" xr:uid="{00000000-0005-0000-0000-00008E0F0000}"/>
    <cellStyle name="_KT_TG_1_Lora-tungchau_Book1_2 3" xfId="17679" xr:uid="{00000000-0005-0000-0000-00008F0F0000}"/>
    <cellStyle name="_KT_TG_1_Lora-tungchau_Book1_2_TOM TAT" xfId="19946" xr:uid="{00000000-0005-0000-0000-0000900F0000}"/>
    <cellStyle name="_KT_TG_1_Lora-tungchau_Book1_3" xfId="582" xr:uid="{00000000-0005-0000-0000-0000910F0000}"/>
    <cellStyle name="_KT_TG_1_Lora-tungchau_Book1_3 2" xfId="3853" xr:uid="{00000000-0005-0000-0000-0000920F0000}"/>
    <cellStyle name="_KT_TG_1_Lora-tungchau_Book1_3 3" xfId="17680" xr:uid="{00000000-0005-0000-0000-0000930F0000}"/>
    <cellStyle name="_KT_TG_1_Lora-tungchau_Book1_3_TOM TAT" xfId="19947" xr:uid="{00000000-0005-0000-0000-0000940F0000}"/>
    <cellStyle name="_KT_TG_1_Lora-tungchau_Book1_TOM TAT" xfId="19944" xr:uid="{00000000-0005-0000-0000-0000950F0000}"/>
    <cellStyle name="_KT_TG_1_Lora-tungchau_TOM TAT" xfId="19943" xr:uid="{00000000-0005-0000-0000-0000960F0000}"/>
    <cellStyle name="_KT_TG_1_Lora-tungchau_VATTUDIEN" xfId="583" xr:uid="{00000000-0005-0000-0000-0000970F0000}"/>
    <cellStyle name="_KT_TG_1_Lora-tungchau_VATTUDIEN 2" xfId="3854" xr:uid="{00000000-0005-0000-0000-0000980F0000}"/>
    <cellStyle name="_KT_TG_1_Lora-tungchau_VATTUDIEN 3" xfId="17681" xr:uid="{00000000-0005-0000-0000-0000990F0000}"/>
    <cellStyle name="_KT_TG_1_Lora-tungchau_VATTUDIEN_TOM TAT" xfId="19948" xr:uid="{00000000-0005-0000-0000-00009A0F0000}"/>
    <cellStyle name="_KT_TG_1_PGIA-phieu tham tra Kho bac" xfId="584" xr:uid="{00000000-0005-0000-0000-00009B0F0000}"/>
    <cellStyle name="_KT_TG_1_PGIA-phieu tham tra Kho bac 2" xfId="3855" xr:uid="{00000000-0005-0000-0000-00009C0F0000}"/>
    <cellStyle name="_KT_TG_1_PGIA-phieu tham tra Kho bac 3" xfId="17682" xr:uid="{00000000-0005-0000-0000-00009D0F0000}"/>
    <cellStyle name="_KT_TG_1_PGIA-phieu tham tra Kho bac_Book1" xfId="585" xr:uid="{00000000-0005-0000-0000-00009E0F0000}"/>
    <cellStyle name="_KT_TG_1_PGIA-phieu tham tra Kho bac_Book1 2" xfId="3856" xr:uid="{00000000-0005-0000-0000-00009F0F0000}"/>
    <cellStyle name="_KT_TG_1_PGIA-phieu tham tra Kho bac_Book1 3" xfId="17683" xr:uid="{00000000-0005-0000-0000-0000A00F0000}"/>
    <cellStyle name="_KT_TG_1_PGIA-phieu tham tra Kho bac_Book1_1" xfId="586" xr:uid="{00000000-0005-0000-0000-0000A10F0000}"/>
    <cellStyle name="_KT_TG_1_PGIA-phieu tham tra Kho bac_Book1_1 2" xfId="3857" xr:uid="{00000000-0005-0000-0000-0000A20F0000}"/>
    <cellStyle name="_KT_TG_1_PGIA-phieu tham tra Kho bac_Book1_1 3" xfId="17684" xr:uid="{00000000-0005-0000-0000-0000A30F0000}"/>
    <cellStyle name="_KT_TG_1_PGIA-phieu tham tra Kho bac_Book1_1_TOM TAT" xfId="19951" xr:uid="{00000000-0005-0000-0000-0000A40F0000}"/>
    <cellStyle name="_KT_TG_1_PGIA-phieu tham tra Kho bac_Book1_2" xfId="587" xr:uid="{00000000-0005-0000-0000-0000A50F0000}"/>
    <cellStyle name="_KT_TG_1_PGIA-phieu tham tra Kho bac_Book1_2 2" xfId="3858" xr:uid="{00000000-0005-0000-0000-0000A60F0000}"/>
    <cellStyle name="_KT_TG_1_PGIA-phieu tham tra Kho bac_Book1_2 3" xfId="17685" xr:uid="{00000000-0005-0000-0000-0000A70F0000}"/>
    <cellStyle name="_KT_TG_1_PGIA-phieu tham tra Kho bac_Book1_2_TOM TAT" xfId="19952" xr:uid="{00000000-0005-0000-0000-0000A80F0000}"/>
    <cellStyle name="_KT_TG_1_PGIA-phieu tham tra Kho bac_Book1_3" xfId="588" xr:uid="{00000000-0005-0000-0000-0000A90F0000}"/>
    <cellStyle name="_KT_TG_1_PGIA-phieu tham tra Kho bac_Book1_3 2" xfId="3859" xr:uid="{00000000-0005-0000-0000-0000AA0F0000}"/>
    <cellStyle name="_KT_TG_1_PGIA-phieu tham tra Kho bac_Book1_3 3" xfId="17686" xr:uid="{00000000-0005-0000-0000-0000AB0F0000}"/>
    <cellStyle name="_KT_TG_1_PGIA-phieu tham tra Kho bac_Book1_3_TOM TAT" xfId="19953" xr:uid="{00000000-0005-0000-0000-0000AC0F0000}"/>
    <cellStyle name="_KT_TG_1_PGIA-phieu tham tra Kho bac_Book1_TOM TAT" xfId="19950" xr:uid="{00000000-0005-0000-0000-0000AD0F0000}"/>
    <cellStyle name="_KT_TG_1_PGIA-phieu tham tra Kho bac_TOM TAT" xfId="19949" xr:uid="{00000000-0005-0000-0000-0000AE0F0000}"/>
    <cellStyle name="_KT_TG_1_PGIA-phieu tham tra Kho bac_VATTUDIEN" xfId="589" xr:uid="{00000000-0005-0000-0000-0000AF0F0000}"/>
    <cellStyle name="_KT_TG_1_PGIA-phieu tham tra Kho bac_VATTUDIEN 2" xfId="3860" xr:uid="{00000000-0005-0000-0000-0000B00F0000}"/>
    <cellStyle name="_KT_TG_1_PGIA-phieu tham tra Kho bac_VATTUDIEN 3" xfId="17687" xr:uid="{00000000-0005-0000-0000-0000B10F0000}"/>
    <cellStyle name="_KT_TG_1_PGIA-phieu tham tra Kho bac_VATTUDIEN_TOM TAT" xfId="19954" xr:uid="{00000000-0005-0000-0000-0000B20F0000}"/>
    <cellStyle name="_KT_TG_1_PT02-02" xfId="590" xr:uid="{00000000-0005-0000-0000-0000B30F0000}"/>
    <cellStyle name="_KT_TG_1_PT02-02 2" xfId="3861" xr:uid="{00000000-0005-0000-0000-0000B40F0000}"/>
    <cellStyle name="_KT_TG_1_PT02-02 3" xfId="17688" xr:uid="{00000000-0005-0000-0000-0000B50F0000}"/>
    <cellStyle name="_KT_TG_1_PT02-02_Book1" xfId="591" xr:uid="{00000000-0005-0000-0000-0000B60F0000}"/>
    <cellStyle name="_KT_TG_1_PT02-02_Book1 2" xfId="3862" xr:uid="{00000000-0005-0000-0000-0000B70F0000}"/>
    <cellStyle name="_KT_TG_1_PT02-02_Book1 3" xfId="17689" xr:uid="{00000000-0005-0000-0000-0000B80F0000}"/>
    <cellStyle name="_KT_TG_1_PT02-02_Book1_1" xfId="592" xr:uid="{00000000-0005-0000-0000-0000B90F0000}"/>
    <cellStyle name="_KT_TG_1_PT02-02_Book1_1 2" xfId="3863" xr:uid="{00000000-0005-0000-0000-0000BA0F0000}"/>
    <cellStyle name="_KT_TG_1_PT02-02_Book1_1 3" xfId="17690" xr:uid="{00000000-0005-0000-0000-0000BB0F0000}"/>
    <cellStyle name="_KT_TG_1_PT02-02_Book1_1_TOM TAT" xfId="19957" xr:uid="{00000000-0005-0000-0000-0000BC0F0000}"/>
    <cellStyle name="_KT_TG_1_PT02-02_Book1_2" xfId="593" xr:uid="{00000000-0005-0000-0000-0000BD0F0000}"/>
    <cellStyle name="_KT_TG_1_PT02-02_Book1_2 2" xfId="3864" xr:uid="{00000000-0005-0000-0000-0000BE0F0000}"/>
    <cellStyle name="_KT_TG_1_PT02-02_Book1_2 3" xfId="17691" xr:uid="{00000000-0005-0000-0000-0000BF0F0000}"/>
    <cellStyle name="_KT_TG_1_PT02-02_Book1_2_TOM TAT" xfId="19958" xr:uid="{00000000-0005-0000-0000-0000C00F0000}"/>
    <cellStyle name="_KT_TG_1_PT02-02_Book1_3" xfId="594" xr:uid="{00000000-0005-0000-0000-0000C10F0000}"/>
    <cellStyle name="_KT_TG_1_PT02-02_Book1_3 2" xfId="3865" xr:uid="{00000000-0005-0000-0000-0000C20F0000}"/>
    <cellStyle name="_KT_TG_1_PT02-02_Book1_3 3" xfId="17692" xr:uid="{00000000-0005-0000-0000-0000C30F0000}"/>
    <cellStyle name="_KT_TG_1_PT02-02_Book1_3_TOM TAT" xfId="19959" xr:uid="{00000000-0005-0000-0000-0000C40F0000}"/>
    <cellStyle name="_KT_TG_1_PT02-02_Book1_4" xfId="595" xr:uid="{00000000-0005-0000-0000-0000C50F0000}"/>
    <cellStyle name="_KT_TG_1_PT02-02_Book1_4 2" xfId="3866" xr:uid="{00000000-0005-0000-0000-0000C60F0000}"/>
    <cellStyle name="_KT_TG_1_PT02-02_Book1_4 3" xfId="17693" xr:uid="{00000000-0005-0000-0000-0000C70F0000}"/>
    <cellStyle name="_KT_TG_1_PT02-02_Book1_4_TOM TAT" xfId="19960" xr:uid="{00000000-0005-0000-0000-0000C80F0000}"/>
    <cellStyle name="_KT_TG_1_PT02-02_Book1_Book1" xfId="596" xr:uid="{00000000-0005-0000-0000-0000C90F0000}"/>
    <cellStyle name="_KT_TG_1_PT02-02_Book1_Book1 2" xfId="3867" xr:uid="{00000000-0005-0000-0000-0000CA0F0000}"/>
    <cellStyle name="_KT_TG_1_PT02-02_Book1_Book1 3" xfId="17694" xr:uid="{00000000-0005-0000-0000-0000CB0F0000}"/>
    <cellStyle name="_KT_TG_1_PT02-02_Book1_Book1_1" xfId="597" xr:uid="{00000000-0005-0000-0000-0000CC0F0000}"/>
    <cellStyle name="_KT_TG_1_PT02-02_Book1_Book1_1 2" xfId="3868" xr:uid="{00000000-0005-0000-0000-0000CD0F0000}"/>
    <cellStyle name="_KT_TG_1_PT02-02_Book1_Book1_1 3" xfId="17695" xr:uid="{00000000-0005-0000-0000-0000CE0F0000}"/>
    <cellStyle name="_KT_TG_1_PT02-02_Book1_Book1_1_TOM TAT" xfId="19962" xr:uid="{00000000-0005-0000-0000-0000CF0F0000}"/>
    <cellStyle name="_KT_TG_1_PT02-02_Book1_Book1_2" xfId="598" xr:uid="{00000000-0005-0000-0000-0000D00F0000}"/>
    <cellStyle name="_KT_TG_1_PT02-02_Book1_Book1_2 2" xfId="3869" xr:uid="{00000000-0005-0000-0000-0000D10F0000}"/>
    <cellStyle name="_KT_TG_1_PT02-02_Book1_Book1_2 3" xfId="17696" xr:uid="{00000000-0005-0000-0000-0000D20F0000}"/>
    <cellStyle name="_KT_TG_1_PT02-02_Book1_Book1_2_TOM TAT" xfId="19963" xr:uid="{00000000-0005-0000-0000-0000D30F0000}"/>
    <cellStyle name="_KT_TG_1_PT02-02_Book1_Book1_3" xfId="599" xr:uid="{00000000-0005-0000-0000-0000D40F0000}"/>
    <cellStyle name="_KT_TG_1_PT02-02_Book1_Book1_3 2" xfId="3870" xr:uid="{00000000-0005-0000-0000-0000D50F0000}"/>
    <cellStyle name="_KT_TG_1_PT02-02_Book1_Book1_3 3" xfId="17697" xr:uid="{00000000-0005-0000-0000-0000D60F0000}"/>
    <cellStyle name="_KT_TG_1_PT02-02_Book1_Book1_3_TOM TAT" xfId="19964" xr:uid="{00000000-0005-0000-0000-0000D70F0000}"/>
    <cellStyle name="_KT_TG_1_PT02-02_Book1_Book1_TOM TAT" xfId="19961" xr:uid="{00000000-0005-0000-0000-0000D80F0000}"/>
    <cellStyle name="_KT_TG_1_PT02-02_Book1_TOM TAT" xfId="19956" xr:uid="{00000000-0005-0000-0000-0000D90F0000}"/>
    <cellStyle name="_KT_TG_1_PT02-02_Book1_VATTUDIEN" xfId="600" xr:uid="{00000000-0005-0000-0000-0000DA0F0000}"/>
    <cellStyle name="_KT_TG_1_PT02-02_Book1_VATTUDIEN 2" xfId="3871" xr:uid="{00000000-0005-0000-0000-0000DB0F0000}"/>
    <cellStyle name="_KT_TG_1_PT02-02_Book1_VATTUDIEN 3" xfId="17698" xr:uid="{00000000-0005-0000-0000-0000DC0F0000}"/>
    <cellStyle name="_KT_TG_1_PT02-02_Book1_VATTUDIEN_TOM TAT" xfId="19965" xr:uid="{00000000-0005-0000-0000-0000DD0F0000}"/>
    <cellStyle name="_KT_TG_1_PT02-02_TOM TAT" xfId="19955" xr:uid="{00000000-0005-0000-0000-0000DE0F0000}"/>
    <cellStyle name="_KT_TG_1_PT02-02_VATTUDIEN" xfId="601" xr:uid="{00000000-0005-0000-0000-0000DF0F0000}"/>
    <cellStyle name="_KT_TG_1_PT02-02_VATTUDIEN 2" xfId="3872" xr:uid="{00000000-0005-0000-0000-0000E00F0000}"/>
    <cellStyle name="_KT_TG_1_PT02-02_VATTUDIEN 3" xfId="17699" xr:uid="{00000000-0005-0000-0000-0000E10F0000}"/>
    <cellStyle name="_KT_TG_1_PT02-02_VATTUDIEN_TOM TAT" xfId="19966" xr:uid="{00000000-0005-0000-0000-0000E20F0000}"/>
    <cellStyle name="_KT_TG_1_PT02-03" xfId="602" xr:uid="{00000000-0005-0000-0000-0000E30F0000}"/>
    <cellStyle name="_KT_TG_1_PT02-03 2" xfId="3873" xr:uid="{00000000-0005-0000-0000-0000E40F0000}"/>
    <cellStyle name="_KT_TG_1_PT02-03 3" xfId="17700" xr:uid="{00000000-0005-0000-0000-0000E50F0000}"/>
    <cellStyle name="_KT_TG_1_PT02-03_Book1" xfId="603" xr:uid="{00000000-0005-0000-0000-0000E60F0000}"/>
    <cellStyle name="_KT_TG_1_PT02-03_Book1 2" xfId="3874" xr:uid="{00000000-0005-0000-0000-0000E70F0000}"/>
    <cellStyle name="_KT_TG_1_PT02-03_Book1 3" xfId="17701" xr:uid="{00000000-0005-0000-0000-0000E80F0000}"/>
    <cellStyle name="_KT_TG_1_PT02-03_Book1_1" xfId="604" xr:uid="{00000000-0005-0000-0000-0000E90F0000}"/>
    <cellStyle name="_KT_TG_1_PT02-03_Book1_1 2" xfId="3875" xr:uid="{00000000-0005-0000-0000-0000EA0F0000}"/>
    <cellStyle name="_KT_TG_1_PT02-03_Book1_1 3" xfId="17702" xr:uid="{00000000-0005-0000-0000-0000EB0F0000}"/>
    <cellStyle name="_KT_TG_1_PT02-03_Book1_1_TOM TAT" xfId="19969" xr:uid="{00000000-0005-0000-0000-0000EC0F0000}"/>
    <cellStyle name="_KT_TG_1_PT02-03_Book1_2" xfId="605" xr:uid="{00000000-0005-0000-0000-0000ED0F0000}"/>
    <cellStyle name="_KT_TG_1_PT02-03_Book1_2 2" xfId="3876" xr:uid="{00000000-0005-0000-0000-0000EE0F0000}"/>
    <cellStyle name="_KT_TG_1_PT02-03_Book1_2 3" xfId="17703" xr:uid="{00000000-0005-0000-0000-0000EF0F0000}"/>
    <cellStyle name="_KT_TG_1_PT02-03_Book1_2_TOM TAT" xfId="19970" xr:uid="{00000000-0005-0000-0000-0000F00F0000}"/>
    <cellStyle name="_KT_TG_1_PT02-03_Book1_3" xfId="606" xr:uid="{00000000-0005-0000-0000-0000F10F0000}"/>
    <cellStyle name="_KT_TG_1_PT02-03_Book1_3 2" xfId="3877" xr:uid="{00000000-0005-0000-0000-0000F20F0000}"/>
    <cellStyle name="_KT_TG_1_PT02-03_Book1_3 3" xfId="17704" xr:uid="{00000000-0005-0000-0000-0000F30F0000}"/>
    <cellStyle name="_KT_TG_1_PT02-03_Book1_3_TOM TAT" xfId="19971" xr:uid="{00000000-0005-0000-0000-0000F40F0000}"/>
    <cellStyle name="_KT_TG_1_PT02-03_Book1_4" xfId="607" xr:uid="{00000000-0005-0000-0000-0000F50F0000}"/>
    <cellStyle name="_KT_TG_1_PT02-03_Book1_4 2" xfId="3878" xr:uid="{00000000-0005-0000-0000-0000F60F0000}"/>
    <cellStyle name="_KT_TG_1_PT02-03_Book1_4 3" xfId="17705" xr:uid="{00000000-0005-0000-0000-0000F70F0000}"/>
    <cellStyle name="_KT_TG_1_PT02-03_Book1_4_TOM TAT" xfId="19972" xr:uid="{00000000-0005-0000-0000-0000F80F0000}"/>
    <cellStyle name="_KT_TG_1_PT02-03_Book1_Book1" xfId="608" xr:uid="{00000000-0005-0000-0000-0000F90F0000}"/>
    <cellStyle name="_KT_TG_1_PT02-03_Book1_Book1 2" xfId="3879" xr:uid="{00000000-0005-0000-0000-0000FA0F0000}"/>
    <cellStyle name="_KT_TG_1_PT02-03_Book1_Book1 3" xfId="17706" xr:uid="{00000000-0005-0000-0000-0000FB0F0000}"/>
    <cellStyle name="_KT_TG_1_PT02-03_Book1_Book1_1" xfId="609" xr:uid="{00000000-0005-0000-0000-0000FC0F0000}"/>
    <cellStyle name="_KT_TG_1_PT02-03_Book1_Book1_1 2" xfId="3880" xr:uid="{00000000-0005-0000-0000-0000FD0F0000}"/>
    <cellStyle name="_KT_TG_1_PT02-03_Book1_Book1_1 3" xfId="17707" xr:uid="{00000000-0005-0000-0000-0000FE0F0000}"/>
    <cellStyle name="_KT_TG_1_PT02-03_Book1_Book1_1_TOM TAT" xfId="19974" xr:uid="{00000000-0005-0000-0000-0000FF0F0000}"/>
    <cellStyle name="_KT_TG_1_PT02-03_Book1_Book1_2" xfId="610" xr:uid="{00000000-0005-0000-0000-000000100000}"/>
    <cellStyle name="_KT_TG_1_PT02-03_Book1_Book1_2 2" xfId="3881" xr:uid="{00000000-0005-0000-0000-000001100000}"/>
    <cellStyle name="_KT_TG_1_PT02-03_Book1_Book1_2 3" xfId="17708" xr:uid="{00000000-0005-0000-0000-000002100000}"/>
    <cellStyle name="_KT_TG_1_PT02-03_Book1_Book1_2_TOM TAT" xfId="19975" xr:uid="{00000000-0005-0000-0000-000003100000}"/>
    <cellStyle name="_KT_TG_1_PT02-03_Book1_Book1_3" xfId="611" xr:uid="{00000000-0005-0000-0000-000004100000}"/>
    <cellStyle name="_KT_TG_1_PT02-03_Book1_Book1_3 2" xfId="3882" xr:uid="{00000000-0005-0000-0000-000005100000}"/>
    <cellStyle name="_KT_TG_1_PT02-03_Book1_Book1_3 3" xfId="17709" xr:uid="{00000000-0005-0000-0000-000006100000}"/>
    <cellStyle name="_KT_TG_1_PT02-03_Book1_Book1_3_TOM TAT" xfId="19976" xr:uid="{00000000-0005-0000-0000-000007100000}"/>
    <cellStyle name="_KT_TG_1_PT02-03_Book1_Book1_TOM TAT" xfId="19973" xr:uid="{00000000-0005-0000-0000-000008100000}"/>
    <cellStyle name="_KT_TG_1_PT02-03_Book1_TOM TAT" xfId="19968" xr:uid="{00000000-0005-0000-0000-000009100000}"/>
    <cellStyle name="_KT_TG_1_PT02-03_Book1_VATTUDIEN" xfId="612" xr:uid="{00000000-0005-0000-0000-00000A100000}"/>
    <cellStyle name="_KT_TG_1_PT02-03_Book1_VATTUDIEN 2" xfId="3883" xr:uid="{00000000-0005-0000-0000-00000B100000}"/>
    <cellStyle name="_KT_TG_1_PT02-03_Book1_VATTUDIEN 3" xfId="17710" xr:uid="{00000000-0005-0000-0000-00000C100000}"/>
    <cellStyle name="_KT_TG_1_PT02-03_Book1_VATTUDIEN_TOM TAT" xfId="19977" xr:uid="{00000000-0005-0000-0000-00000D100000}"/>
    <cellStyle name="_KT_TG_1_PT02-03_TOM TAT" xfId="19967" xr:uid="{00000000-0005-0000-0000-00000E100000}"/>
    <cellStyle name="_KT_TG_1_PT02-03_VATTUDIEN" xfId="613" xr:uid="{00000000-0005-0000-0000-00000F100000}"/>
    <cellStyle name="_KT_TG_1_PT02-03_VATTUDIEN 2" xfId="3884" xr:uid="{00000000-0005-0000-0000-000010100000}"/>
    <cellStyle name="_KT_TG_1_PT02-03_VATTUDIEN 3" xfId="17711" xr:uid="{00000000-0005-0000-0000-000011100000}"/>
    <cellStyle name="_KT_TG_1_PT02-03_VATTUDIEN_TOM TAT" xfId="19978" xr:uid="{00000000-0005-0000-0000-000012100000}"/>
    <cellStyle name="_KT_TG_1_Qt-HT3PQ1(CauKho)" xfId="614" xr:uid="{00000000-0005-0000-0000-000013100000}"/>
    <cellStyle name="_KT_TG_1_Qt-HT3PQ1(CauKho) 2" xfId="3885" xr:uid="{00000000-0005-0000-0000-000014100000}"/>
    <cellStyle name="_KT_TG_1_Qt-HT3PQ1(CauKho) 3" xfId="17712" xr:uid="{00000000-0005-0000-0000-000015100000}"/>
    <cellStyle name="_KT_TG_1_Qt-HT3PQ1(CauKho)_Book1" xfId="615" xr:uid="{00000000-0005-0000-0000-000016100000}"/>
    <cellStyle name="_KT_TG_1_Qt-HT3PQ1(CauKho)_Book1 2" xfId="3886" xr:uid="{00000000-0005-0000-0000-000017100000}"/>
    <cellStyle name="_KT_TG_1_Qt-HT3PQ1(CauKho)_Book1 3" xfId="17713" xr:uid="{00000000-0005-0000-0000-000018100000}"/>
    <cellStyle name="_KT_TG_1_Qt-HT3PQ1(CauKho)_Book1_1" xfId="616" xr:uid="{00000000-0005-0000-0000-000019100000}"/>
    <cellStyle name="_KT_TG_1_Qt-HT3PQ1(CauKho)_Book1_1 2" xfId="3887" xr:uid="{00000000-0005-0000-0000-00001A100000}"/>
    <cellStyle name="_KT_TG_1_Qt-HT3PQ1(CauKho)_Book1_1 3" xfId="17714" xr:uid="{00000000-0005-0000-0000-00001B100000}"/>
    <cellStyle name="_KT_TG_1_Qt-HT3PQ1(CauKho)_Book1_1_TOM TAT" xfId="19981" xr:uid="{00000000-0005-0000-0000-00001C100000}"/>
    <cellStyle name="_KT_TG_1_Qt-HT3PQ1(CauKho)_Book1_2" xfId="617" xr:uid="{00000000-0005-0000-0000-00001D100000}"/>
    <cellStyle name="_KT_TG_1_Qt-HT3PQ1(CauKho)_Book1_2 2" xfId="3888" xr:uid="{00000000-0005-0000-0000-00001E100000}"/>
    <cellStyle name="_KT_TG_1_Qt-HT3PQ1(CauKho)_Book1_2 3" xfId="17715" xr:uid="{00000000-0005-0000-0000-00001F100000}"/>
    <cellStyle name="_KT_TG_1_Qt-HT3PQ1(CauKho)_Book1_2_TOM TAT" xfId="19982" xr:uid="{00000000-0005-0000-0000-000020100000}"/>
    <cellStyle name="_KT_TG_1_Qt-HT3PQ1(CauKho)_Book1_3" xfId="618" xr:uid="{00000000-0005-0000-0000-000021100000}"/>
    <cellStyle name="_KT_TG_1_Qt-HT3PQ1(CauKho)_Book1_3 2" xfId="3889" xr:uid="{00000000-0005-0000-0000-000022100000}"/>
    <cellStyle name="_KT_TG_1_Qt-HT3PQ1(CauKho)_Book1_3 3" xfId="17716" xr:uid="{00000000-0005-0000-0000-000023100000}"/>
    <cellStyle name="_KT_TG_1_Qt-HT3PQ1(CauKho)_Book1_3_TOM TAT" xfId="19983" xr:uid="{00000000-0005-0000-0000-000024100000}"/>
    <cellStyle name="_KT_TG_1_Qt-HT3PQ1(CauKho)_Book1_TOM TAT" xfId="19980" xr:uid="{00000000-0005-0000-0000-000025100000}"/>
    <cellStyle name="_KT_TG_1_Qt-HT3PQ1(CauKho)_TOM TAT" xfId="19979" xr:uid="{00000000-0005-0000-0000-000026100000}"/>
    <cellStyle name="_KT_TG_1_Qt-HT3PQ1(CauKho)_VATTUDIEN" xfId="619" xr:uid="{00000000-0005-0000-0000-000027100000}"/>
    <cellStyle name="_KT_TG_1_Qt-HT3PQ1(CauKho)_VATTUDIEN 2" xfId="3890" xr:uid="{00000000-0005-0000-0000-000028100000}"/>
    <cellStyle name="_KT_TG_1_Qt-HT3PQ1(CauKho)_VATTUDIEN 3" xfId="17717" xr:uid="{00000000-0005-0000-0000-000029100000}"/>
    <cellStyle name="_KT_TG_1_Qt-HT3PQ1(CauKho)_VATTUDIEN_TOM TAT" xfId="19984" xr:uid="{00000000-0005-0000-0000-00002A100000}"/>
    <cellStyle name="_KT_TG_1_Sheet1" xfId="5006" xr:uid="{00000000-0005-0000-0000-00002B100000}"/>
    <cellStyle name="_KT_TG_1_Sheet2" xfId="5007" xr:uid="{00000000-0005-0000-0000-00002C100000}"/>
    <cellStyle name="_KT_TG_1_TH KE" xfId="620" xr:uid="{00000000-0005-0000-0000-00002D100000}"/>
    <cellStyle name="_KT_TG_1_TH KE 2" xfId="3891" xr:uid="{00000000-0005-0000-0000-00002E100000}"/>
    <cellStyle name="_KT_TG_1_TH KE 3" xfId="17718" xr:uid="{00000000-0005-0000-0000-00002F100000}"/>
    <cellStyle name="_KT_TG_1_TH KE_Book1" xfId="621" xr:uid="{00000000-0005-0000-0000-000030100000}"/>
    <cellStyle name="_KT_TG_1_TH KE_Book1 2" xfId="3892" xr:uid="{00000000-0005-0000-0000-000031100000}"/>
    <cellStyle name="_KT_TG_1_TH KE_Book1 3" xfId="17719" xr:uid="{00000000-0005-0000-0000-000032100000}"/>
    <cellStyle name="_KT_TG_1_TH KE_Book1_1" xfId="622" xr:uid="{00000000-0005-0000-0000-000033100000}"/>
    <cellStyle name="_KT_TG_1_TH KE_Book1_1 2" xfId="3893" xr:uid="{00000000-0005-0000-0000-000034100000}"/>
    <cellStyle name="_KT_TG_1_TH KE_Book1_1 3" xfId="17720" xr:uid="{00000000-0005-0000-0000-000035100000}"/>
    <cellStyle name="_KT_TG_1_TH KE_Book1_1_TOM TAT" xfId="19987" xr:uid="{00000000-0005-0000-0000-000036100000}"/>
    <cellStyle name="_KT_TG_1_TH KE_Book1_2" xfId="623" xr:uid="{00000000-0005-0000-0000-000037100000}"/>
    <cellStyle name="_KT_TG_1_TH KE_Book1_2 2" xfId="3894" xr:uid="{00000000-0005-0000-0000-000038100000}"/>
    <cellStyle name="_KT_TG_1_TH KE_Book1_2 3" xfId="17721" xr:uid="{00000000-0005-0000-0000-000039100000}"/>
    <cellStyle name="_KT_TG_1_TH KE_Book1_2_TOM TAT" xfId="19988" xr:uid="{00000000-0005-0000-0000-00003A100000}"/>
    <cellStyle name="_KT_TG_1_TH KE_Book1_3" xfId="624" xr:uid="{00000000-0005-0000-0000-00003B100000}"/>
    <cellStyle name="_KT_TG_1_TH KE_Book1_3 2" xfId="3895" xr:uid="{00000000-0005-0000-0000-00003C100000}"/>
    <cellStyle name="_KT_TG_1_TH KE_Book1_3 3" xfId="17722" xr:uid="{00000000-0005-0000-0000-00003D100000}"/>
    <cellStyle name="_KT_TG_1_TH KE_Book1_3_TOM TAT" xfId="19989" xr:uid="{00000000-0005-0000-0000-00003E100000}"/>
    <cellStyle name="_KT_TG_1_TH KE_Book1_TOM TAT" xfId="19986" xr:uid="{00000000-0005-0000-0000-00003F100000}"/>
    <cellStyle name="_KT_TG_1_TH KE_TOM TAT" xfId="19985" xr:uid="{00000000-0005-0000-0000-000040100000}"/>
    <cellStyle name="_KT_TG_1_TH KE_VATTUDIEN" xfId="625" xr:uid="{00000000-0005-0000-0000-000041100000}"/>
    <cellStyle name="_KT_TG_1_TH KE_VATTUDIEN 2" xfId="3896" xr:uid="{00000000-0005-0000-0000-000042100000}"/>
    <cellStyle name="_KT_TG_1_TH KE_VATTUDIEN 3" xfId="17723" xr:uid="{00000000-0005-0000-0000-000043100000}"/>
    <cellStyle name="_KT_TG_1_TH KE_VATTUDIEN_TOM TAT" xfId="19990" xr:uid="{00000000-0005-0000-0000-000044100000}"/>
    <cellStyle name="_KT_TG_1_TOM TAT" xfId="19878" xr:uid="{00000000-0005-0000-0000-000045100000}"/>
    <cellStyle name="_KT_TG_1_VATTUDIEN" xfId="626" xr:uid="{00000000-0005-0000-0000-000046100000}"/>
    <cellStyle name="_KT_TG_1_VATTUDIEN 2" xfId="3897" xr:uid="{00000000-0005-0000-0000-000047100000}"/>
    <cellStyle name="_KT_TG_1_VATTUDIEN 3" xfId="17724" xr:uid="{00000000-0005-0000-0000-000048100000}"/>
    <cellStyle name="_KT_TG_1_VATTUDIEN_TOM TAT" xfId="19991" xr:uid="{00000000-0005-0000-0000-000049100000}"/>
    <cellStyle name="_KT_TG_1_XN3-2005" xfId="627" xr:uid="{00000000-0005-0000-0000-00004A100000}"/>
    <cellStyle name="_KT_TG_1_XN3-2005 2" xfId="3898" xr:uid="{00000000-0005-0000-0000-00004B100000}"/>
    <cellStyle name="_KT_TG_1_XN3-2005 3" xfId="17725" xr:uid="{00000000-0005-0000-0000-00004C100000}"/>
    <cellStyle name="_KT_TG_1_XN3-2005_TOM TAT" xfId="19992" xr:uid="{00000000-0005-0000-0000-00004D100000}"/>
    <cellStyle name="_KT_TG_2" xfId="628" xr:uid="{00000000-0005-0000-0000-00004E100000}"/>
    <cellStyle name="_KT_TG_2 2" xfId="3899" xr:uid="{00000000-0005-0000-0000-00004F100000}"/>
    <cellStyle name="_KT_TG_2 3" xfId="17726" xr:uid="{00000000-0005-0000-0000-000050100000}"/>
    <cellStyle name="_KT_TG_2_BAO CAO KLCT PT2000" xfId="629" xr:uid="{00000000-0005-0000-0000-000051100000}"/>
    <cellStyle name="_KT_TG_2_BAO CAO KLCT PT2000 2" xfId="3900" xr:uid="{00000000-0005-0000-0000-000052100000}"/>
    <cellStyle name="_KT_TG_2_BAO CAO KLCT PT2000 3" xfId="17727" xr:uid="{00000000-0005-0000-0000-000053100000}"/>
    <cellStyle name="_KT_TG_2_BAO CAO KLCT PT2000_Book1" xfId="630" xr:uid="{00000000-0005-0000-0000-000054100000}"/>
    <cellStyle name="_KT_TG_2_BAO CAO KLCT PT2000_Book1 2" xfId="3901" xr:uid="{00000000-0005-0000-0000-000055100000}"/>
    <cellStyle name="_KT_TG_2_BAO CAO KLCT PT2000_Book1 3" xfId="17728" xr:uid="{00000000-0005-0000-0000-000056100000}"/>
    <cellStyle name="_KT_TG_2_BAO CAO KLCT PT2000_Book1_1" xfId="631" xr:uid="{00000000-0005-0000-0000-000057100000}"/>
    <cellStyle name="_KT_TG_2_BAO CAO KLCT PT2000_Book1_1 2" xfId="3902" xr:uid="{00000000-0005-0000-0000-000058100000}"/>
    <cellStyle name="_KT_TG_2_BAO CAO KLCT PT2000_Book1_1 3" xfId="17729" xr:uid="{00000000-0005-0000-0000-000059100000}"/>
    <cellStyle name="_KT_TG_2_BAO CAO KLCT PT2000_Book1_1_TOM TAT" xfId="19996" xr:uid="{00000000-0005-0000-0000-00005A100000}"/>
    <cellStyle name="_KT_TG_2_BAO CAO KLCT PT2000_Book1_2" xfId="632" xr:uid="{00000000-0005-0000-0000-00005B100000}"/>
    <cellStyle name="_KT_TG_2_BAO CAO KLCT PT2000_Book1_2 2" xfId="3903" xr:uid="{00000000-0005-0000-0000-00005C100000}"/>
    <cellStyle name="_KT_TG_2_BAO CAO KLCT PT2000_Book1_2 3" xfId="17730" xr:uid="{00000000-0005-0000-0000-00005D100000}"/>
    <cellStyle name="_KT_TG_2_BAO CAO KLCT PT2000_Book1_2_TOM TAT" xfId="19997" xr:uid="{00000000-0005-0000-0000-00005E100000}"/>
    <cellStyle name="_KT_TG_2_BAO CAO KLCT PT2000_Book1_3" xfId="633" xr:uid="{00000000-0005-0000-0000-00005F100000}"/>
    <cellStyle name="_KT_TG_2_BAO CAO KLCT PT2000_Book1_3 2" xfId="3904" xr:uid="{00000000-0005-0000-0000-000060100000}"/>
    <cellStyle name="_KT_TG_2_BAO CAO KLCT PT2000_Book1_3 3" xfId="17731" xr:uid="{00000000-0005-0000-0000-000061100000}"/>
    <cellStyle name="_KT_TG_2_BAO CAO KLCT PT2000_Book1_3_TOM TAT" xfId="19998" xr:uid="{00000000-0005-0000-0000-000062100000}"/>
    <cellStyle name="_KT_TG_2_BAO CAO KLCT PT2000_Book1_TOM TAT" xfId="19995" xr:uid="{00000000-0005-0000-0000-000063100000}"/>
    <cellStyle name="_KT_TG_2_BAO CAO KLCT PT2000_TOM TAT" xfId="19994" xr:uid="{00000000-0005-0000-0000-000064100000}"/>
    <cellStyle name="_KT_TG_2_BAO CAO KLCT PT2000_VATTUDIEN" xfId="634" xr:uid="{00000000-0005-0000-0000-000065100000}"/>
    <cellStyle name="_KT_TG_2_BAO CAO KLCT PT2000_VATTUDIEN 2" xfId="3905" xr:uid="{00000000-0005-0000-0000-000066100000}"/>
    <cellStyle name="_KT_TG_2_BAO CAO KLCT PT2000_VATTUDIEN 3" xfId="17732" xr:uid="{00000000-0005-0000-0000-000067100000}"/>
    <cellStyle name="_KT_TG_2_BAO CAO KLCT PT2000_VATTUDIEN_TOM TAT" xfId="19999" xr:uid="{00000000-0005-0000-0000-000068100000}"/>
    <cellStyle name="_KT_TG_2_BAO CAO PT2000" xfId="635" xr:uid="{00000000-0005-0000-0000-000069100000}"/>
    <cellStyle name="_KT_TG_2_BAO CAO PT2000 2" xfId="3906" xr:uid="{00000000-0005-0000-0000-00006A100000}"/>
    <cellStyle name="_KT_TG_2_BAO CAO PT2000 3" xfId="17733" xr:uid="{00000000-0005-0000-0000-00006B100000}"/>
    <cellStyle name="_KT_TG_2_BAO CAO PT2000_Book1" xfId="636" xr:uid="{00000000-0005-0000-0000-00006C100000}"/>
    <cellStyle name="_KT_TG_2_BAO CAO PT2000_Book1 2" xfId="3907" xr:uid="{00000000-0005-0000-0000-00006D100000}"/>
    <cellStyle name="_KT_TG_2_BAO CAO PT2000_Book1 3" xfId="17734" xr:uid="{00000000-0005-0000-0000-00006E100000}"/>
    <cellStyle name="_KT_TG_2_BAO CAO PT2000_Book1_1" xfId="637" xr:uid="{00000000-0005-0000-0000-00006F100000}"/>
    <cellStyle name="_KT_TG_2_BAO CAO PT2000_Book1_1 2" xfId="3908" xr:uid="{00000000-0005-0000-0000-000070100000}"/>
    <cellStyle name="_KT_TG_2_BAO CAO PT2000_Book1_1 3" xfId="17735" xr:uid="{00000000-0005-0000-0000-000071100000}"/>
    <cellStyle name="_KT_TG_2_BAO CAO PT2000_Book1_1_TOM TAT" xfId="20002" xr:uid="{00000000-0005-0000-0000-000072100000}"/>
    <cellStyle name="_KT_TG_2_BAO CAO PT2000_Book1_2" xfId="638" xr:uid="{00000000-0005-0000-0000-000073100000}"/>
    <cellStyle name="_KT_TG_2_BAO CAO PT2000_Book1_2 2" xfId="3909" xr:uid="{00000000-0005-0000-0000-000074100000}"/>
    <cellStyle name="_KT_TG_2_BAO CAO PT2000_Book1_2 3" xfId="17736" xr:uid="{00000000-0005-0000-0000-000075100000}"/>
    <cellStyle name="_KT_TG_2_BAO CAO PT2000_Book1_2_TOM TAT" xfId="20003" xr:uid="{00000000-0005-0000-0000-000076100000}"/>
    <cellStyle name="_KT_TG_2_BAO CAO PT2000_Book1_3" xfId="639" xr:uid="{00000000-0005-0000-0000-000077100000}"/>
    <cellStyle name="_KT_TG_2_BAO CAO PT2000_Book1_3 2" xfId="3910" xr:uid="{00000000-0005-0000-0000-000078100000}"/>
    <cellStyle name="_KT_TG_2_BAO CAO PT2000_Book1_3 3" xfId="17737" xr:uid="{00000000-0005-0000-0000-000079100000}"/>
    <cellStyle name="_KT_TG_2_BAO CAO PT2000_Book1_3_TOM TAT" xfId="20004" xr:uid="{00000000-0005-0000-0000-00007A100000}"/>
    <cellStyle name="_KT_TG_2_BAO CAO PT2000_Book1_4" xfId="640" xr:uid="{00000000-0005-0000-0000-00007B100000}"/>
    <cellStyle name="_KT_TG_2_BAO CAO PT2000_Book1_4 2" xfId="3911" xr:uid="{00000000-0005-0000-0000-00007C100000}"/>
    <cellStyle name="_KT_TG_2_BAO CAO PT2000_Book1_4 3" xfId="17738" xr:uid="{00000000-0005-0000-0000-00007D100000}"/>
    <cellStyle name="_KT_TG_2_BAO CAO PT2000_Book1_4_TOM TAT" xfId="20005" xr:uid="{00000000-0005-0000-0000-00007E100000}"/>
    <cellStyle name="_KT_TG_2_BAO CAO PT2000_Book1_Book1" xfId="641" xr:uid="{00000000-0005-0000-0000-00007F100000}"/>
    <cellStyle name="_KT_TG_2_BAO CAO PT2000_Book1_Book1 2" xfId="3912" xr:uid="{00000000-0005-0000-0000-000080100000}"/>
    <cellStyle name="_KT_TG_2_BAO CAO PT2000_Book1_Book1 3" xfId="17739" xr:uid="{00000000-0005-0000-0000-000081100000}"/>
    <cellStyle name="_KT_TG_2_BAO CAO PT2000_Book1_Book1_1" xfId="642" xr:uid="{00000000-0005-0000-0000-000082100000}"/>
    <cellStyle name="_KT_TG_2_BAO CAO PT2000_Book1_Book1_1 2" xfId="3913" xr:uid="{00000000-0005-0000-0000-000083100000}"/>
    <cellStyle name="_KT_TG_2_BAO CAO PT2000_Book1_Book1_1 3" xfId="17740" xr:uid="{00000000-0005-0000-0000-000084100000}"/>
    <cellStyle name="_KT_TG_2_BAO CAO PT2000_Book1_Book1_1_TOM TAT" xfId="20007" xr:uid="{00000000-0005-0000-0000-000085100000}"/>
    <cellStyle name="_KT_TG_2_BAO CAO PT2000_Book1_Book1_2" xfId="643" xr:uid="{00000000-0005-0000-0000-000086100000}"/>
    <cellStyle name="_KT_TG_2_BAO CAO PT2000_Book1_Book1_2 2" xfId="3914" xr:uid="{00000000-0005-0000-0000-000087100000}"/>
    <cellStyle name="_KT_TG_2_BAO CAO PT2000_Book1_Book1_2 3" xfId="17741" xr:uid="{00000000-0005-0000-0000-000088100000}"/>
    <cellStyle name="_KT_TG_2_BAO CAO PT2000_Book1_Book1_2_TOM TAT" xfId="20008" xr:uid="{00000000-0005-0000-0000-000089100000}"/>
    <cellStyle name="_KT_TG_2_BAO CAO PT2000_Book1_Book1_3" xfId="644" xr:uid="{00000000-0005-0000-0000-00008A100000}"/>
    <cellStyle name="_KT_TG_2_BAO CAO PT2000_Book1_Book1_3 2" xfId="3915" xr:uid="{00000000-0005-0000-0000-00008B100000}"/>
    <cellStyle name="_KT_TG_2_BAO CAO PT2000_Book1_Book1_3 3" xfId="17742" xr:uid="{00000000-0005-0000-0000-00008C100000}"/>
    <cellStyle name="_KT_TG_2_BAO CAO PT2000_Book1_Book1_3_TOM TAT" xfId="20009" xr:uid="{00000000-0005-0000-0000-00008D100000}"/>
    <cellStyle name="_KT_TG_2_BAO CAO PT2000_Book1_Book1_TOM TAT" xfId="20006" xr:uid="{00000000-0005-0000-0000-00008E100000}"/>
    <cellStyle name="_KT_TG_2_BAO CAO PT2000_Book1_TOM TAT" xfId="20001" xr:uid="{00000000-0005-0000-0000-00008F100000}"/>
    <cellStyle name="_KT_TG_2_BAO CAO PT2000_Book1_VATTUDIEN" xfId="645" xr:uid="{00000000-0005-0000-0000-000090100000}"/>
    <cellStyle name="_KT_TG_2_BAO CAO PT2000_Book1_VATTUDIEN 2" xfId="3916" xr:uid="{00000000-0005-0000-0000-000091100000}"/>
    <cellStyle name="_KT_TG_2_BAO CAO PT2000_Book1_VATTUDIEN 3" xfId="17743" xr:uid="{00000000-0005-0000-0000-000092100000}"/>
    <cellStyle name="_KT_TG_2_BAO CAO PT2000_Book1_VATTUDIEN_TOM TAT" xfId="20010" xr:uid="{00000000-0005-0000-0000-000093100000}"/>
    <cellStyle name="_KT_TG_2_BAO CAO PT2000_TOM TAT" xfId="20000" xr:uid="{00000000-0005-0000-0000-000094100000}"/>
    <cellStyle name="_KT_TG_2_BAO CAO PT2000_VATTUDIEN" xfId="646" xr:uid="{00000000-0005-0000-0000-000095100000}"/>
    <cellStyle name="_KT_TG_2_BAO CAO PT2000_VATTUDIEN 2" xfId="3917" xr:uid="{00000000-0005-0000-0000-000096100000}"/>
    <cellStyle name="_KT_TG_2_BAO CAO PT2000_VATTUDIEN 3" xfId="17744" xr:uid="{00000000-0005-0000-0000-000097100000}"/>
    <cellStyle name="_KT_TG_2_BAO CAO PT2000_VATTUDIEN_TOM TAT" xfId="20011" xr:uid="{00000000-0005-0000-0000-000098100000}"/>
    <cellStyle name="_KT_TG_2_Bao cao XDCB 2001 - T11 KH dieu chinh 20-11-THAI" xfId="647" xr:uid="{00000000-0005-0000-0000-000099100000}"/>
    <cellStyle name="_KT_TG_2_Bao cao XDCB 2001 - T11 KH dieu chinh 20-11-THAI 2" xfId="3918" xr:uid="{00000000-0005-0000-0000-00009A100000}"/>
    <cellStyle name="_KT_TG_2_Bao cao XDCB 2001 - T11 KH dieu chinh 20-11-THAI 3" xfId="17745" xr:uid="{00000000-0005-0000-0000-00009B100000}"/>
    <cellStyle name="_KT_TG_2_Bao cao XDCB 2001 - T11 KH dieu chinh 20-11-THAI_Book1" xfId="648" xr:uid="{00000000-0005-0000-0000-00009C100000}"/>
    <cellStyle name="_KT_TG_2_Bao cao XDCB 2001 - T11 KH dieu chinh 20-11-THAI_Book1 2" xfId="3919" xr:uid="{00000000-0005-0000-0000-00009D100000}"/>
    <cellStyle name="_KT_TG_2_Bao cao XDCB 2001 - T11 KH dieu chinh 20-11-THAI_Book1 3" xfId="17746" xr:uid="{00000000-0005-0000-0000-00009E100000}"/>
    <cellStyle name="_KT_TG_2_Bao cao XDCB 2001 - T11 KH dieu chinh 20-11-THAI_Book1_1" xfId="649" xr:uid="{00000000-0005-0000-0000-00009F100000}"/>
    <cellStyle name="_KT_TG_2_Bao cao XDCB 2001 - T11 KH dieu chinh 20-11-THAI_Book1_1 2" xfId="3920" xr:uid="{00000000-0005-0000-0000-0000A0100000}"/>
    <cellStyle name="_KT_TG_2_Bao cao XDCB 2001 - T11 KH dieu chinh 20-11-THAI_Book1_1 3" xfId="17747" xr:uid="{00000000-0005-0000-0000-0000A1100000}"/>
    <cellStyle name="_KT_TG_2_Bao cao XDCB 2001 - T11 KH dieu chinh 20-11-THAI_Book1_1_TOM TAT" xfId="20014" xr:uid="{00000000-0005-0000-0000-0000A2100000}"/>
    <cellStyle name="_KT_TG_2_Bao cao XDCB 2001 - T11 KH dieu chinh 20-11-THAI_Book1_2" xfId="650" xr:uid="{00000000-0005-0000-0000-0000A3100000}"/>
    <cellStyle name="_KT_TG_2_Bao cao XDCB 2001 - T11 KH dieu chinh 20-11-THAI_Book1_2 2" xfId="3921" xr:uid="{00000000-0005-0000-0000-0000A4100000}"/>
    <cellStyle name="_KT_TG_2_Bao cao XDCB 2001 - T11 KH dieu chinh 20-11-THAI_Book1_2 3" xfId="17748" xr:uid="{00000000-0005-0000-0000-0000A5100000}"/>
    <cellStyle name="_KT_TG_2_Bao cao XDCB 2001 - T11 KH dieu chinh 20-11-THAI_Book1_2_TOM TAT" xfId="20015" xr:uid="{00000000-0005-0000-0000-0000A6100000}"/>
    <cellStyle name="_KT_TG_2_Bao cao XDCB 2001 - T11 KH dieu chinh 20-11-THAI_Book1_3" xfId="651" xr:uid="{00000000-0005-0000-0000-0000A7100000}"/>
    <cellStyle name="_KT_TG_2_Bao cao XDCB 2001 - T11 KH dieu chinh 20-11-THAI_Book1_3 2" xfId="3922" xr:uid="{00000000-0005-0000-0000-0000A8100000}"/>
    <cellStyle name="_KT_TG_2_Bao cao XDCB 2001 - T11 KH dieu chinh 20-11-THAI_Book1_3 3" xfId="17749" xr:uid="{00000000-0005-0000-0000-0000A9100000}"/>
    <cellStyle name="_KT_TG_2_Bao cao XDCB 2001 - T11 KH dieu chinh 20-11-THAI_Book1_3_TOM TAT" xfId="20016" xr:uid="{00000000-0005-0000-0000-0000AA100000}"/>
    <cellStyle name="_KT_TG_2_Bao cao XDCB 2001 - T11 KH dieu chinh 20-11-THAI_Book1_TOM TAT" xfId="20013" xr:uid="{00000000-0005-0000-0000-0000AB100000}"/>
    <cellStyle name="_KT_TG_2_Bao cao XDCB 2001 - T11 KH dieu chinh 20-11-THAI_TOM TAT" xfId="20012" xr:uid="{00000000-0005-0000-0000-0000AC100000}"/>
    <cellStyle name="_KT_TG_2_Bao cao XDCB 2001 - T11 KH dieu chinh 20-11-THAI_VATTUDIEN" xfId="652" xr:uid="{00000000-0005-0000-0000-0000AD100000}"/>
    <cellStyle name="_KT_TG_2_Bao cao XDCB 2001 - T11 KH dieu chinh 20-11-THAI_VATTUDIEN 2" xfId="3923" xr:uid="{00000000-0005-0000-0000-0000AE100000}"/>
    <cellStyle name="_KT_TG_2_Bao cao XDCB 2001 - T11 KH dieu chinh 20-11-THAI_VATTUDIEN 3" xfId="17750" xr:uid="{00000000-0005-0000-0000-0000AF100000}"/>
    <cellStyle name="_KT_TG_2_Bao cao XDCB 2001 - T11 KH dieu chinh 20-11-THAI_VATTUDIEN_TOM TAT" xfId="20017" xr:uid="{00000000-0005-0000-0000-0000B0100000}"/>
    <cellStyle name="_KT_TG_2_Book1" xfId="653" xr:uid="{00000000-0005-0000-0000-0000B1100000}"/>
    <cellStyle name="_KT_TG_2_Book1 2" xfId="3924" xr:uid="{00000000-0005-0000-0000-0000B2100000}"/>
    <cellStyle name="_KT_TG_2_Book1 3" xfId="17751" xr:uid="{00000000-0005-0000-0000-0000B3100000}"/>
    <cellStyle name="_KT_TG_2_Book1_1" xfId="654" xr:uid="{00000000-0005-0000-0000-0000B4100000}"/>
    <cellStyle name="_KT_TG_2_Book1_1 2" xfId="3925" xr:uid="{00000000-0005-0000-0000-0000B5100000}"/>
    <cellStyle name="_KT_TG_2_Book1_1 3" xfId="17752" xr:uid="{00000000-0005-0000-0000-0000B6100000}"/>
    <cellStyle name="_KT_TG_2_Book1_1_Book1" xfId="655" xr:uid="{00000000-0005-0000-0000-0000B7100000}"/>
    <cellStyle name="_KT_TG_2_Book1_1_Book1 2" xfId="3926" xr:uid="{00000000-0005-0000-0000-0000B8100000}"/>
    <cellStyle name="_KT_TG_2_Book1_1_Book1 3" xfId="17753" xr:uid="{00000000-0005-0000-0000-0000B9100000}"/>
    <cellStyle name="_KT_TG_2_Book1_1_Book1_1" xfId="656" xr:uid="{00000000-0005-0000-0000-0000BA100000}"/>
    <cellStyle name="_KT_TG_2_Book1_1_Book1_1 2" xfId="3927" xr:uid="{00000000-0005-0000-0000-0000BB100000}"/>
    <cellStyle name="_KT_TG_2_Book1_1_Book1_1 3" xfId="17754" xr:uid="{00000000-0005-0000-0000-0000BC100000}"/>
    <cellStyle name="_KT_TG_2_Book1_1_Book1_1_TOM TAT" xfId="20021" xr:uid="{00000000-0005-0000-0000-0000BD100000}"/>
    <cellStyle name="_KT_TG_2_Book1_1_Book1_2" xfId="657" xr:uid="{00000000-0005-0000-0000-0000BE100000}"/>
    <cellStyle name="_KT_TG_2_Book1_1_Book1_2 2" xfId="3928" xr:uid="{00000000-0005-0000-0000-0000BF100000}"/>
    <cellStyle name="_KT_TG_2_Book1_1_Book1_2 3" xfId="17755" xr:uid="{00000000-0005-0000-0000-0000C0100000}"/>
    <cellStyle name="_KT_TG_2_Book1_1_Book1_2_TOM TAT" xfId="20022" xr:uid="{00000000-0005-0000-0000-0000C1100000}"/>
    <cellStyle name="_KT_TG_2_Book1_1_Book1_3" xfId="658" xr:uid="{00000000-0005-0000-0000-0000C2100000}"/>
    <cellStyle name="_KT_TG_2_Book1_1_Book1_3 2" xfId="3929" xr:uid="{00000000-0005-0000-0000-0000C3100000}"/>
    <cellStyle name="_KT_TG_2_Book1_1_Book1_3 3" xfId="17756" xr:uid="{00000000-0005-0000-0000-0000C4100000}"/>
    <cellStyle name="_KT_TG_2_Book1_1_Book1_3_TOM TAT" xfId="20023" xr:uid="{00000000-0005-0000-0000-0000C5100000}"/>
    <cellStyle name="_KT_TG_2_Book1_1_Book1_TOM TAT" xfId="20020" xr:uid="{00000000-0005-0000-0000-0000C6100000}"/>
    <cellStyle name="_KT_TG_2_Book1_1_DgklKNHA" xfId="5008" xr:uid="{00000000-0005-0000-0000-0000C7100000}"/>
    <cellStyle name="_KT_TG_2_Book1_1_dt khoi nha 3trai - VKg (cat xuong) (27-01-05)" xfId="5009" xr:uid="{00000000-0005-0000-0000-0000C8100000}"/>
    <cellStyle name="_KT_TG_2_Book1_1_Dtoan-LTT-18-01" xfId="5010" xr:uid="{00000000-0005-0000-0000-0000C9100000}"/>
    <cellStyle name="_KT_TG_2_Book1_1_DU TOAN NGUYEN HUE - GD2 (1-02-05) 1" xfId="5011" xr:uid="{00000000-0005-0000-0000-0000CA100000}"/>
    <cellStyle name="_KT_TG_2_Book1_1_dutoan dptd" xfId="5012" xr:uid="{00000000-0005-0000-0000-0000CB100000}"/>
    <cellStyle name="_KT_TG_2_Book1_1_he thong dien" xfId="5013" xr:uid="{00000000-0005-0000-0000-0000CC100000}"/>
    <cellStyle name="_KT_TG_2_Book1_1_Sheet1" xfId="5014" xr:uid="{00000000-0005-0000-0000-0000CD100000}"/>
    <cellStyle name="_KT_TG_2_Book1_1_Sheet2" xfId="5015" xr:uid="{00000000-0005-0000-0000-0000CE100000}"/>
    <cellStyle name="_KT_TG_2_Book1_1_TOM TAT" xfId="20019" xr:uid="{00000000-0005-0000-0000-0000CF100000}"/>
    <cellStyle name="_KT_TG_2_Book1_1_VATTUDIEN" xfId="659" xr:uid="{00000000-0005-0000-0000-0000D0100000}"/>
    <cellStyle name="_KT_TG_2_Book1_1_VATTUDIEN 2" xfId="3930" xr:uid="{00000000-0005-0000-0000-0000D1100000}"/>
    <cellStyle name="_KT_TG_2_Book1_1_VATTUDIEN 3" xfId="17757" xr:uid="{00000000-0005-0000-0000-0000D2100000}"/>
    <cellStyle name="_KT_TG_2_Book1_1_VATTUDIEN_TOM TAT" xfId="20024" xr:uid="{00000000-0005-0000-0000-0000D3100000}"/>
    <cellStyle name="_KT_TG_2_Book1_2" xfId="660" xr:uid="{00000000-0005-0000-0000-0000D4100000}"/>
    <cellStyle name="_KT_TG_2_Book1_2 2" xfId="3931" xr:uid="{00000000-0005-0000-0000-0000D5100000}"/>
    <cellStyle name="_KT_TG_2_Book1_2 2 2" xfId="8185" xr:uid="{00000000-0005-0000-0000-0000D6100000}"/>
    <cellStyle name="_KT_TG_2_Book1_2 3" xfId="8186" xr:uid="{00000000-0005-0000-0000-0000D7100000}"/>
    <cellStyle name="_KT_TG_2_Book1_2 4" xfId="8187" xr:uid="{00000000-0005-0000-0000-0000D8100000}"/>
    <cellStyle name="_KT_TG_2_Book1_2_DgklKNHA" xfId="5016" xr:uid="{00000000-0005-0000-0000-0000D9100000}"/>
    <cellStyle name="_KT_TG_2_Book1_2_DgklKNHA 2" xfId="8188" xr:uid="{00000000-0005-0000-0000-0000DA100000}"/>
    <cellStyle name="_KT_TG_2_Book1_2_dt khoi nha 3trai - VKg (cat xuong) (27-01-05)" xfId="5017" xr:uid="{00000000-0005-0000-0000-0000DB100000}"/>
    <cellStyle name="_KT_TG_2_Book1_2_dt khoi nha 3trai - VKg (cat xuong) (27-01-05) 2" xfId="8189" xr:uid="{00000000-0005-0000-0000-0000DC100000}"/>
    <cellStyle name="_KT_TG_2_Book1_2_Dtoan-LTT-18-01" xfId="5018" xr:uid="{00000000-0005-0000-0000-0000DD100000}"/>
    <cellStyle name="_KT_TG_2_Book1_2_DU TOAN NGUYEN HUE - GD2 (1-02-05) 1" xfId="5019" xr:uid="{00000000-0005-0000-0000-0000DE100000}"/>
    <cellStyle name="_KT_TG_2_Book1_2_dutoan dptd" xfId="5020" xr:uid="{00000000-0005-0000-0000-0000DF100000}"/>
    <cellStyle name="_KT_TG_2_Book1_2_dutoan dptd 2" xfId="8190" xr:uid="{00000000-0005-0000-0000-0000E0100000}"/>
    <cellStyle name="_KT_TG_2_Book1_2_he thong dien" xfId="5021" xr:uid="{00000000-0005-0000-0000-0000E1100000}"/>
    <cellStyle name="_KT_TG_2_Book1_2_he thong dien 2" xfId="8191" xr:uid="{00000000-0005-0000-0000-0000E2100000}"/>
    <cellStyle name="_KT_TG_2_Book1_2_Sheet1" xfId="5022" xr:uid="{00000000-0005-0000-0000-0000E3100000}"/>
    <cellStyle name="_KT_TG_2_Book1_2_Sheet2" xfId="5023" xr:uid="{00000000-0005-0000-0000-0000E4100000}"/>
    <cellStyle name="_KT_TG_2_Book1_2_TOM TAT" xfId="20025" xr:uid="{00000000-0005-0000-0000-0000E5100000}"/>
    <cellStyle name="_KT_TG_2_Book1_3" xfId="661" xr:uid="{00000000-0005-0000-0000-0000E6100000}"/>
    <cellStyle name="_KT_TG_2_Book1_3 2" xfId="3932" xr:uid="{00000000-0005-0000-0000-0000E7100000}"/>
    <cellStyle name="_KT_TG_2_Book1_3 3" xfId="17758" xr:uid="{00000000-0005-0000-0000-0000E8100000}"/>
    <cellStyle name="_KT_TG_2_Book1_3_TOM TAT" xfId="20026" xr:uid="{00000000-0005-0000-0000-0000E9100000}"/>
    <cellStyle name="_KT_TG_2_Book1_4" xfId="662" xr:uid="{00000000-0005-0000-0000-0000EA100000}"/>
    <cellStyle name="_KT_TG_2_Book1_4 2" xfId="3933" xr:uid="{00000000-0005-0000-0000-0000EB100000}"/>
    <cellStyle name="_KT_TG_2_Book1_4 3" xfId="17759" xr:uid="{00000000-0005-0000-0000-0000EC100000}"/>
    <cellStyle name="_KT_TG_2_Book1_4_TOM TAT" xfId="20027" xr:uid="{00000000-0005-0000-0000-0000ED100000}"/>
    <cellStyle name="_KT_TG_2_Book1_5" xfId="663" xr:uid="{00000000-0005-0000-0000-0000EE100000}"/>
    <cellStyle name="_KT_TG_2_Book1_5 2" xfId="3934" xr:uid="{00000000-0005-0000-0000-0000EF100000}"/>
    <cellStyle name="_KT_TG_2_Book1_5 3" xfId="17760" xr:uid="{00000000-0005-0000-0000-0000F0100000}"/>
    <cellStyle name="_KT_TG_2_Book1_5_TOM TAT" xfId="20028" xr:uid="{00000000-0005-0000-0000-0000F1100000}"/>
    <cellStyle name="_KT_TG_2_Book1_6" xfId="664" xr:uid="{00000000-0005-0000-0000-0000F2100000}"/>
    <cellStyle name="_KT_TG_2_Book1_6 2" xfId="3935" xr:uid="{00000000-0005-0000-0000-0000F3100000}"/>
    <cellStyle name="_KT_TG_2_Book1_6 3" xfId="17761" xr:uid="{00000000-0005-0000-0000-0000F4100000}"/>
    <cellStyle name="_KT_TG_2_Book1_6_TOM TAT" xfId="20029" xr:uid="{00000000-0005-0000-0000-0000F5100000}"/>
    <cellStyle name="_KT_TG_2_Book1_Book1" xfId="665" xr:uid="{00000000-0005-0000-0000-0000F6100000}"/>
    <cellStyle name="_KT_TG_2_Book1_Book1 2" xfId="3936" xr:uid="{00000000-0005-0000-0000-0000F7100000}"/>
    <cellStyle name="_KT_TG_2_Book1_Book1 3" xfId="17762" xr:uid="{00000000-0005-0000-0000-0000F8100000}"/>
    <cellStyle name="_KT_TG_2_Book1_Book1_1" xfId="666" xr:uid="{00000000-0005-0000-0000-0000F9100000}"/>
    <cellStyle name="_KT_TG_2_Book1_Book1_1 2" xfId="3937" xr:uid="{00000000-0005-0000-0000-0000FA100000}"/>
    <cellStyle name="_KT_TG_2_Book1_Book1_1 3" xfId="17763" xr:uid="{00000000-0005-0000-0000-0000FB100000}"/>
    <cellStyle name="_KT_TG_2_Book1_Book1_1_TOM TAT" xfId="20031" xr:uid="{00000000-0005-0000-0000-0000FC100000}"/>
    <cellStyle name="_KT_TG_2_Book1_Book1_2" xfId="667" xr:uid="{00000000-0005-0000-0000-0000FD100000}"/>
    <cellStyle name="_KT_TG_2_Book1_Book1_2 2" xfId="3938" xr:uid="{00000000-0005-0000-0000-0000FE100000}"/>
    <cellStyle name="_KT_TG_2_Book1_Book1_2 3" xfId="17764" xr:uid="{00000000-0005-0000-0000-0000FF100000}"/>
    <cellStyle name="_KT_TG_2_Book1_Book1_2_TOM TAT" xfId="20032" xr:uid="{00000000-0005-0000-0000-000000110000}"/>
    <cellStyle name="_KT_TG_2_Book1_Book1_3" xfId="668" xr:uid="{00000000-0005-0000-0000-000001110000}"/>
    <cellStyle name="_KT_TG_2_Book1_Book1_3 2" xfId="3939" xr:uid="{00000000-0005-0000-0000-000002110000}"/>
    <cellStyle name="_KT_TG_2_Book1_Book1_3 3" xfId="17765" xr:uid="{00000000-0005-0000-0000-000003110000}"/>
    <cellStyle name="_KT_TG_2_Book1_Book1_3_TOM TAT" xfId="20033" xr:uid="{00000000-0005-0000-0000-000004110000}"/>
    <cellStyle name="_KT_TG_2_Book1_Book1_TOM TAT" xfId="20030" xr:uid="{00000000-0005-0000-0000-000005110000}"/>
    <cellStyle name="_KT_TG_2_Book1_DgklKNHA" xfId="5024" xr:uid="{00000000-0005-0000-0000-000006110000}"/>
    <cellStyle name="_KT_TG_2_Book1_dt khoi nha 3trai - VKg (cat xuong) (27-01-05)" xfId="5025" xr:uid="{00000000-0005-0000-0000-000007110000}"/>
    <cellStyle name="_KT_TG_2_Book1_Dtoan-LTT-18-01" xfId="5026" xr:uid="{00000000-0005-0000-0000-000008110000}"/>
    <cellStyle name="_KT_TG_2_Book1_DU TOAN NGUYEN HUE - GD2 (1-02-05) 1" xfId="5027" xr:uid="{00000000-0005-0000-0000-000009110000}"/>
    <cellStyle name="_KT_TG_2_Book1_dutoan dptd" xfId="5028" xr:uid="{00000000-0005-0000-0000-00000A110000}"/>
    <cellStyle name="_KT_TG_2_Book1_he thong dien" xfId="5029" xr:uid="{00000000-0005-0000-0000-00000B110000}"/>
    <cellStyle name="_KT_TG_2_Book1_Sheet1" xfId="5030" xr:uid="{00000000-0005-0000-0000-00000C110000}"/>
    <cellStyle name="_KT_TG_2_Book1_Sheet2" xfId="5031" xr:uid="{00000000-0005-0000-0000-00000D110000}"/>
    <cellStyle name="_KT_TG_2_Book1_TH KE" xfId="669" xr:uid="{00000000-0005-0000-0000-00000E110000}"/>
    <cellStyle name="_KT_TG_2_Book1_TH KE 2" xfId="3940" xr:uid="{00000000-0005-0000-0000-00000F110000}"/>
    <cellStyle name="_KT_TG_2_Book1_TH KE 3" xfId="17766" xr:uid="{00000000-0005-0000-0000-000010110000}"/>
    <cellStyle name="_KT_TG_2_Book1_TH KE_Book1" xfId="670" xr:uid="{00000000-0005-0000-0000-000011110000}"/>
    <cellStyle name="_KT_TG_2_Book1_TH KE_Book1 2" xfId="3941" xr:uid="{00000000-0005-0000-0000-000012110000}"/>
    <cellStyle name="_KT_TG_2_Book1_TH KE_Book1 3" xfId="17767" xr:uid="{00000000-0005-0000-0000-000013110000}"/>
    <cellStyle name="_KT_TG_2_Book1_TH KE_Book1_1" xfId="671" xr:uid="{00000000-0005-0000-0000-000014110000}"/>
    <cellStyle name="_KT_TG_2_Book1_TH KE_Book1_1 2" xfId="3942" xr:uid="{00000000-0005-0000-0000-000015110000}"/>
    <cellStyle name="_KT_TG_2_Book1_TH KE_Book1_1 3" xfId="17768" xr:uid="{00000000-0005-0000-0000-000016110000}"/>
    <cellStyle name="_KT_TG_2_Book1_TH KE_Book1_1_TOM TAT" xfId="20036" xr:uid="{00000000-0005-0000-0000-000017110000}"/>
    <cellStyle name="_KT_TG_2_Book1_TH KE_Book1_2" xfId="672" xr:uid="{00000000-0005-0000-0000-000018110000}"/>
    <cellStyle name="_KT_TG_2_Book1_TH KE_Book1_2 2" xfId="3943" xr:uid="{00000000-0005-0000-0000-000019110000}"/>
    <cellStyle name="_KT_TG_2_Book1_TH KE_Book1_2 3" xfId="17769" xr:uid="{00000000-0005-0000-0000-00001A110000}"/>
    <cellStyle name="_KT_TG_2_Book1_TH KE_Book1_2_TOM TAT" xfId="20037" xr:uid="{00000000-0005-0000-0000-00001B110000}"/>
    <cellStyle name="_KT_TG_2_Book1_TH KE_Book1_3" xfId="673" xr:uid="{00000000-0005-0000-0000-00001C110000}"/>
    <cellStyle name="_KT_TG_2_Book1_TH KE_Book1_3 2" xfId="3944" xr:uid="{00000000-0005-0000-0000-00001D110000}"/>
    <cellStyle name="_KT_TG_2_Book1_TH KE_Book1_3 3" xfId="17770" xr:uid="{00000000-0005-0000-0000-00001E110000}"/>
    <cellStyle name="_KT_TG_2_Book1_TH KE_Book1_3_TOM TAT" xfId="20038" xr:uid="{00000000-0005-0000-0000-00001F110000}"/>
    <cellStyle name="_KT_TG_2_Book1_TH KE_Book1_TOM TAT" xfId="20035" xr:uid="{00000000-0005-0000-0000-000020110000}"/>
    <cellStyle name="_KT_TG_2_Book1_TH KE_TOM TAT" xfId="20034" xr:uid="{00000000-0005-0000-0000-000021110000}"/>
    <cellStyle name="_KT_TG_2_Book1_TH KE_VATTUDIEN" xfId="674" xr:uid="{00000000-0005-0000-0000-000022110000}"/>
    <cellStyle name="_KT_TG_2_Book1_TH KE_VATTUDIEN 2" xfId="3945" xr:uid="{00000000-0005-0000-0000-000023110000}"/>
    <cellStyle name="_KT_TG_2_Book1_TH KE_VATTUDIEN 3" xfId="17771" xr:uid="{00000000-0005-0000-0000-000024110000}"/>
    <cellStyle name="_KT_TG_2_Book1_TH KE_VATTUDIEN_TOM TAT" xfId="20039" xr:uid="{00000000-0005-0000-0000-000025110000}"/>
    <cellStyle name="_KT_TG_2_Book1_TOM TAT" xfId="20018" xr:uid="{00000000-0005-0000-0000-000026110000}"/>
    <cellStyle name="_KT_TG_2_Book1_VATTUDIEN" xfId="675" xr:uid="{00000000-0005-0000-0000-000027110000}"/>
    <cellStyle name="_KT_TG_2_Book1_VATTUDIEN 2" xfId="3946" xr:uid="{00000000-0005-0000-0000-000028110000}"/>
    <cellStyle name="_KT_TG_2_Book1_VATTUDIEN 3" xfId="17772" xr:uid="{00000000-0005-0000-0000-000029110000}"/>
    <cellStyle name="_KT_TG_2_Book1_VATTUDIEN_TOM TAT" xfId="20040" xr:uid="{00000000-0005-0000-0000-00002A110000}"/>
    <cellStyle name="_KT_TG_2_DgklKNHA" xfId="5032" xr:uid="{00000000-0005-0000-0000-00002B110000}"/>
    <cellStyle name="_KT_TG_2_dt khoi nha 3trai - VKg (cat xuong) (27-01-05)" xfId="5033" xr:uid="{00000000-0005-0000-0000-00002C110000}"/>
    <cellStyle name="_KT_TG_2_DTCDT MR.2N110.HOCMON.TDTOAN.CCUNG" xfId="676" xr:uid="{00000000-0005-0000-0000-00002D110000}"/>
    <cellStyle name="_KT_TG_2_DTCDT MR.2N110.HOCMON.TDTOAN.CCUNG 2" xfId="3947" xr:uid="{00000000-0005-0000-0000-00002E110000}"/>
    <cellStyle name="_KT_TG_2_DTCDT MR.2N110.HOCMON.TDTOAN.CCUNG 3" xfId="17773" xr:uid="{00000000-0005-0000-0000-00002F110000}"/>
    <cellStyle name="_KT_TG_2_DTCDT MR.2N110.HOCMON.TDTOAN.CCUNG_Book1" xfId="677" xr:uid="{00000000-0005-0000-0000-000030110000}"/>
    <cellStyle name="_KT_TG_2_DTCDT MR.2N110.HOCMON.TDTOAN.CCUNG_Book1 2" xfId="3948" xr:uid="{00000000-0005-0000-0000-000031110000}"/>
    <cellStyle name="_KT_TG_2_DTCDT MR.2N110.HOCMON.TDTOAN.CCUNG_Book1 3" xfId="17774" xr:uid="{00000000-0005-0000-0000-000032110000}"/>
    <cellStyle name="_KT_TG_2_DTCDT MR.2N110.HOCMON.TDTOAN.CCUNG_Book1_1" xfId="678" xr:uid="{00000000-0005-0000-0000-000033110000}"/>
    <cellStyle name="_KT_TG_2_DTCDT MR.2N110.HOCMON.TDTOAN.CCUNG_Book1_1 2" xfId="3949" xr:uid="{00000000-0005-0000-0000-000034110000}"/>
    <cellStyle name="_KT_TG_2_DTCDT MR.2N110.HOCMON.TDTOAN.CCUNG_Book1_1 3" xfId="17775" xr:uid="{00000000-0005-0000-0000-000035110000}"/>
    <cellStyle name="_KT_TG_2_DTCDT MR.2N110.HOCMON.TDTOAN.CCUNG_Book1_1_TOM TAT" xfId="20043" xr:uid="{00000000-0005-0000-0000-000036110000}"/>
    <cellStyle name="_KT_TG_2_DTCDT MR.2N110.HOCMON.TDTOAN.CCUNG_Book1_2" xfId="679" xr:uid="{00000000-0005-0000-0000-000037110000}"/>
    <cellStyle name="_KT_TG_2_DTCDT MR.2N110.HOCMON.TDTOAN.CCUNG_Book1_2 2" xfId="3950" xr:uid="{00000000-0005-0000-0000-000038110000}"/>
    <cellStyle name="_KT_TG_2_DTCDT MR.2N110.HOCMON.TDTOAN.CCUNG_Book1_2 3" xfId="17776" xr:uid="{00000000-0005-0000-0000-000039110000}"/>
    <cellStyle name="_KT_TG_2_DTCDT MR.2N110.HOCMON.TDTOAN.CCUNG_Book1_2_TOM TAT" xfId="20044" xr:uid="{00000000-0005-0000-0000-00003A110000}"/>
    <cellStyle name="_KT_TG_2_DTCDT MR.2N110.HOCMON.TDTOAN.CCUNG_Book1_3" xfId="680" xr:uid="{00000000-0005-0000-0000-00003B110000}"/>
    <cellStyle name="_KT_TG_2_DTCDT MR.2N110.HOCMON.TDTOAN.CCUNG_Book1_3 2" xfId="3951" xr:uid="{00000000-0005-0000-0000-00003C110000}"/>
    <cellStyle name="_KT_TG_2_DTCDT MR.2N110.HOCMON.TDTOAN.CCUNG_Book1_3 3" xfId="17777" xr:uid="{00000000-0005-0000-0000-00003D110000}"/>
    <cellStyle name="_KT_TG_2_DTCDT MR.2N110.HOCMON.TDTOAN.CCUNG_Book1_3_TOM TAT" xfId="20045" xr:uid="{00000000-0005-0000-0000-00003E110000}"/>
    <cellStyle name="_KT_TG_2_DTCDT MR.2N110.HOCMON.TDTOAN.CCUNG_Book1_TOM TAT" xfId="20042" xr:uid="{00000000-0005-0000-0000-00003F110000}"/>
    <cellStyle name="_KT_TG_2_DTCDT MR.2N110.HOCMON.TDTOAN.CCUNG_TOM TAT" xfId="20041" xr:uid="{00000000-0005-0000-0000-000040110000}"/>
    <cellStyle name="_KT_TG_2_DTCDT MR.2N110.HOCMON.TDTOAN.CCUNG_VATTUDIEN" xfId="681" xr:uid="{00000000-0005-0000-0000-000041110000}"/>
    <cellStyle name="_KT_TG_2_DTCDT MR.2N110.HOCMON.TDTOAN.CCUNG_VATTUDIEN 2" xfId="3952" xr:uid="{00000000-0005-0000-0000-000042110000}"/>
    <cellStyle name="_KT_TG_2_DTCDT MR.2N110.HOCMON.TDTOAN.CCUNG_VATTUDIEN 3" xfId="17778" xr:uid="{00000000-0005-0000-0000-000043110000}"/>
    <cellStyle name="_KT_TG_2_DTCDT MR.2N110.HOCMON.TDTOAN.CCUNG_VATTUDIEN_TOM TAT" xfId="20046" xr:uid="{00000000-0005-0000-0000-000044110000}"/>
    <cellStyle name="_KT_TG_2_Dtoan-LTT-18-01" xfId="5034" xr:uid="{00000000-0005-0000-0000-000045110000}"/>
    <cellStyle name="_KT_TG_2_DU TOAN NGUYEN HUE - GD2 (1-02-05) 1" xfId="5035" xr:uid="{00000000-0005-0000-0000-000046110000}"/>
    <cellStyle name="_KT_TG_2_dutoan dien" xfId="5036" xr:uid="{00000000-0005-0000-0000-000047110000}"/>
    <cellStyle name="_KT_TG_2_dutoan dptd" xfId="5037" xr:uid="{00000000-0005-0000-0000-000048110000}"/>
    <cellStyle name="_KT_TG_2_dutoan nuoc" xfId="5038" xr:uid="{00000000-0005-0000-0000-000049110000}"/>
    <cellStyle name="_KT_TG_2_he thong dien" xfId="5039" xr:uid="{00000000-0005-0000-0000-00004A110000}"/>
    <cellStyle name="_KT_TG_2_Lora-tungchau" xfId="682" xr:uid="{00000000-0005-0000-0000-00004B110000}"/>
    <cellStyle name="_KT_TG_2_Lora-tungchau 2" xfId="3953" xr:uid="{00000000-0005-0000-0000-00004C110000}"/>
    <cellStyle name="_KT_TG_2_Lora-tungchau 3" xfId="17779" xr:uid="{00000000-0005-0000-0000-00004D110000}"/>
    <cellStyle name="_KT_TG_2_Lora-tungchau_Book1" xfId="683" xr:uid="{00000000-0005-0000-0000-00004E110000}"/>
    <cellStyle name="_KT_TG_2_Lora-tungchau_Book1 2" xfId="3954" xr:uid="{00000000-0005-0000-0000-00004F110000}"/>
    <cellStyle name="_KT_TG_2_Lora-tungchau_Book1 3" xfId="17780" xr:uid="{00000000-0005-0000-0000-000050110000}"/>
    <cellStyle name="_KT_TG_2_Lora-tungchau_Book1_1" xfId="684" xr:uid="{00000000-0005-0000-0000-000051110000}"/>
    <cellStyle name="_KT_TG_2_Lora-tungchau_Book1_1 2" xfId="3955" xr:uid="{00000000-0005-0000-0000-000052110000}"/>
    <cellStyle name="_KT_TG_2_Lora-tungchau_Book1_1 3" xfId="17781" xr:uid="{00000000-0005-0000-0000-000053110000}"/>
    <cellStyle name="_KT_TG_2_Lora-tungchau_Book1_1_TOM TAT" xfId="20049" xr:uid="{00000000-0005-0000-0000-000054110000}"/>
    <cellStyle name="_KT_TG_2_Lora-tungchau_Book1_2" xfId="685" xr:uid="{00000000-0005-0000-0000-000055110000}"/>
    <cellStyle name="_KT_TG_2_Lora-tungchau_Book1_2 2" xfId="3956" xr:uid="{00000000-0005-0000-0000-000056110000}"/>
    <cellStyle name="_KT_TG_2_Lora-tungchau_Book1_2 3" xfId="17782" xr:uid="{00000000-0005-0000-0000-000057110000}"/>
    <cellStyle name="_KT_TG_2_Lora-tungchau_Book1_2_TOM TAT" xfId="20050" xr:uid="{00000000-0005-0000-0000-000058110000}"/>
    <cellStyle name="_KT_TG_2_Lora-tungchau_Book1_3" xfId="686" xr:uid="{00000000-0005-0000-0000-000059110000}"/>
    <cellStyle name="_KT_TG_2_Lora-tungchau_Book1_3 2" xfId="3957" xr:uid="{00000000-0005-0000-0000-00005A110000}"/>
    <cellStyle name="_KT_TG_2_Lora-tungchau_Book1_3 3" xfId="17783" xr:uid="{00000000-0005-0000-0000-00005B110000}"/>
    <cellStyle name="_KT_TG_2_Lora-tungchau_Book1_3_TOM TAT" xfId="20051" xr:uid="{00000000-0005-0000-0000-00005C110000}"/>
    <cellStyle name="_KT_TG_2_Lora-tungchau_Book1_TOM TAT" xfId="20048" xr:uid="{00000000-0005-0000-0000-00005D110000}"/>
    <cellStyle name="_KT_TG_2_Lora-tungchau_TOM TAT" xfId="20047" xr:uid="{00000000-0005-0000-0000-00005E110000}"/>
    <cellStyle name="_KT_TG_2_Lora-tungchau_VATTUDIEN" xfId="687" xr:uid="{00000000-0005-0000-0000-00005F110000}"/>
    <cellStyle name="_KT_TG_2_Lora-tungchau_VATTUDIEN 2" xfId="3958" xr:uid="{00000000-0005-0000-0000-000060110000}"/>
    <cellStyle name="_KT_TG_2_Lora-tungchau_VATTUDIEN 3" xfId="17784" xr:uid="{00000000-0005-0000-0000-000061110000}"/>
    <cellStyle name="_KT_TG_2_Lora-tungchau_VATTUDIEN_TOM TAT" xfId="20052" xr:uid="{00000000-0005-0000-0000-000062110000}"/>
    <cellStyle name="_KT_TG_2_PGIA-phieu tham tra Kho bac" xfId="688" xr:uid="{00000000-0005-0000-0000-000063110000}"/>
    <cellStyle name="_KT_TG_2_PGIA-phieu tham tra Kho bac 2" xfId="3959" xr:uid="{00000000-0005-0000-0000-000064110000}"/>
    <cellStyle name="_KT_TG_2_PGIA-phieu tham tra Kho bac 3" xfId="17785" xr:uid="{00000000-0005-0000-0000-000065110000}"/>
    <cellStyle name="_KT_TG_2_PGIA-phieu tham tra Kho bac_Book1" xfId="689" xr:uid="{00000000-0005-0000-0000-000066110000}"/>
    <cellStyle name="_KT_TG_2_PGIA-phieu tham tra Kho bac_Book1 2" xfId="3960" xr:uid="{00000000-0005-0000-0000-000067110000}"/>
    <cellStyle name="_KT_TG_2_PGIA-phieu tham tra Kho bac_Book1 3" xfId="17786" xr:uid="{00000000-0005-0000-0000-000068110000}"/>
    <cellStyle name="_KT_TG_2_PGIA-phieu tham tra Kho bac_Book1_1" xfId="690" xr:uid="{00000000-0005-0000-0000-000069110000}"/>
    <cellStyle name="_KT_TG_2_PGIA-phieu tham tra Kho bac_Book1_1 2" xfId="3961" xr:uid="{00000000-0005-0000-0000-00006A110000}"/>
    <cellStyle name="_KT_TG_2_PGIA-phieu tham tra Kho bac_Book1_1 3" xfId="17787" xr:uid="{00000000-0005-0000-0000-00006B110000}"/>
    <cellStyle name="_KT_TG_2_PGIA-phieu tham tra Kho bac_Book1_1_TOM TAT" xfId="20055" xr:uid="{00000000-0005-0000-0000-00006C110000}"/>
    <cellStyle name="_KT_TG_2_PGIA-phieu tham tra Kho bac_Book1_2" xfId="691" xr:uid="{00000000-0005-0000-0000-00006D110000}"/>
    <cellStyle name="_KT_TG_2_PGIA-phieu tham tra Kho bac_Book1_2 2" xfId="3962" xr:uid="{00000000-0005-0000-0000-00006E110000}"/>
    <cellStyle name="_KT_TG_2_PGIA-phieu tham tra Kho bac_Book1_2 3" xfId="17788" xr:uid="{00000000-0005-0000-0000-00006F110000}"/>
    <cellStyle name="_KT_TG_2_PGIA-phieu tham tra Kho bac_Book1_2_TOM TAT" xfId="20056" xr:uid="{00000000-0005-0000-0000-000070110000}"/>
    <cellStyle name="_KT_TG_2_PGIA-phieu tham tra Kho bac_Book1_3" xfId="692" xr:uid="{00000000-0005-0000-0000-000071110000}"/>
    <cellStyle name="_KT_TG_2_PGIA-phieu tham tra Kho bac_Book1_3 2" xfId="3963" xr:uid="{00000000-0005-0000-0000-000072110000}"/>
    <cellStyle name="_KT_TG_2_PGIA-phieu tham tra Kho bac_Book1_3 3" xfId="17789" xr:uid="{00000000-0005-0000-0000-000073110000}"/>
    <cellStyle name="_KT_TG_2_PGIA-phieu tham tra Kho bac_Book1_3_TOM TAT" xfId="20057" xr:uid="{00000000-0005-0000-0000-000074110000}"/>
    <cellStyle name="_KT_TG_2_PGIA-phieu tham tra Kho bac_Book1_TOM TAT" xfId="20054" xr:uid="{00000000-0005-0000-0000-000075110000}"/>
    <cellStyle name="_KT_TG_2_PGIA-phieu tham tra Kho bac_TOM TAT" xfId="20053" xr:uid="{00000000-0005-0000-0000-000076110000}"/>
    <cellStyle name="_KT_TG_2_PGIA-phieu tham tra Kho bac_VATTUDIEN" xfId="693" xr:uid="{00000000-0005-0000-0000-000077110000}"/>
    <cellStyle name="_KT_TG_2_PGIA-phieu tham tra Kho bac_VATTUDIEN 2" xfId="3964" xr:uid="{00000000-0005-0000-0000-000078110000}"/>
    <cellStyle name="_KT_TG_2_PGIA-phieu tham tra Kho bac_VATTUDIEN 3" xfId="17790" xr:uid="{00000000-0005-0000-0000-000079110000}"/>
    <cellStyle name="_KT_TG_2_PGIA-phieu tham tra Kho bac_VATTUDIEN_TOM TAT" xfId="20058" xr:uid="{00000000-0005-0000-0000-00007A110000}"/>
    <cellStyle name="_KT_TG_2_PT02-02" xfId="694" xr:uid="{00000000-0005-0000-0000-00007B110000}"/>
    <cellStyle name="_KT_TG_2_PT02-02 2" xfId="3965" xr:uid="{00000000-0005-0000-0000-00007C110000}"/>
    <cellStyle name="_KT_TG_2_PT02-02 3" xfId="17791" xr:uid="{00000000-0005-0000-0000-00007D110000}"/>
    <cellStyle name="_KT_TG_2_PT02-02_Book1" xfId="695" xr:uid="{00000000-0005-0000-0000-00007E110000}"/>
    <cellStyle name="_KT_TG_2_PT02-02_Book1 2" xfId="3966" xr:uid="{00000000-0005-0000-0000-00007F110000}"/>
    <cellStyle name="_KT_TG_2_PT02-02_Book1 3" xfId="17792" xr:uid="{00000000-0005-0000-0000-000080110000}"/>
    <cellStyle name="_KT_TG_2_PT02-02_Book1_1" xfId="696" xr:uid="{00000000-0005-0000-0000-000081110000}"/>
    <cellStyle name="_KT_TG_2_PT02-02_Book1_1 2" xfId="3967" xr:uid="{00000000-0005-0000-0000-000082110000}"/>
    <cellStyle name="_KT_TG_2_PT02-02_Book1_1 3" xfId="17793" xr:uid="{00000000-0005-0000-0000-000083110000}"/>
    <cellStyle name="_KT_TG_2_PT02-02_Book1_1_TOM TAT" xfId="20061" xr:uid="{00000000-0005-0000-0000-000084110000}"/>
    <cellStyle name="_KT_TG_2_PT02-02_Book1_2" xfId="697" xr:uid="{00000000-0005-0000-0000-000085110000}"/>
    <cellStyle name="_KT_TG_2_PT02-02_Book1_2 2" xfId="3968" xr:uid="{00000000-0005-0000-0000-000086110000}"/>
    <cellStyle name="_KT_TG_2_PT02-02_Book1_2 3" xfId="17794" xr:uid="{00000000-0005-0000-0000-000087110000}"/>
    <cellStyle name="_KT_TG_2_PT02-02_Book1_2_TOM TAT" xfId="20062" xr:uid="{00000000-0005-0000-0000-000088110000}"/>
    <cellStyle name="_KT_TG_2_PT02-02_Book1_3" xfId="698" xr:uid="{00000000-0005-0000-0000-000089110000}"/>
    <cellStyle name="_KT_TG_2_PT02-02_Book1_3 2" xfId="3969" xr:uid="{00000000-0005-0000-0000-00008A110000}"/>
    <cellStyle name="_KT_TG_2_PT02-02_Book1_3 3" xfId="17795" xr:uid="{00000000-0005-0000-0000-00008B110000}"/>
    <cellStyle name="_KT_TG_2_PT02-02_Book1_3_TOM TAT" xfId="20063" xr:uid="{00000000-0005-0000-0000-00008C110000}"/>
    <cellStyle name="_KT_TG_2_PT02-02_Book1_4" xfId="699" xr:uid="{00000000-0005-0000-0000-00008D110000}"/>
    <cellStyle name="_KT_TG_2_PT02-02_Book1_4 2" xfId="3970" xr:uid="{00000000-0005-0000-0000-00008E110000}"/>
    <cellStyle name="_KT_TG_2_PT02-02_Book1_4 3" xfId="17796" xr:uid="{00000000-0005-0000-0000-00008F110000}"/>
    <cellStyle name="_KT_TG_2_PT02-02_Book1_4_TOM TAT" xfId="20064" xr:uid="{00000000-0005-0000-0000-000090110000}"/>
    <cellStyle name="_KT_TG_2_PT02-02_Book1_Book1" xfId="700" xr:uid="{00000000-0005-0000-0000-000091110000}"/>
    <cellStyle name="_KT_TG_2_PT02-02_Book1_Book1 2" xfId="3971" xr:uid="{00000000-0005-0000-0000-000092110000}"/>
    <cellStyle name="_KT_TG_2_PT02-02_Book1_Book1 3" xfId="17797" xr:uid="{00000000-0005-0000-0000-000093110000}"/>
    <cellStyle name="_KT_TG_2_PT02-02_Book1_Book1_1" xfId="701" xr:uid="{00000000-0005-0000-0000-000094110000}"/>
    <cellStyle name="_KT_TG_2_PT02-02_Book1_Book1_1 2" xfId="3972" xr:uid="{00000000-0005-0000-0000-000095110000}"/>
    <cellStyle name="_KT_TG_2_PT02-02_Book1_Book1_1 3" xfId="17798" xr:uid="{00000000-0005-0000-0000-000096110000}"/>
    <cellStyle name="_KT_TG_2_PT02-02_Book1_Book1_1_TOM TAT" xfId="20066" xr:uid="{00000000-0005-0000-0000-000097110000}"/>
    <cellStyle name="_KT_TG_2_PT02-02_Book1_Book1_2" xfId="702" xr:uid="{00000000-0005-0000-0000-000098110000}"/>
    <cellStyle name="_KT_TG_2_PT02-02_Book1_Book1_2 2" xfId="3973" xr:uid="{00000000-0005-0000-0000-000099110000}"/>
    <cellStyle name="_KT_TG_2_PT02-02_Book1_Book1_2 3" xfId="17799" xr:uid="{00000000-0005-0000-0000-00009A110000}"/>
    <cellStyle name="_KT_TG_2_PT02-02_Book1_Book1_2_TOM TAT" xfId="20067" xr:uid="{00000000-0005-0000-0000-00009B110000}"/>
    <cellStyle name="_KT_TG_2_PT02-02_Book1_Book1_3" xfId="703" xr:uid="{00000000-0005-0000-0000-00009C110000}"/>
    <cellStyle name="_KT_TG_2_PT02-02_Book1_Book1_3 2" xfId="3974" xr:uid="{00000000-0005-0000-0000-00009D110000}"/>
    <cellStyle name="_KT_TG_2_PT02-02_Book1_Book1_3 3" xfId="17800" xr:uid="{00000000-0005-0000-0000-00009E110000}"/>
    <cellStyle name="_KT_TG_2_PT02-02_Book1_Book1_3_TOM TAT" xfId="20068" xr:uid="{00000000-0005-0000-0000-00009F110000}"/>
    <cellStyle name="_KT_TG_2_PT02-02_Book1_Book1_TOM TAT" xfId="20065" xr:uid="{00000000-0005-0000-0000-0000A0110000}"/>
    <cellStyle name="_KT_TG_2_PT02-02_Book1_TOM TAT" xfId="20060" xr:uid="{00000000-0005-0000-0000-0000A1110000}"/>
    <cellStyle name="_KT_TG_2_PT02-02_Book1_VATTUDIEN" xfId="704" xr:uid="{00000000-0005-0000-0000-0000A2110000}"/>
    <cellStyle name="_KT_TG_2_PT02-02_Book1_VATTUDIEN 2" xfId="3975" xr:uid="{00000000-0005-0000-0000-0000A3110000}"/>
    <cellStyle name="_KT_TG_2_PT02-02_Book1_VATTUDIEN 3" xfId="17801" xr:uid="{00000000-0005-0000-0000-0000A4110000}"/>
    <cellStyle name="_KT_TG_2_PT02-02_Book1_VATTUDIEN_TOM TAT" xfId="20069" xr:uid="{00000000-0005-0000-0000-0000A5110000}"/>
    <cellStyle name="_KT_TG_2_PT02-02_TOM TAT" xfId="20059" xr:uid="{00000000-0005-0000-0000-0000A6110000}"/>
    <cellStyle name="_KT_TG_2_PT02-02_VATTUDIEN" xfId="705" xr:uid="{00000000-0005-0000-0000-0000A7110000}"/>
    <cellStyle name="_KT_TG_2_PT02-02_VATTUDIEN 2" xfId="3976" xr:uid="{00000000-0005-0000-0000-0000A8110000}"/>
    <cellStyle name="_KT_TG_2_PT02-02_VATTUDIEN 3" xfId="17802" xr:uid="{00000000-0005-0000-0000-0000A9110000}"/>
    <cellStyle name="_KT_TG_2_PT02-02_VATTUDIEN_TOM TAT" xfId="20070" xr:uid="{00000000-0005-0000-0000-0000AA110000}"/>
    <cellStyle name="_KT_TG_2_PT02-03" xfId="706" xr:uid="{00000000-0005-0000-0000-0000AB110000}"/>
    <cellStyle name="_KT_TG_2_PT02-03 2" xfId="3977" xr:uid="{00000000-0005-0000-0000-0000AC110000}"/>
    <cellStyle name="_KT_TG_2_PT02-03 3" xfId="17803" xr:uid="{00000000-0005-0000-0000-0000AD110000}"/>
    <cellStyle name="_KT_TG_2_PT02-03_Book1" xfId="707" xr:uid="{00000000-0005-0000-0000-0000AE110000}"/>
    <cellStyle name="_KT_TG_2_PT02-03_Book1 2" xfId="3978" xr:uid="{00000000-0005-0000-0000-0000AF110000}"/>
    <cellStyle name="_KT_TG_2_PT02-03_Book1 3" xfId="17804" xr:uid="{00000000-0005-0000-0000-0000B0110000}"/>
    <cellStyle name="_KT_TG_2_PT02-03_Book1_1" xfId="708" xr:uid="{00000000-0005-0000-0000-0000B1110000}"/>
    <cellStyle name="_KT_TG_2_PT02-03_Book1_1 2" xfId="3979" xr:uid="{00000000-0005-0000-0000-0000B2110000}"/>
    <cellStyle name="_KT_TG_2_PT02-03_Book1_1 3" xfId="17805" xr:uid="{00000000-0005-0000-0000-0000B3110000}"/>
    <cellStyle name="_KT_TG_2_PT02-03_Book1_1_TOM TAT" xfId="20073" xr:uid="{00000000-0005-0000-0000-0000B4110000}"/>
    <cellStyle name="_KT_TG_2_PT02-03_Book1_2" xfId="709" xr:uid="{00000000-0005-0000-0000-0000B5110000}"/>
    <cellStyle name="_KT_TG_2_PT02-03_Book1_2 2" xfId="3980" xr:uid="{00000000-0005-0000-0000-0000B6110000}"/>
    <cellStyle name="_KT_TG_2_PT02-03_Book1_2 3" xfId="17806" xr:uid="{00000000-0005-0000-0000-0000B7110000}"/>
    <cellStyle name="_KT_TG_2_PT02-03_Book1_2_TOM TAT" xfId="20074" xr:uid="{00000000-0005-0000-0000-0000B8110000}"/>
    <cellStyle name="_KT_TG_2_PT02-03_Book1_3" xfId="710" xr:uid="{00000000-0005-0000-0000-0000B9110000}"/>
    <cellStyle name="_KT_TG_2_PT02-03_Book1_3 2" xfId="3981" xr:uid="{00000000-0005-0000-0000-0000BA110000}"/>
    <cellStyle name="_KT_TG_2_PT02-03_Book1_3 3" xfId="17807" xr:uid="{00000000-0005-0000-0000-0000BB110000}"/>
    <cellStyle name="_KT_TG_2_PT02-03_Book1_3_TOM TAT" xfId="20075" xr:uid="{00000000-0005-0000-0000-0000BC110000}"/>
    <cellStyle name="_KT_TG_2_PT02-03_Book1_4" xfId="711" xr:uid="{00000000-0005-0000-0000-0000BD110000}"/>
    <cellStyle name="_KT_TG_2_PT02-03_Book1_4 2" xfId="3982" xr:uid="{00000000-0005-0000-0000-0000BE110000}"/>
    <cellStyle name="_KT_TG_2_PT02-03_Book1_4 3" xfId="17808" xr:uid="{00000000-0005-0000-0000-0000BF110000}"/>
    <cellStyle name="_KT_TG_2_PT02-03_Book1_4_TOM TAT" xfId="20076" xr:uid="{00000000-0005-0000-0000-0000C0110000}"/>
    <cellStyle name="_KT_TG_2_PT02-03_Book1_Book1" xfId="712" xr:uid="{00000000-0005-0000-0000-0000C1110000}"/>
    <cellStyle name="_KT_TG_2_PT02-03_Book1_Book1 2" xfId="3983" xr:uid="{00000000-0005-0000-0000-0000C2110000}"/>
    <cellStyle name="_KT_TG_2_PT02-03_Book1_Book1 3" xfId="17809" xr:uid="{00000000-0005-0000-0000-0000C3110000}"/>
    <cellStyle name="_KT_TG_2_PT02-03_Book1_Book1_1" xfId="713" xr:uid="{00000000-0005-0000-0000-0000C4110000}"/>
    <cellStyle name="_KT_TG_2_PT02-03_Book1_Book1_1 2" xfId="3984" xr:uid="{00000000-0005-0000-0000-0000C5110000}"/>
    <cellStyle name="_KT_TG_2_PT02-03_Book1_Book1_1 3" xfId="17810" xr:uid="{00000000-0005-0000-0000-0000C6110000}"/>
    <cellStyle name="_KT_TG_2_PT02-03_Book1_Book1_1_TOM TAT" xfId="20078" xr:uid="{00000000-0005-0000-0000-0000C7110000}"/>
    <cellStyle name="_KT_TG_2_PT02-03_Book1_Book1_2" xfId="714" xr:uid="{00000000-0005-0000-0000-0000C8110000}"/>
    <cellStyle name="_KT_TG_2_PT02-03_Book1_Book1_2 2" xfId="3985" xr:uid="{00000000-0005-0000-0000-0000C9110000}"/>
    <cellStyle name="_KT_TG_2_PT02-03_Book1_Book1_2 3" xfId="17811" xr:uid="{00000000-0005-0000-0000-0000CA110000}"/>
    <cellStyle name="_KT_TG_2_PT02-03_Book1_Book1_2_TOM TAT" xfId="20079" xr:uid="{00000000-0005-0000-0000-0000CB110000}"/>
    <cellStyle name="_KT_TG_2_PT02-03_Book1_Book1_3" xfId="715" xr:uid="{00000000-0005-0000-0000-0000CC110000}"/>
    <cellStyle name="_KT_TG_2_PT02-03_Book1_Book1_3 2" xfId="3986" xr:uid="{00000000-0005-0000-0000-0000CD110000}"/>
    <cellStyle name="_KT_TG_2_PT02-03_Book1_Book1_3 3" xfId="17812" xr:uid="{00000000-0005-0000-0000-0000CE110000}"/>
    <cellStyle name="_KT_TG_2_PT02-03_Book1_Book1_3_TOM TAT" xfId="20080" xr:uid="{00000000-0005-0000-0000-0000CF110000}"/>
    <cellStyle name="_KT_TG_2_PT02-03_Book1_Book1_TOM TAT" xfId="20077" xr:uid="{00000000-0005-0000-0000-0000D0110000}"/>
    <cellStyle name="_KT_TG_2_PT02-03_Book1_TOM TAT" xfId="20072" xr:uid="{00000000-0005-0000-0000-0000D1110000}"/>
    <cellStyle name="_KT_TG_2_PT02-03_Book1_VATTUDIEN" xfId="716" xr:uid="{00000000-0005-0000-0000-0000D2110000}"/>
    <cellStyle name="_KT_TG_2_PT02-03_Book1_VATTUDIEN 2" xfId="3987" xr:uid="{00000000-0005-0000-0000-0000D3110000}"/>
    <cellStyle name="_KT_TG_2_PT02-03_Book1_VATTUDIEN 3" xfId="17813" xr:uid="{00000000-0005-0000-0000-0000D4110000}"/>
    <cellStyle name="_KT_TG_2_PT02-03_Book1_VATTUDIEN_TOM TAT" xfId="20081" xr:uid="{00000000-0005-0000-0000-0000D5110000}"/>
    <cellStyle name="_KT_TG_2_PT02-03_TOM TAT" xfId="20071" xr:uid="{00000000-0005-0000-0000-0000D6110000}"/>
    <cellStyle name="_KT_TG_2_PT02-03_VATTUDIEN" xfId="717" xr:uid="{00000000-0005-0000-0000-0000D7110000}"/>
    <cellStyle name="_KT_TG_2_PT02-03_VATTUDIEN 2" xfId="3988" xr:uid="{00000000-0005-0000-0000-0000D8110000}"/>
    <cellStyle name="_KT_TG_2_PT02-03_VATTUDIEN 3" xfId="17814" xr:uid="{00000000-0005-0000-0000-0000D9110000}"/>
    <cellStyle name="_KT_TG_2_PT02-03_VATTUDIEN_TOM TAT" xfId="20082" xr:uid="{00000000-0005-0000-0000-0000DA110000}"/>
    <cellStyle name="_KT_TG_2_Qt-HT3PQ1(CauKho)" xfId="718" xr:uid="{00000000-0005-0000-0000-0000DB110000}"/>
    <cellStyle name="_KT_TG_2_Qt-HT3PQ1(CauKho) 2" xfId="3989" xr:uid="{00000000-0005-0000-0000-0000DC110000}"/>
    <cellStyle name="_KT_TG_2_Qt-HT3PQ1(CauKho) 3" xfId="17815" xr:uid="{00000000-0005-0000-0000-0000DD110000}"/>
    <cellStyle name="_KT_TG_2_Qt-HT3PQ1(CauKho)_Book1" xfId="719" xr:uid="{00000000-0005-0000-0000-0000DE110000}"/>
    <cellStyle name="_KT_TG_2_Qt-HT3PQ1(CauKho)_Book1 2" xfId="3990" xr:uid="{00000000-0005-0000-0000-0000DF110000}"/>
    <cellStyle name="_KT_TG_2_Qt-HT3PQ1(CauKho)_Book1 3" xfId="17816" xr:uid="{00000000-0005-0000-0000-0000E0110000}"/>
    <cellStyle name="_KT_TG_2_Qt-HT3PQ1(CauKho)_Book1_1" xfId="720" xr:uid="{00000000-0005-0000-0000-0000E1110000}"/>
    <cellStyle name="_KT_TG_2_Qt-HT3PQ1(CauKho)_Book1_1 2" xfId="3991" xr:uid="{00000000-0005-0000-0000-0000E2110000}"/>
    <cellStyle name="_KT_TG_2_Qt-HT3PQ1(CauKho)_Book1_1 3" xfId="17817" xr:uid="{00000000-0005-0000-0000-0000E3110000}"/>
    <cellStyle name="_KT_TG_2_Qt-HT3PQ1(CauKho)_Book1_1_TOM TAT" xfId="20085" xr:uid="{00000000-0005-0000-0000-0000E4110000}"/>
    <cellStyle name="_KT_TG_2_Qt-HT3PQ1(CauKho)_Book1_2" xfId="721" xr:uid="{00000000-0005-0000-0000-0000E5110000}"/>
    <cellStyle name="_KT_TG_2_Qt-HT3PQ1(CauKho)_Book1_2 2" xfId="3992" xr:uid="{00000000-0005-0000-0000-0000E6110000}"/>
    <cellStyle name="_KT_TG_2_Qt-HT3PQ1(CauKho)_Book1_2 3" xfId="17818" xr:uid="{00000000-0005-0000-0000-0000E7110000}"/>
    <cellStyle name="_KT_TG_2_Qt-HT3PQ1(CauKho)_Book1_2_TOM TAT" xfId="20086" xr:uid="{00000000-0005-0000-0000-0000E8110000}"/>
    <cellStyle name="_KT_TG_2_Qt-HT3PQ1(CauKho)_Book1_3" xfId="722" xr:uid="{00000000-0005-0000-0000-0000E9110000}"/>
    <cellStyle name="_KT_TG_2_Qt-HT3PQ1(CauKho)_Book1_3 2" xfId="3993" xr:uid="{00000000-0005-0000-0000-0000EA110000}"/>
    <cellStyle name="_KT_TG_2_Qt-HT3PQ1(CauKho)_Book1_3 3" xfId="17819" xr:uid="{00000000-0005-0000-0000-0000EB110000}"/>
    <cellStyle name="_KT_TG_2_Qt-HT3PQ1(CauKho)_Book1_3_TOM TAT" xfId="20087" xr:uid="{00000000-0005-0000-0000-0000EC110000}"/>
    <cellStyle name="_KT_TG_2_Qt-HT3PQ1(CauKho)_Book1_TOM TAT" xfId="20084" xr:uid="{00000000-0005-0000-0000-0000ED110000}"/>
    <cellStyle name="_KT_TG_2_Qt-HT3PQ1(CauKho)_TOM TAT" xfId="20083" xr:uid="{00000000-0005-0000-0000-0000EE110000}"/>
    <cellStyle name="_KT_TG_2_Qt-HT3PQ1(CauKho)_VATTUDIEN" xfId="723" xr:uid="{00000000-0005-0000-0000-0000EF110000}"/>
    <cellStyle name="_KT_TG_2_Qt-HT3PQ1(CauKho)_VATTUDIEN 2" xfId="3994" xr:uid="{00000000-0005-0000-0000-0000F0110000}"/>
    <cellStyle name="_KT_TG_2_Qt-HT3PQ1(CauKho)_VATTUDIEN 3" xfId="17820" xr:uid="{00000000-0005-0000-0000-0000F1110000}"/>
    <cellStyle name="_KT_TG_2_Qt-HT3PQ1(CauKho)_VATTUDIEN_TOM TAT" xfId="20088" xr:uid="{00000000-0005-0000-0000-0000F2110000}"/>
    <cellStyle name="_KT_TG_2_Sheet1" xfId="5040" xr:uid="{00000000-0005-0000-0000-0000F3110000}"/>
    <cellStyle name="_KT_TG_2_Sheet2" xfId="5041" xr:uid="{00000000-0005-0000-0000-0000F4110000}"/>
    <cellStyle name="_KT_TG_2_TH KE" xfId="724" xr:uid="{00000000-0005-0000-0000-0000F5110000}"/>
    <cellStyle name="_KT_TG_2_TH KE 2" xfId="3995" xr:uid="{00000000-0005-0000-0000-0000F6110000}"/>
    <cellStyle name="_KT_TG_2_TH KE 3" xfId="17821" xr:uid="{00000000-0005-0000-0000-0000F7110000}"/>
    <cellStyle name="_KT_TG_2_TH KE_Book1" xfId="725" xr:uid="{00000000-0005-0000-0000-0000F8110000}"/>
    <cellStyle name="_KT_TG_2_TH KE_Book1 2" xfId="3996" xr:uid="{00000000-0005-0000-0000-0000F9110000}"/>
    <cellStyle name="_KT_TG_2_TH KE_Book1 3" xfId="17822" xr:uid="{00000000-0005-0000-0000-0000FA110000}"/>
    <cellStyle name="_KT_TG_2_TH KE_Book1_1" xfId="726" xr:uid="{00000000-0005-0000-0000-0000FB110000}"/>
    <cellStyle name="_KT_TG_2_TH KE_Book1_1 2" xfId="3997" xr:uid="{00000000-0005-0000-0000-0000FC110000}"/>
    <cellStyle name="_KT_TG_2_TH KE_Book1_1 3" xfId="17823" xr:uid="{00000000-0005-0000-0000-0000FD110000}"/>
    <cellStyle name="_KT_TG_2_TH KE_Book1_1_TOM TAT" xfId="20091" xr:uid="{00000000-0005-0000-0000-0000FE110000}"/>
    <cellStyle name="_KT_TG_2_TH KE_Book1_2" xfId="727" xr:uid="{00000000-0005-0000-0000-0000FF110000}"/>
    <cellStyle name="_KT_TG_2_TH KE_Book1_2 2" xfId="3998" xr:uid="{00000000-0005-0000-0000-000000120000}"/>
    <cellStyle name="_KT_TG_2_TH KE_Book1_2 3" xfId="17824" xr:uid="{00000000-0005-0000-0000-000001120000}"/>
    <cellStyle name="_KT_TG_2_TH KE_Book1_2_TOM TAT" xfId="20092" xr:uid="{00000000-0005-0000-0000-000002120000}"/>
    <cellStyle name="_KT_TG_2_TH KE_Book1_3" xfId="728" xr:uid="{00000000-0005-0000-0000-000003120000}"/>
    <cellStyle name="_KT_TG_2_TH KE_Book1_3 2" xfId="3999" xr:uid="{00000000-0005-0000-0000-000004120000}"/>
    <cellStyle name="_KT_TG_2_TH KE_Book1_3 3" xfId="17825" xr:uid="{00000000-0005-0000-0000-000005120000}"/>
    <cellStyle name="_KT_TG_2_TH KE_Book1_3_TOM TAT" xfId="20093" xr:uid="{00000000-0005-0000-0000-000006120000}"/>
    <cellStyle name="_KT_TG_2_TH KE_Book1_TOM TAT" xfId="20090" xr:uid="{00000000-0005-0000-0000-000007120000}"/>
    <cellStyle name="_KT_TG_2_TH KE_TOM TAT" xfId="20089" xr:uid="{00000000-0005-0000-0000-000008120000}"/>
    <cellStyle name="_KT_TG_2_TH KE_VATTUDIEN" xfId="729" xr:uid="{00000000-0005-0000-0000-000009120000}"/>
    <cellStyle name="_KT_TG_2_TH KE_VATTUDIEN 2" xfId="4000" xr:uid="{00000000-0005-0000-0000-00000A120000}"/>
    <cellStyle name="_KT_TG_2_TH KE_VATTUDIEN 3" xfId="17826" xr:uid="{00000000-0005-0000-0000-00000B120000}"/>
    <cellStyle name="_KT_TG_2_TH KE_VATTUDIEN_TOM TAT" xfId="20094" xr:uid="{00000000-0005-0000-0000-00000C120000}"/>
    <cellStyle name="_KT_TG_2_TOM TAT" xfId="19993" xr:uid="{00000000-0005-0000-0000-00000D120000}"/>
    <cellStyle name="_KT_TG_2_VATTUDIEN" xfId="730" xr:uid="{00000000-0005-0000-0000-00000E120000}"/>
    <cellStyle name="_KT_TG_2_VATTUDIEN 2" xfId="4001" xr:uid="{00000000-0005-0000-0000-00000F120000}"/>
    <cellStyle name="_KT_TG_2_VATTUDIEN 3" xfId="17827" xr:uid="{00000000-0005-0000-0000-000010120000}"/>
    <cellStyle name="_KT_TG_2_VATTUDIEN_TOM TAT" xfId="20095" xr:uid="{00000000-0005-0000-0000-000011120000}"/>
    <cellStyle name="_KT_TG_2_XN3-2005" xfId="731" xr:uid="{00000000-0005-0000-0000-000012120000}"/>
    <cellStyle name="_KT_TG_2_XN3-2005 2" xfId="4002" xr:uid="{00000000-0005-0000-0000-000013120000}"/>
    <cellStyle name="_KT_TG_2_XN3-2005 3" xfId="17828" xr:uid="{00000000-0005-0000-0000-000014120000}"/>
    <cellStyle name="_KT_TG_2_XN3-2005_TOM TAT" xfId="20096" xr:uid="{00000000-0005-0000-0000-000015120000}"/>
    <cellStyle name="_KT_TG_3" xfId="732" xr:uid="{00000000-0005-0000-0000-000016120000}"/>
    <cellStyle name="_KT_TG_3 2" xfId="4003" xr:uid="{00000000-0005-0000-0000-000017120000}"/>
    <cellStyle name="_KT_TG_3 3" xfId="17829" xr:uid="{00000000-0005-0000-0000-000018120000}"/>
    <cellStyle name="_KT_TG_3_Book1" xfId="733" xr:uid="{00000000-0005-0000-0000-000019120000}"/>
    <cellStyle name="_KT_TG_3_Book1 2" xfId="4004" xr:uid="{00000000-0005-0000-0000-00001A120000}"/>
    <cellStyle name="_KT_TG_3_Book1 3" xfId="17830" xr:uid="{00000000-0005-0000-0000-00001B120000}"/>
    <cellStyle name="_KT_TG_3_Book1_1" xfId="734" xr:uid="{00000000-0005-0000-0000-00001C120000}"/>
    <cellStyle name="_KT_TG_3_Book1_1 2" xfId="4005" xr:uid="{00000000-0005-0000-0000-00001D120000}"/>
    <cellStyle name="_KT_TG_3_Book1_1 3" xfId="17831" xr:uid="{00000000-0005-0000-0000-00001E120000}"/>
    <cellStyle name="_KT_TG_3_Book1_1_TOM TAT" xfId="20099" xr:uid="{00000000-0005-0000-0000-00001F120000}"/>
    <cellStyle name="_KT_TG_3_Book1_2" xfId="735" xr:uid="{00000000-0005-0000-0000-000020120000}"/>
    <cellStyle name="_KT_TG_3_Book1_2 2" xfId="4006" xr:uid="{00000000-0005-0000-0000-000021120000}"/>
    <cellStyle name="_KT_TG_3_Book1_2 3" xfId="17832" xr:uid="{00000000-0005-0000-0000-000022120000}"/>
    <cellStyle name="_KT_TG_3_Book1_2_TOM TAT" xfId="20100" xr:uid="{00000000-0005-0000-0000-000023120000}"/>
    <cellStyle name="_KT_TG_3_Book1_3" xfId="736" xr:uid="{00000000-0005-0000-0000-000024120000}"/>
    <cellStyle name="_KT_TG_3_Book1_3 2" xfId="4007" xr:uid="{00000000-0005-0000-0000-000025120000}"/>
    <cellStyle name="_KT_TG_3_Book1_3 3" xfId="17833" xr:uid="{00000000-0005-0000-0000-000026120000}"/>
    <cellStyle name="_KT_TG_3_Book1_3_TOM TAT" xfId="20101" xr:uid="{00000000-0005-0000-0000-000027120000}"/>
    <cellStyle name="_KT_TG_3_Book1_TOM TAT" xfId="20098" xr:uid="{00000000-0005-0000-0000-000028120000}"/>
    <cellStyle name="_KT_TG_3_TOM TAT" xfId="20097" xr:uid="{00000000-0005-0000-0000-000029120000}"/>
    <cellStyle name="_KT_TG_3_VATTUDIEN" xfId="737" xr:uid="{00000000-0005-0000-0000-00002A120000}"/>
    <cellStyle name="_KT_TG_3_VATTUDIEN 2" xfId="4008" xr:uid="{00000000-0005-0000-0000-00002B120000}"/>
    <cellStyle name="_KT_TG_3_VATTUDIEN 3" xfId="17834" xr:uid="{00000000-0005-0000-0000-00002C120000}"/>
    <cellStyle name="_KT_TG_3_VATTUDIEN_TOM TAT" xfId="20102" xr:uid="{00000000-0005-0000-0000-00002D120000}"/>
    <cellStyle name="_KT_TG_4" xfId="738" xr:uid="{00000000-0005-0000-0000-00002E120000}"/>
    <cellStyle name="_KT_TG_4 2" xfId="4009" xr:uid="{00000000-0005-0000-0000-00002F120000}"/>
    <cellStyle name="_KT_TG_4 3" xfId="17835" xr:uid="{00000000-0005-0000-0000-000030120000}"/>
    <cellStyle name="_KT_TG_4_Book1" xfId="739" xr:uid="{00000000-0005-0000-0000-000031120000}"/>
    <cellStyle name="_KT_TG_4_Book1 2" xfId="4010" xr:uid="{00000000-0005-0000-0000-000032120000}"/>
    <cellStyle name="_KT_TG_4_Book1 3" xfId="17836" xr:uid="{00000000-0005-0000-0000-000033120000}"/>
    <cellStyle name="_KT_TG_4_Book1_1" xfId="740" xr:uid="{00000000-0005-0000-0000-000034120000}"/>
    <cellStyle name="_KT_TG_4_Book1_1 2" xfId="4011" xr:uid="{00000000-0005-0000-0000-000035120000}"/>
    <cellStyle name="_KT_TG_4_Book1_1 3" xfId="17837" xr:uid="{00000000-0005-0000-0000-000036120000}"/>
    <cellStyle name="_KT_TG_4_Book1_1_TOM TAT" xfId="20105" xr:uid="{00000000-0005-0000-0000-000037120000}"/>
    <cellStyle name="_KT_TG_4_Book1_2" xfId="741" xr:uid="{00000000-0005-0000-0000-000038120000}"/>
    <cellStyle name="_KT_TG_4_Book1_2 2" xfId="4012" xr:uid="{00000000-0005-0000-0000-000039120000}"/>
    <cellStyle name="_KT_TG_4_Book1_2 3" xfId="17838" xr:uid="{00000000-0005-0000-0000-00003A120000}"/>
    <cellStyle name="_KT_TG_4_Book1_2_TOM TAT" xfId="20106" xr:uid="{00000000-0005-0000-0000-00003B120000}"/>
    <cellStyle name="_KT_TG_4_Book1_3" xfId="742" xr:uid="{00000000-0005-0000-0000-00003C120000}"/>
    <cellStyle name="_KT_TG_4_Book1_3 2" xfId="4013" xr:uid="{00000000-0005-0000-0000-00003D120000}"/>
    <cellStyle name="_KT_TG_4_Book1_3 3" xfId="17839" xr:uid="{00000000-0005-0000-0000-00003E120000}"/>
    <cellStyle name="_KT_TG_4_Book1_3_TOM TAT" xfId="20107" xr:uid="{00000000-0005-0000-0000-00003F120000}"/>
    <cellStyle name="_KT_TG_4_Book1_TOM TAT" xfId="20104" xr:uid="{00000000-0005-0000-0000-000040120000}"/>
    <cellStyle name="_KT_TG_4_Lora-tungchau" xfId="743" xr:uid="{00000000-0005-0000-0000-000041120000}"/>
    <cellStyle name="_KT_TG_4_Lora-tungchau 2" xfId="4014" xr:uid="{00000000-0005-0000-0000-000042120000}"/>
    <cellStyle name="_KT_TG_4_Lora-tungchau 3" xfId="17840" xr:uid="{00000000-0005-0000-0000-000043120000}"/>
    <cellStyle name="_KT_TG_4_Lora-tungchau_Book1" xfId="744" xr:uid="{00000000-0005-0000-0000-000044120000}"/>
    <cellStyle name="_KT_TG_4_Lora-tungchau_Book1 2" xfId="4015" xr:uid="{00000000-0005-0000-0000-000045120000}"/>
    <cellStyle name="_KT_TG_4_Lora-tungchau_Book1 3" xfId="17841" xr:uid="{00000000-0005-0000-0000-000046120000}"/>
    <cellStyle name="_KT_TG_4_Lora-tungchau_Book1_1" xfId="745" xr:uid="{00000000-0005-0000-0000-000047120000}"/>
    <cellStyle name="_KT_TG_4_Lora-tungchau_Book1_1 2" xfId="4016" xr:uid="{00000000-0005-0000-0000-000048120000}"/>
    <cellStyle name="_KT_TG_4_Lora-tungchau_Book1_1 3" xfId="17842" xr:uid="{00000000-0005-0000-0000-000049120000}"/>
    <cellStyle name="_KT_TG_4_Lora-tungchau_Book1_1_TOM TAT" xfId="20110" xr:uid="{00000000-0005-0000-0000-00004A120000}"/>
    <cellStyle name="_KT_TG_4_Lora-tungchau_Book1_2" xfId="746" xr:uid="{00000000-0005-0000-0000-00004B120000}"/>
    <cellStyle name="_KT_TG_4_Lora-tungchau_Book1_2 2" xfId="4017" xr:uid="{00000000-0005-0000-0000-00004C120000}"/>
    <cellStyle name="_KT_TG_4_Lora-tungchau_Book1_2 3" xfId="17843" xr:uid="{00000000-0005-0000-0000-00004D120000}"/>
    <cellStyle name="_KT_TG_4_Lora-tungchau_Book1_2_TOM TAT" xfId="20111" xr:uid="{00000000-0005-0000-0000-00004E120000}"/>
    <cellStyle name="_KT_TG_4_Lora-tungchau_Book1_3" xfId="747" xr:uid="{00000000-0005-0000-0000-00004F120000}"/>
    <cellStyle name="_KT_TG_4_Lora-tungchau_Book1_3 2" xfId="4018" xr:uid="{00000000-0005-0000-0000-000050120000}"/>
    <cellStyle name="_KT_TG_4_Lora-tungchau_Book1_3 3" xfId="17844" xr:uid="{00000000-0005-0000-0000-000051120000}"/>
    <cellStyle name="_KT_TG_4_Lora-tungchau_Book1_3_TOM TAT" xfId="20112" xr:uid="{00000000-0005-0000-0000-000052120000}"/>
    <cellStyle name="_KT_TG_4_Lora-tungchau_Book1_TOM TAT" xfId="20109" xr:uid="{00000000-0005-0000-0000-000053120000}"/>
    <cellStyle name="_KT_TG_4_Lora-tungchau_TOM TAT" xfId="20108" xr:uid="{00000000-0005-0000-0000-000054120000}"/>
    <cellStyle name="_KT_TG_4_Lora-tungchau_VATTUDIEN" xfId="748" xr:uid="{00000000-0005-0000-0000-000055120000}"/>
    <cellStyle name="_KT_TG_4_Lora-tungchau_VATTUDIEN 2" xfId="4019" xr:uid="{00000000-0005-0000-0000-000056120000}"/>
    <cellStyle name="_KT_TG_4_Lora-tungchau_VATTUDIEN 3" xfId="17845" xr:uid="{00000000-0005-0000-0000-000057120000}"/>
    <cellStyle name="_KT_TG_4_Lora-tungchau_VATTUDIEN_TOM TAT" xfId="20113" xr:uid="{00000000-0005-0000-0000-000058120000}"/>
    <cellStyle name="_KT_TG_4_Qt-HT3PQ1(CauKho)" xfId="749" xr:uid="{00000000-0005-0000-0000-000059120000}"/>
    <cellStyle name="_KT_TG_4_Qt-HT3PQ1(CauKho) 2" xfId="4020" xr:uid="{00000000-0005-0000-0000-00005A120000}"/>
    <cellStyle name="_KT_TG_4_Qt-HT3PQ1(CauKho) 3" xfId="17846" xr:uid="{00000000-0005-0000-0000-00005B120000}"/>
    <cellStyle name="_KT_TG_4_Qt-HT3PQ1(CauKho)_Book1" xfId="750" xr:uid="{00000000-0005-0000-0000-00005C120000}"/>
    <cellStyle name="_KT_TG_4_Qt-HT3PQ1(CauKho)_Book1 2" xfId="4021" xr:uid="{00000000-0005-0000-0000-00005D120000}"/>
    <cellStyle name="_KT_TG_4_Qt-HT3PQ1(CauKho)_Book1 3" xfId="17847" xr:uid="{00000000-0005-0000-0000-00005E120000}"/>
    <cellStyle name="_KT_TG_4_Qt-HT3PQ1(CauKho)_Book1_1" xfId="751" xr:uid="{00000000-0005-0000-0000-00005F120000}"/>
    <cellStyle name="_KT_TG_4_Qt-HT3PQ1(CauKho)_Book1_1 2" xfId="4022" xr:uid="{00000000-0005-0000-0000-000060120000}"/>
    <cellStyle name="_KT_TG_4_Qt-HT3PQ1(CauKho)_Book1_1 3" xfId="17848" xr:uid="{00000000-0005-0000-0000-000061120000}"/>
    <cellStyle name="_KT_TG_4_Qt-HT3PQ1(CauKho)_Book1_1_TOM TAT" xfId="20116" xr:uid="{00000000-0005-0000-0000-000062120000}"/>
    <cellStyle name="_KT_TG_4_Qt-HT3PQ1(CauKho)_Book1_2" xfId="752" xr:uid="{00000000-0005-0000-0000-000063120000}"/>
    <cellStyle name="_KT_TG_4_Qt-HT3PQ1(CauKho)_Book1_2 2" xfId="4023" xr:uid="{00000000-0005-0000-0000-000064120000}"/>
    <cellStyle name="_KT_TG_4_Qt-HT3PQ1(CauKho)_Book1_2 3" xfId="17849" xr:uid="{00000000-0005-0000-0000-000065120000}"/>
    <cellStyle name="_KT_TG_4_Qt-HT3PQ1(CauKho)_Book1_2_TOM TAT" xfId="20117" xr:uid="{00000000-0005-0000-0000-000066120000}"/>
    <cellStyle name="_KT_TG_4_Qt-HT3PQ1(CauKho)_Book1_3" xfId="753" xr:uid="{00000000-0005-0000-0000-000067120000}"/>
    <cellStyle name="_KT_TG_4_Qt-HT3PQ1(CauKho)_Book1_3 2" xfId="4024" xr:uid="{00000000-0005-0000-0000-000068120000}"/>
    <cellStyle name="_KT_TG_4_Qt-HT3PQ1(CauKho)_Book1_3 3" xfId="17850" xr:uid="{00000000-0005-0000-0000-000069120000}"/>
    <cellStyle name="_KT_TG_4_Qt-HT3PQ1(CauKho)_Book1_3_TOM TAT" xfId="20118" xr:uid="{00000000-0005-0000-0000-00006A120000}"/>
    <cellStyle name="_KT_TG_4_Qt-HT3PQ1(CauKho)_Book1_TOM TAT" xfId="20115" xr:uid="{00000000-0005-0000-0000-00006B120000}"/>
    <cellStyle name="_KT_TG_4_Qt-HT3PQ1(CauKho)_TOM TAT" xfId="20114" xr:uid="{00000000-0005-0000-0000-00006C120000}"/>
    <cellStyle name="_KT_TG_4_Qt-HT3PQ1(CauKho)_VATTUDIEN" xfId="754" xr:uid="{00000000-0005-0000-0000-00006D120000}"/>
    <cellStyle name="_KT_TG_4_Qt-HT3PQ1(CauKho)_VATTUDIEN 2" xfId="4025" xr:uid="{00000000-0005-0000-0000-00006E120000}"/>
    <cellStyle name="_KT_TG_4_Qt-HT3PQ1(CauKho)_VATTUDIEN 3" xfId="17851" xr:uid="{00000000-0005-0000-0000-00006F120000}"/>
    <cellStyle name="_KT_TG_4_Qt-HT3PQ1(CauKho)_VATTUDIEN_TOM TAT" xfId="20119" xr:uid="{00000000-0005-0000-0000-000070120000}"/>
    <cellStyle name="_KT_TG_4_TOM TAT" xfId="20103" xr:uid="{00000000-0005-0000-0000-000071120000}"/>
    <cellStyle name="_KT_TG_4_VATTUDIEN" xfId="755" xr:uid="{00000000-0005-0000-0000-000072120000}"/>
    <cellStyle name="_KT_TG_4_VATTUDIEN 2" xfId="4026" xr:uid="{00000000-0005-0000-0000-000073120000}"/>
    <cellStyle name="_KT_TG_4_VATTUDIEN 3" xfId="17852" xr:uid="{00000000-0005-0000-0000-000074120000}"/>
    <cellStyle name="_KT_TG_4_VATTUDIEN_TOM TAT" xfId="20120" xr:uid="{00000000-0005-0000-0000-000075120000}"/>
    <cellStyle name="_KT_TG_Book1" xfId="756" xr:uid="{00000000-0005-0000-0000-000076120000}"/>
    <cellStyle name="_KT_TG_Book1 2" xfId="4027" xr:uid="{00000000-0005-0000-0000-000077120000}"/>
    <cellStyle name="_KT_TG_Book1 3" xfId="17853" xr:uid="{00000000-0005-0000-0000-000078120000}"/>
    <cellStyle name="_KT_TG_Book1_1" xfId="757" xr:uid="{00000000-0005-0000-0000-000079120000}"/>
    <cellStyle name="_KT_TG_Book1_1 2" xfId="4028" xr:uid="{00000000-0005-0000-0000-00007A120000}"/>
    <cellStyle name="_KT_TG_Book1_1 3" xfId="17854" xr:uid="{00000000-0005-0000-0000-00007B120000}"/>
    <cellStyle name="_KT_TG_Book1_1_TOM TAT" xfId="20122" xr:uid="{00000000-0005-0000-0000-00007C120000}"/>
    <cellStyle name="_KT_TG_Book1_2" xfId="758" xr:uid="{00000000-0005-0000-0000-00007D120000}"/>
    <cellStyle name="_KT_TG_Book1_2 2" xfId="4029" xr:uid="{00000000-0005-0000-0000-00007E120000}"/>
    <cellStyle name="_KT_TG_Book1_2 3" xfId="17855" xr:uid="{00000000-0005-0000-0000-00007F120000}"/>
    <cellStyle name="_KT_TG_Book1_2_TOM TAT" xfId="20123" xr:uid="{00000000-0005-0000-0000-000080120000}"/>
    <cellStyle name="_KT_TG_Book1_3" xfId="759" xr:uid="{00000000-0005-0000-0000-000081120000}"/>
    <cellStyle name="_KT_TG_Book1_3 2" xfId="4030" xr:uid="{00000000-0005-0000-0000-000082120000}"/>
    <cellStyle name="_KT_TG_Book1_3 3" xfId="17856" xr:uid="{00000000-0005-0000-0000-000083120000}"/>
    <cellStyle name="_KT_TG_Book1_3_TOM TAT" xfId="20124" xr:uid="{00000000-0005-0000-0000-000084120000}"/>
    <cellStyle name="_KT_TG_Book1_TOM TAT" xfId="20121" xr:uid="{00000000-0005-0000-0000-000085120000}"/>
    <cellStyle name="_KT_TG_TOM TAT" xfId="19877" xr:uid="{00000000-0005-0000-0000-000086120000}"/>
    <cellStyle name="_KT_TG_VATTUDIEN" xfId="760" xr:uid="{00000000-0005-0000-0000-000087120000}"/>
    <cellStyle name="_KT_TG_VATTUDIEN 2" xfId="4031" xr:uid="{00000000-0005-0000-0000-000088120000}"/>
    <cellStyle name="_KT_TG_VATTUDIEN 3" xfId="17857" xr:uid="{00000000-0005-0000-0000-000089120000}"/>
    <cellStyle name="_KT_TG_VATTUDIEN_TOM TAT" xfId="20125" xr:uid="{00000000-0005-0000-0000-00008A120000}"/>
    <cellStyle name="_Lora-tungchau" xfId="761" xr:uid="{00000000-0005-0000-0000-00008B120000}"/>
    <cellStyle name="_Lora-tungchau 2" xfId="4032" xr:uid="{00000000-0005-0000-0000-00008C120000}"/>
    <cellStyle name="_Lora-tungchau 3" xfId="17858" xr:uid="{00000000-0005-0000-0000-00008D120000}"/>
    <cellStyle name="_Lora-tungchau_Book1" xfId="762" xr:uid="{00000000-0005-0000-0000-00008E120000}"/>
    <cellStyle name="_Lora-tungchau_Book1 2" xfId="4033" xr:uid="{00000000-0005-0000-0000-00008F120000}"/>
    <cellStyle name="_Lora-tungchau_Book1 3" xfId="17859" xr:uid="{00000000-0005-0000-0000-000090120000}"/>
    <cellStyle name="_Lora-tungchau_Book1_1" xfId="763" xr:uid="{00000000-0005-0000-0000-000091120000}"/>
    <cellStyle name="_Lora-tungchau_Book1_1 2" xfId="4034" xr:uid="{00000000-0005-0000-0000-000092120000}"/>
    <cellStyle name="_Lora-tungchau_Book1_1 3" xfId="17860" xr:uid="{00000000-0005-0000-0000-000093120000}"/>
    <cellStyle name="_Lora-tungchau_Book1_1_TOM TAT" xfId="20128" xr:uid="{00000000-0005-0000-0000-000094120000}"/>
    <cellStyle name="_Lora-tungchau_Book1_2" xfId="764" xr:uid="{00000000-0005-0000-0000-000095120000}"/>
    <cellStyle name="_Lora-tungchau_Book1_2 2" xfId="4035" xr:uid="{00000000-0005-0000-0000-000096120000}"/>
    <cellStyle name="_Lora-tungchau_Book1_2 3" xfId="17861" xr:uid="{00000000-0005-0000-0000-000097120000}"/>
    <cellStyle name="_Lora-tungchau_Book1_2_TOM TAT" xfId="20129" xr:uid="{00000000-0005-0000-0000-000098120000}"/>
    <cellStyle name="_Lora-tungchau_Book1_3" xfId="765" xr:uid="{00000000-0005-0000-0000-000099120000}"/>
    <cellStyle name="_Lora-tungchau_Book1_3 2" xfId="4036" xr:uid="{00000000-0005-0000-0000-00009A120000}"/>
    <cellStyle name="_Lora-tungchau_Book1_3 3" xfId="17862" xr:uid="{00000000-0005-0000-0000-00009B120000}"/>
    <cellStyle name="_Lora-tungchau_Book1_3_TOM TAT" xfId="20130" xr:uid="{00000000-0005-0000-0000-00009C120000}"/>
    <cellStyle name="_Lora-tungchau_Book1_TOM TAT" xfId="20127" xr:uid="{00000000-0005-0000-0000-00009D120000}"/>
    <cellStyle name="_Lora-tungchau_TOM TAT" xfId="20126" xr:uid="{00000000-0005-0000-0000-00009E120000}"/>
    <cellStyle name="_Lora-tungchau_VATTUDIEN" xfId="766" xr:uid="{00000000-0005-0000-0000-00009F120000}"/>
    <cellStyle name="_Lora-tungchau_VATTUDIEN 2" xfId="4037" xr:uid="{00000000-0005-0000-0000-0000A0120000}"/>
    <cellStyle name="_Lora-tungchau_VATTUDIEN 3" xfId="17863" xr:uid="{00000000-0005-0000-0000-0000A1120000}"/>
    <cellStyle name="_Lora-tungchau_VATTUDIEN_TOM TAT" xfId="20131" xr:uid="{00000000-0005-0000-0000-0000A2120000}"/>
    <cellStyle name="_Noi suy dinh muc CPK" xfId="767" xr:uid="{00000000-0005-0000-0000-0000A3120000}"/>
    <cellStyle name="_Noi suy dinh muc CPK 2" xfId="4038" xr:uid="{00000000-0005-0000-0000-0000A4120000}"/>
    <cellStyle name="_Noi suy dinh muc CPK 3" xfId="17864" xr:uid="{00000000-0005-0000-0000-0000A5120000}"/>
    <cellStyle name="_Noi suy dinh muc CPK_TOM TAT" xfId="20132" xr:uid="{00000000-0005-0000-0000-0000A6120000}"/>
    <cellStyle name="_PERSONAL" xfId="768" xr:uid="{00000000-0005-0000-0000-0000A7120000}"/>
    <cellStyle name="_PERSONAL 2" xfId="4039" xr:uid="{00000000-0005-0000-0000-0000A8120000}"/>
    <cellStyle name="_PERSONAL 3" xfId="17865" xr:uid="{00000000-0005-0000-0000-0000A9120000}"/>
    <cellStyle name="_PERSONAL_Book1" xfId="769" xr:uid="{00000000-0005-0000-0000-0000AA120000}"/>
    <cellStyle name="_PERSONAL_Book1 2" xfId="4040" xr:uid="{00000000-0005-0000-0000-0000AB120000}"/>
    <cellStyle name="_PERSONAL_Book1 3" xfId="17866" xr:uid="{00000000-0005-0000-0000-0000AC120000}"/>
    <cellStyle name="_PERSONAL_Book1_1" xfId="770" xr:uid="{00000000-0005-0000-0000-0000AD120000}"/>
    <cellStyle name="_PERSONAL_Book1_1 2" xfId="4041" xr:uid="{00000000-0005-0000-0000-0000AE120000}"/>
    <cellStyle name="_PERSONAL_Book1_1 3" xfId="17867" xr:uid="{00000000-0005-0000-0000-0000AF120000}"/>
    <cellStyle name="_PERSONAL_Book1_1_TOM TAT" xfId="20135" xr:uid="{00000000-0005-0000-0000-0000B0120000}"/>
    <cellStyle name="_PERSONAL_Book1_2" xfId="771" xr:uid="{00000000-0005-0000-0000-0000B1120000}"/>
    <cellStyle name="_PERSONAL_Book1_2 2" xfId="4042" xr:uid="{00000000-0005-0000-0000-0000B2120000}"/>
    <cellStyle name="_PERSONAL_Book1_2 3" xfId="17868" xr:uid="{00000000-0005-0000-0000-0000B3120000}"/>
    <cellStyle name="_PERSONAL_Book1_2_TOM TAT" xfId="20136" xr:uid="{00000000-0005-0000-0000-0000B4120000}"/>
    <cellStyle name="_PERSONAL_Book1_3" xfId="772" xr:uid="{00000000-0005-0000-0000-0000B5120000}"/>
    <cellStyle name="_PERSONAL_Book1_3 2" xfId="4043" xr:uid="{00000000-0005-0000-0000-0000B6120000}"/>
    <cellStyle name="_PERSONAL_Book1_3 3" xfId="17869" xr:uid="{00000000-0005-0000-0000-0000B7120000}"/>
    <cellStyle name="_PERSONAL_Book1_3_TOM TAT" xfId="20137" xr:uid="{00000000-0005-0000-0000-0000B8120000}"/>
    <cellStyle name="_PERSONAL_Book1_4" xfId="773" xr:uid="{00000000-0005-0000-0000-0000B9120000}"/>
    <cellStyle name="_PERSONAL_Book1_4 2" xfId="4044" xr:uid="{00000000-0005-0000-0000-0000BA120000}"/>
    <cellStyle name="_PERSONAL_Book1_4 3" xfId="17870" xr:uid="{00000000-0005-0000-0000-0000BB120000}"/>
    <cellStyle name="_PERSONAL_Book1_4_TOM TAT" xfId="20138" xr:uid="{00000000-0005-0000-0000-0000BC120000}"/>
    <cellStyle name="_PERSONAL_Book1_Book1" xfId="774" xr:uid="{00000000-0005-0000-0000-0000BD120000}"/>
    <cellStyle name="_PERSONAL_Book1_Book1 2" xfId="4045" xr:uid="{00000000-0005-0000-0000-0000BE120000}"/>
    <cellStyle name="_PERSONAL_Book1_Book1 3" xfId="17871" xr:uid="{00000000-0005-0000-0000-0000BF120000}"/>
    <cellStyle name="_PERSONAL_Book1_Book1_1" xfId="775" xr:uid="{00000000-0005-0000-0000-0000C0120000}"/>
    <cellStyle name="_PERSONAL_Book1_Book1_1 2" xfId="4046" xr:uid="{00000000-0005-0000-0000-0000C1120000}"/>
    <cellStyle name="_PERSONAL_Book1_Book1_1 2_TOM TAT" xfId="20141" xr:uid="{00000000-0005-0000-0000-0000C2120000}"/>
    <cellStyle name="_PERSONAL_Book1_Book1_1 3" xfId="17872" xr:uid="{00000000-0005-0000-0000-0000C3120000}"/>
    <cellStyle name="_PERSONAL_Book1_Book1_1 3_TOM TAT" xfId="20142" xr:uid="{00000000-0005-0000-0000-0000C4120000}"/>
    <cellStyle name="_PERSONAL_Book1_Book1_1_TOM TAT" xfId="20140" xr:uid="{00000000-0005-0000-0000-0000C5120000}"/>
    <cellStyle name="_PERSONAL_Book1_Book1_2" xfId="776" xr:uid="{00000000-0005-0000-0000-0000C6120000}"/>
    <cellStyle name="_PERSONAL_Book1_Book1_2 2" xfId="4047" xr:uid="{00000000-0005-0000-0000-0000C7120000}"/>
    <cellStyle name="_PERSONAL_Book1_Book1_2 2_TOM TAT" xfId="20144" xr:uid="{00000000-0005-0000-0000-0000C8120000}"/>
    <cellStyle name="_PERSONAL_Book1_Book1_2 3" xfId="17873" xr:uid="{00000000-0005-0000-0000-0000C9120000}"/>
    <cellStyle name="_PERSONAL_Book1_Book1_2 3_TOM TAT" xfId="20145" xr:uid="{00000000-0005-0000-0000-0000CA120000}"/>
    <cellStyle name="_PERSONAL_Book1_Book1_2_TOM TAT" xfId="20143" xr:uid="{00000000-0005-0000-0000-0000CB120000}"/>
    <cellStyle name="_PERSONAL_Book1_Book1_3" xfId="777" xr:uid="{00000000-0005-0000-0000-0000CC120000}"/>
    <cellStyle name="_PERSONAL_Book1_Book1_3 2" xfId="4048" xr:uid="{00000000-0005-0000-0000-0000CD120000}"/>
    <cellStyle name="_PERSONAL_Book1_Book1_3 2_TOM TAT" xfId="20147" xr:uid="{00000000-0005-0000-0000-0000CE120000}"/>
    <cellStyle name="_PERSONAL_Book1_Book1_3 3" xfId="17874" xr:uid="{00000000-0005-0000-0000-0000CF120000}"/>
    <cellStyle name="_PERSONAL_Book1_Book1_3 3_TOM TAT" xfId="20148" xr:uid="{00000000-0005-0000-0000-0000D0120000}"/>
    <cellStyle name="_PERSONAL_Book1_Book1_3_TOM TAT" xfId="20146" xr:uid="{00000000-0005-0000-0000-0000D1120000}"/>
    <cellStyle name="_PERSONAL_Book1_Book1_TOM TAT" xfId="20139" xr:uid="{00000000-0005-0000-0000-0000D2120000}"/>
    <cellStyle name="_PERSONAL_Book1_TOM TAT" xfId="20134" xr:uid="{00000000-0005-0000-0000-0000D3120000}"/>
    <cellStyle name="_PERSONAL_Book1_VATTUDIEN" xfId="778" xr:uid="{00000000-0005-0000-0000-0000D4120000}"/>
    <cellStyle name="_PERSONAL_Book1_VATTUDIEN 2" xfId="4049" xr:uid="{00000000-0005-0000-0000-0000D5120000}"/>
    <cellStyle name="_PERSONAL_Book1_VATTUDIEN 2_TOM TAT" xfId="20150" xr:uid="{00000000-0005-0000-0000-0000D6120000}"/>
    <cellStyle name="_PERSONAL_Book1_VATTUDIEN 3" xfId="17875" xr:uid="{00000000-0005-0000-0000-0000D7120000}"/>
    <cellStyle name="_PERSONAL_Book1_VATTUDIEN 3_TOM TAT" xfId="20151" xr:uid="{00000000-0005-0000-0000-0000D8120000}"/>
    <cellStyle name="_PERSONAL_Book1_VATTUDIEN_TOM TAT" xfId="20149" xr:uid="{00000000-0005-0000-0000-0000D9120000}"/>
    <cellStyle name="_PERSONAL_HTQ.8 GD1" xfId="779" xr:uid="{00000000-0005-0000-0000-0000DA120000}"/>
    <cellStyle name="_PERSONAL_HTQ.8 GD1 2" xfId="4050" xr:uid="{00000000-0005-0000-0000-0000DB120000}"/>
    <cellStyle name="_PERSONAL_HTQ.8 GD1 2_TOM TAT" xfId="20153" xr:uid="{00000000-0005-0000-0000-0000DC120000}"/>
    <cellStyle name="_PERSONAL_HTQ.8 GD1 3" xfId="17876" xr:uid="{00000000-0005-0000-0000-0000DD120000}"/>
    <cellStyle name="_PERSONAL_HTQ.8 GD1 3_TOM TAT" xfId="20154" xr:uid="{00000000-0005-0000-0000-0000DE120000}"/>
    <cellStyle name="_PERSONAL_HTQ.8 GD1_Book1" xfId="780" xr:uid="{00000000-0005-0000-0000-0000DF120000}"/>
    <cellStyle name="_PERSONAL_HTQ.8 GD1_Book1 2" xfId="4051" xr:uid="{00000000-0005-0000-0000-0000E0120000}"/>
    <cellStyle name="_PERSONAL_HTQ.8 GD1_Book1 2_TOM TAT" xfId="20156" xr:uid="{00000000-0005-0000-0000-0000E1120000}"/>
    <cellStyle name="_PERSONAL_HTQ.8 GD1_Book1 3" xfId="17877" xr:uid="{00000000-0005-0000-0000-0000E2120000}"/>
    <cellStyle name="_PERSONAL_HTQ.8 GD1_Book1 3_TOM TAT" xfId="20157" xr:uid="{00000000-0005-0000-0000-0000E3120000}"/>
    <cellStyle name="_PERSONAL_HTQ.8 GD1_Book1_1" xfId="781" xr:uid="{00000000-0005-0000-0000-0000E4120000}"/>
    <cellStyle name="_PERSONAL_HTQ.8 GD1_Book1_1 2" xfId="4052" xr:uid="{00000000-0005-0000-0000-0000E5120000}"/>
    <cellStyle name="_PERSONAL_HTQ.8 GD1_Book1_1 2_TOM TAT" xfId="20159" xr:uid="{00000000-0005-0000-0000-0000E6120000}"/>
    <cellStyle name="_PERSONAL_HTQ.8 GD1_Book1_1 3" xfId="17878" xr:uid="{00000000-0005-0000-0000-0000E7120000}"/>
    <cellStyle name="_PERSONAL_HTQ.8 GD1_Book1_1 3_TOM TAT" xfId="20160" xr:uid="{00000000-0005-0000-0000-0000E8120000}"/>
    <cellStyle name="_PERSONAL_HTQ.8 GD1_Book1_1_TOM TAT" xfId="20158" xr:uid="{00000000-0005-0000-0000-0000E9120000}"/>
    <cellStyle name="_PERSONAL_HTQ.8 GD1_Book1_2" xfId="782" xr:uid="{00000000-0005-0000-0000-0000EA120000}"/>
    <cellStyle name="_PERSONAL_HTQ.8 GD1_Book1_2 2" xfId="4053" xr:uid="{00000000-0005-0000-0000-0000EB120000}"/>
    <cellStyle name="_PERSONAL_HTQ.8 GD1_Book1_2 2_TOM TAT" xfId="20162" xr:uid="{00000000-0005-0000-0000-0000EC120000}"/>
    <cellStyle name="_PERSONAL_HTQ.8 GD1_Book1_2 3" xfId="17879" xr:uid="{00000000-0005-0000-0000-0000ED120000}"/>
    <cellStyle name="_PERSONAL_HTQ.8 GD1_Book1_2 3_TOM TAT" xfId="20163" xr:uid="{00000000-0005-0000-0000-0000EE120000}"/>
    <cellStyle name="_PERSONAL_HTQ.8 GD1_Book1_2_TOM TAT" xfId="20161" xr:uid="{00000000-0005-0000-0000-0000EF120000}"/>
    <cellStyle name="_PERSONAL_HTQ.8 GD1_Book1_3" xfId="783" xr:uid="{00000000-0005-0000-0000-0000F0120000}"/>
    <cellStyle name="_PERSONAL_HTQ.8 GD1_Book1_3 2" xfId="4054" xr:uid="{00000000-0005-0000-0000-0000F1120000}"/>
    <cellStyle name="_PERSONAL_HTQ.8 GD1_Book1_3 2_TOM TAT" xfId="20165" xr:uid="{00000000-0005-0000-0000-0000F2120000}"/>
    <cellStyle name="_PERSONAL_HTQ.8 GD1_Book1_3 3" xfId="17880" xr:uid="{00000000-0005-0000-0000-0000F3120000}"/>
    <cellStyle name="_PERSONAL_HTQ.8 GD1_Book1_3 3_TOM TAT" xfId="20166" xr:uid="{00000000-0005-0000-0000-0000F4120000}"/>
    <cellStyle name="_PERSONAL_HTQ.8 GD1_Book1_3_TOM TAT" xfId="20164" xr:uid="{00000000-0005-0000-0000-0000F5120000}"/>
    <cellStyle name="_PERSONAL_HTQ.8 GD1_Book1_TOM TAT" xfId="20155" xr:uid="{00000000-0005-0000-0000-0000F6120000}"/>
    <cellStyle name="_PERSONAL_HTQ.8 GD1_TOM TAT" xfId="20152" xr:uid="{00000000-0005-0000-0000-0000F7120000}"/>
    <cellStyle name="_PERSONAL_HTQ.8 GD1_VATTUDIEN" xfId="784" xr:uid="{00000000-0005-0000-0000-0000F8120000}"/>
    <cellStyle name="_PERSONAL_HTQ.8 GD1_VATTUDIEN 2" xfId="4055" xr:uid="{00000000-0005-0000-0000-0000F9120000}"/>
    <cellStyle name="_PERSONAL_HTQ.8 GD1_VATTUDIEN 2_TOM TAT" xfId="20168" xr:uid="{00000000-0005-0000-0000-0000FA120000}"/>
    <cellStyle name="_PERSONAL_HTQ.8 GD1_VATTUDIEN 3" xfId="17881" xr:uid="{00000000-0005-0000-0000-0000FB120000}"/>
    <cellStyle name="_PERSONAL_HTQ.8 GD1_VATTUDIEN 3_TOM TAT" xfId="20169" xr:uid="{00000000-0005-0000-0000-0000FC120000}"/>
    <cellStyle name="_PERSONAL_HTQ.8 GD1_VATTUDIEN_TOM TAT" xfId="20167" xr:uid="{00000000-0005-0000-0000-0000FD120000}"/>
    <cellStyle name="_PERSONAL_TH KE" xfId="785" xr:uid="{00000000-0005-0000-0000-0000FE120000}"/>
    <cellStyle name="_PERSONAL_TH KE 2" xfId="4056" xr:uid="{00000000-0005-0000-0000-0000FF120000}"/>
    <cellStyle name="_PERSONAL_TH KE 2_TOM TAT" xfId="20171" xr:uid="{00000000-0005-0000-0000-000000130000}"/>
    <cellStyle name="_PERSONAL_TH KE 3" xfId="17882" xr:uid="{00000000-0005-0000-0000-000001130000}"/>
    <cellStyle name="_PERSONAL_TH KE 3_TOM TAT" xfId="20172" xr:uid="{00000000-0005-0000-0000-000002130000}"/>
    <cellStyle name="_PERSONAL_TH KE_Book1" xfId="786" xr:uid="{00000000-0005-0000-0000-000003130000}"/>
    <cellStyle name="_PERSONAL_TH KE_Book1 2" xfId="4057" xr:uid="{00000000-0005-0000-0000-000004130000}"/>
    <cellStyle name="_PERSONAL_TH KE_Book1 2_TOM TAT" xfId="20174" xr:uid="{00000000-0005-0000-0000-000005130000}"/>
    <cellStyle name="_PERSONAL_TH KE_Book1 3" xfId="17883" xr:uid="{00000000-0005-0000-0000-000006130000}"/>
    <cellStyle name="_PERSONAL_TH KE_Book1 3_TOM TAT" xfId="20175" xr:uid="{00000000-0005-0000-0000-000007130000}"/>
    <cellStyle name="_PERSONAL_TH KE_Book1_1" xfId="787" xr:uid="{00000000-0005-0000-0000-000008130000}"/>
    <cellStyle name="_PERSONAL_TH KE_Book1_1 2" xfId="4058" xr:uid="{00000000-0005-0000-0000-000009130000}"/>
    <cellStyle name="_PERSONAL_TH KE_Book1_1 2_TOM TAT" xfId="20177" xr:uid="{00000000-0005-0000-0000-00000A130000}"/>
    <cellStyle name="_PERSONAL_TH KE_Book1_1 3" xfId="17884" xr:uid="{00000000-0005-0000-0000-00000B130000}"/>
    <cellStyle name="_PERSONAL_TH KE_Book1_1 3_TOM TAT" xfId="20178" xr:uid="{00000000-0005-0000-0000-00000C130000}"/>
    <cellStyle name="_PERSONAL_TH KE_Book1_1_TOM TAT" xfId="20176" xr:uid="{00000000-0005-0000-0000-00000D130000}"/>
    <cellStyle name="_PERSONAL_TH KE_Book1_2" xfId="788" xr:uid="{00000000-0005-0000-0000-00000E130000}"/>
    <cellStyle name="_PERSONAL_TH KE_Book1_2 2" xfId="4059" xr:uid="{00000000-0005-0000-0000-00000F130000}"/>
    <cellStyle name="_PERSONAL_TH KE_Book1_2 2_TOM TAT" xfId="20180" xr:uid="{00000000-0005-0000-0000-000010130000}"/>
    <cellStyle name="_PERSONAL_TH KE_Book1_2 3" xfId="17885" xr:uid="{00000000-0005-0000-0000-000011130000}"/>
    <cellStyle name="_PERSONAL_TH KE_Book1_2 3_TOM TAT" xfId="20181" xr:uid="{00000000-0005-0000-0000-000012130000}"/>
    <cellStyle name="_PERSONAL_TH KE_Book1_2_TOM TAT" xfId="20179" xr:uid="{00000000-0005-0000-0000-000013130000}"/>
    <cellStyle name="_PERSONAL_TH KE_Book1_3" xfId="789" xr:uid="{00000000-0005-0000-0000-000014130000}"/>
    <cellStyle name="_PERSONAL_TH KE_Book1_3 2" xfId="4060" xr:uid="{00000000-0005-0000-0000-000015130000}"/>
    <cellStyle name="_PERSONAL_TH KE_Book1_3 2_TOM TAT" xfId="20183" xr:uid="{00000000-0005-0000-0000-000016130000}"/>
    <cellStyle name="_PERSONAL_TH KE_Book1_3 3" xfId="17886" xr:uid="{00000000-0005-0000-0000-000017130000}"/>
    <cellStyle name="_PERSONAL_TH KE_Book1_3 3_TOM TAT" xfId="20184" xr:uid="{00000000-0005-0000-0000-000018130000}"/>
    <cellStyle name="_PERSONAL_TH KE_Book1_3_TOM TAT" xfId="20182" xr:uid="{00000000-0005-0000-0000-000019130000}"/>
    <cellStyle name="_PERSONAL_TH KE_Book1_TOM TAT" xfId="20173" xr:uid="{00000000-0005-0000-0000-00001A130000}"/>
    <cellStyle name="_PERSONAL_TH KE_TOM TAT" xfId="20170" xr:uid="{00000000-0005-0000-0000-00001B130000}"/>
    <cellStyle name="_PERSONAL_TH KE_VATTUDIEN" xfId="790" xr:uid="{00000000-0005-0000-0000-00001C130000}"/>
    <cellStyle name="_PERSONAL_TH KE_VATTUDIEN 2" xfId="4061" xr:uid="{00000000-0005-0000-0000-00001D130000}"/>
    <cellStyle name="_PERSONAL_TH KE_VATTUDIEN 2_TOM TAT" xfId="20186" xr:uid="{00000000-0005-0000-0000-00001E130000}"/>
    <cellStyle name="_PERSONAL_TH KE_VATTUDIEN 3" xfId="17887" xr:uid="{00000000-0005-0000-0000-00001F130000}"/>
    <cellStyle name="_PERSONAL_TH KE_VATTUDIEN 3_TOM TAT" xfId="20187" xr:uid="{00000000-0005-0000-0000-000020130000}"/>
    <cellStyle name="_PERSONAL_TH KE_VATTUDIEN_TOM TAT" xfId="20185" xr:uid="{00000000-0005-0000-0000-000021130000}"/>
    <cellStyle name="_PERSONAL_TOM TAT" xfId="20133" xr:uid="{00000000-0005-0000-0000-000022130000}"/>
    <cellStyle name="_PERSONAL_Tong hop KHCB 2001" xfId="791" xr:uid="{00000000-0005-0000-0000-000023130000}"/>
    <cellStyle name="_PERSONAL_Tong hop KHCB 2001 2" xfId="4062" xr:uid="{00000000-0005-0000-0000-000024130000}"/>
    <cellStyle name="_PERSONAL_Tong hop KHCB 2001 2_TOM TAT" xfId="20189" xr:uid="{00000000-0005-0000-0000-000025130000}"/>
    <cellStyle name="_PERSONAL_Tong hop KHCB 2001 3" xfId="17888" xr:uid="{00000000-0005-0000-0000-000026130000}"/>
    <cellStyle name="_PERSONAL_Tong hop KHCB 2001 3_TOM TAT" xfId="20190" xr:uid="{00000000-0005-0000-0000-000027130000}"/>
    <cellStyle name="_PERSONAL_Tong hop KHCB 2001_Book1" xfId="792" xr:uid="{00000000-0005-0000-0000-000028130000}"/>
    <cellStyle name="_PERSONAL_Tong hop KHCB 2001_Book1 2" xfId="4063" xr:uid="{00000000-0005-0000-0000-000029130000}"/>
    <cellStyle name="_PERSONAL_Tong hop KHCB 2001_Book1 2_TOM TAT" xfId="20192" xr:uid="{00000000-0005-0000-0000-00002A130000}"/>
    <cellStyle name="_PERSONAL_Tong hop KHCB 2001_Book1 3" xfId="17889" xr:uid="{00000000-0005-0000-0000-00002B130000}"/>
    <cellStyle name="_PERSONAL_Tong hop KHCB 2001_Book1 3_TOM TAT" xfId="20193" xr:uid="{00000000-0005-0000-0000-00002C130000}"/>
    <cellStyle name="_PERSONAL_Tong hop KHCB 2001_Book1_1" xfId="793" xr:uid="{00000000-0005-0000-0000-00002D130000}"/>
    <cellStyle name="_PERSONAL_Tong hop KHCB 2001_Book1_1 2" xfId="4064" xr:uid="{00000000-0005-0000-0000-00002E130000}"/>
    <cellStyle name="_PERSONAL_Tong hop KHCB 2001_Book1_1 2_TOM TAT" xfId="20195" xr:uid="{00000000-0005-0000-0000-00002F130000}"/>
    <cellStyle name="_PERSONAL_Tong hop KHCB 2001_Book1_1 3" xfId="17890" xr:uid="{00000000-0005-0000-0000-000030130000}"/>
    <cellStyle name="_PERSONAL_Tong hop KHCB 2001_Book1_1 3_TOM TAT" xfId="20196" xr:uid="{00000000-0005-0000-0000-000031130000}"/>
    <cellStyle name="_PERSONAL_Tong hop KHCB 2001_Book1_1_TOM TAT" xfId="20194" xr:uid="{00000000-0005-0000-0000-000032130000}"/>
    <cellStyle name="_PERSONAL_Tong hop KHCB 2001_Book1_2" xfId="794" xr:uid="{00000000-0005-0000-0000-000033130000}"/>
    <cellStyle name="_PERSONAL_Tong hop KHCB 2001_Book1_2 2" xfId="4065" xr:uid="{00000000-0005-0000-0000-000034130000}"/>
    <cellStyle name="_PERSONAL_Tong hop KHCB 2001_Book1_2 2_TOM TAT" xfId="20198" xr:uid="{00000000-0005-0000-0000-000035130000}"/>
    <cellStyle name="_PERSONAL_Tong hop KHCB 2001_Book1_2 3" xfId="17891" xr:uid="{00000000-0005-0000-0000-000036130000}"/>
    <cellStyle name="_PERSONAL_Tong hop KHCB 2001_Book1_2 3_TOM TAT" xfId="20199" xr:uid="{00000000-0005-0000-0000-000037130000}"/>
    <cellStyle name="_PERSONAL_Tong hop KHCB 2001_Book1_2_TOM TAT" xfId="20197" xr:uid="{00000000-0005-0000-0000-000038130000}"/>
    <cellStyle name="_PERSONAL_Tong hop KHCB 2001_Book1_3" xfId="795" xr:uid="{00000000-0005-0000-0000-000039130000}"/>
    <cellStyle name="_PERSONAL_Tong hop KHCB 2001_Book1_3 2" xfId="4066" xr:uid="{00000000-0005-0000-0000-00003A130000}"/>
    <cellStyle name="_PERSONAL_Tong hop KHCB 2001_Book1_3 2_TOM TAT" xfId="20201" xr:uid="{00000000-0005-0000-0000-00003B130000}"/>
    <cellStyle name="_PERSONAL_Tong hop KHCB 2001_Book1_3 3" xfId="17892" xr:uid="{00000000-0005-0000-0000-00003C130000}"/>
    <cellStyle name="_PERSONAL_Tong hop KHCB 2001_Book1_3 3_TOM TAT" xfId="20202" xr:uid="{00000000-0005-0000-0000-00003D130000}"/>
    <cellStyle name="_PERSONAL_Tong hop KHCB 2001_Book1_3_TOM TAT" xfId="20200" xr:uid="{00000000-0005-0000-0000-00003E130000}"/>
    <cellStyle name="_PERSONAL_Tong hop KHCB 2001_Book1_TOM TAT" xfId="20191" xr:uid="{00000000-0005-0000-0000-00003F130000}"/>
    <cellStyle name="_PERSONAL_Tong hop KHCB 2001_TOM TAT" xfId="20188" xr:uid="{00000000-0005-0000-0000-000040130000}"/>
    <cellStyle name="_PERSONAL_Tong hop KHCB 2001_VATTUDIEN" xfId="796" xr:uid="{00000000-0005-0000-0000-000041130000}"/>
    <cellStyle name="_PERSONAL_Tong hop KHCB 2001_VATTUDIEN 2" xfId="4067" xr:uid="{00000000-0005-0000-0000-000042130000}"/>
    <cellStyle name="_PERSONAL_Tong hop KHCB 2001_VATTUDIEN 2_TOM TAT" xfId="20204" xr:uid="{00000000-0005-0000-0000-000043130000}"/>
    <cellStyle name="_PERSONAL_Tong hop KHCB 2001_VATTUDIEN 3" xfId="17893" xr:uid="{00000000-0005-0000-0000-000044130000}"/>
    <cellStyle name="_PERSONAL_Tong hop KHCB 2001_VATTUDIEN 3_TOM TAT" xfId="20205" xr:uid="{00000000-0005-0000-0000-000045130000}"/>
    <cellStyle name="_PERSONAL_Tong hop KHCB 2001_VATTUDIEN_TOM TAT" xfId="20203" xr:uid="{00000000-0005-0000-0000-000046130000}"/>
    <cellStyle name="_PERSONAL_VATTUDIEN" xfId="797" xr:uid="{00000000-0005-0000-0000-000047130000}"/>
    <cellStyle name="_PERSONAL_VATTUDIEN 2" xfId="4068" xr:uid="{00000000-0005-0000-0000-000048130000}"/>
    <cellStyle name="_PERSONAL_VATTUDIEN 2_TOM TAT" xfId="20207" xr:uid="{00000000-0005-0000-0000-000049130000}"/>
    <cellStyle name="_PERSONAL_VATTUDIEN 3" xfId="17894" xr:uid="{00000000-0005-0000-0000-00004A130000}"/>
    <cellStyle name="_PERSONAL_VATTUDIEN 3_TOM TAT" xfId="20208" xr:uid="{00000000-0005-0000-0000-00004B130000}"/>
    <cellStyle name="_PERSONAL_VATTUDIEN_TOM TAT" xfId="20206" xr:uid="{00000000-0005-0000-0000-00004C130000}"/>
    <cellStyle name="_Qt-HT3PQ1(CauKho)" xfId="798" xr:uid="{00000000-0005-0000-0000-00004D130000}"/>
    <cellStyle name="_Qt-HT3PQ1(CauKho) 2" xfId="4069" xr:uid="{00000000-0005-0000-0000-00004E130000}"/>
    <cellStyle name="_Qt-HT3PQ1(CauKho) 2_TOM TAT" xfId="20210" xr:uid="{00000000-0005-0000-0000-00004F130000}"/>
    <cellStyle name="_Qt-HT3PQ1(CauKho) 3" xfId="17895" xr:uid="{00000000-0005-0000-0000-000050130000}"/>
    <cellStyle name="_Qt-HT3PQ1(CauKho) 3_TOM TAT" xfId="20211" xr:uid="{00000000-0005-0000-0000-000051130000}"/>
    <cellStyle name="_Qt-HT3PQ1(CauKho)_Book1" xfId="799" xr:uid="{00000000-0005-0000-0000-000052130000}"/>
    <cellStyle name="_Qt-HT3PQ1(CauKho)_Book1 2" xfId="4070" xr:uid="{00000000-0005-0000-0000-000053130000}"/>
    <cellStyle name="_Qt-HT3PQ1(CauKho)_Book1 2_TOM TAT" xfId="20213" xr:uid="{00000000-0005-0000-0000-000054130000}"/>
    <cellStyle name="_Qt-HT3PQ1(CauKho)_Book1 3" xfId="17896" xr:uid="{00000000-0005-0000-0000-000055130000}"/>
    <cellStyle name="_Qt-HT3PQ1(CauKho)_Book1 3_TOM TAT" xfId="20214" xr:uid="{00000000-0005-0000-0000-000056130000}"/>
    <cellStyle name="_Qt-HT3PQ1(CauKho)_Book1_1" xfId="800" xr:uid="{00000000-0005-0000-0000-000057130000}"/>
    <cellStyle name="_Qt-HT3PQ1(CauKho)_Book1_1 2" xfId="4071" xr:uid="{00000000-0005-0000-0000-000058130000}"/>
    <cellStyle name="_Qt-HT3PQ1(CauKho)_Book1_1 2_TOM TAT" xfId="20216" xr:uid="{00000000-0005-0000-0000-000059130000}"/>
    <cellStyle name="_Qt-HT3PQ1(CauKho)_Book1_1 3" xfId="17897" xr:uid="{00000000-0005-0000-0000-00005A130000}"/>
    <cellStyle name="_Qt-HT3PQ1(CauKho)_Book1_1 3_TOM TAT" xfId="20217" xr:uid="{00000000-0005-0000-0000-00005B130000}"/>
    <cellStyle name="_Qt-HT3PQ1(CauKho)_Book1_1_TOM TAT" xfId="20215" xr:uid="{00000000-0005-0000-0000-00005C130000}"/>
    <cellStyle name="_Qt-HT3PQ1(CauKho)_Book1_2" xfId="801" xr:uid="{00000000-0005-0000-0000-00005D130000}"/>
    <cellStyle name="_Qt-HT3PQ1(CauKho)_Book1_2 2" xfId="4072" xr:uid="{00000000-0005-0000-0000-00005E130000}"/>
    <cellStyle name="_Qt-HT3PQ1(CauKho)_Book1_2 2_TOM TAT" xfId="20219" xr:uid="{00000000-0005-0000-0000-00005F130000}"/>
    <cellStyle name="_Qt-HT3PQ1(CauKho)_Book1_2 3" xfId="17898" xr:uid="{00000000-0005-0000-0000-000060130000}"/>
    <cellStyle name="_Qt-HT3PQ1(CauKho)_Book1_2 3_TOM TAT" xfId="20220" xr:uid="{00000000-0005-0000-0000-000061130000}"/>
    <cellStyle name="_Qt-HT3PQ1(CauKho)_Book1_2_TOM TAT" xfId="20218" xr:uid="{00000000-0005-0000-0000-000062130000}"/>
    <cellStyle name="_Qt-HT3PQ1(CauKho)_Book1_3" xfId="802" xr:uid="{00000000-0005-0000-0000-000063130000}"/>
    <cellStyle name="_Qt-HT3PQ1(CauKho)_Book1_3 2" xfId="4073" xr:uid="{00000000-0005-0000-0000-000064130000}"/>
    <cellStyle name="_Qt-HT3PQ1(CauKho)_Book1_3 2_TOM TAT" xfId="20222" xr:uid="{00000000-0005-0000-0000-000065130000}"/>
    <cellStyle name="_Qt-HT3PQ1(CauKho)_Book1_3 3" xfId="17899" xr:uid="{00000000-0005-0000-0000-000066130000}"/>
    <cellStyle name="_Qt-HT3PQ1(CauKho)_Book1_3 3_TOM TAT" xfId="20223" xr:uid="{00000000-0005-0000-0000-000067130000}"/>
    <cellStyle name="_Qt-HT3PQ1(CauKho)_Book1_3_TOM TAT" xfId="20221" xr:uid="{00000000-0005-0000-0000-000068130000}"/>
    <cellStyle name="_Qt-HT3PQ1(CauKho)_Book1_TOM TAT" xfId="20212" xr:uid="{00000000-0005-0000-0000-000069130000}"/>
    <cellStyle name="_Qt-HT3PQ1(CauKho)_TOM TAT" xfId="20209" xr:uid="{00000000-0005-0000-0000-00006A130000}"/>
    <cellStyle name="_Qt-HT3PQ1(CauKho)_VATTUDIEN" xfId="803" xr:uid="{00000000-0005-0000-0000-00006B130000}"/>
    <cellStyle name="_Qt-HT3PQ1(CauKho)_VATTUDIEN 2" xfId="4074" xr:uid="{00000000-0005-0000-0000-00006C130000}"/>
    <cellStyle name="_Qt-HT3PQ1(CauKho)_VATTUDIEN 2_TOM TAT" xfId="20225" xr:uid="{00000000-0005-0000-0000-00006D130000}"/>
    <cellStyle name="_Qt-HT3PQ1(CauKho)_VATTUDIEN 3" xfId="17900" xr:uid="{00000000-0005-0000-0000-00006E130000}"/>
    <cellStyle name="_Qt-HT3PQ1(CauKho)_VATTUDIEN 3_TOM TAT" xfId="20226" xr:uid="{00000000-0005-0000-0000-00006F130000}"/>
    <cellStyle name="_Qt-HT3PQ1(CauKho)_VATTUDIEN_TOM TAT" xfId="20224" xr:uid="{00000000-0005-0000-0000-000070130000}"/>
    <cellStyle name="_TG-TH" xfId="804" xr:uid="{00000000-0005-0000-0000-000071130000}"/>
    <cellStyle name="_TG-TH 2" xfId="4075" xr:uid="{00000000-0005-0000-0000-000072130000}"/>
    <cellStyle name="_TG-TH 2_TOM TAT" xfId="20228" xr:uid="{00000000-0005-0000-0000-000073130000}"/>
    <cellStyle name="_TG-TH 3" xfId="17901" xr:uid="{00000000-0005-0000-0000-000074130000}"/>
    <cellStyle name="_TG-TH 3_TOM TAT" xfId="20229" xr:uid="{00000000-0005-0000-0000-000075130000}"/>
    <cellStyle name="_TG-TH_1" xfId="805" xr:uid="{00000000-0005-0000-0000-000076130000}"/>
    <cellStyle name="_TG-TH_1 2" xfId="4076" xr:uid="{00000000-0005-0000-0000-000077130000}"/>
    <cellStyle name="_TG-TH_1 2_TOM TAT" xfId="20231" xr:uid="{00000000-0005-0000-0000-000078130000}"/>
    <cellStyle name="_TG-TH_1 3" xfId="17902" xr:uid="{00000000-0005-0000-0000-000079130000}"/>
    <cellStyle name="_TG-TH_1 3_TOM TAT" xfId="20232" xr:uid="{00000000-0005-0000-0000-00007A130000}"/>
    <cellStyle name="_TG-TH_1_BAO CAO KLCT PT2000" xfId="806" xr:uid="{00000000-0005-0000-0000-00007B130000}"/>
    <cellStyle name="_TG-TH_1_BAO CAO KLCT PT2000 2" xfId="4077" xr:uid="{00000000-0005-0000-0000-00007C130000}"/>
    <cellStyle name="_TG-TH_1_BAO CAO KLCT PT2000 2_TOM TAT" xfId="20234" xr:uid="{00000000-0005-0000-0000-00007D130000}"/>
    <cellStyle name="_TG-TH_1_BAO CAO KLCT PT2000 3" xfId="17903" xr:uid="{00000000-0005-0000-0000-00007E130000}"/>
    <cellStyle name="_TG-TH_1_BAO CAO KLCT PT2000 3_TOM TAT" xfId="20235" xr:uid="{00000000-0005-0000-0000-00007F130000}"/>
    <cellStyle name="_TG-TH_1_BAO CAO KLCT PT2000_Book1" xfId="807" xr:uid="{00000000-0005-0000-0000-000080130000}"/>
    <cellStyle name="_TG-TH_1_BAO CAO KLCT PT2000_Book1 2" xfId="4078" xr:uid="{00000000-0005-0000-0000-000081130000}"/>
    <cellStyle name="_TG-TH_1_BAO CAO KLCT PT2000_Book1 2_TOM TAT" xfId="20237" xr:uid="{00000000-0005-0000-0000-000082130000}"/>
    <cellStyle name="_TG-TH_1_BAO CAO KLCT PT2000_Book1 3" xfId="17904" xr:uid="{00000000-0005-0000-0000-000083130000}"/>
    <cellStyle name="_TG-TH_1_BAO CAO KLCT PT2000_Book1 3_TOM TAT" xfId="20238" xr:uid="{00000000-0005-0000-0000-000084130000}"/>
    <cellStyle name="_TG-TH_1_BAO CAO KLCT PT2000_Book1_1" xfId="808" xr:uid="{00000000-0005-0000-0000-000085130000}"/>
    <cellStyle name="_TG-TH_1_BAO CAO KLCT PT2000_Book1_1 2" xfId="4079" xr:uid="{00000000-0005-0000-0000-000086130000}"/>
    <cellStyle name="_TG-TH_1_BAO CAO KLCT PT2000_Book1_1 2_TOM TAT" xfId="20240" xr:uid="{00000000-0005-0000-0000-000087130000}"/>
    <cellStyle name="_TG-TH_1_BAO CAO KLCT PT2000_Book1_1 3" xfId="17905" xr:uid="{00000000-0005-0000-0000-000088130000}"/>
    <cellStyle name="_TG-TH_1_BAO CAO KLCT PT2000_Book1_1 3_TOM TAT" xfId="20241" xr:uid="{00000000-0005-0000-0000-000089130000}"/>
    <cellStyle name="_TG-TH_1_BAO CAO KLCT PT2000_Book1_1_TOM TAT" xfId="20239" xr:uid="{00000000-0005-0000-0000-00008A130000}"/>
    <cellStyle name="_TG-TH_1_BAO CAO KLCT PT2000_Book1_2" xfId="809" xr:uid="{00000000-0005-0000-0000-00008B130000}"/>
    <cellStyle name="_TG-TH_1_BAO CAO KLCT PT2000_Book1_2 2" xfId="4080" xr:uid="{00000000-0005-0000-0000-00008C130000}"/>
    <cellStyle name="_TG-TH_1_BAO CAO KLCT PT2000_Book1_2 2_TOM TAT" xfId="20243" xr:uid="{00000000-0005-0000-0000-00008D130000}"/>
    <cellStyle name="_TG-TH_1_BAO CAO KLCT PT2000_Book1_2 3" xfId="17906" xr:uid="{00000000-0005-0000-0000-00008E130000}"/>
    <cellStyle name="_TG-TH_1_BAO CAO KLCT PT2000_Book1_2 3_TOM TAT" xfId="20244" xr:uid="{00000000-0005-0000-0000-00008F130000}"/>
    <cellStyle name="_TG-TH_1_BAO CAO KLCT PT2000_Book1_2_TOM TAT" xfId="20242" xr:uid="{00000000-0005-0000-0000-000090130000}"/>
    <cellStyle name="_TG-TH_1_BAO CAO KLCT PT2000_Book1_3" xfId="810" xr:uid="{00000000-0005-0000-0000-000091130000}"/>
    <cellStyle name="_TG-TH_1_BAO CAO KLCT PT2000_Book1_3 2" xfId="4081" xr:uid="{00000000-0005-0000-0000-000092130000}"/>
    <cellStyle name="_TG-TH_1_BAO CAO KLCT PT2000_Book1_3 2_TOM TAT" xfId="20246" xr:uid="{00000000-0005-0000-0000-000093130000}"/>
    <cellStyle name="_TG-TH_1_BAO CAO KLCT PT2000_Book1_3 3" xfId="17907" xr:uid="{00000000-0005-0000-0000-000094130000}"/>
    <cellStyle name="_TG-TH_1_BAO CAO KLCT PT2000_Book1_3 3_TOM TAT" xfId="20247" xr:uid="{00000000-0005-0000-0000-000095130000}"/>
    <cellStyle name="_TG-TH_1_BAO CAO KLCT PT2000_Book1_3_TOM TAT" xfId="20245" xr:uid="{00000000-0005-0000-0000-000096130000}"/>
    <cellStyle name="_TG-TH_1_BAO CAO KLCT PT2000_Book1_TOM TAT" xfId="20236" xr:uid="{00000000-0005-0000-0000-000097130000}"/>
    <cellStyle name="_TG-TH_1_BAO CAO KLCT PT2000_TOM TAT" xfId="20233" xr:uid="{00000000-0005-0000-0000-000098130000}"/>
    <cellStyle name="_TG-TH_1_BAO CAO KLCT PT2000_VATTUDIEN" xfId="811" xr:uid="{00000000-0005-0000-0000-000099130000}"/>
    <cellStyle name="_TG-TH_1_BAO CAO KLCT PT2000_VATTUDIEN 2" xfId="4082" xr:uid="{00000000-0005-0000-0000-00009A130000}"/>
    <cellStyle name="_TG-TH_1_BAO CAO KLCT PT2000_VATTUDIEN 2_TOM TAT" xfId="20249" xr:uid="{00000000-0005-0000-0000-00009B130000}"/>
    <cellStyle name="_TG-TH_1_BAO CAO KLCT PT2000_VATTUDIEN 3" xfId="17908" xr:uid="{00000000-0005-0000-0000-00009C130000}"/>
    <cellStyle name="_TG-TH_1_BAO CAO KLCT PT2000_VATTUDIEN 3_TOM TAT" xfId="20250" xr:uid="{00000000-0005-0000-0000-00009D130000}"/>
    <cellStyle name="_TG-TH_1_BAO CAO KLCT PT2000_VATTUDIEN_TOM TAT" xfId="20248" xr:uid="{00000000-0005-0000-0000-00009E130000}"/>
    <cellStyle name="_TG-TH_1_BAO CAO PT2000" xfId="812" xr:uid="{00000000-0005-0000-0000-00009F130000}"/>
    <cellStyle name="_TG-TH_1_BAO CAO PT2000 2" xfId="4083" xr:uid="{00000000-0005-0000-0000-0000A0130000}"/>
    <cellStyle name="_TG-TH_1_BAO CAO PT2000 2_TOM TAT" xfId="20252" xr:uid="{00000000-0005-0000-0000-0000A1130000}"/>
    <cellStyle name="_TG-TH_1_BAO CAO PT2000 3" xfId="17909" xr:uid="{00000000-0005-0000-0000-0000A2130000}"/>
    <cellStyle name="_TG-TH_1_BAO CAO PT2000 3_TOM TAT" xfId="20253" xr:uid="{00000000-0005-0000-0000-0000A3130000}"/>
    <cellStyle name="_TG-TH_1_BAO CAO PT2000_Book1" xfId="813" xr:uid="{00000000-0005-0000-0000-0000A4130000}"/>
    <cellStyle name="_TG-TH_1_BAO CAO PT2000_Book1 2" xfId="4084" xr:uid="{00000000-0005-0000-0000-0000A5130000}"/>
    <cellStyle name="_TG-TH_1_BAO CAO PT2000_Book1 2_TOM TAT" xfId="20255" xr:uid="{00000000-0005-0000-0000-0000A6130000}"/>
    <cellStyle name="_TG-TH_1_BAO CAO PT2000_Book1 3" xfId="17910" xr:uid="{00000000-0005-0000-0000-0000A7130000}"/>
    <cellStyle name="_TG-TH_1_BAO CAO PT2000_Book1 3_TOM TAT" xfId="20256" xr:uid="{00000000-0005-0000-0000-0000A8130000}"/>
    <cellStyle name="_TG-TH_1_BAO CAO PT2000_Book1_1" xfId="814" xr:uid="{00000000-0005-0000-0000-0000A9130000}"/>
    <cellStyle name="_TG-TH_1_BAO CAO PT2000_Book1_1 2" xfId="4085" xr:uid="{00000000-0005-0000-0000-0000AA130000}"/>
    <cellStyle name="_TG-TH_1_BAO CAO PT2000_Book1_1 2_TOM TAT" xfId="20258" xr:uid="{00000000-0005-0000-0000-0000AB130000}"/>
    <cellStyle name="_TG-TH_1_BAO CAO PT2000_Book1_1 3" xfId="17911" xr:uid="{00000000-0005-0000-0000-0000AC130000}"/>
    <cellStyle name="_TG-TH_1_BAO CAO PT2000_Book1_1 3_TOM TAT" xfId="20259" xr:uid="{00000000-0005-0000-0000-0000AD130000}"/>
    <cellStyle name="_TG-TH_1_BAO CAO PT2000_Book1_1_TOM TAT" xfId="20257" xr:uid="{00000000-0005-0000-0000-0000AE130000}"/>
    <cellStyle name="_TG-TH_1_BAO CAO PT2000_Book1_2" xfId="815" xr:uid="{00000000-0005-0000-0000-0000AF130000}"/>
    <cellStyle name="_TG-TH_1_BAO CAO PT2000_Book1_2 2" xfId="4086" xr:uid="{00000000-0005-0000-0000-0000B0130000}"/>
    <cellStyle name="_TG-TH_1_BAO CAO PT2000_Book1_2 2_TOM TAT" xfId="20261" xr:uid="{00000000-0005-0000-0000-0000B1130000}"/>
    <cellStyle name="_TG-TH_1_BAO CAO PT2000_Book1_2 3" xfId="17912" xr:uid="{00000000-0005-0000-0000-0000B2130000}"/>
    <cellStyle name="_TG-TH_1_BAO CAO PT2000_Book1_2 3_TOM TAT" xfId="20262" xr:uid="{00000000-0005-0000-0000-0000B3130000}"/>
    <cellStyle name="_TG-TH_1_BAO CAO PT2000_Book1_2_TOM TAT" xfId="20260" xr:uid="{00000000-0005-0000-0000-0000B4130000}"/>
    <cellStyle name="_TG-TH_1_BAO CAO PT2000_Book1_3" xfId="816" xr:uid="{00000000-0005-0000-0000-0000B5130000}"/>
    <cellStyle name="_TG-TH_1_BAO CAO PT2000_Book1_3 2" xfId="4087" xr:uid="{00000000-0005-0000-0000-0000B6130000}"/>
    <cellStyle name="_TG-TH_1_BAO CAO PT2000_Book1_3 2_TOM TAT" xfId="20264" xr:uid="{00000000-0005-0000-0000-0000B7130000}"/>
    <cellStyle name="_TG-TH_1_BAO CAO PT2000_Book1_3 3" xfId="17913" xr:uid="{00000000-0005-0000-0000-0000B8130000}"/>
    <cellStyle name="_TG-TH_1_BAO CAO PT2000_Book1_3 3_TOM TAT" xfId="20265" xr:uid="{00000000-0005-0000-0000-0000B9130000}"/>
    <cellStyle name="_TG-TH_1_BAO CAO PT2000_Book1_3_TOM TAT" xfId="20263" xr:uid="{00000000-0005-0000-0000-0000BA130000}"/>
    <cellStyle name="_TG-TH_1_BAO CAO PT2000_Book1_4" xfId="817" xr:uid="{00000000-0005-0000-0000-0000BB130000}"/>
    <cellStyle name="_TG-TH_1_BAO CAO PT2000_Book1_4 2" xfId="4088" xr:uid="{00000000-0005-0000-0000-0000BC130000}"/>
    <cellStyle name="_TG-TH_1_BAO CAO PT2000_Book1_4 2_TOM TAT" xfId="20267" xr:uid="{00000000-0005-0000-0000-0000BD130000}"/>
    <cellStyle name="_TG-TH_1_BAO CAO PT2000_Book1_4 3" xfId="17914" xr:uid="{00000000-0005-0000-0000-0000BE130000}"/>
    <cellStyle name="_TG-TH_1_BAO CAO PT2000_Book1_4 3_TOM TAT" xfId="20268" xr:uid="{00000000-0005-0000-0000-0000BF130000}"/>
    <cellStyle name="_TG-TH_1_BAO CAO PT2000_Book1_4_TOM TAT" xfId="20266" xr:uid="{00000000-0005-0000-0000-0000C0130000}"/>
    <cellStyle name="_TG-TH_1_BAO CAO PT2000_Book1_Book1" xfId="818" xr:uid="{00000000-0005-0000-0000-0000C1130000}"/>
    <cellStyle name="_TG-TH_1_BAO CAO PT2000_Book1_Book1 2" xfId="4089" xr:uid="{00000000-0005-0000-0000-0000C2130000}"/>
    <cellStyle name="_TG-TH_1_BAO CAO PT2000_Book1_Book1 2_TOM TAT" xfId="20270" xr:uid="{00000000-0005-0000-0000-0000C3130000}"/>
    <cellStyle name="_TG-TH_1_BAO CAO PT2000_Book1_Book1 3" xfId="17915" xr:uid="{00000000-0005-0000-0000-0000C4130000}"/>
    <cellStyle name="_TG-TH_1_BAO CAO PT2000_Book1_Book1 3_TOM TAT" xfId="20271" xr:uid="{00000000-0005-0000-0000-0000C5130000}"/>
    <cellStyle name="_TG-TH_1_BAO CAO PT2000_Book1_Book1_1" xfId="819" xr:uid="{00000000-0005-0000-0000-0000C6130000}"/>
    <cellStyle name="_TG-TH_1_BAO CAO PT2000_Book1_Book1_1 2" xfId="4090" xr:uid="{00000000-0005-0000-0000-0000C7130000}"/>
    <cellStyle name="_TG-TH_1_BAO CAO PT2000_Book1_Book1_1 2_TOM TAT" xfId="20273" xr:uid="{00000000-0005-0000-0000-0000C8130000}"/>
    <cellStyle name="_TG-TH_1_BAO CAO PT2000_Book1_Book1_1 3" xfId="17916" xr:uid="{00000000-0005-0000-0000-0000C9130000}"/>
    <cellStyle name="_TG-TH_1_BAO CAO PT2000_Book1_Book1_1 3_TOM TAT" xfId="20274" xr:uid="{00000000-0005-0000-0000-0000CA130000}"/>
    <cellStyle name="_TG-TH_1_BAO CAO PT2000_Book1_Book1_1_TOM TAT" xfId="20272" xr:uid="{00000000-0005-0000-0000-0000CB130000}"/>
    <cellStyle name="_TG-TH_1_BAO CAO PT2000_Book1_Book1_2" xfId="820" xr:uid="{00000000-0005-0000-0000-0000CC130000}"/>
    <cellStyle name="_TG-TH_1_BAO CAO PT2000_Book1_Book1_2 2" xfId="4091" xr:uid="{00000000-0005-0000-0000-0000CD130000}"/>
    <cellStyle name="_TG-TH_1_BAO CAO PT2000_Book1_Book1_2 2_TOM TAT" xfId="20276" xr:uid="{00000000-0005-0000-0000-0000CE130000}"/>
    <cellStyle name="_TG-TH_1_BAO CAO PT2000_Book1_Book1_2 3" xfId="17917" xr:uid="{00000000-0005-0000-0000-0000CF130000}"/>
    <cellStyle name="_TG-TH_1_BAO CAO PT2000_Book1_Book1_2 3_TOM TAT" xfId="20277" xr:uid="{00000000-0005-0000-0000-0000D0130000}"/>
    <cellStyle name="_TG-TH_1_BAO CAO PT2000_Book1_Book1_2_TOM TAT" xfId="20275" xr:uid="{00000000-0005-0000-0000-0000D1130000}"/>
    <cellStyle name="_TG-TH_1_BAO CAO PT2000_Book1_Book1_3" xfId="821" xr:uid="{00000000-0005-0000-0000-0000D2130000}"/>
    <cellStyle name="_TG-TH_1_BAO CAO PT2000_Book1_Book1_3 2" xfId="4092" xr:uid="{00000000-0005-0000-0000-0000D3130000}"/>
    <cellStyle name="_TG-TH_1_BAO CAO PT2000_Book1_Book1_3 2_TOM TAT" xfId="20279" xr:uid="{00000000-0005-0000-0000-0000D4130000}"/>
    <cellStyle name="_TG-TH_1_BAO CAO PT2000_Book1_Book1_3 3" xfId="17918" xr:uid="{00000000-0005-0000-0000-0000D5130000}"/>
    <cellStyle name="_TG-TH_1_BAO CAO PT2000_Book1_Book1_3 3_TOM TAT" xfId="20280" xr:uid="{00000000-0005-0000-0000-0000D6130000}"/>
    <cellStyle name="_TG-TH_1_BAO CAO PT2000_Book1_Book1_3_TOM TAT" xfId="20278" xr:uid="{00000000-0005-0000-0000-0000D7130000}"/>
    <cellStyle name="_TG-TH_1_BAO CAO PT2000_Book1_Book1_TOM TAT" xfId="20269" xr:uid="{00000000-0005-0000-0000-0000D8130000}"/>
    <cellStyle name="_TG-TH_1_BAO CAO PT2000_Book1_TOM TAT" xfId="20254" xr:uid="{00000000-0005-0000-0000-0000D9130000}"/>
    <cellStyle name="_TG-TH_1_BAO CAO PT2000_Book1_VATTUDIEN" xfId="822" xr:uid="{00000000-0005-0000-0000-0000DA130000}"/>
    <cellStyle name="_TG-TH_1_BAO CAO PT2000_Book1_VATTUDIEN 2" xfId="4093" xr:uid="{00000000-0005-0000-0000-0000DB130000}"/>
    <cellStyle name="_TG-TH_1_BAO CAO PT2000_Book1_VATTUDIEN 2_TOM TAT" xfId="20282" xr:uid="{00000000-0005-0000-0000-0000DC130000}"/>
    <cellStyle name="_TG-TH_1_BAO CAO PT2000_Book1_VATTUDIEN 3" xfId="17919" xr:uid="{00000000-0005-0000-0000-0000DD130000}"/>
    <cellStyle name="_TG-TH_1_BAO CAO PT2000_Book1_VATTUDIEN 3_TOM TAT" xfId="20283" xr:uid="{00000000-0005-0000-0000-0000DE130000}"/>
    <cellStyle name="_TG-TH_1_BAO CAO PT2000_Book1_VATTUDIEN_TOM TAT" xfId="20281" xr:uid="{00000000-0005-0000-0000-0000DF130000}"/>
    <cellStyle name="_TG-TH_1_BAO CAO PT2000_TOM TAT" xfId="20251" xr:uid="{00000000-0005-0000-0000-0000E0130000}"/>
    <cellStyle name="_TG-TH_1_BAO CAO PT2000_VATTUDIEN" xfId="823" xr:uid="{00000000-0005-0000-0000-0000E1130000}"/>
    <cellStyle name="_TG-TH_1_BAO CAO PT2000_VATTUDIEN 2" xfId="4094" xr:uid="{00000000-0005-0000-0000-0000E2130000}"/>
    <cellStyle name="_TG-TH_1_BAO CAO PT2000_VATTUDIEN 2_TOM TAT" xfId="20285" xr:uid="{00000000-0005-0000-0000-0000E3130000}"/>
    <cellStyle name="_TG-TH_1_BAO CAO PT2000_VATTUDIEN 3" xfId="17920" xr:uid="{00000000-0005-0000-0000-0000E4130000}"/>
    <cellStyle name="_TG-TH_1_BAO CAO PT2000_VATTUDIEN 3_TOM TAT" xfId="20286" xr:uid="{00000000-0005-0000-0000-0000E5130000}"/>
    <cellStyle name="_TG-TH_1_BAO CAO PT2000_VATTUDIEN_TOM TAT" xfId="20284" xr:uid="{00000000-0005-0000-0000-0000E6130000}"/>
    <cellStyle name="_TG-TH_1_Bao cao XDCB 2001 - T11 KH dieu chinh 20-11-THAI" xfId="824" xr:uid="{00000000-0005-0000-0000-0000E7130000}"/>
    <cellStyle name="_TG-TH_1_Bao cao XDCB 2001 - T11 KH dieu chinh 20-11-THAI 2" xfId="4095" xr:uid="{00000000-0005-0000-0000-0000E8130000}"/>
    <cellStyle name="_TG-TH_1_Bao cao XDCB 2001 - T11 KH dieu chinh 20-11-THAI 2_TOM TAT" xfId="20288" xr:uid="{00000000-0005-0000-0000-0000E9130000}"/>
    <cellStyle name="_TG-TH_1_Bao cao XDCB 2001 - T11 KH dieu chinh 20-11-THAI 3" xfId="17921" xr:uid="{00000000-0005-0000-0000-0000EA130000}"/>
    <cellStyle name="_TG-TH_1_Bao cao XDCB 2001 - T11 KH dieu chinh 20-11-THAI 3_TOM TAT" xfId="20289" xr:uid="{00000000-0005-0000-0000-0000EB130000}"/>
    <cellStyle name="_TG-TH_1_Bao cao XDCB 2001 - T11 KH dieu chinh 20-11-THAI_Book1" xfId="825" xr:uid="{00000000-0005-0000-0000-0000EC130000}"/>
    <cellStyle name="_TG-TH_1_Bao cao XDCB 2001 - T11 KH dieu chinh 20-11-THAI_Book1 2" xfId="4096" xr:uid="{00000000-0005-0000-0000-0000ED130000}"/>
    <cellStyle name="_TG-TH_1_Bao cao XDCB 2001 - T11 KH dieu chinh 20-11-THAI_Book1 2_TOM TAT" xfId="20291" xr:uid="{00000000-0005-0000-0000-0000EE130000}"/>
    <cellStyle name="_TG-TH_1_Bao cao XDCB 2001 - T11 KH dieu chinh 20-11-THAI_Book1 3" xfId="17922" xr:uid="{00000000-0005-0000-0000-0000EF130000}"/>
    <cellStyle name="_TG-TH_1_Bao cao XDCB 2001 - T11 KH dieu chinh 20-11-THAI_Book1 3_TOM TAT" xfId="20292" xr:uid="{00000000-0005-0000-0000-0000F0130000}"/>
    <cellStyle name="_TG-TH_1_Bao cao XDCB 2001 - T11 KH dieu chinh 20-11-THAI_Book1_1" xfId="826" xr:uid="{00000000-0005-0000-0000-0000F1130000}"/>
    <cellStyle name="_TG-TH_1_Bao cao XDCB 2001 - T11 KH dieu chinh 20-11-THAI_Book1_1 2" xfId="4097" xr:uid="{00000000-0005-0000-0000-0000F2130000}"/>
    <cellStyle name="_TG-TH_1_Bao cao XDCB 2001 - T11 KH dieu chinh 20-11-THAI_Book1_1 2_TOM TAT" xfId="20294" xr:uid="{00000000-0005-0000-0000-0000F3130000}"/>
    <cellStyle name="_TG-TH_1_Bao cao XDCB 2001 - T11 KH dieu chinh 20-11-THAI_Book1_1 3" xfId="17923" xr:uid="{00000000-0005-0000-0000-0000F4130000}"/>
    <cellStyle name="_TG-TH_1_Bao cao XDCB 2001 - T11 KH dieu chinh 20-11-THAI_Book1_1 3_TOM TAT" xfId="20295" xr:uid="{00000000-0005-0000-0000-0000F5130000}"/>
    <cellStyle name="_TG-TH_1_Bao cao XDCB 2001 - T11 KH dieu chinh 20-11-THAI_Book1_1_TOM TAT" xfId="20293" xr:uid="{00000000-0005-0000-0000-0000F6130000}"/>
    <cellStyle name="_TG-TH_1_Bao cao XDCB 2001 - T11 KH dieu chinh 20-11-THAI_Book1_2" xfId="827" xr:uid="{00000000-0005-0000-0000-0000F7130000}"/>
    <cellStyle name="_TG-TH_1_Bao cao XDCB 2001 - T11 KH dieu chinh 20-11-THAI_Book1_2 2" xfId="4098" xr:uid="{00000000-0005-0000-0000-0000F8130000}"/>
    <cellStyle name="_TG-TH_1_Bao cao XDCB 2001 - T11 KH dieu chinh 20-11-THAI_Book1_2 2_TOM TAT" xfId="20297" xr:uid="{00000000-0005-0000-0000-0000F9130000}"/>
    <cellStyle name="_TG-TH_1_Bao cao XDCB 2001 - T11 KH dieu chinh 20-11-THAI_Book1_2 3" xfId="17924" xr:uid="{00000000-0005-0000-0000-0000FA130000}"/>
    <cellStyle name="_TG-TH_1_Bao cao XDCB 2001 - T11 KH dieu chinh 20-11-THAI_Book1_2 3_TOM TAT" xfId="20298" xr:uid="{00000000-0005-0000-0000-0000FB130000}"/>
    <cellStyle name="_TG-TH_1_Bao cao XDCB 2001 - T11 KH dieu chinh 20-11-THAI_Book1_2_TOM TAT" xfId="20296" xr:uid="{00000000-0005-0000-0000-0000FC130000}"/>
    <cellStyle name="_TG-TH_1_Bao cao XDCB 2001 - T11 KH dieu chinh 20-11-THAI_Book1_3" xfId="828" xr:uid="{00000000-0005-0000-0000-0000FD130000}"/>
    <cellStyle name="_TG-TH_1_Bao cao XDCB 2001 - T11 KH dieu chinh 20-11-THAI_Book1_3 2" xfId="4099" xr:uid="{00000000-0005-0000-0000-0000FE130000}"/>
    <cellStyle name="_TG-TH_1_Bao cao XDCB 2001 - T11 KH dieu chinh 20-11-THAI_Book1_3 2_TOM TAT" xfId="20300" xr:uid="{00000000-0005-0000-0000-0000FF130000}"/>
    <cellStyle name="_TG-TH_1_Bao cao XDCB 2001 - T11 KH dieu chinh 20-11-THAI_Book1_3 3" xfId="17925" xr:uid="{00000000-0005-0000-0000-000000140000}"/>
    <cellStyle name="_TG-TH_1_Bao cao XDCB 2001 - T11 KH dieu chinh 20-11-THAI_Book1_3 3_TOM TAT" xfId="20301" xr:uid="{00000000-0005-0000-0000-000001140000}"/>
    <cellStyle name="_TG-TH_1_Bao cao XDCB 2001 - T11 KH dieu chinh 20-11-THAI_Book1_3_TOM TAT" xfId="20299" xr:uid="{00000000-0005-0000-0000-000002140000}"/>
    <cellStyle name="_TG-TH_1_Bao cao XDCB 2001 - T11 KH dieu chinh 20-11-THAI_Book1_TOM TAT" xfId="20290" xr:uid="{00000000-0005-0000-0000-000003140000}"/>
    <cellStyle name="_TG-TH_1_Bao cao XDCB 2001 - T11 KH dieu chinh 20-11-THAI_TOM TAT" xfId="20287" xr:uid="{00000000-0005-0000-0000-000004140000}"/>
    <cellStyle name="_TG-TH_1_Bao cao XDCB 2001 - T11 KH dieu chinh 20-11-THAI_VATTUDIEN" xfId="829" xr:uid="{00000000-0005-0000-0000-000005140000}"/>
    <cellStyle name="_TG-TH_1_Bao cao XDCB 2001 - T11 KH dieu chinh 20-11-THAI_VATTUDIEN 2" xfId="4100" xr:uid="{00000000-0005-0000-0000-000006140000}"/>
    <cellStyle name="_TG-TH_1_Bao cao XDCB 2001 - T11 KH dieu chinh 20-11-THAI_VATTUDIEN 2_TOM TAT" xfId="20303" xr:uid="{00000000-0005-0000-0000-000007140000}"/>
    <cellStyle name="_TG-TH_1_Bao cao XDCB 2001 - T11 KH dieu chinh 20-11-THAI_VATTUDIEN 3" xfId="17926" xr:uid="{00000000-0005-0000-0000-000008140000}"/>
    <cellStyle name="_TG-TH_1_Bao cao XDCB 2001 - T11 KH dieu chinh 20-11-THAI_VATTUDIEN 3_TOM TAT" xfId="20304" xr:uid="{00000000-0005-0000-0000-000009140000}"/>
    <cellStyle name="_TG-TH_1_Bao cao XDCB 2001 - T11 KH dieu chinh 20-11-THAI_VATTUDIEN_TOM TAT" xfId="20302" xr:uid="{00000000-0005-0000-0000-00000A140000}"/>
    <cellStyle name="_TG-TH_1_Book1" xfId="830" xr:uid="{00000000-0005-0000-0000-00000B140000}"/>
    <cellStyle name="_TG-TH_1_Book1 2" xfId="4101" xr:uid="{00000000-0005-0000-0000-00000C140000}"/>
    <cellStyle name="_TG-TH_1_Book1 2_TOM TAT" xfId="20306" xr:uid="{00000000-0005-0000-0000-00000D140000}"/>
    <cellStyle name="_TG-TH_1_Book1 3" xfId="17927" xr:uid="{00000000-0005-0000-0000-00000E140000}"/>
    <cellStyle name="_TG-TH_1_Book1 3_TOM TAT" xfId="20307" xr:uid="{00000000-0005-0000-0000-00000F140000}"/>
    <cellStyle name="_TG-TH_1_Book1_1" xfId="831" xr:uid="{00000000-0005-0000-0000-000010140000}"/>
    <cellStyle name="_TG-TH_1_Book1_1 2" xfId="4102" xr:uid="{00000000-0005-0000-0000-000011140000}"/>
    <cellStyle name="_TG-TH_1_Book1_1 2_TOM TAT" xfId="20309" xr:uid="{00000000-0005-0000-0000-000012140000}"/>
    <cellStyle name="_TG-TH_1_Book1_1 3" xfId="17928" xr:uid="{00000000-0005-0000-0000-000013140000}"/>
    <cellStyle name="_TG-TH_1_Book1_1 3_TOM TAT" xfId="20310" xr:uid="{00000000-0005-0000-0000-000014140000}"/>
    <cellStyle name="_TG-TH_1_Book1_1_Book1" xfId="832" xr:uid="{00000000-0005-0000-0000-000015140000}"/>
    <cellStyle name="_TG-TH_1_Book1_1_Book1 2" xfId="4103" xr:uid="{00000000-0005-0000-0000-000016140000}"/>
    <cellStyle name="_TG-TH_1_Book1_1_Book1 2_TOM TAT" xfId="20312" xr:uid="{00000000-0005-0000-0000-000017140000}"/>
    <cellStyle name="_TG-TH_1_Book1_1_Book1 3" xfId="17929" xr:uid="{00000000-0005-0000-0000-000018140000}"/>
    <cellStyle name="_TG-TH_1_Book1_1_Book1 3_TOM TAT" xfId="20313" xr:uid="{00000000-0005-0000-0000-000019140000}"/>
    <cellStyle name="_TG-TH_1_Book1_1_Book1_1" xfId="833" xr:uid="{00000000-0005-0000-0000-00001A140000}"/>
    <cellStyle name="_TG-TH_1_Book1_1_Book1_1 2" xfId="4104" xr:uid="{00000000-0005-0000-0000-00001B140000}"/>
    <cellStyle name="_TG-TH_1_Book1_1_Book1_1 2_TOM TAT" xfId="20315" xr:uid="{00000000-0005-0000-0000-00001C140000}"/>
    <cellStyle name="_TG-TH_1_Book1_1_Book1_1 3" xfId="17930" xr:uid="{00000000-0005-0000-0000-00001D140000}"/>
    <cellStyle name="_TG-TH_1_Book1_1_Book1_1 3_TOM TAT" xfId="20316" xr:uid="{00000000-0005-0000-0000-00001E140000}"/>
    <cellStyle name="_TG-TH_1_Book1_1_Book1_1_TOM TAT" xfId="20314" xr:uid="{00000000-0005-0000-0000-00001F140000}"/>
    <cellStyle name="_TG-TH_1_Book1_1_Book1_2" xfId="834" xr:uid="{00000000-0005-0000-0000-000020140000}"/>
    <cellStyle name="_TG-TH_1_Book1_1_Book1_2 2" xfId="4105" xr:uid="{00000000-0005-0000-0000-000021140000}"/>
    <cellStyle name="_TG-TH_1_Book1_1_Book1_2 2_TOM TAT" xfId="20318" xr:uid="{00000000-0005-0000-0000-000022140000}"/>
    <cellStyle name="_TG-TH_1_Book1_1_Book1_2 3" xfId="17931" xr:uid="{00000000-0005-0000-0000-000023140000}"/>
    <cellStyle name="_TG-TH_1_Book1_1_Book1_2 3_TOM TAT" xfId="20319" xr:uid="{00000000-0005-0000-0000-000024140000}"/>
    <cellStyle name="_TG-TH_1_Book1_1_Book1_2_TOM TAT" xfId="20317" xr:uid="{00000000-0005-0000-0000-000025140000}"/>
    <cellStyle name="_TG-TH_1_Book1_1_Book1_3" xfId="835" xr:uid="{00000000-0005-0000-0000-000026140000}"/>
    <cellStyle name="_TG-TH_1_Book1_1_Book1_3 2" xfId="4106" xr:uid="{00000000-0005-0000-0000-000027140000}"/>
    <cellStyle name="_TG-TH_1_Book1_1_Book1_3 2_TOM TAT" xfId="20321" xr:uid="{00000000-0005-0000-0000-000028140000}"/>
    <cellStyle name="_TG-TH_1_Book1_1_Book1_3 3" xfId="17932" xr:uid="{00000000-0005-0000-0000-000029140000}"/>
    <cellStyle name="_TG-TH_1_Book1_1_Book1_3 3_TOM TAT" xfId="20322" xr:uid="{00000000-0005-0000-0000-00002A140000}"/>
    <cellStyle name="_TG-TH_1_Book1_1_Book1_3_TOM TAT" xfId="20320" xr:uid="{00000000-0005-0000-0000-00002B140000}"/>
    <cellStyle name="_TG-TH_1_Book1_1_Book1_TOM TAT" xfId="20311" xr:uid="{00000000-0005-0000-0000-00002C140000}"/>
    <cellStyle name="_TG-TH_1_Book1_1_DgklKNHA" xfId="5042" xr:uid="{00000000-0005-0000-0000-00002D140000}"/>
    <cellStyle name="_TG-TH_1_Book1_1_DgklKNHA_TOM TAT" xfId="20323" xr:uid="{00000000-0005-0000-0000-00002E140000}"/>
    <cellStyle name="_TG-TH_1_Book1_1_dt khoi nha 3trai - VKg (cat xuong) (27-01-05)" xfId="5043" xr:uid="{00000000-0005-0000-0000-00002F140000}"/>
    <cellStyle name="_TG-TH_1_Book1_1_dt khoi nha 3trai - VKg (cat xuong) (27-01-05)_TOM TAT" xfId="20324" xr:uid="{00000000-0005-0000-0000-000030140000}"/>
    <cellStyle name="_TG-TH_1_Book1_1_Dtoan-LTT-18-01" xfId="5044" xr:uid="{00000000-0005-0000-0000-000031140000}"/>
    <cellStyle name="_TG-TH_1_Book1_1_Dtoan-LTT-18-01_TOM TAT" xfId="20325" xr:uid="{00000000-0005-0000-0000-000032140000}"/>
    <cellStyle name="_TG-TH_1_Book1_1_DU TOAN NGUYEN HUE - GD2 (1-02-05) 1" xfId="5045" xr:uid="{00000000-0005-0000-0000-000033140000}"/>
    <cellStyle name="_TG-TH_1_Book1_1_DU TOAN NGUYEN HUE - GD2 (1-02-05) 1_TOM TAT" xfId="20326" xr:uid="{00000000-0005-0000-0000-000034140000}"/>
    <cellStyle name="_TG-TH_1_Book1_1_dutoan dptd" xfId="5046" xr:uid="{00000000-0005-0000-0000-000035140000}"/>
    <cellStyle name="_TG-TH_1_Book1_1_dutoan dptd_TOM TAT" xfId="20327" xr:uid="{00000000-0005-0000-0000-000036140000}"/>
    <cellStyle name="_TG-TH_1_Book1_1_he thong dien" xfId="5047" xr:uid="{00000000-0005-0000-0000-000037140000}"/>
    <cellStyle name="_TG-TH_1_Book1_1_he thong dien_TOM TAT" xfId="20328" xr:uid="{00000000-0005-0000-0000-000038140000}"/>
    <cellStyle name="_TG-TH_1_Book1_1_Sheet1" xfId="5048" xr:uid="{00000000-0005-0000-0000-000039140000}"/>
    <cellStyle name="_TG-TH_1_Book1_1_Sheet1_TOM TAT" xfId="20329" xr:uid="{00000000-0005-0000-0000-00003A140000}"/>
    <cellStyle name="_TG-TH_1_Book1_1_Sheet2" xfId="5049" xr:uid="{00000000-0005-0000-0000-00003B140000}"/>
    <cellStyle name="_TG-TH_1_Book1_1_Sheet2_TOM TAT" xfId="20330" xr:uid="{00000000-0005-0000-0000-00003C140000}"/>
    <cellStyle name="_TG-TH_1_Book1_1_TOM TAT" xfId="20308" xr:uid="{00000000-0005-0000-0000-00003D140000}"/>
    <cellStyle name="_TG-TH_1_Book1_1_VATTUDIEN" xfId="836" xr:uid="{00000000-0005-0000-0000-00003E140000}"/>
    <cellStyle name="_TG-TH_1_Book1_1_VATTUDIEN 2" xfId="4107" xr:uid="{00000000-0005-0000-0000-00003F140000}"/>
    <cellStyle name="_TG-TH_1_Book1_1_VATTUDIEN 2_TOM TAT" xfId="20332" xr:uid="{00000000-0005-0000-0000-000040140000}"/>
    <cellStyle name="_TG-TH_1_Book1_1_VATTUDIEN 3" xfId="17933" xr:uid="{00000000-0005-0000-0000-000041140000}"/>
    <cellStyle name="_TG-TH_1_Book1_1_VATTUDIEN 3_TOM TAT" xfId="20333" xr:uid="{00000000-0005-0000-0000-000042140000}"/>
    <cellStyle name="_TG-TH_1_Book1_1_VATTUDIEN_TOM TAT" xfId="20331" xr:uid="{00000000-0005-0000-0000-000043140000}"/>
    <cellStyle name="_TG-TH_1_Book1_2" xfId="837" xr:uid="{00000000-0005-0000-0000-000044140000}"/>
    <cellStyle name="_TG-TH_1_Book1_2 2" xfId="4108" xr:uid="{00000000-0005-0000-0000-000045140000}"/>
    <cellStyle name="_TG-TH_1_Book1_2 2_TOM TAT" xfId="20335" xr:uid="{00000000-0005-0000-0000-000046140000}"/>
    <cellStyle name="_TG-TH_1_Book1_2 3" xfId="17934" xr:uid="{00000000-0005-0000-0000-000047140000}"/>
    <cellStyle name="_TG-TH_1_Book1_2 3_TOM TAT" xfId="20336" xr:uid="{00000000-0005-0000-0000-000048140000}"/>
    <cellStyle name="_TG-TH_1_Book1_2_Book1" xfId="838" xr:uid="{00000000-0005-0000-0000-000049140000}"/>
    <cellStyle name="_TG-TH_1_Book1_2_Book1 2" xfId="4109" xr:uid="{00000000-0005-0000-0000-00004A140000}"/>
    <cellStyle name="_TG-TH_1_Book1_2_Book1 2_TOM TAT" xfId="20338" xr:uid="{00000000-0005-0000-0000-00004B140000}"/>
    <cellStyle name="_TG-TH_1_Book1_2_Book1 3" xfId="17935" xr:uid="{00000000-0005-0000-0000-00004C140000}"/>
    <cellStyle name="_TG-TH_1_Book1_2_Book1 3_TOM TAT" xfId="20339" xr:uid="{00000000-0005-0000-0000-00004D140000}"/>
    <cellStyle name="_TG-TH_1_Book1_2_Book1_1" xfId="839" xr:uid="{00000000-0005-0000-0000-00004E140000}"/>
    <cellStyle name="_TG-TH_1_Book1_2_Book1_1 2" xfId="4110" xr:uid="{00000000-0005-0000-0000-00004F140000}"/>
    <cellStyle name="_TG-TH_1_Book1_2_Book1_1 2_TOM TAT" xfId="20341" xr:uid="{00000000-0005-0000-0000-000050140000}"/>
    <cellStyle name="_TG-TH_1_Book1_2_Book1_1 3" xfId="17936" xr:uid="{00000000-0005-0000-0000-000051140000}"/>
    <cellStyle name="_TG-TH_1_Book1_2_Book1_1 3_TOM TAT" xfId="20342" xr:uid="{00000000-0005-0000-0000-000052140000}"/>
    <cellStyle name="_TG-TH_1_Book1_2_Book1_1_TOM TAT" xfId="20340" xr:uid="{00000000-0005-0000-0000-000053140000}"/>
    <cellStyle name="_TG-TH_1_Book1_2_Book1_2" xfId="840" xr:uid="{00000000-0005-0000-0000-000054140000}"/>
    <cellStyle name="_TG-TH_1_Book1_2_Book1_2 2" xfId="4111" xr:uid="{00000000-0005-0000-0000-000055140000}"/>
    <cellStyle name="_TG-TH_1_Book1_2_Book1_2 2_TOM TAT" xfId="20344" xr:uid="{00000000-0005-0000-0000-000056140000}"/>
    <cellStyle name="_TG-TH_1_Book1_2_Book1_2 3" xfId="17937" xr:uid="{00000000-0005-0000-0000-000057140000}"/>
    <cellStyle name="_TG-TH_1_Book1_2_Book1_2 3_TOM TAT" xfId="20345" xr:uid="{00000000-0005-0000-0000-000058140000}"/>
    <cellStyle name="_TG-TH_1_Book1_2_Book1_2_TOM TAT" xfId="20343" xr:uid="{00000000-0005-0000-0000-000059140000}"/>
    <cellStyle name="_TG-TH_1_Book1_2_Book1_3" xfId="841" xr:uid="{00000000-0005-0000-0000-00005A140000}"/>
    <cellStyle name="_TG-TH_1_Book1_2_Book1_3 2" xfId="4112" xr:uid="{00000000-0005-0000-0000-00005B140000}"/>
    <cellStyle name="_TG-TH_1_Book1_2_Book1_3 2_TOM TAT" xfId="20347" xr:uid="{00000000-0005-0000-0000-00005C140000}"/>
    <cellStyle name="_TG-TH_1_Book1_2_Book1_3 3" xfId="17938" xr:uid="{00000000-0005-0000-0000-00005D140000}"/>
    <cellStyle name="_TG-TH_1_Book1_2_Book1_3 3_TOM TAT" xfId="20348" xr:uid="{00000000-0005-0000-0000-00005E140000}"/>
    <cellStyle name="_TG-TH_1_Book1_2_Book1_3_TOM TAT" xfId="20346" xr:uid="{00000000-0005-0000-0000-00005F140000}"/>
    <cellStyle name="_TG-TH_1_Book1_2_Book1_TOM TAT" xfId="20337" xr:uid="{00000000-0005-0000-0000-000060140000}"/>
    <cellStyle name="_TG-TH_1_Book1_2_DgklKNHA" xfId="5050" xr:uid="{00000000-0005-0000-0000-000061140000}"/>
    <cellStyle name="_TG-TH_1_Book1_2_DgklKNHA_TOM TAT" xfId="20349" xr:uid="{00000000-0005-0000-0000-000062140000}"/>
    <cellStyle name="_TG-TH_1_Book1_2_dt khoi nha 3trai - VKg (cat xuong) (27-01-05)" xfId="5051" xr:uid="{00000000-0005-0000-0000-000063140000}"/>
    <cellStyle name="_TG-TH_1_Book1_2_dt khoi nha 3trai - VKg (cat xuong) (27-01-05)_TOM TAT" xfId="20350" xr:uid="{00000000-0005-0000-0000-000064140000}"/>
    <cellStyle name="_TG-TH_1_Book1_2_Dtoan-LTT-18-01" xfId="5052" xr:uid="{00000000-0005-0000-0000-000065140000}"/>
    <cellStyle name="_TG-TH_1_Book1_2_Dtoan-LTT-18-01_TOM TAT" xfId="20351" xr:uid="{00000000-0005-0000-0000-000066140000}"/>
    <cellStyle name="_TG-TH_1_Book1_2_DU TOAN NGUYEN HUE - GD2 (1-02-05) 1" xfId="5053" xr:uid="{00000000-0005-0000-0000-000067140000}"/>
    <cellStyle name="_TG-TH_1_Book1_2_DU TOAN NGUYEN HUE - GD2 (1-02-05) 1_TOM TAT" xfId="20352" xr:uid="{00000000-0005-0000-0000-000068140000}"/>
    <cellStyle name="_TG-TH_1_Book1_2_dutoan dptd" xfId="5054" xr:uid="{00000000-0005-0000-0000-000069140000}"/>
    <cellStyle name="_TG-TH_1_Book1_2_dutoan dptd_TOM TAT" xfId="20353" xr:uid="{00000000-0005-0000-0000-00006A140000}"/>
    <cellStyle name="_TG-TH_1_Book1_2_he thong dien" xfId="5055" xr:uid="{00000000-0005-0000-0000-00006B140000}"/>
    <cellStyle name="_TG-TH_1_Book1_2_he thong dien_TOM TAT" xfId="20354" xr:uid="{00000000-0005-0000-0000-00006C140000}"/>
    <cellStyle name="_TG-TH_1_Book1_2_Sheet1" xfId="5056" xr:uid="{00000000-0005-0000-0000-00006D140000}"/>
    <cellStyle name="_TG-TH_1_Book1_2_Sheet1_TOM TAT" xfId="20355" xr:uid="{00000000-0005-0000-0000-00006E140000}"/>
    <cellStyle name="_TG-TH_1_Book1_2_Sheet2" xfId="5057" xr:uid="{00000000-0005-0000-0000-00006F140000}"/>
    <cellStyle name="_TG-TH_1_Book1_2_Sheet2_TOM TAT" xfId="20356" xr:uid="{00000000-0005-0000-0000-000070140000}"/>
    <cellStyle name="_TG-TH_1_Book1_2_TOM TAT" xfId="20334" xr:uid="{00000000-0005-0000-0000-000071140000}"/>
    <cellStyle name="_TG-TH_1_Book1_2_VATTUDIEN" xfId="842" xr:uid="{00000000-0005-0000-0000-000072140000}"/>
    <cellStyle name="_TG-TH_1_Book1_2_VATTUDIEN 2" xfId="4113" xr:uid="{00000000-0005-0000-0000-000073140000}"/>
    <cellStyle name="_TG-TH_1_Book1_2_VATTUDIEN 2_TOM TAT" xfId="20358" xr:uid="{00000000-0005-0000-0000-000074140000}"/>
    <cellStyle name="_TG-TH_1_Book1_2_VATTUDIEN 3" xfId="17939" xr:uid="{00000000-0005-0000-0000-000075140000}"/>
    <cellStyle name="_TG-TH_1_Book1_2_VATTUDIEN 3_TOM TAT" xfId="20359" xr:uid="{00000000-0005-0000-0000-000076140000}"/>
    <cellStyle name="_TG-TH_1_Book1_2_VATTUDIEN_TOM TAT" xfId="20357" xr:uid="{00000000-0005-0000-0000-000077140000}"/>
    <cellStyle name="_TG-TH_1_Book1_3" xfId="843" xr:uid="{00000000-0005-0000-0000-000078140000}"/>
    <cellStyle name="_TG-TH_1_Book1_3 2" xfId="4114" xr:uid="{00000000-0005-0000-0000-000079140000}"/>
    <cellStyle name="_TG-TH_1_Book1_3 2_TOM TAT" xfId="20361" xr:uid="{00000000-0005-0000-0000-00007A140000}"/>
    <cellStyle name="_TG-TH_1_Book1_3 3" xfId="17940" xr:uid="{00000000-0005-0000-0000-00007B140000}"/>
    <cellStyle name="_TG-TH_1_Book1_3 3_TOM TAT" xfId="20362" xr:uid="{00000000-0005-0000-0000-00007C140000}"/>
    <cellStyle name="_TG-TH_1_Book1_3_TOM TAT" xfId="20360" xr:uid="{00000000-0005-0000-0000-00007D140000}"/>
    <cellStyle name="_TG-TH_1_Book1_4" xfId="844" xr:uid="{00000000-0005-0000-0000-00007E140000}"/>
    <cellStyle name="_TG-TH_1_Book1_4 2" xfId="4115" xr:uid="{00000000-0005-0000-0000-00007F140000}"/>
    <cellStyle name="_TG-TH_1_Book1_4 2_TOM TAT" xfId="20364" xr:uid="{00000000-0005-0000-0000-000080140000}"/>
    <cellStyle name="_TG-TH_1_Book1_4 3" xfId="17941" xr:uid="{00000000-0005-0000-0000-000081140000}"/>
    <cellStyle name="_TG-TH_1_Book1_4 3_TOM TAT" xfId="20365" xr:uid="{00000000-0005-0000-0000-000082140000}"/>
    <cellStyle name="_TG-TH_1_Book1_4_TOM TAT" xfId="20363" xr:uid="{00000000-0005-0000-0000-000083140000}"/>
    <cellStyle name="_TG-TH_1_Book1_5" xfId="845" xr:uid="{00000000-0005-0000-0000-000084140000}"/>
    <cellStyle name="_TG-TH_1_Book1_5 2" xfId="4116" xr:uid="{00000000-0005-0000-0000-000085140000}"/>
    <cellStyle name="_TG-TH_1_Book1_5 2_TOM TAT" xfId="20367" xr:uid="{00000000-0005-0000-0000-000086140000}"/>
    <cellStyle name="_TG-TH_1_Book1_5 3" xfId="17942" xr:uid="{00000000-0005-0000-0000-000087140000}"/>
    <cellStyle name="_TG-TH_1_Book1_5 3_TOM TAT" xfId="20368" xr:uid="{00000000-0005-0000-0000-000088140000}"/>
    <cellStyle name="_TG-TH_1_Book1_5_TOM TAT" xfId="20366" xr:uid="{00000000-0005-0000-0000-000089140000}"/>
    <cellStyle name="_TG-TH_1_Book1_6" xfId="846" xr:uid="{00000000-0005-0000-0000-00008A140000}"/>
    <cellStyle name="_TG-TH_1_Book1_6 2" xfId="4117" xr:uid="{00000000-0005-0000-0000-00008B140000}"/>
    <cellStyle name="_TG-TH_1_Book1_6 2_TOM TAT" xfId="20370" xr:uid="{00000000-0005-0000-0000-00008C140000}"/>
    <cellStyle name="_TG-TH_1_Book1_6 3" xfId="17943" xr:uid="{00000000-0005-0000-0000-00008D140000}"/>
    <cellStyle name="_TG-TH_1_Book1_6 3_TOM TAT" xfId="20371" xr:uid="{00000000-0005-0000-0000-00008E140000}"/>
    <cellStyle name="_TG-TH_1_Book1_6_TOM TAT" xfId="20369" xr:uid="{00000000-0005-0000-0000-00008F140000}"/>
    <cellStyle name="_TG-TH_1_Book1_BC-QT-WB-dthao" xfId="847" xr:uid="{00000000-0005-0000-0000-000090140000}"/>
    <cellStyle name="_TG-TH_1_Book1_BC-QT-WB-dthao 2" xfId="4118" xr:uid="{00000000-0005-0000-0000-000091140000}"/>
    <cellStyle name="_TG-TH_1_Book1_BC-QT-WB-dthao 2_TOM TAT" xfId="20373" xr:uid="{00000000-0005-0000-0000-000092140000}"/>
    <cellStyle name="_TG-TH_1_Book1_BC-QT-WB-dthao 3" xfId="17944" xr:uid="{00000000-0005-0000-0000-000093140000}"/>
    <cellStyle name="_TG-TH_1_Book1_BC-QT-WB-dthao 3_TOM TAT" xfId="20374" xr:uid="{00000000-0005-0000-0000-000094140000}"/>
    <cellStyle name="_TG-TH_1_Book1_BC-QT-WB-dthao_Book1" xfId="848" xr:uid="{00000000-0005-0000-0000-000095140000}"/>
    <cellStyle name="_TG-TH_1_Book1_BC-QT-WB-dthao_Book1 2" xfId="4119" xr:uid="{00000000-0005-0000-0000-000096140000}"/>
    <cellStyle name="_TG-TH_1_Book1_BC-QT-WB-dthao_Book1 2_TOM TAT" xfId="20376" xr:uid="{00000000-0005-0000-0000-000097140000}"/>
    <cellStyle name="_TG-TH_1_Book1_BC-QT-WB-dthao_Book1 3" xfId="17945" xr:uid="{00000000-0005-0000-0000-000098140000}"/>
    <cellStyle name="_TG-TH_1_Book1_BC-QT-WB-dthao_Book1 3_TOM TAT" xfId="20377" xr:uid="{00000000-0005-0000-0000-000099140000}"/>
    <cellStyle name="_TG-TH_1_Book1_BC-QT-WB-dthao_Book1_1" xfId="849" xr:uid="{00000000-0005-0000-0000-00009A140000}"/>
    <cellStyle name="_TG-TH_1_Book1_BC-QT-WB-dthao_Book1_1 2" xfId="4120" xr:uid="{00000000-0005-0000-0000-00009B140000}"/>
    <cellStyle name="_TG-TH_1_Book1_BC-QT-WB-dthao_Book1_1 2_TOM TAT" xfId="20379" xr:uid="{00000000-0005-0000-0000-00009C140000}"/>
    <cellStyle name="_TG-TH_1_Book1_BC-QT-WB-dthao_Book1_1 3" xfId="17946" xr:uid="{00000000-0005-0000-0000-00009D140000}"/>
    <cellStyle name="_TG-TH_1_Book1_BC-QT-WB-dthao_Book1_1 3_TOM TAT" xfId="20380" xr:uid="{00000000-0005-0000-0000-00009E140000}"/>
    <cellStyle name="_TG-TH_1_Book1_BC-QT-WB-dthao_Book1_1_TOM TAT" xfId="20378" xr:uid="{00000000-0005-0000-0000-00009F140000}"/>
    <cellStyle name="_TG-TH_1_Book1_BC-QT-WB-dthao_Book1_2" xfId="850" xr:uid="{00000000-0005-0000-0000-0000A0140000}"/>
    <cellStyle name="_TG-TH_1_Book1_BC-QT-WB-dthao_Book1_2 2" xfId="4121" xr:uid="{00000000-0005-0000-0000-0000A1140000}"/>
    <cellStyle name="_TG-TH_1_Book1_BC-QT-WB-dthao_Book1_2 2_TOM TAT" xfId="20382" xr:uid="{00000000-0005-0000-0000-0000A2140000}"/>
    <cellStyle name="_TG-TH_1_Book1_BC-QT-WB-dthao_Book1_2 3" xfId="17947" xr:uid="{00000000-0005-0000-0000-0000A3140000}"/>
    <cellStyle name="_TG-TH_1_Book1_BC-QT-WB-dthao_Book1_2 3_TOM TAT" xfId="20383" xr:uid="{00000000-0005-0000-0000-0000A4140000}"/>
    <cellStyle name="_TG-TH_1_Book1_BC-QT-WB-dthao_Book1_2_TOM TAT" xfId="20381" xr:uid="{00000000-0005-0000-0000-0000A5140000}"/>
    <cellStyle name="_TG-TH_1_Book1_BC-QT-WB-dthao_Book1_3" xfId="851" xr:uid="{00000000-0005-0000-0000-0000A6140000}"/>
    <cellStyle name="_TG-TH_1_Book1_BC-QT-WB-dthao_Book1_3 2" xfId="4122" xr:uid="{00000000-0005-0000-0000-0000A7140000}"/>
    <cellStyle name="_TG-TH_1_Book1_BC-QT-WB-dthao_Book1_3 2_TOM TAT" xfId="20385" xr:uid="{00000000-0005-0000-0000-0000A8140000}"/>
    <cellStyle name="_TG-TH_1_Book1_BC-QT-WB-dthao_Book1_3 3" xfId="17948" xr:uid="{00000000-0005-0000-0000-0000A9140000}"/>
    <cellStyle name="_TG-TH_1_Book1_BC-QT-WB-dthao_Book1_3 3_TOM TAT" xfId="20386" xr:uid="{00000000-0005-0000-0000-0000AA140000}"/>
    <cellStyle name="_TG-TH_1_Book1_BC-QT-WB-dthao_Book1_3_TOM TAT" xfId="20384" xr:uid="{00000000-0005-0000-0000-0000AB140000}"/>
    <cellStyle name="_TG-TH_1_Book1_BC-QT-WB-dthao_Book1_TOM TAT" xfId="20375" xr:uid="{00000000-0005-0000-0000-0000AC140000}"/>
    <cellStyle name="_TG-TH_1_Book1_BC-QT-WB-dthao_TOM TAT" xfId="20372" xr:uid="{00000000-0005-0000-0000-0000AD140000}"/>
    <cellStyle name="_TG-TH_1_Book1_BC-QT-WB-dthao_VATTUDIEN" xfId="852" xr:uid="{00000000-0005-0000-0000-0000AE140000}"/>
    <cellStyle name="_TG-TH_1_Book1_BC-QT-WB-dthao_VATTUDIEN 2" xfId="4123" xr:uid="{00000000-0005-0000-0000-0000AF140000}"/>
    <cellStyle name="_TG-TH_1_Book1_BC-QT-WB-dthao_VATTUDIEN 2_TOM TAT" xfId="20388" xr:uid="{00000000-0005-0000-0000-0000B0140000}"/>
    <cellStyle name="_TG-TH_1_Book1_BC-QT-WB-dthao_VATTUDIEN 3" xfId="17949" xr:uid="{00000000-0005-0000-0000-0000B1140000}"/>
    <cellStyle name="_TG-TH_1_Book1_BC-QT-WB-dthao_VATTUDIEN 3_TOM TAT" xfId="20389" xr:uid="{00000000-0005-0000-0000-0000B2140000}"/>
    <cellStyle name="_TG-TH_1_Book1_BC-QT-WB-dthao_VATTUDIEN_TOM TAT" xfId="20387" xr:uid="{00000000-0005-0000-0000-0000B3140000}"/>
    <cellStyle name="_TG-TH_1_Book1_Book1" xfId="853" xr:uid="{00000000-0005-0000-0000-0000B4140000}"/>
    <cellStyle name="_TG-TH_1_Book1_Book1 2" xfId="4124" xr:uid="{00000000-0005-0000-0000-0000B5140000}"/>
    <cellStyle name="_TG-TH_1_Book1_Book1 2_TOM TAT" xfId="20391" xr:uid="{00000000-0005-0000-0000-0000B6140000}"/>
    <cellStyle name="_TG-TH_1_Book1_Book1 3" xfId="17950" xr:uid="{00000000-0005-0000-0000-0000B7140000}"/>
    <cellStyle name="_TG-TH_1_Book1_Book1 3_TOM TAT" xfId="20392" xr:uid="{00000000-0005-0000-0000-0000B8140000}"/>
    <cellStyle name="_TG-TH_1_Book1_Book1_1" xfId="854" xr:uid="{00000000-0005-0000-0000-0000B9140000}"/>
    <cellStyle name="_TG-TH_1_Book1_Book1_1 2" xfId="4125" xr:uid="{00000000-0005-0000-0000-0000BA140000}"/>
    <cellStyle name="_TG-TH_1_Book1_Book1_1 2_TOM TAT" xfId="20394" xr:uid="{00000000-0005-0000-0000-0000BB140000}"/>
    <cellStyle name="_TG-TH_1_Book1_Book1_1 3" xfId="17951" xr:uid="{00000000-0005-0000-0000-0000BC140000}"/>
    <cellStyle name="_TG-TH_1_Book1_Book1_1 3_TOM TAT" xfId="20395" xr:uid="{00000000-0005-0000-0000-0000BD140000}"/>
    <cellStyle name="_TG-TH_1_Book1_Book1_1_TOM TAT" xfId="20393" xr:uid="{00000000-0005-0000-0000-0000BE140000}"/>
    <cellStyle name="_TG-TH_1_Book1_Book1_2" xfId="855" xr:uid="{00000000-0005-0000-0000-0000BF140000}"/>
    <cellStyle name="_TG-TH_1_Book1_Book1_2 2" xfId="4126" xr:uid="{00000000-0005-0000-0000-0000C0140000}"/>
    <cellStyle name="_TG-TH_1_Book1_Book1_2 2_TOM TAT" xfId="20397" xr:uid="{00000000-0005-0000-0000-0000C1140000}"/>
    <cellStyle name="_TG-TH_1_Book1_Book1_2 3" xfId="17952" xr:uid="{00000000-0005-0000-0000-0000C2140000}"/>
    <cellStyle name="_TG-TH_1_Book1_Book1_2 3_TOM TAT" xfId="20398" xr:uid="{00000000-0005-0000-0000-0000C3140000}"/>
    <cellStyle name="_TG-TH_1_Book1_Book1_2_TOM TAT" xfId="20396" xr:uid="{00000000-0005-0000-0000-0000C4140000}"/>
    <cellStyle name="_TG-TH_1_Book1_Book1_3" xfId="856" xr:uid="{00000000-0005-0000-0000-0000C5140000}"/>
    <cellStyle name="_TG-TH_1_Book1_Book1_3 2" xfId="4127" xr:uid="{00000000-0005-0000-0000-0000C6140000}"/>
    <cellStyle name="_TG-TH_1_Book1_Book1_3 2_TOM TAT" xfId="20400" xr:uid="{00000000-0005-0000-0000-0000C7140000}"/>
    <cellStyle name="_TG-TH_1_Book1_Book1_3 3" xfId="17953" xr:uid="{00000000-0005-0000-0000-0000C8140000}"/>
    <cellStyle name="_TG-TH_1_Book1_Book1_3 3_TOM TAT" xfId="20401" xr:uid="{00000000-0005-0000-0000-0000C9140000}"/>
    <cellStyle name="_TG-TH_1_Book1_Book1_3_TOM TAT" xfId="20399" xr:uid="{00000000-0005-0000-0000-0000CA140000}"/>
    <cellStyle name="_TG-TH_1_Book1_Book1_TOM TAT" xfId="20390" xr:uid="{00000000-0005-0000-0000-0000CB140000}"/>
    <cellStyle name="_TG-TH_1_Book1_DgklKNHA" xfId="5058" xr:uid="{00000000-0005-0000-0000-0000CC140000}"/>
    <cellStyle name="_TG-TH_1_Book1_DgklKNHA_TOM TAT" xfId="20402" xr:uid="{00000000-0005-0000-0000-0000CD140000}"/>
    <cellStyle name="_TG-TH_1_Book1_dt khoi nha 3trai - VKg (cat xuong) (27-01-05)" xfId="5059" xr:uid="{00000000-0005-0000-0000-0000CE140000}"/>
    <cellStyle name="_TG-TH_1_Book1_dt khoi nha 3trai - VKg (cat xuong) (27-01-05)_TOM TAT" xfId="20403" xr:uid="{00000000-0005-0000-0000-0000CF140000}"/>
    <cellStyle name="_TG-TH_1_Book1_Dtoan-LTT-18-01" xfId="5060" xr:uid="{00000000-0005-0000-0000-0000D0140000}"/>
    <cellStyle name="_TG-TH_1_Book1_Dtoan-LTT-18-01_TOM TAT" xfId="20404" xr:uid="{00000000-0005-0000-0000-0000D1140000}"/>
    <cellStyle name="_TG-TH_1_Book1_DU TOAN NGUYEN HUE - GD2 (1-02-05) 1" xfId="5061" xr:uid="{00000000-0005-0000-0000-0000D2140000}"/>
    <cellStyle name="_TG-TH_1_Book1_DU TOAN NGUYEN HUE - GD2 (1-02-05) 1_TOM TAT" xfId="20405" xr:uid="{00000000-0005-0000-0000-0000D3140000}"/>
    <cellStyle name="_TG-TH_1_Book1_dutoan dptd" xfId="5062" xr:uid="{00000000-0005-0000-0000-0000D4140000}"/>
    <cellStyle name="_TG-TH_1_Book1_dutoan dptd_TOM TAT" xfId="20406" xr:uid="{00000000-0005-0000-0000-0000D5140000}"/>
    <cellStyle name="_TG-TH_1_Book1_he thong dien" xfId="5063" xr:uid="{00000000-0005-0000-0000-0000D6140000}"/>
    <cellStyle name="_TG-TH_1_Book1_he thong dien_TOM TAT" xfId="20407" xr:uid="{00000000-0005-0000-0000-0000D7140000}"/>
    <cellStyle name="_TG-TH_1_Book1_Sheet1" xfId="5064" xr:uid="{00000000-0005-0000-0000-0000D8140000}"/>
    <cellStyle name="_TG-TH_1_Book1_Sheet1_TOM TAT" xfId="20408" xr:uid="{00000000-0005-0000-0000-0000D9140000}"/>
    <cellStyle name="_TG-TH_1_Book1_Sheet2" xfId="5065" xr:uid="{00000000-0005-0000-0000-0000DA140000}"/>
    <cellStyle name="_TG-TH_1_Book1_Sheet2_TOM TAT" xfId="20409" xr:uid="{00000000-0005-0000-0000-0000DB140000}"/>
    <cellStyle name="_TG-TH_1_Book1_TH KE" xfId="857" xr:uid="{00000000-0005-0000-0000-0000DC140000}"/>
    <cellStyle name="_TG-TH_1_Book1_TH KE 2" xfId="4128" xr:uid="{00000000-0005-0000-0000-0000DD140000}"/>
    <cellStyle name="_TG-TH_1_Book1_TH KE 2_TOM TAT" xfId="20411" xr:uid="{00000000-0005-0000-0000-0000DE140000}"/>
    <cellStyle name="_TG-TH_1_Book1_TH KE 3" xfId="17954" xr:uid="{00000000-0005-0000-0000-0000DF140000}"/>
    <cellStyle name="_TG-TH_1_Book1_TH KE 3_TOM TAT" xfId="20412" xr:uid="{00000000-0005-0000-0000-0000E0140000}"/>
    <cellStyle name="_TG-TH_1_Book1_TH KE_Book1" xfId="858" xr:uid="{00000000-0005-0000-0000-0000E1140000}"/>
    <cellStyle name="_TG-TH_1_Book1_TH KE_Book1 2" xfId="4129" xr:uid="{00000000-0005-0000-0000-0000E2140000}"/>
    <cellStyle name="_TG-TH_1_Book1_TH KE_Book1 2_TOM TAT" xfId="20414" xr:uid="{00000000-0005-0000-0000-0000E3140000}"/>
    <cellStyle name="_TG-TH_1_Book1_TH KE_Book1 3" xfId="17955" xr:uid="{00000000-0005-0000-0000-0000E4140000}"/>
    <cellStyle name="_TG-TH_1_Book1_TH KE_Book1 3_TOM TAT" xfId="20415" xr:uid="{00000000-0005-0000-0000-0000E5140000}"/>
    <cellStyle name="_TG-TH_1_Book1_TH KE_Book1_1" xfId="859" xr:uid="{00000000-0005-0000-0000-0000E6140000}"/>
    <cellStyle name="_TG-TH_1_Book1_TH KE_Book1_1 2" xfId="4130" xr:uid="{00000000-0005-0000-0000-0000E7140000}"/>
    <cellStyle name="_TG-TH_1_Book1_TH KE_Book1_1 2_TOM TAT" xfId="20417" xr:uid="{00000000-0005-0000-0000-0000E8140000}"/>
    <cellStyle name="_TG-TH_1_Book1_TH KE_Book1_1 3" xfId="17956" xr:uid="{00000000-0005-0000-0000-0000E9140000}"/>
    <cellStyle name="_TG-TH_1_Book1_TH KE_Book1_1 3_TOM TAT" xfId="20418" xr:uid="{00000000-0005-0000-0000-0000EA140000}"/>
    <cellStyle name="_TG-TH_1_Book1_TH KE_Book1_1_TOM TAT" xfId="20416" xr:uid="{00000000-0005-0000-0000-0000EB140000}"/>
    <cellStyle name="_TG-TH_1_Book1_TH KE_Book1_2" xfId="860" xr:uid="{00000000-0005-0000-0000-0000EC140000}"/>
    <cellStyle name="_TG-TH_1_Book1_TH KE_Book1_2 2" xfId="4131" xr:uid="{00000000-0005-0000-0000-0000ED140000}"/>
    <cellStyle name="_TG-TH_1_Book1_TH KE_Book1_2 2_TOM TAT" xfId="20420" xr:uid="{00000000-0005-0000-0000-0000EE140000}"/>
    <cellStyle name="_TG-TH_1_Book1_TH KE_Book1_2 3" xfId="17957" xr:uid="{00000000-0005-0000-0000-0000EF140000}"/>
    <cellStyle name="_TG-TH_1_Book1_TH KE_Book1_2 3_TOM TAT" xfId="20421" xr:uid="{00000000-0005-0000-0000-0000F0140000}"/>
    <cellStyle name="_TG-TH_1_Book1_TH KE_Book1_2_TOM TAT" xfId="20419" xr:uid="{00000000-0005-0000-0000-0000F1140000}"/>
    <cellStyle name="_TG-TH_1_Book1_TH KE_Book1_3" xfId="861" xr:uid="{00000000-0005-0000-0000-0000F2140000}"/>
    <cellStyle name="_TG-TH_1_Book1_TH KE_Book1_3 2" xfId="4132" xr:uid="{00000000-0005-0000-0000-0000F3140000}"/>
    <cellStyle name="_TG-TH_1_Book1_TH KE_Book1_3 2_TOM TAT" xfId="20423" xr:uid="{00000000-0005-0000-0000-0000F4140000}"/>
    <cellStyle name="_TG-TH_1_Book1_TH KE_Book1_3 3" xfId="17958" xr:uid="{00000000-0005-0000-0000-0000F5140000}"/>
    <cellStyle name="_TG-TH_1_Book1_TH KE_Book1_3 3_TOM TAT" xfId="20424" xr:uid="{00000000-0005-0000-0000-0000F6140000}"/>
    <cellStyle name="_TG-TH_1_Book1_TH KE_Book1_3_TOM TAT" xfId="20422" xr:uid="{00000000-0005-0000-0000-0000F7140000}"/>
    <cellStyle name="_TG-TH_1_Book1_TH KE_Book1_TOM TAT" xfId="20413" xr:uid="{00000000-0005-0000-0000-0000F8140000}"/>
    <cellStyle name="_TG-TH_1_Book1_TH KE_TOM TAT" xfId="20410" xr:uid="{00000000-0005-0000-0000-0000F9140000}"/>
    <cellStyle name="_TG-TH_1_Book1_TH KE_VATTUDIEN" xfId="862" xr:uid="{00000000-0005-0000-0000-0000FA140000}"/>
    <cellStyle name="_TG-TH_1_Book1_TH KE_VATTUDIEN 2" xfId="4133" xr:uid="{00000000-0005-0000-0000-0000FB140000}"/>
    <cellStyle name="_TG-TH_1_Book1_TH KE_VATTUDIEN 2_TOM TAT" xfId="20426" xr:uid="{00000000-0005-0000-0000-0000FC140000}"/>
    <cellStyle name="_TG-TH_1_Book1_TH KE_VATTUDIEN 3" xfId="17959" xr:uid="{00000000-0005-0000-0000-0000FD140000}"/>
    <cellStyle name="_TG-TH_1_Book1_TH KE_VATTUDIEN 3_TOM TAT" xfId="20427" xr:uid="{00000000-0005-0000-0000-0000FE140000}"/>
    <cellStyle name="_TG-TH_1_Book1_TH KE_VATTUDIEN_TOM TAT" xfId="20425" xr:uid="{00000000-0005-0000-0000-0000FF140000}"/>
    <cellStyle name="_TG-TH_1_Book1_TOM TAT" xfId="20305" xr:uid="{00000000-0005-0000-0000-000000150000}"/>
    <cellStyle name="_TG-TH_1_Book1_VATTUDIEN" xfId="863" xr:uid="{00000000-0005-0000-0000-000001150000}"/>
    <cellStyle name="_TG-TH_1_Book1_VATTUDIEN 2" xfId="4134" xr:uid="{00000000-0005-0000-0000-000002150000}"/>
    <cellStyle name="_TG-TH_1_Book1_VATTUDIEN 2_TOM TAT" xfId="20429" xr:uid="{00000000-0005-0000-0000-000003150000}"/>
    <cellStyle name="_TG-TH_1_Book1_VATTUDIEN 3" xfId="17960" xr:uid="{00000000-0005-0000-0000-000004150000}"/>
    <cellStyle name="_TG-TH_1_Book1_VATTUDIEN 3_TOM TAT" xfId="20430" xr:uid="{00000000-0005-0000-0000-000005150000}"/>
    <cellStyle name="_TG-TH_1_Book1_VATTUDIEN_TOM TAT" xfId="20428" xr:uid="{00000000-0005-0000-0000-000006150000}"/>
    <cellStyle name="_TG-TH_1_DgklKNHA" xfId="5066" xr:uid="{00000000-0005-0000-0000-000007150000}"/>
    <cellStyle name="_TG-TH_1_DgklKNHA_TOM TAT" xfId="20431" xr:uid="{00000000-0005-0000-0000-000008150000}"/>
    <cellStyle name="_TG-TH_1_dt khoi nha 3trai - VKg (cat xuong) (27-01-05)" xfId="5067" xr:uid="{00000000-0005-0000-0000-000009150000}"/>
    <cellStyle name="_TG-TH_1_dt khoi nha 3trai - VKg (cat xuong) (27-01-05)_TOM TAT" xfId="20432" xr:uid="{00000000-0005-0000-0000-00000A150000}"/>
    <cellStyle name="_TG-TH_1_DTCDT MR.2N110.HOCMON.TDTOAN.CCUNG" xfId="864" xr:uid="{00000000-0005-0000-0000-00000B150000}"/>
    <cellStyle name="_TG-TH_1_DTCDT MR.2N110.HOCMON.TDTOAN.CCUNG 2" xfId="4135" xr:uid="{00000000-0005-0000-0000-00000C150000}"/>
    <cellStyle name="_TG-TH_1_DTCDT MR.2N110.HOCMON.TDTOAN.CCUNG 2_TOM TAT" xfId="20434" xr:uid="{00000000-0005-0000-0000-00000D150000}"/>
    <cellStyle name="_TG-TH_1_DTCDT MR.2N110.HOCMON.TDTOAN.CCUNG 3" xfId="17961" xr:uid="{00000000-0005-0000-0000-00000E150000}"/>
    <cellStyle name="_TG-TH_1_DTCDT MR.2N110.HOCMON.TDTOAN.CCUNG 3_TOM TAT" xfId="20435" xr:uid="{00000000-0005-0000-0000-00000F150000}"/>
    <cellStyle name="_TG-TH_1_DTCDT MR.2N110.HOCMON.TDTOAN.CCUNG_Book1" xfId="865" xr:uid="{00000000-0005-0000-0000-000010150000}"/>
    <cellStyle name="_TG-TH_1_DTCDT MR.2N110.HOCMON.TDTOAN.CCUNG_Book1 2" xfId="4136" xr:uid="{00000000-0005-0000-0000-000011150000}"/>
    <cellStyle name="_TG-TH_1_DTCDT MR.2N110.HOCMON.TDTOAN.CCUNG_Book1 2_TOM TAT" xfId="20437" xr:uid="{00000000-0005-0000-0000-000012150000}"/>
    <cellStyle name="_TG-TH_1_DTCDT MR.2N110.HOCMON.TDTOAN.CCUNG_Book1 3" xfId="17962" xr:uid="{00000000-0005-0000-0000-000013150000}"/>
    <cellStyle name="_TG-TH_1_DTCDT MR.2N110.HOCMON.TDTOAN.CCUNG_Book1 3_TOM TAT" xfId="20438" xr:uid="{00000000-0005-0000-0000-000014150000}"/>
    <cellStyle name="_TG-TH_1_DTCDT MR.2N110.HOCMON.TDTOAN.CCUNG_Book1_1" xfId="866" xr:uid="{00000000-0005-0000-0000-000015150000}"/>
    <cellStyle name="_TG-TH_1_DTCDT MR.2N110.HOCMON.TDTOAN.CCUNG_Book1_1 2" xfId="4137" xr:uid="{00000000-0005-0000-0000-000016150000}"/>
    <cellStyle name="_TG-TH_1_DTCDT MR.2N110.HOCMON.TDTOAN.CCUNG_Book1_1 2_TOM TAT" xfId="20440" xr:uid="{00000000-0005-0000-0000-000017150000}"/>
    <cellStyle name="_TG-TH_1_DTCDT MR.2N110.HOCMON.TDTOAN.CCUNG_Book1_1 3" xfId="17963" xr:uid="{00000000-0005-0000-0000-000018150000}"/>
    <cellStyle name="_TG-TH_1_DTCDT MR.2N110.HOCMON.TDTOAN.CCUNG_Book1_1 3_TOM TAT" xfId="20441" xr:uid="{00000000-0005-0000-0000-000019150000}"/>
    <cellStyle name="_TG-TH_1_DTCDT MR.2N110.HOCMON.TDTOAN.CCUNG_Book1_1_TOM TAT" xfId="20439" xr:uid="{00000000-0005-0000-0000-00001A150000}"/>
    <cellStyle name="_TG-TH_1_DTCDT MR.2N110.HOCMON.TDTOAN.CCUNG_Book1_2" xfId="867" xr:uid="{00000000-0005-0000-0000-00001B150000}"/>
    <cellStyle name="_TG-TH_1_DTCDT MR.2N110.HOCMON.TDTOAN.CCUNG_Book1_2 2" xfId="4138" xr:uid="{00000000-0005-0000-0000-00001C150000}"/>
    <cellStyle name="_TG-TH_1_DTCDT MR.2N110.HOCMON.TDTOAN.CCUNG_Book1_2 2_TOM TAT" xfId="20443" xr:uid="{00000000-0005-0000-0000-00001D150000}"/>
    <cellStyle name="_TG-TH_1_DTCDT MR.2N110.HOCMON.TDTOAN.CCUNG_Book1_2 3" xfId="17964" xr:uid="{00000000-0005-0000-0000-00001E150000}"/>
    <cellStyle name="_TG-TH_1_DTCDT MR.2N110.HOCMON.TDTOAN.CCUNG_Book1_2 3_TOM TAT" xfId="20444" xr:uid="{00000000-0005-0000-0000-00001F150000}"/>
    <cellStyle name="_TG-TH_1_DTCDT MR.2N110.HOCMON.TDTOAN.CCUNG_Book1_2_TOM TAT" xfId="20442" xr:uid="{00000000-0005-0000-0000-000020150000}"/>
    <cellStyle name="_TG-TH_1_DTCDT MR.2N110.HOCMON.TDTOAN.CCUNG_Book1_3" xfId="868" xr:uid="{00000000-0005-0000-0000-000021150000}"/>
    <cellStyle name="_TG-TH_1_DTCDT MR.2N110.HOCMON.TDTOAN.CCUNG_Book1_3 2" xfId="4139" xr:uid="{00000000-0005-0000-0000-000022150000}"/>
    <cellStyle name="_TG-TH_1_DTCDT MR.2N110.HOCMON.TDTOAN.CCUNG_Book1_3 2_TOM TAT" xfId="20446" xr:uid="{00000000-0005-0000-0000-000023150000}"/>
    <cellStyle name="_TG-TH_1_DTCDT MR.2N110.HOCMON.TDTOAN.CCUNG_Book1_3 3" xfId="17965" xr:uid="{00000000-0005-0000-0000-000024150000}"/>
    <cellStyle name="_TG-TH_1_DTCDT MR.2N110.HOCMON.TDTOAN.CCUNG_Book1_3 3_TOM TAT" xfId="20447" xr:uid="{00000000-0005-0000-0000-000025150000}"/>
    <cellStyle name="_TG-TH_1_DTCDT MR.2N110.HOCMON.TDTOAN.CCUNG_Book1_3_TOM TAT" xfId="20445" xr:uid="{00000000-0005-0000-0000-000026150000}"/>
    <cellStyle name="_TG-TH_1_DTCDT MR.2N110.HOCMON.TDTOAN.CCUNG_Book1_TOM TAT" xfId="20436" xr:uid="{00000000-0005-0000-0000-000027150000}"/>
    <cellStyle name="_TG-TH_1_DTCDT MR.2N110.HOCMON.TDTOAN.CCUNG_TOM TAT" xfId="20433" xr:uid="{00000000-0005-0000-0000-000028150000}"/>
    <cellStyle name="_TG-TH_1_DTCDT MR.2N110.HOCMON.TDTOAN.CCUNG_VATTUDIEN" xfId="869" xr:uid="{00000000-0005-0000-0000-000029150000}"/>
    <cellStyle name="_TG-TH_1_DTCDT MR.2N110.HOCMON.TDTOAN.CCUNG_VATTUDIEN 2" xfId="4140" xr:uid="{00000000-0005-0000-0000-00002A150000}"/>
    <cellStyle name="_TG-TH_1_DTCDT MR.2N110.HOCMON.TDTOAN.CCUNG_VATTUDIEN 2_TOM TAT" xfId="20449" xr:uid="{00000000-0005-0000-0000-00002B150000}"/>
    <cellStyle name="_TG-TH_1_DTCDT MR.2N110.HOCMON.TDTOAN.CCUNG_VATTUDIEN 3" xfId="17966" xr:uid="{00000000-0005-0000-0000-00002C150000}"/>
    <cellStyle name="_TG-TH_1_DTCDT MR.2N110.HOCMON.TDTOAN.CCUNG_VATTUDIEN 3_TOM TAT" xfId="20450" xr:uid="{00000000-0005-0000-0000-00002D150000}"/>
    <cellStyle name="_TG-TH_1_DTCDT MR.2N110.HOCMON.TDTOAN.CCUNG_VATTUDIEN_TOM TAT" xfId="20448" xr:uid="{00000000-0005-0000-0000-00002E150000}"/>
    <cellStyle name="_TG-TH_1_Dtoan-LTT-18-01" xfId="5068" xr:uid="{00000000-0005-0000-0000-00002F150000}"/>
    <cellStyle name="_TG-TH_1_Dtoan-LTT-18-01_TOM TAT" xfId="20451" xr:uid="{00000000-0005-0000-0000-000030150000}"/>
    <cellStyle name="_TG-TH_1_DU TOAN NGUYEN HUE - GD2 (1-02-05) 1" xfId="5069" xr:uid="{00000000-0005-0000-0000-000031150000}"/>
    <cellStyle name="_TG-TH_1_DU TOAN NGUYEN HUE - GD2 (1-02-05) 1_TOM TAT" xfId="20452" xr:uid="{00000000-0005-0000-0000-000032150000}"/>
    <cellStyle name="_TG-TH_1_dutoan dien" xfId="5070" xr:uid="{00000000-0005-0000-0000-000033150000}"/>
    <cellStyle name="_TG-TH_1_dutoan dien_TOM TAT" xfId="20453" xr:uid="{00000000-0005-0000-0000-000034150000}"/>
    <cellStyle name="_TG-TH_1_dutoan dptd" xfId="5071" xr:uid="{00000000-0005-0000-0000-000035150000}"/>
    <cellStyle name="_TG-TH_1_dutoan dptd_TOM TAT" xfId="20454" xr:uid="{00000000-0005-0000-0000-000036150000}"/>
    <cellStyle name="_TG-TH_1_dutoan nuoc" xfId="5072" xr:uid="{00000000-0005-0000-0000-000037150000}"/>
    <cellStyle name="_TG-TH_1_dutoan nuoc_TOM TAT" xfId="20455" xr:uid="{00000000-0005-0000-0000-000038150000}"/>
    <cellStyle name="_TG-TH_1_he thong dien" xfId="5073" xr:uid="{00000000-0005-0000-0000-000039150000}"/>
    <cellStyle name="_TG-TH_1_he thong dien_TOM TAT" xfId="20456" xr:uid="{00000000-0005-0000-0000-00003A150000}"/>
    <cellStyle name="_TG-TH_1_Lora-tungchau" xfId="870" xr:uid="{00000000-0005-0000-0000-00003B150000}"/>
    <cellStyle name="_TG-TH_1_Lora-tungchau 2" xfId="4141" xr:uid="{00000000-0005-0000-0000-00003C150000}"/>
    <cellStyle name="_TG-TH_1_Lora-tungchau 2_TOM TAT" xfId="20458" xr:uid="{00000000-0005-0000-0000-00003D150000}"/>
    <cellStyle name="_TG-TH_1_Lora-tungchau 3" xfId="17967" xr:uid="{00000000-0005-0000-0000-00003E150000}"/>
    <cellStyle name="_TG-TH_1_Lora-tungchau 3_TOM TAT" xfId="20459" xr:uid="{00000000-0005-0000-0000-00003F150000}"/>
    <cellStyle name="_TG-TH_1_Lora-tungchau_Book1" xfId="871" xr:uid="{00000000-0005-0000-0000-000040150000}"/>
    <cellStyle name="_TG-TH_1_Lora-tungchau_Book1 2" xfId="4142" xr:uid="{00000000-0005-0000-0000-000041150000}"/>
    <cellStyle name="_TG-TH_1_Lora-tungchau_Book1 2_TOM TAT" xfId="20461" xr:uid="{00000000-0005-0000-0000-000042150000}"/>
    <cellStyle name="_TG-TH_1_Lora-tungchau_Book1 3" xfId="17968" xr:uid="{00000000-0005-0000-0000-000043150000}"/>
    <cellStyle name="_TG-TH_1_Lora-tungchau_Book1 3_TOM TAT" xfId="20462" xr:uid="{00000000-0005-0000-0000-000044150000}"/>
    <cellStyle name="_TG-TH_1_Lora-tungchau_Book1_1" xfId="872" xr:uid="{00000000-0005-0000-0000-000045150000}"/>
    <cellStyle name="_TG-TH_1_Lora-tungchau_Book1_1 2" xfId="4143" xr:uid="{00000000-0005-0000-0000-000046150000}"/>
    <cellStyle name="_TG-TH_1_Lora-tungchau_Book1_1 2_TOM TAT" xfId="20464" xr:uid="{00000000-0005-0000-0000-000047150000}"/>
    <cellStyle name="_TG-TH_1_Lora-tungchau_Book1_1 3" xfId="17969" xr:uid="{00000000-0005-0000-0000-000048150000}"/>
    <cellStyle name="_TG-TH_1_Lora-tungchau_Book1_1 3_TOM TAT" xfId="20465" xr:uid="{00000000-0005-0000-0000-000049150000}"/>
    <cellStyle name="_TG-TH_1_Lora-tungchau_Book1_1_TOM TAT" xfId="20463" xr:uid="{00000000-0005-0000-0000-00004A150000}"/>
    <cellStyle name="_TG-TH_1_Lora-tungchau_Book1_2" xfId="873" xr:uid="{00000000-0005-0000-0000-00004B150000}"/>
    <cellStyle name="_TG-TH_1_Lora-tungchau_Book1_2 2" xfId="4144" xr:uid="{00000000-0005-0000-0000-00004C150000}"/>
    <cellStyle name="_TG-TH_1_Lora-tungchau_Book1_2 2_TOM TAT" xfId="20467" xr:uid="{00000000-0005-0000-0000-00004D150000}"/>
    <cellStyle name="_TG-TH_1_Lora-tungchau_Book1_2 3" xfId="17970" xr:uid="{00000000-0005-0000-0000-00004E150000}"/>
    <cellStyle name="_TG-TH_1_Lora-tungchau_Book1_2 3_TOM TAT" xfId="20468" xr:uid="{00000000-0005-0000-0000-00004F150000}"/>
    <cellStyle name="_TG-TH_1_Lora-tungchau_Book1_2_TOM TAT" xfId="20466" xr:uid="{00000000-0005-0000-0000-000050150000}"/>
    <cellStyle name="_TG-TH_1_Lora-tungchau_Book1_3" xfId="874" xr:uid="{00000000-0005-0000-0000-000051150000}"/>
    <cellStyle name="_TG-TH_1_Lora-tungchau_Book1_3 2" xfId="4145" xr:uid="{00000000-0005-0000-0000-000052150000}"/>
    <cellStyle name="_TG-TH_1_Lora-tungchau_Book1_3 2_TOM TAT" xfId="20470" xr:uid="{00000000-0005-0000-0000-000053150000}"/>
    <cellStyle name="_TG-TH_1_Lora-tungchau_Book1_3 3" xfId="17971" xr:uid="{00000000-0005-0000-0000-000054150000}"/>
    <cellStyle name="_TG-TH_1_Lora-tungchau_Book1_3 3_TOM TAT" xfId="20471" xr:uid="{00000000-0005-0000-0000-000055150000}"/>
    <cellStyle name="_TG-TH_1_Lora-tungchau_Book1_3_TOM TAT" xfId="20469" xr:uid="{00000000-0005-0000-0000-000056150000}"/>
    <cellStyle name="_TG-TH_1_Lora-tungchau_Book1_TOM TAT" xfId="20460" xr:uid="{00000000-0005-0000-0000-000057150000}"/>
    <cellStyle name="_TG-TH_1_Lora-tungchau_TOM TAT" xfId="20457" xr:uid="{00000000-0005-0000-0000-000058150000}"/>
    <cellStyle name="_TG-TH_1_Lora-tungchau_VATTUDIEN" xfId="875" xr:uid="{00000000-0005-0000-0000-000059150000}"/>
    <cellStyle name="_TG-TH_1_Lora-tungchau_VATTUDIEN 2" xfId="4146" xr:uid="{00000000-0005-0000-0000-00005A150000}"/>
    <cellStyle name="_TG-TH_1_Lora-tungchau_VATTUDIEN 2_TOM TAT" xfId="20473" xr:uid="{00000000-0005-0000-0000-00005B150000}"/>
    <cellStyle name="_TG-TH_1_Lora-tungchau_VATTUDIEN 3" xfId="17972" xr:uid="{00000000-0005-0000-0000-00005C150000}"/>
    <cellStyle name="_TG-TH_1_Lora-tungchau_VATTUDIEN 3_TOM TAT" xfId="20474" xr:uid="{00000000-0005-0000-0000-00005D150000}"/>
    <cellStyle name="_TG-TH_1_Lora-tungchau_VATTUDIEN_TOM TAT" xfId="20472" xr:uid="{00000000-0005-0000-0000-00005E150000}"/>
    <cellStyle name="_TG-TH_1_PGIA-phieu tham tra Kho bac" xfId="876" xr:uid="{00000000-0005-0000-0000-00005F150000}"/>
    <cellStyle name="_TG-TH_1_PGIA-phieu tham tra Kho bac 2" xfId="4147" xr:uid="{00000000-0005-0000-0000-000060150000}"/>
    <cellStyle name="_TG-TH_1_PGIA-phieu tham tra Kho bac 2_TOM TAT" xfId="20476" xr:uid="{00000000-0005-0000-0000-000061150000}"/>
    <cellStyle name="_TG-TH_1_PGIA-phieu tham tra Kho bac 3" xfId="17973" xr:uid="{00000000-0005-0000-0000-000062150000}"/>
    <cellStyle name="_TG-TH_1_PGIA-phieu tham tra Kho bac 3_TOM TAT" xfId="20477" xr:uid="{00000000-0005-0000-0000-000063150000}"/>
    <cellStyle name="_TG-TH_1_PGIA-phieu tham tra Kho bac_Book1" xfId="877" xr:uid="{00000000-0005-0000-0000-000064150000}"/>
    <cellStyle name="_TG-TH_1_PGIA-phieu tham tra Kho bac_Book1 2" xfId="4148" xr:uid="{00000000-0005-0000-0000-000065150000}"/>
    <cellStyle name="_TG-TH_1_PGIA-phieu tham tra Kho bac_Book1 2_TOM TAT" xfId="20479" xr:uid="{00000000-0005-0000-0000-000066150000}"/>
    <cellStyle name="_TG-TH_1_PGIA-phieu tham tra Kho bac_Book1 3" xfId="17974" xr:uid="{00000000-0005-0000-0000-000067150000}"/>
    <cellStyle name="_TG-TH_1_PGIA-phieu tham tra Kho bac_Book1 3_TOM TAT" xfId="20480" xr:uid="{00000000-0005-0000-0000-000068150000}"/>
    <cellStyle name="_TG-TH_1_PGIA-phieu tham tra Kho bac_Book1_1" xfId="878" xr:uid="{00000000-0005-0000-0000-000069150000}"/>
    <cellStyle name="_TG-TH_1_PGIA-phieu tham tra Kho bac_Book1_1 2" xfId="4149" xr:uid="{00000000-0005-0000-0000-00006A150000}"/>
    <cellStyle name="_TG-TH_1_PGIA-phieu tham tra Kho bac_Book1_1 2_TOM TAT" xfId="20482" xr:uid="{00000000-0005-0000-0000-00006B150000}"/>
    <cellStyle name="_TG-TH_1_PGIA-phieu tham tra Kho bac_Book1_1 3" xfId="17975" xr:uid="{00000000-0005-0000-0000-00006C150000}"/>
    <cellStyle name="_TG-TH_1_PGIA-phieu tham tra Kho bac_Book1_1 3_TOM TAT" xfId="20483" xr:uid="{00000000-0005-0000-0000-00006D150000}"/>
    <cellStyle name="_TG-TH_1_PGIA-phieu tham tra Kho bac_Book1_1_TOM TAT" xfId="20481" xr:uid="{00000000-0005-0000-0000-00006E150000}"/>
    <cellStyle name="_TG-TH_1_PGIA-phieu tham tra Kho bac_Book1_2" xfId="879" xr:uid="{00000000-0005-0000-0000-00006F150000}"/>
    <cellStyle name="_TG-TH_1_PGIA-phieu tham tra Kho bac_Book1_2 2" xfId="4150" xr:uid="{00000000-0005-0000-0000-000070150000}"/>
    <cellStyle name="_TG-TH_1_PGIA-phieu tham tra Kho bac_Book1_2 2_TOM TAT" xfId="20485" xr:uid="{00000000-0005-0000-0000-000071150000}"/>
    <cellStyle name="_TG-TH_1_PGIA-phieu tham tra Kho bac_Book1_2 3" xfId="17976" xr:uid="{00000000-0005-0000-0000-000072150000}"/>
    <cellStyle name="_TG-TH_1_PGIA-phieu tham tra Kho bac_Book1_2 3_TOM TAT" xfId="20486" xr:uid="{00000000-0005-0000-0000-000073150000}"/>
    <cellStyle name="_TG-TH_1_PGIA-phieu tham tra Kho bac_Book1_2_TOM TAT" xfId="20484" xr:uid="{00000000-0005-0000-0000-000074150000}"/>
    <cellStyle name="_TG-TH_1_PGIA-phieu tham tra Kho bac_Book1_3" xfId="880" xr:uid="{00000000-0005-0000-0000-000075150000}"/>
    <cellStyle name="_TG-TH_1_PGIA-phieu tham tra Kho bac_Book1_3 2" xfId="4151" xr:uid="{00000000-0005-0000-0000-000076150000}"/>
    <cellStyle name="_TG-TH_1_PGIA-phieu tham tra Kho bac_Book1_3 2_TOM TAT" xfId="20488" xr:uid="{00000000-0005-0000-0000-000077150000}"/>
    <cellStyle name="_TG-TH_1_PGIA-phieu tham tra Kho bac_Book1_3 3" xfId="17977" xr:uid="{00000000-0005-0000-0000-000078150000}"/>
    <cellStyle name="_TG-TH_1_PGIA-phieu tham tra Kho bac_Book1_3 3_TOM TAT" xfId="20489" xr:uid="{00000000-0005-0000-0000-000079150000}"/>
    <cellStyle name="_TG-TH_1_PGIA-phieu tham tra Kho bac_Book1_3_TOM TAT" xfId="20487" xr:uid="{00000000-0005-0000-0000-00007A150000}"/>
    <cellStyle name="_TG-TH_1_PGIA-phieu tham tra Kho bac_Book1_TOM TAT" xfId="20478" xr:uid="{00000000-0005-0000-0000-00007B150000}"/>
    <cellStyle name="_TG-TH_1_PGIA-phieu tham tra Kho bac_TOM TAT" xfId="20475" xr:uid="{00000000-0005-0000-0000-00007C150000}"/>
    <cellStyle name="_TG-TH_1_PGIA-phieu tham tra Kho bac_VATTUDIEN" xfId="881" xr:uid="{00000000-0005-0000-0000-00007D150000}"/>
    <cellStyle name="_TG-TH_1_PGIA-phieu tham tra Kho bac_VATTUDIEN 2" xfId="4152" xr:uid="{00000000-0005-0000-0000-00007E150000}"/>
    <cellStyle name="_TG-TH_1_PGIA-phieu tham tra Kho bac_VATTUDIEN 2_TOM TAT" xfId="20491" xr:uid="{00000000-0005-0000-0000-00007F150000}"/>
    <cellStyle name="_TG-TH_1_PGIA-phieu tham tra Kho bac_VATTUDIEN 3" xfId="17978" xr:uid="{00000000-0005-0000-0000-000080150000}"/>
    <cellStyle name="_TG-TH_1_PGIA-phieu tham tra Kho bac_VATTUDIEN 3_TOM TAT" xfId="20492" xr:uid="{00000000-0005-0000-0000-000081150000}"/>
    <cellStyle name="_TG-TH_1_PGIA-phieu tham tra Kho bac_VATTUDIEN_TOM TAT" xfId="20490" xr:uid="{00000000-0005-0000-0000-000082150000}"/>
    <cellStyle name="_TG-TH_1_PT02-02" xfId="882" xr:uid="{00000000-0005-0000-0000-000083150000}"/>
    <cellStyle name="_TG-TH_1_PT02-02 2" xfId="4153" xr:uid="{00000000-0005-0000-0000-000084150000}"/>
    <cellStyle name="_TG-TH_1_PT02-02 2_TOM TAT" xfId="20494" xr:uid="{00000000-0005-0000-0000-000085150000}"/>
    <cellStyle name="_TG-TH_1_PT02-02 3" xfId="17979" xr:uid="{00000000-0005-0000-0000-000086150000}"/>
    <cellStyle name="_TG-TH_1_PT02-02 3_TOM TAT" xfId="20495" xr:uid="{00000000-0005-0000-0000-000087150000}"/>
    <cellStyle name="_TG-TH_1_PT02-02_Book1" xfId="883" xr:uid="{00000000-0005-0000-0000-000088150000}"/>
    <cellStyle name="_TG-TH_1_PT02-02_Book1 2" xfId="4154" xr:uid="{00000000-0005-0000-0000-000089150000}"/>
    <cellStyle name="_TG-TH_1_PT02-02_Book1 2_TOM TAT" xfId="20497" xr:uid="{00000000-0005-0000-0000-00008A150000}"/>
    <cellStyle name="_TG-TH_1_PT02-02_Book1 3" xfId="17980" xr:uid="{00000000-0005-0000-0000-00008B150000}"/>
    <cellStyle name="_TG-TH_1_PT02-02_Book1 3_TOM TAT" xfId="20498" xr:uid="{00000000-0005-0000-0000-00008C150000}"/>
    <cellStyle name="_TG-TH_1_PT02-02_Book1_1" xfId="884" xr:uid="{00000000-0005-0000-0000-00008D150000}"/>
    <cellStyle name="_TG-TH_1_PT02-02_Book1_1 2" xfId="4155" xr:uid="{00000000-0005-0000-0000-00008E150000}"/>
    <cellStyle name="_TG-TH_1_PT02-02_Book1_1 2_TOM TAT" xfId="20500" xr:uid="{00000000-0005-0000-0000-00008F150000}"/>
    <cellStyle name="_TG-TH_1_PT02-02_Book1_1 3" xfId="17981" xr:uid="{00000000-0005-0000-0000-000090150000}"/>
    <cellStyle name="_TG-TH_1_PT02-02_Book1_1 3_TOM TAT" xfId="20501" xr:uid="{00000000-0005-0000-0000-000091150000}"/>
    <cellStyle name="_TG-TH_1_PT02-02_Book1_1_TOM TAT" xfId="20499" xr:uid="{00000000-0005-0000-0000-000092150000}"/>
    <cellStyle name="_TG-TH_1_PT02-02_Book1_2" xfId="885" xr:uid="{00000000-0005-0000-0000-000093150000}"/>
    <cellStyle name="_TG-TH_1_PT02-02_Book1_2 2" xfId="4156" xr:uid="{00000000-0005-0000-0000-000094150000}"/>
    <cellStyle name="_TG-TH_1_PT02-02_Book1_2 2_TOM TAT" xfId="20503" xr:uid="{00000000-0005-0000-0000-000095150000}"/>
    <cellStyle name="_TG-TH_1_PT02-02_Book1_2 3" xfId="17982" xr:uid="{00000000-0005-0000-0000-000096150000}"/>
    <cellStyle name="_TG-TH_1_PT02-02_Book1_2 3_TOM TAT" xfId="20504" xr:uid="{00000000-0005-0000-0000-000097150000}"/>
    <cellStyle name="_TG-TH_1_PT02-02_Book1_2_TOM TAT" xfId="20502" xr:uid="{00000000-0005-0000-0000-000098150000}"/>
    <cellStyle name="_TG-TH_1_PT02-02_Book1_3" xfId="886" xr:uid="{00000000-0005-0000-0000-000099150000}"/>
    <cellStyle name="_TG-TH_1_PT02-02_Book1_3 2" xfId="4157" xr:uid="{00000000-0005-0000-0000-00009A150000}"/>
    <cellStyle name="_TG-TH_1_PT02-02_Book1_3 2_TOM TAT" xfId="20506" xr:uid="{00000000-0005-0000-0000-00009B150000}"/>
    <cellStyle name="_TG-TH_1_PT02-02_Book1_3 3" xfId="17983" xr:uid="{00000000-0005-0000-0000-00009C150000}"/>
    <cellStyle name="_TG-TH_1_PT02-02_Book1_3 3_TOM TAT" xfId="20507" xr:uid="{00000000-0005-0000-0000-00009D150000}"/>
    <cellStyle name="_TG-TH_1_PT02-02_Book1_3_TOM TAT" xfId="20505" xr:uid="{00000000-0005-0000-0000-00009E150000}"/>
    <cellStyle name="_TG-TH_1_PT02-02_Book1_4" xfId="887" xr:uid="{00000000-0005-0000-0000-00009F150000}"/>
    <cellStyle name="_TG-TH_1_PT02-02_Book1_4 2" xfId="4158" xr:uid="{00000000-0005-0000-0000-0000A0150000}"/>
    <cellStyle name="_TG-TH_1_PT02-02_Book1_4 2_TOM TAT" xfId="20509" xr:uid="{00000000-0005-0000-0000-0000A1150000}"/>
    <cellStyle name="_TG-TH_1_PT02-02_Book1_4 3" xfId="17984" xr:uid="{00000000-0005-0000-0000-0000A2150000}"/>
    <cellStyle name="_TG-TH_1_PT02-02_Book1_4 3_TOM TAT" xfId="20510" xr:uid="{00000000-0005-0000-0000-0000A3150000}"/>
    <cellStyle name="_TG-TH_1_PT02-02_Book1_4_TOM TAT" xfId="20508" xr:uid="{00000000-0005-0000-0000-0000A4150000}"/>
    <cellStyle name="_TG-TH_1_PT02-02_Book1_Book1" xfId="888" xr:uid="{00000000-0005-0000-0000-0000A5150000}"/>
    <cellStyle name="_TG-TH_1_PT02-02_Book1_Book1 2" xfId="4159" xr:uid="{00000000-0005-0000-0000-0000A6150000}"/>
    <cellStyle name="_TG-TH_1_PT02-02_Book1_Book1 2_TOM TAT" xfId="20512" xr:uid="{00000000-0005-0000-0000-0000A7150000}"/>
    <cellStyle name="_TG-TH_1_PT02-02_Book1_Book1 3" xfId="17985" xr:uid="{00000000-0005-0000-0000-0000A8150000}"/>
    <cellStyle name="_TG-TH_1_PT02-02_Book1_Book1 3_TOM TAT" xfId="20513" xr:uid="{00000000-0005-0000-0000-0000A9150000}"/>
    <cellStyle name="_TG-TH_1_PT02-02_Book1_Book1_1" xfId="889" xr:uid="{00000000-0005-0000-0000-0000AA150000}"/>
    <cellStyle name="_TG-TH_1_PT02-02_Book1_Book1_1 2" xfId="4160" xr:uid="{00000000-0005-0000-0000-0000AB150000}"/>
    <cellStyle name="_TG-TH_1_PT02-02_Book1_Book1_1 2_TOM TAT" xfId="20515" xr:uid="{00000000-0005-0000-0000-0000AC150000}"/>
    <cellStyle name="_TG-TH_1_PT02-02_Book1_Book1_1 3" xfId="17986" xr:uid="{00000000-0005-0000-0000-0000AD150000}"/>
    <cellStyle name="_TG-TH_1_PT02-02_Book1_Book1_1 3_TOM TAT" xfId="20516" xr:uid="{00000000-0005-0000-0000-0000AE150000}"/>
    <cellStyle name="_TG-TH_1_PT02-02_Book1_Book1_1_TOM TAT" xfId="20514" xr:uid="{00000000-0005-0000-0000-0000AF150000}"/>
    <cellStyle name="_TG-TH_1_PT02-02_Book1_Book1_2" xfId="890" xr:uid="{00000000-0005-0000-0000-0000B0150000}"/>
    <cellStyle name="_TG-TH_1_PT02-02_Book1_Book1_2 2" xfId="4161" xr:uid="{00000000-0005-0000-0000-0000B1150000}"/>
    <cellStyle name="_TG-TH_1_PT02-02_Book1_Book1_2 2_TOM TAT" xfId="20518" xr:uid="{00000000-0005-0000-0000-0000B2150000}"/>
    <cellStyle name="_TG-TH_1_PT02-02_Book1_Book1_2 3" xfId="17987" xr:uid="{00000000-0005-0000-0000-0000B3150000}"/>
    <cellStyle name="_TG-TH_1_PT02-02_Book1_Book1_2 3_TOM TAT" xfId="20519" xr:uid="{00000000-0005-0000-0000-0000B4150000}"/>
    <cellStyle name="_TG-TH_1_PT02-02_Book1_Book1_2_TOM TAT" xfId="20517" xr:uid="{00000000-0005-0000-0000-0000B5150000}"/>
    <cellStyle name="_TG-TH_1_PT02-02_Book1_Book1_3" xfId="891" xr:uid="{00000000-0005-0000-0000-0000B6150000}"/>
    <cellStyle name="_TG-TH_1_PT02-02_Book1_Book1_3 2" xfId="4162" xr:uid="{00000000-0005-0000-0000-0000B7150000}"/>
    <cellStyle name="_TG-TH_1_PT02-02_Book1_Book1_3 2_TOM TAT" xfId="20521" xr:uid="{00000000-0005-0000-0000-0000B8150000}"/>
    <cellStyle name="_TG-TH_1_PT02-02_Book1_Book1_3 3" xfId="17988" xr:uid="{00000000-0005-0000-0000-0000B9150000}"/>
    <cellStyle name="_TG-TH_1_PT02-02_Book1_Book1_3 3_TOM TAT" xfId="20522" xr:uid="{00000000-0005-0000-0000-0000BA150000}"/>
    <cellStyle name="_TG-TH_1_PT02-02_Book1_Book1_3_TOM TAT" xfId="20520" xr:uid="{00000000-0005-0000-0000-0000BB150000}"/>
    <cellStyle name="_TG-TH_1_PT02-02_Book1_Book1_TOM TAT" xfId="20511" xr:uid="{00000000-0005-0000-0000-0000BC150000}"/>
    <cellStyle name="_TG-TH_1_PT02-02_Book1_TOM TAT" xfId="20496" xr:uid="{00000000-0005-0000-0000-0000BD150000}"/>
    <cellStyle name="_TG-TH_1_PT02-02_Book1_VATTUDIEN" xfId="892" xr:uid="{00000000-0005-0000-0000-0000BE150000}"/>
    <cellStyle name="_TG-TH_1_PT02-02_Book1_VATTUDIEN 2" xfId="4163" xr:uid="{00000000-0005-0000-0000-0000BF150000}"/>
    <cellStyle name="_TG-TH_1_PT02-02_Book1_VATTUDIEN 2_TOM TAT" xfId="20524" xr:uid="{00000000-0005-0000-0000-0000C0150000}"/>
    <cellStyle name="_TG-TH_1_PT02-02_Book1_VATTUDIEN 3" xfId="17989" xr:uid="{00000000-0005-0000-0000-0000C1150000}"/>
    <cellStyle name="_TG-TH_1_PT02-02_Book1_VATTUDIEN 3_TOM TAT" xfId="20525" xr:uid="{00000000-0005-0000-0000-0000C2150000}"/>
    <cellStyle name="_TG-TH_1_PT02-02_Book1_VATTUDIEN_TOM TAT" xfId="20523" xr:uid="{00000000-0005-0000-0000-0000C3150000}"/>
    <cellStyle name="_TG-TH_1_PT02-02_TOM TAT" xfId="20493" xr:uid="{00000000-0005-0000-0000-0000C4150000}"/>
    <cellStyle name="_TG-TH_1_PT02-02_VATTUDIEN" xfId="893" xr:uid="{00000000-0005-0000-0000-0000C5150000}"/>
    <cellStyle name="_TG-TH_1_PT02-02_VATTUDIEN 2" xfId="4164" xr:uid="{00000000-0005-0000-0000-0000C6150000}"/>
    <cellStyle name="_TG-TH_1_PT02-02_VATTUDIEN 2_TOM TAT" xfId="20527" xr:uid="{00000000-0005-0000-0000-0000C7150000}"/>
    <cellStyle name="_TG-TH_1_PT02-02_VATTUDIEN 3" xfId="17990" xr:uid="{00000000-0005-0000-0000-0000C8150000}"/>
    <cellStyle name="_TG-TH_1_PT02-02_VATTUDIEN 3_TOM TAT" xfId="20528" xr:uid="{00000000-0005-0000-0000-0000C9150000}"/>
    <cellStyle name="_TG-TH_1_PT02-02_VATTUDIEN_TOM TAT" xfId="20526" xr:uid="{00000000-0005-0000-0000-0000CA150000}"/>
    <cellStyle name="_TG-TH_1_PT02-03" xfId="894" xr:uid="{00000000-0005-0000-0000-0000CB150000}"/>
    <cellStyle name="_TG-TH_1_PT02-03 2" xfId="4165" xr:uid="{00000000-0005-0000-0000-0000CC150000}"/>
    <cellStyle name="_TG-TH_1_PT02-03 2_TOM TAT" xfId="20530" xr:uid="{00000000-0005-0000-0000-0000CD150000}"/>
    <cellStyle name="_TG-TH_1_PT02-03 3" xfId="17991" xr:uid="{00000000-0005-0000-0000-0000CE150000}"/>
    <cellStyle name="_TG-TH_1_PT02-03 3_TOM TAT" xfId="20531" xr:uid="{00000000-0005-0000-0000-0000CF150000}"/>
    <cellStyle name="_TG-TH_1_PT02-03_Book1" xfId="895" xr:uid="{00000000-0005-0000-0000-0000D0150000}"/>
    <cellStyle name="_TG-TH_1_PT02-03_Book1 2" xfId="4166" xr:uid="{00000000-0005-0000-0000-0000D1150000}"/>
    <cellStyle name="_TG-TH_1_PT02-03_Book1 2_TOM TAT" xfId="20533" xr:uid="{00000000-0005-0000-0000-0000D2150000}"/>
    <cellStyle name="_TG-TH_1_PT02-03_Book1 3" xfId="17992" xr:uid="{00000000-0005-0000-0000-0000D3150000}"/>
    <cellStyle name="_TG-TH_1_PT02-03_Book1 3_TOM TAT" xfId="20534" xr:uid="{00000000-0005-0000-0000-0000D4150000}"/>
    <cellStyle name="_TG-TH_1_PT02-03_Book1_1" xfId="896" xr:uid="{00000000-0005-0000-0000-0000D5150000}"/>
    <cellStyle name="_TG-TH_1_PT02-03_Book1_1 2" xfId="4167" xr:uid="{00000000-0005-0000-0000-0000D6150000}"/>
    <cellStyle name="_TG-TH_1_PT02-03_Book1_1 2_TOM TAT" xfId="20536" xr:uid="{00000000-0005-0000-0000-0000D7150000}"/>
    <cellStyle name="_TG-TH_1_PT02-03_Book1_1 3" xfId="17993" xr:uid="{00000000-0005-0000-0000-0000D8150000}"/>
    <cellStyle name="_TG-TH_1_PT02-03_Book1_1 3_TOM TAT" xfId="20537" xr:uid="{00000000-0005-0000-0000-0000D9150000}"/>
    <cellStyle name="_TG-TH_1_PT02-03_Book1_1_TOM TAT" xfId="20535" xr:uid="{00000000-0005-0000-0000-0000DA150000}"/>
    <cellStyle name="_TG-TH_1_PT02-03_Book1_2" xfId="897" xr:uid="{00000000-0005-0000-0000-0000DB150000}"/>
    <cellStyle name="_TG-TH_1_PT02-03_Book1_2 2" xfId="4168" xr:uid="{00000000-0005-0000-0000-0000DC150000}"/>
    <cellStyle name="_TG-TH_1_PT02-03_Book1_2 2_TOM TAT" xfId="20539" xr:uid="{00000000-0005-0000-0000-0000DD150000}"/>
    <cellStyle name="_TG-TH_1_PT02-03_Book1_2 3" xfId="17994" xr:uid="{00000000-0005-0000-0000-0000DE150000}"/>
    <cellStyle name="_TG-TH_1_PT02-03_Book1_2 3_TOM TAT" xfId="20540" xr:uid="{00000000-0005-0000-0000-0000DF150000}"/>
    <cellStyle name="_TG-TH_1_PT02-03_Book1_2_TOM TAT" xfId="20538" xr:uid="{00000000-0005-0000-0000-0000E0150000}"/>
    <cellStyle name="_TG-TH_1_PT02-03_Book1_3" xfId="898" xr:uid="{00000000-0005-0000-0000-0000E1150000}"/>
    <cellStyle name="_TG-TH_1_PT02-03_Book1_3 2" xfId="4169" xr:uid="{00000000-0005-0000-0000-0000E2150000}"/>
    <cellStyle name="_TG-TH_1_PT02-03_Book1_3 2_TOM TAT" xfId="20542" xr:uid="{00000000-0005-0000-0000-0000E3150000}"/>
    <cellStyle name="_TG-TH_1_PT02-03_Book1_3 3" xfId="17995" xr:uid="{00000000-0005-0000-0000-0000E4150000}"/>
    <cellStyle name="_TG-TH_1_PT02-03_Book1_3 3_TOM TAT" xfId="20543" xr:uid="{00000000-0005-0000-0000-0000E5150000}"/>
    <cellStyle name="_TG-TH_1_PT02-03_Book1_3_TOM TAT" xfId="20541" xr:uid="{00000000-0005-0000-0000-0000E6150000}"/>
    <cellStyle name="_TG-TH_1_PT02-03_Book1_4" xfId="899" xr:uid="{00000000-0005-0000-0000-0000E7150000}"/>
    <cellStyle name="_TG-TH_1_PT02-03_Book1_4 2" xfId="4170" xr:uid="{00000000-0005-0000-0000-0000E8150000}"/>
    <cellStyle name="_TG-TH_1_PT02-03_Book1_4 2_TOM TAT" xfId="20545" xr:uid="{00000000-0005-0000-0000-0000E9150000}"/>
    <cellStyle name="_TG-TH_1_PT02-03_Book1_4 3" xfId="17996" xr:uid="{00000000-0005-0000-0000-0000EA150000}"/>
    <cellStyle name="_TG-TH_1_PT02-03_Book1_4 3_TOM TAT" xfId="20546" xr:uid="{00000000-0005-0000-0000-0000EB150000}"/>
    <cellStyle name="_TG-TH_1_PT02-03_Book1_4_TOM TAT" xfId="20544" xr:uid="{00000000-0005-0000-0000-0000EC150000}"/>
    <cellStyle name="_TG-TH_1_PT02-03_Book1_Book1" xfId="900" xr:uid="{00000000-0005-0000-0000-0000ED150000}"/>
    <cellStyle name="_TG-TH_1_PT02-03_Book1_Book1 2" xfId="4171" xr:uid="{00000000-0005-0000-0000-0000EE150000}"/>
    <cellStyle name="_TG-TH_1_PT02-03_Book1_Book1 2_TOM TAT" xfId="20548" xr:uid="{00000000-0005-0000-0000-0000EF150000}"/>
    <cellStyle name="_TG-TH_1_PT02-03_Book1_Book1 3" xfId="17997" xr:uid="{00000000-0005-0000-0000-0000F0150000}"/>
    <cellStyle name="_TG-TH_1_PT02-03_Book1_Book1 3_TOM TAT" xfId="20549" xr:uid="{00000000-0005-0000-0000-0000F1150000}"/>
    <cellStyle name="_TG-TH_1_PT02-03_Book1_Book1_1" xfId="901" xr:uid="{00000000-0005-0000-0000-0000F2150000}"/>
    <cellStyle name="_TG-TH_1_PT02-03_Book1_Book1_1 2" xfId="4172" xr:uid="{00000000-0005-0000-0000-0000F3150000}"/>
    <cellStyle name="_TG-TH_1_PT02-03_Book1_Book1_1 2_TOM TAT" xfId="20551" xr:uid="{00000000-0005-0000-0000-0000F4150000}"/>
    <cellStyle name="_TG-TH_1_PT02-03_Book1_Book1_1 3" xfId="17998" xr:uid="{00000000-0005-0000-0000-0000F5150000}"/>
    <cellStyle name="_TG-TH_1_PT02-03_Book1_Book1_1 3_TOM TAT" xfId="20552" xr:uid="{00000000-0005-0000-0000-0000F6150000}"/>
    <cellStyle name="_TG-TH_1_PT02-03_Book1_Book1_1_TOM TAT" xfId="20550" xr:uid="{00000000-0005-0000-0000-0000F7150000}"/>
    <cellStyle name="_TG-TH_1_PT02-03_Book1_Book1_2" xfId="902" xr:uid="{00000000-0005-0000-0000-0000F8150000}"/>
    <cellStyle name="_TG-TH_1_PT02-03_Book1_Book1_2 2" xfId="4173" xr:uid="{00000000-0005-0000-0000-0000F9150000}"/>
    <cellStyle name="_TG-TH_1_PT02-03_Book1_Book1_2 2_TOM TAT" xfId="20554" xr:uid="{00000000-0005-0000-0000-0000FA150000}"/>
    <cellStyle name="_TG-TH_1_PT02-03_Book1_Book1_2 3" xfId="17999" xr:uid="{00000000-0005-0000-0000-0000FB150000}"/>
    <cellStyle name="_TG-TH_1_PT02-03_Book1_Book1_2 3_TOM TAT" xfId="20555" xr:uid="{00000000-0005-0000-0000-0000FC150000}"/>
    <cellStyle name="_TG-TH_1_PT02-03_Book1_Book1_2_TOM TAT" xfId="20553" xr:uid="{00000000-0005-0000-0000-0000FD150000}"/>
    <cellStyle name="_TG-TH_1_PT02-03_Book1_Book1_3" xfId="903" xr:uid="{00000000-0005-0000-0000-0000FE150000}"/>
    <cellStyle name="_TG-TH_1_PT02-03_Book1_Book1_3 2" xfId="4174" xr:uid="{00000000-0005-0000-0000-0000FF150000}"/>
    <cellStyle name="_TG-TH_1_PT02-03_Book1_Book1_3 2_TOM TAT" xfId="20557" xr:uid="{00000000-0005-0000-0000-000000160000}"/>
    <cellStyle name="_TG-TH_1_PT02-03_Book1_Book1_3 3" xfId="18000" xr:uid="{00000000-0005-0000-0000-000001160000}"/>
    <cellStyle name="_TG-TH_1_PT02-03_Book1_Book1_3 3_TOM TAT" xfId="20558" xr:uid="{00000000-0005-0000-0000-000002160000}"/>
    <cellStyle name="_TG-TH_1_PT02-03_Book1_Book1_3_TOM TAT" xfId="20556" xr:uid="{00000000-0005-0000-0000-000003160000}"/>
    <cellStyle name="_TG-TH_1_PT02-03_Book1_Book1_TOM TAT" xfId="20547" xr:uid="{00000000-0005-0000-0000-000004160000}"/>
    <cellStyle name="_TG-TH_1_PT02-03_Book1_TOM TAT" xfId="20532" xr:uid="{00000000-0005-0000-0000-000005160000}"/>
    <cellStyle name="_TG-TH_1_PT02-03_Book1_VATTUDIEN" xfId="904" xr:uid="{00000000-0005-0000-0000-000006160000}"/>
    <cellStyle name="_TG-TH_1_PT02-03_Book1_VATTUDIEN 2" xfId="4175" xr:uid="{00000000-0005-0000-0000-000007160000}"/>
    <cellStyle name="_TG-TH_1_PT02-03_Book1_VATTUDIEN 2_TOM TAT" xfId="20560" xr:uid="{00000000-0005-0000-0000-000008160000}"/>
    <cellStyle name="_TG-TH_1_PT02-03_Book1_VATTUDIEN 3" xfId="18001" xr:uid="{00000000-0005-0000-0000-000009160000}"/>
    <cellStyle name="_TG-TH_1_PT02-03_Book1_VATTUDIEN 3_TOM TAT" xfId="20561" xr:uid="{00000000-0005-0000-0000-00000A160000}"/>
    <cellStyle name="_TG-TH_1_PT02-03_Book1_VATTUDIEN_TOM TAT" xfId="20559" xr:uid="{00000000-0005-0000-0000-00000B160000}"/>
    <cellStyle name="_TG-TH_1_PT02-03_TOM TAT" xfId="20529" xr:uid="{00000000-0005-0000-0000-00000C160000}"/>
    <cellStyle name="_TG-TH_1_PT02-03_VATTUDIEN" xfId="905" xr:uid="{00000000-0005-0000-0000-00000D160000}"/>
    <cellStyle name="_TG-TH_1_PT02-03_VATTUDIEN 2" xfId="4176" xr:uid="{00000000-0005-0000-0000-00000E160000}"/>
    <cellStyle name="_TG-TH_1_PT02-03_VATTUDIEN 2_TOM TAT" xfId="20563" xr:uid="{00000000-0005-0000-0000-00000F160000}"/>
    <cellStyle name="_TG-TH_1_PT02-03_VATTUDIEN 3" xfId="18002" xr:uid="{00000000-0005-0000-0000-000010160000}"/>
    <cellStyle name="_TG-TH_1_PT02-03_VATTUDIEN 3_TOM TAT" xfId="20564" xr:uid="{00000000-0005-0000-0000-000011160000}"/>
    <cellStyle name="_TG-TH_1_PT02-03_VATTUDIEN_TOM TAT" xfId="20562" xr:uid="{00000000-0005-0000-0000-000012160000}"/>
    <cellStyle name="_TG-TH_1_Qt-HT3PQ1(CauKho)" xfId="906" xr:uid="{00000000-0005-0000-0000-000013160000}"/>
    <cellStyle name="_TG-TH_1_Qt-HT3PQ1(CauKho) 2" xfId="4177" xr:uid="{00000000-0005-0000-0000-000014160000}"/>
    <cellStyle name="_TG-TH_1_Qt-HT3PQ1(CauKho) 2_TOM TAT" xfId="20566" xr:uid="{00000000-0005-0000-0000-000015160000}"/>
    <cellStyle name="_TG-TH_1_Qt-HT3PQ1(CauKho) 3" xfId="18003" xr:uid="{00000000-0005-0000-0000-000016160000}"/>
    <cellStyle name="_TG-TH_1_Qt-HT3PQ1(CauKho) 3_TOM TAT" xfId="20567" xr:uid="{00000000-0005-0000-0000-000017160000}"/>
    <cellStyle name="_TG-TH_1_Qt-HT3PQ1(CauKho)_Book1" xfId="907" xr:uid="{00000000-0005-0000-0000-000018160000}"/>
    <cellStyle name="_TG-TH_1_Qt-HT3PQ1(CauKho)_Book1 2" xfId="4178" xr:uid="{00000000-0005-0000-0000-000019160000}"/>
    <cellStyle name="_TG-TH_1_Qt-HT3PQ1(CauKho)_Book1 2_TOM TAT" xfId="20569" xr:uid="{00000000-0005-0000-0000-00001A160000}"/>
    <cellStyle name="_TG-TH_1_Qt-HT3PQ1(CauKho)_Book1 3" xfId="18004" xr:uid="{00000000-0005-0000-0000-00001B160000}"/>
    <cellStyle name="_TG-TH_1_Qt-HT3PQ1(CauKho)_Book1 3_TOM TAT" xfId="20570" xr:uid="{00000000-0005-0000-0000-00001C160000}"/>
    <cellStyle name="_TG-TH_1_Qt-HT3PQ1(CauKho)_Book1_1" xfId="908" xr:uid="{00000000-0005-0000-0000-00001D160000}"/>
    <cellStyle name="_TG-TH_1_Qt-HT3PQ1(CauKho)_Book1_1 2" xfId="4179" xr:uid="{00000000-0005-0000-0000-00001E160000}"/>
    <cellStyle name="_TG-TH_1_Qt-HT3PQ1(CauKho)_Book1_1 2_TOM TAT" xfId="20572" xr:uid="{00000000-0005-0000-0000-00001F160000}"/>
    <cellStyle name="_TG-TH_1_Qt-HT3PQ1(CauKho)_Book1_1 3" xfId="18005" xr:uid="{00000000-0005-0000-0000-000020160000}"/>
    <cellStyle name="_TG-TH_1_Qt-HT3PQ1(CauKho)_Book1_1 3_TOM TAT" xfId="20573" xr:uid="{00000000-0005-0000-0000-000021160000}"/>
    <cellStyle name="_TG-TH_1_Qt-HT3PQ1(CauKho)_Book1_1_TOM TAT" xfId="20571" xr:uid="{00000000-0005-0000-0000-000022160000}"/>
    <cellStyle name="_TG-TH_1_Qt-HT3PQ1(CauKho)_Book1_2" xfId="909" xr:uid="{00000000-0005-0000-0000-000023160000}"/>
    <cellStyle name="_TG-TH_1_Qt-HT3PQ1(CauKho)_Book1_2 2" xfId="4180" xr:uid="{00000000-0005-0000-0000-000024160000}"/>
    <cellStyle name="_TG-TH_1_Qt-HT3PQ1(CauKho)_Book1_2 2_TOM TAT" xfId="20575" xr:uid="{00000000-0005-0000-0000-000025160000}"/>
    <cellStyle name="_TG-TH_1_Qt-HT3PQ1(CauKho)_Book1_2 3" xfId="18006" xr:uid="{00000000-0005-0000-0000-000026160000}"/>
    <cellStyle name="_TG-TH_1_Qt-HT3PQ1(CauKho)_Book1_2 3_TOM TAT" xfId="20576" xr:uid="{00000000-0005-0000-0000-000027160000}"/>
    <cellStyle name="_TG-TH_1_Qt-HT3PQ1(CauKho)_Book1_2_TOM TAT" xfId="20574" xr:uid="{00000000-0005-0000-0000-000028160000}"/>
    <cellStyle name="_TG-TH_1_Qt-HT3PQ1(CauKho)_Book1_3" xfId="910" xr:uid="{00000000-0005-0000-0000-000029160000}"/>
    <cellStyle name="_TG-TH_1_Qt-HT3PQ1(CauKho)_Book1_3 2" xfId="4181" xr:uid="{00000000-0005-0000-0000-00002A160000}"/>
    <cellStyle name="_TG-TH_1_Qt-HT3PQ1(CauKho)_Book1_3 2_TOM TAT" xfId="20578" xr:uid="{00000000-0005-0000-0000-00002B160000}"/>
    <cellStyle name="_TG-TH_1_Qt-HT3PQ1(CauKho)_Book1_3 3" xfId="18007" xr:uid="{00000000-0005-0000-0000-00002C160000}"/>
    <cellStyle name="_TG-TH_1_Qt-HT3PQ1(CauKho)_Book1_3 3_TOM TAT" xfId="20579" xr:uid="{00000000-0005-0000-0000-00002D160000}"/>
    <cellStyle name="_TG-TH_1_Qt-HT3PQ1(CauKho)_Book1_3_TOM TAT" xfId="20577" xr:uid="{00000000-0005-0000-0000-00002E160000}"/>
    <cellStyle name="_TG-TH_1_Qt-HT3PQ1(CauKho)_Book1_TOM TAT" xfId="20568" xr:uid="{00000000-0005-0000-0000-00002F160000}"/>
    <cellStyle name="_TG-TH_1_Qt-HT3PQ1(CauKho)_TOM TAT" xfId="20565" xr:uid="{00000000-0005-0000-0000-000030160000}"/>
    <cellStyle name="_TG-TH_1_Qt-HT3PQ1(CauKho)_VATTUDIEN" xfId="911" xr:uid="{00000000-0005-0000-0000-000031160000}"/>
    <cellStyle name="_TG-TH_1_Qt-HT3PQ1(CauKho)_VATTUDIEN 2" xfId="4182" xr:uid="{00000000-0005-0000-0000-000032160000}"/>
    <cellStyle name="_TG-TH_1_Qt-HT3PQ1(CauKho)_VATTUDIEN 2_TOM TAT" xfId="20581" xr:uid="{00000000-0005-0000-0000-000033160000}"/>
    <cellStyle name="_TG-TH_1_Qt-HT3PQ1(CauKho)_VATTUDIEN 3" xfId="18008" xr:uid="{00000000-0005-0000-0000-000034160000}"/>
    <cellStyle name="_TG-TH_1_Qt-HT3PQ1(CauKho)_VATTUDIEN 3_TOM TAT" xfId="20582" xr:uid="{00000000-0005-0000-0000-000035160000}"/>
    <cellStyle name="_TG-TH_1_Qt-HT3PQ1(CauKho)_VATTUDIEN_TOM TAT" xfId="20580" xr:uid="{00000000-0005-0000-0000-000036160000}"/>
    <cellStyle name="_TG-TH_1_Sheet1" xfId="5074" xr:uid="{00000000-0005-0000-0000-000037160000}"/>
    <cellStyle name="_TG-TH_1_Sheet1_TOM TAT" xfId="20583" xr:uid="{00000000-0005-0000-0000-000038160000}"/>
    <cellStyle name="_TG-TH_1_Sheet2" xfId="5075" xr:uid="{00000000-0005-0000-0000-000039160000}"/>
    <cellStyle name="_TG-TH_1_Sheet2_TOM TAT" xfId="20584" xr:uid="{00000000-0005-0000-0000-00003A160000}"/>
    <cellStyle name="_TG-TH_1_TH KE" xfId="912" xr:uid="{00000000-0005-0000-0000-00003B160000}"/>
    <cellStyle name="_TG-TH_1_TH KE 2" xfId="4183" xr:uid="{00000000-0005-0000-0000-00003C160000}"/>
    <cellStyle name="_TG-TH_1_TH KE 2_TOM TAT" xfId="20586" xr:uid="{00000000-0005-0000-0000-00003D160000}"/>
    <cellStyle name="_TG-TH_1_TH KE 3" xfId="18009" xr:uid="{00000000-0005-0000-0000-00003E160000}"/>
    <cellStyle name="_TG-TH_1_TH KE 3_TOM TAT" xfId="20587" xr:uid="{00000000-0005-0000-0000-00003F160000}"/>
    <cellStyle name="_TG-TH_1_TH KE_Book1" xfId="913" xr:uid="{00000000-0005-0000-0000-000040160000}"/>
    <cellStyle name="_TG-TH_1_TH KE_Book1 2" xfId="4184" xr:uid="{00000000-0005-0000-0000-000041160000}"/>
    <cellStyle name="_TG-TH_1_TH KE_Book1 2_TOM TAT" xfId="20589" xr:uid="{00000000-0005-0000-0000-000042160000}"/>
    <cellStyle name="_TG-TH_1_TH KE_Book1 3" xfId="18010" xr:uid="{00000000-0005-0000-0000-000043160000}"/>
    <cellStyle name="_TG-TH_1_TH KE_Book1 3_TOM TAT" xfId="20590" xr:uid="{00000000-0005-0000-0000-000044160000}"/>
    <cellStyle name="_TG-TH_1_TH KE_Book1_1" xfId="914" xr:uid="{00000000-0005-0000-0000-000045160000}"/>
    <cellStyle name="_TG-TH_1_TH KE_Book1_1 2" xfId="4185" xr:uid="{00000000-0005-0000-0000-000046160000}"/>
    <cellStyle name="_TG-TH_1_TH KE_Book1_1 2_TOM TAT" xfId="20592" xr:uid="{00000000-0005-0000-0000-000047160000}"/>
    <cellStyle name="_TG-TH_1_TH KE_Book1_1 3" xfId="18011" xr:uid="{00000000-0005-0000-0000-000048160000}"/>
    <cellStyle name="_TG-TH_1_TH KE_Book1_1 3_TOM TAT" xfId="20593" xr:uid="{00000000-0005-0000-0000-000049160000}"/>
    <cellStyle name="_TG-TH_1_TH KE_Book1_1_TOM TAT" xfId="20591" xr:uid="{00000000-0005-0000-0000-00004A160000}"/>
    <cellStyle name="_TG-TH_1_TH KE_Book1_2" xfId="915" xr:uid="{00000000-0005-0000-0000-00004B160000}"/>
    <cellStyle name="_TG-TH_1_TH KE_Book1_2 2" xfId="4186" xr:uid="{00000000-0005-0000-0000-00004C160000}"/>
    <cellStyle name="_TG-TH_1_TH KE_Book1_2 2_TOM TAT" xfId="20595" xr:uid="{00000000-0005-0000-0000-00004D160000}"/>
    <cellStyle name="_TG-TH_1_TH KE_Book1_2 3" xfId="18012" xr:uid="{00000000-0005-0000-0000-00004E160000}"/>
    <cellStyle name="_TG-TH_1_TH KE_Book1_2 3_TOM TAT" xfId="20596" xr:uid="{00000000-0005-0000-0000-00004F160000}"/>
    <cellStyle name="_TG-TH_1_TH KE_Book1_2_TOM TAT" xfId="20594" xr:uid="{00000000-0005-0000-0000-000050160000}"/>
    <cellStyle name="_TG-TH_1_TH KE_Book1_3" xfId="916" xr:uid="{00000000-0005-0000-0000-000051160000}"/>
    <cellStyle name="_TG-TH_1_TH KE_Book1_3 2" xfId="4187" xr:uid="{00000000-0005-0000-0000-000052160000}"/>
    <cellStyle name="_TG-TH_1_TH KE_Book1_3 2_TOM TAT" xfId="20598" xr:uid="{00000000-0005-0000-0000-000053160000}"/>
    <cellStyle name="_TG-TH_1_TH KE_Book1_3 3" xfId="18013" xr:uid="{00000000-0005-0000-0000-000054160000}"/>
    <cellStyle name="_TG-TH_1_TH KE_Book1_3 3_TOM TAT" xfId="20599" xr:uid="{00000000-0005-0000-0000-000055160000}"/>
    <cellStyle name="_TG-TH_1_TH KE_Book1_3_TOM TAT" xfId="20597" xr:uid="{00000000-0005-0000-0000-000056160000}"/>
    <cellStyle name="_TG-TH_1_TH KE_Book1_TOM TAT" xfId="20588" xr:uid="{00000000-0005-0000-0000-000057160000}"/>
    <cellStyle name="_TG-TH_1_TH KE_TOM TAT" xfId="20585" xr:uid="{00000000-0005-0000-0000-000058160000}"/>
    <cellStyle name="_TG-TH_1_TH KE_VATTUDIEN" xfId="917" xr:uid="{00000000-0005-0000-0000-000059160000}"/>
    <cellStyle name="_TG-TH_1_TH KE_VATTUDIEN 2" xfId="4188" xr:uid="{00000000-0005-0000-0000-00005A160000}"/>
    <cellStyle name="_TG-TH_1_TH KE_VATTUDIEN 2_TOM TAT" xfId="20601" xr:uid="{00000000-0005-0000-0000-00005B160000}"/>
    <cellStyle name="_TG-TH_1_TH KE_VATTUDIEN 3" xfId="18014" xr:uid="{00000000-0005-0000-0000-00005C160000}"/>
    <cellStyle name="_TG-TH_1_TH KE_VATTUDIEN 3_TOM TAT" xfId="20602" xr:uid="{00000000-0005-0000-0000-00005D160000}"/>
    <cellStyle name="_TG-TH_1_TH KE_VATTUDIEN_TOM TAT" xfId="20600" xr:uid="{00000000-0005-0000-0000-00005E160000}"/>
    <cellStyle name="_TG-TH_1_TOM TAT" xfId="20230" xr:uid="{00000000-0005-0000-0000-00005F160000}"/>
    <cellStyle name="_TG-TH_1_VATTUDIEN" xfId="918" xr:uid="{00000000-0005-0000-0000-000060160000}"/>
    <cellStyle name="_TG-TH_1_VATTUDIEN 2" xfId="4189" xr:uid="{00000000-0005-0000-0000-000061160000}"/>
    <cellStyle name="_TG-TH_1_VATTUDIEN 2_TOM TAT" xfId="20604" xr:uid="{00000000-0005-0000-0000-000062160000}"/>
    <cellStyle name="_TG-TH_1_VATTUDIEN 3" xfId="18015" xr:uid="{00000000-0005-0000-0000-000063160000}"/>
    <cellStyle name="_TG-TH_1_VATTUDIEN 3_TOM TAT" xfId="20605" xr:uid="{00000000-0005-0000-0000-000064160000}"/>
    <cellStyle name="_TG-TH_1_VATTUDIEN_TOM TAT" xfId="20603" xr:uid="{00000000-0005-0000-0000-000065160000}"/>
    <cellStyle name="_TG-TH_1_XN3-2005" xfId="919" xr:uid="{00000000-0005-0000-0000-000066160000}"/>
    <cellStyle name="_TG-TH_1_XN3-2005 2" xfId="4190" xr:uid="{00000000-0005-0000-0000-000067160000}"/>
    <cellStyle name="_TG-TH_1_XN3-2005 2_TOM TAT" xfId="20607" xr:uid="{00000000-0005-0000-0000-000068160000}"/>
    <cellStyle name="_TG-TH_1_XN3-2005 3" xfId="18016" xr:uid="{00000000-0005-0000-0000-000069160000}"/>
    <cellStyle name="_TG-TH_1_XN3-2005 3_TOM TAT" xfId="20608" xr:uid="{00000000-0005-0000-0000-00006A160000}"/>
    <cellStyle name="_TG-TH_1_XN3-2005_TOM TAT" xfId="20606" xr:uid="{00000000-0005-0000-0000-00006B160000}"/>
    <cellStyle name="_TG-TH_2" xfId="920" xr:uid="{00000000-0005-0000-0000-00006C160000}"/>
    <cellStyle name="_TG-TH_2 2" xfId="4191" xr:uid="{00000000-0005-0000-0000-00006D160000}"/>
    <cellStyle name="_TG-TH_2 2_TOM TAT" xfId="20610" xr:uid="{00000000-0005-0000-0000-00006E160000}"/>
    <cellStyle name="_TG-TH_2 3" xfId="18017" xr:uid="{00000000-0005-0000-0000-00006F160000}"/>
    <cellStyle name="_TG-TH_2 3_TOM TAT" xfId="20611" xr:uid="{00000000-0005-0000-0000-000070160000}"/>
    <cellStyle name="_TG-TH_2_BAO CAO KLCT PT2000" xfId="921" xr:uid="{00000000-0005-0000-0000-000071160000}"/>
    <cellStyle name="_TG-TH_2_BAO CAO KLCT PT2000 2" xfId="4192" xr:uid="{00000000-0005-0000-0000-000072160000}"/>
    <cellStyle name="_TG-TH_2_BAO CAO KLCT PT2000 2_TOM TAT" xfId="20613" xr:uid="{00000000-0005-0000-0000-000073160000}"/>
    <cellStyle name="_TG-TH_2_BAO CAO KLCT PT2000 3" xfId="18018" xr:uid="{00000000-0005-0000-0000-000074160000}"/>
    <cellStyle name="_TG-TH_2_BAO CAO KLCT PT2000 3_TOM TAT" xfId="20614" xr:uid="{00000000-0005-0000-0000-000075160000}"/>
    <cellStyle name="_TG-TH_2_BAO CAO KLCT PT2000_Book1" xfId="922" xr:uid="{00000000-0005-0000-0000-000076160000}"/>
    <cellStyle name="_TG-TH_2_BAO CAO KLCT PT2000_Book1 2" xfId="4193" xr:uid="{00000000-0005-0000-0000-000077160000}"/>
    <cellStyle name="_TG-TH_2_BAO CAO KLCT PT2000_Book1 2_TOM TAT" xfId="20616" xr:uid="{00000000-0005-0000-0000-000078160000}"/>
    <cellStyle name="_TG-TH_2_BAO CAO KLCT PT2000_Book1 3" xfId="18019" xr:uid="{00000000-0005-0000-0000-000079160000}"/>
    <cellStyle name="_TG-TH_2_BAO CAO KLCT PT2000_Book1 3_TOM TAT" xfId="20617" xr:uid="{00000000-0005-0000-0000-00007A160000}"/>
    <cellStyle name="_TG-TH_2_BAO CAO KLCT PT2000_Book1_1" xfId="923" xr:uid="{00000000-0005-0000-0000-00007B160000}"/>
    <cellStyle name="_TG-TH_2_BAO CAO KLCT PT2000_Book1_1 2" xfId="4194" xr:uid="{00000000-0005-0000-0000-00007C160000}"/>
    <cellStyle name="_TG-TH_2_BAO CAO KLCT PT2000_Book1_1 2_TOM TAT" xfId="20619" xr:uid="{00000000-0005-0000-0000-00007D160000}"/>
    <cellStyle name="_TG-TH_2_BAO CAO KLCT PT2000_Book1_1 3" xfId="18020" xr:uid="{00000000-0005-0000-0000-00007E160000}"/>
    <cellStyle name="_TG-TH_2_BAO CAO KLCT PT2000_Book1_1 3_TOM TAT" xfId="20620" xr:uid="{00000000-0005-0000-0000-00007F160000}"/>
    <cellStyle name="_TG-TH_2_BAO CAO KLCT PT2000_Book1_1_TOM TAT" xfId="20618" xr:uid="{00000000-0005-0000-0000-000080160000}"/>
    <cellStyle name="_TG-TH_2_BAO CAO KLCT PT2000_Book1_2" xfId="924" xr:uid="{00000000-0005-0000-0000-000081160000}"/>
    <cellStyle name="_TG-TH_2_BAO CAO KLCT PT2000_Book1_2 2" xfId="4195" xr:uid="{00000000-0005-0000-0000-000082160000}"/>
    <cellStyle name="_TG-TH_2_BAO CAO KLCT PT2000_Book1_2 2_TOM TAT" xfId="20622" xr:uid="{00000000-0005-0000-0000-000083160000}"/>
    <cellStyle name="_TG-TH_2_BAO CAO KLCT PT2000_Book1_2 3" xfId="18021" xr:uid="{00000000-0005-0000-0000-000084160000}"/>
    <cellStyle name="_TG-TH_2_BAO CAO KLCT PT2000_Book1_2 3_TOM TAT" xfId="20623" xr:uid="{00000000-0005-0000-0000-000085160000}"/>
    <cellStyle name="_TG-TH_2_BAO CAO KLCT PT2000_Book1_2_TOM TAT" xfId="20621" xr:uid="{00000000-0005-0000-0000-000086160000}"/>
    <cellStyle name="_TG-TH_2_BAO CAO KLCT PT2000_Book1_3" xfId="925" xr:uid="{00000000-0005-0000-0000-000087160000}"/>
    <cellStyle name="_TG-TH_2_BAO CAO KLCT PT2000_Book1_3 2" xfId="4196" xr:uid="{00000000-0005-0000-0000-000088160000}"/>
    <cellStyle name="_TG-TH_2_BAO CAO KLCT PT2000_Book1_3 2_TOM TAT" xfId="20625" xr:uid="{00000000-0005-0000-0000-000089160000}"/>
    <cellStyle name="_TG-TH_2_BAO CAO KLCT PT2000_Book1_3 3" xfId="18022" xr:uid="{00000000-0005-0000-0000-00008A160000}"/>
    <cellStyle name="_TG-TH_2_BAO CAO KLCT PT2000_Book1_3 3_TOM TAT" xfId="20626" xr:uid="{00000000-0005-0000-0000-00008B160000}"/>
    <cellStyle name="_TG-TH_2_BAO CAO KLCT PT2000_Book1_3_TOM TAT" xfId="20624" xr:uid="{00000000-0005-0000-0000-00008C160000}"/>
    <cellStyle name="_TG-TH_2_BAO CAO KLCT PT2000_Book1_TOM TAT" xfId="20615" xr:uid="{00000000-0005-0000-0000-00008D160000}"/>
    <cellStyle name="_TG-TH_2_BAO CAO KLCT PT2000_TOM TAT" xfId="20612" xr:uid="{00000000-0005-0000-0000-00008E160000}"/>
    <cellStyle name="_TG-TH_2_BAO CAO KLCT PT2000_VATTUDIEN" xfId="926" xr:uid="{00000000-0005-0000-0000-00008F160000}"/>
    <cellStyle name="_TG-TH_2_BAO CAO KLCT PT2000_VATTUDIEN 2" xfId="4197" xr:uid="{00000000-0005-0000-0000-000090160000}"/>
    <cellStyle name="_TG-TH_2_BAO CAO KLCT PT2000_VATTUDIEN 2_TOM TAT" xfId="20628" xr:uid="{00000000-0005-0000-0000-000091160000}"/>
    <cellStyle name="_TG-TH_2_BAO CAO KLCT PT2000_VATTUDIEN 3" xfId="18023" xr:uid="{00000000-0005-0000-0000-000092160000}"/>
    <cellStyle name="_TG-TH_2_BAO CAO KLCT PT2000_VATTUDIEN 3_TOM TAT" xfId="20629" xr:uid="{00000000-0005-0000-0000-000093160000}"/>
    <cellStyle name="_TG-TH_2_BAO CAO KLCT PT2000_VATTUDIEN_TOM TAT" xfId="20627" xr:uid="{00000000-0005-0000-0000-000094160000}"/>
    <cellStyle name="_TG-TH_2_BAO CAO PT2000" xfId="927" xr:uid="{00000000-0005-0000-0000-000095160000}"/>
    <cellStyle name="_TG-TH_2_BAO CAO PT2000 2" xfId="4198" xr:uid="{00000000-0005-0000-0000-000096160000}"/>
    <cellStyle name="_TG-TH_2_BAO CAO PT2000 2_TOM TAT" xfId="20631" xr:uid="{00000000-0005-0000-0000-000097160000}"/>
    <cellStyle name="_TG-TH_2_BAO CAO PT2000 3" xfId="18024" xr:uid="{00000000-0005-0000-0000-000098160000}"/>
    <cellStyle name="_TG-TH_2_BAO CAO PT2000 3_TOM TAT" xfId="20632" xr:uid="{00000000-0005-0000-0000-000099160000}"/>
    <cellStyle name="_TG-TH_2_BAO CAO PT2000_Book1" xfId="928" xr:uid="{00000000-0005-0000-0000-00009A160000}"/>
    <cellStyle name="_TG-TH_2_BAO CAO PT2000_Book1 2" xfId="4199" xr:uid="{00000000-0005-0000-0000-00009B160000}"/>
    <cellStyle name="_TG-TH_2_BAO CAO PT2000_Book1 2_TOM TAT" xfId="20634" xr:uid="{00000000-0005-0000-0000-00009C160000}"/>
    <cellStyle name="_TG-TH_2_BAO CAO PT2000_Book1 3" xfId="18025" xr:uid="{00000000-0005-0000-0000-00009D160000}"/>
    <cellStyle name="_TG-TH_2_BAO CAO PT2000_Book1 3_TOM TAT" xfId="20635" xr:uid="{00000000-0005-0000-0000-00009E160000}"/>
    <cellStyle name="_TG-TH_2_BAO CAO PT2000_Book1_1" xfId="929" xr:uid="{00000000-0005-0000-0000-00009F160000}"/>
    <cellStyle name="_TG-TH_2_BAO CAO PT2000_Book1_1 2" xfId="4200" xr:uid="{00000000-0005-0000-0000-0000A0160000}"/>
    <cellStyle name="_TG-TH_2_BAO CAO PT2000_Book1_1 2_TOM TAT" xfId="20637" xr:uid="{00000000-0005-0000-0000-0000A1160000}"/>
    <cellStyle name="_TG-TH_2_BAO CAO PT2000_Book1_1 3" xfId="18026" xr:uid="{00000000-0005-0000-0000-0000A2160000}"/>
    <cellStyle name="_TG-TH_2_BAO CAO PT2000_Book1_1 3_TOM TAT" xfId="20638" xr:uid="{00000000-0005-0000-0000-0000A3160000}"/>
    <cellStyle name="_TG-TH_2_BAO CAO PT2000_Book1_1_TOM TAT" xfId="20636" xr:uid="{00000000-0005-0000-0000-0000A4160000}"/>
    <cellStyle name="_TG-TH_2_BAO CAO PT2000_Book1_2" xfId="930" xr:uid="{00000000-0005-0000-0000-0000A5160000}"/>
    <cellStyle name="_TG-TH_2_BAO CAO PT2000_Book1_2 2" xfId="4201" xr:uid="{00000000-0005-0000-0000-0000A6160000}"/>
    <cellStyle name="_TG-TH_2_BAO CAO PT2000_Book1_2 2_TOM TAT" xfId="20640" xr:uid="{00000000-0005-0000-0000-0000A7160000}"/>
    <cellStyle name="_TG-TH_2_BAO CAO PT2000_Book1_2 3" xfId="18027" xr:uid="{00000000-0005-0000-0000-0000A8160000}"/>
    <cellStyle name="_TG-TH_2_BAO CAO PT2000_Book1_2 3_TOM TAT" xfId="20641" xr:uid="{00000000-0005-0000-0000-0000A9160000}"/>
    <cellStyle name="_TG-TH_2_BAO CAO PT2000_Book1_2_TOM TAT" xfId="20639" xr:uid="{00000000-0005-0000-0000-0000AA160000}"/>
    <cellStyle name="_TG-TH_2_BAO CAO PT2000_Book1_3" xfId="931" xr:uid="{00000000-0005-0000-0000-0000AB160000}"/>
    <cellStyle name="_TG-TH_2_BAO CAO PT2000_Book1_3 2" xfId="4202" xr:uid="{00000000-0005-0000-0000-0000AC160000}"/>
    <cellStyle name="_TG-TH_2_BAO CAO PT2000_Book1_3 2_TOM TAT" xfId="20643" xr:uid="{00000000-0005-0000-0000-0000AD160000}"/>
    <cellStyle name="_TG-TH_2_BAO CAO PT2000_Book1_3 3" xfId="18028" xr:uid="{00000000-0005-0000-0000-0000AE160000}"/>
    <cellStyle name="_TG-TH_2_BAO CAO PT2000_Book1_3 3_TOM TAT" xfId="20644" xr:uid="{00000000-0005-0000-0000-0000AF160000}"/>
    <cellStyle name="_TG-TH_2_BAO CAO PT2000_Book1_3_TOM TAT" xfId="20642" xr:uid="{00000000-0005-0000-0000-0000B0160000}"/>
    <cellStyle name="_TG-TH_2_BAO CAO PT2000_Book1_4" xfId="932" xr:uid="{00000000-0005-0000-0000-0000B1160000}"/>
    <cellStyle name="_TG-TH_2_BAO CAO PT2000_Book1_4 2" xfId="4203" xr:uid="{00000000-0005-0000-0000-0000B2160000}"/>
    <cellStyle name="_TG-TH_2_BAO CAO PT2000_Book1_4 2_TOM TAT" xfId="20646" xr:uid="{00000000-0005-0000-0000-0000B3160000}"/>
    <cellStyle name="_TG-TH_2_BAO CAO PT2000_Book1_4 3" xfId="18029" xr:uid="{00000000-0005-0000-0000-0000B4160000}"/>
    <cellStyle name="_TG-TH_2_BAO CAO PT2000_Book1_4 3_TOM TAT" xfId="20647" xr:uid="{00000000-0005-0000-0000-0000B5160000}"/>
    <cellStyle name="_TG-TH_2_BAO CAO PT2000_Book1_4_TOM TAT" xfId="20645" xr:uid="{00000000-0005-0000-0000-0000B6160000}"/>
    <cellStyle name="_TG-TH_2_BAO CAO PT2000_Book1_Book1" xfId="933" xr:uid="{00000000-0005-0000-0000-0000B7160000}"/>
    <cellStyle name="_TG-TH_2_BAO CAO PT2000_Book1_Book1 2" xfId="4204" xr:uid="{00000000-0005-0000-0000-0000B8160000}"/>
    <cellStyle name="_TG-TH_2_BAO CAO PT2000_Book1_Book1 2_TOM TAT" xfId="20649" xr:uid="{00000000-0005-0000-0000-0000B9160000}"/>
    <cellStyle name="_TG-TH_2_BAO CAO PT2000_Book1_Book1 3" xfId="18030" xr:uid="{00000000-0005-0000-0000-0000BA160000}"/>
    <cellStyle name="_TG-TH_2_BAO CAO PT2000_Book1_Book1 3_TOM TAT" xfId="20650" xr:uid="{00000000-0005-0000-0000-0000BB160000}"/>
    <cellStyle name="_TG-TH_2_BAO CAO PT2000_Book1_Book1_1" xfId="934" xr:uid="{00000000-0005-0000-0000-0000BC160000}"/>
    <cellStyle name="_TG-TH_2_BAO CAO PT2000_Book1_Book1_1 2" xfId="4205" xr:uid="{00000000-0005-0000-0000-0000BD160000}"/>
    <cellStyle name="_TG-TH_2_BAO CAO PT2000_Book1_Book1_1 2_TOM TAT" xfId="20652" xr:uid="{00000000-0005-0000-0000-0000BE160000}"/>
    <cellStyle name="_TG-TH_2_BAO CAO PT2000_Book1_Book1_1 3" xfId="18031" xr:uid="{00000000-0005-0000-0000-0000BF160000}"/>
    <cellStyle name="_TG-TH_2_BAO CAO PT2000_Book1_Book1_1 3_TOM TAT" xfId="20653" xr:uid="{00000000-0005-0000-0000-0000C0160000}"/>
    <cellStyle name="_TG-TH_2_BAO CAO PT2000_Book1_Book1_1_TOM TAT" xfId="20651" xr:uid="{00000000-0005-0000-0000-0000C1160000}"/>
    <cellStyle name="_TG-TH_2_BAO CAO PT2000_Book1_Book1_2" xfId="935" xr:uid="{00000000-0005-0000-0000-0000C2160000}"/>
    <cellStyle name="_TG-TH_2_BAO CAO PT2000_Book1_Book1_2 2" xfId="4206" xr:uid="{00000000-0005-0000-0000-0000C3160000}"/>
    <cellStyle name="_TG-TH_2_BAO CAO PT2000_Book1_Book1_2 2_TOM TAT" xfId="20655" xr:uid="{00000000-0005-0000-0000-0000C4160000}"/>
    <cellStyle name="_TG-TH_2_BAO CAO PT2000_Book1_Book1_2 3" xfId="18032" xr:uid="{00000000-0005-0000-0000-0000C5160000}"/>
    <cellStyle name="_TG-TH_2_BAO CAO PT2000_Book1_Book1_2 3_TOM TAT" xfId="20656" xr:uid="{00000000-0005-0000-0000-0000C6160000}"/>
    <cellStyle name="_TG-TH_2_BAO CAO PT2000_Book1_Book1_2_TOM TAT" xfId="20654" xr:uid="{00000000-0005-0000-0000-0000C7160000}"/>
    <cellStyle name="_TG-TH_2_BAO CAO PT2000_Book1_Book1_3" xfId="936" xr:uid="{00000000-0005-0000-0000-0000C8160000}"/>
    <cellStyle name="_TG-TH_2_BAO CAO PT2000_Book1_Book1_3 2" xfId="4207" xr:uid="{00000000-0005-0000-0000-0000C9160000}"/>
    <cellStyle name="_TG-TH_2_BAO CAO PT2000_Book1_Book1_3 2_TOM TAT" xfId="20658" xr:uid="{00000000-0005-0000-0000-0000CA160000}"/>
    <cellStyle name="_TG-TH_2_BAO CAO PT2000_Book1_Book1_3 3" xfId="18033" xr:uid="{00000000-0005-0000-0000-0000CB160000}"/>
    <cellStyle name="_TG-TH_2_BAO CAO PT2000_Book1_Book1_3 3_TOM TAT" xfId="20659" xr:uid="{00000000-0005-0000-0000-0000CC160000}"/>
    <cellStyle name="_TG-TH_2_BAO CAO PT2000_Book1_Book1_3_TOM TAT" xfId="20657" xr:uid="{00000000-0005-0000-0000-0000CD160000}"/>
    <cellStyle name="_TG-TH_2_BAO CAO PT2000_Book1_Book1_TOM TAT" xfId="20648" xr:uid="{00000000-0005-0000-0000-0000CE160000}"/>
    <cellStyle name="_TG-TH_2_BAO CAO PT2000_Book1_TOM TAT" xfId="20633" xr:uid="{00000000-0005-0000-0000-0000CF160000}"/>
    <cellStyle name="_TG-TH_2_BAO CAO PT2000_Book1_VATTUDIEN" xfId="937" xr:uid="{00000000-0005-0000-0000-0000D0160000}"/>
    <cellStyle name="_TG-TH_2_BAO CAO PT2000_Book1_VATTUDIEN 2" xfId="4208" xr:uid="{00000000-0005-0000-0000-0000D1160000}"/>
    <cellStyle name="_TG-TH_2_BAO CAO PT2000_Book1_VATTUDIEN 2_TOM TAT" xfId="20661" xr:uid="{00000000-0005-0000-0000-0000D2160000}"/>
    <cellStyle name="_TG-TH_2_BAO CAO PT2000_Book1_VATTUDIEN 3" xfId="18034" xr:uid="{00000000-0005-0000-0000-0000D3160000}"/>
    <cellStyle name="_TG-TH_2_BAO CAO PT2000_Book1_VATTUDIEN 3_TOM TAT" xfId="20662" xr:uid="{00000000-0005-0000-0000-0000D4160000}"/>
    <cellStyle name="_TG-TH_2_BAO CAO PT2000_Book1_VATTUDIEN_TOM TAT" xfId="20660" xr:uid="{00000000-0005-0000-0000-0000D5160000}"/>
    <cellStyle name="_TG-TH_2_BAO CAO PT2000_TOM TAT" xfId="20630" xr:uid="{00000000-0005-0000-0000-0000D6160000}"/>
    <cellStyle name="_TG-TH_2_BAO CAO PT2000_VATTUDIEN" xfId="938" xr:uid="{00000000-0005-0000-0000-0000D7160000}"/>
    <cellStyle name="_TG-TH_2_BAO CAO PT2000_VATTUDIEN 2" xfId="4209" xr:uid="{00000000-0005-0000-0000-0000D8160000}"/>
    <cellStyle name="_TG-TH_2_BAO CAO PT2000_VATTUDIEN 2_TOM TAT" xfId="20664" xr:uid="{00000000-0005-0000-0000-0000D9160000}"/>
    <cellStyle name="_TG-TH_2_BAO CAO PT2000_VATTUDIEN 3" xfId="18035" xr:uid="{00000000-0005-0000-0000-0000DA160000}"/>
    <cellStyle name="_TG-TH_2_BAO CAO PT2000_VATTUDIEN 3_TOM TAT" xfId="20665" xr:uid="{00000000-0005-0000-0000-0000DB160000}"/>
    <cellStyle name="_TG-TH_2_BAO CAO PT2000_VATTUDIEN_TOM TAT" xfId="20663" xr:uid="{00000000-0005-0000-0000-0000DC160000}"/>
    <cellStyle name="_TG-TH_2_Bao cao XDCB 2001 - T11 KH dieu chinh 20-11-THAI" xfId="939" xr:uid="{00000000-0005-0000-0000-0000DD160000}"/>
    <cellStyle name="_TG-TH_2_Bao cao XDCB 2001 - T11 KH dieu chinh 20-11-THAI 2" xfId="4210" xr:uid="{00000000-0005-0000-0000-0000DE160000}"/>
    <cellStyle name="_TG-TH_2_Bao cao XDCB 2001 - T11 KH dieu chinh 20-11-THAI 2_TOM TAT" xfId="20667" xr:uid="{00000000-0005-0000-0000-0000DF160000}"/>
    <cellStyle name="_TG-TH_2_Bao cao XDCB 2001 - T11 KH dieu chinh 20-11-THAI 3" xfId="18036" xr:uid="{00000000-0005-0000-0000-0000E0160000}"/>
    <cellStyle name="_TG-TH_2_Bao cao XDCB 2001 - T11 KH dieu chinh 20-11-THAI 3_TOM TAT" xfId="20668" xr:uid="{00000000-0005-0000-0000-0000E1160000}"/>
    <cellStyle name="_TG-TH_2_Bao cao XDCB 2001 - T11 KH dieu chinh 20-11-THAI_Book1" xfId="940" xr:uid="{00000000-0005-0000-0000-0000E2160000}"/>
    <cellStyle name="_TG-TH_2_Bao cao XDCB 2001 - T11 KH dieu chinh 20-11-THAI_Book1 2" xfId="4211" xr:uid="{00000000-0005-0000-0000-0000E3160000}"/>
    <cellStyle name="_TG-TH_2_Bao cao XDCB 2001 - T11 KH dieu chinh 20-11-THAI_Book1 2_TOM TAT" xfId="20670" xr:uid="{00000000-0005-0000-0000-0000E4160000}"/>
    <cellStyle name="_TG-TH_2_Bao cao XDCB 2001 - T11 KH dieu chinh 20-11-THAI_Book1 3" xfId="18037" xr:uid="{00000000-0005-0000-0000-0000E5160000}"/>
    <cellStyle name="_TG-TH_2_Bao cao XDCB 2001 - T11 KH dieu chinh 20-11-THAI_Book1 3_TOM TAT" xfId="20671" xr:uid="{00000000-0005-0000-0000-0000E6160000}"/>
    <cellStyle name="_TG-TH_2_Bao cao XDCB 2001 - T11 KH dieu chinh 20-11-THAI_Book1_1" xfId="941" xr:uid="{00000000-0005-0000-0000-0000E7160000}"/>
    <cellStyle name="_TG-TH_2_Bao cao XDCB 2001 - T11 KH dieu chinh 20-11-THAI_Book1_1 2" xfId="4212" xr:uid="{00000000-0005-0000-0000-0000E8160000}"/>
    <cellStyle name="_TG-TH_2_Bao cao XDCB 2001 - T11 KH dieu chinh 20-11-THAI_Book1_1 2_TOM TAT" xfId="20673" xr:uid="{00000000-0005-0000-0000-0000E9160000}"/>
    <cellStyle name="_TG-TH_2_Bao cao XDCB 2001 - T11 KH dieu chinh 20-11-THAI_Book1_1 3" xfId="18038" xr:uid="{00000000-0005-0000-0000-0000EA160000}"/>
    <cellStyle name="_TG-TH_2_Bao cao XDCB 2001 - T11 KH dieu chinh 20-11-THAI_Book1_1 3_TOM TAT" xfId="20674" xr:uid="{00000000-0005-0000-0000-0000EB160000}"/>
    <cellStyle name="_TG-TH_2_Bao cao XDCB 2001 - T11 KH dieu chinh 20-11-THAI_Book1_1_TOM TAT" xfId="20672" xr:uid="{00000000-0005-0000-0000-0000EC160000}"/>
    <cellStyle name="_TG-TH_2_Bao cao XDCB 2001 - T11 KH dieu chinh 20-11-THAI_Book1_2" xfId="942" xr:uid="{00000000-0005-0000-0000-0000ED160000}"/>
    <cellStyle name="_TG-TH_2_Bao cao XDCB 2001 - T11 KH dieu chinh 20-11-THAI_Book1_2 2" xfId="4213" xr:uid="{00000000-0005-0000-0000-0000EE160000}"/>
    <cellStyle name="_TG-TH_2_Bao cao XDCB 2001 - T11 KH dieu chinh 20-11-THAI_Book1_2 2_TOM TAT" xfId="20676" xr:uid="{00000000-0005-0000-0000-0000EF160000}"/>
    <cellStyle name="_TG-TH_2_Bao cao XDCB 2001 - T11 KH dieu chinh 20-11-THAI_Book1_2 3" xfId="18039" xr:uid="{00000000-0005-0000-0000-0000F0160000}"/>
    <cellStyle name="_TG-TH_2_Bao cao XDCB 2001 - T11 KH dieu chinh 20-11-THAI_Book1_2 3_TOM TAT" xfId="20677" xr:uid="{00000000-0005-0000-0000-0000F1160000}"/>
    <cellStyle name="_TG-TH_2_Bao cao XDCB 2001 - T11 KH dieu chinh 20-11-THAI_Book1_2_TOM TAT" xfId="20675" xr:uid="{00000000-0005-0000-0000-0000F2160000}"/>
    <cellStyle name="_TG-TH_2_Bao cao XDCB 2001 - T11 KH dieu chinh 20-11-THAI_Book1_3" xfId="943" xr:uid="{00000000-0005-0000-0000-0000F3160000}"/>
    <cellStyle name="_TG-TH_2_Bao cao XDCB 2001 - T11 KH dieu chinh 20-11-THAI_Book1_3 2" xfId="4214" xr:uid="{00000000-0005-0000-0000-0000F4160000}"/>
    <cellStyle name="_TG-TH_2_Bao cao XDCB 2001 - T11 KH dieu chinh 20-11-THAI_Book1_3 2_TOM TAT" xfId="20679" xr:uid="{00000000-0005-0000-0000-0000F5160000}"/>
    <cellStyle name="_TG-TH_2_Bao cao XDCB 2001 - T11 KH dieu chinh 20-11-THAI_Book1_3 3" xfId="18040" xr:uid="{00000000-0005-0000-0000-0000F6160000}"/>
    <cellStyle name="_TG-TH_2_Bao cao XDCB 2001 - T11 KH dieu chinh 20-11-THAI_Book1_3 3_TOM TAT" xfId="20680" xr:uid="{00000000-0005-0000-0000-0000F7160000}"/>
    <cellStyle name="_TG-TH_2_Bao cao XDCB 2001 - T11 KH dieu chinh 20-11-THAI_Book1_3_TOM TAT" xfId="20678" xr:uid="{00000000-0005-0000-0000-0000F8160000}"/>
    <cellStyle name="_TG-TH_2_Bao cao XDCB 2001 - T11 KH dieu chinh 20-11-THAI_Book1_TOM TAT" xfId="20669" xr:uid="{00000000-0005-0000-0000-0000F9160000}"/>
    <cellStyle name="_TG-TH_2_Bao cao XDCB 2001 - T11 KH dieu chinh 20-11-THAI_TOM TAT" xfId="20666" xr:uid="{00000000-0005-0000-0000-0000FA160000}"/>
    <cellStyle name="_TG-TH_2_Bao cao XDCB 2001 - T11 KH dieu chinh 20-11-THAI_VATTUDIEN" xfId="944" xr:uid="{00000000-0005-0000-0000-0000FB160000}"/>
    <cellStyle name="_TG-TH_2_Bao cao XDCB 2001 - T11 KH dieu chinh 20-11-THAI_VATTUDIEN 2" xfId="4215" xr:uid="{00000000-0005-0000-0000-0000FC160000}"/>
    <cellStyle name="_TG-TH_2_Bao cao XDCB 2001 - T11 KH dieu chinh 20-11-THAI_VATTUDIEN 2_TOM TAT" xfId="20682" xr:uid="{00000000-0005-0000-0000-0000FD160000}"/>
    <cellStyle name="_TG-TH_2_Bao cao XDCB 2001 - T11 KH dieu chinh 20-11-THAI_VATTUDIEN 3" xfId="18041" xr:uid="{00000000-0005-0000-0000-0000FE160000}"/>
    <cellStyle name="_TG-TH_2_Bao cao XDCB 2001 - T11 KH dieu chinh 20-11-THAI_VATTUDIEN 3_TOM TAT" xfId="20683" xr:uid="{00000000-0005-0000-0000-0000FF160000}"/>
    <cellStyle name="_TG-TH_2_Bao cao XDCB 2001 - T11 KH dieu chinh 20-11-THAI_VATTUDIEN_TOM TAT" xfId="20681" xr:uid="{00000000-0005-0000-0000-000000170000}"/>
    <cellStyle name="_TG-TH_2_Book1" xfId="945" xr:uid="{00000000-0005-0000-0000-000001170000}"/>
    <cellStyle name="_TG-TH_2_Book1 2" xfId="4216" xr:uid="{00000000-0005-0000-0000-000002170000}"/>
    <cellStyle name="_TG-TH_2_Book1 2_TOM TAT" xfId="20685" xr:uid="{00000000-0005-0000-0000-000003170000}"/>
    <cellStyle name="_TG-TH_2_Book1 3" xfId="18042" xr:uid="{00000000-0005-0000-0000-000004170000}"/>
    <cellStyle name="_TG-TH_2_Book1 3_TOM TAT" xfId="20686" xr:uid="{00000000-0005-0000-0000-000005170000}"/>
    <cellStyle name="_TG-TH_2_Book1_1" xfId="946" xr:uid="{00000000-0005-0000-0000-000006170000}"/>
    <cellStyle name="_TG-TH_2_Book1_1 2" xfId="4217" xr:uid="{00000000-0005-0000-0000-000007170000}"/>
    <cellStyle name="_TG-TH_2_Book1_1 2_TOM TAT" xfId="20688" xr:uid="{00000000-0005-0000-0000-000008170000}"/>
    <cellStyle name="_TG-TH_2_Book1_1 3" xfId="18043" xr:uid="{00000000-0005-0000-0000-000009170000}"/>
    <cellStyle name="_TG-TH_2_Book1_1 3_TOM TAT" xfId="20689" xr:uid="{00000000-0005-0000-0000-00000A170000}"/>
    <cellStyle name="_TG-TH_2_Book1_1_Book1" xfId="947" xr:uid="{00000000-0005-0000-0000-00000B170000}"/>
    <cellStyle name="_TG-TH_2_Book1_1_Book1 2" xfId="4218" xr:uid="{00000000-0005-0000-0000-00000C170000}"/>
    <cellStyle name="_TG-TH_2_Book1_1_Book1 2_TOM TAT" xfId="20691" xr:uid="{00000000-0005-0000-0000-00000D170000}"/>
    <cellStyle name="_TG-TH_2_Book1_1_Book1 3" xfId="18044" xr:uid="{00000000-0005-0000-0000-00000E170000}"/>
    <cellStyle name="_TG-TH_2_Book1_1_Book1 3_TOM TAT" xfId="20692" xr:uid="{00000000-0005-0000-0000-00000F170000}"/>
    <cellStyle name="_TG-TH_2_Book1_1_Book1_1" xfId="948" xr:uid="{00000000-0005-0000-0000-000010170000}"/>
    <cellStyle name="_TG-TH_2_Book1_1_Book1_1 2" xfId="4219" xr:uid="{00000000-0005-0000-0000-000011170000}"/>
    <cellStyle name="_TG-TH_2_Book1_1_Book1_1 2_TOM TAT" xfId="20694" xr:uid="{00000000-0005-0000-0000-000012170000}"/>
    <cellStyle name="_TG-TH_2_Book1_1_Book1_1 3" xfId="18045" xr:uid="{00000000-0005-0000-0000-000013170000}"/>
    <cellStyle name="_TG-TH_2_Book1_1_Book1_1 3_TOM TAT" xfId="20695" xr:uid="{00000000-0005-0000-0000-000014170000}"/>
    <cellStyle name="_TG-TH_2_Book1_1_Book1_1_TOM TAT" xfId="20693" xr:uid="{00000000-0005-0000-0000-000015170000}"/>
    <cellStyle name="_TG-TH_2_Book1_1_Book1_2" xfId="949" xr:uid="{00000000-0005-0000-0000-000016170000}"/>
    <cellStyle name="_TG-TH_2_Book1_1_Book1_2 2" xfId="4220" xr:uid="{00000000-0005-0000-0000-000017170000}"/>
    <cellStyle name="_TG-TH_2_Book1_1_Book1_2 2_TOM TAT" xfId="20697" xr:uid="{00000000-0005-0000-0000-000018170000}"/>
    <cellStyle name="_TG-TH_2_Book1_1_Book1_2 3" xfId="18046" xr:uid="{00000000-0005-0000-0000-000019170000}"/>
    <cellStyle name="_TG-TH_2_Book1_1_Book1_2 3_TOM TAT" xfId="20698" xr:uid="{00000000-0005-0000-0000-00001A170000}"/>
    <cellStyle name="_TG-TH_2_Book1_1_Book1_2_TOM TAT" xfId="20696" xr:uid="{00000000-0005-0000-0000-00001B170000}"/>
    <cellStyle name="_TG-TH_2_Book1_1_Book1_3" xfId="950" xr:uid="{00000000-0005-0000-0000-00001C170000}"/>
    <cellStyle name="_TG-TH_2_Book1_1_Book1_3 2" xfId="4221" xr:uid="{00000000-0005-0000-0000-00001D170000}"/>
    <cellStyle name="_TG-TH_2_Book1_1_Book1_3 2_TOM TAT" xfId="20700" xr:uid="{00000000-0005-0000-0000-00001E170000}"/>
    <cellStyle name="_TG-TH_2_Book1_1_Book1_3 3" xfId="18047" xr:uid="{00000000-0005-0000-0000-00001F170000}"/>
    <cellStyle name="_TG-TH_2_Book1_1_Book1_3 3_TOM TAT" xfId="20701" xr:uid="{00000000-0005-0000-0000-000020170000}"/>
    <cellStyle name="_TG-TH_2_Book1_1_Book1_3_TOM TAT" xfId="20699" xr:uid="{00000000-0005-0000-0000-000021170000}"/>
    <cellStyle name="_TG-TH_2_Book1_1_Book1_TOM TAT" xfId="20690" xr:uid="{00000000-0005-0000-0000-000022170000}"/>
    <cellStyle name="_TG-TH_2_Book1_1_DgklKNHA" xfId="5076" xr:uid="{00000000-0005-0000-0000-000023170000}"/>
    <cellStyle name="_TG-TH_2_Book1_1_DgklKNHA_TOM TAT" xfId="20702" xr:uid="{00000000-0005-0000-0000-000024170000}"/>
    <cellStyle name="_TG-TH_2_Book1_1_dt khoi nha 3trai - VKg (cat xuong) (27-01-05)" xfId="5077" xr:uid="{00000000-0005-0000-0000-000025170000}"/>
    <cellStyle name="_TG-TH_2_Book1_1_dt khoi nha 3trai - VKg (cat xuong) (27-01-05)_TOM TAT" xfId="20703" xr:uid="{00000000-0005-0000-0000-000026170000}"/>
    <cellStyle name="_TG-TH_2_Book1_1_Dtoan-LTT-18-01" xfId="5078" xr:uid="{00000000-0005-0000-0000-000027170000}"/>
    <cellStyle name="_TG-TH_2_Book1_1_Dtoan-LTT-18-01_TOM TAT" xfId="20704" xr:uid="{00000000-0005-0000-0000-000028170000}"/>
    <cellStyle name="_TG-TH_2_Book1_1_DU TOAN NGUYEN HUE - GD2 (1-02-05) 1" xfId="5079" xr:uid="{00000000-0005-0000-0000-000029170000}"/>
    <cellStyle name="_TG-TH_2_Book1_1_DU TOAN NGUYEN HUE - GD2 (1-02-05) 1_TOM TAT" xfId="20705" xr:uid="{00000000-0005-0000-0000-00002A170000}"/>
    <cellStyle name="_TG-TH_2_Book1_1_dutoan dptd" xfId="5080" xr:uid="{00000000-0005-0000-0000-00002B170000}"/>
    <cellStyle name="_TG-TH_2_Book1_1_dutoan dptd_TOM TAT" xfId="20706" xr:uid="{00000000-0005-0000-0000-00002C170000}"/>
    <cellStyle name="_TG-TH_2_Book1_1_he thong dien" xfId="5081" xr:uid="{00000000-0005-0000-0000-00002D170000}"/>
    <cellStyle name="_TG-TH_2_Book1_1_he thong dien_TOM TAT" xfId="20707" xr:uid="{00000000-0005-0000-0000-00002E170000}"/>
    <cellStyle name="_TG-TH_2_Book1_1_Sheet1" xfId="5082" xr:uid="{00000000-0005-0000-0000-00002F170000}"/>
    <cellStyle name="_TG-TH_2_Book1_1_Sheet1_TOM TAT" xfId="20708" xr:uid="{00000000-0005-0000-0000-000030170000}"/>
    <cellStyle name="_TG-TH_2_Book1_1_Sheet2" xfId="5083" xr:uid="{00000000-0005-0000-0000-000031170000}"/>
    <cellStyle name="_TG-TH_2_Book1_1_Sheet2_TOM TAT" xfId="20709" xr:uid="{00000000-0005-0000-0000-000032170000}"/>
    <cellStyle name="_TG-TH_2_Book1_1_TOM TAT" xfId="20687" xr:uid="{00000000-0005-0000-0000-000033170000}"/>
    <cellStyle name="_TG-TH_2_Book1_1_VATTUDIEN" xfId="951" xr:uid="{00000000-0005-0000-0000-000034170000}"/>
    <cellStyle name="_TG-TH_2_Book1_1_VATTUDIEN 2" xfId="4222" xr:uid="{00000000-0005-0000-0000-000035170000}"/>
    <cellStyle name="_TG-TH_2_Book1_1_VATTUDIEN 2_TOM TAT" xfId="20711" xr:uid="{00000000-0005-0000-0000-000036170000}"/>
    <cellStyle name="_TG-TH_2_Book1_1_VATTUDIEN 3" xfId="18048" xr:uid="{00000000-0005-0000-0000-000037170000}"/>
    <cellStyle name="_TG-TH_2_Book1_1_VATTUDIEN 3_TOM TAT" xfId="20712" xr:uid="{00000000-0005-0000-0000-000038170000}"/>
    <cellStyle name="_TG-TH_2_Book1_1_VATTUDIEN_TOM TAT" xfId="20710" xr:uid="{00000000-0005-0000-0000-000039170000}"/>
    <cellStyle name="_TG-TH_2_Book1_2" xfId="952" xr:uid="{00000000-0005-0000-0000-00003A170000}"/>
    <cellStyle name="_TG-TH_2_Book1_2 2" xfId="4223" xr:uid="{00000000-0005-0000-0000-00003B170000}"/>
    <cellStyle name="_TG-TH_2_Book1_2 2 2" xfId="8192" xr:uid="{00000000-0005-0000-0000-00003C170000}"/>
    <cellStyle name="_TG-TH_2_Book1_2 2 2_TOM TAT" xfId="20715" xr:uid="{00000000-0005-0000-0000-00003D170000}"/>
    <cellStyle name="_TG-TH_2_Book1_2 2_TOM TAT" xfId="20714" xr:uid="{00000000-0005-0000-0000-00003E170000}"/>
    <cellStyle name="_TG-TH_2_Book1_2 3" xfId="8193" xr:uid="{00000000-0005-0000-0000-00003F170000}"/>
    <cellStyle name="_TG-TH_2_Book1_2 3_TOM TAT" xfId="20716" xr:uid="{00000000-0005-0000-0000-000040170000}"/>
    <cellStyle name="_TG-TH_2_Book1_2 4" xfId="8194" xr:uid="{00000000-0005-0000-0000-000041170000}"/>
    <cellStyle name="_TG-TH_2_Book1_2 4_TOM TAT" xfId="20717" xr:uid="{00000000-0005-0000-0000-000042170000}"/>
    <cellStyle name="_TG-TH_2_Book1_2_DgklKNHA" xfId="5084" xr:uid="{00000000-0005-0000-0000-000043170000}"/>
    <cellStyle name="_TG-TH_2_Book1_2_DgklKNHA 2" xfId="8195" xr:uid="{00000000-0005-0000-0000-000044170000}"/>
    <cellStyle name="_TG-TH_2_Book1_2_DgklKNHA 2_TOM TAT" xfId="20719" xr:uid="{00000000-0005-0000-0000-000045170000}"/>
    <cellStyle name="_TG-TH_2_Book1_2_DgklKNHA_TOM TAT" xfId="20718" xr:uid="{00000000-0005-0000-0000-000046170000}"/>
    <cellStyle name="_TG-TH_2_Book1_2_dt khoi nha 3trai - VKg (cat xuong) (27-01-05)" xfId="5085" xr:uid="{00000000-0005-0000-0000-000047170000}"/>
    <cellStyle name="_TG-TH_2_Book1_2_dt khoi nha 3trai - VKg (cat xuong) (27-01-05) 2" xfId="8196" xr:uid="{00000000-0005-0000-0000-000048170000}"/>
    <cellStyle name="_TG-TH_2_Book1_2_dt khoi nha 3trai - VKg (cat xuong) (27-01-05) 2_TOM TAT" xfId="20721" xr:uid="{00000000-0005-0000-0000-000049170000}"/>
    <cellStyle name="_TG-TH_2_Book1_2_dt khoi nha 3trai - VKg (cat xuong) (27-01-05)_TOM TAT" xfId="20720" xr:uid="{00000000-0005-0000-0000-00004A170000}"/>
    <cellStyle name="_TG-TH_2_Book1_2_Dtoan-LTT-18-01" xfId="5086" xr:uid="{00000000-0005-0000-0000-00004B170000}"/>
    <cellStyle name="_TG-TH_2_Book1_2_Dtoan-LTT-18-01_TOM TAT" xfId="20722" xr:uid="{00000000-0005-0000-0000-00004C170000}"/>
    <cellStyle name="_TG-TH_2_Book1_2_DU TOAN NGUYEN HUE - GD2 (1-02-05) 1" xfId="5087" xr:uid="{00000000-0005-0000-0000-00004D170000}"/>
    <cellStyle name="_TG-TH_2_Book1_2_DU TOAN NGUYEN HUE - GD2 (1-02-05) 1_TOM TAT" xfId="20723" xr:uid="{00000000-0005-0000-0000-00004E170000}"/>
    <cellStyle name="_TG-TH_2_Book1_2_dutoan dptd" xfId="5088" xr:uid="{00000000-0005-0000-0000-00004F170000}"/>
    <cellStyle name="_TG-TH_2_Book1_2_dutoan dptd 2" xfId="8197" xr:uid="{00000000-0005-0000-0000-000050170000}"/>
    <cellStyle name="_TG-TH_2_Book1_2_dutoan dptd 2_TOM TAT" xfId="20725" xr:uid="{00000000-0005-0000-0000-000051170000}"/>
    <cellStyle name="_TG-TH_2_Book1_2_dutoan dptd_TOM TAT" xfId="20724" xr:uid="{00000000-0005-0000-0000-000052170000}"/>
    <cellStyle name="_TG-TH_2_Book1_2_he thong dien" xfId="5089" xr:uid="{00000000-0005-0000-0000-000053170000}"/>
    <cellStyle name="_TG-TH_2_Book1_2_he thong dien 2" xfId="8198" xr:uid="{00000000-0005-0000-0000-000054170000}"/>
    <cellStyle name="_TG-TH_2_Book1_2_he thong dien 2_TOM TAT" xfId="20727" xr:uid="{00000000-0005-0000-0000-000055170000}"/>
    <cellStyle name="_TG-TH_2_Book1_2_he thong dien_TOM TAT" xfId="20726" xr:uid="{00000000-0005-0000-0000-000056170000}"/>
    <cellStyle name="_TG-TH_2_Book1_2_Sheet1" xfId="5090" xr:uid="{00000000-0005-0000-0000-000057170000}"/>
    <cellStyle name="_TG-TH_2_Book1_2_Sheet1_TOM TAT" xfId="20728" xr:uid="{00000000-0005-0000-0000-000058170000}"/>
    <cellStyle name="_TG-TH_2_Book1_2_Sheet2" xfId="5091" xr:uid="{00000000-0005-0000-0000-000059170000}"/>
    <cellStyle name="_TG-TH_2_Book1_2_Sheet2_TOM TAT" xfId="20729" xr:uid="{00000000-0005-0000-0000-00005A170000}"/>
    <cellStyle name="_TG-TH_2_Book1_2_TOM TAT" xfId="20713" xr:uid="{00000000-0005-0000-0000-00005B170000}"/>
    <cellStyle name="_TG-TH_2_Book1_3" xfId="953" xr:uid="{00000000-0005-0000-0000-00005C170000}"/>
    <cellStyle name="_TG-TH_2_Book1_3 2" xfId="4224" xr:uid="{00000000-0005-0000-0000-00005D170000}"/>
    <cellStyle name="_TG-TH_2_Book1_3 2_TOM TAT" xfId="20731" xr:uid="{00000000-0005-0000-0000-00005E170000}"/>
    <cellStyle name="_TG-TH_2_Book1_3 3" xfId="18049" xr:uid="{00000000-0005-0000-0000-00005F170000}"/>
    <cellStyle name="_TG-TH_2_Book1_3 3_TOM TAT" xfId="20732" xr:uid="{00000000-0005-0000-0000-000060170000}"/>
    <cellStyle name="_TG-TH_2_Book1_3_TOM TAT" xfId="20730" xr:uid="{00000000-0005-0000-0000-000061170000}"/>
    <cellStyle name="_TG-TH_2_Book1_4" xfId="954" xr:uid="{00000000-0005-0000-0000-000062170000}"/>
    <cellStyle name="_TG-TH_2_Book1_4 2" xfId="4225" xr:uid="{00000000-0005-0000-0000-000063170000}"/>
    <cellStyle name="_TG-TH_2_Book1_4 2_TOM TAT" xfId="20734" xr:uid="{00000000-0005-0000-0000-000064170000}"/>
    <cellStyle name="_TG-TH_2_Book1_4 3" xfId="18050" xr:uid="{00000000-0005-0000-0000-000065170000}"/>
    <cellStyle name="_TG-TH_2_Book1_4 3_TOM TAT" xfId="20735" xr:uid="{00000000-0005-0000-0000-000066170000}"/>
    <cellStyle name="_TG-TH_2_Book1_4_TOM TAT" xfId="20733" xr:uid="{00000000-0005-0000-0000-000067170000}"/>
    <cellStyle name="_TG-TH_2_Book1_5" xfId="955" xr:uid="{00000000-0005-0000-0000-000068170000}"/>
    <cellStyle name="_TG-TH_2_Book1_5 2" xfId="4226" xr:uid="{00000000-0005-0000-0000-000069170000}"/>
    <cellStyle name="_TG-TH_2_Book1_5 2_TOM TAT" xfId="20737" xr:uid="{00000000-0005-0000-0000-00006A170000}"/>
    <cellStyle name="_TG-TH_2_Book1_5 3" xfId="18051" xr:uid="{00000000-0005-0000-0000-00006B170000}"/>
    <cellStyle name="_TG-TH_2_Book1_5 3_TOM TAT" xfId="20738" xr:uid="{00000000-0005-0000-0000-00006C170000}"/>
    <cellStyle name="_TG-TH_2_Book1_5_TOM TAT" xfId="20736" xr:uid="{00000000-0005-0000-0000-00006D170000}"/>
    <cellStyle name="_TG-TH_2_Book1_6" xfId="956" xr:uid="{00000000-0005-0000-0000-00006E170000}"/>
    <cellStyle name="_TG-TH_2_Book1_6 2" xfId="4227" xr:uid="{00000000-0005-0000-0000-00006F170000}"/>
    <cellStyle name="_TG-TH_2_Book1_6 2_TOM TAT" xfId="20740" xr:uid="{00000000-0005-0000-0000-000070170000}"/>
    <cellStyle name="_TG-TH_2_Book1_6 3" xfId="18052" xr:uid="{00000000-0005-0000-0000-000071170000}"/>
    <cellStyle name="_TG-TH_2_Book1_6 3_TOM TAT" xfId="20741" xr:uid="{00000000-0005-0000-0000-000072170000}"/>
    <cellStyle name="_TG-TH_2_Book1_6_TOM TAT" xfId="20739" xr:uid="{00000000-0005-0000-0000-000073170000}"/>
    <cellStyle name="_TG-TH_2_Book1_Book1" xfId="957" xr:uid="{00000000-0005-0000-0000-000074170000}"/>
    <cellStyle name="_TG-TH_2_Book1_Book1 2" xfId="4228" xr:uid="{00000000-0005-0000-0000-000075170000}"/>
    <cellStyle name="_TG-TH_2_Book1_Book1 2_TOM TAT" xfId="20743" xr:uid="{00000000-0005-0000-0000-000076170000}"/>
    <cellStyle name="_TG-TH_2_Book1_Book1 3" xfId="18053" xr:uid="{00000000-0005-0000-0000-000077170000}"/>
    <cellStyle name="_TG-TH_2_Book1_Book1 3_TOM TAT" xfId="20744" xr:uid="{00000000-0005-0000-0000-000078170000}"/>
    <cellStyle name="_TG-TH_2_Book1_Book1_1" xfId="958" xr:uid="{00000000-0005-0000-0000-000079170000}"/>
    <cellStyle name="_TG-TH_2_Book1_Book1_1 2" xfId="4229" xr:uid="{00000000-0005-0000-0000-00007A170000}"/>
    <cellStyle name="_TG-TH_2_Book1_Book1_1 2_TOM TAT" xfId="20746" xr:uid="{00000000-0005-0000-0000-00007B170000}"/>
    <cellStyle name="_TG-TH_2_Book1_Book1_1 3" xfId="18054" xr:uid="{00000000-0005-0000-0000-00007C170000}"/>
    <cellStyle name="_TG-TH_2_Book1_Book1_1 3_TOM TAT" xfId="20747" xr:uid="{00000000-0005-0000-0000-00007D170000}"/>
    <cellStyle name="_TG-TH_2_Book1_Book1_1_TOM TAT" xfId="20745" xr:uid="{00000000-0005-0000-0000-00007E170000}"/>
    <cellStyle name="_TG-TH_2_Book1_Book1_2" xfId="959" xr:uid="{00000000-0005-0000-0000-00007F170000}"/>
    <cellStyle name="_TG-TH_2_Book1_Book1_2 2" xfId="4230" xr:uid="{00000000-0005-0000-0000-000080170000}"/>
    <cellStyle name="_TG-TH_2_Book1_Book1_2 2_TOM TAT" xfId="20749" xr:uid="{00000000-0005-0000-0000-000081170000}"/>
    <cellStyle name="_TG-TH_2_Book1_Book1_2 3" xfId="18055" xr:uid="{00000000-0005-0000-0000-000082170000}"/>
    <cellStyle name="_TG-TH_2_Book1_Book1_2 3_TOM TAT" xfId="20750" xr:uid="{00000000-0005-0000-0000-000083170000}"/>
    <cellStyle name="_TG-TH_2_Book1_Book1_2_TOM TAT" xfId="20748" xr:uid="{00000000-0005-0000-0000-000084170000}"/>
    <cellStyle name="_TG-TH_2_Book1_Book1_3" xfId="960" xr:uid="{00000000-0005-0000-0000-000085170000}"/>
    <cellStyle name="_TG-TH_2_Book1_Book1_3 2" xfId="4231" xr:uid="{00000000-0005-0000-0000-000086170000}"/>
    <cellStyle name="_TG-TH_2_Book1_Book1_3 2_TOM TAT" xfId="20752" xr:uid="{00000000-0005-0000-0000-000087170000}"/>
    <cellStyle name="_TG-TH_2_Book1_Book1_3 3" xfId="18056" xr:uid="{00000000-0005-0000-0000-000088170000}"/>
    <cellStyle name="_TG-TH_2_Book1_Book1_3 3_TOM TAT" xfId="20753" xr:uid="{00000000-0005-0000-0000-000089170000}"/>
    <cellStyle name="_TG-TH_2_Book1_Book1_3_TOM TAT" xfId="20751" xr:uid="{00000000-0005-0000-0000-00008A170000}"/>
    <cellStyle name="_TG-TH_2_Book1_Book1_TOM TAT" xfId="20742" xr:uid="{00000000-0005-0000-0000-00008B170000}"/>
    <cellStyle name="_TG-TH_2_Book1_DgklKNHA" xfId="5092" xr:uid="{00000000-0005-0000-0000-00008C170000}"/>
    <cellStyle name="_TG-TH_2_Book1_DgklKNHA_TOM TAT" xfId="20754" xr:uid="{00000000-0005-0000-0000-00008D170000}"/>
    <cellStyle name="_TG-TH_2_Book1_dt khoi nha 3trai - VKg (cat xuong) (27-01-05)" xfId="5093" xr:uid="{00000000-0005-0000-0000-00008E170000}"/>
    <cellStyle name="_TG-TH_2_Book1_dt khoi nha 3trai - VKg (cat xuong) (27-01-05)_TOM TAT" xfId="20755" xr:uid="{00000000-0005-0000-0000-00008F170000}"/>
    <cellStyle name="_TG-TH_2_Book1_Dtoan-LTT-18-01" xfId="5094" xr:uid="{00000000-0005-0000-0000-000090170000}"/>
    <cellStyle name="_TG-TH_2_Book1_Dtoan-LTT-18-01_TOM TAT" xfId="20756" xr:uid="{00000000-0005-0000-0000-000091170000}"/>
    <cellStyle name="_TG-TH_2_Book1_DU TOAN NGUYEN HUE - GD2 (1-02-05) 1" xfId="5095" xr:uid="{00000000-0005-0000-0000-000092170000}"/>
    <cellStyle name="_TG-TH_2_Book1_DU TOAN NGUYEN HUE - GD2 (1-02-05) 1_TOM TAT" xfId="20757" xr:uid="{00000000-0005-0000-0000-000093170000}"/>
    <cellStyle name="_TG-TH_2_Book1_dutoan dptd" xfId="5096" xr:uid="{00000000-0005-0000-0000-000094170000}"/>
    <cellStyle name="_TG-TH_2_Book1_dutoan dptd_TOM TAT" xfId="20758" xr:uid="{00000000-0005-0000-0000-000095170000}"/>
    <cellStyle name="_TG-TH_2_Book1_he thong dien" xfId="5097" xr:uid="{00000000-0005-0000-0000-000096170000}"/>
    <cellStyle name="_TG-TH_2_Book1_he thong dien_TOM TAT" xfId="20759" xr:uid="{00000000-0005-0000-0000-000097170000}"/>
    <cellStyle name="_TG-TH_2_Book1_Sheet1" xfId="5098" xr:uid="{00000000-0005-0000-0000-000098170000}"/>
    <cellStyle name="_TG-TH_2_Book1_Sheet1_TOM TAT" xfId="20760" xr:uid="{00000000-0005-0000-0000-000099170000}"/>
    <cellStyle name="_TG-TH_2_Book1_Sheet2" xfId="5099" xr:uid="{00000000-0005-0000-0000-00009A170000}"/>
    <cellStyle name="_TG-TH_2_Book1_Sheet2_TOM TAT" xfId="20761" xr:uid="{00000000-0005-0000-0000-00009B170000}"/>
    <cellStyle name="_TG-TH_2_Book1_TH KE" xfId="961" xr:uid="{00000000-0005-0000-0000-00009C170000}"/>
    <cellStyle name="_TG-TH_2_Book1_TH KE 2" xfId="4232" xr:uid="{00000000-0005-0000-0000-00009D170000}"/>
    <cellStyle name="_TG-TH_2_Book1_TH KE 2_TOM TAT" xfId="20763" xr:uid="{00000000-0005-0000-0000-00009E170000}"/>
    <cellStyle name="_TG-TH_2_Book1_TH KE 3" xfId="18057" xr:uid="{00000000-0005-0000-0000-00009F170000}"/>
    <cellStyle name="_TG-TH_2_Book1_TH KE 3_TOM TAT" xfId="20764" xr:uid="{00000000-0005-0000-0000-0000A0170000}"/>
    <cellStyle name="_TG-TH_2_Book1_TH KE_Book1" xfId="962" xr:uid="{00000000-0005-0000-0000-0000A1170000}"/>
    <cellStyle name="_TG-TH_2_Book1_TH KE_Book1 2" xfId="4233" xr:uid="{00000000-0005-0000-0000-0000A2170000}"/>
    <cellStyle name="_TG-TH_2_Book1_TH KE_Book1 2_TOM TAT" xfId="20766" xr:uid="{00000000-0005-0000-0000-0000A3170000}"/>
    <cellStyle name="_TG-TH_2_Book1_TH KE_Book1 3" xfId="18058" xr:uid="{00000000-0005-0000-0000-0000A4170000}"/>
    <cellStyle name="_TG-TH_2_Book1_TH KE_Book1 3_TOM TAT" xfId="20767" xr:uid="{00000000-0005-0000-0000-0000A5170000}"/>
    <cellStyle name="_TG-TH_2_Book1_TH KE_Book1_1" xfId="963" xr:uid="{00000000-0005-0000-0000-0000A6170000}"/>
    <cellStyle name="_TG-TH_2_Book1_TH KE_Book1_1 2" xfId="4234" xr:uid="{00000000-0005-0000-0000-0000A7170000}"/>
    <cellStyle name="_TG-TH_2_Book1_TH KE_Book1_1 2_TOM TAT" xfId="20769" xr:uid="{00000000-0005-0000-0000-0000A8170000}"/>
    <cellStyle name="_TG-TH_2_Book1_TH KE_Book1_1 3" xfId="18059" xr:uid="{00000000-0005-0000-0000-0000A9170000}"/>
    <cellStyle name="_TG-TH_2_Book1_TH KE_Book1_1 3_TOM TAT" xfId="20770" xr:uid="{00000000-0005-0000-0000-0000AA170000}"/>
    <cellStyle name="_TG-TH_2_Book1_TH KE_Book1_1_TOM TAT" xfId="20768" xr:uid="{00000000-0005-0000-0000-0000AB170000}"/>
    <cellStyle name="_TG-TH_2_Book1_TH KE_Book1_2" xfId="964" xr:uid="{00000000-0005-0000-0000-0000AC170000}"/>
    <cellStyle name="_TG-TH_2_Book1_TH KE_Book1_2 2" xfId="4235" xr:uid="{00000000-0005-0000-0000-0000AD170000}"/>
    <cellStyle name="_TG-TH_2_Book1_TH KE_Book1_2 2_TOM TAT" xfId="20772" xr:uid="{00000000-0005-0000-0000-0000AE170000}"/>
    <cellStyle name="_TG-TH_2_Book1_TH KE_Book1_2 3" xfId="18060" xr:uid="{00000000-0005-0000-0000-0000AF170000}"/>
    <cellStyle name="_TG-TH_2_Book1_TH KE_Book1_2 3_TOM TAT" xfId="20773" xr:uid="{00000000-0005-0000-0000-0000B0170000}"/>
    <cellStyle name="_TG-TH_2_Book1_TH KE_Book1_2_TOM TAT" xfId="20771" xr:uid="{00000000-0005-0000-0000-0000B1170000}"/>
    <cellStyle name="_TG-TH_2_Book1_TH KE_Book1_3" xfId="965" xr:uid="{00000000-0005-0000-0000-0000B2170000}"/>
    <cellStyle name="_TG-TH_2_Book1_TH KE_Book1_3 2" xfId="4236" xr:uid="{00000000-0005-0000-0000-0000B3170000}"/>
    <cellStyle name="_TG-TH_2_Book1_TH KE_Book1_3 2_TOM TAT" xfId="20775" xr:uid="{00000000-0005-0000-0000-0000B4170000}"/>
    <cellStyle name="_TG-TH_2_Book1_TH KE_Book1_3 3" xfId="18061" xr:uid="{00000000-0005-0000-0000-0000B5170000}"/>
    <cellStyle name="_TG-TH_2_Book1_TH KE_Book1_3 3_TOM TAT" xfId="20776" xr:uid="{00000000-0005-0000-0000-0000B6170000}"/>
    <cellStyle name="_TG-TH_2_Book1_TH KE_Book1_3_TOM TAT" xfId="20774" xr:uid="{00000000-0005-0000-0000-0000B7170000}"/>
    <cellStyle name="_TG-TH_2_Book1_TH KE_Book1_TOM TAT" xfId="20765" xr:uid="{00000000-0005-0000-0000-0000B8170000}"/>
    <cellStyle name="_TG-TH_2_Book1_TH KE_TOM TAT" xfId="20762" xr:uid="{00000000-0005-0000-0000-0000B9170000}"/>
    <cellStyle name="_TG-TH_2_Book1_TH KE_VATTUDIEN" xfId="966" xr:uid="{00000000-0005-0000-0000-0000BA170000}"/>
    <cellStyle name="_TG-TH_2_Book1_TH KE_VATTUDIEN 2" xfId="4237" xr:uid="{00000000-0005-0000-0000-0000BB170000}"/>
    <cellStyle name="_TG-TH_2_Book1_TH KE_VATTUDIEN 2_TOM TAT" xfId="20778" xr:uid="{00000000-0005-0000-0000-0000BC170000}"/>
    <cellStyle name="_TG-TH_2_Book1_TH KE_VATTUDIEN 3" xfId="18062" xr:uid="{00000000-0005-0000-0000-0000BD170000}"/>
    <cellStyle name="_TG-TH_2_Book1_TH KE_VATTUDIEN 3_TOM TAT" xfId="20779" xr:uid="{00000000-0005-0000-0000-0000BE170000}"/>
    <cellStyle name="_TG-TH_2_Book1_TH KE_VATTUDIEN_TOM TAT" xfId="20777" xr:uid="{00000000-0005-0000-0000-0000BF170000}"/>
    <cellStyle name="_TG-TH_2_Book1_TOM TAT" xfId="20684" xr:uid="{00000000-0005-0000-0000-0000C0170000}"/>
    <cellStyle name="_TG-TH_2_Book1_VATTUDIEN" xfId="967" xr:uid="{00000000-0005-0000-0000-0000C1170000}"/>
    <cellStyle name="_TG-TH_2_Book1_VATTUDIEN 2" xfId="4238" xr:uid="{00000000-0005-0000-0000-0000C2170000}"/>
    <cellStyle name="_TG-TH_2_Book1_VATTUDIEN 2_TOM TAT" xfId="20781" xr:uid="{00000000-0005-0000-0000-0000C3170000}"/>
    <cellStyle name="_TG-TH_2_Book1_VATTUDIEN 3" xfId="18063" xr:uid="{00000000-0005-0000-0000-0000C4170000}"/>
    <cellStyle name="_TG-TH_2_Book1_VATTUDIEN 3_TOM TAT" xfId="20782" xr:uid="{00000000-0005-0000-0000-0000C5170000}"/>
    <cellStyle name="_TG-TH_2_Book1_VATTUDIEN_TOM TAT" xfId="20780" xr:uid="{00000000-0005-0000-0000-0000C6170000}"/>
    <cellStyle name="_TG-TH_2_DgklKNHA" xfId="5100" xr:uid="{00000000-0005-0000-0000-0000C7170000}"/>
    <cellStyle name="_TG-TH_2_DgklKNHA_TOM TAT" xfId="20783" xr:uid="{00000000-0005-0000-0000-0000C8170000}"/>
    <cellStyle name="_TG-TH_2_dt khoi nha 3trai - VKg (cat xuong) (27-01-05)" xfId="5101" xr:uid="{00000000-0005-0000-0000-0000C9170000}"/>
    <cellStyle name="_TG-TH_2_dt khoi nha 3trai - VKg (cat xuong) (27-01-05)_TOM TAT" xfId="20784" xr:uid="{00000000-0005-0000-0000-0000CA170000}"/>
    <cellStyle name="_TG-TH_2_DTCDT MR.2N110.HOCMON.TDTOAN.CCUNG" xfId="968" xr:uid="{00000000-0005-0000-0000-0000CB170000}"/>
    <cellStyle name="_TG-TH_2_DTCDT MR.2N110.HOCMON.TDTOAN.CCUNG 2" xfId="4239" xr:uid="{00000000-0005-0000-0000-0000CC170000}"/>
    <cellStyle name="_TG-TH_2_DTCDT MR.2N110.HOCMON.TDTOAN.CCUNG 2_TOM TAT" xfId="20786" xr:uid="{00000000-0005-0000-0000-0000CD170000}"/>
    <cellStyle name="_TG-TH_2_DTCDT MR.2N110.HOCMON.TDTOAN.CCUNG 3" xfId="18064" xr:uid="{00000000-0005-0000-0000-0000CE170000}"/>
    <cellStyle name="_TG-TH_2_DTCDT MR.2N110.HOCMON.TDTOAN.CCUNG 3_TOM TAT" xfId="20787" xr:uid="{00000000-0005-0000-0000-0000CF170000}"/>
    <cellStyle name="_TG-TH_2_DTCDT MR.2N110.HOCMON.TDTOAN.CCUNG_Book1" xfId="969" xr:uid="{00000000-0005-0000-0000-0000D0170000}"/>
    <cellStyle name="_TG-TH_2_DTCDT MR.2N110.HOCMON.TDTOAN.CCUNG_Book1 2" xfId="4240" xr:uid="{00000000-0005-0000-0000-0000D1170000}"/>
    <cellStyle name="_TG-TH_2_DTCDT MR.2N110.HOCMON.TDTOAN.CCUNG_Book1 2_TOM TAT" xfId="20789" xr:uid="{00000000-0005-0000-0000-0000D2170000}"/>
    <cellStyle name="_TG-TH_2_DTCDT MR.2N110.HOCMON.TDTOAN.CCUNG_Book1 3" xfId="18065" xr:uid="{00000000-0005-0000-0000-0000D3170000}"/>
    <cellStyle name="_TG-TH_2_DTCDT MR.2N110.HOCMON.TDTOAN.CCUNG_Book1 3_TOM TAT" xfId="20790" xr:uid="{00000000-0005-0000-0000-0000D4170000}"/>
    <cellStyle name="_TG-TH_2_DTCDT MR.2N110.HOCMON.TDTOAN.CCUNG_Book1_1" xfId="970" xr:uid="{00000000-0005-0000-0000-0000D5170000}"/>
    <cellStyle name="_TG-TH_2_DTCDT MR.2N110.HOCMON.TDTOAN.CCUNG_Book1_1 2" xfId="4241" xr:uid="{00000000-0005-0000-0000-0000D6170000}"/>
    <cellStyle name="_TG-TH_2_DTCDT MR.2N110.HOCMON.TDTOAN.CCUNG_Book1_1 2_TOM TAT" xfId="20792" xr:uid="{00000000-0005-0000-0000-0000D7170000}"/>
    <cellStyle name="_TG-TH_2_DTCDT MR.2N110.HOCMON.TDTOAN.CCUNG_Book1_1 3" xfId="18066" xr:uid="{00000000-0005-0000-0000-0000D8170000}"/>
    <cellStyle name="_TG-TH_2_DTCDT MR.2N110.HOCMON.TDTOAN.CCUNG_Book1_1 3_TOM TAT" xfId="20793" xr:uid="{00000000-0005-0000-0000-0000D9170000}"/>
    <cellStyle name="_TG-TH_2_DTCDT MR.2N110.HOCMON.TDTOAN.CCUNG_Book1_1_TOM TAT" xfId="20791" xr:uid="{00000000-0005-0000-0000-0000DA170000}"/>
    <cellStyle name="_TG-TH_2_DTCDT MR.2N110.HOCMON.TDTOAN.CCUNG_Book1_2" xfId="971" xr:uid="{00000000-0005-0000-0000-0000DB170000}"/>
    <cellStyle name="_TG-TH_2_DTCDT MR.2N110.HOCMON.TDTOAN.CCUNG_Book1_2 2" xfId="4242" xr:uid="{00000000-0005-0000-0000-0000DC170000}"/>
    <cellStyle name="_TG-TH_2_DTCDT MR.2N110.HOCMON.TDTOAN.CCUNG_Book1_2 2_TOM TAT" xfId="20795" xr:uid="{00000000-0005-0000-0000-0000DD170000}"/>
    <cellStyle name="_TG-TH_2_DTCDT MR.2N110.HOCMON.TDTOAN.CCUNG_Book1_2 3" xfId="18067" xr:uid="{00000000-0005-0000-0000-0000DE170000}"/>
    <cellStyle name="_TG-TH_2_DTCDT MR.2N110.HOCMON.TDTOAN.CCUNG_Book1_2 3_TOM TAT" xfId="20796" xr:uid="{00000000-0005-0000-0000-0000DF170000}"/>
    <cellStyle name="_TG-TH_2_DTCDT MR.2N110.HOCMON.TDTOAN.CCUNG_Book1_2_TOM TAT" xfId="20794" xr:uid="{00000000-0005-0000-0000-0000E0170000}"/>
    <cellStyle name="_TG-TH_2_DTCDT MR.2N110.HOCMON.TDTOAN.CCUNG_Book1_3" xfId="972" xr:uid="{00000000-0005-0000-0000-0000E1170000}"/>
    <cellStyle name="_TG-TH_2_DTCDT MR.2N110.HOCMON.TDTOAN.CCUNG_Book1_3 2" xfId="4243" xr:uid="{00000000-0005-0000-0000-0000E2170000}"/>
    <cellStyle name="_TG-TH_2_DTCDT MR.2N110.HOCMON.TDTOAN.CCUNG_Book1_3 2_TOM TAT" xfId="20798" xr:uid="{00000000-0005-0000-0000-0000E3170000}"/>
    <cellStyle name="_TG-TH_2_DTCDT MR.2N110.HOCMON.TDTOAN.CCUNG_Book1_3 3" xfId="18068" xr:uid="{00000000-0005-0000-0000-0000E4170000}"/>
    <cellStyle name="_TG-TH_2_DTCDT MR.2N110.HOCMON.TDTOAN.CCUNG_Book1_3 3_TOM TAT" xfId="20799" xr:uid="{00000000-0005-0000-0000-0000E5170000}"/>
    <cellStyle name="_TG-TH_2_DTCDT MR.2N110.HOCMON.TDTOAN.CCUNG_Book1_3_TOM TAT" xfId="20797" xr:uid="{00000000-0005-0000-0000-0000E6170000}"/>
    <cellStyle name="_TG-TH_2_DTCDT MR.2N110.HOCMON.TDTOAN.CCUNG_Book1_TOM TAT" xfId="20788" xr:uid="{00000000-0005-0000-0000-0000E7170000}"/>
    <cellStyle name="_TG-TH_2_DTCDT MR.2N110.HOCMON.TDTOAN.CCUNG_TOM TAT" xfId="20785" xr:uid="{00000000-0005-0000-0000-0000E8170000}"/>
    <cellStyle name="_TG-TH_2_DTCDT MR.2N110.HOCMON.TDTOAN.CCUNG_VATTUDIEN" xfId="973" xr:uid="{00000000-0005-0000-0000-0000E9170000}"/>
    <cellStyle name="_TG-TH_2_DTCDT MR.2N110.HOCMON.TDTOAN.CCUNG_VATTUDIEN 2" xfId="4244" xr:uid="{00000000-0005-0000-0000-0000EA170000}"/>
    <cellStyle name="_TG-TH_2_DTCDT MR.2N110.HOCMON.TDTOAN.CCUNG_VATTUDIEN 2_TOM TAT" xfId="20801" xr:uid="{00000000-0005-0000-0000-0000EB170000}"/>
    <cellStyle name="_TG-TH_2_DTCDT MR.2N110.HOCMON.TDTOAN.CCUNG_VATTUDIEN 3" xfId="18069" xr:uid="{00000000-0005-0000-0000-0000EC170000}"/>
    <cellStyle name="_TG-TH_2_DTCDT MR.2N110.HOCMON.TDTOAN.CCUNG_VATTUDIEN 3_TOM TAT" xfId="20802" xr:uid="{00000000-0005-0000-0000-0000ED170000}"/>
    <cellStyle name="_TG-TH_2_DTCDT MR.2N110.HOCMON.TDTOAN.CCUNG_VATTUDIEN_TOM TAT" xfId="20800" xr:uid="{00000000-0005-0000-0000-0000EE170000}"/>
    <cellStyle name="_TG-TH_2_Dtoan-LTT-18-01" xfId="5102" xr:uid="{00000000-0005-0000-0000-0000EF170000}"/>
    <cellStyle name="_TG-TH_2_Dtoan-LTT-18-01_TOM TAT" xfId="20803" xr:uid="{00000000-0005-0000-0000-0000F0170000}"/>
    <cellStyle name="_TG-TH_2_DU TOAN NGUYEN HUE - GD2 (1-02-05) 1" xfId="5103" xr:uid="{00000000-0005-0000-0000-0000F1170000}"/>
    <cellStyle name="_TG-TH_2_DU TOAN NGUYEN HUE - GD2 (1-02-05) 1_TOM TAT" xfId="20804" xr:uid="{00000000-0005-0000-0000-0000F2170000}"/>
    <cellStyle name="_TG-TH_2_dutoan dien" xfId="5104" xr:uid="{00000000-0005-0000-0000-0000F3170000}"/>
    <cellStyle name="_TG-TH_2_dutoan dien_TOM TAT" xfId="20805" xr:uid="{00000000-0005-0000-0000-0000F4170000}"/>
    <cellStyle name="_TG-TH_2_dutoan dptd" xfId="5105" xr:uid="{00000000-0005-0000-0000-0000F5170000}"/>
    <cellStyle name="_TG-TH_2_dutoan dptd_TOM TAT" xfId="20806" xr:uid="{00000000-0005-0000-0000-0000F6170000}"/>
    <cellStyle name="_TG-TH_2_dutoan nuoc" xfId="5106" xr:uid="{00000000-0005-0000-0000-0000F7170000}"/>
    <cellStyle name="_TG-TH_2_dutoan nuoc_TOM TAT" xfId="20807" xr:uid="{00000000-0005-0000-0000-0000F8170000}"/>
    <cellStyle name="_TG-TH_2_he thong dien" xfId="5107" xr:uid="{00000000-0005-0000-0000-0000F9170000}"/>
    <cellStyle name="_TG-TH_2_he thong dien_TOM TAT" xfId="20808" xr:uid="{00000000-0005-0000-0000-0000FA170000}"/>
    <cellStyle name="_TG-TH_2_Lora-tungchau" xfId="974" xr:uid="{00000000-0005-0000-0000-0000FB170000}"/>
    <cellStyle name="_TG-TH_2_Lora-tungchau 2" xfId="4245" xr:uid="{00000000-0005-0000-0000-0000FC170000}"/>
    <cellStyle name="_TG-TH_2_Lora-tungchau 2_TOM TAT" xfId="20810" xr:uid="{00000000-0005-0000-0000-0000FD170000}"/>
    <cellStyle name="_TG-TH_2_Lora-tungchau 3" xfId="18070" xr:uid="{00000000-0005-0000-0000-0000FE170000}"/>
    <cellStyle name="_TG-TH_2_Lora-tungchau 3_TOM TAT" xfId="20811" xr:uid="{00000000-0005-0000-0000-0000FF170000}"/>
    <cellStyle name="_TG-TH_2_Lora-tungchau_Book1" xfId="975" xr:uid="{00000000-0005-0000-0000-000000180000}"/>
    <cellStyle name="_TG-TH_2_Lora-tungchau_Book1 2" xfId="4246" xr:uid="{00000000-0005-0000-0000-000001180000}"/>
    <cellStyle name="_TG-TH_2_Lora-tungchau_Book1 2_TOM TAT" xfId="20813" xr:uid="{00000000-0005-0000-0000-000002180000}"/>
    <cellStyle name="_TG-TH_2_Lora-tungchau_Book1 3" xfId="18071" xr:uid="{00000000-0005-0000-0000-000003180000}"/>
    <cellStyle name="_TG-TH_2_Lora-tungchau_Book1 3_TOM TAT" xfId="20814" xr:uid="{00000000-0005-0000-0000-000004180000}"/>
    <cellStyle name="_TG-TH_2_Lora-tungchau_Book1_1" xfId="976" xr:uid="{00000000-0005-0000-0000-000005180000}"/>
    <cellStyle name="_TG-TH_2_Lora-tungchau_Book1_1 2" xfId="4247" xr:uid="{00000000-0005-0000-0000-000006180000}"/>
    <cellStyle name="_TG-TH_2_Lora-tungchau_Book1_1 2_TOM TAT" xfId="20816" xr:uid="{00000000-0005-0000-0000-000007180000}"/>
    <cellStyle name="_TG-TH_2_Lora-tungchau_Book1_1 3" xfId="18072" xr:uid="{00000000-0005-0000-0000-000008180000}"/>
    <cellStyle name="_TG-TH_2_Lora-tungchau_Book1_1 3_TOM TAT" xfId="20817" xr:uid="{00000000-0005-0000-0000-000009180000}"/>
    <cellStyle name="_TG-TH_2_Lora-tungchau_Book1_1_TOM TAT" xfId="20815" xr:uid="{00000000-0005-0000-0000-00000A180000}"/>
    <cellStyle name="_TG-TH_2_Lora-tungchau_Book1_2" xfId="977" xr:uid="{00000000-0005-0000-0000-00000B180000}"/>
    <cellStyle name="_TG-TH_2_Lora-tungchau_Book1_2 2" xfId="4248" xr:uid="{00000000-0005-0000-0000-00000C180000}"/>
    <cellStyle name="_TG-TH_2_Lora-tungchau_Book1_2 2_TOM TAT" xfId="20819" xr:uid="{00000000-0005-0000-0000-00000D180000}"/>
    <cellStyle name="_TG-TH_2_Lora-tungchau_Book1_2 3" xfId="18073" xr:uid="{00000000-0005-0000-0000-00000E180000}"/>
    <cellStyle name="_TG-TH_2_Lora-tungchau_Book1_2 3_TOM TAT" xfId="20820" xr:uid="{00000000-0005-0000-0000-00000F180000}"/>
    <cellStyle name="_TG-TH_2_Lora-tungchau_Book1_2_TOM TAT" xfId="20818" xr:uid="{00000000-0005-0000-0000-000010180000}"/>
    <cellStyle name="_TG-TH_2_Lora-tungchau_Book1_3" xfId="978" xr:uid="{00000000-0005-0000-0000-000011180000}"/>
    <cellStyle name="_TG-TH_2_Lora-tungchau_Book1_3 2" xfId="4249" xr:uid="{00000000-0005-0000-0000-000012180000}"/>
    <cellStyle name="_TG-TH_2_Lora-tungchau_Book1_3 2_TOM TAT" xfId="20822" xr:uid="{00000000-0005-0000-0000-000013180000}"/>
    <cellStyle name="_TG-TH_2_Lora-tungchau_Book1_3 3" xfId="18074" xr:uid="{00000000-0005-0000-0000-000014180000}"/>
    <cellStyle name="_TG-TH_2_Lora-tungchau_Book1_3 3_TOM TAT" xfId="20823" xr:uid="{00000000-0005-0000-0000-000015180000}"/>
    <cellStyle name="_TG-TH_2_Lora-tungchau_Book1_3_TOM TAT" xfId="20821" xr:uid="{00000000-0005-0000-0000-000016180000}"/>
    <cellStyle name="_TG-TH_2_Lora-tungchau_Book1_TOM TAT" xfId="20812" xr:uid="{00000000-0005-0000-0000-000017180000}"/>
    <cellStyle name="_TG-TH_2_Lora-tungchau_TOM TAT" xfId="20809" xr:uid="{00000000-0005-0000-0000-000018180000}"/>
    <cellStyle name="_TG-TH_2_Lora-tungchau_VATTUDIEN" xfId="979" xr:uid="{00000000-0005-0000-0000-000019180000}"/>
    <cellStyle name="_TG-TH_2_Lora-tungchau_VATTUDIEN 2" xfId="4250" xr:uid="{00000000-0005-0000-0000-00001A180000}"/>
    <cellStyle name="_TG-TH_2_Lora-tungchau_VATTUDIEN 2_TOM TAT" xfId="20825" xr:uid="{00000000-0005-0000-0000-00001B180000}"/>
    <cellStyle name="_TG-TH_2_Lora-tungchau_VATTUDIEN 3" xfId="18075" xr:uid="{00000000-0005-0000-0000-00001C180000}"/>
    <cellStyle name="_TG-TH_2_Lora-tungchau_VATTUDIEN 3_TOM TAT" xfId="20826" xr:uid="{00000000-0005-0000-0000-00001D180000}"/>
    <cellStyle name="_TG-TH_2_Lora-tungchau_VATTUDIEN_TOM TAT" xfId="20824" xr:uid="{00000000-0005-0000-0000-00001E180000}"/>
    <cellStyle name="_TG-TH_2_PGIA-phieu tham tra Kho bac" xfId="980" xr:uid="{00000000-0005-0000-0000-00001F180000}"/>
    <cellStyle name="_TG-TH_2_PGIA-phieu tham tra Kho bac 2" xfId="4251" xr:uid="{00000000-0005-0000-0000-000020180000}"/>
    <cellStyle name="_TG-TH_2_PGIA-phieu tham tra Kho bac 2_TOM TAT" xfId="20828" xr:uid="{00000000-0005-0000-0000-000021180000}"/>
    <cellStyle name="_TG-TH_2_PGIA-phieu tham tra Kho bac 3" xfId="18076" xr:uid="{00000000-0005-0000-0000-000022180000}"/>
    <cellStyle name="_TG-TH_2_PGIA-phieu tham tra Kho bac 3_TOM TAT" xfId="20829" xr:uid="{00000000-0005-0000-0000-000023180000}"/>
    <cellStyle name="_TG-TH_2_PGIA-phieu tham tra Kho bac_Book1" xfId="981" xr:uid="{00000000-0005-0000-0000-000024180000}"/>
    <cellStyle name="_TG-TH_2_PGIA-phieu tham tra Kho bac_Book1 2" xfId="4252" xr:uid="{00000000-0005-0000-0000-000025180000}"/>
    <cellStyle name="_TG-TH_2_PGIA-phieu tham tra Kho bac_Book1 2_TOM TAT" xfId="20831" xr:uid="{00000000-0005-0000-0000-000026180000}"/>
    <cellStyle name="_TG-TH_2_PGIA-phieu tham tra Kho bac_Book1 3" xfId="18077" xr:uid="{00000000-0005-0000-0000-000027180000}"/>
    <cellStyle name="_TG-TH_2_PGIA-phieu tham tra Kho bac_Book1 3_TOM TAT" xfId="20832" xr:uid="{00000000-0005-0000-0000-000028180000}"/>
    <cellStyle name="_TG-TH_2_PGIA-phieu tham tra Kho bac_Book1_1" xfId="982" xr:uid="{00000000-0005-0000-0000-000029180000}"/>
    <cellStyle name="_TG-TH_2_PGIA-phieu tham tra Kho bac_Book1_1 2" xfId="4253" xr:uid="{00000000-0005-0000-0000-00002A180000}"/>
    <cellStyle name="_TG-TH_2_PGIA-phieu tham tra Kho bac_Book1_1 2_TOM TAT" xfId="20834" xr:uid="{00000000-0005-0000-0000-00002B180000}"/>
    <cellStyle name="_TG-TH_2_PGIA-phieu tham tra Kho bac_Book1_1 3" xfId="18078" xr:uid="{00000000-0005-0000-0000-00002C180000}"/>
    <cellStyle name="_TG-TH_2_PGIA-phieu tham tra Kho bac_Book1_1 3_TOM TAT" xfId="20835" xr:uid="{00000000-0005-0000-0000-00002D180000}"/>
    <cellStyle name="_TG-TH_2_PGIA-phieu tham tra Kho bac_Book1_1_TOM TAT" xfId="20833" xr:uid="{00000000-0005-0000-0000-00002E180000}"/>
    <cellStyle name="_TG-TH_2_PGIA-phieu tham tra Kho bac_Book1_2" xfId="983" xr:uid="{00000000-0005-0000-0000-00002F180000}"/>
    <cellStyle name="_TG-TH_2_PGIA-phieu tham tra Kho bac_Book1_2 2" xfId="4254" xr:uid="{00000000-0005-0000-0000-000030180000}"/>
    <cellStyle name="_TG-TH_2_PGIA-phieu tham tra Kho bac_Book1_2 2_TOM TAT" xfId="20837" xr:uid="{00000000-0005-0000-0000-000031180000}"/>
    <cellStyle name="_TG-TH_2_PGIA-phieu tham tra Kho bac_Book1_2 3" xfId="18079" xr:uid="{00000000-0005-0000-0000-000032180000}"/>
    <cellStyle name="_TG-TH_2_PGIA-phieu tham tra Kho bac_Book1_2 3_TOM TAT" xfId="20838" xr:uid="{00000000-0005-0000-0000-000033180000}"/>
    <cellStyle name="_TG-TH_2_PGIA-phieu tham tra Kho bac_Book1_2_TOM TAT" xfId="20836" xr:uid="{00000000-0005-0000-0000-000034180000}"/>
    <cellStyle name="_TG-TH_2_PGIA-phieu tham tra Kho bac_Book1_3" xfId="984" xr:uid="{00000000-0005-0000-0000-000035180000}"/>
    <cellStyle name="_TG-TH_2_PGIA-phieu tham tra Kho bac_Book1_3 2" xfId="4255" xr:uid="{00000000-0005-0000-0000-000036180000}"/>
    <cellStyle name="_TG-TH_2_PGIA-phieu tham tra Kho bac_Book1_3 2_TOM TAT" xfId="20840" xr:uid="{00000000-0005-0000-0000-000037180000}"/>
    <cellStyle name="_TG-TH_2_PGIA-phieu tham tra Kho bac_Book1_3 3" xfId="18080" xr:uid="{00000000-0005-0000-0000-000038180000}"/>
    <cellStyle name="_TG-TH_2_PGIA-phieu tham tra Kho bac_Book1_3 3_TOM TAT" xfId="20841" xr:uid="{00000000-0005-0000-0000-000039180000}"/>
    <cellStyle name="_TG-TH_2_PGIA-phieu tham tra Kho bac_Book1_3_TOM TAT" xfId="20839" xr:uid="{00000000-0005-0000-0000-00003A180000}"/>
    <cellStyle name="_TG-TH_2_PGIA-phieu tham tra Kho bac_Book1_TOM TAT" xfId="20830" xr:uid="{00000000-0005-0000-0000-00003B180000}"/>
    <cellStyle name="_TG-TH_2_PGIA-phieu tham tra Kho bac_TOM TAT" xfId="20827" xr:uid="{00000000-0005-0000-0000-00003C180000}"/>
    <cellStyle name="_TG-TH_2_PGIA-phieu tham tra Kho bac_VATTUDIEN" xfId="985" xr:uid="{00000000-0005-0000-0000-00003D180000}"/>
    <cellStyle name="_TG-TH_2_PGIA-phieu tham tra Kho bac_VATTUDIEN 2" xfId="4256" xr:uid="{00000000-0005-0000-0000-00003E180000}"/>
    <cellStyle name="_TG-TH_2_PGIA-phieu tham tra Kho bac_VATTUDIEN 2_TOM TAT" xfId="20843" xr:uid="{00000000-0005-0000-0000-00003F180000}"/>
    <cellStyle name="_TG-TH_2_PGIA-phieu tham tra Kho bac_VATTUDIEN 3" xfId="18081" xr:uid="{00000000-0005-0000-0000-000040180000}"/>
    <cellStyle name="_TG-TH_2_PGIA-phieu tham tra Kho bac_VATTUDIEN 3_TOM TAT" xfId="20844" xr:uid="{00000000-0005-0000-0000-000041180000}"/>
    <cellStyle name="_TG-TH_2_PGIA-phieu tham tra Kho bac_VATTUDIEN_TOM TAT" xfId="20842" xr:uid="{00000000-0005-0000-0000-000042180000}"/>
    <cellStyle name="_TG-TH_2_PT02-02" xfId="986" xr:uid="{00000000-0005-0000-0000-000043180000}"/>
    <cellStyle name="_TG-TH_2_PT02-02 2" xfId="4257" xr:uid="{00000000-0005-0000-0000-000044180000}"/>
    <cellStyle name="_TG-TH_2_PT02-02 2_TOM TAT" xfId="20846" xr:uid="{00000000-0005-0000-0000-000045180000}"/>
    <cellStyle name="_TG-TH_2_PT02-02 3" xfId="18082" xr:uid="{00000000-0005-0000-0000-000046180000}"/>
    <cellStyle name="_TG-TH_2_PT02-02 3_TOM TAT" xfId="20847" xr:uid="{00000000-0005-0000-0000-000047180000}"/>
    <cellStyle name="_TG-TH_2_PT02-02_Book1" xfId="987" xr:uid="{00000000-0005-0000-0000-000048180000}"/>
    <cellStyle name="_TG-TH_2_PT02-02_Book1 2" xfId="4258" xr:uid="{00000000-0005-0000-0000-000049180000}"/>
    <cellStyle name="_TG-TH_2_PT02-02_Book1 2_TOM TAT" xfId="20849" xr:uid="{00000000-0005-0000-0000-00004A180000}"/>
    <cellStyle name="_TG-TH_2_PT02-02_Book1 3" xfId="18083" xr:uid="{00000000-0005-0000-0000-00004B180000}"/>
    <cellStyle name="_TG-TH_2_PT02-02_Book1 3_TOM TAT" xfId="20850" xr:uid="{00000000-0005-0000-0000-00004C180000}"/>
    <cellStyle name="_TG-TH_2_PT02-02_Book1_1" xfId="988" xr:uid="{00000000-0005-0000-0000-00004D180000}"/>
    <cellStyle name="_TG-TH_2_PT02-02_Book1_1 2" xfId="4259" xr:uid="{00000000-0005-0000-0000-00004E180000}"/>
    <cellStyle name="_TG-TH_2_PT02-02_Book1_1 2_TOM TAT" xfId="20852" xr:uid="{00000000-0005-0000-0000-00004F180000}"/>
    <cellStyle name="_TG-TH_2_PT02-02_Book1_1 3" xfId="18084" xr:uid="{00000000-0005-0000-0000-000050180000}"/>
    <cellStyle name="_TG-TH_2_PT02-02_Book1_1 3_TOM TAT" xfId="20853" xr:uid="{00000000-0005-0000-0000-000051180000}"/>
    <cellStyle name="_TG-TH_2_PT02-02_Book1_1_TOM TAT" xfId="20851" xr:uid="{00000000-0005-0000-0000-000052180000}"/>
    <cellStyle name="_TG-TH_2_PT02-02_Book1_2" xfId="989" xr:uid="{00000000-0005-0000-0000-000053180000}"/>
    <cellStyle name="_TG-TH_2_PT02-02_Book1_2 2" xfId="4260" xr:uid="{00000000-0005-0000-0000-000054180000}"/>
    <cellStyle name="_TG-TH_2_PT02-02_Book1_2 2_TOM TAT" xfId="20855" xr:uid="{00000000-0005-0000-0000-000055180000}"/>
    <cellStyle name="_TG-TH_2_PT02-02_Book1_2 3" xfId="18085" xr:uid="{00000000-0005-0000-0000-000056180000}"/>
    <cellStyle name="_TG-TH_2_PT02-02_Book1_2 3_TOM TAT" xfId="20856" xr:uid="{00000000-0005-0000-0000-000057180000}"/>
    <cellStyle name="_TG-TH_2_PT02-02_Book1_2_TOM TAT" xfId="20854" xr:uid="{00000000-0005-0000-0000-000058180000}"/>
    <cellStyle name="_TG-TH_2_PT02-02_Book1_3" xfId="990" xr:uid="{00000000-0005-0000-0000-000059180000}"/>
    <cellStyle name="_TG-TH_2_PT02-02_Book1_3 2" xfId="4261" xr:uid="{00000000-0005-0000-0000-00005A180000}"/>
    <cellStyle name="_TG-TH_2_PT02-02_Book1_3 2_TOM TAT" xfId="20858" xr:uid="{00000000-0005-0000-0000-00005B180000}"/>
    <cellStyle name="_TG-TH_2_PT02-02_Book1_3 3" xfId="18086" xr:uid="{00000000-0005-0000-0000-00005C180000}"/>
    <cellStyle name="_TG-TH_2_PT02-02_Book1_3 3_TOM TAT" xfId="20859" xr:uid="{00000000-0005-0000-0000-00005D180000}"/>
    <cellStyle name="_TG-TH_2_PT02-02_Book1_3_TOM TAT" xfId="20857" xr:uid="{00000000-0005-0000-0000-00005E180000}"/>
    <cellStyle name="_TG-TH_2_PT02-02_Book1_4" xfId="991" xr:uid="{00000000-0005-0000-0000-00005F180000}"/>
    <cellStyle name="_TG-TH_2_PT02-02_Book1_4 2" xfId="4262" xr:uid="{00000000-0005-0000-0000-000060180000}"/>
    <cellStyle name="_TG-TH_2_PT02-02_Book1_4 2_TOM TAT" xfId="20861" xr:uid="{00000000-0005-0000-0000-000061180000}"/>
    <cellStyle name="_TG-TH_2_PT02-02_Book1_4 3" xfId="18087" xr:uid="{00000000-0005-0000-0000-000062180000}"/>
    <cellStyle name="_TG-TH_2_PT02-02_Book1_4 3_TOM TAT" xfId="20862" xr:uid="{00000000-0005-0000-0000-000063180000}"/>
    <cellStyle name="_TG-TH_2_PT02-02_Book1_4_TOM TAT" xfId="20860" xr:uid="{00000000-0005-0000-0000-000064180000}"/>
    <cellStyle name="_TG-TH_2_PT02-02_Book1_Book1" xfId="992" xr:uid="{00000000-0005-0000-0000-000065180000}"/>
    <cellStyle name="_TG-TH_2_PT02-02_Book1_Book1 2" xfId="4263" xr:uid="{00000000-0005-0000-0000-000066180000}"/>
    <cellStyle name="_TG-TH_2_PT02-02_Book1_Book1 2_TOM TAT" xfId="20864" xr:uid="{00000000-0005-0000-0000-000067180000}"/>
    <cellStyle name="_TG-TH_2_PT02-02_Book1_Book1 3" xfId="18088" xr:uid="{00000000-0005-0000-0000-000068180000}"/>
    <cellStyle name="_TG-TH_2_PT02-02_Book1_Book1 3_TOM TAT" xfId="20865" xr:uid="{00000000-0005-0000-0000-000069180000}"/>
    <cellStyle name="_TG-TH_2_PT02-02_Book1_Book1_1" xfId="993" xr:uid="{00000000-0005-0000-0000-00006A180000}"/>
    <cellStyle name="_TG-TH_2_PT02-02_Book1_Book1_1 2" xfId="4264" xr:uid="{00000000-0005-0000-0000-00006B180000}"/>
    <cellStyle name="_TG-TH_2_PT02-02_Book1_Book1_1 2_TOM TAT" xfId="20867" xr:uid="{00000000-0005-0000-0000-00006C180000}"/>
    <cellStyle name="_TG-TH_2_PT02-02_Book1_Book1_1 3" xfId="18089" xr:uid="{00000000-0005-0000-0000-00006D180000}"/>
    <cellStyle name="_TG-TH_2_PT02-02_Book1_Book1_1 3_TOM TAT" xfId="20868" xr:uid="{00000000-0005-0000-0000-00006E180000}"/>
    <cellStyle name="_TG-TH_2_PT02-02_Book1_Book1_1_TOM TAT" xfId="20866" xr:uid="{00000000-0005-0000-0000-00006F180000}"/>
    <cellStyle name="_TG-TH_2_PT02-02_Book1_Book1_2" xfId="994" xr:uid="{00000000-0005-0000-0000-000070180000}"/>
    <cellStyle name="_TG-TH_2_PT02-02_Book1_Book1_2 2" xfId="4265" xr:uid="{00000000-0005-0000-0000-000071180000}"/>
    <cellStyle name="_TG-TH_2_PT02-02_Book1_Book1_2 2_TOM TAT" xfId="20870" xr:uid="{00000000-0005-0000-0000-000072180000}"/>
    <cellStyle name="_TG-TH_2_PT02-02_Book1_Book1_2 3" xfId="18090" xr:uid="{00000000-0005-0000-0000-000073180000}"/>
    <cellStyle name="_TG-TH_2_PT02-02_Book1_Book1_2 3_TOM TAT" xfId="20871" xr:uid="{00000000-0005-0000-0000-000074180000}"/>
    <cellStyle name="_TG-TH_2_PT02-02_Book1_Book1_2_TOM TAT" xfId="20869" xr:uid="{00000000-0005-0000-0000-000075180000}"/>
    <cellStyle name="_TG-TH_2_PT02-02_Book1_Book1_3" xfId="995" xr:uid="{00000000-0005-0000-0000-000076180000}"/>
    <cellStyle name="_TG-TH_2_PT02-02_Book1_Book1_3 2" xfId="4266" xr:uid="{00000000-0005-0000-0000-000077180000}"/>
    <cellStyle name="_TG-TH_2_PT02-02_Book1_Book1_3 2_TOM TAT" xfId="20873" xr:uid="{00000000-0005-0000-0000-000078180000}"/>
    <cellStyle name="_TG-TH_2_PT02-02_Book1_Book1_3 3" xfId="18091" xr:uid="{00000000-0005-0000-0000-000079180000}"/>
    <cellStyle name="_TG-TH_2_PT02-02_Book1_Book1_3 3_TOM TAT" xfId="20874" xr:uid="{00000000-0005-0000-0000-00007A180000}"/>
    <cellStyle name="_TG-TH_2_PT02-02_Book1_Book1_3_TOM TAT" xfId="20872" xr:uid="{00000000-0005-0000-0000-00007B180000}"/>
    <cellStyle name="_TG-TH_2_PT02-02_Book1_Book1_TOM TAT" xfId="20863" xr:uid="{00000000-0005-0000-0000-00007C180000}"/>
    <cellStyle name="_TG-TH_2_PT02-02_Book1_TOM TAT" xfId="20848" xr:uid="{00000000-0005-0000-0000-00007D180000}"/>
    <cellStyle name="_TG-TH_2_PT02-02_Book1_VATTUDIEN" xfId="996" xr:uid="{00000000-0005-0000-0000-00007E180000}"/>
    <cellStyle name="_TG-TH_2_PT02-02_Book1_VATTUDIEN 2" xfId="4267" xr:uid="{00000000-0005-0000-0000-00007F180000}"/>
    <cellStyle name="_TG-TH_2_PT02-02_Book1_VATTUDIEN 2_TOM TAT" xfId="20876" xr:uid="{00000000-0005-0000-0000-000080180000}"/>
    <cellStyle name="_TG-TH_2_PT02-02_Book1_VATTUDIEN 3" xfId="18092" xr:uid="{00000000-0005-0000-0000-000081180000}"/>
    <cellStyle name="_TG-TH_2_PT02-02_Book1_VATTUDIEN 3_TOM TAT" xfId="20877" xr:uid="{00000000-0005-0000-0000-000082180000}"/>
    <cellStyle name="_TG-TH_2_PT02-02_Book1_VATTUDIEN_TOM TAT" xfId="20875" xr:uid="{00000000-0005-0000-0000-000083180000}"/>
    <cellStyle name="_TG-TH_2_PT02-02_TOM TAT" xfId="20845" xr:uid="{00000000-0005-0000-0000-000084180000}"/>
    <cellStyle name="_TG-TH_2_PT02-02_VATTUDIEN" xfId="997" xr:uid="{00000000-0005-0000-0000-000085180000}"/>
    <cellStyle name="_TG-TH_2_PT02-02_VATTUDIEN 2" xfId="4268" xr:uid="{00000000-0005-0000-0000-000086180000}"/>
    <cellStyle name="_TG-TH_2_PT02-02_VATTUDIEN 2_TOM TAT" xfId="20879" xr:uid="{00000000-0005-0000-0000-000087180000}"/>
    <cellStyle name="_TG-TH_2_PT02-02_VATTUDIEN 3" xfId="18093" xr:uid="{00000000-0005-0000-0000-000088180000}"/>
    <cellStyle name="_TG-TH_2_PT02-02_VATTUDIEN 3_TOM TAT" xfId="20880" xr:uid="{00000000-0005-0000-0000-000089180000}"/>
    <cellStyle name="_TG-TH_2_PT02-02_VATTUDIEN_TOM TAT" xfId="20878" xr:uid="{00000000-0005-0000-0000-00008A180000}"/>
    <cellStyle name="_TG-TH_2_PT02-03" xfId="998" xr:uid="{00000000-0005-0000-0000-00008B180000}"/>
    <cellStyle name="_TG-TH_2_PT02-03 2" xfId="4269" xr:uid="{00000000-0005-0000-0000-00008C180000}"/>
    <cellStyle name="_TG-TH_2_PT02-03 2_TOM TAT" xfId="20882" xr:uid="{00000000-0005-0000-0000-00008D180000}"/>
    <cellStyle name="_TG-TH_2_PT02-03 3" xfId="18094" xr:uid="{00000000-0005-0000-0000-00008E180000}"/>
    <cellStyle name="_TG-TH_2_PT02-03 3_TOM TAT" xfId="20883" xr:uid="{00000000-0005-0000-0000-00008F180000}"/>
    <cellStyle name="_TG-TH_2_PT02-03_Book1" xfId="999" xr:uid="{00000000-0005-0000-0000-000090180000}"/>
    <cellStyle name="_TG-TH_2_PT02-03_Book1 2" xfId="4270" xr:uid="{00000000-0005-0000-0000-000091180000}"/>
    <cellStyle name="_TG-TH_2_PT02-03_Book1 2_TOM TAT" xfId="20885" xr:uid="{00000000-0005-0000-0000-000092180000}"/>
    <cellStyle name="_TG-TH_2_PT02-03_Book1 3" xfId="18095" xr:uid="{00000000-0005-0000-0000-000093180000}"/>
    <cellStyle name="_TG-TH_2_PT02-03_Book1 3_TOM TAT" xfId="20886" xr:uid="{00000000-0005-0000-0000-000094180000}"/>
    <cellStyle name="_TG-TH_2_PT02-03_Book1_1" xfId="1000" xr:uid="{00000000-0005-0000-0000-000095180000}"/>
    <cellStyle name="_TG-TH_2_PT02-03_Book1_1 2" xfId="4271" xr:uid="{00000000-0005-0000-0000-000096180000}"/>
    <cellStyle name="_TG-TH_2_PT02-03_Book1_1 2_TOM TAT" xfId="20888" xr:uid="{00000000-0005-0000-0000-000097180000}"/>
    <cellStyle name="_TG-TH_2_PT02-03_Book1_1 3" xfId="18096" xr:uid="{00000000-0005-0000-0000-000098180000}"/>
    <cellStyle name="_TG-TH_2_PT02-03_Book1_1 3_TOM TAT" xfId="20889" xr:uid="{00000000-0005-0000-0000-000099180000}"/>
    <cellStyle name="_TG-TH_2_PT02-03_Book1_1_TOM TAT" xfId="20887" xr:uid="{00000000-0005-0000-0000-00009A180000}"/>
    <cellStyle name="_TG-TH_2_PT02-03_Book1_2" xfId="1001" xr:uid="{00000000-0005-0000-0000-00009B180000}"/>
    <cellStyle name="_TG-TH_2_PT02-03_Book1_2 2" xfId="4272" xr:uid="{00000000-0005-0000-0000-00009C180000}"/>
    <cellStyle name="_TG-TH_2_PT02-03_Book1_2 2_TOM TAT" xfId="20891" xr:uid="{00000000-0005-0000-0000-00009D180000}"/>
    <cellStyle name="_TG-TH_2_PT02-03_Book1_2 3" xfId="18097" xr:uid="{00000000-0005-0000-0000-00009E180000}"/>
    <cellStyle name="_TG-TH_2_PT02-03_Book1_2 3_TOM TAT" xfId="20892" xr:uid="{00000000-0005-0000-0000-00009F180000}"/>
    <cellStyle name="_TG-TH_2_PT02-03_Book1_2_TOM TAT" xfId="20890" xr:uid="{00000000-0005-0000-0000-0000A0180000}"/>
    <cellStyle name="_TG-TH_2_PT02-03_Book1_3" xfId="1002" xr:uid="{00000000-0005-0000-0000-0000A1180000}"/>
    <cellStyle name="_TG-TH_2_PT02-03_Book1_3 2" xfId="4273" xr:uid="{00000000-0005-0000-0000-0000A2180000}"/>
    <cellStyle name="_TG-TH_2_PT02-03_Book1_3 2_TOM TAT" xfId="20894" xr:uid="{00000000-0005-0000-0000-0000A3180000}"/>
    <cellStyle name="_TG-TH_2_PT02-03_Book1_3 3" xfId="18098" xr:uid="{00000000-0005-0000-0000-0000A4180000}"/>
    <cellStyle name="_TG-TH_2_PT02-03_Book1_3 3_TOM TAT" xfId="20895" xr:uid="{00000000-0005-0000-0000-0000A5180000}"/>
    <cellStyle name="_TG-TH_2_PT02-03_Book1_3_TOM TAT" xfId="20893" xr:uid="{00000000-0005-0000-0000-0000A6180000}"/>
    <cellStyle name="_TG-TH_2_PT02-03_Book1_4" xfId="1003" xr:uid="{00000000-0005-0000-0000-0000A7180000}"/>
    <cellStyle name="_TG-TH_2_PT02-03_Book1_4 2" xfId="4274" xr:uid="{00000000-0005-0000-0000-0000A8180000}"/>
    <cellStyle name="_TG-TH_2_PT02-03_Book1_4 2_TOM TAT" xfId="20897" xr:uid="{00000000-0005-0000-0000-0000A9180000}"/>
    <cellStyle name="_TG-TH_2_PT02-03_Book1_4 3" xfId="18099" xr:uid="{00000000-0005-0000-0000-0000AA180000}"/>
    <cellStyle name="_TG-TH_2_PT02-03_Book1_4 3_TOM TAT" xfId="20898" xr:uid="{00000000-0005-0000-0000-0000AB180000}"/>
    <cellStyle name="_TG-TH_2_PT02-03_Book1_4_TOM TAT" xfId="20896" xr:uid="{00000000-0005-0000-0000-0000AC180000}"/>
    <cellStyle name="_TG-TH_2_PT02-03_Book1_Book1" xfId="1004" xr:uid="{00000000-0005-0000-0000-0000AD180000}"/>
    <cellStyle name="_TG-TH_2_PT02-03_Book1_Book1 2" xfId="4275" xr:uid="{00000000-0005-0000-0000-0000AE180000}"/>
    <cellStyle name="_TG-TH_2_PT02-03_Book1_Book1 2_TOM TAT" xfId="20900" xr:uid="{00000000-0005-0000-0000-0000AF180000}"/>
    <cellStyle name="_TG-TH_2_PT02-03_Book1_Book1 3" xfId="18100" xr:uid="{00000000-0005-0000-0000-0000B0180000}"/>
    <cellStyle name="_TG-TH_2_PT02-03_Book1_Book1 3_TOM TAT" xfId="20901" xr:uid="{00000000-0005-0000-0000-0000B1180000}"/>
    <cellStyle name="_TG-TH_2_PT02-03_Book1_Book1_1" xfId="1005" xr:uid="{00000000-0005-0000-0000-0000B2180000}"/>
    <cellStyle name="_TG-TH_2_PT02-03_Book1_Book1_1 2" xfId="4276" xr:uid="{00000000-0005-0000-0000-0000B3180000}"/>
    <cellStyle name="_TG-TH_2_PT02-03_Book1_Book1_1 2_TOM TAT" xfId="20903" xr:uid="{00000000-0005-0000-0000-0000B4180000}"/>
    <cellStyle name="_TG-TH_2_PT02-03_Book1_Book1_1 3" xfId="18101" xr:uid="{00000000-0005-0000-0000-0000B5180000}"/>
    <cellStyle name="_TG-TH_2_PT02-03_Book1_Book1_1 3_TOM TAT" xfId="20904" xr:uid="{00000000-0005-0000-0000-0000B6180000}"/>
    <cellStyle name="_TG-TH_2_PT02-03_Book1_Book1_1_TOM TAT" xfId="20902" xr:uid="{00000000-0005-0000-0000-0000B7180000}"/>
    <cellStyle name="_TG-TH_2_PT02-03_Book1_Book1_2" xfId="1006" xr:uid="{00000000-0005-0000-0000-0000B8180000}"/>
    <cellStyle name="_TG-TH_2_PT02-03_Book1_Book1_2 2" xfId="4277" xr:uid="{00000000-0005-0000-0000-0000B9180000}"/>
    <cellStyle name="_TG-TH_2_PT02-03_Book1_Book1_2 2_TOM TAT" xfId="20906" xr:uid="{00000000-0005-0000-0000-0000BA180000}"/>
    <cellStyle name="_TG-TH_2_PT02-03_Book1_Book1_2 3" xfId="18102" xr:uid="{00000000-0005-0000-0000-0000BB180000}"/>
    <cellStyle name="_TG-TH_2_PT02-03_Book1_Book1_2 3_TOM TAT" xfId="20907" xr:uid="{00000000-0005-0000-0000-0000BC180000}"/>
    <cellStyle name="_TG-TH_2_PT02-03_Book1_Book1_2_TOM TAT" xfId="20905" xr:uid="{00000000-0005-0000-0000-0000BD180000}"/>
    <cellStyle name="_TG-TH_2_PT02-03_Book1_Book1_3" xfId="1007" xr:uid="{00000000-0005-0000-0000-0000BE180000}"/>
    <cellStyle name="_TG-TH_2_PT02-03_Book1_Book1_3 2" xfId="4278" xr:uid="{00000000-0005-0000-0000-0000BF180000}"/>
    <cellStyle name="_TG-TH_2_PT02-03_Book1_Book1_3 2_TOM TAT" xfId="20909" xr:uid="{00000000-0005-0000-0000-0000C0180000}"/>
    <cellStyle name="_TG-TH_2_PT02-03_Book1_Book1_3 3" xfId="18103" xr:uid="{00000000-0005-0000-0000-0000C1180000}"/>
    <cellStyle name="_TG-TH_2_PT02-03_Book1_Book1_3 3_TOM TAT" xfId="20910" xr:uid="{00000000-0005-0000-0000-0000C2180000}"/>
    <cellStyle name="_TG-TH_2_PT02-03_Book1_Book1_3_TOM TAT" xfId="20908" xr:uid="{00000000-0005-0000-0000-0000C3180000}"/>
    <cellStyle name="_TG-TH_2_PT02-03_Book1_Book1_TOM TAT" xfId="20899" xr:uid="{00000000-0005-0000-0000-0000C4180000}"/>
    <cellStyle name="_TG-TH_2_PT02-03_Book1_TOM TAT" xfId="20884" xr:uid="{00000000-0005-0000-0000-0000C5180000}"/>
    <cellStyle name="_TG-TH_2_PT02-03_Book1_VATTUDIEN" xfId="1008" xr:uid="{00000000-0005-0000-0000-0000C6180000}"/>
    <cellStyle name="_TG-TH_2_PT02-03_Book1_VATTUDIEN 2" xfId="4279" xr:uid="{00000000-0005-0000-0000-0000C7180000}"/>
    <cellStyle name="_TG-TH_2_PT02-03_Book1_VATTUDIEN 2_TOM TAT" xfId="20912" xr:uid="{00000000-0005-0000-0000-0000C8180000}"/>
    <cellStyle name="_TG-TH_2_PT02-03_Book1_VATTUDIEN 3" xfId="18104" xr:uid="{00000000-0005-0000-0000-0000C9180000}"/>
    <cellStyle name="_TG-TH_2_PT02-03_Book1_VATTUDIEN 3_TOM TAT" xfId="20913" xr:uid="{00000000-0005-0000-0000-0000CA180000}"/>
    <cellStyle name="_TG-TH_2_PT02-03_Book1_VATTUDIEN_TOM TAT" xfId="20911" xr:uid="{00000000-0005-0000-0000-0000CB180000}"/>
    <cellStyle name="_TG-TH_2_PT02-03_TOM TAT" xfId="20881" xr:uid="{00000000-0005-0000-0000-0000CC180000}"/>
    <cellStyle name="_TG-TH_2_PT02-03_VATTUDIEN" xfId="1009" xr:uid="{00000000-0005-0000-0000-0000CD180000}"/>
    <cellStyle name="_TG-TH_2_PT02-03_VATTUDIEN 2" xfId="4280" xr:uid="{00000000-0005-0000-0000-0000CE180000}"/>
    <cellStyle name="_TG-TH_2_PT02-03_VATTUDIEN 2_TOM TAT" xfId="20915" xr:uid="{00000000-0005-0000-0000-0000CF180000}"/>
    <cellStyle name="_TG-TH_2_PT02-03_VATTUDIEN 3" xfId="18105" xr:uid="{00000000-0005-0000-0000-0000D0180000}"/>
    <cellStyle name="_TG-TH_2_PT02-03_VATTUDIEN 3_TOM TAT" xfId="20916" xr:uid="{00000000-0005-0000-0000-0000D1180000}"/>
    <cellStyle name="_TG-TH_2_PT02-03_VATTUDIEN_TOM TAT" xfId="20914" xr:uid="{00000000-0005-0000-0000-0000D2180000}"/>
    <cellStyle name="_TG-TH_2_Qt-HT3PQ1(CauKho)" xfId="1010" xr:uid="{00000000-0005-0000-0000-0000D3180000}"/>
    <cellStyle name="_TG-TH_2_Qt-HT3PQ1(CauKho) 2" xfId="4281" xr:uid="{00000000-0005-0000-0000-0000D4180000}"/>
    <cellStyle name="_TG-TH_2_Qt-HT3PQ1(CauKho) 2_TOM TAT" xfId="20918" xr:uid="{00000000-0005-0000-0000-0000D5180000}"/>
    <cellStyle name="_TG-TH_2_Qt-HT3PQ1(CauKho) 3" xfId="18106" xr:uid="{00000000-0005-0000-0000-0000D6180000}"/>
    <cellStyle name="_TG-TH_2_Qt-HT3PQ1(CauKho) 3_TOM TAT" xfId="20919" xr:uid="{00000000-0005-0000-0000-0000D7180000}"/>
    <cellStyle name="_TG-TH_2_Qt-HT3PQ1(CauKho)_Book1" xfId="1011" xr:uid="{00000000-0005-0000-0000-0000D8180000}"/>
    <cellStyle name="_TG-TH_2_Qt-HT3PQ1(CauKho)_Book1 2" xfId="4282" xr:uid="{00000000-0005-0000-0000-0000D9180000}"/>
    <cellStyle name="_TG-TH_2_Qt-HT3PQ1(CauKho)_Book1 2_TOM TAT" xfId="20921" xr:uid="{00000000-0005-0000-0000-0000DA180000}"/>
    <cellStyle name="_TG-TH_2_Qt-HT3PQ1(CauKho)_Book1 3" xfId="18107" xr:uid="{00000000-0005-0000-0000-0000DB180000}"/>
    <cellStyle name="_TG-TH_2_Qt-HT3PQ1(CauKho)_Book1 3_TOM TAT" xfId="20922" xr:uid="{00000000-0005-0000-0000-0000DC180000}"/>
    <cellStyle name="_TG-TH_2_Qt-HT3PQ1(CauKho)_Book1_1" xfId="1012" xr:uid="{00000000-0005-0000-0000-0000DD180000}"/>
    <cellStyle name="_TG-TH_2_Qt-HT3PQ1(CauKho)_Book1_1 2" xfId="4283" xr:uid="{00000000-0005-0000-0000-0000DE180000}"/>
    <cellStyle name="_TG-TH_2_Qt-HT3PQ1(CauKho)_Book1_1 2_TOM TAT" xfId="20924" xr:uid="{00000000-0005-0000-0000-0000DF180000}"/>
    <cellStyle name="_TG-TH_2_Qt-HT3PQ1(CauKho)_Book1_1 3" xfId="18108" xr:uid="{00000000-0005-0000-0000-0000E0180000}"/>
    <cellStyle name="_TG-TH_2_Qt-HT3PQ1(CauKho)_Book1_1 3_TOM TAT" xfId="20925" xr:uid="{00000000-0005-0000-0000-0000E1180000}"/>
    <cellStyle name="_TG-TH_2_Qt-HT3PQ1(CauKho)_Book1_1_TOM TAT" xfId="20923" xr:uid="{00000000-0005-0000-0000-0000E2180000}"/>
    <cellStyle name="_TG-TH_2_Qt-HT3PQ1(CauKho)_Book1_2" xfId="1013" xr:uid="{00000000-0005-0000-0000-0000E3180000}"/>
    <cellStyle name="_TG-TH_2_Qt-HT3PQ1(CauKho)_Book1_2 2" xfId="4284" xr:uid="{00000000-0005-0000-0000-0000E4180000}"/>
    <cellStyle name="_TG-TH_2_Qt-HT3PQ1(CauKho)_Book1_2 2_TOM TAT" xfId="20927" xr:uid="{00000000-0005-0000-0000-0000E5180000}"/>
    <cellStyle name="_TG-TH_2_Qt-HT3PQ1(CauKho)_Book1_2 3" xfId="18109" xr:uid="{00000000-0005-0000-0000-0000E6180000}"/>
    <cellStyle name="_TG-TH_2_Qt-HT3PQ1(CauKho)_Book1_2 3_TOM TAT" xfId="20928" xr:uid="{00000000-0005-0000-0000-0000E7180000}"/>
    <cellStyle name="_TG-TH_2_Qt-HT3PQ1(CauKho)_Book1_2_TOM TAT" xfId="20926" xr:uid="{00000000-0005-0000-0000-0000E8180000}"/>
    <cellStyle name="_TG-TH_2_Qt-HT3PQ1(CauKho)_Book1_3" xfId="1014" xr:uid="{00000000-0005-0000-0000-0000E9180000}"/>
    <cellStyle name="_TG-TH_2_Qt-HT3PQ1(CauKho)_Book1_3 2" xfId="4285" xr:uid="{00000000-0005-0000-0000-0000EA180000}"/>
    <cellStyle name="_TG-TH_2_Qt-HT3PQ1(CauKho)_Book1_3 2_TOM TAT" xfId="20930" xr:uid="{00000000-0005-0000-0000-0000EB180000}"/>
    <cellStyle name="_TG-TH_2_Qt-HT3PQ1(CauKho)_Book1_3 3" xfId="18110" xr:uid="{00000000-0005-0000-0000-0000EC180000}"/>
    <cellStyle name="_TG-TH_2_Qt-HT3PQ1(CauKho)_Book1_3 3_TOM TAT" xfId="20931" xr:uid="{00000000-0005-0000-0000-0000ED180000}"/>
    <cellStyle name="_TG-TH_2_Qt-HT3PQ1(CauKho)_Book1_3_TOM TAT" xfId="20929" xr:uid="{00000000-0005-0000-0000-0000EE180000}"/>
    <cellStyle name="_TG-TH_2_Qt-HT3PQ1(CauKho)_Book1_TOM TAT" xfId="20920" xr:uid="{00000000-0005-0000-0000-0000EF180000}"/>
    <cellStyle name="_TG-TH_2_Qt-HT3PQ1(CauKho)_TOM TAT" xfId="20917" xr:uid="{00000000-0005-0000-0000-0000F0180000}"/>
    <cellStyle name="_TG-TH_2_Qt-HT3PQ1(CauKho)_VATTUDIEN" xfId="1015" xr:uid="{00000000-0005-0000-0000-0000F1180000}"/>
    <cellStyle name="_TG-TH_2_Qt-HT3PQ1(CauKho)_VATTUDIEN 2" xfId="4286" xr:uid="{00000000-0005-0000-0000-0000F2180000}"/>
    <cellStyle name="_TG-TH_2_Qt-HT3PQ1(CauKho)_VATTUDIEN 2_TOM TAT" xfId="20933" xr:uid="{00000000-0005-0000-0000-0000F3180000}"/>
    <cellStyle name="_TG-TH_2_Qt-HT3PQ1(CauKho)_VATTUDIEN 3" xfId="18111" xr:uid="{00000000-0005-0000-0000-0000F4180000}"/>
    <cellStyle name="_TG-TH_2_Qt-HT3PQ1(CauKho)_VATTUDIEN 3_TOM TAT" xfId="20934" xr:uid="{00000000-0005-0000-0000-0000F5180000}"/>
    <cellStyle name="_TG-TH_2_Qt-HT3PQ1(CauKho)_VATTUDIEN_TOM TAT" xfId="20932" xr:uid="{00000000-0005-0000-0000-0000F6180000}"/>
    <cellStyle name="_TG-TH_2_Sheet1" xfId="5108" xr:uid="{00000000-0005-0000-0000-0000F7180000}"/>
    <cellStyle name="_TG-TH_2_Sheet1_TOM TAT" xfId="20935" xr:uid="{00000000-0005-0000-0000-0000F8180000}"/>
    <cellStyle name="_TG-TH_2_Sheet2" xfId="5109" xr:uid="{00000000-0005-0000-0000-0000F9180000}"/>
    <cellStyle name="_TG-TH_2_Sheet2_TOM TAT" xfId="20936" xr:uid="{00000000-0005-0000-0000-0000FA180000}"/>
    <cellStyle name="_TG-TH_2_TH KE" xfId="1016" xr:uid="{00000000-0005-0000-0000-0000FB180000}"/>
    <cellStyle name="_TG-TH_2_TH KE 2" xfId="4287" xr:uid="{00000000-0005-0000-0000-0000FC180000}"/>
    <cellStyle name="_TG-TH_2_TH KE 2_TOM TAT" xfId="20938" xr:uid="{00000000-0005-0000-0000-0000FD180000}"/>
    <cellStyle name="_TG-TH_2_TH KE 3" xfId="18112" xr:uid="{00000000-0005-0000-0000-0000FE180000}"/>
    <cellStyle name="_TG-TH_2_TH KE 3_TOM TAT" xfId="20939" xr:uid="{00000000-0005-0000-0000-0000FF180000}"/>
    <cellStyle name="_TG-TH_2_TH KE_Book1" xfId="1017" xr:uid="{00000000-0005-0000-0000-000000190000}"/>
    <cellStyle name="_TG-TH_2_TH KE_Book1 2" xfId="4288" xr:uid="{00000000-0005-0000-0000-000001190000}"/>
    <cellStyle name="_TG-TH_2_TH KE_Book1 2_TOM TAT" xfId="20941" xr:uid="{00000000-0005-0000-0000-000002190000}"/>
    <cellStyle name="_TG-TH_2_TH KE_Book1 3" xfId="18113" xr:uid="{00000000-0005-0000-0000-000003190000}"/>
    <cellStyle name="_TG-TH_2_TH KE_Book1 3_TOM TAT" xfId="20942" xr:uid="{00000000-0005-0000-0000-000004190000}"/>
    <cellStyle name="_TG-TH_2_TH KE_Book1_1" xfId="1018" xr:uid="{00000000-0005-0000-0000-000005190000}"/>
    <cellStyle name="_TG-TH_2_TH KE_Book1_1 2" xfId="4289" xr:uid="{00000000-0005-0000-0000-000006190000}"/>
    <cellStyle name="_TG-TH_2_TH KE_Book1_1 2_TOM TAT" xfId="20944" xr:uid="{00000000-0005-0000-0000-000007190000}"/>
    <cellStyle name="_TG-TH_2_TH KE_Book1_1 3" xfId="18114" xr:uid="{00000000-0005-0000-0000-000008190000}"/>
    <cellStyle name="_TG-TH_2_TH KE_Book1_1 3_TOM TAT" xfId="20945" xr:uid="{00000000-0005-0000-0000-000009190000}"/>
    <cellStyle name="_TG-TH_2_TH KE_Book1_1_TOM TAT" xfId="20943" xr:uid="{00000000-0005-0000-0000-00000A190000}"/>
    <cellStyle name="_TG-TH_2_TH KE_Book1_2" xfId="1019" xr:uid="{00000000-0005-0000-0000-00000B190000}"/>
    <cellStyle name="_TG-TH_2_TH KE_Book1_2 2" xfId="4290" xr:uid="{00000000-0005-0000-0000-00000C190000}"/>
    <cellStyle name="_TG-TH_2_TH KE_Book1_2 2_TOM TAT" xfId="20947" xr:uid="{00000000-0005-0000-0000-00000D190000}"/>
    <cellStyle name="_TG-TH_2_TH KE_Book1_2 3" xfId="18115" xr:uid="{00000000-0005-0000-0000-00000E190000}"/>
    <cellStyle name="_TG-TH_2_TH KE_Book1_2 3_TOM TAT" xfId="20948" xr:uid="{00000000-0005-0000-0000-00000F190000}"/>
    <cellStyle name="_TG-TH_2_TH KE_Book1_2_TOM TAT" xfId="20946" xr:uid="{00000000-0005-0000-0000-000010190000}"/>
    <cellStyle name="_TG-TH_2_TH KE_Book1_3" xfId="1020" xr:uid="{00000000-0005-0000-0000-000011190000}"/>
    <cellStyle name="_TG-TH_2_TH KE_Book1_3 2" xfId="4291" xr:uid="{00000000-0005-0000-0000-000012190000}"/>
    <cellStyle name="_TG-TH_2_TH KE_Book1_3 2_TOM TAT" xfId="20950" xr:uid="{00000000-0005-0000-0000-000013190000}"/>
    <cellStyle name="_TG-TH_2_TH KE_Book1_3 3" xfId="18116" xr:uid="{00000000-0005-0000-0000-000014190000}"/>
    <cellStyle name="_TG-TH_2_TH KE_Book1_3 3_TOM TAT" xfId="20951" xr:uid="{00000000-0005-0000-0000-000015190000}"/>
    <cellStyle name="_TG-TH_2_TH KE_Book1_3_TOM TAT" xfId="20949" xr:uid="{00000000-0005-0000-0000-000016190000}"/>
    <cellStyle name="_TG-TH_2_TH KE_Book1_TOM TAT" xfId="20940" xr:uid="{00000000-0005-0000-0000-000017190000}"/>
    <cellStyle name="_TG-TH_2_TH KE_TOM TAT" xfId="20937" xr:uid="{00000000-0005-0000-0000-000018190000}"/>
    <cellStyle name="_TG-TH_2_TH KE_VATTUDIEN" xfId="1021" xr:uid="{00000000-0005-0000-0000-000019190000}"/>
    <cellStyle name="_TG-TH_2_TH KE_VATTUDIEN 2" xfId="4292" xr:uid="{00000000-0005-0000-0000-00001A190000}"/>
    <cellStyle name="_TG-TH_2_TH KE_VATTUDIEN 2_TOM TAT" xfId="20953" xr:uid="{00000000-0005-0000-0000-00001B190000}"/>
    <cellStyle name="_TG-TH_2_TH KE_VATTUDIEN 3" xfId="18117" xr:uid="{00000000-0005-0000-0000-00001C190000}"/>
    <cellStyle name="_TG-TH_2_TH KE_VATTUDIEN 3_TOM TAT" xfId="20954" xr:uid="{00000000-0005-0000-0000-00001D190000}"/>
    <cellStyle name="_TG-TH_2_TH KE_VATTUDIEN_TOM TAT" xfId="20952" xr:uid="{00000000-0005-0000-0000-00001E190000}"/>
    <cellStyle name="_TG-TH_2_TOM TAT" xfId="20609" xr:uid="{00000000-0005-0000-0000-00001F190000}"/>
    <cellStyle name="_TG-TH_2_VATTUDIEN" xfId="1022" xr:uid="{00000000-0005-0000-0000-000020190000}"/>
    <cellStyle name="_TG-TH_2_VATTUDIEN 2" xfId="4293" xr:uid="{00000000-0005-0000-0000-000021190000}"/>
    <cellStyle name="_TG-TH_2_VATTUDIEN 2_TOM TAT" xfId="20956" xr:uid="{00000000-0005-0000-0000-000022190000}"/>
    <cellStyle name="_TG-TH_2_VATTUDIEN 3" xfId="18118" xr:uid="{00000000-0005-0000-0000-000023190000}"/>
    <cellStyle name="_TG-TH_2_VATTUDIEN 3_TOM TAT" xfId="20957" xr:uid="{00000000-0005-0000-0000-000024190000}"/>
    <cellStyle name="_TG-TH_2_VATTUDIEN_TOM TAT" xfId="20955" xr:uid="{00000000-0005-0000-0000-000025190000}"/>
    <cellStyle name="_TG-TH_2_XN3-2005" xfId="1023" xr:uid="{00000000-0005-0000-0000-000026190000}"/>
    <cellStyle name="_TG-TH_2_XN3-2005 2" xfId="4294" xr:uid="{00000000-0005-0000-0000-000027190000}"/>
    <cellStyle name="_TG-TH_2_XN3-2005 2_TOM TAT" xfId="20959" xr:uid="{00000000-0005-0000-0000-000028190000}"/>
    <cellStyle name="_TG-TH_2_XN3-2005 3" xfId="18119" xr:uid="{00000000-0005-0000-0000-000029190000}"/>
    <cellStyle name="_TG-TH_2_XN3-2005 3_TOM TAT" xfId="20960" xr:uid="{00000000-0005-0000-0000-00002A190000}"/>
    <cellStyle name="_TG-TH_2_XN3-2005_TOM TAT" xfId="20958" xr:uid="{00000000-0005-0000-0000-00002B190000}"/>
    <cellStyle name="_TG-TH_3" xfId="1024" xr:uid="{00000000-0005-0000-0000-00002C190000}"/>
    <cellStyle name="_TG-TH_3 2" xfId="4295" xr:uid="{00000000-0005-0000-0000-00002D190000}"/>
    <cellStyle name="_TG-TH_3 2_TOM TAT" xfId="20962" xr:uid="{00000000-0005-0000-0000-00002E190000}"/>
    <cellStyle name="_TG-TH_3 3" xfId="18120" xr:uid="{00000000-0005-0000-0000-00002F190000}"/>
    <cellStyle name="_TG-TH_3 3_TOM TAT" xfId="20963" xr:uid="{00000000-0005-0000-0000-000030190000}"/>
    <cellStyle name="_TG-TH_3_Book1" xfId="1025" xr:uid="{00000000-0005-0000-0000-000031190000}"/>
    <cellStyle name="_TG-TH_3_Book1 2" xfId="4296" xr:uid="{00000000-0005-0000-0000-000032190000}"/>
    <cellStyle name="_TG-TH_3_Book1 2_TOM TAT" xfId="20965" xr:uid="{00000000-0005-0000-0000-000033190000}"/>
    <cellStyle name="_TG-TH_3_Book1 3" xfId="18121" xr:uid="{00000000-0005-0000-0000-000034190000}"/>
    <cellStyle name="_TG-TH_3_Book1 3_TOM TAT" xfId="20966" xr:uid="{00000000-0005-0000-0000-000035190000}"/>
    <cellStyle name="_TG-TH_3_Book1_1" xfId="1026" xr:uid="{00000000-0005-0000-0000-000036190000}"/>
    <cellStyle name="_TG-TH_3_Book1_1 2" xfId="4297" xr:uid="{00000000-0005-0000-0000-000037190000}"/>
    <cellStyle name="_TG-TH_3_Book1_1 2_TOM TAT" xfId="20968" xr:uid="{00000000-0005-0000-0000-000038190000}"/>
    <cellStyle name="_TG-TH_3_Book1_1 3" xfId="18122" xr:uid="{00000000-0005-0000-0000-000039190000}"/>
    <cellStyle name="_TG-TH_3_Book1_1 3_TOM TAT" xfId="20969" xr:uid="{00000000-0005-0000-0000-00003A190000}"/>
    <cellStyle name="_TG-TH_3_Book1_1_TOM TAT" xfId="20967" xr:uid="{00000000-0005-0000-0000-00003B190000}"/>
    <cellStyle name="_TG-TH_3_Book1_2" xfId="1027" xr:uid="{00000000-0005-0000-0000-00003C190000}"/>
    <cellStyle name="_TG-TH_3_Book1_2 2" xfId="4298" xr:uid="{00000000-0005-0000-0000-00003D190000}"/>
    <cellStyle name="_TG-TH_3_Book1_2 2_TOM TAT" xfId="20971" xr:uid="{00000000-0005-0000-0000-00003E190000}"/>
    <cellStyle name="_TG-TH_3_Book1_2 3" xfId="18123" xr:uid="{00000000-0005-0000-0000-00003F190000}"/>
    <cellStyle name="_TG-TH_3_Book1_2 3_TOM TAT" xfId="20972" xr:uid="{00000000-0005-0000-0000-000040190000}"/>
    <cellStyle name="_TG-TH_3_Book1_2_TOM TAT" xfId="20970" xr:uid="{00000000-0005-0000-0000-000041190000}"/>
    <cellStyle name="_TG-TH_3_Book1_3" xfId="1028" xr:uid="{00000000-0005-0000-0000-000042190000}"/>
    <cellStyle name="_TG-TH_3_Book1_3 2" xfId="4299" xr:uid="{00000000-0005-0000-0000-000043190000}"/>
    <cellStyle name="_TG-TH_3_Book1_3 2_TOM TAT" xfId="20974" xr:uid="{00000000-0005-0000-0000-000044190000}"/>
    <cellStyle name="_TG-TH_3_Book1_3 3" xfId="18124" xr:uid="{00000000-0005-0000-0000-000045190000}"/>
    <cellStyle name="_TG-TH_3_Book1_3 3_TOM TAT" xfId="20975" xr:uid="{00000000-0005-0000-0000-000046190000}"/>
    <cellStyle name="_TG-TH_3_Book1_3_TOM TAT" xfId="20973" xr:uid="{00000000-0005-0000-0000-000047190000}"/>
    <cellStyle name="_TG-TH_3_Book1_TOM TAT" xfId="20964" xr:uid="{00000000-0005-0000-0000-000048190000}"/>
    <cellStyle name="_TG-TH_3_Lora-tungchau" xfId="1029" xr:uid="{00000000-0005-0000-0000-000049190000}"/>
    <cellStyle name="_TG-TH_3_Lora-tungchau 2" xfId="4300" xr:uid="{00000000-0005-0000-0000-00004A190000}"/>
    <cellStyle name="_TG-TH_3_Lora-tungchau 2_TOM TAT" xfId="20977" xr:uid="{00000000-0005-0000-0000-00004B190000}"/>
    <cellStyle name="_TG-TH_3_Lora-tungchau 3" xfId="18125" xr:uid="{00000000-0005-0000-0000-00004C190000}"/>
    <cellStyle name="_TG-TH_3_Lora-tungchau 3_TOM TAT" xfId="20978" xr:uid="{00000000-0005-0000-0000-00004D190000}"/>
    <cellStyle name="_TG-TH_3_Lora-tungchau_Book1" xfId="1030" xr:uid="{00000000-0005-0000-0000-00004E190000}"/>
    <cellStyle name="_TG-TH_3_Lora-tungchau_Book1 2" xfId="4301" xr:uid="{00000000-0005-0000-0000-00004F190000}"/>
    <cellStyle name="_TG-TH_3_Lora-tungchau_Book1 2_TOM TAT" xfId="20980" xr:uid="{00000000-0005-0000-0000-000050190000}"/>
    <cellStyle name="_TG-TH_3_Lora-tungchau_Book1 3" xfId="18126" xr:uid="{00000000-0005-0000-0000-000051190000}"/>
    <cellStyle name="_TG-TH_3_Lora-tungchau_Book1 3_TOM TAT" xfId="20981" xr:uid="{00000000-0005-0000-0000-000052190000}"/>
    <cellStyle name="_TG-TH_3_Lora-tungchau_Book1_1" xfId="1031" xr:uid="{00000000-0005-0000-0000-000053190000}"/>
    <cellStyle name="_TG-TH_3_Lora-tungchau_Book1_1 2" xfId="4302" xr:uid="{00000000-0005-0000-0000-000054190000}"/>
    <cellStyle name="_TG-TH_3_Lora-tungchau_Book1_1 2_TOM TAT" xfId="20983" xr:uid="{00000000-0005-0000-0000-000055190000}"/>
    <cellStyle name="_TG-TH_3_Lora-tungchau_Book1_1 3" xfId="18127" xr:uid="{00000000-0005-0000-0000-000056190000}"/>
    <cellStyle name="_TG-TH_3_Lora-tungchau_Book1_1 3_TOM TAT" xfId="20984" xr:uid="{00000000-0005-0000-0000-000057190000}"/>
    <cellStyle name="_TG-TH_3_Lora-tungchau_Book1_1_TOM TAT" xfId="20982" xr:uid="{00000000-0005-0000-0000-000058190000}"/>
    <cellStyle name="_TG-TH_3_Lora-tungchau_Book1_2" xfId="1032" xr:uid="{00000000-0005-0000-0000-000059190000}"/>
    <cellStyle name="_TG-TH_3_Lora-tungchau_Book1_2 2" xfId="4303" xr:uid="{00000000-0005-0000-0000-00005A190000}"/>
    <cellStyle name="_TG-TH_3_Lora-tungchau_Book1_2 2_TOM TAT" xfId="20986" xr:uid="{00000000-0005-0000-0000-00005B190000}"/>
    <cellStyle name="_TG-TH_3_Lora-tungchau_Book1_2 3" xfId="18128" xr:uid="{00000000-0005-0000-0000-00005C190000}"/>
    <cellStyle name="_TG-TH_3_Lora-tungchau_Book1_2 3_TOM TAT" xfId="20987" xr:uid="{00000000-0005-0000-0000-00005D190000}"/>
    <cellStyle name="_TG-TH_3_Lora-tungchau_Book1_2_TOM TAT" xfId="20985" xr:uid="{00000000-0005-0000-0000-00005E190000}"/>
    <cellStyle name="_TG-TH_3_Lora-tungchau_Book1_3" xfId="1033" xr:uid="{00000000-0005-0000-0000-00005F190000}"/>
    <cellStyle name="_TG-TH_3_Lora-tungchau_Book1_3 2" xfId="4304" xr:uid="{00000000-0005-0000-0000-000060190000}"/>
    <cellStyle name="_TG-TH_3_Lora-tungchau_Book1_3 2_TOM TAT" xfId="20989" xr:uid="{00000000-0005-0000-0000-000061190000}"/>
    <cellStyle name="_TG-TH_3_Lora-tungchau_Book1_3 3" xfId="18129" xr:uid="{00000000-0005-0000-0000-000062190000}"/>
    <cellStyle name="_TG-TH_3_Lora-tungchau_Book1_3 3_TOM TAT" xfId="20990" xr:uid="{00000000-0005-0000-0000-000063190000}"/>
    <cellStyle name="_TG-TH_3_Lora-tungchau_Book1_3_TOM TAT" xfId="20988" xr:uid="{00000000-0005-0000-0000-000064190000}"/>
    <cellStyle name="_TG-TH_3_Lora-tungchau_Book1_TOM TAT" xfId="20979" xr:uid="{00000000-0005-0000-0000-000065190000}"/>
    <cellStyle name="_TG-TH_3_Lora-tungchau_TOM TAT" xfId="20976" xr:uid="{00000000-0005-0000-0000-000066190000}"/>
    <cellStyle name="_TG-TH_3_Lora-tungchau_VATTUDIEN" xfId="1034" xr:uid="{00000000-0005-0000-0000-000067190000}"/>
    <cellStyle name="_TG-TH_3_Lora-tungchau_VATTUDIEN 2" xfId="4305" xr:uid="{00000000-0005-0000-0000-000068190000}"/>
    <cellStyle name="_TG-TH_3_Lora-tungchau_VATTUDIEN 2_TOM TAT" xfId="20992" xr:uid="{00000000-0005-0000-0000-000069190000}"/>
    <cellStyle name="_TG-TH_3_Lora-tungchau_VATTUDIEN 3" xfId="18130" xr:uid="{00000000-0005-0000-0000-00006A190000}"/>
    <cellStyle name="_TG-TH_3_Lora-tungchau_VATTUDIEN 3_TOM TAT" xfId="20993" xr:uid="{00000000-0005-0000-0000-00006B190000}"/>
    <cellStyle name="_TG-TH_3_Lora-tungchau_VATTUDIEN_TOM TAT" xfId="20991" xr:uid="{00000000-0005-0000-0000-00006C190000}"/>
    <cellStyle name="_TG-TH_3_Qt-HT3PQ1(CauKho)" xfId="1035" xr:uid="{00000000-0005-0000-0000-00006D190000}"/>
    <cellStyle name="_TG-TH_3_Qt-HT3PQ1(CauKho) 2" xfId="4306" xr:uid="{00000000-0005-0000-0000-00006E190000}"/>
    <cellStyle name="_TG-TH_3_Qt-HT3PQ1(CauKho) 2_TOM TAT" xfId="20995" xr:uid="{00000000-0005-0000-0000-00006F190000}"/>
    <cellStyle name="_TG-TH_3_Qt-HT3PQ1(CauKho) 3" xfId="18131" xr:uid="{00000000-0005-0000-0000-000070190000}"/>
    <cellStyle name="_TG-TH_3_Qt-HT3PQ1(CauKho) 3_TOM TAT" xfId="20996" xr:uid="{00000000-0005-0000-0000-000071190000}"/>
    <cellStyle name="_TG-TH_3_Qt-HT3PQ1(CauKho)_Book1" xfId="1036" xr:uid="{00000000-0005-0000-0000-000072190000}"/>
    <cellStyle name="_TG-TH_3_Qt-HT3PQ1(CauKho)_Book1 2" xfId="4307" xr:uid="{00000000-0005-0000-0000-000073190000}"/>
    <cellStyle name="_TG-TH_3_Qt-HT3PQ1(CauKho)_Book1 2_TOM TAT" xfId="20998" xr:uid="{00000000-0005-0000-0000-000074190000}"/>
    <cellStyle name="_TG-TH_3_Qt-HT3PQ1(CauKho)_Book1 3" xfId="18132" xr:uid="{00000000-0005-0000-0000-000075190000}"/>
    <cellStyle name="_TG-TH_3_Qt-HT3PQ1(CauKho)_Book1 3_TOM TAT" xfId="20999" xr:uid="{00000000-0005-0000-0000-000076190000}"/>
    <cellStyle name="_TG-TH_3_Qt-HT3PQ1(CauKho)_Book1_1" xfId="1037" xr:uid="{00000000-0005-0000-0000-000077190000}"/>
    <cellStyle name="_TG-TH_3_Qt-HT3PQ1(CauKho)_Book1_1 2" xfId="4308" xr:uid="{00000000-0005-0000-0000-000078190000}"/>
    <cellStyle name="_TG-TH_3_Qt-HT3PQ1(CauKho)_Book1_1 2_TOM TAT" xfId="21001" xr:uid="{00000000-0005-0000-0000-000079190000}"/>
    <cellStyle name="_TG-TH_3_Qt-HT3PQ1(CauKho)_Book1_1 3" xfId="18133" xr:uid="{00000000-0005-0000-0000-00007A190000}"/>
    <cellStyle name="_TG-TH_3_Qt-HT3PQ1(CauKho)_Book1_1 3_TOM TAT" xfId="21002" xr:uid="{00000000-0005-0000-0000-00007B190000}"/>
    <cellStyle name="_TG-TH_3_Qt-HT3PQ1(CauKho)_Book1_1_TOM TAT" xfId="21000" xr:uid="{00000000-0005-0000-0000-00007C190000}"/>
    <cellStyle name="_TG-TH_3_Qt-HT3PQ1(CauKho)_Book1_2" xfId="1038" xr:uid="{00000000-0005-0000-0000-00007D190000}"/>
    <cellStyle name="_TG-TH_3_Qt-HT3PQ1(CauKho)_Book1_2 2" xfId="4309" xr:uid="{00000000-0005-0000-0000-00007E190000}"/>
    <cellStyle name="_TG-TH_3_Qt-HT3PQ1(CauKho)_Book1_2 2_TOM TAT" xfId="21004" xr:uid="{00000000-0005-0000-0000-00007F190000}"/>
    <cellStyle name="_TG-TH_3_Qt-HT3PQ1(CauKho)_Book1_2 3" xfId="18134" xr:uid="{00000000-0005-0000-0000-000080190000}"/>
    <cellStyle name="_TG-TH_3_Qt-HT3PQ1(CauKho)_Book1_2 3_TOM TAT" xfId="21005" xr:uid="{00000000-0005-0000-0000-000081190000}"/>
    <cellStyle name="_TG-TH_3_Qt-HT3PQ1(CauKho)_Book1_2_TOM TAT" xfId="21003" xr:uid="{00000000-0005-0000-0000-000082190000}"/>
    <cellStyle name="_TG-TH_3_Qt-HT3PQ1(CauKho)_Book1_3" xfId="1039" xr:uid="{00000000-0005-0000-0000-000083190000}"/>
    <cellStyle name="_TG-TH_3_Qt-HT3PQ1(CauKho)_Book1_3 2" xfId="4310" xr:uid="{00000000-0005-0000-0000-000084190000}"/>
    <cellStyle name="_TG-TH_3_Qt-HT3PQ1(CauKho)_Book1_3 2_TOM TAT" xfId="21007" xr:uid="{00000000-0005-0000-0000-000085190000}"/>
    <cellStyle name="_TG-TH_3_Qt-HT3PQ1(CauKho)_Book1_3 3" xfId="18135" xr:uid="{00000000-0005-0000-0000-000086190000}"/>
    <cellStyle name="_TG-TH_3_Qt-HT3PQ1(CauKho)_Book1_3 3_TOM TAT" xfId="21008" xr:uid="{00000000-0005-0000-0000-000087190000}"/>
    <cellStyle name="_TG-TH_3_Qt-HT3PQ1(CauKho)_Book1_3_TOM TAT" xfId="21006" xr:uid="{00000000-0005-0000-0000-000088190000}"/>
    <cellStyle name="_TG-TH_3_Qt-HT3PQ1(CauKho)_Book1_TOM TAT" xfId="20997" xr:uid="{00000000-0005-0000-0000-000089190000}"/>
    <cellStyle name="_TG-TH_3_Qt-HT3PQ1(CauKho)_TOM TAT" xfId="20994" xr:uid="{00000000-0005-0000-0000-00008A190000}"/>
    <cellStyle name="_TG-TH_3_Qt-HT3PQ1(CauKho)_VATTUDIEN" xfId="1040" xr:uid="{00000000-0005-0000-0000-00008B190000}"/>
    <cellStyle name="_TG-TH_3_Qt-HT3PQ1(CauKho)_VATTUDIEN 2" xfId="4311" xr:uid="{00000000-0005-0000-0000-00008C190000}"/>
    <cellStyle name="_TG-TH_3_Qt-HT3PQ1(CauKho)_VATTUDIEN 2_TOM TAT" xfId="21010" xr:uid="{00000000-0005-0000-0000-00008D190000}"/>
    <cellStyle name="_TG-TH_3_Qt-HT3PQ1(CauKho)_VATTUDIEN 3" xfId="18136" xr:uid="{00000000-0005-0000-0000-00008E190000}"/>
    <cellStyle name="_TG-TH_3_Qt-HT3PQ1(CauKho)_VATTUDIEN 3_TOM TAT" xfId="21011" xr:uid="{00000000-0005-0000-0000-00008F190000}"/>
    <cellStyle name="_TG-TH_3_Qt-HT3PQ1(CauKho)_VATTUDIEN_TOM TAT" xfId="21009" xr:uid="{00000000-0005-0000-0000-000090190000}"/>
    <cellStyle name="_TG-TH_3_TOM TAT" xfId="20961" xr:uid="{00000000-0005-0000-0000-000091190000}"/>
    <cellStyle name="_TG-TH_3_VATTUDIEN" xfId="1041" xr:uid="{00000000-0005-0000-0000-000092190000}"/>
    <cellStyle name="_TG-TH_3_VATTUDIEN 2" xfId="4312" xr:uid="{00000000-0005-0000-0000-000093190000}"/>
    <cellStyle name="_TG-TH_3_VATTUDIEN 2_TOM TAT" xfId="21013" xr:uid="{00000000-0005-0000-0000-000094190000}"/>
    <cellStyle name="_TG-TH_3_VATTUDIEN 3" xfId="18137" xr:uid="{00000000-0005-0000-0000-000095190000}"/>
    <cellStyle name="_TG-TH_3_VATTUDIEN 3_TOM TAT" xfId="21014" xr:uid="{00000000-0005-0000-0000-000096190000}"/>
    <cellStyle name="_TG-TH_3_VATTUDIEN_TOM TAT" xfId="21012" xr:uid="{00000000-0005-0000-0000-000097190000}"/>
    <cellStyle name="_TG-TH_4" xfId="1042" xr:uid="{00000000-0005-0000-0000-000098190000}"/>
    <cellStyle name="_TG-TH_4 2" xfId="4313" xr:uid="{00000000-0005-0000-0000-000099190000}"/>
    <cellStyle name="_TG-TH_4 2_TOM TAT" xfId="21016" xr:uid="{00000000-0005-0000-0000-00009A190000}"/>
    <cellStyle name="_TG-TH_4 3" xfId="18138" xr:uid="{00000000-0005-0000-0000-00009B190000}"/>
    <cellStyle name="_TG-TH_4 3_TOM TAT" xfId="21017" xr:uid="{00000000-0005-0000-0000-00009C190000}"/>
    <cellStyle name="_TG-TH_4_Book1" xfId="1043" xr:uid="{00000000-0005-0000-0000-00009D190000}"/>
    <cellStyle name="_TG-TH_4_Book1 2" xfId="4314" xr:uid="{00000000-0005-0000-0000-00009E190000}"/>
    <cellStyle name="_TG-TH_4_Book1 2_TOM TAT" xfId="21019" xr:uid="{00000000-0005-0000-0000-00009F190000}"/>
    <cellStyle name="_TG-TH_4_Book1 3" xfId="18139" xr:uid="{00000000-0005-0000-0000-0000A0190000}"/>
    <cellStyle name="_TG-TH_4_Book1 3_TOM TAT" xfId="21020" xr:uid="{00000000-0005-0000-0000-0000A1190000}"/>
    <cellStyle name="_TG-TH_4_Book1_1" xfId="1044" xr:uid="{00000000-0005-0000-0000-0000A2190000}"/>
    <cellStyle name="_TG-TH_4_Book1_1 2" xfId="4315" xr:uid="{00000000-0005-0000-0000-0000A3190000}"/>
    <cellStyle name="_TG-TH_4_Book1_1 2_TOM TAT" xfId="21022" xr:uid="{00000000-0005-0000-0000-0000A4190000}"/>
    <cellStyle name="_TG-TH_4_Book1_1 3" xfId="18140" xr:uid="{00000000-0005-0000-0000-0000A5190000}"/>
    <cellStyle name="_TG-TH_4_Book1_1 3_TOM TAT" xfId="21023" xr:uid="{00000000-0005-0000-0000-0000A6190000}"/>
    <cellStyle name="_TG-TH_4_Book1_1_TOM TAT" xfId="21021" xr:uid="{00000000-0005-0000-0000-0000A7190000}"/>
    <cellStyle name="_TG-TH_4_Book1_2" xfId="1045" xr:uid="{00000000-0005-0000-0000-0000A8190000}"/>
    <cellStyle name="_TG-TH_4_Book1_2 2" xfId="4316" xr:uid="{00000000-0005-0000-0000-0000A9190000}"/>
    <cellStyle name="_TG-TH_4_Book1_2 2_TOM TAT" xfId="21025" xr:uid="{00000000-0005-0000-0000-0000AA190000}"/>
    <cellStyle name="_TG-TH_4_Book1_2 3" xfId="18141" xr:uid="{00000000-0005-0000-0000-0000AB190000}"/>
    <cellStyle name="_TG-TH_4_Book1_2 3_TOM TAT" xfId="21026" xr:uid="{00000000-0005-0000-0000-0000AC190000}"/>
    <cellStyle name="_TG-TH_4_Book1_2_TOM TAT" xfId="21024" xr:uid="{00000000-0005-0000-0000-0000AD190000}"/>
    <cellStyle name="_TG-TH_4_Book1_3" xfId="1046" xr:uid="{00000000-0005-0000-0000-0000AE190000}"/>
    <cellStyle name="_TG-TH_4_Book1_3 2" xfId="4317" xr:uid="{00000000-0005-0000-0000-0000AF190000}"/>
    <cellStyle name="_TG-TH_4_Book1_3 2_TOM TAT" xfId="21028" xr:uid="{00000000-0005-0000-0000-0000B0190000}"/>
    <cellStyle name="_TG-TH_4_Book1_3 3" xfId="18142" xr:uid="{00000000-0005-0000-0000-0000B1190000}"/>
    <cellStyle name="_TG-TH_4_Book1_3 3_TOM TAT" xfId="21029" xr:uid="{00000000-0005-0000-0000-0000B2190000}"/>
    <cellStyle name="_TG-TH_4_Book1_3_TOM TAT" xfId="21027" xr:uid="{00000000-0005-0000-0000-0000B3190000}"/>
    <cellStyle name="_TG-TH_4_Book1_TOM TAT" xfId="21018" xr:uid="{00000000-0005-0000-0000-0000B4190000}"/>
    <cellStyle name="_TG-TH_4_TOM TAT" xfId="21015" xr:uid="{00000000-0005-0000-0000-0000B5190000}"/>
    <cellStyle name="_TG-TH_4_VATTUDIEN" xfId="1047" xr:uid="{00000000-0005-0000-0000-0000B6190000}"/>
    <cellStyle name="_TG-TH_4_VATTUDIEN 2" xfId="4318" xr:uid="{00000000-0005-0000-0000-0000B7190000}"/>
    <cellStyle name="_TG-TH_4_VATTUDIEN 2_TOM TAT" xfId="21031" xr:uid="{00000000-0005-0000-0000-0000B8190000}"/>
    <cellStyle name="_TG-TH_4_VATTUDIEN 3" xfId="18143" xr:uid="{00000000-0005-0000-0000-0000B9190000}"/>
    <cellStyle name="_TG-TH_4_VATTUDIEN 3_TOM TAT" xfId="21032" xr:uid="{00000000-0005-0000-0000-0000BA190000}"/>
    <cellStyle name="_TG-TH_4_VATTUDIEN_TOM TAT" xfId="21030" xr:uid="{00000000-0005-0000-0000-0000BB190000}"/>
    <cellStyle name="_TG-TH_Book1" xfId="1048" xr:uid="{00000000-0005-0000-0000-0000BC190000}"/>
    <cellStyle name="_TG-TH_Book1 2" xfId="4319" xr:uid="{00000000-0005-0000-0000-0000BD190000}"/>
    <cellStyle name="_TG-TH_Book1 2_TOM TAT" xfId="21034" xr:uid="{00000000-0005-0000-0000-0000BE190000}"/>
    <cellStyle name="_TG-TH_Book1 3" xfId="18144" xr:uid="{00000000-0005-0000-0000-0000BF190000}"/>
    <cellStyle name="_TG-TH_Book1 3_TOM TAT" xfId="21035" xr:uid="{00000000-0005-0000-0000-0000C0190000}"/>
    <cellStyle name="_TG-TH_Book1_1" xfId="1049" xr:uid="{00000000-0005-0000-0000-0000C1190000}"/>
    <cellStyle name="_TG-TH_Book1_1 2" xfId="4320" xr:uid="{00000000-0005-0000-0000-0000C2190000}"/>
    <cellStyle name="_TG-TH_Book1_1 2_TOM TAT" xfId="21037" xr:uid="{00000000-0005-0000-0000-0000C3190000}"/>
    <cellStyle name="_TG-TH_Book1_1 3" xfId="18145" xr:uid="{00000000-0005-0000-0000-0000C4190000}"/>
    <cellStyle name="_TG-TH_Book1_1 3_TOM TAT" xfId="21038" xr:uid="{00000000-0005-0000-0000-0000C5190000}"/>
    <cellStyle name="_TG-TH_Book1_1_TOM TAT" xfId="21036" xr:uid="{00000000-0005-0000-0000-0000C6190000}"/>
    <cellStyle name="_TG-TH_Book1_2" xfId="1050" xr:uid="{00000000-0005-0000-0000-0000C7190000}"/>
    <cellStyle name="_TG-TH_Book1_2 2" xfId="4321" xr:uid="{00000000-0005-0000-0000-0000C8190000}"/>
    <cellStyle name="_TG-TH_Book1_2 2_TOM TAT" xfId="21040" xr:uid="{00000000-0005-0000-0000-0000C9190000}"/>
    <cellStyle name="_TG-TH_Book1_2 3" xfId="18146" xr:uid="{00000000-0005-0000-0000-0000CA190000}"/>
    <cellStyle name="_TG-TH_Book1_2 3_TOM TAT" xfId="21041" xr:uid="{00000000-0005-0000-0000-0000CB190000}"/>
    <cellStyle name="_TG-TH_Book1_2_TOM TAT" xfId="21039" xr:uid="{00000000-0005-0000-0000-0000CC190000}"/>
    <cellStyle name="_TG-TH_Book1_3" xfId="1051" xr:uid="{00000000-0005-0000-0000-0000CD190000}"/>
    <cellStyle name="_TG-TH_Book1_3 2" xfId="4322" xr:uid="{00000000-0005-0000-0000-0000CE190000}"/>
    <cellStyle name="_TG-TH_Book1_3 2_TOM TAT" xfId="21043" xr:uid="{00000000-0005-0000-0000-0000CF190000}"/>
    <cellStyle name="_TG-TH_Book1_3 3" xfId="18147" xr:uid="{00000000-0005-0000-0000-0000D0190000}"/>
    <cellStyle name="_TG-TH_Book1_3 3_TOM TAT" xfId="21044" xr:uid="{00000000-0005-0000-0000-0000D1190000}"/>
    <cellStyle name="_TG-TH_Book1_3_TOM TAT" xfId="21042" xr:uid="{00000000-0005-0000-0000-0000D2190000}"/>
    <cellStyle name="_TG-TH_Book1_TOM TAT" xfId="21033" xr:uid="{00000000-0005-0000-0000-0000D3190000}"/>
    <cellStyle name="_TG-TH_TOM TAT" xfId="20227" xr:uid="{00000000-0005-0000-0000-0000D4190000}"/>
    <cellStyle name="_TG-TH_VATTUDIEN" xfId="1052" xr:uid="{00000000-0005-0000-0000-0000D5190000}"/>
    <cellStyle name="_TG-TH_VATTUDIEN 2" xfId="4323" xr:uid="{00000000-0005-0000-0000-0000D6190000}"/>
    <cellStyle name="_TG-TH_VATTUDIEN 2_TOM TAT" xfId="21046" xr:uid="{00000000-0005-0000-0000-0000D7190000}"/>
    <cellStyle name="_TG-TH_VATTUDIEN 3" xfId="18148" xr:uid="{00000000-0005-0000-0000-0000D8190000}"/>
    <cellStyle name="_TG-TH_VATTUDIEN 3_TOM TAT" xfId="21047" xr:uid="{00000000-0005-0000-0000-0000D9190000}"/>
    <cellStyle name="_TG-TH_VATTUDIEN_TOM TAT" xfId="21045" xr:uid="{00000000-0005-0000-0000-0000DA190000}"/>
    <cellStyle name="_TONG DU TOAN PHAN MONG" xfId="5110" xr:uid="{00000000-0005-0000-0000-0000DB190000}"/>
    <cellStyle name="_TONG DU TOAN PHAN MONG_TOM TAT" xfId="21048" xr:uid="{00000000-0005-0000-0000-0000DC190000}"/>
    <cellStyle name="_Tong hop may cheu nganh 1" xfId="18976" xr:uid="{00000000-0005-0000-0000-0000DD190000}"/>
    <cellStyle name="_Tong hop may cheu nganh 1_TOM TAT" xfId="21049" xr:uid="{00000000-0005-0000-0000-0000DE190000}"/>
    <cellStyle name="_TONG MUC DAU TU" xfId="5111" xr:uid="{00000000-0005-0000-0000-0000DF190000}"/>
    <cellStyle name="_TONG MUC DAU TU_TOM TAT" xfId="21050" xr:uid="{00000000-0005-0000-0000-0000E0190000}"/>
    <cellStyle name="_VATTUDIEN" xfId="1053" xr:uid="{00000000-0005-0000-0000-0000E1190000}"/>
    <cellStyle name="_VATTUDIEN 2" xfId="4324" xr:uid="{00000000-0005-0000-0000-0000E2190000}"/>
    <cellStyle name="_VATTUDIEN 2_TOM TAT" xfId="21052" xr:uid="{00000000-0005-0000-0000-0000E3190000}"/>
    <cellStyle name="_VATTUDIEN 3" xfId="18149" xr:uid="{00000000-0005-0000-0000-0000E4190000}"/>
    <cellStyle name="_VATTUDIEN 3_TOM TAT" xfId="21053" xr:uid="{00000000-0005-0000-0000-0000E5190000}"/>
    <cellStyle name="_VATTUDIEN_TOM TAT" xfId="21051" xr:uid="{00000000-0005-0000-0000-0000E6190000}"/>
    <cellStyle name="_XN3-2005" xfId="1054" xr:uid="{00000000-0005-0000-0000-0000E7190000}"/>
    <cellStyle name="_XN3-2005 2" xfId="4325" xr:uid="{00000000-0005-0000-0000-0000E8190000}"/>
    <cellStyle name="_XN3-2005 2_TOM TAT" xfId="21055" xr:uid="{00000000-0005-0000-0000-0000E9190000}"/>
    <cellStyle name="_XN3-2005 3" xfId="18150" xr:uid="{00000000-0005-0000-0000-0000EA190000}"/>
    <cellStyle name="_XN3-2005 3_TOM TAT" xfId="21056" xr:uid="{00000000-0005-0000-0000-0000EB190000}"/>
    <cellStyle name="_XN3-2005_TOM TAT" xfId="21054" xr:uid="{00000000-0005-0000-0000-0000EC190000}"/>
    <cellStyle name="’Ê‰Ý [0.00]_NO.1-CLAIM FORMAT" xfId="8199" xr:uid="{00000000-0005-0000-0000-0000ED190000}"/>
    <cellStyle name="’Ê‰Ý_NO.1-CLAIM FORMAT" xfId="8200" xr:uid="{00000000-0005-0000-0000-0000EE190000}"/>
    <cellStyle name="•W€_CAT•ÊSSP_1" xfId="8201" xr:uid="{00000000-0005-0000-0000-0000EF190000}"/>
    <cellStyle name="æØè [0.00]_NO.1-CLAIM FORMAT" xfId="1116" xr:uid="{00000000-0005-0000-0000-0000F0190000}"/>
    <cellStyle name="æØè_NO.1-CLAIM FORMAT" xfId="1117" xr:uid="{00000000-0005-0000-0000-0000F1190000}"/>
    <cellStyle name="ÊÝ [0.00]_NO.1-CLAIM FORMAT" xfId="1262" xr:uid="{00000000-0005-0000-0000-0000F2190000}"/>
    <cellStyle name="ÊÝ_NO.1-CLAIM FORMAT" xfId="1263" xr:uid="{00000000-0005-0000-0000-0000F3190000}"/>
    <cellStyle name="fEñY [0.00]_Region Orders (2)" xfId="1271" xr:uid="{00000000-0005-0000-0000-0000F4190000}"/>
    <cellStyle name="fEñY_Region Orders (2)" xfId="1272" xr:uid="{00000000-0005-0000-0000-0000F5190000}"/>
    <cellStyle name="W_CATÊSSP_1" xfId="1785" xr:uid="{00000000-0005-0000-0000-0000F6190000}"/>
    <cellStyle name="0,0_x000d__x000a_NA_x000d__x000a_" xfId="4850" xr:uid="{00000000-0005-0000-0000-0000F7190000}"/>
    <cellStyle name="0,0_x000d__x000a_NA_x000d__x000a_ 2" xfId="8202" xr:uid="{00000000-0005-0000-0000-0000F8190000}"/>
    <cellStyle name="0,0_x000d__x000a_NA_x000d__x000a_ 3" xfId="8203" xr:uid="{00000000-0005-0000-0000-0000F9190000}"/>
    <cellStyle name="0,0_x000d__x000a_NA_x000d__x000a__TOM TAT" xfId="21057" xr:uid="{00000000-0005-0000-0000-0000FA190000}"/>
    <cellStyle name="1" xfId="1055" xr:uid="{00000000-0005-0000-0000-0000FB190000}"/>
    <cellStyle name="1 2" xfId="8204" xr:uid="{00000000-0005-0000-0000-0000FC190000}"/>
    <cellStyle name="1 3" xfId="8205" xr:uid="{00000000-0005-0000-0000-0000FD190000}"/>
    <cellStyle name="1_TOM TAT" xfId="21058" xr:uid="{00000000-0005-0000-0000-0000FE190000}"/>
    <cellStyle name="15" xfId="1056" xr:uid="{00000000-0005-0000-0000-0000FF190000}"/>
    <cellStyle name="15 2" xfId="8206" xr:uid="{00000000-0005-0000-0000-0000001A0000}"/>
    <cellStyle name="15 3" xfId="8207" xr:uid="{00000000-0005-0000-0000-0000011A0000}"/>
    <cellStyle name="15_TOM TAT" xfId="21059" xr:uid="{00000000-0005-0000-0000-0000021A0000}"/>
    <cellStyle name="¹éºÐÀ²_      " xfId="5112" xr:uid="{00000000-0005-0000-0000-0000031A0000}"/>
    <cellStyle name="¹éºÐÀ²_±âÅ¸" xfId="1057" xr:uid="{00000000-0005-0000-0000-0000041A0000}"/>
    <cellStyle name="¹éºÐÀ²_±âÅ¸ 2" xfId="32208" xr:uid="{00000000-0005-0000-0000-0000051A0000}"/>
    <cellStyle name="2" xfId="1058" xr:uid="{00000000-0005-0000-0000-0000061A0000}"/>
    <cellStyle name="2 2" xfId="8208" xr:uid="{00000000-0005-0000-0000-0000071A0000}"/>
    <cellStyle name="2 3" xfId="8209" xr:uid="{00000000-0005-0000-0000-0000081A0000}"/>
    <cellStyle name="2_TOM TAT" xfId="21060" xr:uid="{00000000-0005-0000-0000-0000091A0000}"/>
    <cellStyle name="20" xfId="18977" xr:uid="{00000000-0005-0000-0000-00000A1A0000}"/>
    <cellStyle name="20% - ??????1" xfId="8210" xr:uid="{00000000-0005-0000-0000-00000B1A0000}"/>
    <cellStyle name="20% - ??????1 2" xfId="8211" xr:uid="{00000000-0005-0000-0000-00000C1A0000}"/>
    <cellStyle name="20% - ??????1_TOM TAT" xfId="21061" xr:uid="{00000000-0005-0000-0000-00000D1A0000}"/>
    <cellStyle name="20% - ??????2" xfId="8212" xr:uid="{00000000-0005-0000-0000-00000E1A0000}"/>
    <cellStyle name="20% - ??????2 2" xfId="8213" xr:uid="{00000000-0005-0000-0000-00000F1A0000}"/>
    <cellStyle name="20% - ??????2_TOM TAT" xfId="21062" xr:uid="{00000000-0005-0000-0000-0000101A0000}"/>
    <cellStyle name="20% - ??????3" xfId="8214" xr:uid="{00000000-0005-0000-0000-0000111A0000}"/>
    <cellStyle name="20% - ??????3 2" xfId="8215" xr:uid="{00000000-0005-0000-0000-0000121A0000}"/>
    <cellStyle name="20% - ??????3_TOM TAT" xfId="21063" xr:uid="{00000000-0005-0000-0000-0000131A0000}"/>
    <cellStyle name="20% - ??????4" xfId="8216" xr:uid="{00000000-0005-0000-0000-0000141A0000}"/>
    <cellStyle name="20% - ??????4 2" xfId="8217" xr:uid="{00000000-0005-0000-0000-0000151A0000}"/>
    <cellStyle name="20% - ??????4_TOM TAT" xfId="21064" xr:uid="{00000000-0005-0000-0000-0000161A0000}"/>
    <cellStyle name="20% - ??????5" xfId="8218" xr:uid="{00000000-0005-0000-0000-0000171A0000}"/>
    <cellStyle name="20% - ??????5 2" xfId="8219" xr:uid="{00000000-0005-0000-0000-0000181A0000}"/>
    <cellStyle name="20% - ??????5_TOM TAT" xfId="21065" xr:uid="{00000000-0005-0000-0000-0000191A0000}"/>
    <cellStyle name="20% - ??????6" xfId="8220" xr:uid="{00000000-0005-0000-0000-00001A1A0000}"/>
    <cellStyle name="20% - ??????6 2" xfId="8221" xr:uid="{00000000-0005-0000-0000-00001B1A0000}"/>
    <cellStyle name="20% - ??????6_TOM TAT" xfId="21066" xr:uid="{00000000-0005-0000-0000-00001C1A0000}"/>
    <cellStyle name="20% - Accent1" xfId="1059" builtinId="30" customBuiltin="1"/>
    <cellStyle name="20% - Accent1 2" xfId="1856" xr:uid="{00000000-0005-0000-0000-00001E1A0000}"/>
    <cellStyle name="20% - Accent1 2 2" xfId="8222" xr:uid="{00000000-0005-0000-0000-00001F1A0000}"/>
    <cellStyle name="20% - Accent1 2_2. bang gia NOTM 213 can_DT TIM TUONG_160915" xfId="19055" xr:uid="{00000000-0005-0000-0000-0000201A0000}"/>
    <cellStyle name="20% - Accent1 3" xfId="1857" xr:uid="{00000000-0005-0000-0000-0000211A0000}"/>
    <cellStyle name="20% - Accent1 3 2" xfId="8223" xr:uid="{00000000-0005-0000-0000-0000221A0000}"/>
    <cellStyle name="20% - Accent1 3_TOM TAT" xfId="21067" xr:uid="{00000000-0005-0000-0000-0000231A0000}"/>
    <cellStyle name="20% - Accent1 4" xfId="1858" xr:uid="{00000000-0005-0000-0000-0000241A0000}"/>
    <cellStyle name="20% - Accent1 4 2" xfId="1859" xr:uid="{00000000-0005-0000-0000-0000251A0000}"/>
    <cellStyle name="20% - Accent1 4 2 2" xfId="8224" xr:uid="{00000000-0005-0000-0000-0000261A0000}"/>
    <cellStyle name="20% - Accent1 4 2_TOM TAT" xfId="21069" xr:uid="{00000000-0005-0000-0000-0000271A0000}"/>
    <cellStyle name="20% - Accent1 4 3" xfId="8225" xr:uid="{00000000-0005-0000-0000-0000281A0000}"/>
    <cellStyle name="20% - Accent1 4_TOM TAT" xfId="21068" xr:uid="{00000000-0005-0000-0000-0000291A0000}"/>
    <cellStyle name="20% - Accent1 5" xfId="1860" xr:uid="{00000000-0005-0000-0000-00002A1A0000}"/>
    <cellStyle name="20% - Accent1 5 2" xfId="8226" xr:uid="{00000000-0005-0000-0000-00002B1A0000}"/>
    <cellStyle name="20% - Accent1 5_TOM TAT" xfId="21070" xr:uid="{00000000-0005-0000-0000-00002C1A0000}"/>
    <cellStyle name="20% - Accent1 6" xfId="32163" xr:uid="{00000000-0005-0000-0000-00002D1A0000}"/>
    <cellStyle name="20% - Accent2" xfId="1060" builtinId="34" customBuiltin="1"/>
    <cellStyle name="20% - Accent2 2" xfId="1861" xr:uid="{00000000-0005-0000-0000-00002F1A0000}"/>
    <cellStyle name="20% - Accent2 2 2" xfId="8227" xr:uid="{00000000-0005-0000-0000-0000301A0000}"/>
    <cellStyle name="20% - Accent2 2_2. bang gia NOTM 213 can_DT TIM TUONG_160915" xfId="19056" xr:uid="{00000000-0005-0000-0000-0000311A0000}"/>
    <cellStyle name="20% - Accent2 3" xfId="1862" xr:uid="{00000000-0005-0000-0000-0000321A0000}"/>
    <cellStyle name="20% - Accent2 3 2" xfId="8228" xr:uid="{00000000-0005-0000-0000-0000331A0000}"/>
    <cellStyle name="20% - Accent2 3_TOM TAT" xfId="21071" xr:uid="{00000000-0005-0000-0000-0000341A0000}"/>
    <cellStyle name="20% - Accent2 4" xfId="1863" xr:uid="{00000000-0005-0000-0000-0000351A0000}"/>
    <cellStyle name="20% - Accent2 4 2" xfId="1864" xr:uid="{00000000-0005-0000-0000-0000361A0000}"/>
    <cellStyle name="20% - Accent2 4 2 2" xfId="8229" xr:uid="{00000000-0005-0000-0000-0000371A0000}"/>
    <cellStyle name="20% - Accent2 4 2_TOM TAT" xfId="21073" xr:uid="{00000000-0005-0000-0000-0000381A0000}"/>
    <cellStyle name="20% - Accent2 4 3" xfId="8230" xr:uid="{00000000-0005-0000-0000-0000391A0000}"/>
    <cellStyle name="20% - Accent2 4_TOM TAT" xfId="21072" xr:uid="{00000000-0005-0000-0000-00003A1A0000}"/>
    <cellStyle name="20% - Accent2 5" xfId="1865" xr:uid="{00000000-0005-0000-0000-00003B1A0000}"/>
    <cellStyle name="20% - Accent2 5 2" xfId="8231" xr:uid="{00000000-0005-0000-0000-00003C1A0000}"/>
    <cellStyle name="20% - Accent2 5_TOM TAT" xfId="21074" xr:uid="{00000000-0005-0000-0000-00003D1A0000}"/>
    <cellStyle name="20% - Accent2 6" xfId="32164" xr:uid="{00000000-0005-0000-0000-00003E1A0000}"/>
    <cellStyle name="20% - Accent3" xfId="1061" builtinId="38" customBuiltin="1"/>
    <cellStyle name="20% - Accent3 2" xfId="1866" xr:uid="{00000000-0005-0000-0000-0000401A0000}"/>
    <cellStyle name="20% - Accent3 2 2" xfId="8232" xr:uid="{00000000-0005-0000-0000-0000411A0000}"/>
    <cellStyle name="20% - Accent3 2_2. bang gia NOTM 213 can_DT TIM TUONG_160915" xfId="19057" xr:uid="{00000000-0005-0000-0000-0000421A0000}"/>
    <cellStyle name="20% - Accent3 3" xfId="1867" xr:uid="{00000000-0005-0000-0000-0000431A0000}"/>
    <cellStyle name="20% - Accent3 3 2" xfId="8233" xr:uid="{00000000-0005-0000-0000-0000441A0000}"/>
    <cellStyle name="20% - Accent3 3_TOM TAT" xfId="21075" xr:uid="{00000000-0005-0000-0000-0000451A0000}"/>
    <cellStyle name="20% - Accent3 4" xfId="1868" xr:uid="{00000000-0005-0000-0000-0000461A0000}"/>
    <cellStyle name="20% - Accent3 4 2" xfId="1869" xr:uid="{00000000-0005-0000-0000-0000471A0000}"/>
    <cellStyle name="20% - Accent3 4 2 2" xfId="8234" xr:uid="{00000000-0005-0000-0000-0000481A0000}"/>
    <cellStyle name="20% - Accent3 4 2_TOM TAT" xfId="21077" xr:uid="{00000000-0005-0000-0000-0000491A0000}"/>
    <cellStyle name="20% - Accent3 4 3" xfId="8235" xr:uid="{00000000-0005-0000-0000-00004A1A0000}"/>
    <cellStyle name="20% - Accent3 4_TOM TAT" xfId="21076" xr:uid="{00000000-0005-0000-0000-00004B1A0000}"/>
    <cellStyle name="20% - Accent3 5" xfId="1870" xr:uid="{00000000-0005-0000-0000-00004C1A0000}"/>
    <cellStyle name="20% - Accent3 5 2" xfId="8236" xr:uid="{00000000-0005-0000-0000-00004D1A0000}"/>
    <cellStyle name="20% - Accent3 5_TOM TAT" xfId="21078" xr:uid="{00000000-0005-0000-0000-00004E1A0000}"/>
    <cellStyle name="20% - Accent3 6" xfId="32165" xr:uid="{00000000-0005-0000-0000-00004F1A0000}"/>
    <cellStyle name="20% - Accent4" xfId="1062" builtinId="42" customBuiltin="1"/>
    <cellStyle name="20% - Accent4 2" xfId="1871" xr:uid="{00000000-0005-0000-0000-0000511A0000}"/>
    <cellStyle name="20% - Accent4 2 2" xfId="8237" xr:uid="{00000000-0005-0000-0000-0000521A0000}"/>
    <cellStyle name="20% - Accent4 2_2. bang gia NOTM 213 can_DT TIM TUONG_160915" xfId="19058" xr:uid="{00000000-0005-0000-0000-0000531A0000}"/>
    <cellStyle name="20% - Accent4 3" xfId="1872" xr:uid="{00000000-0005-0000-0000-0000541A0000}"/>
    <cellStyle name="20% - Accent4 3 2" xfId="8238" xr:uid="{00000000-0005-0000-0000-0000551A0000}"/>
    <cellStyle name="20% - Accent4 3_TOM TAT" xfId="21079" xr:uid="{00000000-0005-0000-0000-0000561A0000}"/>
    <cellStyle name="20% - Accent4 4" xfId="1873" xr:uid="{00000000-0005-0000-0000-0000571A0000}"/>
    <cellStyle name="20% - Accent4 4 2" xfId="1874" xr:uid="{00000000-0005-0000-0000-0000581A0000}"/>
    <cellStyle name="20% - Accent4 4 2 2" xfId="8239" xr:uid="{00000000-0005-0000-0000-0000591A0000}"/>
    <cellStyle name="20% - Accent4 4 2_TOM TAT" xfId="21081" xr:uid="{00000000-0005-0000-0000-00005A1A0000}"/>
    <cellStyle name="20% - Accent4 4 3" xfId="8240" xr:uid="{00000000-0005-0000-0000-00005B1A0000}"/>
    <cellStyle name="20% - Accent4 4_TOM TAT" xfId="21080" xr:uid="{00000000-0005-0000-0000-00005C1A0000}"/>
    <cellStyle name="20% - Accent4 5" xfId="1875" xr:uid="{00000000-0005-0000-0000-00005D1A0000}"/>
    <cellStyle name="20% - Accent4 5 2" xfId="8241" xr:uid="{00000000-0005-0000-0000-00005E1A0000}"/>
    <cellStyle name="20% - Accent4 5_TOM TAT" xfId="21082" xr:uid="{00000000-0005-0000-0000-00005F1A0000}"/>
    <cellStyle name="20% - Accent4 6" xfId="32166" xr:uid="{00000000-0005-0000-0000-0000601A0000}"/>
    <cellStyle name="20% - Accent5" xfId="1063" builtinId="46" customBuiltin="1"/>
    <cellStyle name="20% - Accent5 2" xfId="1876" xr:uid="{00000000-0005-0000-0000-0000621A0000}"/>
    <cellStyle name="20% - Accent5 2 2" xfId="8242" xr:uid="{00000000-0005-0000-0000-0000631A0000}"/>
    <cellStyle name="20% - Accent5 2_2. bang gia NOTM 213 can_DT TIM TUONG_160915" xfId="19059" xr:uid="{00000000-0005-0000-0000-0000641A0000}"/>
    <cellStyle name="20% - Accent5 3" xfId="1877" xr:uid="{00000000-0005-0000-0000-0000651A0000}"/>
    <cellStyle name="20% - Accent5 3 2" xfId="8243" xr:uid="{00000000-0005-0000-0000-0000661A0000}"/>
    <cellStyle name="20% - Accent5 3_TOM TAT" xfId="21083" xr:uid="{00000000-0005-0000-0000-0000671A0000}"/>
    <cellStyle name="20% - Accent5 4" xfId="1878" xr:uid="{00000000-0005-0000-0000-0000681A0000}"/>
    <cellStyle name="20% - Accent5 4 2" xfId="1879" xr:uid="{00000000-0005-0000-0000-0000691A0000}"/>
    <cellStyle name="20% - Accent5 4 2 2" xfId="8244" xr:uid="{00000000-0005-0000-0000-00006A1A0000}"/>
    <cellStyle name="20% - Accent5 4 2_TOM TAT" xfId="21085" xr:uid="{00000000-0005-0000-0000-00006B1A0000}"/>
    <cellStyle name="20% - Accent5 4 3" xfId="8245" xr:uid="{00000000-0005-0000-0000-00006C1A0000}"/>
    <cellStyle name="20% - Accent5 4_TOM TAT" xfId="21084" xr:uid="{00000000-0005-0000-0000-00006D1A0000}"/>
    <cellStyle name="20% - Accent5 5" xfId="1880" xr:uid="{00000000-0005-0000-0000-00006E1A0000}"/>
    <cellStyle name="20% - Accent5 5 2" xfId="8246" xr:uid="{00000000-0005-0000-0000-00006F1A0000}"/>
    <cellStyle name="20% - Accent5 5_TOM TAT" xfId="21086" xr:uid="{00000000-0005-0000-0000-0000701A0000}"/>
    <cellStyle name="20% - Accent5 6" xfId="32167" xr:uid="{00000000-0005-0000-0000-0000711A0000}"/>
    <cellStyle name="20% - Accent6" xfId="1064" builtinId="50" customBuiltin="1"/>
    <cellStyle name="20% - Accent6 2" xfId="1881" xr:uid="{00000000-0005-0000-0000-0000731A0000}"/>
    <cellStyle name="20% - Accent6 2 2" xfId="8247" xr:uid="{00000000-0005-0000-0000-0000741A0000}"/>
    <cellStyle name="20% - Accent6 2_2. bang gia NOTM 213 can_DT TIM TUONG_160915" xfId="19060" xr:uid="{00000000-0005-0000-0000-0000751A0000}"/>
    <cellStyle name="20% - Accent6 3" xfId="1882" xr:uid="{00000000-0005-0000-0000-0000761A0000}"/>
    <cellStyle name="20% - Accent6 3 2" xfId="8248" xr:uid="{00000000-0005-0000-0000-0000771A0000}"/>
    <cellStyle name="20% - Accent6 3_TOM TAT" xfId="21087" xr:uid="{00000000-0005-0000-0000-0000781A0000}"/>
    <cellStyle name="20% - Accent6 4" xfId="1883" xr:uid="{00000000-0005-0000-0000-0000791A0000}"/>
    <cellStyle name="20% - Accent6 4 2" xfId="1884" xr:uid="{00000000-0005-0000-0000-00007A1A0000}"/>
    <cellStyle name="20% - Accent6 4 2 2" xfId="8249" xr:uid="{00000000-0005-0000-0000-00007B1A0000}"/>
    <cellStyle name="20% - Accent6 4 2_TOM TAT" xfId="21089" xr:uid="{00000000-0005-0000-0000-00007C1A0000}"/>
    <cellStyle name="20% - Accent6 4 3" xfId="8250" xr:uid="{00000000-0005-0000-0000-00007D1A0000}"/>
    <cellStyle name="20% - Accent6 4_TOM TAT" xfId="21088" xr:uid="{00000000-0005-0000-0000-00007E1A0000}"/>
    <cellStyle name="20% - Accent6 5" xfId="1885" xr:uid="{00000000-0005-0000-0000-00007F1A0000}"/>
    <cellStyle name="20% - Accent6 5 2" xfId="8251" xr:uid="{00000000-0005-0000-0000-0000801A0000}"/>
    <cellStyle name="20% - Accent6 5_TOM TAT" xfId="21090" xr:uid="{00000000-0005-0000-0000-0000811A0000}"/>
    <cellStyle name="20% - Accent6 6" xfId="32168" xr:uid="{00000000-0005-0000-0000-0000821A0000}"/>
    <cellStyle name="20% - Акцент1" xfId="1886" xr:uid="{00000000-0005-0000-0000-0000831A0000}"/>
    <cellStyle name="20% - Акцент1 2" xfId="8252" xr:uid="{00000000-0005-0000-0000-0000841A0000}"/>
    <cellStyle name="20% - Акцент1_TOM TAT" xfId="21091" xr:uid="{00000000-0005-0000-0000-0000851A0000}"/>
    <cellStyle name="20% - Акцент2" xfId="1887" xr:uid="{00000000-0005-0000-0000-0000861A0000}"/>
    <cellStyle name="20% - Акцент2 2" xfId="8253" xr:uid="{00000000-0005-0000-0000-0000871A0000}"/>
    <cellStyle name="20% - Акцент2_TOM TAT" xfId="21092" xr:uid="{00000000-0005-0000-0000-0000881A0000}"/>
    <cellStyle name="20% - Акцент3" xfId="1888" xr:uid="{00000000-0005-0000-0000-0000891A0000}"/>
    <cellStyle name="20% - Акцент3 2" xfId="8254" xr:uid="{00000000-0005-0000-0000-00008A1A0000}"/>
    <cellStyle name="20% - Акцент3_TOM TAT" xfId="21093" xr:uid="{00000000-0005-0000-0000-00008B1A0000}"/>
    <cellStyle name="20% - Акцент4" xfId="1889" xr:uid="{00000000-0005-0000-0000-00008C1A0000}"/>
    <cellStyle name="20% - Акцент4 2" xfId="8255" xr:uid="{00000000-0005-0000-0000-00008D1A0000}"/>
    <cellStyle name="20% - Акцент4_TOM TAT" xfId="21094" xr:uid="{00000000-0005-0000-0000-00008E1A0000}"/>
    <cellStyle name="20% - Акцент5" xfId="1890" xr:uid="{00000000-0005-0000-0000-00008F1A0000}"/>
    <cellStyle name="20% - Акцент5 2" xfId="8256" xr:uid="{00000000-0005-0000-0000-0000901A0000}"/>
    <cellStyle name="20% - Акцент5_TOM TAT" xfId="21095" xr:uid="{00000000-0005-0000-0000-0000911A0000}"/>
    <cellStyle name="20% - Акцент6" xfId="1891" xr:uid="{00000000-0005-0000-0000-0000921A0000}"/>
    <cellStyle name="20% - Акцент6 2" xfId="8257" xr:uid="{00000000-0005-0000-0000-0000931A0000}"/>
    <cellStyle name="20% - Акцент6_TOM TAT" xfId="21096" xr:uid="{00000000-0005-0000-0000-0000941A0000}"/>
    <cellStyle name="3" xfId="1065" xr:uid="{00000000-0005-0000-0000-0000951A0000}"/>
    <cellStyle name="3 2" xfId="8258" xr:uid="{00000000-0005-0000-0000-0000961A0000}"/>
    <cellStyle name="3 3" xfId="8259" xr:uid="{00000000-0005-0000-0000-0000971A0000}"/>
    <cellStyle name="3_TOM TAT" xfId="21097" xr:uid="{00000000-0005-0000-0000-0000981A0000}"/>
    <cellStyle name="4" xfId="1066" xr:uid="{00000000-0005-0000-0000-0000991A0000}"/>
    <cellStyle name="4 2" xfId="8260" xr:uid="{00000000-0005-0000-0000-00009A1A0000}"/>
    <cellStyle name="4 3" xfId="8261" xr:uid="{00000000-0005-0000-0000-00009B1A0000}"/>
    <cellStyle name="4_TOM TAT" xfId="21098" xr:uid="{00000000-0005-0000-0000-00009C1A0000}"/>
    <cellStyle name="40% - ??????1" xfId="8262" xr:uid="{00000000-0005-0000-0000-00009D1A0000}"/>
    <cellStyle name="40% - ??????1 2" xfId="8263" xr:uid="{00000000-0005-0000-0000-00009E1A0000}"/>
    <cellStyle name="40% - ??????1_TOM TAT" xfId="21099" xr:uid="{00000000-0005-0000-0000-00009F1A0000}"/>
    <cellStyle name="40% - ??????2" xfId="8264" xr:uid="{00000000-0005-0000-0000-0000A01A0000}"/>
    <cellStyle name="40% - ??????2 2" xfId="8265" xr:uid="{00000000-0005-0000-0000-0000A11A0000}"/>
    <cellStyle name="40% - ??????2_TOM TAT" xfId="21100" xr:uid="{00000000-0005-0000-0000-0000A21A0000}"/>
    <cellStyle name="40% - ??????3" xfId="8266" xr:uid="{00000000-0005-0000-0000-0000A31A0000}"/>
    <cellStyle name="40% - ??????3 2" xfId="8267" xr:uid="{00000000-0005-0000-0000-0000A41A0000}"/>
    <cellStyle name="40% - ??????3_TOM TAT" xfId="21101" xr:uid="{00000000-0005-0000-0000-0000A51A0000}"/>
    <cellStyle name="40% - ??????4" xfId="8268" xr:uid="{00000000-0005-0000-0000-0000A61A0000}"/>
    <cellStyle name="40% - ??????4 2" xfId="8269" xr:uid="{00000000-0005-0000-0000-0000A71A0000}"/>
    <cellStyle name="40% - ??????4_TOM TAT" xfId="21102" xr:uid="{00000000-0005-0000-0000-0000A81A0000}"/>
    <cellStyle name="40% - ??????5" xfId="8270" xr:uid="{00000000-0005-0000-0000-0000A91A0000}"/>
    <cellStyle name="40% - ??????5 2" xfId="8271" xr:uid="{00000000-0005-0000-0000-0000AA1A0000}"/>
    <cellStyle name="40% - ??????5_TOM TAT" xfId="21103" xr:uid="{00000000-0005-0000-0000-0000AB1A0000}"/>
    <cellStyle name="40% - ??????6" xfId="8272" xr:uid="{00000000-0005-0000-0000-0000AC1A0000}"/>
    <cellStyle name="40% - ??????6 2" xfId="8273" xr:uid="{00000000-0005-0000-0000-0000AD1A0000}"/>
    <cellStyle name="40% - ??????6_TOM TAT" xfId="21104" xr:uid="{00000000-0005-0000-0000-0000AE1A0000}"/>
    <cellStyle name="40% - Accent1" xfId="1067" builtinId="31" customBuiltin="1"/>
    <cellStyle name="40% - Accent1 2" xfId="1892" xr:uid="{00000000-0005-0000-0000-0000B01A0000}"/>
    <cellStyle name="40% - Accent1 2 2" xfId="8274" xr:uid="{00000000-0005-0000-0000-0000B11A0000}"/>
    <cellStyle name="40% - Accent1 2_2. bang gia NOTM 213 can_DT TIM TUONG_160915" xfId="19061" xr:uid="{00000000-0005-0000-0000-0000B21A0000}"/>
    <cellStyle name="40% - Accent1 3" xfId="1893" xr:uid="{00000000-0005-0000-0000-0000B31A0000}"/>
    <cellStyle name="40% - Accent1 3 2" xfId="8275" xr:uid="{00000000-0005-0000-0000-0000B41A0000}"/>
    <cellStyle name="40% - Accent1 3_TOM TAT" xfId="21105" xr:uid="{00000000-0005-0000-0000-0000B51A0000}"/>
    <cellStyle name="40% - Accent1 4" xfId="1894" xr:uid="{00000000-0005-0000-0000-0000B61A0000}"/>
    <cellStyle name="40% - Accent1 4 2" xfId="1895" xr:uid="{00000000-0005-0000-0000-0000B71A0000}"/>
    <cellStyle name="40% - Accent1 4 2 2" xfId="8276" xr:uid="{00000000-0005-0000-0000-0000B81A0000}"/>
    <cellStyle name="40% - Accent1 4 2_TOM TAT" xfId="21107" xr:uid="{00000000-0005-0000-0000-0000B91A0000}"/>
    <cellStyle name="40% - Accent1 4 3" xfId="8277" xr:uid="{00000000-0005-0000-0000-0000BA1A0000}"/>
    <cellStyle name="40% - Accent1 4_TOM TAT" xfId="21106" xr:uid="{00000000-0005-0000-0000-0000BB1A0000}"/>
    <cellStyle name="40% - Accent1 5" xfId="1896" xr:uid="{00000000-0005-0000-0000-0000BC1A0000}"/>
    <cellStyle name="40% - Accent1 5 2" xfId="8278" xr:uid="{00000000-0005-0000-0000-0000BD1A0000}"/>
    <cellStyle name="40% - Accent1 5_TOM TAT" xfId="21108" xr:uid="{00000000-0005-0000-0000-0000BE1A0000}"/>
    <cellStyle name="40% - Accent1 6" xfId="32169" xr:uid="{00000000-0005-0000-0000-0000BF1A0000}"/>
    <cellStyle name="40% - Accent2" xfId="1068" builtinId="35" customBuiltin="1"/>
    <cellStyle name="40% - Accent2 2" xfId="1897" xr:uid="{00000000-0005-0000-0000-0000C11A0000}"/>
    <cellStyle name="40% - Accent2 2 2" xfId="8279" xr:uid="{00000000-0005-0000-0000-0000C21A0000}"/>
    <cellStyle name="40% - Accent2 2_2. bang gia NOTM 213 can_DT TIM TUONG_160915" xfId="19062" xr:uid="{00000000-0005-0000-0000-0000C31A0000}"/>
    <cellStyle name="40% - Accent2 3" xfId="1898" xr:uid="{00000000-0005-0000-0000-0000C41A0000}"/>
    <cellStyle name="40% - Accent2 3 2" xfId="8280" xr:uid="{00000000-0005-0000-0000-0000C51A0000}"/>
    <cellStyle name="40% - Accent2 3_TOM TAT" xfId="21109" xr:uid="{00000000-0005-0000-0000-0000C61A0000}"/>
    <cellStyle name="40% - Accent2 4" xfId="1899" xr:uid="{00000000-0005-0000-0000-0000C71A0000}"/>
    <cellStyle name="40% - Accent2 4 2" xfId="1900" xr:uid="{00000000-0005-0000-0000-0000C81A0000}"/>
    <cellStyle name="40% - Accent2 4 2 2" xfId="8281" xr:uid="{00000000-0005-0000-0000-0000C91A0000}"/>
    <cellStyle name="40% - Accent2 4 2_TOM TAT" xfId="21111" xr:uid="{00000000-0005-0000-0000-0000CA1A0000}"/>
    <cellStyle name="40% - Accent2 4 3" xfId="8282" xr:uid="{00000000-0005-0000-0000-0000CB1A0000}"/>
    <cellStyle name="40% - Accent2 4_TOM TAT" xfId="21110" xr:uid="{00000000-0005-0000-0000-0000CC1A0000}"/>
    <cellStyle name="40% - Accent2 5" xfId="1901" xr:uid="{00000000-0005-0000-0000-0000CD1A0000}"/>
    <cellStyle name="40% - Accent2 5 2" xfId="8283" xr:uid="{00000000-0005-0000-0000-0000CE1A0000}"/>
    <cellStyle name="40% - Accent2 5_TOM TAT" xfId="21112" xr:uid="{00000000-0005-0000-0000-0000CF1A0000}"/>
    <cellStyle name="40% - Accent2 6" xfId="32170" xr:uid="{00000000-0005-0000-0000-0000D01A0000}"/>
    <cellStyle name="40% - Accent3" xfId="1069" builtinId="39" customBuiltin="1"/>
    <cellStyle name="40% - Accent3 2" xfId="1902" xr:uid="{00000000-0005-0000-0000-0000D21A0000}"/>
    <cellStyle name="40% - Accent3 2 2" xfId="8284" xr:uid="{00000000-0005-0000-0000-0000D31A0000}"/>
    <cellStyle name="40% - Accent3 2_2. bang gia NOTM 213 can_DT TIM TUONG_160915" xfId="19063" xr:uid="{00000000-0005-0000-0000-0000D41A0000}"/>
    <cellStyle name="40% - Accent3 3" xfId="1903" xr:uid="{00000000-0005-0000-0000-0000D51A0000}"/>
    <cellStyle name="40% - Accent3 3 2" xfId="8285" xr:uid="{00000000-0005-0000-0000-0000D61A0000}"/>
    <cellStyle name="40% - Accent3 3_TOM TAT" xfId="21113" xr:uid="{00000000-0005-0000-0000-0000D71A0000}"/>
    <cellStyle name="40% - Accent3 4" xfId="1904" xr:uid="{00000000-0005-0000-0000-0000D81A0000}"/>
    <cellStyle name="40% - Accent3 4 2" xfId="1905" xr:uid="{00000000-0005-0000-0000-0000D91A0000}"/>
    <cellStyle name="40% - Accent3 4 2 2" xfId="8286" xr:uid="{00000000-0005-0000-0000-0000DA1A0000}"/>
    <cellStyle name="40% - Accent3 4 2_TOM TAT" xfId="21115" xr:uid="{00000000-0005-0000-0000-0000DB1A0000}"/>
    <cellStyle name="40% - Accent3 4 3" xfId="8287" xr:uid="{00000000-0005-0000-0000-0000DC1A0000}"/>
    <cellStyle name="40% - Accent3 4_TOM TAT" xfId="21114" xr:uid="{00000000-0005-0000-0000-0000DD1A0000}"/>
    <cellStyle name="40% - Accent3 5" xfId="1906" xr:uid="{00000000-0005-0000-0000-0000DE1A0000}"/>
    <cellStyle name="40% - Accent3 5 2" xfId="8288" xr:uid="{00000000-0005-0000-0000-0000DF1A0000}"/>
    <cellStyle name="40% - Accent3 5_TOM TAT" xfId="21116" xr:uid="{00000000-0005-0000-0000-0000E01A0000}"/>
    <cellStyle name="40% - Accent3 6" xfId="32171" xr:uid="{00000000-0005-0000-0000-0000E11A0000}"/>
    <cellStyle name="40% - Accent4" xfId="1070" builtinId="43" customBuiltin="1"/>
    <cellStyle name="40% - Accent4 2" xfId="1907" xr:uid="{00000000-0005-0000-0000-0000E31A0000}"/>
    <cellStyle name="40% - Accent4 2 2" xfId="8289" xr:uid="{00000000-0005-0000-0000-0000E41A0000}"/>
    <cellStyle name="40% - Accent4 2_2. bang gia NOTM 213 can_DT TIM TUONG_160915" xfId="19064" xr:uid="{00000000-0005-0000-0000-0000E51A0000}"/>
    <cellStyle name="40% - Accent4 3" xfId="1908" xr:uid="{00000000-0005-0000-0000-0000E61A0000}"/>
    <cellStyle name="40% - Accent4 3 2" xfId="8290" xr:uid="{00000000-0005-0000-0000-0000E71A0000}"/>
    <cellStyle name="40% - Accent4 3_TOM TAT" xfId="21117" xr:uid="{00000000-0005-0000-0000-0000E81A0000}"/>
    <cellStyle name="40% - Accent4 4" xfId="1909" xr:uid="{00000000-0005-0000-0000-0000E91A0000}"/>
    <cellStyle name="40% - Accent4 4 2" xfId="1910" xr:uid="{00000000-0005-0000-0000-0000EA1A0000}"/>
    <cellStyle name="40% - Accent4 4 2 2" xfId="8291" xr:uid="{00000000-0005-0000-0000-0000EB1A0000}"/>
    <cellStyle name="40% - Accent4 4 2_TOM TAT" xfId="21119" xr:uid="{00000000-0005-0000-0000-0000EC1A0000}"/>
    <cellStyle name="40% - Accent4 4 3" xfId="8292" xr:uid="{00000000-0005-0000-0000-0000ED1A0000}"/>
    <cellStyle name="40% - Accent4 4_TOM TAT" xfId="21118" xr:uid="{00000000-0005-0000-0000-0000EE1A0000}"/>
    <cellStyle name="40% - Accent4 5" xfId="1911" xr:uid="{00000000-0005-0000-0000-0000EF1A0000}"/>
    <cellStyle name="40% - Accent4 5 2" xfId="8293" xr:uid="{00000000-0005-0000-0000-0000F01A0000}"/>
    <cellStyle name="40% - Accent4 5_TOM TAT" xfId="21120" xr:uid="{00000000-0005-0000-0000-0000F11A0000}"/>
    <cellStyle name="40% - Accent4 6" xfId="32172" xr:uid="{00000000-0005-0000-0000-0000F21A0000}"/>
    <cellStyle name="40% - Accent5" xfId="1071" builtinId="47" customBuiltin="1"/>
    <cellStyle name="40% - Accent5 2" xfId="1912" xr:uid="{00000000-0005-0000-0000-0000F41A0000}"/>
    <cellStyle name="40% - Accent5 2 2" xfId="8294" xr:uid="{00000000-0005-0000-0000-0000F51A0000}"/>
    <cellStyle name="40% - Accent5 2_2. bang gia NOTM 213 can_DT TIM TUONG_160915" xfId="19065" xr:uid="{00000000-0005-0000-0000-0000F61A0000}"/>
    <cellStyle name="40% - Accent5 3" xfId="1913" xr:uid="{00000000-0005-0000-0000-0000F71A0000}"/>
    <cellStyle name="40% - Accent5 3 2" xfId="8295" xr:uid="{00000000-0005-0000-0000-0000F81A0000}"/>
    <cellStyle name="40% - Accent5 3_TOM TAT" xfId="21121" xr:uid="{00000000-0005-0000-0000-0000F91A0000}"/>
    <cellStyle name="40% - Accent5 4" xfId="1914" xr:uid="{00000000-0005-0000-0000-0000FA1A0000}"/>
    <cellStyle name="40% - Accent5 4 2" xfId="1915" xr:uid="{00000000-0005-0000-0000-0000FB1A0000}"/>
    <cellStyle name="40% - Accent5 4 2 2" xfId="8296" xr:uid="{00000000-0005-0000-0000-0000FC1A0000}"/>
    <cellStyle name="40% - Accent5 4 2_TOM TAT" xfId="21123" xr:uid="{00000000-0005-0000-0000-0000FD1A0000}"/>
    <cellStyle name="40% - Accent5 4 3" xfId="8297" xr:uid="{00000000-0005-0000-0000-0000FE1A0000}"/>
    <cellStyle name="40% - Accent5 4_TOM TAT" xfId="21122" xr:uid="{00000000-0005-0000-0000-0000FF1A0000}"/>
    <cellStyle name="40% - Accent5 5" xfId="1916" xr:uid="{00000000-0005-0000-0000-0000001B0000}"/>
    <cellStyle name="40% - Accent5 5 2" xfId="8298" xr:uid="{00000000-0005-0000-0000-0000011B0000}"/>
    <cellStyle name="40% - Accent5 5_TOM TAT" xfId="21124" xr:uid="{00000000-0005-0000-0000-0000021B0000}"/>
    <cellStyle name="40% - Accent5 6" xfId="32173" xr:uid="{00000000-0005-0000-0000-0000031B0000}"/>
    <cellStyle name="40% - Accent6" xfId="1072" builtinId="51" customBuiltin="1"/>
    <cellStyle name="40% - Accent6 2" xfId="1917" xr:uid="{00000000-0005-0000-0000-0000051B0000}"/>
    <cellStyle name="40% - Accent6 2 2" xfId="8299" xr:uid="{00000000-0005-0000-0000-0000061B0000}"/>
    <cellStyle name="40% - Accent6 2_2. bang gia NOTM 213 can_DT TIM TUONG_160915" xfId="19066" xr:uid="{00000000-0005-0000-0000-0000071B0000}"/>
    <cellStyle name="40% - Accent6 3" xfId="1918" xr:uid="{00000000-0005-0000-0000-0000081B0000}"/>
    <cellStyle name="40% - Accent6 3 2" xfId="8300" xr:uid="{00000000-0005-0000-0000-0000091B0000}"/>
    <cellStyle name="40% - Accent6 3_TOM TAT" xfId="21125" xr:uid="{00000000-0005-0000-0000-00000A1B0000}"/>
    <cellStyle name="40% - Accent6 4" xfId="1919" xr:uid="{00000000-0005-0000-0000-00000B1B0000}"/>
    <cellStyle name="40% - Accent6 4 2" xfId="1920" xr:uid="{00000000-0005-0000-0000-00000C1B0000}"/>
    <cellStyle name="40% - Accent6 4 2 2" xfId="8301" xr:uid="{00000000-0005-0000-0000-00000D1B0000}"/>
    <cellStyle name="40% - Accent6 4 2_TOM TAT" xfId="21127" xr:uid="{00000000-0005-0000-0000-00000E1B0000}"/>
    <cellStyle name="40% - Accent6 4 3" xfId="8302" xr:uid="{00000000-0005-0000-0000-00000F1B0000}"/>
    <cellStyle name="40% - Accent6 4_TOM TAT" xfId="21126" xr:uid="{00000000-0005-0000-0000-0000101B0000}"/>
    <cellStyle name="40% - Accent6 5" xfId="1921" xr:uid="{00000000-0005-0000-0000-0000111B0000}"/>
    <cellStyle name="40% - Accent6 5 2" xfId="8303" xr:uid="{00000000-0005-0000-0000-0000121B0000}"/>
    <cellStyle name="40% - Accent6 5_TOM TAT" xfId="21128" xr:uid="{00000000-0005-0000-0000-0000131B0000}"/>
    <cellStyle name="40% - Accent6 6" xfId="32174" xr:uid="{00000000-0005-0000-0000-0000141B0000}"/>
    <cellStyle name="40% - Акцент1" xfId="1922" xr:uid="{00000000-0005-0000-0000-0000151B0000}"/>
    <cellStyle name="40% - Акцент1 2" xfId="8304" xr:uid="{00000000-0005-0000-0000-0000161B0000}"/>
    <cellStyle name="40% - Акцент1_TOM TAT" xfId="21129" xr:uid="{00000000-0005-0000-0000-0000171B0000}"/>
    <cellStyle name="40% - Акцент2" xfId="1923" xr:uid="{00000000-0005-0000-0000-0000181B0000}"/>
    <cellStyle name="40% - Акцент2 2" xfId="8305" xr:uid="{00000000-0005-0000-0000-0000191B0000}"/>
    <cellStyle name="40% - Акцент2_TOM TAT" xfId="21130" xr:uid="{00000000-0005-0000-0000-00001A1B0000}"/>
    <cellStyle name="40% - Акцент3" xfId="1924" xr:uid="{00000000-0005-0000-0000-00001B1B0000}"/>
    <cellStyle name="40% - Акцент3 2" xfId="8306" xr:uid="{00000000-0005-0000-0000-00001C1B0000}"/>
    <cellStyle name="40% - Акцент3_TOM TAT" xfId="21131" xr:uid="{00000000-0005-0000-0000-00001D1B0000}"/>
    <cellStyle name="40% - Акцент4" xfId="1925" xr:uid="{00000000-0005-0000-0000-00001E1B0000}"/>
    <cellStyle name="40% - Акцент4 2" xfId="8307" xr:uid="{00000000-0005-0000-0000-00001F1B0000}"/>
    <cellStyle name="40% - Акцент4_TOM TAT" xfId="21132" xr:uid="{00000000-0005-0000-0000-0000201B0000}"/>
    <cellStyle name="40% - Акцент5" xfId="1926" xr:uid="{00000000-0005-0000-0000-0000211B0000}"/>
    <cellStyle name="40% - Акцент5 2" xfId="8308" xr:uid="{00000000-0005-0000-0000-0000221B0000}"/>
    <cellStyle name="40% - Акцент5_TOM TAT" xfId="21133" xr:uid="{00000000-0005-0000-0000-0000231B0000}"/>
    <cellStyle name="40% - Акцент6" xfId="1927" xr:uid="{00000000-0005-0000-0000-0000241B0000}"/>
    <cellStyle name="40% - Акцент6 2" xfId="8309" xr:uid="{00000000-0005-0000-0000-0000251B0000}"/>
    <cellStyle name="40% - Акцент6_TOM TAT" xfId="21134" xr:uid="{00000000-0005-0000-0000-0000261B0000}"/>
    <cellStyle name="6" xfId="18978" xr:uid="{00000000-0005-0000-0000-0000271B0000}"/>
    <cellStyle name="6_TOM TAT" xfId="21135" xr:uid="{00000000-0005-0000-0000-0000281B0000}"/>
    <cellStyle name="60% - ??????1" xfId="8310" xr:uid="{00000000-0005-0000-0000-0000291B0000}"/>
    <cellStyle name="60% - ??????1 2" xfId="8311" xr:uid="{00000000-0005-0000-0000-00002A1B0000}"/>
    <cellStyle name="60% - ??????1_TOM TAT" xfId="21136" xr:uid="{00000000-0005-0000-0000-00002B1B0000}"/>
    <cellStyle name="60% - ??????2" xfId="8312" xr:uid="{00000000-0005-0000-0000-00002C1B0000}"/>
    <cellStyle name="60% - ??????2 2" xfId="8313" xr:uid="{00000000-0005-0000-0000-00002D1B0000}"/>
    <cellStyle name="60% - ??????2_TOM TAT" xfId="21137" xr:uid="{00000000-0005-0000-0000-00002E1B0000}"/>
    <cellStyle name="60% - ??????3" xfId="8314" xr:uid="{00000000-0005-0000-0000-00002F1B0000}"/>
    <cellStyle name="60% - ??????3 2" xfId="8315" xr:uid="{00000000-0005-0000-0000-0000301B0000}"/>
    <cellStyle name="60% - ??????3_TOM TAT" xfId="21138" xr:uid="{00000000-0005-0000-0000-0000311B0000}"/>
    <cellStyle name="60% - ??????4" xfId="8316" xr:uid="{00000000-0005-0000-0000-0000321B0000}"/>
    <cellStyle name="60% - ??????4 2" xfId="8317" xr:uid="{00000000-0005-0000-0000-0000331B0000}"/>
    <cellStyle name="60% - ??????4_TOM TAT" xfId="21139" xr:uid="{00000000-0005-0000-0000-0000341B0000}"/>
    <cellStyle name="60% - ??????5" xfId="8318" xr:uid="{00000000-0005-0000-0000-0000351B0000}"/>
    <cellStyle name="60% - ??????5 2" xfId="8319" xr:uid="{00000000-0005-0000-0000-0000361B0000}"/>
    <cellStyle name="60% - ??????5_TOM TAT" xfId="21140" xr:uid="{00000000-0005-0000-0000-0000371B0000}"/>
    <cellStyle name="60% - ??????6" xfId="8320" xr:uid="{00000000-0005-0000-0000-0000381B0000}"/>
    <cellStyle name="60% - ??????6 2" xfId="8321" xr:uid="{00000000-0005-0000-0000-0000391B0000}"/>
    <cellStyle name="60% - ??????6_TOM TAT" xfId="21141" xr:uid="{00000000-0005-0000-0000-00003A1B0000}"/>
    <cellStyle name="60% - Accent1" xfId="1073" builtinId="32" customBuiltin="1"/>
    <cellStyle name="60% - Accent1 2" xfId="1928" xr:uid="{00000000-0005-0000-0000-00003C1B0000}"/>
    <cellStyle name="60% - Accent1 2 2" xfId="8322" xr:uid="{00000000-0005-0000-0000-00003D1B0000}"/>
    <cellStyle name="60% - Accent1 2_TOM TAT" xfId="21142" xr:uid="{00000000-0005-0000-0000-00003E1B0000}"/>
    <cellStyle name="60% - Accent1 3" xfId="1929" xr:uid="{00000000-0005-0000-0000-00003F1B0000}"/>
    <cellStyle name="60% - Accent1 3 2" xfId="8323" xr:uid="{00000000-0005-0000-0000-0000401B0000}"/>
    <cellStyle name="60% - Accent1 3_TOM TAT" xfId="21143" xr:uid="{00000000-0005-0000-0000-0000411B0000}"/>
    <cellStyle name="60% - Accent1 4" xfId="1930" xr:uid="{00000000-0005-0000-0000-0000421B0000}"/>
    <cellStyle name="60% - Accent1 4 2" xfId="8324" xr:uid="{00000000-0005-0000-0000-0000431B0000}"/>
    <cellStyle name="60% - Accent1 4_TOM TAT" xfId="21144" xr:uid="{00000000-0005-0000-0000-0000441B0000}"/>
    <cellStyle name="60% - Accent1 5" xfId="19088" xr:uid="{00000000-0005-0000-0000-0000451B0000}"/>
    <cellStyle name="60% - Accent1 6" xfId="32175" xr:uid="{00000000-0005-0000-0000-0000461B0000}"/>
    <cellStyle name="60% - Accent2" xfId="1074" builtinId="36" customBuiltin="1"/>
    <cellStyle name="60% - Accent2 2" xfId="1931" xr:uid="{00000000-0005-0000-0000-0000481B0000}"/>
    <cellStyle name="60% - Accent2 2 2" xfId="8325" xr:uid="{00000000-0005-0000-0000-0000491B0000}"/>
    <cellStyle name="60% - Accent2 2_TOM TAT" xfId="21145" xr:uid="{00000000-0005-0000-0000-00004A1B0000}"/>
    <cellStyle name="60% - Accent2 3" xfId="1932" xr:uid="{00000000-0005-0000-0000-00004B1B0000}"/>
    <cellStyle name="60% - Accent2 3 2" xfId="8326" xr:uid="{00000000-0005-0000-0000-00004C1B0000}"/>
    <cellStyle name="60% - Accent2 3_TOM TAT" xfId="21146" xr:uid="{00000000-0005-0000-0000-00004D1B0000}"/>
    <cellStyle name="60% - Accent2 4" xfId="1933" xr:uid="{00000000-0005-0000-0000-00004E1B0000}"/>
    <cellStyle name="60% - Accent2 4 2" xfId="8327" xr:uid="{00000000-0005-0000-0000-00004F1B0000}"/>
    <cellStyle name="60% - Accent2 4_TOM TAT" xfId="21147" xr:uid="{00000000-0005-0000-0000-0000501B0000}"/>
    <cellStyle name="60% - Accent2 5" xfId="19089" xr:uid="{00000000-0005-0000-0000-0000511B0000}"/>
    <cellStyle name="60% - Accent2 6" xfId="32176" xr:uid="{00000000-0005-0000-0000-0000521B0000}"/>
    <cellStyle name="60% - Accent3" xfId="1075" builtinId="40" customBuiltin="1"/>
    <cellStyle name="60% - Accent3 2" xfId="1934" xr:uid="{00000000-0005-0000-0000-0000541B0000}"/>
    <cellStyle name="60% - Accent3 2 2" xfId="8328" xr:uid="{00000000-0005-0000-0000-0000551B0000}"/>
    <cellStyle name="60% - Accent3 2_TOM TAT" xfId="21148" xr:uid="{00000000-0005-0000-0000-0000561B0000}"/>
    <cellStyle name="60% - Accent3 3" xfId="1935" xr:uid="{00000000-0005-0000-0000-0000571B0000}"/>
    <cellStyle name="60% - Accent3 3 2" xfId="8329" xr:uid="{00000000-0005-0000-0000-0000581B0000}"/>
    <cellStyle name="60% - Accent3 3_TOM TAT" xfId="21149" xr:uid="{00000000-0005-0000-0000-0000591B0000}"/>
    <cellStyle name="60% - Accent3 4" xfId="1936" xr:uid="{00000000-0005-0000-0000-00005A1B0000}"/>
    <cellStyle name="60% - Accent3 4 2" xfId="8330" xr:uid="{00000000-0005-0000-0000-00005B1B0000}"/>
    <cellStyle name="60% - Accent3 4_TOM TAT" xfId="21150" xr:uid="{00000000-0005-0000-0000-00005C1B0000}"/>
    <cellStyle name="60% - Accent3 5" xfId="19090" xr:uid="{00000000-0005-0000-0000-00005D1B0000}"/>
    <cellStyle name="60% - Accent3 6" xfId="32177" xr:uid="{00000000-0005-0000-0000-00005E1B0000}"/>
    <cellStyle name="60% - Accent4" xfId="1076" builtinId="44" customBuiltin="1"/>
    <cellStyle name="60% - Accent4 2" xfId="1937" xr:uid="{00000000-0005-0000-0000-0000601B0000}"/>
    <cellStyle name="60% - Accent4 2 2" xfId="8331" xr:uid="{00000000-0005-0000-0000-0000611B0000}"/>
    <cellStyle name="60% - Accent4 2_TOM TAT" xfId="21151" xr:uid="{00000000-0005-0000-0000-0000621B0000}"/>
    <cellStyle name="60% - Accent4 3" xfId="1938" xr:uid="{00000000-0005-0000-0000-0000631B0000}"/>
    <cellStyle name="60% - Accent4 3 2" xfId="8332" xr:uid="{00000000-0005-0000-0000-0000641B0000}"/>
    <cellStyle name="60% - Accent4 3_TOM TAT" xfId="21152" xr:uid="{00000000-0005-0000-0000-0000651B0000}"/>
    <cellStyle name="60% - Accent4 4" xfId="1939" xr:uid="{00000000-0005-0000-0000-0000661B0000}"/>
    <cellStyle name="60% - Accent4 4 2" xfId="8333" xr:uid="{00000000-0005-0000-0000-0000671B0000}"/>
    <cellStyle name="60% - Accent4 4_TOM TAT" xfId="21153" xr:uid="{00000000-0005-0000-0000-0000681B0000}"/>
    <cellStyle name="60% - Accent4 5" xfId="19091" xr:uid="{00000000-0005-0000-0000-0000691B0000}"/>
    <cellStyle name="60% - Accent4 6" xfId="32178" xr:uid="{00000000-0005-0000-0000-00006A1B0000}"/>
    <cellStyle name="60% - Accent5" xfId="1077" builtinId="48" customBuiltin="1"/>
    <cellStyle name="60% - Accent5 2" xfId="1940" xr:uid="{00000000-0005-0000-0000-00006C1B0000}"/>
    <cellStyle name="60% - Accent5 2 2" xfId="8334" xr:uid="{00000000-0005-0000-0000-00006D1B0000}"/>
    <cellStyle name="60% - Accent5 2_TOM TAT" xfId="21154" xr:uid="{00000000-0005-0000-0000-00006E1B0000}"/>
    <cellStyle name="60% - Accent5 3" xfId="1941" xr:uid="{00000000-0005-0000-0000-00006F1B0000}"/>
    <cellStyle name="60% - Accent5 3 2" xfId="8335" xr:uid="{00000000-0005-0000-0000-0000701B0000}"/>
    <cellStyle name="60% - Accent5 3_TOM TAT" xfId="21155" xr:uid="{00000000-0005-0000-0000-0000711B0000}"/>
    <cellStyle name="60% - Accent5 4" xfId="1942" xr:uid="{00000000-0005-0000-0000-0000721B0000}"/>
    <cellStyle name="60% - Accent5 4 2" xfId="8336" xr:uid="{00000000-0005-0000-0000-0000731B0000}"/>
    <cellStyle name="60% - Accent5 4_TOM TAT" xfId="21156" xr:uid="{00000000-0005-0000-0000-0000741B0000}"/>
    <cellStyle name="60% - Accent5 5" xfId="19092" xr:uid="{00000000-0005-0000-0000-0000751B0000}"/>
    <cellStyle name="60% - Accent5 6" xfId="32179" xr:uid="{00000000-0005-0000-0000-0000761B0000}"/>
    <cellStyle name="60% - Accent6" xfId="1078" builtinId="52" customBuiltin="1"/>
    <cellStyle name="60% - Accent6 2" xfId="1943" xr:uid="{00000000-0005-0000-0000-0000781B0000}"/>
    <cellStyle name="60% - Accent6 2 2" xfId="8337" xr:uid="{00000000-0005-0000-0000-0000791B0000}"/>
    <cellStyle name="60% - Accent6 2_TOM TAT" xfId="21157" xr:uid="{00000000-0005-0000-0000-00007A1B0000}"/>
    <cellStyle name="60% - Accent6 3" xfId="1944" xr:uid="{00000000-0005-0000-0000-00007B1B0000}"/>
    <cellStyle name="60% - Accent6 3 2" xfId="8338" xr:uid="{00000000-0005-0000-0000-00007C1B0000}"/>
    <cellStyle name="60% - Accent6 3_TOM TAT" xfId="21158" xr:uid="{00000000-0005-0000-0000-00007D1B0000}"/>
    <cellStyle name="60% - Accent6 4" xfId="1945" xr:uid="{00000000-0005-0000-0000-00007E1B0000}"/>
    <cellStyle name="60% - Accent6 4 2" xfId="8339" xr:uid="{00000000-0005-0000-0000-00007F1B0000}"/>
    <cellStyle name="60% - Accent6 4_TOM TAT" xfId="21159" xr:uid="{00000000-0005-0000-0000-0000801B0000}"/>
    <cellStyle name="60% - Accent6 5" xfId="19093" xr:uid="{00000000-0005-0000-0000-0000811B0000}"/>
    <cellStyle name="60% - Accent6 6" xfId="32180" xr:uid="{00000000-0005-0000-0000-0000821B0000}"/>
    <cellStyle name="60% - Акцент1" xfId="1946" xr:uid="{00000000-0005-0000-0000-0000831B0000}"/>
    <cellStyle name="60% - Акцент1 2" xfId="8340" xr:uid="{00000000-0005-0000-0000-0000841B0000}"/>
    <cellStyle name="60% - Акцент1_TOM TAT" xfId="21160" xr:uid="{00000000-0005-0000-0000-0000851B0000}"/>
    <cellStyle name="60% - Акцент2" xfId="1947" xr:uid="{00000000-0005-0000-0000-0000861B0000}"/>
    <cellStyle name="60% - Акцент2 2" xfId="8341" xr:uid="{00000000-0005-0000-0000-0000871B0000}"/>
    <cellStyle name="60% - Акцент2_TOM TAT" xfId="21161" xr:uid="{00000000-0005-0000-0000-0000881B0000}"/>
    <cellStyle name="60% - Акцент3" xfId="1948" xr:uid="{00000000-0005-0000-0000-0000891B0000}"/>
    <cellStyle name="60% - Акцент3 2" xfId="8342" xr:uid="{00000000-0005-0000-0000-00008A1B0000}"/>
    <cellStyle name="60% - Акцент3_TOM TAT" xfId="21162" xr:uid="{00000000-0005-0000-0000-00008B1B0000}"/>
    <cellStyle name="60% - Акцент4" xfId="1949" xr:uid="{00000000-0005-0000-0000-00008C1B0000}"/>
    <cellStyle name="60% - Акцент4 2" xfId="8343" xr:uid="{00000000-0005-0000-0000-00008D1B0000}"/>
    <cellStyle name="60% - Акцент4_TOM TAT" xfId="21163" xr:uid="{00000000-0005-0000-0000-00008E1B0000}"/>
    <cellStyle name="60% - Акцент5" xfId="1950" xr:uid="{00000000-0005-0000-0000-00008F1B0000}"/>
    <cellStyle name="60% - Акцент5 2" xfId="8344" xr:uid="{00000000-0005-0000-0000-0000901B0000}"/>
    <cellStyle name="60% - Акцент5_TOM TAT" xfId="21164" xr:uid="{00000000-0005-0000-0000-0000911B0000}"/>
    <cellStyle name="60% - Акцент6" xfId="1951" xr:uid="{00000000-0005-0000-0000-0000921B0000}"/>
    <cellStyle name="60% - Акцент6 2" xfId="8345" xr:uid="{00000000-0005-0000-0000-0000931B0000}"/>
    <cellStyle name="60% - Акцент6_TOM TAT" xfId="21165" xr:uid="{00000000-0005-0000-0000-0000941B0000}"/>
    <cellStyle name="a" xfId="19094" xr:uid="{00000000-0005-0000-0000-0000951B0000}"/>
    <cellStyle name="a_TOM TAT" xfId="21166" xr:uid="{00000000-0005-0000-0000-0000961B0000}"/>
    <cellStyle name="A4 Small 210 x 297 mm" xfId="5113" xr:uid="{00000000-0005-0000-0000-0000971B0000}"/>
    <cellStyle name="A4 Small 210 x 297 mm 2" xfId="8346" xr:uid="{00000000-0005-0000-0000-0000981B0000}"/>
    <cellStyle name="A4 Small 210 x 297 mm_TOM TAT" xfId="21167" xr:uid="{00000000-0005-0000-0000-0000991B0000}"/>
    <cellStyle name="AA FRAME" xfId="1079" xr:uid="{00000000-0005-0000-0000-00009A1B0000}"/>
    <cellStyle name="AA FRAME 2" xfId="5114" xr:uid="{00000000-0005-0000-0000-00009B1B0000}"/>
    <cellStyle name="AA FRAME 2 2" xfId="5115" xr:uid="{00000000-0005-0000-0000-00009C1B0000}"/>
    <cellStyle name="AA FRAME 2 2 2" xfId="8347" xr:uid="{00000000-0005-0000-0000-00009D1B0000}"/>
    <cellStyle name="AA FRAME 2 2 2 2" xfId="29246" xr:uid="{00000000-0005-0000-0000-00009E1B0000}"/>
    <cellStyle name="AA FRAME 2 2 2_TOM TAT" xfId="21170" xr:uid="{00000000-0005-0000-0000-00009F1B0000}"/>
    <cellStyle name="AA FRAME 2 2 3" xfId="18612" xr:uid="{00000000-0005-0000-0000-0000A01B0000}"/>
    <cellStyle name="AA FRAME 2 2 4" xfId="18924" xr:uid="{00000000-0005-0000-0000-0000A11B0000}"/>
    <cellStyle name="AA FRAME 2 2 4 2" xfId="31848" xr:uid="{00000000-0005-0000-0000-0000A21B0000}"/>
    <cellStyle name="AA FRAME 2 2 4_TOM TAT" xfId="21171" xr:uid="{00000000-0005-0000-0000-0000A31B0000}"/>
    <cellStyle name="AA FRAME 2 2 5" xfId="28068" xr:uid="{00000000-0005-0000-0000-0000A41B0000}"/>
    <cellStyle name="AA FRAME 2 2 6" xfId="14657" xr:uid="{00000000-0005-0000-0000-0000A51B0000}"/>
    <cellStyle name="AA FRAME 2 2_TOM TAT" xfId="21169" xr:uid="{00000000-0005-0000-0000-0000A61B0000}"/>
    <cellStyle name="AA FRAME 2 3" xfId="5116" xr:uid="{00000000-0005-0000-0000-0000A71B0000}"/>
    <cellStyle name="AA FRAME 2 3 2" xfId="28069" xr:uid="{00000000-0005-0000-0000-0000A81B0000}"/>
    <cellStyle name="AA FRAME 2 3 3" xfId="14658" xr:uid="{00000000-0005-0000-0000-0000A91B0000}"/>
    <cellStyle name="AA FRAME 2 3_TOM TAT" xfId="21172" xr:uid="{00000000-0005-0000-0000-0000AA1B0000}"/>
    <cellStyle name="AA FRAME 2 4" xfId="8348" xr:uid="{00000000-0005-0000-0000-0000AB1B0000}"/>
    <cellStyle name="AA FRAME 2 4 2" xfId="29247" xr:uid="{00000000-0005-0000-0000-0000AC1B0000}"/>
    <cellStyle name="AA FRAME 2 4_TOM TAT" xfId="21173" xr:uid="{00000000-0005-0000-0000-0000AD1B0000}"/>
    <cellStyle name="AA FRAME 2 5" xfId="18152" xr:uid="{00000000-0005-0000-0000-0000AE1B0000}"/>
    <cellStyle name="AA FRAME 2 6" xfId="28067" xr:uid="{00000000-0005-0000-0000-0000AF1B0000}"/>
    <cellStyle name="AA FRAME 2 7" xfId="14656" xr:uid="{00000000-0005-0000-0000-0000B01B0000}"/>
    <cellStyle name="AA FRAME 2_TOM TAT" xfId="8349" xr:uid="{00000000-0005-0000-0000-0000B11B0000}"/>
    <cellStyle name="AA FRAME 3" xfId="5117" xr:uid="{00000000-0005-0000-0000-0000B21B0000}"/>
    <cellStyle name="AA FRAME 3 2" xfId="28070" xr:uid="{00000000-0005-0000-0000-0000B31B0000}"/>
    <cellStyle name="AA FRAME 3_TOM TAT" xfId="21174" xr:uid="{00000000-0005-0000-0000-0000B41B0000}"/>
    <cellStyle name="AA FRAME 4" xfId="8350" xr:uid="{00000000-0005-0000-0000-0000B51B0000}"/>
    <cellStyle name="AA FRAME 4 2" xfId="29248" xr:uid="{00000000-0005-0000-0000-0000B61B0000}"/>
    <cellStyle name="AA FRAME 4_TOM TAT" xfId="21175" xr:uid="{00000000-0005-0000-0000-0000B71B0000}"/>
    <cellStyle name="AA FRAME 5" xfId="18151" xr:uid="{00000000-0005-0000-0000-0000B81B0000}"/>
    <cellStyle name="AA FRAME 6" xfId="26944" xr:uid="{00000000-0005-0000-0000-0000B91B0000}"/>
    <cellStyle name="AA FRAME_TOM TAT" xfId="21168" xr:uid="{00000000-0005-0000-0000-0000BA1B0000}"/>
    <cellStyle name="AA HEADING" xfId="1080" xr:uid="{00000000-0005-0000-0000-0000BB1B0000}"/>
    <cellStyle name="AA HEADING 2" xfId="5118" xr:uid="{00000000-0005-0000-0000-0000BC1B0000}"/>
    <cellStyle name="AA HEADING 2 2" xfId="5119" xr:uid="{00000000-0005-0000-0000-0000BD1B0000}"/>
    <cellStyle name="AA HEADING 2 2 2" xfId="8351" xr:uid="{00000000-0005-0000-0000-0000BE1B0000}"/>
    <cellStyle name="AA HEADING 2 2_TOM TAT" xfId="21177" xr:uid="{00000000-0005-0000-0000-0000BF1B0000}"/>
    <cellStyle name="AA HEADING 2 3" xfId="8352" xr:uid="{00000000-0005-0000-0000-0000C01B0000}"/>
    <cellStyle name="AA HEADING 2 4" xfId="8353" xr:uid="{00000000-0005-0000-0000-0000C11B0000}"/>
    <cellStyle name="AA HEADING 2_TOM TAT" xfId="8354" xr:uid="{00000000-0005-0000-0000-0000C21B0000}"/>
    <cellStyle name="AA HEADING 3" xfId="8355" xr:uid="{00000000-0005-0000-0000-0000C31B0000}"/>
    <cellStyle name="AA HEADING 4" xfId="8356" xr:uid="{00000000-0005-0000-0000-0000C41B0000}"/>
    <cellStyle name="AA HEADING_TOM TAT" xfId="21176" xr:uid="{00000000-0005-0000-0000-0000C51B0000}"/>
    <cellStyle name="AA INITIALS" xfId="1081" xr:uid="{00000000-0005-0000-0000-0000C61B0000}"/>
    <cellStyle name="AA INITIALS 2" xfId="5120" xr:uid="{00000000-0005-0000-0000-0000C71B0000}"/>
    <cellStyle name="AA INITIALS 2 2" xfId="5121" xr:uid="{00000000-0005-0000-0000-0000C81B0000}"/>
    <cellStyle name="AA INITIALS 2 2 2" xfId="8357" xr:uid="{00000000-0005-0000-0000-0000C91B0000}"/>
    <cellStyle name="AA INITIALS 2 2_TOM TAT" xfId="21178" xr:uid="{00000000-0005-0000-0000-0000CA1B0000}"/>
    <cellStyle name="AA INITIALS 2 3" xfId="8358" xr:uid="{00000000-0005-0000-0000-0000CB1B0000}"/>
    <cellStyle name="AA INITIALS 2 4" xfId="8359" xr:uid="{00000000-0005-0000-0000-0000CC1B0000}"/>
    <cellStyle name="AA INITIALS 2_TOM TAT" xfId="8360" xr:uid="{00000000-0005-0000-0000-0000CD1B0000}"/>
    <cellStyle name="AA INITIALS 3" xfId="8361" xr:uid="{00000000-0005-0000-0000-0000CE1B0000}"/>
    <cellStyle name="AA INITIALS 4" xfId="8362" xr:uid="{00000000-0005-0000-0000-0000CF1B0000}"/>
    <cellStyle name="AA INITIALS_20141211 Tan Mai - Hanh" xfId="8363" xr:uid="{00000000-0005-0000-0000-0000D01B0000}"/>
    <cellStyle name="AA INPUT" xfId="1082" xr:uid="{00000000-0005-0000-0000-0000D11B0000}"/>
    <cellStyle name="AA INPUT 2" xfId="5122" xr:uid="{00000000-0005-0000-0000-0000D21B0000}"/>
    <cellStyle name="AA INPUT 2 2" xfId="5123" xr:uid="{00000000-0005-0000-0000-0000D31B0000}"/>
    <cellStyle name="AA INPUT 2 2 2" xfId="8364" xr:uid="{00000000-0005-0000-0000-0000D41B0000}"/>
    <cellStyle name="AA INPUT 2 2_TOM TAT" xfId="21180" xr:uid="{00000000-0005-0000-0000-0000D51B0000}"/>
    <cellStyle name="AA INPUT 2 3" xfId="8365" xr:uid="{00000000-0005-0000-0000-0000D61B0000}"/>
    <cellStyle name="AA INPUT 2 4" xfId="8366" xr:uid="{00000000-0005-0000-0000-0000D71B0000}"/>
    <cellStyle name="AA INPUT 2_TOM TAT" xfId="8367" xr:uid="{00000000-0005-0000-0000-0000D81B0000}"/>
    <cellStyle name="AA INPUT 3" xfId="8368" xr:uid="{00000000-0005-0000-0000-0000D91B0000}"/>
    <cellStyle name="AA INPUT 4" xfId="8369" xr:uid="{00000000-0005-0000-0000-0000DA1B0000}"/>
    <cellStyle name="AA INPUT_TOM TAT" xfId="21179" xr:uid="{00000000-0005-0000-0000-0000DB1B0000}"/>
    <cellStyle name="AA LOCK" xfId="1083" xr:uid="{00000000-0005-0000-0000-0000DC1B0000}"/>
    <cellStyle name="AA LOCK 2" xfId="5124" xr:uid="{00000000-0005-0000-0000-0000DD1B0000}"/>
    <cellStyle name="AA LOCK 2 2" xfId="5125" xr:uid="{00000000-0005-0000-0000-0000DE1B0000}"/>
    <cellStyle name="AA LOCK 2 2 2" xfId="8370" xr:uid="{00000000-0005-0000-0000-0000DF1B0000}"/>
    <cellStyle name="AA LOCK 2 2_TOM TAT" xfId="21182" xr:uid="{00000000-0005-0000-0000-0000E01B0000}"/>
    <cellStyle name="AA LOCK 2 3" xfId="8371" xr:uid="{00000000-0005-0000-0000-0000E11B0000}"/>
    <cellStyle name="AA LOCK 2 4" xfId="8372" xr:uid="{00000000-0005-0000-0000-0000E21B0000}"/>
    <cellStyle name="AA LOCK 2_TOM TAT" xfId="8373" xr:uid="{00000000-0005-0000-0000-0000E31B0000}"/>
    <cellStyle name="AA LOCK 3" xfId="8374" xr:uid="{00000000-0005-0000-0000-0000E41B0000}"/>
    <cellStyle name="AA LOCK 4" xfId="8375" xr:uid="{00000000-0005-0000-0000-0000E51B0000}"/>
    <cellStyle name="AA LOCK_TOM TAT" xfId="21181" xr:uid="{00000000-0005-0000-0000-0000E61B0000}"/>
    <cellStyle name="AA MGR NAME" xfId="1084" xr:uid="{00000000-0005-0000-0000-0000E71B0000}"/>
    <cellStyle name="AA MGR NAME 2" xfId="5126" xr:uid="{00000000-0005-0000-0000-0000E81B0000}"/>
    <cellStyle name="AA MGR NAME 2 2" xfId="5127" xr:uid="{00000000-0005-0000-0000-0000E91B0000}"/>
    <cellStyle name="AA MGR NAME 2 2 2" xfId="8376" xr:uid="{00000000-0005-0000-0000-0000EA1B0000}"/>
    <cellStyle name="AA MGR NAME 2 2_TOM TAT" xfId="21184" xr:uid="{00000000-0005-0000-0000-0000EB1B0000}"/>
    <cellStyle name="AA MGR NAME 2 3" xfId="8377" xr:uid="{00000000-0005-0000-0000-0000EC1B0000}"/>
    <cellStyle name="AA MGR NAME 2 4" xfId="8378" xr:uid="{00000000-0005-0000-0000-0000ED1B0000}"/>
    <cellStyle name="AA MGR NAME 2_TOM TAT" xfId="8379" xr:uid="{00000000-0005-0000-0000-0000EE1B0000}"/>
    <cellStyle name="AA MGR NAME 3" xfId="8380" xr:uid="{00000000-0005-0000-0000-0000EF1B0000}"/>
    <cellStyle name="AA MGR NAME 4" xfId="8381" xr:uid="{00000000-0005-0000-0000-0000F01B0000}"/>
    <cellStyle name="AA MGR NAME_TOM TAT" xfId="21183" xr:uid="{00000000-0005-0000-0000-0000F11B0000}"/>
    <cellStyle name="AA NORMAL" xfId="1085" xr:uid="{00000000-0005-0000-0000-0000F21B0000}"/>
    <cellStyle name="AA NORMAL 2" xfId="5128" xr:uid="{00000000-0005-0000-0000-0000F31B0000}"/>
    <cellStyle name="AA NORMAL 2 2" xfId="5129" xr:uid="{00000000-0005-0000-0000-0000F41B0000}"/>
    <cellStyle name="AA NORMAL 2 2 2" xfId="8382" xr:uid="{00000000-0005-0000-0000-0000F51B0000}"/>
    <cellStyle name="AA NORMAL 2 2_TOM TAT" xfId="21186" xr:uid="{00000000-0005-0000-0000-0000F61B0000}"/>
    <cellStyle name="AA NORMAL 2 3" xfId="8383" xr:uid="{00000000-0005-0000-0000-0000F71B0000}"/>
    <cellStyle name="AA NORMAL 2 4" xfId="8384" xr:uid="{00000000-0005-0000-0000-0000F81B0000}"/>
    <cellStyle name="AA NORMAL 2_TOM TAT" xfId="8385" xr:uid="{00000000-0005-0000-0000-0000F91B0000}"/>
    <cellStyle name="AA NORMAL 3" xfId="8386" xr:uid="{00000000-0005-0000-0000-0000FA1B0000}"/>
    <cellStyle name="AA NORMAL 4" xfId="8387" xr:uid="{00000000-0005-0000-0000-0000FB1B0000}"/>
    <cellStyle name="AA NORMAL_TOM TAT" xfId="21185" xr:uid="{00000000-0005-0000-0000-0000FC1B0000}"/>
    <cellStyle name="AA NUMBER" xfId="1086" xr:uid="{00000000-0005-0000-0000-0000FD1B0000}"/>
    <cellStyle name="AA NUMBER 2" xfId="4326" xr:uid="{00000000-0005-0000-0000-0000FE1B0000}"/>
    <cellStyle name="AA NUMBER 2 2" xfId="5130" xr:uid="{00000000-0005-0000-0000-0000FF1B0000}"/>
    <cellStyle name="AA NUMBER 2_TOM TAT" xfId="8388" xr:uid="{00000000-0005-0000-0000-0000001C0000}"/>
    <cellStyle name="AA NUMBER 3" xfId="5131" xr:uid="{00000000-0005-0000-0000-0000011C0000}"/>
    <cellStyle name="AA NUMBER_20141211 Tan Mai - Hanh" xfId="8389" xr:uid="{00000000-0005-0000-0000-0000021C0000}"/>
    <cellStyle name="AA NUMBER2" xfId="1087" xr:uid="{00000000-0005-0000-0000-0000031C0000}"/>
    <cellStyle name="AA NUMBER2 2" xfId="4327" xr:uid="{00000000-0005-0000-0000-0000041C0000}"/>
    <cellStyle name="AA NUMBER2 2 2" xfId="5132" xr:uid="{00000000-0005-0000-0000-0000051C0000}"/>
    <cellStyle name="AA NUMBER2 2_TOM TAT" xfId="8390" xr:uid="{00000000-0005-0000-0000-0000061C0000}"/>
    <cellStyle name="AA NUMBER2 3" xfId="5133" xr:uid="{00000000-0005-0000-0000-0000071C0000}"/>
    <cellStyle name="AA NUMBER2_20141211 Tan Mai - Hanh" xfId="8391" xr:uid="{00000000-0005-0000-0000-0000081C0000}"/>
    <cellStyle name="AA QUESTION" xfId="1088" xr:uid="{00000000-0005-0000-0000-0000091C0000}"/>
    <cellStyle name="AA QUESTION 2" xfId="5134" xr:uid="{00000000-0005-0000-0000-00000A1C0000}"/>
    <cellStyle name="AA QUESTION 2 2" xfId="5135" xr:uid="{00000000-0005-0000-0000-00000B1C0000}"/>
    <cellStyle name="AA QUESTION 2 2 2" xfId="8392" xr:uid="{00000000-0005-0000-0000-00000C1C0000}"/>
    <cellStyle name="AA QUESTION 2 2_TOM TAT" xfId="21188" xr:uid="{00000000-0005-0000-0000-00000D1C0000}"/>
    <cellStyle name="AA QUESTION 2 3" xfId="8393" xr:uid="{00000000-0005-0000-0000-00000E1C0000}"/>
    <cellStyle name="AA QUESTION 2 4" xfId="8394" xr:uid="{00000000-0005-0000-0000-00000F1C0000}"/>
    <cellStyle name="AA QUESTION 2_TOM TAT" xfId="8395" xr:uid="{00000000-0005-0000-0000-0000101C0000}"/>
    <cellStyle name="AA QUESTION 3" xfId="8396" xr:uid="{00000000-0005-0000-0000-0000111C0000}"/>
    <cellStyle name="AA QUESTION 4" xfId="8397" xr:uid="{00000000-0005-0000-0000-0000121C0000}"/>
    <cellStyle name="AA QUESTION_TOM TAT" xfId="21187" xr:uid="{00000000-0005-0000-0000-0000131C0000}"/>
    <cellStyle name="AA SHADE" xfId="1089" xr:uid="{00000000-0005-0000-0000-0000141C0000}"/>
    <cellStyle name="AA SHADE 2" xfId="5136" xr:uid="{00000000-0005-0000-0000-0000151C0000}"/>
    <cellStyle name="AA SHADE 2 2" xfId="5137" xr:uid="{00000000-0005-0000-0000-0000161C0000}"/>
    <cellStyle name="AA SHADE 2 2 2" xfId="8398" xr:uid="{00000000-0005-0000-0000-0000171C0000}"/>
    <cellStyle name="AA SHADE 2 2_TOM TAT" xfId="21190" xr:uid="{00000000-0005-0000-0000-0000181C0000}"/>
    <cellStyle name="AA SHADE 2 3" xfId="8399" xr:uid="{00000000-0005-0000-0000-0000191C0000}"/>
    <cellStyle name="AA SHADE 2 4" xfId="8400" xr:uid="{00000000-0005-0000-0000-00001A1C0000}"/>
    <cellStyle name="AA SHADE 2_TOM TAT" xfId="8401" xr:uid="{00000000-0005-0000-0000-00001B1C0000}"/>
    <cellStyle name="AA SHADE 3" xfId="8402" xr:uid="{00000000-0005-0000-0000-00001C1C0000}"/>
    <cellStyle name="AA SHADE 4" xfId="8403" xr:uid="{00000000-0005-0000-0000-00001D1C0000}"/>
    <cellStyle name="AA SHADE_TOM TAT" xfId="21189" xr:uid="{00000000-0005-0000-0000-00001E1C0000}"/>
    <cellStyle name="Accent1" xfId="1090" builtinId="29" customBuiltin="1"/>
    <cellStyle name="Accent1 - 20%" xfId="1091" xr:uid="{00000000-0005-0000-0000-0000201C0000}"/>
    <cellStyle name="Accent1 - 20% 2" xfId="5138" xr:uid="{00000000-0005-0000-0000-0000211C0000}"/>
    <cellStyle name="Accent1 - 20% 2 2" xfId="8404" xr:uid="{00000000-0005-0000-0000-0000221C0000}"/>
    <cellStyle name="Accent1 - 20% 2 3" xfId="8405" xr:uid="{00000000-0005-0000-0000-0000231C0000}"/>
    <cellStyle name="Accent1 - 20% 2_TOM TAT" xfId="21192" xr:uid="{00000000-0005-0000-0000-0000241C0000}"/>
    <cellStyle name="Accent1 - 20% 3" xfId="8406" xr:uid="{00000000-0005-0000-0000-0000251C0000}"/>
    <cellStyle name="Accent1 - 20% 4" xfId="8407" xr:uid="{00000000-0005-0000-0000-0000261C0000}"/>
    <cellStyle name="Accent1 - 20%_TOM TAT" xfId="21191" xr:uid="{00000000-0005-0000-0000-0000271C0000}"/>
    <cellStyle name="Accent1 - 40%" xfId="1092" xr:uid="{00000000-0005-0000-0000-0000281C0000}"/>
    <cellStyle name="Accent1 - 40% 2" xfId="5139" xr:uid="{00000000-0005-0000-0000-0000291C0000}"/>
    <cellStyle name="Accent1 - 40% 2 2" xfId="8408" xr:uid="{00000000-0005-0000-0000-00002A1C0000}"/>
    <cellStyle name="Accent1 - 40% 2 3" xfId="8409" xr:uid="{00000000-0005-0000-0000-00002B1C0000}"/>
    <cellStyle name="Accent1 - 40% 2_TOM TAT" xfId="21194" xr:uid="{00000000-0005-0000-0000-00002C1C0000}"/>
    <cellStyle name="Accent1 - 40% 3" xfId="8410" xr:uid="{00000000-0005-0000-0000-00002D1C0000}"/>
    <cellStyle name="Accent1 - 40% 4" xfId="8411" xr:uid="{00000000-0005-0000-0000-00002E1C0000}"/>
    <cellStyle name="Accent1 - 40%_TOM TAT" xfId="21193" xr:uid="{00000000-0005-0000-0000-00002F1C0000}"/>
    <cellStyle name="Accent1 - 60%" xfId="1093" xr:uid="{00000000-0005-0000-0000-0000301C0000}"/>
    <cellStyle name="Accent1 - 60% 2" xfId="8412" xr:uid="{00000000-0005-0000-0000-0000311C0000}"/>
    <cellStyle name="Accent1 - 60% 3" xfId="8413" xr:uid="{00000000-0005-0000-0000-0000321C0000}"/>
    <cellStyle name="Accent1 - 60%_TOM TAT" xfId="21195" xr:uid="{00000000-0005-0000-0000-0000331C0000}"/>
    <cellStyle name="Accent1 2" xfId="1952" xr:uid="{00000000-0005-0000-0000-0000341C0000}"/>
    <cellStyle name="Accent1 2 2" xfId="8414" xr:uid="{00000000-0005-0000-0000-0000351C0000}"/>
    <cellStyle name="Accent1 2_TOM TAT" xfId="21196" xr:uid="{00000000-0005-0000-0000-0000361C0000}"/>
    <cellStyle name="Accent1 3" xfId="1953" xr:uid="{00000000-0005-0000-0000-0000371C0000}"/>
    <cellStyle name="Accent1 3 2" xfId="8415" xr:uid="{00000000-0005-0000-0000-0000381C0000}"/>
    <cellStyle name="Accent1 3_TOM TAT" xfId="21197" xr:uid="{00000000-0005-0000-0000-0000391C0000}"/>
    <cellStyle name="Accent1 4" xfId="1954" xr:uid="{00000000-0005-0000-0000-00003A1C0000}"/>
    <cellStyle name="Accent1 4 2" xfId="8416" xr:uid="{00000000-0005-0000-0000-00003B1C0000}"/>
    <cellStyle name="Accent1 4_TOM TAT" xfId="21198" xr:uid="{00000000-0005-0000-0000-00003C1C0000}"/>
    <cellStyle name="Accent1 5" xfId="32181" xr:uid="{00000000-0005-0000-0000-00003D1C0000}"/>
    <cellStyle name="Accent2" xfId="1094" builtinId="33" customBuiltin="1"/>
    <cellStyle name="Accent2 - 20%" xfId="1095" xr:uid="{00000000-0005-0000-0000-00003F1C0000}"/>
    <cellStyle name="Accent2 - 20% 2" xfId="5140" xr:uid="{00000000-0005-0000-0000-0000401C0000}"/>
    <cellStyle name="Accent2 - 20% 2 2" xfId="8417" xr:uid="{00000000-0005-0000-0000-0000411C0000}"/>
    <cellStyle name="Accent2 - 20% 2 3" xfId="8418" xr:uid="{00000000-0005-0000-0000-0000421C0000}"/>
    <cellStyle name="Accent2 - 20% 2_TOM TAT" xfId="21200" xr:uid="{00000000-0005-0000-0000-0000431C0000}"/>
    <cellStyle name="Accent2 - 20% 3" xfId="8419" xr:uid="{00000000-0005-0000-0000-0000441C0000}"/>
    <cellStyle name="Accent2 - 20% 4" xfId="8420" xr:uid="{00000000-0005-0000-0000-0000451C0000}"/>
    <cellStyle name="Accent2 - 20%_TOM TAT" xfId="21199" xr:uid="{00000000-0005-0000-0000-0000461C0000}"/>
    <cellStyle name="Accent2 - 40%" xfId="1096" xr:uid="{00000000-0005-0000-0000-0000471C0000}"/>
    <cellStyle name="Accent2 - 40% 2" xfId="5141" xr:uid="{00000000-0005-0000-0000-0000481C0000}"/>
    <cellStyle name="Accent2 - 40% 2 2" xfId="8421" xr:uid="{00000000-0005-0000-0000-0000491C0000}"/>
    <cellStyle name="Accent2 - 40% 2 3" xfId="8422" xr:uid="{00000000-0005-0000-0000-00004A1C0000}"/>
    <cellStyle name="Accent2 - 40% 2_TOM TAT" xfId="21202" xr:uid="{00000000-0005-0000-0000-00004B1C0000}"/>
    <cellStyle name="Accent2 - 40% 3" xfId="8423" xr:uid="{00000000-0005-0000-0000-00004C1C0000}"/>
    <cellStyle name="Accent2 - 40% 4" xfId="8424" xr:uid="{00000000-0005-0000-0000-00004D1C0000}"/>
    <cellStyle name="Accent2 - 40%_TOM TAT" xfId="21201" xr:uid="{00000000-0005-0000-0000-00004E1C0000}"/>
    <cellStyle name="Accent2 - 60%" xfId="1097" xr:uid="{00000000-0005-0000-0000-00004F1C0000}"/>
    <cellStyle name="Accent2 - 60% 2" xfId="8425" xr:uid="{00000000-0005-0000-0000-0000501C0000}"/>
    <cellStyle name="Accent2 - 60% 3" xfId="8426" xr:uid="{00000000-0005-0000-0000-0000511C0000}"/>
    <cellStyle name="Accent2 - 60%_TOM TAT" xfId="21203" xr:uid="{00000000-0005-0000-0000-0000521C0000}"/>
    <cellStyle name="Accent2 2" xfId="1955" xr:uid="{00000000-0005-0000-0000-0000531C0000}"/>
    <cellStyle name="Accent2 2 2" xfId="8427" xr:uid="{00000000-0005-0000-0000-0000541C0000}"/>
    <cellStyle name="Accent2 2_TOM TAT" xfId="21204" xr:uid="{00000000-0005-0000-0000-0000551C0000}"/>
    <cellStyle name="Accent2 3" xfId="1956" xr:uid="{00000000-0005-0000-0000-0000561C0000}"/>
    <cellStyle name="Accent2 3 2" xfId="8428" xr:uid="{00000000-0005-0000-0000-0000571C0000}"/>
    <cellStyle name="Accent2 3_TOM TAT" xfId="21205" xr:uid="{00000000-0005-0000-0000-0000581C0000}"/>
    <cellStyle name="Accent2 4" xfId="1957" xr:uid="{00000000-0005-0000-0000-0000591C0000}"/>
    <cellStyle name="Accent2 4 2" xfId="8429" xr:uid="{00000000-0005-0000-0000-00005A1C0000}"/>
    <cellStyle name="Accent2 4_TOM TAT" xfId="21206" xr:uid="{00000000-0005-0000-0000-00005B1C0000}"/>
    <cellStyle name="Accent2 5" xfId="32182" xr:uid="{00000000-0005-0000-0000-00005C1C0000}"/>
    <cellStyle name="Accent3" xfId="1098" builtinId="37" customBuiltin="1"/>
    <cellStyle name="Accent3 - 20%" xfId="1099" xr:uid="{00000000-0005-0000-0000-00005E1C0000}"/>
    <cellStyle name="Accent3 - 20% 2" xfId="5142" xr:uid="{00000000-0005-0000-0000-00005F1C0000}"/>
    <cellStyle name="Accent3 - 20% 2 2" xfId="8430" xr:uid="{00000000-0005-0000-0000-0000601C0000}"/>
    <cellStyle name="Accent3 - 20% 2 3" xfId="8431" xr:uid="{00000000-0005-0000-0000-0000611C0000}"/>
    <cellStyle name="Accent3 - 20% 2_TOM TAT" xfId="21208" xr:uid="{00000000-0005-0000-0000-0000621C0000}"/>
    <cellStyle name="Accent3 - 20% 3" xfId="8432" xr:uid="{00000000-0005-0000-0000-0000631C0000}"/>
    <cellStyle name="Accent3 - 20% 4" xfId="8433" xr:uid="{00000000-0005-0000-0000-0000641C0000}"/>
    <cellStyle name="Accent3 - 20%_TOM TAT" xfId="21207" xr:uid="{00000000-0005-0000-0000-0000651C0000}"/>
    <cellStyle name="Accent3 - 40%" xfId="1100" xr:uid="{00000000-0005-0000-0000-0000661C0000}"/>
    <cellStyle name="Accent3 - 40% 2" xfId="5143" xr:uid="{00000000-0005-0000-0000-0000671C0000}"/>
    <cellStyle name="Accent3 - 40% 2 2" xfId="8434" xr:uid="{00000000-0005-0000-0000-0000681C0000}"/>
    <cellStyle name="Accent3 - 40% 2 3" xfId="8435" xr:uid="{00000000-0005-0000-0000-0000691C0000}"/>
    <cellStyle name="Accent3 - 40% 2_TOM TAT" xfId="21210" xr:uid="{00000000-0005-0000-0000-00006A1C0000}"/>
    <cellStyle name="Accent3 - 40% 3" xfId="8436" xr:uid="{00000000-0005-0000-0000-00006B1C0000}"/>
    <cellStyle name="Accent3 - 40% 4" xfId="8437" xr:uid="{00000000-0005-0000-0000-00006C1C0000}"/>
    <cellStyle name="Accent3 - 40%_TOM TAT" xfId="21209" xr:uid="{00000000-0005-0000-0000-00006D1C0000}"/>
    <cellStyle name="Accent3 - 60%" xfId="1101" xr:uid="{00000000-0005-0000-0000-00006E1C0000}"/>
    <cellStyle name="Accent3 - 60% 2" xfId="8438" xr:uid="{00000000-0005-0000-0000-00006F1C0000}"/>
    <cellStyle name="Accent3 - 60% 3" xfId="8439" xr:uid="{00000000-0005-0000-0000-0000701C0000}"/>
    <cellStyle name="Accent3 - 60%_TOM TAT" xfId="21211" xr:uid="{00000000-0005-0000-0000-0000711C0000}"/>
    <cellStyle name="Accent3 2" xfId="1958" xr:uid="{00000000-0005-0000-0000-0000721C0000}"/>
    <cellStyle name="Accent3 2 2" xfId="8440" xr:uid="{00000000-0005-0000-0000-0000731C0000}"/>
    <cellStyle name="Accent3 2_TOM TAT" xfId="21212" xr:uid="{00000000-0005-0000-0000-0000741C0000}"/>
    <cellStyle name="Accent3 3" xfId="1959" xr:uid="{00000000-0005-0000-0000-0000751C0000}"/>
    <cellStyle name="Accent3 3 2" xfId="8441" xr:uid="{00000000-0005-0000-0000-0000761C0000}"/>
    <cellStyle name="Accent3 3_TOM TAT" xfId="21213" xr:uid="{00000000-0005-0000-0000-0000771C0000}"/>
    <cellStyle name="Accent3 4" xfId="1960" xr:uid="{00000000-0005-0000-0000-0000781C0000}"/>
    <cellStyle name="Accent3 4 2" xfId="8442" xr:uid="{00000000-0005-0000-0000-0000791C0000}"/>
    <cellStyle name="Accent3 4_TOM TAT" xfId="21214" xr:uid="{00000000-0005-0000-0000-00007A1C0000}"/>
    <cellStyle name="Accent3 5" xfId="32183" xr:uid="{00000000-0005-0000-0000-00007B1C0000}"/>
    <cellStyle name="Accent4" xfId="1102" builtinId="41" customBuiltin="1"/>
    <cellStyle name="Accent4 - 20%" xfId="1103" xr:uid="{00000000-0005-0000-0000-00007D1C0000}"/>
    <cellStyle name="Accent4 - 20% 2" xfId="5144" xr:uid="{00000000-0005-0000-0000-00007E1C0000}"/>
    <cellStyle name="Accent4 - 20% 2 2" xfId="8443" xr:uid="{00000000-0005-0000-0000-00007F1C0000}"/>
    <cellStyle name="Accent4 - 20% 2 3" xfId="8444" xr:uid="{00000000-0005-0000-0000-0000801C0000}"/>
    <cellStyle name="Accent4 - 20% 2_TOM TAT" xfId="21216" xr:uid="{00000000-0005-0000-0000-0000811C0000}"/>
    <cellStyle name="Accent4 - 20% 3" xfId="8445" xr:uid="{00000000-0005-0000-0000-0000821C0000}"/>
    <cellStyle name="Accent4 - 20% 4" xfId="8446" xr:uid="{00000000-0005-0000-0000-0000831C0000}"/>
    <cellStyle name="Accent4 - 20%_TOM TAT" xfId="21215" xr:uid="{00000000-0005-0000-0000-0000841C0000}"/>
    <cellStyle name="Accent4 - 40%" xfId="1104" xr:uid="{00000000-0005-0000-0000-0000851C0000}"/>
    <cellStyle name="Accent4 - 40% 2" xfId="5145" xr:uid="{00000000-0005-0000-0000-0000861C0000}"/>
    <cellStyle name="Accent4 - 40% 2 2" xfId="8447" xr:uid="{00000000-0005-0000-0000-0000871C0000}"/>
    <cellStyle name="Accent4 - 40% 2 3" xfId="8448" xr:uid="{00000000-0005-0000-0000-0000881C0000}"/>
    <cellStyle name="Accent4 - 40% 2_TOM TAT" xfId="21218" xr:uid="{00000000-0005-0000-0000-0000891C0000}"/>
    <cellStyle name="Accent4 - 40% 3" xfId="8449" xr:uid="{00000000-0005-0000-0000-00008A1C0000}"/>
    <cellStyle name="Accent4 - 40% 4" xfId="8450" xr:uid="{00000000-0005-0000-0000-00008B1C0000}"/>
    <cellStyle name="Accent4 - 40%_TOM TAT" xfId="21217" xr:uid="{00000000-0005-0000-0000-00008C1C0000}"/>
    <cellStyle name="Accent4 - 60%" xfId="1105" xr:uid="{00000000-0005-0000-0000-00008D1C0000}"/>
    <cellStyle name="Accent4 - 60% 2" xfId="8451" xr:uid="{00000000-0005-0000-0000-00008E1C0000}"/>
    <cellStyle name="Accent4 - 60% 3" xfId="8452" xr:uid="{00000000-0005-0000-0000-00008F1C0000}"/>
    <cellStyle name="Accent4 - 60%_TOM TAT" xfId="21219" xr:uid="{00000000-0005-0000-0000-0000901C0000}"/>
    <cellStyle name="Accent4 2" xfId="1961" xr:uid="{00000000-0005-0000-0000-0000911C0000}"/>
    <cellStyle name="Accent4 2 2" xfId="8453" xr:uid="{00000000-0005-0000-0000-0000921C0000}"/>
    <cellStyle name="Accent4 2_TOM TAT" xfId="21220" xr:uid="{00000000-0005-0000-0000-0000931C0000}"/>
    <cellStyle name="Accent4 3" xfId="1962" xr:uid="{00000000-0005-0000-0000-0000941C0000}"/>
    <cellStyle name="Accent4 3 2" xfId="8454" xr:uid="{00000000-0005-0000-0000-0000951C0000}"/>
    <cellStyle name="Accent4 3_TOM TAT" xfId="21221" xr:uid="{00000000-0005-0000-0000-0000961C0000}"/>
    <cellStyle name="Accent4 4" xfId="1963" xr:uid="{00000000-0005-0000-0000-0000971C0000}"/>
    <cellStyle name="Accent4 4 2" xfId="8455" xr:uid="{00000000-0005-0000-0000-0000981C0000}"/>
    <cellStyle name="Accent4 4_TOM TAT" xfId="21222" xr:uid="{00000000-0005-0000-0000-0000991C0000}"/>
    <cellStyle name="Accent4 5" xfId="32184" xr:uid="{00000000-0005-0000-0000-00009A1C0000}"/>
    <cellStyle name="Accent5" xfId="1106" builtinId="45" customBuiltin="1"/>
    <cellStyle name="Accent5 - 20%" xfId="1107" xr:uid="{00000000-0005-0000-0000-00009C1C0000}"/>
    <cellStyle name="Accent5 - 20% 2" xfId="5146" xr:uid="{00000000-0005-0000-0000-00009D1C0000}"/>
    <cellStyle name="Accent5 - 20% 2 2" xfId="8456" xr:uid="{00000000-0005-0000-0000-00009E1C0000}"/>
    <cellStyle name="Accent5 - 20% 2 3" xfId="8457" xr:uid="{00000000-0005-0000-0000-00009F1C0000}"/>
    <cellStyle name="Accent5 - 20% 2_TOM TAT" xfId="21224" xr:uid="{00000000-0005-0000-0000-0000A01C0000}"/>
    <cellStyle name="Accent5 - 20% 3" xfId="8458" xr:uid="{00000000-0005-0000-0000-0000A11C0000}"/>
    <cellStyle name="Accent5 - 20% 4" xfId="8459" xr:uid="{00000000-0005-0000-0000-0000A21C0000}"/>
    <cellStyle name="Accent5 - 20%_TOM TAT" xfId="21223" xr:uid="{00000000-0005-0000-0000-0000A31C0000}"/>
    <cellStyle name="Accent5 - 40%" xfId="1108" xr:uid="{00000000-0005-0000-0000-0000A41C0000}"/>
    <cellStyle name="Accent5 - 40% 2" xfId="5147" xr:uid="{00000000-0005-0000-0000-0000A51C0000}"/>
    <cellStyle name="Accent5 - 40% 2 2" xfId="8460" xr:uid="{00000000-0005-0000-0000-0000A61C0000}"/>
    <cellStyle name="Accent5 - 40% 2 3" xfId="8461" xr:uid="{00000000-0005-0000-0000-0000A71C0000}"/>
    <cellStyle name="Accent5 - 40% 2_TOM TAT" xfId="21226" xr:uid="{00000000-0005-0000-0000-0000A81C0000}"/>
    <cellStyle name="Accent5 - 40% 3" xfId="8462" xr:uid="{00000000-0005-0000-0000-0000A91C0000}"/>
    <cellStyle name="Accent5 - 40% 4" xfId="8463" xr:uid="{00000000-0005-0000-0000-0000AA1C0000}"/>
    <cellStyle name="Accent5 - 40%_TOM TAT" xfId="21225" xr:uid="{00000000-0005-0000-0000-0000AB1C0000}"/>
    <cellStyle name="Accent5 - 60%" xfId="1109" xr:uid="{00000000-0005-0000-0000-0000AC1C0000}"/>
    <cellStyle name="Accent5 - 60% 2" xfId="8464" xr:uid="{00000000-0005-0000-0000-0000AD1C0000}"/>
    <cellStyle name="Accent5 - 60% 3" xfId="8465" xr:uid="{00000000-0005-0000-0000-0000AE1C0000}"/>
    <cellStyle name="Accent5 - 60%_TOM TAT" xfId="21227" xr:uid="{00000000-0005-0000-0000-0000AF1C0000}"/>
    <cellStyle name="Accent5 2" xfId="1964" xr:uid="{00000000-0005-0000-0000-0000B01C0000}"/>
    <cellStyle name="Accent5 2 2" xfId="8466" xr:uid="{00000000-0005-0000-0000-0000B11C0000}"/>
    <cellStyle name="Accent5 2_TOM TAT" xfId="21228" xr:uid="{00000000-0005-0000-0000-0000B21C0000}"/>
    <cellStyle name="Accent5 3" xfId="1965" xr:uid="{00000000-0005-0000-0000-0000B31C0000}"/>
    <cellStyle name="Accent5 3 2" xfId="8467" xr:uid="{00000000-0005-0000-0000-0000B41C0000}"/>
    <cellStyle name="Accent5 3_TOM TAT" xfId="21229" xr:uid="{00000000-0005-0000-0000-0000B51C0000}"/>
    <cellStyle name="Accent5 4" xfId="1966" xr:uid="{00000000-0005-0000-0000-0000B61C0000}"/>
    <cellStyle name="Accent5 4 2" xfId="8468" xr:uid="{00000000-0005-0000-0000-0000B71C0000}"/>
    <cellStyle name="Accent5 4_TOM TAT" xfId="21230" xr:uid="{00000000-0005-0000-0000-0000B81C0000}"/>
    <cellStyle name="Accent5 5" xfId="32185" xr:uid="{00000000-0005-0000-0000-0000B91C0000}"/>
    <cellStyle name="Accent6" xfId="1110" builtinId="49" customBuiltin="1"/>
    <cellStyle name="Accent6 - 20%" xfId="1111" xr:uid="{00000000-0005-0000-0000-0000BB1C0000}"/>
    <cellStyle name="Accent6 - 20% 2" xfId="5148" xr:uid="{00000000-0005-0000-0000-0000BC1C0000}"/>
    <cellStyle name="Accent6 - 20% 2 2" xfId="8469" xr:uid="{00000000-0005-0000-0000-0000BD1C0000}"/>
    <cellStyle name="Accent6 - 20% 2 3" xfId="8470" xr:uid="{00000000-0005-0000-0000-0000BE1C0000}"/>
    <cellStyle name="Accent6 - 20% 2_TOM TAT" xfId="21232" xr:uid="{00000000-0005-0000-0000-0000BF1C0000}"/>
    <cellStyle name="Accent6 - 20% 3" xfId="8471" xr:uid="{00000000-0005-0000-0000-0000C01C0000}"/>
    <cellStyle name="Accent6 - 20% 4" xfId="8472" xr:uid="{00000000-0005-0000-0000-0000C11C0000}"/>
    <cellStyle name="Accent6 - 20%_TOM TAT" xfId="21231" xr:uid="{00000000-0005-0000-0000-0000C21C0000}"/>
    <cellStyle name="Accent6 - 40%" xfId="1112" xr:uid="{00000000-0005-0000-0000-0000C31C0000}"/>
    <cellStyle name="Accent6 - 40% 2" xfId="5149" xr:uid="{00000000-0005-0000-0000-0000C41C0000}"/>
    <cellStyle name="Accent6 - 40% 2 2" xfId="8473" xr:uid="{00000000-0005-0000-0000-0000C51C0000}"/>
    <cellStyle name="Accent6 - 40% 2 3" xfId="8474" xr:uid="{00000000-0005-0000-0000-0000C61C0000}"/>
    <cellStyle name="Accent6 - 40% 2_TOM TAT" xfId="21234" xr:uid="{00000000-0005-0000-0000-0000C71C0000}"/>
    <cellStyle name="Accent6 - 40% 3" xfId="8475" xr:uid="{00000000-0005-0000-0000-0000C81C0000}"/>
    <cellStyle name="Accent6 - 40% 4" xfId="8476" xr:uid="{00000000-0005-0000-0000-0000C91C0000}"/>
    <cellStyle name="Accent6 - 40%_TOM TAT" xfId="21233" xr:uid="{00000000-0005-0000-0000-0000CA1C0000}"/>
    <cellStyle name="Accent6 - 60%" xfId="1113" xr:uid="{00000000-0005-0000-0000-0000CB1C0000}"/>
    <cellStyle name="Accent6 - 60% 2" xfId="8477" xr:uid="{00000000-0005-0000-0000-0000CC1C0000}"/>
    <cellStyle name="Accent6 - 60% 3" xfId="8478" xr:uid="{00000000-0005-0000-0000-0000CD1C0000}"/>
    <cellStyle name="Accent6 - 60%_TOM TAT" xfId="21235" xr:uid="{00000000-0005-0000-0000-0000CE1C0000}"/>
    <cellStyle name="Accent6 2" xfId="1967" xr:uid="{00000000-0005-0000-0000-0000CF1C0000}"/>
    <cellStyle name="Accent6 2 2" xfId="8479" xr:uid="{00000000-0005-0000-0000-0000D01C0000}"/>
    <cellStyle name="Accent6 2_TOM TAT" xfId="21236" xr:uid="{00000000-0005-0000-0000-0000D11C0000}"/>
    <cellStyle name="Accent6 3" xfId="1968" xr:uid="{00000000-0005-0000-0000-0000D21C0000}"/>
    <cellStyle name="Accent6 3 2" xfId="8480" xr:uid="{00000000-0005-0000-0000-0000D31C0000}"/>
    <cellStyle name="Accent6 3_TOM TAT" xfId="21237" xr:uid="{00000000-0005-0000-0000-0000D41C0000}"/>
    <cellStyle name="Accent6 4" xfId="1969" xr:uid="{00000000-0005-0000-0000-0000D51C0000}"/>
    <cellStyle name="Accent6 4 2" xfId="8481" xr:uid="{00000000-0005-0000-0000-0000D61C0000}"/>
    <cellStyle name="Accent6 4_TOM TAT" xfId="21238" xr:uid="{00000000-0005-0000-0000-0000D71C0000}"/>
    <cellStyle name="Accent6 5" xfId="32186" xr:uid="{00000000-0005-0000-0000-0000D81C0000}"/>
    <cellStyle name="ÅëÈ­ [0]_      " xfId="5150" xr:uid="{00000000-0005-0000-0000-0000D91C0000}"/>
    <cellStyle name="AeE­ [0]_INQUIRY ¿?¾÷AßAø " xfId="5151" xr:uid="{00000000-0005-0000-0000-0000DA1C0000}"/>
    <cellStyle name="ÅëÈ­ [0]_L601CPT" xfId="1114" xr:uid="{00000000-0005-0000-0000-0000DB1C0000}"/>
    <cellStyle name="ÅëÈ­_      " xfId="5152" xr:uid="{00000000-0005-0000-0000-0000DC1C0000}"/>
    <cellStyle name="AeE­_INQUIRY ¿?¾÷AßAø " xfId="5153" xr:uid="{00000000-0005-0000-0000-0000DD1C0000}"/>
    <cellStyle name="ÅëÈ­_L601CPT" xfId="1115" xr:uid="{00000000-0005-0000-0000-0000DE1C0000}"/>
    <cellStyle name="Amount Column" xfId="19095" xr:uid="{00000000-0005-0000-0000-0000DF1C0000}"/>
    <cellStyle name="args.style" xfId="1118" xr:uid="{00000000-0005-0000-0000-0000E01C0000}"/>
    <cellStyle name="args.style 2" xfId="8482" xr:uid="{00000000-0005-0000-0000-0000E11C0000}"/>
    <cellStyle name="args.style 3" xfId="8483" xr:uid="{00000000-0005-0000-0000-0000E21C0000}"/>
    <cellStyle name="args.style_TOM TAT" xfId="21239" xr:uid="{00000000-0005-0000-0000-0000E31C0000}"/>
    <cellStyle name="ÄÞ¸¶ [0]_      " xfId="5154" xr:uid="{00000000-0005-0000-0000-0000E41C0000}"/>
    <cellStyle name="AÞ¸¶ [0]_INQUIRY ¿?¾÷AßAø " xfId="1119" xr:uid="{00000000-0005-0000-0000-0000E51C0000}"/>
    <cellStyle name="ÄÞ¸¶ [0]_L601CPT" xfId="1120" xr:uid="{00000000-0005-0000-0000-0000E61C0000}"/>
    <cellStyle name="ÄÞ¸¶_      " xfId="5155" xr:uid="{00000000-0005-0000-0000-0000E71C0000}"/>
    <cellStyle name="AÞ¸¶_INQUIRY ¿?¾÷AßAø " xfId="1121" xr:uid="{00000000-0005-0000-0000-0000E81C0000}"/>
    <cellStyle name="ÄÞ¸¶_L601CPT" xfId="1122" xr:uid="{00000000-0005-0000-0000-0000E91C0000}"/>
    <cellStyle name="Authorized" xfId="19096" xr:uid="{00000000-0005-0000-0000-0000EA1C0000}"/>
    <cellStyle name="AutoFormat Options" xfId="1123" xr:uid="{00000000-0005-0000-0000-0000EB1C0000}"/>
    <cellStyle name="AutoFormat Options 2" xfId="4328" xr:uid="{00000000-0005-0000-0000-0000EC1C0000}"/>
    <cellStyle name="AutoFormat Options 3" xfId="18153" xr:uid="{00000000-0005-0000-0000-0000ED1C0000}"/>
    <cellStyle name="AutoFormat Options_TOM TAT" xfId="21240" xr:uid="{00000000-0005-0000-0000-0000EE1C0000}"/>
    <cellStyle name="aZ" xfId="1124" xr:uid="{00000000-0005-0000-0000-0000EF1C0000}"/>
    <cellStyle name="aZ 2" xfId="8484" xr:uid="{00000000-0005-0000-0000-0000F01C0000}"/>
    <cellStyle name="aZ 3" xfId="8485" xr:uid="{00000000-0005-0000-0000-0000F11C0000}"/>
    <cellStyle name="aZ_TOM TAT" xfId="21241" xr:uid="{00000000-0005-0000-0000-0000F21C0000}"/>
    <cellStyle name="b" xfId="1125" xr:uid="{00000000-0005-0000-0000-0000F31C0000}"/>
    <cellStyle name="b 2" xfId="18154" xr:uid="{00000000-0005-0000-0000-0000F41C0000}"/>
    <cellStyle name="b_TOM TAT" xfId="21242" xr:uid="{00000000-0005-0000-0000-0000F51C0000}"/>
    <cellStyle name="Background-W" xfId="1126" xr:uid="{00000000-0005-0000-0000-0000F61C0000}"/>
    <cellStyle name="Background-W 10" xfId="14624" xr:uid="{00000000-0005-0000-0000-0000F71C0000}"/>
    <cellStyle name="Background-W 2" xfId="1971" xr:uid="{00000000-0005-0000-0000-0000F81C0000}"/>
    <cellStyle name="Background-W 2 2" xfId="5156" xr:uid="{00000000-0005-0000-0000-0000F91C0000}"/>
    <cellStyle name="Background-W 2 2 2" xfId="8486" xr:uid="{00000000-0005-0000-0000-0000FA1C0000}"/>
    <cellStyle name="Background-W 2 2_TOM TAT" xfId="21243" xr:uid="{00000000-0005-0000-0000-0000FB1C0000}"/>
    <cellStyle name="Background-W 2 3" xfId="8487" xr:uid="{00000000-0005-0000-0000-0000FC1C0000}"/>
    <cellStyle name="Background-W 2 4" xfId="8488" xr:uid="{00000000-0005-0000-0000-0000FD1C0000}"/>
    <cellStyle name="Background-W 2_TOM TAT" xfId="8489" xr:uid="{00000000-0005-0000-0000-0000FE1C0000}"/>
    <cellStyle name="Background-W 3" xfId="1972" xr:uid="{00000000-0005-0000-0000-0000FF1C0000}"/>
    <cellStyle name="Background-W 3 2" xfId="8490" xr:uid="{00000000-0005-0000-0000-0000001D0000}"/>
    <cellStyle name="Background-W 3 3" xfId="18613" xr:uid="{00000000-0005-0000-0000-0000011D0000}"/>
    <cellStyle name="Background-W 3_TOM TAT" xfId="21244" xr:uid="{00000000-0005-0000-0000-0000021D0000}"/>
    <cellStyle name="Background-W 4" xfId="1970" xr:uid="{00000000-0005-0000-0000-0000031D0000}"/>
    <cellStyle name="Background-W 4 2" xfId="8491" xr:uid="{00000000-0005-0000-0000-0000041D0000}"/>
    <cellStyle name="Background-W 4_TOM TAT" xfId="21245" xr:uid="{00000000-0005-0000-0000-0000051D0000}"/>
    <cellStyle name="Background-W 5" xfId="4329" xr:uid="{00000000-0005-0000-0000-0000061D0000}"/>
    <cellStyle name="Background-W 5 2" xfId="8492" xr:uid="{00000000-0005-0000-0000-0000071D0000}"/>
    <cellStyle name="Background-W 5_TOM TAT" xfId="21246" xr:uid="{00000000-0005-0000-0000-0000081D0000}"/>
    <cellStyle name="Background-W 6" xfId="5157" xr:uid="{00000000-0005-0000-0000-0000091D0000}"/>
    <cellStyle name="Background-W 6 2" xfId="8493" xr:uid="{00000000-0005-0000-0000-00000A1D0000}"/>
    <cellStyle name="Background-W 6_TOM TAT" xfId="21247" xr:uid="{00000000-0005-0000-0000-00000B1D0000}"/>
    <cellStyle name="Background-W 7" xfId="8494" xr:uid="{00000000-0005-0000-0000-00000C1D0000}"/>
    <cellStyle name="Background-W 8" xfId="8495" xr:uid="{00000000-0005-0000-0000-00000D1D0000}"/>
    <cellStyle name="Background-W 9" xfId="26945" xr:uid="{00000000-0005-0000-0000-00000E1D0000}"/>
    <cellStyle name="Background-W_20141211 Tan Mai - Hanh" xfId="8496" xr:uid="{00000000-0005-0000-0000-00000F1D0000}"/>
    <cellStyle name="Bad" xfId="1127" builtinId="27" customBuiltin="1"/>
    <cellStyle name="Bad 2" xfId="1973" xr:uid="{00000000-0005-0000-0000-0000111D0000}"/>
    <cellStyle name="Bad 2 2" xfId="8497" xr:uid="{00000000-0005-0000-0000-0000121D0000}"/>
    <cellStyle name="Bad 2_TOM TAT" xfId="21248" xr:uid="{00000000-0005-0000-0000-0000131D0000}"/>
    <cellStyle name="Bad 3" xfId="1974" xr:uid="{00000000-0005-0000-0000-0000141D0000}"/>
    <cellStyle name="Bad 3 2" xfId="8498" xr:uid="{00000000-0005-0000-0000-0000151D0000}"/>
    <cellStyle name="Bad 3_TOM TAT" xfId="21249" xr:uid="{00000000-0005-0000-0000-0000161D0000}"/>
    <cellStyle name="Bad 4" xfId="1975" xr:uid="{00000000-0005-0000-0000-0000171D0000}"/>
    <cellStyle name="Bad 4 2" xfId="8499" xr:uid="{00000000-0005-0000-0000-0000181D0000}"/>
    <cellStyle name="Bad 4_TOM TAT" xfId="21250" xr:uid="{00000000-0005-0000-0000-0000191D0000}"/>
    <cellStyle name="Bad 5" xfId="32187" xr:uid="{00000000-0005-0000-0000-00001A1D0000}"/>
    <cellStyle name="Blue" xfId="1128" xr:uid="{00000000-0005-0000-0000-00001B1D0000}"/>
    <cellStyle name="Blue 2" xfId="8500" xr:uid="{00000000-0005-0000-0000-00001C1D0000}"/>
    <cellStyle name="Blue 2 2" xfId="14596" xr:uid="{00000000-0005-0000-0000-00001D1D0000}"/>
    <cellStyle name="Blue 2_TOM TAT" xfId="21252" xr:uid="{00000000-0005-0000-0000-00001E1D0000}"/>
    <cellStyle name="Blue 3" xfId="18155" xr:uid="{00000000-0005-0000-0000-00001F1D0000}"/>
    <cellStyle name="Blue_TOM TAT" xfId="21251" xr:uid="{00000000-0005-0000-0000-0000201D0000}"/>
    <cellStyle name="Body" xfId="1129" xr:uid="{00000000-0005-0000-0000-0000211D0000}"/>
    <cellStyle name="Body 2" xfId="8501" xr:uid="{00000000-0005-0000-0000-0000221D0000}"/>
    <cellStyle name="Body 3" xfId="8502" xr:uid="{00000000-0005-0000-0000-0000231D0000}"/>
    <cellStyle name="Body_TOM TAT" xfId="21253" xr:uid="{00000000-0005-0000-0000-0000241D0000}"/>
    <cellStyle name="C?AØ_¿?¾÷CoE² " xfId="1130" xr:uid="{00000000-0005-0000-0000-0000251D0000}"/>
    <cellStyle name="Ç¥ÁØ_      " xfId="5158" xr:uid="{00000000-0005-0000-0000-0000261D0000}"/>
    <cellStyle name="C￥AØ_¿μ¾÷CoE² " xfId="1131" xr:uid="{00000000-0005-0000-0000-0000271D0000}"/>
    <cellStyle name="Ç¥ÁØ_±¸¹Ì´ëÃ¥" xfId="1132" xr:uid="{00000000-0005-0000-0000-0000281D0000}"/>
    <cellStyle name="Calc C - Style1" xfId="1133" xr:uid="{00000000-0005-0000-0000-0000291D0000}"/>
    <cellStyle name="Calc C - Style1 2" xfId="8503" xr:uid="{00000000-0005-0000-0000-00002A1D0000}"/>
    <cellStyle name="Calc C - Style1 3" xfId="8504" xr:uid="{00000000-0005-0000-0000-00002B1D0000}"/>
    <cellStyle name="Calc C - Style1_TOM TAT" xfId="21254" xr:uid="{00000000-0005-0000-0000-00002C1D0000}"/>
    <cellStyle name="Calc C - Style2" xfId="1134" xr:uid="{00000000-0005-0000-0000-00002D1D0000}"/>
    <cellStyle name="Calc C - Style2 2" xfId="8505" xr:uid="{00000000-0005-0000-0000-00002E1D0000}"/>
    <cellStyle name="Calc C - Style2 3" xfId="8506" xr:uid="{00000000-0005-0000-0000-00002F1D0000}"/>
    <cellStyle name="Calc C - Style2_TOM TAT" xfId="21255" xr:uid="{00000000-0005-0000-0000-0000301D0000}"/>
    <cellStyle name="Calc C - Style3" xfId="1135" xr:uid="{00000000-0005-0000-0000-0000311D0000}"/>
    <cellStyle name="Calc C - Style3 2" xfId="8507" xr:uid="{00000000-0005-0000-0000-0000321D0000}"/>
    <cellStyle name="Calc C - Style3 3" xfId="8508" xr:uid="{00000000-0005-0000-0000-0000331D0000}"/>
    <cellStyle name="Calc C - Style3_TOM TAT" xfId="21256" xr:uid="{00000000-0005-0000-0000-0000341D0000}"/>
    <cellStyle name="Calc C - Style4" xfId="1136" xr:uid="{00000000-0005-0000-0000-0000351D0000}"/>
    <cellStyle name="Calc C - Style4 2" xfId="8509" xr:uid="{00000000-0005-0000-0000-0000361D0000}"/>
    <cellStyle name="Calc C - Style4 3" xfId="8510" xr:uid="{00000000-0005-0000-0000-0000371D0000}"/>
    <cellStyle name="Calc C - Style4_TOM TAT" xfId="21257" xr:uid="{00000000-0005-0000-0000-0000381D0000}"/>
    <cellStyle name="Calc C - Style5" xfId="1137" xr:uid="{00000000-0005-0000-0000-0000391D0000}"/>
    <cellStyle name="Calc C - Style5 2" xfId="8511" xr:uid="{00000000-0005-0000-0000-00003A1D0000}"/>
    <cellStyle name="Calc C - Style5 3" xfId="8512" xr:uid="{00000000-0005-0000-0000-00003B1D0000}"/>
    <cellStyle name="Calc C - Style5_TOM TAT" xfId="21258" xr:uid="{00000000-0005-0000-0000-00003C1D0000}"/>
    <cellStyle name="Calc C - Style6" xfId="1138" xr:uid="{00000000-0005-0000-0000-00003D1D0000}"/>
    <cellStyle name="Calc C - Style6 2" xfId="8513" xr:uid="{00000000-0005-0000-0000-00003E1D0000}"/>
    <cellStyle name="Calc C - Style6 3" xfId="8514" xr:uid="{00000000-0005-0000-0000-00003F1D0000}"/>
    <cellStyle name="Calc C - Style6_TOM TAT" xfId="21259" xr:uid="{00000000-0005-0000-0000-0000401D0000}"/>
    <cellStyle name="Calc C - Style7" xfId="1139" xr:uid="{00000000-0005-0000-0000-0000411D0000}"/>
    <cellStyle name="Calc C - Style7 2" xfId="8515" xr:uid="{00000000-0005-0000-0000-0000421D0000}"/>
    <cellStyle name="Calc C - Style7 3" xfId="8516" xr:uid="{00000000-0005-0000-0000-0000431D0000}"/>
    <cellStyle name="Calc C - Style7_TOM TAT" xfId="21260" xr:uid="{00000000-0005-0000-0000-0000441D0000}"/>
    <cellStyle name="Calc C - Style8" xfId="1140" xr:uid="{00000000-0005-0000-0000-0000451D0000}"/>
    <cellStyle name="Calc C - Style8 2" xfId="8517" xr:uid="{00000000-0005-0000-0000-0000461D0000}"/>
    <cellStyle name="Calc C - Style8 3" xfId="8518" xr:uid="{00000000-0005-0000-0000-0000471D0000}"/>
    <cellStyle name="Calc C - Style8_TOM TAT" xfId="21261" xr:uid="{00000000-0005-0000-0000-0000481D0000}"/>
    <cellStyle name="Calc Currency (0)" xfId="1141" xr:uid="{00000000-0005-0000-0000-0000491D0000}"/>
    <cellStyle name="Calc Currency (0) 2" xfId="18156" xr:uid="{00000000-0005-0000-0000-00004A1D0000}"/>
    <cellStyle name="Calc Currency (0)_TOM TAT" xfId="21262" xr:uid="{00000000-0005-0000-0000-00004B1D0000}"/>
    <cellStyle name="Calc Currency (2)" xfId="1142" xr:uid="{00000000-0005-0000-0000-00004C1D0000}"/>
    <cellStyle name="Calc Currency (2) 2" xfId="4330" xr:uid="{00000000-0005-0000-0000-00004D1D0000}"/>
    <cellStyle name="Calc Currency (2) 2 2" xfId="5159" xr:uid="{00000000-0005-0000-0000-00004E1D0000}"/>
    <cellStyle name="Calc Currency (2) 2 2 2" xfId="8519" xr:uid="{00000000-0005-0000-0000-00004F1D0000}"/>
    <cellStyle name="Calc Currency (2) 2 2_TOM TAT" xfId="21263" xr:uid="{00000000-0005-0000-0000-0000501D0000}"/>
    <cellStyle name="Calc Currency (2) 2 3" xfId="8520" xr:uid="{00000000-0005-0000-0000-0000511D0000}"/>
    <cellStyle name="Calc Currency (2) 2 4" xfId="8521" xr:uid="{00000000-0005-0000-0000-0000521D0000}"/>
    <cellStyle name="Calc Currency (2) 2_TOM TAT" xfId="8522" xr:uid="{00000000-0005-0000-0000-0000531D0000}"/>
    <cellStyle name="Calc Currency (2) 3" xfId="5160" xr:uid="{00000000-0005-0000-0000-0000541D0000}"/>
    <cellStyle name="Calc Currency (2) 3 2" xfId="8523" xr:uid="{00000000-0005-0000-0000-0000551D0000}"/>
    <cellStyle name="Calc Currency (2) 3_TOM TAT" xfId="21264" xr:uid="{00000000-0005-0000-0000-0000561D0000}"/>
    <cellStyle name="Calc Currency (2) 4" xfId="8524" xr:uid="{00000000-0005-0000-0000-0000571D0000}"/>
    <cellStyle name="Calc Currency (2) 5" xfId="8525" xr:uid="{00000000-0005-0000-0000-0000581D0000}"/>
    <cellStyle name="Calc Currency (2)_20141211 Tan Mai - Hanh" xfId="8526" xr:uid="{00000000-0005-0000-0000-0000591D0000}"/>
    <cellStyle name="Calc Percent (0)" xfId="1143" xr:uid="{00000000-0005-0000-0000-00005A1D0000}"/>
    <cellStyle name="Calc Percent (0) 2" xfId="4331" xr:uid="{00000000-0005-0000-0000-00005B1D0000}"/>
    <cellStyle name="Calc Percent (0) 2 2" xfId="5161" xr:uid="{00000000-0005-0000-0000-00005C1D0000}"/>
    <cellStyle name="Calc Percent (0) 2 2 2" xfId="8527" xr:uid="{00000000-0005-0000-0000-00005D1D0000}"/>
    <cellStyle name="Calc Percent (0) 2 2_TOM TAT" xfId="21265" xr:uid="{00000000-0005-0000-0000-00005E1D0000}"/>
    <cellStyle name="Calc Percent (0) 2 3" xfId="8528" xr:uid="{00000000-0005-0000-0000-00005F1D0000}"/>
    <cellStyle name="Calc Percent (0) 2 4" xfId="8529" xr:uid="{00000000-0005-0000-0000-0000601D0000}"/>
    <cellStyle name="Calc Percent (0) 2_TOM TAT" xfId="8530" xr:uid="{00000000-0005-0000-0000-0000611D0000}"/>
    <cellStyle name="Calc Percent (0) 3" xfId="5162" xr:uid="{00000000-0005-0000-0000-0000621D0000}"/>
    <cellStyle name="Calc Percent (0) 3 2" xfId="8531" xr:uid="{00000000-0005-0000-0000-0000631D0000}"/>
    <cellStyle name="Calc Percent (0) 3_TOM TAT" xfId="21266" xr:uid="{00000000-0005-0000-0000-0000641D0000}"/>
    <cellStyle name="Calc Percent (0) 4" xfId="8532" xr:uid="{00000000-0005-0000-0000-0000651D0000}"/>
    <cellStyle name="Calc Percent (0) 5" xfId="8533" xr:uid="{00000000-0005-0000-0000-0000661D0000}"/>
    <cellStyle name="Calc Percent (0)_20141211 Tan Mai - Hanh" xfId="8534" xr:uid="{00000000-0005-0000-0000-0000671D0000}"/>
    <cellStyle name="Calc Percent (1)" xfId="1144" xr:uid="{00000000-0005-0000-0000-0000681D0000}"/>
    <cellStyle name="Calc Percent (1) 2" xfId="4332" xr:uid="{00000000-0005-0000-0000-0000691D0000}"/>
    <cellStyle name="Calc Percent (1) 2 2" xfId="5163" xr:uid="{00000000-0005-0000-0000-00006A1D0000}"/>
    <cellStyle name="Calc Percent (1) 2 2 2" xfId="8535" xr:uid="{00000000-0005-0000-0000-00006B1D0000}"/>
    <cellStyle name="Calc Percent (1) 2 2_TOM TAT" xfId="21267" xr:uid="{00000000-0005-0000-0000-00006C1D0000}"/>
    <cellStyle name="Calc Percent (1) 2 3" xfId="8536" xr:uid="{00000000-0005-0000-0000-00006D1D0000}"/>
    <cellStyle name="Calc Percent (1) 2 4" xfId="8537" xr:uid="{00000000-0005-0000-0000-00006E1D0000}"/>
    <cellStyle name="Calc Percent (1) 2_TOM TAT" xfId="8538" xr:uid="{00000000-0005-0000-0000-00006F1D0000}"/>
    <cellStyle name="Calc Percent (1) 3" xfId="5164" xr:uid="{00000000-0005-0000-0000-0000701D0000}"/>
    <cellStyle name="Calc Percent (1) 3 2" xfId="8539" xr:uid="{00000000-0005-0000-0000-0000711D0000}"/>
    <cellStyle name="Calc Percent (1) 3_TOM TAT" xfId="21268" xr:uid="{00000000-0005-0000-0000-0000721D0000}"/>
    <cellStyle name="Calc Percent (1) 4" xfId="8540" xr:uid="{00000000-0005-0000-0000-0000731D0000}"/>
    <cellStyle name="Calc Percent (1) 5" xfId="8541" xr:uid="{00000000-0005-0000-0000-0000741D0000}"/>
    <cellStyle name="Calc Percent (1)_20141211 Tan Mai - Hanh" xfId="8542" xr:uid="{00000000-0005-0000-0000-0000751D0000}"/>
    <cellStyle name="Calc Percent (2)" xfId="1145" xr:uid="{00000000-0005-0000-0000-0000761D0000}"/>
    <cellStyle name="Calc Percent (2) 2" xfId="4333" xr:uid="{00000000-0005-0000-0000-0000771D0000}"/>
    <cellStyle name="Calc Percent (2) 2 2" xfId="5165" xr:uid="{00000000-0005-0000-0000-0000781D0000}"/>
    <cellStyle name="Calc Percent (2) 2_TOM TAT" xfId="8543" xr:uid="{00000000-0005-0000-0000-0000791D0000}"/>
    <cellStyle name="Calc Percent (2) 3" xfId="5166" xr:uid="{00000000-0005-0000-0000-00007A1D0000}"/>
    <cellStyle name="Calc Percent (2)_20141211 Tan Mai - Hanh" xfId="8544" xr:uid="{00000000-0005-0000-0000-00007B1D0000}"/>
    <cellStyle name="Calc Units (0)" xfId="1146" xr:uid="{00000000-0005-0000-0000-00007C1D0000}"/>
    <cellStyle name="Calc Units (0) 2" xfId="4334" xr:uid="{00000000-0005-0000-0000-00007D1D0000}"/>
    <cellStyle name="Calc Units (0) 2 2" xfId="5167" xr:uid="{00000000-0005-0000-0000-00007E1D0000}"/>
    <cellStyle name="Calc Units (0) 2 2 2" xfId="8545" xr:uid="{00000000-0005-0000-0000-00007F1D0000}"/>
    <cellStyle name="Calc Units (0) 2 2_TOM TAT" xfId="21269" xr:uid="{00000000-0005-0000-0000-0000801D0000}"/>
    <cellStyle name="Calc Units (0) 2 3" xfId="8546" xr:uid="{00000000-0005-0000-0000-0000811D0000}"/>
    <cellStyle name="Calc Units (0) 2 4" xfId="8547" xr:uid="{00000000-0005-0000-0000-0000821D0000}"/>
    <cellStyle name="Calc Units (0) 2_TOM TAT" xfId="8548" xr:uid="{00000000-0005-0000-0000-0000831D0000}"/>
    <cellStyle name="Calc Units (0) 3" xfId="5168" xr:uid="{00000000-0005-0000-0000-0000841D0000}"/>
    <cellStyle name="Calc Units (0) 3 2" xfId="8549" xr:uid="{00000000-0005-0000-0000-0000851D0000}"/>
    <cellStyle name="Calc Units (0) 3_TOM TAT" xfId="21270" xr:uid="{00000000-0005-0000-0000-0000861D0000}"/>
    <cellStyle name="Calc Units (0) 4" xfId="8550" xr:uid="{00000000-0005-0000-0000-0000871D0000}"/>
    <cellStyle name="Calc Units (0) 5" xfId="8551" xr:uid="{00000000-0005-0000-0000-0000881D0000}"/>
    <cellStyle name="Calc Units (0)_20141211 Tan Mai - Hanh" xfId="8552" xr:uid="{00000000-0005-0000-0000-0000891D0000}"/>
    <cellStyle name="Calc Units (1)" xfId="1147" xr:uid="{00000000-0005-0000-0000-00008A1D0000}"/>
    <cellStyle name="Calc Units (1) 2" xfId="4335" xr:uid="{00000000-0005-0000-0000-00008B1D0000}"/>
    <cellStyle name="Calc Units (1) 2 2" xfId="5169" xr:uid="{00000000-0005-0000-0000-00008C1D0000}"/>
    <cellStyle name="Calc Units (1) 2_TOM TAT" xfId="8553" xr:uid="{00000000-0005-0000-0000-00008D1D0000}"/>
    <cellStyle name="Calc Units (1) 3" xfId="5170" xr:uid="{00000000-0005-0000-0000-00008E1D0000}"/>
    <cellStyle name="Calc Units (1)_20141211 Tan Mai - Hanh" xfId="8554" xr:uid="{00000000-0005-0000-0000-00008F1D0000}"/>
    <cellStyle name="Calc Units (2)" xfId="1148" xr:uid="{00000000-0005-0000-0000-0000901D0000}"/>
    <cellStyle name="Calc Units (2) 2" xfId="4336" xr:uid="{00000000-0005-0000-0000-0000911D0000}"/>
    <cellStyle name="Calc Units (2) 2 2" xfId="5171" xr:uid="{00000000-0005-0000-0000-0000921D0000}"/>
    <cellStyle name="Calc Units (2) 2 2 2" xfId="8555" xr:uid="{00000000-0005-0000-0000-0000931D0000}"/>
    <cellStyle name="Calc Units (2) 2 2_TOM TAT" xfId="21271" xr:uid="{00000000-0005-0000-0000-0000941D0000}"/>
    <cellStyle name="Calc Units (2) 2 3" xfId="8556" xr:uid="{00000000-0005-0000-0000-0000951D0000}"/>
    <cellStyle name="Calc Units (2) 2 4" xfId="8557" xr:uid="{00000000-0005-0000-0000-0000961D0000}"/>
    <cellStyle name="Calc Units (2) 2_TOM TAT" xfId="8558" xr:uid="{00000000-0005-0000-0000-0000971D0000}"/>
    <cellStyle name="Calc Units (2) 3" xfId="5172" xr:uid="{00000000-0005-0000-0000-0000981D0000}"/>
    <cellStyle name="Calc Units (2) 3 2" xfId="8559" xr:uid="{00000000-0005-0000-0000-0000991D0000}"/>
    <cellStyle name="Calc Units (2) 3_TOM TAT" xfId="21272" xr:uid="{00000000-0005-0000-0000-00009A1D0000}"/>
    <cellStyle name="Calc Units (2) 4" xfId="8560" xr:uid="{00000000-0005-0000-0000-00009B1D0000}"/>
    <cellStyle name="Calc Units (2) 5" xfId="8561" xr:uid="{00000000-0005-0000-0000-00009C1D0000}"/>
    <cellStyle name="Calc Units (2)_20141211 Tan Mai - Hanh" xfId="8562" xr:uid="{00000000-0005-0000-0000-00009D1D0000}"/>
    <cellStyle name="Calculation" xfId="1149" builtinId="22" customBuiltin="1"/>
    <cellStyle name="Calculation 2" xfId="1976" xr:uid="{00000000-0005-0000-0000-00009F1D0000}"/>
    <cellStyle name="Calculation 2 2" xfId="1977" xr:uid="{00000000-0005-0000-0000-0000A01D0000}"/>
    <cellStyle name="Calculation 2 2 2" xfId="1978" xr:uid="{00000000-0005-0000-0000-0000A11D0000}"/>
    <cellStyle name="Calculation 2 2 2 2" xfId="5173" xr:uid="{00000000-0005-0000-0000-0000A21D0000}"/>
    <cellStyle name="Calculation 2 2 2 2 2" xfId="28071" xr:uid="{00000000-0005-0000-0000-0000A31D0000}"/>
    <cellStyle name="Calculation 2 2 2 2_TOM TAT" xfId="21276" xr:uid="{00000000-0005-0000-0000-0000A41D0000}"/>
    <cellStyle name="Calculation 2 2 2 3" xfId="27010" xr:uid="{00000000-0005-0000-0000-0000A51D0000}"/>
    <cellStyle name="Calculation 2 2 2_TOM TAT" xfId="21275" xr:uid="{00000000-0005-0000-0000-0000A61D0000}"/>
    <cellStyle name="Calculation 2 2 3" xfId="5174" xr:uid="{00000000-0005-0000-0000-0000A71D0000}"/>
    <cellStyle name="Calculation 2 2 3 2" xfId="28072" xr:uid="{00000000-0005-0000-0000-0000A81D0000}"/>
    <cellStyle name="Calculation 2 2 3_TOM TAT" xfId="21277" xr:uid="{00000000-0005-0000-0000-0000A91D0000}"/>
    <cellStyle name="Calculation 2 2 4" xfId="27009" xr:uid="{00000000-0005-0000-0000-0000AA1D0000}"/>
    <cellStyle name="Calculation 2 2_TOM TAT" xfId="21274" xr:uid="{00000000-0005-0000-0000-0000AB1D0000}"/>
    <cellStyle name="Calculation 2 3" xfId="1979" xr:uid="{00000000-0005-0000-0000-0000AC1D0000}"/>
    <cellStyle name="Calculation 2 3 2" xfId="5175" xr:uid="{00000000-0005-0000-0000-0000AD1D0000}"/>
    <cellStyle name="Calculation 2 3 2 2" xfId="28073" xr:uid="{00000000-0005-0000-0000-0000AE1D0000}"/>
    <cellStyle name="Calculation 2 3 2_TOM TAT" xfId="21279" xr:uid="{00000000-0005-0000-0000-0000AF1D0000}"/>
    <cellStyle name="Calculation 2 3 3" xfId="27011" xr:uid="{00000000-0005-0000-0000-0000B01D0000}"/>
    <cellStyle name="Calculation 2 3_TOM TAT" xfId="21278" xr:uid="{00000000-0005-0000-0000-0000B11D0000}"/>
    <cellStyle name="Calculation 2 4" xfId="1980" xr:uid="{00000000-0005-0000-0000-0000B21D0000}"/>
    <cellStyle name="Calculation 2 4 2" xfId="5176" xr:uid="{00000000-0005-0000-0000-0000B31D0000}"/>
    <cellStyle name="Calculation 2 4 2 2" xfId="28074" xr:uid="{00000000-0005-0000-0000-0000B41D0000}"/>
    <cellStyle name="Calculation 2 4 2_TOM TAT" xfId="21281" xr:uid="{00000000-0005-0000-0000-0000B51D0000}"/>
    <cellStyle name="Calculation 2 4 3" xfId="27012" xr:uid="{00000000-0005-0000-0000-0000B61D0000}"/>
    <cellStyle name="Calculation 2 4_TOM TAT" xfId="21280" xr:uid="{00000000-0005-0000-0000-0000B71D0000}"/>
    <cellStyle name="Calculation 2 5" xfId="5177" xr:uid="{00000000-0005-0000-0000-0000B81D0000}"/>
    <cellStyle name="Calculation 2 5 2" xfId="28075" xr:uid="{00000000-0005-0000-0000-0000B91D0000}"/>
    <cellStyle name="Calculation 2 5_TOM TAT" xfId="21282" xr:uid="{00000000-0005-0000-0000-0000BA1D0000}"/>
    <cellStyle name="Calculation 2 6" xfId="27008" xr:uid="{00000000-0005-0000-0000-0000BB1D0000}"/>
    <cellStyle name="Calculation 2_TOM TAT" xfId="21273" xr:uid="{00000000-0005-0000-0000-0000BC1D0000}"/>
    <cellStyle name="Calculation 3" xfId="1981" xr:uid="{00000000-0005-0000-0000-0000BD1D0000}"/>
    <cellStyle name="Calculation 3 2" xfId="1982" xr:uid="{00000000-0005-0000-0000-0000BE1D0000}"/>
    <cellStyle name="Calculation 3 2 2" xfId="5178" xr:uid="{00000000-0005-0000-0000-0000BF1D0000}"/>
    <cellStyle name="Calculation 3 2 2 2" xfId="28076" xr:uid="{00000000-0005-0000-0000-0000C01D0000}"/>
    <cellStyle name="Calculation 3 2 2_TOM TAT" xfId="21285" xr:uid="{00000000-0005-0000-0000-0000C11D0000}"/>
    <cellStyle name="Calculation 3 2 3" xfId="27014" xr:uid="{00000000-0005-0000-0000-0000C21D0000}"/>
    <cellStyle name="Calculation 3 2_TOM TAT" xfId="21284" xr:uid="{00000000-0005-0000-0000-0000C31D0000}"/>
    <cellStyle name="Calculation 3 3" xfId="5179" xr:uid="{00000000-0005-0000-0000-0000C41D0000}"/>
    <cellStyle name="Calculation 3 3 2" xfId="28077" xr:uid="{00000000-0005-0000-0000-0000C51D0000}"/>
    <cellStyle name="Calculation 3 3_TOM TAT" xfId="21286" xr:uid="{00000000-0005-0000-0000-0000C61D0000}"/>
    <cellStyle name="Calculation 3 4" xfId="27013" xr:uid="{00000000-0005-0000-0000-0000C71D0000}"/>
    <cellStyle name="Calculation 3_TOM TAT" xfId="21283" xr:uid="{00000000-0005-0000-0000-0000C81D0000}"/>
    <cellStyle name="Calculation 4" xfId="1983" xr:uid="{00000000-0005-0000-0000-0000C91D0000}"/>
    <cellStyle name="Calculation 4 2" xfId="5180" xr:uid="{00000000-0005-0000-0000-0000CA1D0000}"/>
    <cellStyle name="Calculation 4 2 2" xfId="28078" xr:uid="{00000000-0005-0000-0000-0000CB1D0000}"/>
    <cellStyle name="Calculation 4 2_TOM TAT" xfId="21288" xr:uid="{00000000-0005-0000-0000-0000CC1D0000}"/>
    <cellStyle name="Calculation 4 3" xfId="27015" xr:uid="{00000000-0005-0000-0000-0000CD1D0000}"/>
    <cellStyle name="Calculation 4_TOM TAT" xfId="21287" xr:uid="{00000000-0005-0000-0000-0000CE1D0000}"/>
    <cellStyle name="Calculation 5" xfId="5181" xr:uid="{00000000-0005-0000-0000-0000CF1D0000}"/>
    <cellStyle name="Calculation 5 2" xfId="28079" xr:uid="{00000000-0005-0000-0000-0000D01D0000}"/>
    <cellStyle name="Calculation 5_TOM TAT" xfId="21289" xr:uid="{00000000-0005-0000-0000-0000D11D0000}"/>
    <cellStyle name="Calculation 6" xfId="26946" xr:uid="{00000000-0005-0000-0000-0000D21D0000}"/>
    <cellStyle name="Calculation 7" xfId="32188" xr:uid="{00000000-0005-0000-0000-0000D31D0000}"/>
    <cellStyle name="category" xfId="1150" xr:uid="{00000000-0005-0000-0000-0000D41D0000}"/>
    <cellStyle name="category 2" xfId="8563" xr:uid="{00000000-0005-0000-0000-0000D51D0000}"/>
    <cellStyle name="category 3" xfId="8564" xr:uid="{00000000-0005-0000-0000-0000D61D0000}"/>
    <cellStyle name="category_TOM TAT" xfId="21290" xr:uid="{00000000-0005-0000-0000-0000D71D0000}"/>
    <cellStyle name="Cerrency_Sheet2_XANGDAU" xfId="1151" xr:uid="{00000000-0005-0000-0000-0000D81D0000}"/>
    <cellStyle name="Change A&amp;ll" xfId="1152" xr:uid="{00000000-0005-0000-0000-0000D91D0000}"/>
    <cellStyle name="Change A&amp;ll 2" xfId="5182" xr:uid="{00000000-0005-0000-0000-0000DA1D0000}"/>
    <cellStyle name="Change A&amp;ll 2 2" xfId="28080" xr:uid="{00000000-0005-0000-0000-0000DB1D0000}"/>
    <cellStyle name="Change A&amp;ll 2_TOM TAT" xfId="21292" xr:uid="{00000000-0005-0000-0000-0000DC1D0000}"/>
    <cellStyle name="Change A&amp;ll 3" xfId="18157" xr:uid="{00000000-0005-0000-0000-0000DD1D0000}"/>
    <cellStyle name="Change A&amp;ll 4" xfId="18678" xr:uid="{00000000-0005-0000-0000-0000DE1D0000}"/>
    <cellStyle name="Change A&amp;ll 4 2" xfId="31798" xr:uid="{00000000-0005-0000-0000-0000DF1D0000}"/>
    <cellStyle name="Change A&amp;ll 4_TOM TAT" xfId="21293" xr:uid="{00000000-0005-0000-0000-0000E01D0000}"/>
    <cellStyle name="Change A&amp;ll 5" xfId="26947" xr:uid="{00000000-0005-0000-0000-0000E11D0000}"/>
    <cellStyle name="Change A&amp;ll_TOM TAT" xfId="21291" xr:uid="{00000000-0005-0000-0000-0000E21D0000}"/>
    <cellStyle name="Check Cell" xfId="1153" builtinId="23" customBuiltin="1"/>
    <cellStyle name="Check Cell 2" xfId="1984" xr:uid="{00000000-0005-0000-0000-0000E41D0000}"/>
    <cellStyle name="Check Cell 2 2" xfId="8565" xr:uid="{00000000-0005-0000-0000-0000E51D0000}"/>
    <cellStyle name="Check Cell 2_TOM TAT" xfId="21294" xr:uid="{00000000-0005-0000-0000-0000E61D0000}"/>
    <cellStyle name="Check Cell 3" xfId="1985" xr:uid="{00000000-0005-0000-0000-0000E71D0000}"/>
    <cellStyle name="Check Cell 3 2" xfId="8566" xr:uid="{00000000-0005-0000-0000-0000E81D0000}"/>
    <cellStyle name="Check Cell 3_TOM TAT" xfId="21295" xr:uid="{00000000-0005-0000-0000-0000E91D0000}"/>
    <cellStyle name="Check Cell 4" xfId="1986" xr:uid="{00000000-0005-0000-0000-0000EA1D0000}"/>
    <cellStyle name="Check Cell 4 2" xfId="8567" xr:uid="{00000000-0005-0000-0000-0000EB1D0000}"/>
    <cellStyle name="Check Cell 4_TOM TAT" xfId="21296" xr:uid="{00000000-0005-0000-0000-0000EC1D0000}"/>
    <cellStyle name="Check Cell 5" xfId="32189" xr:uid="{00000000-0005-0000-0000-0000ED1D0000}"/>
    <cellStyle name="CHUONG" xfId="1154" xr:uid="{00000000-0005-0000-0000-0000EE1D0000}"/>
    <cellStyle name="CHUONG 2" xfId="18158" xr:uid="{00000000-0005-0000-0000-0000EF1D0000}"/>
    <cellStyle name="CHUONG_TOM TAT" xfId="21297" xr:uid="{00000000-0005-0000-0000-0000F01D0000}"/>
    <cellStyle name="Column-S" xfId="1987" xr:uid="{00000000-0005-0000-0000-0000F11D0000}"/>
    <cellStyle name="Column-S 10" xfId="1988" xr:uid="{00000000-0005-0000-0000-0000F21D0000}"/>
    <cellStyle name="Column-S 10 2" xfId="1989" xr:uid="{00000000-0005-0000-0000-0000F31D0000}"/>
    <cellStyle name="Column-S 10 2 2" xfId="5183" xr:uid="{00000000-0005-0000-0000-0000F41D0000}"/>
    <cellStyle name="Column-S 10 2 2 2" xfId="28081" xr:uid="{00000000-0005-0000-0000-0000F51D0000}"/>
    <cellStyle name="Column-S 10 2 2_TOM TAT" xfId="21301" xr:uid="{00000000-0005-0000-0000-0000F61D0000}"/>
    <cellStyle name="Column-S 10 2 3" xfId="27018" xr:uid="{00000000-0005-0000-0000-0000F71D0000}"/>
    <cellStyle name="Column-S 10 2_TOM TAT" xfId="21300" xr:uid="{00000000-0005-0000-0000-0000F81D0000}"/>
    <cellStyle name="Column-S 10 3" xfId="5184" xr:uid="{00000000-0005-0000-0000-0000F91D0000}"/>
    <cellStyle name="Column-S 10 3 2" xfId="28082" xr:uid="{00000000-0005-0000-0000-0000FA1D0000}"/>
    <cellStyle name="Column-S 10 3_TOM TAT" xfId="21302" xr:uid="{00000000-0005-0000-0000-0000FB1D0000}"/>
    <cellStyle name="Column-S 10 4" xfId="27017" xr:uid="{00000000-0005-0000-0000-0000FC1D0000}"/>
    <cellStyle name="Column-S 10_TOM TAT" xfId="21299" xr:uid="{00000000-0005-0000-0000-0000FD1D0000}"/>
    <cellStyle name="Column-S 11" xfId="1990" xr:uid="{00000000-0005-0000-0000-0000FE1D0000}"/>
    <cellStyle name="Column-S 11 2" xfId="5185" xr:uid="{00000000-0005-0000-0000-0000FF1D0000}"/>
    <cellStyle name="Column-S 11 2 2" xfId="28083" xr:uid="{00000000-0005-0000-0000-0000001E0000}"/>
    <cellStyle name="Column-S 11 2_TOM TAT" xfId="21304" xr:uid="{00000000-0005-0000-0000-0000011E0000}"/>
    <cellStyle name="Column-S 11 3" xfId="27019" xr:uid="{00000000-0005-0000-0000-0000021E0000}"/>
    <cellStyle name="Column-S 11_TOM TAT" xfId="21303" xr:uid="{00000000-0005-0000-0000-0000031E0000}"/>
    <cellStyle name="Column-S 12" xfId="1991" xr:uid="{00000000-0005-0000-0000-0000041E0000}"/>
    <cellStyle name="Column-S 12 2" xfId="5186" xr:uid="{00000000-0005-0000-0000-0000051E0000}"/>
    <cellStyle name="Column-S 12 2 2" xfId="28084" xr:uid="{00000000-0005-0000-0000-0000061E0000}"/>
    <cellStyle name="Column-S 12 2_TOM TAT" xfId="21306" xr:uid="{00000000-0005-0000-0000-0000071E0000}"/>
    <cellStyle name="Column-S 12 3" xfId="27020" xr:uid="{00000000-0005-0000-0000-0000081E0000}"/>
    <cellStyle name="Column-S 12_TOM TAT" xfId="21305" xr:uid="{00000000-0005-0000-0000-0000091E0000}"/>
    <cellStyle name="Column-S 13" xfId="1992" xr:uid="{00000000-0005-0000-0000-00000A1E0000}"/>
    <cellStyle name="Column-S 13 2" xfId="5187" xr:uid="{00000000-0005-0000-0000-00000B1E0000}"/>
    <cellStyle name="Column-S 13 2 2" xfId="28085" xr:uid="{00000000-0005-0000-0000-00000C1E0000}"/>
    <cellStyle name="Column-S 13 2_TOM TAT" xfId="21308" xr:uid="{00000000-0005-0000-0000-00000D1E0000}"/>
    <cellStyle name="Column-S 13 3" xfId="27021" xr:uid="{00000000-0005-0000-0000-00000E1E0000}"/>
    <cellStyle name="Column-S 13_TOM TAT" xfId="21307" xr:uid="{00000000-0005-0000-0000-00000F1E0000}"/>
    <cellStyle name="Column-S 14" xfId="5188" xr:uid="{00000000-0005-0000-0000-0000101E0000}"/>
    <cellStyle name="Column-S 14 2" xfId="28086" xr:uid="{00000000-0005-0000-0000-0000111E0000}"/>
    <cellStyle name="Column-S 14_TOM TAT" xfId="21309" xr:uid="{00000000-0005-0000-0000-0000121E0000}"/>
    <cellStyle name="Column-S 15" xfId="27016" xr:uid="{00000000-0005-0000-0000-0000131E0000}"/>
    <cellStyle name="Column-S 2" xfId="1993" xr:uid="{00000000-0005-0000-0000-0000141E0000}"/>
    <cellStyle name="Column-S 2 10" xfId="5189" xr:uid="{00000000-0005-0000-0000-0000151E0000}"/>
    <cellStyle name="Column-S 2 10 2" xfId="28087" xr:uid="{00000000-0005-0000-0000-0000161E0000}"/>
    <cellStyle name="Column-S 2 10_TOM TAT" xfId="21311" xr:uid="{00000000-0005-0000-0000-0000171E0000}"/>
    <cellStyle name="Column-S 2 11" xfId="27022" xr:uid="{00000000-0005-0000-0000-0000181E0000}"/>
    <cellStyle name="Column-S 2 2" xfId="1994" xr:uid="{00000000-0005-0000-0000-0000191E0000}"/>
    <cellStyle name="Column-S 2 2 2" xfId="1995" xr:uid="{00000000-0005-0000-0000-00001A1E0000}"/>
    <cellStyle name="Column-S 2 2 2 2" xfId="1996" xr:uid="{00000000-0005-0000-0000-00001B1E0000}"/>
    <cellStyle name="Column-S 2 2 2 2 2" xfId="1997" xr:uid="{00000000-0005-0000-0000-00001C1E0000}"/>
    <cellStyle name="Column-S 2 2 2 2 2 2" xfId="1998" xr:uid="{00000000-0005-0000-0000-00001D1E0000}"/>
    <cellStyle name="Column-S 2 2 2 2 2 2 2" xfId="5190" xr:uid="{00000000-0005-0000-0000-00001E1E0000}"/>
    <cellStyle name="Column-S 2 2 2 2 2 2 2 2" xfId="28088" xr:uid="{00000000-0005-0000-0000-00001F1E0000}"/>
    <cellStyle name="Column-S 2 2 2 2 2 2 2_TOM TAT" xfId="21317" xr:uid="{00000000-0005-0000-0000-0000201E0000}"/>
    <cellStyle name="Column-S 2 2 2 2 2 2 3" xfId="27027" xr:uid="{00000000-0005-0000-0000-0000211E0000}"/>
    <cellStyle name="Column-S 2 2 2 2 2 2_TOM TAT" xfId="21316" xr:uid="{00000000-0005-0000-0000-0000221E0000}"/>
    <cellStyle name="Column-S 2 2 2 2 2 3" xfId="5191" xr:uid="{00000000-0005-0000-0000-0000231E0000}"/>
    <cellStyle name="Column-S 2 2 2 2 2 3 2" xfId="28089" xr:uid="{00000000-0005-0000-0000-0000241E0000}"/>
    <cellStyle name="Column-S 2 2 2 2 2 3_TOM TAT" xfId="21318" xr:uid="{00000000-0005-0000-0000-0000251E0000}"/>
    <cellStyle name="Column-S 2 2 2 2 2 4" xfId="27026" xr:uid="{00000000-0005-0000-0000-0000261E0000}"/>
    <cellStyle name="Column-S 2 2 2 2 2_TOM TAT" xfId="21315" xr:uid="{00000000-0005-0000-0000-0000271E0000}"/>
    <cellStyle name="Column-S 2 2 2 2 3" xfId="1999" xr:uid="{00000000-0005-0000-0000-0000281E0000}"/>
    <cellStyle name="Column-S 2 2 2 2 3 2" xfId="5192" xr:uid="{00000000-0005-0000-0000-0000291E0000}"/>
    <cellStyle name="Column-S 2 2 2 2 3 2 2" xfId="28090" xr:uid="{00000000-0005-0000-0000-00002A1E0000}"/>
    <cellStyle name="Column-S 2 2 2 2 3 2_TOM TAT" xfId="21320" xr:uid="{00000000-0005-0000-0000-00002B1E0000}"/>
    <cellStyle name="Column-S 2 2 2 2 3 3" xfId="27028" xr:uid="{00000000-0005-0000-0000-00002C1E0000}"/>
    <cellStyle name="Column-S 2 2 2 2 3_TOM TAT" xfId="21319" xr:uid="{00000000-0005-0000-0000-00002D1E0000}"/>
    <cellStyle name="Column-S 2 2 2 2 4" xfId="2000" xr:uid="{00000000-0005-0000-0000-00002E1E0000}"/>
    <cellStyle name="Column-S 2 2 2 2 4 2" xfId="5193" xr:uid="{00000000-0005-0000-0000-00002F1E0000}"/>
    <cellStyle name="Column-S 2 2 2 2 4 2 2" xfId="28091" xr:uid="{00000000-0005-0000-0000-0000301E0000}"/>
    <cellStyle name="Column-S 2 2 2 2 4 2_TOM TAT" xfId="21322" xr:uid="{00000000-0005-0000-0000-0000311E0000}"/>
    <cellStyle name="Column-S 2 2 2 2 4 3" xfId="27029" xr:uid="{00000000-0005-0000-0000-0000321E0000}"/>
    <cellStyle name="Column-S 2 2 2 2 4_TOM TAT" xfId="21321" xr:uid="{00000000-0005-0000-0000-0000331E0000}"/>
    <cellStyle name="Column-S 2 2 2 2 5" xfId="2001" xr:uid="{00000000-0005-0000-0000-0000341E0000}"/>
    <cellStyle name="Column-S 2 2 2 2 5 2" xfId="5194" xr:uid="{00000000-0005-0000-0000-0000351E0000}"/>
    <cellStyle name="Column-S 2 2 2 2 5 2 2" xfId="28092" xr:uid="{00000000-0005-0000-0000-0000361E0000}"/>
    <cellStyle name="Column-S 2 2 2 2 5 2_TOM TAT" xfId="21324" xr:uid="{00000000-0005-0000-0000-0000371E0000}"/>
    <cellStyle name="Column-S 2 2 2 2 5 3" xfId="27030" xr:uid="{00000000-0005-0000-0000-0000381E0000}"/>
    <cellStyle name="Column-S 2 2 2 2 5_TOM TAT" xfId="21323" xr:uid="{00000000-0005-0000-0000-0000391E0000}"/>
    <cellStyle name="Column-S 2 2 2 2 6" xfId="5195" xr:uid="{00000000-0005-0000-0000-00003A1E0000}"/>
    <cellStyle name="Column-S 2 2 2 2 6 2" xfId="28093" xr:uid="{00000000-0005-0000-0000-00003B1E0000}"/>
    <cellStyle name="Column-S 2 2 2 2 6_TOM TAT" xfId="21325" xr:uid="{00000000-0005-0000-0000-00003C1E0000}"/>
    <cellStyle name="Column-S 2 2 2 2 7" xfId="27025" xr:uid="{00000000-0005-0000-0000-00003D1E0000}"/>
    <cellStyle name="Column-S 2 2 2 2_TOM TAT" xfId="21314" xr:uid="{00000000-0005-0000-0000-00003E1E0000}"/>
    <cellStyle name="Column-S 2 2 2 3" xfId="2002" xr:uid="{00000000-0005-0000-0000-00003F1E0000}"/>
    <cellStyle name="Column-S 2 2 2 3 2" xfId="2003" xr:uid="{00000000-0005-0000-0000-0000401E0000}"/>
    <cellStyle name="Column-S 2 2 2 3 2 2" xfId="5196" xr:uid="{00000000-0005-0000-0000-0000411E0000}"/>
    <cellStyle name="Column-S 2 2 2 3 2 2 2" xfId="28094" xr:uid="{00000000-0005-0000-0000-0000421E0000}"/>
    <cellStyle name="Column-S 2 2 2 3 2 2_TOM TAT" xfId="21328" xr:uid="{00000000-0005-0000-0000-0000431E0000}"/>
    <cellStyle name="Column-S 2 2 2 3 2 3" xfId="27032" xr:uid="{00000000-0005-0000-0000-0000441E0000}"/>
    <cellStyle name="Column-S 2 2 2 3 2_TOM TAT" xfId="21327" xr:uid="{00000000-0005-0000-0000-0000451E0000}"/>
    <cellStyle name="Column-S 2 2 2 3 3" xfId="5197" xr:uid="{00000000-0005-0000-0000-0000461E0000}"/>
    <cellStyle name="Column-S 2 2 2 3 3 2" xfId="28095" xr:uid="{00000000-0005-0000-0000-0000471E0000}"/>
    <cellStyle name="Column-S 2 2 2 3 3_TOM TAT" xfId="21329" xr:uid="{00000000-0005-0000-0000-0000481E0000}"/>
    <cellStyle name="Column-S 2 2 2 3 4" xfId="27031" xr:uid="{00000000-0005-0000-0000-0000491E0000}"/>
    <cellStyle name="Column-S 2 2 2 3_TOM TAT" xfId="21326" xr:uid="{00000000-0005-0000-0000-00004A1E0000}"/>
    <cellStyle name="Column-S 2 2 2 4" xfId="2004" xr:uid="{00000000-0005-0000-0000-00004B1E0000}"/>
    <cellStyle name="Column-S 2 2 2 4 2" xfId="5198" xr:uid="{00000000-0005-0000-0000-00004C1E0000}"/>
    <cellStyle name="Column-S 2 2 2 4 2 2" xfId="28096" xr:uid="{00000000-0005-0000-0000-00004D1E0000}"/>
    <cellStyle name="Column-S 2 2 2 4 2_TOM TAT" xfId="21331" xr:uid="{00000000-0005-0000-0000-00004E1E0000}"/>
    <cellStyle name="Column-S 2 2 2 4 3" xfId="27033" xr:uid="{00000000-0005-0000-0000-00004F1E0000}"/>
    <cellStyle name="Column-S 2 2 2 4_TOM TAT" xfId="21330" xr:uid="{00000000-0005-0000-0000-0000501E0000}"/>
    <cellStyle name="Column-S 2 2 2 5" xfId="2005" xr:uid="{00000000-0005-0000-0000-0000511E0000}"/>
    <cellStyle name="Column-S 2 2 2 5 2" xfId="5199" xr:uid="{00000000-0005-0000-0000-0000521E0000}"/>
    <cellStyle name="Column-S 2 2 2 5 2 2" xfId="28097" xr:uid="{00000000-0005-0000-0000-0000531E0000}"/>
    <cellStyle name="Column-S 2 2 2 5 2_TOM TAT" xfId="21333" xr:uid="{00000000-0005-0000-0000-0000541E0000}"/>
    <cellStyle name="Column-S 2 2 2 5 3" xfId="27034" xr:uid="{00000000-0005-0000-0000-0000551E0000}"/>
    <cellStyle name="Column-S 2 2 2 5_TOM TAT" xfId="21332" xr:uid="{00000000-0005-0000-0000-0000561E0000}"/>
    <cellStyle name="Column-S 2 2 2 6" xfId="2006" xr:uid="{00000000-0005-0000-0000-0000571E0000}"/>
    <cellStyle name="Column-S 2 2 2 6 2" xfId="5200" xr:uid="{00000000-0005-0000-0000-0000581E0000}"/>
    <cellStyle name="Column-S 2 2 2 6 2 2" xfId="28098" xr:uid="{00000000-0005-0000-0000-0000591E0000}"/>
    <cellStyle name="Column-S 2 2 2 6 2_TOM TAT" xfId="21335" xr:uid="{00000000-0005-0000-0000-00005A1E0000}"/>
    <cellStyle name="Column-S 2 2 2 6 3" xfId="27035" xr:uid="{00000000-0005-0000-0000-00005B1E0000}"/>
    <cellStyle name="Column-S 2 2 2 6_TOM TAT" xfId="21334" xr:uid="{00000000-0005-0000-0000-00005C1E0000}"/>
    <cellStyle name="Column-S 2 2 2 7" xfId="5201" xr:uid="{00000000-0005-0000-0000-00005D1E0000}"/>
    <cellStyle name="Column-S 2 2 2 7 2" xfId="28099" xr:uid="{00000000-0005-0000-0000-00005E1E0000}"/>
    <cellStyle name="Column-S 2 2 2 7_TOM TAT" xfId="21336" xr:uid="{00000000-0005-0000-0000-00005F1E0000}"/>
    <cellStyle name="Column-S 2 2 2 8" xfId="27024" xr:uid="{00000000-0005-0000-0000-0000601E0000}"/>
    <cellStyle name="Column-S 2 2 2_TOM TAT" xfId="21313" xr:uid="{00000000-0005-0000-0000-0000611E0000}"/>
    <cellStyle name="Column-S 2 2 3" xfId="2007" xr:uid="{00000000-0005-0000-0000-0000621E0000}"/>
    <cellStyle name="Column-S 2 2 3 2" xfId="2008" xr:uid="{00000000-0005-0000-0000-0000631E0000}"/>
    <cellStyle name="Column-S 2 2 3 2 2" xfId="2009" xr:uid="{00000000-0005-0000-0000-0000641E0000}"/>
    <cellStyle name="Column-S 2 2 3 2 2 2" xfId="5202" xr:uid="{00000000-0005-0000-0000-0000651E0000}"/>
    <cellStyle name="Column-S 2 2 3 2 2 2 2" xfId="28100" xr:uid="{00000000-0005-0000-0000-0000661E0000}"/>
    <cellStyle name="Column-S 2 2 3 2 2 2_TOM TAT" xfId="21340" xr:uid="{00000000-0005-0000-0000-0000671E0000}"/>
    <cellStyle name="Column-S 2 2 3 2 2 3" xfId="27038" xr:uid="{00000000-0005-0000-0000-0000681E0000}"/>
    <cellStyle name="Column-S 2 2 3 2 2_TOM TAT" xfId="21339" xr:uid="{00000000-0005-0000-0000-0000691E0000}"/>
    <cellStyle name="Column-S 2 2 3 2 3" xfId="5203" xr:uid="{00000000-0005-0000-0000-00006A1E0000}"/>
    <cellStyle name="Column-S 2 2 3 2 3 2" xfId="28101" xr:uid="{00000000-0005-0000-0000-00006B1E0000}"/>
    <cellStyle name="Column-S 2 2 3 2 3_TOM TAT" xfId="21341" xr:uid="{00000000-0005-0000-0000-00006C1E0000}"/>
    <cellStyle name="Column-S 2 2 3 2 4" xfId="27037" xr:uid="{00000000-0005-0000-0000-00006D1E0000}"/>
    <cellStyle name="Column-S 2 2 3 2_TOM TAT" xfId="21338" xr:uid="{00000000-0005-0000-0000-00006E1E0000}"/>
    <cellStyle name="Column-S 2 2 3 3" xfId="2010" xr:uid="{00000000-0005-0000-0000-00006F1E0000}"/>
    <cellStyle name="Column-S 2 2 3 3 2" xfId="5204" xr:uid="{00000000-0005-0000-0000-0000701E0000}"/>
    <cellStyle name="Column-S 2 2 3 3 2 2" xfId="28102" xr:uid="{00000000-0005-0000-0000-0000711E0000}"/>
    <cellStyle name="Column-S 2 2 3 3 2_TOM TAT" xfId="21343" xr:uid="{00000000-0005-0000-0000-0000721E0000}"/>
    <cellStyle name="Column-S 2 2 3 3 3" xfId="27039" xr:uid="{00000000-0005-0000-0000-0000731E0000}"/>
    <cellStyle name="Column-S 2 2 3 3_TOM TAT" xfId="21342" xr:uid="{00000000-0005-0000-0000-0000741E0000}"/>
    <cellStyle name="Column-S 2 2 3 4" xfId="2011" xr:uid="{00000000-0005-0000-0000-0000751E0000}"/>
    <cellStyle name="Column-S 2 2 3 4 2" xfId="5205" xr:uid="{00000000-0005-0000-0000-0000761E0000}"/>
    <cellStyle name="Column-S 2 2 3 4 2 2" xfId="28103" xr:uid="{00000000-0005-0000-0000-0000771E0000}"/>
    <cellStyle name="Column-S 2 2 3 4 2_TOM TAT" xfId="21345" xr:uid="{00000000-0005-0000-0000-0000781E0000}"/>
    <cellStyle name="Column-S 2 2 3 4 3" xfId="27040" xr:uid="{00000000-0005-0000-0000-0000791E0000}"/>
    <cellStyle name="Column-S 2 2 3 4_TOM TAT" xfId="21344" xr:uid="{00000000-0005-0000-0000-00007A1E0000}"/>
    <cellStyle name="Column-S 2 2 3 5" xfId="2012" xr:uid="{00000000-0005-0000-0000-00007B1E0000}"/>
    <cellStyle name="Column-S 2 2 3 5 2" xfId="5206" xr:uid="{00000000-0005-0000-0000-00007C1E0000}"/>
    <cellStyle name="Column-S 2 2 3 5 2 2" xfId="28104" xr:uid="{00000000-0005-0000-0000-00007D1E0000}"/>
    <cellStyle name="Column-S 2 2 3 5 2_TOM TAT" xfId="21347" xr:uid="{00000000-0005-0000-0000-00007E1E0000}"/>
    <cellStyle name="Column-S 2 2 3 5 3" xfId="27041" xr:uid="{00000000-0005-0000-0000-00007F1E0000}"/>
    <cellStyle name="Column-S 2 2 3 5_TOM TAT" xfId="21346" xr:uid="{00000000-0005-0000-0000-0000801E0000}"/>
    <cellStyle name="Column-S 2 2 3 6" xfId="5207" xr:uid="{00000000-0005-0000-0000-0000811E0000}"/>
    <cellStyle name="Column-S 2 2 3 6 2" xfId="28105" xr:uid="{00000000-0005-0000-0000-0000821E0000}"/>
    <cellStyle name="Column-S 2 2 3 6_TOM TAT" xfId="21348" xr:uid="{00000000-0005-0000-0000-0000831E0000}"/>
    <cellStyle name="Column-S 2 2 3 7" xfId="27036" xr:uid="{00000000-0005-0000-0000-0000841E0000}"/>
    <cellStyle name="Column-S 2 2 3_TOM TAT" xfId="21337" xr:uid="{00000000-0005-0000-0000-0000851E0000}"/>
    <cellStyle name="Column-S 2 2 4" xfId="2013" xr:uid="{00000000-0005-0000-0000-0000861E0000}"/>
    <cellStyle name="Column-S 2 2 4 2" xfId="2014" xr:uid="{00000000-0005-0000-0000-0000871E0000}"/>
    <cellStyle name="Column-S 2 2 4 2 2" xfId="5208" xr:uid="{00000000-0005-0000-0000-0000881E0000}"/>
    <cellStyle name="Column-S 2 2 4 2 2 2" xfId="28106" xr:uid="{00000000-0005-0000-0000-0000891E0000}"/>
    <cellStyle name="Column-S 2 2 4 2 2_TOM TAT" xfId="21351" xr:uid="{00000000-0005-0000-0000-00008A1E0000}"/>
    <cellStyle name="Column-S 2 2 4 2 3" xfId="27043" xr:uid="{00000000-0005-0000-0000-00008B1E0000}"/>
    <cellStyle name="Column-S 2 2 4 2_TOM TAT" xfId="21350" xr:uid="{00000000-0005-0000-0000-00008C1E0000}"/>
    <cellStyle name="Column-S 2 2 4 3" xfId="5209" xr:uid="{00000000-0005-0000-0000-00008D1E0000}"/>
    <cellStyle name="Column-S 2 2 4 3 2" xfId="28107" xr:uid="{00000000-0005-0000-0000-00008E1E0000}"/>
    <cellStyle name="Column-S 2 2 4 3_TOM TAT" xfId="21352" xr:uid="{00000000-0005-0000-0000-00008F1E0000}"/>
    <cellStyle name="Column-S 2 2 4 4" xfId="27042" xr:uid="{00000000-0005-0000-0000-0000901E0000}"/>
    <cellStyle name="Column-S 2 2 4_TOM TAT" xfId="21349" xr:uid="{00000000-0005-0000-0000-0000911E0000}"/>
    <cellStyle name="Column-S 2 2 5" xfId="2015" xr:uid="{00000000-0005-0000-0000-0000921E0000}"/>
    <cellStyle name="Column-S 2 2 5 2" xfId="5210" xr:uid="{00000000-0005-0000-0000-0000931E0000}"/>
    <cellStyle name="Column-S 2 2 5 2 2" xfId="28108" xr:uid="{00000000-0005-0000-0000-0000941E0000}"/>
    <cellStyle name="Column-S 2 2 5 2_TOM TAT" xfId="21354" xr:uid="{00000000-0005-0000-0000-0000951E0000}"/>
    <cellStyle name="Column-S 2 2 5 3" xfId="27044" xr:uid="{00000000-0005-0000-0000-0000961E0000}"/>
    <cellStyle name="Column-S 2 2 5_TOM TAT" xfId="21353" xr:uid="{00000000-0005-0000-0000-0000971E0000}"/>
    <cellStyle name="Column-S 2 2 6" xfId="2016" xr:uid="{00000000-0005-0000-0000-0000981E0000}"/>
    <cellStyle name="Column-S 2 2 6 2" xfId="5211" xr:uid="{00000000-0005-0000-0000-0000991E0000}"/>
    <cellStyle name="Column-S 2 2 6 2 2" xfId="28109" xr:uid="{00000000-0005-0000-0000-00009A1E0000}"/>
    <cellStyle name="Column-S 2 2 6 2_TOM TAT" xfId="21356" xr:uid="{00000000-0005-0000-0000-00009B1E0000}"/>
    <cellStyle name="Column-S 2 2 6 3" xfId="27045" xr:uid="{00000000-0005-0000-0000-00009C1E0000}"/>
    <cellStyle name="Column-S 2 2 6_TOM TAT" xfId="21355" xr:uid="{00000000-0005-0000-0000-00009D1E0000}"/>
    <cellStyle name="Column-S 2 2 7" xfId="2017" xr:uid="{00000000-0005-0000-0000-00009E1E0000}"/>
    <cellStyle name="Column-S 2 2 7 2" xfId="5212" xr:uid="{00000000-0005-0000-0000-00009F1E0000}"/>
    <cellStyle name="Column-S 2 2 7 2 2" xfId="28110" xr:uid="{00000000-0005-0000-0000-0000A01E0000}"/>
    <cellStyle name="Column-S 2 2 7 2_TOM TAT" xfId="21358" xr:uid="{00000000-0005-0000-0000-0000A11E0000}"/>
    <cellStyle name="Column-S 2 2 7 3" xfId="27046" xr:uid="{00000000-0005-0000-0000-0000A21E0000}"/>
    <cellStyle name="Column-S 2 2 7_TOM TAT" xfId="21357" xr:uid="{00000000-0005-0000-0000-0000A31E0000}"/>
    <cellStyle name="Column-S 2 2 8" xfId="5213" xr:uid="{00000000-0005-0000-0000-0000A41E0000}"/>
    <cellStyle name="Column-S 2 2 8 2" xfId="28111" xr:uid="{00000000-0005-0000-0000-0000A51E0000}"/>
    <cellStyle name="Column-S 2 2 8_TOM TAT" xfId="21359" xr:uid="{00000000-0005-0000-0000-0000A61E0000}"/>
    <cellStyle name="Column-S 2 2 9" xfId="27023" xr:uid="{00000000-0005-0000-0000-0000A71E0000}"/>
    <cellStyle name="Column-S 2 2_TOM TAT" xfId="21312" xr:uid="{00000000-0005-0000-0000-0000A81E0000}"/>
    <cellStyle name="Column-S 2 3" xfId="2018" xr:uid="{00000000-0005-0000-0000-0000A91E0000}"/>
    <cellStyle name="Column-S 2 3 2" xfId="2019" xr:uid="{00000000-0005-0000-0000-0000AA1E0000}"/>
    <cellStyle name="Column-S 2 3 2 2" xfId="2020" xr:uid="{00000000-0005-0000-0000-0000AB1E0000}"/>
    <cellStyle name="Column-S 2 3 2 2 2" xfId="2021" xr:uid="{00000000-0005-0000-0000-0000AC1E0000}"/>
    <cellStyle name="Column-S 2 3 2 2 2 2" xfId="5214" xr:uid="{00000000-0005-0000-0000-0000AD1E0000}"/>
    <cellStyle name="Column-S 2 3 2 2 2 2 2" xfId="28112" xr:uid="{00000000-0005-0000-0000-0000AE1E0000}"/>
    <cellStyle name="Column-S 2 3 2 2 2 2_TOM TAT" xfId="21364" xr:uid="{00000000-0005-0000-0000-0000AF1E0000}"/>
    <cellStyle name="Column-S 2 3 2 2 2 3" xfId="27050" xr:uid="{00000000-0005-0000-0000-0000B01E0000}"/>
    <cellStyle name="Column-S 2 3 2 2 2_TOM TAT" xfId="21363" xr:uid="{00000000-0005-0000-0000-0000B11E0000}"/>
    <cellStyle name="Column-S 2 3 2 2 3" xfId="5215" xr:uid="{00000000-0005-0000-0000-0000B21E0000}"/>
    <cellStyle name="Column-S 2 3 2 2 3 2" xfId="28113" xr:uid="{00000000-0005-0000-0000-0000B31E0000}"/>
    <cellStyle name="Column-S 2 3 2 2 3_TOM TAT" xfId="21365" xr:uid="{00000000-0005-0000-0000-0000B41E0000}"/>
    <cellStyle name="Column-S 2 3 2 2 4" xfId="27049" xr:uid="{00000000-0005-0000-0000-0000B51E0000}"/>
    <cellStyle name="Column-S 2 3 2 2_TOM TAT" xfId="21362" xr:uid="{00000000-0005-0000-0000-0000B61E0000}"/>
    <cellStyle name="Column-S 2 3 2 3" xfId="2022" xr:uid="{00000000-0005-0000-0000-0000B71E0000}"/>
    <cellStyle name="Column-S 2 3 2 3 2" xfId="5216" xr:uid="{00000000-0005-0000-0000-0000B81E0000}"/>
    <cellStyle name="Column-S 2 3 2 3 2 2" xfId="28114" xr:uid="{00000000-0005-0000-0000-0000B91E0000}"/>
    <cellStyle name="Column-S 2 3 2 3 2_TOM TAT" xfId="21367" xr:uid="{00000000-0005-0000-0000-0000BA1E0000}"/>
    <cellStyle name="Column-S 2 3 2 3 3" xfId="27051" xr:uid="{00000000-0005-0000-0000-0000BB1E0000}"/>
    <cellStyle name="Column-S 2 3 2 3_TOM TAT" xfId="21366" xr:uid="{00000000-0005-0000-0000-0000BC1E0000}"/>
    <cellStyle name="Column-S 2 3 2 4" xfId="2023" xr:uid="{00000000-0005-0000-0000-0000BD1E0000}"/>
    <cellStyle name="Column-S 2 3 2 4 2" xfId="5217" xr:uid="{00000000-0005-0000-0000-0000BE1E0000}"/>
    <cellStyle name="Column-S 2 3 2 4 2 2" xfId="28115" xr:uid="{00000000-0005-0000-0000-0000BF1E0000}"/>
    <cellStyle name="Column-S 2 3 2 4 2_TOM TAT" xfId="21369" xr:uid="{00000000-0005-0000-0000-0000C01E0000}"/>
    <cellStyle name="Column-S 2 3 2 4 3" xfId="27052" xr:uid="{00000000-0005-0000-0000-0000C11E0000}"/>
    <cellStyle name="Column-S 2 3 2 4_TOM TAT" xfId="21368" xr:uid="{00000000-0005-0000-0000-0000C21E0000}"/>
    <cellStyle name="Column-S 2 3 2 5" xfId="2024" xr:uid="{00000000-0005-0000-0000-0000C31E0000}"/>
    <cellStyle name="Column-S 2 3 2 5 2" xfId="5218" xr:uid="{00000000-0005-0000-0000-0000C41E0000}"/>
    <cellStyle name="Column-S 2 3 2 5 2 2" xfId="28116" xr:uid="{00000000-0005-0000-0000-0000C51E0000}"/>
    <cellStyle name="Column-S 2 3 2 5 2_TOM TAT" xfId="21371" xr:uid="{00000000-0005-0000-0000-0000C61E0000}"/>
    <cellStyle name="Column-S 2 3 2 5 3" xfId="27053" xr:uid="{00000000-0005-0000-0000-0000C71E0000}"/>
    <cellStyle name="Column-S 2 3 2 5_TOM TAT" xfId="21370" xr:uid="{00000000-0005-0000-0000-0000C81E0000}"/>
    <cellStyle name="Column-S 2 3 2 6" xfId="5219" xr:uid="{00000000-0005-0000-0000-0000C91E0000}"/>
    <cellStyle name="Column-S 2 3 2 6 2" xfId="28117" xr:uid="{00000000-0005-0000-0000-0000CA1E0000}"/>
    <cellStyle name="Column-S 2 3 2 6_TOM TAT" xfId="21372" xr:uid="{00000000-0005-0000-0000-0000CB1E0000}"/>
    <cellStyle name="Column-S 2 3 2 7" xfId="27048" xr:uid="{00000000-0005-0000-0000-0000CC1E0000}"/>
    <cellStyle name="Column-S 2 3 2_TOM TAT" xfId="21361" xr:uid="{00000000-0005-0000-0000-0000CD1E0000}"/>
    <cellStyle name="Column-S 2 3 3" xfId="2025" xr:uid="{00000000-0005-0000-0000-0000CE1E0000}"/>
    <cellStyle name="Column-S 2 3 3 2" xfId="2026" xr:uid="{00000000-0005-0000-0000-0000CF1E0000}"/>
    <cellStyle name="Column-S 2 3 3 2 2" xfId="2027" xr:uid="{00000000-0005-0000-0000-0000D01E0000}"/>
    <cellStyle name="Column-S 2 3 3 2 2 2" xfId="5220" xr:uid="{00000000-0005-0000-0000-0000D11E0000}"/>
    <cellStyle name="Column-S 2 3 3 2 2 2 2" xfId="28118" xr:uid="{00000000-0005-0000-0000-0000D21E0000}"/>
    <cellStyle name="Column-S 2 3 3 2 2 2_TOM TAT" xfId="21376" xr:uid="{00000000-0005-0000-0000-0000D31E0000}"/>
    <cellStyle name="Column-S 2 3 3 2 2 3" xfId="27056" xr:uid="{00000000-0005-0000-0000-0000D41E0000}"/>
    <cellStyle name="Column-S 2 3 3 2 2_TOM TAT" xfId="21375" xr:uid="{00000000-0005-0000-0000-0000D51E0000}"/>
    <cellStyle name="Column-S 2 3 3 2 3" xfId="5221" xr:uid="{00000000-0005-0000-0000-0000D61E0000}"/>
    <cellStyle name="Column-S 2 3 3 2 3 2" xfId="28119" xr:uid="{00000000-0005-0000-0000-0000D71E0000}"/>
    <cellStyle name="Column-S 2 3 3 2 3_TOM TAT" xfId="21377" xr:uid="{00000000-0005-0000-0000-0000D81E0000}"/>
    <cellStyle name="Column-S 2 3 3 2 4" xfId="27055" xr:uid="{00000000-0005-0000-0000-0000D91E0000}"/>
    <cellStyle name="Column-S 2 3 3 2_TOM TAT" xfId="21374" xr:uid="{00000000-0005-0000-0000-0000DA1E0000}"/>
    <cellStyle name="Column-S 2 3 3 3" xfId="2028" xr:uid="{00000000-0005-0000-0000-0000DB1E0000}"/>
    <cellStyle name="Column-S 2 3 3 3 2" xfId="5222" xr:uid="{00000000-0005-0000-0000-0000DC1E0000}"/>
    <cellStyle name="Column-S 2 3 3 3 2 2" xfId="28120" xr:uid="{00000000-0005-0000-0000-0000DD1E0000}"/>
    <cellStyle name="Column-S 2 3 3 3 2_TOM TAT" xfId="21379" xr:uid="{00000000-0005-0000-0000-0000DE1E0000}"/>
    <cellStyle name="Column-S 2 3 3 3 3" xfId="27057" xr:uid="{00000000-0005-0000-0000-0000DF1E0000}"/>
    <cellStyle name="Column-S 2 3 3 3_TOM TAT" xfId="21378" xr:uid="{00000000-0005-0000-0000-0000E01E0000}"/>
    <cellStyle name="Column-S 2 3 3 4" xfId="2029" xr:uid="{00000000-0005-0000-0000-0000E11E0000}"/>
    <cellStyle name="Column-S 2 3 3 4 2" xfId="5223" xr:uid="{00000000-0005-0000-0000-0000E21E0000}"/>
    <cellStyle name="Column-S 2 3 3 4 2 2" xfId="28121" xr:uid="{00000000-0005-0000-0000-0000E31E0000}"/>
    <cellStyle name="Column-S 2 3 3 4 2_TOM TAT" xfId="21381" xr:uid="{00000000-0005-0000-0000-0000E41E0000}"/>
    <cellStyle name="Column-S 2 3 3 4 3" xfId="27058" xr:uid="{00000000-0005-0000-0000-0000E51E0000}"/>
    <cellStyle name="Column-S 2 3 3 4_TOM TAT" xfId="21380" xr:uid="{00000000-0005-0000-0000-0000E61E0000}"/>
    <cellStyle name="Column-S 2 3 3 5" xfId="2030" xr:uid="{00000000-0005-0000-0000-0000E71E0000}"/>
    <cellStyle name="Column-S 2 3 3 5 2" xfId="5224" xr:uid="{00000000-0005-0000-0000-0000E81E0000}"/>
    <cellStyle name="Column-S 2 3 3 5 2 2" xfId="28122" xr:uid="{00000000-0005-0000-0000-0000E91E0000}"/>
    <cellStyle name="Column-S 2 3 3 5 2_TOM TAT" xfId="21383" xr:uid="{00000000-0005-0000-0000-0000EA1E0000}"/>
    <cellStyle name="Column-S 2 3 3 5 3" xfId="27059" xr:uid="{00000000-0005-0000-0000-0000EB1E0000}"/>
    <cellStyle name="Column-S 2 3 3 5_TOM TAT" xfId="21382" xr:uid="{00000000-0005-0000-0000-0000EC1E0000}"/>
    <cellStyle name="Column-S 2 3 3 6" xfId="5225" xr:uid="{00000000-0005-0000-0000-0000ED1E0000}"/>
    <cellStyle name="Column-S 2 3 3 6 2" xfId="28123" xr:uid="{00000000-0005-0000-0000-0000EE1E0000}"/>
    <cellStyle name="Column-S 2 3 3 6_TOM TAT" xfId="21384" xr:uid="{00000000-0005-0000-0000-0000EF1E0000}"/>
    <cellStyle name="Column-S 2 3 3 7" xfId="27054" xr:uid="{00000000-0005-0000-0000-0000F01E0000}"/>
    <cellStyle name="Column-S 2 3 3_TOM TAT" xfId="21373" xr:uid="{00000000-0005-0000-0000-0000F11E0000}"/>
    <cellStyle name="Column-S 2 3 4" xfId="2031" xr:uid="{00000000-0005-0000-0000-0000F21E0000}"/>
    <cellStyle name="Column-S 2 3 4 2" xfId="2032" xr:uid="{00000000-0005-0000-0000-0000F31E0000}"/>
    <cellStyle name="Column-S 2 3 4 2 2" xfId="5226" xr:uid="{00000000-0005-0000-0000-0000F41E0000}"/>
    <cellStyle name="Column-S 2 3 4 2 2 2" xfId="28124" xr:uid="{00000000-0005-0000-0000-0000F51E0000}"/>
    <cellStyle name="Column-S 2 3 4 2 2_TOM TAT" xfId="21387" xr:uid="{00000000-0005-0000-0000-0000F61E0000}"/>
    <cellStyle name="Column-S 2 3 4 2 3" xfId="27061" xr:uid="{00000000-0005-0000-0000-0000F71E0000}"/>
    <cellStyle name="Column-S 2 3 4 2_TOM TAT" xfId="21386" xr:uid="{00000000-0005-0000-0000-0000F81E0000}"/>
    <cellStyle name="Column-S 2 3 4 3" xfId="5227" xr:uid="{00000000-0005-0000-0000-0000F91E0000}"/>
    <cellStyle name="Column-S 2 3 4 3 2" xfId="28125" xr:uid="{00000000-0005-0000-0000-0000FA1E0000}"/>
    <cellStyle name="Column-S 2 3 4 3_TOM TAT" xfId="21388" xr:uid="{00000000-0005-0000-0000-0000FB1E0000}"/>
    <cellStyle name="Column-S 2 3 4 4" xfId="27060" xr:uid="{00000000-0005-0000-0000-0000FC1E0000}"/>
    <cellStyle name="Column-S 2 3 4_TOM TAT" xfId="21385" xr:uid="{00000000-0005-0000-0000-0000FD1E0000}"/>
    <cellStyle name="Column-S 2 3 5" xfId="2033" xr:uid="{00000000-0005-0000-0000-0000FE1E0000}"/>
    <cellStyle name="Column-S 2 3 5 2" xfId="5228" xr:uid="{00000000-0005-0000-0000-0000FF1E0000}"/>
    <cellStyle name="Column-S 2 3 5 2 2" xfId="28126" xr:uid="{00000000-0005-0000-0000-0000001F0000}"/>
    <cellStyle name="Column-S 2 3 5 2_TOM TAT" xfId="21390" xr:uid="{00000000-0005-0000-0000-0000011F0000}"/>
    <cellStyle name="Column-S 2 3 5 3" xfId="27062" xr:uid="{00000000-0005-0000-0000-0000021F0000}"/>
    <cellStyle name="Column-S 2 3 5_TOM TAT" xfId="21389" xr:uid="{00000000-0005-0000-0000-0000031F0000}"/>
    <cellStyle name="Column-S 2 3 6" xfId="2034" xr:uid="{00000000-0005-0000-0000-0000041F0000}"/>
    <cellStyle name="Column-S 2 3 6 2" xfId="5229" xr:uid="{00000000-0005-0000-0000-0000051F0000}"/>
    <cellStyle name="Column-S 2 3 6 2 2" xfId="28127" xr:uid="{00000000-0005-0000-0000-0000061F0000}"/>
    <cellStyle name="Column-S 2 3 6 2_TOM TAT" xfId="21392" xr:uid="{00000000-0005-0000-0000-0000071F0000}"/>
    <cellStyle name="Column-S 2 3 6 3" xfId="27063" xr:uid="{00000000-0005-0000-0000-0000081F0000}"/>
    <cellStyle name="Column-S 2 3 6_TOM TAT" xfId="21391" xr:uid="{00000000-0005-0000-0000-0000091F0000}"/>
    <cellStyle name="Column-S 2 3 7" xfId="2035" xr:uid="{00000000-0005-0000-0000-00000A1F0000}"/>
    <cellStyle name="Column-S 2 3 7 2" xfId="5230" xr:uid="{00000000-0005-0000-0000-00000B1F0000}"/>
    <cellStyle name="Column-S 2 3 7 2 2" xfId="28128" xr:uid="{00000000-0005-0000-0000-00000C1F0000}"/>
    <cellStyle name="Column-S 2 3 7 2_TOM TAT" xfId="21394" xr:uid="{00000000-0005-0000-0000-00000D1F0000}"/>
    <cellStyle name="Column-S 2 3 7 3" xfId="27064" xr:uid="{00000000-0005-0000-0000-00000E1F0000}"/>
    <cellStyle name="Column-S 2 3 7_TOM TAT" xfId="21393" xr:uid="{00000000-0005-0000-0000-00000F1F0000}"/>
    <cellStyle name="Column-S 2 3 8" xfId="5231" xr:uid="{00000000-0005-0000-0000-0000101F0000}"/>
    <cellStyle name="Column-S 2 3 8 2" xfId="28129" xr:uid="{00000000-0005-0000-0000-0000111F0000}"/>
    <cellStyle name="Column-S 2 3 8_TOM TAT" xfId="21395" xr:uid="{00000000-0005-0000-0000-0000121F0000}"/>
    <cellStyle name="Column-S 2 3 9" xfId="27047" xr:uid="{00000000-0005-0000-0000-0000131F0000}"/>
    <cellStyle name="Column-S 2 3_TOM TAT" xfId="21360" xr:uid="{00000000-0005-0000-0000-0000141F0000}"/>
    <cellStyle name="Column-S 2 4" xfId="2036" xr:uid="{00000000-0005-0000-0000-0000151F0000}"/>
    <cellStyle name="Column-S 2 4 2" xfId="2037" xr:uid="{00000000-0005-0000-0000-0000161F0000}"/>
    <cellStyle name="Column-S 2 4 2 2" xfId="2038" xr:uid="{00000000-0005-0000-0000-0000171F0000}"/>
    <cellStyle name="Column-S 2 4 2 2 2" xfId="5232" xr:uid="{00000000-0005-0000-0000-0000181F0000}"/>
    <cellStyle name="Column-S 2 4 2 2 2 2" xfId="28130" xr:uid="{00000000-0005-0000-0000-0000191F0000}"/>
    <cellStyle name="Column-S 2 4 2 2 2_TOM TAT" xfId="21399" xr:uid="{00000000-0005-0000-0000-00001A1F0000}"/>
    <cellStyle name="Column-S 2 4 2 2 3" xfId="27067" xr:uid="{00000000-0005-0000-0000-00001B1F0000}"/>
    <cellStyle name="Column-S 2 4 2 2_TOM TAT" xfId="21398" xr:uid="{00000000-0005-0000-0000-00001C1F0000}"/>
    <cellStyle name="Column-S 2 4 2 3" xfId="5233" xr:uid="{00000000-0005-0000-0000-00001D1F0000}"/>
    <cellStyle name="Column-S 2 4 2 3 2" xfId="28131" xr:uid="{00000000-0005-0000-0000-00001E1F0000}"/>
    <cellStyle name="Column-S 2 4 2 3_TOM TAT" xfId="21400" xr:uid="{00000000-0005-0000-0000-00001F1F0000}"/>
    <cellStyle name="Column-S 2 4 2 4" xfId="27066" xr:uid="{00000000-0005-0000-0000-0000201F0000}"/>
    <cellStyle name="Column-S 2 4 2_TOM TAT" xfId="21397" xr:uid="{00000000-0005-0000-0000-0000211F0000}"/>
    <cellStyle name="Column-S 2 4 3" xfId="2039" xr:uid="{00000000-0005-0000-0000-0000221F0000}"/>
    <cellStyle name="Column-S 2 4 3 2" xfId="5234" xr:uid="{00000000-0005-0000-0000-0000231F0000}"/>
    <cellStyle name="Column-S 2 4 3 2 2" xfId="28132" xr:uid="{00000000-0005-0000-0000-0000241F0000}"/>
    <cellStyle name="Column-S 2 4 3 2_TOM TAT" xfId="21402" xr:uid="{00000000-0005-0000-0000-0000251F0000}"/>
    <cellStyle name="Column-S 2 4 3 3" xfId="27068" xr:uid="{00000000-0005-0000-0000-0000261F0000}"/>
    <cellStyle name="Column-S 2 4 3_TOM TAT" xfId="21401" xr:uid="{00000000-0005-0000-0000-0000271F0000}"/>
    <cellStyle name="Column-S 2 4 4" xfId="2040" xr:uid="{00000000-0005-0000-0000-0000281F0000}"/>
    <cellStyle name="Column-S 2 4 4 2" xfId="5235" xr:uid="{00000000-0005-0000-0000-0000291F0000}"/>
    <cellStyle name="Column-S 2 4 4 2 2" xfId="28133" xr:uid="{00000000-0005-0000-0000-00002A1F0000}"/>
    <cellStyle name="Column-S 2 4 4 2_TOM TAT" xfId="21404" xr:uid="{00000000-0005-0000-0000-00002B1F0000}"/>
    <cellStyle name="Column-S 2 4 4 3" xfId="27069" xr:uid="{00000000-0005-0000-0000-00002C1F0000}"/>
    <cellStyle name="Column-S 2 4 4_TOM TAT" xfId="21403" xr:uid="{00000000-0005-0000-0000-00002D1F0000}"/>
    <cellStyle name="Column-S 2 4 5" xfId="2041" xr:uid="{00000000-0005-0000-0000-00002E1F0000}"/>
    <cellStyle name="Column-S 2 4 5 2" xfId="5236" xr:uid="{00000000-0005-0000-0000-00002F1F0000}"/>
    <cellStyle name="Column-S 2 4 5 2 2" xfId="28134" xr:uid="{00000000-0005-0000-0000-0000301F0000}"/>
    <cellStyle name="Column-S 2 4 5 2_TOM TAT" xfId="21406" xr:uid="{00000000-0005-0000-0000-0000311F0000}"/>
    <cellStyle name="Column-S 2 4 5 3" xfId="27070" xr:uid="{00000000-0005-0000-0000-0000321F0000}"/>
    <cellStyle name="Column-S 2 4 5_TOM TAT" xfId="21405" xr:uid="{00000000-0005-0000-0000-0000331F0000}"/>
    <cellStyle name="Column-S 2 4 6" xfId="5237" xr:uid="{00000000-0005-0000-0000-0000341F0000}"/>
    <cellStyle name="Column-S 2 4 6 2" xfId="28135" xr:uid="{00000000-0005-0000-0000-0000351F0000}"/>
    <cellStyle name="Column-S 2 4 6_TOM TAT" xfId="21407" xr:uid="{00000000-0005-0000-0000-0000361F0000}"/>
    <cellStyle name="Column-S 2 4 7" xfId="27065" xr:uid="{00000000-0005-0000-0000-0000371F0000}"/>
    <cellStyle name="Column-S 2 4_TOM TAT" xfId="21396" xr:uid="{00000000-0005-0000-0000-0000381F0000}"/>
    <cellStyle name="Column-S 2 5" xfId="2042" xr:uid="{00000000-0005-0000-0000-0000391F0000}"/>
    <cellStyle name="Column-S 2 5 2" xfId="2043" xr:uid="{00000000-0005-0000-0000-00003A1F0000}"/>
    <cellStyle name="Column-S 2 5 2 2" xfId="2044" xr:uid="{00000000-0005-0000-0000-00003B1F0000}"/>
    <cellStyle name="Column-S 2 5 2 2 2" xfId="5238" xr:uid="{00000000-0005-0000-0000-00003C1F0000}"/>
    <cellStyle name="Column-S 2 5 2 2 2 2" xfId="28136" xr:uid="{00000000-0005-0000-0000-00003D1F0000}"/>
    <cellStyle name="Column-S 2 5 2 2 2_TOM TAT" xfId="21411" xr:uid="{00000000-0005-0000-0000-00003E1F0000}"/>
    <cellStyle name="Column-S 2 5 2 2 3" xfId="27073" xr:uid="{00000000-0005-0000-0000-00003F1F0000}"/>
    <cellStyle name="Column-S 2 5 2 2_TOM TAT" xfId="21410" xr:uid="{00000000-0005-0000-0000-0000401F0000}"/>
    <cellStyle name="Column-S 2 5 2 3" xfId="5239" xr:uid="{00000000-0005-0000-0000-0000411F0000}"/>
    <cellStyle name="Column-S 2 5 2 3 2" xfId="28137" xr:uid="{00000000-0005-0000-0000-0000421F0000}"/>
    <cellStyle name="Column-S 2 5 2 3_TOM TAT" xfId="21412" xr:uid="{00000000-0005-0000-0000-0000431F0000}"/>
    <cellStyle name="Column-S 2 5 2 4" xfId="27072" xr:uid="{00000000-0005-0000-0000-0000441F0000}"/>
    <cellStyle name="Column-S 2 5 2_TOM TAT" xfId="21409" xr:uid="{00000000-0005-0000-0000-0000451F0000}"/>
    <cellStyle name="Column-S 2 5 3" xfId="2045" xr:uid="{00000000-0005-0000-0000-0000461F0000}"/>
    <cellStyle name="Column-S 2 5 3 2" xfId="5240" xr:uid="{00000000-0005-0000-0000-0000471F0000}"/>
    <cellStyle name="Column-S 2 5 3 2 2" xfId="28138" xr:uid="{00000000-0005-0000-0000-0000481F0000}"/>
    <cellStyle name="Column-S 2 5 3 2_TOM TAT" xfId="21414" xr:uid="{00000000-0005-0000-0000-0000491F0000}"/>
    <cellStyle name="Column-S 2 5 3 3" xfId="27074" xr:uid="{00000000-0005-0000-0000-00004A1F0000}"/>
    <cellStyle name="Column-S 2 5 3_TOM TAT" xfId="21413" xr:uid="{00000000-0005-0000-0000-00004B1F0000}"/>
    <cellStyle name="Column-S 2 5 4" xfId="2046" xr:uid="{00000000-0005-0000-0000-00004C1F0000}"/>
    <cellStyle name="Column-S 2 5 4 2" xfId="5241" xr:uid="{00000000-0005-0000-0000-00004D1F0000}"/>
    <cellStyle name="Column-S 2 5 4 2 2" xfId="28139" xr:uid="{00000000-0005-0000-0000-00004E1F0000}"/>
    <cellStyle name="Column-S 2 5 4 2_TOM TAT" xfId="21416" xr:uid="{00000000-0005-0000-0000-00004F1F0000}"/>
    <cellStyle name="Column-S 2 5 4 3" xfId="27075" xr:uid="{00000000-0005-0000-0000-0000501F0000}"/>
    <cellStyle name="Column-S 2 5 4_TOM TAT" xfId="21415" xr:uid="{00000000-0005-0000-0000-0000511F0000}"/>
    <cellStyle name="Column-S 2 5 5" xfId="2047" xr:uid="{00000000-0005-0000-0000-0000521F0000}"/>
    <cellStyle name="Column-S 2 5 5 2" xfId="5242" xr:uid="{00000000-0005-0000-0000-0000531F0000}"/>
    <cellStyle name="Column-S 2 5 5 2 2" xfId="28140" xr:uid="{00000000-0005-0000-0000-0000541F0000}"/>
    <cellStyle name="Column-S 2 5 5 2_TOM TAT" xfId="21418" xr:uid="{00000000-0005-0000-0000-0000551F0000}"/>
    <cellStyle name="Column-S 2 5 5 3" xfId="27076" xr:uid="{00000000-0005-0000-0000-0000561F0000}"/>
    <cellStyle name="Column-S 2 5 5_TOM TAT" xfId="21417" xr:uid="{00000000-0005-0000-0000-0000571F0000}"/>
    <cellStyle name="Column-S 2 5 6" xfId="5243" xr:uid="{00000000-0005-0000-0000-0000581F0000}"/>
    <cellStyle name="Column-S 2 5 6 2" xfId="28141" xr:uid="{00000000-0005-0000-0000-0000591F0000}"/>
    <cellStyle name="Column-S 2 5 6_TOM TAT" xfId="21419" xr:uid="{00000000-0005-0000-0000-00005A1F0000}"/>
    <cellStyle name="Column-S 2 5 7" xfId="27071" xr:uid="{00000000-0005-0000-0000-00005B1F0000}"/>
    <cellStyle name="Column-S 2 5_TOM TAT" xfId="21408" xr:uid="{00000000-0005-0000-0000-00005C1F0000}"/>
    <cellStyle name="Column-S 2 6" xfId="2048" xr:uid="{00000000-0005-0000-0000-00005D1F0000}"/>
    <cellStyle name="Column-S 2 6 2" xfId="2049" xr:uid="{00000000-0005-0000-0000-00005E1F0000}"/>
    <cellStyle name="Column-S 2 6 2 2" xfId="5244" xr:uid="{00000000-0005-0000-0000-00005F1F0000}"/>
    <cellStyle name="Column-S 2 6 2 2 2" xfId="28142" xr:uid="{00000000-0005-0000-0000-0000601F0000}"/>
    <cellStyle name="Column-S 2 6 2 2_TOM TAT" xfId="21422" xr:uid="{00000000-0005-0000-0000-0000611F0000}"/>
    <cellStyle name="Column-S 2 6 2 3" xfId="27078" xr:uid="{00000000-0005-0000-0000-0000621F0000}"/>
    <cellStyle name="Column-S 2 6 2_TOM TAT" xfId="21421" xr:uid="{00000000-0005-0000-0000-0000631F0000}"/>
    <cellStyle name="Column-S 2 6 3" xfId="5245" xr:uid="{00000000-0005-0000-0000-0000641F0000}"/>
    <cellStyle name="Column-S 2 6 3 2" xfId="28143" xr:uid="{00000000-0005-0000-0000-0000651F0000}"/>
    <cellStyle name="Column-S 2 6 3_TOM TAT" xfId="21423" xr:uid="{00000000-0005-0000-0000-0000661F0000}"/>
    <cellStyle name="Column-S 2 6 4" xfId="27077" xr:uid="{00000000-0005-0000-0000-0000671F0000}"/>
    <cellStyle name="Column-S 2 6_TOM TAT" xfId="21420" xr:uid="{00000000-0005-0000-0000-0000681F0000}"/>
    <cellStyle name="Column-S 2 7" xfId="2050" xr:uid="{00000000-0005-0000-0000-0000691F0000}"/>
    <cellStyle name="Column-S 2 7 2" xfId="5246" xr:uid="{00000000-0005-0000-0000-00006A1F0000}"/>
    <cellStyle name="Column-S 2 7 2 2" xfId="28144" xr:uid="{00000000-0005-0000-0000-00006B1F0000}"/>
    <cellStyle name="Column-S 2 7 2_TOM TAT" xfId="21425" xr:uid="{00000000-0005-0000-0000-00006C1F0000}"/>
    <cellStyle name="Column-S 2 7 3" xfId="27079" xr:uid="{00000000-0005-0000-0000-00006D1F0000}"/>
    <cellStyle name="Column-S 2 7_TOM TAT" xfId="21424" xr:uid="{00000000-0005-0000-0000-00006E1F0000}"/>
    <cellStyle name="Column-S 2 8" xfId="2051" xr:uid="{00000000-0005-0000-0000-00006F1F0000}"/>
    <cellStyle name="Column-S 2 8 2" xfId="5247" xr:uid="{00000000-0005-0000-0000-0000701F0000}"/>
    <cellStyle name="Column-S 2 8 2 2" xfId="28145" xr:uid="{00000000-0005-0000-0000-0000711F0000}"/>
    <cellStyle name="Column-S 2 8 2_TOM TAT" xfId="21427" xr:uid="{00000000-0005-0000-0000-0000721F0000}"/>
    <cellStyle name="Column-S 2 8 3" xfId="27080" xr:uid="{00000000-0005-0000-0000-0000731F0000}"/>
    <cellStyle name="Column-S 2 8_TOM TAT" xfId="21426" xr:uid="{00000000-0005-0000-0000-0000741F0000}"/>
    <cellStyle name="Column-S 2 9" xfId="2052" xr:uid="{00000000-0005-0000-0000-0000751F0000}"/>
    <cellStyle name="Column-S 2 9 2" xfId="5248" xr:uid="{00000000-0005-0000-0000-0000761F0000}"/>
    <cellStyle name="Column-S 2 9 2 2" xfId="28146" xr:uid="{00000000-0005-0000-0000-0000771F0000}"/>
    <cellStyle name="Column-S 2 9 2_TOM TAT" xfId="21429" xr:uid="{00000000-0005-0000-0000-0000781F0000}"/>
    <cellStyle name="Column-S 2 9 3" xfId="27081" xr:uid="{00000000-0005-0000-0000-0000791F0000}"/>
    <cellStyle name="Column-S 2 9_TOM TAT" xfId="21428" xr:uid="{00000000-0005-0000-0000-00007A1F0000}"/>
    <cellStyle name="Column-S 2_TOM TAT" xfId="21310" xr:uid="{00000000-0005-0000-0000-00007B1F0000}"/>
    <cellStyle name="Column-S 3" xfId="2053" xr:uid="{00000000-0005-0000-0000-00007C1F0000}"/>
    <cellStyle name="Column-S 3 2" xfId="2054" xr:uid="{00000000-0005-0000-0000-00007D1F0000}"/>
    <cellStyle name="Column-S 3 2 2" xfId="2055" xr:uid="{00000000-0005-0000-0000-00007E1F0000}"/>
    <cellStyle name="Column-S 3 2 2 2" xfId="2056" xr:uid="{00000000-0005-0000-0000-00007F1F0000}"/>
    <cellStyle name="Column-S 3 2 2 2 2" xfId="5249" xr:uid="{00000000-0005-0000-0000-0000801F0000}"/>
    <cellStyle name="Column-S 3 2 2 2 2 2" xfId="28147" xr:uid="{00000000-0005-0000-0000-0000811F0000}"/>
    <cellStyle name="Column-S 3 2 2 2 2_TOM TAT" xfId="21434" xr:uid="{00000000-0005-0000-0000-0000821F0000}"/>
    <cellStyle name="Column-S 3 2 2 2 3" xfId="27085" xr:uid="{00000000-0005-0000-0000-0000831F0000}"/>
    <cellStyle name="Column-S 3 2 2 2_TOM TAT" xfId="21433" xr:uid="{00000000-0005-0000-0000-0000841F0000}"/>
    <cellStyle name="Column-S 3 2 2 3" xfId="5250" xr:uid="{00000000-0005-0000-0000-0000851F0000}"/>
    <cellStyle name="Column-S 3 2 2 3 2" xfId="28148" xr:uid="{00000000-0005-0000-0000-0000861F0000}"/>
    <cellStyle name="Column-S 3 2 2 3_TOM TAT" xfId="21435" xr:uid="{00000000-0005-0000-0000-0000871F0000}"/>
    <cellStyle name="Column-S 3 2 2 4" xfId="27084" xr:uid="{00000000-0005-0000-0000-0000881F0000}"/>
    <cellStyle name="Column-S 3 2 2_TOM TAT" xfId="21432" xr:uid="{00000000-0005-0000-0000-0000891F0000}"/>
    <cellStyle name="Column-S 3 2 3" xfId="2057" xr:uid="{00000000-0005-0000-0000-00008A1F0000}"/>
    <cellStyle name="Column-S 3 2 3 2" xfId="5251" xr:uid="{00000000-0005-0000-0000-00008B1F0000}"/>
    <cellStyle name="Column-S 3 2 3 2 2" xfId="28149" xr:uid="{00000000-0005-0000-0000-00008C1F0000}"/>
    <cellStyle name="Column-S 3 2 3 2_TOM TAT" xfId="21437" xr:uid="{00000000-0005-0000-0000-00008D1F0000}"/>
    <cellStyle name="Column-S 3 2 3 3" xfId="27086" xr:uid="{00000000-0005-0000-0000-00008E1F0000}"/>
    <cellStyle name="Column-S 3 2 3_TOM TAT" xfId="21436" xr:uid="{00000000-0005-0000-0000-00008F1F0000}"/>
    <cellStyle name="Column-S 3 2 4" xfId="2058" xr:uid="{00000000-0005-0000-0000-0000901F0000}"/>
    <cellStyle name="Column-S 3 2 4 2" xfId="5252" xr:uid="{00000000-0005-0000-0000-0000911F0000}"/>
    <cellStyle name="Column-S 3 2 4 2 2" xfId="28150" xr:uid="{00000000-0005-0000-0000-0000921F0000}"/>
    <cellStyle name="Column-S 3 2 4 2_TOM TAT" xfId="21439" xr:uid="{00000000-0005-0000-0000-0000931F0000}"/>
    <cellStyle name="Column-S 3 2 4 3" xfId="27087" xr:uid="{00000000-0005-0000-0000-0000941F0000}"/>
    <cellStyle name="Column-S 3 2 4_TOM TAT" xfId="21438" xr:uid="{00000000-0005-0000-0000-0000951F0000}"/>
    <cellStyle name="Column-S 3 2 5" xfId="2059" xr:uid="{00000000-0005-0000-0000-0000961F0000}"/>
    <cellStyle name="Column-S 3 2 5 2" xfId="5253" xr:uid="{00000000-0005-0000-0000-0000971F0000}"/>
    <cellStyle name="Column-S 3 2 5 2 2" xfId="28151" xr:uid="{00000000-0005-0000-0000-0000981F0000}"/>
    <cellStyle name="Column-S 3 2 5 2_TOM TAT" xfId="21441" xr:uid="{00000000-0005-0000-0000-0000991F0000}"/>
    <cellStyle name="Column-S 3 2 5 3" xfId="27088" xr:uid="{00000000-0005-0000-0000-00009A1F0000}"/>
    <cellStyle name="Column-S 3 2 5_TOM TAT" xfId="21440" xr:uid="{00000000-0005-0000-0000-00009B1F0000}"/>
    <cellStyle name="Column-S 3 2 6" xfId="5254" xr:uid="{00000000-0005-0000-0000-00009C1F0000}"/>
    <cellStyle name="Column-S 3 2 6 2" xfId="28152" xr:uid="{00000000-0005-0000-0000-00009D1F0000}"/>
    <cellStyle name="Column-S 3 2 6_TOM TAT" xfId="21442" xr:uid="{00000000-0005-0000-0000-00009E1F0000}"/>
    <cellStyle name="Column-S 3 2 7" xfId="27083" xr:uid="{00000000-0005-0000-0000-00009F1F0000}"/>
    <cellStyle name="Column-S 3 2_TOM TAT" xfId="21431" xr:uid="{00000000-0005-0000-0000-0000A01F0000}"/>
    <cellStyle name="Column-S 3 3" xfId="2060" xr:uid="{00000000-0005-0000-0000-0000A11F0000}"/>
    <cellStyle name="Column-S 3 3 2" xfId="2061" xr:uid="{00000000-0005-0000-0000-0000A21F0000}"/>
    <cellStyle name="Column-S 3 3 2 2" xfId="2062" xr:uid="{00000000-0005-0000-0000-0000A31F0000}"/>
    <cellStyle name="Column-S 3 3 2 2 2" xfId="5255" xr:uid="{00000000-0005-0000-0000-0000A41F0000}"/>
    <cellStyle name="Column-S 3 3 2 2 2 2" xfId="28153" xr:uid="{00000000-0005-0000-0000-0000A51F0000}"/>
    <cellStyle name="Column-S 3 3 2 2 2_TOM TAT" xfId="21446" xr:uid="{00000000-0005-0000-0000-0000A61F0000}"/>
    <cellStyle name="Column-S 3 3 2 2 3" xfId="27091" xr:uid="{00000000-0005-0000-0000-0000A71F0000}"/>
    <cellStyle name="Column-S 3 3 2 2_TOM TAT" xfId="21445" xr:uid="{00000000-0005-0000-0000-0000A81F0000}"/>
    <cellStyle name="Column-S 3 3 2 3" xfId="5256" xr:uid="{00000000-0005-0000-0000-0000A91F0000}"/>
    <cellStyle name="Column-S 3 3 2 3 2" xfId="28154" xr:uid="{00000000-0005-0000-0000-0000AA1F0000}"/>
    <cellStyle name="Column-S 3 3 2 3_TOM TAT" xfId="21447" xr:uid="{00000000-0005-0000-0000-0000AB1F0000}"/>
    <cellStyle name="Column-S 3 3 2 4" xfId="27090" xr:uid="{00000000-0005-0000-0000-0000AC1F0000}"/>
    <cellStyle name="Column-S 3 3 2_TOM TAT" xfId="21444" xr:uid="{00000000-0005-0000-0000-0000AD1F0000}"/>
    <cellStyle name="Column-S 3 3 3" xfId="2063" xr:uid="{00000000-0005-0000-0000-0000AE1F0000}"/>
    <cellStyle name="Column-S 3 3 3 2" xfId="5257" xr:uid="{00000000-0005-0000-0000-0000AF1F0000}"/>
    <cellStyle name="Column-S 3 3 3 2 2" xfId="28155" xr:uid="{00000000-0005-0000-0000-0000B01F0000}"/>
    <cellStyle name="Column-S 3 3 3 2_TOM TAT" xfId="21449" xr:uid="{00000000-0005-0000-0000-0000B11F0000}"/>
    <cellStyle name="Column-S 3 3 3 3" xfId="27092" xr:uid="{00000000-0005-0000-0000-0000B21F0000}"/>
    <cellStyle name="Column-S 3 3 3_TOM TAT" xfId="21448" xr:uid="{00000000-0005-0000-0000-0000B31F0000}"/>
    <cellStyle name="Column-S 3 3 4" xfId="2064" xr:uid="{00000000-0005-0000-0000-0000B41F0000}"/>
    <cellStyle name="Column-S 3 3 4 2" xfId="5258" xr:uid="{00000000-0005-0000-0000-0000B51F0000}"/>
    <cellStyle name="Column-S 3 3 4 2 2" xfId="28156" xr:uid="{00000000-0005-0000-0000-0000B61F0000}"/>
    <cellStyle name="Column-S 3 3 4 2_TOM TAT" xfId="21451" xr:uid="{00000000-0005-0000-0000-0000B71F0000}"/>
    <cellStyle name="Column-S 3 3 4 3" xfId="27093" xr:uid="{00000000-0005-0000-0000-0000B81F0000}"/>
    <cellStyle name="Column-S 3 3 4_TOM TAT" xfId="21450" xr:uid="{00000000-0005-0000-0000-0000B91F0000}"/>
    <cellStyle name="Column-S 3 3 5" xfId="2065" xr:uid="{00000000-0005-0000-0000-0000BA1F0000}"/>
    <cellStyle name="Column-S 3 3 5 2" xfId="5259" xr:uid="{00000000-0005-0000-0000-0000BB1F0000}"/>
    <cellStyle name="Column-S 3 3 5 2 2" xfId="28157" xr:uid="{00000000-0005-0000-0000-0000BC1F0000}"/>
    <cellStyle name="Column-S 3 3 5 2_TOM TAT" xfId="21453" xr:uid="{00000000-0005-0000-0000-0000BD1F0000}"/>
    <cellStyle name="Column-S 3 3 5 3" xfId="27094" xr:uid="{00000000-0005-0000-0000-0000BE1F0000}"/>
    <cellStyle name="Column-S 3 3 5_TOM TAT" xfId="21452" xr:uid="{00000000-0005-0000-0000-0000BF1F0000}"/>
    <cellStyle name="Column-S 3 3 6" xfId="5260" xr:uid="{00000000-0005-0000-0000-0000C01F0000}"/>
    <cellStyle name="Column-S 3 3 6 2" xfId="28158" xr:uid="{00000000-0005-0000-0000-0000C11F0000}"/>
    <cellStyle name="Column-S 3 3 6_TOM TAT" xfId="21454" xr:uid="{00000000-0005-0000-0000-0000C21F0000}"/>
    <cellStyle name="Column-S 3 3 7" xfId="27089" xr:uid="{00000000-0005-0000-0000-0000C31F0000}"/>
    <cellStyle name="Column-S 3 3_TOM TAT" xfId="21443" xr:uid="{00000000-0005-0000-0000-0000C41F0000}"/>
    <cellStyle name="Column-S 3 4" xfId="2066" xr:uid="{00000000-0005-0000-0000-0000C51F0000}"/>
    <cellStyle name="Column-S 3 4 2" xfId="2067" xr:uid="{00000000-0005-0000-0000-0000C61F0000}"/>
    <cellStyle name="Column-S 3 4 2 2" xfId="5261" xr:uid="{00000000-0005-0000-0000-0000C71F0000}"/>
    <cellStyle name="Column-S 3 4 2 2 2" xfId="28159" xr:uid="{00000000-0005-0000-0000-0000C81F0000}"/>
    <cellStyle name="Column-S 3 4 2 2_TOM TAT" xfId="21457" xr:uid="{00000000-0005-0000-0000-0000C91F0000}"/>
    <cellStyle name="Column-S 3 4 2 3" xfId="27096" xr:uid="{00000000-0005-0000-0000-0000CA1F0000}"/>
    <cellStyle name="Column-S 3 4 2_TOM TAT" xfId="21456" xr:uid="{00000000-0005-0000-0000-0000CB1F0000}"/>
    <cellStyle name="Column-S 3 4 3" xfId="5262" xr:uid="{00000000-0005-0000-0000-0000CC1F0000}"/>
    <cellStyle name="Column-S 3 4 3 2" xfId="28160" xr:uid="{00000000-0005-0000-0000-0000CD1F0000}"/>
    <cellStyle name="Column-S 3 4 3_TOM TAT" xfId="21458" xr:uid="{00000000-0005-0000-0000-0000CE1F0000}"/>
    <cellStyle name="Column-S 3 4 4" xfId="27095" xr:uid="{00000000-0005-0000-0000-0000CF1F0000}"/>
    <cellStyle name="Column-S 3 4_TOM TAT" xfId="21455" xr:uid="{00000000-0005-0000-0000-0000D01F0000}"/>
    <cellStyle name="Column-S 3 5" xfId="2068" xr:uid="{00000000-0005-0000-0000-0000D11F0000}"/>
    <cellStyle name="Column-S 3 5 2" xfId="5263" xr:uid="{00000000-0005-0000-0000-0000D21F0000}"/>
    <cellStyle name="Column-S 3 5 2 2" xfId="28161" xr:uid="{00000000-0005-0000-0000-0000D31F0000}"/>
    <cellStyle name="Column-S 3 5 2_TOM TAT" xfId="21460" xr:uid="{00000000-0005-0000-0000-0000D41F0000}"/>
    <cellStyle name="Column-S 3 5 3" xfId="27097" xr:uid="{00000000-0005-0000-0000-0000D51F0000}"/>
    <cellStyle name="Column-S 3 5_TOM TAT" xfId="21459" xr:uid="{00000000-0005-0000-0000-0000D61F0000}"/>
    <cellStyle name="Column-S 3 6" xfId="2069" xr:uid="{00000000-0005-0000-0000-0000D71F0000}"/>
    <cellStyle name="Column-S 3 6 2" xfId="5264" xr:uid="{00000000-0005-0000-0000-0000D81F0000}"/>
    <cellStyle name="Column-S 3 6 2 2" xfId="28162" xr:uid="{00000000-0005-0000-0000-0000D91F0000}"/>
    <cellStyle name="Column-S 3 6 2_TOM TAT" xfId="21462" xr:uid="{00000000-0005-0000-0000-0000DA1F0000}"/>
    <cellStyle name="Column-S 3 6 3" xfId="27098" xr:uid="{00000000-0005-0000-0000-0000DB1F0000}"/>
    <cellStyle name="Column-S 3 6_TOM TAT" xfId="21461" xr:uid="{00000000-0005-0000-0000-0000DC1F0000}"/>
    <cellStyle name="Column-S 3 7" xfId="2070" xr:uid="{00000000-0005-0000-0000-0000DD1F0000}"/>
    <cellStyle name="Column-S 3 7 2" xfId="5265" xr:uid="{00000000-0005-0000-0000-0000DE1F0000}"/>
    <cellStyle name="Column-S 3 7 2 2" xfId="28163" xr:uid="{00000000-0005-0000-0000-0000DF1F0000}"/>
    <cellStyle name="Column-S 3 7 2_TOM TAT" xfId="21464" xr:uid="{00000000-0005-0000-0000-0000E01F0000}"/>
    <cellStyle name="Column-S 3 7 3" xfId="27099" xr:uid="{00000000-0005-0000-0000-0000E11F0000}"/>
    <cellStyle name="Column-S 3 7_TOM TAT" xfId="21463" xr:uid="{00000000-0005-0000-0000-0000E21F0000}"/>
    <cellStyle name="Column-S 3 8" xfId="5266" xr:uid="{00000000-0005-0000-0000-0000E31F0000}"/>
    <cellStyle name="Column-S 3 8 2" xfId="28164" xr:uid="{00000000-0005-0000-0000-0000E41F0000}"/>
    <cellStyle name="Column-S 3 8_TOM TAT" xfId="21465" xr:uid="{00000000-0005-0000-0000-0000E51F0000}"/>
    <cellStyle name="Column-S 3 9" xfId="27082" xr:uid="{00000000-0005-0000-0000-0000E61F0000}"/>
    <cellStyle name="Column-S 3_TOM TAT" xfId="21430" xr:uid="{00000000-0005-0000-0000-0000E71F0000}"/>
    <cellStyle name="Column-S 4" xfId="2071" xr:uid="{00000000-0005-0000-0000-0000E81F0000}"/>
    <cellStyle name="Column-S 4 2" xfId="2072" xr:uid="{00000000-0005-0000-0000-0000E91F0000}"/>
    <cellStyle name="Column-S 4 2 2" xfId="2073" xr:uid="{00000000-0005-0000-0000-0000EA1F0000}"/>
    <cellStyle name="Column-S 4 2 2 2" xfId="5267" xr:uid="{00000000-0005-0000-0000-0000EB1F0000}"/>
    <cellStyle name="Column-S 4 2 2 2 2" xfId="28165" xr:uid="{00000000-0005-0000-0000-0000EC1F0000}"/>
    <cellStyle name="Column-S 4 2 2 2_TOM TAT" xfId="21469" xr:uid="{00000000-0005-0000-0000-0000ED1F0000}"/>
    <cellStyle name="Column-S 4 2 2 3" xfId="27102" xr:uid="{00000000-0005-0000-0000-0000EE1F0000}"/>
    <cellStyle name="Column-S 4 2 2_TOM TAT" xfId="21468" xr:uid="{00000000-0005-0000-0000-0000EF1F0000}"/>
    <cellStyle name="Column-S 4 2 3" xfId="2074" xr:uid="{00000000-0005-0000-0000-0000F01F0000}"/>
    <cellStyle name="Column-S 4 2 3 2" xfId="5268" xr:uid="{00000000-0005-0000-0000-0000F11F0000}"/>
    <cellStyle name="Column-S 4 2 3 2 2" xfId="28166" xr:uid="{00000000-0005-0000-0000-0000F21F0000}"/>
    <cellStyle name="Column-S 4 2 3 2_TOM TAT" xfId="21471" xr:uid="{00000000-0005-0000-0000-0000F31F0000}"/>
    <cellStyle name="Column-S 4 2 3 3" xfId="27103" xr:uid="{00000000-0005-0000-0000-0000F41F0000}"/>
    <cellStyle name="Column-S 4 2 3_TOM TAT" xfId="21470" xr:uid="{00000000-0005-0000-0000-0000F51F0000}"/>
    <cellStyle name="Column-S 4 2 4" xfId="2075" xr:uid="{00000000-0005-0000-0000-0000F61F0000}"/>
    <cellStyle name="Column-S 4 2 4 2" xfId="5269" xr:uid="{00000000-0005-0000-0000-0000F71F0000}"/>
    <cellStyle name="Column-S 4 2 4 2 2" xfId="28167" xr:uid="{00000000-0005-0000-0000-0000F81F0000}"/>
    <cellStyle name="Column-S 4 2 4 2_TOM TAT" xfId="21473" xr:uid="{00000000-0005-0000-0000-0000F91F0000}"/>
    <cellStyle name="Column-S 4 2 4 3" xfId="27104" xr:uid="{00000000-0005-0000-0000-0000FA1F0000}"/>
    <cellStyle name="Column-S 4 2 4_TOM TAT" xfId="21472" xr:uid="{00000000-0005-0000-0000-0000FB1F0000}"/>
    <cellStyle name="Column-S 4 2 5" xfId="5270" xr:uid="{00000000-0005-0000-0000-0000FC1F0000}"/>
    <cellStyle name="Column-S 4 2 5 2" xfId="28168" xr:uid="{00000000-0005-0000-0000-0000FD1F0000}"/>
    <cellStyle name="Column-S 4 2 5_TOM TAT" xfId="21474" xr:uid="{00000000-0005-0000-0000-0000FE1F0000}"/>
    <cellStyle name="Column-S 4 2 6" xfId="27101" xr:uid="{00000000-0005-0000-0000-0000FF1F0000}"/>
    <cellStyle name="Column-S 4 2_TOM TAT" xfId="21467" xr:uid="{00000000-0005-0000-0000-000000200000}"/>
    <cellStyle name="Column-S 4 3" xfId="2076" xr:uid="{00000000-0005-0000-0000-000001200000}"/>
    <cellStyle name="Column-S 4 3 2" xfId="2077" xr:uid="{00000000-0005-0000-0000-000002200000}"/>
    <cellStyle name="Column-S 4 3 2 2" xfId="5271" xr:uid="{00000000-0005-0000-0000-000003200000}"/>
    <cellStyle name="Column-S 4 3 2 2 2" xfId="28169" xr:uid="{00000000-0005-0000-0000-000004200000}"/>
    <cellStyle name="Column-S 4 3 2 2_TOM TAT" xfId="21477" xr:uid="{00000000-0005-0000-0000-000005200000}"/>
    <cellStyle name="Column-S 4 3 2 3" xfId="27106" xr:uid="{00000000-0005-0000-0000-000006200000}"/>
    <cellStyle name="Column-S 4 3 2_TOM TAT" xfId="21476" xr:uid="{00000000-0005-0000-0000-000007200000}"/>
    <cellStyle name="Column-S 4 3 3" xfId="5272" xr:uid="{00000000-0005-0000-0000-000008200000}"/>
    <cellStyle name="Column-S 4 3 3 2" xfId="28170" xr:uid="{00000000-0005-0000-0000-000009200000}"/>
    <cellStyle name="Column-S 4 3 3_TOM TAT" xfId="21478" xr:uid="{00000000-0005-0000-0000-00000A200000}"/>
    <cellStyle name="Column-S 4 3 4" xfId="27105" xr:uid="{00000000-0005-0000-0000-00000B200000}"/>
    <cellStyle name="Column-S 4 3_TOM TAT" xfId="21475" xr:uid="{00000000-0005-0000-0000-00000C200000}"/>
    <cellStyle name="Column-S 4 4" xfId="2078" xr:uid="{00000000-0005-0000-0000-00000D200000}"/>
    <cellStyle name="Column-S 4 4 2" xfId="5273" xr:uid="{00000000-0005-0000-0000-00000E200000}"/>
    <cellStyle name="Column-S 4 4 2 2" xfId="28171" xr:uid="{00000000-0005-0000-0000-00000F200000}"/>
    <cellStyle name="Column-S 4 4 2_TOM TAT" xfId="21480" xr:uid="{00000000-0005-0000-0000-000010200000}"/>
    <cellStyle name="Column-S 4 4 3" xfId="27107" xr:uid="{00000000-0005-0000-0000-000011200000}"/>
    <cellStyle name="Column-S 4 4_TOM TAT" xfId="21479" xr:uid="{00000000-0005-0000-0000-000012200000}"/>
    <cellStyle name="Column-S 4 5" xfId="2079" xr:uid="{00000000-0005-0000-0000-000013200000}"/>
    <cellStyle name="Column-S 4 5 2" xfId="5274" xr:uid="{00000000-0005-0000-0000-000014200000}"/>
    <cellStyle name="Column-S 4 5 2 2" xfId="28172" xr:uid="{00000000-0005-0000-0000-000015200000}"/>
    <cellStyle name="Column-S 4 5 2_TOM TAT" xfId="21482" xr:uid="{00000000-0005-0000-0000-000016200000}"/>
    <cellStyle name="Column-S 4 5 3" xfId="27108" xr:uid="{00000000-0005-0000-0000-000017200000}"/>
    <cellStyle name="Column-S 4 5_TOM TAT" xfId="21481" xr:uid="{00000000-0005-0000-0000-000018200000}"/>
    <cellStyle name="Column-S 4 6" xfId="2080" xr:uid="{00000000-0005-0000-0000-000019200000}"/>
    <cellStyle name="Column-S 4 6 2" xfId="5275" xr:uid="{00000000-0005-0000-0000-00001A200000}"/>
    <cellStyle name="Column-S 4 6 2 2" xfId="28173" xr:uid="{00000000-0005-0000-0000-00001B200000}"/>
    <cellStyle name="Column-S 4 6 2_TOM TAT" xfId="21484" xr:uid="{00000000-0005-0000-0000-00001C200000}"/>
    <cellStyle name="Column-S 4 6 3" xfId="27109" xr:uid="{00000000-0005-0000-0000-00001D200000}"/>
    <cellStyle name="Column-S 4 6_TOM TAT" xfId="21483" xr:uid="{00000000-0005-0000-0000-00001E200000}"/>
    <cellStyle name="Column-S 4 7" xfId="5276" xr:uid="{00000000-0005-0000-0000-00001F200000}"/>
    <cellStyle name="Column-S 4 7 2" xfId="28174" xr:uid="{00000000-0005-0000-0000-000020200000}"/>
    <cellStyle name="Column-S 4 7_TOM TAT" xfId="21485" xr:uid="{00000000-0005-0000-0000-000021200000}"/>
    <cellStyle name="Column-S 4 8" xfId="27100" xr:uid="{00000000-0005-0000-0000-000022200000}"/>
    <cellStyle name="Column-S 4_TOM TAT" xfId="21466" xr:uid="{00000000-0005-0000-0000-000023200000}"/>
    <cellStyle name="Column-S 5" xfId="2081" xr:uid="{00000000-0005-0000-0000-000024200000}"/>
    <cellStyle name="Column-S 5 2" xfId="2082" xr:uid="{00000000-0005-0000-0000-000025200000}"/>
    <cellStyle name="Column-S 5 2 2" xfId="5277" xr:uid="{00000000-0005-0000-0000-000026200000}"/>
    <cellStyle name="Column-S 5 2 2 2" xfId="28175" xr:uid="{00000000-0005-0000-0000-000027200000}"/>
    <cellStyle name="Column-S 5 2 2_TOM TAT" xfId="21488" xr:uid="{00000000-0005-0000-0000-000028200000}"/>
    <cellStyle name="Column-S 5 2 3" xfId="27111" xr:uid="{00000000-0005-0000-0000-000029200000}"/>
    <cellStyle name="Column-S 5 2_TOM TAT" xfId="21487" xr:uid="{00000000-0005-0000-0000-00002A200000}"/>
    <cellStyle name="Column-S 5 3" xfId="2083" xr:uid="{00000000-0005-0000-0000-00002B200000}"/>
    <cellStyle name="Column-S 5 3 2" xfId="5278" xr:uid="{00000000-0005-0000-0000-00002C200000}"/>
    <cellStyle name="Column-S 5 3 2 2" xfId="28176" xr:uid="{00000000-0005-0000-0000-00002D200000}"/>
    <cellStyle name="Column-S 5 3 2_TOM TAT" xfId="21490" xr:uid="{00000000-0005-0000-0000-00002E200000}"/>
    <cellStyle name="Column-S 5 3 3" xfId="27112" xr:uid="{00000000-0005-0000-0000-00002F200000}"/>
    <cellStyle name="Column-S 5 3_TOM TAT" xfId="21489" xr:uid="{00000000-0005-0000-0000-000030200000}"/>
    <cellStyle name="Column-S 5 4" xfId="2084" xr:uid="{00000000-0005-0000-0000-000031200000}"/>
    <cellStyle name="Column-S 5 4 2" xfId="5279" xr:uid="{00000000-0005-0000-0000-000032200000}"/>
    <cellStyle name="Column-S 5 4 2 2" xfId="28177" xr:uid="{00000000-0005-0000-0000-000033200000}"/>
    <cellStyle name="Column-S 5 4 2_TOM TAT" xfId="21492" xr:uid="{00000000-0005-0000-0000-000034200000}"/>
    <cellStyle name="Column-S 5 4 3" xfId="27113" xr:uid="{00000000-0005-0000-0000-000035200000}"/>
    <cellStyle name="Column-S 5 4_TOM TAT" xfId="21491" xr:uid="{00000000-0005-0000-0000-000036200000}"/>
    <cellStyle name="Column-S 5 5" xfId="5280" xr:uid="{00000000-0005-0000-0000-000037200000}"/>
    <cellStyle name="Column-S 5 5 2" xfId="28178" xr:uid="{00000000-0005-0000-0000-000038200000}"/>
    <cellStyle name="Column-S 5 5_TOM TAT" xfId="21493" xr:uid="{00000000-0005-0000-0000-000039200000}"/>
    <cellStyle name="Column-S 5 6" xfId="27110" xr:uid="{00000000-0005-0000-0000-00003A200000}"/>
    <cellStyle name="Column-S 5_TOM TAT" xfId="21486" xr:uid="{00000000-0005-0000-0000-00003B200000}"/>
    <cellStyle name="Column-S 6" xfId="2085" xr:uid="{00000000-0005-0000-0000-00003C200000}"/>
    <cellStyle name="Column-S 6 2" xfId="2086" xr:uid="{00000000-0005-0000-0000-00003D200000}"/>
    <cellStyle name="Column-S 6 2 2" xfId="5281" xr:uid="{00000000-0005-0000-0000-00003E200000}"/>
    <cellStyle name="Column-S 6 2 2 2" xfId="28179" xr:uid="{00000000-0005-0000-0000-00003F200000}"/>
    <cellStyle name="Column-S 6 2 2_TOM TAT" xfId="21496" xr:uid="{00000000-0005-0000-0000-000040200000}"/>
    <cellStyle name="Column-S 6 2 3" xfId="27115" xr:uid="{00000000-0005-0000-0000-000041200000}"/>
    <cellStyle name="Column-S 6 2_TOM TAT" xfId="21495" xr:uid="{00000000-0005-0000-0000-000042200000}"/>
    <cellStyle name="Column-S 6 3" xfId="2087" xr:uid="{00000000-0005-0000-0000-000043200000}"/>
    <cellStyle name="Column-S 6 3 2" xfId="5282" xr:uid="{00000000-0005-0000-0000-000044200000}"/>
    <cellStyle name="Column-S 6 3 2 2" xfId="28180" xr:uid="{00000000-0005-0000-0000-000045200000}"/>
    <cellStyle name="Column-S 6 3 2_TOM TAT" xfId="21498" xr:uid="{00000000-0005-0000-0000-000046200000}"/>
    <cellStyle name="Column-S 6 3 3" xfId="27116" xr:uid="{00000000-0005-0000-0000-000047200000}"/>
    <cellStyle name="Column-S 6 3_TOM TAT" xfId="21497" xr:uid="{00000000-0005-0000-0000-000048200000}"/>
    <cellStyle name="Column-S 6 4" xfId="2088" xr:uid="{00000000-0005-0000-0000-000049200000}"/>
    <cellStyle name="Column-S 6 4 2" xfId="5283" xr:uid="{00000000-0005-0000-0000-00004A200000}"/>
    <cellStyle name="Column-S 6 4 2 2" xfId="28181" xr:uid="{00000000-0005-0000-0000-00004B200000}"/>
    <cellStyle name="Column-S 6 4 2_TOM TAT" xfId="21500" xr:uid="{00000000-0005-0000-0000-00004C200000}"/>
    <cellStyle name="Column-S 6 4 3" xfId="27117" xr:uid="{00000000-0005-0000-0000-00004D200000}"/>
    <cellStyle name="Column-S 6 4_TOM TAT" xfId="21499" xr:uid="{00000000-0005-0000-0000-00004E200000}"/>
    <cellStyle name="Column-S 6 5" xfId="5284" xr:uid="{00000000-0005-0000-0000-00004F200000}"/>
    <cellStyle name="Column-S 6 5 2" xfId="28182" xr:uid="{00000000-0005-0000-0000-000050200000}"/>
    <cellStyle name="Column-S 6 5_TOM TAT" xfId="21501" xr:uid="{00000000-0005-0000-0000-000051200000}"/>
    <cellStyle name="Column-S 6 6" xfId="27114" xr:uid="{00000000-0005-0000-0000-000052200000}"/>
    <cellStyle name="Column-S 6_TOM TAT" xfId="21494" xr:uid="{00000000-0005-0000-0000-000053200000}"/>
    <cellStyle name="Column-S 7" xfId="2089" xr:uid="{00000000-0005-0000-0000-000054200000}"/>
    <cellStyle name="Column-S 7 2" xfId="2090" xr:uid="{00000000-0005-0000-0000-000055200000}"/>
    <cellStyle name="Column-S 7 2 2" xfId="5285" xr:uid="{00000000-0005-0000-0000-000056200000}"/>
    <cellStyle name="Column-S 7 2 2 2" xfId="28183" xr:uid="{00000000-0005-0000-0000-000057200000}"/>
    <cellStyle name="Column-S 7 2 2_TOM TAT" xfId="21504" xr:uid="{00000000-0005-0000-0000-000058200000}"/>
    <cellStyle name="Column-S 7 2 3" xfId="27119" xr:uid="{00000000-0005-0000-0000-000059200000}"/>
    <cellStyle name="Column-S 7 2_TOM TAT" xfId="21503" xr:uid="{00000000-0005-0000-0000-00005A200000}"/>
    <cellStyle name="Column-S 7 3" xfId="2091" xr:uid="{00000000-0005-0000-0000-00005B200000}"/>
    <cellStyle name="Column-S 7 3 2" xfId="5286" xr:uid="{00000000-0005-0000-0000-00005C200000}"/>
    <cellStyle name="Column-S 7 3 2 2" xfId="28184" xr:uid="{00000000-0005-0000-0000-00005D200000}"/>
    <cellStyle name="Column-S 7 3 2_TOM TAT" xfId="21506" xr:uid="{00000000-0005-0000-0000-00005E200000}"/>
    <cellStyle name="Column-S 7 3 3" xfId="27120" xr:uid="{00000000-0005-0000-0000-00005F200000}"/>
    <cellStyle name="Column-S 7 3_TOM TAT" xfId="21505" xr:uid="{00000000-0005-0000-0000-000060200000}"/>
    <cellStyle name="Column-S 7 4" xfId="2092" xr:uid="{00000000-0005-0000-0000-000061200000}"/>
    <cellStyle name="Column-S 7 4 2" xfId="5287" xr:uid="{00000000-0005-0000-0000-000062200000}"/>
    <cellStyle name="Column-S 7 4 2 2" xfId="28185" xr:uid="{00000000-0005-0000-0000-000063200000}"/>
    <cellStyle name="Column-S 7 4 2_TOM TAT" xfId="21508" xr:uid="{00000000-0005-0000-0000-000064200000}"/>
    <cellStyle name="Column-S 7 4 3" xfId="27121" xr:uid="{00000000-0005-0000-0000-000065200000}"/>
    <cellStyle name="Column-S 7 4_TOM TAT" xfId="21507" xr:uid="{00000000-0005-0000-0000-000066200000}"/>
    <cellStyle name="Column-S 7 5" xfId="5288" xr:uid="{00000000-0005-0000-0000-000067200000}"/>
    <cellStyle name="Column-S 7 5 2" xfId="28186" xr:uid="{00000000-0005-0000-0000-000068200000}"/>
    <cellStyle name="Column-S 7 5_TOM TAT" xfId="21509" xr:uid="{00000000-0005-0000-0000-000069200000}"/>
    <cellStyle name="Column-S 7 6" xfId="27118" xr:uid="{00000000-0005-0000-0000-00006A200000}"/>
    <cellStyle name="Column-S 7_TOM TAT" xfId="21502" xr:uid="{00000000-0005-0000-0000-00006B200000}"/>
    <cellStyle name="Column-S 8" xfId="2093" xr:uid="{00000000-0005-0000-0000-00006C200000}"/>
    <cellStyle name="Column-S 8 2" xfId="2094" xr:uid="{00000000-0005-0000-0000-00006D200000}"/>
    <cellStyle name="Column-S 8 2 2" xfId="5289" xr:uid="{00000000-0005-0000-0000-00006E200000}"/>
    <cellStyle name="Column-S 8 2 2 2" xfId="28187" xr:uid="{00000000-0005-0000-0000-00006F200000}"/>
    <cellStyle name="Column-S 8 2 2_TOM TAT" xfId="21512" xr:uid="{00000000-0005-0000-0000-000070200000}"/>
    <cellStyle name="Column-S 8 2 3" xfId="27123" xr:uid="{00000000-0005-0000-0000-000071200000}"/>
    <cellStyle name="Column-S 8 2_TOM TAT" xfId="21511" xr:uid="{00000000-0005-0000-0000-000072200000}"/>
    <cellStyle name="Column-S 8 3" xfId="2095" xr:uid="{00000000-0005-0000-0000-000073200000}"/>
    <cellStyle name="Column-S 8 3 2" xfId="5290" xr:uid="{00000000-0005-0000-0000-000074200000}"/>
    <cellStyle name="Column-S 8 3 2 2" xfId="28188" xr:uid="{00000000-0005-0000-0000-000075200000}"/>
    <cellStyle name="Column-S 8 3 2_TOM TAT" xfId="21514" xr:uid="{00000000-0005-0000-0000-000076200000}"/>
    <cellStyle name="Column-S 8 3 3" xfId="27124" xr:uid="{00000000-0005-0000-0000-000077200000}"/>
    <cellStyle name="Column-S 8 3_TOM TAT" xfId="21513" xr:uid="{00000000-0005-0000-0000-000078200000}"/>
    <cellStyle name="Column-S 8 4" xfId="2096" xr:uid="{00000000-0005-0000-0000-000079200000}"/>
    <cellStyle name="Column-S 8 4 2" xfId="5291" xr:uid="{00000000-0005-0000-0000-00007A200000}"/>
    <cellStyle name="Column-S 8 4 2 2" xfId="28189" xr:uid="{00000000-0005-0000-0000-00007B200000}"/>
    <cellStyle name="Column-S 8 4 2_TOM TAT" xfId="21516" xr:uid="{00000000-0005-0000-0000-00007C200000}"/>
    <cellStyle name="Column-S 8 4 3" xfId="27125" xr:uid="{00000000-0005-0000-0000-00007D200000}"/>
    <cellStyle name="Column-S 8 4_TOM TAT" xfId="21515" xr:uid="{00000000-0005-0000-0000-00007E200000}"/>
    <cellStyle name="Column-S 8 5" xfId="5292" xr:uid="{00000000-0005-0000-0000-00007F200000}"/>
    <cellStyle name="Column-S 8 5 2" xfId="28190" xr:uid="{00000000-0005-0000-0000-000080200000}"/>
    <cellStyle name="Column-S 8 5_TOM TAT" xfId="21517" xr:uid="{00000000-0005-0000-0000-000081200000}"/>
    <cellStyle name="Column-S 8 6" xfId="27122" xr:uid="{00000000-0005-0000-0000-000082200000}"/>
    <cellStyle name="Column-S 8_TOM TAT" xfId="21510" xr:uid="{00000000-0005-0000-0000-000083200000}"/>
    <cellStyle name="Column-S 9" xfId="2097" xr:uid="{00000000-0005-0000-0000-000084200000}"/>
    <cellStyle name="Column-S 9 2" xfId="2098" xr:uid="{00000000-0005-0000-0000-000085200000}"/>
    <cellStyle name="Column-S 9 2 2" xfId="5293" xr:uid="{00000000-0005-0000-0000-000086200000}"/>
    <cellStyle name="Column-S 9 2 2 2" xfId="28191" xr:uid="{00000000-0005-0000-0000-000087200000}"/>
    <cellStyle name="Column-S 9 2 2_TOM TAT" xfId="21520" xr:uid="{00000000-0005-0000-0000-000088200000}"/>
    <cellStyle name="Column-S 9 2 3" xfId="27127" xr:uid="{00000000-0005-0000-0000-000089200000}"/>
    <cellStyle name="Column-S 9 2_TOM TAT" xfId="21519" xr:uid="{00000000-0005-0000-0000-00008A200000}"/>
    <cellStyle name="Column-S 9 3" xfId="2099" xr:uid="{00000000-0005-0000-0000-00008B200000}"/>
    <cellStyle name="Column-S 9 3 2" xfId="5294" xr:uid="{00000000-0005-0000-0000-00008C200000}"/>
    <cellStyle name="Column-S 9 3 2 2" xfId="28192" xr:uid="{00000000-0005-0000-0000-00008D200000}"/>
    <cellStyle name="Column-S 9 3 2_TOM TAT" xfId="21522" xr:uid="{00000000-0005-0000-0000-00008E200000}"/>
    <cellStyle name="Column-S 9 3 3" xfId="27128" xr:uid="{00000000-0005-0000-0000-00008F200000}"/>
    <cellStyle name="Column-S 9 3_TOM TAT" xfId="21521" xr:uid="{00000000-0005-0000-0000-000090200000}"/>
    <cellStyle name="Column-S 9 4" xfId="2100" xr:uid="{00000000-0005-0000-0000-000091200000}"/>
    <cellStyle name="Column-S 9 4 2" xfId="5295" xr:uid="{00000000-0005-0000-0000-000092200000}"/>
    <cellStyle name="Column-S 9 4 2 2" xfId="28193" xr:uid="{00000000-0005-0000-0000-000093200000}"/>
    <cellStyle name="Column-S 9 4 2_TOM TAT" xfId="21524" xr:uid="{00000000-0005-0000-0000-000094200000}"/>
    <cellStyle name="Column-S 9 4 3" xfId="27129" xr:uid="{00000000-0005-0000-0000-000095200000}"/>
    <cellStyle name="Column-S 9 4_TOM TAT" xfId="21523" xr:uid="{00000000-0005-0000-0000-000096200000}"/>
    <cellStyle name="Column-S 9 5" xfId="5296" xr:uid="{00000000-0005-0000-0000-000097200000}"/>
    <cellStyle name="Column-S 9 5 2" xfId="28194" xr:uid="{00000000-0005-0000-0000-000098200000}"/>
    <cellStyle name="Column-S 9 5_TOM TAT" xfId="21525" xr:uid="{00000000-0005-0000-0000-000099200000}"/>
    <cellStyle name="Column-S 9 6" xfId="27126" xr:uid="{00000000-0005-0000-0000-00009A200000}"/>
    <cellStyle name="Column-S 9_TOM TAT" xfId="21518" xr:uid="{00000000-0005-0000-0000-00009B200000}"/>
    <cellStyle name="Column-S_TOM TAT" xfId="21298" xr:uid="{00000000-0005-0000-0000-00009C200000}"/>
    <cellStyle name="Comma" xfId="1155" builtinId="3"/>
    <cellStyle name="Comma  - Style1" xfId="1156" xr:uid="{00000000-0005-0000-0000-00009E200000}"/>
    <cellStyle name="Comma  - Style1 2" xfId="18160" xr:uid="{00000000-0005-0000-0000-00009F200000}"/>
    <cellStyle name="Comma  - Style1_TOM TAT" xfId="21526" xr:uid="{00000000-0005-0000-0000-0000A0200000}"/>
    <cellStyle name="Comma  - Style2" xfId="1157" xr:uid="{00000000-0005-0000-0000-0000A1200000}"/>
    <cellStyle name="Comma  - Style2 2" xfId="18161" xr:uid="{00000000-0005-0000-0000-0000A2200000}"/>
    <cellStyle name="Comma  - Style2_TOM TAT" xfId="21527" xr:uid="{00000000-0005-0000-0000-0000A3200000}"/>
    <cellStyle name="Comma  - Style3" xfId="1158" xr:uid="{00000000-0005-0000-0000-0000A4200000}"/>
    <cellStyle name="Comma  - Style3 2" xfId="18162" xr:uid="{00000000-0005-0000-0000-0000A5200000}"/>
    <cellStyle name="Comma  - Style3_TOM TAT" xfId="21528" xr:uid="{00000000-0005-0000-0000-0000A6200000}"/>
    <cellStyle name="Comma  - Style4" xfId="1159" xr:uid="{00000000-0005-0000-0000-0000A7200000}"/>
    <cellStyle name="Comma  - Style4 2" xfId="18163" xr:uid="{00000000-0005-0000-0000-0000A8200000}"/>
    <cellStyle name="Comma  - Style4_TOM TAT" xfId="21529" xr:uid="{00000000-0005-0000-0000-0000A9200000}"/>
    <cellStyle name="Comma  - Style5" xfId="1160" xr:uid="{00000000-0005-0000-0000-0000AA200000}"/>
    <cellStyle name="Comma  - Style5 2" xfId="18164" xr:uid="{00000000-0005-0000-0000-0000AB200000}"/>
    <cellStyle name="Comma  - Style5_TOM TAT" xfId="21530" xr:uid="{00000000-0005-0000-0000-0000AC200000}"/>
    <cellStyle name="Comma  - Style6" xfId="1161" xr:uid="{00000000-0005-0000-0000-0000AD200000}"/>
    <cellStyle name="Comma  - Style6 2" xfId="18165" xr:uid="{00000000-0005-0000-0000-0000AE200000}"/>
    <cellStyle name="Comma  - Style6_TOM TAT" xfId="21531" xr:uid="{00000000-0005-0000-0000-0000AF200000}"/>
    <cellStyle name="Comma  - Style7" xfId="1162" xr:uid="{00000000-0005-0000-0000-0000B0200000}"/>
    <cellStyle name="Comma  - Style7 2" xfId="18166" xr:uid="{00000000-0005-0000-0000-0000B1200000}"/>
    <cellStyle name="Comma  - Style7_TOM TAT" xfId="21532" xr:uid="{00000000-0005-0000-0000-0000B2200000}"/>
    <cellStyle name="Comma  - Style8" xfId="1163" xr:uid="{00000000-0005-0000-0000-0000B3200000}"/>
    <cellStyle name="Comma  - Style8 2" xfId="18167" xr:uid="{00000000-0005-0000-0000-0000B4200000}"/>
    <cellStyle name="Comma  - Style8_TOM TAT" xfId="21533" xr:uid="{00000000-0005-0000-0000-0000B5200000}"/>
    <cellStyle name="Comma [0] 2" xfId="1164" xr:uid="{00000000-0005-0000-0000-0000B6200000}"/>
    <cellStyle name="Comma [0] 2 2" xfId="4338" xr:uid="{00000000-0005-0000-0000-0000B7200000}"/>
    <cellStyle name="Comma [0] 2 2 2" xfId="5297" xr:uid="{00000000-0005-0000-0000-0000B8200000}"/>
    <cellStyle name="Comma [0] 2 2 2 2" xfId="18615" xr:uid="{00000000-0005-0000-0000-0000B9200000}"/>
    <cellStyle name="Comma [0] 2 2 2_TOM TAT" xfId="21536" xr:uid="{00000000-0005-0000-0000-0000BA200000}"/>
    <cellStyle name="Comma [0] 2 2 3" xfId="18168" xr:uid="{00000000-0005-0000-0000-0000BB200000}"/>
    <cellStyle name="Comma [0] 2 2 4" xfId="32285" xr:uid="{00000000-0005-0000-0000-0000BC200000}"/>
    <cellStyle name="Comma [0] 2 2 5" xfId="32302" xr:uid="{00000000-0005-0000-0000-0000BD200000}"/>
    <cellStyle name="Comma [0] 2 2_TOM TAT" xfId="21535" xr:uid="{00000000-0005-0000-0000-0000BE200000}"/>
    <cellStyle name="Comma [0] 2 3" xfId="5298" xr:uid="{00000000-0005-0000-0000-0000BF200000}"/>
    <cellStyle name="Comma [0] 2 3 2" xfId="8568" xr:uid="{00000000-0005-0000-0000-0000C0200000}"/>
    <cellStyle name="Comma [0] 2 3 3" xfId="18582" xr:uid="{00000000-0005-0000-0000-0000C1200000}"/>
    <cellStyle name="Comma [0] 2 3_TOM TAT" xfId="21537" xr:uid="{00000000-0005-0000-0000-0000C2200000}"/>
    <cellStyle name="Comma [0] 2 4" xfId="5299" xr:uid="{00000000-0005-0000-0000-0000C3200000}"/>
    <cellStyle name="Comma [0] 2 4 2" xfId="18614" xr:uid="{00000000-0005-0000-0000-0000C4200000}"/>
    <cellStyle name="Comma [0] 2 4_TOM TAT" xfId="21538" xr:uid="{00000000-0005-0000-0000-0000C5200000}"/>
    <cellStyle name="Comma [0] 2 5" xfId="32277" xr:uid="{00000000-0005-0000-0000-0000C6200000}"/>
    <cellStyle name="Comma [0] 2 6" xfId="32298" xr:uid="{00000000-0005-0000-0000-0000C7200000}"/>
    <cellStyle name="Comma [0] 2_TOM TAT" xfId="21534" xr:uid="{00000000-0005-0000-0000-0000C8200000}"/>
    <cellStyle name="Comma [0] 3" xfId="1165" xr:uid="{00000000-0005-0000-0000-0000C9200000}"/>
    <cellStyle name="Comma [0] 3 2" xfId="4339" xr:uid="{00000000-0005-0000-0000-0000CA200000}"/>
    <cellStyle name="Comma [0] 3 2 2" xfId="5300" xr:uid="{00000000-0005-0000-0000-0000CB200000}"/>
    <cellStyle name="Comma [0] 3 2 2 2" xfId="18617" xr:uid="{00000000-0005-0000-0000-0000CC200000}"/>
    <cellStyle name="Comma [0] 3 2 2_TOM TAT" xfId="21541" xr:uid="{00000000-0005-0000-0000-0000CD200000}"/>
    <cellStyle name="Comma [0] 3 2 3" xfId="18170" xr:uid="{00000000-0005-0000-0000-0000CE200000}"/>
    <cellStyle name="Comma [0] 3 2_TOM TAT" xfId="21540" xr:uid="{00000000-0005-0000-0000-0000CF200000}"/>
    <cellStyle name="Comma [0] 3 3" xfId="5301" xr:uid="{00000000-0005-0000-0000-0000D0200000}"/>
    <cellStyle name="Comma [0] 3 3 2" xfId="18616" xr:uid="{00000000-0005-0000-0000-0000D1200000}"/>
    <cellStyle name="Comma [0] 3 3_TOM TAT" xfId="21542" xr:uid="{00000000-0005-0000-0000-0000D2200000}"/>
    <cellStyle name="Comma [0] 3 4" xfId="18169" xr:uid="{00000000-0005-0000-0000-0000D3200000}"/>
    <cellStyle name="Comma [0] 3_TOM TAT" xfId="21539" xr:uid="{00000000-0005-0000-0000-0000D4200000}"/>
    <cellStyle name="Comma [0] 4" xfId="18607" xr:uid="{00000000-0005-0000-0000-0000D5200000}"/>
    <cellStyle name="Comma [0] 5" xfId="19067" xr:uid="{00000000-0005-0000-0000-0000D6200000}"/>
    <cellStyle name="Comma [0] 5 2" xfId="31957" xr:uid="{00000000-0005-0000-0000-0000D7200000}"/>
    <cellStyle name="Comma [0] 5_TOM TAT" xfId="21543" xr:uid="{00000000-0005-0000-0000-0000D8200000}"/>
    <cellStyle name="Comma [0] 6" xfId="32242" xr:uid="{00000000-0005-0000-0000-0000D9200000}"/>
    <cellStyle name="Comma [00]" xfId="1166" xr:uid="{00000000-0005-0000-0000-0000DA200000}"/>
    <cellStyle name="Comma [00] 2" xfId="4340" xr:uid="{00000000-0005-0000-0000-0000DB200000}"/>
    <cellStyle name="Comma [00] 2 2" xfId="5302" xr:uid="{00000000-0005-0000-0000-0000DC200000}"/>
    <cellStyle name="Comma [00] 2 2 2" xfId="8569" xr:uid="{00000000-0005-0000-0000-0000DD200000}"/>
    <cellStyle name="Comma [00] 2 2_TOM TAT" xfId="21546" xr:uid="{00000000-0005-0000-0000-0000DE200000}"/>
    <cellStyle name="Comma [00] 2 3" xfId="8570" xr:uid="{00000000-0005-0000-0000-0000DF200000}"/>
    <cellStyle name="Comma [00] 2 4" xfId="8571" xr:uid="{00000000-0005-0000-0000-0000E0200000}"/>
    <cellStyle name="Comma [00] 2_TOM TAT" xfId="21545" xr:uid="{00000000-0005-0000-0000-0000E1200000}"/>
    <cellStyle name="Comma [00] 3" xfId="5303" xr:uid="{00000000-0005-0000-0000-0000E2200000}"/>
    <cellStyle name="Comma [00] 3 2" xfId="8572" xr:uid="{00000000-0005-0000-0000-0000E3200000}"/>
    <cellStyle name="Comma [00] 3_TOM TAT" xfId="21547" xr:uid="{00000000-0005-0000-0000-0000E4200000}"/>
    <cellStyle name="Comma [00] 4" xfId="8573" xr:uid="{00000000-0005-0000-0000-0000E5200000}"/>
    <cellStyle name="Comma [00] 5" xfId="8574" xr:uid="{00000000-0005-0000-0000-0000E6200000}"/>
    <cellStyle name="Comma [00]_TOM TAT" xfId="21544" xr:uid="{00000000-0005-0000-0000-0000E7200000}"/>
    <cellStyle name="Comma 0" xfId="1167" xr:uid="{00000000-0005-0000-0000-0000E8200000}"/>
    <cellStyle name="Comma 0 2" xfId="4341" xr:uid="{00000000-0005-0000-0000-0000E9200000}"/>
    <cellStyle name="Comma 0 3" xfId="18171" xr:uid="{00000000-0005-0000-0000-0000EA200000}"/>
    <cellStyle name="Comma 0_TOM TAT" xfId="21548" xr:uid="{00000000-0005-0000-0000-0000EB200000}"/>
    <cellStyle name="Comma 10" xfId="1168" xr:uid="{00000000-0005-0000-0000-0000EC200000}"/>
    <cellStyle name="Comma 10 2" xfId="2102" xr:uid="{00000000-0005-0000-0000-0000ED200000}"/>
    <cellStyle name="Comma 10 2 2" xfId="5304" xr:uid="{00000000-0005-0000-0000-0000EE200000}"/>
    <cellStyle name="Comma 10 2 2 2" xfId="14597" xr:uid="{00000000-0005-0000-0000-0000EF200000}"/>
    <cellStyle name="Comma 10 2 2_TOM TAT" xfId="21551" xr:uid="{00000000-0005-0000-0000-0000F0200000}"/>
    <cellStyle name="Comma 10 2 4" xfId="18173" xr:uid="{00000000-0005-0000-0000-0000F2200000}"/>
    <cellStyle name="Comma 10 2_TOM TAT" xfId="21550" xr:uid="{00000000-0005-0000-0000-0000F3200000}"/>
    <cellStyle name="Comma 10 3 2" xfId="4855" xr:uid="{00000000-0005-0000-0000-0000F5200000}"/>
    <cellStyle name="Comma 10 3 3" xfId="18618" xr:uid="{00000000-0005-0000-0000-0000F6200000}"/>
    <cellStyle name="Comma 10 3_TOM TAT" xfId="21552" xr:uid="{00000000-0005-0000-0000-0000F7200000}"/>
    <cellStyle name="Comma 10 4" xfId="5305" xr:uid="{00000000-0005-0000-0000-0000F8200000}"/>
    <cellStyle name="Comma 10 5" xfId="18172" xr:uid="{00000000-0005-0000-0000-0000F9200000}"/>
    <cellStyle name="Comma 10_TOM TAT" xfId="21549" xr:uid="{00000000-0005-0000-0000-0000FB200000}"/>
    <cellStyle name="Comma 100" xfId="19077" xr:uid="{00000000-0005-0000-0000-0000FC200000}"/>
    <cellStyle name="Comma 100 2" xfId="31966" xr:uid="{00000000-0005-0000-0000-0000FD200000}"/>
    <cellStyle name="Comma 100_TOM TAT" xfId="21553" xr:uid="{00000000-0005-0000-0000-0000FE200000}"/>
    <cellStyle name="Comma 101" xfId="26948" xr:uid="{00000000-0005-0000-0000-0000FF200000}"/>
    <cellStyle name="Comma 102" xfId="32151" xr:uid="{00000000-0005-0000-0000-000000210000}"/>
    <cellStyle name="Comma 102 8" xfId="32214" xr:uid="{00000000-0005-0000-0000-000001210000}"/>
    <cellStyle name="Comma 102 8 2" xfId="32221" xr:uid="{00000000-0005-0000-0000-000002210000}"/>
    <cellStyle name="Comma 103" xfId="32159" xr:uid="{00000000-0005-0000-0000-000003210000}"/>
    <cellStyle name="Comma 104" xfId="32162" xr:uid="{00000000-0005-0000-0000-000004210000}"/>
    <cellStyle name="Comma 105" xfId="14625" xr:uid="{00000000-0005-0000-0000-000005210000}"/>
    <cellStyle name="Comma 106" xfId="19068" xr:uid="{00000000-0005-0000-0000-000006210000}"/>
    <cellStyle name="Comma 107" xfId="32224" xr:uid="{00000000-0005-0000-0000-000007210000}"/>
    <cellStyle name="Comma 108" xfId="32226" xr:uid="{00000000-0005-0000-0000-000008210000}"/>
    <cellStyle name="Comma 108 2" xfId="32238" xr:uid="{00000000-0005-0000-0000-000009210000}"/>
    <cellStyle name="Comma 109" xfId="32229" xr:uid="{00000000-0005-0000-0000-00000A210000}"/>
    <cellStyle name="Comma 11" xfId="1169" xr:uid="{00000000-0005-0000-0000-00000B210000}"/>
    <cellStyle name="Comma 11 2" xfId="2103" xr:uid="{00000000-0005-0000-0000-00000C210000}"/>
    <cellStyle name="Comma 11 2 2" xfId="8575" xr:uid="{00000000-0005-0000-0000-00000D210000}"/>
    <cellStyle name="Comma 11 2_TOM TAT" xfId="21555" xr:uid="{00000000-0005-0000-0000-00000E210000}"/>
    <cellStyle name="Comma 11 3" xfId="4342" xr:uid="{00000000-0005-0000-0000-00000F210000}"/>
    <cellStyle name="Comma 11 4" xfId="26949" xr:uid="{00000000-0005-0000-0000-000010210000}"/>
    <cellStyle name="Comma 11_TOM TAT" xfId="21554" xr:uid="{00000000-0005-0000-0000-000011210000}"/>
    <cellStyle name="Comma 110" xfId="32232" xr:uid="{00000000-0005-0000-0000-000012210000}"/>
    <cellStyle name="Comma 111" xfId="32240" xr:uid="{00000000-0005-0000-0000-000013210000}"/>
    <cellStyle name="Comma 112" xfId="32219" xr:uid="{00000000-0005-0000-0000-000014210000}"/>
    <cellStyle name="Comma 113" xfId="32244" xr:uid="{00000000-0005-0000-0000-000015210000}"/>
    <cellStyle name="Comma 114" xfId="32260" xr:uid="{00000000-0005-0000-0000-000016210000}"/>
    <cellStyle name="Comma 115" xfId="32263" xr:uid="{00000000-0005-0000-0000-000017210000}"/>
    <cellStyle name="Comma 116" xfId="32268" xr:uid="{00000000-0005-0000-0000-000018210000}"/>
    <cellStyle name="Comma 117" xfId="32269" xr:uid="{00000000-0005-0000-0000-000019210000}"/>
    <cellStyle name="Comma 12" xfId="1170" xr:uid="{00000000-0005-0000-0000-00001A210000}"/>
    <cellStyle name="Comma 12 2" xfId="2104" xr:uid="{00000000-0005-0000-0000-00001B210000}"/>
    <cellStyle name="Comma 12 3" xfId="4343" xr:uid="{00000000-0005-0000-0000-00001C210000}"/>
    <cellStyle name="Comma 12 4" xfId="18174" xr:uid="{00000000-0005-0000-0000-00001D210000}"/>
    <cellStyle name="Comma 12 5" xfId="26950" xr:uid="{00000000-0005-0000-0000-00001E210000}"/>
    <cellStyle name="Comma 12_TOM TAT" xfId="21556" xr:uid="{00000000-0005-0000-0000-00001F210000}"/>
    <cellStyle name="Comma 13" xfId="1171" xr:uid="{00000000-0005-0000-0000-000020210000}"/>
    <cellStyle name="Comma 13 2" xfId="2105" xr:uid="{00000000-0005-0000-0000-000021210000}"/>
    <cellStyle name="Comma 13 3" xfId="4344" xr:uid="{00000000-0005-0000-0000-000022210000}"/>
    <cellStyle name="Comma 13 4" xfId="18175" xr:uid="{00000000-0005-0000-0000-000023210000}"/>
    <cellStyle name="Comma 13 5" xfId="26951" xr:uid="{00000000-0005-0000-0000-000024210000}"/>
    <cellStyle name="Comma 13_TOM TAT" xfId="21557" xr:uid="{00000000-0005-0000-0000-000025210000}"/>
    <cellStyle name="Comma 14" xfId="1172" xr:uid="{00000000-0005-0000-0000-000026210000}"/>
    <cellStyle name="Comma 14 2" xfId="4345" xr:uid="{00000000-0005-0000-0000-000027210000}"/>
    <cellStyle name="Comma 14 3" xfId="18176" xr:uid="{00000000-0005-0000-0000-000028210000}"/>
    <cellStyle name="Comma 14_TOM TAT" xfId="21558" xr:uid="{00000000-0005-0000-0000-000029210000}"/>
    <cellStyle name="Comma 15" xfId="1173" xr:uid="{00000000-0005-0000-0000-00002A210000}"/>
    <cellStyle name="Comma 15 2" xfId="4346" xr:uid="{00000000-0005-0000-0000-00002B210000}"/>
    <cellStyle name="Comma 15 3" xfId="18177" xr:uid="{00000000-0005-0000-0000-00002C210000}"/>
    <cellStyle name="Comma 15_TOM TAT" xfId="21559" xr:uid="{00000000-0005-0000-0000-00002D210000}"/>
    <cellStyle name="Comma 16" xfId="1174" xr:uid="{00000000-0005-0000-0000-00002E210000}"/>
    <cellStyle name="Comma 16 2" xfId="4347" xr:uid="{00000000-0005-0000-0000-00002F210000}"/>
    <cellStyle name="Comma 16 3" xfId="18178" xr:uid="{00000000-0005-0000-0000-000030210000}"/>
    <cellStyle name="Comma 16_TOM TAT" xfId="21560" xr:uid="{00000000-0005-0000-0000-000031210000}"/>
    <cellStyle name="Comma 17" xfId="1175" xr:uid="{00000000-0005-0000-0000-000032210000}"/>
    <cellStyle name="Comma 17 2" xfId="4348" xr:uid="{00000000-0005-0000-0000-000033210000}"/>
    <cellStyle name="Comma 17 2 2" xfId="5306" xr:uid="{00000000-0005-0000-0000-000034210000}"/>
    <cellStyle name="Comma 17 2 2 2" xfId="18620" xr:uid="{00000000-0005-0000-0000-000035210000}"/>
    <cellStyle name="Comma 17 2 2_TOM TAT" xfId="21563" xr:uid="{00000000-0005-0000-0000-000036210000}"/>
    <cellStyle name="Comma 17 2 3" xfId="18180" xr:uid="{00000000-0005-0000-0000-000037210000}"/>
    <cellStyle name="Comma 17 2_TOM TAT" xfId="21562" xr:uid="{00000000-0005-0000-0000-000038210000}"/>
    <cellStyle name="Comma 17 3" xfId="5307" xr:uid="{00000000-0005-0000-0000-000039210000}"/>
    <cellStyle name="Comma 17 3 2" xfId="18619" xr:uid="{00000000-0005-0000-0000-00003A210000}"/>
    <cellStyle name="Comma 17 3_TOM TAT" xfId="21564" xr:uid="{00000000-0005-0000-0000-00003B210000}"/>
    <cellStyle name="Comma 17 4" xfId="18179" xr:uid="{00000000-0005-0000-0000-00003C210000}"/>
    <cellStyle name="Comma 17_TOM TAT" xfId="21561" xr:uid="{00000000-0005-0000-0000-00003D210000}"/>
    <cellStyle name="Comma 18" xfId="1176" xr:uid="{00000000-0005-0000-0000-00003E210000}"/>
    <cellStyle name="Comma 18 2" xfId="4349" xr:uid="{00000000-0005-0000-0000-00003F210000}"/>
    <cellStyle name="Comma 18 2 2" xfId="5308" xr:uid="{00000000-0005-0000-0000-000040210000}"/>
    <cellStyle name="Comma 18 2_TOM TAT" xfId="21566" xr:uid="{00000000-0005-0000-0000-000041210000}"/>
    <cellStyle name="Comma 18 3" xfId="5309" xr:uid="{00000000-0005-0000-0000-000042210000}"/>
    <cellStyle name="Comma 18_TOM TAT" xfId="21565" xr:uid="{00000000-0005-0000-0000-000043210000}"/>
    <cellStyle name="Comma 19" xfId="1177" xr:uid="{00000000-0005-0000-0000-000044210000}"/>
    <cellStyle name="Comma 19 2" xfId="4350" xr:uid="{00000000-0005-0000-0000-000045210000}"/>
    <cellStyle name="Comma 19 2 2" xfId="5310" xr:uid="{00000000-0005-0000-0000-000046210000}"/>
    <cellStyle name="Comma 19 2_TOM TAT" xfId="21568" xr:uid="{00000000-0005-0000-0000-000047210000}"/>
    <cellStyle name="Comma 19 3" xfId="5311" xr:uid="{00000000-0005-0000-0000-000048210000}"/>
    <cellStyle name="Comma 19_TOM TAT" xfId="21567" xr:uid="{00000000-0005-0000-0000-000049210000}"/>
    <cellStyle name="Comma 2" xfId="1178" xr:uid="{00000000-0005-0000-0000-00004A210000}"/>
    <cellStyle name="Comma 2 10" xfId="5312" xr:uid="{00000000-0005-0000-0000-00004B210000}"/>
    <cellStyle name="Comma 2 11" xfId="18181" xr:uid="{00000000-0005-0000-0000-00004C210000}"/>
    <cellStyle name="Comma 2 12" xfId="18968" xr:uid="{00000000-0005-0000-0000-00004D210000}"/>
    <cellStyle name="Comma 2 12 2" xfId="19049" xr:uid="{00000000-0005-0000-0000-00004E210000}"/>
    <cellStyle name="Comma 2 12 3" xfId="31883" xr:uid="{00000000-0005-0000-0000-00004F210000}"/>
    <cellStyle name="Comma 2 12 3 2" xfId="32255" xr:uid="{00000000-0005-0000-0000-000050210000}"/>
    <cellStyle name="Comma 2 12_TOM TAT" xfId="21569" xr:uid="{00000000-0005-0000-0000-000051210000}"/>
    <cellStyle name="Comma 2 13" xfId="19026" xr:uid="{00000000-0005-0000-0000-000052210000}"/>
    <cellStyle name="Comma 2 13 2" xfId="19097" xr:uid="{00000000-0005-0000-0000-000053210000}"/>
    <cellStyle name="Comma 2 13 2 2" xfId="31976" xr:uid="{00000000-0005-0000-0000-000054210000}"/>
    <cellStyle name="Comma 2 13 2_TOM TAT" xfId="21571" xr:uid="{00000000-0005-0000-0000-000055210000}"/>
    <cellStyle name="Comma 2 13 3" xfId="19098" xr:uid="{00000000-0005-0000-0000-000056210000}"/>
    <cellStyle name="Comma 2 13 3 2" xfId="31977" xr:uid="{00000000-0005-0000-0000-000057210000}"/>
    <cellStyle name="Comma 2 13 3_TOM TAT" xfId="21572" xr:uid="{00000000-0005-0000-0000-000058210000}"/>
    <cellStyle name="Comma 2 13 4" xfId="19081" xr:uid="{00000000-0005-0000-0000-000059210000}"/>
    <cellStyle name="Comma 2 13 4 2" xfId="31970" xr:uid="{00000000-0005-0000-0000-00005A210000}"/>
    <cellStyle name="Comma 2 13 4 3" xfId="32136" xr:uid="{00000000-0005-0000-0000-00005B210000}"/>
    <cellStyle name="Comma 2 13 4_TOM TAT" xfId="21573" xr:uid="{00000000-0005-0000-0000-00005C210000}"/>
    <cellStyle name="Comma 2 13 5" xfId="31931" xr:uid="{00000000-0005-0000-0000-00005D210000}"/>
    <cellStyle name="Comma 2 13_TOM TAT" xfId="21570" xr:uid="{00000000-0005-0000-0000-00005E210000}"/>
    <cellStyle name="Comma 2 14" xfId="19043" xr:uid="{00000000-0005-0000-0000-00005F210000}"/>
    <cellStyle name="Comma 2 14 2" xfId="19099" xr:uid="{00000000-0005-0000-0000-000060210000}"/>
    <cellStyle name="Comma 2 14 2 2" xfId="31978" xr:uid="{00000000-0005-0000-0000-000061210000}"/>
    <cellStyle name="Comma 2 14 2_TOM TAT" xfId="21575" xr:uid="{00000000-0005-0000-0000-000062210000}"/>
    <cellStyle name="Comma 2 14 3" xfId="19100" xr:uid="{00000000-0005-0000-0000-000063210000}"/>
    <cellStyle name="Comma 2 14 3 2" xfId="31979" xr:uid="{00000000-0005-0000-0000-000064210000}"/>
    <cellStyle name="Comma 2 14 3_TOM TAT" xfId="21576" xr:uid="{00000000-0005-0000-0000-000065210000}"/>
    <cellStyle name="Comma 2 14 4" xfId="19101" xr:uid="{00000000-0005-0000-0000-000066210000}"/>
    <cellStyle name="Comma 2 14 4 2" xfId="31980" xr:uid="{00000000-0005-0000-0000-000067210000}"/>
    <cellStyle name="Comma 2 14 4 3" xfId="32146" xr:uid="{00000000-0005-0000-0000-000068210000}"/>
    <cellStyle name="Comma 2 14 4_TOM TAT" xfId="21577" xr:uid="{00000000-0005-0000-0000-000069210000}"/>
    <cellStyle name="Comma 2 14 5" xfId="31948" xr:uid="{00000000-0005-0000-0000-00006A210000}"/>
    <cellStyle name="Comma 2 14_TOM TAT" xfId="21574" xr:uid="{00000000-0005-0000-0000-00006B210000}"/>
    <cellStyle name="Comma 2 15" xfId="19102" xr:uid="{00000000-0005-0000-0000-00006C210000}"/>
    <cellStyle name="Comma 2 16" xfId="19103" xr:uid="{00000000-0005-0000-0000-00006D210000}"/>
    <cellStyle name="Comma 2 16 2" xfId="19104" xr:uid="{00000000-0005-0000-0000-00006E210000}"/>
    <cellStyle name="Comma 2 16 3" xfId="19105" xr:uid="{00000000-0005-0000-0000-00006F210000}"/>
    <cellStyle name="Comma 2 16 4" xfId="19106" xr:uid="{00000000-0005-0000-0000-000070210000}"/>
    <cellStyle name="Comma 2 16 5" xfId="19107" xr:uid="{00000000-0005-0000-0000-000071210000}"/>
    <cellStyle name="Comma 2 16_TOM TAT" xfId="21578" xr:uid="{00000000-0005-0000-0000-000072210000}"/>
    <cellStyle name="Comma 2 17" xfId="19108" xr:uid="{00000000-0005-0000-0000-000073210000}"/>
    <cellStyle name="Comma 2 18" xfId="19109" xr:uid="{00000000-0005-0000-0000-000074210000}"/>
    <cellStyle name="Comma 2 19" xfId="19110" xr:uid="{00000000-0005-0000-0000-000075210000}"/>
    <cellStyle name="Comma 2 2" xfId="1179" xr:uid="{00000000-0005-0000-0000-000076210000}"/>
    <cellStyle name="Comma 2 2 10" xfId="32301" xr:uid="{00000000-0005-0000-0000-000077210000}"/>
    <cellStyle name="Comma 2 2 2" xfId="2108" xr:uid="{00000000-0005-0000-0000-000078210000}"/>
    <cellStyle name="Comma 2 2 2 2" xfId="5313" xr:uid="{00000000-0005-0000-0000-000079210000}"/>
    <cellStyle name="Comma 2 2 2 2 2" xfId="18621" xr:uid="{00000000-0005-0000-0000-00007A210000}"/>
    <cellStyle name="Comma 2 2 2 2_TOM TAT" xfId="21580" xr:uid="{00000000-0005-0000-0000-00007B210000}"/>
    <cellStyle name="Comma 2 2 2 3" xfId="18182" xr:uid="{00000000-0005-0000-0000-00007C210000}"/>
    <cellStyle name="Comma 2 2 2_TOM TAT" xfId="21579" xr:uid="{00000000-0005-0000-0000-00007D210000}"/>
    <cellStyle name="Comma 2 2 3" xfId="2109" xr:uid="{00000000-0005-0000-0000-00007E210000}"/>
    <cellStyle name="Comma 2 2 3 2" xfId="8576" xr:uid="{00000000-0005-0000-0000-00007F210000}"/>
    <cellStyle name="Comma 2 2 3_TOM TAT" xfId="21581" xr:uid="{00000000-0005-0000-0000-000080210000}"/>
    <cellStyle name="Comma 2 2 4" xfId="2110" xr:uid="{00000000-0005-0000-0000-000081210000}"/>
    <cellStyle name="Comma 2 2 4 2" xfId="8577" xr:uid="{00000000-0005-0000-0000-000082210000}"/>
    <cellStyle name="Comma 2 2 4_TOM TAT" xfId="21582" xr:uid="{00000000-0005-0000-0000-000083210000}"/>
    <cellStyle name="Comma 2 2 5" xfId="2107" xr:uid="{00000000-0005-0000-0000-000084210000}"/>
    <cellStyle name="Comma 2 2 6" xfId="4352" xr:uid="{00000000-0005-0000-0000-000085210000}"/>
    <cellStyle name="Comma 2 2 7" xfId="8578" xr:uid="{00000000-0005-0000-0000-000086210000}"/>
    <cellStyle name="Comma 2 2 8" xfId="26953" xr:uid="{00000000-0005-0000-0000-000087210000}"/>
    <cellStyle name="Comma 2 2 9" xfId="32282" xr:uid="{00000000-0005-0000-0000-000088210000}"/>
    <cellStyle name="Comma 2 2_FS chuan Jamona Riverside" xfId="5314" xr:uid="{00000000-0005-0000-0000-000089210000}"/>
    <cellStyle name="Comma 2 20" xfId="19111" xr:uid="{00000000-0005-0000-0000-00008A210000}"/>
    <cellStyle name="Comma 2 21" xfId="19112" xr:uid="{00000000-0005-0000-0000-00008B210000}"/>
    <cellStyle name="Comma 2 22" xfId="19113" xr:uid="{00000000-0005-0000-0000-00008C210000}"/>
    <cellStyle name="Comma 2 22 2" xfId="19114" xr:uid="{00000000-0005-0000-0000-00008D210000}"/>
    <cellStyle name="Comma 2 22 2 2" xfId="31982" xr:uid="{00000000-0005-0000-0000-00008E210000}"/>
    <cellStyle name="Comma 2 22 2_TOM TAT" xfId="21584" xr:uid="{00000000-0005-0000-0000-00008F210000}"/>
    <cellStyle name="Comma 2 22 3" xfId="19115" xr:uid="{00000000-0005-0000-0000-000090210000}"/>
    <cellStyle name="Comma 2 22 3 2" xfId="31983" xr:uid="{00000000-0005-0000-0000-000091210000}"/>
    <cellStyle name="Comma 2 22 3_TOM TAT" xfId="21585" xr:uid="{00000000-0005-0000-0000-000092210000}"/>
    <cellStyle name="Comma 2 22 4" xfId="19116" xr:uid="{00000000-0005-0000-0000-000093210000}"/>
    <cellStyle name="Comma 2 22 4 2" xfId="31984" xr:uid="{00000000-0005-0000-0000-000094210000}"/>
    <cellStyle name="Comma 2 22 4 3" xfId="32147" xr:uid="{00000000-0005-0000-0000-000095210000}"/>
    <cellStyle name="Comma 2 22 4_TOM TAT" xfId="21586" xr:uid="{00000000-0005-0000-0000-000096210000}"/>
    <cellStyle name="Comma 2 22 5" xfId="31981" xr:uid="{00000000-0005-0000-0000-000097210000}"/>
    <cellStyle name="Comma 2 22_TOM TAT" xfId="21583" xr:uid="{00000000-0005-0000-0000-000098210000}"/>
    <cellStyle name="Comma 2 23" xfId="26952" xr:uid="{00000000-0005-0000-0000-000099210000}"/>
    <cellStyle name="Comma 2 24" xfId="32236" xr:uid="{00000000-0005-0000-0000-00009A210000}"/>
    <cellStyle name="Comma 2 25" xfId="32272" xr:uid="{00000000-0005-0000-0000-00009B210000}"/>
    <cellStyle name="Comma 2 26" xfId="32276" xr:uid="{00000000-0005-0000-0000-00009C210000}"/>
    <cellStyle name="Comma 2 3" xfId="1180" xr:uid="{00000000-0005-0000-0000-00009D210000}"/>
    <cellStyle name="Comma 2 3 2" xfId="2111" xr:uid="{00000000-0005-0000-0000-00009E210000}"/>
    <cellStyle name="Comma 2 3 2 2" xfId="5315" xr:uid="{00000000-0005-0000-0000-00009F210000}"/>
    <cellStyle name="Comma 2 3 2 3" xfId="32283" xr:uid="{00000000-0005-0000-0000-0000A0210000}"/>
    <cellStyle name="Comma 2 3 2_TOM TAT" xfId="21588" xr:uid="{00000000-0005-0000-0000-0000A1210000}"/>
    <cellStyle name="Comma 2 3 3" xfId="4353" xr:uid="{00000000-0005-0000-0000-0000A2210000}"/>
    <cellStyle name="Comma 2 3 3 2" xfId="18622" xr:uid="{00000000-0005-0000-0000-0000A3210000}"/>
    <cellStyle name="Comma 2 3 3_TOM TAT" xfId="21589" xr:uid="{00000000-0005-0000-0000-0000A4210000}"/>
    <cellStyle name="Comma 2 3 4" xfId="5316" xr:uid="{00000000-0005-0000-0000-0000A5210000}"/>
    <cellStyle name="Comma 2 3 5" xfId="26954" xr:uid="{00000000-0005-0000-0000-0000A6210000}"/>
    <cellStyle name="Comma 2 3 6" xfId="32273" xr:uid="{00000000-0005-0000-0000-0000A7210000}"/>
    <cellStyle name="Comma 2 3 7" xfId="32290" xr:uid="{00000000-0005-0000-0000-0000A8210000}"/>
    <cellStyle name="Comma 2 3_TOM TAT" xfId="21587" xr:uid="{00000000-0005-0000-0000-0000A9210000}"/>
    <cellStyle name="Comma 2 4" xfId="1181" xr:uid="{00000000-0005-0000-0000-0000AA210000}"/>
    <cellStyle name="Comma 2 4 2" xfId="2112" xr:uid="{00000000-0005-0000-0000-0000AB210000}"/>
    <cellStyle name="Comma 2 4 3" xfId="4354" xr:uid="{00000000-0005-0000-0000-0000AC210000}"/>
    <cellStyle name="Comma 2 4 4" xfId="18183" xr:uid="{00000000-0005-0000-0000-0000AD210000}"/>
    <cellStyle name="Comma 2 4 5" xfId="26955" xr:uid="{00000000-0005-0000-0000-0000AE210000}"/>
    <cellStyle name="Comma 2 4_TOM TAT" xfId="21590" xr:uid="{00000000-0005-0000-0000-0000AF210000}"/>
    <cellStyle name="Comma 2 5" xfId="2113" xr:uid="{00000000-0005-0000-0000-0000B0210000}"/>
    <cellStyle name="Comma 2 5 2" xfId="8579" xr:uid="{00000000-0005-0000-0000-0000B1210000}"/>
    <cellStyle name="Comma 2 5 2 2" xfId="32284" xr:uid="{00000000-0005-0000-0000-0000B2210000}"/>
    <cellStyle name="Comma 2 5 3" xfId="19117" xr:uid="{00000000-0005-0000-0000-0000B3210000}"/>
    <cellStyle name="Comma 2 5_TOM TAT" xfId="21591" xr:uid="{00000000-0005-0000-0000-0000B4210000}"/>
    <cellStyle name="Comma 2 6" xfId="2106" xr:uid="{00000000-0005-0000-0000-0000B5210000}"/>
    <cellStyle name="Comma 2 7" xfId="4351" xr:uid="{00000000-0005-0000-0000-0000B6210000}"/>
    <cellStyle name="Comma 2 8" xfId="4845" xr:uid="{00000000-0005-0000-0000-0000B7210000}"/>
    <cellStyle name="Comma 2 9" xfId="5317" xr:uid="{00000000-0005-0000-0000-0000B8210000}"/>
    <cellStyle name="Comma 2 9 2" xfId="8580" xr:uid="{00000000-0005-0000-0000-0000B9210000}"/>
    <cellStyle name="Comma 2 9 3" xfId="8581" xr:uid="{00000000-0005-0000-0000-0000BA210000}"/>
    <cellStyle name="Comma 2 9 3 2" xfId="8582" xr:uid="{00000000-0005-0000-0000-0000BB210000}"/>
    <cellStyle name="Comma 2 9 3 2 2" xfId="29250" xr:uid="{00000000-0005-0000-0000-0000BC210000}"/>
    <cellStyle name="Comma 2 9 3 2 3" xfId="14762" xr:uid="{00000000-0005-0000-0000-0000BD210000}"/>
    <cellStyle name="Comma 2 9 3 2_TOM TAT" xfId="21594" xr:uid="{00000000-0005-0000-0000-0000BE210000}"/>
    <cellStyle name="Comma 2 9 3 3" xfId="18700" xr:uid="{00000000-0005-0000-0000-0000BF210000}"/>
    <cellStyle name="Comma 2 9 3 3 2" xfId="18951" xr:uid="{00000000-0005-0000-0000-0000C0210000}"/>
    <cellStyle name="Comma 2 9 3 3 2 2" xfId="31868" xr:uid="{00000000-0005-0000-0000-0000C1210000}"/>
    <cellStyle name="Comma 2 9 3 3 2_TOM TAT" xfId="21596" xr:uid="{00000000-0005-0000-0000-0000C2210000}"/>
    <cellStyle name="Comma 2 9 3 3 3" xfId="31806" xr:uid="{00000000-0005-0000-0000-0000C3210000}"/>
    <cellStyle name="Comma 2 9 3 3_TOM TAT" xfId="21595" xr:uid="{00000000-0005-0000-0000-0000C4210000}"/>
    <cellStyle name="Comma 2 9 3 4" xfId="29249" xr:uid="{00000000-0005-0000-0000-0000C5210000}"/>
    <cellStyle name="Comma 2 9 3 5" xfId="14761" xr:uid="{00000000-0005-0000-0000-0000C6210000}"/>
    <cellStyle name="Comma 2 9 3_TOM TAT" xfId="21593" xr:uid="{00000000-0005-0000-0000-0000C7210000}"/>
    <cellStyle name="Comma 2 9_TOM TAT" xfId="21592" xr:uid="{00000000-0005-0000-0000-0000C8210000}"/>
    <cellStyle name="Comma 2_Copy of Cash_Flow_-Sacombank.Aug03(Vietnam)" xfId="1182" xr:uid="{00000000-0005-0000-0000-0000C9210000}"/>
    <cellStyle name="Comma 20" xfId="1183" xr:uid="{00000000-0005-0000-0000-0000CA210000}"/>
    <cellStyle name="Comma 20 2" xfId="4355" xr:uid="{00000000-0005-0000-0000-0000CB210000}"/>
    <cellStyle name="Comma 20 2 2" xfId="5318" xr:uid="{00000000-0005-0000-0000-0000CC210000}"/>
    <cellStyle name="Comma 20 2_TOM TAT" xfId="21598" xr:uid="{00000000-0005-0000-0000-0000CD210000}"/>
    <cellStyle name="Comma 20 3" xfId="5319" xr:uid="{00000000-0005-0000-0000-0000CE210000}"/>
    <cellStyle name="Comma 20_TOM TAT" xfId="21597" xr:uid="{00000000-0005-0000-0000-0000CF210000}"/>
    <cellStyle name="Comma 21" xfId="1184" xr:uid="{00000000-0005-0000-0000-0000D0210000}"/>
    <cellStyle name="Comma 21 2" xfId="4356" xr:uid="{00000000-0005-0000-0000-0000D1210000}"/>
    <cellStyle name="Comma 21 2 2" xfId="5320" xr:uid="{00000000-0005-0000-0000-0000D2210000}"/>
    <cellStyle name="Comma 21 2_TOM TAT" xfId="21600" xr:uid="{00000000-0005-0000-0000-0000D3210000}"/>
    <cellStyle name="Comma 21 3" xfId="5321" xr:uid="{00000000-0005-0000-0000-0000D4210000}"/>
    <cellStyle name="Comma 21_TOM TAT" xfId="21599" xr:uid="{00000000-0005-0000-0000-0000D5210000}"/>
    <cellStyle name="Comma 22" xfId="1185" xr:uid="{00000000-0005-0000-0000-0000D6210000}"/>
    <cellStyle name="Comma 22 2" xfId="4357" xr:uid="{00000000-0005-0000-0000-0000D7210000}"/>
    <cellStyle name="Comma 22 2 2" xfId="5322" xr:uid="{00000000-0005-0000-0000-0000D8210000}"/>
    <cellStyle name="Comma 22 2_TOM TAT" xfId="21602" xr:uid="{00000000-0005-0000-0000-0000D9210000}"/>
    <cellStyle name="Comma 22 3" xfId="5323" xr:uid="{00000000-0005-0000-0000-0000DA210000}"/>
    <cellStyle name="Comma 22_TOM TAT" xfId="21601" xr:uid="{00000000-0005-0000-0000-0000DB210000}"/>
    <cellStyle name="Comma 23" xfId="1186" xr:uid="{00000000-0005-0000-0000-0000DC210000}"/>
    <cellStyle name="Comma 23 2" xfId="4358" xr:uid="{00000000-0005-0000-0000-0000DD210000}"/>
    <cellStyle name="Comma 23 2 2" xfId="5324" xr:uid="{00000000-0005-0000-0000-0000DE210000}"/>
    <cellStyle name="Comma 23 2_TOM TAT" xfId="21604" xr:uid="{00000000-0005-0000-0000-0000DF210000}"/>
    <cellStyle name="Comma 23 3" xfId="5325" xr:uid="{00000000-0005-0000-0000-0000E0210000}"/>
    <cellStyle name="Comma 23_TOM TAT" xfId="21603" xr:uid="{00000000-0005-0000-0000-0000E1210000}"/>
    <cellStyle name="Comma 24" xfId="1187" xr:uid="{00000000-0005-0000-0000-0000E2210000}"/>
    <cellStyle name="Comma 24 2" xfId="4359" xr:uid="{00000000-0005-0000-0000-0000E3210000}"/>
    <cellStyle name="Comma 24 2 2" xfId="5326" xr:uid="{00000000-0005-0000-0000-0000E4210000}"/>
    <cellStyle name="Comma 24 2_TOM TAT" xfId="21606" xr:uid="{00000000-0005-0000-0000-0000E5210000}"/>
    <cellStyle name="Comma 24 3" xfId="5327" xr:uid="{00000000-0005-0000-0000-0000E6210000}"/>
    <cellStyle name="Comma 24_TOM TAT" xfId="21605" xr:uid="{00000000-0005-0000-0000-0000E7210000}"/>
    <cellStyle name="Comma 25" xfId="1188" xr:uid="{00000000-0005-0000-0000-0000E8210000}"/>
    <cellStyle name="Comma 25 2" xfId="4360" xr:uid="{00000000-0005-0000-0000-0000E9210000}"/>
    <cellStyle name="Comma 25 2 2" xfId="5328" xr:uid="{00000000-0005-0000-0000-0000EA210000}"/>
    <cellStyle name="Comma 25 2_TOM TAT" xfId="21608" xr:uid="{00000000-0005-0000-0000-0000EB210000}"/>
    <cellStyle name="Comma 25 3" xfId="5329" xr:uid="{00000000-0005-0000-0000-0000EC210000}"/>
    <cellStyle name="Comma 25_TOM TAT" xfId="21607" xr:uid="{00000000-0005-0000-0000-0000ED210000}"/>
    <cellStyle name="Comma 26" xfId="1189" xr:uid="{00000000-0005-0000-0000-0000EE210000}"/>
    <cellStyle name="Comma 26 2" xfId="4361" xr:uid="{00000000-0005-0000-0000-0000EF210000}"/>
    <cellStyle name="Comma 26 2 2" xfId="5330" xr:uid="{00000000-0005-0000-0000-0000F0210000}"/>
    <cellStyle name="Comma 26 2_TOM TAT" xfId="21610" xr:uid="{00000000-0005-0000-0000-0000F1210000}"/>
    <cellStyle name="Comma 26 3" xfId="5331" xr:uid="{00000000-0005-0000-0000-0000F2210000}"/>
    <cellStyle name="Comma 26_TOM TAT" xfId="21609" xr:uid="{00000000-0005-0000-0000-0000F3210000}"/>
    <cellStyle name="Comma 27" xfId="1190" xr:uid="{00000000-0005-0000-0000-0000F4210000}"/>
    <cellStyle name="Comma 27 2" xfId="4362" xr:uid="{00000000-0005-0000-0000-0000F5210000}"/>
    <cellStyle name="Comma 27 2 2" xfId="5332" xr:uid="{00000000-0005-0000-0000-0000F6210000}"/>
    <cellStyle name="Comma 27 2_TOM TAT" xfId="21612" xr:uid="{00000000-0005-0000-0000-0000F7210000}"/>
    <cellStyle name="Comma 27 3" xfId="5333" xr:uid="{00000000-0005-0000-0000-0000F8210000}"/>
    <cellStyle name="Comma 27_TOM TAT" xfId="21611" xr:uid="{00000000-0005-0000-0000-0000F9210000}"/>
    <cellStyle name="Comma 28" xfId="1191" xr:uid="{00000000-0005-0000-0000-0000FA210000}"/>
    <cellStyle name="Comma 28 2" xfId="4363" xr:uid="{00000000-0005-0000-0000-0000FB210000}"/>
    <cellStyle name="Comma 28 2 2" xfId="5334" xr:uid="{00000000-0005-0000-0000-0000FC210000}"/>
    <cellStyle name="Comma 28 2_TOM TAT" xfId="21614" xr:uid="{00000000-0005-0000-0000-0000FD210000}"/>
    <cellStyle name="Comma 28 3" xfId="5335" xr:uid="{00000000-0005-0000-0000-0000FE210000}"/>
    <cellStyle name="Comma 28_TOM TAT" xfId="21613" xr:uid="{00000000-0005-0000-0000-0000FF210000}"/>
    <cellStyle name="Comma 29" xfId="1192" xr:uid="{00000000-0005-0000-0000-000000220000}"/>
    <cellStyle name="Comma 29 2" xfId="4364" xr:uid="{00000000-0005-0000-0000-000001220000}"/>
    <cellStyle name="Comma 29 2 2" xfId="5336" xr:uid="{00000000-0005-0000-0000-000002220000}"/>
    <cellStyle name="Comma 29 2_TOM TAT" xfId="21616" xr:uid="{00000000-0005-0000-0000-000003220000}"/>
    <cellStyle name="Comma 29 3" xfId="5337" xr:uid="{00000000-0005-0000-0000-000004220000}"/>
    <cellStyle name="Comma 29_TOM TAT" xfId="21615" xr:uid="{00000000-0005-0000-0000-000005220000}"/>
    <cellStyle name="Comma 3" xfId="1193" xr:uid="{00000000-0005-0000-0000-000006220000}"/>
    <cellStyle name="Comma 3 10" xfId="5338" xr:uid="{00000000-0005-0000-0000-000007220000}"/>
    <cellStyle name="Comma 3 10 10" xfId="14659" xr:uid="{00000000-0005-0000-0000-000008220000}"/>
    <cellStyle name="Comma 3 10 2" xfId="5339" xr:uid="{00000000-0005-0000-0000-000009220000}"/>
    <cellStyle name="Comma 3 10 2 2" xfId="8583" xr:uid="{00000000-0005-0000-0000-00000A220000}"/>
    <cellStyle name="Comma 3 10 2 2 2" xfId="8584" xr:uid="{00000000-0005-0000-0000-00000B220000}"/>
    <cellStyle name="Comma 3 10 2 2 2 2" xfId="8585" xr:uid="{00000000-0005-0000-0000-00000C220000}"/>
    <cellStyle name="Comma 3 10 2 2 2 2 2" xfId="8586" xr:uid="{00000000-0005-0000-0000-00000D220000}"/>
    <cellStyle name="Comma 3 10 2 2 2 2 2 2" xfId="29254" xr:uid="{00000000-0005-0000-0000-00000E220000}"/>
    <cellStyle name="Comma 3 10 2 2 2 2 2 3" xfId="14766" xr:uid="{00000000-0005-0000-0000-00000F220000}"/>
    <cellStyle name="Comma 3 10 2 2 2 2 2_TOM TAT" xfId="21622" xr:uid="{00000000-0005-0000-0000-000010220000}"/>
    <cellStyle name="Comma 3 10 2 2 2 2 3" xfId="29253" xr:uid="{00000000-0005-0000-0000-000011220000}"/>
    <cellStyle name="Comma 3 10 2 2 2 2 4" xfId="14765" xr:uid="{00000000-0005-0000-0000-000012220000}"/>
    <cellStyle name="Comma 3 10 2 2 2 2_TOM TAT" xfId="21621" xr:uid="{00000000-0005-0000-0000-000013220000}"/>
    <cellStyle name="Comma 3 10 2 2 2 3" xfId="8587" xr:uid="{00000000-0005-0000-0000-000014220000}"/>
    <cellStyle name="Comma 3 10 2 2 2 3 2" xfId="29255" xr:uid="{00000000-0005-0000-0000-000015220000}"/>
    <cellStyle name="Comma 3 10 2 2 2 3 3" xfId="14767" xr:uid="{00000000-0005-0000-0000-000016220000}"/>
    <cellStyle name="Comma 3 10 2 2 2 3_TOM TAT" xfId="21623" xr:uid="{00000000-0005-0000-0000-000017220000}"/>
    <cellStyle name="Comma 3 10 2 2 2 4" xfId="29252" xr:uid="{00000000-0005-0000-0000-000018220000}"/>
    <cellStyle name="Comma 3 10 2 2 2 5" xfId="14764" xr:uid="{00000000-0005-0000-0000-000019220000}"/>
    <cellStyle name="Comma 3 10 2 2 2_TOM TAT" xfId="21620" xr:uid="{00000000-0005-0000-0000-00001A220000}"/>
    <cellStyle name="Comma 3 10 2 2 3" xfId="8588" xr:uid="{00000000-0005-0000-0000-00001B220000}"/>
    <cellStyle name="Comma 3 10 2 2 3 2" xfId="8589" xr:uid="{00000000-0005-0000-0000-00001C220000}"/>
    <cellStyle name="Comma 3 10 2 2 3 2 2" xfId="8590" xr:uid="{00000000-0005-0000-0000-00001D220000}"/>
    <cellStyle name="Comma 3 10 2 2 3 2 2 2" xfId="29258" xr:uid="{00000000-0005-0000-0000-00001E220000}"/>
    <cellStyle name="Comma 3 10 2 2 3 2 2 3" xfId="14770" xr:uid="{00000000-0005-0000-0000-00001F220000}"/>
    <cellStyle name="Comma 3 10 2 2 3 2 2_TOM TAT" xfId="21626" xr:uid="{00000000-0005-0000-0000-000020220000}"/>
    <cellStyle name="Comma 3 10 2 2 3 2 3" xfId="29257" xr:uid="{00000000-0005-0000-0000-000021220000}"/>
    <cellStyle name="Comma 3 10 2 2 3 2 4" xfId="14769" xr:uid="{00000000-0005-0000-0000-000022220000}"/>
    <cellStyle name="Comma 3 10 2 2 3 2_TOM TAT" xfId="21625" xr:uid="{00000000-0005-0000-0000-000023220000}"/>
    <cellStyle name="Comma 3 10 2 2 3 3" xfId="8591" xr:uid="{00000000-0005-0000-0000-000024220000}"/>
    <cellStyle name="Comma 3 10 2 2 3 3 2" xfId="29259" xr:uid="{00000000-0005-0000-0000-000025220000}"/>
    <cellStyle name="Comma 3 10 2 2 3 3 3" xfId="14771" xr:uid="{00000000-0005-0000-0000-000026220000}"/>
    <cellStyle name="Comma 3 10 2 2 3 3_TOM TAT" xfId="21627" xr:uid="{00000000-0005-0000-0000-000027220000}"/>
    <cellStyle name="Comma 3 10 2 2 3 4" xfId="29256" xr:uid="{00000000-0005-0000-0000-000028220000}"/>
    <cellStyle name="Comma 3 10 2 2 3 5" xfId="14768" xr:uid="{00000000-0005-0000-0000-000029220000}"/>
    <cellStyle name="Comma 3 10 2 2 3_TOM TAT" xfId="21624" xr:uid="{00000000-0005-0000-0000-00002A220000}"/>
    <cellStyle name="Comma 3 10 2 2 4" xfId="8592" xr:uid="{00000000-0005-0000-0000-00002B220000}"/>
    <cellStyle name="Comma 3 10 2 2 4 2" xfId="8593" xr:uid="{00000000-0005-0000-0000-00002C220000}"/>
    <cellStyle name="Comma 3 10 2 2 4 2 2" xfId="29261" xr:uid="{00000000-0005-0000-0000-00002D220000}"/>
    <cellStyle name="Comma 3 10 2 2 4 2 3" xfId="14773" xr:uid="{00000000-0005-0000-0000-00002E220000}"/>
    <cellStyle name="Comma 3 10 2 2 4 2_TOM TAT" xfId="21629" xr:uid="{00000000-0005-0000-0000-00002F220000}"/>
    <cellStyle name="Comma 3 10 2 2 4 3" xfId="29260" xr:uid="{00000000-0005-0000-0000-000030220000}"/>
    <cellStyle name="Comma 3 10 2 2 4 4" xfId="14772" xr:uid="{00000000-0005-0000-0000-000031220000}"/>
    <cellStyle name="Comma 3 10 2 2 4_TOM TAT" xfId="21628" xr:uid="{00000000-0005-0000-0000-000032220000}"/>
    <cellStyle name="Comma 3 10 2 2 5" xfId="8594" xr:uid="{00000000-0005-0000-0000-000033220000}"/>
    <cellStyle name="Comma 3 10 2 2 5 2" xfId="29262" xr:uid="{00000000-0005-0000-0000-000034220000}"/>
    <cellStyle name="Comma 3 10 2 2 5 3" xfId="14774" xr:uid="{00000000-0005-0000-0000-000035220000}"/>
    <cellStyle name="Comma 3 10 2 2 5_TOM TAT" xfId="21630" xr:uid="{00000000-0005-0000-0000-000036220000}"/>
    <cellStyle name="Comma 3 10 2 2 6" xfId="29251" xr:uid="{00000000-0005-0000-0000-000037220000}"/>
    <cellStyle name="Comma 3 10 2 2 7" xfId="14763" xr:uid="{00000000-0005-0000-0000-000038220000}"/>
    <cellStyle name="Comma 3 10 2 2_TOM TAT" xfId="21619" xr:uid="{00000000-0005-0000-0000-000039220000}"/>
    <cellStyle name="Comma 3 10 2 3" xfId="8595" xr:uid="{00000000-0005-0000-0000-00003A220000}"/>
    <cellStyle name="Comma 3 10 2 3 2" xfId="8596" xr:uid="{00000000-0005-0000-0000-00003B220000}"/>
    <cellStyle name="Comma 3 10 2 3 2 2" xfId="8597" xr:uid="{00000000-0005-0000-0000-00003C220000}"/>
    <cellStyle name="Comma 3 10 2 3 2 2 2" xfId="29265" xr:uid="{00000000-0005-0000-0000-00003D220000}"/>
    <cellStyle name="Comma 3 10 2 3 2 2 3" xfId="14777" xr:uid="{00000000-0005-0000-0000-00003E220000}"/>
    <cellStyle name="Comma 3 10 2 3 2 2_TOM TAT" xfId="21633" xr:uid="{00000000-0005-0000-0000-00003F220000}"/>
    <cellStyle name="Comma 3 10 2 3 2 3" xfId="29264" xr:uid="{00000000-0005-0000-0000-000040220000}"/>
    <cellStyle name="Comma 3 10 2 3 2 4" xfId="14776" xr:uid="{00000000-0005-0000-0000-000041220000}"/>
    <cellStyle name="Comma 3 10 2 3 2_TOM TAT" xfId="21632" xr:uid="{00000000-0005-0000-0000-000042220000}"/>
    <cellStyle name="Comma 3 10 2 3 3" xfId="8598" xr:uid="{00000000-0005-0000-0000-000043220000}"/>
    <cellStyle name="Comma 3 10 2 3 3 2" xfId="29266" xr:uid="{00000000-0005-0000-0000-000044220000}"/>
    <cellStyle name="Comma 3 10 2 3 3 3" xfId="14778" xr:uid="{00000000-0005-0000-0000-000045220000}"/>
    <cellStyle name="Comma 3 10 2 3 3_TOM TAT" xfId="21634" xr:uid="{00000000-0005-0000-0000-000046220000}"/>
    <cellStyle name="Comma 3 10 2 3 4" xfId="29263" xr:uid="{00000000-0005-0000-0000-000047220000}"/>
    <cellStyle name="Comma 3 10 2 3 5" xfId="14775" xr:uid="{00000000-0005-0000-0000-000048220000}"/>
    <cellStyle name="Comma 3 10 2 3_TOM TAT" xfId="21631" xr:uid="{00000000-0005-0000-0000-000049220000}"/>
    <cellStyle name="Comma 3 10 2 4" xfId="8599" xr:uid="{00000000-0005-0000-0000-00004A220000}"/>
    <cellStyle name="Comma 3 10 2 4 2" xfId="8600" xr:uid="{00000000-0005-0000-0000-00004B220000}"/>
    <cellStyle name="Comma 3 10 2 4 2 2" xfId="8601" xr:uid="{00000000-0005-0000-0000-00004C220000}"/>
    <cellStyle name="Comma 3 10 2 4 2 2 2" xfId="29269" xr:uid="{00000000-0005-0000-0000-00004D220000}"/>
    <cellStyle name="Comma 3 10 2 4 2 2 3" xfId="14781" xr:uid="{00000000-0005-0000-0000-00004E220000}"/>
    <cellStyle name="Comma 3 10 2 4 2 2_TOM TAT" xfId="21637" xr:uid="{00000000-0005-0000-0000-00004F220000}"/>
    <cellStyle name="Comma 3 10 2 4 2 3" xfId="29268" xr:uid="{00000000-0005-0000-0000-000050220000}"/>
    <cellStyle name="Comma 3 10 2 4 2 4" xfId="14780" xr:uid="{00000000-0005-0000-0000-000051220000}"/>
    <cellStyle name="Comma 3 10 2 4 2_TOM TAT" xfId="21636" xr:uid="{00000000-0005-0000-0000-000052220000}"/>
    <cellStyle name="Comma 3 10 2 4 3" xfId="8602" xr:uid="{00000000-0005-0000-0000-000053220000}"/>
    <cellStyle name="Comma 3 10 2 4 3 2" xfId="29270" xr:uid="{00000000-0005-0000-0000-000054220000}"/>
    <cellStyle name="Comma 3 10 2 4 3 3" xfId="14782" xr:uid="{00000000-0005-0000-0000-000055220000}"/>
    <cellStyle name="Comma 3 10 2 4 3_TOM TAT" xfId="21638" xr:uid="{00000000-0005-0000-0000-000056220000}"/>
    <cellStyle name="Comma 3 10 2 4 4" xfId="29267" xr:uid="{00000000-0005-0000-0000-000057220000}"/>
    <cellStyle name="Comma 3 10 2 4 5" xfId="14779" xr:uid="{00000000-0005-0000-0000-000058220000}"/>
    <cellStyle name="Comma 3 10 2 4_TOM TAT" xfId="21635" xr:uid="{00000000-0005-0000-0000-000059220000}"/>
    <cellStyle name="Comma 3 10 2 5" xfId="8603" xr:uid="{00000000-0005-0000-0000-00005A220000}"/>
    <cellStyle name="Comma 3 10 2 5 2" xfId="8604" xr:uid="{00000000-0005-0000-0000-00005B220000}"/>
    <cellStyle name="Comma 3 10 2 5 2 2" xfId="29272" xr:uid="{00000000-0005-0000-0000-00005C220000}"/>
    <cellStyle name="Comma 3 10 2 5 2 3" xfId="14784" xr:uid="{00000000-0005-0000-0000-00005D220000}"/>
    <cellStyle name="Comma 3 10 2 5 2_TOM TAT" xfId="21640" xr:uid="{00000000-0005-0000-0000-00005E220000}"/>
    <cellStyle name="Comma 3 10 2 5 3" xfId="29271" xr:uid="{00000000-0005-0000-0000-00005F220000}"/>
    <cellStyle name="Comma 3 10 2 5 4" xfId="14783" xr:uid="{00000000-0005-0000-0000-000060220000}"/>
    <cellStyle name="Comma 3 10 2 5_TOM TAT" xfId="21639" xr:uid="{00000000-0005-0000-0000-000061220000}"/>
    <cellStyle name="Comma 3 10 2 6" xfId="8605" xr:uid="{00000000-0005-0000-0000-000062220000}"/>
    <cellStyle name="Comma 3 10 2 6 2" xfId="29273" xr:uid="{00000000-0005-0000-0000-000063220000}"/>
    <cellStyle name="Comma 3 10 2 6 3" xfId="14785" xr:uid="{00000000-0005-0000-0000-000064220000}"/>
    <cellStyle name="Comma 3 10 2 6_TOM TAT" xfId="21641" xr:uid="{00000000-0005-0000-0000-000065220000}"/>
    <cellStyle name="Comma 3 10 2 7" xfId="28196" xr:uid="{00000000-0005-0000-0000-000066220000}"/>
    <cellStyle name="Comma 3 10 2 8" xfId="14660" xr:uid="{00000000-0005-0000-0000-000067220000}"/>
    <cellStyle name="Comma 3 10 2_TOM TAT" xfId="21618" xr:uid="{00000000-0005-0000-0000-000068220000}"/>
    <cellStyle name="Comma 3 10 3" xfId="8606" xr:uid="{00000000-0005-0000-0000-000069220000}"/>
    <cellStyle name="Comma 3 10 3 2" xfId="8607" xr:uid="{00000000-0005-0000-0000-00006A220000}"/>
    <cellStyle name="Comma 3 10 3 2 2" xfId="8608" xr:uid="{00000000-0005-0000-0000-00006B220000}"/>
    <cellStyle name="Comma 3 10 3 2 2 2" xfId="8609" xr:uid="{00000000-0005-0000-0000-00006C220000}"/>
    <cellStyle name="Comma 3 10 3 2 2 2 2" xfId="29277" xr:uid="{00000000-0005-0000-0000-00006D220000}"/>
    <cellStyle name="Comma 3 10 3 2 2 2 3" xfId="14789" xr:uid="{00000000-0005-0000-0000-00006E220000}"/>
    <cellStyle name="Comma 3 10 3 2 2 2_TOM TAT" xfId="21645" xr:uid="{00000000-0005-0000-0000-00006F220000}"/>
    <cellStyle name="Comma 3 10 3 2 2 3" xfId="29276" xr:uid="{00000000-0005-0000-0000-000070220000}"/>
    <cellStyle name="Comma 3 10 3 2 2 4" xfId="14788" xr:uid="{00000000-0005-0000-0000-000071220000}"/>
    <cellStyle name="Comma 3 10 3 2 2_TOM TAT" xfId="21644" xr:uid="{00000000-0005-0000-0000-000072220000}"/>
    <cellStyle name="Comma 3 10 3 2 3" xfId="8610" xr:uid="{00000000-0005-0000-0000-000073220000}"/>
    <cellStyle name="Comma 3 10 3 2 3 2" xfId="29278" xr:uid="{00000000-0005-0000-0000-000074220000}"/>
    <cellStyle name="Comma 3 10 3 2 3 3" xfId="14790" xr:uid="{00000000-0005-0000-0000-000075220000}"/>
    <cellStyle name="Comma 3 10 3 2 3_TOM TAT" xfId="21646" xr:uid="{00000000-0005-0000-0000-000076220000}"/>
    <cellStyle name="Comma 3 10 3 2 4" xfId="29275" xr:uid="{00000000-0005-0000-0000-000077220000}"/>
    <cellStyle name="Comma 3 10 3 2 5" xfId="14787" xr:uid="{00000000-0005-0000-0000-000078220000}"/>
    <cellStyle name="Comma 3 10 3 2_TOM TAT" xfId="21643" xr:uid="{00000000-0005-0000-0000-000079220000}"/>
    <cellStyle name="Comma 3 10 3 3" xfId="8611" xr:uid="{00000000-0005-0000-0000-00007A220000}"/>
    <cellStyle name="Comma 3 10 3 3 2" xfId="8612" xr:uid="{00000000-0005-0000-0000-00007B220000}"/>
    <cellStyle name="Comma 3 10 3 3 2 2" xfId="8613" xr:uid="{00000000-0005-0000-0000-00007C220000}"/>
    <cellStyle name="Comma 3 10 3 3 2 2 2" xfId="29281" xr:uid="{00000000-0005-0000-0000-00007D220000}"/>
    <cellStyle name="Comma 3 10 3 3 2 2 3" xfId="14793" xr:uid="{00000000-0005-0000-0000-00007E220000}"/>
    <cellStyle name="Comma 3 10 3 3 2 2_TOM TAT" xfId="21649" xr:uid="{00000000-0005-0000-0000-00007F220000}"/>
    <cellStyle name="Comma 3 10 3 3 2 3" xfId="29280" xr:uid="{00000000-0005-0000-0000-000080220000}"/>
    <cellStyle name="Comma 3 10 3 3 2 4" xfId="14792" xr:uid="{00000000-0005-0000-0000-000081220000}"/>
    <cellStyle name="Comma 3 10 3 3 2_TOM TAT" xfId="21648" xr:uid="{00000000-0005-0000-0000-000082220000}"/>
    <cellStyle name="Comma 3 10 3 3 3" xfId="8614" xr:uid="{00000000-0005-0000-0000-000083220000}"/>
    <cellStyle name="Comma 3 10 3 3 3 2" xfId="29282" xr:uid="{00000000-0005-0000-0000-000084220000}"/>
    <cellStyle name="Comma 3 10 3 3 3 3" xfId="14794" xr:uid="{00000000-0005-0000-0000-000085220000}"/>
    <cellStyle name="Comma 3 10 3 3 3_TOM TAT" xfId="21650" xr:uid="{00000000-0005-0000-0000-000086220000}"/>
    <cellStyle name="Comma 3 10 3 3 4" xfId="29279" xr:uid="{00000000-0005-0000-0000-000087220000}"/>
    <cellStyle name="Comma 3 10 3 3 5" xfId="14791" xr:uid="{00000000-0005-0000-0000-000088220000}"/>
    <cellStyle name="Comma 3 10 3 3_TOM TAT" xfId="21647" xr:uid="{00000000-0005-0000-0000-000089220000}"/>
    <cellStyle name="Comma 3 10 3 4" xfId="8615" xr:uid="{00000000-0005-0000-0000-00008A220000}"/>
    <cellStyle name="Comma 3 10 3 4 2" xfId="8616" xr:uid="{00000000-0005-0000-0000-00008B220000}"/>
    <cellStyle name="Comma 3 10 3 4 2 2" xfId="29284" xr:uid="{00000000-0005-0000-0000-00008C220000}"/>
    <cellStyle name="Comma 3 10 3 4 2 3" xfId="14796" xr:uid="{00000000-0005-0000-0000-00008D220000}"/>
    <cellStyle name="Comma 3 10 3 4 2_TOM TAT" xfId="21652" xr:uid="{00000000-0005-0000-0000-00008E220000}"/>
    <cellStyle name="Comma 3 10 3 4 3" xfId="29283" xr:uid="{00000000-0005-0000-0000-00008F220000}"/>
    <cellStyle name="Comma 3 10 3 4 4" xfId="14795" xr:uid="{00000000-0005-0000-0000-000090220000}"/>
    <cellStyle name="Comma 3 10 3 4_TOM TAT" xfId="21651" xr:uid="{00000000-0005-0000-0000-000091220000}"/>
    <cellStyle name="Comma 3 10 3 5" xfId="8617" xr:uid="{00000000-0005-0000-0000-000092220000}"/>
    <cellStyle name="Comma 3 10 3 5 2" xfId="29285" xr:uid="{00000000-0005-0000-0000-000093220000}"/>
    <cellStyle name="Comma 3 10 3 5 3" xfId="14797" xr:uid="{00000000-0005-0000-0000-000094220000}"/>
    <cellStyle name="Comma 3 10 3 5_TOM TAT" xfId="21653" xr:uid="{00000000-0005-0000-0000-000095220000}"/>
    <cellStyle name="Comma 3 10 3 6" xfId="29274" xr:uid="{00000000-0005-0000-0000-000096220000}"/>
    <cellStyle name="Comma 3 10 3 7" xfId="14786" xr:uid="{00000000-0005-0000-0000-000097220000}"/>
    <cellStyle name="Comma 3 10 3_TOM TAT" xfId="21642" xr:uid="{00000000-0005-0000-0000-000098220000}"/>
    <cellStyle name="Comma 3 10 4" xfId="8618" xr:uid="{00000000-0005-0000-0000-000099220000}"/>
    <cellStyle name="Comma 3 10 4 2" xfId="8619" xr:uid="{00000000-0005-0000-0000-00009A220000}"/>
    <cellStyle name="Comma 3 10 4 2 2" xfId="8620" xr:uid="{00000000-0005-0000-0000-00009B220000}"/>
    <cellStyle name="Comma 3 10 4 2 2 2" xfId="8621" xr:uid="{00000000-0005-0000-0000-00009C220000}"/>
    <cellStyle name="Comma 3 10 4 2 2 2 2" xfId="29289" xr:uid="{00000000-0005-0000-0000-00009D220000}"/>
    <cellStyle name="Comma 3 10 4 2 2 2 3" xfId="14801" xr:uid="{00000000-0005-0000-0000-00009E220000}"/>
    <cellStyle name="Comma 3 10 4 2 2 2_TOM TAT" xfId="21657" xr:uid="{00000000-0005-0000-0000-00009F220000}"/>
    <cellStyle name="Comma 3 10 4 2 2 3" xfId="29288" xr:uid="{00000000-0005-0000-0000-0000A0220000}"/>
    <cellStyle name="Comma 3 10 4 2 2 4" xfId="14800" xr:uid="{00000000-0005-0000-0000-0000A1220000}"/>
    <cellStyle name="Comma 3 10 4 2 2_TOM TAT" xfId="21656" xr:uid="{00000000-0005-0000-0000-0000A2220000}"/>
    <cellStyle name="Comma 3 10 4 2 3" xfId="8622" xr:uid="{00000000-0005-0000-0000-0000A3220000}"/>
    <cellStyle name="Comma 3 10 4 2 3 2" xfId="29290" xr:uid="{00000000-0005-0000-0000-0000A4220000}"/>
    <cellStyle name="Comma 3 10 4 2 3 3" xfId="14802" xr:uid="{00000000-0005-0000-0000-0000A5220000}"/>
    <cellStyle name="Comma 3 10 4 2 3_TOM TAT" xfId="21658" xr:uid="{00000000-0005-0000-0000-0000A6220000}"/>
    <cellStyle name="Comma 3 10 4 2 4" xfId="29287" xr:uid="{00000000-0005-0000-0000-0000A7220000}"/>
    <cellStyle name="Comma 3 10 4 2 5" xfId="14799" xr:uid="{00000000-0005-0000-0000-0000A8220000}"/>
    <cellStyle name="Comma 3 10 4 2_TOM TAT" xfId="21655" xr:uid="{00000000-0005-0000-0000-0000A9220000}"/>
    <cellStyle name="Comma 3 10 4 3" xfId="8623" xr:uid="{00000000-0005-0000-0000-0000AA220000}"/>
    <cellStyle name="Comma 3 10 4 3 2" xfId="8624" xr:uid="{00000000-0005-0000-0000-0000AB220000}"/>
    <cellStyle name="Comma 3 10 4 3 2 2" xfId="8625" xr:uid="{00000000-0005-0000-0000-0000AC220000}"/>
    <cellStyle name="Comma 3 10 4 3 2 2 2" xfId="29293" xr:uid="{00000000-0005-0000-0000-0000AD220000}"/>
    <cellStyle name="Comma 3 10 4 3 2 2 3" xfId="14805" xr:uid="{00000000-0005-0000-0000-0000AE220000}"/>
    <cellStyle name="Comma 3 10 4 3 2 2_TOM TAT" xfId="21661" xr:uid="{00000000-0005-0000-0000-0000AF220000}"/>
    <cellStyle name="Comma 3 10 4 3 2 3" xfId="29292" xr:uid="{00000000-0005-0000-0000-0000B0220000}"/>
    <cellStyle name="Comma 3 10 4 3 2 4" xfId="14804" xr:uid="{00000000-0005-0000-0000-0000B1220000}"/>
    <cellStyle name="Comma 3 10 4 3 2_TOM TAT" xfId="21660" xr:uid="{00000000-0005-0000-0000-0000B2220000}"/>
    <cellStyle name="Comma 3 10 4 3 3" xfId="8626" xr:uid="{00000000-0005-0000-0000-0000B3220000}"/>
    <cellStyle name="Comma 3 10 4 3 3 2" xfId="29294" xr:uid="{00000000-0005-0000-0000-0000B4220000}"/>
    <cellStyle name="Comma 3 10 4 3 3 3" xfId="14806" xr:uid="{00000000-0005-0000-0000-0000B5220000}"/>
    <cellStyle name="Comma 3 10 4 3 3_TOM TAT" xfId="21662" xr:uid="{00000000-0005-0000-0000-0000B6220000}"/>
    <cellStyle name="Comma 3 10 4 3 4" xfId="29291" xr:uid="{00000000-0005-0000-0000-0000B7220000}"/>
    <cellStyle name="Comma 3 10 4 3 5" xfId="14803" xr:uid="{00000000-0005-0000-0000-0000B8220000}"/>
    <cellStyle name="Comma 3 10 4 3_TOM TAT" xfId="21659" xr:uid="{00000000-0005-0000-0000-0000B9220000}"/>
    <cellStyle name="Comma 3 10 4 4" xfId="8627" xr:uid="{00000000-0005-0000-0000-0000BA220000}"/>
    <cellStyle name="Comma 3 10 4 4 2" xfId="8628" xr:uid="{00000000-0005-0000-0000-0000BB220000}"/>
    <cellStyle name="Comma 3 10 4 4 2 2" xfId="29296" xr:uid="{00000000-0005-0000-0000-0000BC220000}"/>
    <cellStyle name="Comma 3 10 4 4 2 3" xfId="14808" xr:uid="{00000000-0005-0000-0000-0000BD220000}"/>
    <cellStyle name="Comma 3 10 4 4 2_TOM TAT" xfId="21664" xr:uid="{00000000-0005-0000-0000-0000BE220000}"/>
    <cellStyle name="Comma 3 10 4 4 3" xfId="29295" xr:uid="{00000000-0005-0000-0000-0000BF220000}"/>
    <cellStyle name="Comma 3 10 4 4 4" xfId="14807" xr:uid="{00000000-0005-0000-0000-0000C0220000}"/>
    <cellStyle name="Comma 3 10 4 4_TOM TAT" xfId="21663" xr:uid="{00000000-0005-0000-0000-0000C1220000}"/>
    <cellStyle name="Comma 3 10 4 5" xfId="8629" xr:uid="{00000000-0005-0000-0000-0000C2220000}"/>
    <cellStyle name="Comma 3 10 4 5 2" xfId="29297" xr:uid="{00000000-0005-0000-0000-0000C3220000}"/>
    <cellStyle name="Comma 3 10 4 5 3" xfId="14809" xr:uid="{00000000-0005-0000-0000-0000C4220000}"/>
    <cellStyle name="Comma 3 10 4 5_TOM TAT" xfId="21665" xr:uid="{00000000-0005-0000-0000-0000C5220000}"/>
    <cellStyle name="Comma 3 10 4 6" xfId="29286" xr:uid="{00000000-0005-0000-0000-0000C6220000}"/>
    <cellStyle name="Comma 3 10 4 7" xfId="14798" xr:uid="{00000000-0005-0000-0000-0000C7220000}"/>
    <cellStyle name="Comma 3 10 4_TOM TAT" xfId="21654" xr:uid="{00000000-0005-0000-0000-0000C8220000}"/>
    <cellStyle name="Comma 3 10 5" xfId="8630" xr:uid="{00000000-0005-0000-0000-0000C9220000}"/>
    <cellStyle name="Comma 3 10 5 2" xfId="8631" xr:uid="{00000000-0005-0000-0000-0000CA220000}"/>
    <cellStyle name="Comma 3 10 5 2 2" xfId="8632" xr:uid="{00000000-0005-0000-0000-0000CB220000}"/>
    <cellStyle name="Comma 3 10 5 2 2 2" xfId="29300" xr:uid="{00000000-0005-0000-0000-0000CC220000}"/>
    <cellStyle name="Comma 3 10 5 2 2 3" xfId="14812" xr:uid="{00000000-0005-0000-0000-0000CD220000}"/>
    <cellStyle name="Comma 3 10 5 2 2_TOM TAT" xfId="21668" xr:uid="{00000000-0005-0000-0000-0000CE220000}"/>
    <cellStyle name="Comma 3 10 5 2 3" xfId="29299" xr:uid="{00000000-0005-0000-0000-0000CF220000}"/>
    <cellStyle name="Comma 3 10 5 2 4" xfId="14811" xr:uid="{00000000-0005-0000-0000-0000D0220000}"/>
    <cellStyle name="Comma 3 10 5 2_TOM TAT" xfId="21667" xr:uid="{00000000-0005-0000-0000-0000D1220000}"/>
    <cellStyle name="Comma 3 10 5 3" xfId="8633" xr:uid="{00000000-0005-0000-0000-0000D2220000}"/>
    <cellStyle name="Comma 3 10 5 3 2" xfId="29301" xr:uid="{00000000-0005-0000-0000-0000D3220000}"/>
    <cellStyle name="Comma 3 10 5 3 3" xfId="14813" xr:uid="{00000000-0005-0000-0000-0000D4220000}"/>
    <cellStyle name="Comma 3 10 5 3_TOM TAT" xfId="21669" xr:uid="{00000000-0005-0000-0000-0000D5220000}"/>
    <cellStyle name="Comma 3 10 5 4" xfId="29298" xr:uid="{00000000-0005-0000-0000-0000D6220000}"/>
    <cellStyle name="Comma 3 10 5 5" xfId="14810" xr:uid="{00000000-0005-0000-0000-0000D7220000}"/>
    <cellStyle name="Comma 3 10 5_TOM TAT" xfId="21666" xr:uid="{00000000-0005-0000-0000-0000D8220000}"/>
    <cellStyle name="Comma 3 10 6" xfId="8634" xr:uid="{00000000-0005-0000-0000-0000D9220000}"/>
    <cellStyle name="Comma 3 10 6 2" xfId="8635" xr:uid="{00000000-0005-0000-0000-0000DA220000}"/>
    <cellStyle name="Comma 3 10 6 2 2" xfId="8636" xr:uid="{00000000-0005-0000-0000-0000DB220000}"/>
    <cellStyle name="Comma 3 10 6 2 2 2" xfId="29304" xr:uid="{00000000-0005-0000-0000-0000DC220000}"/>
    <cellStyle name="Comma 3 10 6 2 2 3" xfId="14816" xr:uid="{00000000-0005-0000-0000-0000DD220000}"/>
    <cellStyle name="Comma 3 10 6 2 2_TOM TAT" xfId="21672" xr:uid="{00000000-0005-0000-0000-0000DE220000}"/>
    <cellStyle name="Comma 3 10 6 2 3" xfId="29303" xr:uid="{00000000-0005-0000-0000-0000DF220000}"/>
    <cellStyle name="Comma 3 10 6 2 4" xfId="14815" xr:uid="{00000000-0005-0000-0000-0000E0220000}"/>
    <cellStyle name="Comma 3 10 6 2_TOM TAT" xfId="21671" xr:uid="{00000000-0005-0000-0000-0000E1220000}"/>
    <cellStyle name="Comma 3 10 6 3" xfId="8637" xr:uid="{00000000-0005-0000-0000-0000E2220000}"/>
    <cellStyle name="Comma 3 10 6 3 2" xfId="29305" xr:uid="{00000000-0005-0000-0000-0000E3220000}"/>
    <cellStyle name="Comma 3 10 6 3 3" xfId="14817" xr:uid="{00000000-0005-0000-0000-0000E4220000}"/>
    <cellStyle name="Comma 3 10 6 3_TOM TAT" xfId="21673" xr:uid="{00000000-0005-0000-0000-0000E5220000}"/>
    <cellStyle name="Comma 3 10 6 4" xfId="29302" xr:uid="{00000000-0005-0000-0000-0000E6220000}"/>
    <cellStyle name="Comma 3 10 6 5" xfId="14814" xr:uid="{00000000-0005-0000-0000-0000E7220000}"/>
    <cellStyle name="Comma 3 10 6_TOM TAT" xfId="21670" xr:uid="{00000000-0005-0000-0000-0000E8220000}"/>
    <cellStyle name="Comma 3 10 7" xfId="8638" xr:uid="{00000000-0005-0000-0000-0000E9220000}"/>
    <cellStyle name="Comma 3 10 7 2" xfId="8639" xr:uid="{00000000-0005-0000-0000-0000EA220000}"/>
    <cellStyle name="Comma 3 10 7 2 2" xfId="29307" xr:uid="{00000000-0005-0000-0000-0000EB220000}"/>
    <cellStyle name="Comma 3 10 7 2 3" xfId="14819" xr:uid="{00000000-0005-0000-0000-0000EC220000}"/>
    <cellStyle name="Comma 3 10 7 2_TOM TAT" xfId="21675" xr:uid="{00000000-0005-0000-0000-0000ED220000}"/>
    <cellStyle name="Comma 3 10 7 3" xfId="29306" xr:uid="{00000000-0005-0000-0000-0000EE220000}"/>
    <cellStyle name="Comma 3 10 7 4" xfId="14818" xr:uid="{00000000-0005-0000-0000-0000EF220000}"/>
    <cellStyle name="Comma 3 10 7_TOM TAT" xfId="21674" xr:uid="{00000000-0005-0000-0000-0000F0220000}"/>
    <cellStyle name="Comma 3 10 8" xfId="8640" xr:uid="{00000000-0005-0000-0000-0000F1220000}"/>
    <cellStyle name="Comma 3 10 8 2" xfId="18961" xr:uid="{00000000-0005-0000-0000-0000F2220000}"/>
    <cellStyle name="Comma 3 10 8 2 2" xfId="31876" xr:uid="{00000000-0005-0000-0000-0000F3220000}"/>
    <cellStyle name="Comma 3 10 8 2_TOM TAT" xfId="21677" xr:uid="{00000000-0005-0000-0000-0000F4220000}"/>
    <cellStyle name="Comma 3 10 8 3" xfId="18971" xr:uid="{00000000-0005-0000-0000-0000F5220000}"/>
    <cellStyle name="Comma 3 10 8 3 2" xfId="31886" xr:uid="{00000000-0005-0000-0000-0000F6220000}"/>
    <cellStyle name="Comma 3 10 8 3_TOM TAT" xfId="21678" xr:uid="{00000000-0005-0000-0000-0000F7220000}"/>
    <cellStyle name="Comma 3 10 8 4" xfId="19030" xr:uid="{00000000-0005-0000-0000-0000F8220000}"/>
    <cellStyle name="Comma 3 10 8 4 2" xfId="19118" xr:uid="{00000000-0005-0000-0000-0000F9220000}"/>
    <cellStyle name="Comma 3 10 8 4 2 2" xfId="31985" xr:uid="{00000000-0005-0000-0000-0000FA220000}"/>
    <cellStyle name="Comma 3 10 8 4 2_TOM TAT" xfId="21680" xr:uid="{00000000-0005-0000-0000-0000FB220000}"/>
    <cellStyle name="Comma 3 10 8 4 3" xfId="19119" xr:uid="{00000000-0005-0000-0000-0000FC220000}"/>
    <cellStyle name="Comma 3 10 8 4 3 2" xfId="31986" xr:uid="{00000000-0005-0000-0000-0000FD220000}"/>
    <cellStyle name="Comma 3 10 8 4 3_TOM TAT" xfId="21681" xr:uid="{00000000-0005-0000-0000-0000FE220000}"/>
    <cellStyle name="Comma 3 10 8 4 4" xfId="19084" xr:uid="{00000000-0005-0000-0000-0000FF220000}"/>
    <cellStyle name="Comma 3 10 8 4 4 2" xfId="31973" xr:uid="{00000000-0005-0000-0000-000000230000}"/>
    <cellStyle name="Comma 3 10 8 4 4 3" xfId="32139" xr:uid="{00000000-0005-0000-0000-000001230000}"/>
    <cellStyle name="Comma 3 10 8 4 4_TOM TAT" xfId="21682" xr:uid="{00000000-0005-0000-0000-000002230000}"/>
    <cellStyle name="Comma 3 10 8 4 5" xfId="31935" xr:uid="{00000000-0005-0000-0000-000003230000}"/>
    <cellStyle name="Comma 3 10 8 4_TOM TAT" xfId="21679" xr:uid="{00000000-0005-0000-0000-000004230000}"/>
    <cellStyle name="Comma 3 10 8 5" xfId="19040" xr:uid="{00000000-0005-0000-0000-000005230000}"/>
    <cellStyle name="Comma 3 10 8 5 2" xfId="19120" xr:uid="{00000000-0005-0000-0000-000006230000}"/>
    <cellStyle name="Comma 3 10 8 5 2 2" xfId="19121" xr:uid="{00000000-0005-0000-0000-000007230000}"/>
    <cellStyle name="Comma 3 10 8 5 2 2 2" xfId="31988" xr:uid="{00000000-0005-0000-0000-000008230000}"/>
    <cellStyle name="Comma 3 10 8 5 2 2_TOM TAT" xfId="21685" xr:uid="{00000000-0005-0000-0000-000009230000}"/>
    <cellStyle name="Comma 3 10 8 5 2 3" xfId="19122" xr:uid="{00000000-0005-0000-0000-00000A230000}"/>
    <cellStyle name="Comma 3 10 8 5 2 3 2" xfId="31989" xr:uid="{00000000-0005-0000-0000-00000B230000}"/>
    <cellStyle name="Comma 3 10 8 5 2 3 3" xfId="32145" xr:uid="{00000000-0005-0000-0000-00000C230000}"/>
    <cellStyle name="Comma 3 10 8 5 2 3_TOM TAT" xfId="21686" xr:uid="{00000000-0005-0000-0000-00000D230000}"/>
    <cellStyle name="Comma 3 10 8 5 2 4" xfId="31987" xr:uid="{00000000-0005-0000-0000-00000E230000}"/>
    <cellStyle name="Comma 3 10 8 5 2_TOM TAT" xfId="21684" xr:uid="{00000000-0005-0000-0000-00000F230000}"/>
    <cellStyle name="Comma 3 10 8 5 3" xfId="31945" xr:uid="{00000000-0005-0000-0000-000010230000}"/>
    <cellStyle name="Comma 3 10 8 5_TOM TAT" xfId="21683" xr:uid="{00000000-0005-0000-0000-000011230000}"/>
    <cellStyle name="Comma 3 10 8 6" xfId="29308" xr:uid="{00000000-0005-0000-0000-000012230000}"/>
    <cellStyle name="Comma 3 10 8 7" xfId="14820" xr:uid="{00000000-0005-0000-0000-000013230000}"/>
    <cellStyle name="Comma 3 10 8_TOM TAT" xfId="21676" xr:uid="{00000000-0005-0000-0000-000014230000}"/>
    <cellStyle name="Comma 3 10 9" xfId="28195" xr:uid="{00000000-0005-0000-0000-000015230000}"/>
    <cellStyle name="Comma 3 10_TOM TAT" xfId="21617" xr:uid="{00000000-0005-0000-0000-000016230000}"/>
    <cellStyle name="Comma 3 11" xfId="5340" xr:uid="{00000000-0005-0000-0000-000017230000}"/>
    <cellStyle name="Comma 3 12" xfId="5341" xr:uid="{00000000-0005-0000-0000-000018230000}"/>
    <cellStyle name="Comma 3 13" xfId="18969" xr:uid="{00000000-0005-0000-0000-000019230000}"/>
    <cellStyle name="Comma 3 13 2" xfId="31884" xr:uid="{00000000-0005-0000-0000-00001A230000}"/>
    <cellStyle name="Comma 3 13_TOM TAT" xfId="21687" xr:uid="{00000000-0005-0000-0000-00001B230000}"/>
    <cellStyle name="Comma 3 14" xfId="19027" xr:uid="{00000000-0005-0000-0000-00001C230000}"/>
    <cellStyle name="Comma 3 14 2" xfId="19123" xr:uid="{00000000-0005-0000-0000-00001D230000}"/>
    <cellStyle name="Comma 3 14 2 2" xfId="31990" xr:uid="{00000000-0005-0000-0000-00001E230000}"/>
    <cellStyle name="Comma 3 14 2_TOM TAT" xfId="21689" xr:uid="{00000000-0005-0000-0000-00001F230000}"/>
    <cellStyle name="Comma 3 14 3" xfId="19124" xr:uid="{00000000-0005-0000-0000-000020230000}"/>
    <cellStyle name="Comma 3 14 3 2" xfId="31991" xr:uid="{00000000-0005-0000-0000-000021230000}"/>
    <cellStyle name="Comma 3 14 3_TOM TAT" xfId="21690" xr:uid="{00000000-0005-0000-0000-000022230000}"/>
    <cellStyle name="Comma 3 14 4" xfId="19082" xr:uid="{00000000-0005-0000-0000-000023230000}"/>
    <cellStyle name="Comma 3 14 4 2" xfId="31971" xr:uid="{00000000-0005-0000-0000-000024230000}"/>
    <cellStyle name="Comma 3 14 4 3" xfId="32137" xr:uid="{00000000-0005-0000-0000-000025230000}"/>
    <cellStyle name="Comma 3 14 4_TOM TAT" xfId="21691" xr:uid="{00000000-0005-0000-0000-000026230000}"/>
    <cellStyle name="Comma 3 14 5" xfId="31932" xr:uid="{00000000-0005-0000-0000-000027230000}"/>
    <cellStyle name="Comma 3 14_TOM TAT" xfId="21688" xr:uid="{00000000-0005-0000-0000-000028230000}"/>
    <cellStyle name="Comma 3 15" xfId="19044" xr:uid="{00000000-0005-0000-0000-000029230000}"/>
    <cellStyle name="Comma 3 15 2" xfId="19125" xr:uid="{00000000-0005-0000-0000-00002A230000}"/>
    <cellStyle name="Comma 3 15 2 2" xfId="19126" xr:uid="{00000000-0005-0000-0000-00002B230000}"/>
    <cellStyle name="Comma 3 15 2 2 2" xfId="31993" xr:uid="{00000000-0005-0000-0000-00002C230000}"/>
    <cellStyle name="Comma 3 15 2 2_TOM TAT" xfId="21694" xr:uid="{00000000-0005-0000-0000-00002D230000}"/>
    <cellStyle name="Comma 3 15 2 3" xfId="19127" xr:uid="{00000000-0005-0000-0000-00002E230000}"/>
    <cellStyle name="Comma 3 15 2 3 2" xfId="31994" xr:uid="{00000000-0005-0000-0000-00002F230000}"/>
    <cellStyle name="Comma 3 15 2 3_TOM TAT" xfId="21695" xr:uid="{00000000-0005-0000-0000-000030230000}"/>
    <cellStyle name="Comma 3 15 2 4" xfId="31992" xr:uid="{00000000-0005-0000-0000-000031230000}"/>
    <cellStyle name="Comma 3 15 2_TOM TAT" xfId="21693" xr:uid="{00000000-0005-0000-0000-000032230000}"/>
    <cellStyle name="Comma 3 15 3" xfId="31949" xr:uid="{00000000-0005-0000-0000-000033230000}"/>
    <cellStyle name="Comma 3 15_TOM TAT" xfId="21692" xr:uid="{00000000-0005-0000-0000-000034230000}"/>
    <cellStyle name="Comma 3 16" xfId="26956" xr:uid="{00000000-0005-0000-0000-000035230000}"/>
    <cellStyle name="Comma 3 17" xfId="32288" xr:uid="{00000000-0005-0000-0000-000036230000}"/>
    <cellStyle name="Comma 3 18" xfId="32304" xr:uid="{00000000-0005-0000-0000-000037230000}"/>
    <cellStyle name="Comma 3 2" xfId="2115" xr:uid="{00000000-0005-0000-0000-000038230000}"/>
    <cellStyle name="Comma 3 2 2" xfId="5342" xr:uid="{00000000-0005-0000-0000-000039230000}"/>
    <cellStyle name="Comma 3 2 2 2" xfId="18624" xr:uid="{00000000-0005-0000-0000-00003A230000}"/>
    <cellStyle name="Comma 3 2 2_TOM TAT" xfId="21697" xr:uid="{00000000-0005-0000-0000-00003B230000}"/>
    <cellStyle name="Comma 3 2 3" xfId="18184" xr:uid="{00000000-0005-0000-0000-00003C230000}"/>
    <cellStyle name="Comma 3 2 4" xfId="32252" xr:uid="{00000000-0005-0000-0000-00003D230000}"/>
    <cellStyle name="Comma 3 2_TOM TAT" xfId="21696" xr:uid="{00000000-0005-0000-0000-00003E230000}"/>
    <cellStyle name="Comma 3 3" xfId="2116" xr:uid="{00000000-0005-0000-0000-00003F230000}"/>
    <cellStyle name="Comma 3 3 2" xfId="18623" xr:uid="{00000000-0005-0000-0000-000040230000}"/>
    <cellStyle name="Comma 3 3_TOM TAT" xfId="21698" xr:uid="{00000000-0005-0000-0000-000041230000}"/>
    <cellStyle name="Comma 3 4" xfId="2117" xr:uid="{00000000-0005-0000-0000-000042230000}"/>
    <cellStyle name="Comma 3 5" xfId="2118" xr:uid="{00000000-0005-0000-0000-000043230000}"/>
    <cellStyle name="Comma 3 6" xfId="2114" xr:uid="{00000000-0005-0000-0000-000044230000}"/>
    <cellStyle name="Comma 3 7" xfId="4365" xr:uid="{00000000-0005-0000-0000-000045230000}"/>
    <cellStyle name="Comma 3 8" xfId="5343" xr:uid="{00000000-0005-0000-0000-000046230000}"/>
    <cellStyle name="Comma 3 8 10" xfId="28197" xr:uid="{00000000-0005-0000-0000-000047230000}"/>
    <cellStyle name="Comma 3 8 11" xfId="14661" xr:uid="{00000000-0005-0000-0000-000048230000}"/>
    <cellStyle name="Comma 3 8 2" xfId="5344" xr:uid="{00000000-0005-0000-0000-000049230000}"/>
    <cellStyle name="Comma 3 8 2 10" xfId="14662" xr:uid="{00000000-0005-0000-0000-00004A230000}"/>
    <cellStyle name="Comma 3 8 2 2" xfId="5345" xr:uid="{00000000-0005-0000-0000-00004B230000}"/>
    <cellStyle name="Comma 3 8 2 2 2" xfId="8641" xr:uid="{00000000-0005-0000-0000-00004C230000}"/>
    <cellStyle name="Comma 3 8 2 2 2 2" xfId="8642" xr:uid="{00000000-0005-0000-0000-00004D230000}"/>
    <cellStyle name="Comma 3 8 2 2 2 2 2" xfId="8643" xr:uid="{00000000-0005-0000-0000-00004E230000}"/>
    <cellStyle name="Comma 3 8 2 2 2 2 2 2" xfId="8644" xr:uid="{00000000-0005-0000-0000-00004F230000}"/>
    <cellStyle name="Comma 3 8 2 2 2 2 2 2 2" xfId="29312" xr:uid="{00000000-0005-0000-0000-000050230000}"/>
    <cellStyle name="Comma 3 8 2 2 2 2 2 2 3" xfId="14824" xr:uid="{00000000-0005-0000-0000-000051230000}"/>
    <cellStyle name="Comma 3 8 2 2 2 2 2 2_TOM TAT" xfId="21705" xr:uid="{00000000-0005-0000-0000-000052230000}"/>
    <cellStyle name="Comma 3 8 2 2 2 2 2 3" xfId="29311" xr:uid="{00000000-0005-0000-0000-000053230000}"/>
    <cellStyle name="Comma 3 8 2 2 2 2 2 4" xfId="14823" xr:uid="{00000000-0005-0000-0000-000054230000}"/>
    <cellStyle name="Comma 3 8 2 2 2 2 2_TOM TAT" xfId="21704" xr:uid="{00000000-0005-0000-0000-000055230000}"/>
    <cellStyle name="Comma 3 8 2 2 2 2 3" xfId="8645" xr:uid="{00000000-0005-0000-0000-000056230000}"/>
    <cellStyle name="Comma 3 8 2 2 2 2 3 2" xfId="29313" xr:uid="{00000000-0005-0000-0000-000057230000}"/>
    <cellStyle name="Comma 3 8 2 2 2 2 3 3" xfId="14825" xr:uid="{00000000-0005-0000-0000-000058230000}"/>
    <cellStyle name="Comma 3 8 2 2 2 2 3_TOM TAT" xfId="21706" xr:uid="{00000000-0005-0000-0000-000059230000}"/>
    <cellStyle name="Comma 3 8 2 2 2 2 4" xfId="29310" xr:uid="{00000000-0005-0000-0000-00005A230000}"/>
    <cellStyle name="Comma 3 8 2 2 2 2 5" xfId="14822" xr:uid="{00000000-0005-0000-0000-00005B230000}"/>
    <cellStyle name="Comma 3 8 2 2 2 2_TOM TAT" xfId="21703" xr:uid="{00000000-0005-0000-0000-00005C230000}"/>
    <cellStyle name="Comma 3 8 2 2 2 3" xfId="8646" xr:uid="{00000000-0005-0000-0000-00005D230000}"/>
    <cellStyle name="Comma 3 8 2 2 2 3 2" xfId="8647" xr:uid="{00000000-0005-0000-0000-00005E230000}"/>
    <cellStyle name="Comma 3 8 2 2 2 3 2 2" xfId="8648" xr:uid="{00000000-0005-0000-0000-00005F230000}"/>
    <cellStyle name="Comma 3 8 2 2 2 3 2 2 2" xfId="29316" xr:uid="{00000000-0005-0000-0000-000060230000}"/>
    <cellStyle name="Comma 3 8 2 2 2 3 2 2 3" xfId="14828" xr:uid="{00000000-0005-0000-0000-000061230000}"/>
    <cellStyle name="Comma 3 8 2 2 2 3 2 2_TOM TAT" xfId="21709" xr:uid="{00000000-0005-0000-0000-000062230000}"/>
    <cellStyle name="Comma 3 8 2 2 2 3 2 3" xfId="29315" xr:uid="{00000000-0005-0000-0000-000063230000}"/>
    <cellStyle name="Comma 3 8 2 2 2 3 2 4" xfId="14827" xr:uid="{00000000-0005-0000-0000-000064230000}"/>
    <cellStyle name="Comma 3 8 2 2 2 3 2_TOM TAT" xfId="21708" xr:uid="{00000000-0005-0000-0000-000065230000}"/>
    <cellStyle name="Comma 3 8 2 2 2 3 3" xfId="8649" xr:uid="{00000000-0005-0000-0000-000066230000}"/>
    <cellStyle name="Comma 3 8 2 2 2 3 3 2" xfId="29317" xr:uid="{00000000-0005-0000-0000-000067230000}"/>
    <cellStyle name="Comma 3 8 2 2 2 3 3 3" xfId="14829" xr:uid="{00000000-0005-0000-0000-000068230000}"/>
    <cellStyle name="Comma 3 8 2 2 2 3 3_TOM TAT" xfId="21710" xr:uid="{00000000-0005-0000-0000-000069230000}"/>
    <cellStyle name="Comma 3 8 2 2 2 3 4" xfId="29314" xr:uid="{00000000-0005-0000-0000-00006A230000}"/>
    <cellStyle name="Comma 3 8 2 2 2 3 5" xfId="14826" xr:uid="{00000000-0005-0000-0000-00006B230000}"/>
    <cellStyle name="Comma 3 8 2 2 2 3_TOM TAT" xfId="21707" xr:uid="{00000000-0005-0000-0000-00006C230000}"/>
    <cellStyle name="Comma 3 8 2 2 2 4" xfId="8650" xr:uid="{00000000-0005-0000-0000-00006D230000}"/>
    <cellStyle name="Comma 3 8 2 2 2 4 2" xfId="8651" xr:uid="{00000000-0005-0000-0000-00006E230000}"/>
    <cellStyle name="Comma 3 8 2 2 2 4 2 2" xfId="29319" xr:uid="{00000000-0005-0000-0000-00006F230000}"/>
    <cellStyle name="Comma 3 8 2 2 2 4 2 3" xfId="14831" xr:uid="{00000000-0005-0000-0000-000070230000}"/>
    <cellStyle name="Comma 3 8 2 2 2 4 2_TOM TAT" xfId="21712" xr:uid="{00000000-0005-0000-0000-000071230000}"/>
    <cellStyle name="Comma 3 8 2 2 2 4 3" xfId="29318" xr:uid="{00000000-0005-0000-0000-000072230000}"/>
    <cellStyle name="Comma 3 8 2 2 2 4 4" xfId="14830" xr:uid="{00000000-0005-0000-0000-000073230000}"/>
    <cellStyle name="Comma 3 8 2 2 2 4_TOM TAT" xfId="21711" xr:uid="{00000000-0005-0000-0000-000074230000}"/>
    <cellStyle name="Comma 3 8 2 2 2 5" xfId="8652" xr:uid="{00000000-0005-0000-0000-000075230000}"/>
    <cellStyle name="Comma 3 8 2 2 2 5 2" xfId="29320" xr:uid="{00000000-0005-0000-0000-000076230000}"/>
    <cellStyle name="Comma 3 8 2 2 2 5 3" xfId="14832" xr:uid="{00000000-0005-0000-0000-000077230000}"/>
    <cellStyle name="Comma 3 8 2 2 2 5_TOM TAT" xfId="21713" xr:uid="{00000000-0005-0000-0000-000078230000}"/>
    <cellStyle name="Comma 3 8 2 2 2 6" xfId="29309" xr:uid="{00000000-0005-0000-0000-000079230000}"/>
    <cellStyle name="Comma 3 8 2 2 2 7" xfId="14821" xr:uid="{00000000-0005-0000-0000-00007A230000}"/>
    <cellStyle name="Comma 3 8 2 2 2_TOM TAT" xfId="21702" xr:uid="{00000000-0005-0000-0000-00007B230000}"/>
    <cellStyle name="Comma 3 8 2 2 3" xfId="8653" xr:uid="{00000000-0005-0000-0000-00007C230000}"/>
    <cellStyle name="Comma 3 8 2 2 3 2" xfId="8654" xr:uid="{00000000-0005-0000-0000-00007D230000}"/>
    <cellStyle name="Comma 3 8 2 2 3 2 2" xfId="8655" xr:uid="{00000000-0005-0000-0000-00007E230000}"/>
    <cellStyle name="Comma 3 8 2 2 3 2 2 2" xfId="29323" xr:uid="{00000000-0005-0000-0000-00007F230000}"/>
    <cellStyle name="Comma 3 8 2 2 3 2 2 3" xfId="14835" xr:uid="{00000000-0005-0000-0000-000080230000}"/>
    <cellStyle name="Comma 3 8 2 2 3 2 2_TOM TAT" xfId="21716" xr:uid="{00000000-0005-0000-0000-000081230000}"/>
    <cellStyle name="Comma 3 8 2 2 3 2 3" xfId="29322" xr:uid="{00000000-0005-0000-0000-000082230000}"/>
    <cellStyle name="Comma 3 8 2 2 3 2 4" xfId="14834" xr:uid="{00000000-0005-0000-0000-000083230000}"/>
    <cellStyle name="Comma 3 8 2 2 3 2_TOM TAT" xfId="21715" xr:uid="{00000000-0005-0000-0000-000084230000}"/>
    <cellStyle name="Comma 3 8 2 2 3 3" xfId="8656" xr:uid="{00000000-0005-0000-0000-000085230000}"/>
    <cellStyle name="Comma 3 8 2 2 3 3 2" xfId="29324" xr:uid="{00000000-0005-0000-0000-000086230000}"/>
    <cellStyle name="Comma 3 8 2 2 3 3 3" xfId="14836" xr:uid="{00000000-0005-0000-0000-000087230000}"/>
    <cellStyle name="Comma 3 8 2 2 3 3_TOM TAT" xfId="21717" xr:uid="{00000000-0005-0000-0000-000088230000}"/>
    <cellStyle name="Comma 3 8 2 2 3 4" xfId="29321" xr:uid="{00000000-0005-0000-0000-000089230000}"/>
    <cellStyle name="Comma 3 8 2 2 3 5" xfId="14833" xr:uid="{00000000-0005-0000-0000-00008A230000}"/>
    <cellStyle name="Comma 3 8 2 2 3_TOM TAT" xfId="21714" xr:uid="{00000000-0005-0000-0000-00008B230000}"/>
    <cellStyle name="Comma 3 8 2 2 4" xfId="8657" xr:uid="{00000000-0005-0000-0000-00008C230000}"/>
    <cellStyle name="Comma 3 8 2 2 4 2" xfId="8658" xr:uid="{00000000-0005-0000-0000-00008D230000}"/>
    <cellStyle name="Comma 3 8 2 2 4 2 2" xfId="8659" xr:uid="{00000000-0005-0000-0000-00008E230000}"/>
    <cellStyle name="Comma 3 8 2 2 4 2 2 2" xfId="29327" xr:uid="{00000000-0005-0000-0000-00008F230000}"/>
    <cellStyle name="Comma 3 8 2 2 4 2 2 3" xfId="14839" xr:uid="{00000000-0005-0000-0000-000090230000}"/>
    <cellStyle name="Comma 3 8 2 2 4 2 2_TOM TAT" xfId="21720" xr:uid="{00000000-0005-0000-0000-000091230000}"/>
    <cellStyle name="Comma 3 8 2 2 4 2 3" xfId="29326" xr:uid="{00000000-0005-0000-0000-000092230000}"/>
    <cellStyle name="Comma 3 8 2 2 4 2 4" xfId="14838" xr:uid="{00000000-0005-0000-0000-000093230000}"/>
    <cellStyle name="Comma 3 8 2 2 4 2_TOM TAT" xfId="21719" xr:uid="{00000000-0005-0000-0000-000094230000}"/>
    <cellStyle name="Comma 3 8 2 2 4 3" xfId="8660" xr:uid="{00000000-0005-0000-0000-000095230000}"/>
    <cellStyle name="Comma 3 8 2 2 4 3 2" xfId="29328" xr:uid="{00000000-0005-0000-0000-000096230000}"/>
    <cellStyle name="Comma 3 8 2 2 4 3 3" xfId="14840" xr:uid="{00000000-0005-0000-0000-000097230000}"/>
    <cellStyle name="Comma 3 8 2 2 4 3_TOM TAT" xfId="21721" xr:uid="{00000000-0005-0000-0000-000098230000}"/>
    <cellStyle name="Comma 3 8 2 2 4 4" xfId="29325" xr:uid="{00000000-0005-0000-0000-000099230000}"/>
    <cellStyle name="Comma 3 8 2 2 4 5" xfId="14837" xr:uid="{00000000-0005-0000-0000-00009A230000}"/>
    <cellStyle name="Comma 3 8 2 2 4_TOM TAT" xfId="21718" xr:uid="{00000000-0005-0000-0000-00009B230000}"/>
    <cellStyle name="Comma 3 8 2 2 5" xfId="8661" xr:uid="{00000000-0005-0000-0000-00009C230000}"/>
    <cellStyle name="Comma 3 8 2 2 5 2" xfId="8662" xr:uid="{00000000-0005-0000-0000-00009D230000}"/>
    <cellStyle name="Comma 3 8 2 2 5 2 2" xfId="29330" xr:uid="{00000000-0005-0000-0000-00009E230000}"/>
    <cellStyle name="Comma 3 8 2 2 5 2 3" xfId="14842" xr:uid="{00000000-0005-0000-0000-00009F230000}"/>
    <cellStyle name="Comma 3 8 2 2 5 2_TOM TAT" xfId="21723" xr:uid="{00000000-0005-0000-0000-0000A0230000}"/>
    <cellStyle name="Comma 3 8 2 2 5 3" xfId="29329" xr:uid="{00000000-0005-0000-0000-0000A1230000}"/>
    <cellStyle name="Comma 3 8 2 2 5 4" xfId="14841" xr:uid="{00000000-0005-0000-0000-0000A2230000}"/>
    <cellStyle name="Comma 3 8 2 2 5_TOM TAT" xfId="21722" xr:uid="{00000000-0005-0000-0000-0000A3230000}"/>
    <cellStyle name="Comma 3 8 2 2 6" xfId="8663" xr:uid="{00000000-0005-0000-0000-0000A4230000}"/>
    <cellStyle name="Comma 3 8 2 2 6 2" xfId="29331" xr:uid="{00000000-0005-0000-0000-0000A5230000}"/>
    <cellStyle name="Comma 3 8 2 2 6 3" xfId="14843" xr:uid="{00000000-0005-0000-0000-0000A6230000}"/>
    <cellStyle name="Comma 3 8 2 2 6_TOM TAT" xfId="21724" xr:uid="{00000000-0005-0000-0000-0000A7230000}"/>
    <cellStyle name="Comma 3 8 2 2 7" xfId="28199" xr:uid="{00000000-0005-0000-0000-0000A8230000}"/>
    <cellStyle name="Comma 3 8 2 2 8" xfId="14663" xr:uid="{00000000-0005-0000-0000-0000A9230000}"/>
    <cellStyle name="Comma 3 8 2 2_TOM TAT" xfId="21701" xr:uid="{00000000-0005-0000-0000-0000AA230000}"/>
    <cellStyle name="Comma 3 8 2 3" xfId="8664" xr:uid="{00000000-0005-0000-0000-0000AB230000}"/>
    <cellStyle name="Comma 3 8 2 3 2" xfId="8665" xr:uid="{00000000-0005-0000-0000-0000AC230000}"/>
    <cellStyle name="Comma 3 8 2 3 2 2" xfId="8666" xr:uid="{00000000-0005-0000-0000-0000AD230000}"/>
    <cellStyle name="Comma 3 8 2 3 2 2 2" xfId="8667" xr:uid="{00000000-0005-0000-0000-0000AE230000}"/>
    <cellStyle name="Comma 3 8 2 3 2 2 2 2" xfId="29335" xr:uid="{00000000-0005-0000-0000-0000AF230000}"/>
    <cellStyle name="Comma 3 8 2 3 2 2 2 3" xfId="14847" xr:uid="{00000000-0005-0000-0000-0000B0230000}"/>
    <cellStyle name="Comma 3 8 2 3 2 2 2_TOM TAT" xfId="21728" xr:uid="{00000000-0005-0000-0000-0000B1230000}"/>
    <cellStyle name="Comma 3 8 2 3 2 2 3" xfId="29334" xr:uid="{00000000-0005-0000-0000-0000B2230000}"/>
    <cellStyle name="Comma 3 8 2 3 2 2 4" xfId="14846" xr:uid="{00000000-0005-0000-0000-0000B3230000}"/>
    <cellStyle name="Comma 3 8 2 3 2 2_TOM TAT" xfId="21727" xr:uid="{00000000-0005-0000-0000-0000B4230000}"/>
    <cellStyle name="Comma 3 8 2 3 2 3" xfId="8668" xr:uid="{00000000-0005-0000-0000-0000B5230000}"/>
    <cellStyle name="Comma 3 8 2 3 2 3 2" xfId="29336" xr:uid="{00000000-0005-0000-0000-0000B6230000}"/>
    <cellStyle name="Comma 3 8 2 3 2 3 3" xfId="14848" xr:uid="{00000000-0005-0000-0000-0000B7230000}"/>
    <cellStyle name="Comma 3 8 2 3 2 3_TOM TAT" xfId="21729" xr:uid="{00000000-0005-0000-0000-0000B8230000}"/>
    <cellStyle name="Comma 3 8 2 3 2 4" xfId="29333" xr:uid="{00000000-0005-0000-0000-0000B9230000}"/>
    <cellStyle name="Comma 3 8 2 3 2 5" xfId="14845" xr:uid="{00000000-0005-0000-0000-0000BA230000}"/>
    <cellStyle name="Comma 3 8 2 3 2_TOM TAT" xfId="21726" xr:uid="{00000000-0005-0000-0000-0000BB230000}"/>
    <cellStyle name="Comma 3 8 2 3 3" xfId="8669" xr:uid="{00000000-0005-0000-0000-0000BC230000}"/>
    <cellStyle name="Comma 3 8 2 3 3 2" xfId="8670" xr:uid="{00000000-0005-0000-0000-0000BD230000}"/>
    <cellStyle name="Comma 3 8 2 3 3 2 2" xfId="8671" xr:uid="{00000000-0005-0000-0000-0000BE230000}"/>
    <cellStyle name="Comma 3 8 2 3 3 2 2 2" xfId="29339" xr:uid="{00000000-0005-0000-0000-0000BF230000}"/>
    <cellStyle name="Comma 3 8 2 3 3 2 2 3" xfId="14851" xr:uid="{00000000-0005-0000-0000-0000C0230000}"/>
    <cellStyle name="Comma 3 8 2 3 3 2 2_TOM TAT" xfId="21732" xr:uid="{00000000-0005-0000-0000-0000C1230000}"/>
    <cellStyle name="Comma 3 8 2 3 3 2 3" xfId="29338" xr:uid="{00000000-0005-0000-0000-0000C2230000}"/>
    <cellStyle name="Comma 3 8 2 3 3 2 4" xfId="14850" xr:uid="{00000000-0005-0000-0000-0000C3230000}"/>
    <cellStyle name="Comma 3 8 2 3 3 2_TOM TAT" xfId="21731" xr:uid="{00000000-0005-0000-0000-0000C4230000}"/>
    <cellStyle name="Comma 3 8 2 3 3 3" xfId="8672" xr:uid="{00000000-0005-0000-0000-0000C5230000}"/>
    <cellStyle name="Comma 3 8 2 3 3 3 2" xfId="29340" xr:uid="{00000000-0005-0000-0000-0000C6230000}"/>
    <cellStyle name="Comma 3 8 2 3 3 3 3" xfId="14852" xr:uid="{00000000-0005-0000-0000-0000C7230000}"/>
    <cellStyle name="Comma 3 8 2 3 3 3_TOM TAT" xfId="21733" xr:uid="{00000000-0005-0000-0000-0000C8230000}"/>
    <cellStyle name="Comma 3 8 2 3 3 4" xfId="29337" xr:uid="{00000000-0005-0000-0000-0000C9230000}"/>
    <cellStyle name="Comma 3 8 2 3 3 5" xfId="14849" xr:uid="{00000000-0005-0000-0000-0000CA230000}"/>
    <cellStyle name="Comma 3 8 2 3 3_TOM TAT" xfId="21730" xr:uid="{00000000-0005-0000-0000-0000CB230000}"/>
    <cellStyle name="Comma 3 8 2 3 4" xfId="8673" xr:uid="{00000000-0005-0000-0000-0000CC230000}"/>
    <cellStyle name="Comma 3 8 2 3 4 2" xfId="8674" xr:uid="{00000000-0005-0000-0000-0000CD230000}"/>
    <cellStyle name="Comma 3 8 2 3 4 2 2" xfId="29342" xr:uid="{00000000-0005-0000-0000-0000CE230000}"/>
    <cellStyle name="Comma 3 8 2 3 4 2 3" xfId="14854" xr:uid="{00000000-0005-0000-0000-0000CF230000}"/>
    <cellStyle name="Comma 3 8 2 3 4 2_TOM TAT" xfId="21735" xr:uid="{00000000-0005-0000-0000-0000D0230000}"/>
    <cellStyle name="Comma 3 8 2 3 4 3" xfId="29341" xr:uid="{00000000-0005-0000-0000-0000D1230000}"/>
    <cellStyle name="Comma 3 8 2 3 4 4" xfId="14853" xr:uid="{00000000-0005-0000-0000-0000D2230000}"/>
    <cellStyle name="Comma 3 8 2 3 4_TOM TAT" xfId="21734" xr:uid="{00000000-0005-0000-0000-0000D3230000}"/>
    <cellStyle name="Comma 3 8 2 3 5" xfId="8675" xr:uid="{00000000-0005-0000-0000-0000D4230000}"/>
    <cellStyle name="Comma 3 8 2 3 5 2" xfId="29343" xr:uid="{00000000-0005-0000-0000-0000D5230000}"/>
    <cellStyle name="Comma 3 8 2 3 5 3" xfId="14855" xr:uid="{00000000-0005-0000-0000-0000D6230000}"/>
    <cellStyle name="Comma 3 8 2 3 5_TOM TAT" xfId="21736" xr:uid="{00000000-0005-0000-0000-0000D7230000}"/>
    <cellStyle name="Comma 3 8 2 3 6" xfId="29332" xr:uid="{00000000-0005-0000-0000-0000D8230000}"/>
    <cellStyle name="Comma 3 8 2 3 7" xfId="14844" xr:uid="{00000000-0005-0000-0000-0000D9230000}"/>
    <cellStyle name="Comma 3 8 2 3_TOM TAT" xfId="21725" xr:uid="{00000000-0005-0000-0000-0000DA230000}"/>
    <cellStyle name="Comma 3 8 2 4" xfId="8676" xr:uid="{00000000-0005-0000-0000-0000DB230000}"/>
    <cellStyle name="Comma 3 8 2 4 2" xfId="8677" xr:uid="{00000000-0005-0000-0000-0000DC230000}"/>
    <cellStyle name="Comma 3 8 2 4 2 2" xfId="8678" xr:uid="{00000000-0005-0000-0000-0000DD230000}"/>
    <cellStyle name="Comma 3 8 2 4 2 2 2" xfId="8679" xr:uid="{00000000-0005-0000-0000-0000DE230000}"/>
    <cellStyle name="Comma 3 8 2 4 2 2 2 2" xfId="29347" xr:uid="{00000000-0005-0000-0000-0000DF230000}"/>
    <cellStyle name="Comma 3 8 2 4 2 2 2 3" xfId="14859" xr:uid="{00000000-0005-0000-0000-0000E0230000}"/>
    <cellStyle name="Comma 3 8 2 4 2 2 2_TOM TAT" xfId="21740" xr:uid="{00000000-0005-0000-0000-0000E1230000}"/>
    <cellStyle name="Comma 3 8 2 4 2 2 3" xfId="29346" xr:uid="{00000000-0005-0000-0000-0000E2230000}"/>
    <cellStyle name="Comma 3 8 2 4 2 2 4" xfId="14858" xr:uid="{00000000-0005-0000-0000-0000E3230000}"/>
    <cellStyle name="Comma 3 8 2 4 2 2_TOM TAT" xfId="21739" xr:uid="{00000000-0005-0000-0000-0000E4230000}"/>
    <cellStyle name="Comma 3 8 2 4 2 3" xfId="8680" xr:uid="{00000000-0005-0000-0000-0000E5230000}"/>
    <cellStyle name="Comma 3 8 2 4 2 3 2" xfId="29348" xr:uid="{00000000-0005-0000-0000-0000E6230000}"/>
    <cellStyle name="Comma 3 8 2 4 2 3 3" xfId="14860" xr:uid="{00000000-0005-0000-0000-0000E7230000}"/>
    <cellStyle name="Comma 3 8 2 4 2 3_TOM TAT" xfId="21741" xr:uid="{00000000-0005-0000-0000-0000E8230000}"/>
    <cellStyle name="Comma 3 8 2 4 2 4" xfId="29345" xr:uid="{00000000-0005-0000-0000-0000E9230000}"/>
    <cellStyle name="Comma 3 8 2 4 2 5" xfId="14857" xr:uid="{00000000-0005-0000-0000-0000EA230000}"/>
    <cellStyle name="Comma 3 8 2 4 2_TOM TAT" xfId="21738" xr:uid="{00000000-0005-0000-0000-0000EB230000}"/>
    <cellStyle name="Comma 3 8 2 4 3" xfId="8681" xr:uid="{00000000-0005-0000-0000-0000EC230000}"/>
    <cellStyle name="Comma 3 8 2 4 3 2" xfId="8682" xr:uid="{00000000-0005-0000-0000-0000ED230000}"/>
    <cellStyle name="Comma 3 8 2 4 3 2 2" xfId="8683" xr:uid="{00000000-0005-0000-0000-0000EE230000}"/>
    <cellStyle name="Comma 3 8 2 4 3 2 2 2" xfId="29351" xr:uid="{00000000-0005-0000-0000-0000EF230000}"/>
    <cellStyle name="Comma 3 8 2 4 3 2 2 3" xfId="14863" xr:uid="{00000000-0005-0000-0000-0000F0230000}"/>
    <cellStyle name="Comma 3 8 2 4 3 2 2_TOM TAT" xfId="21744" xr:uid="{00000000-0005-0000-0000-0000F1230000}"/>
    <cellStyle name="Comma 3 8 2 4 3 2 3" xfId="29350" xr:uid="{00000000-0005-0000-0000-0000F2230000}"/>
    <cellStyle name="Comma 3 8 2 4 3 2 4" xfId="14862" xr:uid="{00000000-0005-0000-0000-0000F3230000}"/>
    <cellStyle name="Comma 3 8 2 4 3 2_TOM TAT" xfId="21743" xr:uid="{00000000-0005-0000-0000-0000F4230000}"/>
    <cellStyle name="Comma 3 8 2 4 3 3" xfId="8684" xr:uid="{00000000-0005-0000-0000-0000F5230000}"/>
    <cellStyle name="Comma 3 8 2 4 3 3 2" xfId="29352" xr:uid="{00000000-0005-0000-0000-0000F6230000}"/>
    <cellStyle name="Comma 3 8 2 4 3 3 3" xfId="14864" xr:uid="{00000000-0005-0000-0000-0000F7230000}"/>
    <cellStyle name="Comma 3 8 2 4 3 3_TOM TAT" xfId="21745" xr:uid="{00000000-0005-0000-0000-0000F8230000}"/>
    <cellStyle name="Comma 3 8 2 4 3 4" xfId="29349" xr:uid="{00000000-0005-0000-0000-0000F9230000}"/>
    <cellStyle name="Comma 3 8 2 4 3 5" xfId="14861" xr:uid="{00000000-0005-0000-0000-0000FA230000}"/>
    <cellStyle name="Comma 3 8 2 4 3_TOM TAT" xfId="21742" xr:uid="{00000000-0005-0000-0000-0000FB230000}"/>
    <cellStyle name="Comma 3 8 2 4 4" xfId="8685" xr:uid="{00000000-0005-0000-0000-0000FC230000}"/>
    <cellStyle name="Comma 3 8 2 4 4 2" xfId="8686" xr:uid="{00000000-0005-0000-0000-0000FD230000}"/>
    <cellStyle name="Comma 3 8 2 4 4 2 2" xfId="29354" xr:uid="{00000000-0005-0000-0000-0000FE230000}"/>
    <cellStyle name="Comma 3 8 2 4 4 2 3" xfId="14866" xr:uid="{00000000-0005-0000-0000-0000FF230000}"/>
    <cellStyle name="Comma 3 8 2 4 4 2_TOM TAT" xfId="21747" xr:uid="{00000000-0005-0000-0000-000000240000}"/>
    <cellStyle name="Comma 3 8 2 4 4 3" xfId="29353" xr:uid="{00000000-0005-0000-0000-000001240000}"/>
    <cellStyle name="Comma 3 8 2 4 4 4" xfId="14865" xr:uid="{00000000-0005-0000-0000-000002240000}"/>
    <cellStyle name="Comma 3 8 2 4 4_TOM TAT" xfId="21746" xr:uid="{00000000-0005-0000-0000-000003240000}"/>
    <cellStyle name="Comma 3 8 2 4 5" xfId="8687" xr:uid="{00000000-0005-0000-0000-000004240000}"/>
    <cellStyle name="Comma 3 8 2 4 5 2" xfId="29355" xr:uid="{00000000-0005-0000-0000-000005240000}"/>
    <cellStyle name="Comma 3 8 2 4 5 3" xfId="14867" xr:uid="{00000000-0005-0000-0000-000006240000}"/>
    <cellStyle name="Comma 3 8 2 4 5_TOM TAT" xfId="21748" xr:uid="{00000000-0005-0000-0000-000007240000}"/>
    <cellStyle name="Comma 3 8 2 4 6" xfId="29344" xr:uid="{00000000-0005-0000-0000-000008240000}"/>
    <cellStyle name="Comma 3 8 2 4 7" xfId="14856" xr:uid="{00000000-0005-0000-0000-000009240000}"/>
    <cellStyle name="Comma 3 8 2 4_TOM TAT" xfId="21737" xr:uid="{00000000-0005-0000-0000-00000A240000}"/>
    <cellStyle name="Comma 3 8 2 5" xfId="8688" xr:uid="{00000000-0005-0000-0000-00000B240000}"/>
    <cellStyle name="Comma 3 8 2 5 2" xfId="8689" xr:uid="{00000000-0005-0000-0000-00000C240000}"/>
    <cellStyle name="Comma 3 8 2 5 2 2" xfId="8690" xr:uid="{00000000-0005-0000-0000-00000D240000}"/>
    <cellStyle name="Comma 3 8 2 5 2 2 2" xfId="29358" xr:uid="{00000000-0005-0000-0000-00000E240000}"/>
    <cellStyle name="Comma 3 8 2 5 2 2 3" xfId="14870" xr:uid="{00000000-0005-0000-0000-00000F240000}"/>
    <cellStyle name="Comma 3 8 2 5 2 2_TOM TAT" xfId="21751" xr:uid="{00000000-0005-0000-0000-000010240000}"/>
    <cellStyle name="Comma 3 8 2 5 2 3" xfId="29357" xr:uid="{00000000-0005-0000-0000-000011240000}"/>
    <cellStyle name="Comma 3 8 2 5 2 4" xfId="14869" xr:uid="{00000000-0005-0000-0000-000012240000}"/>
    <cellStyle name="Comma 3 8 2 5 2_TOM TAT" xfId="21750" xr:uid="{00000000-0005-0000-0000-000013240000}"/>
    <cellStyle name="Comma 3 8 2 5 3" xfId="8691" xr:uid="{00000000-0005-0000-0000-000014240000}"/>
    <cellStyle name="Comma 3 8 2 5 3 2" xfId="29359" xr:uid="{00000000-0005-0000-0000-000015240000}"/>
    <cellStyle name="Comma 3 8 2 5 3 3" xfId="14871" xr:uid="{00000000-0005-0000-0000-000016240000}"/>
    <cellStyle name="Comma 3 8 2 5 3_TOM TAT" xfId="21752" xr:uid="{00000000-0005-0000-0000-000017240000}"/>
    <cellStyle name="Comma 3 8 2 5 4" xfId="29356" xr:uid="{00000000-0005-0000-0000-000018240000}"/>
    <cellStyle name="Comma 3 8 2 5 5" xfId="14868" xr:uid="{00000000-0005-0000-0000-000019240000}"/>
    <cellStyle name="Comma 3 8 2 5_TOM TAT" xfId="21749" xr:uid="{00000000-0005-0000-0000-00001A240000}"/>
    <cellStyle name="Comma 3 8 2 6" xfId="8692" xr:uid="{00000000-0005-0000-0000-00001B240000}"/>
    <cellStyle name="Comma 3 8 2 6 2" xfId="8693" xr:uid="{00000000-0005-0000-0000-00001C240000}"/>
    <cellStyle name="Comma 3 8 2 6 2 2" xfId="8694" xr:uid="{00000000-0005-0000-0000-00001D240000}"/>
    <cellStyle name="Comma 3 8 2 6 2 2 2" xfId="29362" xr:uid="{00000000-0005-0000-0000-00001E240000}"/>
    <cellStyle name="Comma 3 8 2 6 2 2 3" xfId="14874" xr:uid="{00000000-0005-0000-0000-00001F240000}"/>
    <cellStyle name="Comma 3 8 2 6 2 2_TOM TAT" xfId="21755" xr:uid="{00000000-0005-0000-0000-000020240000}"/>
    <cellStyle name="Comma 3 8 2 6 2 3" xfId="29361" xr:uid="{00000000-0005-0000-0000-000021240000}"/>
    <cellStyle name="Comma 3 8 2 6 2 4" xfId="14873" xr:uid="{00000000-0005-0000-0000-000022240000}"/>
    <cellStyle name="Comma 3 8 2 6 2_TOM TAT" xfId="21754" xr:uid="{00000000-0005-0000-0000-000023240000}"/>
    <cellStyle name="Comma 3 8 2 6 3" xfId="8695" xr:uid="{00000000-0005-0000-0000-000024240000}"/>
    <cellStyle name="Comma 3 8 2 6 3 2" xfId="29363" xr:uid="{00000000-0005-0000-0000-000025240000}"/>
    <cellStyle name="Comma 3 8 2 6 3 3" xfId="14875" xr:uid="{00000000-0005-0000-0000-000026240000}"/>
    <cellStyle name="Comma 3 8 2 6 3_TOM TAT" xfId="21756" xr:uid="{00000000-0005-0000-0000-000027240000}"/>
    <cellStyle name="Comma 3 8 2 6 4" xfId="29360" xr:uid="{00000000-0005-0000-0000-000028240000}"/>
    <cellStyle name="Comma 3 8 2 6 5" xfId="14872" xr:uid="{00000000-0005-0000-0000-000029240000}"/>
    <cellStyle name="Comma 3 8 2 6_TOM TAT" xfId="21753" xr:uid="{00000000-0005-0000-0000-00002A240000}"/>
    <cellStyle name="Comma 3 8 2 7" xfId="8696" xr:uid="{00000000-0005-0000-0000-00002B240000}"/>
    <cellStyle name="Comma 3 8 2 7 2" xfId="8697" xr:uid="{00000000-0005-0000-0000-00002C240000}"/>
    <cellStyle name="Comma 3 8 2 7 2 2" xfId="29365" xr:uid="{00000000-0005-0000-0000-00002D240000}"/>
    <cellStyle name="Comma 3 8 2 7 2 3" xfId="14877" xr:uid="{00000000-0005-0000-0000-00002E240000}"/>
    <cellStyle name="Comma 3 8 2 7 2_TOM TAT" xfId="21758" xr:uid="{00000000-0005-0000-0000-00002F240000}"/>
    <cellStyle name="Comma 3 8 2 7 3" xfId="29364" xr:uid="{00000000-0005-0000-0000-000030240000}"/>
    <cellStyle name="Comma 3 8 2 7 4" xfId="14876" xr:uid="{00000000-0005-0000-0000-000031240000}"/>
    <cellStyle name="Comma 3 8 2 7_TOM TAT" xfId="21757" xr:uid="{00000000-0005-0000-0000-000032240000}"/>
    <cellStyle name="Comma 3 8 2 8" xfId="8698" xr:uid="{00000000-0005-0000-0000-000033240000}"/>
    <cellStyle name="Comma 3 8 2 8 2" xfId="29366" xr:uid="{00000000-0005-0000-0000-000034240000}"/>
    <cellStyle name="Comma 3 8 2 8 3" xfId="14878" xr:uid="{00000000-0005-0000-0000-000035240000}"/>
    <cellStyle name="Comma 3 8 2 8_TOM TAT" xfId="21759" xr:uid="{00000000-0005-0000-0000-000036240000}"/>
    <cellStyle name="Comma 3 8 2 9" xfId="28198" xr:uid="{00000000-0005-0000-0000-000037240000}"/>
    <cellStyle name="Comma 3 8 2_TOM TAT" xfId="21700" xr:uid="{00000000-0005-0000-0000-000038240000}"/>
    <cellStyle name="Comma 3 8 3" xfId="5346" xr:uid="{00000000-0005-0000-0000-000039240000}"/>
    <cellStyle name="Comma 3 8 3 2" xfId="8699" xr:uid="{00000000-0005-0000-0000-00003A240000}"/>
    <cellStyle name="Comma 3 8 3 2 2" xfId="8700" xr:uid="{00000000-0005-0000-0000-00003B240000}"/>
    <cellStyle name="Comma 3 8 3 2 2 2" xfId="8701" xr:uid="{00000000-0005-0000-0000-00003C240000}"/>
    <cellStyle name="Comma 3 8 3 2 2 2 2" xfId="8702" xr:uid="{00000000-0005-0000-0000-00003D240000}"/>
    <cellStyle name="Comma 3 8 3 2 2 2 2 2" xfId="29370" xr:uid="{00000000-0005-0000-0000-00003E240000}"/>
    <cellStyle name="Comma 3 8 3 2 2 2 2 3" xfId="14882" xr:uid="{00000000-0005-0000-0000-00003F240000}"/>
    <cellStyle name="Comma 3 8 3 2 2 2 2_TOM TAT" xfId="21764" xr:uid="{00000000-0005-0000-0000-000040240000}"/>
    <cellStyle name="Comma 3 8 3 2 2 2 3" xfId="29369" xr:uid="{00000000-0005-0000-0000-000041240000}"/>
    <cellStyle name="Comma 3 8 3 2 2 2 4" xfId="14881" xr:uid="{00000000-0005-0000-0000-000042240000}"/>
    <cellStyle name="Comma 3 8 3 2 2 2_TOM TAT" xfId="21763" xr:uid="{00000000-0005-0000-0000-000043240000}"/>
    <cellStyle name="Comma 3 8 3 2 2 3" xfId="8703" xr:uid="{00000000-0005-0000-0000-000044240000}"/>
    <cellStyle name="Comma 3 8 3 2 2 3 2" xfId="29371" xr:uid="{00000000-0005-0000-0000-000045240000}"/>
    <cellStyle name="Comma 3 8 3 2 2 3 3" xfId="14883" xr:uid="{00000000-0005-0000-0000-000046240000}"/>
    <cellStyle name="Comma 3 8 3 2 2 3_TOM TAT" xfId="21765" xr:uid="{00000000-0005-0000-0000-000047240000}"/>
    <cellStyle name="Comma 3 8 3 2 2 4" xfId="29368" xr:uid="{00000000-0005-0000-0000-000048240000}"/>
    <cellStyle name="Comma 3 8 3 2 2 5" xfId="14880" xr:uid="{00000000-0005-0000-0000-000049240000}"/>
    <cellStyle name="Comma 3 8 3 2 2_TOM TAT" xfId="21762" xr:uid="{00000000-0005-0000-0000-00004A240000}"/>
    <cellStyle name="Comma 3 8 3 2 3" xfId="8704" xr:uid="{00000000-0005-0000-0000-00004B240000}"/>
    <cellStyle name="Comma 3 8 3 2 3 2" xfId="8705" xr:uid="{00000000-0005-0000-0000-00004C240000}"/>
    <cellStyle name="Comma 3 8 3 2 3 2 2" xfId="8706" xr:uid="{00000000-0005-0000-0000-00004D240000}"/>
    <cellStyle name="Comma 3 8 3 2 3 2 2 2" xfId="29374" xr:uid="{00000000-0005-0000-0000-00004E240000}"/>
    <cellStyle name="Comma 3 8 3 2 3 2 2 3" xfId="14886" xr:uid="{00000000-0005-0000-0000-00004F240000}"/>
    <cellStyle name="Comma 3 8 3 2 3 2 2_TOM TAT" xfId="21768" xr:uid="{00000000-0005-0000-0000-000050240000}"/>
    <cellStyle name="Comma 3 8 3 2 3 2 3" xfId="29373" xr:uid="{00000000-0005-0000-0000-000051240000}"/>
    <cellStyle name="Comma 3 8 3 2 3 2 4" xfId="14885" xr:uid="{00000000-0005-0000-0000-000052240000}"/>
    <cellStyle name="Comma 3 8 3 2 3 2_TOM TAT" xfId="21767" xr:uid="{00000000-0005-0000-0000-000053240000}"/>
    <cellStyle name="Comma 3 8 3 2 3 3" xfId="8707" xr:uid="{00000000-0005-0000-0000-000054240000}"/>
    <cellStyle name="Comma 3 8 3 2 3 3 2" xfId="29375" xr:uid="{00000000-0005-0000-0000-000055240000}"/>
    <cellStyle name="Comma 3 8 3 2 3 3 3" xfId="14887" xr:uid="{00000000-0005-0000-0000-000056240000}"/>
    <cellStyle name="Comma 3 8 3 2 3 3_TOM TAT" xfId="21769" xr:uid="{00000000-0005-0000-0000-000057240000}"/>
    <cellStyle name="Comma 3 8 3 2 3 4" xfId="29372" xr:uid="{00000000-0005-0000-0000-000058240000}"/>
    <cellStyle name="Comma 3 8 3 2 3 5" xfId="14884" xr:uid="{00000000-0005-0000-0000-000059240000}"/>
    <cellStyle name="Comma 3 8 3 2 3_TOM TAT" xfId="21766" xr:uid="{00000000-0005-0000-0000-00005A240000}"/>
    <cellStyle name="Comma 3 8 3 2 4" xfId="8708" xr:uid="{00000000-0005-0000-0000-00005B240000}"/>
    <cellStyle name="Comma 3 8 3 2 4 2" xfId="8709" xr:uid="{00000000-0005-0000-0000-00005C240000}"/>
    <cellStyle name="Comma 3 8 3 2 4 2 2" xfId="29377" xr:uid="{00000000-0005-0000-0000-00005D240000}"/>
    <cellStyle name="Comma 3 8 3 2 4 2 3" xfId="14889" xr:uid="{00000000-0005-0000-0000-00005E240000}"/>
    <cellStyle name="Comma 3 8 3 2 4 2_TOM TAT" xfId="21771" xr:uid="{00000000-0005-0000-0000-00005F240000}"/>
    <cellStyle name="Comma 3 8 3 2 4 3" xfId="29376" xr:uid="{00000000-0005-0000-0000-000060240000}"/>
    <cellStyle name="Comma 3 8 3 2 4 4" xfId="14888" xr:uid="{00000000-0005-0000-0000-000061240000}"/>
    <cellStyle name="Comma 3 8 3 2 4_TOM TAT" xfId="21770" xr:uid="{00000000-0005-0000-0000-000062240000}"/>
    <cellStyle name="Comma 3 8 3 2 5" xfId="8710" xr:uid="{00000000-0005-0000-0000-000063240000}"/>
    <cellStyle name="Comma 3 8 3 2 5 2" xfId="29378" xr:uid="{00000000-0005-0000-0000-000064240000}"/>
    <cellStyle name="Comma 3 8 3 2 5 3" xfId="14890" xr:uid="{00000000-0005-0000-0000-000065240000}"/>
    <cellStyle name="Comma 3 8 3 2 5_TOM TAT" xfId="21772" xr:uid="{00000000-0005-0000-0000-000066240000}"/>
    <cellStyle name="Comma 3 8 3 2 6" xfId="29367" xr:uid="{00000000-0005-0000-0000-000067240000}"/>
    <cellStyle name="Comma 3 8 3 2 7" xfId="14879" xr:uid="{00000000-0005-0000-0000-000068240000}"/>
    <cellStyle name="Comma 3 8 3 2_TOM TAT" xfId="21761" xr:uid="{00000000-0005-0000-0000-000069240000}"/>
    <cellStyle name="Comma 3 8 3 3" xfId="8711" xr:uid="{00000000-0005-0000-0000-00006A240000}"/>
    <cellStyle name="Comma 3 8 3 3 2" xfId="8712" xr:uid="{00000000-0005-0000-0000-00006B240000}"/>
    <cellStyle name="Comma 3 8 3 3 2 2" xfId="8713" xr:uid="{00000000-0005-0000-0000-00006C240000}"/>
    <cellStyle name="Comma 3 8 3 3 2 2 2" xfId="29381" xr:uid="{00000000-0005-0000-0000-00006D240000}"/>
    <cellStyle name="Comma 3 8 3 3 2 2 3" xfId="14893" xr:uid="{00000000-0005-0000-0000-00006E240000}"/>
    <cellStyle name="Comma 3 8 3 3 2 2_TOM TAT" xfId="21775" xr:uid="{00000000-0005-0000-0000-00006F240000}"/>
    <cellStyle name="Comma 3 8 3 3 2 3" xfId="29380" xr:uid="{00000000-0005-0000-0000-000070240000}"/>
    <cellStyle name="Comma 3 8 3 3 2 4" xfId="14892" xr:uid="{00000000-0005-0000-0000-000071240000}"/>
    <cellStyle name="Comma 3 8 3 3 2_TOM TAT" xfId="21774" xr:uid="{00000000-0005-0000-0000-000072240000}"/>
    <cellStyle name="Comma 3 8 3 3 3" xfId="8714" xr:uid="{00000000-0005-0000-0000-000073240000}"/>
    <cellStyle name="Comma 3 8 3 3 3 2" xfId="29382" xr:uid="{00000000-0005-0000-0000-000074240000}"/>
    <cellStyle name="Comma 3 8 3 3 3 3" xfId="14894" xr:uid="{00000000-0005-0000-0000-000075240000}"/>
    <cellStyle name="Comma 3 8 3 3 3_TOM TAT" xfId="21776" xr:uid="{00000000-0005-0000-0000-000076240000}"/>
    <cellStyle name="Comma 3 8 3 3 4" xfId="29379" xr:uid="{00000000-0005-0000-0000-000077240000}"/>
    <cellStyle name="Comma 3 8 3 3 5" xfId="14891" xr:uid="{00000000-0005-0000-0000-000078240000}"/>
    <cellStyle name="Comma 3 8 3 3_TOM TAT" xfId="21773" xr:uid="{00000000-0005-0000-0000-000079240000}"/>
    <cellStyle name="Comma 3 8 3 4" xfId="8715" xr:uid="{00000000-0005-0000-0000-00007A240000}"/>
    <cellStyle name="Comma 3 8 3 4 2" xfId="8716" xr:uid="{00000000-0005-0000-0000-00007B240000}"/>
    <cellStyle name="Comma 3 8 3 4 2 2" xfId="8717" xr:uid="{00000000-0005-0000-0000-00007C240000}"/>
    <cellStyle name="Comma 3 8 3 4 2 2 2" xfId="29385" xr:uid="{00000000-0005-0000-0000-00007D240000}"/>
    <cellStyle name="Comma 3 8 3 4 2 2 3" xfId="14897" xr:uid="{00000000-0005-0000-0000-00007E240000}"/>
    <cellStyle name="Comma 3 8 3 4 2 2_TOM TAT" xfId="21779" xr:uid="{00000000-0005-0000-0000-00007F240000}"/>
    <cellStyle name="Comma 3 8 3 4 2 3" xfId="29384" xr:uid="{00000000-0005-0000-0000-000080240000}"/>
    <cellStyle name="Comma 3 8 3 4 2 4" xfId="14896" xr:uid="{00000000-0005-0000-0000-000081240000}"/>
    <cellStyle name="Comma 3 8 3 4 2_TOM TAT" xfId="21778" xr:uid="{00000000-0005-0000-0000-000082240000}"/>
    <cellStyle name="Comma 3 8 3 4 3" xfId="8718" xr:uid="{00000000-0005-0000-0000-000083240000}"/>
    <cellStyle name="Comma 3 8 3 4 3 2" xfId="29386" xr:uid="{00000000-0005-0000-0000-000084240000}"/>
    <cellStyle name="Comma 3 8 3 4 3 3" xfId="14898" xr:uid="{00000000-0005-0000-0000-000085240000}"/>
    <cellStyle name="Comma 3 8 3 4 3_TOM TAT" xfId="21780" xr:uid="{00000000-0005-0000-0000-000086240000}"/>
    <cellStyle name="Comma 3 8 3 4 4" xfId="29383" xr:uid="{00000000-0005-0000-0000-000087240000}"/>
    <cellStyle name="Comma 3 8 3 4 5" xfId="14895" xr:uid="{00000000-0005-0000-0000-000088240000}"/>
    <cellStyle name="Comma 3 8 3 4_TOM TAT" xfId="21777" xr:uid="{00000000-0005-0000-0000-000089240000}"/>
    <cellStyle name="Comma 3 8 3 5" xfId="8719" xr:uid="{00000000-0005-0000-0000-00008A240000}"/>
    <cellStyle name="Comma 3 8 3 5 2" xfId="8720" xr:uid="{00000000-0005-0000-0000-00008B240000}"/>
    <cellStyle name="Comma 3 8 3 5 2 2" xfId="29388" xr:uid="{00000000-0005-0000-0000-00008C240000}"/>
    <cellStyle name="Comma 3 8 3 5 2 3" xfId="14900" xr:uid="{00000000-0005-0000-0000-00008D240000}"/>
    <cellStyle name="Comma 3 8 3 5 2_TOM TAT" xfId="21782" xr:uid="{00000000-0005-0000-0000-00008E240000}"/>
    <cellStyle name="Comma 3 8 3 5 3" xfId="29387" xr:uid="{00000000-0005-0000-0000-00008F240000}"/>
    <cellStyle name="Comma 3 8 3 5 4" xfId="14899" xr:uid="{00000000-0005-0000-0000-000090240000}"/>
    <cellStyle name="Comma 3 8 3 5_TOM TAT" xfId="21781" xr:uid="{00000000-0005-0000-0000-000091240000}"/>
    <cellStyle name="Comma 3 8 3 6" xfId="8721" xr:uid="{00000000-0005-0000-0000-000092240000}"/>
    <cellStyle name="Comma 3 8 3 6 2" xfId="29389" xr:uid="{00000000-0005-0000-0000-000093240000}"/>
    <cellStyle name="Comma 3 8 3 6 3" xfId="14901" xr:uid="{00000000-0005-0000-0000-000094240000}"/>
    <cellStyle name="Comma 3 8 3 6_TOM TAT" xfId="21783" xr:uid="{00000000-0005-0000-0000-000095240000}"/>
    <cellStyle name="Comma 3 8 3 7" xfId="28200" xr:uid="{00000000-0005-0000-0000-000096240000}"/>
    <cellStyle name="Comma 3 8 3 8" xfId="14664" xr:uid="{00000000-0005-0000-0000-000097240000}"/>
    <cellStyle name="Comma 3 8 3_TOM TAT" xfId="21760" xr:uid="{00000000-0005-0000-0000-000098240000}"/>
    <cellStyle name="Comma 3 8 4" xfId="5347" xr:uid="{00000000-0005-0000-0000-000099240000}"/>
    <cellStyle name="Comma 3 8 4 2" xfId="8722" xr:uid="{00000000-0005-0000-0000-00009A240000}"/>
    <cellStyle name="Comma 3 8 4 2 2" xfId="8723" xr:uid="{00000000-0005-0000-0000-00009B240000}"/>
    <cellStyle name="Comma 3 8 4 2 2 2" xfId="8724" xr:uid="{00000000-0005-0000-0000-00009C240000}"/>
    <cellStyle name="Comma 3 8 4 2 2 2 2" xfId="29392" xr:uid="{00000000-0005-0000-0000-00009D240000}"/>
    <cellStyle name="Comma 3 8 4 2 2 2 3" xfId="14904" xr:uid="{00000000-0005-0000-0000-00009E240000}"/>
    <cellStyle name="Comma 3 8 4 2 2 2_TOM TAT" xfId="21787" xr:uid="{00000000-0005-0000-0000-00009F240000}"/>
    <cellStyle name="Comma 3 8 4 2 2 3" xfId="29391" xr:uid="{00000000-0005-0000-0000-0000A0240000}"/>
    <cellStyle name="Comma 3 8 4 2 2 4" xfId="14903" xr:uid="{00000000-0005-0000-0000-0000A1240000}"/>
    <cellStyle name="Comma 3 8 4 2 2_TOM TAT" xfId="21786" xr:uid="{00000000-0005-0000-0000-0000A2240000}"/>
    <cellStyle name="Comma 3 8 4 2 3" xfId="8725" xr:uid="{00000000-0005-0000-0000-0000A3240000}"/>
    <cellStyle name="Comma 3 8 4 2 3 2" xfId="29393" xr:uid="{00000000-0005-0000-0000-0000A4240000}"/>
    <cellStyle name="Comma 3 8 4 2 3 3" xfId="14905" xr:uid="{00000000-0005-0000-0000-0000A5240000}"/>
    <cellStyle name="Comma 3 8 4 2 3_TOM TAT" xfId="21788" xr:uid="{00000000-0005-0000-0000-0000A6240000}"/>
    <cellStyle name="Comma 3 8 4 2 4" xfId="29390" xr:uid="{00000000-0005-0000-0000-0000A7240000}"/>
    <cellStyle name="Comma 3 8 4 2 5" xfId="14902" xr:uid="{00000000-0005-0000-0000-0000A8240000}"/>
    <cellStyle name="Comma 3 8 4 2_TOM TAT" xfId="21785" xr:uid="{00000000-0005-0000-0000-0000A9240000}"/>
    <cellStyle name="Comma 3 8 4 3" xfId="8726" xr:uid="{00000000-0005-0000-0000-0000AA240000}"/>
    <cellStyle name="Comma 3 8 4 3 2" xfId="8727" xr:uid="{00000000-0005-0000-0000-0000AB240000}"/>
    <cellStyle name="Comma 3 8 4 3 2 2" xfId="8728" xr:uid="{00000000-0005-0000-0000-0000AC240000}"/>
    <cellStyle name="Comma 3 8 4 3 2 2 2" xfId="29396" xr:uid="{00000000-0005-0000-0000-0000AD240000}"/>
    <cellStyle name="Comma 3 8 4 3 2 2 3" xfId="14908" xr:uid="{00000000-0005-0000-0000-0000AE240000}"/>
    <cellStyle name="Comma 3 8 4 3 2 2_TOM TAT" xfId="21791" xr:uid="{00000000-0005-0000-0000-0000AF240000}"/>
    <cellStyle name="Comma 3 8 4 3 2 3" xfId="29395" xr:uid="{00000000-0005-0000-0000-0000B0240000}"/>
    <cellStyle name="Comma 3 8 4 3 2 4" xfId="14907" xr:uid="{00000000-0005-0000-0000-0000B1240000}"/>
    <cellStyle name="Comma 3 8 4 3 2_TOM TAT" xfId="21790" xr:uid="{00000000-0005-0000-0000-0000B2240000}"/>
    <cellStyle name="Comma 3 8 4 3 3" xfId="8729" xr:uid="{00000000-0005-0000-0000-0000B3240000}"/>
    <cellStyle name="Comma 3 8 4 3 3 2" xfId="29397" xr:uid="{00000000-0005-0000-0000-0000B4240000}"/>
    <cellStyle name="Comma 3 8 4 3 3 3" xfId="14909" xr:uid="{00000000-0005-0000-0000-0000B5240000}"/>
    <cellStyle name="Comma 3 8 4 3 3_TOM TAT" xfId="21792" xr:uid="{00000000-0005-0000-0000-0000B6240000}"/>
    <cellStyle name="Comma 3 8 4 3 4" xfId="29394" xr:uid="{00000000-0005-0000-0000-0000B7240000}"/>
    <cellStyle name="Comma 3 8 4 3 5" xfId="14906" xr:uid="{00000000-0005-0000-0000-0000B8240000}"/>
    <cellStyle name="Comma 3 8 4 3_TOM TAT" xfId="21789" xr:uid="{00000000-0005-0000-0000-0000B9240000}"/>
    <cellStyle name="Comma 3 8 4 4" xfId="8730" xr:uid="{00000000-0005-0000-0000-0000BA240000}"/>
    <cellStyle name="Comma 3 8 4 4 2" xfId="8731" xr:uid="{00000000-0005-0000-0000-0000BB240000}"/>
    <cellStyle name="Comma 3 8 4 4 2 2" xfId="29399" xr:uid="{00000000-0005-0000-0000-0000BC240000}"/>
    <cellStyle name="Comma 3 8 4 4 2 3" xfId="14911" xr:uid="{00000000-0005-0000-0000-0000BD240000}"/>
    <cellStyle name="Comma 3 8 4 4 2_TOM TAT" xfId="21794" xr:uid="{00000000-0005-0000-0000-0000BE240000}"/>
    <cellStyle name="Comma 3 8 4 4 3" xfId="29398" xr:uid="{00000000-0005-0000-0000-0000BF240000}"/>
    <cellStyle name="Comma 3 8 4 4 4" xfId="14910" xr:uid="{00000000-0005-0000-0000-0000C0240000}"/>
    <cellStyle name="Comma 3 8 4 4_TOM TAT" xfId="21793" xr:uid="{00000000-0005-0000-0000-0000C1240000}"/>
    <cellStyle name="Comma 3 8 4 5" xfId="8732" xr:uid="{00000000-0005-0000-0000-0000C2240000}"/>
    <cellStyle name="Comma 3 8 4 5 2" xfId="29400" xr:uid="{00000000-0005-0000-0000-0000C3240000}"/>
    <cellStyle name="Comma 3 8 4 5 3" xfId="14912" xr:uid="{00000000-0005-0000-0000-0000C4240000}"/>
    <cellStyle name="Comma 3 8 4 5_TOM TAT" xfId="21795" xr:uid="{00000000-0005-0000-0000-0000C5240000}"/>
    <cellStyle name="Comma 3 8 4 6" xfId="28201" xr:uid="{00000000-0005-0000-0000-0000C6240000}"/>
    <cellStyle name="Comma 3 8 4 7" xfId="14665" xr:uid="{00000000-0005-0000-0000-0000C7240000}"/>
    <cellStyle name="Comma 3 8 4_TOM TAT" xfId="21784" xr:uid="{00000000-0005-0000-0000-0000C8240000}"/>
    <cellStyle name="Comma 3 8 5" xfId="8733" xr:uid="{00000000-0005-0000-0000-0000C9240000}"/>
    <cellStyle name="Comma 3 8 5 2" xfId="8734" xr:uid="{00000000-0005-0000-0000-0000CA240000}"/>
    <cellStyle name="Comma 3 8 5 2 2" xfId="8735" xr:uid="{00000000-0005-0000-0000-0000CB240000}"/>
    <cellStyle name="Comma 3 8 5 2 2 2" xfId="8736" xr:uid="{00000000-0005-0000-0000-0000CC240000}"/>
    <cellStyle name="Comma 3 8 5 2 2 2 2" xfId="29404" xr:uid="{00000000-0005-0000-0000-0000CD240000}"/>
    <cellStyle name="Comma 3 8 5 2 2 2 3" xfId="14916" xr:uid="{00000000-0005-0000-0000-0000CE240000}"/>
    <cellStyle name="Comma 3 8 5 2 2 2_TOM TAT" xfId="21799" xr:uid="{00000000-0005-0000-0000-0000CF240000}"/>
    <cellStyle name="Comma 3 8 5 2 2 3" xfId="29403" xr:uid="{00000000-0005-0000-0000-0000D0240000}"/>
    <cellStyle name="Comma 3 8 5 2 2 4" xfId="14915" xr:uid="{00000000-0005-0000-0000-0000D1240000}"/>
    <cellStyle name="Comma 3 8 5 2 2_TOM TAT" xfId="21798" xr:uid="{00000000-0005-0000-0000-0000D2240000}"/>
    <cellStyle name="Comma 3 8 5 2 3" xfId="8737" xr:uid="{00000000-0005-0000-0000-0000D3240000}"/>
    <cellStyle name="Comma 3 8 5 2 3 2" xfId="29405" xr:uid="{00000000-0005-0000-0000-0000D4240000}"/>
    <cellStyle name="Comma 3 8 5 2 3 3" xfId="14917" xr:uid="{00000000-0005-0000-0000-0000D5240000}"/>
    <cellStyle name="Comma 3 8 5 2 3_TOM TAT" xfId="21800" xr:uid="{00000000-0005-0000-0000-0000D6240000}"/>
    <cellStyle name="Comma 3 8 5 2 4" xfId="29402" xr:uid="{00000000-0005-0000-0000-0000D7240000}"/>
    <cellStyle name="Comma 3 8 5 2 5" xfId="14914" xr:uid="{00000000-0005-0000-0000-0000D8240000}"/>
    <cellStyle name="Comma 3 8 5 2_TOM TAT" xfId="21797" xr:uid="{00000000-0005-0000-0000-0000D9240000}"/>
    <cellStyle name="Comma 3 8 5 3" xfId="8738" xr:uid="{00000000-0005-0000-0000-0000DA240000}"/>
    <cellStyle name="Comma 3 8 5 3 2" xfId="8739" xr:uid="{00000000-0005-0000-0000-0000DB240000}"/>
    <cellStyle name="Comma 3 8 5 3 2 2" xfId="8740" xr:uid="{00000000-0005-0000-0000-0000DC240000}"/>
    <cellStyle name="Comma 3 8 5 3 2 2 2" xfId="29408" xr:uid="{00000000-0005-0000-0000-0000DD240000}"/>
    <cellStyle name="Comma 3 8 5 3 2 2 3" xfId="14920" xr:uid="{00000000-0005-0000-0000-0000DE240000}"/>
    <cellStyle name="Comma 3 8 5 3 2 2_TOM TAT" xfId="21803" xr:uid="{00000000-0005-0000-0000-0000DF240000}"/>
    <cellStyle name="Comma 3 8 5 3 2 3" xfId="29407" xr:uid="{00000000-0005-0000-0000-0000E0240000}"/>
    <cellStyle name="Comma 3 8 5 3 2 4" xfId="14919" xr:uid="{00000000-0005-0000-0000-0000E1240000}"/>
    <cellStyle name="Comma 3 8 5 3 2_TOM TAT" xfId="21802" xr:uid="{00000000-0005-0000-0000-0000E2240000}"/>
    <cellStyle name="Comma 3 8 5 3 3" xfId="8741" xr:uid="{00000000-0005-0000-0000-0000E3240000}"/>
    <cellStyle name="Comma 3 8 5 3 3 2" xfId="29409" xr:uid="{00000000-0005-0000-0000-0000E4240000}"/>
    <cellStyle name="Comma 3 8 5 3 3 3" xfId="14921" xr:uid="{00000000-0005-0000-0000-0000E5240000}"/>
    <cellStyle name="Comma 3 8 5 3 3_TOM TAT" xfId="21804" xr:uid="{00000000-0005-0000-0000-0000E6240000}"/>
    <cellStyle name="Comma 3 8 5 3 4" xfId="29406" xr:uid="{00000000-0005-0000-0000-0000E7240000}"/>
    <cellStyle name="Comma 3 8 5 3 5" xfId="14918" xr:uid="{00000000-0005-0000-0000-0000E8240000}"/>
    <cellStyle name="Comma 3 8 5 3_TOM TAT" xfId="21801" xr:uid="{00000000-0005-0000-0000-0000E9240000}"/>
    <cellStyle name="Comma 3 8 5 4" xfId="8742" xr:uid="{00000000-0005-0000-0000-0000EA240000}"/>
    <cellStyle name="Comma 3 8 5 4 2" xfId="8743" xr:uid="{00000000-0005-0000-0000-0000EB240000}"/>
    <cellStyle name="Comma 3 8 5 4 2 2" xfId="29411" xr:uid="{00000000-0005-0000-0000-0000EC240000}"/>
    <cellStyle name="Comma 3 8 5 4 2 3" xfId="14923" xr:uid="{00000000-0005-0000-0000-0000ED240000}"/>
    <cellStyle name="Comma 3 8 5 4 2_TOM TAT" xfId="21806" xr:uid="{00000000-0005-0000-0000-0000EE240000}"/>
    <cellStyle name="Comma 3 8 5 4 3" xfId="29410" xr:uid="{00000000-0005-0000-0000-0000EF240000}"/>
    <cellStyle name="Comma 3 8 5 4 4" xfId="14922" xr:uid="{00000000-0005-0000-0000-0000F0240000}"/>
    <cellStyle name="Comma 3 8 5 4_TOM TAT" xfId="21805" xr:uid="{00000000-0005-0000-0000-0000F1240000}"/>
    <cellStyle name="Comma 3 8 5 5" xfId="8744" xr:uid="{00000000-0005-0000-0000-0000F2240000}"/>
    <cellStyle name="Comma 3 8 5 5 2" xfId="29412" xr:uid="{00000000-0005-0000-0000-0000F3240000}"/>
    <cellStyle name="Comma 3 8 5 5 3" xfId="14924" xr:uid="{00000000-0005-0000-0000-0000F4240000}"/>
    <cellStyle name="Comma 3 8 5 5_TOM TAT" xfId="21807" xr:uid="{00000000-0005-0000-0000-0000F5240000}"/>
    <cellStyle name="Comma 3 8 5 6" xfId="29401" xr:uid="{00000000-0005-0000-0000-0000F6240000}"/>
    <cellStyle name="Comma 3 8 5 7" xfId="14913" xr:uid="{00000000-0005-0000-0000-0000F7240000}"/>
    <cellStyle name="Comma 3 8 5_TOM TAT" xfId="21796" xr:uid="{00000000-0005-0000-0000-0000F8240000}"/>
    <cellStyle name="Comma 3 8 6" xfId="8745" xr:uid="{00000000-0005-0000-0000-0000F9240000}"/>
    <cellStyle name="Comma 3 8 6 2" xfId="8746" xr:uid="{00000000-0005-0000-0000-0000FA240000}"/>
    <cellStyle name="Comma 3 8 6 2 2" xfId="8747" xr:uid="{00000000-0005-0000-0000-0000FB240000}"/>
    <cellStyle name="Comma 3 8 6 2 2 2" xfId="29415" xr:uid="{00000000-0005-0000-0000-0000FC240000}"/>
    <cellStyle name="Comma 3 8 6 2 2 3" xfId="14927" xr:uid="{00000000-0005-0000-0000-0000FD240000}"/>
    <cellStyle name="Comma 3 8 6 2 2_TOM TAT" xfId="21810" xr:uid="{00000000-0005-0000-0000-0000FE240000}"/>
    <cellStyle name="Comma 3 8 6 2 3" xfId="29414" xr:uid="{00000000-0005-0000-0000-0000FF240000}"/>
    <cellStyle name="Comma 3 8 6 2 4" xfId="14926" xr:uid="{00000000-0005-0000-0000-000000250000}"/>
    <cellStyle name="Comma 3 8 6 2_TOM TAT" xfId="21809" xr:uid="{00000000-0005-0000-0000-000001250000}"/>
    <cellStyle name="Comma 3 8 6 3" xfId="8748" xr:uid="{00000000-0005-0000-0000-000002250000}"/>
    <cellStyle name="Comma 3 8 6 3 2" xfId="29416" xr:uid="{00000000-0005-0000-0000-000003250000}"/>
    <cellStyle name="Comma 3 8 6 3 3" xfId="14928" xr:uid="{00000000-0005-0000-0000-000004250000}"/>
    <cellStyle name="Comma 3 8 6 3_TOM TAT" xfId="21811" xr:uid="{00000000-0005-0000-0000-000005250000}"/>
    <cellStyle name="Comma 3 8 6 4" xfId="29413" xr:uid="{00000000-0005-0000-0000-000006250000}"/>
    <cellStyle name="Comma 3 8 6 5" xfId="14925" xr:uid="{00000000-0005-0000-0000-000007250000}"/>
    <cellStyle name="Comma 3 8 6_TOM TAT" xfId="21808" xr:uid="{00000000-0005-0000-0000-000008250000}"/>
    <cellStyle name="Comma 3 8 7" xfId="8749" xr:uid="{00000000-0005-0000-0000-000009250000}"/>
    <cellStyle name="Comma 3 8 7 2" xfId="8750" xr:uid="{00000000-0005-0000-0000-00000A250000}"/>
    <cellStyle name="Comma 3 8 7 2 2" xfId="8751" xr:uid="{00000000-0005-0000-0000-00000B250000}"/>
    <cellStyle name="Comma 3 8 7 2 2 2" xfId="29419" xr:uid="{00000000-0005-0000-0000-00000C250000}"/>
    <cellStyle name="Comma 3 8 7 2 2 3" xfId="14931" xr:uid="{00000000-0005-0000-0000-00000D250000}"/>
    <cellStyle name="Comma 3 8 7 2 2_TOM TAT" xfId="21814" xr:uid="{00000000-0005-0000-0000-00000E250000}"/>
    <cellStyle name="Comma 3 8 7 2 3" xfId="29418" xr:uid="{00000000-0005-0000-0000-00000F250000}"/>
    <cellStyle name="Comma 3 8 7 2 4" xfId="14930" xr:uid="{00000000-0005-0000-0000-000010250000}"/>
    <cellStyle name="Comma 3 8 7 2_TOM TAT" xfId="21813" xr:uid="{00000000-0005-0000-0000-000011250000}"/>
    <cellStyle name="Comma 3 8 7 3" xfId="8752" xr:uid="{00000000-0005-0000-0000-000012250000}"/>
    <cellStyle name="Comma 3 8 7 3 2" xfId="29420" xr:uid="{00000000-0005-0000-0000-000013250000}"/>
    <cellStyle name="Comma 3 8 7 3 3" xfId="14932" xr:uid="{00000000-0005-0000-0000-000014250000}"/>
    <cellStyle name="Comma 3 8 7 3_TOM TAT" xfId="21815" xr:uid="{00000000-0005-0000-0000-000015250000}"/>
    <cellStyle name="Comma 3 8 7 4" xfId="29417" xr:uid="{00000000-0005-0000-0000-000016250000}"/>
    <cellStyle name="Comma 3 8 7 5" xfId="14929" xr:uid="{00000000-0005-0000-0000-000017250000}"/>
    <cellStyle name="Comma 3 8 7_TOM TAT" xfId="21812" xr:uid="{00000000-0005-0000-0000-000018250000}"/>
    <cellStyle name="Comma 3 8 8" xfId="8753" xr:uid="{00000000-0005-0000-0000-000019250000}"/>
    <cellStyle name="Comma 3 8 8 2" xfId="8754" xr:uid="{00000000-0005-0000-0000-00001A250000}"/>
    <cellStyle name="Comma 3 8 8 2 2" xfId="29422" xr:uid="{00000000-0005-0000-0000-00001B250000}"/>
    <cellStyle name="Comma 3 8 8 2 3" xfId="14934" xr:uid="{00000000-0005-0000-0000-00001C250000}"/>
    <cellStyle name="Comma 3 8 8 2_TOM TAT" xfId="21817" xr:uid="{00000000-0005-0000-0000-00001D250000}"/>
    <cellStyle name="Comma 3 8 8 3" xfId="29421" xr:uid="{00000000-0005-0000-0000-00001E250000}"/>
    <cellStyle name="Comma 3 8 8 4" xfId="14933" xr:uid="{00000000-0005-0000-0000-00001F250000}"/>
    <cellStyle name="Comma 3 8 8_TOM TAT" xfId="21816" xr:uid="{00000000-0005-0000-0000-000020250000}"/>
    <cellStyle name="Comma 3 8 9" xfId="8755" xr:uid="{00000000-0005-0000-0000-000021250000}"/>
    <cellStyle name="Comma 3 8 9 2" xfId="29423" xr:uid="{00000000-0005-0000-0000-000022250000}"/>
    <cellStyle name="Comma 3 8 9 3" xfId="14935" xr:uid="{00000000-0005-0000-0000-000023250000}"/>
    <cellStyle name="Comma 3 8 9_TOM TAT" xfId="21818" xr:uid="{00000000-0005-0000-0000-000024250000}"/>
    <cellStyle name="Comma 3 8_TOM TAT" xfId="21699" xr:uid="{00000000-0005-0000-0000-000025250000}"/>
    <cellStyle name="Comma 3 9" xfId="5348" xr:uid="{00000000-0005-0000-0000-000026250000}"/>
    <cellStyle name="Comma 3_FS chuan Jamona Riverside" xfId="5349" xr:uid="{00000000-0005-0000-0000-000027250000}"/>
    <cellStyle name="Comma 30" xfId="1194" xr:uid="{00000000-0005-0000-0000-000028250000}"/>
    <cellStyle name="Comma 30 2" xfId="4366" xr:uid="{00000000-0005-0000-0000-000029250000}"/>
    <cellStyle name="Comma 30 2 2" xfId="5350" xr:uid="{00000000-0005-0000-0000-00002A250000}"/>
    <cellStyle name="Comma 30 2_TOM TAT" xfId="21820" xr:uid="{00000000-0005-0000-0000-00002B250000}"/>
    <cellStyle name="Comma 30 3" xfId="5351" xr:uid="{00000000-0005-0000-0000-00002C250000}"/>
    <cellStyle name="Comma 30_TOM TAT" xfId="21819" xr:uid="{00000000-0005-0000-0000-00002D250000}"/>
    <cellStyle name="Comma 31" xfId="1195" xr:uid="{00000000-0005-0000-0000-00002E250000}"/>
    <cellStyle name="Comma 31 2" xfId="4367" xr:uid="{00000000-0005-0000-0000-00002F250000}"/>
    <cellStyle name="Comma 31 2 2" xfId="5352" xr:uid="{00000000-0005-0000-0000-000030250000}"/>
    <cellStyle name="Comma 31 2_TOM TAT" xfId="21822" xr:uid="{00000000-0005-0000-0000-000031250000}"/>
    <cellStyle name="Comma 31 3" xfId="5353" xr:uid="{00000000-0005-0000-0000-000032250000}"/>
    <cellStyle name="Comma 31_TOM TAT" xfId="21821" xr:uid="{00000000-0005-0000-0000-000033250000}"/>
    <cellStyle name="Comma 32" xfId="1196" xr:uid="{00000000-0005-0000-0000-000034250000}"/>
    <cellStyle name="Comma 32 2" xfId="4368" xr:uid="{00000000-0005-0000-0000-000035250000}"/>
    <cellStyle name="Comma 32 2 2" xfId="5354" xr:uid="{00000000-0005-0000-0000-000036250000}"/>
    <cellStyle name="Comma 32 2_TOM TAT" xfId="21824" xr:uid="{00000000-0005-0000-0000-000037250000}"/>
    <cellStyle name="Comma 32 3" xfId="5355" xr:uid="{00000000-0005-0000-0000-000038250000}"/>
    <cellStyle name="Comma 32_TOM TAT" xfId="21823" xr:uid="{00000000-0005-0000-0000-000039250000}"/>
    <cellStyle name="Comma 33" xfId="1197" xr:uid="{00000000-0005-0000-0000-00003A250000}"/>
    <cellStyle name="Comma 33 2" xfId="4369" xr:uid="{00000000-0005-0000-0000-00003B250000}"/>
    <cellStyle name="Comma 33 2 2" xfId="5356" xr:uid="{00000000-0005-0000-0000-00003C250000}"/>
    <cellStyle name="Comma 33 2_TOM TAT" xfId="21826" xr:uid="{00000000-0005-0000-0000-00003D250000}"/>
    <cellStyle name="Comma 33 3" xfId="5357" xr:uid="{00000000-0005-0000-0000-00003E250000}"/>
    <cellStyle name="Comma 33_TOM TAT" xfId="21825" xr:uid="{00000000-0005-0000-0000-00003F250000}"/>
    <cellStyle name="Comma 34" xfId="1198" xr:uid="{00000000-0005-0000-0000-000040250000}"/>
    <cellStyle name="Comma 34 2" xfId="4370" xr:uid="{00000000-0005-0000-0000-000041250000}"/>
    <cellStyle name="Comma 34 2 2" xfId="5358" xr:uid="{00000000-0005-0000-0000-000042250000}"/>
    <cellStyle name="Comma 34 2_TOM TAT" xfId="21828" xr:uid="{00000000-0005-0000-0000-000043250000}"/>
    <cellStyle name="Comma 34 3" xfId="5359" xr:uid="{00000000-0005-0000-0000-000044250000}"/>
    <cellStyle name="Comma 34_TOM TAT" xfId="21827" xr:uid="{00000000-0005-0000-0000-000045250000}"/>
    <cellStyle name="Comma 35" xfId="1199" xr:uid="{00000000-0005-0000-0000-000046250000}"/>
    <cellStyle name="Comma 35 2" xfId="4371" xr:uid="{00000000-0005-0000-0000-000047250000}"/>
    <cellStyle name="Comma 35 2 2" xfId="5360" xr:uid="{00000000-0005-0000-0000-000048250000}"/>
    <cellStyle name="Comma 35 2_TOM TAT" xfId="21830" xr:uid="{00000000-0005-0000-0000-000049250000}"/>
    <cellStyle name="Comma 35 3" xfId="5361" xr:uid="{00000000-0005-0000-0000-00004A250000}"/>
    <cellStyle name="Comma 35_TOM TAT" xfId="21829" xr:uid="{00000000-0005-0000-0000-00004B250000}"/>
    <cellStyle name="Comma 36" xfId="1200" xr:uid="{00000000-0005-0000-0000-00004C250000}"/>
    <cellStyle name="Comma 36 2" xfId="4372" xr:uid="{00000000-0005-0000-0000-00004D250000}"/>
    <cellStyle name="Comma 36 2 2" xfId="5362" xr:uid="{00000000-0005-0000-0000-00004E250000}"/>
    <cellStyle name="Comma 36 2_TOM TAT" xfId="21832" xr:uid="{00000000-0005-0000-0000-00004F250000}"/>
    <cellStyle name="Comma 36 3" xfId="5363" xr:uid="{00000000-0005-0000-0000-000050250000}"/>
    <cellStyle name="Comma 36_TOM TAT" xfId="21831" xr:uid="{00000000-0005-0000-0000-000051250000}"/>
    <cellStyle name="Comma 37" xfId="1201" xr:uid="{00000000-0005-0000-0000-000052250000}"/>
    <cellStyle name="Comma 37 2" xfId="4373" xr:uid="{00000000-0005-0000-0000-000053250000}"/>
    <cellStyle name="Comma 37 2 2" xfId="5364" xr:uid="{00000000-0005-0000-0000-000054250000}"/>
    <cellStyle name="Comma 37 2_TOM TAT" xfId="21834" xr:uid="{00000000-0005-0000-0000-000055250000}"/>
    <cellStyle name="Comma 37 3" xfId="5365" xr:uid="{00000000-0005-0000-0000-000056250000}"/>
    <cellStyle name="Comma 37_TOM TAT" xfId="21833" xr:uid="{00000000-0005-0000-0000-000057250000}"/>
    <cellStyle name="Comma 38" xfId="1202" xr:uid="{00000000-0005-0000-0000-000058250000}"/>
    <cellStyle name="Comma 38 2" xfId="4374" xr:uid="{00000000-0005-0000-0000-000059250000}"/>
    <cellStyle name="Comma 38 2 2" xfId="5366" xr:uid="{00000000-0005-0000-0000-00005A250000}"/>
    <cellStyle name="Comma 38 2_TOM TAT" xfId="21836" xr:uid="{00000000-0005-0000-0000-00005B250000}"/>
    <cellStyle name="Comma 38 3" xfId="5367" xr:uid="{00000000-0005-0000-0000-00005C250000}"/>
    <cellStyle name="Comma 38_TOM TAT" xfId="21835" xr:uid="{00000000-0005-0000-0000-00005D250000}"/>
    <cellStyle name="Comma 39" xfId="1203" xr:uid="{00000000-0005-0000-0000-00005E250000}"/>
    <cellStyle name="Comma 39 2" xfId="4375" xr:uid="{00000000-0005-0000-0000-00005F250000}"/>
    <cellStyle name="Comma 39 3" xfId="5368" xr:uid="{00000000-0005-0000-0000-000060250000}"/>
    <cellStyle name="Comma 39 4" xfId="18185" xr:uid="{00000000-0005-0000-0000-000061250000}"/>
    <cellStyle name="Comma 39_TOM TAT" xfId="21837" xr:uid="{00000000-0005-0000-0000-000062250000}"/>
    <cellStyle name="Comma 4" xfId="1204" xr:uid="{00000000-0005-0000-0000-000063250000}"/>
    <cellStyle name="Comma 4 10" xfId="26957" xr:uid="{00000000-0005-0000-0000-000064250000}"/>
    <cellStyle name="Comma 4 11" xfId="32280" xr:uid="{00000000-0005-0000-0000-000065250000}"/>
    <cellStyle name="Comma 4 2" xfId="2120" xr:uid="{00000000-0005-0000-0000-000066250000}"/>
    <cellStyle name="Comma 4 2 2" xfId="5369" xr:uid="{00000000-0005-0000-0000-000067250000}"/>
    <cellStyle name="Comma 4 2 3" xfId="32293" xr:uid="{00000000-0005-0000-0000-000068250000}"/>
    <cellStyle name="Comma 4 2_TOM TAT" xfId="21838" xr:uid="{00000000-0005-0000-0000-000069250000}"/>
    <cellStyle name="Comma 4 3" xfId="2121" xr:uid="{00000000-0005-0000-0000-00006A250000}"/>
    <cellStyle name="Comma 4 3 2" xfId="18625" xr:uid="{00000000-0005-0000-0000-00006B250000}"/>
    <cellStyle name="Comma 4 3_TOM TAT" xfId="21839" xr:uid="{00000000-0005-0000-0000-00006C250000}"/>
    <cellStyle name="Comma 4 4" xfId="2122" xr:uid="{00000000-0005-0000-0000-00006D250000}"/>
    <cellStyle name="Comma 4 5" xfId="2123" xr:uid="{00000000-0005-0000-0000-00006E250000}"/>
    <cellStyle name="Comma 4 6" xfId="2119" xr:uid="{00000000-0005-0000-0000-00006F250000}"/>
    <cellStyle name="Comma 4 7" xfId="4376" xr:uid="{00000000-0005-0000-0000-000070250000}"/>
    <cellStyle name="Comma 4 8" xfId="5370" xr:uid="{00000000-0005-0000-0000-000071250000}"/>
    <cellStyle name="Comma 4 9" xfId="5371" xr:uid="{00000000-0005-0000-0000-000072250000}"/>
    <cellStyle name="Comma 4_FS chuan Jamona Riverside" xfId="5372" xr:uid="{00000000-0005-0000-0000-000073250000}"/>
    <cellStyle name="Comma 40" xfId="1205" xr:uid="{00000000-0005-0000-0000-000074250000}"/>
    <cellStyle name="Comma 40 2" xfId="4377" xr:uid="{00000000-0005-0000-0000-000075250000}"/>
    <cellStyle name="Comma 40 2 2" xfId="8756" xr:uid="{00000000-0005-0000-0000-000076250000}"/>
    <cellStyle name="Comma 40 2_TOM TAT" xfId="21841" xr:uid="{00000000-0005-0000-0000-000077250000}"/>
    <cellStyle name="Comma 40 3" xfId="5373" xr:uid="{00000000-0005-0000-0000-000078250000}"/>
    <cellStyle name="Comma 40 4" xfId="8757" xr:uid="{00000000-0005-0000-0000-000079250000}"/>
    <cellStyle name="Comma 40 5" xfId="8758" xr:uid="{00000000-0005-0000-0000-00007A250000}"/>
    <cellStyle name="Comma 40 6" xfId="18579" xr:uid="{00000000-0005-0000-0000-00007B250000}"/>
    <cellStyle name="Comma 40_TOM TAT" xfId="21840" xr:uid="{00000000-0005-0000-0000-00007C250000}"/>
    <cellStyle name="Comma 41" xfId="1849" xr:uid="{00000000-0005-0000-0000-00007D250000}"/>
    <cellStyle name="Comma 41 2" xfId="4835" xr:uid="{00000000-0005-0000-0000-00007E250000}"/>
    <cellStyle name="Comma 41 3" xfId="8759" xr:uid="{00000000-0005-0000-0000-00007F250000}"/>
    <cellStyle name="Comma 41_TOM TAT" xfId="21842" xr:uid="{00000000-0005-0000-0000-000080250000}"/>
    <cellStyle name="Comma 42" xfId="1852" xr:uid="{00000000-0005-0000-0000-000081250000}"/>
    <cellStyle name="Comma 42 2" xfId="4865" xr:uid="{00000000-0005-0000-0000-000082250000}"/>
    <cellStyle name="Comma 42 2 2" xfId="8760" xr:uid="{00000000-0005-0000-0000-000083250000}"/>
    <cellStyle name="Comma 42 2 2 2" xfId="8761" xr:uid="{00000000-0005-0000-0000-000084250000}"/>
    <cellStyle name="Comma 42 2 2 2 2" xfId="29425" xr:uid="{00000000-0005-0000-0000-000085250000}"/>
    <cellStyle name="Comma 42 2 2 2 3" xfId="14937" xr:uid="{00000000-0005-0000-0000-000086250000}"/>
    <cellStyle name="Comma 42 2 2 2_TOM TAT" xfId="21846" xr:uid="{00000000-0005-0000-0000-000087250000}"/>
    <cellStyle name="Comma 42 2 2 3" xfId="29424" xr:uid="{00000000-0005-0000-0000-000088250000}"/>
    <cellStyle name="Comma 42 2 2 4" xfId="14936" xr:uid="{00000000-0005-0000-0000-000089250000}"/>
    <cellStyle name="Comma 42 2 2_TOM TAT" xfId="21845" xr:uid="{00000000-0005-0000-0000-00008A250000}"/>
    <cellStyle name="Comma 42 2 3" xfId="18659" xr:uid="{00000000-0005-0000-0000-00008B250000}"/>
    <cellStyle name="Comma 42 2 3 2" xfId="31779" xr:uid="{00000000-0005-0000-0000-00008C250000}"/>
    <cellStyle name="Comma 42 2 3_TOM TAT" xfId="21847" xr:uid="{00000000-0005-0000-0000-00008D250000}"/>
    <cellStyle name="Comma 42 2_TOM TAT" xfId="21844" xr:uid="{00000000-0005-0000-0000-00008E250000}"/>
    <cellStyle name="Comma 42 3" xfId="8762" xr:uid="{00000000-0005-0000-0000-00008F250000}"/>
    <cellStyle name="Comma 42 3 2" xfId="8763" xr:uid="{00000000-0005-0000-0000-000090250000}"/>
    <cellStyle name="Comma 42 3 2 2" xfId="8764" xr:uid="{00000000-0005-0000-0000-000091250000}"/>
    <cellStyle name="Comma 42 3 2 2 2" xfId="29428" xr:uid="{00000000-0005-0000-0000-000092250000}"/>
    <cellStyle name="Comma 42 3 2 2 3" xfId="14940" xr:uid="{00000000-0005-0000-0000-000093250000}"/>
    <cellStyle name="Comma 42 3 2 2_TOM TAT" xfId="21850" xr:uid="{00000000-0005-0000-0000-000094250000}"/>
    <cellStyle name="Comma 42 3 2 3" xfId="29427" xr:uid="{00000000-0005-0000-0000-000095250000}"/>
    <cellStyle name="Comma 42 3 2 4" xfId="14939" xr:uid="{00000000-0005-0000-0000-000096250000}"/>
    <cellStyle name="Comma 42 3 2_TOM TAT" xfId="21849" xr:uid="{00000000-0005-0000-0000-000097250000}"/>
    <cellStyle name="Comma 42 3 3" xfId="8765" xr:uid="{00000000-0005-0000-0000-000098250000}"/>
    <cellStyle name="Comma 42 3 3 2" xfId="29429" xr:uid="{00000000-0005-0000-0000-000099250000}"/>
    <cellStyle name="Comma 42 3 3 3" xfId="14941" xr:uid="{00000000-0005-0000-0000-00009A250000}"/>
    <cellStyle name="Comma 42 3 3_TOM TAT" xfId="21851" xr:uid="{00000000-0005-0000-0000-00009B250000}"/>
    <cellStyle name="Comma 42 3 4" xfId="29426" xr:uid="{00000000-0005-0000-0000-00009C250000}"/>
    <cellStyle name="Comma 42 3 5" xfId="14938" xr:uid="{00000000-0005-0000-0000-00009D250000}"/>
    <cellStyle name="Comma 42 3_TOM TAT" xfId="21848" xr:uid="{00000000-0005-0000-0000-00009E250000}"/>
    <cellStyle name="Comma 42 4" xfId="18588" xr:uid="{00000000-0005-0000-0000-00009F250000}"/>
    <cellStyle name="Comma 42 4 2" xfId="31755" xr:uid="{00000000-0005-0000-0000-0000A0250000}"/>
    <cellStyle name="Comma 42 4_TOM TAT" xfId="21852" xr:uid="{00000000-0005-0000-0000-0000A1250000}"/>
    <cellStyle name="Comma 42_TOM TAT" xfId="21843" xr:uid="{00000000-0005-0000-0000-0000A2250000}"/>
    <cellStyle name="Comma 43" xfId="2101" xr:uid="{00000000-0005-0000-0000-0000A3250000}"/>
    <cellStyle name="Comma 43 2" xfId="8766" xr:uid="{00000000-0005-0000-0000-0000A4250000}"/>
    <cellStyle name="Comma 43 2 2" xfId="8767" xr:uid="{00000000-0005-0000-0000-0000A5250000}"/>
    <cellStyle name="Comma 43 2 2 2" xfId="8768" xr:uid="{00000000-0005-0000-0000-0000A6250000}"/>
    <cellStyle name="Comma 43 2 2 2 2" xfId="8769" xr:uid="{00000000-0005-0000-0000-0000A7250000}"/>
    <cellStyle name="Comma 43 2 2 2 2 2" xfId="8770" xr:uid="{00000000-0005-0000-0000-0000A8250000}"/>
    <cellStyle name="Comma 43 2 2 2 2 2 2" xfId="29434" xr:uid="{00000000-0005-0000-0000-0000A9250000}"/>
    <cellStyle name="Comma 43 2 2 2 2 2 3" xfId="14946" xr:uid="{00000000-0005-0000-0000-0000AA250000}"/>
    <cellStyle name="Comma 43 2 2 2 2 2_TOM TAT" xfId="21858" xr:uid="{00000000-0005-0000-0000-0000AB250000}"/>
    <cellStyle name="Comma 43 2 2 2 2 3" xfId="29433" xr:uid="{00000000-0005-0000-0000-0000AC250000}"/>
    <cellStyle name="Comma 43 2 2 2 2 4" xfId="14945" xr:uid="{00000000-0005-0000-0000-0000AD250000}"/>
    <cellStyle name="Comma 43 2 2 2 2_TOM TAT" xfId="21857" xr:uid="{00000000-0005-0000-0000-0000AE250000}"/>
    <cellStyle name="Comma 43 2 2 2 3" xfId="8771" xr:uid="{00000000-0005-0000-0000-0000AF250000}"/>
    <cellStyle name="Comma 43 2 2 2 3 2" xfId="29435" xr:uid="{00000000-0005-0000-0000-0000B0250000}"/>
    <cellStyle name="Comma 43 2 2 2 3 3" xfId="14947" xr:uid="{00000000-0005-0000-0000-0000B1250000}"/>
    <cellStyle name="Comma 43 2 2 2 3_TOM TAT" xfId="21859" xr:uid="{00000000-0005-0000-0000-0000B2250000}"/>
    <cellStyle name="Comma 43 2 2 2 4" xfId="29432" xr:uid="{00000000-0005-0000-0000-0000B3250000}"/>
    <cellStyle name="Comma 43 2 2 2 5" xfId="14944" xr:uid="{00000000-0005-0000-0000-0000B4250000}"/>
    <cellStyle name="Comma 43 2 2 2_TOM TAT" xfId="21856" xr:uid="{00000000-0005-0000-0000-0000B5250000}"/>
    <cellStyle name="Comma 43 2 2 3" xfId="8772" xr:uid="{00000000-0005-0000-0000-0000B6250000}"/>
    <cellStyle name="Comma 43 2 2 3 2" xfId="8773" xr:uid="{00000000-0005-0000-0000-0000B7250000}"/>
    <cellStyle name="Comma 43 2 2 3 2 2" xfId="8774" xr:uid="{00000000-0005-0000-0000-0000B8250000}"/>
    <cellStyle name="Comma 43 2 2 3 2 2 2" xfId="29438" xr:uid="{00000000-0005-0000-0000-0000B9250000}"/>
    <cellStyle name="Comma 43 2 2 3 2 2 3" xfId="14950" xr:uid="{00000000-0005-0000-0000-0000BA250000}"/>
    <cellStyle name="Comma 43 2 2 3 2 2_TOM TAT" xfId="21862" xr:uid="{00000000-0005-0000-0000-0000BB250000}"/>
    <cellStyle name="Comma 43 2 2 3 2 3" xfId="29437" xr:uid="{00000000-0005-0000-0000-0000BC250000}"/>
    <cellStyle name="Comma 43 2 2 3 2 4" xfId="14949" xr:uid="{00000000-0005-0000-0000-0000BD250000}"/>
    <cellStyle name="Comma 43 2 2 3 2_TOM TAT" xfId="21861" xr:uid="{00000000-0005-0000-0000-0000BE250000}"/>
    <cellStyle name="Comma 43 2 2 3 3" xfId="8775" xr:uid="{00000000-0005-0000-0000-0000BF250000}"/>
    <cellStyle name="Comma 43 2 2 3 3 2" xfId="29439" xr:uid="{00000000-0005-0000-0000-0000C0250000}"/>
    <cellStyle name="Comma 43 2 2 3 3 3" xfId="14951" xr:uid="{00000000-0005-0000-0000-0000C1250000}"/>
    <cellStyle name="Comma 43 2 2 3 3_TOM TAT" xfId="21863" xr:uid="{00000000-0005-0000-0000-0000C2250000}"/>
    <cellStyle name="Comma 43 2 2 3 4" xfId="29436" xr:uid="{00000000-0005-0000-0000-0000C3250000}"/>
    <cellStyle name="Comma 43 2 2 3 5" xfId="14948" xr:uid="{00000000-0005-0000-0000-0000C4250000}"/>
    <cellStyle name="Comma 43 2 2 3_TOM TAT" xfId="21860" xr:uid="{00000000-0005-0000-0000-0000C5250000}"/>
    <cellStyle name="Comma 43 2 2 4" xfId="8776" xr:uid="{00000000-0005-0000-0000-0000C6250000}"/>
    <cellStyle name="Comma 43 2 2 4 2" xfId="8777" xr:uid="{00000000-0005-0000-0000-0000C7250000}"/>
    <cellStyle name="Comma 43 2 2 4 2 2" xfId="29441" xr:uid="{00000000-0005-0000-0000-0000C8250000}"/>
    <cellStyle name="Comma 43 2 2 4 2 3" xfId="14953" xr:uid="{00000000-0005-0000-0000-0000C9250000}"/>
    <cellStyle name="Comma 43 2 2 4 2_TOM TAT" xfId="21865" xr:uid="{00000000-0005-0000-0000-0000CA250000}"/>
    <cellStyle name="Comma 43 2 2 4 3" xfId="29440" xr:uid="{00000000-0005-0000-0000-0000CB250000}"/>
    <cellStyle name="Comma 43 2 2 4 4" xfId="14952" xr:uid="{00000000-0005-0000-0000-0000CC250000}"/>
    <cellStyle name="Comma 43 2 2 4_TOM TAT" xfId="21864" xr:uid="{00000000-0005-0000-0000-0000CD250000}"/>
    <cellStyle name="Comma 43 2 2 5" xfId="8778" xr:uid="{00000000-0005-0000-0000-0000CE250000}"/>
    <cellStyle name="Comma 43 2 2 5 2" xfId="29442" xr:uid="{00000000-0005-0000-0000-0000CF250000}"/>
    <cellStyle name="Comma 43 2 2 5 3" xfId="14954" xr:uid="{00000000-0005-0000-0000-0000D0250000}"/>
    <cellStyle name="Comma 43 2 2 5_TOM TAT" xfId="21866" xr:uid="{00000000-0005-0000-0000-0000D1250000}"/>
    <cellStyle name="Comma 43 2 2 6" xfId="29431" xr:uid="{00000000-0005-0000-0000-0000D2250000}"/>
    <cellStyle name="Comma 43 2 2 7" xfId="14943" xr:uid="{00000000-0005-0000-0000-0000D3250000}"/>
    <cellStyle name="Comma 43 2 2_TOM TAT" xfId="21855" xr:uid="{00000000-0005-0000-0000-0000D4250000}"/>
    <cellStyle name="Comma 43 2 3" xfId="8779" xr:uid="{00000000-0005-0000-0000-0000D5250000}"/>
    <cellStyle name="Comma 43 2 3 2" xfId="8780" xr:uid="{00000000-0005-0000-0000-0000D6250000}"/>
    <cellStyle name="Comma 43 2 3 2 2" xfId="8781" xr:uid="{00000000-0005-0000-0000-0000D7250000}"/>
    <cellStyle name="Comma 43 2 3 2 2 2" xfId="8782" xr:uid="{00000000-0005-0000-0000-0000D8250000}"/>
    <cellStyle name="Comma 43 2 3 2 2 2 2" xfId="29446" xr:uid="{00000000-0005-0000-0000-0000D9250000}"/>
    <cellStyle name="Comma 43 2 3 2 2 2 3" xfId="14958" xr:uid="{00000000-0005-0000-0000-0000DA250000}"/>
    <cellStyle name="Comma 43 2 3 2 2 2_TOM TAT" xfId="21870" xr:uid="{00000000-0005-0000-0000-0000DB250000}"/>
    <cellStyle name="Comma 43 2 3 2 2 3" xfId="29445" xr:uid="{00000000-0005-0000-0000-0000DC250000}"/>
    <cellStyle name="Comma 43 2 3 2 2 4" xfId="14957" xr:uid="{00000000-0005-0000-0000-0000DD250000}"/>
    <cellStyle name="Comma 43 2 3 2 2_TOM TAT" xfId="21869" xr:uid="{00000000-0005-0000-0000-0000DE250000}"/>
    <cellStyle name="Comma 43 2 3 2 3" xfId="8783" xr:uid="{00000000-0005-0000-0000-0000DF250000}"/>
    <cellStyle name="Comma 43 2 3 2 3 2" xfId="29447" xr:uid="{00000000-0005-0000-0000-0000E0250000}"/>
    <cellStyle name="Comma 43 2 3 2 3 3" xfId="14959" xr:uid="{00000000-0005-0000-0000-0000E1250000}"/>
    <cellStyle name="Comma 43 2 3 2 3_TOM TAT" xfId="21871" xr:uid="{00000000-0005-0000-0000-0000E2250000}"/>
    <cellStyle name="Comma 43 2 3 2 4" xfId="29444" xr:uid="{00000000-0005-0000-0000-0000E3250000}"/>
    <cellStyle name="Comma 43 2 3 2 5" xfId="14956" xr:uid="{00000000-0005-0000-0000-0000E4250000}"/>
    <cellStyle name="Comma 43 2 3 2_TOM TAT" xfId="21868" xr:uid="{00000000-0005-0000-0000-0000E5250000}"/>
    <cellStyle name="Comma 43 2 3 3" xfId="8784" xr:uid="{00000000-0005-0000-0000-0000E6250000}"/>
    <cellStyle name="Comma 43 2 3 3 2" xfId="8785" xr:uid="{00000000-0005-0000-0000-0000E7250000}"/>
    <cellStyle name="Comma 43 2 3 3 2 2" xfId="29449" xr:uid="{00000000-0005-0000-0000-0000E8250000}"/>
    <cellStyle name="Comma 43 2 3 3 2 3" xfId="14961" xr:uid="{00000000-0005-0000-0000-0000E9250000}"/>
    <cellStyle name="Comma 43 2 3 3 2_TOM TAT" xfId="21873" xr:uid="{00000000-0005-0000-0000-0000EA250000}"/>
    <cellStyle name="Comma 43 2 3 3 3" xfId="29448" xr:uid="{00000000-0005-0000-0000-0000EB250000}"/>
    <cellStyle name="Comma 43 2 3 3 4" xfId="14960" xr:uid="{00000000-0005-0000-0000-0000EC250000}"/>
    <cellStyle name="Comma 43 2 3 3_TOM TAT" xfId="21872" xr:uid="{00000000-0005-0000-0000-0000ED250000}"/>
    <cellStyle name="Comma 43 2 3 4" xfId="8786" xr:uid="{00000000-0005-0000-0000-0000EE250000}"/>
    <cellStyle name="Comma 43 2 3 4 2" xfId="29450" xr:uid="{00000000-0005-0000-0000-0000EF250000}"/>
    <cellStyle name="Comma 43 2 3 4 3" xfId="14962" xr:uid="{00000000-0005-0000-0000-0000F0250000}"/>
    <cellStyle name="Comma 43 2 3 4_TOM TAT" xfId="21874" xr:uid="{00000000-0005-0000-0000-0000F1250000}"/>
    <cellStyle name="Comma 43 2 3 5" xfId="29443" xr:uid="{00000000-0005-0000-0000-0000F2250000}"/>
    <cellStyle name="Comma 43 2 3 6" xfId="14955" xr:uid="{00000000-0005-0000-0000-0000F3250000}"/>
    <cellStyle name="Comma 43 2 3_TOM TAT" xfId="21867" xr:uid="{00000000-0005-0000-0000-0000F4250000}"/>
    <cellStyle name="Comma 43 2 4" xfId="8787" xr:uid="{00000000-0005-0000-0000-0000F5250000}"/>
    <cellStyle name="Comma 43 2 4 2" xfId="8788" xr:uid="{00000000-0005-0000-0000-0000F6250000}"/>
    <cellStyle name="Comma 43 2 4 2 2" xfId="8789" xr:uid="{00000000-0005-0000-0000-0000F7250000}"/>
    <cellStyle name="Comma 43 2 4 2 2 2" xfId="29453" xr:uid="{00000000-0005-0000-0000-0000F8250000}"/>
    <cellStyle name="Comma 43 2 4 2 2 3" xfId="14965" xr:uid="{00000000-0005-0000-0000-0000F9250000}"/>
    <cellStyle name="Comma 43 2 4 2 2_TOM TAT" xfId="21877" xr:uid="{00000000-0005-0000-0000-0000FA250000}"/>
    <cellStyle name="Comma 43 2 4 2 3" xfId="29452" xr:uid="{00000000-0005-0000-0000-0000FB250000}"/>
    <cellStyle name="Comma 43 2 4 2 4" xfId="14964" xr:uid="{00000000-0005-0000-0000-0000FC250000}"/>
    <cellStyle name="Comma 43 2 4 2_TOM TAT" xfId="21876" xr:uid="{00000000-0005-0000-0000-0000FD250000}"/>
    <cellStyle name="Comma 43 2 4 3" xfId="8790" xr:uid="{00000000-0005-0000-0000-0000FE250000}"/>
    <cellStyle name="Comma 43 2 4 3 2" xfId="29454" xr:uid="{00000000-0005-0000-0000-0000FF250000}"/>
    <cellStyle name="Comma 43 2 4 3 3" xfId="14966" xr:uid="{00000000-0005-0000-0000-000000260000}"/>
    <cellStyle name="Comma 43 2 4 3_TOM TAT" xfId="21878" xr:uid="{00000000-0005-0000-0000-000001260000}"/>
    <cellStyle name="Comma 43 2 4 4" xfId="29451" xr:uid="{00000000-0005-0000-0000-000002260000}"/>
    <cellStyle name="Comma 43 2 4 5" xfId="14963" xr:uid="{00000000-0005-0000-0000-000003260000}"/>
    <cellStyle name="Comma 43 2 4_TOM TAT" xfId="21875" xr:uid="{00000000-0005-0000-0000-000004260000}"/>
    <cellStyle name="Comma 43 2 5" xfId="8791" xr:uid="{00000000-0005-0000-0000-000005260000}"/>
    <cellStyle name="Comma 43 2 5 2" xfId="8792" xr:uid="{00000000-0005-0000-0000-000006260000}"/>
    <cellStyle name="Comma 43 2 5 2 2" xfId="29456" xr:uid="{00000000-0005-0000-0000-000007260000}"/>
    <cellStyle name="Comma 43 2 5 2 3" xfId="14968" xr:uid="{00000000-0005-0000-0000-000008260000}"/>
    <cellStyle name="Comma 43 2 5 2_TOM TAT" xfId="21880" xr:uid="{00000000-0005-0000-0000-000009260000}"/>
    <cellStyle name="Comma 43 2 5 3" xfId="29455" xr:uid="{00000000-0005-0000-0000-00000A260000}"/>
    <cellStyle name="Comma 43 2 5 4" xfId="14967" xr:uid="{00000000-0005-0000-0000-00000B260000}"/>
    <cellStyle name="Comma 43 2 5_TOM TAT" xfId="21879" xr:uid="{00000000-0005-0000-0000-00000C260000}"/>
    <cellStyle name="Comma 43 2 6" xfId="8793" xr:uid="{00000000-0005-0000-0000-00000D260000}"/>
    <cellStyle name="Comma 43 2 6 2" xfId="29457" xr:uid="{00000000-0005-0000-0000-00000E260000}"/>
    <cellStyle name="Comma 43 2 6 3" xfId="14969" xr:uid="{00000000-0005-0000-0000-00000F260000}"/>
    <cellStyle name="Comma 43 2 6_TOM TAT" xfId="21881" xr:uid="{00000000-0005-0000-0000-000010260000}"/>
    <cellStyle name="Comma 43 2 7" xfId="18662" xr:uid="{00000000-0005-0000-0000-000011260000}"/>
    <cellStyle name="Comma 43 2 7 2" xfId="31782" xr:uid="{00000000-0005-0000-0000-000012260000}"/>
    <cellStyle name="Comma 43 2 7_TOM TAT" xfId="21882" xr:uid="{00000000-0005-0000-0000-000013260000}"/>
    <cellStyle name="Comma 43 2 8" xfId="29430" xr:uid="{00000000-0005-0000-0000-000014260000}"/>
    <cellStyle name="Comma 43 2 9" xfId="14942" xr:uid="{00000000-0005-0000-0000-000015260000}"/>
    <cellStyle name="Comma 43 2_TOM TAT" xfId="21854" xr:uid="{00000000-0005-0000-0000-000016260000}"/>
    <cellStyle name="Comma 43 3" xfId="8794" xr:uid="{00000000-0005-0000-0000-000017260000}"/>
    <cellStyle name="Comma 43 3 2" xfId="8795" xr:uid="{00000000-0005-0000-0000-000018260000}"/>
    <cellStyle name="Comma 43 3 2 2" xfId="8796" xr:uid="{00000000-0005-0000-0000-000019260000}"/>
    <cellStyle name="Comma 43 3 2 2 2" xfId="8797" xr:uid="{00000000-0005-0000-0000-00001A260000}"/>
    <cellStyle name="Comma 43 3 2 2 2 2" xfId="29461" xr:uid="{00000000-0005-0000-0000-00001B260000}"/>
    <cellStyle name="Comma 43 3 2 2 2 3" xfId="14973" xr:uid="{00000000-0005-0000-0000-00001C260000}"/>
    <cellStyle name="Comma 43 3 2 2 2_TOM TAT" xfId="21886" xr:uid="{00000000-0005-0000-0000-00001D260000}"/>
    <cellStyle name="Comma 43 3 2 2 3" xfId="29460" xr:uid="{00000000-0005-0000-0000-00001E260000}"/>
    <cellStyle name="Comma 43 3 2 2 4" xfId="14972" xr:uid="{00000000-0005-0000-0000-00001F260000}"/>
    <cellStyle name="Comma 43 3 2 2_TOM TAT" xfId="21885" xr:uid="{00000000-0005-0000-0000-000020260000}"/>
    <cellStyle name="Comma 43 3 2 3" xfId="8798" xr:uid="{00000000-0005-0000-0000-000021260000}"/>
    <cellStyle name="Comma 43 3 2 3 2" xfId="29462" xr:uid="{00000000-0005-0000-0000-000022260000}"/>
    <cellStyle name="Comma 43 3 2 3 3" xfId="14974" xr:uid="{00000000-0005-0000-0000-000023260000}"/>
    <cellStyle name="Comma 43 3 2 3_TOM TAT" xfId="21887" xr:uid="{00000000-0005-0000-0000-000024260000}"/>
    <cellStyle name="Comma 43 3 2 4" xfId="29459" xr:uid="{00000000-0005-0000-0000-000025260000}"/>
    <cellStyle name="Comma 43 3 2 5" xfId="14971" xr:uid="{00000000-0005-0000-0000-000026260000}"/>
    <cellStyle name="Comma 43 3 2_TOM TAT" xfId="21884" xr:uid="{00000000-0005-0000-0000-000027260000}"/>
    <cellStyle name="Comma 43 3 3" xfId="8799" xr:uid="{00000000-0005-0000-0000-000028260000}"/>
    <cellStyle name="Comma 43 3 3 2" xfId="8800" xr:uid="{00000000-0005-0000-0000-000029260000}"/>
    <cellStyle name="Comma 43 3 3 2 2" xfId="8801" xr:uid="{00000000-0005-0000-0000-00002A260000}"/>
    <cellStyle name="Comma 43 3 3 2 2 2" xfId="29465" xr:uid="{00000000-0005-0000-0000-00002B260000}"/>
    <cellStyle name="Comma 43 3 3 2 2 3" xfId="14977" xr:uid="{00000000-0005-0000-0000-00002C260000}"/>
    <cellStyle name="Comma 43 3 3 2 2_TOM TAT" xfId="21890" xr:uid="{00000000-0005-0000-0000-00002D260000}"/>
    <cellStyle name="Comma 43 3 3 2 3" xfId="29464" xr:uid="{00000000-0005-0000-0000-00002E260000}"/>
    <cellStyle name="Comma 43 3 3 2 4" xfId="14976" xr:uid="{00000000-0005-0000-0000-00002F260000}"/>
    <cellStyle name="Comma 43 3 3 2_TOM TAT" xfId="21889" xr:uid="{00000000-0005-0000-0000-000030260000}"/>
    <cellStyle name="Comma 43 3 3 3" xfId="8802" xr:uid="{00000000-0005-0000-0000-000031260000}"/>
    <cellStyle name="Comma 43 3 3 3 2" xfId="29466" xr:uid="{00000000-0005-0000-0000-000032260000}"/>
    <cellStyle name="Comma 43 3 3 3 3" xfId="14978" xr:uid="{00000000-0005-0000-0000-000033260000}"/>
    <cellStyle name="Comma 43 3 3 3_TOM TAT" xfId="21891" xr:uid="{00000000-0005-0000-0000-000034260000}"/>
    <cellStyle name="Comma 43 3 3 4" xfId="29463" xr:uid="{00000000-0005-0000-0000-000035260000}"/>
    <cellStyle name="Comma 43 3 3 5" xfId="14975" xr:uid="{00000000-0005-0000-0000-000036260000}"/>
    <cellStyle name="Comma 43 3 3_TOM TAT" xfId="21888" xr:uid="{00000000-0005-0000-0000-000037260000}"/>
    <cellStyle name="Comma 43 3 4" xfId="8803" xr:uid="{00000000-0005-0000-0000-000038260000}"/>
    <cellStyle name="Comma 43 3 4 2" xfId="8804" xr:uid="{00000000-0005-0000-0000-000039260000}"/>
    <cellStyle name="Comma 43 3 4 2 2" xfId="29468" xr:uid="{00000000-0005-0000-0000-00003A260000}"/>
    <cellStyle name="Comma 43 3 4 2 3" xfId="14980" xr:uid="{00000000-0005-0000-0000-00003B260000}"/>
    <cellStyle name="Comma 43 3 4 2_TOM TAT" xfId="21893" xr:uid="{00000000-0005-0000-0000-00003C260000}"/>
    <cellStyle name="Comma 43 3 4 3" xfId="29467" xr:uid="{00000000-0005-0000-0000-00003D260000}"/>
    <cellStyle name="Comma 43 3 4 4" xfId="14979" xr:uid="{00000000-0005-0000-0000-00003E260000}"/>
    <cellStyle name="Comma 43 3 4_TOM TAT" xfId="21892" xr:uid="{00000000-0005-0000-0000-00003F260000}"/>
    <cellStyle name="Comma 43 3 5" xfId="8805" xr:uid="{00000000-0005-0000-0000-000040260000}"/>
    <cellStyle name="Comma 43 3 5 2" xfId="29469" xr:uid="{00000000-0005-0000-0000-000041260000}"/>
    <cellStyle name="Comma 43 3 5 3" xfId="14981" xr:uid="{00000000-0005-0000-0000-000042260000}"/>
    <cellStyle name="Comma 43 3 5_TOM TAT" xfId="21894" xr:uid="{00000000-0005-0000-0000-000043260000}"/>
    <cellStyle name="Comma 43 3 6" xfId="29458" xr:uid="{00000000-0005-0000-0000-000044260000}"/>
    <cellStyle name="Comma 43 3 7" xfId="14970" xr:uid="{00000000-0005-0000-0000-000045260000}"/>
    <cellStyle name="Comma 43 3_TOM TAT" xfId="21883" xr:uid="{00000000-0005-0000-0000-000046260000}"/>
    <cellStyle name="Comma 43 4" xfId="8806" xr:uid="{00000000-0005-0000-0000-000047260000}"/>
    <cellStyle name="Comma 43 4 2" xfId="8807" xr:uid="{00000000-0005-0000-0000-000048260000}"/>
    <cellStyle name="Comma 43 4 2 2" xfId="8808" xr:uid="{00000000-0005-0000-0000-000049260000}"/>
    <cellStyle name="Comma 43 4 2 2 2" xfId="8809" xr:uid="{00000000-0005-0000-0000-00004A260000}"/>
    <cellStyle name="Comma 43 4 2 2 2 2" xfId="29473" xr:uid="{00000000-0005-0000-0000-00004B260000}"/>
    <cellStyle name="Comma 43 4 2 2 2 3" xfId="14985" xr:uid="{00000000-0005-0000-0000-00004C260000}"/>
    <cellStyle name="Comma 43 4 2 2 2_TOM TAT" xfId="21898" xr:uid="{00000000-0005-0000-0000-00004D260000}"/>
    <cellStyle name="Comma 43 4 2 2 3" xfId="29472" xr:uid="{00000000-0005-0000-0000-00004E260000}"/>
    <cellStyle name="Comma 43 4 2 2 4" xfId="14984" xr:uid="{00000000-0005-0000-0000-00004F260000}"/>
    <cellStyle name="Comma 43 4 2 2_TOM TAT" xfId="21897" xr:uid="{00000000-0005-0000-0000-000050260000}"/>
    <cellStyle name="Comma 43 4 2 3" xfId="8810" xr:uid="{00000000-0005-0000-0000-000051260000}"/>
    <cellStyle name="Comma 43 4 2 3 2" xfId="29474" xr:uid="{00000000-0005-0000-0000-000052260000}"/>
    <cellStyle name="Comma 43 4 2 3 3" xfId="14986" xr:uid="{00000000-0005-0000-0000-000053260000}"/>
    <cellStyle name="Comma 43 4 2 3_TOM TAT" xfId="21899" xr:uid="{00000000-0005-0000-0000-000054260000}"/>
    <cellStyle name="Comma 43 4 2 4" xfId="29471" xr:uid="{00000000-0005-0000-0000-000055260000}"/>
    <cellStyle name="Comma 43 4 2 5" xfId="14983" xr:uid="{00000000-0005-0000-0000-000056260000}"/>
    <cellStyle name="Comma 43 4 2_TOM TAT" xfId="21896" xr:uid="{00000000-0005-0000-0000-000057260000}"/>
    <cellStyle name="Comma 43 4 3" xfId="8811" xr:uid="{00000000-0005-0000-0000-000058260000}"/>
    <cellStyle name="Comma 43 4 3 2" xfId="8812" xr:uid="{00000000-0005-0000-0000-000059260000}"/>
    <cellStyle name="Comma 43 4 3 2 2" xfId="29476" xr:uid="{00000000-0005-0000-0000-00005A260000}"/>
    <cellStyle name="Comma 43 4 3 2 3" xfId="14988" xr:uid="{00000000-0005-0000-0000-00005B260000}"/>
    <cellStyle name="Comma 43 4 3 2_TOM TAT" xfId="21901" xr:uid="{00000000-0005-0000-0000-00005C260000}"/>
    <cellStyle name="Comma 43 4 3 3" xfId="29475" xr:uid="{00000000-0005-0000-0000-00005D260000}"/>
    <cellStyle name="Comma 43 4 3 4" xfId="14987" xr:uid="{00000000-0005-0000-0000-00005E260000}"/>
    <cellStyle name="Comma 43 4 3_TOM TAT" xfId="21900" xr:uid="{00000000-0005-0000-0000-00005F260000}"/>
    <cellStyle name="Comma 43 4 4" xfId="8813" xr:uid="{00000000-0005-0000-0000-000060260000}"/>
    <cellStyle name="Comma 43 4 4 2" xfId="29477" xr:uid="{00000000-0005-0000-0000-000061260000}"/>
    <cellStyle name="Comma 43 4 4 3" xfId="14989" xr:uid="{00000000-0005-0000-0000-000062260000}"/>
    <cellStyle name="Comma 43 4 4_TOM TAT" xfId="21902" xr:uid="{00000000-0005-0000-0000-000063260000}"/>
    <cellStyle name="Comma 43 4 5" xfId="29470" xr:uid="{00000000-0005-0000-0000-000064260000}"/>
    <cellStyle name="Comma 43 4 6" xfId="14982" xr:uid="{00000000-0005-0000-0000-000065260000}"/>
    <cellStyle name="Comma 43 4_TOM TAT" xfId="21895" xr:uid="{00000000-0005-0000-0000-000066260000}"/>
    <cellStyle name="Comma 43 5" xfId="8814" xr:uid="{00000000-0005-0000-0000-000067260000}"/>
    <cellStyle name="Comma 43 5 2" xfId="8815" xr:uid="{00000000-0005-0000-0000-000068260000}"/>
    <cellStyle name="Comma 43 5 2 2" xfId="8816" xr:uid="{00000000-0005-0000-0000-000069260000}"/>
    <cellStyle name="Comma 43 5 2 2 2" xfId="29480" xr:uid="{00000000-0005-0000-0000-00006A260000}"/>
    <cellStyle name="Comma 43 5 2 2 3" xfId="14992" xr:uid="{00000000-0005-0000-0000-00006B260000}"/>
    <cellStyle name="Comma 43 5 2 2_TOM TAT" xfId="21905" xr:uid="{00000000-0005-0000-0000-00006C260000}"/>
    <cellStyle name="Comma 43 5 2 3" xfId="29479" xr:uid="{00000000-0005-0000-0000-00006D260000}"/>
    <cellStyle name="Comma 43 5 2 4" xfId="14991" xr:uid="{00000000-0005-0000-0000-00006E260000}"/>
    <cellStyle name="Comma 43 5 2_TOM TAT" xfId="21904" xr:uid="{00000000-0005-0000-0000-00006F260000}"/>
    <cellStyle name="Comma 43 5 3" xfId="8817" xr:uid="{00000000-0005-0000-0000-000070260000}"/>
    <cellStyle name="Comma 43 5 3 2" xfId="29481" xr:uid="{00000000-0005-0000-0000-000071260000}"/>
    <cellStyle name="Comma 43 5 3 3" xfId="14993" xr:uid="{00000000-0005-0000-0000-000072260000}"/>
    <cellStyle name="Comma 43 5 3_TOM TAT" xfId="21906" xr:uid="{00000000-0005-0000-0000-000073260000}"/>
    <cellStyle name="Comma 43 5 4" xfId="29478" xr:uid="{00000000-0005-0000-0000-000074260000}"/>
    <cellStyle name="Comma 43 5 5" xfId="14990" xr:uid="{00000000-0005-0000-0000-000075260000}"/>
    <cellStyle name="Comma 43 5_TOM TAT" xfId="21903" xr:uid="{00000000-0005-0000-0000-000076260000}"/>
    <cellStyle name="Comma 43 6" xfId="8818" xr:uid="{00000000-0005-0000-0000-000077260000}"/>
    <cellStyle name="Comma 43 6 2" xfId="8819" xr:uid="{00000000-0005-0000-0000-000078260000}"/>
    <cellStyle name="Comma 43 6 2 2" xfId="29483" xr:uid="{00000000-0005-0000-0000-000079260000}"/>
    <cellStyle name="Comma 43 6 2 3" xfId="14995" xr:uid="{00000000-0005-0000-0000-00007A260000}"/>
    <cellStyle name="Comma 43 6 2_TOM TAT" xfId="21908" xr:uid="{00000000-0005-0000-0000-00007B260000}"/>
    <cellStyle name="Comma 43 6 3" xfId="29482" xr:uid="{00000000-0005-0000-0000-00007C260000}"/>
    <cellStyle name="Comma 43 6 4" xfId="14994" xr:uid="{00000000-0005-0000-0000-00007D260000}"/>
    <cellStyle name="Comma 43 6_TOM TAT" xfId="21907" xr:uid="{00000000-0005-0000-0000-00007E260000}"/>
    <cellStyle name="Comma 43 7" xfId="8820" xr:uid="{00000000-0005-0000-0000-00007F260000}"/>
    <cellStyle name="Comma 43 7 2" xfId="29484" xr:uid="{00000000-0005-0000-0000-000080260000}"/>
    <cellStyle name="Comma 43 7 3" xfId="14996" xr:uid="{00000000-0005-0000-0000-000081260000}"/>
    <cellStyle name="Comma 43 7_TOM TAT" xfId="21909" xr:uid="{00000000-0005-0000-0000-000082260000}"/>
    <cellStyle name="Comma 43 8" xfId="18591" xr:uid="{00000000-0005-0000-0000-000083260000}"/>
    <cellStyle name="Comma 43 8 2" xfId="31758" xr:uid="{00000000-0005-0000-0000-000084260000}"/>
    <cellStyle name="Comma 43 8_TOM TAT" xfId="21910" xr:uid="{00000000-0005-0000-0000-000085260000}"/>
    <cellStyle name="Comma 43_TOM TAT" xfId="21853" xr:uid="{00000000-0005-0000-0000-000086260000}"/>
    <cellStyle name="Comma 44" xfId="3274" xr:uid="{00000000-0005-0000-0000-000087260000}"/>
    <cellStyle name="Comma 44 10" xfId="8821" xr:uid="{00000000-0005-0000-0000-000088260000}"/>
    <cellStyle name="Comma 44 10 2" xfId="8822" xr:uid="{00000000-0005-0000-0000-000089260000}"/>
    <cellStyle name="Comma 44 10 2 2" xfId="29486" xr:uid="{00000000-0005-0000-0000-00008A260000}"/>
    <cellStyle name="Comma 44 10 2 3" xfId="14998" xr:uid="{00000000-0005-0000-0000-00008B260000}"/>
    <cellStyle name="Comma 44 10 2_TOM TAT" xfId="21913" xr:uid="{00000000-0005-0000-0000-00008C260000}"/>
    <cellStyle name="Comma 44 10 3" xfId="29485" xr:uid="{00000000-0005-0000-0000-00008D260000}"/>
    <cellStyle name="Comma 44 10 4" xfId="14997" xr:uid="{00000000-0005-0000-0000-00008E260000}"/>
    <cellStyle name="Comma 44 10_TOM TAT" xfId="21912" xr:uid="{00000000-0005-0000-0000-00008F260000}"/>
    <cellStyle name="Comma 44 11" xfId="8823" xr:uid="{00000000-0005-0000-0000-000090260000}"/>
    <cellStyle name="Comma 44 11 2" xfId="29487" xr:uid="{00000000-0005-0000-0000-000091260000}"/>
    <cellStyle name="Comma 44 11 3" xfId="14999" xr:uid="{00000000-0005-0000-0000-000092260000}"/>
    <cellStyle name="Comma 44 11_TOM TAT" xfId="21914" xr:uid="{00000000-0005-0000-0000-000093260000}"/>
    <cellStyle name="Comma 44 12" xfId="18594" xr:uid="{00000000-0005-0000-0000-000094260000}"/>
    <cellStyle name="Comma 44 12 2" xfId="31761" xr:uid="{00000000-0005-0000-0000-000095260000}"/>
    <cellStyle name="Comma 44 12_TOM TAT" xfId="21915" xr:uid="{00000000-0005-0000-0000-000096260000}"/>
    <cellStyle name="Comma 44 13" xfId="28052" xr:uid="{00000000-0005-0000-0000-000097260000}"/>
    <cellStyle name="Comma 44 14" xfId="14642" xr:uid="{00000000-0005-0000-0000-000098260000}"/>
    <cellStyle name="Comma 44 2" xfId="4839" xr:uid="{00000000-0005-0000-0000-000099260000}"/>
    <cellStyle name="Comma 44 2 10" xfId="18665" xr:uid="{00000000-0005-0000-0000-00009A260000}"/>
    <cellStyle name="Comma 44 2 10 2" xfId="31785" xr:uid="{00000000-0005-0000-0000-00009B260000}"/>
    <cellStyle name="Comma 44 2 10_TOM TAT" xfId="21917" xr:uid="{00000000-0005-0000-0000-00009C260000}"/>
    <cellStyle name="Comma 44 2 11" xfId="28056" xr:uid="{00000000-0005-0000-0000-00009D260000}"/>
    <cellStyle name="Comma 44 2 12" xfId="14645" xr:uid="{00000000-0005-0000-0000-00009E260000}"/>
    <cellStyle name="Comma 44 2 2" xfId="4849" xr:uid="{00000000-0005-0000-0000-00009F260000}"/>
    <cellStyle name="Comma 44 2 2 10" xfId="14649" xr:uid="{00000000-0005-0000-0000-0000A0260000}"/>
    <cellStyle name="Comma 44 2 2 2" xfId="5374" xr:uid="{00000000-0005-0000-0000-0000A1260000}"/>
    <cellStyle name="Comma 44 2 2 2 2" xfId="8824" xr:uid="{00000000-0005-0000-0000-0000A2260000}"/>
    <cellStyle name="Comma 44 2 2 2 2 2" xfId="8825" xr:uid="{00000000-0005-0000-0000-0000A3260000}"/>
    <cellStyle name="Comma 44 2 2 2 2 2 2" xfId="8826" xr:uid="{00000000-0005-0000-0000-0000A4260000}"/>
    <cellStyle name="Comma 44 2 2 2 2 2 2 2" xfId="8827" xr:uid="{00000000-0005-0000-0000-0000A5260000}"/>
    <cellStyle name="Comma 44 2 2 2 2 2 2 2 2" xfId="29491" xr:uid="{00000000-0005-0000-0000-0000A6260000}"/>
    <cellStyle name="Comma 44 2 2 2 2 2 2 2 3" xfId="15003" xr:uid="{00000000-0005-0000-0000-0000A7260000}"/>
    <cellStyle name="Comma 44 2 2 2 2 2 2 2_TOM TAT" xfId="21923" xr:uid="{00000000-0005-0000-0000-0000A8260000}"/>
    <cellStyle name="Comma 44 2 2 2 2 2 2 3" xfId="29490" xr:uid="{00000000-0005-0000-0000-0000A9260000}"/>
    <cellStyle name="Comma 44 2 2 2 2 2 2 4" xfId="15002" xr:uid="{00000000-0005-0000-0000-0000AA260000}"/>
    <cellStyle name="Comma 44 2 2 2 2 2 2_TOM TAT" xfId="21922" xr:uid="{00000000-0005-0000-0000-0000AB260000}"/>
    <cellStyle name="Comma 44 2 2 2 2 2 3" xfId="8828" xr:uid="{00000000-0005-0000-0000-0000AC260000}"/>
    <cellStyle name="Comma 44 2 2 2 2 2 3 2" xfId="29492" xr:uid="{00000000-0005-0000-0000-0000AD260000}"/>
    <cellStyle name="Comma 44 2 2 2 2 2 3 3" xfId="15004" xr:uid="{00000000-0005-0000-0000-0000AE260000}"/>
    <cellStyle name="Comma 44 2 2 2 2 2 3_TOM TAT" xfId="21924" xr:uid="{00000000-0005-0000-0000-0000AF260000}"/>
    <cellStyle name="Comma 44 2 2 2 2 2 4" xfId="29489" xr:uid="{00000000-0005-0000-0000-0000B0260000}"/>
    <cellStyle name="Comma 44 2 2 2 2 2 5" xfId="15001" xr:uid="{00000000-0005-0000-0000-0000B1260000}"/>
    <cellStyle name="Comma 44 2 2 2 2 2_TOM TAT" xfId="21921" xr:uid="{00000000-0005-0000-0000-0000B2260000}"/>
    <cellStyle name="Comma 44 2 2 2 2 3" xfId="8829" xr:uid="{00000000-0005-0000-0000-0000B3260000}"/>
    <cellStyle name="Comma 44 2 2 2 2 3 2" xfId="8830" xr:uid="{00000000-0005-0000-0000-0000B4260000}"/>
    <cellStyle name="Comma 44 2 2 2 2 3 2 2" xfId="8831" xr:uid="{00000000-0005-0000-0000-0000B5260000}"/>
    <cellStyle name="Comma 44 2 2 2 2 3 2 2 2" xfId="29495" xr:uid="{00000000-0005-0000-0000-0000B6260000}"/>
    <cellStyle name="Comma 44 2 2 2 2 3 2 2 3" xfId="15007" xr:uid="{00000000-0005-0000-0000-0000B7260000}"/>
    <cellStyle name="Comma 44 2 2 2 2 3 2 2_TOM TAT" xfId="21927" xr:uid="{00000000-0005-0000-0000-0000B8260000}"/>
    <cellStyle name="Comma 44 2 2 2 2 3 2 3" xfId="29494" xr:uid="{00000000-0005-0000-0000-0000B9260000}"/>
    <cellStyle name="Comma 44 2 2 2 2 3 2 4" xfId="15006" xr:uid="{00000000-0005-0000-0000-0000BA260000}"/>
    <cellStyle name="Comma 44 2 2 2 2 3 2_TOM TAT" xfId="21926" xr:uid="{00000000-0005-0000-0000-0000BB260000}"/>
    <cellStyle name="Comma 44 2 2 2 2 3 3" xfId="8832" xr:uid="{00000000-0005-0000-0000-0000BC260000}"/>
    <cellStyle name="Comma 44 2 2 2 2 3 3 2" xfId="29496" xr:uid="{00000000-0005-0000-0000-0000BD260000}"/>
    <cellStyle name="Comma 44 2 2 2 2 3 3 3" xfId="15008" xr:uid="{00000000-0005-0000-0000-0000BE260000}"/>
    <cellStyle name="Comma 44 2 2 2 2 3 3_TOM TAT" xfId="21928" xr:uid="{00000000-0005-0000-0000-0000BF260000}"/>
    <cellStyle name="Comma 44 2 2 2 2 3 4" xfId="29493" xr:uid="{00000000-0005-0000-0000-0000C0260000}"/>
    <cellStyle name="Comma 44 2 2 2 2 3 5" xfId="15005" xr:uid="{00000000-0005-0000-0000-0000C1260000}"/>
    <cellStyle name="Comma 44 2 2 2 2 3_TOM TAT" xfId="21925" xr:uid="{00000000-0005-0000-0000-0000C2260000}"/>
    <cellStyle name="Comma 44 2 2 2 2 4" xfId="8833" xr:uid="{00000000-0005-0000-0000-0000C3260000}"/>
    <cellStyle name="Comma 44 2 2 2 2 4 2" xfId="8834" xr:uid="{00000000-0005-0000-0000-0000C4260000}"/>
    <cellStyle name="Comma 44 2 2 2 2 4 2 2" xfId="29498" xr:uid="{00000000-0005-0000-0000-0000C5260000}"/>
    <cellStyle name="Comma 44 2 2 2 2 4 2 3" xfId="15010" xr:uid="{00000000-0005-0000-0000-0000C6260000}"/>
    <cellStyle name="Comma 44 2 2 2 2 4 2_TOM TAT" xfId="21930" xr:uid="{00000000-0005-0000-0000-0000C7260000}"/>
    <cellStyle name="Comma 44 2 2 2 2 4 3" xfId="29497" xr:uid="{00000000-0005-0000-0000-0000C8260000}"/>
    <cellStyle name="Comma 44 2 2 2 2 4 4" xfId="15009" xr:uid="{00000000-0005-0000-0000-0000C9260000}"/>
    <cellStyle name="Comma 44 2 2 2 2 4_TOM TAT" xfId="21929" xr:uid="{00000000-0005-0000-0000-0000CA260000}"/>
    <cellStyle name="Comma 44 2 2 2 2 5" xfId="8835" xr:uid="{00000000-0005-0000-0000-0000CB260000}"/>
    <cellStyle name="Comma 44 2 2 2 2 5 2" xfId="29499" xr:uid="{00000000-0005-0000-0000-0000CC260000}"/>
    <cellStyle name="Comma 44 2 2 2 2 5 3" xfId="15011" xr:uid="{00000000-0005-0000-0000-0000CD260000}"/>
    <cellStyle name="Comma 44 2 2 2 2 5_TOM TAT" xfId="21931" xr:uid="{00000000-0005-0000-0000-0000CE260000}"/>
    <cellStyle name="Comma 44 2 2 2 2 6" xfId="29488" xr:uid="{00000000-0005-0000-0000-0000CF260000}"/>
    <cellStyle name="Comma 44 2 2 2 2 7" xfId="15000" xr:uid="{00000000-0005-0000-0000-0000D0260000}"/>
    <cellStyle name="Comma 44 2 2 2 2_TOM TAT" xfId="21920" xr:uid="{00000000-0005-0000-0000-0000D1260000}"/>
    <cellStyle name="Comma 44 2 2 2 3" xfId="8836" xr:uid="{00000000-0005-0000-0000-0000D2260000}"/>
    <cellStyle name="Comma 44 2 2 2 3 2" xfId="8837" xr:uid="{00000000-0005-0000-0000-0000D3260000}"/>
    <cellStyle name="Comma 44 2 2 2 3 2 2" xfId="8838" xr:uid="{00000000-0005-0000-0000-0000D4260000}"/>
    <cellStyle name="Comma 44 2 2 2 3 2 2 2" xfId="29502" xr:uid="{00000000-0005-0000-0000-0000D5260000}"/>
    <cellStyle name="Comma 44 2 2 2 3 2 2 3" xfId="15014" xr:uid="{00000000-0005-0000-0000-0000D6260000}"/>
    <cellStyle name="Comma 44 2 2 2 3 2 2_TOM TAT" xfId="21934" xr:uid="{00000000-0005-0000-0000-0000D7260000}"/>
    <cellStyle name="Comma 44 2 2 2 3 2 3" xfId="29501" xr:uid="{00000000-0005-0000-0000-0000D8260000}"/>
    <cellStyle name="Comma 44 2 2 2 3 2 4" xfId="15013" xr:uid="{00000000-0005-0000-0000-0000D9260000}"/>
    <cellStyle name="Comma 44 2 2 2 3 2_TOM TAT" xfId="21933" xr:uid="{00000000-0005-0000-0000-0000DA260000}"/>
    <cellStyle name="Comma 44 2 2 2 3 3" xfId="8839" xr:uid="{00000000-0005-0000-0000-0000DB260000}"/>
    <cellStyle name="Comma 44 2 2 2 3 3 2" xfId="29503" xr:uid="{00000000-0005-0000-0000-0000DC260000}"/>
    <cellStyle name="Comma 44 2 2 2 3 3 3" xfId="15015" xr:uid="{00000000-0005-0000-0000-0000DD260000}"/>
    <cellStyle name="Comma 44 2 2 2 3 3_TOM TAT" xfId="21935" xr:uid="{00000000-0005-0000-0000-0000DE260000}"/>
    <cellStyle name="Comma 44 2 2 2 3 4" xfId="29500" xr:uid="{00000000-0005-0000-0000-0000DF260000}"/>
    <cellStyle name="Comma 44 2 2 2 3 5" xfId="15012" xr:uid="{00000000-0005-0000-0000-0000E0260000}"/>
    <cellStyle name="Comma 44 2 2 2 3_TOM TAT" xfId="21932" xr:uid="{00000000-0005-0000-0000-0000E1260000}"/>
    <cellStyle name="Comma 44 2 2 2 4" xfId="8840" xr:uid="{00000000-0005-0000-0000-0000E2260000}"/>
    <cellStyle name="Comma 44 2 2 2 4 2" xfId="8841" xr:uid="{00000000-0005-0000-0000-0000E3260000}"/>
    <cellStyle name="Comma 44 2 2 2 4 2 2" xfId="8842" xr:uid="{00000000-0005-0000-0000-0000E4260000}"/>
    <cellStyle name="Comma 44 2 2 2 4 2 2 2" xfId="29506" xr:uid="{00000000-0005-0000-0000-0000E5260000}"/>
    <cellStyle name="Comma 44 2 2 2 4 2 2 3" xfId="15018" xr:uid="{00000000-0005-0000-0000-0000E6260000}"/>
    <cellStyle name="Comma 44 2 2 2 4 2 2_TOM TAT" xfId="21938" xr:uid="{00000000-0005-0000-0000-0000E7260000}"/>
    <cellStyle name="Comma 44 2 2 2 4 2 3" xfId="29505" xr:uid="{00000000-0005-0000-0000-0000E8260000}"/>
    <cellStyle name="Comma 44 2 2 2 4 2 4" xfId="15017" xr:uid="{00000000-0005-0000-0000-0000E9260000}"/>
    <cellStyle name="Comma 44 2 2 2 4 2_TOM TAT" xfId="21937" xr:uid="{00000000-0005-0000-0000-0000EA260000}"/>
    <cellStyle name="Comma 44 2 2 2 4 3" xfId="8843" xr:uid="{00000000-0005-0000-0000-0000EB260000}"/>
    <cellStyle name="Comma 44 2 2 2 4 3 2" xfId="29507" xr:uid="{00000000-0005-0000-0000-0000EC260000}"/>
    <cellStyle name="Comma 44 2 2 2 4 3 3" xfId="15019" xr:uid="{00000000-0005-0000-0000-0000ED260000}"/>
    <cellStyle name="Comma 44 2 2 2 4 3_TOM TAT" xfId="21939" xr:uid="{00000000-0005-0000-0000-0000EE260000}"/>
    <cellStyle name="Comma 44 2 2 2 4 4" xfId="29504" xr:uid="{00000000-0005-0000-0000-0000EF260000}"/>
    <cellStyle name="Comma 44 2 2 2 4 5" xfId="15016" xr:uid="{00000000-0005-0000-0000-0000F0260000}"/>
    <cellStyle name="Comma 44 2 2 2 4_TOM TAT" xfId="21936" xr:uid="{00000000-0005-0000-0000-0000F1260000}"/>
    <cellStyle name="Comma 44 2 2 2 5" xfId="8844" xr:uid="{00000000-0005-0000-0000-0000F2260000}"/>
    <cellStyle name="Comma 44 2 2 2 5 2" xfId="8845" xr:uid="{00000000-0005-0000-0000-0000F3260000}"/>
    <cellStyle name="Comma 44 2 2 2 5 2 2" xfId="29509" xr:uid="{00000000-0005-0000-0000-0000F4260000}"/>
    <cellStyle name="Comma 44 2 2 2 5 2 3" xfId="15021" xr:uid="{00000000-0005-0000-0000-0000F5260000}"/>
    <cellStyle name="Comma 44 2 2 2 5 2_TOM TAT" xfId="21941" xr:uid="{00000000-0005-0000-0000-0000F6260000}"/>
    <cellStyle name="Comma 44 2 2 2 5 3" xfId="29508" xr:uid="{00000000-0005-0000-0000-0000F7260000}"/>
    <cellStyle name="Comma 44 2 2 2 5 4" xfId="15020" xr:uid="{00000000-0005-0000-0000-0000F8260000}"/>
    <cellStyle name="Comma 44 2 2 2 5_TOM TAT" xfId="21940" xr:uid="{00000000-0005-0000-0000-0000F9260000}"/>
    <cellStyle name="Comma 44 2 2 2 6" xfId="8846" xr:uid="{00000000-0005-0000-0000-0000FA260000}"/>
    <cellStyle name="Comma 44 2 2 2 6 2" xfId="29510" xr:uid="{00000000-0005-0000-0000-0000FB260000}"/>
    <cellStyle name="Comma 44 2 2 2 6 3" xfId="15022" xr:uid="{00000000-0005-0000-0000-0000FC260000}"/>
    <cellStyle name="Comma 44 2 2 2 6_TOM TAT" xfId="21942" xr:uid="{00000000-0005-0000-0000-0000FD260000}"/>
    <cellStyle name="Comma 44 2 2 2 7" xfId="28202" xr:uid="{00000000-0005-0000-0000-0000FE260000}"/>
    <cellStyle name="Comma 44 2 2 2 8" xfId="14666" xr:uid="{00000000-0005-0000-0000-0000FF260000}"/>
    <cellStyle name="Comma 44 2 2 2_TOM TAT" xfId="21919" xr:uid="{00000000-0005-0000-0000-000000270000}"/>
    <cellStyle name="Comma 44 2 2 3" xfId="8847" xr:uid="{00000000-0005-0000-0000-000001270000}"/>
    <cellStyle name="Comma 44 2 2 3 2" xfId="8848" xr:uid="{00000000-0005-0000-0000-000002270000}"/>
    <cellStyle name="Comma 44 2 2 3 2 2" xfId="8849" xr:uid="{00000000-0005-0000-0000-000003270000}"/>
    <cellStyle name="Comma 44 2 2 3 2 2 2" xfId="8850" xr:uid="{00000000-0005-0000-0000-000004270000}"/>
    <cellStyle name="Comma 44 2 2 3 2 2 2 2" xfId="29514" xr:uid="{00000000-0005-0000-0000-000005270000}"/>
    <cellStyle name="Comma 44 2 2 3 2 2 2 3" xfId="15026" xr:uid="{00000000-0005-0000-0000-000006270000}"/>
    <cellStyle name="Comma 44 2 2 3 2 2 2_TOM TAT" xfId="21946" xr:uid="{00000000-0005-0000-0000-000007270000}"/>
    <cellStyle name="Comma 44 2 2 3 2 2 3" xfId="29513" xr:uid="{00000000-0005-0000-0000-000008270000}"/>
    <cellStyle name="Comma 44 2 2 3 2 2 4" xfId="15025" xr:uid="{00000000-0005-0000-0000-000009270000}"/>
    <cellStyle name="Comma 44 2 2 3 2 2_TOM TAT" xfId="21945" xr:uid="{00000000-0005-0000-0000-00000A270000}"/>
    <cellStyle name="Comma 44 2 2 3 2 3" xfId="8851" xr:uid="{00000000-0005-0000-0000-00000B270000}"/>
    <cellStyle name="Comma 44 2 2 3 2 3 2" xfId="29515" xr:uid="{00000000-0005-0000-0000-00000C270000}"/>
    <cellStyle name="Comma 44 2 2 3 2 3 3" xfId="15027" xr:uid="{00000000-0005-0000-0000-00000D270000}"/>
    <cellStyle name="Comma 44 2 2 3 2 3_TOM TAT" xfId="21947" xr:uid="{00000000-0005-0000-0000-00000E270000}"/>
    <cellStyle name="Comma 44 2 2 3 2 4" xfId="29512" xr:uid="{00000000-0005-0000-0000-00000F270000}"/>
    <cellStyle name="Comma 44 2 2 3 2 5" xfId="15024" xr:uid="{00000000-0005-0000-0000-000010270000}"/>
    <cellStyle name="Comma 44 2 2 3 2_TOM TAT" xfId="21944" xr:uid="{00000000-0005-0000-0000-000011270000}"/>
    <cellStyle name="Comma 44 2 2 3 3" xfId="8852" xr:uid="{00000000-0005-0000-0000-000012270000}"/>
    <cellStyle name="Comma 44 2 2 3 3 2" xfId="8853" xr:uid="{00000000-0005-0000-0000-000013270000}"/>
    <cellStyle name="Comma 44 2 2 3 3 2 2" xfId="8854" xr:uid="{00000000-0005-0000-0000-000014270000}"/>
    <cellStyle name="Comma 44 2 2 3 3 2 2 2" xfId="29518" xr:uid="{00000000-0005-0000-0000-000015270000}"/>
    <cellStyle name="Comma 44 2 2 3 3 2 2 3" xfId="15030" xr:uid="{00000000-0005-0000-0000-000016270000}"/>
    <cellStyle name="Comma 44 2 2 3 3 2 2_TOM TAT" xfId="21950" xr:uid="{00000000-0005-0000-0000-000017270000}"/>
    <cellStyle name="Comma 44 2 2 3 3 2 3" xfId="29517" xr:uid="{00000000-0005-0000-0000-000018270000}"/>
    <cellStyle name="Comma 44 2 2 3 3 2 4" xfId="15029" xr:uid="{00000000-0005-0000-0000-000019270000}"/>
    <cellStyle name="Comma 44 2 2 3 3 2_TOM TAT" xfId="21949" xr:uid="{00000000-0005-0000-0000-00001A270000}"/>
    <cellStyle name="Comma 44 2 2 3 3 3" xfId="8855" xr:uid="{00000000-0005-0000-0000-00001B270000}"/>
    <cellStyle name="Comma 44 2 2 3 3 3 2" xfId="29519" xr:uid="{00000000-0005-0000-0000-00001C270000}"/>
    <cellStyle name="Comma 44 2 2 3 3 3 3" xfId="15031" xr:uid="{00000000-0005-0000-0000-00001D270000}"/>
    <cellStyle name="Comma 44 2 2 3 3 3_TOM TAT" xfId="21951" xr:uid="{00000000-0005-0000-0000-00001E270000}"/>
    <cellStyle name="Comma 44 2 2 3 3 4" xfId="29516" xr:uid="{00000000-0005-0000-0000-00001F270000}"/>
    <cellStyle name="Comma 44 2 2 3 3 5" xfId="15028" xr:uid="{00000000-0005-0000-0000-000020270000}"/>
    <cellStyle name="Comma 44 2 2 3 3_TOM TAT" xfId="21948" xr:uid="{00000000-0005-0000-0000-000021270000}"/>
    <cellStyle name="Comma 44 2 2 3 4" xfId="8856" xr:uid="{00000000-0005-0000-0000-000022270000}"/>
    <cellStyle name="Comma 44 2 2 3 4 2" xfId="8857" xr:uid="{00000000-0005-0000-0000-000023270000}"/>
    <cellStyle name="Comma 44 2 2 3 4 2 2" xfId="29521" xr:uid="{00000000-0005-0000-0000-000024270000}"/>
    <cellStyle name="Comma 44 2 2 3 4 2 3" xfId="15033" xr:uid="{00000000-0005-0000-0000-000025270000}"/>
    <cellStyle name="Comma 44 2 2 3 4 2_TOM TAT" xfId="21953" xr:uid="{00000000-0005-0000-0000-000026270000}"/>
    <cellStyle name="Comma 44 2 2 3 4 3" xfId="29520" xr:uid="{00000000-0005-0000-0000-000027270000}"/>
    <cellStyle name="Comma 44 2 2 3 4 4" xfId="15032" xr:uid="{00000000-0005-0000-0000-000028270000}"/>
    <cellStyle name="Comma 44 2 2 3 4_TOM TAT" xfId="21952" xr:uid="{00000000-0005-0000-0000-000029270000}"/>
    <cellStyle name="Comma 44 2 2 3 5" xfId="8858" xr:uid="{00000000-0005-0000-0000-00002A270000}"/>
    <cellStyle name="Comma 44 2 2 3 5 2" xfId="29522" xr:uid="{00000000-0005-0000-0000-00002B270000}"/>
    <cellStyle name="Comma 44 2 2 3 5 3" xfId="15034" xr:uid="{00000000-0005-0000-0000-00002C270000}"/>
    <cellStyle name="Comma 44 2 2 3 5_TOM TAT" xfId="21954" xr:uid="{00000000-0005-0000-0000-00002D270000}"/>
    <cellStyle name="Comma 44 2 2 3 6" xfId="29511" xr:uid="{00000000-0005-0000-0000-00002E270000}"/>
    <cellStyle name="Comma 44 2 2 3 7" xfId="15023" xr:uid="{00000000-0005-0000-0000-00002F270000}"/>
    <cellStyle name="Comma 44 2 2 3_TOM TAT" xfId="21943" xr:uid="{00000000-0005-0000-0000-000030270000}"/>
    <cellStyle name="Comma 44 2 2 4" xfId="8859" xr:uid="{00000000-0005-0000-0000-000031270000}"/>
    <cellStyle name="Comma 44 2 2 4 2" xfId="8860" xr:uid="{00000000-0005-0000-0000-000032270000}"/>
    <cellStyle name="Comma 44 2 2 4 2 2" xfId="8861" xr:uid="{00000000-0005-0000-0000-000033270000}"/>
    <cellStyle name="Comma 44 2 2 4 2 2 2" xfId="8862" xr:uid="{00000000-0005-0000-0000-000034270000}"/>
    <cellStyle name="Comma 44 2 2 4 2 2 2 2" xfId="29526" xr:uid="{00000000-0005-0000-0000-000035270000}"/>
    <cellStyle name="Comma 44 2 2 4 2 2 2 3" xfId="15038" xr:uid="{00000000-0005-0000-0000-000036270000}"/>
    <cellStyle name="Comma 44 2 2 4 2 2 2_TOM TAT" xfId="21958" xr:uid="{00000000-0005-0000-0000-000037270000}"/>
    <cellStyle name="Comma 44 2 2 4 2 2 3" xfId="29525" xr:uid="{00000000-0005-0000-0000-000038270000}"/>
    <cellStyle name="Comma 44 2 2 4 2 2 4" xfId="15037" xr:uid="{00000000-0005-0000-0000-000039270000}"/>
    <cellStyle name="Comma 44 2 2 4 2 2_TOM TAT" xfId="21957" xr:uid="{00000000-0005-0000-0000-00003A270000}"/>
    <cellStyle name="Comma 44 2 2 4 2 3" xfId="8863" xr:uid="{00000000-0005-0000-0000-00003B270000}"/>
    <cellStyle name="Comma 44 2 2 4 2 3 2" xfId="29527" xr:uid="{00000000-0005-0000-0000-00003C270000}"/>
    <cellStyle name="Comma 44 2 2 4 2 3 3" xfId="15039" xr:uid="{00000000-0005-0000-0000-00003D270000}"/>
    <cellStyle name="Comma 44 2 2 4 2 3_TOM TAT" xfId="21959" xr:uid="{00000000-0005-0000-0000-00003E270000}"/>
    <cellStyle name="Comma 44 2 2 4 2 4" xfId="29524" xr:uid="{00000000-0005-0000-0000-00003F270000}"/>
    <cellStyle name="Comma 44 2 2 4 2 5" xfId="15036" xr:uid="{00000000-0005-0000-0000-000040270000}"/>
    <cellStyle name="Comma 44 2 2 4 2_TOM TAT" xfId="21956" xr:uid="{00000000-0005-0000-0000-000041270000}"/>
    <cellStyle name="Comma 44 2 2 4 3" xfId="8864" xr:uid="{00000000-0005-0000-0000-000042270000}"/>
    <cellStyle name="Comma 44 2 2 4 3 2" xfId="8865" xr:uid="{00000000-0005-0000-0000-000043270000}"/>
    <cellStyle name="Comma 44 2 2 4 3 2 2" xfId="8866" xr:uid="{00000000-0005-0000-0000-000044270000}"/>
    <cellStyle name="Comma 44 2 2 4 3 2 2 2" xfId="29530" xr:uid="{00000000-0005-0000-0000-000045270000}"/>
    <cellStyle name="Comma 44 2 2 4 3 2 2 3" xfId="15042" xr:uid="{00000000-0005-0000-0000-000046270000}"/>
    <cellStyle name="Comma 44 2 2 4 3 2 2_TOM TAT" xfId="21962" xr:uid="{00000000-0005-0000-0000-000047270000}"/>
    <cellStyle name="Comma 44 2 2 4 3 2 3" xfId="29529" xr:uid="{00000000-0005-0000-0000-000048270000}"/>
    <cellStyle name="Comma 44 2 2 4 3 2 4" xfId="15041" xr:uid="{00000000-0005-0000-0000-000049270000}"/>
    <cellStyle name="Comma 44 2 2 4 3 2_TOM TAT" xfId="21961" xr:uid="{00000000-0005-0000-0000-00004A270000}"/>
    <cellStyle name="Comma 44 2 2 4 3 3" xfId="8867" xr:uid="{00000000-0005-0000-0000-00004B270000}"/>
    <cellStyle name="Comma 44 2 2 4 3 3 2" xfId="29531" xr:uid="{00000000-0005-0000-0000-00004C270000}"/>
    <cellStyle name="Comma 44 2 2 4 3 3 3" xfId="15043" xr:uid="{00000000-0005-0000-0000-00004D270000}"/>
    <cellStyle name="Comma 44 2 2 4 3 3_TOM TAT" xfId="21963" xr:uid="{00000000-0005-0000-0000-00004E270000}"/>
    <cellStyle name="Comma 44 2 2 4 3 4" xfId="29528" xr:uid="{00000000-0005-0000-0000-00004F270000}"/>
    <cellStyle name="Comma 44 2 2 4 3 5" xfId="15040" xr:uid="{00000000-0005-0000-0000-000050270000}"/>
    <cellStyle name="Comma 44 2 2 4 3_TOM TAT" xfId="21960" xr:uid="{00000000-0005-0000-0000-000051270000}"/>
    <cellStyle name="Comma 44 2 2 4 4" xfId="8868" xr:uid="{00000000-0005-0000-0000-000052270000}"/>
    <cellStyle name="Comma 44 2 2 4 4 2" xfId="8869" xr:uid="{00000000-0005-0000-0000-000053270000}"/>
    <cellStyle name="Comma 44 2 2 4 4 2 2" xfId="29533" xr:uid="{00000000-0005-0000-0000-000054270000}"/>
    <cellStyle name="Comma 44 2 2 4 4 2 3" xfId="15045" xr:uid="{00000000-0005-0000-0000-000055270000}"/>
    <cellStyle name="Comma 44 2 2 4 4 2_TOM TAT" xfId="21965" xr:uid="{00000000-0005-0000-0000-000056270000}"/>
    <cellStyle name="Comma 44 2 2 4 4 3" xfId="29532" xr:uid="{00000000-0005-0000-0000-000057270000}"/>
    <cellStyle name="Comma 44 2 2 4 4 4" xfId="15044" xr:uid="{00000000-0005-0000-0000-000058270000}"/>
    <cellStyle name="Comma 44 2 2 4 4_TOM TAT" xfId="21964" xr:uid="{00000000-0005-0000-0000-000059270000}"/>
    <cellStyle name="Comma 44 2 2 4 5" xfId="8870" xr:uid="{00000000-0005-0000-0000-00005A270000}"/>
    <cellStyle name="Comma 44 2 2 4 5 2" xfId="29534" xr:uid="{00000000-0005-0000-0000-00005B270000}"/>
    <cellStyle name="Comma 44 2 2 4 5 3" xfId="15046" xr:uid="{00000000-0005-0000-0000-00005C270000}"/>
    <cellStyle name="Comma 44 2 2 4 5_TOM TAT" xfId="21966" xr:uid="{00000000-0005-0000-0000-00005D270000}"/>
    <cellStyle name="Comma 44 2 2 4 6" xfId="29523" xr:uid="{00000000-0005-0000-0000-00005E270000}"/>
    <cellStyle name="Comma 44 2 2 4 7" xfId="15035" xr:uid="{00000000-0005-0000-0000-00005F270000}"/>
    <cellStyle name="Comma 44 2 2 4_TOM TAT" xfId="21955" xr:uid="{00000000-0005-0000-0000-000060270000}"/>
    <cellStyle name="Comma 44 2 2 5" xfId="8871" xr:uid="{00000000-0005-0000-0000-000061270000}"/>
    <cellStyle name="Comma 44 2 2 5 2" xfId="8872" xr:uid="{00000000-0005-0000-0000-000062270000}"/>
    <cellStyle name="Comma 44 2 2 5 2 2" xfId="8873" xr:uid="{00000000-0005-0000-0000-000063270000}"/>
    <cellStyle name="Comma 44 2 2 5 2 2 2" xfId="29537" xr:uid="{00000000-0005-0000-0000-000064270000}"/>
    <cellStyle name="Comma 44 2 2 5 2 2 3" xfId="15049" xr:uid="{00000000-0005-0000-0000-000065270000}"/>
    <cellStyle name="Comma 44 2 2 5 2 2_TOM TAT" xfId="21969" xr:uid="{00000000-0005-0000-0000-000066270000}"/>
    <cellStyle name="Comma 44 2 2 5 2 3" xfId="29536" xr:uid="{00000000-0005-0000-0000-000067270000}"/>
    <cellStyle name="Comma 44 2 2 5 2 4" xfId="15048" xr:uid="{00000000-0005-0000-0000-000068270000}"/>
    <cellStyle name="Comma 44 2 2 5 2_TOM TAT" xfId="21968" xr:uid="{00000000-0005-0000-0000-000069270000}"/>
    <cellStyle name="Comma 44 2 2 5 3" xfId="8874" xr:uid="{00000000-0005-0000-0000-00006A270000}"/>
    <cellStyle name="Comma 44 2 2 5 3 2" xfId="29538" xr:uid="{00000000-0005-0000-0000-00006B270000}"/>
    <cellStyle name="Comma 44 2 2 5 3 3" xfId="15050" xr:uid="{00000000-0005-0000-0000-00006C270000}"/>
    <cellStyle name="Comma 44 2 2 5 3_TOM TAT" xfId="21970" xr:uid="{00000000-0005-0000-0000-00006D270000}"/>
    <cellStyle name="Comma 44 2 2 5 4" xfId="29535" xr:uid="{00000000-0005-0000-0000-00006E270000}"/>
    <cellStyle name="Comma 44 2 2 5 5" xfId="15047" xr:uid="{00000000-0005-0000-0000-00006F270000}"/>
    <cellStyle name="Comma 44 2 2 5_TOM TAT" xfId="21967" xr:uid="{00000000-0005-0000-0000-000070270000}"/>
    <cellStyle name="Comma 44 2 2 6" xfId="8875" xr:uid="{00000000-0005-0000-0000-000071270000}"/>
    <cellStyle name="Comma 44 2 2 6 2" xfId="8876" xr:uid="{00000000-0005-0000-0000-000072270000}"/>
    <cellStyle name="Comma 44 2 2 6 2 2" xfId="8877" xr:uid="{00000000-0005-0000-0000-000073270000}"/>
    <cellStyle name="Comma 44 2 2 6 2 2 2" xfId="29541" xr:uid="{00000000-0005-0000-0000-000074270000}"/>
    <cellStyle name="Comma 44 2 2 6 2 2 3" xfId="15053" xr:uid="{00000000-0005-0000-0000-000075270000}"/>
    <cellStyle name="Comma 44 2 2 6 2 2_TOM TAT" xfId="21973" xr:uid="{00000000-0005-0000-0000-000076270000}"/>
    <cellStyle name="Comma 44 2 2 6 2 3" xfId="29540" xr:uid="{00000000-0005-0000-0000-000077270000}"/>
    <cellStyle name="Comma 44 2 2 6 2 4" xfId="15052" xr:uid="{00000000-0005-0000-0000-000078270000}"/>
    <cellStyle name="Comma 44 2 2 6 2_TOM TAT" xfId="21972" xr:uid="{00000000-0005-0000-0000-000079270000}"/>
    <cellStyle name="Comma 44 2 2 6 3" xfId="8878" xr:uid="{00000000-0005-0000-0000-00007A270000}"/>
    <cellStyle name="Comma 44 2 2 6 3 2" xfId="29542" xr:uid="{00000000-0005-0000-0000-00007B270000}"/>
    <cellStyle name="Comma 44 2 2 6 3 3" xfId="15054" xr:uid="{00000000-0005-0000-0000-00007C270000}"/>
    <cellStyle name="Comma 44 2 2 6 3_TOM TAT" xfId="21974" xr:uid="{00000000-0005-0000-0000-00007D270000}"/>
    <cellStyle name="Comma 44 2 2 6 4" xfId="29539" xr:uid="{00000000-0005-0000-0000-00007E270000}"/>
    <cellStyle name="Comma 44 2 2 6 5" xfId="15051" xr:uid="{00000000-0005-0000-0000-00007F270000}"/>
    <cellStyle name="Comma 44 2 2 6_TOM TAT" xfId="21971" xr:uid="{00000000-0005-0000-0000-000080270000}"/>
    <cellStyle name="Comma 44 2 2 7" xfId="8879" xr:uid="{00000000-0005-0000-0000-000081270000}"/>
    <cellStyle name="Comma 44 2 2 7 2" xfId="8880" xr:uid="{00000000-0005-0000-0000-000082270000}"/>
    <cellStyle name="Comma 44 2 2 7 2 2" xfId="29544" xr:uid="{00000000-0005-0000-0000-000083270000}"/>
    <cellStyle name="Comma 44 2 2 7 2 3" xfId="15056" xr:uid="{00000000-0005-0000-0000-000084270000}"/>
    <cellStyle name="Comma 44 2 2 7 2_TOM TAT" xfId="21976" xr:uid="{00000000-0005-0000-0000-000085270000}"/>
    <cellStyle name="Comma 44 2 2 7 3" xfId="29543" xr:uid="{00000000-0005-0000-0000-000086270000}"/>
    <cellStyle name="Comma 44 2 2 7 4" xfId="15055" xr:uid="{00000000-0005-0000-0000-000087270000}"/>
    <cellStyle name="Comma 44 2 2 7_TOM TAT" xfId="21975" xr:uid="{00000000-0005-0000-0000-000088270000}"/>
    <cellStyle name="Comma 44 2 2 8" xfId="8881" xr:uid="{00000000-0005-0000-0000-000089270000}"/>
    <cellStyle name="Comma 44 2 2 8 2" xfId="29545" xr:uid="{00000000-0005-0000-0000-00008A270000}"/>
    <cellStyle name="Comma 44 2 2 8 3" xfId="15057" xr:uid="{00000000-0005-0000-0000-00008B270000}"/>
    <cellStyle name="Comma 44 2 2 8_TOM TAT" xfId="21977" xr:uid="{00000000-0005-0000-0000-00008C270000}"/>
    <cellStyle name="Comma 44 2 2 9" xfId="28060" xr:uid="{00000000-0005-0000-0000-00008D270000}"/>
    <cellStyle name="Comma 44 2 2_TOM TAT" xfId="21918" xr:uid="{00000000-0005-0000-0000-00008E270000}"/>
    <cellStyle name="Comma 44 2 3" xfId="4857" xr:uid="{00000000-0005-0000-0000-00008F270000}"/>
    <cellStyle name="Comma 44 2 3 2" xfId="8882" xr:uid="{00000000-0005-0000-0000-000090270000}"/>
    <cellStyle name="Comma 44 2 3 2 2" xfId="8883" xr:uid="{00000000-0005-0000-0000-000091270000}"/>
    <cellStyle name="Comma 44 2 3 2 2 2" xfId="8884" xr:uid="{00000000-0005-0000-0000-000092270000}"/>
    <cellStyle name="Comma 44 2 3 2 2 2 2" xfId="8885" xr:uid="{00000000-0005-0000-0000-000093270000}"/>
    <cellStyle name="Comma 44 2 3 2 2 2 2 2" xfId="29549" xr:uid="{00000000-0005-0000-0000-000094270000}"/>
    <cellStyle name="Comma 44 2 3 2 2 2 2 3" xfId="15061" xr:uid="{00000000-0005-0000-0000-000095270000}"/>
    <cellStyle name="Comma 44 2 3 2 2 2 2_TOM TAT" xfId="21982" xr:uid="{00000000-0005-0000-0000-000096270000}"/>
    <cellStyle name="Comma 44 2 3 2 2 2 3" xfId="29548" xr:uid="{00000000-0005-0000-0000-000097270000}"/>
    <cellStyle name="Comma 44 2 3 2 2 2 4" xfId="15060" xr:uid="{00000000-0005-0000-0000-000098270000}"/>
    <cellStyle name="Comma 44 2 3 2 2 2_TOM TAT" xfId="21981" xr:uid="{00000000-0005-0000-0000-000099270000}"/>
    <cellStyle name="Comma 44 2 3 2 2 3" xfId="8886" xr:uid="{00000000-0005-0000-0000-00009A270000}"/>
    <cellStyle name="Comma 44 2 3 2 2 3 2" xfId="29550" xr:uid="{00000000-0005-0000-0000-00009B270000}"/>
    <cellStyle name="Comma 44 2 3 2 2 3 3" xfId="15062" xr:uid="{00000000-0005-0000-0000-00009C270000}"/>
    <cellStyle name="Comma 44 2 3 2 2 3_TOM TAT" xfId="21983" xr:uid="{00000000-0005-0000-0000-00009D270000}"/>
    <cellStyle name="Comma 44 2 3 2 2 4" xfId="29547" xr:uid="{00000000-0005-0000-0000-00009E270000}"/>
    <cellStyle name="Comma 44 2 3 2 2 5" xfId="15059" xr:uid="{00000000-0005-0000-0000-00009F270000}"/>
    <cellStyle name="Comma 44 2 3 2 2_TOM TAT" xfId="21980" xr:uid="{00000000-0005-0000-0000-0000A0270000}"/>
    <cellStyle name="Comma 44 2 3 2 3" xfId="8887" xr:uid="{00000000-0005-0000-0000-0000A1270000}"/>
    <cellStyle name="Comma 44 2 3 2 3 2" xfId="8888" xr:uid="{00000000-0005-0000-0000-0000A2270000}"/>
    <cellStyle name="Comma 44 2 3 2 3 2 2" xfId="8889" xr:uid="{00000000-0005-0000-0000-0000A3270000}"/>
    <cellStyle name="Comma 44 2 3 2 3 2 2 2" xfId="29553" xr:uid="{00000000-0005-0000-0000-0000A4270000}"/>
    <cellStyle name="Comma 44 2 3 2 3 2 2 3" xfId="15065" xr:uid="{00000000-0005-0000-0000-0000A5270000}"/>
    <cellStyle name="Comma 44 2 3 2 3 2 2_TOM TAT" xfId="21986" xr:uid="{00000000-0005-0000-0000-0000A6270000}"/>
    <cellStyle name="Comma 44 2 3 2 3 2 3" xfId="29552" xr:uid="{00000000-0005-0000-0000-0000A7270000}"/>
    <cellStyle name="Comma 44 2 3 2 3 2 4" xfId="15064" xr:uid="{00000000-0005-0000-0000-0000A8270000}"/>
    <cellStyle name="Comma 44 2 3 2 3 2_TOM TAT" xfId="21985" xr:uid="{00000000-0005-0000-0000-0000A9270000}"/>
    <cellStyle name="Comma 44 2 3 2 3 3" xfId="8890" xr:uid="{00000000-0005-0000-0000-0000AA270000}"/>
    <cellStyle name="Comma 44 2 3 2 3 3 2" xfId="29554" xr:uid="{00000000-0005-0000-0000-0000AB270000}"/>
    <cellStyle name="Comma 44 2 3 2 3 3 3" xfId="15066" xr:uid="{00000000-0005-0000-0000-0000AC270000}"/>
    <cellStyle name="Comma 44 2 3 2 3 3_TOM TAT" xfId="21987" xr:uid="{00000000-0005-0000-0000-0000AD270000}"/>
    <cellStyle name="Comma 44 2 3 2 3 4" xfId="29551" xr:uid="{00000000-0005-0000-0000-0000AE270000}"/>
    <cellStyle name="Comma 44 2 3 2 3 5" xfId="15063" xr:uid="{00000000-0005-0000-0000-0000AF270000}"/>
    <cellStyle name="Comma 44 2 3 2 3_TOM TAT" xfId="21984" xr:uid="{00000000-0005-0000-0000-0000B0270000}"/>
    <cellStyle name="Comma 44 2 3 2 4" xfId="8891" xr:uid="{00000000-0005-0000-0000-0000B1270000}"/>
    <cellStyle name="Comma 44 2 3 2 4 2" xfId="8892" xr:uid="{00000000-0005-0000-0000-0000B2270000}"/>
    <cellStyle name="Comma 44 2 3 2 4 2 2" xfId="29556" xr:uid="{00000000-0005-0000-0000-0000B3270000}"/>
    <cellStyle name="Comma 44 2 3 2 4 2 3" xfId="15068" xr:uid="{00000000-0005-0000-0000-0000B4270000}"/>
    <cellStyle name="Comma 44 2 3 2 4 2_TOM TAT" xfId="21989" xr:uid="{00000000-0005-0000-0000-0000B5270000}"/>
    <cellStyle name="Comma 44 2 3 2 4 3" xfId="29555" xr:uid="{00000000-0005-0000-0000-0000B6270000}"/>
    <cellStyle name="Comma 44 2 3 2 4 4" xfId="15067" xr:uid="{00000000-0005-0000-0000-0000B7270000}"/>
    <cellStyle name="Comma 44 2 3 2 4_TOM TAT" xfId="21988" xr:uid="{00000000-0005-0000-0000-0000B8270000}"/>
    <cellStyle name="Comma 44 2 3 2 5" xfId="8893" xr:uid="{00000000-0005-0000-0000-0000B9270000}"/>
    <cellStyle name="Comma 44 2 3 2 5 2" xfId="29557" xr:uid="{00000000-0005-0000-0000-0000BA270000}"/>
    <cellStyle name="Comma 44 2 3 2 5 3" xfId="15069" xr:uid="{00000000-0005-0000-0000-0000BB270000}"/>
    <cellStyle name="Comma 44 2 3 2 5_TOM TAT" xfId="21990" xr:uid="{00000000-0005-0000-0000-0000BC270000}"/>
    <cellStyle name="Comma 44 2 3 2 6" xfId="29546" xr:uid="{00000000-0005-0000-0000-0000BD270000}"/>
    <cellStyle name="Comma 44 2 3 2 7" xfId="15058" xr:uid="{00000000-0005-0000-0000-0000BE270000}"/>
    <cellStyle name="Comma 44 2 3 2_TOM TAT" xfId="21979" xr:uid="{00000000-0005-0000-0000-0000BF270000}"/>
    <cellStyle name="Comma 44 2 3 3" xfId="8894" xr:uid="{00000000-0005-0000-0000-0000C0270000}"/>
    <cellStyle name="Comma 44 2 3 3 2" xfId="8895" xr:uid="{00000000-0005-0000-0000-0000C1270000}"/>
    <cellStyle name="Comma 44 2 3 3 2 2" xfId="8896" xr:uid="{00000000-0005-0000-0000-0000C2270000}"/>
    <cellStyle name="Comma 44 2 3 3 2 2 2" xfId="29560" xr:uid="{00000000-0005-0000-0000-0000C3270000}"/>
    <cellStyle name="Comma 44 2 3 3 2 2 3" xfId="15072" xr:uid="{00000000-0005-0000-0000-0000C4270000}"/>
    <cellStyle name="Comma 44 2 3 3 2 2_TOM TAT" xfId="21993" xr:uid="{00000000-0005-0000-0000-0000C5270000}"/>
    <cellStyle name="Comma 44 2 3 3 2 3" xfId="29559" xr:uid="{00000000-0005-0000-0000-0000C6270000}"/>
    <cellStyle name="Comma 44 2 3 3 2 4" xfId="15071" xr:uid="{00000000-0005-0000-0000-0000C7270000}"/>
    <cellStyle name="Comma 44 2 3 3 2_TOM TAT" xfId="21992" xr:uid="{00000000-0005-0000-0000-0000C8270000}"/>
    <cellStyle name="Comma 44 2 3 3 3" xfId="8897" xr:uid="{00000000-0005-0000-0000-0000C9270000}"/>
    <cellStyle name="Comma 44 2 3 3 3 2" xfId="29561" xr:uid="{00000000-0005-0000-0000-0000CA270000}"/>
    <cellStyle name="Comma 44 2 3 3 3 3" xfId="15073" xr:uid="{00000000-0005-0000-0000-0000CB270000}"/>
    <cellStyle name="Comma 44 2 3 3 3_TOM TAT" xfId="21994" xr:uid="{00000000-0005-0000-0000-0000CC270000}"/>
    <cellStyle name="Comma 44 2 3 3 4" xfId="29558" xr:uid="{00000000-0005-0000-0000-0000CD270000}"/>
    <cellStyle name="Comma 44 2 3 3 5" xfId="15070" xr:uid="{00000000-0005-0000-0000-0000CE270000}"/>
    <cellStyle name="Comma 44 2 3 3_TOM TAT" xfId="21991" xr:uid="{00000000-0005-0000-0000-0000CF270000}"/>
    <cellStyle name="Comma 44 2 3 4" xfId="8898" xr:uid="{00000000-0005-0000-0000-0000D0270000}"/>
    <cellStyle name="Comma 44 2 3 4 2" xfId="8899" xr:uid="{00000000-0005-0000-0000-0000D1270000}"/>
    <cellStyle name="Comma 44 2 3 4 2 2" xfId="8900" xr:uid="{00000000-0005-0000-0000-0000D2270000}"/>
    <cellStyle name="Comma 44 2 3 4 2 2 2" xfId="29564" xr:uid="{00000000-0005-0000-0000-0000D3270000}"/>
    <cellStyle name="Comma 44 2 3 4 2 2 3" xfId="15076" xr:uid="{00000000-0005-0000-0000-0000D4270000}"/>
    <cellStyle name="Comma 44 2 3 4 2 2_TOM TAT" xfId="21997" xr:uid="{00000000-0005-0000-0000-0000D5270000}"/>
    <cellStyle name="Comma 44 2 3 4 2 3" xfId="29563" xr:uid="{00000000-0005-0000-0000-0000D6270000}"/>
    <cellStyle name="Comma 44 2 3 4 2 4" xfId="15075" xr:uid="{00000000-0005-0000-0000-0000D7270000}"/>
    <cellStyle name="Comma 44 2 3 4 2_TOM TAT" xfId="21996" xr:uid="{00000000-0005-0000-0000-0000D8270000}"/>
    <cellStyle name="Comma 44 2 3 4 3" xfId="8901" xr:uid="{00000000-0005-0000-0000-0000D9270000}"/>
    <cellStyle name="Comma 44 2 3 4 3 2" xfId="29565" xr:uid="{00000000-0005-0000-0000-0000DA270000}"/>
    <cellStyle name="Comma 44 2 3 4 3 3" xfId="15077" xr:uid="{00000000-0005-0000-0000-0000DB270000}"/>
    <cellStyle name="Comma 44 2 3 4 3_TOM TAT" xfId="21998" xr:uid="{00000000-0005-0000-0000-0000DC270000}"/>
    <cellStyle name="Comma 44 2 3 4 4" xfId="29562" xr:uid="{00000000-0005-0000-0000-0000DD270000}"/>
    <cellStyle name="Comma 44 2 3 4 5" xfId="15074" xr:uid="{00000000-0005-0000-0000-0000DE270000}"/>
    <cellStyle name="Comma 44 2 3 4_TOM TAT" xfId="21995" xr:uid="{00000000-0005-0000-0000-0000DF270000}"/>
    <cellStyle name="Comma 44 2 3 5" xfId="8902" xr:uid="{00000000-0005-0000-0000-0000E0270000}"/>
    <cellStyle name="Comma 44 2 3 5 2" xfId="8903" xr:uid="{00000000-0005-0000-0000-0000E1270000}"/>
    <cellStyle name="Comma 44 2 3 5 2 2" xfId="29567" xr:uid="{00000000-0005-0000-0000-0000E2270000}"/>
    <cellStyle name="Comma 44 2 3 5 2 3" xfId="15079" xr:uid="{00000000-0005-0000-0000-0000E3270000}"/>
    <cellStyle name="Comma 44 2 3 5 2_TOM TAT" xfId="22000" xr:uid="{00000000-0005-0000-0000-0000E4270000}"/>
    <cellStyle name="Comma 44 2 3 5 3" xfId="29566" xr:uid="{00000000-0005-0000-0000-0000E5270000}"/>
    <cellStyle name="Comma 44 2 3 5 4" xfId="15078" xr:uid="{00000000-0005-0000-0000-0000E6270000}"/>
    <cellStyle name="Comma 44 2 3 5_TOM TAT" xfId="21999" xr:uid="{00000000-0005-0000-0000-0000E7270000}"/>
    <cellStyle name="Comma 44 2 3 6" xfId="8904" xr:uid="{00000000-0005-0000-0000-0000E8270000}"/>
    <cellStyle name="Comma 44 2 3 6 2" xfId="29568" xr:uid="{00000000-0005-0000-0000-0000E9270000}"/>
    <cellStyle name="Comma 44 2 3 6 3" xfId="15080" xr:uid="{00000000-0005-0000-0000-0000EA270000}"/>
    <cellStyle name="Comma 44 2 3 6_TOM TAT" xfId="22001" xr:uid="{00000000-0005-0000-0000-0000EB270000}"/>
    <cellStyle name="Comma 44 2 3 7" xfId="28063" xr:uid="{00000000-0005-0000-0000-0000EC270000}"/>
    <cellStyle name="Comma 44 2 3 8" xfId="14652" xr:uid="{00000000-0005-0000-0000-0000ED270000}"/>
    <cellStyle name="Comma 44 2 3_TOM TAT" xfId="21978" xr:uid="{00000000-0005-0000-0000-0000EE270000}"/>
    <cellStyle name="Comma 44 2 4" xfId="5375" xr:uid="{00000000-0005-0000-0000-0000EF270000}"/>
    <cellStyle name="Comma 44 2 4 2" xfId="8905" xr:uid="{00000000-0005-0000-0000-0000F0270000}"/>
    <cellStyle name="Comma 44 2 4 2 2" xfId="8906" xr:uid="{00000000-0005-0000-0000-0000F1270000}"/>
    <cellStyle name="Comma 44 2 4 2 2 2" xfId="8907" xr:uid="{00000000-0005-0000-0000-0000F2270000}"/>
    <cellStyle name="Comma 44 2 4 2 2 2 2" xfId="29571" xr:uid="{00000000-0005-0000-0000-0000F3270000}"/>
    <cellStyle name="Comma 44 2 4 2 2 2 3" xfId="15083" xr:uid="{00000000-0005-0000-0000-0000F4270000}"/>
    <cellStyle name="Comma 44 2 4 2 2 2_TOM TAT" xfId="22005" xr:uid="{00000000-0005-0000-0000-0000F5270000}"/>
    <cellStyle name="Comma 44 2 4 2 2 3" xfId="29570" xr:uid="{00000000-0005-0000-0000-0000F6270000}"/>
    <cellStyle name="Comma 44 2 4 2 2 4" xfId="15082" xr:uid="{00000000-0005-0000-0000-0000F7270000}"/>
    <cellStyle name="Comma 44 2 4 2 2_TOM TAT" xfId="22004" xr:uid="{00000000-0005-0000-0000-0000F8270000}"/>
    <cellStyle name="Comma 44 2 4 2 3" xfId="8908" xr:uid="{00000000-0005-0000-0000-0000F9270000}"/>
    <cellStyle name="Comma 44 2 4 2 3 2" xfId="29572" xr:uid="{00000000-0005-0000-0000-0000FA270000}"/>
    <cellStyle name="Comma 44 2 4 2 3 3" xfId="15084" xr:uid="{00000000-0005-0000-0000-0000FB270000}"/>
    <cellStyle name="Comma 44 2 4 2 3_TOM TAT" xfId="22006" xr:uid="{00000000-0005-0000-0000-0000FC270000}"/>
    <cellStyle name="Comma 44 2 4 2 4" xfId="29569" xr:uid="{00000000-0005-0000-0000-0000FD270000}"/>
    <cellStyle name="Comma 44 2 4 2 5" xfId="15081" xr:uid="{00000000-0005-0000-0000-0000FE270000}"/>
    <cellStyle name="Comma 44 2 4 2_TOM TAT" xfId="22003" xr:uid="{00000000-0005-0000-0000-0000FF270000}"/>
    <cellStyle name="Comma 44 2 4 3" xfId="8909" xr:uid="{00000000-0005-0000-0000-000000280000}"/>
    <cellStyle name="Comma 44 2 4 3 2" xfId="8910" xr:uid="{00000000-0005-0000-0000-000001280000}"/>
    <cellStyle name="Comma 44 2 4 3 2 2" xfId="8911" xr:uid="{00000000-0005-0000-0000-000002280000}"/>
    <cellStyle name="Comma 44 2 4 3 2 2 2" xfId="29575" xr:uid="{00000000-0005-0000-0000-000003280000}"/>
    <cellStyle name="Comma 44 2 4 3 2 2 3" xfId="15087" xr:uid="{00000000-0005-0000-0000-000004280000}"/>
    <cellStyle name="Comma 44 2 4 3 2 2_TOM TAT" xfId="22009" xr:uid="{00000000-0005-0000-0000-000005280000}"/>
    <cellStyle name="Comma 44 2 4 3 2 3" xfId="29574" xr:uid="{00000000-0005-0000-0000-000006280000}"/>
    <cellStyle name="Comma 44 2 4 3 2 4" xfId="15086" xr:uid="{00000000-0005-0000-0000-000007280000}"/>
    <cellStyle name="Comma 44 2 4 3 2_TOM TAT" xfId="22008" xr:uid="{00000000-0005-0000-0000-000008280000}"/>
    <cellStyle name="Comma 44 2 4 3 3" xfId="8912" xr:uid="{00000000-0005-0000-0000-000009280000}"/>
    <cellStyle name="Comma 44 2 4 3 3 2" xfId="29576" xr:uid="{00000000-0005-0000-0000-00000A280000}"/>
    <cellStyle name="Comma 44 2 4 3 3 3" xfId="15088" xr:uid="{00000000-0005-0000-0000-00000B280000}"/>
    <cellStyle name="Comma 44 2 4 3 3_TOM TAT" xfId="22010" xr:uid="{00000000-0005-0000-0000-00000C280000}"/>
    <cellStyle name="Comma 44 2 4 3 4" xfId="29573" xr:uid="{00000000-0005-0000-0000-00000D280000}"/>
    <cellStyle name="Comma 44 2 4 3 5" xfId="15085" xr:uid="{00000000-0005-0000-0000-00000E280000}"/>
    <cellStyle name="Comma 44 2 4 3_TOM TAT" xfId="22007" xr:uid="{00000000-0005-0000-0000-00000F280000}"/>
    <cellStyle name="Comma 44 2 4 4" xfId="8913" xr:uid="{00000000-0005-0000-0000-000010280000}"/>
    <cellStyle name="Comma 44 2 4 4 2" xfId="8914" xr:uid="{00000000-0005-0000-0000-000011280000}"/>
    <cellStyle name="Comma 44 2 4 4 2 2" xfId="29578" xr:uid="{00000000-0005-0000-0000-000012280000}"/>
    <cellStyle name="Comma 44 2 4 4 2 3" xfId="15090" xr:uid="{00000000-0005-0000-0000-000013280000}"/>
    <cellStyle name="Comma 44 2 4 4 2_TOM TAT" xfId="22012" xr:uid="{00000000-0005-0000-0000-000014280000}"/>
    <cellStyle name="Comma 44 2 4 4 3" xfId="29577" xr:uid="{00000000-0005-0000-0000-000015280000}"/>
    <cellStyle name="Comma 44 2 4 4 4" xfId="15089" xr:uid="{00000000-0005-0000-0000-000016280000}"/>
    <cellStyle name="Comma 44 2 4 4_TOM TAT" xfId="22011" xr:uid="{00000000-0005-0000-0000-000017280000}"/>
    <cellStyle name="Comma 44 2 4 5" xfId="8915" xr:uid="{00000000-0005-0000-0000-000018280000}"/>
    <cellStyle name="Comma 44 2 4 5 2" xfId="29579" xr:uid="{00000000-0005-0000-0000-000019280000}"/>
    <cellStyle name="Comma 44 2 4 5 3" xfId="15091" xr:uid="{00000000-0005-0000-0000-00001A280000}"/>
    <cellStyle name="Comma 44 2 4 5_TOM TAT" xfId="22013" xr:uid="{00000000-0005-0000-0000-00001B280000}"/>
    <cellStyle name="Comma 44 2 4 6" xfId="28203" xr:uid="{00000000-0005-0000-0000-00001C280000}"/>
    <cellStyle name="Comma 44 2 4 7" xfId="14667" xr:uid="{00000000-0005-0000-0000-00001D280000}"/>
    <cellStyle name="Comma 44 2 4_TOM TAT" xfId="22002" xr:uid="{00000000-0005-0000-0000-00001E280000}"/>
    <cellStyle name="Comma 44 2 5" xfId="8916" xr:uid="{00000000-0005-0000-0000-00001F280000}"/>
    <cellStyle name="Comma 44 2 5 2" xfId="8917" xr:uid="{00000000-0005-0000-0000-000020280000}"/>
    <cellStyle name="Comma 44 2 5 2 2" xfId="8918" xr:uid="{00000000-0005-0000-0000-000021280000}"/>
    <cellStyle name="Comma 44 2 5 2 2 2" xfId="8919" xr:uid="{00000000-0005-0000-0000-000022280000}"/>
    <cellStyle name="Comma 44 2 5 2 2 2 2" xfId="29583" xr:uid="{00000000-0005-0000-0000-000023280000}"/>
    <cellStyle name="Comma 44 2 5 2 2 2 3" xfId="15095" xr:uid="{00000000-0005-0000-0000-000024280000}"/>
    <cellStyle name="Comma 44 2 5 2 2 2_TOM TAT" xfId="22017" xr:uid="{00000000-0005-0000-0000-000025280000}"/>
    <cellStyle name="Comma 44 2 5 2 2 3" xfId="29582" xr:uid="{00000000-0005-0000-0000-000026280000}"/>
    <cellStyle name="Comma 44 2 5 2 2 4" xfId="15094" xr:uid="{00000000-0005-0000-0000-000027280000}"/>
    <cellStyle name="Comma 44 2 5 2 2_TOM TAT" xfId="22016" xr:uid="{00000000-0005-0000-0000-000028280000}"/>
    <cellStyle name="Comma 44 2 5 2 3" xfId="8920" xr:uid="{00000000-0005-0000-0000-000029280000}"/>
    <cellStyle name="Comma 44 2 5 2 3 2" xfId="29584" xr:uid="{00000000-0005-0000-0000-00002A280000}"/>
    <cellStyle name="Comma 44 2 5 2 3 3" xfId="15096" xr:uid="{00000000-0005-0000-0000-00002B280000}"/>
    <cellStyle name="Comma 44 2 5 2 3_TOM TAT" xfId="22018" xr:uid="{00000000-0005-0000-0000-00002C280000}"/>
    <cellStyle name="Comma 44 2 5 2 4" xfId="29581" xr:uid="{00000000-0005-0000-0000-00002D280000}"/>
    <cellStyle name="Comma 44 2 5 2 5" xfId="15093" xr:uid="{00000000-0005-0000-0000-00002E280000}"/>
    <cellStyle name="Comma 44 2 5 2_TOM TAT" xfId="22015" xr:uid="{00000000-0005-0000-0000-00002F280000}"/>
    <cellStyle name="Comma 44 2 5 3" xfId="8921" xr:uid="{00000000-0005-0000-0000-000030280000}"/>
    <cellStyle name="Comma 44 2 5 3 2" xfId="8922" xr:uid="{00000000-0005-0000-0000-000031280000}"/>
    <cellStyle name="Comma 44 2 5 3 2 2" xfId="8923" xr:uid="{00000000-0005-0000-0000-000032280000}"/>
    <cellStyle name="Comma 44 2 5 3 2 2 2" xfId="29587" xr:uid="{00000000-0005-0000-0000-000033280000}"/>
    <cellStyle name="Comma 44 2 5 3 2 2 3" xfId="15099" xr:uid="{00000000-0005-0000-0000-000034280000}"/>
    <cellStyle name="Comma 44 2 5 3 2 2_TOM TAT" xfId="22021" xr:uid="{00000000-0005-0000-0000-000035280000}"/>
    <cellStyle name="Comma 44 2 5 3 2 3" xfId="29586" xr:uid="{00000000-0005-0000-0000-000036280000}"/>
    <cellStyle name="Comma 44 2 5 3 2 4" xfId="15098" xr:uid="{00000000-0005-0000-0000-000037280000}"/>
    <cellStyle name="Comma 44 2 5 3 2_TOM TAT" xfId="22020" xr:uid="{00000000-0005-0000-0000-000038280000}"/>
    <cellStyle name="Comma 44 2 5 3 3" xfId="8924" xr:uid="{00000000-0005-0000-0000-000039280000}"/>
    <cellStyle name="Comma 44 2 5 3 3 2" xfId="29588" xr:uid="{00000000-0005-0000-0000-00003A280000}"/>
    <cellStyle name="Comma 44 2 5 3 3 3" xfId="15100" xr:uid="{00000000-0005-0000-0000-00003B280000}"/>
    <cellStyle name="Comma 44 2 5 3 3_TOM TAT" xfId="22022" xr:uid="{00000000-0005-0000-0000-00003C280000}"/>
    <cellStyle name="Comma 44 2 5 3 4" xfId="29585" xr:uid="{00000000-0005-0000-0000-00003D280000}"/>
    <cellStyle name="Comma 44 2 5 3 5" xfId="15097" xr:uid="{00000000-0005-0000-0000-00003E280000}"/>
    <cellStyle name="Comma 44 2 5 3_TOM TAT" xfId="22019" xr:uid="{00000000-0005-0000-0000-00003F280000}"/>
    <cellStyle name="Comma 44 2 5 4" xfId="8925" xr:uid="{00000000-0005-0000-0000-000040280000}"/>
    <cellStyle name="Comma 44 2 5 4 2" xfId="8926" xr:uid="{00000000-0005-0000-0000-000041280000}"/>
    <cellStyle name="Comma 44 2 5 4 2 2" xfId="29590" xr:uid="{00000000-0005-0000-0000-000042280000}"/>
    <cellStyle name="Comma 44 2 5 4 2 3" xfId="15102" xr:uid="{00000000-0005-0000-0000-000043280000}"/>
    <cellStyle name="Comma 44 2 5 4 2_TOM TAT" xfId="22024" xr:uid="{00000000-0005-0000-0000-000044280000}"/>
    <cellStyle name="Comma 44 2 5 4 3" xfId="29589" xr:uid="{00000000-0005-0000-0000-000045280000}"/>
    <cellStyle name="Comma 44 2 5 4 4" xfId="15101" xr:uid="{00000000-0005-0000-0000-000046280000}"/>
    <cellStyle name="Comma 44 2 5 4_TOM TAT" xfId="22023" xr:uid="{00000000-0005-0000-0000-000047280000}"/>
    <cellStyle name="Comma 44 2 5 5" xfId="8927" xr:uid="{00000000-0005-0000-0000-000048280000}"/>
    <cellStyle name="Comma 44 2 5 5 2" xfId="29591" xr:uid="{00000000-0005-0000-0000-000049280000}"/>
    <cellStyle name="Comma 44 2 5 5 3" xfId="15103" xr:uid="{00000000-0005-0000-0000-00004A280000}"/>
    <cellStyle name="Comma 44 2 5 5_TOM TAT" xfId="22025" xr:uid="{00000000-0005-0000-0000-00004B280000}"/>
    <cellStyle name="Comma 44 2 5 6" xfId="29580" xr:uid="{00000000-0005-0000-0000-00004C280000}"/>
    <cellStyle name="Comma 44 2 5 7" xfId="15092" xr:uid="{00000000-0005-0000-0000-00004D280000}"/>
    <cellStyle name="Comma 44 2 5_TOM TAT" xfId="22014" xr:uid="{00000000-0005-0000-0000-00004E280000}"/>
    <cellStyle name="Comma 44 2 6" xfId="8928" xr:uid="{00000000-0005-0000-0000-00004F280000}"/>
    <cellStyle name="Comma 44 2 6 2" xfId="8929" xr:uid="{00000000-0005-0000-0000-000050280000}"/>
    <cellStyle name="Comma 44 2 6 2 2" xfId="8930" xr:uid="{00000000-0005-0000-0000-000051280000}"/>
    <cellStyle name="Comma 44 2 6 2 2 2" xfId="29594" xr:uid="{00000000-0005-0000-0000-000052280000}"/>
    <cellStyle name="Comma 44 2 6 2 2 3" xfId="15106" xr:uid="{00000000-0005-0000-0000-000053280000}"/>
    <cellStyle name="Comma 44 2 6 2 2_TOM TAT" xfId="22028" xr:uid="{00000000-0005-0000-0000-000054280000}"/>
    <cellStyle name="Comma 44 2 6 2 3" xfId="29593" xr:uid="{00000000-0005-0000-0000-000055280000}"/>
    <cellStyle name="Comma 44 2 6 2 4" xfId="15105" xr:uid="{00000000-0005-0000-0000-000056280000}"/>
    <cellStyle name="Comma 44 2 6 2_TOM TAT" xfId="22027" xr:uid="{00000000-0005-0000-0000-000057280000}"/>
    <cellStyle name="Comma 44 2 6 3" xfId="8931" xr:uid="{00000000-0005-0000-0000-000058280000}"/>
    <cellStyle name="Comma 44 2 6 3 2" xfId="29595" xr:uid="{00000000-0005-0000-0000-000059280000}"/>
    <cellStyle name="Comma 44 2 6 3 3" xfId="15107" xr:uid="{00000000-0005-0000-0000-00005A280000}"/>
    <cellStyle name="Comma 44 2 6 3_TOM TAT" xfId="22029" xr:uid="{00000000-0005-0000-0000-00005B280000}"/>
    <cellStyle name="Comma 44 2 6 4" xfId="29592" xr:uid="{00000000-0005-0000-0000-00005C280000}"/>
    <cellStyle name="Comma 44 2 6 5" xfId="15104" xr:uid="{00000000-0005-0000-0000-00005D280000}"/>
    <cellStyle name="Comma 44 2 6_TOM TAT" xfId="22026" xr:uid="{00000000-0005-0000-0000-00005E280000}"/>
    <cellStyle name="Comma 44 2 7" xfId="8932" xr:uid="{00000000-0005-0000-0000-00005F280000}"/>
    <cellStyle name="Comma 44 2 7 2" xfId="8933" xr:uid="{00000000-0005-0000-0000-000060280000}"/>
    <cellStyle name="Comma 44 2 7 2 2" xfId="8934" xr:uid="{00000000-0005-0000-0000-000061280000}"/>
    <cellStyle name="Comma 44 2 7 2 2 2" xfId="29598" xr:uid="{00000000-0005-0000-0000-000062280000}"/>
    <cellStyle name="Comma 44 2 7 2 2 3" xfId="15110" xr:uid="{00000000-0005-0000-0000-000063280000}"/>
    <cellStyle name="Comma 44 2 7 2 2_TOM TAT" xfId="22032" xr:uid="{00000000-0005-0000-0000-000064280000}"/>
    <cellStyle name="Comma 44 2 7 2 3" xfId="29597" xr:uid="{00000000-0005-0000-0000-000065280000}"/>
    <cellStyle name="Comma 44 2 7 2 4" xfId="15109" xr:uid="{00000000-0005-0000-0000-000066280000}"/>
    <cellStyle name="Comma 44 2 7 2_TOM TAT" xfId="22031" xr:uid="{00000000-0005-0000-0000-000067280000}"/>
    <cellStyle name="Comma 44 2 7 3" xfId="8935" xr:uid="{00000000-0005-0000-0000-000068280000}"/>
    <cellStyle name="Comma 44 2 7 3 2" xfId="29599" xr:uid="{00000000-0005-0000-0000-000069280000}"/>
    <cellStyle name="Comma 44 2 7 3 3" xfId="15111" xr:uid="{00000000-0005-0000-0000-00006A280000}"/>
    <cellStyle name="Comma 44 2 7 3_TOM TAT" xfId="22033" xr:uid="{00000000-0005-0000-0000-00006B280000}"/>
    <cellStyle name="Comma 44 2 7 4" xfId="29596" xr:uid="{00000000-0005-0000-0000-00006C280000}"/>
    <cellStyle name="Comma 44 2 7 5" xfId="15108" xr:uid="{00000000-0005-0000-0000-00006D280000}"/>
    <cellStyle name="Comma 44 2 7_TOM TAT" xfId="22030" xr:uid="{00000000-0005-0000-0000-00006E280000}"/>
    <cellStyle name="Comma 44 2 8" xfId="8936" xr:uid="{00000000-0005-0000-0000-00006F280000}"/>
    <cellStyle name="Comma 44 2 8 2" xfId="8937" xr:uid="{00000000-0005-0000-0000-000070280000}"/>
    <cellStyle name="Comma 44 2 8 2 2" xfId="29601" xr:uid="{00000000-0005-0000-0000-000071280000}"/>
    <cellStyle name="Comma 44 2 8 2 3" xfId="15113" xr:uid="{00000000-0005-0000-0000-000072280000}"/>
    <cellStyle name="Comma 44 2 8 2_TOM TAT" xfId="22035" xr:uid="{00000000-0005-0000-0000-000073280000}"/>
    <cellStyle name="Comma 44 2 8 3" xfId="29600" xr:uid="{00000000-0005-0000-0000-000074280000}"/>
    <cellStyle name="Comma 44 2 8 4" xfId="15112" xr:uid="{00000000-0005-0000-0000-000075280000}"/>
    <cellStyle name="Comma 44 2 8_TOM TAT" xfId="22034" xr:uid="{00000000-0005-0000-0000-000076280000}"/>
    <cellStyle name="Comma 44 2 9" xfId="8938" xr:uid="{00000000-0005-0000-0000-000077280000}"/>
    <cellStyle name="Comma 44 2 9 2" xfId="29602" xr:uid="{00000000-0005-0000-0000-000078280000}"/>
    <cellStyle name="Comma 44 2 9 3" xfId="15114" xr:uid="{00000000-0005-0000-0000-000079280000}"/>
    <cellStyle name="Comma 44 2 9_TOM TAT" xfId="22036" xr:uid="{00000000-0005-0000-0000-00007A280000}"/>
    <cellStyle name="Comma 44 2_TOM TAT" xfId="21916" xr:uid="{00000000-0005-0000-0000-00007B280000}"/>
    <cellStyle name="Comma 44 3" xfId="5376" xr:uid="{00000000-0005-0000-0000-00007C280000}"/>
    <cellStyle name="Comma 44 3 2" xfId="8939" xr:uid="{00000000-0005-0000-0000-00007D280000}"/>
    <cellStyle name="Comma 44 3 2 2" xfId="8940" xr:uid="{00000000-0005-0000-0000-00007E280000}"/>
    <cellStyle name="Comma 44 3 2 2 2" xfId="8941" xr:uid="{00000000-0005-0000-0000-00007F280000}"/>
    <cellStyle name="Comma 44 3 2 2 2 2" xfId="29605" xr:uid="{00000000-0005-0000-0000-000080280000}"/>
    <cellStyle name="Comma 44 3 2 2 2 3" xfId="15117" xr:uid="{00000000-0005-0000-0000-000081280000}"/>
    <cellStyle name="Comma 44 3 2 2 2_TOM TAT" xfId="22040" xr:uid="{00000000-0005-0000-0000-000082280000}"/>
    <cellStyle name="Comma 44 3 2 2 3" xfId="29604" xr:uid="{00000000-0005-0000-0000-000083280000}"/>
    <cellStyle name="Comma 44 3 2 2 4" xfId="15116" xr:uid="{00000000-0005-0000-0000-000084280000}"/>
    <cellStyle name="Comma 44 3 2 2_TOM TAT" xfId="22039" xr:uid="{00000000-0005-0000-0000-000085280000}"/>
    <cellStyle name="Comma 44 3 2 3" xfId="8942" xr:uid="{00000000-0005-0000-0000-000086280000}"/>
    <cellStyle name="Comma 44 3 2 3 2" xfId="29606" xr:uid="{00000000-0005-0000-0000-000087280000}"/>
    <cellStyle name="Comma 44 3 2 3 3" xfId="15118" xr:uid="{00000000-0005-0000-0000-000088280000}"/>
    <cellStyle name="Comma 44 3 2 3_TOM TAT" xfId="22041" xr:uid="{00000000-0005-0000-0000-000089280000}"/>
    <cellStyle name="Comma 44 3 2 4" xfId="29603" xr:uid="{00000000-0005-0000-0000-00008A280000}"/>
    <cellStyle name="Comma 44 3 2 5" xfId="15115" xr:uid="{00000000-0005-0000-0000-00008B280000}"/>
    <cellStyle name="Comma 44 3 2_TOM TAT" xfId="22038" xr:uid="{00000000-0005-0000-0000-00008C280000}"/>
    <cellStyle name="Comma 44 3 3" xfId="8943" xr:uid="{00000000-0005-0000-0000-00008D280000}"/>
    <cellStyle name="Comma 44 3 3 2" xfId="8944" xr:uid="{00000000-0005-0000-0000-00008E280000}"/>
    <cellStyle name="Comma 44 3 3 2 2" xfId="8945" xr:uid="{00000000-0005-0000-0000-00008F280000}"/>
    <cellStyle name="Comma 44 3 3 2 2 2" xfId="29609" xr:uid="{00000000-0005-0000-0000-000090280000}"/>
    <cellStyle name="Comma 44 3 3 2 2 3" xfId="15121" xr:uid="{00000000-0005-0000-0000-000091280000}"/>
    <cellStyle name="Comma 44 3 3 2 2_TOM TAT" xfId="22044" xr:uid="{00000000-0005-0000-0000-000092280000}"/>
    <cellStyle name="Comma 44 3 3 2 3" xfId="29608" xr:uid="{00000000-0005-0000-0000-000093280000}"/>
    <cellStyle name="Comma 44 3 3 2 4" xfId="15120" xr:uid="{00000000-0005-0000-0000-000094280000}"/>
    <cellStyle name="Comma 44 3 3 2_TOM TAT" xfId="22043" xr:uid="{00000000-0005-0000-0000-000095280000}"/>
    <cellStyle name="Comma 44 3 3 3" xfId="8946" xr:uid="{00000000-0005-0000-0000-000096280000}"/>
    <cellStyle name="Comma 44 3 3 3 2" xfId="29610" xr:uid="{00000000-0005-0000-0000-000097280000}"/>
    <cellStyle name="Comma 44 3 3 3 3" xfId="15122" xr:uid="{00000000-0005-0000-0000-000098280000}"/>
    <cellStyle name="Comma 44 3 3 3_TOM TAT" xfId="22045" xr:uid="{00000000-0005-0000-0000-000099280000}"/>
    <cellStyle name="Comma 44 3 3 4" xfId="29607" xr:uid="{00000000-0005-0000-0000-00009A280000}"/>
    <cellStyle name="Comma 44 3 3 5" xfId="15119" xr:uid="{00000000-0005-0000-0000-00009B280000}"/>
    <cellStyle name="Comma 44 3 3_TOM TAT" xfId="22042" xr:uid="{00000000-0005-0000-0000-00009C280000}"/>
    <cellStyle name="Comma 44 3 4" xfId="8947" xr:uid="{00000000-0005-0000-0000-00009D280000}"/>
    <cellStyle name="Comma 44 3 4 2" xfId="8948" xr:uid="{00000000-0005-0000-0000-00009E280000}"/>
    <cellStyle name="Comma 44 3 4 2 2" xfId="29612" xr:uid="{00000000-0005-0000-0000-00009F280000}"/>
    <cellStyle name="Comma 44 3 4 2 3" xfId="15124" xr:uid="{00000000-0005-0000-0000-0000A0280000}"/>
    <cellStyle name="Comma 44 3 4 2_TOM TAT" xfId="22047" xr:uid="{00000000-0005-0000-0000-0000A1280000}"/>
    <cellStyle name="Comma 44 3 4 3" xfId="29611" xr:uid="{00000000-0005-0000-0000-0000A2280000}"/>
    <cellStyle name="Comma 44 3 4 4" xfId="15123" xr:uid="{00000000-0005-0000-0000-0000A3280000}"/>
    <cellStyle name="Comma 44 3 4_TOM TAT" xfId="22046" xr:uid="{00000000-0005-0000-0000-0000A4280000}"/>
    <cellStyle name="Comma 44 3 5" xfId="8949" xr:uid="{00000000-0005-0000-0000-0000A5280000}"/>
    <cellStyle name="Comma 44 3 5 2" xfId="29613" xr:uid="{00000000-0005-0000-0000-0000A6280000}"/>
    <cellStyle name="Comma 44 3 5 3" xfId="15125" xr:uid="{00000000-0005-0000-0000-0000A7280000}"/>
    <cellStyle name="Comma 44 3 5_TOM TAT" xfId="22048" xr:uid="{00000000-0005-0000-0000-0000A8280000}"/>
    <cellStyle name="Comma 44 3_TOM TAT" xfId="22037" xr:uid="{00000000-0005-0000-0000-0000A9280000}"/>
    <cellStyle name="Comma 44 4" xfId="5377" xr:uid="{00000000-0005-0000-0000-0000AA280000}"/>
    <cellStyle name="Comma 44 4 10" xfId="14668" xr:uid="{00000000-0005-0000-0000-0000AB280000}"/>
    <cellStyle name="Comma 44 4 2" xfId="5378" xr:uid="{00000000-0005-0000-0000-0000AC280000}"/>
    <cellStyle name="Comma 44 4 2 2" xfId="8950" xr:uid="{00000000-0005-0000-0000-0000AD280000}"/>
    <cellStyle name="Comma 44 4 2 2 2" xfId="8951" xr:uid="{00000000-0005-0000-0000-0000AE280000}"/>
    <cellStyle name="Comma 44 4 2 2 2 2" xfId="8952" xr:uid="{00000000-0005-0000-0000-0000AF280000}"/>
    <cellStyle name="Comma 44 4 2 2 2 2 2" xfId="8953" xr:uid="{00000000-0005-0000-0000-0000B0280000}"/>
    <cellStyle name="Comma 44 4 2 2 2 2 2 2" xfId="29617" xr:uid="{00000000-0005-0000-0000-0000B1280000}"/>
    <cellStyle name="Comma 44 4 2 2 2 2 2 3" xfId="15129" xr:uid="{00000000-0005-0000-0000-0000B2280000}"/>
    <cellStyle name="Comma 44 4 2 2 2 2 2_TOM TAT" xfId="22054" xr:uid="{00000000-0005-0000-0000-0000B3280000}"/>
    <cellStyle name="Comma 44 4 2 2 2 2 3" xfId="29616" xr:uid="{00000000-0005-0000-0000-0000B4280000}"/>
    <cellStyle name="Comma 44 4 2 2 2 2 4" xfId="15128" xr:uid="{00000000-0005-0000-0000-0000B5280000}"/>
    <cellStyle name="Comma 44 4 2 2 2 2_TOM TAT" xfId="22053" xr:uid="{00000000-0005-0000-0000-0000B6280000}"/>
    <cellStyle name="Comma 44 4 2 2 2 3" xfId="8954" xr:uid="{00000000-0005-0000-0000-0000B7280000}"/>
    <cellStyle name="Comma 44 4 2 2 2 3 2" xfId="29618" xr:uid="{00000000-0005-0000-0000-0000B8280000}"/>
    <cellStyle name="Comma 44 4 2 2 2 3 3" xfId="15130" xr:uid="{00000000-0005-0000-0000-0000B9280000}"/>
    <cellStyle name="Comma 44 4 2 2 2 3_TOM TAT" xfId="22055" xr:uid="{00000000-0005-0000-0000-0000BA280000}"/>
    <cellStyle name="Comma 44 4 2 2 2 4" xfId="29615" xr:uid="{00000000-0005-0000-0000-0000BB280000}"/>
    <cellStyle name="Comma 44 4 2 2 2 5" xfId="15127" xr:uid="{00000000-0005-0000-0000-0000BC280000}"/>
    <cellStyle name="Comma 44 4 2 2 2_TOM TAT" xfId="22052" xr:uid="{00000000-0005-0000-0000-0000BD280000}"/>
    <cellStyle name="Comma 44 4 2 2 3" xfId="8955" xr:uid="{00000000-0005-0000-0000-0000BE280000}"/>
    <cellStyle name="Comma 44 4 2 2 3 2" xfId="8956" xr:uid="{00000000-0005-0000-0000-0000BF280000}"/>
    <cellStyle name="Comma 44 4 2 2 3 2 2" xfId="8957" xr:uid="{00000000-0005-0000-0000-0000C0280000}"/>
    <cellStyle name="Comma 44 4 2 2 3 2 2 2" xfId="29621" xr:uid="{00000000-0005-0000-0000-0000C1280000}"/>
    <cellStyle name="Comma 44 4 2 2 3 2 2 3" xfId="15133" xr:uid="{00000000-0005-0000-0000-0000C2280000}"/>
    <cellStyle name="Comma 44 4 2 2 3 2 2_TOM TAT" xfId="22058" xr:uid="{00000000-0005-0000-0000-0000C3280000}"/>
    <cellStyle name="Comma 44 4 2 2 3 2 3" xfId="29620" xr:uid="{00000000-0005-0000-0000-0000C4280000}"/>
    <cellStyle name="Comma 44 4 2 2 3 2 4" xfId="15132" xr:uid="{00000000-0005-0000-0000-0000C5280000}"/>
    <cellStyle name="Comma 44 4 2 2 3 2_TOM TAT" xfId="22057" xr:uid="{00000000-0005-0000-0000-0000C6280000}"/>
    <cellStyle name="Comma 44 4 2 2 3 3" xfId="8958" xr:uid="{00000000-0005-0000-0000-0000C7280000}"/>
    <cellStyle name="Comma 44 4 2 2 3 3 2" xfId="29622" xr:uid="{00000000-0005-0000-0000-0000C8280000}"/>
    <cellStyle name="Comma 44 4 2 2 3 3 3" xfId="15134" xr:uid="{00000000-0005-0000-0000-0000C9280000}"/>
    <cellStyle name="Comma 44 4 2 2 3 3_TOM TAT" xfId="22059" xr:uid="{00000000-0005-0000-0000-0000CA280000}"/>
    <cellStyle name="Comma 44 4 2 2 3 4" xfId="29619" xr:uid="{00000000-0005-0000-0000-0000CB280000}"/>
    <cellStyle name="Comma 44 4 2 2 3 5" xfId="15131" xr:uid="{00000000-0005-0000-0000-0000CC280000}"/>
    <cellStyle name="Comma 44 4 2 2 3_TOM TAT" xfId="22056" xr:uid="{00000000-0005-0000-0000-0000CD280000}"/>
    <cellStyle name="Comma 44 4 2 2 4" xfId="8959" xr:uid="{00000000-0005-0000-0000-0000CE280000}"/>
    <cellStyle name="Comma 44 4 2 2 4 2" xfId="8960" xr:uid="{00000000-0005-0000-0000-0000CF280000}"/>
    <cellStyle name="Comma 44 4 2 2 4 2 2" xfId="29624" xr:uid="{00000000-0005-0000-0000-0000D0280000}"/>
    <cellStyle name="Comma 44 4 2 2 4 2 3" xfId="15136" xr:uid="{00000000-0005-0000-0000-0000D1280000}"/>
    <cellStyle name="Comma 44 4 2 2 4 2_TOM TAT" xfId="22061" xr:uid="{00000000-0005-0000-0000-0000D2280000}"/>
    <cellStyle name="Comma 44 4 2 2 4 3" xfId="29623" xr:uid="{00000000-0005-0000-0000-0000D3280000}"/>
    <cellStyle name="Comma 44 4 2 2 4 4" xfId="15135" xr:uid="{00000000-0005-0000-0000-0000D4280000}"/>
    <cellStyle name="Comma 44 4 2 2 4_TOM TAT" xfId="22060" xr:uid="{00000000-0005-0000-0000-0000D5280000}"/>
    <cellStyle name="Comma 44 4 2 2 5" xfId="8961" xr:uid="{00000000-0005-0000-0000-0000D6280000}"/>
    <cellStyle name="Comma 44 4 2 2 5 2" xfId="29625" xr:uid="{00000000-0005-0000-0000-0000D7280000}"/>
    <cellStyle name="Comma 44 4 2 2 5 3" xfId="15137" xr:uid="{00000000-0005-0000-0000-0000D8280000}"/>
    <cellStyle name="Comma 44 4 2 2 5_TOM TAT" xfId="22062" xr:uid="{00000000-0005-0000-0000-0000D9280000}"/>
    <cellStyle name="Comma 44 4 2 2 6" xfId="29614" xr:uid="{00000000-0005-0000-0000-0000DA280000}"/>
    <cellStyle name="Comma 44 4 2 2 7" xfId="15126" xr:uid="{00000000-0005-0000-0000-0000DB280000}"/>
    <cellStyle name="Comma 44 4 2 2_TOM TAT" xfId="22051" xr:uid="{00000000-0005-0000-0000-0000DC280000}"/>
    <cellStyle name="Comma 44 4 2 3" xfId="8962" xr:uid="{00000000-0005-0000-0000-0000DD280000}"/>
    <cellStyle name="Comma 44 4 2 3 2" xfId="8963" xr:uid="{00000000-0005-0000-0000-0000DE280000}"/>
    <cellStyle name="Comma 44 4 2 3 2 2" xfId="8964" xr:uid="{00000000-0005-0000-0000-0000DF280000}"/>
    <cellStyle name="Comma 44 4 2 3 2 2 2" xfId="29628" xr:uid="{00000000-0005-0000-0000-0000E0280000}"/>
    <cellStyle name="Comma 44 4 2 3 2 2 3" xfId="15140" xr:uid="{00000000-0005-0000-0000-0000E1280000}"/>
    <cellStyle name="Comma 44 4 2 3 2 2_TOM TAT" xfId="22065" xr:uid="{00000000-0005-0000-0000-0000E2280000}"/>
    <cellStyle name="Comma 44 4 2 3 2 3" xfId="29627" xr:uid="{00000000-0005-0000-0000-0000E3280000}"/>
    <cellStyle name="Comma 44 4 2 3 2 4" xfId="15139" xr:uid="{00000000-0005-0000-0000-0000E4280000}"/>
    <cellStyle name="Comma 44 4 2 3 2_TOM TAT" xfId="22064" xr:uid="{00000000-0005-0000-0000-0000E5280000}"/>
    <cellStyle name="Comma 44 4 2 3 3" xfId="8965" xr:uid="{00000000-0005-0000-0000-0000E6280000}"/>
    <cellStyle name="Comma 44 4 2 3 3 2" xfId="29629" xr:uid="{00000000-0005-0000-0000-0000E7280000}"/>
    <cellStyle name="Comma 44 4 2 3 3 3" xfId="15141" xr:uid="{00000000-0005-0000-0000-0000E8280000}"/>
    <cellStyle name="Comma 44 4 2 3 3_TOM TAT" xfId="22066" xr:uid="{00000000-0005-0000-0000-0000E9280000}"/>
    <cellStyle name="Comma 44 4 2 3 4" xfId="29626" xr:uid="{00000000-0005-0000-0000-0000EA280000}"/>
    <cellStyle name="Comma 44 4 2 3 5" xfId="15138" xr:uid="{00000000-0005-0000-0000-0000EB280000}"/>
    <cellStyle name="Comma 44 4 2 3_TOM TAT" xfId="22063" xr:uid="{00000000-0005-0000-0000-0000EC280000}"/>
    <cellStyle name="Comma 44 4 2 4" xfId="8966" xr:uid="{00000000-0005-0000-0000-0000ED280000}"/>
    <cellStyle name="Comma 44 4 2 4 2" xfId="8967" xr:uid="{00000000-0005-0000-0000-0000EE280000}"/>
    <cellStyle name="Comma 44 4 2 4 2 2" xfId="8968" xr:uid="{00000000-0005-0000-0000-0000EF280000}"/>
    <cellStyle name="Comma 44 4 2 4 2 2 2" xfId="29632" xr:uid="{00000000-0005-0000-0000-0000F0280000}"/>
    <cellStyle name="Comma 44 4 2 4 2 2 3" xfId="15144" xr:uid="{00000000-0005-0000-0000-0000F1280000}"/>
    <cellStyle name="Comma 44 4 2 4 2 2_TOM TAT" xfId="22069" xr:uid="{00000000-0005-0000-0000-0000F2280000}"/>
    <cellStyle name="Comma 44 4 2 4 2 3" xfId="29631" xr:uid="{00000000-0005-0000-0000-0000F3280000}"/>
    <cellStyle name="Comma 44 4 2 4 2 4" xfId="15143" xr:uid="{00000000-0005-0000-0000-0000F4280000}"/>
    <cellStyle name="Comma 44 4 2 4 2_TOM TAT" xfId="22068" xr:uid="{00000000-0005-0000-0000-0000F5280000}"/>
    <cellStyle name="Comma 44 4 2 4 3" xfId="8969" xr:uid="{00000000-0005-0000-0000-0000F6280000}"/>
    <cellStyle name="Comma 44 4 2 4 3 2" xfId="29633" xr:uid="{00000000-0005-0000-0000-0000F7280000}"/>
    <cellStyle name="Comma 44 4 2 4 3 3" xfId="15145" xr:uid="{00000000-0005-0000-0000-0000F8280000}"/>
    <cellStyle name="Comma 44 4 2 4 3_TOM TAT" xfId="22070" xr:uid="{00000000-0005-0000-0000-0000F9280000}"/>
    <cellStyle name="Comma 44 4 2 4 4" xfId="29630" xr:uid="{00000000-0005-0000-0000-0000FA280000}"/>
    <cellStyle name="Comma 44 4 2 4 5" xfId="15142" xr:uid="{00000000-0005-0000-0000-0000FB280000}"/>
    <cellStyle name="Comma 44 4 2 4_TOM TAT" xfId="22067" xr:uid="{00000000-0005-0000-0000-0000FC280000}"/>
    <cellStyle name="Comma 44 4 2 5" xfId="8970" xr:uid="{00000000-0005-0000-0000-0000FD280000}"/>
    <cellStyle name="Comma 44 4 2 5 2" xfId="8971" xr:uid="{00000000-0005-0000-0000-0000FE280000}"/>
    <cellStyle name="Comma 44 4 2 5 2 2" xfId="29635" xr:uid="{00000000-0005-0000-0000-0000FF280000}"/>
    <cellStyle name="Comma 44 4 2 5 2 3" xfId="15147" xr:uid="{00000000-0005-0000-0000-000000290000}"/>
    <cellStyle name="Comma 44 4 2 5 2_TOM TAT" xfId="22072" xr:uid="{00000000-0005-0000-0000-000001290000}"/>
    <cellStyle name="Comma 44 4 2 5 3" xfId="29634" xr:uid="{00000000-0005-0000-0000-000002290000}"/>
    <cellStyle name="Comma 44 4 2 5 4" xfId="15146" xr:uid="{00000000-0005-0000-0000-000003290000}"/>
    <cellStyle name="Comma 44 4 2 5_TOM TAT" xfId="22071" xr:uid="{00000000-0005-0000-0000-000004290000}"/>
    <cellStyle name="Comma 44 4 2 6" xfId="8972" xr:uid="{00000000-0005-0000-0000-000005290000}"/>
    <cellStyle name="Comma 44 4 2 6 2" xfId="29636" xr:uid="{00000000-0005-0000-0000-000006290000}"/>
    <cellStyle name="Comma 44 4 2 6 3" xfId="15148" xr:uid="{00000000-0005-0000-0000-000007290000}"/>
    <cellStyle name="Comma 44 4 2 6_TOM TAT" xfId="22073" xr:uid="{00000000-0005-0000-0000-000008290000}"/>
    <cellStyle name="Comma 44 4 2 7" xfId="28205" xr:uid="{00000000-0005-0000-0000-000009290000}"/>
    <cellStyle name="Comma 44 4 2 8" xfId="14669" xr:uid="{00000000-0005-0000-0000-00000A290000}"/>
    <cellStyle name="Comma 44 4 2_TOM TAT" xfId="22050" xr:uid="{00000000-0005-0000-0000-00000B290000}"/>
    <cellStyle name="Comma 44 4 3" xfId="8973" xr:uid="{00000000-0005-0000-0000-00000C290000}"/>
    <cellStyle name="Comma 44 4 3 2" xfId="8974" xr:uid="{00000000-0005-0000-0000-00000D290000}"/>
    <cellStyle name="Comma 44 4 3 2 2" xfId="8975" xr:uid="{00000000-0005-0000-0000-00000E290000}"/>
    <cellStyle name="Comma 44 4 3 2 2 2" xfId="8976" xr:uid="{00000000-0005-0000-0000-00000F290000}"/>
    <cellStyle name="Comma 44 4 3 2 2 2 2" xfId="29640" xr:uid="{00000000-0005-0000-0000-000010290000}"/>
    <cellStyle name="Comma 44 4 3 2 2 2 3" xfId="15152" xr:uid="{00000000-0005-0000-0000-000011290000}"/>
    <cellStyle name="Comma 44 4 3 2 2 2_TOM TAT" xfId="22077" xr:uid="{00000000-0005-0000-0000-000012290000}"/>
    <cellStyle name="Comma 44 4 3 2 2 3" xfId="29639" xr:uid="{00000000-0005-0000-0000-000013290000}"/>
    <cellStyle name="Comma 44 4 3 2 2 4" xfId="15151" xr:uid="{00000000-0005-0000-0000-000014290000}"/>
    <cellStyle name="Comma 44 4 3 2 2_TOM TAT" xfId="22076" xr:uid="{00000000-0005-0000-0000-000015290000}"/>
    <cellStyle name="Comma 44 4 3 2 3" xfId="8977" xr:uid="{00000000-0005-0000-0000-000016290000}"/>
    <cellStyle name="Comma 44 4 3 2 3 2" xfId="29641" xr:uid="{00000000-0005-0000-0000-000017290000}"/>
    <cellStyle name="Comma 44 4 3 2 3 3" xfId="15153" xr:uid="{00000000-0005-0000-0000-000018290000}"/>
    <cellStyle name="Comma 44 4 3 2 3_TOM TAT" xfId="22078" xr:uid="{00000000-0005-0000-0000-000019290000}"/>
    <cellStyle name="Comma 44 4 3 2 4" xfId="29638" xr:uid="{00000000-0005-0000-0000-00001A290000}"/>
    <cellStyle name="Comma 44 4 3 2 5" xfId="15150" xr:uid="{00000000-0005-0000-0000-00001B290000}"/>
    <cellStyle name="Comma 44 4 3 2_TOM TAT" xfId="22075" xr:uid="{00000000-0005-0000-0000-00001C290000}"/>
    <cellStyle name="Comma 44 4 3 3" xfId="8978" xr:uid="{00000000-0005-0000-0000-00001D290000}"/>
    <cellStyle name="Comma 44 4 3 3 2" xfId="8979" xr:uid="{00000000-0005-0000-0000-00001E290000}"/>
    <cellStyle name="Comma 44 4 3 3 2 2" xfId="8980" xr:uid="{00000000-0005-0000-0000-00001F290000}"/>
    <cellStyle name="Comma 44 4 3 3 2 2 2" xfId="29644" xr:uid="{00000000-0005-0000-0000-000020290000}"/>
    <cellStyle name="Comma 44 4 3 3 2 2 3" xfId="15156" xr:uid="{00000000-0005-0000-0000-000021290000}"/>
    <cellStyle name="Comma 44 4 3 3 2 2_TOM TAT" xfId="22081" xr:uid="{00000000-0005-0000-0000-000022290000}"/>
    <cellStyle name="Comma 44 4 3 3 2 3" xfId="29643" xr:uid="{00000000-0005-0000-0000-000023290000}"/>
    <cellStyle name="Comma 44 4 3 3 2 4" xfId="15155" xr:uid="{00000000-0005-0000-0000-000024290000}"/>
    <cellStyle name="Comma 44 4 3 3 2_TOM TAT" xfId="22080" xr:uid="{00000000-0005-0000-0000-000025290000}"/>
    <cellStyle name="Comma 44 4 3 3 3" xfId="8981" xr:uid="{00000000-0005-0000-0000-000026290000}"/>
    <cellStyle name="Comma 44 4 3 3 3 2" xfId="29645" xr:uid="{00000000-0005-0000-0000-000027290000}"/>
    <cellStyle name="Comma 44 4 3 3 3 3" xfId="15157" xr:uid="{00000000-0005-0000-0000-000028290000}"/>
    <cellStyle name="Comma 44 4 3 3 3_TOM TAT" xfId="22082" xr:uid="{00000000-0005-0000-0000-000029290000}"/>
    <cellStyle name="Comma 44 4 3 3 4" xfId="29642" xr:uid="{00000000-0005-0000-0000-00002A290000}"/>
    <cellStyle name="Comma 44 4 3 3 5" xfId="15154" xr:uid="{00000000-0005-0000-0000-00002B290000}"/>
    <cellStyle name="Comma 44 4 3 3_TOM TAT" xfId="22079" xr:uid="{00000000-0005-0000-0000-00002C290000}"/>
    <cellStyle name="Comma 44 4 3 4" xfId="8982" xr:uid="{00000000-0005-0000-0000-00002D290000}"/>
    <cellStyle name="Comma 44 4 3 4 2" xfId="8983" xr:uid="{00000000-0005-0000-0000-00002E290000}"/>
    <cellStyle name="Comma 44 4 3 4 2 2" xfId="29647" xr:uid="{00000000-0005-0000-0000-00002F290000}"/>
    <cellStyle name="Comma 44 4 3 4 2 3" xfId="15159" xr:uid="{00000000-0005-0000-0000-000030290000}"/>
    <cellStyle name="Comma 44 4 3 4 2_TOM TAT" xfId="22084" xr:uid="{00000000-0005-0000-0000-000031290000}"/>
    <cellStyle name="Comma 44 4 3 4 3" xfId="29646" xr:uid="{00000000-0005-0000-0000-000032290000}"/>
    <cellStyle name="Comma 44 4 3 4 4" xfId="15158" xr:uid="{00000000-0005-0000-0000-000033290000}"/>
    <cellStyle name="Comma 44 4 3 4_TOM TAT" xfId="22083" xr:uid="{00000000-0005-0000-0000-000034290000}"/>
    <cellStyle name="Comma 44 4 3 5" xfId="8984" xr:uid="{00000000-0005-0000-0000-000035290000}"/>
    <cellStyle name="Comma 44 4 3 5 2" xfId="29648" xr:uid="{00000000-0005-0000-0000-000036290000}"/>
    <cellStyle name="Comma 44 4 3 5 3" xfId="15160" xr:uid="{00000000-0005-0000-0000-000037290000}"/>
    <cellStyle name="Comma 44 4 3 5_TOM TAT" xfId="22085" xr:uid="{00000000-0005-0000-0000-000038290000}"/>
    <cellStyle name="Comma 44 4 3 6" xfId="29637" xr:uid="{00000000-0005-0000-0000-000039290000}"/>
    <cellStyle name="Comma 44 4 3 7" xfId="15149" xr:uid="{00000000-0005-0000-0000-00003A290000}"/>
    <cellStyle name="Comma 44 4 3_TOM TAT" xfId="22074" xr:uid="{00000000-0005-0000-0000-00003B290000}"/>
    <cellStyle name="Comma 44 4 4" xfId="8985" xr:uid="{00000000-0005-0000-0000-00003C290000}"/>
    <cellStyle name="Comma 44 4 4 2" xfId="8986" xr:uid="{00000000-0005-0000-0000-00003D290000}"/>
    <cellStyle name="Comma 44 4 4 2 2" xfId="8987" xr:uid="{00000000-0005-0000-0000-00003E290000}"/>
    <cellStyle name="Comma 44 4 4 2 2 2" xfId="8988" xr:uid="{00000000-0005-0000-0000-00003F290000}"/>
    <cellStyle name="Comma 44 4 4 2 2 2 2" xfId="29652" xr:uid="{00000000-0005-0000-0000-000040290000}"/>
    <cellStyle name="Comma 44 4 4 2 2 2 3" xfId="15164" xr:uid="{00000000-0005-0000-0000-000041290000}"/>
    <cellStyle name="Comma 44 4 4 2 2 2_TOM TAT" xfId="22089" xr:uid="{00000000-0005-0000-0000-000042290000}"/>
    <cellStyle name="Comma 44 4 4 2 2 3" xfId="29651" xr:uid="{00000000-0005-0000-0000-000043290000}"/>
    <cellStyle name="Comma 44 4 4 2 2 4" xfId="15163" xr:uid="{00000000-0005-0000-0000-000044290000}"/>
    <cellStyle name="Comma 44 4 4 2 2_TOM TAT" xfId="22088" xr:uid="{00000000-0005-0000-0000-000045290000}"/>
    <cellStyle name="Comma 44 4 4 2 3" xfId="8989" xr:uid="{00000000-0005-0000-0000-000046290000}"/>
    <cellStyle name="Comma 44 4 4 2 3 2" xfId="29653" xr:uid="{00000000-0005-0000-0000-000047290000}"/>
    <cellStyle name="Comma 44 4 4 2 3 3" xfId="15165" xr:uid="{00000000-0005-0000-0000-000048290000}"/>
    <cellStyle name="Comma 44 4 4 2 3_TOM TAT" xfId="22090" xr:uid="{00000000-0005-0000-0000-000049290000}"/>
    <cellStyle name="Comma 44 4 4 2 4" xfId="29650" xr:uid="{00000000-0005-0000-0000-00004A290000}"/>
    <cellStyle name="Comma 44 4 4 2 5" xfId="15162" xr:uid="{00000000-0005-0000-0000-00004B290000}"/>
    <cellStyle name="Comma 44 4 4 2_TOM TAT" xfId="22087" xr:uid="{00000000-0005-0000-0000-00004C290000}"/>
    <cellStyle name="Comma 44 4 4 3" xfId="8990" xr:uid="{00000000-0005-0000-0000-00004D290000}"/>
    <cellStyle name="Comma 44 4 4 3 2" xfId="8991" xr:uid="{00000000-0005-0000-0000-00004E290000}"/>
    <cellStyle name="Comma 44 4 4 3 2 2" xfId="8992" xr:uid="{00000000-0005-0000-0000-00004F290000}"/>
    <cellStyle name="Comma 44 4 4 3 2 2 2" xfId="29656" xr:uid="{00000000-0005-0000-0000-000050290000}"/>
    <cellStyle name="Comma 44 4 4 3 2 2 3" xfId="15168" xr:uid="{00000000-0005-0000-0000-000051290000}"/>
    <cellStyle name="Comma 44 4 4 3 2 2_TOM TAT" xfId="22093" xr:uid="{00000000-0005-0000-0000-000052290000}"/>
    <cellStyle name="Comma 44 4 4 3 2 3" xfId="29655" xr:uid="{00000000-0005-0000-0000-000053290000}"/>
    <cellStyle name="Comma 44 4 4 3 2 4" xfId="15167" xr:uid="{00000000-0005-0000-0000-000054290000}"/>
    <cellStyle name="Comma 44 4 4 3 2_TOM TAT" xfId="22092" xr:uid="{00000000-0005-0000-0000-000055290000}"/>
    <cellStyle name="Comma 44 4 4 3 3" xfId="8993" xr:uid="{00000000-0005-0000-0000-000056290000}"/>
    <cellStyle name="Comma 44 4 4 3 3 2" xfId="29657" xr:uid="{00000000-0005-0000-0000-000057290000}"/>
    <cellStyle name="Comma 44 4 4 3 3 3" xfId="15169" xr:uid="{00000000-0005-0000-0000-000058290000}"/>
    <cellStyle name="Comma 44 4 4 3 3_TOM TAT" xfId="22094" xr:uid="{00000000-0005-0000-0000-000059290000}"/>
    <cellStyle name="Comma 44 4 4 3 4" xfId="29654" xr:uid="{00000000-0005-0000-0000-00005A290000}"/>
    <cellStyle name="Comma 44 4 4 3 5" xfId="15166" xr:uid="{00000000-0005-0000-0000-00005B290000}"/>
    <cellStyle name="Comma 44 4 4 3_TOM TAT" xfId="22091" xr:uid="{00000000-0005-0000-0000-00005C290000}"/>
    <cellStyle name="Comma 44 4 4 4" xfId="8994" xr:uid="{00000000-0005-0000-0000-00005D290000}"/>
    <cellStyle name="Comma 44 4 4 4 2" xfId="8995" xr:uid="{00000000-0005-0000-0000-00005E290000}"/>
    <cellStyle name="Comma 44 4 4 4 2 2" xfId="29659" xr:uid="{00000000-0005-0000-0000-00005F290000}"/>
    <cellStyle name="Comma 44 4 4 4 2 3" xfId="15171" xr:uid="{00000000-0005-0000-0000-000060290000}"/>
    <cellStyle name="Comma 44 4 4 4 2_TOM TAT" xfId="22096" xr:uid="{00000000-0005-0000-0000-000061290000}"/>
    <cellStyle name="Comma 44 4 4 4 3" xfId="29658" xr:uid="{00000000-0005-0000-0000-000062290000}"/>
    <cellStyle name="Comma 44 4 4 4 4" xfId="15170" xr:uid="{00000000-0005-0000-0000-000063290000}"/>
    <cellStyle name="Comma 44 4 4 4_TOM TAT" xfId="22095" xr:uid="{00000000-0005-0000-0000-000064290000}"/>
    <cellStyle name="Comma 44 4 4 5" xfId="8996" xr:uid="{00000000-0005-0000-0000-000065290000}"/>
    <cellStyle name="Comma 44 4 4 5 2" xfId="29660" xr:uid="{00000000-0005-0000-0000-000066290000}"/>
    <cellStyle name="Comma 44 4 4 5 3" xfId="15172" xr:uid="{00000000-0005-0000-0000-000067290000}"/>
    <cellStyle name="Comma 44 4 4 5_TOM TAT" xfId="22097" xr:uid="{00000000-0005-0000-0000-000068290000}"/>
    <cellStyle name="Comma 44 4 4 6" xfId="29649" xr:uid="{00000000-0005-0000-0000-000069290000}"/>
    <cellStyle name="Comma 44 4 4 7" xfId="15161" xr:uid="{00000000-0005-0000-0000-00006A290000}"/>
    <cellStyle name="Comma 44 4 4_TOM TAT" xfId="22086" xr:uid="{00000000-0005-0000-0000-00006B290000}"/>
    <cellStyle name="Comma 44 4 5" xfId="8997" xr:uid="{00000000-0005-0000-0000-00006C290000}"/>
    <cellStyle name="Comma 44 4 5 2" xfId="8998" xr:uid="{00000000-0005-0000-0000-00006D290000}"/>
    <cellStyle name="Comma 44 4 5 2 2" xfId="8999" xr:uid="{00000000-0005-0000-0000-00006E290000}"/>
    <cellStyle name="Comma 44 4 5 2 2 2" xfId="29663" xr:uid="{00000000-0005-0000-0000-00006F290000}"/>
    <cellStyle name="Comma 44 4 5 2 2 3" xfId="15175" xr:uid="{00000000-0005-0000-0000-000070290000}"/>
    <cellStyle name="Comma 44 4 5 2 2_TOM TAT" xfId="22100" xr:uid="{00000000-0005-0000-0000-000071290000}"/>
    <cellStyle name="Comma 44 4 5 2 3" xfId="29662" xr:uid="{00000000-0005-0000-0000-000072290000}"/>
    <cellStyle name="Comma 44 4 5 2 4" xfId="15174" xr:uid="{00000000-0005-0000-0000-000073290000}"/>
    <cellStyle name="Comma 44 4 5 2_TOM TAT" xfId="22099" xr:uid="{00000000-0005-0000-0000-000074290000}"/>
    <cellStyle name="Comma 44 4 5 3" xfId="9000" xr:uid="{00000000-0005-0000-0000-000075290000}"/>
    <cellStyle name="Comma 44 4 5 3 2" xfId="29664" xr:uid="{00000000-0005-0000-0000-000076290000}"/>
    <cellStyle name="Comma 44 4 5 3 3" xfId="15176" xr:uid="{00000000-0005-0000-0000-000077290000}"/>
    <cellStyle name="Comma 44 4 5 3_TOM TAT" xfId="22101" xr:uid="{00000000-0005-0000-0000-000078290000}"/>
    <cellStyle name="Comma 44 4 5 4" xfId="29661" xr:uid="{00000000-0005-0000-0000-000079290000}"/>
    <cellStyle name="Comma 44 4 5 5" xfId="15173" xr:uid="{00000000-0005-0000-0000-00007A290000}"/>
    <cellStyle name="Comma 44 4 5_TOM TAT" xfId="22098" xr:uid="{00000000-0005-0000-0000-00007B290000}"/>
    <cellStyle name="Comma 44 4 6" xfId="9001" xr:uid="{00000000-0005-0000-0000-00007C290000}"/>
    <cellStyle name="Comma 44 4 6 2" xfId="9002" xr:uid="{00000000-0005-0000-0000-00007D290000}"/>
    <cellStyle name="Comma 44 4 6 2 2" xfId="9003" xr:uid="{00000000-0005-0000-0000-00007E290000}"/>
    <cellStyle name="Comma 44 4 6 2 2 2" xfId="29667" xr:uid="{00000000-0005-0000-0000-00007F290000}"/>
    <cellStyle name="Comma 44 4 6 2 2 3" xfId="15179" xr:uid="{00000000-0005-0000-0000-000080290000}"/>
    <cellStyle name="Comma 44 4 6 2 2_TOM TAT" xfId="22104" xr:uid="{00000000-0005-0000-0000-000081290000}"/>
    <cellStyle name="Comma 44 4 6 2 3" xfId="29666" xr:uid="{00000000-0005-0000-0000-000082290000}"/>
    <cellStyle name="Comma 44 4 6 2 4" xfId="15178" xr:uid="{00000000-0005-0000-0000-000083290000}"/>
    <cellStyle name="Comma 44 4 6 2_TOM TAT" xfId="22103" xr:uid="{00000000-0005-0000-0000-000084290000}"/>
    <cellStyle name="Comma 44 4 6 3" xfId="9004" xr:uid="{00000000-0005-0000-0000-000085290000}"/>
    <cellStyle name="Comma 44 4 6 3 2" xfId="29668" xr:uid="{00000000-0005-0000-0000-000086290000}"/>
    <cellStyle name="Comma 44 4 6 3 3" xfId="15180" xr:uid="{00000000-0005-0000-0000-000087290000}"/>
    <cellStyle name="Comma 44 4 6 3_TOM TAT" xfId="22105" xr:uid="{00000000-0005-0000-0000-000088290000}"/>
    <cellStyle name="Comma 44 4 6 4" xfId="29665" xr:uid="{00000000-0005-0000-0000-000089290000}"/>
    <cellStyle name="Comma 44 4 6 5" xfId="15177" xr:uid="{00000000-0005-0000-0000-00008A290000}"/>
    <cellStyle name="Comma 44 4 6_TOM TAT" xfId="22102" xr:uid="{00000000-0005-0000-0000-00008B290000}"/>
    <cellStyle name="Comma 44 4 7" xfId="9005" xr:uid="{00000000-0005-0000-0000-00008C290000}"/>
    <cellStyle name="Comma 44 4 7 2" xfId="9006" xr:uid="{00000000-0005-0000-0000-00008D290000}"/>
    <cellStyle name="Comma 44 4 7 2 2" xfId="29670" xr:uid="{00000000-0005-0000-0000-00008E290000}"/>
    <cellStyle name="Comma 44 4 7 2 3" xfId="15182" xr:uid="{00000000-0005-0000-0000-00008F290000}"/>
    <cellStyle name="Comma 44 4 7 2_TOM TAT" xfId="22107" xr:uid="{00000000-0005-0000-0000-000090290000}"/>
    <cellStyle name="Comma 44 4 7 3" xfId="29669" xr:uid="{00000000-0005-0000-0000-000091290000}"/>
    <cellStyle name="Comma 44 4 7 4" xfId="15181" xr:uid="{00000000-0005-0000-0000-000092290000}"/>
    <cellStyle name="Comma 44 4 7_TOM TAT" xfId="22106" xr:uid="{00000000-0005-0000-0000-000093290000}"/>
    <cellStyle name="Comma 44 4 8" xfId="9007" xr:uid="{00000000-0005-0000-0000-000094290000}"/>
    <cellStyle name="Comma 44 4 8 2" xfId="29671" xr:uid="{00000000-0005-0000-0000-000095290000}"/>
    <cellStyle name="Comma 44 4 8 3" xfId="15183" xr:uid="{00000000-0005-0000-0000-000096290000}"/>
    <cellStyle name="Comma 44 4 8_TOM TAT" xfId="22108" xr:uid="{00000000-0005-0000-0000-000097290000}"/>
    <cellStyle name="Comma 44 4 9" xfId="28204" xr:uid="{00000000-0005-0000-0000-000098290000}"/>
    <cellStyle name="Comma 44 4_TOM TAT" xfId="22049" xr:uid="{00000000-0005-0000-0000-000099290000}"/>
    <cellStyle name="Comma 44 5" xfId="5379" xr:uid="{00000000-0005-0000-0000-00009A290000}"/>
    <cellStyle name="Comma 44 5 2" xfId="9008" xr:uid="{00000000-0005-0000-0000-00009B290000}"/>
    <cellStyle name="Comma 44 5 2 2" xfId="9009" xr:uid="{00000000-0005-0000-0000-00009C290000}"/>
    <cellStyle name="Comma 44 5 2 2 2" xfId="9010" xr:uid="{00000000-0005-0000-0000-00009D290000}"/>
    <cellStyle name="Comma 44 5 2 2 2 2" xfId="9011" xr:uid="{00000000-0005-0000-0000-00009E290000}"/>
    <cellStyle name="Comma 44 5 2 2 2 2 2" xfId="29675" xr:uid="{00000000-0005-0000-0000-00009F290000}"/>
    <cellStyle name="Comma 44 5 2 2 2 2 3" xfId="15187" xr:uid="{00000000-0005-0000-0000-0000A0290000}"/>
    <cellStyle name="Comma 44 5 2 2 2 2_TOM TAT" xfId="22113" xr:uid="{00000000-0005-0000-0000-0000A1290000}"/>
    <cellStyle name="Comma 44 5 2 2 2 3" xfId="29674" xr:uid="{00000000-0005-0000-0000-0000A2290000}"/>
    <cellStyle name="Comma 44 5 2 2 2 4" xfId="15186" xr:uid="{00000000-0005-0000-0000-0000A3290000}"/>
    <cellStyle name="Comma 44 5 2 2 2_TOM TAT" xfId="22112" xr:uid="{00000000-0005-0000-0000-0000A4290000}"/>
    <cellStyle name="Comma 44 5 2 2 3" xfId="9012" xr:uid="{00000000-0005-0000-0000-0000A5290000}"/>
    <cellStyle name="Comma 44 5 2 2 3 2" xfId="29676" xr:uid="{00000000-0005-0000-0000-0000A6290000}"/>
    <cellStyle name="Comma 44 5 2 2 3 3" xfId="15188" xr:uid="{00000000-0005-0000-0000-0000A7290000}"/>
    <cellStyle name="Comma 44 5 2 2 3_TOM TAT" xfId="22114" xr:uid="{00000000-0005-0000-0000-0000A8290000}"/>
    <cellStyle name="Comma 44 5 2 2 4" xfId="29673" xr:uid="{00000000-0005-0000-0000-0000A9290000}"/>
    <cellStyle name="Comma 44 5 2 2 5" xfId="15185" xr:uid="{00000000-0005-0000-0000-0000AA290000}"/>
    <cellStyle name="Comma 44 5 2 2_TOM TAT" xfId="22111" xr:uid="{00000000-0005-0000-0000-0000AB290000}"/>
    <cellStyle name="Comma 44 5 2 3" xfId="9013" xr:uid="{00000000-0005-0000-0000-0000AC290000}"/>
    <cellStyle name="Comma 44 5 2 3 2" xfId="9014" xr:uid="{00000000-0005-0000-0000-0000AD290000}"/>
    <cellStyle name="Comma 44 5 2 3 2 2" xfId="9015" xr:uid="{00000000-0005-0000-0000-0000AE290000}"/>
    <cellStyle name="Comma 44 5 2 3 2 2 2" xfId="29679" xr:uid="{00000000-0005-0000-0000-0000AF290000}"/>
    <cellStyle name="Comma 44 5 2 3 2 2 3" xfId="15191" xr:uid="{00000000-0005-0000-0000-0000B0290000}"/>
    <cellStyle name="Comma 44 5 2 3 2 2_TOM TAT" xfId="22117" xr:uid="{00000000-0005-0000-0000-0000B1290000}"/>
    <cellStyle name="Comma 44 5 2 3 2 3" xfId="29678" xr:uid="{00000000-0005-0000-0000-0000B2290000}"/>
    <cellStyle name="Comma 44 5 2 3 2 4" xfId="15190" xr:uid="{00000000-0005-0000-0000-0000B3290000}"/>
    <cellStyle name="Comma 44 5 2 3 2_TOM TAT" xfId="22116" xr:uid="{00000000-0005-0000-0000-0000B4290000}"/>
    <cellStyle name="Comma 44 5 2 3 3" xfId="9016" xr:uid="{00000000-0005-0000-0000-0000B5290000}"/>
    <cellStyle name="Comma 44 5 2 3 3 2" xfId="29680" xr:uid="{00000000-0005-0000-0000-0000B6290000}"/>
    <cellStyle name="Comma 44 5 2 3 3 3" xfId="15192" xr:uid="{00000000-0005-0000-0000-0000B7290000}"/>
    <cellStyle name="Comma 44 5 2 3 3_TOM TAT" xfId="22118" xr:uid="{00000000-0005-0000-0000-0000B8290000}"/>
    <cellStyle name="Comma 44 5 2 3 4" xfId="29677" xr:uid="{00000000-0005-0000-0000-0000B9290000}"/>
    <cellStyle name="Comma 44 5 2 3 5" xfId="15189" xr:uid="{00000000-0005-0000-0000-0000BA290000}"/>
    <cellStyle name="Comma 44 5 2 3_TOM TAT" xfId="22115" xr:uid="{00000000-0005-0000-0000-0000BB290000}"/>
    <cellStyle name="Comma 44 5 2 4" xfId="9017" xr:uid="{00000000-0005-0000-0000-0000BC290000}"/>
    <cellStyle name="Comma 44 5 2 4 2" xfId="9018" xr:uid="{00000000-0005-0000-0000-0000BD290000}"/>
    <cellStyle name="Comma 44 5 2 4 2 2" xfId="29682" xr:uid="{00000000-0005-0000-0000-0000BE290000}"/>
    <cellStyle name="Comma 44 5 2 4 2 3" xfId="15194" xr:uid="{00000000-0005-0000-0000-0000BF290000}"/>
    <cellStyle name="Comma 44 5 2 4 2_TOM TAT" xfId="22120" xr:uid="{00000000-0005-0000-0000-0000C0290000}"/>
    <cellStyle name="Comma 44 5 2 4 3" xfId="29681" xr:uid="{00000000-0005-0000-0000-0000C1290000}"/>
    <cellStyle name="Comma 44 5 2 4 4" xfId="15193" xr:uid="{00000000-0005-0000-0000-0000C2290000}"/>
    <cellStyle name="Comma 44 5 2 4_TOM TAT" xfId="22119" xr:uid="{00000000-0005-0000-0000-0000C3290000}"/>
    <cellStyle name="Comma 44 5 2 5" xfId="9019" xr:uid="{00000000-0005-0000-0000-0000C4290000}"/>
    <cellStyle name="Comma 44 5 2 5 2" xfId="29683" xr:uid="{00000000-0005-0000-0000-0000C5290000}"/>
    <cellStyle name="Comma 44 5 2 5 3" xfId="15195" xr:uid="{00000000-0005-0000-0000-0000C6290000}"/>
    <cellStyle name="Comma 44 5 2 5_TOM TAT" xfId="22121" xr:uid="{00000000-0005-0000-0000-0000C7290000}"/>
    <cellStyle name="Comma 44 5 2 6" xfId="29672" xr:uid="{00000000-0005-0000-0000-0000C8290000}"/>
    <cellStyle name="Comma 44 5 2 7" xfId="15184" xr:uid="{00000000-0005-0000-0000-0000C9290000}"/>
    <cellStyle name="Comma 44 5 2_TOM TAT" xfId="22110" xr:uid="{00000000-0005-0000-0000-0000CA290000}"/>
    <cellStyle name="Comma 44 5 3" xfId="9020" xr:uid="{00000000-0005-0000-0000-0000CB290000}"/>
    <cellStyle name="Comma 44 5 3 2" xfId="9021" xr:uid="{00000000-0005-0000-0000-0000CC290000}"/>
    <cellStyle name="Comma 44 5 3 2 2" xfId="9022" xr:uid="{00000000-0005-0000-0000-0000CD290000}"/>
    <cellStyle name="Comma 44 5 3 2 2 2" xfId="29686" xr:uid="{00000000-0005-0000-0000-0000CE290000}"/>
    <cellStyle name="Comma 44 5 3 2 2 3" xfId="15198" xr:uid="{00000000-0005-0000-0000-0000CF290000}"/>
    <cellStyle name="Comma 44 5 3 2 2_TOM TAT" xfId="22124" xr:uid="{00000000-0005-0000-0000-0000D0290000}"/>
    <cellStyle name="Comma 44 5 3 2 3" xfId="29685" xr:uid="{00000000-0005-0000-0000-0000D1290000}"/>
    <cellStyle name="Comma 44 5 3 2 4" xfId="15197" xr:uid="{00000000-0005-0000-0000-0000D2290000}"/>
    <cellStyle name="Comma 44 5 3 2_TOM TAT" xfId="22123" xr:uid="{00000000-0005-0000-0000-0000D3290000}"/>
    <cellStyle name="Comma 44 5 3 3" xfId="9023" xr:uid="{00000000-0005-0000-0000-0000D4290000}"/>
    <cellStyle name="Comma 44 5 3 3 2" xfId="29687" xr:uid="{00000000-0005-0000-0000-0000D5290000}"/>
    <cellStyle name="Comma 44 5 3 3 3" xfId="15199" xr:uid="{00000000-0005-0000-0000-0000D6290000}"/>
    <cellStyle name="Comma 44 5 3 3_TOM TAT" xfId="22125" xr:uid="{00000000-0005-0000-0000-0000D7290000}"/>
    <cellStyle name="Comma 44 5 3 4" xfId="29684" xr:uid="{00000000-0005-0000-0000-0000D8290000}"/>
    <cellStyle name="Comma 44 5 3 5" xfId="15196" xr:uid="{00000000-0005-0000-0000-0000D9290000}"/>
    <cellStyle name="Comma 44 5 3_TOM TAT" xfId="22122" xr:uid="{00000000-0005-0000-0000-0000DA290000}"/>
    <cellStyle name="Comma 44 5 4" xfId="9024" xr:uid="{00000000-0005-0000-0000-0000DB290000}"/>
    <cellStyle name="Comma 44 5 4 2" xfId="9025" xr:uid="{00000000-0005-0000-0000-0000DC290000}"/>
    <cellStyle name="Comma 44 5 4 2 2" xfId="9026" xr:uid="{00000000-0005-0000-0000-0000DD290000}"/>
    <cellStyle name="Comma 44 5 4 2 2 2" xfId="29690" xr:uid="{00000000-0005-0000-0000-0000DE290000}"/>
    <cellStyle name="Comma 44 5 4 2 2 3" xfId="15202" xr:uid="{00000000-0005-0000-0000-0000DF290000}"/>
    <cellStyle name="Comma 44 5 4 2 2_TOM TAT" xfId="22128" xr:uid="{00000000-0005-0000-0000-0000E0290000}"/>
    <cellStyle name="Comma 44 5 4 2 3" xfId="29689" xr:uid="{00000000-0005-0000-0000-0000E1290000}"/>
    <cellStyle name="Comma 44 5 4 2 4" xfId="15201" xr:uid="{00000000-0005-0000-0000-0000E2290000}"/>
    <cellStyle name="Comma 44 5 4 2_TOM TAT" xfId="22127" xr:uid="{00000000-0005-0000-0000-0000E3290000}"/>
    <cellStyle name="Comma 44 5 4 3" xfId="9027" xr:uid="{00000000-0005-0000-0000-0000E4290000}"/>
    <cellStyle name="Comma 44 5 4 3 2" xfId="29691" xr:uid="{00000000-0005-0000-0000-0000E5290000}"/>
    <cellStyle name="Comma 44 5 4 3 3" xfId="15203" xr:uid="{00000000-0005-0000-0000-0000E6290000}"/>
    <cellStyle name="Comma 44 5 4 3_TOM TAT" xfId="22129" xr:uid="{00000000-0005-0000-0000-0000E7290000}"/>
    <cellStyle name="Comma 44 5 4 4" xfId="29688" xr:uid="{00000000-0005-0000-0000-0000E8290000}"/>
    <cellStyle name="Comma 44 5 4 5" xfId="15200" xr:uid="{00000000-0005-0000-0000-0000E9290000}"/>
    <cellStyle name="Comma 44 5 4_TOM TAT" xfId="22126" xr:uid="{00000000-0005-0000-0000-0000EA290000}"/>
    <cellStyle name="Comma 44 5 5" xfId="9028" xr:uid="{00000000-0005-0000-0000-0000EB290000}"/>
    <cellStyle name="Comma 44 5 5 2" xfId="9029" xr:uid="{00000000-0005-0000-0000-0000EC290000}"/>
    <cellStyle name="Comma 44 5 5 2 2" xfId="29693" xr:uid="{00000000-0005-0000-0000-0000ED290000}"/>
    <cellStyle name="Comma 44 5 5 2 3" xfId="15205" xr:uid="{00000000-0005-0000-0000-0000EE290000}"/>
    <cellStyle name="Comma 44 5 5 2_TOM TAT" xfId="22131" xr:uid="{00000000-0005-0000-0000-0000EF290000}"/>
    <cellStyle name="Comma 44 5 5 3" xfId="29692" xr:uid="{00000000-0005-0000-0000-0000F0290000}"/>
    <cellStyle name="Comma 44 5 5 4" xfId="15204" xr:uid="{00000000-0005-0000-0000-0000F1290000}"/>
    <cellStyle name="Comma 44 5 5_TOM TAT" xfId="22130" xr:uid="{00000000-0005-0000-0000-0000F2290000}"/>
    <cellStyle name="Comma 44 5 6" xfId="9030" xr:uid="{00000000-0005-0000-0000-0000F3290000}"/>
    <cellStyle name="Comma 44 5 6 2" xfId="29694" xr:uid="{00000000-0005-0000-0000-0000F4290000}"/>
    <cellStyle name="Comma 44 5 6 3" xfId="15206" xr:uid="{00000000-0005-0000-0000-0000F5290000}"/>
    <cellStyle name="Comma 44 5 6_TOM TAT" xfId="22132" xr:uid="{00000000-0005-0000-0000-0000F6290000}"/>
    <cellStyle name="Comma 44 5 7" xfId="28206" xr:uid="{00000000-0005-0000-0000-0000F7290000}"/>
    <cellStyle name="Comma 44 5 8" xfId="14670" xr:uid="{00000000-0005-0000-0000-0000F8290000}"/>
    <cellStyle name="Comma 44 5_TOM TAT" xfId="22109" xr:uid="{00000000-0005-0000-0000-0000F9290000}"/>
    <cellStyle name="Comma 44 6" xfId="5380" xr:uid="{00000000-0005-0000-0000-0000FA290000}"/>
    <cellStyle name="Comma 44 6 2" xfId="9031" xr:uid="{00000000-0005-0000-0000-0000FB290000}"/>
    <cellStyle name="Comma 44 6 2 2" xfId="9032" xr:uid="{00000000-0005-0000-0000-0000FC290000}"/>
    <cellStyle name="Comma 44 6 2 2 2" xfId="9033" xr:uid="{00000000-0005-0000-0000-0000FD290000}"/>
    <cellStyle name="Comma 44 6 2 2 2 2" xfId="29697" xr:uid="{00000000-0005-0000-0000-0000FE290000}"/>
    <cellStyle name="Comma 44 6 2 2 2 3" xfId="15209" xr:uid="{00000000-0005-0000-0000-0000FF290000}"/>
    <cellStyle name="Comma 44 6 2 2 2_TOM TAT" xfId="22136" xr:uid="{00000000-0005-0000-0000-0000002A0000}"/>
    <cellStyle name="Comma 44 6 2 2 3" xfId="29696" xr:uid="{00000000-0005-0000-0000-0000012A0000}"/>
    <cellStyle name="Comma 44 6 2 2 4" xfId="15208" xr:uid="{00000000-0005-0000-0000-0000022A0000}"/>
    <cellStyle name="Comma 44 6 2 2_TOM TAT" xfId="22135" xr:uid="{00000000-0005-0000-0000-0000032A0000}"/>
    <cellStyle name="Comma 44 6 2 3" xfId="9034" xr:uid="{00000000-0005-0000-0000-0000042A0000}"/>
    <cellStyle name="Comma 44 6 2 3 2" xfId="29698" xr:uid="{00000000-0005-0000-0000-0000052A0000}"/>
    <cellStyle name="Comma 44 6 2 3 3" xfId="15210" xr:uid="{00000000-0005-0000-0000-0000062A0000}"/>
    <cellStyle name="Comma 44 6 2 3_TOM TAT" xfId="22137" xr:uid="{00000000-0005-0000-0000-0000072A0000}"/>
    <cellStyle name="Comma 44 6 2 4" xfId="29695" xr:uid="{00000000-0005-0000-0000-0000082A0000}"/>
    <cellStyle name="Comma 44 6 2 5" xfId="15207" xr:uid="{00000000-0005-0000-0000-0000092A0000}"/>
    <cellStyle name="Comma 44 6 2_TOM TAT" xfId="22134" xr:uid="{00000000-0005-0000-0000-00000A2A0000}"/>
    <cellStyle name="Comma 44 6 3" xfId="9035" xr:uid="{00000000-0005-0000-0000-00000B2A0000}"/>
    <cellStyle name="Comma 44 6 3 2" xfId="9036" xr:uid="{00000000-0005-0000-0000-00000C2A0000}"/>
    <cellStyle name="Comma 44 6 3 2 2" xfId="9037" xr:uid="{00000000-0005-0000-0000-00000D2A0000}"/>
    <cellStyle name="Comma 44 6 3 2 2 2" xfId="29701" xr:uid="{00000000-0005-0000-0000-00000E2A0000}"/>
    <cellStyle name="Comma 44 6 3 2 2 3" xfId="15213" xr:uid="{00000000-0005-0000-0000-00000F2A0000}"/>
    <cellStyle name="Comma 44 6 3 2 2_TOM TAT" xfId="22140" xr:uid="{00000000-0005-0000-0000-0000102A0000}"/>
    <cellStyle name="Comma 44 6 3 2 3" xfId="29700" xr:uid="{00000000-0005-0000-0000-0000112A0000}"/>
    <cellStyle name="Comma 44 6 3 2 4" xfId="15212" xr:uid="{00000000-0005-0000-0000-0000122A0000}"/>
    <cellStyle name="Comma 44 6 3 2_TOM TAT" xfId="22139" xr:uid="{00000000-0005-0000-0000-0000132A0000}"/>
    <cellStyle name="Comma 44 6 3 3" xfId="9038" xr:uid="{00000000-0005-0000-0000-0000142A0000}"/>
    <cellStyle name="Comma 44 6 3 3 2" xfId="29702" xr:uid="{00000000-0005-0000-0000-0000152A0000}"/>
    <cellStyle name="Comma 44 6 3 3 3" xfId="15214" xr:uid="{00000000-0005-0000-0000-0000162A0000}"/>
    <cellStyle name="Comma 44 6 3 3_TOM TAT" xfId="22141" xr:uid="{00000000-0005-0000-0000-0000172A0000}"/>
    <cellStyle name="Comma 44 6 3 4" xfId="29699" xr:uid="{00000000-0005-0000-0000-0000182A0000}"/>
    <cellStyle name="Comma 44 6 3 5" xfId="15211" xr:uid="{00000000-0005-0000-0000-0000192A0000}"/>
    <cellStyle name="Comma 44 6 3_TOM TAT" xfId="22138" xr:uid="{00000000-0005-0000-0000-00001A2A0000}"/>
    <cellStyle name="Comma 44 6 4" xfId="9039" xr:uid="{00000000-0005-0000-0000-00001B2A0000}"/>
    <cellStyle name="Comma 44 6 4 2" xfId="9040" xr:uid="{00000000-0005-0000-0000-00001C2A0000}"/>
    <cellStyle name="Comma 44 6 4 2 2" xfId="29704" xr:uid="{00000000-0005-0000-0000-00001D2A0000}"/>
    <cellStyle name="Comma 44 6 4 2 3" xfId="15216" xr:uid="{00000000-0005-0000-0000-00001E2A0000}"/>
    <cellStyle name="Comma 44 6 4 2_TOM TAT" xfId="22143" xr:uid="{00000000-0005-0000-0000-00001F2A0000}"/>
    <cellStyle name="Comma 44 6 4 3" xfId="29703" xr:uid="{00000000-0005-0000-0000-0000202A0000}"/>
    <cellStyle name="Comma 44 6 4 4" xfId="15215" xr:uid="{00000000-0005-0000-0000-0000212A0000}"/>
    <cellStyle name="Comma 44 6 4_TOM TAT" xfId="22142" xr:uid="{00000000-0005-0000-0000-0000222A0000}"/>
    <cellStyle name="Comma 44 6 5" xfId="9041" xr:uid="{00000000-0005-0000-0000-0000232A0000}"/>
    <cellStyle name="Comma 44 6 5 2" xfId="29705" xr:uid="{00000000-0005-0000-0000-0000242A0000}"/>
    <cellStyle name="Comma 44 6 5 3" xfId="15217" xr:uid="{00000000-0005-0000-0000-0000252A0000}"/>
    <cellStyle name="Comma 44 6 5_TOM TAT" xfId="22144" xr:uid="{00000000-0005-0000-0000-0000262A0000}"/>
    <cellStyle name="Comma 44 6 6" xfId="28207" xr:uid="{00000000-0005-0000-0000-0000272A0000}"/>
    <cellStyle name="Comma 44 6 7" xfId="14671" xr:uid="{00000000-0005-0000-0000-0000282A0000}"/>
    <cellStyle name="Comma 44 6_TOM TAT" xfId="22133" xr:uid="{00000000-0005-0000-0000-0000292A0000}"/>
    <cellStyle name="Comma 44 7" xfId="9042" xr:uid="{00000000-0005-0000-0000-00002A2A0000}"/>
    <cellStyle name="Comma 44 7 2" xfId="9043" xr:uid="{00000000-0005-0000-0000-00002B2A0000}"/>
    <cellStyle name="Comma 44 7 2 2" xfId="9044" xr:uid="{00000000-0005-0000-0000-00002C2A0000}"/>
    <cellStyle name="Comma 44 7 2 2 2" xfId="9045" xr:uid="{00000000-0005-0000-0000-00002D2A0000}"/>
    <cellStyle name="Comma 44 7 2 2 2 2" xfId="29709" xr:uid="{00000000-0005-0000-0000-00002E2A0000}"/>
    <cellStyle name="Comma 44 7 2 2 2 3" xfId="15221" xr:uid="{00000000-0005-0000-0000-00002F2A0000}"/>
    <cellStyle name="Comma 44 7 2 2 2_TOM TAT" xfId="22148" xr:uid="{00000000-0005-0000-0000-0000302A0000}"/>
    <cellStyle name="Comma 44 7 2 2 3" xfId="29708" xr:uid="{00000000-0005-0000-0000-0000312A0000}"/>
    <cellStyle name="Comma 44 7 2 2 4" xfId="15220" xr:uid="{00000000-0005-0000-0000-0000322A0000}"/>
    <cellStyle name="Comma 44 7 2 2_TOM TAT" xfId="22147" xr:uid="{00000000-0005-0000-0000-0000332A0000}"/>
    <cellStyle name="Comma 44 7 2 3" xfId="9046" xr:uid="{00000000-0005-0000-0000-0000342A0000}"/>
    <cellStyle name="Comma 44 7 2 3 2" xfId="29710" xr:uid="{00000000-0005-0000-0000-0000352A0000}"/>
    <cellStyle name="Comma 44 7 2 3 3" xfId="15222" xr:uid="{00000000-0005-0000-0000-0000362A0000}"/>
    <cellStyle name="Comma 44 7 2 3_TOM TAT" xfId="22149" xr:uid="{00000000-0005-0000-0000-0000372A0000}"/>
    <cellStyle name="Comma 44 7 2 4" xfId="29707" xr:uid="{00000000-0005-0000-0000-0000382A0000}"/>
    <cellStyle name="Comma 44 7 2 5" xfId="15219" xr:uid="{00000000-0005-0000-0000-0000392A0000}"/>
    <cellStyle name="Comma 44 7 2_TOM TAT" xfId="22146" xr:uid="{00000000-0005-0000-0000-00003A2A0000}"/>
    <cellStyle name="Comma 44 7 3" xfId="9047" xr:uid="{00000000-0005-0000-0000-00003B2A0000}"/>
    <cellStyle name="Comma 44 7 3 2" xfId="9048" xr:uid="{00000000-0005-0000-0000-00003C2A0000}"/>
    <cellStyle name="Comma 44 7 3 2 2" xfId="9049" xr:uid="{00000000-0005-0000-0000-00003D2A0000}"/>
    <cellStyle name="Comma 44 7 3 2 2 2" xfId="29713" xr:uid="{00000000-0005-0000-0000-00003E2A0000}"/>
    <cellStyle name="Comma 44 7 3 2 2 3" xfId="15225" xr:uid="{00000000-0005-0000-0000-00003F2A0000}"/>
    <cellStyle name="Comma 44 7 3 2 2_TOM TAT" xfId="22152" xr:uid="{00000000-0005-0000-0000-0000402A0000}"/>
    <cellStyle name="Comma 44 7 3 2 3" xfId="29712" xr:uid="{00000000-0005-0000-0000-0000412A0000}"/>
    <cellStyle name="Comma 44 7 3 2 4" xfId="15224" xr:uid="{00000000-0005-0000-0000-0000422A0000}"/>
    <cellStyle name="Comma 44 7 3 2_TOM TAT" xfId="22151" xr:uid="{00000000-0005-0000-0000-0000432A0000}"/>
    <cellStyle name="Comma 44 7 3 3" xfId="9050" xr:uid="{00000000-0005-0000-0000-0000442A0000}"/>
    <cellStyle name="Comma 44 7 3 3 2" xfId="29714" xr:uid="{00000000-0005-0000-0000-0000452A0000}"/>
    <cellStyle name="Comma 44 7 3 3 3" xfId="15226" xr:uid="{00000000-0005-0000-0000-0000462A0000}"/>
    <cellStyle name="Comma 44 7 3 3_TOM TAT" xfId="22153" xr:uid="{00000000-0005-0000-0000-0000472A0000}"/>
    <cellStyle name="Comma 44 7 3 4" xfId="29711" xr:uid="{00000000-0005-0000-0000-0000482A0000}"/>
    <cellStyle name="Comma 44 7 3 5" xfId="15223" xr:uid="{00000000-0005-0000-0000-0000492A0000}"/>
    <cellStyle name="Comma 44 7 3_TOM TAT" xfId="22150" xr:uid="{00000000-0005-0000-0000-00004A2A0000}"/>
    <cellStyle name="Comma 44 7 4" xfId="9051" xr:uid="{00000000-0005-0000-0000-00004B2A0000}"/>
    <cellStyle name="Comma 44 7 4 2" xfId="9052" xr:uid="{00000000-0005-0000-0000-00004C2A0000}"/>
    <cellStyle name="Comma 44 7 4 2 2" xfId="29716" xr:uid="{00000000-0005-0000-0000-00004D2A0000}"/>
    <cellStyle name="Comma 44 7 4 2 3" xfId="15228" xr:uid="{00000000-0005-0000-0000-00004E2A0000}"/>
    <cellStyle name="Comma 44 7 4 2_TOM TAT" xfId="22155" xr:uid="{00000000-0005-0000-0000-00004F2A0000}"/>
    <cellStyle name="Comma 44 7 4 3" xfId="29715" xr:uid="{00000000-0005-0000-0000-0000502A0000}"/>
    <cellStyle name="Comma 44 7 4 4" xfId="15227" xr:uid="{00000000-0005-0000-0000-0000512A0000}"/>
    <cellStyle name="Comma 44 7 4_TOM TAT" xfId="22154" xr:uid="{00000000-0005-0000-0000-0000522A0000}"/>
    <cellStyle name="Comma 44 7 5" xfId="9053" xr:uid="{00000000-0005-0000-0000-0000532A0000}"/>
    <cellStyle name="Comma 44 7 5 2" xfId="29717" xr:uid="{00000000-0005-0000-0000-0000542A0000}"/>
    <cellStyle name="Comma 44 7 5 3" xfId="15229" xr:uid="{00000000-0005-0000-0000-0000552A0000}"/>
    <cellStyle name="Comma 44 7 5_TOM TAT" xfId="22156" xr:uid="{00000000-0005-0000-0000-0000562A0000}"/>
    <cellStyle name="Comma 44 7 6" xfId="29706" xr:uid="{00000000-0005-0000-0000-0000572A0000}"/>
    <cellStyle name="Comma 44 7 7" xfId="15218" xr:uid="{00000000-0005-0000-0000-0000582A0000}"/>
    <cellStyle name="Comma 44 7_TOM TAT" xfId="22145" xr:uid="{00000000-0005-0000-0000-0000592A0000}"/>
    <cellStyle name="Comma 44 8" xfId="9054" xr:uid="{00000000-0005-0000-0000-00005A2A0000}"/>
    <cellStyle name="Comma 44 8 2" xfId="9055" xr:uid="{00000000-0005-0000-0000-00005B2A0000}"/>
    <cellStyle name="Comma 44 8 2 2" xfId="9056" xr:uid="{00000000-0005-0000-0000-00005C2A0000}"/>
    <cellStyle name="Comma 44 8 2 2 2" xfId="29720" xr:uid="{00000000-0005-0000-0000-00005D2A0000}"/>
    <cellStyle name="Comma 44 8 2 2 3" xfId="15232" xr:uid="{00000000-0005-0000-0000-00005E2A0000}"/>
    <cellStyle name="Comma 44 8 2 2_TOM TAT" xfId="22159" xr:uid="{00000000-0005-0000-0000-00005F2A0000}"/>
    <cellStyle name="Comma 44 8 2 3" xfId="29719" xr:uid="{00000000-0005-0000-0000-0000602A0000}"/>
    <cellStyle name="Comma 44 8 2 4" xfId="15231" xr:uid="{00000000-0005-0000-0000-0000612A0000}"/>
    <cellStyle name="Comma 44 8 2_TOM TAT" xfId="22158" xr:uid="{00000000-0005-0000-0000-0000622A0000}"/>
    <cellStyle name="Comma 44 8 3" xfId="9057" xr:uid="{00000000-0005-0000-0000-0000632A0000}"/>
    <cellStyle name="Comma 44 8 3 2" xfId="29721" xr:uid="{00000000-0005-0000-0000-0000642A0000}"/>
    <cellStyle name="Comma 44 8 3 3" xfId="15233" xr:uid="{00000000-0005-0000-0000-0000652A0000}"/>
    <cellStyle name="Comma 44 8 3_TOM TAT" xfId="22160" xr:uid="{00000000-0005-0000-0000-0000662A0000}"/>
    <cellStyle name="Comma 44 8 4" xfId="29718" xr:uid="{00000000-0005-0000-0000-0000672A0000}"/>
    <cellStyle name="Comma 44 8 5" xfId="15230" xr:uid="{00000000-0005-0000-0000-0000682A0000}"/>
    <cellStyle name="Comma 44 8_TOM TAT" xfId="22157" xr:uid="{00000000-0005-0000-0000-0000692A0000}"/>
    <cellStyle name="Comma 44 9" xfId="9058" xr:uid="{00000000-0005-0000-0000-00006A2A0000}"/>
    <cellStyle name="Comma 44 9 2" xfId="9059" xr:uid="{00000000-0005-0000-0000-00006B2A0000}"/>
    <cellStyle name="Comma 44 9 2 2" xfId="9060" xr:uid="{00000000-0005-0000-0000-00006C2A0000}"/>
    <cellStyle name="Comma 44 9 2 2 2" xfId="29724" xr:uid="{00000000-0005-0000-0000-00006D2A0000}"/>
    <cellStyle name="Comma 44 9 2 2 3" xfId="15236" xr:uid="{00000000-0005-0000-0000-00006E2A0000}"/>
    <cellStyle name="Comma 44 9 2 2_TOM TAT" xfId="22163" xr:uid="{00000000-0005-0000-0000-00006F2A0000}"/>
    <cellStyle name="Comma 44 9 2 3" xfId="29723" xr:uid="{00000000-0005-0000-0000-0000702A0000}"/>
    <cellStyle name="Comma 44 9 2 4" xfId="15235" xr:uid="{00000000-0005-0000-0000-0000712A0000}"/>
    <cellStyle name="Comma 44 9 2_TOM TAT" xfId="22162" xr:uid="{00000000-0005-0000-0000-0000722A0000}"/>
    <cellStyle name="Comma 44 9 3" xfId="9061" xr:uid="{00000000-0005-0000-0000-0000732A0000}"/>
    <cellStyle name="Comma 44 9 3 2" xfId="29725" xr:uid="{00000000-0005-0000-0000-0000742A0000}"/>
    <cellStyle name="Comma 44 9 3 3" xfId="15237" xr:uid="{00000000-0005-0000-0000-0000752A0000}"/>
    <cellStyle name="Comma 44 9 3_TOM TAT" xfId="22164" xr:uid="{00000000-0005-0000-0000-0000762A0000}"/>
    <cellStyle name="Comma 44 9 4" xfId="29722" xr:uid="{00000000-0005-0000-0000-0000772A0000}"/>
    <cellStyle name="Comma 44 9 5" xfId="15234" xr:uid="{00000000-0005-0000-0000-0000782A0000}"/>
    <cellStyle name="Comma 44 9_TOM TAT" xfId="22161" xr:uid="{00000000-0005-0000-0000-0000792A0000}"/>
    <cellStyle name="Comma 44_TOM TAT" xfId="21911" xr:uid="{00000000-0005-0000-0000-00007A2A0000}"/>
    <cellStyle name="Comma 45" xfId="4337" xr:uid="{00000000-0005-0000-0000-00007B2A0000}"/>
    <cellStyle name="Comma 45 2" xfId="9062" xr:uid="{00000000-0005-0000-0000-00007C2A0000}"/>
    <cellStyle name="Comma 45 2 2" xfId="9063" xr:uid="{00000000-0005-0000-0000-00007D2A0000}"/>
    <cellStyle name="Comma 45 2 2 2" xfId="9064" xr:uid="{00000000-0005-0000-0000-00007E2A0000}"/>
    <cellStyle name="Comma 45 2 2 2 2" xfId="9065" xr:uid="{00000000-0005-0000-0000-00007F2A0000}"/>
    <cellStyle name="Comma 45 2 2 2 2 2" xfId="9066" xr:uid="{00000000-0005-0000-0000-0000802A0000}"/>
    <cellStyle name="Comma 45 2 2 2 2 2 2" xfId="29730" xr:uid="{00000000-0005-0000-0000-0000812A0000}"/>
    <cellStyle name="Comma 45 2 2 2 2 2 3" xfId="15242" xr:uid="{00000000-0005-0000-0000-0000822A0000}"/>
    <cellStyle name="Comma 45 2 2 2 2 2_TOM TAT" xfId="22170" xr:uid="{00000000-0005-0000-0000-0000832A0000}"/>
    <cellStyle name="Comma 45 2 2 2 2 3" xfId="29729" xr:uid="{00000000-0005-0000-0000-0000842A0000}"/>
    <cellStyle name="Comma 45 2 2 2 2 4" xfId="15241" xr:uid="{00000000-0005-0000-0000-0000852A0000}"/>
    <cellStyle name="Comma 45 2 2 2 2_TOM TAT" xfId="22169" xr:uid="{00000000-0005-0000-0000-0000862A0000}"/>
    <cellStyle name="Comma 45 2 2 2 3" xfId="9067" xr:uid="{00000000-0005-0000-0000-0000872A0000}"/>
    <cellStyle name="Comma 45 2 2 2 3 2" xfId="29731" xr:uid="{00000000-0005-0000-0000-0000882A0000}"/>
    <cellStyle name="Comma 45 2 2 2 3 3" xfId="15243" xr:uid="{00000000-0005-0000-0000-0000892A0000}"/>
    <cellStyle name="Comma 45 2 2 2 3_TOM TAT" xfId="22171" xr:uid="{00000000-0005-0000-0000-00008A2A0000}"/>
    <cellStyle name="Comma 45 2 2 2 4" xfId="29728" xr:uid="{00000000-0005-0000-0000-00008B2A0000}"/>
    <cellStyle name="Comma 45 2 2 2 5" xfId="15240" xr:uid="{00000000-0005-0000-0000-00008C2A0000}"/>
    <cellStyle name="Comma 45 2 2 2_TOM TAT" xfId="22168" xr:uid="{00000000-0005-0000-0000-00008D2A0000}"/>
    <cellStyle name="Comma 45 2 2 3" xfId="9068" xr:uid="{00000000-0005-0000-0000-00008E2A0000}"/>
    <cellStyle name="Comma 45 2 2 3 2" xfId="9069" xr:uid="{00000000-0005-0000-0000-00008F2A0000}"/>
    <cellStyle name="Comma 45 2 2 3 2 2" xfId="9070" xr:uid="{00000000-0005-0000-0000-0000902A0000}"/>
    <cellStyle name="Comma 45 2 2 3 2 2 2" xfId="29734" xr:uid="{00000000-0005-0000-0000-0000912A0000}"/>
    <cellStyle name="Comma 45 2 2 3 2 2 3" xfId="15246" xr:uid="{00000000-0005-0000-0000-0000922A0000}"/>
    <cellStyle name="Comma 45 2 2 3 2 2_TOM TAT" xfId="22174" xr:uid="{00000000-0005-0000-0000-0000932A0000}"/>
    <cellStyle name="Comma 45 2 2 3 2 3" xfId="29733" xr:uid="{00000000-0005-0000-0000-0000942A0000}"/>
    <cellStyle name="Comma 45 2 2 3 2 4" xfId="15245" xr:uid="{00000000-0005-0000-0000-0000952A0000}"/>
    <cellStyle name="Comma 45 2 2 3 2_TOM TAT" xfId="22173" xr:uid="{00000000-0005-0000-0000-0000962A0000}"/>
    <cellStyle name="Comma 45 2 2 3 3" xfId="9071" xr:uid="{00000000-0005-0000-0000-0000972A0000}"/>
    <cellStyle name="Comma 45 2 2 3 3 2" xfId="29735" xr:uid="{00000000-0005-0000-0000-0000982A0000}"/>
    <cellStyle name="Comma 45 2 2 3 3 3" xfId="15247" xr:uid="{00000000-0005-0000-0000-0000992A0000}"/>
    <cellStyle name="Comma 45 2 2 3 3_TOM TAT" xfId="22175" xr:uid="{00000000-0005-0000-0000-00009A2A0000}"/>
    <cellStyle name="Comma 45 2 2 3 4" xfId="29732" xr:uid="{00000000-0005-0000-0000-00009B2A0000}"/>
    <cellStyle name="Comma 45 2 2 3 5" xfId="15244" xr:uid="{00000000-0005-0000-0000-00009C2A0000}"/>
    <cellStyle name="Comma 45 2 2 3_TOM TAT" xfId="22172" xr:uid="{00000000-0005-0000-0000-00009D2A0000}"/>
    <cellStyle name="Comma 45 2 2 4" xfId="9072" xr:uid="{00000000-0005-0000-0000-00009E2A0000}"/>
    <cellStyle name="Comma 45 2 2 4 2" xfId="9073" xr:uid="{00000000-0005-0000-0000-00009F2A0000}"/>
    <cellStyle name="Comma 45 2 2 4 2 2" xfId="29737" xr:uid="{00000000-0005-0000-0000-0000A02A0000}"/>
    <cellStyle name="Comma 45 2 2 4 2 3" xfId="15249" xr:uid="{00000000-0005-0000-0000-0000A12A0000}"/>
    <cellStyle name="Comma 45 2 2 4 2_TOM TAT" xfId="22177" xr:uid="{00000000-0005-0000-0000-0000A22A0000}"/>
    <cellStyle name="Comma 45 2 2 4 3" xfId="29736" xr:uid="{00000000-0005-0000-0000-0000A32A0000}"/>
    <cellStyle name="Comma 45 2 2 4 4" xfId="15248" xr:uid="{00000000-0005-0000-0000-0000A42A0000}"/>
    <cellStyle name="Comma 45 2 2 4_TOM TAT" xfId="22176" xr:uid="{00000000-0005-0000-0000-0000A52A0000}"/>
    <cellStyle name="Comma 45 2 2 5" xfId="9074" xr:uid="{00000000-0005-0000-0000-0000A62A0000}"/>
    <cellStyle name="Comma 45 2 2 5 2" xfId="29738" xr:uid="{00000000-0005-0000-0000-0000A72A0000}"/>
    <cellStyle name="Comma 45 2 2 5 3" xfId="15250" xr:uid="{00000000-0005-0000-0000-0000A82A0000}"/>
    <cellStyle name="Comma 45 2 2 5_TOM TAT" xfId="22178" xr:uid="{00000000-0005-0000-0000-0000A92A0000}"/>
    <cellStyle name="Comma 45 2 2 6" xfId="29727" xr:uid="{00000000-0005-0000-0000-0000AA2A0000}"/>
    <cellStyle name="Comma 45 2 2 7" xfId="15239" xr:uid="{00000000-0005-0000-0000-0000AB2A0000}"/>
    <cellStyle name="Comma 45 2 2_TOM TAT" xfId="22167" xr:uid="{00000000-0005-0000-0000-0000AC2A0000}"/>
    <cellStyle name="Comma 45 2 3" xfId="9075" xr:uid="{00000000-0005-0000-0000-0000AD2A0000}"/>
    <cellStyle name="Comma 45 2 3 2" xfId="9076" xr:uid="{00000000-0005-0000-0000-0000AE2A0000}"/>
    <cellStyle name="Comma 45 2 3 2 2" xfId="9077" xr:uid="{00000000-0005-0000-0000-0000AF2A0000}"/>
    <cellStyle name="Comma 45 2 3 2 2 2" xfId="9078" xr:uid="{00000000-0005-0000-0000-0000B02A0000}"/>
    <cellStyle name="Comma 45 2 3 2 2 2 2" xfId="29742" xr:uid="{00000000-0005-0000-0000-0000B12A0000}"/>
    <cellStyle name="Comma 45 2 3 2 2 2 3" xfId="15254" xr:uid="{00000000-0005-0000-0000-0000B22A0000}"/>
    <cellStyle name="Comma 45 2 3 2 2 2_TOM TAT" xfId="22182" xr:uid="{00000000-0005-0000-0000-0000B32A0000}"/>
    <cellStyle name="Comma 45 2 3 2 2 3" xfId="29741" xr:uid="{00000000-0005-0000-0000-0000B42A0000}"/>
    <cellStyle name="Comma 45 2 3 2 2 4" xfId="15253" xr:uid="{00000000-0005-0000-0000-0000B52A0000}"/>
    <cellStyle name="Comma 45 2 3 2 2_TOM TAT" xfId="22181" xr:uid="{00000000-0005-0000-0000-0000B62A0000}"/>
    <cellStyle name="Comma 45 2 3 2 3" xfId="9079" xr:uid="{00000000-0005-0000-0000-0000B72A0000}"/>
    <cellStyle name="Comma 45 2 3 2 3 2" xfId="29743" xr:uid="{00000000-0005-0000-0000-0000B82A0000}"/>
    <cellStyle name="Comma 45 2 3 2 3 3" xfId="15255" xr:uid="{00000000-0005-0000-0000-0000B92A0000}"/>
    <cellStyle name="Comma 45 2 3 2 3_TOM TAT" xfId="22183" xr:uid="{00000000-0005-0000-0000-0000BA2A0000}"/>
    <cellStyle name="Comma 45 2 3 2 4" xfId="29740" xr:uid="{00000000-0005-0000-0000-0000BB2A0000}"/>
    <cellStyle name="Comma 45 2 3 2 5" xfId="15252" xr:uid="{00000000-0005-0000-0000-0000BC2A0000}"/>
    <cellStyle name="Comma 45 2 3 2_TOM TAT" xfId="22180" xr:uid="{00000000-0005-0000-0000-0000BD2A0000}"/>
    <cellStyle name="Comma 45 2 3 3" xfId="9080" xr:uid="{00000000-0005-0000-0000-0000BE2A0000}"/>
    <cellStyle name="Comma 45 2 3 3 2" xfId="9081" xr:uid="{00000000-0005-0000-0000-0000BF2A0000}"/>
    <cellStyle name="Comma 45 2 3 3 2 2" xfId="29745" xr:uid="{00000000-0005-0000-0000-0000C02A0000}"/>
    <cellStyle name="Comma 45 2 3 3 2 3" xfId="15257" xr:uid="{00000000-0005-0000-0000-0000C12A0000}"/>
    <cellStyle name="Comma 45 2 3 3 2_TOM TAT" xfId="22185" xr:uid="{00000000-0005-0000-0000-0000C22A0000}"/>
    <cellStyle name="Comma 45 2 3 3 3" xfId="29744" xr:uid="{00000000-0005-0000-0000-0000C32A0000}"/>
    <cellStyle name="Comma 45 2 3 3 4" xfId="15256" xr:uid="{00000000-0005-0000-0000-0000C42A0000}"/>
    <cellStyle name="Comma 45 2 3 3_TOM TAT" xfId="22184" xr:uid="{00000000-0005-0000-0000-0000C52A0000}"/>
    <cellStyle name="Comma 45 2 3 4" xfId="9082" xr:uid="{00000000-0005-0000-0000-0000C62A0000}"/>
    <cellStyle name="Comma 45 2 3 4 2" xfId="29746" xr:uid="{00000000-0005-0000-0000-0000C72A0000}"/>
    <cellStyle name="Comma 45 2 3 4 3" xfId="15258" xr:uid="{00000000-0005-0000-0000-0000C82A0000}"/>
    <cellStyle name="Comma 45 2 3 4_TOM TAT" xfId="22186" xr:uid="{00000000-0005-0000-0000-0000C92A0000}"/>
    <cellStyle name="Comma 45 2 3 5" xfId="29739" xr:uid="{00000000-0005-0000-0000-0000CA2A0000}"/>
    <cellStyle name="Comma 45 2 3 6" xfId="15251" xr:uid="{00000000-0005-0000-0000-0000CB2A0000}"/>
    <cellStyle name="Comma 45 2 3_TOM TAT" xfId="22179" xr:uid="{00000000-0005-0000-0000-0000CC2A0000}"/>
    <cellStyle name="Comma 45 2 4" xfId="9083" xr:uid="{00000000-0005-0000-0000-0000CD2A0000}"/>
    <cellStyle name="Comma 45 2 4 2" xfId="9084" xr:uid="{00000000-0005-0000-0000-0000CE2A0000}"/>
    <cellStyle name="Comma 45 2 4 2 2" xfId="9085" xr:uid="{00000000-0005-0000-0000-0000CF2A0000}"/>
    <cellStyle name="Comma 45 2 4 2 2 2" xfId="29749" xr:uid="{00000000-0005-0000-0000-0000D02A0000}"/>
    <cellStyle name="Comma 45 2 4 2 2 3" xfId="15261" xr:uid="{00000000-0005-0000-0000-0000D12A0000}"/>
    <cellStyle name="Comma 45 2 4 2 2_TOM TAT" xfId="22189" xr:uid="{00000000-0005-0000-0000-0000D22A0000}"/>
    <cellStyle name="Comma 45 2 4 2 3" xfId="29748" xr:uid="{00000000-0005-0000-0000-0000D32A0000}"/>
    <cellStyle name="Comma 45 2 4 2 4" xfId="15260" xr:uid="{00000000-0005-0000-0000-0000D42A0000}"/>
    <cellStyle name="Comma 45 2 4 2_TOM TAT" xfId="22188" xr:uid="{00000000-0005-0000-0000-0000D52A0000}"/>
    <cellStyle name="Comma 45 2 4 3" xfId="9086" xr:uid="{00000000-0005-0000-0000-0000D62A0000}"/>
    <cellStyle name="Comma 45 2 4 3 2" xfId="29750" xr:uid="{00000000-0005-0000-0000-0000D72A0000}"/>
    <cellStyle name="Comma 45 2 4 3 3" xfId="15262" xr:uid="{00000000-0005-0000-0000-0000D82A0000}"/>
    <cellStyle name="Comma 45 2 4 3_TOM TAT" xfId="22190" xr:uid="{00000000-0005-0000-0000-0000D92A0000}"/>
    <cellStyle name="Comma 45 2 4 4" xfId="29747" xr:uid="{00000000-0005-0000-0000-0000DA2A0000}"/>
    <cellStyle name="Comma 45 2 4 5" xfId="15259" xr:uid="{00000000-0005-0000-0000-0000DB2A0000}"/>
    <cellStyle name="Comma 45 2 4_TOM TAT" xfId="22187" xr:uid="{00000000-0005-0000-0000-0000DC2A0000}"/>
    <cellStyle name="Comma 45 2 5" xfId="9087" xr:uid="{00000000-0005-0000-0000-0000DD2A0000}"/>
    <cellStyle name="Comma 45 2 5 2" xfId="9088" xr:uid="{00000000-0005-0000-0000-0000DE2A0000}"/>
    <cellStyle name="Comma 45 2 5 2 2" xfId="29752" xr:uid="{00000000-0005-0000-0000-0000DF2A0000}"/>
    <cellStyle name="Comma 45 2 5 2 3" xfId="15264" xr:uid="{00000000-0005-0000-0000-0000E02A0000}"/>
    <cellStyle name="Comma 45 2 5 2_TOM TAT" xfId="22192" xr:uid="{00000000-0005-0000-0000-0000E12A0000}"/>
    <cellStyle name="Comma 45 2 5 3" xfId="29751" xr:uid="{00000000-0005-0000-0000-0000E22A0000}"/>
    <cellStyle name="Comma 45 2 5 4" xfId="15263" xr:uid="{00000000-0005-0000-0000-0000E32A0000}"/>
    <cellStyle name="Comma 45 2 5_TOM TAT" xfId="22191" xr:uid="{00000000-0005-0000-0000-0000E42A0000}"/>
    <cellStyle name="Comma 45 2 6" xfId="9089" xr:uid="{00000000-0005-0000-0000-0000E52A0000}"/>
    <cellStyle name="Comma 45 2 6 2" xfId="29753" xr:uid="{00000000-0005-0000-0000-0000E62A0000}"/>
    <cellStyle name="Comma 45 2 6 3" xfId="15265" xr:uid="{00000000-0005-0000-0000-0000E72A0000}"/>
    <cellStyle name="Comma 45 2 6_TOM TAT" xfId="22193" xr:uid="{00000000-0005-0000-0000-0000E82A0000}"/>
    <cellStyle name="Comma 45 2 7" xfId="18668" xr:uid="{00000000-0005-0000-0000-0000E92A0000}"/>
    <cellStyle name="Comma 45 2 7 2" xfId="31788" xr:uid="{00000000-0005-0000-0000-0000EA2A0000}"/>
    <cellStyle name="Comma 45 2 7_TOM TAT" xfId="22194" xr:uid="{00000000-0005-0000-0000-0000EB2A0000}"/>
    <cellStyle name="Comma 45 2 8" xfId="29726" xr:uid="{00000000-0005-0000-0000-0000EC2A0000}"/>
    <cellStyle name="Comma 45 2 9" xfId="15238" xr:uid="{00000000-0005-0000-0000-0000ED2A0000}"/>
    <cellStyle name="Comma 45 2_TOM TAT" xfId="22166" xr:uid="{00000000-0005-0000-0000-0000EE2A0000}"/>
    <cellStyle name="Comma 45 3" xfId="9090" xr:uid="{00000000-0005-0000-0000-0000EF2A0000}"/>
    <cellStyle name="Comma 45 3 2" xfId="9091" xr:uid="{00000000-0005-0000-0000-0000F02A0000}"/>
    <cellStyle name="Comma 45 3 2 2" xfId="9092" xr:uid="{00000000-0005-0000-0000-0000F12A0000}"/>
    <cellStyle name="Comma 45 3 2 2 2" xfId="9093" xr:uid="{00000000-0005-0000-0000-0000F22A0000}"/>
    <cellStyle name="Comma 45 3 2 2 2 2" xfId="29757" xr:uid="{00000000-0005-0000-0000-0000F32A0000}"/>
    <cellStyle name="Comma 45 3 2 2 2 3" xfId="15269" xr:uid="{00000000-0005-0000-0000-0000F42A0000}"/>
    <cellStyle name="Comma 45 3 2 2 2_TOM TAT" xfId="22198" xr:uid="{00000000-0005-0000-0000-0000F52A0000}"/>
    <cellStyle name="Comma 45 3 2 2 3" xfId="29756" xr:uid="{00000000-0005-0000-0000-0000F62A0000}"/>
    <cellStyle name="Comma 45 3 2 2 4" xfId="15268" xr:uid="{00000000-0005-0000-0000-0000F72A0000}"/>
    <cellStyle name="Comma 45 3 2 2_TOM TAT" xfId="22197" xr:uid="{00000000-0005-0000-0000-0000F82A0000}"/>
    <cellStyle name="Comma 45 3 2 3" xfId="9094" xr:uid="{00000000-0005-0000-0000-0000F92A0000}"/>
    <cellStyle name="Comma 45 3 2 3 2" xfId="29758" xr:uid="{00000000-0005-0000-0000-0000FA2A0000}"/>
    <cellStyle name="Comma 45 3 2 3 3" xfId="15270" xr:uid="{00000000-0005-0000-0000-0000FB2A0000}"/>
    <cellStyle name="Comma 45 3 2 3_TOM TAT" xfId="22199" xr:uid="{00000000-0005-0000-0000-0000FC2A0000}"/>
    <cellStyle name="Comma 45 3 2 4" xfId="29755" xr:uid="{00000000-0005-0000-0000-0000FD2A0000}"/>
    <cellStyle name="Comma 45 3 2 5" xfId="15267" xr:uid="{00000000-0005-0000-0000-0000FE2A0000}"/>
    <cellStyle name="Comma 45 3 2_TOM TAT" xfId="22196" xr:uid="{00000000-0005-0000-0000-0000FF2A0000}"/>
    <cellStyle name="Comma 45 3 3" xfId="9095" xr:uid="{00000000-0005-0000-0000-0000002B0000}"/>
    <cellStyle name="Comma 45 3 3 2" xfId="9096" xr:uid="{00000000-0005-0000-0000-0000012B0000}"/>
    <cellStyle name="Comma 45 3 3 2 2" xfId="9097" xr:uid="{00000000-0005-0000-0000-0000022B0000}"/>
    <cellStyle name="Comma 45 3 3 2 2 2" xfId="29761" xr:uid="{00000000-0005-0000-0000-0000032B0000}"/>
    <cellStyle name="Comma 45 3 3 2 2 3" xfId="15273" xr:uid="{00000000-0005-0000-0000-0000042B0000}"/>
    <cellStyle name="Comma 45 3 3 2 2_TOM TAT" xfId="22202" xr:uid="{00000000-0005-0000-0000-0000052B0000}"/>
    <cellStyle name="Comma 45 3 3 2 3" xfId="29760" xr:uid="{00000000-0005-0000-0000-0000062B0000}"/>
    <cellStyle name="Comma 45 3 3 2 4" xfId="15272" xr:uid="{00000000-0005-0000-0000-0000072B0000}"/>
    <cellStyle name="Comma 45 3 3 2_TOM TAT" xfId="22201" xr:uid="{00000000-0005-0000-0000-0000082B0000}"/>
    <cellStyle name="Comma 45 3 3 3" xfId="9098" xr:uid="{00000000-0005-0000-0000-0000092B0000}"/>
    <cellStyle name="Comma 45 3 3 3 2" xfId="29762" xr:uid="{00000000-0005-0000-0000-00000A2B0000}"/>
    <cellStyle name="Comma 45 3 3 3 3" xfId="15274" xr:uid="{00000000-0005-0000-0000-00000B2B0000}"/>
    <cellStyle name="Comma 45 3 3 3_TOM TAT" xfId="22203" xr:uid="{00000000-0005-0000-0000-00000C2B0000}"/>
    <cellStyle name="Comma 45 3 3 4" xfId="29759" xr:uid="{00000000-0005-0000-0000-00000D2B0000}"/>
    <cellStyle name="Comma 45 3 3 5" xfId="15271" xr:uid="{00000000-0005-0000-0000-00000E2B0000}"/>
    <cellStyle name="Comma 45 3 3_TOM TAT" xfId="22200" xr:uid="{00000000-0005-0000-0000-00000F2B0000}"/>
    <cellStyle name="Comma 45 3 4" xfId="9099" xr:uid="{00000000-0005-0000-0000-0000102B0000}"/>
    <cellStyle name="Comma 45 3 4 2" xfId="9100" xr:uid="{00000000-0005-0000-0000-0000112B0000}"/>
    <cellStyle name="Comma 45 3 4 2 2" xfId="29764" xr:uid="{00000000-0005-0000-0000-0000122B0000}"/>
    <cellStyle name="Comma 45 3 4 2 3" xfId="15276" xr:uid="{00000000-0005-0000-0000-0000132B0000}"/>
    <cellStyle name="Comma 45 3 4 2_TOM TAT" xfId="22205" xr:uid="{00000000-0005-0000-0000-0000142B0000}"/>
    <cellStyle name="Comma 45 3 4 3" xfId="29763" xr:uid="{00000000-0005-0000-0000-0000152B0000}"/>
    <cellStyle name="Comma 45 3 4 4" xfId="15275" xr:uid="{00000000-0005-0000-0000-0000162B0000}"/>
    <cellStyle name="Comma 45 3 4_TOM TAT" xfId="22204" xr:uid="{00000000-0005-0000-0000-0000172B0000}"/>
    <cellStyle name="Comma 45 3 5" xfId="9101" xr:uid="{00000000-0005-0000-0000-0000182B0000}"/>
    <cellStyle name="Comma 45 3 5 2" xfId="29765" xr:uid="{00000000-0005-0000-0000-0000192B0000}"/>
    <cellStyle name="Comma 45 3 5 3" xfId="15277" xr:uid="{00000000-0005-0000-0000-00001A2B0000}"/>
    <cellStyle name="Comma 45 3 5_TOM TAT" xfId="22206" xr:uid="{00000000-0005-0000-0000-00001B2B0000}"/>
    <cellStyle name="Comma 45 3 6" xfId="29754" xr:uid="{00000000-0005-0000-0000-00001C2B0000}"/>
    <cellStyle name="Comma 45 3 7" xfId="15266" xr:uid="{00000000-0005-0000-0000-00001D2B0000}"/>
    <cellStyle name="Comma 45 3_TOM TAT" xfId="22195" xr:uid="{00000000-0005-0000-0000-00001E2B0000}"/>
    <cellStyle name="Comma 45 4" xfId="9102" xr:uid="{00000000-0005-0000-0000-00001F2B0000}"/>
    <cellStyle name="Comma 45 4 2" xfId="9103" xr:uid="{00000000-0005-0000-0000-0000202B0000}"/>
    <cellStyle name="Comma 45 4 2 2" xfId="9104" xr:uid="{00000000-0005-0000-0000-0000212B0000}"/>
    <cellStyle name="Comma 45 4 2 2 2" xfId="9105" xr:uid="{00000000-0005-0000-0000-0000222B0000}"/>
    <cellStyle name="Comma 45 4 2 2 2 2" xfId="29769" xr:uid="{00000000-0005-0000-0000-0000232B0000}"/>
    <cellStyle name="Comma 45 4 2 2 2 3" xfId="15281" xr:uid="{00000000-0005-0000-0000-0000242B0000}"/>
    <cellStyle name="Comma 45 4 2 2 2_TOM TAT" xfId="22210" xr:uid="{00000000-0005-0000-0000-0000252B0000}"/>
    <cellStyle name="Comma 45 4 2 2 3" xfId="29768" xr:uid="{00000000-0005-0000-0000-0000262B0000}"/>
    <cellStyle name="Comma 45 4 2 2 4" xfId="15280" xr:uid="{00000000-0005-0000-0000-0000272B0000}"/>
    <cellStyle name="Comma 45 4 2 2_TOM TAT" xfId="22209" xr:uid="{00000000-0005-0000-0000-0000282B0000}"/>
    <cellStyle name="Comma 45 4 2 3" xfId="9106" xr:uid="{00000000-0005-0000-0000-0000292B0000}"/>
    <cellStyle name="Comma 45 4 2 3 2" xfId="29770" xr:uid="{00000000-0005-0000-0000-00002A2B0000}"/>
    <cellStyle name="Comma 45 4 2 3 3" xfId="15282" xr:uid="{00000000-0005-0000-0000-00002B2B0000}"/>
    <cellStyle name="Comma 45 4 2 3_TOM TAT" xfId="22211" xr:uid="{00000000-0005-0000-0000-00002C2B0000}"/>
    <cellStyle name="Comma 45 4 2 4" xfId="29767" xr:uid="{00000000-0005-0000-0000-00002D2B0000}"/>
    <cellStyle name="Comma 45 4 2 5" xfId="15279" xr:uid="{00000000-0005-0000-0000-00002E2B0000}"/>
    <cellStyle name="Comma 45 4 2_TOM TAT" xfId="22208" xr:uid="{00000000-0005-0000-0000-00002F2B0000}"/>
    <cellStyle name="Comma 45 4 3" xfId="9107" xr:uid="{00000000-0005-0000-0000-0000302B0000}"/>
    <cellStyle name="Comma 45 4 3 2" xfId="9108" xr:uid="{00000000-0005-0000-0000-0000312B0000}"/>
    <cellStyle name="Comma 45 4 3 2 2" xfId="29772" xr:uid="{00000000-0005-0000-0000-0000322B0000}"/>
    <cellStyle name="Comma 45 4 3 2 3" xfId="15284" xr:uid="{00000000-0005-0000-0000-0000332B0000}"/>
    <cellStyle name="Comma 45 4 3 2_TOM TAT" xfId="22213" xr:uid="{00000000-0005-0000-0000-0000342B0000}"/>
    <cellStyle name="Comma 45 4 3 3" xfId="29771" xr:uid="{00000000-0005-0000-0000-0000352B0000}"/>
    <cellStyle name="Comma 45 4 3 4" xfId="15283" xr:uid="{00000000-0005-0000-0000-0000362B0000}"/>
    <cellStyle name="Comma 45 4 3_TOM TAT" xfId="22212" xr:uid="{00000000-0005-0000-0000-0000372B0000}"/>
    <cellStyle name="Comma 45 4 4" xfId="9109" xr:uid="{00000000-0005-0000-0000-0000382B0000}"/>
    <cellStyle name="Comma 45 4 4 2" xfId="29773" xr:uid="{00000000-0005-0000-0000-0000392B0000}"/>
    <cellStyle name="Comma 45 4 4 3" xfId="15285" xr:uid="{00000000-0005-0000-0000-00003A2B0000}"/>
    <cellStyle name="Comma 45 4 4_TOM TAT" xfId="22214" xr:uid="{00000000-0005-0000-0000-00003B2B0000}"/>
    <cellStyle name="Comma 45 4 5" xfId="29766" xr:uid="{00000000-0005-0000-0000-00003C2B0000}"/>
    <cellStyle name="Comma 45 4 6" xfId="15278" xr:uid="{00000000-0005-0000-0000-00003D2B0000}"/>
    <cellStyle name="Comma 45 4_TOM TAT" xfId="22207" xr:uid="{00000000-0005-0000-0000-00003E2B0000}"/>
    <cellStyle name="Comma 45 5" xfId="9110" xr:uid="{00000000-0005-0000-0000-00003F2B0000}"/>
    <cellStyle name="Comma 45 5 2" xfId="9111" xr:uid="{00000000-0005-0000-0000-0000402B0000}"/>
    <cellStyle name="Comma 45 5 2 2" xfId="9112" xr:uid="{00000000-0005-0000-0000-0000412B0000}"/>
    <cellStyle name="Comma 45 5 2 2 2" xfId="29776" xr:uid="{00000000-0005-0000-0000-0000422B0000}"/>
    <cellStyle name="Comma 45 5 2 2 3" xfId="15288" xr:uid="{00000000-0005-0000-0000-0000432B0000}"/>
    <cellStyle name="Comma 45 5 2 2_TOM TAT" xfId="22217" xr:uid="{00000000-0005-0000-0000-0000442B0000}"/>
    <cellStyle name="Comma 45 5 2 3" xfId="29775" xr:uid="{00000000-0005-0000-0000-0000452B0000}"/>
    <cellStyle name="Comma 45 5 2 4" xfId="15287" xr:uid="{00000000-0005-0000-0000-0000462B0000}"/>
    <cellStyle name="Comma 45 5 2_TOM TAT" xfId="22216" xr:uid="{00000000-0005-0000-0000-0000472B0000}"/>
    <cellStyle name="Comma 45 5 3" xfId="9113" xr:uid="{00000000-0005-0000-0000-0000482B0000}"/>
    <cellStyle name="Comma 45 5 3 2" xfId="29777" xr:uid="{00000000-0005-0000-0000-0000492B0000}"/>
    <cellStyle name="Comma 45 5 3 3" xfId="15289" xr:uid="{00000000-0005-0000-0000-00004A2B0000}"/>
    <cellStyle name="Comma 45 5 3_TOM TAT" xfId="22218" xr:uid="{00000000-0005-0000-0000-00004B2B0000}"/>
    <cellStyle name="Comma 45 5 4" xfId="29774" xr:uid="{00000000-0005-0000-0000-00004C2B0000}"/>
    <cellStyle name="Comma 45 5 5" xfId="15286" xr:uid="{00000000-0005-0000-0000-00004D2B0000}"/>
    <cellStyle name="Comma 45 5_TOM TAT" xfId="22215" xr:uid="{00000000-0005-0000-0000-00004E2B0000}"/>
    <cellStyle name="Comma 45 6" xfId="9114" xr:uid="{00000000-0005-0000-0000-00004F2B0000}"/>
    <cellStyle name="Comma 45 6 2" xfId="9115" xr:uid="{00000000-0005-0000-0000-0000502B0000}"/>
    <cellStyle name="Comma 45 6 2 2" xfId="29779" xr:uid="{00000000-0005-0000-0000-0000512B0000}"/>
    <cellStyle name="Comma 45 6 2 3" xfId="15291" xr:uid="{00000000-0005-0000-0000-0000522B0000}"/>
    <cellStyle name="Comma 45 6 2_TOM TAT" xfId="22220" xr:uid="{00000000-0005-0000-0000-0000532B0000}"/>
    <cellStyle name="Comma 45 6 3" xfId="29778" xr:uid="{00000000-0005-0000-0000-0000542B0000}"/>
    <cellStyle name="Comma 45 6 4" xfId="15290" xr:uid="{00000000-0005-0000-0000-0000552B0000}"/>
    <cellStyle name="Comma 45 6_TOM TAT" xfId="22219" xr:uid="{00000000-0005-0000-0000-0000562B0000}"/>
    <cellStyle name="Comma 45 7" xfId="9116" xr:uid="{00000000-0005-0000-0000-0000572B0000}"/>
    <cellStyle name="Comma 45 7 2" xfId="29780" xr:uid="{00000000-0005-0000-0000-0000582B0000}"/>
    <cellStyle name="Comma 45 7 3" xfId="15292" xr:uid="{00000000-0005-0000-0000-0000592B0000}"/>
    <cellStyle name="Comma 45 7_TOM TAT" xfId="22221" xr:uid="{00000000-0005-0000-0000-00005A2B0000}"/>
    <cellStyle name="Comma 45 8" xfId="18597" xr:uid="{00000000-0005-0000-0000-00005B2B0000}"/>
    <cellStyle name="Comma 45 8 2" xfId="31764" xr:uid="{00000000-0005-0000-0000-00005C2B0000}"/>
    <cellStyle name="Comma 45 8_TOM TAT" xfId="22222" xr:uid="{00000000-0005-0000-0000-00005D2B0000}"/>
    <cellStyle name="Comma 45_TOM TAT" xfId="22165" xr:uid="{00000000-0005-0000-0000-00005E2B0000}"/>
    <cellStyle name="Comma 46" xfId="4842" xr:uid="{00000000-0005-0000-0000-00005F2B0000}"/>
    <cellStyle name="Comma 46 2" xfId="5381" xr:uid="{00000000-0005-0000-0000-0000602B0000}"/>
    <cellStyle name="Comma 46 2 2" xfId="9117" xr:uid="{00000000-0005-0000-0000-0000612B0000}"/>
    <cellStyle name="Comma 46 2 2 2" xfId="9118" xr:uid="{00000000-0005-0000-0000-0000622B0000}"/>
    <cellStyle name="Comma 46 2 2 2 2" xfId="29782" xr:uid="{00000000-0005-0000-0000-0000632B0000}"/>
    <cellStyle name="Comma 46 2 2 2 3" xfId="15294" xr:uid="{00000000-0005-0000-0000-0000642B0000}"/>
    <cellStyle name="Comma 46 2 2 2_TOM TAT" xfId="22226" xr:uid="{00000000-0005-0000-0000-0000652B0000}"/>
    <cellStyle name="Comma 46 2 2 3" xfId="29781" xr:uid="{00000000-0005-0000-0000-0000662B0000}"/>
    <cellStyle name="Comma 46 2 2 4" xfId="15293" xr:uid="{00000000-0005-0000-0000-0000672B0000}"/>
    <cellStyle name="Comma 46 2 2_TOM TAT" xfId="22225" xr:uid="{00000000-0005-0000-0000-0000682B0000}"/>
    <cellStyle name="Comma 46 2 3" xfId="9119" xr:uid="{00000000-0005-0000-0000-0000692B0000}"/>
    <cellStyle name="Comma 46 2 3 2" xfId="29783" xr:uid="{00000000-0005-0000-0000-00006A2B0000}"/>
    <cellStyle name="Comma 46 2 3 3" xfId="15295" xr:uid="{00000000-0005-0000-0000-00006B2B0000}"/>
    <cellStyle name="Comma 46 2 3_TOM TAT" xfId="22227" xr:uid="{00000000-0005-0000-0000-00006C2B0000}"/>
    <cellStyle name="Comma 46 2 4" xfId="18670" xr:uid="{00000000-0005-0000-0000-00006D2B0000}"/>
    <cellStyle name="Comma 46 2 4 2" xfId="31790" xr:uid="{00000000-0005-0000-0000-00006E2B0000}"/>
    <cellStyle name="Comma 46 2 4_TOM TAT" xfId="22228" xr:uid="{00000000-0005-0000-0000-00006F2B0000}"/>
    <cellStyle name="Comma 46 2_TOM TAT" xfId="22224" xr:uid="{00000000-0005-0000-0000-0000702B0000}"/>
    <cellStyle name="Comma 46 3" xfId="9120" xr:uid="{00000000-0005-0000-0000-0000712B0000}"/>
    <cellStyle name="Comma 46 3 2" xfId="29784" xr:uid="{00000000-0005-0000-0000-0000722B0000}"/>
    <cellStyle name="Comma 46 3 3" xfId="15296" xr:uid="{00000000-0005-0000-0000-0000732B0000}"/>
    <cellStyle name="Comma 46 3_TOM TAT" xfId="22229" xr:uid="{00000000-0005-0000-0000-0000742B0000}"/>
    <cellStyle name="Comma 46 4" xfId="18599" xr:uid="{00000000-0005-0000-0000-0000752B0000}"/>
    <cellStyle name="Comma 46 4 2" xfId="31766" xr:uid="{00000000-0005-0000-0000-0000762B0000}"/>
    <cellStyle name="Comma 46 4_TOM TAT" xfId="22230" xr:uid="{00000000-0005-0000-0000-0000772B0000}"/>
    <cellStyle name="Comma 46_TOM TAT" xfId="22223" xr:uid="{00000000-0005-0000-0000-0000782B0000}"/>
    <cellStyle name="Comma 47" xfId="4851" xr:uid="{00000000-0005-0000-0000-0000792B0000}"/>
    <cellStyle name="Comma 47 2" xfId="5382" xr:uid="{00000000-0005-0000-0000-00007A2B0000}"/>
    <cellStyle name="Comma 47 2 2" xfId="9121" xr:uid="{00000000-0005-0000-0000-00007B2B0000}"/>
    <cellStyle name="Comma 47 2 2 2" xfId="9122" xr:uid="{00000000-0005-0000-0000-00007C2B0000}"/>
    <cellStyle name="Comma 47 2 2 2 2" xfId="9123" xr:uid="{00000000-0005-0000-0000-00007D2B0000}"/>
    <cellStyle name="Comma 47 2 2 2 2 2" xfId="29787" xr:uid="{00000000-0005-0000-0000-00007E2B0000}"/>
    <cellStyle name="Comma 47 2 2 2 2 3" xfId="15299" xr:uid="{00000000-0005-0000-0000-00007F2B0000}"/>
    <cellStyle name="Comma 47 2 2 2 2_TOM TAT" xfId="22235" xr:uid="{00000000-0005-0000-0000-0000802B0000}"/>
    <cellStyle name="Comma 47 2 2 2 3" xfId="29786" xr:uid="{00000000-0005-0000-0000-0000812B0000}"/>
    <cellStyle name="Comma 47 2 2 2 4" xfId="15298" xr:uid="{00000000-0005-0000-0000-0000822B0000}"/>
    <cellStyle name="Comma 47 2 2 2_TOM TAT" xfId="22234" xr:uid="{00000000-0005-0000-0000-0000832B0000}"/>
    <cellStyle name="Comma 47 2 2 3" xfId="9124" xr:uid="{00000000-0005-0000-0000-0000842B0000}"/>
    <cellStyle name="Comma 47 2 2 3 2" xfId="29788" xr:uid="{00000000-0005-0000-0000-0000852B0000}"/>
    <cellStyle name="Comma 47 2 2 3 3" xfId="15300" xr:uid="{00000000-0005-0000-0000-0000862B0000}"/>
    <cellStyle name="Comma 47 2 2 3_TOM TAT" xfId="22236" xr:uid="{00000000-0005-0000-0000-0000872B0000}"/>
    <cellStyle name="Comma 47 2 2 4" xfId="29785" xr:uid="{00000000-0005-0000-0000-0000882B0000}"/>
    <cellStyle name="Comma 47 2 2 5" xfId="15297" xr:uid="{00000000-0005-0000-0000-0000892B0000}"/>
    <cellStyle name="Comma 47 2 2_TOM TAT" xfId="22233" xr:uid="{00000000-0005-0000-0000-00008A2B0000}"/>
    <cellStyle name="Comma 47 2 3" xfId="9125" xr:uid="{00000000-0005-0000-0000-00008B2B0000}"/>
    <cellStyle name="Comma 47 2 3 2" xfId="9126" xr:uid="{00000000-0005-0000-0000-00008C2B0000}"/>
    <cellStyle name="Comma 47 2 3 2 2" xfId="9127" xr:uid="{00000000-0005-0000-0000-00008D2B0000}"/>
    <cellStyle name="Comma 47 2 3 2 2 2" xfId="29791" xr:uid="{00000000-0005-0000-0000-00008E2B0000}"/>
    <cellStyle name="Comma 47 2 3 2 2 3" xfId="15303" xr:uid="{00000000-0005-0000-0000-00008F2B0000}"/>
    <cellStyle name="Comma 47 2 3 2 2_TOM TAT" xfId="22239" xr:uid="{00000000-0005-0000-0000-0000902B0000}"/>
    <cellStyle name="Comma 47 2 3 2 3" xfId="29790" xr:uid="{00000000-0005-0000-0000-0000912B0000}"/>
    <cellStyle name="Comma 47 2 3 2 4" xfId="15302" xr:uid="{00000000-0005-0000-0000-0000922B0000}"/>
    <cellStyle name="Comma 47 2 3 2_TOM TAT" xfId="22238" xr:uid="{00000000-0005-0000-0000-0000932B0000}"/>
    <cellStyle name="Comma 47 2 3 3" xfId="9128" xr:uid="{00000000-0005-0000-0000-0000942B0000}"/>
    <cellStyle name="Comma 47 2 3 3 2" xfId="29792" xr:uid="{00000000-0005-0000-0000-0000952B0000}"/>
    <cellStyle name="Comma 47 2 3 3 3" xfId="15304" xr:uid="{00000000-0005-0000-0000-0000962B0000}"/>
    <cellStyle name="Comma 47 2 3 3_TOM TAT" xfId="22240" xr:uid="{00000000-0005-0000-0000-0000972B0000}"/>
    <cellStyle name="Comma 47 2 3 4" xfId="29789" xr:uid="{00000000-0005-0000-0000-0000982B0000}"/>
    <cellStyle name="Comma 47 2 3 5" xfId="15301" xr:uid="{00000000-0005-0000-0000-0000992B0000}"/>
    <cellStyle name="Comma 47 2 3_TOM TAT" xfId="22237" xr:uid="{00000000-0005-0000-0000-00009A2B0000}"/>
    <cellStyle name="Comma 47 2 4" xfId="9129" xr:uid="{00000000-0005-0000-0000-00009B2B0000}"/>
    <cellStyle name="Comma 47 2 4 2" xfId="9130" xr:uid="{00000000-0005-0000-0000-00009C2B0000}"/>
    <cellStyle name="Comma 47 2 4 2 2" xfId="29794" xr:uid="{00000000-0005-0000-0000-00009D2B0000}"/>
    <cellStyle name="Comma 47 2 4 2 3" xfId="15306" xr:uid="{00000000-0005-0000-0000-00009E2B0000}"/>
    <cellStyle name="Comma 47 2 4 2_TOM TAT" xfId="22242" xr:uid="{00000000-0005-0000-0000-00009F2B0000}"/>
    <cellStyle name="Comma 47 2 4 3" xfId="29793" xr:uid="{00000000-0005-0000-0000-0000A02B0000}"/>
    <cellStyle name="Comma 47 2 4 4" xfId="15305" xr:uid="{00000000-0005-0000-0000-0000A12B0000}"/>
    <cellStyle name="Comma 47 2 4_TOM TAT" xfId="22241" xr:uid="{00000000-0005-0000-0000-0000A22B0000}"/>
    <cellStyle name="Comma 47 2 5" xfId="9131" xr:uid="{00000000-0005-0000-0000-0000A32B0000}"/>
    <cellStyle name="Comma 47 2 5 2" xfId="29795" xr:uid="{00000000-0005-0000-0000-0000A42B0000}"/>
    <cellStyle name="Comma 47 2 5 3" xfId="15307" xr:uid="{00000000-0005-0000-0000-0000A52B0000}"/>
    <cellStyle name="Comma 47 2 5_TOM TAT" xfId="22243" xr:uid="{00000000-0005-0000-0000-0000A62B0000}"/>
    <cellStyle name="Comma 47 2 6" xfId="18673" xr:uid="{00000000-0005-0000-0000-0000A72B0000}"/>
    <cellStyle name="Comma 47 2 6 2" xfId="31793" xr:uid="{00000000-0005-0000-0000-0000A82B0000}"/>
    <cellStyle name="Comma 47 2 6_TOM TAT" xfId="22244" xr:uid="{00000000-0005-0000-0000-0000A92B0000}"/>
    <cellStyle name="Comma 47 2_TOM TAT" xfId="22232" xr:uid="{00000000-0005-0000-0000-0000AA2B0000}"/>
    <cellStyle name="Comma 47 3" xfId="9132" xr:uid="{00000000-0005-0000-0000-0000AB2B0000}"/>
    <cellStyle name="Comma 47 3 2" xfId="9133" xr:uid="{00000000-0005-0000-0000-0000AC2B0000}"/>
    <cellStyle name="Comma 47 3 2 2" xfId="9134" xr:uid="{00000000-0005-0000-0000-0000AD2B0000}"/>
    <cellStyle name="Comma 47 3 2 2 2" xfId="9135" xr:uid="{00000000-0005-0000-0000-0000AE2B0000}"/>
    <cellStyle name="Comma 47 3 2 2 2 2" xfId="29799" xr:uid="{00000000-0005-0000-0000-0000AF2B0000}"/>
    <cellStyle name="Comma 47 3 2 2 2 3" xfId="15311" xr:uid="{00000000-0005-0000-0000-0000B02B0000}"/>
    <cellStyle name="Comma 47 3 2 2 2_TOM TAT" xfId="22248" xr:uid="{00000000-0005-0000-0000-0000B12B0000}"/>
    <cellStyle name="Comma 47 3 2 2 3" xfId="29798" xr:uid="{00000000-0005-0000-0000-0000B22B0000}"/>
    <cellStyle name="Comma 47 3 2 2 4" xfId="15310" xr:uid="{00000000-0005-0000-0000-0000B32B0000}"/>
    <cellStyle name="Comma 47 3 2 2_TOM TAT" xfId="22247" xr:uid="{00000000-0005-0000-0000-0000B42B0000}"/>
    <cellStyle name="Comma 47 3 2 3" xfId="9136" xr:uid="{00000000-0005-0000-0000-0000B52B0000}"/>
    <cellStyle name="Comma 47 3 2 3 2" xfId="29800" xr:uid="{00000000-0005-0000-0000-0000B62B0000}"/>
    <cellStyle name="Comma 47 3 2 3 3" xfId="15312" xr:uid="{00000000-0005-0000-0000-0000B72B0000}"/>
    <cellStyle name="Comma 47 3 2 3_TOM TAT" xfId="22249" xr:uid="{00000000-0005-0000-0000-0000B82B0000}"/>
    <cellStyle name="Comma 47 3 2 4" xfId="29797" xr:uid="{00000000-0005-0000-0000-0000B92B0000}"/>
    <cellStyle name="Comma 47 3 2 5" xfId="15309" xr:uid="{00000000-0005-0000-0000-0000BA2B0000}"/>
    <cellStyle name="Comma 47 3 2_TOM TAT" xfId="22246" xr:uid="{00000000-0005-0000-0000-0000BB2B0000}"/>
    <cellStyle name="Comma 47 3 3" xfId="9137" xr:uid="{00000000-0005-0000-0000-0000BC2B0000}"/>
    <cellStyle name="Comma 47 3 3 2" xfId="9138" xr:uid="{00000000-0005-0000-0000-0000BD2B0000}"/>
    <cellStyle name="Comma 47 3 3 2 2" xfId="29802" xr:uid="{00000000-0005-0000-0000-0000BE2B0000}"/>
    <cellStyle name="Comma 47 3 3 2 3" xfId="15314" xr:uid="{00000000-0005-0000-0000-0000BF2B0000}"/>
    <cellStyle name="Comma 47 3 3 2_TOM TAT" xfId="22251" xr:uid="{00000000-0005-0000-0000-0000C02B0000}"/>
    <cellStyle name="Comma 47 3 3 3" xfId="29801" xr:uid="{00000000-0005-0000-0000-0000C12B0000}"/>
    <cellStyle name="Comma 47 3 3 4" xfId="15313" xr:uid="{00000000-0005-0000-0000-0000C22B0000}"/>
    <cellStyle name="Comma 47 3 3_TOM TAT" xfId="22250" xr:uid="{00000000-0005-0000-0000-0000C32B0000}"/>
    <cellStyle name="Comma 47 3 4" xfId="9139" xr:uid="{00000000-0005-0000-0000-0000C42B0000}"/>
    <cellStyle name="Comma 47 3 4 2" xfId="29803" xr:uid="{00000000-0005-0000-0000-0000C52B0000}"/>
    <cellStyle name="Comma 47 3 4 3" xfId="15315" xr:uid="{00000000-0005-0000-0000-0000C62B0000}"/>
    <cellStyle name="Comma 47 3 4_TOM TAT" xfId="22252" xr:uid="{00000000-0005-0000-0000-0000C72B0000}"/>
    <cellStyle name="Comma 47 3 5" xfId="29796" xr:uid="{00000000-0005-0000-0000-0000C82B0000}"/>
    <cellStyle name="Comma 47 3 6" xfId="15308" xr:uid="{00000000-0005-0000-0000-0000C92B0000}"/>
    <cellStyle name="Comma 47 3_TOM TAT" xfId="22245" xr:uid="{00000000-0005-0000-0000-0000CA2B0000}"/>
    <cellStyle name="Comma 47 4" xfId="9140" xr:uid="{00000000-0005-0000-0000-0000CB2B0000}"/>
    <cellStyle name="Comma 47 4 2" xfId="9141" xr:uid="{00000000-0005-0000-0000-0000CC2B0000}"/>
    <cellStyle name="Comma 47 4 2 2" xfId="9142" xr:uid="{00000000-0005-0000-0000-0000CD2B0000}"/>
    <cellStyle name="Comma 47 4 2 2 2" xfId="29806" xr:uid="{00000000-0005-0000-0000-0000CE2B0000}"/>
    <cellStyle name="Comma 47 4 2 2 3" xfId="15318" xr:uid="{00000000-0005-0000-0000-0000CF2B0000}"/>
    <cellStyle name="Comma 47 4 2 2_TOM TAT" xfId="22255" xr:uid="{00000000-0005-0000-0000-0000D02B0000}"/>
    <cellStyle name="Comma 47 4 2 3" xfId="29805" xr:uid="{00000000-0005-0000-0000-0000D12B0000}"/>
    <cellStyle name="Comma 47 4 2 4" xfId="15317" xr:uid="{00000000-0005-0000-0000-0000D22B0000}"/>
    <cellStyle name="Comma 47 4 2_TOM TAT" xfId="22254" xr:uid="{00000000-0005-0000-0000-0000D32B0000}"/>
    <cellStyle name="Comma 47 4 3" xfId="9143" xr:uid="{00000000-0005-0000-0000-0000D42B0000}"/>
    <cellStyle name="Comma 47 4 3 2" xfId="29807" xr:uid="{00000000-0005-0000-0000-0000D52B0000}"/>
    <cellStyle name="Comma 47 4 3 3" xfId="15319" xr:uid="{00000000-0005-0000-0000-0000D62B0000}"/>
    <cellStyle name="Comma 47 4 3_TOM TAT" xfId="22256" xr:uid="{00000000-0005-0000-0000-0000D72B0000}"/>
    <cellStyle name="Comma 47 4 4" xfId="29804" xr:uid="{00000000-0005-0000-0000-0000D82B0000}"/>
    <cellStyle name="Comma 47 4 5" xfId="15316" xr:uid="{00000000-0005-0000-0000-0000D92B0000}"/>
    <cellStyle name="Comma 47 4_TOM TAT" xfId="22253" xr:uid="{00000000-0005-0000-0000-0000DA2B0000}"/>
    <cellStyle name="Comma 47 5" xfId="9144" xr:uid="{00000000-0005-0000-0000-0000DB2B0000}"/>
    <cellStyle name="Comma 47 5 2" xfId="9145" xr:uid="{00000000-0005-0000-0000-0000DC2B0000}"/>
    <cellStyle name="Comma 47 5 2 2" xfId="29809" xr:uid="{00000000-0005-0000-0000-0000DD2B0000}"/>
    <cellStyle name="Comma 47 5 2 3" xfId="15321" xr:uid="{00000000-0005-0000-0000-0000DE2B0000}"/>
    <cellStyle name="Comma 47 5 2_TOM TAT" xfId="22258" xr:uid="{00000000-0005-0000-0000-0000DF2B0000}"/>
    <cellStyle name="Comma 47 5 3" xfId="29808" xr:uid="{00000000-0005-0000-0000-0000E02B0000}"/>
    <cellStyle name="Comma 47 5 4" xfId="15320" xr:uid="{00000000-0005-0000-0000-0000E12B0000}"/>
    <cellStyle name="Comma 47 5_TOM TAT" xfId="22257" xr:uid="{00000000-0005-0000-0000-0000E22B0000}"/>
    <cellStyle name="Comma 47 6" xfId="9146" xr:uid="{00000000-0005-0000-0000-0000E32B0000}"/>
    <cellStyle name="Comma 47 6 2" xfId="29810" xr:uid="{00000000-0005-0000-0000-0000E42B0000}"/>
    <cellStyle name="Comma 47 6 3" xfId="15322" xr:uid="{00000000-0005-0000-0000-0000E52B0000}"/>
    <cellStyle name="Comma 47 6_TOM TAT" xfId="22259" xr:uid="{00000000-0005-0000-0000-0000E62B0000}"/>
    <cellStyle name="Comma 47 7" xfId="18602" xr:uid="{00000000-0005-0000-0000-0000E72B0000}"/>
    <cellStyle name="Comma 47 7 2" xfId="31769" xr:uid="{00000000-0005-0000-0000-0000E82B0000}"/>
    <cellStyle name="Comma 47 7_TOM TAT" xfId="22260" xr:uid="{00000000-0005-0000-0000-0000E92B0000}"/>
    <cellStyle name="Comma 47_TOM TAT" xfId="22231" xr:uid="{00000000-0005-0000-0000-0000EA2B0000}"/>
    <cellStyle name="Comma 48" xfId="5383" xr:uid="{00000000-0005-0000-0000-0000EB2B0000}"/>
    <cellStyle name="Comma 48 2" xfId="5384" xr:uid="{00000000-0005-0000-0000-0000EC2B0000}"/>
    <cellStyle name="Comma 48 2 2" xfId="9147" xr:uid="{00000000-0005-0000-0000-0000ED2B0000}"/>
    <cellStyle name="Comma 48 2 2 2" xfId="9148" xr:uid="{00000000-0005-0000-0000-0000EE2B0000}"/>
    <cellStyle name="Comma 48 2 2 2 2" xfId="9149" xr:uid="{00000000-0005-0000-0000-0000EF2B0000}"/>
    <cellStyle name="Comma 48 2 2 2 2 2" xfId="29813" xr:uid="{00000000-0005-0000-0000-0000F02B0000}"/>
    <cellStyle name="Comma 48 2 2 2 2 3" xfId="15325" xr:uid="{00000000-0005-0000-0000-0000F12B0000}"/>
    <cellStyle name="Comma 48 2 2 2 2_TOM TAT" xfId="22265" xr:uid="{00000000-0005-0000-0000-0000F22B0000}"/>
    <cellStyle name="Comma 48 2 2 2 3" xfId="29812" xr:uid="{00000000-0005-0000-0000-0000F32B0000}"/>
    <cellStyle name="Comma 48 2 2 2 4" xfId="15324" xr:uid="{00000000-0005-0000-0000-0000F42B0000}"/>
    <cellStyle name="Comma 48 2 2 2_TOM TAT" xfId="22264" xr:uid="{00000000-0005-0000-0000-0000F52B0000}"/>
    <cellStyle name="Comma 48 2 2 3" xfId="9150" xr:uid="{00000000-0005-0000-0000-0000F62B0000}"/>
    <cellStyle name="Comma 48 2 2 3 2" xfId="29814" xr:uid="{00000000-0005-0000-0000-0000F72B0000}"/>
    <cellStyle name="Comma 48 2 2 3 3" xfId="15326" xr:uid="{00000000-0005-0000-0000-0000F82B0000}"/>
    <cellStyle name="Comma 48 2 2 3_TOM TAT" xfId="22266" xr:uid="{00000000-0005-0000-0000-0000F92B0000}"/>
    <cellStyle name="Comma 48 2 2 4" xfId="29811" xr:uid="{00000000-0005-0000-0000-0000FA2B0000}"/>
    <cellStyle name="Comma 48 2 2 5" xfId="15323" xr:uid="{00000000-0005-0000-0000-0000FB2B0000}"/>
    <cellStyle name="Comma 48 2 2_TOM TAT" xfId="22263" xr:uid="{00000000-0005-0000-0000-0000FC2B0000}"/>
    <cellStyle name="Comma 48 2 3" xfId="9151" xr:uid="{00000000-0005-0000-0000-0000FD2B0000}"/>
    <cellStyle name="Comma 48 2 3 2" xfId="9152" xr:uid="{00000000-0005-0000-0000-0000FE2B0000}"/>
    <cellStyle name="Comma 48 2 3 2 2" xfId="29816" xr:uid="{00000000-0005-0000-0000-0000FF2B0000}"/>
    <cellStyle name="Comma 48 2 3 2 3" xfId="15328" xr:uid="{00000000-0005-0000-0000-0000002C0000}"/>
    <cellStyle name="Comma 48 2 3 2_TOM TAT" xfId="22268" xr:uid="{00000000-0005-0000-0000-0000012C0000}"/>
    <cellStyle name="Comma 48 2 3 3" xfId="29815" xr:uid="{00000000-0005-0000-0000-0000022C0000}"/>
    <cellStyle name="Comma 48 2 3 4" xfId="15327" xr:uid="{00000000-0005-0000-0000-0000032C0000}"/>
    <cellStyle name="Comma 48 2 3_TOM TAT" xfId="22267" xr:uid="{00000000-0005-0000-0000-0000042C0000}"/>
    <cellStyle name="Comma 48 2 4" xfId="9153" xr:uid="{00000000-0005-0000-0000-0000052C0000}"/>
    <cellStyle name="Comma 48 2 4 2" xfId="29817" xr:uid="{00000000-0005-0000-0000-0000062C0000}"/>
    <cellStyle name="Comma 48 2 4 3" xfId="15329" xr:uid="{00000000-0005-0000-0000-0000072C0000}"/>
    <cellStyle name="Comma 48 2 4_TOM TAT" xfId="22269" xr:uid="{00000000-0005-0000-0000-0000082C0000}"/>
    <cellStyle name="Comma 48 2 5" xfId="18610" xr:uid="{00000000-0005-0000-0000-0000092C0000}"/>
    <cellStyle name="Comma 48 2 5 2" xfId="31775" xr:uid="{00000000-0005-0000-0000-00000A2C0000}"/>
    <cellStyle name="Comma 48 2 5_TOM TAT" xfId="22270" xr:uid="{00000000-0005-0000-0000-00000B2C0000}"/>
    <cellStyle name="Comma 48 2 6" xfId="28208" xr:uid="{00000000-0005-0000-0000-00000C2C0000}"/>
    <cellStyle name="Comma 48 2 7" xfId="14672" xr:uid="{00000000-0005-0000-0000-00000D2C0000}"/>
    <cellStyle name="Comma 48 2_TOM TAT" xfId="22262" xr:uid="{00000000-0005-0000-0000-00000E2C0000}"/>
    <cellStyle name="Comma 48 3" xfId="9154" xr:uid="{00000000-0005-0000-0000-00000F2C0000}"/>
    <cellStyle name="Comma 48 3 2" xfId="9155" xr:uid="{00000000-0005-0000-0000-0000102C0000}"/>
    <cellStyle name="Comma 48 3 2 2" xfId="9156" xr:uid="{00000000-0005-0000-0000-0000112C0000}"/>
    <cellStyle name="Comma 48 3 2 2 2" xfId="29820" xr:uid="{00000000-0005-0000-0000-0000122C0000}"/>
    <cellStyle name="Comma 48 3 2 2 3" xfId="15332" xr:uid="{00000000-0005-0000-0000-0000132C0000}"/>
    <cellStyle name="Comma 48 3 2 2_TOM TAT" xfId="22273" xr:uid="{00000000-0005-0000-0000-0000142C0000}"/>
    <cellStyle name="Comma 48 3 2 3" xfId="29819" xr:uid="{00000000-0005-0000-0000-0000152C0000}"/>
    <cellStyle name="Comma 48 3 2 4" xfId="15331" xr:uid="{00000000-0005-0000-0000-0000162C0000}"/>
    <cellStyle name="Comma 48 3 2_TOM TAT" xfId="22272" xr:uid="{00000000-0005-0000-0000-0000172C0000}"/>
    <cellStyle name="Comma 48 3 3" xfId="9157" xr:uid="{00000000-0005-0000-0000-0000182C0000}"/>
    <cellStyle name="Comma 48 3 3 2" xfId="29821" xr:uid="{00000000-0005-0000-0000-0000192C0000}"/>
    <cellStyle name="Comma 48 3 3 3" xfId="15333" xr:uid="{00000000-0005-0000-0000-00001A2C0000}"/>
    <cellStyle name="Comma 48 3 3_TOM TAT" xfId="22274" xr:uid="{00000000-0005-0000-0000-00001B2C0000}"/>
    <cellStyle name="Comma 48 3 4" xfId="18676" xr:uid="{00000000-0005-0000-0000-00001C2C0000}"/>
    <cellStyle name="Comma 48 3 4 2" xfId="31796" xr:uid="{00000000-0005-0000-0000-00001D2C0000}"/>
    <cellStyle name="Comma 48 3 4_TOM TAT" xfId="22275" xr:uid="{00000000-0005-0000-0000-00001E2C0000}"/>
    <cellStyle name="Comma 48 3 5" xfId="29818" xr:uid="{00000000-0005-0000-0000-00001F2C0000}"/>
    <cellStyle name="Comma 48 3 6" xfId="15330" xr:uid="{00000000-0005-0000-0000-0000202C0000}"/>
    <cellStyle name="Comma 48 3_TOM TAT" xfId="22271" xr:uid="{00000000-0005-0000-0000-0000212C0000}"/>
    <cellStyle name="Comma 48 4" xfId="9158" xr:uid="{00000000-0005-0000-0000-0000222C0000}"/>
    <cellStyle name="Comma 48 4 2" xfId="9159" xr:uid="{00000000-0005-0000-0000-0000232C0000}"/>
    <cellStyle name="Comma 48 4 2 2" xfId="29823" xr:uid="{00000000-0005-0000-0000-0000242C0000}"/>
    <cellStyle name="Comma 48 4 2 3" xfId="15335" xr:uid="{00000000-0005-0000-0000-0000252C0000}"/>
    <cellStyle name="Comma 48 4 2_TOM TAT" xfId="22277" xr:uid="{00000000-0005-0000-0000-0000262C0000}"/>
    <cellStyle name="Comma 48 4 3" xfId="29822" xr:uid="{00000000-0005-0000-0000-0000272C0000}"/>
    <cellStyle name="Comma 48 4 4" xfId="15334" xr:uid="{00000000-0005-0000-0000-0000282C0000}"/>
    <cellStyle name="Comma 48 4_TOM TAT" xfId="22276" xr:uid="{00000000-0005-0000-0000-0000292C0000}"/>
    <cellStyle name="Comma 48 5" xfId="9160" xr:uid="{00000000-0005-0000-0000-00002A2C0000}"/>
    <cellStyle name="Comma 48 5 2" xfId="29824" xr:uid="{00000000-0005-0000-0000-00002B2C0000}"/>
    <cellStyle name="Comma 48 5 3" xfId="15336" xr:uid="{00000000-0005-0000-0000-00002C2C0000}"/>
    <cellStyle name="Comma 48 5_TOM TAT" xfId="22278" xr:uid="{00000000-0005-0000-0000-00002D2C0000}"/>
    <cellStyle name="Comma 48 6" xfId="18605" xr:uid="{00000000-0005-0000-0000-00002E2C0000}"/>
    <cellStyle name="Comma 48 6 2" xfId="31772" xr:uid="{00000000-0005-0000-0000-00002F2C0000}"/>
    <cellStyle name="Comma 48 6_TOM TAT" xfId="22279" xr:uid="{00000000-0005-0000-0000-0000302C0000}"/>
    <cellStyle name="Comma 48_TOM TAT" xfId="22261" xr:uid="{00000000-0005-0000-0000-0000312C0000}"/>
    <cellStyle name="Comma 49" xfId="5385" xr:uid="{00000000-0005-0000-0000-0000322C0000}"/>
    <cellStyle name="Comma 49 2" xfId="5386" xr:uid="{00000000-0005-0000-0000-0000332C0000}"/>
    <cellStyle name="Comma 49 2 2" xfId="9161" xr:uid="{00000000-0005-0000-0000-0000342C0000}"/>
    <cellStyle name="Comma 49 2 2 2" xfId="9162" xr:uid="{00000000-0005-0000-0000-0000352C0000}"/>
    <cellStyle name="Comma 49 2 2 2 2" xfId="29826" xr:uid="{00000000-0005-0000-0000-0000362C0000}"/>
    <cellStyle name="Comma 49 2 2 2 3" xfId="15338" xr:uid="{00000000-0005-0000-0000-0000372C0000}"/>
    <cellStyle name="Comma 49 2 2 2_TOM TAT" xfId="22283" xr:uid="{00000000-0005-0000-0000-0000382C0000}"/>
    <cellStyle name="Comma 49 2 2 3" xfId="29825" xr:uid="{00000000-0005-0000-0000-0000392C0000}"/>
    <cellStyle name="Comma 49 2 2 4" xfId="15337" xr:uid="{00000000-0005-0000-0000-00003A2C0000}"/>
    <cellStyle name="Comma 49 2 2_TOM TAT" xfId="22282" xr:uid="{00000000-0005-0000-0000-00003B2C0000}"/>
    <cellStyle name="Comma 49 2 3" xfId="9163" xr:uid="{00000000-0005-0000-0000-00003C2C0000}"/>
    <cellStyle name="Comma 49 2 3 2" xfId="29827" xr:uid="{00000000-0005-0000-0000-00003D2C0000}"/>
    <cellStyle name="Comma 49 2 3 3" xfId="15339" xr:uid="{00000000-0005-0000-0000-00003E2C0000}"/>
    <cellStyle name="Comma 49 2 3_TOM TAT" xfId="22284" xr:uid="{00000000-0005-0000-0000-00003F2C0000}"/>
    <cellStyle name="Comma 49 2_TOM TAT" xfId="22281" xr:uid="{00000000-0005-0000-0000-0000402C0000}"/>
    <cellStyle name="Comma 49 3" xfId="9164" xr:uid="{00000000-0005-0000-0000-0000412C0000}"/>
    <cellStyle name="Comma 49 3 2" xfId="9165" xr:uid="{00000000-0005-0000-0000-0000422C0000}"/>
    <cellStyle name="Comma 49 3 2 2" xfId="9166" xr:uid="{00000000-0005-0000-0000-0000432C0000}"/>
    <cellStyle name="Comma 49 3 2 2 2" xfId="29830" xr:uid="{00000000-0005-0000-0000-0000442C0000}"/>
    <cellStyle name="Comma 49 3 2 2 3" xfId="15342" xr:uid="{00000000-0005-0000-0000-0000452C0000}"/>
    <cellStyle name="Comma 49 3 2 2_TOM TAT" xfId="22287" xr:uid="{00000000-0005-0000-0000-0000462C0000}"/>
    <cellStyle name="Comma 49 3 2 3" xfId="29829" xr:uid="{00000000-0005-0000-0000-0000472C0000}"/>
    <cellStyle name="Comma 49 3 2 4" xfId="15341" xr:uid="{00000000-0005-0000-0000-0000482C0000}"/>
    <cellStyle name="Comma 49 3 2_TOM TAT" xfId="22286" xr:uid="{00000000-0005-0000-0000-0000492C0000}"/>
    <cellStyle name="Comma 49 3 3" xfId="9167" xr:uid="{00000000-0005-0000-0000-00004A2C0000}"/>
    <cellStyle name="Comma 49 3 3 2" xfId="29831" xr:uid="{00000000-0005-0000-0000-00004B2C0000}"/>
    <cellStyle name="Comma 49 3 3 3" xfId="15343" xr:uid="{00000000-0005-0000-0000-00004C2C0000}"/>
    <cellStyle name="Comma 49 3 3_TOM TAT" xfId="22288" xr:uid="{00000000-0005-0000-0000-00004D2C0000}"/>
    <cellStyle name="Comma 49 3 4" xfId="29828" xr:uid="{00000000-0005-0000-0000-00004E2C0000}"/>
    <cellStyle name="Comma 49 3 5" xfId="15340" xr:uid="{00000000-0005-0000-0000-00004F2C0000}"/>
    <cellStyle name="Comma 49 3_TOM TAT" xfId="22285" xr:uid="{00000000-0005-0000-0000-0000502C0000}"/>
    <cellStyle name="Comma 49 4" xfId="9168" xr:uid="{00000000-0005-0000-0000-0000512C0000}"/>
    <cellStyle name="Comma 49 4 2" xfId="9169" xr:uid="{00000000-0005-0000-0000-0000522C0000}"/>
    <cellStyle name="Comma 49 4 2 2" xfId="29833" xr:uid="{00000000-0005-0000-0000-0000532C0000}"/>
    <cellStyle name="Comma 49 4 2 3" xfId="15345" xr:uid="{00000000-0005-0000-0000-0000542C0000}"/>
    <cellStyle name="Comma 49 4 2_TOM TAT" xfId="22290" xr:uid="{00000000-0005-0000-0000-0000552C0000}"/>
    <cellStyle name="Comma 49 4 3" xfId="29832" xr:uid="{00000000-0005-0000-0000-0000562C0000}"/>
    <cellStyle name="Comma 49 4 4" xfId="15344" xr:uid="{00000000-0005-0000-0000-0000572C0000}"/>
    <cellStyle name="Comma 49 4_TOM TAT" xfId="22289" xr:uid="{00000000-0005-0000-0000-0000582C0000}"/>
    <cellStyle name="Comma 49_TOM TAT" xfId="22280" xr:uid="{00000000-0005-0000-0000-0000592C0000}"/>
    <cellStyle name="Comma 5" xfId="1206" xr:uid="{00000000-0005-0000-0000-00005A2C0000}"/>
    <cellStyle name="Comma 5 2" xfId="2125" xr:uid="{00000000-0005-0000-0000-00005B2C0000}"/>
    <cellStyle name="Comma 5 2 2" xfId="5387" xr:uid="{00000000-0005-0000-0000-00005C2C0000}"/>
    <cellStyle name="Comma 5 2_TOM TAT" xfId="22291" xr:uid="{00000000-0005-0000-0000-00005D2C0000}"/>
    <cellStyle name="Comma 5 3" xfId="2124" xr:uid="{00000000-0005-0000-0000-00005E2C0000}"/>
    <cellStyle name="Comma 5 3 2" xfId="5388" xr:uid="{00000000-0005-0000-0000-00005F2C0000}"/>
    <cellStyle name="Comma 5 3 3" xfId="18585" xr:uid="{00000000-0005-0000-0000-0000602C0000}"/>
    <cellStyle name="Comma 5 3_TOM TAT" xfId="22292" xr:uid="{00000000-0005-0000-0000-0000612C0000}"/>
    <cellStyle name="Comma 5 4" xfId="4378" xr:uid="{00000000-0005-0000-0000-0000622C0000}"/>
    <cellStyle name="Comma 5 4 2" xfId="18626" xr:uid="{00000000-0005-0000-0000-0000632C0000}"/>
    <cellStyle name="Comma 5 4_TOM TAT" xfId="22293" xr:uid="{00000000-0005-0000-0000-0000642C0000}"/>
    <cellStyle name="Comma 5 5" xfId="5389" xr:uid="{00000000-0005-0000-0000-0000652C0000}"/>
    <cellStyle name="Comma 5 5 2" xfId="5390" xr:uid="{00000000-0005-0000-0000-0000662C0000}"/>
    <cellStyle name="Comma 5 5_TOM TAT" xfId="22294" xr:uid="{00000000-0005-0000-0000-0000672C0000}"/>
    <cellStyle name="Comma 5 6" xfId="9170" xr:uid="{00000000-0005-0000-0000-0000682C0000}"/>
    <cellStyle name="Comma 5 6 2" xfId="9171" xr:uid="{00000000-0005-0000-0000-0000692C0000}"/>
    <cellStyle name="Comma 5 6 2 2" xfId="29835" xr:uid="{00000000-0005-0000-0000-00006A2C0000}"/>
    <cellStyle name="Comma 5 6 2 3" xfId="15347" xr:uid="{00000000-0005-0000-0000-00006B2C0000}"/>
    <cellStyle name="Comma 5 6 2_TOM TAT" xfId="22296" xr:uid="{00000000-0005-0000-0000-00006C2C0000}"/>
    <cellStyle name="Comma 5 6 3" xfId="29834" xr:uid="{00000000-0005-0000-0000-00006D2C0000}"/>
    <cellStyle name="Comma 5 6 4" xfId="15346" xr:uid="{00000000-0005-0000-0000-00006E2C0000}"/>
    <cellStyle name="Comma 5 6_TOM TAT" xfId="22295" xr:uid="{00000000-0005-0000-0000-00006F2C0000}"/>
    <cellStyle name="Comma 5 7" xfId="26958" xr:uid="{00000000-0005-0000-0000-0000702C0000}"/>
    <cellStyle name="Comma 5 8" xfId="32281" xr:uid="{00000000-0005-0000-0000-0000712C0000}"/>
    <cellStyle name="Comma 5 9" xfId="32300" xr:uid="{00000000-0005-0000-0000-0000722C0000}"/>
    <cellStyle name="Comma 5_FS chuan Jamona Riverside" xfId="5391" xr:uid="{00000000-0005-0000-0000-0000732C0000}"/>
    <cellStyle name="Comma 50" xfId="5392" xr:uid="{00000000-0005-0000-0000-0000742C0000}"/>
    <cellStyle name="Comma 50 2" xfId="5393" xr:uid="{00000000-0005-0000-0000-0000752C0000}"/>
    <cellStyle name="Comma 50_TOM TAT" xfId="22297" xr:uid="{00000000-0005-0000-0000-0000762C0000}"/>
    <cellStyle name="Comma 51" xfId="5394" xr:uid="{00000000-0005-0000-0000-0000772C0000}"/>
    <cellStyle name="Comma 51 2" xfId="5395" xr:uid="{00000000-0005-0000-0000-0000782C0000}"/>
    <cellStyle name="Comma 51 2 2" xfId="9172" xr:uid="{00000000-0005-0000-0000-0000792C0000}"/>
    <cellStyle name="Comma 51 2 2 2" xfId="9173" xr:uid="{00000000-0005-0000-0000-00007A2C0000}"/>
    <cellStyle name="Comma 51 2 2 2 2" xfId="29837" xr:uid="{00000000-0005-0000-0000-00007B2C0000}"/>
    <cellStyle name="Comma 51 2 2 2 3" xfId="15349" xr:uid="{00000000-0005-0000-0000-00007C2C0000}"/>
    <cellStyle name="Comma 51 2 2 2_TOM TAT" xfId="22301" xr:uid="{00000000-0005-0000-0000-00007D2C0000}"/>
    <cellStyle name="Comma 51 2 2 3" xfId="29836" xr:uid="{00000000-0005-0000-0000-00007E2C0000}"/>
    <cellStyle name="Comma 51 2 2 4" xfId="15348" xr:uid="{00000000-0005-0000-0000-00007F2C0000}"/>
    <cellStyle name="Comma 51 2 2_TOM TAT" xfId="22300" xr:uid="{00000000-0005-0000-0000-0000802C0000}"/>
    <cellStyle name="Comma 51 2 3" xfId="9174" xr:uid="{00000000-0005-0000-0000-0000812C0000}"/>
    <cellStyle name="Comma 51 2 3 2" xfId="29838" xr:uid="{00000000-0005-0000-0000-0000822C0000}"/>
    <cellStyle name="Comma 51 2 3 3" xfId="15350" xr:uid="{00000000-0005-0000-0000-0000832C0000}"/>
    <cellStyle name="Comma 51 2 3_TOM TAT" xfId="22302" xr:uid="{00000000-0005-0000-0000-0000842C0000}"/>
    <cellStyle name="Comma 51 2_TOM TAT" xfId="22299" xr:uid="{00000000-0005-0000-0000-0000852C0000}"/>
    <cellStyle name="Comma 51 3" xfId="9175" xr:uid="{00000000-0005-0000-0000-0000862C0000}"/>
    <cellStyle name="Comma 51 3 2" xfId="29839" xr:uid="{00000000-0005-0000-0000-0000872C0000}"/>
    <cellStyle name="Comma 51 3 3" xfId="15351" xr:uid="{00000000-0005-0000-0000-0000882C0000}"/>
    <cellStyle name="Comma 51 3_TOM TAT" xfId="22303" xr:uid="{00000000-0005-0000-0000-0000892C0000}"/>
    <cellStyle name="Comma 51_TOM TAT" xfId="22298" xr:uid="{00000000-0005-0000-0000-00008A2C0000}"/>
    <cellStyle name="Comma 52" xfId="5396" xr:uid="{00000000-0005-0000-0000-00008B2C0000}"/>
    <cellStyle name="Comma 52 2" xfId="5397" xr:uid="{00000000-0005-0000-0000-00008C2C0000}"/>
    <cellStyle name="Comma 52 2 2" xfId="9176" xr:uid="{00000000-0005-0000-0000-00008D2C0000}"/>
    <cellStyle name="Comma 52 2 2 2" xfId="9177" xr:uid="{00000000-0005-0000-0000-00008E2C0000}"/>
    <cellStyle name="Comma 52 2 2 2 2" xfId="29841" xr:uid="{00000000-0005-0000-0000-00008F2C0000}"/>
    <cellStyle name="Comma 52 2 2 2 3" xfId="15353" xr:uid="{00000000-0005-0000-0000-0000902C0000}"/>
    <cellStyle name="Comma 52 2 2 2_TOM TAT" xfId="22307" xr:uid="{00000000-0005-0000-0000-0000912C0000}"/>
    <cellStyle name="Comma 52 2 2 3" xfId="29840" xr:uid="{00000000-0005-0000-0000-0000922C0000}"/>
    <cellStyle name="Comma 52 2 2 4" xfId="15352" xr:uid="{00000000-0005-0000-0000-0000932C0000}"/>
    <cellStyle name="Comma 52 2 2_TOM TAT" xfId="22306" xr:uid="{00000000-0005-0000-0000-0000942C0000}"/>
    <cellStyle name="Comma 52 2 3" xfId="9178" xr:uid="{00000000-0005-0000-0000-0000952C0000}"/>
    <cellStyle name="Comma 52 2 3 2" xfId="29842" xr:uid="{00000000-0005-0000-0000-0000962C0000}"/>
    <cellStyle name="Comma 52 2 3 3" xfId="15354" xr:uid="{00000000-0005-0000-0000-0000972C0000}"/>
    <cellStyle name="Comma 52 2 3_TOM TAT" xfId="22308" xr:uid="{00000000-0005-0000-0000-0000982C0000}"/>
    <cellStyle name="Comma 52 2_TOM TAT" xfId="22305" xr:uid="{00000000-0005-0000-0000-0000992C0000}"/>
    <cellStyle name="Comma 52 3" xfId="9179" xr:uid="{00000000-0005-0000-0000-00009A2C0000}"/>
    <cellStyle name="Comma 52 4" xfId="9180" xr:uid="{00000000-0005-0000-0000-00009B2C0000}"/>
    <cellStyle name="Comma 52 4 2" xfId="14598" xr:uid="{00000000-0005-0000-0000-00009C2C0000}"/>
    <cellStyle name="Comma 52 4 2 2" xfId="29843" xr:uid="{00000000-0005-0000-0000-00009D2C0000}"/>
    <cellStyle name="Comma 52 4 3" xfId="15355" xr:uid="{00000000-0005-0000-0000-00009E2C0000}"/>
    <cellStyle name="Comma 52 4_TOM TAT" xfId="22309" xr:uid="{00000000-0005-0000-0000-00009F2C0000}"/>
    <cellStyle name="Comma 52_TOM TAT" xfId="22304" xr:uid="{00000000-0005-0000-0000-0000A02C0000}"/>
    <cellStyle name="Comma 53" xfId="5398" xr:uid="{00000000-0005-0000-0000-0000A12C0000}"/>
    <cellStyle name="Comma 53 2" xfId="5399" xr:uid="{00000000-0005-0000-0000-0000A22C0000}"/>
    <cellStyle name="Comma 53 2 2" xfId="9181" xr:uid="{00000000-0005-0000-0000-0000A32C0000}"/>
    <cellStyle name="Comma 53 2 2 2" xfId="9182" xr:uid="{00000000-0005-0000-0000-0000A42C0000}"/>
    <cellStyle name="Comma 53 2 2 2 2" xfId="29845" xr:uid="{00000000-0005-0000-0000-0000A52C0000}"/>
    <cellStyle name="Comma 53 2 2 2 3" xfId="15357" xr:uid="{00000000-0005-0000-0000-0000A62C0000}"/>
    <cellStyle name="Comma 53 2 2 2_TOM TAT" xfId="22313" xr:uid="{00000000-0005-0000-0000-0000A72C0000}"/>
    <cellStyle name="Comma 53 2 2 3" xfId="29844" xr:uid="{00000000-0005-0000-0000-0000A82C0000}"/>
    <cellStyle name="Comma 53 2 2 4" xfId="15356" xr:uid="{00000000-0005-0000-0000-0000A92C0000}"/>
    <cellStyle name="Comma 53 2 2_TOM TAT" xfId="22312" xr:uid="{00000000-0005-0000-0000-0000AA2C0000}"/>
    <cellStyle name="Comma 53 2 3" xfId="9183" xr:uid="{00000000-0005-0000-0000-0000AB2C0000}"/>
    <cellStyle name="Comma 53 2 3 2" xfId="29846" xr:uid="{00000000-0005-0000-0000-0000AC2C0000}"/>
    <cellStyle name="Comma 53 2 3 3" xfId="15358" xr:uid="{00000000-0005-0000-0000-0000AD2C0000}"/>
    <cellStyle name="Comma 53 2 3_TOM TAT" xfId="22314" xr:uid="{00000000-0005-0000-0000-0000AE2C0000}"/>
    <cellStyle name="Comma 53 2 4" xfId="18979" xr:uid="{00000000-0005-0000-0000-0000AF2C0000}"/>
    <cellStyle name="Comma 53 2 4 2" xfId="31890" xr:uid="{00000000-0005-0000-0000-0000B02C0000}"/>
    <cellStyle name="Comma 53 2 4_TOM TAT" xfId="22315" xr:uid="{00000000-0005-0000-0000-0000B12C0000}"/>
    <cellStyle name="Comma 53 2 5" xfId="18980" xr:uid="{00000000-0005-0000-0000-0000B22C0000}"/>
    <cellStyle name="Comma 53 2 5 2" xfId="31891" xr:uid="{00000000-0005-0000-0000-0000B32C0000}"/>
    <cellStyle name="Comma 53 2 5_TOM TAT" xfId="22316" xr:uid="{00000000-0005-0000-0000-0000B42C0000}"/>
    <cellStyle name="Comma 53 2 6" xfId="18981" xr:uid="{00000000-0005-0000-0000-0000B52C0000}"/>
    <cellStyle name="Comma 53 2 6 2" xfId="31892" xr:uid="{00000000-0005-0000-0000-0000B62C0000}"/>
    <cellStyle name="Comma 53 2 6_TOM TAT" xfId="22317" xr:uid="{00000000-0005-0000-0000-0000B72C0000}"/>
    <cellStyle name="Comma 53 2 7" xfId="18982" xr:uid="{00000000-0005-0000-0000-0000B82C0000}"/>
    <cellStyle name="Comma 53 2 7 2" xfId="31893" xr:uid="{00000000-0005-0000-0000-0000B92C0000}"/>
    <cellStyle name="Comma 53 2 7_TOM TAT" xfId="22318" xr:uid="{00000000-0005-0000-0000-0000BA2C0000}"/>
    <cellStyle name="Comma 53 2_TOM TAT" xfId="22311" xr:uid="{00000000-0005-0000-0000-0000BB2C0000}"/>
    <cellStyle name="Comma 53 3" xfId="9184" xr:uid="{00000000-0005-0000-0000-0000BC2C0000}"/>
    <cellStyle name="Comma 53 3 2" xfId="29847" xr:uid="{00000000-0005-0000-0000-0000BD2C0000}"/>
    <cellStyle name="Comma 53 3 3" xfId="15359" xr:uid="{00000000-0005-0000-0000-0000BE2C0000}"/>
    <cellStyle name="Comma 53 3_TOM TAT" xfId="22319" xr:uid="{00000000-0005-0000-0000-0000BF2C0000}"/>
    <cellStyle name="Comma 53_TOM TAT" xfId="22310" xr:uid="{00000000-0005-0000-0000-0000C02C0000}"/>
    <cellStyle name="Comma 54" xfId="5400" xr:uid="{00000000-0005-0000-0000-0000C12C0000}"/>
    <cellStyle name="Comma 54 2" xfId="5401" xr:uid="{00000000-0005-0000-0000-0000C22C0000}"/>
    <cellStyle name="Comma 54 2 2" xfId="5402" xr:uid="{00000000-0005-0000-0000-0000C32C0000}"/>
    <cellStyle name="Comma 54 2 2 2" xfId="28210" xr:uid="{00000000-0005-0000-0000-0000C42C0000}"/>
    <cellStyle name="Comma 54 2 2 3" xfId="14674" xr:uid="{00000000-0005-0000-0000-0000C52C0000}"/>
    <cellStyle name="Comma 54 2 2_TOM TAT" xfId="22322" xr:uid="{00000000-0005-0000-0000-0000C62C0000}"/>
    <cellStyle name="Comma 54 2 3" xfId="28209" xr:uid="{00000000-0005-0000-0000-0000C72C0000}"/>
    <cellStyle name="Comma 54 2 4" xfId="14673" xr:uid="{00000000-0005-0000-0000-0000C82C0000}"/>
    <cellStyle name="Comma 54 2_TOM TAT" xfId="22321" xr:uid="{00000000-0005-0000-0000-0000C92C0000}"/>
    <cellStyle name="Comma 54 3" xfId="5403" xr:uid="{00000000-0005-0000-0000-0000CA2C0000}"/>
    <cellStyle name="Comma 54 3 2" xfId="28211" xr:uid="{00000000-0005-0000-0000-0000CB2C0000}"/>
    <cellStyle name="Comma 54 3 3" xfId="14675" xr:uid="{00000000-0005-0000-0000-0000CC2C0000}"/>
    <cellStyle name="Comma 54 3_TOM TAT" xfId="22323" xr:uid="{00000000-0005-0000-0000-0000CD2C0000}"/>
    <cellStyle name="Comma 54 4" xfId="18983" xr:uid="{00000000-0005-0000-0000-0000CE2C0000}"/>
    <cellStyle name="Comma 54 4 2" xfId="31894" xr:uid="{00000000-0005-0000-0000-0000CF2C0000}"/>
    <cellStyle name="Comma 54 4_TOM TAT" xfId="22324" xr:uid="{00000000-0005-0000-0000-0000D02C0000}"/>
    <cellStyle name="Comma 54 5" xfId="18984" xr:uid="{00000000-0005-0000-0000-0000D12C0000}"/>
    <cellStyle name="Comma 54 5 2" xfId="31895" xr:uid="{00000000-0005-0000-0000-0000D22C0000}"/>
    <cellStyle name="Comma 54 5_TOM TAT" xfId="22325" xr:uid="{00000000-0005-0000-0000-0000D32C0000}"/>
    <cellStyle name="Comma 54_TOM TAT" xfId="22320" xr:uid="{00000000-0005-0000-0000-0000D42C0000}"/>
    <cellStyle name="Comma 55" xfId="5404" xr:uid="{00000000-0005-0000-0000-0000D52C0000}"/>
    <cellStyle name="Comma 55 2" xfId="5405" xr:uid="{00000000-0005-0000-0000-0000D62C0000}"/>
    <cellStyle name="Comma 55_TOM TAT" xfId="22326" xr:uid="{00000000-0005-0000-0000-0000D72C0000}"/>
    <cellStyle name="Comma 56" xfId="5406" xr:uid="{00000000-0005-0000-0000-0000D82C0000}"/>
    <cellStyle name="Comma 56 2" xfId="5407" xr:uid="{00000000-0005-0000-0000-0000D92C0000}"/>
    <cellStyle name="Comma 56 3" xfId="5408" xr:uid="{00000000-0005-0000-0000-0000DA2C0000}"/>
    <cellStyle name="Comma 56_TOM TAT" xfId="22327" xr:uid="{00000000-0005-0000-0000-0000DB2C0000}"/>
    <cellStyle name="Comma 57" xfId="5409" xr:uid="{00000000-0005-0000-0000-0000DC2C0000}"/>
    <cellStyle name="Comma 57 2" xfId="5410" xr:uid="{00000000-0005-0000-0000-0000DD2C0000}"/>
    <cellStyle name="Comma 57_TOM TAT" xfId="22328" xr:uid="{00000000-0005-0000-0000-0000DE2C0000}"/>
    <cellStyle name="Comma 58" xfId="5411" xr:uid="{00000000-0005-0000-0000-0000DF2C0000}"/>
    <cellStyle name="Comma 59" xfId="5412" xr:uid="{00000000-0005-0000-0000-0000E02C0000}"/>
    <cellStyle name="Comma 59 2" xfId="5413" xr:uid="{00000000-0005-0000-0000-0000E12C0000}"/>
    <cellStyle name="Comma 59_TOM TAT" xfId="22329" xr:uid="{00000000-0005-0000-0000-0000E22C0000}"/>
    <cellStyle name="Comma 6" xfId="1207" xr:uid="{00000000-0005-0000-0000-0000E32C0000}"/>
    <cellStyle name="Comma 6 2" xfId="2126" xr:uid="{00000000-0005-0000-0000-0000E42C0000}"/>
    <cellStyle name="Comma 6 2 2" xfId="5414" xr:uid="{00000000-0005-0000-0000-0000E52C0000}"/>
    <cellStyle name="Comma 6 2_TOM TAT" xfId="22331" xr:uid="{00000000-0005-0000-0000-0000E62C0000}"/>
    <cellStyle name="Comma 6 3" xfId="4379" xr:uid="{00000000-0005-0000-0000-0000E72C0000}"/>
    <cellStyle name="Comma 6 3 2" xfId="18627" xr:uid="{00000000-0005-0000-0000-0000E82C0000}"/>
    <cellStyle name="Comma 6 3_TOM TAT" xfId="22332" xr:uid="{00000000-0005-0000-0000-0000E92C0000}"/>
    <cellStyle name="Comma 6 4" xfId="5415" xr:uid="{00000000-0005-0000-0000-0000EA2C0000}"/>
    <cellStyle name="Comma 6 5" xfId="26959" xr:uid="{00000000-0005-0000-0000-0000EB2C0000}"/>
    <cellStyle name="Comma 6 6" xfId="32295" xr:uid="{00000000-0005-0000-0000-0000EC2C0000}"/>
    <cellStyle name="Comma 6 7" xfId="32308" xr:uid="{00000000-0005-0000-0000-0000ED2C0000}"/>
    <cellStyle name="Comma 6_TOM TAT" xfId="22330" xr:uid="{00000000-0005-0000-0000-0000EE2C0000}"/>
    <cellStyle name="Comma 60" xfId="4861" xr:uid="{00000000-0005-0000-0000-0000EF2C0000}"/>
    <cellStyle name="Comma 60 2" xfId="5416" xr:uid="{00000000-0005-0000-0000-0000F02C0000}"/>
    <cellStyle name="Comma 60 3" xfId="9185" xr:uid="{00000000-0005-0000-0000-0000F12C0000}"/>
    <cellStyle name="Comma 60 3 2" xfId="9186" xr:uid="{00000000-0005-0000-0000-0000F22C0000}"/>
    <cellStyle name="Comma 60 3 2 2" xfId="14599" xr:uid="{00000000-0005-0000-0000-0000F32C0000}"/>
    <cellStyle name="Comma 60 3 2 2 2" xfId="29849" xr:uid="{00000000-0005-0000-0000-0000F42C0000}"/>
    <cellStyle name="Comma 60 3 2 3" xfId="15361" xr:uid="{00000000-0005-0000-0000-0000F52C0000}"/>
    <cellStyle name="Comma 60 3 2_TOM TAT" xfId="22335" xr:uid="{00000000-0005-0000-0000-0000F62C0000}"/>
    <cellStyle name="Comma 60 3 3" xfId="9187" xr:uid="{00000000-0005-0000-0000-0000F72C0000}"/>
    <cellStyle name="Comma 60 3 4" xfId="29848" xr:uid="{00000000-0005-0000-0000-0000F82C0000}"/>
    <cellStyle name="Comma 60 3 5" xfId="15360" xr:uid="{00000000-0005-0000-0000-0000F92C0000}"/>
    <cellStyle name="Comma 60 3_TOM TAT" xfId="22334" xr:uid="{00000000-0005-0000-0000-0000FA2C0000}"/>
    <cellStyle name="Comma 60_TOM TAT" xfId="22333" xr:uid="{00000000-0005-0000-0000-0000FB2C0000}"/>
    <cellStyle name="Comma 61" xfId="4863" xr:uid="{00000000-0005-0000-0000-0000FC2C0000}"/>
    <cellStyle name="Comma 61 2" xfId="5417" xr:uid="{00000000-0005-0000-0000-0000FD2C0000}"/>
    <cellStyle name="Comma 61 2 2" xfId="19047" xr:uid="{00000000-0005-0000-0000-0000FE2C0000}"/>
    <cellStyle name="Comma 61 2 2 2" xfId="31951" xr:uid="{00000000-0005-0000-0000-0000FF2C0000}"/>
    <cellStyle name="Comma 61 2 2 2 2" xfId="32256" xr:uid="{00000000-0005-0000-0000-0000002D0000}"/>
    <cellStyle name="Comma 61 2 2_TOM TAT" xfId="22338" xr:uid="{00000000-0005-0000-0000-0000012D0000}"/>
    <cellStyle name="Comma 61 2_TOM TAT" xfId="22337" xr:uid="{00000000-0005-0000-0000-0000022D0000}"/>
    <cellStyle name="Comma 61 3" xfId="28066" xr:uid="{00000000-0005-0000-0000-0000032D0000}"/>
    <cellStyle name="Comma 61 4" xfId="14655" xr:uid="{00000000-0005-0000-0000-0000042D0000}"/>
    <cellStyle name="Comma 61_TOM TAT" xfId="22336" xr:uid="{00000000-0005-0000-0000-0000052D0000}"/>
    <cellStyle name="Comma 62" xfId="5418" xr:uid="{00000000-0005-0000-0000-0000062D0000}"/>
    <cellStyle name="Comma 62 2" xfId="5419" xr:uid="{00000000-0005-0000-0000-0000072D0000}"/>
    <cellStyle name="Comma 62 3" xfId="28212" xr:uid="{00000000-0005-0000-0000-0000082D0000}"/>
    <cellStyle name="Comma 62 4" xfId="14676" xr:uid="{00000000-0005-0000-0000-0000092D0000}"/>
    <cellStyle name="Comma 62_TOM TAT" xfId="22339" xr:uid="{00000000-0005-0000-0000-00000A2D0000}"/>
    <cellStyle name="Comma 63" xfId="5420" xr:uid="{00000000-0005-0000-0000-00000B2D0000}"/>
    <cellStyle name="Comma 64" xfId="5421" xr:uid="{00000000-0005-0000-0000-00000C2D0000}"/>
    <cellStyle name="Comma 65" xfId="5422" xr:uid="{00000000-0005-0000-0000-00000D2D0000}"/>
    <cellStyle name="Comma 66" xfId="5423" xr:uid="{00000000-0005-0000-0000-00000E2D0000}"/>
    <cellStyle name="Comma 67" xfId="5424" xr:uid="{00000000-0005-0000-0000-00000F2D0000}"/>
    <cellStyle name="Comma 68" xfId="5425" xr:uid="{00000000-0005-0000-0000-0000102D0000}"/>
    <cellStyle name="Comma 69" xfId="5426" xr:uid="{00000000-0005-0000-0000-0000112D0000}"/>
    <cellStyle name="Comma 7" xfId="1208" xr:uid="{00000000-0005-0000-0000-0000122D0000}"/>
    <cellStyle name="Comma 7 2" xfId="2127" xr:uid="{00000000-0005-0000-0000-0000132D0000}"/>
    <cellStyle name="Comma 7 2 2" xfId="5427" xr:uid="{00000000-0005-0000-0000-0000142D0000}"/>
    <cellStyle name="Comma 7 2_TOM TAT" xfId="22341" xr:uid="{00000000-0005-0000-0000-0000152D0000}"/>
    <cellStyle name="Comma 7 3" xfId="4380" xr:uid="{00000000-0005-0000-0000-0000162D0000}"/>
    <cellStyle name="Comma 7 3 2" xfId="18628" xr:uid="{00000000-0005-0000-0000-0000172D0000}"/>
    <cellStyle name="Comma 7 3_TOM TAT" xfId="22342" xr:uid="{00000000-0005-0000-0000-0000182D0000}"/>
    <cellStyle name="Comma 7 4" xfId="5428" xr:uid="{00000000-0005-0000-0000-0000192D0000}"/>
    <cellStyle name="Comma 7 5" xfId="26960" xr:uid="{00000000-0005-0000-0000-00001A2D0000}"/>
    <cellStyle name="Comma 7_TOM TAT" xfId="22340" xr:uid="{00000000-0005-0000-0000-00001B2D0000}"/>
    <cellStyle name="Comma 70" xfId="5429" xr:uid="{00000000-0005-0000-0000-00001C2D0000}"/>
    <cellStyle name="Comma 70 2" xfId="9188" xr:uid="{00000000-0005-0000-0000-00001D2D0000}"/>
    <cellStyle name="Comma 70 2 2" xfId="9189" xr:uid="{00000000-0005-0000-0000-00001E2D0000}"/>
    <cellStyle name="Comma 70 2 2 2" xfId="9190" xr:uid="{00000000-0005-0000-0000-00001F2D0000}"/>
    <cellStyle name="Comma 70 2 2 2 2" xfId="29852" xr:uid="{00000000-0005-0000-0000-0000202D0000}"/>
    <cellStyle name="Comma 70 2 2 2 3" xfId="15364" xr:uid="{00000000-0005-0000-0000-0000212D0000}"/>
    <cellStyle name="Comma 70 2 2 2_TOM TAT" xfId="22346" xr:uid="{00000000-0005-0000-0000-0000222D0000}"/>
    <cellStyle name="Comma 70 2 2 3" xfId="29851" xr:uid="{00000000-0005-0000-0000-0000232D0000}"/>
    <cellStyle name="Comma 70 2 2 4" xfId="15363" xr:uid="{00000000-0005-0000-0000-0000242D0000}"/>
    <cellStyle name="Comma 70 2 2_TOM TAT" xfId="22345" xr:uid="{00000000-0005-0000-0000-0000252D0000}"/>
    <cellStyle name="Comma 70 2 3" xfId="9191" xr:uid="{00000000-0005-0000-0000-0000262D0000}"/>
    <cellStyle name="Comma 70 2 3 2" xfId="29853" xr:uid="{00000000-0005-0000-0000-0000272D0000}"/>
    <cellStyle name="Comma 70 2 3 3" xfId="15365" xr:uid="{00000000-0005-0000-0000-0000282D0000}"/>
    <cellStyle name="Comma 70 2 3_TOM TAT" xfId="22347" xr:uid="{00000000-0005-0000-0000-0000292D0000}"/>
    <cellStyle name="Comma 70 2 4" xfId="29850" xr:uid="{00000000-0005-0000-0000-00002A2D0000}"/>
    <cellStyle name="Comma 70 2 5" xfId="15362" xr:uid="{00000000-0005-0000-0000-00002B2D0000}"/>
    <cellStyle name="Comma 70 2_TOM TAT" xfId="22344" xr:uid="{00000000-0005-0000-0000-00002C2D0000}"/>
    <cellStyle name="Comma 70 3" xfId="9192" xr:uid="{00000000-0005-0000-0000-00002D2D0000}"/>
    <cellStyle name="Comma 70 3 2" xfId="9193" xr:uid="{00000000-0005-0000-0000-00002E2D0000}"/>
    <cellStyle name="Comma 70 3 2 2" xfId="9194" xr:uid="{00000000-0005-0000-0000-00002F2D0000}"/>
    <cellStyle name="Comma 70 3 2 2 2" xfId="29856" xr:uid="{00000000-0005-0000-0000-0000302D0000}"/>
    <cellStyle name="Comma 70 3 2 2 3" xfId="15368" xr:uid="{00000000-0005-0000-0000-0000312D0000}"/>
    <cellStyle name="Comma 70 3 2 2_TOM TAT" xfId="22350" xr:uid="{00000000-0005-0000-0000-0000322D0000}"/>
    <cellStyle name="Comma 70 3 2 3" xfId="29855" xr:uid="{00000000-0005-0000-0000-0000332D0000}"/>
    <cellStyle name="Comma 70 3 2 4" xfId="15367" xr:uid="{00000000-0005-0000-0000-0000342D0000}"/>
    <cellStyle name="Comma 70 3 2_TOM TAT" xfId="22349" xr:uid="{00000000-0005-0000-0000-0000352D0000}"/>
    <cellStyle name="Comma 70 3 3" xfId="9195" xr:uid="{00000000-0005-0000-0000-0000362D0000}"/>
    <cellStyle name="Comma 70 3 3 2" xfId="29857" xr:uid="{00000000-0005-0000-0000-0000372D0000}"/>
    <cellStyle name="Comma 70 3 3 3" xfId="15369" xr:uid="{00000000-0005-0000-0000-0000382D0000}"/>
    <cellStyle name="Comma 70 3 3_TOM TAT" xfId="22351" xr:uid="{00000000-0005-0000-0000-0000392D0000}"/>
    <cellStyle name="Comma 70 3 4" xfId="29854" xr:uid="{00000000-0005-0000-0000-00003A2D0000}"/>
    <cellStyle name="Comma 70 3 5" xfId="15366" xr:uid="{00000000-0005-0000-0000-00003B2D0000}"/>
    <cellStyle name="Comma 70 3_TOM TAT" xfId="22348" xr:uid="{00000000-0005-0000-0000-00003C2D0000}"/>
    <cellStyle name="Comma 70 4" xfId="9196" xr:uid="{00000000-0005-0000-0000-00003D2D0000}"/>
    <cellStyle name="Comma 70 4 2" xfId="9197" xr:uid="{00000000-0005-0000-0000-00003E2D0000}"/>
    <cellStyle name="Comma 70 4 2 2" xfId="29859" xr:uid="{00000000-0005-0000-0000-00003F2D0000}"/>
    <cellStyle name="Comma 70 4 2 3" xfId="15371" xr:uid="{00000000-0005-0000-0000-0000402D0000}"/>
    <cellStyle name="Comma 70 4 2_TOM TAT" xfId="22353" xr:uid="{00000000-0005-0000-0000-0000412D0000}"/>
    <cellStyle name="Comma 70 4 3" xfId="29858" xr:uid="{00000000-0005-0000-0000-0000422D0000}"/>
    <cellStyle name="Comma 70 4 4" xfId="15370" xr:uid="{00000000-0005-0000-0000-0000432D0000}"/>
    <cellStyle name="Comma 70 4_TOM TAT" xfId="22352" xr:uid="{00000000-0005-0000-0000-0000442D0000}"/>
    <cellStyle name="Comma 70 5" xfId="9198" xr:uid="{00000000-0005-0000-0000-0000452D0000}"/>
    <cellStyle name="Comma 70 5 2" xfId="29860" xr:uid="{00000000-0005-0000-0000-0000462D0000}"/>
    <cellStyle name="Comma 70 5 3" xfId="15372" xr:uid="{00000000-0005-0000-0000-0000472D0000}"/>
    <cellStyle name="Comma 70 5_TOM TAT" xfId="22354" xr:uid="{00000000-0005-0000-0000-0000482D0000}"/>
    <cellStyle name="Comma 70_TOM TAT" xfId="22343" xr:uid="{00000000-0005-0000-0000-0000492D0000}"/>
    <cellStyle name="Comma 71" xfId="5430" xr:uid="{00000000-0005-0000-0000-00004A2D0000}"/>
    <cellStyle name="Comma 71 2" xfId="9199" xr:uid="{00000000-0005-0000-0000-00004B2D0000}"/>
    <cellStyle name="Comma 71 2 2" xfId="9200" xr:uid="{00000000-0005-0000-0000-00004C2D0000}"/>
    <cellStyle name="Comma 71 2 2 2" xfId="9201" xr:uid="{00000000-0005-0000-0000-00004D2D0000}"/>
    <cellStyle name="Comma 71 2 2 2 2" xfId="29863" xr:uid="{00000000-0005-0000-0000-00004E2D0000}"/>
    <cellStyle name="Comma 71 2 2 2 3" xfId="15375" xr:uid="{00000000-0005-0000-0000-00004F2D0000}"/>
    <cellStyle name="Comma 71 2 2 2_TOM TAT" xfId="22358" xr:uid="{00000000-0005-0000-0000-0000502D0000}"/>
    <cellStyle name="Comma 71 2 2 3" xfId="29862" xr:uid="{00000000-0005-0000-0000-0000512D0000}"/>
    <cellStyle name="Comma 71 2 2 4" xfId="15374" xr:uid="{00000000-0005-0000-0000-0000522D0000}"/>
    <cellStyle name="Comma 71 2 2_TOM TAT" xfId="22357" xr:uid="{00000000-0005-0000-0000-0000532D0000}"/>
    <cellStyle name="Comma 71 2 3" xfId="9202" xr:uid="{00000000-0005-0000-0000-0000542D0000}"/>
    <cellStyle name="Comma 71 2 3 2" xfId="29864" xr:uid="{00000000-0005-0000-0000-0000552D0000}"/>
    <cellStyle name="Comma 71 2 3 3" xfId="15376" xr:uid="{00000000-0005-0000-0000-0000562D0000}"/>
    <cellStyle name="Comma 71 2 3_TOM TAT" xfId="22359" xr:uid="{00000000-0005-0000-0000-0000572D0000}"/>
    <cellStyle name="Comma 71 2 4" xfId="29861" xr:uid="{00000000-0005-0000-0000-0000582D0000}"/>
    <cellStyle name="Comma 71 2 5" xfId="15373" xr:uid="{00000000-0005-0000-0000-0000592D0000}"/>
    <cellStyle name="Comma 71 2_TOM TAT" xfId="22356" xr:uid="{00000000-0005-0000-0000-00005A2D0000}"/>
    <cellStyle name="Comma 71 3" xfId="9203" xr:uid="{00000000-0005-0000-0000-00005B2D0000}"/>
    <cellStyle name="Comma 71 3 2" xfId="9204" xr:uid="{00000000-0005-0000-0000-00005C2D0000}"/>
    <cellStyle name="Comma 71 3 2 2" xfId="9205" xr:uid="{00000000-0005-0000-0000-00005D2D0000}"/>
    <cellStyle name="Comma 71 3 2 2 2" xfId="29867" xr:uid="{00000000-0005-0000-0000-00005E2D0000}"/>
    <cellStyle name="Comma 71 3 2 2 3" xfId="15379" xr:uid="{00000000-0005-0000-0000-00005F2D0000}"/>
    <cellStyle name="Comma 71 3 2 2_TOM TAT" xfId="22362" xr:uid="{00000000-0005-0000-0000-0000602D0000}"/>
    <cellStyle name="Comma 71 3 2 3" xfId="29866" xr:uid="{00000000-0005-0000-0000-0000612D0000}"/>
    <cellStyle name="Comma 71 3 2 4" xfId="15378" xr:uid="{00000000-0005-0000-0000-0000622D0000}"/>
    <cellStyle name="Comma 71 3 2_TOM TAT" xfId="22361" xr:uid="{00000000-0005-0000-0000-0000632D0000}"/>
    <cellStyle name="Comma 71 3 3" xfId="9206" xr:uid="{00000000-0005-0000-0000-0000642D0000}"/>
    <cellStyle name="Comma 71 3 3 2" xfId="29868" xr:uid="{00000000-0005-0000-0000-0000652D0000}"/>
    <cellStyle name="Comma 71 3 3 3" xfId="15380" xr:uid="{00000000-0005-0000-0000-0000662D0000}"/>
    <cellStyle name="Comma 71 3 3_TOM TAT" xfId="22363" xr:uid="{00000000-0005-0000-0000-0000672D0000}"/>
    <cellStyle name="Comma 71 3 4" xfId="29865" xr:uid="{00000000-0005-0000-0000-0000682D0000}"/>
    <cellStyle name="Comma 71 3 5" xfId="15377" xr:uid="{00000000-0005-0000-0000-0000692D0000}"/>
    <cellStyle name="Comma 71 3_TOM TAT" xfId="22360" xr:uid="{00000000-0005-0000-0000-00006A2D0000}"/>
    <cellStyle name="Comma 71 4" xfId="9207" xr:uid="{00000000-0005-0000-0000-00006B2D0000}"/>
    <cellStyle name="Comma 71 4 2" xfId="9208" xr:uid="{00000000-0005-0000-0000-00006C2D0000}"/>
    <cellStyle name="Comma 71 4 2 2" xfId="29870" xr:uid="{00000000-0005-0000-0000-00006D2D0000}"/>
    <cellStyle name="Comma 71 4 2 3" xfId="15382" xr:uid="{00000000-0005-0000-0000-00006E2D0000}"/>
    <cellStyle name="Comma 71 4 2_TOM TAT" xfId="22365" xr:uid="{00000000-0005-0000-0000-00006F2D0000}"/>
    <cellStyle name="Comma 71 4 3" xfId="29869" xr:uid="{00000000-0005-0000-0000-0000702D0000}"/>
    <cellStyle name="Comma 71 4 4" xfId="15381" xr:uid="{00000000-0005-0000-0000-0000712D0000}"/>
    <cellStyle name="Comma 71 4_TOM TAT" xfId="22364" xr:uid="{00000000-0005-0000-0000-0000722D0000}"/>
    <cellStyle name="Comma 71 5" xfId="9209" xr:uid="{00000000-0005-0000-0000-0000732D0000}"/>
    <cellStyle name="Comma 71 5 2" xfId="29871" xr:uid="{00000000-0005-0000-0000-0000742D0000}"/>
    <cellStyle name="Comma 71 5 3" xfId="15383" xr:uid="{00000000-0005-0000-0000-0000752D0000}"/>
    <cellStyle name="Comma 71 5_TOM TAT" xfId="22366" xr:uid="{00000000-0005-0000-0000-0000762D0000}"/>
    <cellStyle name="Comma 71_TOM TAT" xfId="22355" xr:uid="{00000000-0005-0000-0000-0000772D0000}"/>
    <cellStyle name="Comma 72" xfId="5431" xr:uid="{00000000-0005-0000-0000-0000782D0000}"/>
    <cellStyle name="Comma 72 2" xfId="9210" xr:uid="{00000000-0005-0000-0000-0000792D0000}"/>
    <cellStyle name="Comma 72 2 2" xfId="9211" xr:uid="{00000000-0005-0000-0000-00007A2D0000}"/>
    <cellStyle name="Comma 72 2 2 2" xfId="9212" xr:uid="{00000000-0005-0000-0000-00007B2D0000}"/>
    <cellStyle name="Comma 72 2 2 2 2" xfId="29874" xr:uid="{00000000-0005-0000-0000-00007C2D0000}"/>
    <cellStyle name="Comma 72 2 2 2 3" xfId="15386" xr:uid="{00000000-0005-0000-0000-00007D2D0000}"/>
    <cellStyle name="Comma 72 2 2 2_TOM TAT" xfId="22370" xr:uid="{00000000-0005-0000-0000-00007E2D0000}"/>
    <cellStyle name="Comma 72 2 2 3" xfId="29873" xr:uid="{00000000-0005-0000-0000-00007F2D0000}"/>
    <cellStyle name="Comma 72 2 2 4" xfId="15385" xr:uid="{00000000-0005-0000-0000-0000802D0000}"/>
    <cellStyle name="Comma 72 2 2_TOM TAT" xfId="22369" xr:uid="{00000000-0005-0000-0000-0000812D0000}"/>
    <cellStyle name="Comma 72 2 3" xfId="9213" xr:uid="{00000000-0005-0000-0000-0000822D0000}"/>
    <cellStyle name="Comma 72 2 3 2" xfId="29875" xr:uid="{00000000-0005-0000-0000-0000832D0000}"/>
    <cellStyle name="Comma 72 2 3 3" xfId="15387" xr:uid="{00000000-0005-0000-0000-0000842D0000}"/>
    <cellStyle name="Comma 72 2 3_TOM TAT" xfId="22371" xr:uid="{00000000-0005-0000-0000-0000852D0000}"/>
    <cellStyle name="Comma 72 2 4" xfId="29872" xr:uid="{00000000-0005-0000-0000-0000862D0000}"/>
    <cellStyle name="Comma 72 2 5" xfId="15384" xr:uid="{00000000-0005-0000-0000-0000872D0000}"/>
    <cellStyle name="Comma 72 2_TOM TAT" xfId="22368" xr:uid="{00000000-0005-0000-0000-0000882D0000}"/>
    <cellStyle name="Comma 72 3" xfId="9214" xr:uid="{00000000-0005-0000-0000-0000892D0000}"/>
    <cellStyle name="Comma 72 3 2" xfId="9215" xr:uid="{00000000-0005-0000-0000-00008A2D0000}"/>
    <cellStyle name="Comma 72 3 2 2" xfId="29877" xr:uid="{00000000-0005-0000-0000-00008B2D0000}"/>
    <cellStyle name="Comma 72 3 2 3" xfId="15389" xr:uid="{00000000-0005-0000-0000-00008C2D0000}"/>
    <cellStyle name="Comma 72 3 2_TOM TAT" xfId="22373" xr:uid="{00000000-0005-0000-0000-00008D2D0000}"/>
    <cellStyle name="Comma 72 3 3" xfId="29876" xr:uid="{00000000-0005-0000-0000-00008E2D0000}"/>
    <cellStyle name="Comma 72 3 4" xfId="15388" xr:uid="{00000000-0005-0000-0000-00008F2D0000}"/>
    <cellStyle name="Comma 72 3_TOM TAT" xfId="22372" xr:uid="{00000000-0005-0000-0000-0000902D0000}"/>
    <cellStyle name="Comma 72 4" xfId="9216" xr:uid="{00000000-0005-0000-0000-0000912D0000}"/>
    <cellStyle name="Comma 72 4 2" xfId="29878" xr:uid="{00000000-0005-0000-0000-0000922D0000}"/>
    <cellStyle name="Comma 72 4 3" xfId="15390" xr:uid="{00000000-0005-0000-0000-0000932D0000}"/>
    <cellStyle name="Comma 72 4_TOM TAT" xfId="22374" xr:uid="{00000000-0005-0000-0000-0000942D0000}"/>
    <cellStyle name="Comma 72_TOM TAT" xfId="22367" xr:uid="{00000000-0005-0000-0000-0000952D0000}"/>
    <cellStyle name="Comma 73" xfId="5432" xr:uid="{00000000-0005-0000-0000-0000962D0000}"/>
    <cellStyle name="Comma 73 2" xfId="9217" xr:uid="{00000000-0005-0000-0000-0000972D0000}"/>
    <cellStyle name="Comma 73 2 2" xfId="9218" xr:uid="{00000000-0005-0000-0000-0000982D0000}"/>
    <cellStyle name="Comma 73 2 2 2" xfId="9219" xr:uid="{00000000-0005-0000-0000-0000992D0000}"/>
    <cellStyle name="Comma 73 2 2 2 2" xfId="29881" xr:uid="{00000000-0005-0000-0000-00009A2D0000}"/>
    <cellStyle name="Comma 73 2 2 2 3" xfId="15393" xr:uid="{00000000-0005-0000-0000-00009B2D0000}"/>
    <cellStyle name="Comma 73 2 2 2_TOM TAT" xfId="22378" xr:uid="{00000000-0005-0000-0000-00009C2D0000}"/>
    <cellStyle name="Comma 73 2 2 3" xfId="29880" xr:uid="{00000000-0005-0000-0000-00009D2D0000}"/>
    <cellStyle name="Comma 73 2 2 4" xfId="15392" xr:uid="{00000000-0005-0000-0000-00009E2D0000}"/>
    <cellStyle name="Comma 73 2 2_TOM TAT" xfId="22377" xr:uid="{00000000-0005-0000-0000-00009F2D0000}"/>
    <cellStyle name="Comma 73 2 3" xfId="9220" xr:uid="{00000000-0005-0000-0000-0000A02D0000}"/>
    <cellStyle name="Comma 73 2 3 2" xfId="29882" xr:uid="{00000000-0005-0000-0000-0000A12D0000}"/>
    <cellStyle name="Comma 73 2 3 3" xfId="15394" xr:uid="{00000000-0005-0000-0000-0000A22D0000}"/>
    <cellStyle name="Comma 73 2 3_TOM TAT" xfId="22379" xr:uid="{00000000-0005-0000-0000-0000A32D0000}"/>
    <cellStyle name="Comma 73 2 4" xfId="29879" xr:uid="{00000000-0005-0000-0000-0000A42D0000}"/>
    <cellStyle name="Comma 73 2 5" xfId="15391" xr:uid="{00000000-0005-0000-0000-0000A52D0000}"/>
    <cellStyle name="Comma 73 2_TOM TAT" xfId="22376" xr:uid="{00000000-0005-0000-0000-0000A62D0000}"/>
    <cellStyle name="Comma 73 3" xfId="9221" xr:uid="{00000000-0005-0000-0000-0000A72D0000}"/>
    <cellStyle name="Comma 73 3 2" xfId="9222" xr:uid="{00000000-0005-0000-0000-0000A82D0000}"/>
    <cellStyle name="Comma 73 3 2 2" xfId="29884" xr:uid="{00000000-0005-0000-0000-0000A92D0000}"/>
    <cellStyle name="Comma 73 3 2 3" xfId="15396" xr:uid="{00000000-0005-0000-0000-0000AA2D0000}"/>
    <cellStyle name="Comma 73 3 2_TOM TAT" xfId="22381" xr:uid="{00000000-0005-0000-0000-0000AB2D0000}"/>
    <cellStyle name="Comma 73 3 3" xfId="29883" xr:uid="{00000000-0005-0000-0000-0000AC2D0000}"/>
    <cellStyle name="Comma 73 3 4" xfId="15395" xr:uid="{00000000-0005-0000-0000-0000AD2D0000}"/>
    <cellStyle name="Comma 73 3_TOM TAT" xfId="22380" xr:uid="{00000000-0005-0000-0000-0000AE2D0000}"/>
    <cellStyle name="Comma 73 4" xfId="9223" xr:uid="{00000000-0005-0000-0000-0000AF2D0000}"/>
    <cellStyle name="Comma 73 4 2" xfId="29885" xr:uid="{00000000-0005-0000-0000-0000B02D0000}"/>
    <cellStyle name="Comma 73 4 3" xfId="15397" xr:uid="{00000000-0005-0000-0000-0000B12D0000}"/>
    <cellStyle name="Comma 73 4_TOM TAT" xfId="22382" xr:uid="{00000000-0005-0000-0000-0000B22D0000}"/>
    <cellStyle name="Comma 73_TOM TAT" xfId="22375" xr:uid="{00000000-0005-0000-0000-0000B32D0000}"/>
    <cellStyle name="Comma 74" xfId="5433" xr:uid="{00000000-0005-0000-0000-0000B42D0000}"/>
    <cellStyle name="Comma 74 2" xfId="9224" xr:uid="{00000000-0005-0000-0000-0000B52D0000}"/>
    <cellStyle name="Comma 74 2 2" xfId="9225" xr:uid="{00000000-0005-0000-0000-0000B62D0000}"/>
    <cellStyle name="Comma 74 2 2 2" xfId="9226" xr:uid="{00000000-0005-0000-0000-0000B72D0000}"/>
    <cellStyle name="Comma 74 2 2 2 2" xfId="29888" xr:uid="{00000000-0005-0000-0000-0000B82D0000}"/>
    <cellStyle name="Comma 74 2 2 2 3" xfId="15400" xr:uid="{00000000-0005-0000-0000-0000B92D0000}"/>
    <cellStyle name="Comma 74 2 2 2_TOM TAT" xfId="22386" xr:uid="{00000000-0005-0000-0000-0000BA2D0000}"/>
    <cellStyle name="Comma 74 2 2 3" xfId="29887" xr:uid="{00000000-0005-0000-0000-0000BB2D0000}"/>
    <cellStyle name="Comma 74 2 2 4" xfId="15399" xr:uid="{00000000-0005-0000-0000-0000BC2D0000}"/>
    <cellStyle name="Comma 74 2 2_TOM TAT" xfId="22385" xr:uid="{00000000-0005-0000-0000-0000BD2D0000}"/>
    <cellStyle name="Comma 74 2 3" xfId="9227" xr:uid="{00000000-0005-0000-0000-0000BE2D0000}"/>
    <cellStyle name="Comma 74 2 3 2" xfId="29889" xr:uid="{00000000-0005-0000-0000-0000BF2D0000}"/>
    <cellStyle name="Comma 74 2 3 3" xfId="15401" xr:uid="{00000000-0005-0000-0000-0000C02D0000}"/>
    <cellStyle name="Comma 74 2 3_TOM TAT" xfId="22387" xr:uid="{00000000-0005-0000-0000-0000C12D0000}"/>
    <cellStyle name="Comma 74 2 4" xfId="29886" xr:uid="{00000000-0005-0000-0000-0000C22D0000}"/>
    <cellStyle name="Comma 74 2 5" xfId="15398" xr:uid="{00000000-0005-0000-0000-0000C32D0000}"/>
    <cellStyle name="Comma 74 2_TOM TAT" xfId="22384" xr:uid="{00000000-0005-0000-0000-0000C42D0000}"/>
    <cellStyle name="Comma 74 3" xfId="9228" xr:uid="{00000000-0005-0000-0000-0000C52D0000}"/>
    <cellStyle name="Comma 74 3 2" xfId="9229" xr:uid="{00000000-0005-0000-0000-0000C62D0000}"/>
    <cellStyle name="Comma 74 3 2 2" xfId="29891" xr:uid="{00000000-0005-0000-0000-0000C72D0000}"/>
    <cellStyle name="Comma 74 3 2 3" xfId="15403" xr:uid="{00000000-0005-0000-0000-0000C82D0000}"/>
    <cellStyle name="Comma 74 3 2_TOM TAT" xfId="22389" xr:uid="{00000000-0005-0000-0000-0000C92D0000}"/>
    <cellStyle name="Comma 74 3 3" xfId="29890" xr:uid="{00000000-0005-0000-0000-0000CA2D0000}"/>
    <cellStyle name="Comma 74 3 4" xfId="15402" xr:uid="{00000000-0005-0000-0000-0000CB2D0000}"/>
    <cellStyle name="Comma 74 3_TOM TAT" xfId="22388" xr:uid="{00000000-0005-0000-0000-0000CC2D0000}"/>
    <cellStyle name="Comma 74_TOM TAT" xfId="22383" xr:uid="{00000000-0005-0000-0000-0000CD2D0000}"/>
    <cellStyle name="Comma 75" xfId="5434" xr:uid="{00000000-0005-0000-0000-0000CE2D0000}"/>
    <cellStyle name="Comma 75 2" xfId="9230" xr:uid="{00000000-0005-0000-0000-0000CF2D0000}"/>
    <cellStyle name="Comma 75 2 2" xfId="9231" xr:uid="{00000000-0005-0000-0000-0000D02D0000}"/>
    <cellStyle name="Comma 75 2 2 2" xfId="9232" xr:uid="{00000000-0005-0000-0000-0000D12D0000}"/>
    <cellStyle name="Comma 75 2 2 2 2" xfId="29894" xr:uid="{00000000-0005-0000-0000-0000D22D0000}"/>
    <cellStyle name="Comma 75 2 2 2 3" xfId="15406" xr:uid="{00000000-0005-0000-0000-0000D32D0000}"/>
    <cellStyle name="Comma 75 2 2 2_TOM TAT" xfId="22393" xr:uid="{00000000-0005-0000-0000-0000D42D0000}"/>
    <cellStyle name="Comma 75 2 2 3" xfId="29893" xr:uid="{00000000-0005-0000-0000-0000D52D0000}"/>
    <cellStyle name="Comma 75 2 2 4" xfId="15405" xr:uid="{00000000-0005-0000-0000-0000D62D0000}"/>
    <cellStyle name="Comma 75 2 2_TOM TAT" xfId="22392" xr:uid="{00000000-0005-0000-0000-0000D72D0000}"/>
    <cellStyle name="Comma 75 2 3" xfId="9233" xr:uid="{00000000-0005-0000-0000-0000D82D0000}"/>
    <cellStyle name="Comma 75 2 3 2" xfId="29895" xr:uid="{00000000-0005-0000-0000-0000D92D0000}"/>
    <cellStyle name="Comma 75 2 3 3" xfId="15407" xr:uid="{00000000-0005-0000-0000-0000DA2D0000}"/>
    <cellStyle name="Comma 75 2 3_TOM TAT" xfId="22394" xr:uid="{00000000-0005-0000-0000-0000DB2D0000}"/>
    <cellStyle name="Comma 75 2 4" xfId="29892" xr:uid="{00000000-0005-0000-0000-0000DC2D0000}"/>
    <cellStyle name="Comma 75 2 5" xfId="15404" xr:uid="{00000000-0005-0000-0000-0000DD2D0000}"/>
    <cellStyle name="Comma 75 2_TOM TAT" xfId="22391" xr:uid="{00000000-0005-0000-0000-0000DE2D0000}"/>
    <cellStyle name="Comma 75 3" xfId="9234" xr:uid="{00000000-0005-0000-0000-0000DF2D0000}"/>
    <cellStyle name="Comma 75 3 2" xfId="9235" xr:uid="{00000000-0005-0000-0000-0000E02D0000}"/>
    <cellStyle name="Comma 75 3 2 2" xfId="29897" xr:uid="{00000000-0005-0000-0000-0000E12D0000}"/>
    <cellStyle name="Comma 75 3 2 3" xfId="15409" xr:uid="{00000000-0005-0000-0000-0000E22D0000}"/>
    <cellStyle name="Comma 75 3 2_TOM TAT" xfId="22396" xr:uid="{00000000-0005-0000-0000-0000E32D0000}"/>
    <cellStyle name="Comma 75 3 3" xfId="29896" xr:uid="{00000000-0005-0000-0000-0000E42D0000}"/>
    <cellStyle name="Comma 75 3 4" xfId="15408" xr:uid="{00000000-0005-0000-0000-0000E52D0000}"/>
    <cellStyle name="Comma 75 3_TOM TAT" xfId="22395" xr:uid="{00000000-0005-0000-0000-0000E62D0000}"/>
    <cellStyle name="Comma 75 4" xfId="9236" xr:uid="{00000000-0005-0000-0000-0000E72D0000}"/>
    <cellStyle name="Comma 75 4 2" xfId="29898" xr:uid="{00000000-0005-0000-0000-0000E82D0000}"/>
    <cellStyle name="Comma 75 4 3" xfId="15410" xr:uid="{00000000-0005-0000-0000-0000E92D0000}"/>
    <cellStyle name="Comma 75 4_TOM TAT" xfId="22397" xr:uid="{00000000-0005-0000-0000-0000EA2D0000}"/>
    <cellStyle name="Comma 75_TOM TAT" xfId="22390" xr:uid="{00000000-0005-0000-0000-0000EB2D0000}"/>
    <cellStyle name="Comma 76" xfId="5435" xr:uid="{00000000-0005-0000-0000-0000EC2D0000}"/>
    <cellStyle name="Comma 76 2" xfId="9237" xr:uid="{00000000-0005-0000-0000-0000ED2D0000}"/>
    <cellStyle name="Comma 76 2 2" xfId="9238" xr:uid="{00000000-0005-0000-0000-0000EE2D0000}"/>
    <cellStyle name="Comma 76 2 2 2" xfId="29900" xr:uid="{00000000-0005-0000-0000-0000EF2D0000}"/>
    <cellStyle name="Comma 76 2 2 3" xfId="15412" xr:uid="{00000000-0005-0000-0000-0000F02D0000}"/>
    <cellStyle name="Comma 76 2 2_TOM TAT" xfId="22400" xr:uid="{00000000-0005-0000-0000-0000F12D0000}"/>
    <cellStyle name="Comma 76 2 3" xfId="29899" xr:uid="{00000000-0005-0000-0000-0000F22D0000}"/>
    <cellStyle name="Comma 76 2 4" xfId="15411" xr:uid="{00000000-0005-0000-0000-0000F32D0000}"/>
    <cellStyle name="Comma 76 2_TOM TAT" xfId="22399" xr:uid="{00000000-0005-0000-0000-0000F42D0000}"/>
    <cellStyle name="Comma 76 3" xfId="9239" xr:uid="{00000000-0005-0000-0000-0000F52D0000}"/>
    <cellStyle name="Comma 76 3 2" xfId="29901" xr:uid="{00000000-0005-0000-0000-0000F62D0000}"/>
    <cellStyle name="Comma 76 3 3" xfId="15413" xr:uid="{00000000-0005-0000-0000-0000F72D0000}"/>
    <cellStyle name="Comma 76 3_TOM TAT" xfId="22401" xr:uid="{00000000-0005-0000-0000-0000F82D0000}"/>
    <cellStyle name="Comma 76_TOM TAT" xfId="22398" xr:uid="{00000000-0005-0000-0000-0000F92D0000}"/>
    <cellStyle name="Comma 77" xfId="5436" xr:uid="{00000000-0005-0000-0000-0000FA2D0000}"/>
    <cellStyle name="Comma 77 2" xfId="9240" xr:uid="{00000000-0005-0000-0000-0000FB2D0000}"/>
    <cellStyle name="Comma 77 2 2" xfId="29902" xr:uid="{00000000-0005-0000-0000-0000FC2D0000}"/>
    <cellStyle name="Comma 77 2 3" xfId="15414" xr:uid="{00000000-0005-0000-0000-0000FD2D0000}"/>
    <cellStyle name="Comma 77 2_TOM TAT" xfId="22403" xr:uid="{00000000-0005-0000-0000-0000FE2D0000}"/>
    <cellStyle name="Comma 77 3" xfId="28213" xr:uid="{00000000-0005-0000-0000-0000FF2D0000}"/>
    <cellStyle name="Comma 77 4" xfId="14677" xr:uid="{00000000-0005-0000-0000-0000002E0000}"/>
    <cellStyle name="Comma 77_TOM TAT" xfId="22402" xr:uid="{00000000-0005-0000-0000-0000012E0000}"/>
    <cellStyle name="Comma 78" xfId="5437" xr:uid="{00000000-0005-0000-0000-0000022E0000}"/>
    <cellStyle name="Comma 78 2" xfId="9241" xr:uid="{00000000-0005-0000-0000-0000032E0000}"/>
    <cellStyle name="Comma 78 2 2" xfId="9242" xr:uid="{00000000-0005-0000-0000-0000042E0000}"/>
    <cellStyle name="Comma 78 2 2 2" xfId="29904" xr:uid="{00000000-0005-0000-0000-0000052E0000}"/>
    <cellStyle name="Comma 78 2 2 3" xfId="15416" xr:uid="{00000000-0005-0000-0000-0000062E0000}"/>
    <cellStyle name="Comma 78 2 2_TOM TAT" xfId="22406" xr:uid="{00000000-0005-0000-0000-0000072E0000}"/>
    <cellStyle name="Comma 78 2 3" xfId="29903" xr:uid="{00000000-0005-0000-0000-0000082E0000}"/>
    <cellStyle name="Comma 78 2 4" xfId="15415" xr:uid="{00000000-0005-0000-0000-0000092E0000}"/>
    <cellStyle name="Comma 78 2_TOM TAT" xfId="22405" xr:uid="{00000000-0005-0000-0000-00000A2E0000}"/>
    <cellStyle name="Comma 78 3" xfId="9243" xr:uid="{00000000-0005-0000-0000-00000B2E0000}"/>
    <cellStyle name="Comma 78 3 2" xfId="29905" xr:uid="{00000000-0005-0000-0000-00000C2E0000}"/>
    <cellStyle name="Comma 78 3 3" xfId="15417" xr:uid="{00000000-0005-0000-0000-00000D2E0000}"/>
    <cellStyle name="Comma 78 3_TOM TAT" xfId="22407" xr:uid="{00000000-0005-0000-0000-00000E2E0000}"/>
    <cellStyle name="Comma 78 4" xfId="28214" xr:uid="{00000000-0005-0000-0000-00000F2E0000}"/>
    <cellStyle name="Comma 78 5" xfId="14678" xr:uid="{00000000-0005-0000-0000-0000102E0000}"/>
    <cellStyle name="Comma 78_TOM TAT" xfId="22404" xr:uid="{00000000-0005-0000-0000-0000112E0000}"/>
    <cellStyle name="Comma 79" xfId="5438" xr:uid="{00000000-0005-0000-0000-0000122E0000}"/>
    <cellStyle name="Comma 79 2" xfId="9244" xr:uid="{00000000-0005-0000-0000-0000132E0000}"/>
    <cellStyle name="Comma 79 2 2" xfId="29906" xr:uid="{00000000-0005-0000-0000-0000142E0000}"/>
    <cellStyle name="Comma 79 2 3" xfId="15418" xr:uid="{00000000-0005-0000-0000-0000152E0000}"/>
    <cellStyle name="Comma 79 2_TOM TAT" xfId="22409" xr:uid="{00000000-0005-0000-0000-0000162E0000}"/>
    <cellStyle name="Comma 79 3" xfId="28215" xr:uid="{00000000-0005-0000-0000-0000172E0000}"/>
    <cellStyle name="Comma 79 4" xfId="14679" xr:uid="{00000000-0005-0000-0000-0000182E0000}"/>
    <cellStyle name="Comma 79_TOM TAT" xfId="22408" xr:uid="{00000000-0005-0000-0000-0000192E0000}"/>
    <cellStyle name="Comma 8" xfId="1209" xr:uid="{00000000-0005-0000-0000-00001A2E0000}"/>
    <cellStyle name="Comma 8 2" xfId="2128" xr:uid="{00000000-0005-0000-0000-00001B2E0000}"/>
    <cellStyle name="Comma 8 2 2" xfId="5439" xr:uid="{00000000-0005-0000-0000-00001C2E0000}"/>
    <cellStyle name="Comma 8 2_TOM TAT" xfId="22411" xr:uid="{00000000-0005-0000-0000-00001D2E0000}"/>
    <cellStyle name="Comma 8 3" xfId="4381" xr:uid="{00000000-0005-0000-0000-00001E2E0000}"/>
    <cellStyle name="Comma 8 3 2" xfId="18629" xr:uid="{00000000-0005-0000-0000-00001F2E0000}"/>
    <cellStyle name="Comma 8 3_TOM TAT" xfId="22412" xr:uid="{00000000-0005-0000-0000-0000202E0000}"/>
    <cellStyle name="Comma 8 4" xfId="5440" xr:uid="{00000000-0005-0000-0000-0000212E0000}"/>
    <cellStyle name="Comma 8 5" xfId="26961" xr:uid="{00000000-0005-0000-0000-0000222E0000}"/>
    <cellStyle name="Comma 8_TOM TAT" xfId="22410" xr:uid="{00000000-0005-0000-0000-0000232E0000}"/>
    <cellStyle name="Comma 80" xfId="5441" xr:uid="{00000000-0005-0000-0000-0000242E0000}"/>
    <cellStyle name="Comma 80 2" xfId="9245" xr:uid="{00000000-0005-0000-0000-0000252E0000}"/>
    <cellStyle name="Comma 80 2 2" xfId="9246" xr:uid="{00000000-0005-0000-0000-0000262E0000}"/>
    <cellStyle name="Comma 80 2 2 2" xfId="9247" xr:uid="{00000000-0005-0000-0000-0000272E0000}"/>
    <cellStyle name="Comma 80 2 2 2 2" xfId="29909" xr:uid="{00000000-0005-0000-0000-0000282E0000}"/>
    <cellStyle name="Comma 80 2 2 2 3" xfId="15420" xr:uid="{00000000-0005-0000-0000-0000292E0000}"/>
    <cellStyle name="Comma 80 2 2 2_TOM TAT" xfId="22416" xr:uid="{00000000-0005-0000-0000-00002A2E0000}"/>
    <cellStyle name="Comma 80 2 2 3" xfId="29908" xr:uid="{00000000-0005-0000-0000-00002B2E0000}"/>
    <cellStyle name="Comma 80 2 2 4" xfId="15419" xr:uid="{00000000-0005-0000-0000-00002C2E0000}"/>
    <cellStyle name="Comma 80 2 2_TOM TAT" xfId="22415" xr:uid="{00000000-0005-0000-0000-00002D2E0000}"/>
    <cellStyle name="Comma 80 2 3" xfId="9248" xr:uid="{00000000-0005-0000-0000-00002E2E0000}"/>
    <cellStyle name="Comma 80 2 3 2" xfId="14600" xr:uid="{00000000-0005-0000-0000-00002F2E0000}"/>
    <cellStyle name="Comma 80 2 3 2 2" xfId="31896" xr:uid="{00000000-0005-0000-0000-0000302E0000}"/>
    <cellStyle name="Comma 80 2 3 2_TOM TAT" xfId="22418" xr:uid="{00000000-0005-0000-0000-0000312E0000}"/>
    <cellStyle name="Comma 80 2 3 3" xfId="14601" xr:uid="{00000000-0005-0000-0000-0000322E0000}"/>
    <cellStyle name="Comma 80 2 3 3 2" xfId="18985" xr:uid="{00000000-0005-0000-0000-0000332E0000}"/>
    <cellStyle name="Comma 80 2 3 3 2 2" xfId="31898" xr:uid="{00000000-0005-0000-0000-0000342E0000}"/>
    <cellStyle name="Comma 80 2 3 3 2_TOM TAT" xfId="22420" xr:uid="{00000000-0005-0000-0000-0000352E0000}"/>
    <cellStyle name="Comma 80 2 3 3 3" xfId="31897" xr:uid="{00000000-0005-0000-0000-0000362E0000}"/>
    <cellStyle name="Comma 80 2 3 3_TOM TAT" xfId="22419" xr:uid="{00000000-0005-0000-0000-0000372E0000}"/>
    <cellStyle name="Comma 80 2 3 4" xfId="14602" xr:uid="{00000000-0005-0000-0000-0000382E0000}"/>
    <cellStyle name="Comma 80 2 3 4 2" xfId="31899" xr:uid="{00000000-0005-0000-0000-0000392E0000}"/>
    <cellStyle name="Comma 80 2 3 4_TOM TAT" xfId="22421" xr:uid="{00000000-0005-0000-0000-00003A2E0000}"/>
    <cellStyle name="Comma 80 2 3 5" xfId="29910" xr:uid="{00000000-0005-0000-0000-00003B2E0000}"/>
    <cellStyle name="Comma 80 2 3_TOM TAT" xfId="22417" xr:uid="{00000000-0005-0000-0000-00003C2E0000}"/>
    <cellStyle name="Comma 80 2 4" xfId="29907" xr:uid="{00000000-0005-0000-0000-00003D2E0000}"/>
    <cellStyle name="Comma 80 2_TOM TAT" xfId="22414" xr:uid="{00000000-0005-0000-0000-00003E2E0000}"/>
    <cellStyle name="Comma 80 3" xfId="9249" xr:uid="{00000000-0005-0000-0000-00003F2E0000}"/>
    <cellStyle name="Comma 80 3 2" xfId="29911" xr:uid="{00000000-0005-0000-0000-0000402E0000}"/>
    <cellStyle name="Comma 80 3 3" xfId="15421" xr:uid="{00000000-0005-0000-0000-0000412E0000}"/>
    <cellStyle name="Comma 80 3_TOM TAT" xfId="22422" xr:uid="{00000000-0005-0000-0000-0000422E0000}"/>
    <cellStyle name="Comma 80 4" xfId="28216" xr:uid="{00000000-0005-0000-0000-0000432E0000}"/>
    <cellStyle name="Comma 80_TOM TAT" xfId="22413" xr:uid="{00000000-0005-0000-0000-0000442E0000}"/>
    <cellStyle name="Comma 81" xfId="6624" xr:uid="{00000000-0005-0000-0000-0000452E0000}"/>
    <cellStyle name="Comma 81 2" xfId="9250" xr:uid="{00000000-0005-0000-0000-0000462E0000}"/>
    <cellStyle name="Comma 81 2 2" xfId="9251" xr:uid="{00000000-0005-0000-0000-0000472E0000}"/>
    <cellStyle name="Comma 81 2 2 2" xfId="9252" xr:uid="{00000000-0005-0000-0000-0000482E0000}"/>
    <cellStyle name="Comma 81 2 2 2 2" xfId="29914" xr:uid="{00000000-0005-0000-0000-0000492E0000}"/>
    <cellStyle name="Comma 81 2 2 2 3" xfId="15424" xr:uid="{00000000-0005-0000-0000-00004A2E0000}"/>
    <cellStyle name="Comma 81 2 2 2_TOM TAT" xfId="22426" xr:uid="{00000000-0005-0000-0000-00004B2E0000}"/>
    <cellStyle name="Comma 81 2 2 3" xfId="29913" xr:uid="{00000000-0005-0000-0000-00004C2E0000}"/>
    <cellStyle name="Comma 81 2 2 4" xfId="15423" xr:uid="{00000000-0005-0000-0000-00004D2E0000}"/>
    <cellStyle name="Comma 81 2 2_TOM TAT" xfId="22425" xr:uid="{00000000-0005-0000-0000-00004E2E0000}"/>
    <cellStyle name="Comma 81 2 3" xfId="9253" xr:uid="{00000000-0005-0000-0000-00004F2E0000}"/>
    <cellStyle name="Comma 81 2 3 2" xfId="29915" xr:uid="{00000000-0005-0000-0000-0000502E0000}"/>
    <cellStyle name="Comma 81 2 3 3" xfId="15425" xr:uid="{00000000-0005-0000-0000-0000512E0000}"/>
    <cellStyle name="Comma 81 2 3_TOM TAT" xfId="22427" xr:uid="{00000000-0005-0000-0000-0000522E0000}"/>
    <cellStyle name="Comma 81 2 4" xfId="29912" xr:uid="{00000000-0005-0000-0000-0000532E0000}"/>
    <cellStyle name="Comma 81 2 5" xfId="15422" xr:uid="{00000000-0005-0000-0000-0000542E0000}"/>
    <cellStyle name="Comma 81 2_TOM TAT" xfId="22424" xr:uid="{00000000-0005-0000-0000-0000552E0000}"/>
    <cellStyle name="Comma 81 3" xfId="29226" xr:uid="{00000000-0005-0000-0000-0000562E0000}"/>
    <cellStyle name="Comma 81 4" xfId="14743" xr:uid="{00000000-0005-0000-0000-0000572E0000}"/>
    <cellStyle name="Comma 81_TOM TAT" xfId="22423" xr:uid="{00000000-0005-0000-0000-0000582E0000}"/>
    <cellStyle name="Comma 82" xfId="6627" xr:uid="{00000000-0005-0000-0000-0000592E0000}"/>
    <cellStyle name="Comma 82 2" xfId="9254" xr:uid="{00000000-0005-0000-0000-00005A2E0000}"/>
    <cellStyle name="Comma 82 2 2" xfId="9255" xr:uid="{00000000-0005-0000-0000-00005B2E0000}"/>
    <cellStyle name="Comma 82 2 2 2" xfId="29917" xr:uid="{00000000-0005-0000-0000-00005C2E0000}"/>
    <cellStyle name="Comma 82 2 2 3" xfId="15427" xr:uid="{00000000-0005-0000-0000-00005D2E0000}"/>
    <cellStyle name="Comma 82 2 2_TOM TAT" xfId="22430" xr:uid="{00000000-0005-0000-0000-00005E2E0000}"/>
    <cellStyle name="Comma 82 2 3" xfId="29916" xr:uid="{00000000-0005-0000-0000-00005F2E0000}"/>
    <cellStyle name="Comma 82 2 4" xfId="15426" xr:uid="{00000000-0005-0000-0000-0000602E0000}"/>
    <cellStyle name="Comma 82 2_TOM TAT" xfId="22429" xr:uid="{00000000-0005-0000-0000-0000612E0000}"/>
    <cellStyle name="Comma 82 3" xfId="9256" xr:uid="{00000000-0005-0000-0000-0000622E0000}"/>
    <cellStyle name="Comma 82 3 2" xfId="14603" xr:uid="{00000000-0005-0000-0000-0000632E0000}"/>
    <cellStyle name="Comma 82 3 2 2" xfId="31900" xr:uid="{00000000-0005-0000-0000-0000642E0000}"/>
    <cellStyle name="Comma 82 3 2_TOM TAT" xfId="22432" xr:uid="{00000000-0005-0000-0000-0000652E0000}"/>
    <cellStyle name="Comma 82 3 3" xfId="14604" xr:uid="{00000000-0005-0000-0000-0000662E0000}"/>
    <cellStyle name="Comma 82 3 3 2" xfId="18986" xr:uid="{00000000-0005-0000-0000-0000672E0000}"/>
    <cellStyle name="Comma 82 3 3 2 2" xfId="31902" xr:uid="{00000000-0005-0000-0000-0000682E0000}"/>
    <cellStyle name="Comma 82 3 3 2_TOM TAT" xfId="22434" xr:uid="{00000000-0005-0000-0000-0000692E0000}"/>
    <cellStyle name="Comma 82 3 3 3" xfId="31901" xr:uid="{00000000-0005-0000-0000-00006A2E0000}"/>
    <cellStyle name="Comma 82 3 3_TOM TAT" xfId="22433" xr:uid="{00000000-0005-0000-0000-00006B2E0000}"/>
    <cellStyle name="Comma 82 3 4" xfId="14605" xr:uid="{00000000-0005-0000-0000-00006C2E0000}"/>
    <cellStyle name="Comma 82 3 4 2" xfId="31903" xr:uid="{00000000-0005-0000-0000-00006D2E0000}"/>
    <cellStyle name="Comma 82 3 4_TOM TAT" xfId="22435" xr:uid="{00000000-0005-0000-0000-00006E2E0000}"/>
    <cellStyle name="Comma 82 3 5" xfId="29918" xr:uid="{00000000-0005-0000-0000-00006F2E0000}"/>
    <cellStyle name="Comma 82 3_TOM TAT" xfId="22431" xr:uid="{00000000-0005-0000-0000-0000702E0000}"/>
    <cellStyle name="Comma 82 4" xfId="29229" xr:uid="{00000000-0005-0000-0000-0000712E0000}"/>
    <cellStyle name="Comma 82_TOM TAT" xfId="22428" xr:uid="{00000000-0005-0000-0000-0000722E0000}"/>
    <cellStyle name="Comma 83" xfId="6634" xr:uid="{00000000-0005-0000-0000-0000732E0000}"/>
    <cellStyle name="Comma 83 2" xfId="9257" xr:uid="{00000000-0005-0000-0000-0000742E0000}"/>
    <cellStyle name="Comma 83 3" xfId="29236" xr:uid="{00000000-0005-0000-0000-0000752E0000}"/>
    <cellStyle name="Comma 83 4" xfId="14751" xr:uid="{00000000-0005-0000-0000-0000762E0000}"/>
    <cellStyle name="Comma 83_TOM TAT" xfId="22436" xr:uid="{00000000-0005-0000-0000-0000772E0000}"/>
    <cellStyle name="Comma 84" xfId="6629" xr:uid="{00000000-0005-0000-0000-0000782E0000}"/>
    <cellStyle name="Comma 84 2" xfId="9258" xr:uid="{00000000-0005-0000-0000-0000792E0000}"/>
    <cellStyle name="Comma 84 2 2" xfId="29919" xr:uid="{00000000-0005-0000-0000-00007A2E0000}"/>
    <cellStyle name="Comma 84 2 3" xfId="15428" xr:uid="{00000000-0005-0000-0000-00007B2E0000}"/>
    <cellStyle name="Comma 84 2_TOM TAT" xfId="22438" xr:uid="{00000000-0005-0000-0000-00007C2E0000}"/>
    <cellStyle name="Comma 84 3" xfId="14606" xr:uid="{00000000-0005-0000-0000-00007D2E0000}"/>
    <cellStyle name="Comma 84 3 2" xfId="31805" xr:uid="{00000000-0005-0000-0000-00007E2E0000}"/>
    <cellStyle name="Comma 84 3_TOM TAT" xfId="22439" xr:uid="{00000000-0005-0000-0000-00007F2E0000}"/>
    <cellStyle name="Comma 84 4" xfId="14607" xr:uid="{00000000-0005-0000-0000-0000802E0000}"/>
    <cellStyle name="Comma 84 4 2" xfId="18987" xr:uid="{00000000-0005-0000-0000-0000812E0000}"/>
    <cellStyle name="Comma 84 4 2 2" xfId="31905" xr:uid="{00000000-0005-0000-0000-0000822E0000}"/>
    <cellStyle name="Comma 84 4 2_TOM TAT" xfId="22441" xr:uid="{00000000-0005-0000-0000-0000832E0000}"/>
    <cellStyle name="Comma 84 4 3" xfId="31904" xr:uid="{00000000-0005-0000-0000-0000842E0000}"/>
    <cellStyle name="Comma 84 4_TOM TAT" xfId="22440" xr:uid="{00000000-0005-0000-0000-0000852E0000}"/>
    <cellStyle name="Comma 84 5" xfId="14608" xr:uid="{00000000-0005-0000-0000-0000862E0000}"/>
    <cellStyle name="Comma 84 5 2" xfId="31906" xr:uid="{00000000-0005-0000-0000-0000872E0000}"/>
    <cellStyle name="Comma 84 5_TOM TAT" xfId="22442" xr:uid="{00000000-0005-0000-0000-0000882E0000}"/>
    <cellStyle name="Comma 84 6" xfId="18988" xr:uid="{00000000-0005-0000-0000-0000892E0000}"/>
    <cellStyle name="Comma 84 7" xfId="29231" xr:uid="{00000000-0005-0000-0000-00008A2E0000}"/>
    <cellStyle name="Comma 84 8" xfId="32291" xr:uid="{00000000-0005-0000-0000-00008B2E0000}"/>
    <cellStyle name="Comma 84 9" xfId="32306" xr:uid="{00000000-0005-0000-0000-00008C2E0000}"/>
    <cellStyle name="Comma 84_TOM TAT" xfId="22437" xr:uid="{00000000-0005-0000-0000-00008D2E0000}"/>
    <cellStyle name="Comma 85" xfId="6637" xr:uid="{00000000-0005-0000-0000-00008E2E0000}"/>
    <cellStyle name="Comma 85 2" xfId="9259" xr:uid="{00000000-0005-0000-0000-00008F2E0000}"/>
    <cellStyle name="Comma 85 2 2" xfId="29920" xr:uid="{00000000-0005-0000-0000-0000902E0000}"/>
    <cellStyle name="Comma 85 2 3" xfId="15429" xr:uid="{00000000-0005-0000-0000-0000912E0000}"/>
    <cellStyle name="Comma 85 2_TOM TAT" xfId="22444" xr:uid="{00000000-0005-0000-0000-0000922E0000}"/>
    <cellStyle name="Comma 85 3" xfId="29239" xr:uid="{00000000-0005-0000-0000-0000932E0000}"/>
    <cellStyle name="Comma 85 4" xfId="14754" xr:uid="{00000000-0005-0000-0000-0000942E0000}"/>
    <cellStyle name="Comma 85_TOM TAT" xfId="22443" xr:uid="{00000000-0005-0000-0000-0000952E0000}"/>
    <cellStyle name="Comma 86" xfId="6640" xr:uid="{00000000-0005-0000-0000-0000962E0000}"/>
    <cellStyle name="Comma 86 2" xfId="9260" xr:uid="{00000000-0005-0000-0000-0000972E0000}"/>
    <cellStyle name="Comma 86 2 2" xfId="29921" xr:uid="{00000000-0005-0000-0000-0000982E0000}"/>
    <cellStyle name="Comma 86 2 3" xfId="15430" xr:uid="{00000000-0005-0000-0000-0000992E0000}"/>
    <cellStyle name="Comma 86 2_TOM TAT" xfId="22446" xr:uid="{00000000-0005-0000-0000-00009A2E0000}"/>
    <cellStyle name="Comma 86 3" xfId="29242" xr:uid="{00000000-0005-0000-0000-00009B2E0000}"/>
    <cellStyle name="Comma 86 4" xfId="14757" xr:uid="{00000000-0005-0000-0000-00009C2E0000}"/>
    <cellStyle name="Comma 86_TOM TAT" xfId="22445" xr:uid="{00000000-0005-0000-0000-00009D2E0000}"/>
    <cellStyle name="Comma 87" xfId="6643" xr:uid="{00000000-0005-0000-0000-00009E2E0000}"/>
    <cellStyle name="Comma 87 2" xfId="9261" xr:uid="{00000000-0005-0000-0000-00009F2E0000}"/>
    <cellStyle name="Comma 87 2 2" xfId="29922" xr:uid="{00000000-0005-0000-0000-0000A02E0000}"/>
    <cellStyle name="Comma 87 2 3" xfId="15431" xr:uid="{00000000-0005-0000-0000-0000A12E0000}"/>
    <cellStyle name="Comma 87 2_TOM TAT" xfId="22448" xr:uid="{00000000-0005-0000-0000-0000A22E0000}"/>
    <cellStyle name="Comma 87 3" xfId="19051" xr:uid="{00000000-0005-0000-0000-0000A32E0000}"/>
    <cellStyle name="Comma 87 3 2" xfId="31953" xr:uid="{00000000-0005-0000-0000-0000A42E0000}"/>
    <cellStyle name="Comma 87 3_TOM TAT" xfId="22449" xr:uid="{00000000-0005-0000-0000-0000A52E0000}"/>
    <cellStyle name="Comma 87 4" xfId="29245" xr:uid="{00000000-0005-0000-0000-0000A62E0000}"/>
    <cellStyle name="Comma 87 5" xfId="32152" xr:uid="{00000000-0005-0000-0000-0000A72E0000}"/>
    <cellStyle name="Comma 87 6" xfId="14760" xr:uid="{00000000-0005-0000-0000-0000A82E0000}"/>
    <cellStyle name="Comma 87_TOM TAT" xfId="22447" xr:uid="{00000000-0005-0000-0000-0000A92E0000}"/>
    <cellStyle name="Comma 88" xfId="9262" xr:uid="{00000000-0005-0000-0000-0000AA2E0000}"/>
    <cellStyle name="Comma 88 2" xfId="9263" xr:uid="{00000000-0005-0000-0000-0000AB2E0000}"/>
    <cellStyle name="Comma 88 2 2" xfId="29924" xr:uid="{00000000-0005-0000-0000-0000AC2E0000}"/>
    <cellStyle name="Comma 88 2 3" xfId="15433" xr:uid="{00000000-0005-0000-0000-0000AD2E0000}"/>
    <cellStyle name="Comma 88 2_TOM TAT" xfId="22451" xr:uid="{00000000-0005-0000-0000-0000AE2E0000}"/>
    <cellStyle name="Comma 88 3" xfId="29923" xr:uid="{00000000-0005-0000-0000-0000AF2E0000}"/>
    <cellStyle name="Comma 88 4" xfId="15432" xr:uid="{00000000-0005-0000-0000-0000B02E0000}"/>
    <cellStyle name="Comma 88_TOM TAT" xfId="22450" xr:uid="{00000000-0005-0000-0000-0000B12E0000}"/>
    <cellStyle name="Comma 89" xfId="14588" xr:uid="{00000000-0005-0000-0000-0000B22E0000}"/>
    <cellStyle name="Comma 89 2" xfId="14593" xr:uid="{00000000-0005-0000-0000-0000B32E0000}"/>
    <cellStyle name="Comma 89 2 2" xfId="18989" xr:uid="{00000000-0005-0000-0000-0000B42E0000}"/>
    <cellStyle name="Comma 89 2 3" xfId="32210" xr:uid="{00000000-0005-0000-0000-0000B52E0000}"/>
    <cellStyle name="Comma 89 3" xfId="14609" xr:uid="{00000000-0005-0000-0000-0000B62E0000}"/>
    <cellStyle name="Comma 89 3 2" xfId="31729" xr:uid="{00000000-0005-0000-0000-0000B72E0000}"/>
    <cellStyle name="Comma 89_TOM TAT" xfId="22452" xr:uid="{00000000-0005-0000-0000-0000B82E0000}"/>
    <cellStyle name="Comma 9" xfId="1210" xr:uid="{00000000-0005-0000-0000-0000B92E0000}"/>
    <cellStyle name="Comma 9 2" xfId="2129" xr:uid="{00000000-0005-0000-0000-0000BA2E0000}"/>
    <cellStyle name="Comma 9 2 2" xfId="5442" xr:uid="{00000000-0005-0000-0000-0000BB2E0000}"/>
    <cellStyle name="Comma 9 2 2 2" xfId="18631" xr:uid="{00000000-0005-0000-0000-0000BC2E0000}"/>
    <cellStyle name="Comma 9 2 2_TOM TAT" xfId="22455" xr:uid="{00000000-0005-0000-0000-0000BD2E0000}"/>
    <cellStyle name="Comma 9 2 3" xfId="18187" xr:uid="{00000000-0005-0000-0000-0000BE2E0000}"/>
    <cellStyle name="Comma 9 2_TOM TAT" xfId="22454" xr:uid="{00000000-0005-0000-0000-0000BF2E0000}"/>
    <cellStyle name="Comma 9 3" xfId="4382" xr:uid="{00000000-0005-0000-0000-0000C02E0000}"/>
    <cellStyle name="Comma 9 3 2" xfId="18630" xr:uid="{00000000-0005-0000-0000-0000C12E0000}"/>
    <cellStyle name="Comma 9 3_TOM TAT" xfId="22456" xr:uid="{00000000-0005-0000-0000-0000C22E0000}"/>
    <cellStyle name="Comma 9 4" xfId="5443" xr:uid="{00000000-0005-0000-0000-0000C32E0000}"/>
    <cellStyle name="Comma 9 5" xfId="18186" xr:uid="{00000000-0005-0000-0000-0000C42E0000}"/>
    <cellStyle name="Comma 9 6" xfId="26962" xr:uid="{00000000-0005-0000-0000-0000C52E0000}"/>
    <cellStyle name="Comma 9_TOM TAT" xfId="22453" xr:uid="{00000000-0005-0000-0000-0000C62E0000}"/>
    <cellStyle name="Comma 90" xfId="14591" xr:uid="{00000000-0005-0000-0000-0000C72E0000}"/>
    <cellStyle name="Comma 90 2" xfId="18159" xr:uid="{00000000-0005-0000-0000-0000C82E0000}"/>
    <cellStyle name="Comma 91" xfId="18679" xr:uid="{00000000-0005-0000-0000-0000C92E0000}"/>
    <cellStyle name="Comma 92" xfId="18954" xr:uid="{00000000-0005-0000-0000-0000CA2E0000}"/>
    <cellStyle name="Comma 92 2" xfId="31870" xr:uid="{00000000-0005-0000-0000-0000CB2E0000}"/>
    <cellStyle name="Comma 92_TOM TAT" xfId="22457" xr:uid="{00000000-0005-0000-0000-0000CC2E0000}"/>
    <cellStyle name="Comma 93" xfId="18956" xr:uid="{00000000-0005-0000-0000-0000CD2E0000}"/>
    <cellStyle name="Comma 93 2" xfId="31872" xr:uid="{00000000-0005-0000-0000-0000CE2E0000}"/>
    <cellStyle name="Comma 93_TOM TAT" xfId="22458" xr:uid="{00000000-0005-0000-0000-0000CF2E0000}"/>
    <cellStyle name="Comma 94" xfId="18960" xr:uid="{00000000-0005-0000-0000-0000D02E0000}"/>
    <cellStyle name="Comma 94 2" xfId="31875" xr:uid="{00000000-0005-0000-0000-0000D12E0000}"/>
    <cellStyle name="Comma 94_TOM TAT" xfId="22459" xr:uid="{00000000-0005-0000-0000-0000D22E0000}"/>
    <cellStyle name="Comma 95" xfId="18990" xr:uid="{00000000-0005-0000-0000-0000D32E0000}"/>
    <cellStyle name="Comma 95 2" xfId="19053" xr:uid="{00000000-0005-0000-0000-0000D42E0000}"/>
    <cellStyle name="Comma 95 2 2" xfId="31955" xr:uid="{00000000-0005-0000-0000-0000D52E0000}"/>
    <cellStyle name="Comma 95 2_TOM TAT" xfId="22461" xr:uid="{00000000-0005-0000-0000-0000D62E0000}"/>
    <cellStyle name="Comma 95 3" xfId="31907" xr:uid="{00000000-0005-0000-0000-0000D72E0000}"/>
    <cellStyle name="Comma 95_TOM TAT" xfId="22460" xr:uid="{00000000-0005-0000-0000-0000D82E0000}"/>
    <cellStyle name="Comma 96" xfId="18991" xr:uid="{00000000-0005-0000-0000-0000D92E0000}"/>
    <cellStyle name="Comma 97" xfId="19036" xr:uid="{00000000-0005-0000-0000-0000DA2E0000}"/>
    <cellStyle name="Comma 97 2" xfId="31941" xr:uid="{00000000-0005-0000-0000-0000DB2E0000}"/>
    <cellStyle name="Comma 97_TOM TAT" xfId="22462" xr:uid="{00000000-0005-0000-0000-0000DC2E0000}"/>
    <cellStyle name="Comma 98" xfId="19071" xr:uid="{00000000-0005-0000-0000-0000DD2E0000}"/>
    <cellStyle name="Comma 98 2" xfId="31960" xr:uid="{00000000-0005-0000-0000-0000DE2E0000}"/>
    <cellStyle name="Comma 98 3" xfId="32251" xr:uid="{00000000-0005-0000-0000-0000DF2E0000}"/>
    <cellStyle name="Comma 98_TOM TAT" xfId="22463" xr:uid="{00000000-0005-0000-0000-0000E02E0000}"/>
    <cellStyle name="Comma 99" xfId="19073" xr:uid="{00000000-0005-0000-0000-0000E12E0000}"/>
    <cellStyle name="Comma 99 2" xfId="31962" xr:uid="{00000000-0005-0000-0000-0000E22E0000}"/>
    <cellStyle name="Comma 99 3" xfId="32258" xr:uid="{00000000-0005-0000-0000-0000E32E0000}"/>
    <cellStyle name="Comma 99_TOM TAT" xfId="22464" xr:uid="{00000000-0005-0000-0000-0000E42E0000}"/>
    <cellStyle name="comma zerodec" xfId="1211" xr:uid="{00000000-0005-0000-0000-0000E52E0000}"/>
    <cellStyle name="comma zerodec 2" xfId="4383" xr:uid="{00000000-0005-0000-0000-0000E62E0000}"/>
    <cellStyle name="comma zerodec 2 2" xfId="5444" xr:uid="{00000000-0005-0000-0000-0000E72E0000}"/>
    <cellStyle name="comma zerodec 2_TOM TAT" xfId="9264" xr:uid="{00000000-0005-0000-0000-0000E82E0000}"/>
    <cellStyle name="comma zerodec 3" xfId="5445" xr:uid="{00000000-0005-0000-0000-0000E92E0000}"/>
    <cellStyle name="comma zerodec_20141211 Tan Mai - Hanh" xfId="9265" xr:uid="{00000000-0005-0000-0000-0000EA2E0000}"/>
    <cellStyle name="Comma_2013.08.28 FS Jamona 25 tang" xfId="1212" xr:uid="{00000000-0005-0000-0000-0000EB2E0000}"/>
    <cellStyle name="Comma0" xfId="1213" xr:uid="{00000000-0005-0000-0000-0000EC2E0000}"/>
    <cellStyle name="Comma0 2" xfId="4384" xr:uid="{00000000-0005-0000-0000-0000ED2E0000}"/>
    <cellStyle name="Comma0 2 2" xfId="5446" xr:uid="{00000000-0005-0000-0000-0000EE2E0000}"/>
    <cellStyle name="Comma0 2_TOM TAT" xfId="22466" xr:uid="{00000000-0005-0000-0000-0000EF2E0000}"/>
    <cellStyle name="Comma0 3" xfId="5447" xr:uid="{00000000-0005-0000-0000-0000F02E0000}"/>
    <cellStyle name="Comma0_TOM TAT" xfId="22465" xr:uid="{00000000-0005-0000-0000-0000F12E0000}"/>
    <cellStyle name="Company Details" xfId="19128" xr:uid="{00000000-0005-0000-0000-0000F22E0000}"/>
    <cellStyle name="Copied" xfId="1214" xr:uid="{00000000-0005-0000-0000-0000F32E0000}"/>
    <cellStyle name="Copied 2" xfId="9266" xr:uid="{00000000-0005-0000-0000-0000F42E0000}"/>
    <cellStyle name="Copied 3" xfId="9267" xr:uid="{00000000-0005-0000-0000-0000F52E0000}"/>
    <cellStyle name="Copied_TOM TAT" xfId="22467" xr:uid="{00000000-0005-0000-0000-0000F62E0000}"/>
    <cellStyle name="COST1" xfId="1215" xr:uid="{00000000-0005-0000-0000-0000F72E0000}"/>
    <cellStyle name="COST1 2" xfId="9268" xr:uid="{00000000-0005-0000-0000-0000F82E0000}"/>
    <cellStyle name="COST1 3" xfId="9269" xr:uid="{00000000-0005-0000-0000-0000F92E0000}"/>
    <cellStyle name="COST1_TOM TAT" xfId="22468" xr:uid="{00000000-0005-0000-0000-0000FA2E0000}"/>
    <cellStyle name="Curren - Style3" xfId="1216" xr:uid="{00000000-0005-0000-0000-0000FB2E0000}"/>
    <cellStyle name="Curren - Style3 2" xfId="9270" xr:uid="{00000000-0005-0000-0000-0000FC2E0000}"/>
    <cellStyle name="Curren - Style3 3" xfId="9271" xr:uid="{00000000-0005-0000-0000-0000FD2E0000}"/>
    <cellStyle name="Curren - Style3_TOM TAT" xfId="22469" xr:uid="{00000000-0005-0000-0000-0000FE2E0000}"/>
    <cellStyle name="Curren - Style4" xfId="1217" xr:uid="{00000000-0005-0000-0000-0000FF2E0000}"/>
    <cellStyle name="Curren - Style4 2" xfId="9272" xr:uid="{00000000-0005-0000-0000-0000002F0000}"/>
    <cellStyle name="Curren - Style4 3" xfId="9273" xr:uid="{00000000-0005-0000-0000-0000012F0000}"/>
    <cellStyle name="Curren - Style4_TOM TAT" xfId="22470" xr:uid="{00000000-0005-0000-0000-0000022F0000}"/>
    <cellStyle name="Currency (0.00)" xfId="1218" xr:uid="{00000000-0005-0000-0000-0000032F0000}"/>
    <cellStyle name="Currency (0.00) 2" xfId="5448" xr:uid="{00000000-0005-0000-0000-0000042F0000}"/>
    <cellStyle name="Currency (0.00) 2 2" xfId="28217" xr:uid="{00000000-0005-0000-0000-0000052F0000}"/>
    <cellStyle name="Currency (0.00) 2_TOM TAT" xfId="22472" xr:uid="{00000000-0005-0000-0000-0000062F0000}"/>
    <cellStyle name="Currency (0.00) 3" xfId="18188" xr:uid="{00000000-0005-0000-0000-0000072F0000}"/>
    <cellStyle name="Currency (0.00) 4" xfId="18680" xr:uid="{00000000-0005-0000-0000-0000082F0000}"/>
    <cellStyle name="Currency (0.00) 4 2" xfId="31799" xr:uid="{00000000-0005-0000-0000-0000092F0000}"/>
    <cellStyle name="Currency (0.00) 4_TOM TAT" xfId="22473" xr:uid="{00000000-0005-0000-0000-00000A2F0000}"/>
    <cellStyle name="Currency (0.00) 5" xfId="26963" xr:uid="{00000000-0005-0000-0000-00000B2F0000}"/>
    <cellStyle name="Currency (0.00)_TOM TAT" xfId="22471" xr:uid="{00000000-0005-0000-0000-00000C2F0000}"/>
    <cellStyle name="Currency [0] 2" xfId="1219" xr:uid="{00000000-0005-0000-0000-00000D2F0000}"/>
    <cellStyle name="Currency [0] 2 2" xfId="4385" xr:uid="{00000000-0005-0000-0000-00000E2F0000}"/>
    <cellStyle name="Currency [0] 2 2 2" xfId="5449" xr:uid="{00000000-0005-0000-0000-00000F2F0000}"/>
    <cellStyle name="Currency [0] 2 2_TOM TAT" xfId="22475" xr:uid="{00000000-0005-0000-0000-0000102F0000}"/>
    <cellStyle name="Currency [0] 2 3" xfId="5450" xr:uid="{00000000-0005-0000-0000-0000112F0000}"/>
    <cellStyle name="Currency [0] 2_TOM TAT" xfId="22474" xr:uid="{00000000-0005-0000-0000-0000122F0000}"/>
    <cellStyle name="Currency [00]" xfId="1220" xr:uid="{00000000-0005-0000-0000-0000132F0000}"/>
    <cellStyle name="Currency [00] 2" xfId="4386" xr:uid="{00000000-0005-0000-0000-0000142F0000}"/>
    <cellStyle name="Currency [00] 2 2" xfId="5451" xr:uid="{00000000-0005-0000-0000-0000152F0000}"/>
    <cellStyle name="Currency [00] 2 2 2" xfId="9274" xr:uid="{00000000-0005-0000-0000-0000162F0000}"/>
    <cellStyle name="Currency [00] 2 2_TOM TAT" xfId="22478" xr:uid="{00000000-0005-0000-0000-0000172F0000}"/>
    <cellStyle name="Currency [00] 2 3" xfId="9275" xr:uid="{00000000-0005-0000-0000-0000182F0000}"/>
    <cellStyle name="Currency [00] 2 4" xfId="9276" xr:uid="{00000000-0005-0000-0000-0000192F0000}"/>
    <cellStyle name="Currency [00] 2_TOM TAT" xfId="22477" xr:uid="{00000000-0005-0000-0000-00001A2F0000}"/>
    <cellStyle name="Currency [00] 3" xfId="5452" xr:uid="{00000000-0005-0000-0000-00001B2F0000}"/>
    <cellStyle name="Currency [00] 3 2" xfId="9277" xr:uid="{00000000-0005-0000-0000-00001C2F0000}"/>
    <cellStyle name="Currency [00] 3_TOM TAT" xfId="22479" xr:uid="{00000000-0005-0000-0000-00001D2F0000}"/>
    <cellStyle name="Currency [00] 4" xfId="9278" xr:uid="{00000000-0005-0000-0000-00001E2F0000}"/>
    <cellStyle name="Currency [00] 5" xfId="9279" xr:uid="{00000000-0005-0000-0000-00001F2F0000}"/>
    <cellStyle name="Currency [00]_TOM TAT" xfId="22476" xr:uid="{00000000-0005-0000-0000-0000202F0000}"/>
    <cellStyle name="Currency 0" xfId="1221" xr:uid="{00000000-0005-0000-0000-0000212F0000}"/>
    <cellStyle name="Currency 0 2" xfId="4387" xr:uid="{00000000-0005-0000-0000-0000222F0000}"/>
    <cellStyle name="Currency 0 3" xfId="18189" xr:uid="{00000000-0005-0000-0000-0000232F0000}"/>
    <cellStyle name="Currency 0_TOM TAT" xfId="22480" xr:uid="{00000000-0005-0000-0000-0000242F0000}"/>
    <cellStyle name="Currency 2" xfId="1222" xr:uid="{00000000-0005-0000-0000-0000252F0000}"/>
    <cellStyle name="Currency 2 2" xfId="2130" xr:uid="{00000000-0005-0000-0000-0000262F0000}"/>
    <cellStyle name="Currency 2 3" xfId="4388" xr:uid="{00000000-0005-0000-0000-0000272F0000}"/>
    <cellStyle name="Currency 2 4" xfId="18190" xr:uid="{00000000-0005-0000-0000-0000282F0000}"/>
    <cellStyle name="Currency 2 5" xfId="26964" xr:uid="{00000000-0005-0000-0000-0000292F0000}"/>
    <cellStyle name="Currency 2_TOM TAT" xfId="22481" xr:uid="{00000000-0005-0000-0000-00002A2F0000}"/>
    <cellStyle name="Currency 3" xfId="2131" xr:uid="{00000000-0005-0000-0000-00002B2F0000}"/>
    <cellStyle name="Currency0" xfId="1223" xr:uid="{00000000-0005-0000-0000-00002C2F0000}"/>
    <cellStyle name="Currency0 2" xfId="4389" xr:uid="{00000000-0005-0000-0000-00002D2F0000}"/>
    <cellStyle name="Currency0 2 2" xfId="5453" xr:uid="{00000000-0005-0000-0000-00002E2F0000}"/>
    <cellStyle name="Currency0 2 2 2" xfId="9280" xr:uid="{00000000-0005-0000-0000-00002F2F0000}"/>
    <cellStyle name="Currency0 2 2_TOM TAT" xfId="22484" xr:uid="{00000000-0005-0000-0000-0000302F0000}"/>
    <cellStyle name="Currency0 2 3" xfId="9281" xr:uid="{00000000-0005-0000-0000-0000312F0000}"/>
    <cellStyle name="Currency0 2 4" xfId="9282" xr:uid="{00000000-0005-0000-0000-0000322F0000}"/>
    <cellStyle name="Currency0 2_TOM TAT" xfId="22483" xr:uid="{00000000-0005-0000-0000-0000332F0000}"/>
    <cellStyle name="Currency0 3" xfId="5454" xr:uid="{00000000-0005-0000-0000-0000342F0000}"/>
    <cellStyle name="Currency0 3 2" xfId="9283" xr:uid="{00000000-0005-0000-0000-0000352F0000}"/>
    <cellStyle name="Currency0 3_TOM TAT" xfId="22485" xr:uid="{00000000-0005-0000-0000-0000362F0000}"/>
    <cellStyle name="Currency0 4" xfId="9284" xr:uid="{00000000-0005-0000-0000-0000372F0000}"/>
    <cellStyle name="Currency0 5" xfId="9285" xr:uid="{00000000-0005-0000-0000-0000382F0000}"/>
    <cellStyle name="Currency0_TOM TAT" xfId="22482" xr:uid="{00000000-0005-0000-0000-0000392F0000}"/>
    <cellStyle name="Currency1" xfId="1224" xr:uid="{00000000-0005-0000-0000-00003A2F0000}"/>
    <cellStyle name="custom" xfId="1225" xr:uid="{00000000-0005-0000-0000-00003B2F0000}"/>
    <cellStyle name="Custom - Style1" xfId="1226" xr:uid="{00000000-0005-0000-0000-00003C2F0000}"/>
    <cellStyle name="Custom - Style1 2" xfId="9286" xr:uid="{00000000-0005-0000-0000-00003D2F0000}"/>
    <cellStyle name="Custom - Style1 3" xfId="9287" xr:uid="{00000000-0005-0000-0000-00003E2F0000}"/>
    <cellStyle name="Custom - Style1_TOM TAT" xfId="22487" xr:uid="{00000000-0005-0000-0000-00003F2F0000}"/>
    <cellStyle name="Custom - Style8" xfId="1227" xr:uid="{00000000-0005-0000-0000-0000402F0000}"/>
    <cellStyle name="custom 10" xfId="9288" xr:uid="{00000000-0005-0000-0000-0000412F0000}"/>
    <cellStyle name="custom 11" xfId="9289" xr:uid="{00000000-0005-0000-0000-0000422F0000}"/>
    <cellStyle name="custom 12" xfId="9290" xr:uid="{00000000-0005-0000-0000-0000432F0000}"/>
    <cellStyle name="custom 13" xfId="9291" xr:uid="{00000000-0005-0000-0000-0000442F0000}"/>
    <cellStyle name="custom 14" xfId="9292" xr:uid="{00000000-0005-0000-0000-0000452F0000}"/>
    <cellStyle name="custom 15" xfId="9293" xr:uid="{00000000-0005-0000-0000-0000462F0000}"/>
    <cellStyle name="custom 16" xfId="9294" xr:uid="{00000000-0005-0000-0000-0000472F0000}"/>
    <cellStyle name="custom 17" xfId="9295" xr:uid="{00000000-0005-0000-0000-0000482F0000}"/>
    <cellStyle name="custom 18" xfId="9296" xr:uid="{00000000-0005-0000-0000-0000492F0000}"/>
    <cellStyle name="custom 19" xfId="18191" xr:uid="{00000000-0005-0000-0000-00004A2F0000}"/>
    <cellStyle name="custom 2" xfId="4390" xr:uid="{00000000-0005-0000-0000-00004B2F0000}"/>
    <cellStyle name="custom 2 2" xfId="5455" xr:uid="{00000000-0005-0000-0000-00004C2F0000}"/>
    <cellStyle name="custom 2_TOM TAT" xfId="22488" xr:uid="{00000000-0005-0000-0000-00004D2F0000}"/>
    <cellStyle name="custom 20" xfId="18681" xr:uid="{00000000-0005-0000-0000-00004E2F0000}"/>
    <cellStyle name="custom 21" xfId="26965" xr:uid="{00000000-0005-0000-0000-00004F2F0000}"/>
    <cellStyle name="custom 22" xfId="14626" xr:uid="{00000000-0005-0000-0000-0000502F0000}"/>
    <cellStyle name="custom 3" xfId="5456" xr:uid="{00000000-0005-0000-0000-0000512F0000}"/>
    <cellStyle name="custom 4" xfId="5457" xr:uid="{00000000-0005-0000-0000-0000522F0000}"/>
    <cellStyle name="custom 5" xfId="5458" xr:uid="{00000000-0005-0000-0000-0000532F0000}"/>
    <cellStyle name="custom 6" xfId="9297" xr:uid="{00000000-0005-0000-0000-0000542F0000}"/>
    <cellStyle name="custom 7" xfId="9298" xr:uid="{00000000-0005-0000-0000-0000552F0000}"/>
    <cellStyle name="custom 8" xfId="9299" xr:uid="{00000000-0005-0000-0000-0000562F0000}"/>
    <cellStyle name="custom 9" xfId="9300" xr:uid="{00000000-0005-0000-0000-0000572F0000}"/>
    <cellStyle name="custom_TOM TAT" xfId="22486" xr:uid="{00000000-0005-0000-0000-0000582F0000}"/>
    <cellStyle name="D1" xfId="18992" xr:uid="{00000000-0005-0000-0000-0000592F0000}"/>
    <cellStyle name="Data   - Style2" xfId="1228" xr:uid="{00000000-0005-0000-0000-00005A2F0000}"/>
    <cellStyle name="Data   - Style2 2" xfId="5459" xr:uid="{00000000-0005-0000-0000-00005B2F0000}"/>
    <cellStyle name="Data   - Style2 2 2" xfId="28218" xr:uid="{00000000-0005-0000-0000-00005C2F0000}"/>
    <cellStyle name="Data   - Style2 2_TOM TAT" xfId="22490" xr:uid="{00000000-0005-0000-0000-00005D2F0000}"/>
    <cellStyle name="Data   - Style2 3" xfId="9301" xr:uid="{00000000-0005-0000-0000-00005E2F0000}"/>
    <cellStyle name="Data   - Style2 3 2" xfId="29925" xr:uid="{00000000-0005-0000-0000-00005F2F0000}"/>
    <cellStyle name="Data   - Style2 3_TOM TAT" xfId="22491" xr:uid="{00000000-0005-0000-0000-0000602F0000}"/>
    <cellStyle name="Data   - Style2 4" xfId="26966" xr:uid="{00000000-0005-0000-0000-0000612F0000}"/>
    <cellStyle name="Data   - Style2_TOM TAT" xfId="22489" xr:uid="{00000000-0005-0000-0000-0000622F0000}"/>
    <cellStyle name="Date" xfId="1229" xr:uid="{00000000-0005-0000-0000-0000632F0000}"/>
    <cellStyle name="Date 2" xfId="18192" xr:uid="{00000000-0005-0000-0000-0000642F0000}"/>
    <cellStyle name="Date Aligned" xfId="1230" xr:uid="{00000000-0005-0000-0000-0000652F0000}"/>
    <cellStyle name="Date Aligned 2" xfId="4391" xr:uid="{00000000-0005-0000-0000-0000662F0000}"/>
    <cellStyle name="Date Aligned 3" xfId="18193" xr:uid="{00000000-0005-0000-0000-0000672F0000}"/>
    <cellStyle name="Date Aligned_TOM TAT" xfId="22492" xr:uid="{00000000-0005-0000-0000-0000682F0000}"/>
    <cellStyle name="Date Short" xfId="1231" xr:uid="{00000000-0005-0000-0000-0000692F0000}"/>
    <cellStyle name="Date Short 2" xfId="18194" xr:uid="{00000000-0005-0000-0000-00006A2F0000}"/>
    <cellStyle name="Date Short_TOM TAT" xfId="22493" xr:uid="{00000000-0005-0000-0000-00006B2F0000}"/>
    <cellStyle name="Date_~8657197" xfId="1232" xr:uid="{00000000-0005-0000-0000-00006C2F0000}"/>
    <cellStyle name="Date1" xfId="1233" xr:uid="{00000000-0005-0000-0000-00006D2F0000}"/>
    <cellStyle name="Date1 2" xfId="1234" xr:uid="{00000000-0005-0000-0000-00006E2F0000}"/>
    <cellStyle name="Date1 2 2" xfId="18195" xr:uid="{00000000-0005-0000-0000-00006F2F0000}"/>
    <cellStyle name="Date1 2_TOM TAT" xfId="22495" xr:uid="{00000000-0005-0000-0000-0000702F0000}"/>
    <cellStyle name="Date1 3" xfId="1235" xr:uid="{00000000-0005-0000-0000-0000712F0000}"/>
    <cellStyle name="Date1 3 2" xfId="18196" xr:uid="{00000000-0005-0000-0000-0000722F0000}"/>
    <cellStyle name="Date1 3_TOM TAT" xfId="22496" xr:uid="{00000000-0005-0000-0000-0000732F0000}"/>
    <cellStyle name="Date1_TOM TAT" xfId="22494" xr:uid="{00000000-0005-0000-0000-0000742F0000}"/>
    <cellStyle name="Date2" xfId="1236" xr:uid="{00000000-0005-0000-0000-0000752F0000}"/>
    <cellStyle name="Define your own named style" xfId="1237" xr:uid="{00000000-0005-0000-0000-0000762F0000}"/>
    <cellStyle name="Define your own named style 2" xfId="5460" xr:uid="{00000000-0005-0000-0000-0000772F0000}"/>
    <cellStyle name="Define your own named style 2 2" xfId="28219" xr:uid="{00000000-0005-0000-0000-0000782F0000}"/>
    <cellStyle name="Define your own named style 2_TOM TAT" xfId="22498" xr:uid="{00000000-0005-0000-0000-0000792F0000}"/>
    <cellStyle name="Define your own named style 3" xfId="9302" xr:uid="{00000000-0005-0000-0000-00007A2F0000}"/>
    <cellStyle name="Define your own named style 3 2" xfId="29926" xr:uid="{00000000-0005-0000-0000-00007B2F0000}"/>
    <cellStyle name="Define your own named style 3_TOM TAT" xfId="22499" xr:uid="{00000000-0005-0000-0000-00007C2F0000}"/>
    <cellStyle name="Define your own named style 4" xfId="26967" xr:uid="{00000000-0005-0000-0000-00007D2F0000}"/>
    <cellStyle name="Define your own named style_TOM TAT" xfId="22497" xr:uid="{00000000-0005-0000-0000-00007E2F0000}"/>
    <cellStyle name="DELTA" xfId="1238" xr:uid="{00000000-0005-0000-0000-00007F2F0000}"/>
    <cellStyle name="DELTA 2" xfId="18197" xr:uid="{00000000-0005-0000-0000-0000802F0000}"/>
    <cellStyle name="DELTA_TOM TAT" xfId="22500" xr:uid="{00000000-0005-0000-0000-0000812F0000}"/>
    <cellStyle name="Des." xfId="1239" xr:uid="{00000000-0005-0000-0000-0000822F0000}"/>
    <cellStyle name="Des. 10" xfId="14627" xr:uid="{00000000-0005-0000-0000-0000832F0000}"/>
    <cellStyle name="Des. 2" xfId="2133" xr:uid="{00000000-0005-0000-0000-0000842F0000}"/>
    <cellStyle name="Des. 2 2" xfId="5461" xr:uid="{00000000-0005-0000-0000-0000852F0000}"/>
    <cellStyle name="Des. 2 2 2" xfId="9303" xr:uid="{00000000-0005-0000-0000-0000862F0000}"/>
    <cellStyle name="Des. 2 2_TOM TAT" xfId="22501" xr:uid="{00000000-0005-0000-0000-0000872F0000}"/>
    <cellStyle name="Des. 2 3" xfId="9304" xr:uid="{00000000-0005-0000-0000-0000882F0000}"/>
    <cellStyle name="Des. 2 4" xfId="9305" xr:uid="{00000000-0005-0000-0000-0000892F0000}"/>
    <cellStyle name="Des. 2_TOM TAT" xfId="9306" xr:uid="{00000000-0005-0000-0000-00008A2F0000}"/>
    <cellStyle name="Des. 3" xfId="2134" xr:uid="{00000000-0005-0000-0000-00008B2F0000}"/>
    <cellStyle name="Des. 3 2" xfId="9307" xr:uid="{00000000-0005-0000-0000-00008C2F0000}"/>
    <cellStyle name="Des. 3 3" xfId="18632" xr:uid="{00000000-0005-0000-0000-00008D2F0000}"/>
    <cellStyle name="Des. 3_TOM TAT" xfId="22502" xr:uid="{00000000-0005-0000-0000-00008E2F0000}"/>
    <cellStyle name="Des. 4" xfId="2132" xr:uid="{00000000-0005-0000-0000-00008F2F0000}"/>
    <cellStyle name="Des. 4 2" xfId="9308" xr:uid="{00000000-0005-0000-0000-0000902F0000}"/>
    <cellStyle name="Des. 4_TOM TAT" xfId="22503" xr:uid="{00000000-0005-0000-0000-0000912F0000}"/>
    <cellStyle name="Des. 5" xfId="4392" xr:uid="{00000000-0005-0000-0000-0000922F0000}"/>
    <cellStyle name="Des. 5 2" xfId="9309" xr:uid="{00000000-0005-0000-0000-0000932F0000}"/>
    <cellStyle name="Des. 5_TOM TAT" xfId="22504" xr:uid="{00000000-0005-0000-0000-0000942F0000}"/>
    <cellStyle name="Des. 6" xfId="5462" xr:uid="{00000000-0005-0000-0000-0000952F0000}"/>
    <cellStyle name="Des. 6 2" xfId="9310" xr:uid="{00000000-0005-0000-0000-0000962F0000}"/>
    <cellStyle name="Des. 6_TOM TAT" xfId="22505" xr:uid="{00000000-0005-0000-0000-0000972F0000}"/>
    <cellStyle name="Des. 7" xfId="9311" xr:uid="{00000000-0005-0000-0000-0000982F0000}"/>
    <cellStyle name="Des. 8" xfId="9312" xr:uid="{00000000-0005-0000-0000-0000992F0000}"/>
    <cellStyle name="Des. 9" xfId="26968" xr:uid="{00000000-0005-0000-0000-00009A2F0000}"/>
    <cellStyle name="Des._20141211 Tan Mai - Hanh" xfId="9313" xr:uid="{00000000-0005-0000-0000-00009B2F0000}"/>
    <cellStyle name="Description Column" xfId="19129" xr:uid="{00000000-0005-0000-0000-00009C2F0000}"/>
    <cellStyle name="Dezimal [0]_68574_Materialbedarfsliste" xfId="1240" xr:uid="{00000000-0005-0000-0000-00009D2F0000}"/>
    <cellStyle name="Dezimal_68574_Materialbedarfsliste" xfId="1241" xr:uid="{00000000-0005-0000-0000-00009E2F0000}"/>
    <cellStyle name="Dollar (zero dec)" xfId="1242" xr:uid="{00000000-0005-0000-0000-00009F2F0000}"/>
    <cellStyle name="Dollars" xfId="1243" xr:uid="{00000000-0005-0000-0000-0000A02F0000}"/>
    <cellStyle name="Dollars 2" xfId="4393" xr:uid="{00000000-0005-0000-0000-0000A12F0000}"/>
    <cellStyle name="Dollars 2 2" xfId="5463" xr:uid="{00000000-0005-0000-0000-0000A22F0000}"/>
    <cellStyle name="Dollars 2_TOM TAT" xfId="9314" xr:uid="{00000000-0005-0000-0000-0000A32F0000}"/>
    <cellStyle name="Dollars 3" xfId="5464" xr:uid="{00000000-0005-0000-0000-0000A42F0000}"/>
    <cellStyle name="Dollars(0)" xfId="1244" xr:uid="{00000000-0005-0000-0000-0000A52F0000}"/>
    <cellStyle name="Dollars(0) 2" xfId="4394" xr:uid="{00000000-0005-0000-0000-0000A62F0000}"/>
    <cellStyle name="Dollars(0) 2 2" xfId="5465" xr:uid="{00000000-0005-0000-0000-0000A72F0000}"/>
    <cellStyle name="Dollars(0) 2_TOM TAT" xfId="9315" xr:uid="{00000000-0005-0000-0000-0000A82F0000}"/>
    <cellStyle name="Dollars(0) 3" xfId="5466" xr:uid="{00000000-0005-0000-0000-0000A92F0000}"/>
    <cellStyle name="Dollars(0)_20141211 Tan Mai - Hanh" xfId="9316" xr:uid="{00000000-0005-0000-0000-0000AA2F0000}"/>
    <cellStyle name="Dollars_20141211 Tan Mai - Hanh" xfId="9317" xr:uid="{00000000-0005-0000-0000-0000AB2F0000}"/>
    <cellStyle name="Dotted Line" xfId="1245" xr:uid="{00000000-0005-0000-0000-0000AC2F0000}"/>
    <cellStyle name="Dotted Line 2" xfId="4395" xr:uid="{00000000-0005-0000-0000-0000AD2F0000}"/>
    <cellStyle name="Dotted Line 2 2" xfId="9318" xr:uid="{00000000-0005-0000-0000-0000AE2F0000}"/>
    <cellStyle name="Dotted Line 2_TOM TAT" xfId="22507" xr:uid="{00000000-0005-0000-0000-0000AF2F0000}"/>
    <cellStyle name="Dotted Line 3" xfId="18198" xr:uid="{00000000-0005-0000-0000-0000B02F0000}"/>
    <cellStyle name="Dotted Line_TOM TAT" xfId="22506" xr:uid="{00000000-0005-0000-0000-0000B12F0000}"/>
    <cellStyle name="Dotted Rule" xfId="19130" xr:uid="{00000000-0005-0000-0000-0000B22F0000}"/>
    <cellStyle name="Draw lines around data in range" xfId="1246" xr:uid="{00000000-0005-0000-0000-0000B32F0000}"/>
    <cellStyle name="Draw lines around data in range 2" xfId="5467" xr:uid="{00000000-0005-0000-0000-0000B42F0000}"/>
    <cellStyle name="Draw lines around data in range 2 2" xfId="28220" xr:uid="{00000000-0005-0000-0000-0000B52F0000}"/>
    <cellStyle name="Draw lines around data in range 2_TOM TAT" xfId="22509" xr:uid="{00000000-0005-0000-0000-0000B62F0000}"/>
    <cellStyle name="Draw lines around data in range 3" xfId="9319" xr:uid="{00000000-0005-0000-0000-0000B72F0000}"/>
    <cellStyle name="Draw lines around data in range 3 2" xfId="29927" xr:uid="{00000000-0005-0000-0000-0000B82F0000}"/>
    <cellStyle name="Draw lines around data in range 3_TOM TAT" xfId="22510" xr:uid="{00000000-0005-0000-0000-0000B92F0000}"/>
    <cellStyle name="Draw lines around data in range 4" xfId="26969" xr:uid="{00000000-0005-0000-0000-0000BA2F0000}"/>
    <cellStyle name="Draw lines around data in range_TOM TAT" xfId="22508" xr:uid="{00000000-0005-0000-0000-0000BB2F0000}"/>
    <cellStyle name="Draw shadow and lines within range" xfId="1247" xr:uid="{00000000-0005-0000-0000-0000BC2F0000}"/>
    <cellStyle name="Draw shadow and lines within range 2" xfId="5468" xr:uid="{00000000-0005-0000-0000-0000BD2F0000}"/>
    <cellStyle name="Draw shadow and lines within range 2 2" xfId="28221" xr:uid="{00000000-0005-0000-0000-0000BE2F0000}"/>
    <cellStyle name="Draw shadow and lines within range 2_TOM TAT" xfId="22512" xr:uid="{00000000-0005-0000-0000-0000BF2F0000}"/>
    <cellStyle name="Draw shadow and lines within range 3" xfId="9320" xr:uid="{00000000-0005-0000-0000-0000C02F0000}"/>
    <cellStyle name="Draw shadow and lines within range 3 2" xfId="29928" xr:uid="{00000000-0005-0000-0000-0000C12F0000}"/>
    <cellStyle name="Draw shadow and lines within range 3_TOM TAT" xfId="22513" xr:uid="{00000000-0005-0000-0000-0000C22F0000}"/>
    <cellStyle name="Draw shadow and lines within range 4" xfId="26970" xr:uid="{00000000-0005-0000-0000-0000C32F0000}"/>
    <cellStyle name="Draw shadow and lines within range_TOM TAT" xfId="22511" xr:uid="{00000000-0005-0000-0000-0000C42F0000}"/>
    <cellStyle name="e" xfId="18993" xr:uid="{00000000-0005-0000-0000-0000C52F0000}"/>
    <cellStyle name="E&amp;Y House" xfId="1248" xr:uid="{00000000-0005-0000-0000-0000C62F0000}"/>
    <cellStyle name="E&amp;Y House 2" xfId="9321" xr:uid="{00000000-0005-0000-0000-0000C72F0000}"/>
    <cellStyle name="E&amp;Y House 3" xfId="9322" xr:uid="{00000000-0005-0000-0000-0000C82F0000}"/>
    <cellStyle name="E&amp;Y House_TOM TAT" xfId="22515" xr:uid="{00000000-0005-0000-0000-0000C92F0000}"/>
    <cellStyle name="e_TOM TAT" xfId="22514" xr:uid="{00000000-0005-0000-0000-0000CA2F0000}"/>
    <cellStyle name="Eliza" xfId="1249" xr:uid="{00000000-0005-0000-0000-0000CB2F0000}"/>
    <cellStyle name="Eliza 2" xfId="5469" xr:uid="{00000000-0005-0000-0000-0000CC2F0000}"/>
    <cellStyle name="Eliza 2 2" xfId="28222" xr:uid="{00000000-0005-0000-0000-0000CD2F0000}"/>
    <cellStyle name="Eliza 2_TOM TAT" xfId="22517" xr:uid="{00000000-0005-0000-0000-0000CE2F0000}"/>
    <cellStyle name="Eliza 3" xfId="9323" xr:uid="{00000000-0005-0000-0000-0000CF2F0000}"/>
    <cellStyle name="Eliza 3 2" xfId="29929" xr:uid="{00000000-0005-0000-0000-0000D02F0000}"/>
    <cellStyle name="Eliza 3_TOM TAT" xfId="22518" xr:uid="{00000000-0005-0000-0000-0000D12F0000}"/>
    <cellStyle name="Eliza 4" xfId="26971" xr:uid="{00000000-0005-0000-0000-0000D22F0000}"/>
    <cellStyle name="Eliza_TOM TAT" xfId="22516" xr:uid="{00000000-0005-0000-0000-0000D32F0000}"/>
    <cellStyle name="Emphasis 1" xfId="1250" xr:uid="{00000000-0005-0000-0000-0000D42F0000}"/>
    <cellStyle name="Emphasis 1 2" xfId="9324" xr:uid="{00000000-0005-0000-0000-0000D52F0000}"/>
    <cellStyle name="Emphasis 1 3" xfId="9325" xr:uid="{00000000-0005-0000-0000-0000D62F0000}"/>
    <cellStyle name="Emphasis 1_TOM TAT" xfId="22519" xr:uid="{00000000-0005-0000-0000-0000D72F0000}"/>
    <cellStyle name="Emphasis 2" xfId="1251" xr:uid="{00000000-0005-0000-0000-0000D82F0000}"/>
    <cellStyle name="Emphasis 2 2" xfId="9326" xr:uid="{00000000-0005-0000-0000-0000D92F0000}"/>
    <cellStyle name="Emphasis 2 3" xfId="9327" xr:uid="{00000000-0005-0000-0000-0000DA2F0000}"/>
    <cellStyle name="Emphasis 2_TOM TAT" xfId="22520" xr:uid="{00000000-0005-0000-0000-0000DB2F0000}"/>
    <cellStyle name="Emphasis 3" xfId="1252" xr:uid="{00000000-0005-0000-0000-0000DC2F0000}"/>
    <cellStyle name="Emphasis 3 2" xfId="9328" xr:uid="{00000000-0005-0000-0000-0000DD2F0000}"/>
    <cellStyle name="Emphasis 3 3" xfId="9329" xr:uid="{00000000-0005-0000-0000-0000DE2F0000}"/>
    <cellStyle name="Emphasis 3_TOM TAT" xfId="22521" xr:uid="{00000000-0005-0000-0000-0000DF2F0000}"/>
    <cellStyle name="Enlarge title text, yellow on blue" xfId="1253" xr:uid="{00000000-0005-0000-0000-0000E02F0000}"/>
    <cellStyle name="Enlarge title text, yellow on blue 2" xfId="9330" xr:uid="{00000000-0005-0000-0000-0000E12F0000}"/>
    <cellStyle name="Enlarge title text, yellow on blue 3" xfId="9331" xr:uid="{00000000-0005-0000-0000-0000E22F0000}"/>
    <cellStyle name="Enlarge title text, yellow on blue_TOM TAT" xfId="22522" xr:uid="{00000000-0005-0000-0000-0000E32F0000}"/>
    <cellStyle name="Enter Currency (0)" xfId="1254" xr:uid="{00000000-0005-0000-0000-0000E42F0000}"/>
    <cellStyle name="Enter Currency (0) 2" xfId="4396" xr:uid="{00000000-0005-0000-0000-0000E52F0000}"/>
    <cellStyle name="Enter Currency (0) 2 2" xfId="5470" xr:uid="{00000000-0005-0000-0000-0000E62F0000}"/>
    <cellStyle name="Enter Currency (0) 2 2 2" xfId="9332" xr:uid="{00000000-0005-0000-0000-0000E72F0000}"/>
    <cellStyle name="Enter Currency (0) 2 2_TOM TAT" xfId="22523" xr:uid="{00000000-0005-0000-0000-0000E82F0000}"/>
    <cellStyle name="Enter Currency (0) 2 3" xfId="9333" xr:uid="{00000000-0005-0000-0000-0000E92F0000}"/>
    <cellStyle name="Enter Currency (0) 2 4" xfId="9334" xr:uid="{00000000-0005-0000-0000-0000EA2F0000}"/>
    <cellStyle name="Enter Currency (0) 2_TOM TAT" xfId="9335" xr:uid="{00000000-0005-0000-0000-0000EB2F0000}"/>
    <cellStyle name="Enter Currency (0) 3" xfId="5471" xr:uid="{00000000-0005-0000-0000-0000EC2F0000}"/>
    <cellStyle name="Enter Currency (0) 3 2" xfId="9336" xr:uid="{00000000-0005-0000-0000-0000ED2F0000}"/>
    <cellStyle name="Enter Currency (0) 3_TOM TAT" xfId="22524" xr:uid="{00000000-0005-0000-0000-0000EE2F0000}"/>
    <cellStyle name="Enter Currency (0) 4" xfId="9337" xr:uid="{00000000-0005-0000-0000-0000EF2F0000}"/>
    <cellStyle name="Enter Currency (0) 5" xfId="9338" xr:uid="{00000000-0005-0000-0000-0000F02F0000}"/>
    <cellStyle name="Enter Currency (0)_20141211 Tan Mai - Hanh" xfId="9339" xr:uid="{00000000-0005-0000-0000-0000F12F0000}"/>
    <cellStyle name="Enter Currency (2)" xfId="1255" xr:uid="{00000000-0005-0000-0000-0000F22F0000}"/>
    <cellStyle name="Enter Currency (2) 2" xfId="4397" xr:uid="{00000000-0005-0000-0000-0000F32F0000}"/>
    <cellStyle name="Enter Currency (2) 2 2" xfId="5472" xr:uid="{00000000-0005-0000-0000-0000F42F0000}"/>
    <cellStyle name="Enter Currency (2) 2 2 2" xfId="9340" xr:uid="{00000000-0005-0000-0000-0000F52F0000}"/>
    <cellStyle name="Enter Currency (2) 2 2_TOM TAT" xfId="22525" xr:uid="{00000000-0005-0000-0000-0000F62F0000}"/>
    <cellStyle name="Enter Currency (2) 2 3" xfId="9341" xr:uid="{00000000-0005-0000-0000-0000F72F0000}"/>
    <cellStyle name="Enter Currency (2) 2 4" xfId="9342" xr:uid="{00000000-0005-0000-0000-0000F82F0000}"/>
    <cellStyle name="Enter Currency (2) 2_TOM TAT" xfId="9343" xr:uid="{00000000-0005-0000-0000-0000F92F0000}"/>
    <cellStyle name="Enter Currency (2) 3" xfId="5473" xr:uid="{00000000-0005-0000-0000-0000FA2F0000}"/>
    <cellStyle name="Enter Currency (2) 3 2" xfId="9344" xr:uid="{00000000-0005-0000-0000-0000FB2F0000}"/>
    <cellStyle name="Enter Currency (2) 3_TOM TAT" xfId="22526" xr:uid="{00000000-0005-0000-0000-0000FC2F0000}"/>
    <cellStyle name="Enter Currency (2) 4" xfId="9345" xr:uid="{00000000-0005-0000-0000-0000FD2F0000}"/>
    <cellStyle name="Enter Currency (2) 5" xfId="9346" xr:uid="{00000000-0005-0000-0000-0000FE2F0000}"/>
    <cellStyle name="Enter Currency (2)_20141211 Tan Mai - Hanh" xfId="9347" xr:uid="{00000000-0005-0000-0000-0000FF2F0000}"/>
    <cellStyle name="Enter Units (0)" xfId="1256" xr:uid="{00000000-0005-0000-0000-000000300000}"/>
    <cellStyle name="Enter Units (0) 2" xfId="4398" xr:uid="{00000000-0005-0000-0000-000001300000}"/>
    <cellStyle name="Enter Units (0) 2 2" xfId="5474" xr:uid="{00000000-0005-0000-0000-000002300000}"/>
    <cellStyle name="Enter Units (0) 2 2 2" xfId="9348" xr:uid="{00000000-0005-0000-0000-000003300000}"/>
    <cellStyle name="Enter Units (0) 2 2_TOM TAT" xfId="22527" xr:uid="{00000000-0005-0000-0000-000004300000}"/>
    <cellStyle name="Enter Units (0) 2 3" xfId="9349" xr:uid="{00000000-0005-0000-0000-000005300000}"/>
    <cellStyle name="Enter Units (0) 2 4" xfId="9350" xr:uid="{00000000-0005-0000-0000-000006300000}"/>
    <cellStyle name="Enter Units (0) 2_TOM TAT" xfId="9351" xr:uid="{00000000-0005-0000-0000-000007300000}"/>
    <cellStyle name="Enter Units (0) 3" xfId="5475" xr:uid="{00000000-0005-0000-0000-000008300000}"/>
    <cellStyle name="Enter Units (0) 3 2" xfId="9352" xr:uid="{00000000-0005-0000-0000-000009300000}"/>
    <cellStyle name="Enter Units (0) 3_TOM TAT" xfId="22528" xr:uid="{00000000-0005-0000-0000-00000A300000}"/>
    <cellStyle name="Enter Units (0) 4" xfId="9353" xr:uid="{00000000-0005-0000-0000-00000B300000}"/>
    <cellStyle name="Enter Units (0) 5" xfId="9354" xr:uid="{00000000-0005-0000-0000-00000C300000}"/>
    <cellStyle name="Enter Units (0)_20141211 Tan Mai - Hanh" xfId="9355" xr:uid="{00000000-0005-0000-0000-00000D300000}"/>
    <cellStyle name="Enter Units (1)" xfId="1257" xr:uid="{00000000-0005-0000-0000-00000E300000}"/>
    <cellStyle name="Enter Units (1) 2" xfId="4399" xr:uid="{00000000-0005-0000-0000-00000F300000}"/>
    <cellStyle name="Enter Units (1) 2 2" xfId="5476" xr:uid="{00000000-0005-0000-0000-000010300000}"/>
    <cellStyle name="Enter Units (1) 2_TOM TAT" xfId="9356" xr:uid="{00000000-0005-0000-0000-000011300000}"/>
    <cellStyle name="Enter Units (1) 3" xfId="5477" xr:uid="{00000000-0005-0000-0000-000012300000}"/>
    <cellStyle name="Enter Units (1)_20141211 Tan Mai - Hanh" xfId="9357" xr:uid="{00000000-0005-0000-0000-000013300000}"/>
    <cellStyle name="Enter Units (2)" xfId="1258" xr:uid="{00000000-0005-0000-0000-000014300000}"/>
    <cellStyle name="Enter Units (2) 2" xfId="4400" xr:uid="{00000000-0005-0000-0000-000015300000}"/>
    <cellStyle name="Enter Units (2) 2 2" xfId="5478" xr:uid="{00000000-0005-0000-0000-000016300000}"/>
    <cellStyle name="Enter Units (2) 2 2 2" xfId="9358" xr:uid="{00000000-0005-0000-0000-000017300000}"/>
    <cellStyle name="Enter Units (2) 2 2_TOM TAT" xfId="22529" xr:uid="{00000000-0005-0000-0000-000018300000}"/>
    <cellStyle name="Enter Units (2) 2 3" xfId="9359" xr:uid="{00000000-0005-0000-0000-000019300000}"/>
    <cellStyle name="Enter Units (2) 2 4" xfId="9360" xr:uid="{00000000-0005-0000-0000-00001A300000}"/>
    <cellStyle name="Enter Units (2) 2_TOM TAT" xfId="9361" xr:uid="{00000000-0005-0000-0000-00001B300000}"/>
    <cellStyle name="Enter Units (2) 3" xfId="5479" xr:uid="{00000000-0005-0000-0000-00001C300000}"/>
    <cellStyle name="Enter Units (2) 3 2" xfId="9362" xr:uid="{00000000-0005-0000-0000-00001D300000}"/>
    <cellStyle name="Enter Units (2) 3_TOM TAT" xfId="22530" xr:uid="{00000000-0005-0000-0000-00001E300000}"/>
    <cellStyle name="Enter Units (2) 4" xfId="9363" xr:uid="{00000000-0005-0000-0000-00001F300000}"/>
    <cellStyle name="Enter Units (2) 5" xfId="9364" xr:uid="{00000000-0005-0000-0000-000020300000}"/>
    <cellStyle name="Enter Units (2)_20141211 Tan Mai - Hanh" xfId="9365" xr:uid="{00000000-0005-0000-0000-000021300000}"/>
    <cellStyle name="Entered" xfId="1259" xr:uid="{00000000-0005-0000-0000-000022300000}"/>
    <cellStyle name="Entered 2" xfId="9366" xr:uid="{00000000-0005-0000-0000-000023300000}"/>
    <cellStyle name="Entered 3" xfId="9367" xr:uid="{00000000-0005-0000-0000-000024300000}"/>
    <cellStyle name="Entered_TOM TAT" xfId="22531" xr:uid="{00000000-0005-0000-0000-000025300000}"/>
    <cellStyle name="Euro" xfId="1260" xr:uid="{00000000-0005-0000-0000-000026300000}"/>
    <cellStyle name="Euro 10" xfId="26972" xr:uid="{00000000-0005-0000-0000-000027300000}"/>
    <cellStyle name="Euro 11" xfId="14628" xr:uid="{00000000-0005-0000-0000-000028300000}"/>
    <cellStyle name="Euro 2" xfId="2136" xr:uid="{00000000-0005-0000-0000-000029300000}"/>
    <cellStyle name="Euro 2 2" xfId="5480" xr:uid="{00000000-0005-0000-0000-00002A300000}"/>
    <cellStyle name="Euro 2 2 2" xfId="9368" xr:uid="{00000000-0005-0000-0000-00002B300000}"/>
    <cellStyle name="Euro 2 2_TOM TAT" xfId="9369" xr:uid="{00000000-0005-0000-0000-00002C300000}"/>
    <cellStyle name="Euro 2 3" xfId="9370" xr:uid="{00000000-0005-0000-0000-00002D300000}"/>
    <cellStyle name="Euro 2 4" xfId="9371" xr:uid="{00000000-0005-0000-0000-00002E300000}"/>
    <cellStyle name="Euro 2 5" xfId="9372" xr:uid="{00000000-0005-0000-0000-00002F300000}"/>
    <cellStyle name="Euro 2_TOM TAT" xfId="9373" xr:uid="{00000000-0005-0000-0000-000030300000}"/>
    <cellStyle name="Euro 3" xfId="2137" xr:uid="{00000000-0005-0000-0000-000031300000}"/>
    <cellStyle name="Euro 3 2" xfId="9374" xr:uid="{00000000-0005-0000-0000-000032300000}"/>
    <cellStyle name="Euro 3 3" xfId="18633" xr:uid="{00000000-0005-0000-0000-000033300000}"/>
    <cellStyle name="Euro 3_TOM TAT" xfId="9375" xr:uid="{00000000-0005-0000-0000-000034300000}"/>
    <cellStyle name="Euro 4" xfId="2135" xr:uid="{00000000-0005-0000-0000-000035300000}"/>
    <cellStyle name="Euro 4 2" xfId="9376" xr:uid="{00000000-0005-0000-0000-000036300000}"/>
    <cellStyle name="Euro 4_TOM TAT" xfId="9377" xr:uid="{00000000-0005-0000-0000-000037300000}"/>
    <cellStyle name="Euro 5" xfId="4401" xr:uid="{00000000-0005-0000-0000-000038300000}"/>
    <cellStyle name="Euro 6" xfId="5481" xr:uid="{00000000-0005-0000-0000-000039300000}"/>
    <cellStyle name="Euro 6 2" xfId="9378" xr:uid="{00000000-0005-0000-0000-00003A300000}"/>
    <cellStyle name="Euro 6_TOM TAT" xfId="9379" xr:uid="{00000000-0005-0000-0000-00003B300000}"/>
    <cellStyle name="Euro 7" xfId="9380" xr:uid="{00000000-0005-0000-0000-00003C300000}"/>
    <cellStyle name="Euro 8" xfId="9381" xr:uid="{00000000-0005-0000-0000-00003D300000}"/>
    <cellStyle name="Euro 9" xfId="9382" xr:uid="{00000000-0005-0000-0000-00003E300000}"/>
    <cellStyle name="Euro_FS chuan Jamona Riverside" xfId="5482" xr:uid="{00000000-0005-0000-0000-00003F300000}"/>
    <cellStyle name="Excel Built-in Normal" xfId="18994" xr:uid="{00000000-0005-0000-0000-000040300000}"/>
    <cellStyle name="Excel Built-in Normal 1" xfId="18995" xr:uid="{00000000-0005-0000-0000-000041300000}"/>
    <cellStyle name="Excel Built-in Normal_TOM TAT" xfId="22532" xr:uid="{00000000-0005-0000-0000-000042300000}"/>
    <cellStyle name="Explanatory Text" xfId="1261" builtinId="53" customBuiltin="1"/>
    <cellStyle name="Explanatory Text 2" xfId="2138" xr:uid="{00000000-0005-0000-0000-000044300000}"/>
    <cellStyle name="Explanatory Text 2 2" xfId="9383" xr:uid="{00000000-0005-0000-0000-000045300000}"/>
    <cellStyle name="Explanatory Text 2_TOM TAT" xfId="22533" xr:uid="{00000000-0005-0000-0000-000046300000}"/>
    <cellStyle name="Explanatory Text 3" xfId="2139" xr:uid="{00000000-0005-0000-0000-000047300000}"/>
    <cellStyle name="Explanatory Text 3 2" xfId="9384" xr:uid="{00000000-0005-0000-0000-000048300000}"/>
    <cellStyle name="Explanatory Text 3_TOM TAT" xfId="22534" xr:uid="{00000000-0005-0000-0000-000049300000}"/>
    <cellStyle name="Explanatory Text 4" xfId="2140" xr:uid="{00000000-0005-0000-0000-00004A300000}"/>
    <cellStyle name="Explanatory Text 4 2" xfId="9385" xr:uid="{00000000-0005-0000-0000-00004B300000}"/>
    <cellStyle name="Explanatory Text 4_TOM TAT" xfId="22535" xr:uid="{00000000-0005-0000-0000-00004C300000}"/>
    <cellStyle name="Explanatory Text 5" xfId="32190" xr:uid="{00000000-0005-0000-0000-00004D300000}"/>
    <cellStyle name="f" xfId="18996" xr:uid="{00000000-0005-0000-0000-00004E300000}"/>
    <cellStyle name="f_TOM TAT" xfId="22536" xr:uid="{00000000-0005-0000-0000-00004F300000}"/>
    <cellStyle name="F2" xfId="1264" xr:uid="{00000000-0005-0000-0000-000050300000}"/>
    <cellStyle name="F2 2" xfId="9386" xr:uid="{00000000-0005-0000-0000-000051300000}"/>
    <cellStyle name="F2 3" xfId="9387" xr:uid="{00000000-0005-0000-0000-000052300000}"/>
    <cellStyle name="F2_TOM TAT" xfId="22537" xr:uid="{00000000-0005-0000-0000-000053300000}"/>
    <cellStyle name="F3" xfId="1265" xr:uid="{00000000-0005-0000-0000-000054300000}"/>
    <cellStyle name="F3 2" xfId="9388" xr:uid="{00000000-0005-0000-0000-000055300000}"/>
    <cellStyle name="F3 3" xfId="9389" xr:uid="{00000000-0005-0000-0000-000056300000}"/>
    <cellStyle name="F3_TOM TAT" xfId="22538" xr:uid="{00000000-0005-0000-0000-000057300000}"/>
    <cellStyle name="F4" xfId="1266" xr:uid="{00000000-0005-0000-0000-000058300000}"/>
    <cellStyle name="F4 2" xfId="9390" xr:uid="{00000000-0005-0000-0000-000059300000}"/>
    <cellStyle name="F4 3" xfId="9391" xr:uid="{00000000-0005-0000-0000-00005A300000}"/>
    <cellStyle name="F4_TOM TAT" xfId="22539" xr:uid="{00000000-0005-0000-0000-00005B300000}"/>
    <cellStyle name="F5" xfId="1267" xr:uid="{00000000-0005-0000-0000-00005C300000}"/>
    <cellStyle name="F5 2" xfId="9392" xr:uid="{00000000-0005-0000-0000-00005D300000}"/>
    <cellStyle name="F5 3" xfId="9393" xr:uid="{00000000-0005-0000-0000-00005E300000}"/>
    <cellStyle name="F5_TOM TAT" xfId="22540" xr:uid="{00000000-0005-0000-0000-00005F300000}"/>
    <cellStyle name="F6" xfId="1268" xr:uid="{00000000-0005-0000-0000-000060300000}"/>
    <cellStyle name="F6 2" xfId="4402" xr:uid="{00000000-0005-0000-0000-000061300000}"/>
    <cellStyle name="F6 2 2" xfId="9394" xr:uid="{00000000-0005-0000-0000-000062300000}"/>
    <cellStyle name="F6 2_TOM TAT" xfId="22542" xr:uid="{00000000-0005-0000-0000-000063300000}"/>
    <cellStyle name="F6 3" xfId="9395" xr:uid="{00000000-0005-0000-0000-000064300000}"/>
    <cellStyle name="F6 4" xfId="9396" xr:uid="{00000000-0005-0000-0000-000065300000}"/>
    <cellStyle name="F6_TOM TAT" xfId="22541" xr:uid="{00000000-0005-0000-0000-000066300000}"/>
    <cellStyle name="F7" xfId="1269" xr:uid="{00000000-0005-0000-0000-000067300000}"/>
    <cellStyle name="F7 2" xfId="9397" xr:uid="{00000000-0005-0000-0000-000068300000}"/>
    <cellStyle name="F7 3" xfId="9398" xr:uid="{00000000-0005-0000-0000-000069300000}"/>
    <cellStyle name="F7_TOM TAT" xfId="22543" xr:uid="{00000000-0005-0000-0000-00006A300000}"/>
    <cellStyle name="F8" xfId="1270" xr:uid="{00000000-0005-0000-0000-00006B300000}"/>
    <cellStyle name="F8 2" xfId="9399" xr:uid="{00000000-0005-0000-0000-00006C300000}"/>
    <cellStyle name="F8 3" xfId="9400" xr:uid="{00000000-0005-0000-0000-00006D300000}"/>
    <cellStyle name="F8_TOM TAT" xfId="22544" xr:uid="{00000000-0005-0000-0000-00006E300000}"/>
    <cellStyle name="Fixed" xfId="1273" xr:uid="{00000000-0005-0000-0000-00006F300000}"/>
    <cellStyle name="Fixed 2" xfId="4403" xr:uid="{00000000-0005-0000-0000-000070300000}"/>
    <cellStyle name="Fixed 2 2" xfId="5483" xr:uid="{00000000-0005-0000-0000-000071300000}"/>
    <cellStyle name="Fixed 2_TOM TAT" xfId="9401" xr:uid="{00000000-0005-0000-0000-000072300000}"/>
    <cellStyle name="Fixed 3" xfId="5484" xr:uid="{00000000-0005-0000-0000-000073300000}"/>
    <cellStyle name="Fixed_20141211 Tan Mai - Hanh" xfId="9402" xr:uid="{00000000-0005-0000-0000-000074300000}"/>
    <cellStyle name="Footnote" xfId="1274" xr:uid="{00000000-0005-0000-0000-000075300000}"/>
    <cellStyle name="Footnote 2" xfId="9403" xr:uid="{00000000-0005-0000-0000-000076300000}"/>
    <cellStyle name="Footnote 3" xfId="9404" xr:uid="{00000000-0005-0000-0000-000077300000}"/>
    <cellStyle name="Footnote_TOM TAT" xfId="22545" xr:uid="{00000000-0005-0000-0000-000078300000}"/>
    <cellStyle name="Format a column of totals" xfId="1275" xr:uid="{00000000-0005-0000-0000-000079300000}"/>
    <cellStyle name="Format a column of totals 2" xfId="5485" xr:uid="{00000000-0005-0000-0000-00007A300000}"/>
    <cellStyle name="Format a column of totals 2 2" xfId="28223" xr:uid="{00000000-0005-0000-0000-00007B300000}"/>
    <cellStyle name="Format a column of totals 2_TOM TAT" xfId="22547" xr:uid="{00000000-0005-0000-0000-00007C300000}"/>
    <cellStyle name="Format a column of totals 3" xfId="9405" xr:uid="{00000000-0005-0000-0000-00007D300000}"/>
    <cellStyle name="Format a column of totals 3 2" xfId="29930" xr:uid="{00000000-0005-0000-0000-00007E300000}"/>
    <cellStyle name="Format a column of totals 3_TOM TAT" xfId="22548" xr:uid="{00000000-0005-0000-0000-00007F300000}"/>
    <cellStyle name="Format a column of totals 4" xfId="26973" xr:uid="{00000000-0005-0000-0000-000080300000}"/>
    <cellStyle name="Format a column of totals_TOM TAT" xfId="22546" xr:uid="{00000000-0005-0000-0000-000081300000}"/>
    <cellStyle name="Format a row of totals" xfId="1276" xr:uid="{00000000-0005-0000-0000-000082300000}"/>
    <cellStyle name="Format a row of totals 2" xfId="5486" xr:uid="{00000000-0005-0000-0000-000083300000}"/>
    <cellStyle name="Format a row of totals 2 2" xfId="28224" xr:uid="{00000000-0005-0000-0000-000084300000}"/>
    <cellStyle name="Format a row of totals 2_TOM TAT" xfId="22550" xr:uid="{00000000-0005-0000-0000-000085300000}"/>
    <cellStyle name="Format a row of totals 3" xfId="9406" xr:uid="{00000000-0005-0000-0000-000086300000}"/>
    <cellStyle name="Format a row of totals 3 2" xfId="29931" xr:uid="{00000000-0005-0000-0000-000087300000}"/>
    <cellStyle name="Format a row of totals 3_TOM TAT" xfId="22551" xr:uid="{00000000-0005-0000-0000-000088300000}"/>
    <cellStyle name="Format a row of totals 4" xfId="26974" xr:uid="{00000000-0005-0000-0000-000089300000}"/>
    <cellStyle name="Format a row of totals_TOM TAT" xfId="22549" xr:uid="{00000000-0005-0000-0000-00008A300000}"/>
    <cellStyle name="Format text as bold, black on yello" xfId="1277" xr:uid="{00000000-0005-0000-0000-00008B300000}"/>
    <cellStyle name="Format text as bold, black on yello 2" xfId="5487" xr:uid="{00000000-0005-0000-0000-00008C300000}"/>
    <cellStyle name="Format text as bold, black on yello 2 2" xfId="28225" xr:uid="{00000000-0005-0000-0000-00008D300000}"/>
    <cellStyle name="Format text as bold, black on yello 2_TOM TAT" xfId="22553" xr:uid="{00000000-0005-0000-0000-00008E300000}"/>
    <cellStyle name="Format text as bold, black on yello 3" xfId="9407" xr:uid="{00000000-0005-0000-0000-00008F300000}"/>
    <cellStyle name="Format text as bold, black on yello 3 2" xfId="29932" xr:uid="{00000000-0005-0000-0000-000090300000}"/>
    <cellStyle name="Format text as bold, black on yello 3_TOM TAT" xfId="22554" xr:uid="{00000000-0005-0000-0000-000091300000}"/>
    <cellStyle name="Format text as bold, black on yello 4" xfId="26975" xr:uid="{00000000-0005-0000-0000-000092300000}"/>
    <cellStyle name="Format text as bold, black on yello_TOM TAT" xfId="22552" xr:uid="{00000000-0005-0000-0000-000093300000}"/>
    <cellStyle name="Good" xfId="1278" builtinId="26" customBuiltin="1"/>
    <cellStyle name="Good 2" xfId="2141" xr:uid="{00000000-0005-0000-0000-000095300000}"/>
    <cellStyle name="Good 2 2" xfId="9408" xr:uid="{00000000-0005-0000-0000-000096300000}"/>
    <cellStyle name="Good 2_TOM TAT" xfId="22555" xr:uid="{00000000-0005-0000-0000-000097300000}"/>
    <cellStyle name="Good 3" xfId="2142" xr:uid="{00000000-0005-0000-0000-000098300000}"/>
    <cellStyle name="Good 3 2" xfId="9409" xr:uid="{00000000-0005-0000-0000-000099300000}"/>
    <cellStyle name="Good 3_TOM TAT" xfId="22556" xr:uid="{00000000-0005-0000-0000-00009A300000}"/>
    <cellStyle name="Good 4" xfId="2143" xr:uid="{00000000-0005-0000-0000-00009B300000}"/>
    <cellStyle name="Good 4 2" xfId="9410" xr:uid="{00000000-0005-0000-0000-00009C300000}"/>
    <cellStyle name="Good 4_TOM TAT" xfId="22557" xr:uid="{00000000-0005-0000-0000-00009D300000}"/>
    <cellStyle name="Good 5" xfId="32191" xr:uid="{00000000-0005-0000-0000-00009E300000}"/>
    <cellStyle name="Grey" xfId="1279" xr:uid="{00000000-0005-0000-0000-00009F300000}"/>
    <cellStyle name="Grey 2" xfId="5488" xr:uid="{00000000-0005-0000-0000-0000A0300000}"/>
    <cellStyle name="Grey_TOM TAT" xfId="22558" xr:uid="{00000000-0005-0000-0000-0000A1300000}"/>
    <cellStyle name="Group" xfId="1280" xr:uid="{00000000-0005-0000-0000-0000A2300000}"/>
    <cellStyle name="Group 2" xfId="18199" xr:uid="{00000000-0005-0000-0000-0000A3300000}"/>
    <cellStyle name="Group_TOM TAT" xfId="22559" xr:uid="{00000000-0005-0000-0000-0000A4300000}"/>
    <cellStyle name="ha" xfId="1281" xr:uid="{00000000-0005-0000-0000-0000A5300000}"/>
    <cellStyle name="ha 2" xfId="4404" xr:uid="{00000000-0005-0000-0000-0000A6300000}"/>
    <cellStyle name="ha 2 2" xfId="9411" xr:uid="{00000000-0005-0000-0000-0000A7300000}"/>
    <cellStyle name="ha 2_TOM TAT" xfId="22561" xr:uid="{00000000-0005-0000-0000-0000A8300000}"/>
    <cellStyle name="ha 3" xfId="9412" xr:uid="{00000000-0005-0000-0000-0000A9300000}"/>
    <cellStyle name="ha 4" xfId="9413" xr:uid="{00000000-0005-0000-0000-0000AA300000}"/>
    <cellStyle name="ha_TOM TAT" xfId="22560" xr:uid="{00000000-0005-0000-0000-0000AB300000}"/>
    <cellStyle name="Hard Percent" xfId="1282" xr:uid="{00000000-0005-0000-0000-0000AC300000}"/>
    <cellStyle name="Hard Percent 2" xfId="4405" xr:uid="{00000000-0005-0000-0000-0000AD300000}"/>
    <cellStyle name="Hard Percent 3" xfId="18200" xr:uid="{00000000-0005-0000-0000-0000AE300000}"/>
    <cellStyle name="Hard Percent_TOM TAT" xfId="22562" xr:uid="{00000000-0005-0000-0000-0000AF300000}"/>
    <cellStyle name="HEADER" xfId="1283" xr:uid="{00000000-0005-0000-0000-0000B0300000}"/>
    <cellStyle name="HEADER 2" xfId="9414" xr:uid="{00000000-0005-0000-0000-0000B1300000}"/>
    <cellStyle name="HEADER 3" xfId="9415" xr:uid="{00000000-0005-0000-0000-0000B2300000}"/>
    <cellStyle name="HEADER_TOM TAT" xfId="22563" xr:uid="{00000000-0005-0000-0000-0000B3300000}"/>
    <cellStyle name="Header1" xfId="1284" xr:uid="{00000000-0005-0000-0000-0000B4300000}"/>
    <cellStyle name="Header1 2" xfId="9416" xr:uid="{00000000-0005-0000-0000-0000B5300000}"/>
    <cellStyle name="Header1 2 2" xfId="9417" xr:uid="{00000000-0005-0000-0000-0000B6300000}"/>
    <cellStyle name="Header1 2_TOM TAT" xfId="22565" xr:uid="{00000000-0005-0000-0000-0000B7300000}"/>
    <cellStyle name="Header1 3" xfId="9418" xr:uid="{00000000-0005-0000-0000-0000B8300000}"/>
    <cellStyle name="Header1 4" xfId="9419" xr:uid="{00000000-0005-0000-0000-0000B9300000}"/>
    <cellStyle name="Header1_TOM TAT" xfId="22564" xr:uid="{00000000-0005-0000-0000-0000BA300000}"/>
    <cellStyle name="Header2" xfId="1285" xr:uid="{00000000-0005-0000-0000-0000BB300000}"/>
    <cellStyle name="Header2 10" xfId="26976" xr:uid="{00000000-0005-0000-0000-0000BC300000}"/>
    <cellStyle name="Header2 2" xfId="5489" xr:uid="{00000000-0005-0000-0000-0000BD300000}"/>
    <cellStyle name="Header2 2 2" xfId="19131" xr:uid="{00000000-0005-0000-0000-0000BE300000}"/>
    <cellStyle name="Header2 2 2 2" xfId="31995" xr:uid="{00000000-0005-0000-0000-0000BF300000}"/>
    <cellStyle name="Header2 2 2_TOM TAT" xfId="22568" xr:uid="{00000000-0005-0000-0000-0000C0300000}"/>
    <cellStyle name="Header2 2 3" xfId="19132" xr:uid="{00000000-0005-0000-0000-0000C1300000}"/>
    <cellStyle name="Header2 2 3 2" xfId="31996" xr:uid="{00000000-0005-0000-0000-0000C2300000}"/>
    <cellStyle name="Header2 2 3_TOM TAT" xfId="22569" xr:uid="{00000000-0005-0000-0000-0000C3300000}"/>
    <cellStyle name="Header2 2 4" xfId="19133" xr:uid="{00000000-0005-0000-0000-0000C4300000}"/>
    <cellStyle name="Header2 2 4 2" xfId="31997" xr:uid="{00000000-0005-0000-0000-0000C5300000}"/>
    <cellStyle name="Header2 2 4_TOM TAT" xfId="22570" xr:uid="{00000000-0005-0000-0000-0000C6300000}"/>
    <cellStyle name="Header2 2 5" xfId="28226" xr:uid="{00000000-0005-0000-0000-0000C7300000}"/>
    <cellStyle name="Header2 2_TOM TAT" xfId="22567" xr:uid="{00000000-0005-0000-0000-0000C8300000}"/>
    <cellStyle name="Header2 3" xfId="9420" xr:uid="{00000000-0005-0000-0000-0000C9300000}"/>
    <cellStyle name="Header2 3 2" xfId="19134" xr:uid="{00000000-0005-0000-0000-0000CA300000}"/>
    <cellStyle name="Header2 3 2 2" xfId="31998" xr:uid="{00000000-0005-0000-0000-0000CB300000}"/>
    <cellStyle name="Header2 3 2_TOM TAT" xfId="22572" xr:uid="{00000000-0005-0000-0000-0000CC300000}"/>
    <cellStyle name="Header2 3 3" xfId="19135" xr:uid="{00000000-0005-0000-0000-0000CD300000}"/>
    <cellStyle name="Header2 3 3 2" xfId="31999" xr:uid="{00000000-0005-0000-0000-0000CE300000}"/>
    <cellStyle name="Header2 3 3_TOM TAT" xfId="22573" xr:uid="{00000000-0005-0000-0000-0000CF300000}"/>
    <cellStyle name="Header2 3 4" xfId="19136" xr:uid="{00000000-0005-0000-0000-0000D0300000}"/>
    <cellStyle name="Header2 3 4 2" xfId="32000" xr:uid="{00000000-0005-0000-0000-0000D1300000}"/>
    <cellStyle name="Header2 3 4_TOM TAT" xfId="22574" xr:uid="{00000000-0005-0000-0000-0000D2300000}"/>
    <cellStyle name="Header2 3_TOM TAT" xfId="22571" xr:uid="{00000000-0005-0000-0000-0000D3300000}"/>
    <cellStyle name="Header2 4" xfId="19137" xr:uid="{00000000-0005-0000-0000-0000D4300000}"/>
    <cellStyle name="Header2 4 2" xfId="19138" xr:uid="{00000000-0005-0000-0000-0000D5300000}"/>
    <cellStyle name="Header2 4 2 2" xfId="32002" xr:uid="{00000000-0005-0000-0000-0000D6300000}"/>
    <cellStyle name="Header2 4 2_TOM TAT" xfId="22576" xr:uid="{00000000-0005-0000-0000-0000D7300000}"/>
    <cellStyle name="Header2 4 3" xfId="19139" xr:uid="{00000000-0005-0000-0000-0000D8300000}"/>
    <cellStyle name="Header2 4 3 2" xfId="32003" xr:uid="{00000000-0005-0000-0000-0000D9300000}"/>
    <cellStyle name="Header2 4 3_TOM TAT" xfId="22577" xr:uid="{00000000-0005-0000-0000-0000DA300000}"/>
    <cellStyle name="Header2 4 4" xfId="19140" xr:uid="{00000000-0005-0000-0000-0000DB300000}"/>
    <cellStyle name="Header2 4 4 2" xfId="32004" xr:uid="{00000000-0005-0000-0000-0000DC300000}"/>
    <cellStyle name="Header2 4 4_TOM TAT" xfId="22578" xr:uid="{00000000-0005-0000-0000-0000DD300000}"/>
    <cellStyle name="Header2 4 5" xfId="32001" xr:uid="{00000000-0005-0000-0000-0000DE300000}"/>
    <cellStyle name="Header2 4_TOM TAT" xfId="22575" xr:uid="{00000000-0005-0000-0000-0000DF300000}"/>
    <cellStyle name="Header2 5" xfId="19141" xr:uid="{00000000-0005-0000-0000-0000E0300000}"/>
    <cellStyle name="Header2 5 2" xfId="19142" xr:uid="{00000000-0005-0000-0000-0000E1300000}"/>
    <cellStyle name="Header2 5 2 2" xfId="32006" xr:uid="{00000000-0005-0000-0000-0000E2300000}"/>
    <cellStyle name="Header2 5 2_TOM TAT" xfId="22580" xr:uid="{00000000-0005-0000-0000-0000E3300000}"/>
    <cellStyle name="Header2 5 3" xfId="19143" xr:uid="{00000000-0005-0000-0000-0000E4300000}"/>
    <cellStyle name="Header2 5 3 2" xfId="32007" xr:uid="{00000000-0005-0000-0000-0000E5300000}"/>
    <cellStyle name="Header2 5 3_TOM TAT" xfId="22581" xr:uid="{00000000-0005-0000-0000-0000E6300000}"/>
    <cellStyle name="Header2 5 4" xfId="19144" xr:uid="{00000000-0005-0000-0000-0000E7300000}"/>
    <cellStyle name="Header2 5 4 2" xfId="32008" xr:uid="{00000000-0005-0000-0000-0000E8300000}"/>
    <cellStyle name="Header2 5 4_TOM TAT" xfId="22582" xr:uid="{00000000-0005-0000-0000-0000E9300000}"/>
    <cellStyle name="Header2 5 5" xfId="32005" xr:uid="{00000000-0005-0000-0000-0000EA300000}"/>
    <cellStyle name="Header2 5_TOM TAT" xfId="22579" xr:uid="{00000000-0005-0000-0000-0000EB300000}"/>
    <cellStyle name="Header2 6" xfId="19145" xr:uid="{00000000-0005-0000-0000-0000EC300000}"/>
    <cellStyle name="Header2 6 2" xfId="19146" xr:uid="{00000000-0005-0000-0000-0000ED300000}"/>
    <cellStyle name="Header2 6 2 2" xfId="32010" xr:uid="{00000000-0005-0000-0000-0000EE300000}"/>
    <cellStyle name="Header2 6 2_TOM TAT" xfId="22584" xr:uid="{00000000-0005-0000-0000-0000EF300000}"/>
    <cellStyle name="Header2 6 3" xfId="19147" xr:uid="{00000000-0005-0000-0000-0000F0300000}"/>
    <cellStyle name="Header2 6 3 2" xfId="32011" xr:uid="{00000000-0005-0000-0000-0000F1300000}"/>
    <cellStyle name="Header2 6 3_TOM TAT" xfId="22585" xr:uid="{00000000-0005-0000-0000-0000F2300000}"/>
    <cellStyle name="Header2 6 4" xfId="19148" xr:uid="{00000000-0005-0000-0000-0000F3300000}"/>
    <cellStyle name="Header2 6 4 2" xfId="32012" xr:uid="{00000000-0005-0000-0000-0000F4300000}"/>
    <cellStyle name="Header2 6 4_TOM TAT" xfId="22586" xr:uid="{00000000-0005-0000-0000-0000F5300000}"/>
    <cellStyle name="Header2 6 5" xfId="32009" xr:uid="{00000000-0005-0000-0000-0000F6300000}"/>
    <cellStyle name="Header2 6_TOM TAT" xfId="22583" xr:uid="{00000000-0005-0000-0000-0000F7300000}"/>
    <cellStyle name="Header2 7" xfId="19149" xr:uid="{00000000-0005-0000-0000-0000F8300000}"/>
    <cellStyle name="Header2 7 2" xfId="32013" xr:uid="{00000000-0005-0000-0000-0000F9300000}"/>
    <cellStyle name="Header2 7_TOM TAT" xfId="22587" xr:uid="{00000000-0005-0000-0000-0000FA300000}"/>
    <cellStyle name="Header2 8" xfId="19150" xr:uid="{00000000-0005-0000-0000-0000FB300000}"/>
    <cellStyle name="Header2 8 2" xfId="32014" xr:uid="{00000000-0005-0000-0000-0000FC300000}"/>
    <cellStyle name="Header2 8_TOM TAT" xfId="22588" xr:uid="{00000000-0005-0000-0000-0000FD300000}"/>
    <cellStyle name="Header2 9" xfId="19151" xr:uid="{00000000-0005-0000-0000-0000FE300000}"/>
    <cellStyle name="Header2 9 2" xfId="32015" xr:uid="{00000000-0005-0000-0000-0000FF300000}"/>
    <cellStyle name="Header2 9_TOM TAT" xfId="22589" xr:uid="{00000000-0005-0000-0000-000000310000}"/>
    <cellStyle name="Header2_TOM TAT" xfId="22566" xr:uid="{00000000-0005-0000-0000-000001310000}"/>
    <cellStyle name="header3" xfId="1286" xr:uid="{00000000-0005-0000-0000-000002310000}"/>
    <cellStyle name="header3 2" xfId="9421" xr:uid="{00000000-0005-0000-0000-000003310000}"/>
    <cellStyle name="header3 3" xfId="9422" xr:uid="{00000000-0005-0000-0000-000004310000}"/>
    <cellStyle name="header3_TOM TAT" xfId="22590" xr:uid="{00000000-0005-0000-0000-000005310000}"/>
    <cellStyle name="Heading 1" xfId="1287" builtinId="16" customBuiltin="1"/>
    <cellStyle name="Heading 1 2" xfId="2144" xr:uid="{00000000-0005-0000-0000-000007310000}"/>
    <cellStyle name="Heading 1 2 2" xfId="9423" xr:uid="{00000000-0005-0000-0000-000008310000}"/>
    <cellStyle name="Heading 1 2_TOM TAT" xfId="22591" xr:uid="{00000000-0005-0000-0000-000009310000}"/>
    <cellStyle name="Heading 1 3" xfId="2145" xr:uid="{00000000-0005-0000-0000-00000A310000}"/>
    <cellStyle name="Heading 1 3 2" xfId="9424" xr:uid="{00000000-0005-0000-0000-00000B310000}"/>
    <cellStyle name="Heading 1 3_TOM TAT" xfId="22592" xr:uid="{00000000-0005-0000-0000-00000C310000}"/>
    <cellStyle name="Heading 1 4" xfId="2146" xr:uid="{00000000-0005-0000-0000-00000D310000}"/>
    <cellStyle name="Heading 1 4 2" xfId="9425" xr:uid="{00000000-0005-0000-0000-00000E310000}"/>
    <cellStyle name="Heading 1 4_TOM TAT" xfId="22593" xr:uid="{00000000-0005-0000-0000-00000F310000}"/>
    <cellStyle name="Heading 1 5" xfId="32192" xr:uid="{00000000-0005-0000-0000-000010310000}"/>
    <cellStyle name="Heading 2" xfId="1288" builtinId="17" customBuiltin="1"/>
    <cellStyle name="Heading 2 2" xfId="2147" xr:uid="{00000000-0005-0000-0000-000012310000}"/>
    <cellStyle name="Heading 2 2 2" xfId="9426" xr:uid="{00000000-0005-0000-0000-000013310000}"/>
    <cellStyle name="Heading 2 2_TOM TAT" xfId="22594" xr:uid="{00000000-0005-0000-0000-000014310000}"/>
    <cellStyle name="Heading 2 3" xfId="2148" xr:uid="{00000000-0005-0000-0000-000015310000}"/>
    <cellStyle name="Heading 2 3 2" xfId="9427" xr:uid="{00000000-0005-0000-0000-000016310000}"/>
    <cellStyle name="Heading 2 3_TOM TAT" xfId="22595" xr:uid="{00000000-0005-0000-0000-000017310000}"/>
    <cellStyle name="Heading 2 4" xfId="2149" xr:uid="{00000000-0005-0000-0000-000018310000}"/>
    <cellStyle name="Heading 2 4 2" xfId="9428" xr:uid="{00000000-0005-0000-0000-000019310000}"/>
    <cellStyle name="Heading 2 4_TOM TAT" xfId="22596" xr:uid="{00000000-0005-0000-0000-00001A310000}"/>
    <cellStyle name="Heading 2 5" xfId="32193" xr:uid="{00000000-0005-0000-0000-00001B310000}"/>
    <cellStyle name="Heading 3" xfId="1289" builtinId="18" customBuiltin="1"/>
    <cellStyle name="Heading 3 2" xfId="2150" xr:uid="{00000000-0005-0000-0000-00001D310000}"/>
    <cellStyle name="Heading 3 2 2" xfId="9429" xr:uid="{00000000-0005-0000-0000-00001E310000}"/>
    <cellStyle name="Heading 3 2_TOM TAT" xfId="22597" xr:uid="{00000000-0005-0000-0000-00001F310000}"/>
    <cellStyle name="Heading 3 3" xfId="2151" xr:uid="{00000000-0005-0000-0000-000020310000}"/>
    <cellStyle name="Heading 3 3 2" xfId="9430" xr:uid="{00000000-0005-0000-0000-000021310000}"/>
    <cellStyle name="Heading 3 3_TOM TAT" xfId="22598" xr:uid="{00000000-0005-0000-0000-000022310000}"/>
    <cellStyle name="Heading 3 4" xfId="2152" xr:uid="{00000000-0005-0000-0000-000023310000}"/>
    <cellStyle name="Heading 3 4 2" xfId="9431" xr:uid="{00000000-0005-0000-0000-000024310000}"/>
    <cellStyle name="Heading 3 4_TOM TAT" xfId="22599" xr:uid="{00000000-0005-0000-0000-000025310000}"/>
    <cellStyle name="Heading 3 5" xfId="32194" xr:uid="{00000000-0005-0000-0000-000026310000}"/>
    <cellStyle name="Heading 4" xfId="1290" builtinId="19" customBuiltin="1"/>
    <cellStyle name="Heading 4 2" xfId="2153" xr:uid="{00000000-0005-0000-0000-000028310000}"/>
    <cellStyle name="Heading 4 2 2" xfId="9432" xr:uid="{00000000-0005-0000-0000-000029310000}"/>
    <cellStyle name="Heading 4 2_TOM TAT" xfId="22600" xr:uid="{00000000-0005-0000-0000-00002A310000}"/>
    <cellStyle name="Heading 4 3" xfId="2154" xr:uid="{00000000-0005-0000-0000-00002B310000}"/>
    <cellStyle name="Heading 4 3 2" xfId="9433" xr:uid="{00000000-0005-0000-0000-00002C310000}"/>
    <cellStyle name="Heading 4 3_TOM TAT" xfId="22601" xr:uid="{00000000-0005-0000-0000-00002D310000}"/>
    <cellStyle name="Heading 4 4" xfId="2155" xr:uid="{00000000-0005-0000-0000-00002E310000}"/>
    <cellStyle name="Heading 4 4 2" xfId="9434" xr:uid="{00000000-0005-0000-0000-00002F310000}"/>
    <cellStyle name="Heading 4 4_TOM TAT" xfId="22602" xr:uid="{00000000-0005-0000-0000-000030310000}"/>
    <cellStyle name="Heading 4 5" xfId="32195" xr:uid="{00000000-0005-0000-0000-000031310000}"/>
    <cellStyle name="Heading1" xfId="1291" xr:uid="{00000000-0005-0000-0000-000032310000}"/>
    <cellStyle name="Heading1 1" xfId="1292" xr:uid="{00000000-0005-0000-0000-000033310000}"/>
    <cellStyle name="Heading1 1 2" xfId="4407" xr:uid="{00000000-0005-0000-0000-000034310000}"/>
    <cellStyle name="Heading1 1 2 2" xfId="5490" xr:uid="{00000000-0005-0000-0000-000035310000}"/>
    <cellStyle name="Heading1 1 2_TOM TAT" xfId="9435" xr:uid="{00000000-0005-0000-0000-000036310000}"/>
    <cellStyle name="Heading1 1 3" xfId="5491" xr:uid="{00000000-0005-0000-0000-000037310000}"/>
    <cellStyle name="Heading1 1_20141211 Tan Mai - Hanh" xfId="9436" xr:uid="{00000000-0005-0000-0000-000038310000}"/>
    <cellStyle name="Heading1 2" xfId="1293" xr:uid="{00000000-0005-0000-0000-000039310000}"/>
    <cellStyle name="Heading1 2 2" xfId="4408" xr:uid="{00000000-0005-0000-0000-00003A310000}"/>
    <cellStyle name="Heading1 2_TOM TAT" xfId="9437" xr:uid="{00000000-0005-0000-0000-00003B310000}"/>
    <cellStyle name="Heading1 3" xfId="4406" xr:uid="{00000000-0005-0000-0000-00003C310000}"/>
    <cellStyle name="Heading1_20141211 Tan Mai - Hanh" xfId="9438" xr:uid="{00000000-0005-0000-0000-00003D310000}"/>
    <cellStyle name="Heading2" xfId="1294" xr:uid="{00000000-0005-0000-0000-00003E310000}"/>
    <cellStyle name="Heading2 2" xfId="4409" xr:uid="{00000000-0005-0000-0000-00003F310000}"/>
    <cellStyle name="Heading2 2 2" xfId="5492" xr:uid="{00000000-0005-0000-0000-000040310000}"/>
    <cellStyle name="Heading2 2_TOM TAT" xfId="9439" xr:uid="{00000000-0005-0000-0000-000041310000}"/>
    <cellStyle name="Heading2 3" xfId="5493" xr:uid="{00000000-0005-0000-0000-000042310000}"/>
    <cellStyle name="Heading2_20141211 Tan Mai - Hanh" xfId="9440" xr:uid="{00000000-0005-0000-0000-000043310000}"/>
    <cellStyle name="headoption" xfId="1295" xr:uid="{00000000-0005-0000-0000-000044310000}"/>
    <cellStyle name="headoption 2" xfId="5494" xr:uid="{00000000-0005-0000-0000-000045310000}"/>
    <cellStyle name="headoption 2 2" xfId="28227" xr:uid="{00000000-0005-0000-0000-000046310000}"/>
    <cellStyle name="headoption 2_TOM TAT" xfId="22604" xr:uid="{00000000-0005-0000-0000-000047310000}"/>
    <cellStyle name="headoption 3" xfId="18201" xr:uid="{00000000-0005-0000-0000-000048310000}"/>
    <cellStyle name="headoption 4" xfId="18682" xr:uid="{00000000-0005-0000-0000-000049310000}"/>
    <cellStyle name="headoption 4 2" xfId="31800" xr:uid="{00000000-0005-0000-0000-00004A310000}"/>
    <cellStyle name="headoption 4_TOM TAT" xfId="22605" xr:uid="{00000000-0005-0000-0000-00004B310000}"/>
    <cellStyle name="headoption 5" xfId="26977" xr:uid="{00000000-0005-0000-0000-00004C310000}"/>
    <cellStyle name="headoption_TOM TAT" xfId="22603" xr:uid="{00000000-0005-0000-0000-00004D310000}"/>
    <cellStyle name="HELV8BLUE" xfId="1296" xr:uid="{00000000-0005-0000-0000-00004E310000}"/>
    <cellStyle name="HELV8BLUE 2" xfId="9441" xr:uid="{00000000-0005-0000-0000-00004F310000}"/>
    <cellStyle name="HELV8BLUE 3" xfId="9442" xr:uid="{00000000-0005-0000-0000-000050310000}"/>
    <cellStyle name="HELV8BLUE_TOM TAT" xfId="22606" xr:uid="{00000000-0005-0000-0000-000051310000}"/>
    <cellStyle name="Hoa-Scholl" xfId="1297" xr:uid="{00000000-0005-0000-0000-000052310000}"/>
    <cellStyle name="Hoa-Scholl 2" xfId="5495" xr:uid="{00000000-0005-0000-0000-000053310000}"/>
    <cellStyle name="Hoa-Scholl 2 2" xfId="28228" xr:uid="{00000000-0005-0000-0000-000054310000}"/>
    <cellStyle name="Hoa-Scholl 2_TOM TAT" xfId="22608" xr:uid="{00000000-0005-0000-0000-000055310000}"/>
    <cellStyle name="Hoa-Scholl 3" xfId="18202" xr:uid="{00000000-0005-0000-0000-000056310000}"/>
    <cellStyle name="Hoa-Scholl 4" xfId="18683" xr:uid="{00000000-0005-0000-0000-000057310000}"/>
    <cellStyle name="Hoa-Scholl 4 2" xfId="31801" xr:uid="{00000000-0005-0000-0000-000058310000}"/>
    <cellStyle name="Hoa-Scholl 4_TOM TAT" xfId="22609" xr:uid="{00000000-0005-0000-0000-000059310000}"/>
    <cellStyle name="Hoa-Scholl 5" xfId="26978" xr:uid="{00000000-0005-0000-0000-00005A310000}"/>
    <cellStyle name="Hoa-Scholl_TOM TAT" xfId="22607" xr:uid="{00000000-0005-0000-0000-00005B310000}"/>
    <cellStyle name="Hyperlink 2" xfId="9443" xr:uid="{00000000-0005-0000-0000-00005C310000}"/>
    <cellStyle name="Hyperlink 2 2" xfId="9444" xr:uid="{00000000-0005-0000-0000-00005D310000}"/>
    <cellStyle name="Hyperlink 2 3" xfId="18608" xr:uid="{00000000-0005-0000-0000-00005E310000}"/>
    <cellStyle name="Hyperlink 2_TOM TAT" xfId="22610" xr:uid="{00000000-0005-0000-0000-00005F310000}"/>
    <cellStyle name="Hyperlink 3" xfId="9445" xr:uid="{00000000-0005-0000-0000-000060310000}"/>
    <cellStyle name="Hyperlink 4" xfId="18957" xr:uid="{00000000-0005-0000-0000-000061310000}"/>
    <cellStyle name="Hyperlink 5" xfId="32234" xr:uid="{00000000-0005-0000-0000-000062310000}"/>
    <cellStyle name="i·0" xfId="1298" xr:uid="{00000000-0005-0000-0000-000063310000}"/>
    <cellStyle name="i·0 2" xfId="4410" xr:uid="{00000000-0005-0000-0000-000064310000}"/>
    <cellStyle name="i·0 3" xfId="18203" xr:uid="{00000000-0005-0000-0000-000065310000}"/>
    <cellStyle name="i·0_TOM TAT" xfId="22611" xr:uid="{00000000-0005-0000-0000-000066310000}"/>
    <cellStyle name="indent" xfId="1299" xr:uid="{00000000-0005-0000-0000-000067310000}"/>
    <cellStyle name="indent 2" xfId="9446" xr:uid="{00000000-0005-0000-0000-000068310000}"/>
    <cellStyle name="indent 3" xfId="9447" xr:uid="{00000000-0005-0000-0000-000069310000}"/>
    <cellStyle name="indent_TOM TAT" xfId="22612" xr:uid="{00000000-0005-0000-0000-00006A310000}"/>
    <cellStyle name="Input" xfId="1300" builtinId="20" customBuiltin="1"/>
    <cellStyle name="Input [yellow]" xfId="1301" xr:uid="{00000000-0005-0000-0000-00006C310000}"/>
    <cellStyle name="Input [yellow] 2" xfId="5496" xr:uid="{00000000-0005-0000-0000-00006D310000}"/>
    <cellStyle name="Input [yellow] 2 2" xfId="5497" xr:uid="{00000000-0005-0000-0000-00006E310000}"/>
    <cellStyle name="Input [yellow] 2 2 2" xfId="28230" xr:uid="{00000000-0005-0000-0000-00006F310000}"/>
    <cellStyle name="Input [yellow] 2 2_TOM TAT" xfId="22615" xr:uid="{00000000-0005-0000-0000-000070310000}"/>
    <cellStyle name="Input [yellow] 2 3" xfId="18205" xr:uid="{00000000-0005-0000-0000-000071310000}"/>
    <cellStyle name="Input [yellow] 2 4" xfId="28229" xr:uid="{00000000-0005-0000-0000-000072310000}"/>
    <cellStyle name="Input [yellow] 2_TOM TAT" xfId="22614" xr:uid="{00000000-0005-0000-0000-000073310000}"/>
    <cellStyle name="Input [yellow] 3" xfId="18204" xr:uid="{00000000-0005-0000-0000-000074310000}"/>
    <cellStyle name="Input [yellow]_TOM TAT" xfId="22613" xr:uid="{00000000-0005-0000-0000-000075310000}"/>
    <cellStyle name="Input 2" xfId="2156" xr:uid="{00000000-0005-0000-0000-000076310000}"/>
    <cellStyle name="Input 2 2" xfId="2157" xr:uid="{00000000-0005-0000-0000-000077310000}"/>
    <cellStyle name="Input 2 2 2" xfId="2158" xr:uid="{00000000-0005-0000-0000-000078310000}"/>
    <cellStyle name="Input 2 2 2 2" xfId="5498" xr:uid="{00000000-0005-0000-0000-000079310000}"/>
    <cellStyle name="Input 2 2 2 2 2" xfId="28231" xr:uid="{00000000-0005-0000-0000-00007A310000}"/>
    <cellStyle name="Input 2 2 2 2_TOM TAT" xfId="22619" xr:uid="{00000000-0005-0000-0000-00007B310000}"/>
    <cellStyle name="Input 2 2 2 3" xfId="27132" xr:uid="{00000000-0005-0000-0000-00007C310000}"/>
    <cellStyle name="Input 2 2 2_TOM TAT" xfId="22618" xr:uid="{00000000-0005-0000-0000-00007D310000}"/>
    <cellStyle name="Input 2 2 3" xfId="5499" xr:uid="{00000000-0005-0000-0000-00007E310000}"/>
    <cellStyle name="Input 2 2 3 2" xfId="28232" xr:uid="{00000000-0005-0000-0000-00007F310000}"/>
    <cellStyle name="Input 2 2 3_TOM TAT" xfId="22620" xr:uid="{00000000-0005-0000-0000-000080310000}"/>
    <cellStyle name="Input 2 2 4" xfId="27131" xr:uid="{00000000-0005-0000-0000-000081310000}"/>
    <cellStyle name="Input 2 2_TOM TAT" xfId="22617" xr:uid="{00000000-0005-0000-0000-000082310000}"/>
    <cellStyle name="Input 2 3" xfId="2159" xr:uid="{00000000-0005-0000-0000-000083310000}"/>
    <cellStyle name="Input 2 3 2" xfId="5500" xr:uid="{00000000-0005-0000-0000-000084310000}"/>
    <cellStyle name="Input 2 3 2 2" xfId="28233" xr:uid="{00000000-0005-0000-0000-000085310000}"/>
    <cellStyle name="Input 2 3 2_TOM TAT" xfId="22622" xr:uid="{00000000-0005-0000-0000-000086310000}"/>
    <cellStyle name="Input 2 3 3" xfId="27133" xr:uid="{00000000-0005-0000-0000-000087310000}"/>
    <cellStyle name="Input 2 3_TOM TAT" xfId="22621" xr:uid="{00000000-0005-0000-0000-000088310000}"/>
    <cellStyle name="Input 2 4" xfId="2160" xr:uid="{00000000-0005-0000-0000-000089310000}"/>
    <cellStyle name="Input 2 4 2" xfId="5501" xr:uid="{00000000-0005-0000-0000-00008A310000}"/>
    <cellStyle name="Input 2 4 2 2" xfId="28234" xr:uid="{00000000-0005-0000-0000-00008B310000}"/>
    <cellStyle name="Input 2 4 2_TOM TAT" xfId="22624" xr:uid="{00000000-0005-0000-0000-00008C310000}"/>
    <cellStyle name="Input 2 4 3" xfId="27134" xr:uid="{00000000-0005-0000-0000-00008D310000}"/>
    <cellStyle name="Input 2 4_TOM TAT" xfId="22623" xr:uid="{00000000-0005-0000-0000-00008E310000}"/>
    <cellStyle name="Input 2 5" xfId="5502" xr:uid="{00000000-0005-0000-0000-00008F310000}"/>
    <cellStyle name="Input 2 5 2" xfId="28235" xr:uid="{00000000-0005-0000-0000-000090310000}"/>
    <cellStyle name="Input 2 5_TOM TAT" xfId="22625" xr:uid="{00000000-0005-0000-0000-000091310000}"/>
    <cellStyle name="Input 2 6" xfId="27130" xr:uid="{00000000-0005-0000-0000-000092310000}"/>
    <cellStyle name="Input 2_TOM TAT" xfId="22616" xr:uid="{00000000-0005-0000-0000-000093310000}"/>
    <cellStyle name="Input 3" xfId="2161" xr:uid="{00000000-0005-0000-0000-000094310000}"/>
    <cellStyle name="Input 3 2" xfId="2162" xr:uid="{00000000-0005-0000-0000-000095310000}"/>
    <cellStyle name="Input 3 2 2" xfId="5503" xr:uid="{00000000-0005-0000-0000-000096310000}"/>
    <cellStyle name="Input 3 2 2 2" xfId="28236" xr:uid="{00000000-0005-0000-0000-000097310000}"/>
    <cellStyle name="Input 3 2 2_TOM TAT" xfId="22628" xr:uid="{00000000-0005-0000-0000-000098310000}"/>
    <cellStyle name="Input 3 2 3" xfId="27136" xr:uid="{00000000-0005-0000-0000-000099310000}"/>
    <cellStyle name="Input 3 2_TOM TAT" xfId="22627" xr:uid="{00000000-0005-0000-0000-00009A310000}"/>
    <cellStyle name="Input 3 3" xfId="5504" xr:uid="{00000000-0005-0000-0000-00009B310000}"/>
    <cellStyle name="Input 3 3 2" xfId="28237" xr:uid="{00000000-0005-0000-0000-00009C310000}"/>
    <cellStyle name="Input 3 3_TOM TAT" xfId="22629" xr:uid="{00000000-0005-0000-0000-00009D310000}"/>
    <cellStyle name="Input 3 4" xfId="27135" xr:uid="{00000000-0005-0000-0000-00009E310000}"/>
    <cellStyle name="Input 3_TOM TAT" xfId="22626" xr:uid="{00000000-0005-0000-0000-00009F310000}"/>
    <cellStyle name="Input 4" xfId="2163" xr:uid="{00000000-0005-0000-0000-0000A0310000}"/>
    <cellStyle name="Input 4 2" xfId="5505" xr:uid="{00000000-0005-0000-0000-0000A1310000}"/>
    <cellStyle name="Input 4 2 2" xfId="28238" xr:uid="{00000000-0005-0000-0000-0000A2310000}"/>
    <cellStyle name="Input 4 2_TOM TAT" xfId="22631" xr:uid="{00000000-0005-0000-0000-0000A3310000}"/>
    <cellStyle name="Input 4 3" xfId="27137" xr:uid="{00000000-0005-0000-0000-0000A4310000}"/>
    <cellStyle name="Input 4_TOM TAT" xfId="22630" xr:uid="{00000000-0005-0000-0000-0000A5310000}"/>
    <cellStyle name="Input 5" xfId="5506" xr:uid="{00000000-0005-0000-0000-0000A6310000}"/>
    <cellStyle name="Input 5 2" xfId="28239" xr:uid="{00000000-0005-0000-0000-0000A7310000}"/>
    <cellStyle name="Input 5_TOM TAT" xfId="22632" xr:uid="{00000000-0005-0000-0000-0000A8310000}"/>
    <cellStyle name="Input 6" xfId="26979" xr:uid="{00000000-0005-0000-0000-0000A9310000}"/>
    <cellStyle name="Input 7" xfId="32196" xr:uid="{00000000-0005-0000-0000-0000AA310000}"/>
    <cellStyle name="Input Cells" xfId="1302" xr:uid="{00000000-0005-0000-0000-0000AB310000}"/>
    <cellStyle name="Input Cells 2" xfId="18206" xr:uid="{00000000-0005-0000-0000-0000AC310000}"/>
    <cellStyle name="Input Cells_TOM TAT" xfId="22633" xr:uid="{00000000-0005-0000-0000-0000AD310000}"/>
    <cellStyle name="Input0" xfId="1303" xr:uid="{00000000-0005-0000-0000-0000AE310000}"/>
    <cellStyle name="Input0 2" xfId="4411" xr:uid="{00000000-0005-0000-0000-0000AF310000}"/>
    <cellStyle name="Input0 2 2" xfId="5507" xr:uid="{00000000-0005-0000-0000-0000B0310000}"/>
    <cellStyle name="Input0 2_TOM TAT" xfId="9448" xr:uid="{00000000-0005-0000-0000-0000B1310000}"/>
    <cellStyle name="Input0 3" xfId="5508" xr:uid="{00000000-0005-0000-0000-0000B2310000}"/>
    <cellStyle name="Input0_20141211 Tan Mai - Hanh" xfId="9449" xr:uid="{00000000-0005-0000-0000-0000B3310000}"/>
    <cellStyle name="InputNormal" xfId="1304" xr:uid="{00000000-0005-0000-0000-0000B4310000}"/>
    <cellStyle name="InputNormal 2" xfId="4412" xr:uid="{00000000-0005-0000-0000-0000B5310000}"/>
    <cellStyle name="InputNormal 2 2" xfId="5509" xr:uid="{00000000-0005-0000-0000-0000B6310000}"/>
    <cellStyle name="InputNormal 2_TOM TAT" xfId="9450" xr:uid="{00000000-0005-0000-0000-0000B7310000}"/>
    <cellStyle name="InputNormal 3" xfId="5510" xr:uid="{00000000-0005-0000-0000-0000B8310000}"/>
    <cellStyle name="InputNormal_20141211 Tan Mai - Hanh" xfId="9451" xr:uid="{00000000-0005-0000-0000-0000B9310000}"/>
    <cellStyle name="InputPercent1" xfId="1305" xr:uid="{00000000-0005-0000-0000-0000BA310000}"/>
    <cellStyle name="InputPercent1 2" xfId="18207" xr:uid="{00000000-0005-0000-0000-0000BB310000}"/>
    <cellStyle name="InputPercent1_TOM TAT" xfId="22634" xr:uid="{00000000-0005-0000-0000-0000BC310000}"/>
    <cellStyle name="International" xfId="1306" xr:uid="{00000000-0005-0000-0000-0000BD310000}"/>
    <cellStyle name="International 2" xfId="4413" xr:uid="{00000000-0005-0000-0000-0000BE310000}"/>
    <cellStyle name="International 2 2" xfId="5511" xr:uid="{00000000-0005-0000-0000-0000BF310000}"/>
    <cellStyle name="International 2_TOM TAT" xfId="9452" xr:uid="{00000000-0005-0000-0000-0000C0310000}"/>
    <cellStyle name="International 3" xfId="5512" xr:uid="{00000000-0005-0000-0000-0000C1310000}"/>
    <cellStyle name="International_20141211 Tan Mai - Hanh" xfId="9453" xr:uid="{00000000-0005-0000-0000-0000C2310000}"/>
    <cellStyle name="International1" xfId="1307" xr:uid="{00000000-0005-0000-0000-0000C3310000}"/>
    <cellStyle name="International1 2" xfId="4414" xr:uid="{00000000-0005-0000-0000-0000C4310000}"/>
    <cellStyle name="International1 2 2" xfId="5513" xr:uid="{00000000-0005-0000-0000-0000C5310000}"/>
    <cellStyle name="International1 2_TOM TAT" xfId="22636" xr:uid="{00000000-0005-0000-0000-0000C6310000}"/>
    <cellStyle name="International1 3" xfId="5514" xr:uid="{00000000-0005-0000-0000-0000C7310000}"/>
    <cellStyle name="International1_TOM TAT" xfId="22635" xr:uid="{00000000-0005-0000-0000-0000C8310000}"/>
    <cellStyle name="Label" xfId="19152" xr:uid="{00000000-0005-0000-0000-0000C9310000}"/>
    <cellStyle name="Labels - Style3" xfId="1308" xr:uid="{00000000-0005-0000-0000-0000CA310000}"/>
    <cellStyle name="Labels - Style3 2" xfId="5515" xr:uid="{00000000-0005-0000-0000-0000CB310000}"/>
    <cellStyle name="Labels - Style3 2 2" xfId="28240" xr:uid="{00000000-0005-0000-0000-0000CC310000}"/>
    <cellStyle name="Labels - Style3 2_TOM TAT" xfId="22638" xr:uid="{00000000-0005-0000-0000-0000CD310000}"/>
    <cellStyle name="Labels - Style3 3" xfId="9454" xr:uid="{00000000-0005-0000-0000-0000CE310000}"/>
    <cellStyle name="Labels - Style3 3 2" xfId="29933" xr:uid="{00000000-0005-0000-0000-0000CF310000}"/>
    <cellStyle name="Labels - Style3 3_TOM TAT" xfId="22639" xr:uid="{00000000-0005-0000-0000-0000D0310000}"/>
    <cellStyle name="Labels - Style3 4" xfId="26980" xr:uid="{00000000-0005-0000-0000-0000D1310000}"/>
    <cellStyle name="Labels - Style3_TOM TAT" xfId="22637" xr:uid="{00000000-0005-0000-0000-0000D2310000}"/>
    <cellStyle name="Ledger 17 x 11 in" xfId="1309" xr:uid="{00000000-0005-0000-0000-0000D3310000}"/>
    <cellStyle name="Ledger 17 x 11 in 2" xfId="9455" xr:uid="{00000000-0005-0000-0000-0000D4310000}"/>
    <cellStyle name="Ledger 17 x 11 in 3" xfId="9456" xr:uid="{00000000-0005-0000-0000-0000D5310000}"/>
    <cellStyle name="Ledger 17 x 11 in_TOM TAT" xfId="22640" xr:uid="{00000000-0005-0000-0000-0000D6310000}"/>
    <cellStyle name="Line" xfId="1310" xr:uid="{00000000-0005-0000-0000-0000D7310000}"/>
    <cellStyle name="Line 2" xfId="9457" xr:uid="{00000000-0005-0000-0000-0000D8310000}"/>
    <cellStyle name="Line 3" xfId="9458" xr:uid="{00000000-0005-0000-0000-0000D9310000}"/>
    <cellStyle name="Line_TOM TAT" xfId="22641" xr:uid="{00000000-0005-0000-0000-0000DA310000}"/>
    <cellStyle name="Link Currency (0)" xfId="1311" xr:uid="{00000000-0005-0000-0000-0000DB310000}"/>
    <cellStyle name="Link Currency (0) 2" xfId="4415" xr:uid="{00000000-0005-0000-0000-0000DC310000}"/>
    <cellStyle name="Link Currency (0) 2 2" xfId="5516" xr:uid="{00000000-0005-0000-0000-0000DD310000}"/>
    <cellStyle name="Link Currency (0) 2 2 2" xfId="9459" xr:uid="{00000000-0005-0000-0000-0000DE310000}"/>
    <cellStyle name="Link Currency (0) 2 2_TOM TAT" xfId="22642" xr:uid="{00000000-0005-0000-0000-0000DF310000}"/>
    <cellStyle name="Link Currency (0) 2 3" xfId="9460" xr:uid="{00000000-0005-0000-0000-0000E0310000}"/>
    <cellStyle name="Link Currency (0) 2 4" xfId="9461" xr:uid="{00000000-0005-0000-0000-0000E1310000}"/>
    <cellStyle name="Link Currency (0) 2_TOM TAT" xfId="9462" xr:uid="{00000000-0005-0000-0000-0000E2310000}"/>
    <cellStyle name="Link Currency (0) 3" xfId="5517" xr:uid="{00000000-0005-0000-0000-0000E3310000}"/>
    <cellStyle name="Link Currency (0) 3 2" xfId="9463" xr:uid="{00000000-0005-0000-0000-0000E4310000}"/>
    <cellStyle name="Link Currency (0) 3_TOM TAT" xfId="22643" xr:uid="{00000000-0005-0000-0000-0000E5310000}"/>
    <cellStyle name="Link Currency (0) 4" xfId="9464" xr:uid="{00000000-0005-0000-0000-0000E6310000}"/>
    <cellStyle name="Link Currency (0) 5" xfId="9465" xr:uid="{00000000-0005-0000-0000-0000E7310000}"/>
    <cellStyle name="Link Currency (0)_20141211 Tan Mai - Hanh" xfId="9466" xr:uid="{00000000-0005-0000-0000-0000E8310000}"/>
    <cellStyle name="Link Currency (2)" xfId="1312" xr:uid="{00000000-0005-0000-0000-0000E9310000}"/>
    <cellStyle name="Link Currency (2) 2" xfId="4416" xr:uid="{00000000-0005-0000-0000-0000EA310000}"/>
    <cellStyle name="Link Currency (2) 2 2" xfId="5518" xr:uid="{00000000-0005-0000-0000-0000EB310000}"/>
    <cellStyle name="Link Currency (2) 2 2 2" xfId="9467" xr:uid="{00000000-0005-0000-0000-0000EC310000}"/>
    <cellStyle name="Link Currency (2) 2 2_TOM TAT" xfId="22644" xr:uid="{00000000-0005-0000-0000-0000ED310000}"/>
    <cellStyle name="Link Currency (2) 2 3" xfId="9468" xr:uid="{00000000-0005-0000-0000-0000EE310000}"/>
    <cellStyle name="Link Currency (2) 2 4" xfId="9469" xr:uid="{00000000-0005-0000-0000-0000EF310000}"/>
    <cellStyle name="Link Currency (2) 2_TOM TAT" xfId="9470" xr:uid="{00000000-0005-0000-0000-0000F0310000}"/>
    <cellStyle name="Link Currency (2) 3" xfId="5519" xr:uid="{00000000-0005-0000-0000-0000F1310000}"/>
    <cellStyle name="Link Currency (2) 3 2" xfId="9471" xr:uid="{00000000-0005-0000-0000-0000F2310000}"/>
    <cellStyle name="Link Currency (2) 3_TOM TAT" xfId="22645" xr:uid="{00000000-0005-0000-0000-0000F3310000}"/>
    <cellStyle name="Link Currency (2) 4" xfId="9472" xr:uid="{00000000-0005-0000-0000-0000F4310000}"/>
    <cellStyle name="Link Currency (2) 5" xfId="9473" xr:uid="{00000000-0005-0000-0000-0000F5310000}"/>
    <cellStyle name="Link Currency (2)_20141211 Tan Mai - Hanh" xfId="9474" xr:uid="{00000000-0005-0000-0000-0000F6310000}"/>
    <cellStyle name="Link Units (0)" xfId="1313" xr:uid="{00000000-0005-0000-0000-0000F7310000}"/>
    <cellStyle name="Link Units (0) 2" xfId="4417" xr:uid="{00000000-0005-0000-0000-0000F8310000}"/>
    <cellStyle name="Link Units (0) 2 2" xfId="5520" xr:uid="{00000000-0005-0000-0000-0000F9310000}"/>
    <cellStyle name="Link Units (0) 2 2 2" xfId="9475" xr:uid="{00000000-0005-0000-0000-0000FA310000}"/>
    <cellStyle name="Link Units (0) 2 2_TOM TAT" xfId="22646" xr:uid="{00000000-0005-0000-0000-0000FB310000}"/>
    <cellStyle name="Link Units (0) 2 3" xfId="9476" xr:uid="{00000000-0005-0000-0000-0000FC310000}"/>
    <cellStyle name="Link Units (0) 2 4" xfId="9477" xr:uid="{00000000-0005-0000-0000-0000FD310000}"/>
    <cellStyle name="Link Units (0) 2_TOM TAT" xfId="9478" xr:uid="{00000000-0005-0000-0000-0000FE310000}"/>
    <cellStyle name="Link Units (0) 3" xfId="5521" xr:uid="{00000000-0005-0000-0000-0000FF310000}"/>
    <cellStyle name="Link Units (0) 3 2" xfId="9479" xr:uid="{00000000-0005-0000-0000-000000320000}"/>
    <cellStyle name="Link Units (0) 3_TOM TAT" xfId="22647" xr:uid="{00000000-0005-0000-0000-000001320000}"/>
    <cellStyle name="Link Units (0) 4" xfId="9480" xr:uid="{00000000-0005-0000-0000-000002320000}"/>
    <cellStyle name="Link Units (0) 5" xfId="9481" xr:uid="{00000000-0005-0000-0000-000003320000}"/>
    <cellStyle name="Link Units (0)_20141211 Tan Mai - Hanh" xfId="9482" xr:uid="{00000000-0005-0000-0000-000004320000}"/>
    <cellStyle name="Link Units (1)" xfId="1314" xr:uid="{00000000-0005-0000-0000-000005320000}"/>
    <cellStyle name="Link Units (1) 2" xfId="4418" xr:uid="{00000000-0005-0000-0000-000006320000}"/>
    <cellStyle name="Link Units (1) 2 2" xfId="5522" xr:uid="{00000000-0005-0000-0000-000007320000}"/>
    <cellStyle name="Link Units (1) 2_TOM TAT" xfId="9483" xr:uid="{00000000-0005-0000-0000-000008320000}"/>
    <cellStyle name="Link Units (1) 3" xfId="5523" xr:uid="{00000000-0005-0000-0000-000009320000}"/>
    <cellStyle name="Link Units (1)_20141211 Tan Mai - Hanh" xfId="9484" xr:uid="{00000000-0005-0000-0000-00000A320000}"/>
    <cellStyle name="Link Units (2)" xfId="1315" xr:uid="{00000000-0005-0000-0000-00000B320000}"/>
    <cellStyle name="Link Units (2) 2" xfId="4419" xr:uid="{00000000-0005-0000-0000-00000C320000}"/>
    <cellStyle name="Link Units (2) 2 2" xfId="5524" xr:uid="{00000000-0005-0000-0000-00000D320000}"/>
    <cellStyle name="Link Units (2) 2 2 2" xfId="9485" xr:uid="{00000000-0005-0000-0000-00000E320000}"/>
    <cellStyle name="Link Units (2) 2 2_TOM TAT" xfId="22648" xr:uid="{00000000-0005-0000-0000-00000F320000}"/>
    <cellStyle name="Link Units (2) 2 3" xfId="9486" xr:uid="{00000000-0005-0000-0000-000010320000}"/>
    <cellStyle name="Link Units (2) 2 4" xfId="9487" xr:uid="{00000000-0005-0000-0000-000011320000}"/>
    <cellStyle name="Link Units (2) 2_TOM TAT" xfId="9488" xr:uid="{00000000-0005-0000-0000-000012320000}"/>
    <cellStyle name="Link Units (2) 3" xfId="5525" xr:uid="{00000000-0005-0000-0000-000013320000}"/>
    <cellStyle name="Link Units (2) 3 2" xfId="9489" xr:uid="{00000000-0005-0000-0000-000014320000}"/>
    <cellStyle name="Link Units (2) 3_TOM TAT" xfId="22649" xr:uid="{00000000-0005-0000-0000-000015320000}"/>
    <cellStyle name="Link Units (2) 4" xfId="9490" xr:uid="{00000000-0005-0000-0000-000016320000}"/>
    <cellStyle name="Link Units (2) 5" xfId="9491" xr:uid="{00000000-0005-0000-0000-000017320000}"/>
    <cellStyle name="Link Units (2)_20141211 Tan Mai - Hanh" xfId="9492" xr:uid="{00000000-0005-0000-0000-000018320000}"/>
    <cellStyle name="Linked Cell" xfId="1316" builtinId="24" customBuiltin="1"/>
    <cellStyle name="Linked Cell 2" xfId="2164" xr:uid="{00000000-0005-0000-0000-00001A320000}"/>
    <cellStyle name="Linked Cell 2 2" xfId="9493" xr:uid="{00000000-0005-0000-0000-00001B320000}"/>
    <cellStyle name="Linked Cell 2_TOM TAT" xfId="22650" xr:uid="{00000000-0005-0000-0000-00001C320000}"/>
    <cellStyle name="Linked Cell 3" xfId="2165" xr:uid="{00000000-0005-0000-0000-00001D320000}"/>
    <cellStyle name="Linked Cell 3 2" xfId="9494" xr:uid="{00000000-0005-0000-0000-00001E320000}"/>
    <cellStyle name="Linked Cell 3_TOM TAT" xfId="22651" xr:uid="{00000000-0005-0000-0000-00001F320000}"/>
    <cellStyle name="Linked Cell 4" xfId="2166" xr:uid="{00000000-0005-0000-0000-000020320000}"/>
    <cellStyle name="Linked Cell 4 2" xfId="9495" xr:uid="{00000000-0005-0000-0000-000021320000}"/>
    <cellStyle name="Linked Cell 4_TOM TAT" xfId="22652" xr:uid="{00000000-0005-0000-0000-000022320000}"/>
    <cellStyle name="Linked Cell 5" xfId="32197" xr:uid="{00000000-0005-0000-0000-000023320000}"/>
    <cellStyle name="Linked Cells" xfId="1317" xr:uid="{00000000-0005-0000-0000-000024320000}"/>
    <cellStyle name="Linked Cells 2" xfId="18208" xr:uid="{00000000-0005-0000-0000-000025320000}"/>
    <cellStyle name="Linked Cells_TOM TAT" xfId="22653" xr:uid="{00000000-0005-0000-0000-000026320000}"/>
    <cellStyle name="Major Rule" xfId="19153" xr:uid="{00000000-0005-0000-0000-000027320000}"/>
    <cellStyle name="merge" xfId="1318" xr:uid="{00000000-0005-0000-0000-000028320000}"/>
    <cellStyle name="merge 2" xfId="9496" xr:uid="{00000000-0005-0000-0000-000029320000}"/>
    <cellStyle name="merge 3" xfId="9497" xr:uid="{00000000-0005-0000-0000-00002A320000}"/>
    <cellStyle name="merge_TOM TAT" xfId="22654" xr:uid="{00000000-0005-0000-0000-00002B320000}"/>
    <cellStyle name="Millares [0]_Well Timing" xfId="1319" xr:uid="{00000000-0005-0000-0000-00002C320000}"/>
    <cellStyle name="Millares_Well Timing" xfId="1320" xr:uid="{00000000-0005-0000-0000-00002D320000}"/>
    <cellStyle name="Milliers [0]_!!!GO" xfId="1321" xr:uid="{00000000-0005-0000-0000-00002E320000}"/>
    <cellStyle name="Milliers_!!!GO" xfId="1322" xr:uid="{00000000-0005-0000-0000-00002F320000}"/>
    <cellStyle name="Minor Rule" xfId="19154" xr:uid="{00000000-0005-0000-0000-000030320000}"/>
    <cellStyle name="Model" xfId="1323" xr:uid="{00000000-0005-0000-0000-000031320000}"/>
    <cellStyle name="Model 2" xfId="9498" xr:uid="{00000000-0005-0000-0000-000032320000}"/>
    <cellStyle name="Model 3" xfId="9499" xr:uid="{00000000-0005-0000-0000-000033320000}"/>
    <cellStyle name="Model_TOM TAT" xfId="22655" xr:uid="{00000000-0005-0000-0000-000034320000}"/>
    <cellStyle name="moi" xfId="18997" xr:uid="{00000000-0005-0000-0000-000035320000}"/>
    <cellStyle name="Moneda [0]_Well Timing" xfId="1324" xr:uid="{00000000-0005-0000-0000-000036320000}"/>
    <cellStyle name="Moneda_Well Timing" xfId="1325" xr:uid="{00000000-0005-0000-0000-000037320000}"/>
    <cellStyle name="Monetaire [0]_!!!GO" xfId="1326" xr:uid="{00000000-0005-0000-0000-000038320000}"/>
    <cellStyle name="Monétaire [0]_AR1194" xfId="1327" xr:uid="{00000000-0005-0000-0000-000039320000}"/>
    <cellStyle name="Monetaire_!!!GO" xfId="1328" xr:uid="{00000000-0005-0000-0000-00003A320000}"/>
    <cellStyle name="Monétaire_AR1194" xfId="1329" xr:uid="{00000000-0005-0000-0000-00003B320000}"/>
    <cellStyle name="Multiple" xfId="1330" xr:uid="{00000000-0005-0000-0000-00003C320000}"/>
    <cellStyle name="Multiple 2" xfId="4420" xr:uid="{00000000-0005-0000-0000-00003D320000}"/>
    <cellStyle name="Multiple 3" xfId="18209" xr:uid="{00000000-0005-0000-0000-00003E320000}"/>
    <cellStyle name="Multiple_TOM TAT" xfId="22656" xr:uid="{00000000-0005-0000-0000-00003F320000}"/>
    <cellStyle name="n" xfId="1331" xr:uid="{00000000-0005-0000-0000-000040320000}"/>
    <cellStyle name="n 2" xfId="4421" xr:uid="{00000000-0005-0000-0000-000041320000}"/>
    <cellStyle name="n 2 2" xfId="9500" xr:uid="{00000000-0005-0000-0000-000042320000}"/>
    <cellStyle name="n 2_TOM TAT" xfId="22658" xr:uid="{00000000-0005-0000-0000-000043320000}"/>
    <cellStyle name="n 3" xfId="18210" xr:uid="{00000000-0005-0000-0000-000044320000}"/>
    <cellStyle name="N_Book1" xfId="1332" xr:uid="{00000000-0005-0000-0000-000045320000}"/>
    <cellStyle name="N_Book1 2" xfId="5526" xr:uid="{00000000-0005-0000-0000-000046320000}"/>
    <cellStyle name="N_Book1 2 2" xfId="5527" xr:uid="{00000000-0005-0000-0000-000047320000}"/>
    <cellStyle name="N_Book1 2 2 2" xfId="9501" xr:uid="{00000000-0005-0000-0000-000048320000}"/>
    <cellStyle name="N_Book1 2 2 2 2" xfId="9502" xr:uid="{00000000-0005-0000-0000-000049320000}"/>
    <cellStyle name="N_Book1 2 2 2 2_TOM TAT" xfId="22663" xr:uid="{00000000-0005-0000-0000-00004A320000}"/>
    <cellStyle name="N_Book1 2 2 2_TOM TAT" xfId="22662" xr:uid="{00000000-0005-0000-0000-00004B320000}"/>
    <cellStyle name="N_Book1 2 2 3" xfId="9503" xr:uid="{00000000-0005-0000-0000-00004C320000}"/>
    <cellStyle name="N_Book1 2 2 3 2" xfId="9504" xr:uid="{00000000-0005-0000-0000-00004D320000}"/>
    <cellStyle name="N_Book1 2 2 3 2_TOM TAT" xfId="22665" xr:uid="{00000000-0005-0000-0000-00004E320000}"/>
    <cellStyle name="N_Book1 2 2 3_TOM TAT" xfId="22664" xr:uid="{00000000-0005-0000-0000-00004F320000}"/>
    <cellStyle name="N_Book1 2 2 4" xfId="9505" xr:uid="{00000000-0005-0000-0000-000050320000}"/>
    <cellStyle name="N_Book1 2 2 4_TOM TAT" xfId="22666" xr:uid="{00000000-0005-0000-0000-000051320000}"/>
    <cellStyle name="N_Book1 2 2_TOM TAT" xfId="22661" xr:uid="{00000000-0005-0000-0000-000052320000}"/>
    <cellStyle name="N_Book1 2 3" xfId="9506" xr:uid="{00000000-0005-0000-0000-000053320000}"/>
    <cellStyle name="N_Book1 2 3 2" xfId="9507" xr:uid="{00000000-0005-0000-0000-000054320000}"/>
    <cellStyle name="N_Book1 2 3 2_TOM TAT" xfId="22668" xr:uid="{00000000-0005-0000-0000-000055320000}"/>
    <cellStyle name="N_Book1 2 3_TOM TAT" xfId="22667" xr:uid="{00000000-0005-0000-0000-000056320000}"/>
    <cellStyle name="N_Book1 2 4" xfId="9508" xr:uid="{00000000-0005-0000-0000-000057320000}"/>
    <cellStyle name="N_Book1 2 4 2" xfId="9509" xr:uid="{00000000-0005-0000-0000-000058320000}"/>
    <cellStyle name="N_Book1 2 4 2_TOM TAT" xfId="22670" xr:uid="{00000000-0005-0000-0000-000059320000}"/>
    <cellStyle name="N_Book1 2 4_TOM TAT" xfId="22669" xr:uid="{00000000-0005-0000-0000-00005A320000}"/>
    <cellStyle name="N_Book1 2 5" xfId="9510" xr:uid="{00000000-0005-0000-0000-00005B320000}"/>
    <cellStyle name="N_Book1 2 5_TOM TAT" xfId="22671" xr:uid="{00000000-0005-0000-0000-00005C320000}"/>
    <cellStyle name="N_Book1 2 6" xfId="18925" xr:uid="{00000000-0005-0000-0000-00005D320000}"/>
    <cellStyle name="N_Book1 2 6 2" xfId="31849" xr:uid="{00000000-0005-0000-0000-00005E320000}"/>
    <cellStyle name="N_Book1 2 6_TOM TAT" xfId="22672" xr:uid="{00000000-0005-0000-0000-00005F320000}"/>
    <cellStyle name="N_Book1 2_TOM TAT" xfId="22660" xr:uid="{00000000-0005-0000-0000-000060320000}"/>
    <cellStyle name="N_Book1 3" xfId="5528" xr:uid="{00000000-0005-0000-0000-000061320000}"/>
    <cellStyle name="N_Book1 3 2" xfId="9511" xr:uid="{00000000-0005-0000-0000-000062320000}"/>
    <cellStyle name="N_Book1 3 2 2" xfId="9512" xr:uid="{00000000-0005-0000-0000-000063320000}"/>
    <cellStyle name="N_Book1 3 2 2_TOM TAT" xfId="22675" xr:uid="{00000000-0005-0000-0000-000064320000}"/>
    <cellStyle name="N_Book1 3 2_TOM TAT" xfId="22674" xr:uid="{00000000-0005-0000-0000-000065320000}"/>
    <cellStyle name="N_Book1 3 3" xfId="9513" xr:uid="{00000000-0005-0000-0000-000066320000}"/>
    <cellStyle name="N_Book1 3 3 2" xfId="9514" xr:uid="{00000000-0005-0000-0000-000067320000}"/>
    <cellStyle name="N_Book1 3 3 2_TOM TAT" xfId="22677" xr:uid="{00000000-0005-0000-0000-000068320000}"/>
    <cellStyle name="N_Book1 3 3_TOM TAT" xfId="22676" xr:uid="{00000000-0005-0000-0000-000069320000}"/>
    <cellStyle name="N_Book1 3 4" xfId="9515" xr:uid="{00000000-0005-0000-0000-00006A320000}"/>
    <cellStyle name="N_Book1 3 4_TOM TAT" xfId="22678" xr:uid="{00000000-0005-0000-0000-00006B320000}"/>
    <cellStyle name="N_Book1 3_TOM TAT" xfId="22673" xr:uid="{00000000-0005-0000-0000-00006C320000}"/>
    <cellStyle name="N_Book1 4" xfId="9516" xr:uid="{00000000-0005-0000-0000-00006D320000}"/>
    <cellStyle name="N_Book1 4 2" xfId="9517" xr:uid="{00000000-0005-0000-0000-00006E320000}"/>
    <cellStyle name="N_Book1 4 2_TOM TAT" xfId="22680" xr:uid="{00000000-0005-0000-0000-00006F320000}"/>
    <cellStyle name="N_Book1 4_TOM TAT" xfId="22679" xr:uid="{00000000-0005-0000-0000-000070320000}"/>
    <cellStyle name="N_Book1 5" xfId="9518" xr:uid="{00000000-0005-0000-0000-000071320000}"/>
    <cellStyle name="N_Book1 5 2" xfId="9519" xr:uid="{00000000-0005-0000-0000-000072320000}"/>
    <cellStyle name="N_Book1 5 2_TOM TAT" xfId="22682" xr:uid="{00000000-0005-0000-0000-000073320000}"/>
    <cellStyle name="N_Book1 5_TOM TAT" xfId="22681" xr:uid="{00000000-0005-0000-0000-000074320000}"/>
    <cellStyle name="N_Book1 6" xfId="18684" xr:uid="{00000000-0005-0000-0000-000075320000}"/>
    <cellStyle name="N_Book1 6 2" xfId="31802" xr:uid="{00000000-0005-0000-0000-000076320000}"/>
    <cellStyle name="N_Book1 6_TOM TAT" xfId="22683" xr:uid="{00000000-0005-0000-0000-000077320000}"/>
    <cellStyle name="N_Book1_TOM TAT" xfId="22659" xr:uid="{00000000-0005-0000-0000-000078320000}"/>
    <cellStyle name="n_DA Hung vuong -26-7 - them 38m2- he so 8.0" xfId="1333" xr:uid="{00000000-0005-0000-0000-000079320000}"/>
    <cellStyle name="n_DA Hung vuong -26-7 - them 38m2- he so 8.0 2" xfId="4422" xr:uid="{00000000-0005-0000-0000-00007A320000}"/>
    <cellStyle name="n_DA Hung vuong -26-7 - them 38m2- he so 8.0 2 2" xfId="9520" xr:uid="{00000000-0005-0000-0000-00007B320000}"/>
    <cellStyle name="n_DA Hung vuong -26-7 - them 38m2- he so 8.0 2 2_TOM TAT" xfId="22686" xr:uid="{00000000-0005-0000-0000-00007C320000}"/>
    <cellStyle name="n_DA Hung vuong -26-7 - them 38m2- he so 8.0 2_TOM TAT" xfId="22685" xr:uid="{00000000-0005-0000-0000-00007D320000}"/>
    <cellStyle name="n_DA Hung vuong -26-7 - them 38m2- he so 8.0 3" xfId="9521" xr:uid="{00000000-0005-0000-0000-00007E320000}"/>
    <cellStyle name="n_DA Hung vuong -26-7 - them 38m2- he so 8.0 3_TOM TAT" xfId="22687" xr:uid="{00000000-0005-0000-0000-00007F320000}"/>
    <cellStyle name="n_DA Hung vuong -26-7 - them 38m2- he so 8.0 4" xfId="9522" xr:uid="{00000000-0005-0000-0000-000080320000}"/>
    <cellStyle name="n_DA Hung vuong -26-7 - them 38m2- he so 8.0 4_TOM TAT" xfId="22688" xr:uid="{00000000-0005-0000-0000-000081320000}"/>
    <cellStyle name="n_DA Hung vuong -26-7 - them 38m2- he so 8.0_TOM TAT" xfId="22684" xr:uid="{00000000-0005-0000-0000-000082320000}"/>
    <cellStyle name="n_QH 10.08.2010- PA1 - he so 3.65" xfId="1334" xr:uid="{00000000-0005-0000-0000-000083320000}"/>
    <cellStyle name="n_QH 10.08.2010- PA1 - he so 3.65 2" xfId="4423" xr:uid="{00000000-0005-0000-0000-000084320000}"/>
    <cellStyle name="n_QH 10.08.2010- PA1 - he so 3.65 2 2" xfId="9523" xr:uid="{00000000-0005-0000-0000-000085320000}"/>
    <cellStyle name="n_QH 10.08.2010- PA1 - he so 3.65 2 2_TOM TAT" xfId="22691" xr:uid="{00000000-0005-0000-0000-000086320000}"/>
    <cellStyle name="n_QH 10.08.2010- PA1 - he so 3.65 2_TOM TAT" xfId="22690" xr:uid="{00000000-0005-0000-0000-000087320000}"/>
    <cellStyle name="n_QH 10.08.2010- PA1 - he so 3.65 3" xfId="18211" xr:uid="{00000000-0005-0000-0000-000088320000}"/>
    <cellStyle name="n_QH 10.08.2010- PA1 - he so 3.65 3_TOM TAT" xfId="22692" xr:uid="{00000000-0005-0000-0000-000089320000}"/>
    <cellStyle name="n_QH 10.08.2010- PA1 - he so 3.65_TOM TAT" xfId="22689" xr:uid="{00000000-0005-0000-0000-00008A320000}"/>
    <cellStyle name="n_TOM TAT" xfId="22657" xr:uid="{00000000-0005-0000-0000-00008B320000}"/>
    <cellStyle name="Neutral" xfId="1335" builtinId="28" customBuiltin="1"/>
    <cellStyle name="Neutral 2" xfId="2167" xr:uid="{00000000-0005-0000-0000-00008D320000}"/>
    <cellStyle name="Neutral 2 2" xfId="9524" xr:uid="{00000000-0005-0000-0000-00008E320000}"/>
    <cellStyle name="Neutral 2_TOM TAT" xfId="22693" xr:uid="{00000000-0005-0000-0000-00008F320000}"/>
    <cellStyle name="Neutral 3" xfId="2168" xr:uid="{00000000-0005-0000-0000-000090320000}"/>
    <cellStyle name="Neutral 3 2" xfId="9525" xr:uid="{00000000-0005-0000-0000-000091320000}"/>
    <cellStyle name="Neutral 3_TOM TAT" xfId="22694" xr:uid="{00000000-0005-0000-0000-000092320000}"/>
    <cellStyle name="Neutral 4" xfId="2169" xr:uid="{00000000-0005-0000-0000-000093320000}"/>
    <cellStyle name="Neutral 4 2" xfId="9526" xr:uid="{00000000-0005-0000-0000-000094320000}"/>
    <cellStyle name="Neutral 4_TOM TAT" xfId="22695" xr:uid="{00000000-0005-0000-0000-000095320000}"/>
    <cellStyle name="Neutral 5" xfId="32198" xr:uid="{00000000-0005-0000-0000-000096320000}"/>
    <cellStyle name="New Times Roman" xfId="1336" xr:uid="{00000000-0005-0000-0000-000097320000}"/>
    <cellStyle name="New Times Roman 2" xfId="9527" xr:uid="{00000000-0005-0000-0000-000098320000}"/>
    <cellStyle name="New Times Roman 3" xfId="9528" xr:uid="{00000000-0005-0000-0000-000099320000}"/>
    <cellStyle name="New Times Roman_TOM TAT" xfId="22696" xr:uid="{00000000-0005-0000-0000-00009A320000}"/>
    <cellStyle name="ngoc" xfId="5529" xr:uid="{00000000-0005-0000-0000-00009B320000}"/>
    <cellStyle name="ngoc 2" xfId="9529" xr:uid="{00000000-0005-0000-0000-00009C320000}"/>
    <cellStyle name="no dec" xfId="1337" xr:uid="{00000000-0005-0000-0000-00009D320000}"/>
    <cellStyle name="ÑONVÒ" xfId="1338" xr:uid="{00000000-0005-0000-0000-00009E320000}"/>
    <cellStyle name="ÑONVÒ 2" xfId="4424" xr:uid="{00000000-0005-0000-0000-00009F320000}"/>
    <cellStyle name="ÑONVÒ 2 2" xfId="9530" xr:uid="{00000000-0005-0000-0000-0000A0320000}"/>
    <cellStyle name="ÑONVÒ 3" xfId="9531" xr:uid="{00000000-0005-0000-0000-0000A1320000}"/>
    <cellStyle name="ÑONVÒ 3 2" xfId="29934" xr:uid="{00000000-0005-0000-0000-0000A2320000}"/>
    <cellStyle name="ÑONVÒ 3_TOM TAT" xfId="22698" xr:uid="{00000000-0005-0000-0000-0000A3320000}"/>
    <cellStyle name="ÑONVÒ 4" xfId="9532" xr:uid="{00000000-0005-0000-0000-0000A4320000}"/>
    <cellStyle name="ÑONVÒ 4 2" xfId="29935" xr:uid="{00000000-0005-0000-0000-0000A5320000}"/>
    <cellStyle name="ÑONVÒ 4_TOM TAT" xfId="22699" xr:uid="{00000000-0005-0000-0000-0000A6320000}"/>
    <cellStyle name="ÑONVÒ 5" xfId="18212" xr:uid="{00000000-0005-0000-0000-0000A7320000}"/>
    <cellStyle name="ÑONVÒ_TOM TAT" xfId="22697" xr:uid="{00000000-0005-0000-0000-0000A8320000}"/>
    <cellStyle name="NorLal_laroux_pldt" xfId="1339" xr:uid="{00000000-0005-0000-0000-0000A9320000}"/>
    <cellStyle name="Normal" xfId="0" builtinId="0"/>
    <cellStyle name="Normal - ??1" xfId="9533" xr:uid="{00000000-0005-0000-0000-0000AB320000}"/>
    <cellStyle name="Normal - ??1 2" xfId="9534" xr:uid="{00000000-0005-0000-0000-0000AC320000}"/>
    <cellStyle name="Normal - ??1_TOM TAT" xfId="22700" xr:uid="{00000000-0005-0000-0000-0000AD320000}"/>
    <cellStyle name="Normal - Style1" xfId="1340" xr:uid="{00000000-0005-0000-0000-0000AE320000}"/>
    <cellStyle name="Normal - Style1 2" xfId="18213" xr:uid="{00000000-0005-0000-0000-0000AF320000}"/>
    <cellStyle name="Normal - Style1_TOM TAT" xfId="22701" xr:uid="{00000000-0005-0000-0000-0000B0320000}"/>
    <cellStyle name="Normal - Style2" xfId="1341" xr:uid="{00000000-0005-0000-0000-0000B1320000}"/>
    <cellStyle name="Normal - Style2 2" xfId="9535" xr:uid="{00000000-0005-0000-0000-0000B2320000}"/>
    <cellStyle name="Normal - Style2 3" xfId="9536" xr:uid="{00000000-0005-0000-0000-0000B3320000}"/>
    <cellStyle name="Normal - Style2_TOM TAT" xfId="22702" xr:uid="{00000000-0005-0000-0000-0000B4320000}"/>
    <cellStyle name="Normal - Style3" xfId="1342" xr:uid="{00000000-0005-0000-0000-0000B5320000}"/>
    <cellStyle name="Normal - Style3 2" xfId="9537" xr:uid="{00000000-0005-0000-0000-0000B6320000}"/>
    <cellStyle name="Normal - Style3 3" xfId="9538" xr:uid="{00000000-0005-0000-0000-0000B7320000}"/>
    <cellStyle name="Normal - Style3_TOM TAT" xfId="22703" xr:uid="{00000000-0005-0000-0000-0000B8320000}"/>
    <cellStyle name="Normal - Style4" xfId="1343" xr:uid="{00000000-0005-0000-0000-0000B9320000}"/>
    <cellStyle name="Normal - Style4 2" xfId="9539" xr:uid="{00000000-0005-0000-0000-0000BA320000}"/>
    <cellStyle name="Normal - Style4 3" xfId="9540" xr:uid="{00000000-0005-0000-0000-0000BB320000}"/>
    <cellStyle name="Normal - Style4_TOM TAT" xfId="22704" xr:uid="{00000000-0005-0000-0000-0000BC320000}"/>
    <cellStyle name="Normal - Style5" xfId="1344" xr:uid="{00000000-0005-0000-0000-0000BD320000}"/>
    <cellStyle name="Normal - Style5 2" xfId="9541" xr:uid="{00000000-0005-0000-0000-0000BE320000}"/>
    <cellStyle name="Normal - Style5 3" xfId="9542" xr:uid="{00000000-0005-0000-0000-0000BF320000}"/>
    <cellStyle name="Normal - Style5_TOM TAT" xfId="22705" xr:uid="{00000000-0005-0000-0000-0000C0320000}"/>
    <cellStyle name="Normal - Style6" xfId="1345" xr:uid="{00000000-0005-0000-0000-0000C1320000}"/>
    <cellStyle name="Normal - Style6 2" xfId="9543" xr:uid="{00000000-0005-0000-0000-0000C2320000}"/>
    <cellStyle name="Normal - Style6 3" xfId="9544" xr:uid="{00000000-0005-0000-0000-0000C3320000}"/>
    <cellStyle name="Normal - Style6_TOM TAT" xfId="22706" xr:uid="{00000000-0005-0000-0000-0000C4320000}"/>
    <cellStyle name="Normal - Style7" xfId="1346" xr:uid="{00000000-0005-0000-0000-0000C5320000}"/>
    <cellStyle name="Normal - Style7 2" xfId="9545" xr:uid="{00000000-0005-0000-0000-0000C6320000}"/>
    <cellStyle name="Normal - Style7 3" xfId="9546" xr:uid="{00000000-0005-0000-0000-0000C7320000}"/>
    <cellStyle name="Normal - Style7_TOM TAT" xfId="22707" xr:uid="{00000000-0005-0000-0000-0000C8320000}"/>
    <cellStyle name="Normal - Style8" xfId="1347" xr:uid="{00000000-0005-0000-0000-0000C9320000}"/>
    <cellStyle name="Normal - Style8 2" xfId="9547" xr:uid="{00000000-0005-0000-0000-0000CA320000}"/>
    <cellStyle name="Normal - Style8 3" xfId="9548" xr:uid="{00000000-0005-0000-0000-0000CB320000}"/>
    <cellStyle name="Normal - Style8_TOM TAT" xfId="22708" xr:uid="{00000000-0005-0000-0000-0000CC320000}"/>
    <cellStyle name="Normal - 유형1" xfId="1348" xr:uid="{00000000-0005-0000-0000-0000CD320000}"/>
    <cellStyle name="Normal - 유형1 2" xfId="9549" xr:uid="{00000000-0005-0000-0000-0000CE320000}"/>
    <cellStyle name="Normal - 유형1 3" xfId="9550" xr:uid="{00000000-0005-0000-0000-0000CF320000}"/>
    <cellStyle name="Normal - 유형1_TOM TAT" xfId="22709" xr:uid="{00000000-0005-0000-0000-0000D0320000}"/>
    <cellStyle name="Normal 10" xfId="1349" xr:uid="{00000000-0005-0000-0000-0000D1320000}"/>
    <cellStyle name="Normal 10 2" xfId="2170" xr:uid="{00000000-0005-0000-0000-0000D2320000}"/>
    <cellStyle name="Normal 10 2 2" xfId="9551" xr:uid="{00000000-0005-0000-0000-0000D3320000}"/>
    <cellStyle name="Normal 10 2_TOM TAT" xfId="22711" xr:uid="{00000000-0005-0000-0000-0000D4320000}"/>
    <cellStyle name="Normal 10 3" xfId="9552" xr:uid="{00000000-0005-0000-0000-0000D5320000}"/>
    <cellStyle name="Normal 10 4" xfId="9553" xr:uid="{00000000-0005-0000-0000-0000D6320000}"/>
    <cellStyle name="Normal 10 5" xfId="19155" xr:uid="{00000000-0005-0000-0000-0000D7320000}"/>
    <cellStyle name="Normal 10_TOM TAT" xfId="22710" xr:uid="{00000000-0005-0000-0000-0000D8320000}"/>
    <cellStyle name="Normal 100" xfId="32223" xr:uid="{00000000-0005-0000-0000-0000D9320000}"/>
    <cellStyle name="Normal 101" xfId="32225" xr:uid="{00000000-0005-0000-0000-0000DA320000}"/>
    <cellStyle name="Normal 101 2" xfId="32237" xr:uid="{00000000-0005-0000-0000-0000DB320000}"/>
    <cellStyle name="Normal 102" xfId="32227" xr:uid="{00000000-0005-0000-0000-0000DC320000}"/>
    <cellStyle name="Normal 103" xfId="32231" xr:uid="{00000000-0005-0000-0000-0000DD320000}"/>
    <cellStyle name="Normal 104" xfId="32239" xr:uid="{00000000-0005-0000-0000-0000DE320000}"/>
    <cellStyle name="Normal 105" xfId="32243" xr:uid="{00000000-0005-0000-0000-0000DF320000}"/>
    <cellStyle name="Normal 106" xfId="32259" xr:uid="{00000000-0005-0000-0000-0000E0320000}"/>
    <cellStyle name="Normal 107" xfId="32262" xr:uid="{00000000-0005-0000-0000-0000E1320000}"/>
    <cellStyle name="Normal 108" xfId="32266" xr:uid="{00000000-0005-0000-0000-0000E2320000}"/>
    <cellStyle name="Normal 109" xfId="32275" xr:uid="{00000000-0005-0000-0000-0000E3320000}"/>
    <cellStyle name="Normal 11" xfId="1350" xr:uid="{00000000-0005-0000-0000-0000E4320000}"/>
    <cellStyle name="Normal 11 2" xfId="2172" xr:uid="{00000000-0005-0000-0000-0000E5320000}"/>
    <cellStyle name="Normal 11 2 2" xfId="5530" xr:uid="{00000000-0005-0000-0000-0000E6320000}"/>
    <cellStyle name="Normal 11 2 2 2" xfId="9554" xr:uid="{00000000-0005-0000-0000-0000E7320000}"/>
    <cellStyle name="Normal 11 2 2 3" xfId="9555" xr:uid="{00000000-0005-0000-0000-0000E8320000}"/>
    <cellStyle name="Normal 11 2 2_TOM TAT" xfId="22712" xr:uid="{00000000-0005-0000-0000-0000E9320000}"/>
    <cellStyle name="Normal 11 2 3" xfId="9556" xr:uid="{00000000-0005-0000-0000-0000EA320000}"/>
    <cellStyle name="Normal 11 2 4" xfId="9557" xr:uid="{00000000-0005-0000-0000-0000EB320000}"/>
    <cellStyle name="Normal 11 2_TOM TAT" xfId="9558" xr:uid="{00000000-0005-0000-0000-0000EC320000}"/>
    <cellStyle name="Normal 11 3" xfId="2171" xr:uid="{00000000-0005-0000-0000-0000ED320000}"/>
    <cellStyle name="Normal 11 3 2" xfId="9559" xr:uid="{00000000-0005-0000-0000-0000EE320000}"/>
    <cellStyle name="Normal 11 3 3" xfId="18634" xr:uid="{00000000-0005-0000-0000-0000EF320000}"/>
    <cellStyle name="Normal 11 3_TOM TAT" xfId="22713" xr:uid="{00000000-0005-0000-0000-0000F0320000}"/>
    <cellStyle name="Normal 11 4" xfId="4425" xr:uid="{00000000-0005-0000-0000-0000F1320000}"/>
    <cellStyle name="Normal 11 4 2" xfId="9560" xr:uid="{00000000-0005-0000-0000-0000F2320000}"/>
    <cellStyle name="Normal 11 4_TOM TAT" xfId="22714" xr:uid="{00000000-0005-0000-0000-0000F3320000}"/>
    <cellStyle name="Normal 11 5" xfId="9561" xr:uid="{00000000-0005-0000-0000-0000F4320000}"/>
    <cellStyle name="Normal 11 6" xfId="9562" xr:uid="{00000000-0005-0000-0000-0000F5320000}"/>
    <cellStyle name="Normal 11_20141211 Tan Mai - Hanh" xfId="9563" xr:uid="{00000000-0005-0000-0000-0000F6320000}"/>
    <cellStyle name="Normal 12" xfId="1351" xr:uid="{00000000-0005-0000-0000-0000F7320000}"/>
    <cellStyle name="Normal 12 2" xfId="2173" xr:uid="{00000000-0005-0000-0000-0000F8320000}"/>
    <cellStyle name="Normal 12 2 2" xfId="5531" xr:uid="{00000000-0005-0000-0000-0000F9320000}"/>
    <cellStyle name="Normal 12 2 2 2" xfId="9564" xr:uid="{00000000-0005-0000-0000-0000FA320000}"/>
    <cellStyle name="Normal 12 2 2_TOM TAT" xfId="22715" xr:uid="{00000000-0005-0000-0000-0000FB320000}"/>
    <cellStyle name="Normal 12 2 3" xfId="9565" xr:uid="{00000000-0005-0000-0000-0000FC320000}"/>
    <cellStyle name="Normal 12 2 4" xfId="9566" xr:uid="{00000000-0005-0000-0000-0000FD320000}"/>
    <cellStyle name="Normal 12 2_TOM TAT" xfId="9567" xr:uid="{00000000-0005-0000-0000-0000FE320000}"/>
    <cellStyle name="Normal 12 3" xfId="4426" xr:uid="{00000000-0005-0000-0000-0000FF320000}"/>
    <cellStyle name="Normal 12 3 2" xfId="9568" xr:uid="{00000000-0005-0000-0000-000000330000}"/>
    <cellStyle name="Normal 12 3_TOM TAT" xfId="22716" xr:uid="{00000000-0005-0000-0000-000001330000}"/>
    <cellStyle name="Normal 12 4" xfId="9569" xr:uid="{00000000-0005-0000-0000-000002330000}"/>
    <cellStyle name="Normal 12 5" xfId="9570" xr:uid="{00000000-0005-0000-0000-000003330000}"/>
    <cellStyle name="Normal 12_20141211 Tan Mai - Hanh" xfId="9571" xr:uid="{00000000-0005-0000-0000-000004330000}"/>
    <cellStyle name="Normal 13" xfId="1352" xr:uid="{00000000-0005-0000-0000-000005330000}"/>
    <cellStyle name="Normal 13 2" xfId="2174" xr:uid="{00000000-0005-0000-0000-000006330000}"/>
    <cellStyle name="Normal 13 2 2" xfId="9572" xr:uid="{00000000-0005-0000-0000-000007330000}"/>
    <cellStyle name="Normal 13 2_TOM TAT" xfId="22717" xr:uid="{00000000-0005-0000-0000-000008330000}"/>
    <cellStyle name="Normal 13 3" xfId="9573" xr:uid="{00000000-0005-0000-0000-000009330000}"/>
    <cellStyle name="Normal 13 4" xfId="9574" xr:uid="{00000000-0005-0000-0000-00000A330000}"/>
    <cellStyle name="Normal 13 5" xfId="19156" xr:uid="{00000000-0005-0000-0000-00000B330000}"/>
    <cellStyle name="Normal 13_TOM TAT" xfId="9575" xr:uid="{00000000-0005-0000-0000-00000C330000}"/>
    <cellStyle name="Normal 14" xfId="1353" xr:uid="{00000000-0005-0000-0000-00000D330000}"/>
    <cellStyle name="Normal 14 2" xfId="2176" xr:uid="{00000000-0005-0000-0000-00000E330000}"/>
    <cellStyle name="Normal 14 2 2" xfId="9576" xr:uid="{00000000-0005-0000-0000-00000F330000}"/>
    <cellStyle name="Normal 14 2_TOM TAT" xfId="22719" xr:uid="{00000000-0005-0000-0000-000010330000}"/>
    <cellStyle name="Normal 14 3" xfId="2175" xr:uid="{00000000-0005-0000-0000-000011330000}"/>
    <cellStyle name="Normal 14 3 2" xfId="9577" xr:uid="{00000000-0005-0000-0000-000012330000}"/>
    <cellStyle name="Normal 14 3_TOM TAT" xfId="22720" xr:uid="{00000000-0005-0000-0000-000013330000}"/>
    <cellStyle name="Normal 14 4" xfId="4427" xr:uid="{00000000-0005-0000-0000-000014330000}"/>
    <cellStyle name="Normal 14 4 2" xfId="9578" xr:uid="{00000000-0005-0000-0000-000015330000}"/>
    <cellStyle name="Normal 14 4_TOM TAT" xfId="22721" xr:uid="{00000000-0005-0000-0000-000016330000}"/>
    <cellStyle name="Normal 14 5" xfId="5532" xr:uid="{00000000-0005-0000-0000-000017330000}"/>
    <cellStyle name="Normal 14 5 2" xfId="9579" xr:uid="{00000000-0005-0000-0000-000018330000}"/>
    <cellStyle name="Normal 14 5_TOM TAT" xfId="22722" xr:uid="{00000000-0005-0000-0000-000019330000}"/>
    <cellStyle name="Normal 14 6" xfId="9580" xr:uid="{00000000-0005-0000-0000-00001A330000}"/>
    <cellStyle name="Normal 14 7" xfId="9581" xr:uid="{00000000-0005-0000-0000-00001B330000}"/>
    <cellStyle name="Normal 14 8" xfId="26981" xr:uid="{00000000-0005-0000-0000-00001C330000}"/>
    <cellStyle name="Normal 14_TOM TAT" xfId="22718" xr:uid="{00000000-0005-0000-0000-00001D330000}"/>
    <cellStyle name="Normal 15" xfId="1354" xr:uid="{00000000-0005-0000-0000-00001E330000}"/>
    <cellStyle name="Normal 15 10" xfId="18974" xr:uid="{00000000-0005-0000-0000-00001F330000}"/>
    <cellStyle name="Normal 15 10 2" xfId="31889" xr:uid="{00000000-0005-0000-0000-000020330000}"/>
    <cellStyle name="Normal 15 10 4" xfId="32249" xr:uid="{00000000-0005-0000-0000-000021330000}"/>
    <cellStyle name="Normal 15 10_TOM TAT" xfId="22723" xr:uid="{00000000-0005-0000-0000-000022330000}"/>
    <cellStyle name="Normal 15 11" xfId="19033" xr:uid="{00000000-0005-0000-0000-000023330000}"/>
    <cellStyle name="Normal 15 11 2" xfId="19157" xr:uid="{00000000-0005-0000-0000-000024330000}"/>
    <cellStyle name="Normal 15 11 2 2" xfId="32016" xr:uid="{00000000-0005-0000-0000-000025330000}"/>
    <cellStyle name="Normal 15 11 2_TOM TAT" xfId="22725" xr:uid="{00000000-0005-0000-0000-000026330000}"/>
    <cellStyle name="Normal 15 11 3" xfId="19158" xr:uid="{00000000-0005-0000-0000-000027330000}"/>
    <cellStyle name="Normal 15 11 3 2" xfId="32017" xr:uid="{00000000-0005-0000-0000-000028330000}"/>
    <cellStyle name="Normal 15 11 3_TOM TAT" xfId="22726" xr:uid="{00000000-0005-0000-0000-000029330000}"/>
    <cellStyle name="Normal 15 11 4" xfId="19079" xr:uid="{00000000-0005-0000-0000-00002A330000}"/>
    <cellStyle name="Normal 15 11 4 2" xfId="31968" xr:uid="{00000000-0005-0000-0000-00002B330000}"/>
    <cellStyle name="Normal 15 11 4 3" xfId="32134" xr:uid="{00000000-0005-0000-0000-00002C330000}"/>
    <cellStyle name="Normal 15 11 4_TOM TAT" xfId="22727" xr:uid="{00000000-0005-0000-0000-00002D330000}"/>
    <cellStyle name="Normal 15 11 5" xfId="31938" xr:uid="{00000000-0005-0000-0000-00002E330000}"/>
    <cellStyle name="Normal 15 11_TOM TAT" xfId="22724" xr:uid="{00000000-0005-0000-0000-00002F330000}"/>
    <cellStyle name="Normal 15 12" xfId="19042" xr:uid="{00000000-0005-0000-0000-000030330000}"/>
    <cellStyle name="Normal 15 12 2" xfId="19159" xr:uid="{00000000-0005-0000-0000-000031330000}"/>
    <cellStyle name="Normal 15 12 2 2" xfId="32018" xr:uid="{00000000-0005-0000-0000-000032330000}"/>
    <cellStyle name="Normal 15 12 2_TOM TAT" xfId="22729" xr:uid="{00000000-0005-0000-0000-000033330000}"/>
    <cellStyle name="Normal 15 12 3" xfId="19160" xr:uid="{00000000-0005-0000-0000-000034330000}"/>
    <cellStyle name="Normal 15 12 3 2" xfId="32019" xr:uid="{00000000-0005-0000-0000-000035330000}"/>
    <cellStyle name="Normal 15 12 3_TOM TAT" xfId="22730" xr:uid="{00000000-0005-0000-0000-000036330000}"/>
    <cellStyle name="Normal 15 12 4" xfId="19161" xr:uid="{00000000-0005-0000-0000-000037330000}"/>
    <cellStyle name="Normal 15 12 4 2" xfId="32020" xr:uid="{00000000-0005-0000-0000-000038330000}"/>
    <cellStyle name="Normal 15 12 4 3" xfId="32149" xr:uid="{00000000-0005-0000-0000-000039330000}"/>
    <cellStyle name="Normal 15 12 4_TOM TAT" xfId="22731" xr:uid="{00000000-0005-0000-0000-00003A330000}"/>
    <cellStyle name="Normal 15 12 5" xfId="31947" xr:uid="{00000000-0005-0000-0000-00003B330000}"/>
    <cellStyle name="Normal 15 12_TOM TAT" xfId="22728" xr:uid="{00000000-0005-0000-0000-00003C330000}"/>
    <cellStyle name="Normal 15 13" xfId="26982" xr:uid="{00000000-0005-0000-0000-00003D330000}"/>
    <cellStyle name="Normal 15 14" xfId="32253" xr:uid="{00000000-0005-0000-0000-00003E330000}"/>
    <cellStyle name="Normal 15 15" xfId="32247" xr:uid="{00000000-0005-0000-0000-00003F330000}"/>
    <cellStyle name="Normal 15 2" xfId="2177" xr:uid="{00000000-0005-0000-0000-000040330000}"/>
    <cellStyle name="Normal 15 2 2" xfId="9582" xr:uid="{00000000-0005-0000-0000-000041330000}"/>
    <cellStyle name="Normal 15 2_TOM TAT" xfId="22732" xr:uid="{00000000-0005-0000-0000-000042330000}"/>
    <cellStyle name="Normal 15 3" xfId="4428" xr:uid="{00000000-0005-0000-0000-000043330000}"/>
    <cellStyle name="Normal 15 3 2" xfId="9583" xr:uid="{00000000-0005-0000-0000-000044330000}"/>
    <cellStyle name="Normal 15 4" xfId="6644" xr:uid="{00000000-0005-0000-0000-000045330000}"/>
    <cellStyle name="Normal 15 4 2" xfId="9584" xr:uid="{00000000-0005-0000-0000-000046330000}"/>
    <cellStyle name="Normal 15 4_TOM TAT" xfId="9585" xr:uid="{00000000-0005-0000-0000-000047330000}"/>
    <cellStyle name="Normal 15 5" xfId="9586" xr:uid="{00000000-0005-0000-0000-000048330000}"/>
    <cellStyle name="Normal 15 6" xfId="9587" xr:uid="{00000000-0005-0000-0000-000049330000}"/>
    <cellStyle name="Normal 15 6 2" xfId="29936" xr:uid="{00000000-0005-0000-0000-00004A330000}"/>
    <cellStyle name="Normal 15 6 3" xfId="15434" xr:uid="{00000000-0005-0000-0000-00004B330000}"/>
    <cellStyle name="Normal 15 6_TOM TAT" xfId="22733" xr:uid="{00000000-0005-0000-0000-00004C330000}"/>
    <cellStyle name="Normal 15 7" xfId="9588" xr:uid="{00000000-0005-0000-0000-00004D330000}"/>
    <cellStyle name="Normal 15 7 2" xfId="29937" xr:uid="{00000000-0005-0000-0000-00004E330000}"/>
    <cellStyle name="Normal 15 7 3" xfId="15435" xr:uid="{00000000-0005-0000-0000-00004F330000}"/>
    <cellStyle name="Normal 15 7_TOM TAT" xfId="22734" xr:uid="{00000000-0005-0000-0000-000050330000}"/>
    <cellStyle name="Normal 15 8" xfId="18578" xr:uid="{00000000-0005-0000-0000-000051330000}"/>
    <cellStyle name="Normal 15 9" xfId="18910" xr:uid="{00000000-0005-0000-0000-000052330000}"/>
    <cellStyle name="Normal 15_TOM TAT" xfId="9589" xr:uid="{00000000-0005-0000-0000-000053330000}"/>
    <cellStyle name="Normal 16" xfId="1355" xr:uid="{00000000-0005-0000-0000-000054330000}"/>
    <cellStyle name="Normal 16 2" xfId="4429" xr:uid="{00000000-0005-0000-0000-000055330000}"/>
    <cellStyle name="Normal 16 2 2" xfId="9590" xr:uid="{00000000-0005-0000-0000-000056330000}"/>
    <cellStyle name="Normal 16 2_TOM TAT" xfId="22736" xr:uid="{00000000-0005-0000-0000-000057330000}"/>
    <cellStyle name="Normal 16 3" xfId="9591" xr:uid="{00000000-0005-0000-0000-000058330000}"/>
    <cellStyle name="Normal 16 4" xfId="19162" xr:uid="{00000000-0005-0000-0000-000059330000}"/>
    <cellStyle name="Normal 16 5" xfId="19163" xr:uid="{00000000-0005-0000-0000-00005A330000}"/>
    <cellStyle name="Normal 16_TOM TAT" xfId="22735" xr:uid="{00000000-0005-0000-0000-00005B330000}"/>
    <cellStyle name="Normal 17" xfId="1847" xr:uid="{00000000-0005-0000-0000-00005C330000}"/>
    <cellStyle name="Normal 17 2" xfId="4834" xr:uid="{00000000-0005-0000-0000-00005D330000}"/>
    <cellStyle name="Normal 17 2 2" xfId="9592" xr:uid="{00000000-0005-0000-0000-00005E330000}"/>
    <cellStyle name="Normal 17 2 3" xfId="18657" xr:uid="{00000000-0005-0000-0000-00005F330000}"/>
    <cellStyle name="Normal 17 2 3 2" xfId="31777" xr:uid="{00000000-0005-0000-0000-000060330000}"/>
    <cellStyle name="Normal 17 2 3_TOM TAT" xfId="22739" xr:uid="{00000000-0005-0000-0000-000061330000}"/>
    <cellStyle name="Normal 17 2_TOM TAT" xfId="22738" xr:uid="{00000000-0005-0000-0000-000062330000}"/>
    <cellStyle name="Normal 17 3" xfId="4866" xr:uid="{00000000-0005-0000-0000-000063330000}"/>
    <cellStyle name="Normal 17 3 2" xfId="9593" xr:uid="{00000000-0005-0000-0000-000064330000}"/>
    <cellStyle name="Normal 17 3 2 2" xfId="9594" xr:uid="{00000000-0005-0000-0000-000065330000}"/>
    <cellStyle name="Normal 17 3 2 2 2" xfId="29939" xr:uid="{00000000-0005-0000-0000-000066330000}"/>
    <cellStyle name="Normal 17 3 2 2 3" xfId="15437" xr:uid="{00000000-0005-0000-0000-000067330000}"/>
    <cellStyle name="Normal 17 3 2 2_TOM TAT" xfId="22740" xr:uid="{00000000-0005-0000-0000-000068330000}"/>
    <cellStyle name="Normal 17 3 2 3" xfId="29938" xr:uid="{00000000-0005-0000-0000-000069330000}"/>
    <cellStyle name="Normal 17 3 2 4" xfId="15436" xr:uid="{00000000-0005-0000-0000-00006A330000}"/>
    <cellStyle name="Normal 17 3 2_TOM TAT" xfId="9595" xr:uid="{00000000-0005-0000-0000-00006B330000}"/>
    <cellStyle name="Normal 17 3 3" xfId="9596" xr:uid="{00000000-0005-0000-0000-00006C330000}"/>
    <cellStyle name="Normal 17 3 3 2" xfId="29940" xr:uid="{00000000-0005-0000-0000-00006D330000}"/>
    <cellStyle name="Normal 17 3 3 3" xfId="15438" xr:uid="{00000000-0005-0000-0000-00006E330000}"/>
    <cellStyle name="Normal 17 3 3_TOM TAT" xfId="22741" xr:uid="{00000000-0005-0000-0000-00006F330000}"/>
    <cellStyle name="Normal 17 3_TOM TAT" xfId="9597" xr:uid="{00000000-0005-0000-0000-000070330000}"/>
    <cellStyle name="Normal 17 4" xfId="9598" xr:uid="{00000000-0005-0000-0000-000071330000}"/>
    <cellStyle name="Normal 17 5" xfId="18586" xr:uid="{00000000-0005-0000-0000-000072330000}"/>
    <cellStyle name="Normal 17 5 2" xfId="31753" xr:uid="{00000000-0005-0000-0000-000073330000}"/>
    <cellStyle name="Normal 17 5_TOM TAT" xfId="22742" xr:uid="{00000000-0005-0000-0000-000074330000}"/>
    <cellStyle name="Normal 17_TOM TAT" xfId="22737" xr:uid="{00000000-0005-0000-0000-000075330000}"/>
    <cellStyle name="Normal 18" xfId="1851" xr:uid="{00000000-0005-0000-0000-000076330000}"/>
    <cellStyle name="Normal 18 2" xfId="9599" xr:uid="{00000000-0005-0000-0000-000077330000}"/>
    <cellStyle name="Normal 18 2 2" xfId="9600" xr:uid="{00000000-0005-0000-0000-000078330000}"/>
    <cellStyle name="Normal 18 2 2 2" xfId="29942" xr:uid="{00000000-0005-0000-0000-000079330000}"/>
    <cellStyle name="Normal 18 2 2 3" xfId="15440" xr:uid="{00000000-0005-0000-0000-00007A330000}"/>
    <cellStyle name="Normal 18 2 2_TOM TAT" xfId="22743" xr:uid="{00000000-0005-0000-0000-00007B330000}"/>
    <cellStyle name="Normal 18 2 3" xfId="18660" xr:uid="{00000000-0005-0000-0000-00007C330000}"/>
    <cellStyle name="Normal 18 2 3 2" xfId="31780" xr:uid="{00000000-0005-0000-0000-00007D330000}"/>
    <cellStyle name="Normal 18 2 3_TOM TAT" xfId="22744" xr:uid="{00000000-0005-0000-0000-00007E330000}"/>
    <cellStyle name="Normal 18 2 4" xfId="29941" xr:uid="{00000000-0005-0000-0000-00007F330000}"/>
    <cellStyle name="Normal 18 2 5" xfId="15439" xr:uid="{00000000-0005-0000-0000-000080330000}"/>
    <cellStyle name="Normal 18 2_TOM TAT" xfId="9601" xr:uid="{00000000-0005-0000-0000-000081330000}"/>
    <cellStyle name="Normal 18 3" xfId="9602" xr:uid="{00000000-0005-0000-0000-000082330000}"/>
    <cellStyle name="Normal 18 3 2" xfId="29943" xr:uid="{00000000-0005-0000-0000-000083330000}"/>
    <cellStyle name="Normal 18 3 3" xfId="15441" xr:uid="{00000000-0005-0000-0000-000084330000}"/>
    <cellStyle name="Normal 18 3_TOM TAT" xfId="22745" xr:uid="{00000000-0005-0000-0000-000085330000}"/>
    <cellStyle name="Normal 18 4" xfId="18589" xr:uid="{00000000-0005-0000-0000-000086330000}"/>
    <cellStyle name="Normal 18 4 2" xfId="31756" xr:uid="{00000000-0005-0000-0000-000087330000}"/>
    <cellStyle name="Normal 18 4_TOM TAT" xfId="22746" xr:uid="{00000000-0005-0000-0000-000088330000}"/>
    <cellStyle name="Normal 18_TOM TAT" xfId="9603" xr:uid="{00000000-0005-0000-0000-000089330000}"/>
    <cellStyle name="Normal 19" xfId="1854" xr:uid="{00000000-0005-0000-0000-00008A330000}"/>
    <cellStyle name="Normal 19 2" xfId="4837" xr:uid="{00000000-0005-0000-0000-00008B330000}"/>
    <cellStyle name="Normal 19 2 2" xfId="9604" xr:uid="{00000000-0005-0000-0000-00008C330000}"/>
    <cellStyle name="Normal 19 2 2 2" xfId="9605" xr:uid="{00000000-0005-0000-0000-00008D330000}"/>
    <cellStyle name="Normal 19 2 2 2 2" xfId="9606" xr:uid="{00000000-0005-0000-0000-00008E330000}"/>
    <cellStyle name="Normal 19 2 2 2 2 2" xfId="9607" xr:uid="{00000000-0005-0000-0000-00008F330000}"/>
    <cellStyle name="Normal 19 2 2 2 2 2 2" xfId="29947" xr:uid="{00000000-0005-0000-0000-000090330000}"/>
    <cellStyle name="Normal 19 2 2 2 2 2 3" xfId="15445" xr:uid="{00000000-0005-0000-0000-000091330000}"/>
    <cellStyle name="Normal 19 2 2 2 2 2_TOM TAT" xfId="22747" xr:uid="{00000000-0005-0000-0000-000092330000}"/>
    <cellStyle name="Normal 19 2 2 2 2 3" xfId="29946" xr:uid="{00000000-0005-0000-0000-000093330000}"/>
    <cellStyle name="Normal 19 2 2 2 2 4" xfId="15444" xr:uid="{00000000-0005-0000-0000-000094330000}"/>
    <cellStyle name="Normal 19 2 2 2 2_TOM TAT" xfId="9608" xr:uid="{00000000-0005-0000-0000-000095330000}"/>
    <cellStyle name="Normal 19 2 2 2 3" xfId="9609" xr:uid="{00000000-0005-0000-0000-000096330000}"/>
    <cellStyle name="Normal 19 2 2 2 3 2" xfId="29948" xr:uid="{00000000-0005-0000-0000-000097330000}"/>
    <cellStyle name="Normal 19 2 2 2 3 3" xfId="15446" xr:uid="{00000000-0005-0000-0000-000098330000}"/>
    <cellStyle name="Normal 19 2 2 2 3_TOM TAT" xfId="22748" xr:uid="{00000000-0005-0000-0000-000099330000}"/>
    <cellStyle name="Normal 19 2 2 2 4" xfId="29945" xr:uid="{00000000-0005-0000-0000-00009A330000}"/>
    <cellStyle name="Normal 19 2 2 2 5" xfId="15443" xr:uid="{00000000-0005-0000-0000-00009B330000}"/>
    <cellStyle name="Normal 19 2 2 2_TOM TAT" xfId="9610" xr:uid="{00000000-0005-0000-0000-00009C330000}"/>
    <cellStyle name="Normal 19 2 2 3" xfId="9611" xr:uid="{00000000-0005-0000-0000-00009D330000}"/>
    <cellStyle name="Normal 19 2 2 3 2" xfId="9612" xr:uid="{00000000-0005-0000-0000-00009E330000}"/>
    <cellStyle name="Normal 19 2 2 3 2 2" xfId="9613" xr:uid="{00000000-0005-0000-0000-00009F330000}"/>
    <cellStyle name="Normal 19 2 2 3 2 2 2" xfId="29951" xr:uid="{00000000-0005-0000-0000-0000A0330000}"/>
    <cellStyle name="Normal 19 2 2 3 2 2 3" xfId="15449" xr:uid="{00000000-0005-0000-0000-0000A1330000}"/>
    <cellStyle name="Normal 19 2 2 3 2 2_TOM TAT" xfId="22749" xr:uid="{00000000-0005-0000-0000-0000A2330000}"/>
    <cellStyle name="Normal 19 2 2 3 2 3" xfId="29950" xr:uid="{00000000-0005-0000-0000-0000A3330000}"/>
    <cellStyle name="Normal 19 2 2 3 2 4" xfId="15448" xr:uid="{00000000-0005-0000-0000-0000A4330000}"/>
    <cellStyle name="Normal 19 2 2 3 2_TOM TAT" xfId="9614" xr:uid="{00000000-0005-0000-0000-0000A5330000}"/>
    <cellStyle name="Normal 19 2 2 3 3" xfId="9615" xr:uid="{00000000-0005-0000-0000-0000A6330000}"/>
    <cellStyle name="Normal 19 2 2 3 3 2" xfId="29952" xr:uid="{00000000-0005-0000-0000-0000A7330000}"/>
    <cellStyle name="Normal 19 2 2 3 3 3" xfId="15450" xr:uid="{00000000-0005-0000-0000-0000A8330000}"/>
    <cellStyle name="Normal 19 2 2 3 3_TOM TAT" xfId="22750" xr:uid="{00000000-0005-0000-0000-0000A9330000}"/>
    <cellStyle name="Normal 19 2 2 3 4" xfId="29949" xr:uid="{00000000-0005-0000-0000-0000AA330000}"/>
    <cellStyle name="Normal 19 2 2 3 5" xfId="15447" xr:uid="{00000000-0005-0000-0000-0000AB330000}"/>
    <cellStyle name="Normal 19 2 2 3_TOM TAT" xfId="9616" xr:uid="{00000000-0005-0000-0000-0000AC330000}"/>
    <cellStyle name="Normal 19 2 2 4" xfId="9617" xr:uid="{00000000-0005-0000-0000-0000AD330000}"/>
    <cellStyle name="Normal 19 2 2 4 2" xfId="9618" xr:uid="{00000000-0005-0000-0000-0000AE330000}"/>
    <cellStyle name="Normal 19 2 2 4 2 2" xfId="29954" xr:uid="{00000000-0005-0000-0000-0000AF330000}"/>
    <cellStyle name="Normal 19 2 2 4 2 3" xfId="15452" xr:uid="{00000000-0005-0000-0000-0000B0330000}"/>
    <cellStyle name="Normal 19 2 2 4 2_TOM TAT" xfId="22751" xr:uid="{00000000-0005-0000-0000-0000B1330000}"/>
    <cellStyle name="Normal 19 2 2 4 3" xfId="29953" xr:uid="{00000000-0005-0000-0000-0000B2330000}"/>
    <cellStyle name="Normal 19 2 2 4 4" xfId="15451" xr:uid="{00000000-0005-0000-0000-0000B3330000}"/>
    <cellStyle name="Normal 19 2 2 4_TOM TAT" xfId="9619" xr:uid="{00000000-0005-0000-0000-0000B4330000}"/>
    <cellStyle name="Normal 19 2 2 5" xfId="9620" xr:uid="{00000000-0005-0000-0000-0000B5330000}"/>
    <cellStyle name="Normal 19 2 2 5 2" xfId="29955" xr:uid="{00000000-0005-0000-0000-0000B6330000}"/>
    <cellStyle name="Normal 19 2 2 5 3" xfId="15453" xr:uid="{00000000-0005-0000-0000-0000B7330000}"/>
    <cellStyle name="Normal 19 2 2 5_TOM TAT" xfId="22752" xr:uid="{00000000-0005-0000-0000-0000B8330000}"/>
    <cellStyle name="Normal 19 2 2 6" xfId="29944" xr:uid="{00000000-0005-0000-0000-0000B9330000}"/>
    <cellStyle name="Normal 19 2 2 7" xfId="15442" xr:uid="{00000000-0005-0000-0000-0000BA330000}"/>
    <cellStyle name="Normal 19 2 2_TOM TAT" xfId="9621" xr:uid="{00000000-0005-0000-0000-0000BB330000}"/>
    <cellStyle name="Normal 19 2 3" xfId="9622" xr:uid="{00000000-0005-0000-0000-0000BC330000}"/>
    <cellStyle name="Normal 19 2 3 2" xfId="9623" xr:uid="{00000000-0005-0000-0000-0000BD330000}"/>
    <cellStyle name="Normal 19 2 3 2 2" xfId="9624" xr:uid="{00000000-0005-0000-0000-0000BE330000}"/>
    <cellStyle name="Normal 19 2 3 2 2 2" xfId="9625" xr:uid="{00000000-0005-0000-0000-0000BF330000}"/>
    <cellStyle name="Normal 19 2 3 2 2 2 2" xfId="29959" xr:uid="{00000000-0005-0000-0000-0000C0330000}"/>
    <cellStyle name="Normal 19 2 3 2 2 2 3" xfId="15457" xr:uid="{00000000-0005-0000-0000-0000C1330000}"/>
    <cellStyle name="Normal 19 2 3 2 2 2_TOM TAT" xfId="22753" xr:uid="{00000000-0005-0000-0000-0000C2330000}"/>
    <cellStyle name="Normal 19 2 3 2 2 3" xfId="29958" xr:uid="{00000000-0005-0000-0000-0000C3330000}"/>
    <cellStyle name="Normal 19 2 3 2 2 4" xfId="15456" xr:uid="{00000000-0005-0000-0000-0000C4330000}"/>
    <cellStyle name="Normal 19 2 3 2 2_TOM TAT" xfId="9626" xr:uid="{00000000-0005-0000-0000-0000C5330000}"/>
    <cellStyle name="Normal 19 2 3 2 3" xfId="9627" xr:uid="{00000000-0005-0000-0000-0000C6330000}"/>
    <cellStyle name="Normal 19 2 3 2 3 2" xfId="29960" xr:uid="{00000000-0005-0000-0000-0000C7330000}"/>
    <cellStyle name="Normal 19 2 3 2 3 3" xfId="15458" xr:uid="{00000000-0005-0000-0000-0000C8330000}"/>
    <cellStyle name="Normal 19 2 3 2 3_TOM TAT" xfId="22754" xr:uid="{00000000-0005-0000-0000-0000C9330000}"/>
    <cellStyle name="Normal 19 2 3 2 4" xfId="29957" xr:uid="{00000000-0005-0000-0000-0000CA330000}"/>
    <cellStyle name="Normal 19 2 3 2 5" xfId="15455" xr:uid="{00000000-0005-0000-0000-0000CB330000}"/>
    <cellStyle name="Normal 19 2 3 2_TOM TAT" xfId="9628" xr:uid="{00000000-0005-0000-0000-0000CC330000}"/>
    <cellStyle name="Normal 19 2 3 3" xfId="9629" xr:uid="{00000000-0005-0000-0000-0000CD330000}"/>
    <cellStyle name="Normal 19 2 3 3 2" xfId="9630" xr:uid="{00000000-0005-0000-0000-0000CE330000}"/>
    <cellStyle name="Normal 19 2 3 3 2 2" xfId="29962" xr:uid="{00000000-0005-0000-0000-0000CF330000}"/>
    <cellStyle name="Normal 19 2 3 3 2 3" xfId="15460" xr:uid="{00000000-0005-0000-0000-0000D0330000}"/>
    <cellStyle name="Normal 19 2 3 3 2_TOM TAT" xfId="22755" xr:uid="{00000000-0005-0000-0000-0000D1330000}"/>
    <cellStyle name="Normal 19 2 3 3 3" xfId="29961" xr:uid="{00000000-0005-0000-0000-0000D2330000}"/>
    <cellStyle name="Normal 19 2 3 3 4" xfId="15459" xr:uid="{00000000-0005-0000-0000-0000D3330000}"/>
    <cellStyle name="Normal 19 2 3 3_TOM TAT" xfId="9631" xr:uid="{00000000-0005-0000-0000-0000D4330000}"/>
    <cellStyle name="Normal 19 2 3 4" xfId="9632" xr:uid="{00000000-0005-0000-0000-0000D5330000}"/>
    <cellStyle name="Normal 19 2 3 4 2" xfId="29963" xr:uid="{00000000-0005-0000-0000-0000D6330000}"/>
    <cellStyle name="Normal 19 2 3 4 3" xfId="15461" xr:uid="{00000000-0005-0000-0000-0000D7330000}"/>
    <cellStyle name="Normal 19 2 3 4_TOM TAT" xfId="22756" xr:uid="{00000000-0005-0000-0000-0000D8330000}"/>
    <cellStyle name="Normal 19 2 3 5" xfId="29956" xr:uid="{00000000-0005-0000-0000-0000D9330000}"/>
    <cellStyle name="Normal 19 2 3 6" xfId="15454" xr:uid="{00000000-0005-0000-0000-0000DA330000}"/>
    <cellStyle name="Normal 19 2 3_TOM TAT" xfId="9633" xr:uid="{00000000-0005-0000-0000-0000DB330000}"/>
    <cellStyle name="Normal 19 2 4" xfId="9634" xr:uid="{00000000-0005-0000-0000-0000DC330000}"/>
    <cellStyle name="Normal 19 2 4 2" xfId="9635" xr:uid="{00000000-0005-0000-0000-0000DD330000}"/>
    <cellStyle name="Normal 19 2 4 2 2" xfId="9636" xr:uid="{00000000-0005-0000-0000-0000DE330000}"/>
    <cellStyle name="Normal 19 2 4 2 2 2" xfId="29966" xr:uid="{00000000-0005-0000-0000-0000DF330000}"/>
    <cellStyle name="Normal 19 2 4 2 2 3" xfId="15464" xr:uid="{00000000-0005-0000-0000-0000E0330000}"/>
    <cellStyle name="Normal 19 2 4 2 2_TOM TAT" xfId="22757" xr:uid="{00000000-0005-0000-0000-0000E1330000}"/>
    <cellStyle name="Normal 19 2 4 2 3" xfId="29965" xr:uid="{00000000-0005-0000-0000-0000E2330000}"/>
    <cellStyle name="Normal 19 2 4 2 4" xfId="15463" xr:uid="{00000000-0005-0000-0000-0000E3330000}"/>
    <cellStyle name="Normal 19 2 4 2_TOM TAT" xfId="9637" xr:uid="{00000000-0005-0000-0000-0000E4330000}"/>
    <cellStyle name="Normal 19 2 4 3" xfId="9638" xr:uid="{00000000-0005-0000-0000-0000E5330000}"/>
    <cellStyle name="Normal 19 2 4 3 2" xfId="29967" xr:uid="{00000000-0005-0000-0000-0000E6330000}"/>
    <cellStyle name="Normal 19 2 4 3 3" xfId="15465" xr:uid="{00000000-0005-0000-0000-0000E7330000}"/>
    <cellStyle name="Normal 19 2 4 3_TOM TAT" xfId="22758" xr:uid="{00000000-0005-0000-0000-0000E8330000}"/>
    <cellStyle name="Normal 19 2 4 4" xfId="29964" xr:uid="{00000000-0005-0000-0000-0000E9330000}"/>
    <cellStyle name="Normal 19 2 4 5" xfId="15462" xr:uid="{00000000-0005-0000-0000-0000EA330000}"/>
    <cellStyle name="Normal 19 2 4_TOM TAT" xfId="9639" xr:uid="{00000000-0005-0000-0000-0000EB330000}"/>
    <cellStyle name="Normal 19 2 5" xfId="9640" xr:uid="{00000000-0005-0000-0000-0000EC330000}"/>
    <cellStyle name="Normal 19 2 5 2" xfId="9641" xr:uid="{00000000-0005-0000-0000-0000ED330000}"/>
    <cellStyle name="Normal 19 2 5 2 2" xfId="29969" xr:uid="{00000000-0005-0000-0000-0000EE330000}"/>
    <cellStyle name="Normal 19 2 5 2 3" xfId="15467" xr:uid="{00000000-0005-0000-0000-0000EF330000}"/>
    <cellStyle name="Normal 19 2 5 2_TOM TAT" xfId="22759" xr:uid="{00000000-0005-0000-0000-0000F0330000}"/>
    <cellStyle name="Normal 19 2 5 3" xfId="29968" xr:uid="{00000000-0005-0000-0000-0000F1330000}"/>
    <cellStyle name="Normal 19 2 5 4" xfId="15466" xr:uid="{00000000-0005-0000-0000-0000F2330000}"/>
    <cellStyle name="Normal 19 2 5_TOM TAT" xfId="9642" xr:uid="{00000000-0005-0000-0000-0000F3330000}"/>
    <cellStyle name="Normal 19 2 6" xfId="9643" xr:uid="{00000000-0005-0000-0000-0000F4330000}"/>
    <cellStyle name="Normal 19 2 6 2" xfId="29970" xr:uid="{00000000-0005-0000-0000-0000F5330000}"/>
    <cellStyle name="Normal 19 2 6 3" xfId="15468" xr:uid="{00000000-0005-0000-0000-0000F6330000}"/>
    <cellStyle name="Normal 19 2 6_TOM TAT" xfId="22760" xr:uid="{00000000-0005-0000-0000-0000F7330000}"/>
    <cellStyle name="Normal 19 2 7" xfId="18663" xr:uid="{00000000-0005-0000-0000-0000F8330000}"/>
    <cellStyle name="Normal 19 2 7 2" xfId="31783" xr:uid="{00000000-0005-0000-0000-0000F9330000}"/>
    <cellStyle name="Normal 19 2 7_TOM TAT" xfId="22761" xr:uid="{00000000-0005-0000-0000-0000FA330000}"/>
    <cellStyle name="Normal 19 2 8" xfId="18943" xr:uid="{00000000-0005-0000-0000-0000FB330000}"/>
    <cellStyle name="Normal 19 2 8 2" xfId="31860" xr:uid="{00000000-0005-0000-0000-0000FC330000}"/>
    <cellStyle name="Normal 19 2 8_TOM TAT" xfId="22762" xr:uid="{00000000-0005-0000-0000-0000FD330000}"/>
    <cellStyle name="Normal 19 2_TOM TAT" xfId="9644" xr:uid="{00000000-0005-0000-0000-0000FE330000}"/>
    <cellStyle name="Normal 19 3" xfId="5533" xr:uid="{00000000-0005-0000-0000-0000FF330000}"/>
    <cellStyle name="Normal 19 3 2" xfId="9645" xr:uid="{00000000-0005-0000-0000-000000340000}"/>
    <cellStyle name="Normal 19 3 2 2" xfId="9646" xr:uid="{00000000-0005-0000-0000-000001340000}"/>
    <cellStyle name="Normal 19 3 2 2 2" xfId="9647" xr:uid="{00000000-0005-0000-0000-000002340000}"/>
    <cellStyle name="Normal 19 3 2 2 2 2" xfId="29973" xr:uid="{00000000-0005-0000-0000-000003340000}"/>
    <cellStyle name="Normal 19 3 2 2 2 3" xfId="15471" xr:uid="{00000000-0005-0000-0000-000004340000}"/>
    <cellStyle name="Normal 19 3 2 2 2_TOM TAT" xfId="22763" xr:uid="{00000000-0005-0000-0000-000005340000}"/>
    <cellStyle name="Normal 19 3 2 2 3" xfId="29972" xr:uid="{00000000-0005-0000-0000-000006340000}"/>
    <cellStyle name="Normal 19 3 2 2 4" xfId="15470" xr:uid="{00000000-0005-0000-0000-000007340000}"/>
    <cellStyle name="Normal 19 3 2 2_TOM TAT" xfId="9648" xr:uid="{00000000-0005-0000-0000-000008340000}"/>
    <cellStyle name="Normal 19 3 2 3" xfId="9649" xr:uid="{00000000-0005-0000-0000-000009340000}"/>
    <cellStyle name="Normal 19 3 2 3 2" xfId="29974" xr:uid="{00000000-0005-0000-0000-00000A340000}"/>
    <cellStyle name="Normal 19 3 2 3 3" xfId="15472" xr:uid="{00000000-0005-0000-0000-00000B340000}"/>
    <cellStyle name="Normal 19 3 2 3_TOM TAT" xfId="22764" xr:uid="{00000000-0005-0000-0000-00000C340000}"/>
    <cellStyle name="Normal 19 3 2 4" xfId="29971" xr:uid="{00000000-0005-0000-0000-00000D340000}"/>
    <cellStyle name="Normal 19 3 2 5" xfId="15469" xr:uid="{00000000-0005-0000-0000-00000E340000}"/>
    <cellStyle name="Normal 19 3 2_TOM TAT" xfId="9650" xr:uid="{00000000-0005-0000-0000-00000F340000}"/>
    <cellStyle name="Normal 19 3 3" xfId="9651" xr:uid="{00000000-0005-0000-0000-000010340000}"/>
    <cellStyle name="Normal 19 3 3 2" xfId="9652" xr:uid="{00000000-0005-0000-0000-000011340000}"/>
    <cellStyle name="Normal 19 3 3 2 2" xfId="9653" xr:uid="{00000000-0005-0000-0000-000012340000}"/>
    <cellStyle name="Normal 19 3 3 2 2 2" xfId="29977" xr:uid="{00000000-0005-0000-0000-000013340000}"/>
    <cellStyle name="Normal 19 3 3 2 2 3" xfId="15475" xr:uid="{00000000-0005-0000-0000-000014340000}"/>
    <cellStyle name="Normal 19 3 3 2 2_TOM TAT" xfId="22765" xr:uid="{00000000-0005-0000-0000-000015340000}"/>
    <cellStyle name="Normal 19 3 3 2 3" xfId="29976" xr:uid="{00000000-0005-0000-0000-000016340000}"/>
    <cellStyle name="Normal 19 3 3 2 4" xfId="15474" xr:uid="{00000000-0005-0000-0000-000017340000}"/>
    <cellStyle name="Normal 19 3 3 2_TOM TAT" xfId="9654" xr:uid="{00000000-0005-0000-0000-000018340000}"/>
    <cellStyle name="Normal 19 3 3 3" xfId="9655" xr:uid="{00000000-0005-0000-0000-000019340000}"/>
    <cellStyle name="Normal 19 3 3 3 2" xfId="29978" xr:uid="{00000000-0005-0000-0000-00001A340000}"/>
    <cellStyle name="Normal 19 3 3 3 3" xfId="15476" xr:uid="{00000000-0005-0000-0000-00001B340000}"/>
    <cellStyle name="Normal 19 3 3 3_TOM TAT" xfId="22766" xr:uid="{00000000-0005-0000-0000-00001C340000}"/>
    <cellStyle name="Normal 19 3 3 4" xfId="29975" xr:uid="{00000000-0005-0000-0000-00001D340000}"/>
    <cellStyle name="Normal 19 3 3 5" xfId="15473" xr:uid="{00000000-0005-0000-0000-00001E340000}"/>
    <cellStyle name="Normal 19 3 3_TOM TAT" xfId="9656" xr:uid="{00000000-0005-0000-0000-00001F340000}"/>
    <cellStyle name="Normal 19 3 4" xfId="9657" xr:uid="{00000000-0005-0000-0000-000020340000}"/>
    <cellStyle name="Normal 19 3 4 2" xfId="9658" xr:uid="{00000000-0005-0000-0000-000021340000}"/>
    <cellStyle name="Normal 19 3 4 2 2" xfId="29980" xr:uid="{00000000-0005-0000-0000-000022340000}"/>
    <cellStyle name="Normal 19 3 4 2 3" xfId="15478" xr:uid="{00000000-0005-0000-0000-000023340000}"/>
    <cellStyle name="Normal 19 3 4 2_TOM TAT" xfId="22767" xr:uid="{00000000-0005-0000-0000-000024340000}"/>
    <cellStyle name="Normal 19 3 4 3" xfId="29979" xr:uid="{00000000-0005-0000-0000-000025340000}"/>
    <cellStyle name="Normal 19 3 4 4" xfId="15477" xr:uid="{00000000-0005-0000-0000-000026340000}"/>
    <cellStyle name="Normal 19 3 4_TOM TAT" xfId="9659" xr:uid="{00000000-0005-0000-0000-000027340000}"/>
    <cellStyle name="Normal 19 3 5" xfId="9660" xr:uid="{00000000-0005-0000-0000-000028340000}"/>
    <cellStyle name="Normal 19 3 5 2" xfId="29981" xr:uid="{00000000-0005-0000-0000-000029340000}"/>
    <cellStyle name="Normal 19 3 5 3" xfId="15479" xr:uid="{00000000-0005-0000-0000-00002A340000}"/>
    <cellStyle name="Normal 19 3 5_TOM TAT" xfId="22768" xr:uid="{00000000-0005-0000-0000-00002B340000}"/>
    <cellStyle name="Normal 19 3_TOM TAT" xfId="9661" xr:uid="{00000000-0005-0000-0000-00002C340000}"/>
    <cellStyle name="Normal 19 4" xfId="9662" xr:uid="{00000000-0005-0000-0000-00002D340000}"/>
    <cellStyle name="Normal 19 4 2" xfId="9663" xr:uid="{00000000-0005-0000-0000-00002E340000}"/>
    <cellStyle name="Normal 19 4 2 2" xfId="9664" xr:uid="{00000000-0005-0000-0000-00002F340000}"/>
    <cellStyle name="Normal 19 4 2 2 2" xfId="9665" xr:uid="{00000000-0005-0000-0000-000030340000}"/>
    <cellStyle name="Normal 19 4 2 2 2 2" xfId="29985" xr:uid="{00000000-0005-0000-0000-000031340000}"/>
    <cellStyle name="Normal 19 4 2 2 2 3" xfId="15483" xr:uid="{00000000-0005-0000-0000-000032340000}"/>
    <cellStyle name="Normal 19 4 2 2 2_TOM TAT" xfId="22769" xr:uid="{00000000-0005-0000-0000-000033340000}"/>
    <cellStyle name="Normal 19 4 2 2 3" xfId="29984" xr:uid="{00000000-0005-0000-0000-000034340000}"/>
    <cellStyle name="Normal 19 4 2 2 4" xfId="15482" xr:uid="{00000000-0005-0000-0000-000035340000}"/>
    <cellStyle name="Normal 19 4 2 2_TOM TAT" xfId="9666" xr:uid="{00000000-0005-0000-0000-000036340000}"/>
    <cellStyle name="Normal 19 4 2 3" xfId="9667" xr:uid="{00000000-0005-0000-0000-000037340000}"/>
    <cellStyle name="Normal 19 4 2 3 2" xfId="29986" xr:uid="{00000000-0005-0000-0000-000038340000}"/>
    <cellStyle name="Normal 19 4 2 3 3" xfId="15484" xr:uid="{00000000-0005-0000-0000-000039340000}"/>
    <cellStyle name="Normal 19 4 2 3_TOM TAT" xfId="22770" xr:uid="{00000000-0005-0000-0000-00003A340000}"/>
    <cellStyle name="Normal 19 4 2 4" xfId="29983" xr:uid="{00000000-0005-0000-0000-00003B340000}"/>
    <cellStyle name="Normal 19 4 2 5" xfId="15481" xr:uid="{00000000-0005-0000-0000-00003C340000}"/>
    <cellStyle name="Normal 19 4 2_TOM TAT" xfId="9668" xr:uid="{00000000-0005-0000-0000-00003D340000}"/>
    <cellStyle name="Normal 19 4 3" xfId="9669" xr:uid="{00000000-0005-0000-0000-00003E340000}"/>
    <cellStyle name="Normal 19 4 3 2" xfId="9670" xr:uid="{00000000-0005-0000-0000-00003F340000}"/>
    <cellStyle name="Normal 19 4 3 2 2" xfId="29988" xr:uid="{00000000-0005-0000-0000-000040340000}"/>
    <cellStyle name="Normal 19 4 3 2 3" xfId="15486" xr:uid="{00000000-0005-0000-0000-000041340000}"/>
    <cellStyle name="Normal 19 4 3 2_TOM TAT" xfId="22771" xr:uid="{00000000-0005-0000-0000-000042340000}"/>
    <cellStyle name="Normal 19 4 3 3" xfId="29987" xr:uid="{00000000-0005-0000-0000-000043340000}"/>
    <cellStyle name="Normal 19 4 3 4" xfId="15485" xr:uid="{00000000-0005-0000-0000-000044340000}"/>
    <cellStyle name="Normal 19 4 3_TOM TAT" xfId="9671" xr:uid="{00000000-0005-0000-0000-000045340000}"/>
    <cellStyle name="Normal 19 4 4" xfId="9672" xr:uid="{00000000-0005-0000-0000-000046340000}"/>
    <cellStyle name="Normal 19 4 4 2" xfId="29989" xr:uid="{00000000-0005-0000-0000-000047340000}"/>
    <cellStyle name="Normal 19 4 4 3" xfId="15487" xr:uid="{00000000-0005-0000-0000-000048340000}"/>
    <cellStyle name="Normal 19 4 4_TOM TAT" xfId="22772" xr:uid="{00000000-0005-0000-0000-000049340000}"/>
    <cellStyle name="Normal 19 4 5" xfId="29982" xr:uid="{00000000-0005-0000-0000-00004A340000}"/>
    <cellStyle name="Normal 19 4 6" xfId="15480" xr:uid="{00000000-0005-0000-0000-00004B340000}"/>
    <cellStyle name="Normal 19 4_TOM TAT" xfId="9673" xr:uid="{00000000-0005-0000-0000-00004C340000}"/>
    <cellStyle name="Normal 19 5" xfId="9674" xr:uid="{00000000-0005-0000-0000-00004D340000}"/>
    <cellStyle name="Normal 19 5 2" xfId="9675" xr:uid="{00000000-0005-0000-0000-00004E340000}"/>
    <cellStyle name="Normal 19 5 2 2" xfId="9676" xr:uid="{00000000-0005-0000-0000-00004F340000}"/>
    <cellStyle name="Normal 19 5 2 2 2" xfId="29992" xr:uid="{00000000-0005-0000-0000-000050340000}"/>
    <cellStyle name="Normal 19 5 2 2 3" xfId="15490" xr:uid="{00000000-0005-0000-0000-000051340000}"/>
    <cellStyle name="Normal 19 5 2 2_TOM TAT" xfId="22773" xr:uid="{00000000-0005-0000-0000-000052340000}"/>
    <cellStyle name="Normal 19 5 2 3" xfId="29991" xr:uid="{00000000-0005-0000-0000-000053340000}"/>
    <cellStyle name="Normal 19 5 2 4" xfId="15489" xr:uid="{00000000-0005-0000-0000-000054340000}"/>
    <cellStyle name="Normal 19 5 2_TOM TAT" xfId="9677" xr:uid="{00000000-0005-0000-0000-000055340000}"/>
    <cellStyle name="Normal 19 5 3" xfId="9678" xr:uid="{00000000-0005-0000-0000-000056340000}"/>
    <cellStyle name="Normal 19 5 3 2" xfId="29993" xr:uid="{00000000-0005-0000-0000-000057340000}"/>
    <cellStyle name="Normal 19 5 3 3" xfId="15491" xr:uid="{00000000-0005-0000-0000-000058340000}"/>
    <cellStyle name="Normal 19 5 3_TOM TAT" xfId="22774" xr:uid="{00000000-0005-0000-0000-000059340000}"/>
    <cellStyle name="Normal 19 5 4" xfId="29990" xr:uid="{00000000-0005-0000-0000-00005A340000}"/>
    <cellStyle name="Normal 19 5 5" xfId="15488" xr:uid="{00000000-0005-0000-0000-00005B340000}"/>
    <cellStyle name="Normal 19 5_TOM TAT" xfId="9679" xr:uid="{00000000-0005-0000-0000-00005C340000}"/>
    <cellStyle name="Normal 19 6" xfId="9680" xr:uid="{00000000-0005-0000-0000-00005D340000}"/>
    <cellStyle name="Normal 19 6 2" xfId="9681" xr:uid="{00000000-0005-0000-0000-00005E340000}"/>
    <cellStyle name="Normal 19 6 2 2" xfId="29995" xr:uid="{00000000-0005-0000-0000-00005F340000}"/>
    <cellStyle name="Normal 19 6 2 3" xfId="15493" xr:uid="{00000000-0005-0000-0000-000060340000}"/>
    <cellStyle name="Normal 19 6 2_TOM TAT" xfId="22775" xr:uid="{00000000-0005-0000-0000-000061340000}"/>
    <cellStyle name="Normal 19 6 3" xfId="29994" xr:uid="{00000000-0005-0000-0000-000062340000}"/>
    <cellStyle name="Normal 19 6 4" xfId="15492" xr:uid="{00000000-0005-0000-0000-000063340000}"/>
    <cellStyle name="Normal 19 6_TOM TAT" xfId="9682" xr:uid="{00000000-0005-0000-0000-000064340000}"/>
    <cellStyle name="Normal 19 7" xfId="9683" xr:uid="{00000000-0005-0000-0000-000065340000}"/>
    <cellStyle name="Normal 19 7 2" xfId="29996" xr:uid="{00000000-0005-0000-0000-000066340000}"/>
    <cellStyle name="Normal 19 7 3" xfId="15494" xr:uid="{00000000-0005-0000-0000-000067340000}"/>
    <cellStyle name="Normal 19 7_TOM TAT" xfId="22776" xr:uid="{00000000-0005-0000-0000-000068340000}"/>
    <cellStyle name="Normal 19 8" xfId="18592" xr:uid="{00000000-0005-0000-0000-000069340000}"/>
    <cellStyle name="Normal 19 8 2" xfId="31759" xr:uid="{00000000-0005-0000-0000-00006A340000}"/>
    <cellStyle name="Normal 19 8_TOM TAT" xfId="22777" xr:uid="{00000000-0005-0000-0000-00006B340000}"/>
    <cellStyle name="Normal 19 9" xfId="18914" xr:uid="{00000000-0005-0000-0000-00006C340000}"/>
    <cellStyle name="Normal 19 9 2" xfId="31839" xr:uid="{00000000-0005-0000-0000-00006D340000}"/>
    <cellStyle name="Normal 19 9_TOM TAT" xfId="22778" xr:uid="{00000000-0005-0000-0000-00006E340000}"/>
    <cellStyle name="Normal 19_TOM TAT" xfId="9684" xr:uid="{00000000-0005-0000-0000-00006F340000}"/>
    <cellStyle name="Normal 2" xfId="1356" xr:uid="{00000000-0005-0000-0000-000070340000}"/>
    <cellStyle name="Normal 2 10" xfId="2179" xr:uid="{00000000-0005-0000-0000-000071340000}"/>
    <cellStyle name="Normal 2 10 2" xfId="2180" xr:uid="{00000000-0005-0000-0000-000072340000}"/>
    <cellStyle name="Normal 2 10 2 2" xfId="9685" xr:uid="{00000000-0005-0000-0000-000073340000}"/>
    <cellStyle name="Normal 2 10 2_TOM TAT" xfId="22780" xr:uid="{00000000-0005-0000-0000-000074340000}"/>
    <cellStyle name="Normal 2 10 3" xfId="9686" xr:uid="{00000000-0005-0000-0000-000075340000}"/>
    <cellStyle name="Normal 2 10_TOM TAT" xfId="22779" xr:uid="{00000000-0005-0000-0000-000076340000}"/>
    <cellStyle name="Normal 2 11" xfId="2181" xr:uid="{00000000-0005-0000-0000-000077340000}"/>
    <cellStyle name="Normal 2 11 2" xfId="2182" xr:uid="{00000000-0005-0000-0000-000078340000}"/>
    <cellStyle name="Normal 2 11 2 2" xfId="9687" xr:uid="{00000000-0005-0000-0000-000079340000}"/>
    <cellStyle name="Normal 2 11 2_TOM TAT" xfId="22782" xr:uid="{00000000-0005-0000-0000-00007A340000}"/>
    <cellStyle name="Normal 2 11 3" xfId="9688" xr:uid="{00000000-0005-0000-0000-00007B340000}"/>
    <cellStyle name="Normal 2 11_TOM TAT" xfId="22781" xr:uid="{00000000-0005-0000-0000-00007C340000}"/>
    <cellStyle name="Normal 2 12" xfId="2183" xr:uid="{00000000-0005-0000-0000-00007D340000}"/>
    <cellStyle name="Normal 2 12 2" xfId="2184" xr:uid="{00000000-0005-0000-0000-00007E340000}"/>
    <cellStyle name="Normal 2 12 2 2" xfId="9689" xr:uid="{00000000-0005-0000-0000-00007F340000}"/>
    <cellStyle name="Normal 2 12 2_TOM TAT" xfId="22784" xr:uid="{00000000-0005-0000-0000-000080340000}"/>
    <cellStyle name="Normal 2 12 3" xfId="9690" xr:uid="{00000000-0005-0000-0000-000081340000}"/>
    <cellStyle name="Normal 2 12_TOM TAT" xfId="22783" xr:uid="{00000000-0005-0000-0000-000082340000}"/>
    <cellStyle name="Normal 2 13" xfId="2185" xr:uid="{00000000-0005-0000-0000-000083340000}"/>
    <cellStyle name="Normal 2 13 2" xfId="2186" xr:uid="{00000000-0005-0000-0000-000084340000}"/>
    <cellStyle name="Normal 2 13 2 2" xfId="9691" xr:uid="{00000000-0005-0000-0000-000085340000}"/>
    <cellStyle name="Normal 2 13 2_TOM TAT" xfId="22786" xr:uid="{00000000-0005-0000-0000-000086340000}"/>
    <cellStyle name="Normal 2 13 3" xfId="9692" xr:uid="{00000000-0005-0000-0000-000087340000}"/>
    <cellStyle name="Normal 2 13_TOM TAT" xfId="22785" xr:uid="{00000000-0005-0000-0000-000088340000}"/>
    <cellStyle name="Normal 2 14" xfId="2187" xr:uid="{00000000-0005-0000-0000-000089340000}"/>
    <cellStyle name="Normal 2 14 2" xfId="2188" xr:uid="{00000000-0005-0000-0000-00008A340000}"/>
    <cellStyle name="Normal 2 14 2 2" xfId="9693" xr:uid="{00000000-0005-0000-0000-00008B340000}"/>
    <cellStyle name="Normal 2 14 2_TOM TAT" xfId="22788" xr:uid="{00000000-0005-0000-0000-00008C340000}"/>
    <cellStyle name="Normal 2 14 3" xfId="9694" xr:uid="{00000000-0005-0000-0000-00008D340000}"/>
    <cellStyle name="Normal 2 14_TOM TAT" xfId="22787" xr:uid="{00000000-0005-0000-0000-00008E340000}"/>
    <cellStyle name="Normal 2 15" xfId="2189" xr:uid="{00000000-0005-0000-0000-00008F340000}"/>
    <cellStyle name="Normal 2 15 2" xfId="2190" xr:uid="{00000000-0005-0000-0000-000090340000}"/>
    <cellStyle name="Normal 2 15 2 2" xfId="9695" xr:uid="{00000000-0005-0000-0000-000091340000}"/>
    <cellStyle name="Normal 2 15 2_TOM TAT" xfId="22790" xr:uid="{00000000-0005-0000-0000-000092340000}"/>
    <cellStyle name="Normal 2 15 3" xfId="9696" xr:uid="{00000000-0005-0000-0000-000093340000}"/>
    <cellStyle name="Normal 2 15_TOM TAT" xfId="22789" xr:uid="{00000000-0005-0000-0000-000094340000}"/>
    <cellStyle name="Normal 2 16" xfId="2191" xr:uid="{00000000-0005-0000-0000-000095340000}"/>
    <cellStyle name="Normal 2 16 2" xfId="2192" xr:uid="{00000000-0005-0000-0000-000096340000}"/>
    <cellStyle name="Normal 2 16 2 2" xfId="9697" xr:uid="{00000000-0005-0000-0000-000097340000}"/>
    <cellStyle name="Normal 2 16 2_TOM TAT" xfId="22792" xr:uid="{00000000-0005-0000-0000-000098340000}"/>
    <cellStyle name="Normal 2 16 3" xfId="9698" xr:uid="{00000000-0005-0000-0000-000099340000}"/>
    <cellStyle name="Normal 2 16 4" xfId="19164" xr:uid="{00000000-0005-0000-0000-00009A340000}"/>
    <cellStyle name="Normal 2 16 5" xfId="19165" xr:uid="{00000000-0005-0000-0000-00009B340000}"/>
    <cellStyle name="Normal 2 16_TOM TAT" xfId="22791" xr:uid="{00000000-0005-0000-0000-00009C340000}"/>
    <cellStyle name="Normal 2 17" xfId="2193" xr:uid="{00000000-0005-0000-0000-00009D340000}"/>
    <cellStyle name="Normal 2 17 2" xfId="2194" xr:uid="{00000000-0005-0000-0000-00009E340000}"/>
    <cellStyle name="Normal 2 17 2 2" xfId="9699" xr:uid="{00000000-0005-0000-0000-00009F340000}"/>
    <cellStyle name="Normal 2 17 2_TOM TAT" xfId="22794" xr:uid="{00000000-0005-0000-0000-0000A0340000}"/>
    <cellStyle name="Normal 2 17 3" xfId="9700" xr:uid="{00000000-0005-0000-0000-0000A1340000}"/>
    <cellStyle name="Normal 2 17_TOM TAT" xfId="22793" xr:uid="{00000000-0005-0000-0000-0000A2340000}"/>
    <cellStyle name="Normal 2 18" xfId="2195" xr:uid="{00000000-0005-0000-0000-0000A3340000}"/>
    <cellStyle name="Normal 2 18 2" xfId="2196" xr:uid="{00000000-0005-0000-0000-0000A4340000}"/>
    <cellStyle name="Normal 2 18 2 2" xfId="9701" xr:uid="{00000000-0005-0000-0000-0000A5340000}"/>
    <cellStyle name="Normal 2 18 2_TOM TAT" xfId="22796" xr:uid="{00000000-0005-0000-0000-0000A6340000}"/>
    <cellStyle name="Normal 2 18 3" xfId="9702" xr:uid="{00000000-0005-0000-0000-0000A7340000}"/>
    <cellStyle name="Normal 2 18_TOM TAT" xfId="22795" xr:uid="{00000000-0005-0000-0000-0000A8340000}"/>
    <cellStyle name="Normal 2 19" xfId="2197" xr:uid="{00000000-0005-0000-0000-0000A9340000}"/>
    <cellStyle name="Normal 2 19 2" xfId="2198" xr:uid="{00000000-0005-0000-0000-0000AA340000}"/>
    <cellStyle name="Normal 2 19 2 2" xfId="9703" xr:uid="{00000000-0005-0000-0000-0000AB340000}"/>
    <cellStyle name="Normal 2 19 2_TOM TAT" xfId="22798" xr:uid="{00000000-0005-0000-0000-0000AC340000}"/>
    <cellStyle name="Normal 2 19 3" xfId="9704" xr:uid="{00000000-0005-0000-0000-0000AD340000}"/>
    <cellStyle name="Normal 2 19_TOM TAT" xfId="22797" xr:uid="{00000000-0005-0000-0000-0000AE340000}"/>
    <cellStyle name="Normal 2 2" xfId="1357" xr:uid="{00000000-0005-0000-0000-0000AF340000}"/>
    <cellStyle name="Normal 2 2 10" xfId="26983" xr:uid="{00000000-0005-0000-0000-0000B0340000}"/>
    <cellStyle name="Normal 2 2 11" xfId="32287" xr:uid="{00000000-0005-0000-0000-0000B1340000}"/>
    <cellStyle name="Normal 2 2 12" xfId="17102" xr:uid="{00000000-0005-0000-0000-0000B2340000}"/>
    <cellStyle name="Normal 2 2 2" xfId="2199" xr:uid="{00000000-0005-0000-0000-0000B3340000}"/>
    <cellStyle name="Normal 2 2 2 2" xfId="5534" xr:uid="{00000000-0005-0000-0000-0000B4340000}"/>
    <cellStyle name="Normal 2 2 2 2 2" xfId="9705" xr:uid="{00000000-0005-0000-0000-0000B5340000}"/>
    <cellStyle name="Normal 2 2 2 2 3" xfId="9706" xr:uid="{00000000-0005-0000-0000-0000B6340000}"/>
    <cellStyle name="Normal 2 2 2 2_TOM TAT" xfId="22799" xr:uid="{00000000-0005-0000-0000-0000B7340000}"/>
    <cellStyle name="Normal 2 2 2 3" xfId="9707" xr:uid="{00000000-0005-0000-0000-0000B8340000}"/>
    <cellStyle name="Normal 2 2 2 4" xfId="9708" xr:uid="{00000000-0005-0000-0000-0000B9340000}"/>
    <cellStyle name="Normal 2 2 2_TOM TAT" xfId="9709" xr:uid="{00000000-0005-0000-0000-0000BA340000}"/>
    <cellStyle name="Normal 2 2 3" xfId="4430" xr:uid="{00000000-0005-0000-0000-0000BB340000}"/>
    <cellStyle name="Normal 2 2 3 2" xfId="9710" xr:uid="{00000000-0005-0000-0000-0000BC340000}"/>
    <cellStyle name="Normal 2 2 3_TOM TAT" xfId="22800" xr:uid="{00000000-0005-0000-0000-0000BD340000}"/>
    <cellStyle name="Normal 2 2 4" xfId="9711" xr:uid="{00000000-0005-0000-0000-0000BE340000}"/>
    <cellStyle name="Normal 2 2 4 2" xfId="9712" xr:uid="{00000000-0005-0000-0000-0000BF340000}"/>
    <cellStyle name="Normal 2 2 4_TOM TAT" xfId="22801" xr:uid="{00000000-0005-0000-0000-0000C0340000}"/>
    <cellStyle name="Normal 2 2 5" xfId="9713" xr:uid="{00000000-0005-0000-0000-0000C1340000}"/>
    <cellStyle name="Normal 2 2 6" xfId="9714" xr:uid="{00000000-0005-0000-0000-0000C2340000}"/>
    <cellStyle name="Normal 2 2 7" xfId="9715" xr:uid="{00000000-0005-0000-0000-0000C3340000}"/>
    <cellStyle name="Normal 2 2 8" xfId="18215" xr:uid="{00000000-0005-0000-0000-0000C4340000}"/>
    <cellStyle name="Normal 2 2 9" xfId="18686" xr:uid="{00000000-0005-0000-0000-0000C5340000}"/>
    <cellStyle name="Normal 2 2_20141211 Tan Mai - Hanh" xfId="9716" xr:uid="{00000000-0005-0000-0000-0000C6340000}"/>
    <cellStyle name="Normal 2 20" xfId="2200" xr:uid="{00000000-0005-0000-0000-0000C7340000}"/>
    <cellStyle name="Normal 2 20 2" xfId="2201" xr:uid="{00000000-0005-0000-0000-0000C8340000}"/>
    <cellStyle name="Normal 2 20 2 2" xfId="9717" xr:uid="{00000000-0005-0000-0000-0000C9340000}"/>
    <cellStyle name="Normal 2 20 2_TOM TAT" xfId="22803" xr:uid="{00000000-0005-0000-0000-0000CA340000}"/>
    <cellStyle name="Normal 2 20 3" xfId="9718" xr:uid="{00000000-0005-0000-0000-0000CB340000}"/>
    <cellStyle name="Normal 2 20_TOM TAT" xfId="22802" xr:uid="{00000000-0005-0000-0000-0000CC340000}"/>
    <cellStyle name="Normal 2 21" xfId="2202" xr:uid="{00000000-0005-0000-0000-0000CD340000}"/>
    <cellStyle name="Normal 2 21 2" xfId="2203" xr:uid="{00000000-0005-0000-0000-0000CE340000}"/>
    <cellStyle name="Normal 2 21 2 2" xfId="9719" xr:uid="{00000000-0005-0000-0000-0000CF340000}"/>
    <cellStyle name="Normal 2 21 2_TOM TAT" xfId="22805" xr:uid="{00000000-0005-0000-0000-0000D0340000}"/>
    <cellStyle name="Normal 2 21 3" xfId="9720" xr:uid="{00000000-0005-0000-0000-0000D1340000}"/>
    <cellStyle name="Normal 2 21_TOM TAT" xfId="22804" xr:uid="{00000000-0005-0000-0000-0000D2340000}"/>
    <cellStyle name="Normal 2 22" xfId="2204" xr:uid="{00000000-0005-0000-0000-0000D3340000}"/>
    <cellStyle name="Normal 2 22 2" xfId="2205" xr:uid="{00000000-0005-0000-0000-0000D4340000}"/>
    <cellStyle name="Normal 2 22 2 2" xfId="9721" xr:uid="{00000000-0005-0000-0000-0000D5340000}"/>
    <cellStyle name="Normal 2 22 2_TOM TAT" xfId="22807" xr:uid="{00000000-0005-0000-0000-0000D6340000}"/>
    <cellStyle name="Normal 2 22 3" xfId="9722" xr:uid="{00000000-0005-0000-0000-0000D7340000}"/>
    <cellStyle name="Normal 2 22_TOM TAT" xfId="22806" xr:uid="{00000000-0005-0000-0000-0000D8340000}"/>
    <cellStyle name="Normal 2 23" xfId="2206" xr:uid="{00000000-0005-0000-0000-0000D9340000}"/>
    <cellStyle name="Normal 2 23 2" xfId="2207" xr:uid="{00000000-0005-0000-0000-0000DA340000}"/>
    <cellStyle name="Normal 2 23 2 2" xfId="9723" xr:uid="{00000000-0005-0000-0000-0000DB340000}"/>
    <cellStyle name="Normal 2 23 2_TOM TAT" xfId="22809" xr:uid="{00000000-0005-0000-0000-0000DC340000}"/>
    <cellStyle name="Normal 2 23 3" xfId="9724" xr:uid="{00000000-0005-0000-0000-0000DD340000}"/>
    <cellStyle name="Normal 2 23_TOM TAT" xfId="22808" xr:uid="{00000000-0005-0000-0000-0000DE340000}"/>
    <cellStyle name="Normal 2 24" xfId="2208" xr:uid="{00000000-0005-0000-0000-0000DF340000}"/>
    <cellStyle name="Normal 2 24 2" xfId="2209" xr:uid="{00000000-0005-0000-0000-0000E0340000}"/>
    <cellStyle name="Normal 2 24 2 2" xfId="9725" xr:uid="{00000000-0005-0000-0000-0000E1340000}"/>
    <cellStyle name="Normal 2 24 2_TOM TAT" xfId="22811" xr:uid="{00000000-0005-0000-0000-0000E2340000}"/>
    <cellStyle name="Normal 2 24 3" xfId="9726" xr:uid="{00000000-0005-0000-0000-0000E3340000}"/>
    <cellStyle name="Normal 2 24_TOM TAT" xfId="22810" xr:uid="{00000000-0005-0000-0000-0000E4340000}"/>
    <cellStyle name="Normal 2 25" xfId="2210" xr:uid="{00000000-0005-0000-0000-0000E5340000}"/>
    <cellStyle name="Normal 2 25 2" xfId="2211" xr:uid="{00000000-0005-0000-0000-0000E6340000}"/>
    <cellStyle name="Normal 2 25 2 2" xfId="9727" xr:uid="{00000000-0005-0000-0000-0000E7340000}"/>
    <cellStyle name="Normal 2 25 2_TOM TAT" xfId="22813" xr:uid="{00000000-0005-0000-0000-0000E8340000}"/>
    <cellStyle name="Normal 2 25 3" xfId="9728" xr:uid="{00000000-0005-0000-0000-0000E9340000}"/>
    <cellStyle name="Normal 2 25_TOM TAT" xfId="22812" xr:uid="{00000000-0005-0000-0000-0000EA340000}"/>
    <cellStyle name="Normal 2 26" xfId="2212" xr:uid="{00000000-0005-0000-0000-0000EB340000}"/>
    <cellStyle name="Normal 2 26 2" xfId="2213" xr:uid="{00000000-0005-0000-0000-0000EC340000}"/>
    <cellStyle name="Normal 2 26 2 2" xfId="9729" xr:uid="{00000000-0005-0000-0000-0000ED340000}"/>
    <cellStyle name="Normal 2 26 2_TOM TAT" xfId="22815" xr:uid="{00000000-0005-0000-0000-0000EE340000}"/>
    <cellStyle name="Normal 2 26 3" xfId="9730" xr:uid="{00000000-0005-0000-0000-0000EF340000}"/>
    <cellStyle name="Normal 2 26_TOM TAT" xfId="22814" xr:uid="{00000000-0005-0000-0000-0000F0340000}"/>
    <cellStyle name="Normal 2 27" xfId="2214" xr:uid="{00000000-0005-0000-0000-0000F1340000}"/>
    <cellStyle name="Normal 2 27 2" xfId="2215" xr:uid="{00000000-0005-0000-0000-0000F2340000}"/>
    <cellStyle name="Normal 2 27 2 2" xfId="9731" xr:uid="{00000000-0005-0000-0000-0000F3340000}"/>
    <cellStyle name="Normal 2 27 2_TOM TAT" xfId="22817" xr:uid="{00000000-0005-0000-0000-0000F4340000}"/>
    <cellStyle name="Normal 2 27 3" xfId="9732" xr:uid="{00000000-0005-0000-0000-0000F5340000}"/>
    <cellStyle name="Normal 2 27_TOM TAT" xfId="22816" xr:uid="{00000000-0005-0000-0000-0000F6340000}"/>
    <cellStyle name="Normal 2 28" xfId="2216" xr:uid="{00000000-0005-0000-0000-0000F7340000}"/>
    <cellStyle name="Normal 2 29" xfId="2178" xr:uid="{00000000-0005-0000-0000-0000F8340000}"/>
    <cellStyle name="Normal 2 29 2" xfId="9733" xr:uid="{00000000-0005-0000-0000-0000F9340000}"/>
    <cellStyle name="Normal 2 29_TOM TAT" xfId="22818" xr:uid="{00000000-0005-0000-0000-0000FA340000}"/>
    <cellStyle name="Normal 2 3" xfId="1358" xr:uid="{00000000-0005-0000-0000-0000FB340000}"/>
    <cellStyle name="Normal 2 3 2" xfId="2217" xr:uid="{00000000-0005-0000-0000-0000FC340000}"/>
    <cellStyle name="Normal 2 3 2 2" xfId="9734" xr:uid="{00000000-0005-0000-0000-0000FD340000}"/>
    <cellStyle name="Normal 2 3 2_TOM TAT" xfId="22820" xr:uid="{00000000-0005-0000-0000-0000FE340000}"/>
    <cellStyle name="Normal 2 3 3" xfId="9735" xr:uid="{00000000-0005-0000-0000-0000FF340000}"/>
    <cellStyle name="Normal 2 3 4" xfId="9736" xr:uid="{00000000-0005-0000-0000-000000350000}"/>
    <cellStyle name="Normal 2 3 5" xfId="32233" xr:uid="{00000000-0005-0000-0000-000001350000}"/>
    <cellStyle name="Normal 2 3 6" xfId="32270" xr:uid="{00000000-0005-0000-0000-000002350000}"/>
    <cellStyle name="Normal 2 3 7" xfId="32279" xr:uid="{00000000-0005-0000-0000-000003350000}"/>
    <cellStyle name="Normal 2 3_TOM TAT" xfId="22819" xr:uid="{00000000-0005-0000-0000-000004350000}"/>
    <cellStyle name="Normal 2 30" xfId="4844" xr:uid="{00000000-0005-0000-0000-000005350000}"/>
    <cellStyle name="Normal 2 30 2" xfId="9737" xr:uid="{00000000-0005-0000-0000-000006350000}"/>
    <cellStyle name="Normal 2 30 3" xfId="9738" xr:uid="{00000000-0005-0000-0000-000007350000}"/>
    <cellStyle name="Normal 2 31" xfId="5535" xr:uid="{00000000-0005-0000-0000-000008350000}"/>
    <cellStyle name="Normal 2 31 2" xfId="5536" xr:uid="{00000000-0005-0000-0000-000009350000}"/>
    <cellStyle name="Normal 2 31_TOM TAT" xfId="22821" xr:uid="{00000000-0005-0000-0000-00000A350000}"/>
    <cellStyle name="Normal 2 32" xfId="5537" xr:uid="{00000000-0005-0000-0000-00000B350000}"/>
    <cellStyle name="Normal 2 32 2" xfId="9739" xr:uid="{00000000-0005-0000-0000-00000C350000}"/>
    <cellStyle name="Normal 2 32_TOM TAT" xfId="22822" xr:uid="{00000000-0005-0000-0000-00000D350000}"/>
    <cellStyle name="Normal 2 33" xfId="9740" xr:uid="{00000000-0005-0000-0000-00000E350000}"/>
    <cellStyle name="Normal 2 33 2" xfId="9741" xr:uid="{00000000-0005-0000-0000-00000F350000}"/>
    <cellStyle name="Normal 2 33_TOM TAT" xfId="22823" xr:uid="{00000000-0005-0000-0000-000010350000}"/>
    <cellStyle name="Normal 2 34" xfId="9742" xr:uid="{00000000-0005-0000-0000-000011350000}"/>
    <cellStyle name="Normal 2 34 2" xfId="9743" xr:uid="{00000000-0005-0000-0000-000012350000}"/>
    <cellStyle name="Normal 2 34 3" xfId="9744" xr:uid="{00000000-0005-0000-0000-000013350000}"/>
    <cellStyle name="Normal 2 34 3 2" xfId="29997" xr:uid="{00000000-0005-0000-0000-000014350000}"/>
    <cellStyle name="Normal 2 34 3 3" xfId="15495" xr:uid="{00000000-0005-0000-0000-000015350000}"/>
    <cellStyle name="Normal 2 34 3_TOM TAT" xfId="22825" xr:uid="{00000000-0005-0000-0000-000016350000}"/>
    <cellStyle name="Normal 2 34 4" xfId="18998" xr:uid="{00000000-0005-0000-0000-000017350000}"/>
    <cellStyle name="Normal 2 34_TOM TAT" xfId="22824" xr:uid="{00000000-0005-0000-0000-000018350000}"/>
    <cellStyle name="Normal 2 35" xfId="9745" xr:uid="{00000000-0005-0000-0000-000019350000}"/>
    <cellStyle name="Normal 2 35 2" xfId="9746" xr:uid="{00000000-0005-0000-0000-00001A350000}"/>
    <cellStyle name="Normal 2 35_TOM TAT" xfId="22826" xr:uid="{00000000-0005-0000-0000-00001B350000}"/>
    <cellStyle name="Normal 2 36" xfId="9747" xr:uid="{00000000-0005-0000-0000-00001C350000}"/>
    <cellStyle name="Normal 2 37" xfId="9748" xr:uid="{00000000-0005-0000-0000-00001D350000}"/>
    <cellStyle name="Normal 2 38" xfId="9749" xr:uid="{00000000-0005-0000-0000-00001E350000}"/>
    <cellStyle name="Normal 2 39" xfId="17103" xr:uid="{00000000-0005-0000-0000-00001F350000}"/>
    <cellStyle name="Normal 2 4" xfId="1359" xr:uid="{00000000-0005-0000-0000-000020350000}"/>
    <cellStyle name="Normal 2 4 2" xfId="2219" xr:uid="{00000000-0005-0000-0000-000021350000}"/>
    <cellStyle name="Normal 2 4 2 2" xfId="9750" xr:uid="{00000000-0005-0000-0000-000022350000}"/>
    <cellStyle name="Normal 2 4 2_TOM TAT" xfId="22827" xr:uid="{00000000-0005-0000-0000-000023350000}"/>
    <cellStyle name="Normal 2 4 3" xfId="2218" xr:uid="{00000000-0005-0000-0000-000024350000}"/>
    <cellStyle name="Normal 2 4 3 2" xfId="9751" xr:uid="{00000000-0005-0000-0000-000025350000}"/>
    <cellStyle name="Normal 2 4 3_TOM TAT" xfId="22828" xr:uid="{00000000-0005-0000-0000-000026350000}"/>
    <cellStyle name="Normal 2 4 4" xfId="9752" xr:uid="{00000000-0005-0000-0000-000027350000}"/>
    <cellStyle name="Normal 2 4 5" xfId="9753" xr:uid="{00000000-0005-0000-0000-000028350000}"/>
    <cellStyle name="Normal 2 4_FS chuan Jamona Riverside" xfId="5538" xr:uid="{00000000-0005-0000-0000-000029350000}"/>
    <cellStyle name="Normal 2 40" xfId="18214" xr:uid="{00000000-0005-0000-0000-00002A350000}"/>
    <cellStyle name="Normal 2 41" xfId="18685" xr:uid="{00000000-0005-0000-0000-00002B350000}"/>
    <cellStyle name="Normal 2 5" xfId="2220" xr:uid="{00000000-0005-0000-0000-00002C350000}"/>
    <cellStyle name="Normal 2 5 12" xfId="32248" xr:uid="{00000000-0005-0000-0000-00002D350000}"/>
    <cellStyle name="Normal 2 5 2" xfId="2221" xr:uid="{00000000-0005-0000-0000-00002E350000}"/>
    <cellStyle name="Normal 2 5 2 2" xfId="9754" xr:uid="{00000000-0005-0000-0000-00002F350000}"/>
    <cellStyle name="Normal 2 5 2_TOM TAT" xfId="22830" xr:uid="{00000000-0005-0000-0000-000030350000}"/>
    <cellStyle name="Normal 2 5 3" xfId="9755" xr:uid="{00000000-0005-0000-0000-000031350000}"/>
    <cellStyle name="Normal 2 5 3 2" xfId="18999" xr:uid="{00000000-0005-0000-0000-000032350000}"/>
    <cellStyle name="Normal 2 5 3 2 2" xfId="31908" xr:uid="{00000000-0005-0000-0000-000033350000}"/>
    <cellStyle name="Normal 2 5 3 2_TOM TAT" xfId="22832" xr:uid="{00000000-0005-0000-0000-000034350000}"/>
    <cellStyle name="Normal 2 5 3 3" xfId="19000" xr:uid="{00000000-0005-0000-0000-000035350000}"/>
    <cellStyle name="Normal 2 5 3 3 2" xfId="31909" xr:uid="{00000000-0005-0000-0000-000036350000}"/>
    <cellStyle name="Normal 2 5 3 3_TOM TAT" xfId="22833" xr:uid="{00000000-0005-0000-0000-000037350000}"/>
    <cellStyle name="Normal 2 5 3_TOM TAT" xfId="22831" xr:uid="{00000000-0005-0000-0000-000038350000}"/>
    <cellStyle name="Normal 2 5 4" xfId="9756" xr:uid="{00000000-0005-0000-0000-000039350000}"/>
    <cellStyle name="Normal 2 5 4 2" xfId="14595" xr:uid="{00000000-0005-0000-0000-00003A350000}"/>
    <cellStyle name="Normal 2 5 4 3" xfId="32212" xr:uid="{00000000-0005-0000-0000-00003B350000}"/>
    <cellStyle name="Normal 2 5 4 4" xfId="32215" xr:uid="{00000000-0005-0000-0000-00003C350000}"/>
    <cellStyle name="Normal 2 5 4 4 2" xfId="32222" xr:uid="{00000000-0005-0000-0000-00003D350000}"/>
    <cellStyle name="Normal 2 5 4 5" xfId="32250" xr:uid="{00000000-0005-0000-0000-00003E350000}"/>
    <cellStyle name="Normal 2 5 4_TOM TAT" xfId="22834" xr:uid="{00000000-0005-0000-0000-00003F350000}"/>
    <cellStyle name="Normal 2 5 5" xfId="18583" xr:uid="{00000000-0005-0000-0000-000040350000}"/>
    <cellStyle name="Normal 2 5 6" xfId="18973" xr:uid="{00000000-0005-0000-0000-000041350000}"/>
    <cellStyle name="Normal 2 5 6 2" xfId="31888" xr:uid="{00000000-0005-0000-0000-000042350000}"/>
    <cellStyle name="Normal 2 5 6_TOM TAT" xfId="22835" xr:uid="{00000000-0005-0000-0000-000043350000}"/>
    <cellStyle name="Normal 2 5 7" xfId="19001" xr:uid="{00000000-0005-0000-0000-000044350000}"/>
    <cellStyle name="Normal 2 5 8" xfId="19032" xr:uid="{00000000-0005-0000-0000-000045350000}"/>
    <cellStyle name="Normal 2 5 8 2" xfId="31937" xr:uid="{00000000-0005-0000-0000-000046350000}"/>
    <cellStyle name="Normal 2 5 8_TOM TAT" xfId="22836" xr:uid="{00000000-0005-0000-0000-000047350000}"/>
    <cellStyle name="Normal 2 5 9" xfId="19045" xr:uid="{00000000-0005-0000-0000-000048350000}"/>
    <cellStyle name="Normal 2 5 9 2" xfId="19166" xr:uid="{00000000-0005-0000-0000-000049350000}"/>
    <cellStyle name="Normal 2 5 9 2 2" xfId="19167" xr:uid="{00000000-0005-0000-0000-00004A350000}"/>
    <cellStyle name="Normal 2 5 9 2 2 2" xfId="32022" xr:uid="{00000000-0005-0000-0000-00004B350000}"/>
    <cellStyle name="Normal 2 5 9 2 2_TOM TAT" xfId="22839" xr:uid="{00000000-0005-0000-0000-00004C350000}"/>
    <cellStyle name="Normal 2 5 9 2 3" xfId="19168" xr:uid="{00000000-0005-0000-0000-00004D350000}"/>
    <cellStyle name="Normal 2 5 9 2 3 2" xfId="32023" xr:uid="{00000000-0005-0000-0000-00004E350000}"/>
    <cellStyle name="Normal 2 5 9 2 3_TOM TAT" xfId="22840" xr:uid="{00000000-0005-0000-0000-00004F350000}"/>
    <cellStyle name="Normal 2 5 9 2 4" xfId="32021" xr:uid="{00000000-0005-0000-0000-000050350000}"/>
    <cellStyle name="Normal 2 5 9 2_TOM TAT" xfId="22838" xr:uid="{00000000-0005-0000-0000-000051350000}"/>
    <cellStyle name="Normal 2 5 9 3" xfId="31950" xr:uid="{00000000-0005-0000-0000-000052350000}"/>
    <cellStyle name="Normal 2 5 9_TOM TAT" xfId="22837" xr:uid="{00000000-0005-0000-0000-000053350000}"/>
    <cellStyle name="Normal 2 5_TOM TAT" xfId="22829" xr:uid="{00000000-0005-0000-0000-000054350000}"/>
    <cellStyle name="Normal 2 6" xfId="2222" xr:uid="{00000000-0005-0000-0000-000055350000}"/>
    <cellStyle name="Normal 2 6 2" xfId="2223" xr:uid="{00000000-0005-0000-0000-000056350000}"/>
    <cellStyle name="Normal 2 6 2 2" xfId="9757" xr:uid="{00000000-0005-0000-0000-000057350000}"/>
    <cellStyle name="Normal 2 6 2_TOM TAT" xfId="22842" xr:uid="{00000000-0005-0000-0000-000058350000}"/>
    <cellStyle name="Normal 2 6 3" xfId="9758" xr:uid="{00000000-0005-0000-0000-000059350000}"/>
    <cellStyle name="Normal 2 6_TOM TAT" xfId="22841" xr:uid="{00000000-0005-0000-0000-00005A350000}"/>
    <cellStyle name="Normal 2 7" xfId="2224" xr:uid="{00000000-0005-0000-0000-00005B350000}"/>
    <cellStyle name="Normal 2 7 2" xfId="2225" xr:uid="{00000000-0005-0000-0000-00005C350000}"/>
    <cellStyle name="Normal 2 7 2 2" xfId="9759" xr:uid="{00000000-0005-0000-0000-00005D350000}"/>
    <cellStyle name="Normal 2 7 2_TOM TAT" xfId="22844" xr:uid="{00000000-0005-0000-0000-00005E350000}"/>
    <cellStyle name="Normal 2 7 3" xfId="9760" xr:uid="{00000000-0005-0000-0000-00005F350000}"/>
    <cellStyle name="Normal 2 7_TOM TAT" xfId="22843" xr:uid="{00000000-0005-0000-0000-000060350000}"/>
    <cellStyle name="Normal 2 8" xfId="2226" xr:uid="{00000000-0005-0000-0000-000061350000}"/>
    <cellStyle name="Normal 2 8 2" xfId="2227" xr:uid="{00000000-0005-0000-0000-000062350000}"/>
    <cellStyle name="Normal 2 8 2 2" xfId="9761" xr:uid="{00000000-0005-0000-0000-000063350000}"/>
    <cellStyle name="Normal 2 8 2_TOM TAT" xfId="22846" xr:uid="{00000000-0005-0000-0000-000064350000}"/>
    <cellStyle name="Normal 2 8 3" xfId="9762" xr:uid="{00000000-0005-0000-0000-000065350000}"/>
    <cellStyle name="Normal 2 8_TOM TAT" xfId="22845" xr:uid="{00000000-0005-0000-0000-000066350000}"/>
    <cellStyle name="Normal 2 9" xfId="2228" xr:uid="{00000000-0005-0000-0000-000067350000}"/>
    <cellStyle name="Normal 2 9 2" xfId="2229" xr:uid="{00000000-0005-0000-0000-000068350000}"/>
    <cellStyle name="Normal 2 9 2 2" xfId="9763" xr:uid="{00000000-0005-0000-0000-000069350000}"/>
    <cellStyle name="Normal 2 9 2_TOM TAT" xfId="22848" xr:uid="{00000000-0005-0000-0000-00006A350000}"/>
    <cellStyle name="Normal 2 9 3" xfId="9764" xr:uid="{00000000-0005-0000-0000-00006B350000}"/>
    <cellStyle name="Normal 2 9_TOM TAT" xfId="22847" xr:uid="{00000000-0005-0000-0000-00006C350000}"/>
    <cellStyle name="Normal 2_(land 188)V7 (F)Base2 (inclu mths) TKP2(2)" xfId="1360" xr:uid="{00000000-0005-0000-0000-00006D350000}"/>
    <cellStyle name="Normal 20" xfId="1855" xr:uid="{00000000-0005-0000-0000-00006E350000}"/>
    <cellStyle name="Normal 20 2" xfId="9765" xr:uid="{00000000-0005-0000-0000-00006F350000}"/>
    <cellStyle name="Normal 20 2 10" xfId="15496" xr:uid="{00000000-0005-0000-0000-000070350000}"/>
    <cellStyle name="Normal 20 2 2" xfId="9766" xr:uid="{00000000-0005-0000-0000-000071350000}"/>
    <cellStyle name="Normal 20 2 2 2" xfId="9767" xr:uid="{00000000-0005-0000-0000-000072350000}"/>
    <cellStyle name="Normal 20 2 2 2 2" xfId="9768" xr:uid="{00000000-0005-0000-0000-000073350000}"/>
    <cellStyle name="Normal 20 2 2 2 2 2" xfId="9769" xr:uid="{00000000-0005-0000-0000-000074350000}"/>
    <cellStyle name="Normal 20 2 2 2 2 2 2" xfId="30002" xr:uid="{00000000-0005-0000-0000-000075350000}"/>
    <cellStyle name="Normal 20 2 2 2 2 2 3" xfId="15500" xr:uid="{00000000-0005-0000-0000-000076350000}"/>
    <cellStyle name="Normal 20 2 2 2 2 2_TOM TAT" xfId="22849" xr:uid="{00000000-0005-0000-0000-000077350000}"/>
    <cellStyle name="Normal 20 2 2 2 2 3" xfId="30001" xr:uid="{00000000-0005-0000-0000-000078350000}"/>
    <cellStyle name="Normal 20 2 2 2 2 4" xfId="15499" xr:uid="{00000000-0005-0000-0000-000079350000}"/>
    <cellStyle name="Normal 20 2 2 2 2_TOM TAT" xfId="9770" xr:uid="{00000000-0005-0000-0000-00007A350000}"/>
    <cellStyle name="Normal 20 2 2 2 3" xfId="9771" xr:uid="{00000000-0005-0000-0000-00007B350000}"/>
    <cellStyle name="Normal 20 2 2 2 3 2" xfId="30003" xr:uid="{00000000-0005-0000-0000-00007C350000}"/>
    <cellStyle name="Normal 20 2 2 2 3 3" xfId="15501" xr:uid="{00000000-0005-0000-0000-00007D350000}"/>
    <cellStyle name="Normal 20 2 2 2 3_TOM TAT" xfId="22850" xr:uid="{00000000-0005-0000-0000-00007E350000}"/>
    <cellStyle name="Normal 20 2 2 2 4" xfId="30000" xr:uid="{00000000-0005-0000-0000-00007F350000}"/>
    <cellStyle name="Normal 20 2 2 2 5" xfId="15498" xr:uid="{00000000-0005-0000-0000-000080350000}"/>
    <cellStyle name="Normal 20 2 2 2_TOM TAT" xfId="9772" xr:uid="{00000000-0005-0000-0000-000081350000}"/>
    <cellStyle name="Normal 20 2 2 3" xfId="9773" xr:uid="{00000000-0005-0000-0000-000082350000}"/>
    <cellStyle name="Normal 20 2 2 3 2" xfId="9774" xr:uid="{00000000-0005-0000-0000-000083350000}"/>
    <cellStyle name="Normal 20 2 2 3 2 2" xfId="9775" xr:uid="{00000000-0005-0000-0000-000084350000}"/>
    <cellStyle name="Normal 20 2 2 3 2 2 2" xfId="30006" xr:uid="{00000000-0005-0000-0000-000085350000}"/>
    <cellStyle name="Normal 20 2 2 3 2 2 3" xfId="15504" xr:uid="{00000000-0005-0000-0000-000086350000}"/>
    <cellStyle name="Normal 20 2 2 3 2 2_TOM TAT" xfId="22851" xr:uid="{00000000-0005-0000-0000-000087350000}"/>
    <cellStyle name="Normal 20 2 2 3 2 3" xfId="30005" xr:uid="{00000000-0005-0000-0000-000088350000}"/>
    <cellStyle name="Normal 20 2 2 3 2 4" xfId="15503" xr:uid="{00000000-0005-0000-0000-000089350000}"/>
    <cellStyle name="Normal 20 2 2 3 2_TOM TAT" xfId="9776" xr:uid="{00000000-0005-0000-0000-00008A350000}"/>
    <cellStyle name="Normal 20 2 2 3 3" xfId="9777" xr:uid="{00000000-0005-0000-0000-00008B350000}"/>
    <cellStyle name="Normal 20 2 2 3 3 2" xfId="30007" xr:uid="{00000000-0005-0000-0000-00008C350000}"/>
    <cellStyle name="Normal 20 2 2 3 3 3" xfId="15505" xr:uid="{00000000-0005-0000-0000-00008D350000}"/>
    <cellStyle name="Normal 20 2 2 3 3_TOM TAT" xfId="22852" xr:uid="{00000000-0005-0000-0000-00008E350000}"/>
    <cellStyle name="Normal 20 2 2 3 4" xfId="30004" xr:uid="{00000000-0005-0000-0000-00008F350000}"/>
    <cellStyle name="Normal 20 2 2 3 5" xfId="15502" xr:uid="{00000000-0005-0000-0000-000090350000}"/>
    <cellStyle name="Normal 20 2 2 3_TOM TAT" xfId="9778" xr:uid="{00000000-0005-0000-0000-000091350000}"/>
    <cellStyle name="Normal 20 2 2 4" xfId="9779" xr:uid="{00000000-0005-0000-0000-000092350000}"/>
    <cellStyle name="Normal 20 2 2 4 2" xfId="9780" xr:uid="{00000000-0005-0000-0000-000093350000}"/>
    <cellStyle name="Normal 20 2 2 4 2 2" xfId="30009" xr:uid="{00000000-0005-0000-0000-000094350000}"/>
    <cellStyle name="Normal 20 2 2 4 2 3" xfId="15507" xr:uid="{00000000-0005-0000-0000-000095350000}"/>
    <cellStyle name="Normal 20 2 2 4 2_TOM TAT" xfId="22853" xr:uid="{00000000-0005-0000-0000-000096350000}"/>
    <cellStyle name="Normal 20 2 2 4 3" xfId="30008" xr:uid="{00000000-0005-0000-0000-000097350000}"/>
    <cellStyle name="Normal 20 2 2 4 4" xfId="15506" xr:uid="{00000000-0005-0000-0000-000098350000}"/>
    <cellStyle name="Normal 20 2 2 4_TOM TAT" xfId="9781" xr:uid="{00000000-0005-0000-0000-000099350000}"/>
    <cellStyle name="Normal 20 2 2 5" xfId="9782" xr:uid="{00000000-0005-0000-0000-00009A350000}"/>
    <cellStyle name="Normal 20 2 2 5 2" xfId="30010" xr:uid="{00000000-0005-0000-0000-00009B350000}"/>
    <cellStyle name="Normal 20 2 2 5 3" xfId="15508" xr:uid="{00000000-0005-0000-0000-00009C350000}"/>
    <cellStyle name="Normal 20 2 2 5_TOM TAT" xfId="22854" xr:uid="{00000000-0005-0000-0000-00009D350000}"/>
    <cellStyle name="Normal 20 2 2 6" xfId="29999" xr:uid="{00000000-0005-0000-0000-00009E350000}"/>
    <cellStyle name="Normal 20 2 2 7" xfId="15497" xr:uid="{00000000-0005-0000-0000-00009F350000}"/>
    <cellStyle name="Normal 20 2 2_TOM TAT" xfId="9783" xr:uid="{00000000-0005-0000-0000-0000A0350000}"/>
    <cellStyle name="Normal 20 2 3" xfId="9784" xr:uid="{00000000-0005-0000-0000-0000A1350000}"/>
    <cellStyle name="Normal 20 2 3 2" xfId="9785" xr:uid="{00000000-0005-0000-0000-0000A2350000}"/>
    <cellStyle name="Normal 20 2 3 2 2" xfId="9786" xr:uid="{00000000-0005-0000-0000-0000A3350000}"/>
    <cellStyle name="Normal 20 2 3 2 2 2" xfId="9787" xr:uid="{00000000-0005-0000-0000-0000A4350000}"/>
    <cellStyle name="Normal 20 2 3 2 2 2 2" xfId="30014" xr:uid="{00000000-0005-0000-0000-0000A5350000}"/>
    <cellStyle name="Normal 20 2 3 2 2 2 3" xfId="15512" xr:uid="{00000000-0005-0000-0000-0000A6350000}"/>
    <cellStyle name="Normal 20 2 3 2 2 2_TOM TAT" xfId="22855" xr:uid="{00000000-0005-0000-0000-0000A7350000}"/>
    <cellStyle name="Normal 20 2 3 2 2 3" xfId="30013" xr:uid="{00000000-0005-0000-0000-0000A8350000}"/>
    <cellStyle name="Normal 20 2 3 2 2 4" xfId="15511" xr:uid="{00000000-0005-0000-0000-0000A9350000}"/>
    <cellStyle name="Normal 20 2 3 2 2_TOM TAT" xfId="9788" xr:uid="{00000000-0005-0000-0000-0000AA350000}"/>
    <cellStyle name="Normal 20 2 3 2 3" xfId="9789" xr:uid="{00000000-0005-0000-0000-0000AB350000}"/>
    <cellStyle name="Normal 20 2 3 2 3 2" xfId="30015" xr:uid="{00000000-0005-0000-0000-0000AC350000}"/>
    <cellStyle name="Normal 20 2 3 2 3 3" xfId="15513" xr:uid="{00000000-0005-0000-0000-0000AD350000}"/>
    <cellStyle name="Normal 20 2 3 2 3_TOM TAT" xfId="22856" xr:uid="{00000000-0005-0000-0000-0000AE350000}"/>
    <cellStyle name="Normal 20 2 3 2 4" xfId="30012" xr:uid="{00000000-0005-0000-0000-0000AF350000}"/>
    <cellStyle name="Normal 20 2 3 2 5" xfId="15510" xr:uid="{00000000-0005-0000-0000-0000B0350000}"/>
    <cellStyle name="Normal 20 2 3 2_TOM TAT" xfId="9790" xr:uid="{00000000-0005-0000-0000-0000B1350000}"/>
    <cellStyle name="Normal 20 2 3 3" xfId="9791" xr:uid="{00000000-0005-0000-0000-0000B2350000}"/>
    <cellStyle name="Normal 20 2 3 3 2" xfId="9792" xr:uid="{00000000-0005-0000-0000-0000B3350000}"/>
    <cellStyle name="Normal 20 2 3 3 2 2" xfId="30017" xr:uid="{00000000-0005-0000-0000-0000B4350000}"/>
    <cellStyle name="Normal 20 2 3 3 2 3" xfId="15515" xr:uid="{00000000-0005-0000-0000-0000B5350000}"/>
    <cellStyle name="Normal 20 2 3 3 2_TOM TAT" xfId="22857" xr:uid="{00000000-0005-0000-0000-0000B6350000}"/>
    <cellStyle name="Normal 20 2 3 3 3" xfId="30016" xr:uid="{00000000-0005-0000-0000-0000B7350000}"/>
    <cellStyle name="Normal 20 2 3 3 4" xfId="15514" xr:uid="{00000000-0005-0000-0000-0000B8350000}"/>
    <cellStyle name="Normal 20 2 3 3_TOM TAT" xfId="9793" xr:uid="{00000000-0005-0000-0000-0000B9350000}"/>
    <cellStyle name="Normal 20 2 3 4" xfId="9794" xr:uid="{00000000-0005-0000-0000-0000BA350000}"/>
    <cellStyle name="Normal 20 2 3 4 2" xfId="30018" xr:uid="{00000000-0005-0000-0000-0000BB350000}"/>
    <cellStyle name="Normal 20 2 3 4 3" xfId="15516" xr:uid="{00000000-0005-0000-0000-0000BC350000}"/>
    <cellStyle name="Normal 20 2 3 4_TOM TAT" xfId="22858" xr:uid="{00000000-0005-0000-0000-0000BD350000}"/>
    <cellStyle name="Normal 20 2 3 5" xfId="30011" xr:uid="{00000000-0005-0000-0000-0000BE350000}"/>
    <cellStyle name="Normal 20 2 3 6" xfId="15509" xr:uid="{00000000-0005-0000-0000-0000BF350000}"/>
    <cellStyle name="Normal 20 2 3_TOM TAT" xfId="9795" xr:uid="{00000000-0005-0000-0000-0000C0350000}"/>
    <cellStyle name="Normal 20 2 4" xfId="9796" xr:uid="{00000000-0005-0000-0000-0000C1350000}"/>
    <cellStyle name="Normal 20 2 4 2" xfId="9797" xr:uid="{00000000-0005-0000-0000-0000C2350000}"/>
    <cellStyle name="Normal 20 2 4 2 2" xfId="9798" xr:uid="{00000000-0005-0000-0000-0000C3350000}"/>
    <cellStyle name="Normal 20 2 4 2 2 2" xfId="30021" xr:uid="{00000000-0005-0000-0000-0000C4350000}"/>
    <cellStyle name="Normal 20 2 4 2 2 3" xfId="15519" xr:uid="{00000000-0005-0000-0000-0000C5350000}"/>
    <cellStyle name="Normal 20 2 4 2 2_TOM TAT" xfId="22859" xr:uid="{00000000-0005-0000-0000-0000C6350000}"/>
    <cellStyle name="Normal 20 2 4 2 3" xfId="30020" xr:uid="{00000000-0005-0000-0000-0000C7350000}"/>
    <cellStyle name="Normal 20 2 4 2 4" xfId="15518" xr:uid="{00000000-0005-0000-0000-0000C8350000}"/>
    <cellStyle name="Normal 20 2 4 2_TOM TAT" xfId="9799" xr:uid="{00000000-0005-0000-0000-0000C9350000}"/>
    <cellStyle name="Normal 20 2 4 3" xfId="9800" xr:uid="{00000000-0005-0000-0000-0000CA350000}"/>
    <cellStyle name="Normal 20 2 4 3 2" xfId="30022" xr:uid="{00000000-0005-0000-0000-0000CB350000}"/>
    <cellStyle name="Normal 20 2 4 3 3" xfId="15520" xr:uid="{00000000-0005-0000-0000-0000CC350000}"/>
    <cellStyle name="Normal 20 2 4 3_TOM TAT" xfId="22860" xr:uid="{00000000-0005-0000-0000-0000CD350000}"/>
    <cellStyle name="Normal 20 2 4 4" xfId="30019" xr:uid="{00000000-0005-0000-0000-0000CE350000}"/>
    <cellStyle name="Normal 20 2 4 5" xfId="15517" xr:uid="{00000000-0005-0000-0000-0000CF350000}"/>
    <cellStyle name="Normal 20 2 4_TOM TAT" xfId="9801" xr:uid="{00000000-0005-0000-0000-0000D0350000}"/>
    <cellStyle name="Normal 20 2 5" xfId="9802" xr:uid="{00000000-0005-0000-0000-0000D1350000}"/>
    <cellStyle name="Normal 20 2 5 2" xfId="9803" xr:uid="{00000000-0005-0000-0000-0000D2350000}"/>
    <cellStyle name="Normal 20 2 5 2 2" xfId="30024" xr:uid="{00000000-0005-0000-0000-0000D3350000}"/>
    <cellStyle name="Normal 20 2 5 2 3" xfId="15522" xr:uid="{00000000-0005-0000-0000-0000D4350000}"/>
    <cellStyle name="Normal 20 2 5 2_TOM TAT" xfId="22861" xr:uid="{00000000-0005-0000-0000-0000D5350000}"/>
    <cellStyle name="Normal 20 2 5 3" xfId="30023" xr:uid="{00000000-0005-0000-0000-0000D6350000}"/>
    <cellStyle name="Normal 20 2 5 4" xfId="15521" xr:uid="{00000000-0005-0000-0000-0000D7350000}"/>
    <cellStyle name="Normal 20 2 5_TOM TAT" xfId="9804" xr:uid="{00000000-0005-0000-0000-0000D8350000}"/>
    <cellStyle name="Normal 20 2 6" xfId="9805" xr:uid="{00000000-0005-0000-0000-0000D9350000}"/>
    <cellStyle name="Normal 20 2 6 2" xfId="30025" xr:uid="{00000000-0005-0000-0000-0000DA350000}"/>
    <cellStyle name="Normal 20 2 6 3" xfId="15523" xr:uid="{00000000-0005-0000-0000-0000DB350000}"/>
    <cellStyle name="Normal 20 2 6_TOM TAT" xfId="22862" xr:uid="{00000000-0005-0000-0000-0000DC350000}"/>
    <cellStyle name="Normal 20 2 7" xfId="18666" xr:uid="{00000000-0005-0000-0000-0000DD350000}"/>
    <cellStyle name="Normal 20 2 7 2" xfId="31786" xr:uid="{00000000-0005-0000-0000-0000DE350000}"/>
    <cellStyle name="Normal 20 2 7_TOM TAT" xfId="22863" xr:uid="{00000000-0005-0000-0000-0000DF350000}"/>
    <cellStyle name="Normal 20 2 8" xfId="18944" xr:uid="{00000000-0005-0000-0000-0000E0350000}"/>
    <cellStyle name="Normal 20 2 8 2" xfId="31861" xr:uid="{00000000-0005-0000-0000-0000E1350000}"/>
    <cellStyle name="Normal 20 2 8_TOM TAT" xfId="22864" xr:uid="{00000000-0005-0000-0000-0000E2350000}"/>
    <cellStyle name="Normal 20 2 9" xfId="29998" xr:uid="{00000000-0005-0000-0000-0000E3350000}"/>
    <cellStyle name="Normal 20 2_TOM TAT" xfId="9806" xr:uid="{00000000-0005-0000-0000-0000E4350000}"/>
    <cellStyle name="Normal 20 3" xfId="9807" xr:uid="{00000000-0005-0000-0000-0000E5350000}"/>
    <cellStyle name="Normal 20 3 2" xfId="9808" xr:uid="{00000000-0005-0000-0000-0000E6350000}"/>
    <cellStyle name="Normal 20 3 2 2" xfId="9809" xr:uid="{00000000-0005-0000-0000-0000E7350000}"/>
    <cellStyle name="Normal 20 3 2 2 2" xfId="9810" xr:uid="{00000000-0005-0000-0000-0000E8350000}"/>
    <cellStyle name="Normal 20 3 2 2 2 2" xfId="30029" xr:uid="{00000000-0005-0000-0000-0000E9350000}"/>
    <cellStyle name="Normal 20 3 2 2 2 3" xfId="15527" xr:uid="{00000000-0005-0000-0000-0000EA350000}"/>
    <cellStyle name="Normal 20 3 2 2 2_TOM TAT" xfId="22865" xr:uid="{00000000-0005-0000-0000-0000EB350000}"/>
    <cellStyle name="Normal 20 3 2 2 3" xfId="30028" xr:uid="{00000000-0005-0000-0000-0000EC350000}"/>
    <cellStyle name="Normal 20 3 2 2 4" xfId="15526" xr:uid="{00000000-0005-0000-0000-0000ED350000}"/>
    <cellStyle name="Normal 20 3 2 2_TOM TAT" xfId="9811" xr:uid="{00000000-0005-0000-0000-0000EE350000}"/>
    <cellStyle name="Normal 20 3 2 3" xfId="9812" xr:uid="{00000000-0005-0000-0000-0000EF350000}"/>
    <cellStyle name="Normal 20 3 2 3 2" xfId="30030" xr:uid="{00000000-0005-0000-0000-0000F0350000}"/>
    <cellStyle name="Normal 20 3 2 3 3" xfId="15528" xr:uid="{00000000-0005-0000-0000-0000F1350000}"/>
    <cellStyle name="Normal 20 3 2 3_TOM TAT" xfId="22866" xr:uid="{00000000-0005-0000-0000-0000F2350000}"/>
    <cellStyle name="Normal 20 3 2 4" xfId="30027" xr:uid="{00000000-0005-0000-0000-0000F3350000}"/>
    <cellStyle name="Normal 20 3 2 5" xfId="15525" xr:uid="{00000000-0005-0000-0000-0000F4350000}"/>
    <cellStyle name="Normal 20 3 2_TOM TAT" xfId="9813" xr:uid="{00000000-0005-0000-0000-0000F5350000}"/>
    <cellStyle name="Normal 20 3 3" xfId="9814" xr:uid="{00000000-0005-0000-0000-0000F6350000}"/>
    <cellStyle name="Normal 20 3 3 2" xfId="9815" xr:uid="{00000000-0005-0000-0000-0000F7350000}"/>
    <cellStyle name="Normal 20 3 3 2 2" xfId="9816" xr:uid="{00000000-0005-0000-0000-0000F8350000}"/>
    <cellStyle name="Normal 20 3 3 2 2 2" xfId="30033" xr:uid="{00000000-0005-0000-0000-0000F9350000}"/>
    <cellStyle name="Normal 20 3 3 2 2 3" xfId="15531" xr:uid="{00000000-0005-0000-0000-0000FA350000}"/>
    <cellStyle name="Normal 20 3 3 2 2_TOM TAT" xfId="22867" xr:uid="{00000000-0005-0000-0000-0000FB350000}"/>
    <cellStyle name="Normal 20 3 3 2 3" xfId="30032" xr:uid="{00000000-0005-0000-0000-0000FC350000}"/>
    <cellStyle name="Normal 20 3 3 2 4" xfId="15530" xr:uid="{00000000-0005-0000-0000-0000FD350000}"/>
    <cellStyle name="Normal 20 3 3 2_TOM TAT" xfId="9817" xr:uid="{00000000-0005-0000-0000-0000FE350000}"/>
    <cellStyle name="Normal 20 3 3 3" xfId="9818" xr:uid="{00000000-0005-0000-0000-0000FF350000}"/>
    <cellStyle name="Normal 20 3 3 3 2" xfId="30034" xr:uid="{00000000-0005-0000-0000-000000360000}"/>
    <cellStyle name="Normal 20 3 3 3 3" xfId="15532" xr:uid="{00000000-0005-0000-0000-000001360000}"/>
    <cellStyle name="Normal 20 3 3 3_TOM TAT" xfId="22868" xr:uid="{00000000-0005-0000-0000-000002360000}"/>
    <cellStyle name="Normal 20 3 3 4" xfId="30031" xr:uid="{00000000-0005-0000-0000-000003360000}"/>
    <cellStyle name="Normal 20 3 3 5" xfId="15529" xr:uid="{00000000-0005-0000-0000-000004360000}"/>
    <cellStyle name="Normal 20 3 3_TOM TAT" xfId="9819" xr:uid="{00000000-0005-0000-0000-000005360000}"/>
    <cellStyle name="Normal 20 3 4" xfId="9820" xr:uid="{00000000-0005-0000-0000-000006360000}"/>
    <cellStyle name="Normal 20 3 4 2" xfId="9821" xr:uid="{00000000-0005-0000-0000-000007360000}"/>
    <cellStyle name="Normal 20 3 4 2 2" xfId="30036" xr:uid="{00000000-0005-0000-0000-000008360000}"/>
    <cellStyle name="Normal 20 3 4 2 3" xfId="15534" xr:uid="{00000000-0005-0000-0000-000009360000}"/>
    <cellStyle name="Normal 20 3 4 2_TOM TAT" xfId="22869" xr:uid="{00000000-0005-0000-0000-00000A360000}"/>
    <cellStyle name="Normal 20 3 4 3" xfId="30035" xr:uid="{00000000-0005-0000-0000-00000B360000}"/>
    <cellStyle name="Normal 20 3 4 4" xfId="15533" xr:uid="{00000000-0005-0000-0000-00000C360000}"/>
    <cellStyle name="Normal 20 3 4_TOM TAT" xfId="9822" xr:uid="{00000000-0005-0000-0000-00000D360000}"/>
    <cellStyle name="Normal 20 3 5" xfId="9823" xr:uid="{00000000-0005-0000-0000-00000E360000}"/>
    <cellStyle name="Normal 20 3 5 2" xfId="30037" xr:uid="{00000000-0005-0000-0000-00000F360000}"/>
    <cellStyle name="Normal 20 3 5 3" xfId="15535" xr:uid="{00000000-0005-0000-0000-000010360000}"/>
    <cellStyle name="Normal 20 3 5_TOM TAT" xfId="22870" xr:uid="{00000000-0005-0000-0000-000011360000}"/>
    <cellStyle name="Normal 20 3 6" xfId="30026" xr:uid="{00000000-0005-0000-0000-000012360000}"/>
    <cellStyle name="Normal 20 3 7" xfId="15524" xr:uid="{00000000-0005-0000-0000-000013360000}"/>
    <cellStyle name="Normal 20 3_TOM TAT" xfId="9824" xr:uid="{00000000-0005-0000-0000-000014360000}"/>
    <cellStyle name="Normal 20 4" xfId="9825" xr:uid="{00000000-0005-0000-0000-000015360000}"/>
    <cellStyle name="Normal 20 4 2" xfId="9826" xr:uid="{00000000-0005-0000-0000-000016360000}"/>
    <cellStyle name="Normal 20 4 2 2" xfId="9827" xr:uid="{00000000-0005-0000-0000-000017360000}"/>
    <cellStyle name="Normal 20 4 2 2 2" xfId="9828" xr:uid="{00000000-0005-0000-0000-000018360000}"/>
    <cellStyle name="Normal 20 4 2 2 2 2" xfId="30041" xr:uid="{00000000-0005-0000-0000-000019360000}"/>
    <cellStyle name="Normal 20 4 2 2 2 3" xfId="15539" xr:uid="{00000000-0005-0000-0000-00001A360000}"/>
    <cellStyle name="Normal 20 4 2 2 2_TOM TAT" xfId="22871" xr:uid="{00000000-0005-0000-0000-00001B360000}"/>
    <cellStyle name="Normal 20 4 2 2 3" xfId="30040" xr:uid="{00000000-0005-0000-0000-00001C360000}"/>
    <cellStyle name="Normal 20 4 2 2 4" xfId="15538" xr:uid="{00000000-0005-0000-0000-00001D360000}"/>
    <cellStyle name="Normal 20 4 2 2_TOM TAT" xfId="9829" xr:uid="{00000000-0005-0000-0000-00001E360000}"/>
    <cellStyle name="Normal 20 4 2 3" xfId="9830" xr:uid="{00000000-0005-0000-0000-00001F360000}"/>
    <cellStyle name="Normal 20 4 2 3 2" xfId="30042" xr:uid="{00000000-0005-0000-0000-000020360000}"/>
    <cellStyle name="Normal 20 4 2 3 3" xfId="15540" xr:uid="{00000000-0005-0000-0000-000021360000}"/>
    <cellStyle name="Normal 20 4 2 3_TOM TAT" xfId="22872" xr:uid="{00000000-0005-0000-0000-000022360000}"/>
    <cellStyle name="Normal 20 4 2 4" xfId="30039" xr:uid="{00000000-0005-0000-0000-000023360000}"/>
    <cellStyle name="Normal 20 4 2 5" xfId="15537" xr:uid="{00000000-0005-0000-0000-000024360000}"/>
    <cellStyle name="Normal 20 4 2_TOM TAT" xfId="9831" xr:uid="{00000000-0005-0000-0000-000025360000}"/>
    <cellStyle name="Normal 20 4 3" xfId="9832" xr:uid="{00000000-0005-0000-0000-000026360000}"/>
    <cellStyle name="Normal 20 4 3 2" xfId="9833" xr:uid="{00000000-0005-0000-0000-000027360000}"/>
    <cellStyle name="Normal 20 4 3 2 2" xfId="30044" xr:uid="{00000000-0005-0000-0000-000028360000}"/>
    <cellStyle name="Normal 20 4 3 2 3" xfId="15542" xr:uid="{00000000-0005-0000-0000-000029360000}"/>
    <cellStyle name="Normal 20 4 3 2_TOM TAT" xfId="22873" xr:uid="{00000000-0005-0000-0000-00002A360000}"/>
    <cellStyle name="Normal 20 4 3 3" xfId="30043" xr:uid="{00000000-0005-0000-0000-00002B360000}"/>
    <cellStyle name="Normal 20 4 3 4" xfId="15541" xr:uid="{00000000-0005-0000-0000-00002C360000}"/>
    <cellStyle name="Normal 20 4 3_TOM TAT" xfId="9834" xr:uid="{00000000-0005-0000-0000-00002D360000}"/>
    <cellStyle name="Normal 20 4 4" xfId="9835" xr:uid="{00000000-0005-0000-0000-00002E360000}"/>
    <cellStyle name="Normal 20 4 4 2" xfId="30045" xr:uid="{00000000-0005-0000-0000-00002F360000}"/>
    <cellStyle name="Normal 20 4 4 3" xfId="15543" xr:uid="{00000000-0005-0000-0000-000030360000}"/>
    <cellStyle name="Normal 20 4 4_TOM TAT" xfId="22874" xr:uid="{00000000-0005-0000-0000-000031360000}"/>
    <cellStyle name="Normal 20 4 5" xfId="30038" xr:uid="{00000000-0005-0000-0000-000032360000}"/>
    <cellStyle name="Normal 20 4 6" xfId="15536" xr:uid="{00000000-0005-0000-0000-000033360000}"/>
    <cellStyle name="Normal 20 4_TOM TAT" xfId="9836" xr:uid="{00000000-0005-0000-0000-000034360000}"/>
    <cellStyle name="Normal 20 5" xfId="9837" xr:uid="{00000000-0005-0000-0000-000035360000}"/>
    <cellStyle name="Normal 20 5 2" xfId="9838" xr:uid="{00000000-0005-0000-0000-000036360000}"/>
    <cellStyle name="Normal 20 5 2 2" xfId="9839" xr:uid="{00000000-0005-0000-0000-000037360000}"/>
    <cellStyle name="Normal 20 5 2 2 2" xfId="30048" xr:uid="{00000000-0005-0000-0000-000038360000}"/>
    <cellStyle name="Normal 20 5 2 2 3" xfId="15546" xr:uid="{00000000-0005-0000-0000-000039360000}"/>
    <cellStyle name="Normal 20 5 2 2_TOM TAT" xfId="22875" xr:uid="{00000000-0005-0000-0000-00003A360000}"/>
    <cellStyle name="Normal 20 5 2 3" xfId="30047" xr:uid="{00000000-0005-0000-0000-00003B360000}"/>
    <cellStyle name="Normal 20 5 2 4" xfId="15545" xr:uid="{00000000-0005-0000-0000-00003C360000}"/>
    <cellStyle name="Normal 20 5 2_TOM TAT" xfId="9840" xr:uid="{00000000-0005-0000-0000-00003D360000}"/>
    <cellStyle name="Normal 20 5 3" xfId="9841" xr:uid="{00000000-0005-0000-0000-00003E360000}"/>
    <cellStyle name="Normal 20 5 3 2" xfId="30049" xr:uid="{00000000-0005-0000-0000-00003F360000}"/>
    <cellStyle name="Normal 20 5 3 3" xfId="15547" xr:uid="{00000000-0005-0000-0000-000040360000}"/>
    <cellStyle name="Normal 20 5 3_TOM TAT" xfId="22876" xr:uid="{00000000-0005-0000-0000-000041360000}"/>
    <cellStyle name="Normal 20 5 4" xfId="30046" xr:uid="{00000000-0005-0000-0000-000042360000}"/>
    <cellStyle name="Normal 20 5 5" xfId="15544" xr:uid="{00000000-0005-0000-0000-000043360000}"/>
    <cellStyle name="Normal 20 5_TOM TAT" xfId="9842" xr:uid="{00000000-0005-0000-0000-000044360000}"/>
    <cellStyle name="Normal 20 6" xfId="9843" xr:uid="{00000000-0005-0000-0000-000045360000}"/>
    <cellStyle name="Normal 20 6 2" xfId="9844" xr:uid="{00000000-0005-0000-0000-000046360000}"/>
    <cellStyle name="Normal 20 6 2 2" xfId="30051" xr:uid="{00000000-0005-0000-0000-000047360000}"/>
    <cellStyle name="Normal 20 6 2 3" xfId="15549" xr:uid="{00000000-0005-0000-0000-000048360000}"/>
    <cellStyle name="Normal 20 6 2_TOM TAT" xfId="22877" xr:uid="{00000000-0005-0000-0000-000049360000}"/>
    <cellStyle name="Normal 20 6 3" xfId="30050" xr:uid="{00000000-0005-0000-0000-00004A360000}"/>
    <cellStyle name="Normal 20 6 4" xfId="15548" xr:uid="{00000000-0005-0000-0000-00004B360000}"/>
    <cellStyle name="Normal 20 6_TOM TAT" xfId="9845" xr:uid="{00000000-0005-0000-0000-00004C360000}"/>
    <cellStyle name="Normal 20 7" xfId="9846" xr:uid="{00000000-0005-0000-0000-00004D360000}"/>
    <cellStyle name="Normal 20 7 2" xfId="30052" xr:uid="{00000000-0005-0000-0000-00004E360000}"/>
    <cellStyle name="Normal 20 7 3" xfId="15550" xr:uid="{00000000-0005-0000-0000-00004F360000}"/>
    <cellStyle name="Normal 20 7_TOM TAT" xfId="22878" xr:uid="{00000000-0005-0000-0000-000050360000}"/>
    <cellStyle name="Normal 20 8" xfId="18595" xr:uid="{00000000-0005-0000-0000-000051360000}"/>
    <cellStyle name="Normal 20 8 2" xfId="31762" xr:uid="{00000000-0005-0000-0000-000052360000}"/>
    <cellStyle name="Normal 20 8_TOM TAT" xfId="22879" xr:uid="{00000000-0005-0000-0000-000053360000}"/>
    <cellStyle name="Normal 20 9" xfId="18915" xr:uid="{00000000-0005-0000-0000-000054360000}"/>
    <cellStyle name="Normal 20 9 2" xfId="31840" xr:uid="{00000000-0005-0000-0000-000055360000}"/>
    <cellStyle name="Normal 20 9_TOM TAT" xfId="22880" xr:uid="{00000000-0005-0000-0000-000056360000}"/>
    <cellStyle name="Normal 20_TOM TAT" xfId="9847" xr:uid="{00000000-0005-0000-0000-000057360000}"/>
    <cellStyle name="Normal 21" xfId="3273" xr:uid="{00000000-0005-0000-0000-000058360000}"/>
    <cellStyle name="Normal 21 10" xfId="9848" xr:uid="{00000000-0005-0000-0000-000059360000}"/>
    <cellStyle name="Normal 21 10 2" xfId="30053" xr:uid="{00000000-0005-0000-0000-00005A360000}"/>
    <cellStyle name="Normal 21 10 3" xfId="15551" xr:uid="{00000000-0005-0000-0000-00005B360000}"/>
    <cellStyle name="Normal 21 10_TOM TAT" xfId="22881" xr:uid="{00000000-0005-0000-0000-00005C360000}"/>
    <cellStyle name="Normal 21 11" xfId="18598" xr:uid="{00000000-0005-0000-0000-00005D360000}"/>
    <cellStyle name="Normal 21 11 2" xfId="31765" xr:uid="{00000000-0005-0000-0000-00005E360000}"/>
    <cellStyle name="Normal 21 11_TOM TAT" xfId="22882" xr:uid="{00000000-0005-0000-0000-00005F360000}"/>
    <cellStyle name="Normal 21 12" xfId="28051" xr:uid="{00000000-0005-0000-0000-000060360000}"/>
    <cellStyle name="Normal 21 13" xfId="14641" xr:uid="{00000000-0005-0000-0000-000061360000}"/>
    <cellStyle name="Normal 21 2" xfId="4838" xr:uid="{00000000-0005-0000-0000-000062360000}"/>
    <cellStyle name="Normal 21 2 10" xfId="18669" xr:uid="{00000000-0005-0000-0000-000063360000}"/>
    <cellStyle name="Normal 21 2 10 2" xfId="31789" xr:uid="{00000000-0005-0000-0000-000064360000}"/>
    <cellStyle name="Normal 21 2 10_TOM TAT" xfId="22883" xr:uid="{00000000-0005-0000-0000-000065360000}"/>
    <cellStyle name="Normal 21 2 11" xfId="28055" xr:uid="{00000000-0005-0000-0000-000066360000}"/>
    <cellStyle name="Normal 21 2 12" xfId="14644" xr:uid="{00000000-0005-0000-0000-000067360000}"/>
    <cellStyle name="Normal 21 2 2" xfId="4853" xr:uid="{00000000-0005-0000-0000-000068360000}"/>
    <cellStyle name="Normal 21 2 2 10" xfId="14650" xr:uid="{00000000-0005-0000-0000-000069360000}"/>
    <cellStyle name="Normal 21 2 2 2" xfId="5539" xr:uid="{00000000-0005-0000-0000-00006A360000}"/>
    <cellStyle name="Normal 21 2 2 2 2" xfId="9849" xr:uid="{00000000-0005-0000-0000-00006B360000}"/>
    <cellStyle name="Normal 21 2 2 2 2 2" xfId="9850" xr:uid="{00000000-0005-0000-0000-00006C360000}"/>
    <cellStyle name="Normal 21 2 2 2 2 2 2" xfId="9851" xr:uid="{00000000-0005-0000-0000-00006D360000}"/>
    <cellStyle name="Normal 21 2 2 2 2 2 2 2" xfId="9852" xr:uid="{00000000-0005-0000-0000-00006E360000}"/>
    <cellStyle name="Normal 21 2 2 2 2 2 2 2 2" xfId="30057" xr:uid="{00000000-0005-0000-0000-00006F360000}"/>
    <cellStyle name="Normal 21 2 2 2 2 2 2 2 3" xfId="15555" xr:uid="{00000000-0005-0000-0000-000070360000}"/>
    <cellStyle name="Normal 21 2 2 2 2 2 2 2_TOM TAT" xfId="22884" xr:uid="{00000000-0005-0000-0000-000071360000}"/>
    <cellStyle name="Normal 21 2 2 2 2 2 2 3" xfId="30056" xr:uid="{00000000-0005-0000-0000-000072360000}"/>
    <cellStyle name="Normal 21 2 2 2 2 2 2 4" xfId="15554" xr:uid="{00000000-0005-0000-0000-000073360000}"/>
    <cellStyle name="Normal 21 2 2 2 2 2 2_TOM TAT" xfId="9853" xr:uid="{00000000-0005-0000-0000-000074360000}"/>
    <cellStyle name="Normal 21 2 2 2 2 2 3" xfId="9854" xr:uid="{00000000-0005-0000-0000-000075360000}"/>
    <cellStyle name="Normal 21 2 2 2 2 2 3 2" xfId="30058" xr:uid="{00000000-0005-0000-0000-000076360000}"/>
    <cellStyle name="Normal 21 2 2 2 2 2 3 3" xfId="15556" xr:uid="{00000000-0005-0000-0000-000077360000}"/>
    <cellStyle name="Normal 21 2 2 2 2 2 3_TOM TAT" xfId="22885" xr:uid="{00000000-0005-0000-0000-000078360000}"/>
    <cellStyle name="Normal 21 2 2 2 2 2 4" xfId="30055" xr:uid="{00000000-0005-0000-0000-000079360000}"/>
    <cellStyle name="Normal 21 2 2 2 2 2 5" xfId="15553" xr:uid="{00000000-0005-0000-0000-00007A360000}"/>
    <cellStyle name="Normal 21 2 2 2 2 2_TOM TAT" xfId="9855" xr:uid="{00000000-0005-0000-0000-00007B360000}"/>
    <cellStyle name="Normal 21 2 2 2 2 3" xfId="9856" xr:uid="{00000000-0005-0000-0000-00007C360000}"/>
    <cellStyle name="Normal 21 2 2 2 2 3 2" xfId="9857" xr:uid="{00000000-0005-0000-0000-00007D360000}"/>
    <cellStyle name="Normal 21 2 2 2 2 3 2 2" xfId="9858" xr:uid="{00000000-0005-0000-0000-00007E360000}"/>
    <cellStyle name="Normal 21 2 2 2 2 3 2 2 2" xfId="30061" xr:uid="{00000000-0005-0000-0000-00007F360000}"/>
    <cellStyle name="Normal 21 2 2 2 2 3 2 2 3" xfId="15559" xr:uid="{00000000-0005-0000-0000-000080360000}"/>
    <cellStyle name="Normal 21 2 2 2 2 3 2 2_TOM TAT" xfId="22886" xr:uid="{00000000-0005-0000-0000-000081360000}"/>
    <cellStyle name="Normal 21 2 2 2 2 3 2 3" xfId="30060" xr:uid="{00000000-0005-0000-0000-000082360000}"/>
    <cellStyle name="Normal 21 2 2 2 2 3 2 4" xfId="15558" xr:uid="{00000000-0005-0000-0000-000083360000}"/>
    <cellStyle name="Normal 21 2 2 2 2 3 2_TOM TAT" xfId="9859" xr:uid="{00000000-0005-0000-0000-000084360000}"/>
    <cellStyle name="Normal 21 2 2 2 2 3 3" xfId="9860" xr:uid="{00000000-0005-0000-0000-000085360000}"/>
    <cellStyle name="Normal 21 2 2 2 2 3 3 2" xfId="30062" xr:uid="{00000000-0005-0000-0000-000086360000}"/>
    <cellStyle name="Normal 21 2 2 2 2 3 3 3" xfId="15560" xr:uid="{00000000-0005-0000-0000-000087360000}"/>
    <cellStyle name="Normal 21 2 2 2 2 3 3_TOM TAT" xfId="22887" xr:uid="{00000000-0005-0000-0000-000088360000}"/>
    <cellStyle name="Normal 21 2 2 2 2 3 4" xfId="30059" xr:uid="{00000000-0005-0000-0000-000089360000}"/>
    <cellStyle name="Normal 21 2 2 2 2 3 5" xfId="15557" xr:uid="{00000000-0005-0000-0000-00008A360000}"/>
    <cellStyle name="Normal 21 2 2 2 2 3_TOM TAT" xfId="9861" xr:uid="{00000000-0005-0000-0000-00008B360000}"/>
    <cellStyle name="Normal 21 2 2 2 2 4" xfId="9862" xr:uid="{00000000-0005-0000-0000-00008C360000}"/>
    <cellStyle name="Normal 21 2 2 2 2 4 2" xfId="9863" xr:uid="{00000000-0005-0000-0000-00008D360000}"/>
    <cellStyle name="Normal 21 2 2 2 2 4 2 2" xfId="30064" xr:uid="{00000000-0005-0000-0000-00008E360000}"/>
    <cellStyle name="Normal 21 2 2 2 2 4 2 3" xfId="15562" xr:uid="{00000000-0005-0000-0000-00008F360000}"/>
    <cellStyle name="Normal 21 2 2 2 2 4 2_TOM TAT" xfId="22888" xr:uid="{00000000-0005-0000-0000-000090360000}"/>
    <cellStyle name="Normal 21 2 2 2 2 4 3" xfId="30063" xr:uid="{00000000-0005-0000-0000-000091360000}"/>
    <cellStyle name="Normal 21 2 2 2 2 4 4" xfId="15561" xr:uid="{00000000-0005-0000-0000-000092360000}"/>
    <cellStyle name="Normal 21 2 2 2 2 4_TOM TAT" xfId="9864" xr:uid="{00000000-0005-0000-0000-000093360000}"/>
    <cellStyle name="Normal 21 2 2 2 2 5" xfId="9865" xr:uid="{00000000-0005-0000-0000-000094360000}"/>
    <cellStyle name="Normal 21 2 2 2 2 5 2" xfId="30065" xr:uid="{00000000-0005-0000-0000-000095360000}"/>
    <cellStyle name="Normal 21 2 2 2 2 5 3" xfId="15563" xr:uid="{00000000-0005-0000-0000-000096360000}"/>
    <cellStyle name="Normal 21 2 2 2 2 5_TOM TAT" xfId="22889" xr:uid="{00000000-0005-0000-0000-000097360000}"/>
    <cellStyle name="Normal 21 2 2 2 2 6" xfId="30054" xr:uid="{00000000-0005-0000-0000-000098360000}"/>
    <cellStyle name="Normal 21 2 2 2 2 7" xfId="15552" xr:uid="{00000000-0005-0000-0000-000099360000}"/>
    <cellStyle name="Normal 21 2 2 2 2_TOM TAT" xfId="9866" xr:uid="{00000000-0005-0000-0000-00009A360000}"/>
    <cellStyle name="Normal 21 2 2 2 3" xfId="9867" xr:uid="{00000000-0005-0000-0000-00009B360000}"/>
    <cellStyle name="Normal 21 2 2 2 3 2" xfId="9868" xr:uid="{00000000-0005-0000-0000-00009C360000}"/>
    <cellStyle name="Normal 21 2 2 2 3 2 2" xfId="9869" xr:uid="{00000000-0005-0000-0000-00009D360000}"/>
    <cellStyle name="Normal 21 2 2 2 3 2 2 2" xfId="30068" xr:uid="{00000000-0005-0000-0000-00009E360000}"/>
    <cellStyle name="Normal 21 2 2 2 3 2 2 3" xfId="15566" xr:uid="{00000000-0005-0000-0000-00009F360000}"/>
    <cellStyle name="Normal 21 2 2 2 3 2 2_TOM TAT" xfId="22890" xr:uid="{00000000-0005-0000-0000-0000A0360000}"/>
    <cellStyle name="Normal 21 2 2 2 3 2 3" xfId="30067" xr:uid="{00000000-0005-0000-0000-0000A1360000}"/>
    <cellStyle name="Normal 21 2 2 2 3 2 4" xfId="15565" xr:uid="{00000000-0005-0000-0000-0000A2360000}"/>
    <cellStyle name="Normal 21 2 2 2 3 2_TOM TAT" xfId="9870" xr:uid="{00000000-0005-0000-0000-0000A3360000}"/>
    <cellStyle name="Normal 21 2 2 2 3 3" xfId="9871" xr:uid="{00000000-0005-0000-0000-0000A4360000}"/>
    <cellStyle name="Normal 21 2 2 2 3 3 2" xfId="30069" xr:uid="{00000000-0005-0000-0000-0000A5360000}"/>
    <cellStyle name="Normal 21 2 2 2 3 3 3" xfId="15567" xr:uid="{00000000-0005-0000-0000-0000A6360000}"/>
    <cellStyle name="Normal 21 2 2 2 3 3_TOM TAT" xfId="22891" xr:uid="{00000000-0005-0000-0000-0000A7360000}"/>
    <cellStyle name="Normal 21 2 2 2 3 4" xfId="30066" xr:uid="{00000000-0005-0000-0000-0000A8360000}"/>
    <cellStyle name="Normal 21 2 2 2 3 5" xfId="15564" xr:uid="{00000000-0005-0000-0000-0000A9360000}"/>
    <cellStyle name="Normal 21 2 2 2 3_TOM TAT" xfId="9872" xr:uid="{00000000-0005-0000-0000-0000AA360000}"/>
    <cellStyle name="Normal 21 2 2 2 4" xfId="9873" xr:uid="{00000000-0005-0000-0000-0000AB360000}"/>
    <cellStyle name="Normal 21 2 2 2 4 2" xfId="9874" xr:uid="{00000000-0005-0000-0000-0000AC360000}"/>
    <cellStyle name="Normal 21 2 2 2 4 2 2" xfId="9875" xr:uid="{00000000-0005-0000-0000-0000AD360000}"/>
    <cellStyle name="Normal 21 2 2 2 4 2 2 2" xfId="30072" xr:uid="{00000000-0005-0000-0000-0000AE360000}"/>
    <cellStyle name="Normal 21 2 2 2 4 2 2 3" xfId="15570" xr:uid="{00000000-0005-0000-0000-0000AF360000}"/>
    <cellStyle name="Normal 21 2 2 2 4 2 2_TOM TAT" xfId="22892" xr:uid="{00000000-0005-0000-0000-0000B0360000}"/>
    <cellStyle name="Normal 21 2 2 2 4 2 3" xfId="30071" xr:uid="{00000000-0005-0000-0000-0000B1360000}"/>
    <cellStyle name="Normal 21 2 2 2 4 2 4" xfId="15569" xr:uid="{00000000-0005-0000-0000-0000B2360000}"/>
    <cellStyle name="Normal 21 2 2 2 4 2_TOM TAT" xfId="9876" xr:uid="{00000000-0005-0000-0000-0000B3360000}"/>
    <cellStyle name="Normal 21 2 2 2 4 3" xfId="9877" xr:uid="{00000000-0005-0000-0000-0000B4360000}"/>
    <cellStyle name="Normal 21 2 2 2 4 3 2" xfId="30073" xr:uid="{00000000-0005-0000-0000-0000B5360000}"/>
    <cellStyle name="Normal 21 2 2 2 4 3 3" xfId="15571" xr:uid="{00000000-0005-0000-0000-0000B6360000}"/>
    <cellStyle name="Normal 21 2 2 2 4 3_TOM TAT" xfId="22893" xr:uid="{00000000-0005-0000-0000-0000B7360000}"/>
    <cellStyle name="Normal 21 2 2 2 4 4" xfId="30070" xr:uid="{00000000-0005-0000-0000-0000B8360000}"/>
    <cellStyle name="Normal 21 2 2 2 4 5" xfId="15568" xr:uid="{00000000-0005-0000-0000-0000B9360000}"/>
    <cellStyle name="Normal 21 2 2 2 4_TOM TAT" xfId="9878" xr:uid="{00000000-0005-0000-0000-0000BA360000}"/>
    <cellStyle name="Normal 21 2 2 2 5" xfId="9879" xr:uid="{00000000-0005-0000-0000-0000BB360000}"/>
    <cellStyle name="Normal 21 2 2 2 5 2" xfId="9880" xr:uid="{00000000-0005-0000-0000-0000BC360000}"/>
    <cellStyle name="Normal 21 2 2 2 5 2 2" xfId="30075" xr:uid="{00000000-0005-0000-0000-0000BD360000}"/>
    <cellStyle name="Normal 21 2 2 2 5 2 3" xfId="15573" xr:uid="{00000000-0005-0000-0000-0000BE360000}"/>
    <cellStyle name="Normal 21 2 2 2 5 2_TOM TAT" xfId="22894" xr:uid="{00000000-0005-0000-0000-0000BF360000}"/>
    <cellStyle name="Normal 21 2 2 2 5 3" xfId="30074" xr:uid="{00000000-0005-0000-0000-0000C0360000}"/>
    <cellStyle name="Normal 21 2 2 2 5 4" xfId="15572" xr:uid="{00000000-0005-0000-0000-0000C1360000}"/>
    <cellStyle name="Normal 21 2 2 2 5_TOM TAT" xfId="9881" xr:uid="{00000000-0005-0000-0000-0000C2360000}"/>
    <cellStyle name="Normal 21 2 2 2 6" xfId="9882" xr:uid="{00000000-0005-0000-0000-0000C3360000}"/>
    <cellStyle name="Normal 21 2 2 2 6 2" xfId="30076" xr:uid="{00000000-0005-0000-0000-0000C4360000}"/>
    <cellStyle name="Normal 21 2 2 2 6 3" xfId="15574" xr:uid="{00000000-0005-0000-0000-0000C5360000}"/>
    <cellStyle name="Normal 21 2 2 2 6_TOM TAT" xfId="22895" xr:uid="{00000000-0005-0000-0000-0000C6360000}"/>
    <cellStyle name="Normal 21 2 2 2 7" xfId="28241" xr:uid="{00000000-0005-0000-0000-0000C7360000}"/>
    <cellStyle name="Normal 21 2 2 2 8" xfId="14680" xr:uid="{00000000-0005-0000-0000-0000C8360000}"/>
    <cellStyle name="Normal 21 2 2 2_TOM TAT" xfId="9883" xr:uid="{00000000-0005-0000-0000-0000C9360000}"/>
    <cellStyle name="Normal 21 2 2 3" xfId="9884" xr:uid="{00000000-0005-0000-0000-0000CA360000}"/>
    <cellStyle name="Normal 21 2 2 3 2" xfId="9885" xr:uid="{00000000-0005-0000-0000-0000CB360000}"/>
    <cellStyle name="Normal 21 2 2 3 2 2" xfId="9886" xr:uid="{00000000-0005-0000-0000-0000CC360000}"/>
    <cellStyle name="Normal 21 2 2 3 2 2 2" xfId="9887" xr:uid="{00000000-0005-0000-0000-0000CD360000}"/>
    <cellStyle name="Normal 21 2 2 3 2 2 2 2" xfId="30080" xr:uid="{00000000-0005-0000-0000-0000CE360000}"/>
    <cellStyle name="Normal 21 2 2 3 2 2 2 3" xfId="15578" xr:uid="{00000000-0005-0000-0000-0000CF360000}"/>
    <cellStyle name="Normal 21 2 2 3 2 2 2_TOM TAT" xfId="22896" xr:uid="{00000000-0005-0000-0000-0000D0360000}"/>
    <cellStyle name="Normal 21 2 2 3 2 2 3" xfId="30079" xr:uid="{00000000-0005-0000-0000-0000D1360000}"/>
    <cellStyle name="Normal 21 2 2 3 2 2 4" xfId="15577" xr:uid="{00000000-0005-0000-0000-0000D2360000}"/>
    <cellStyle name="Normal 21 2 2 3 2 2_TOM TAT" xfId="9888" xr:uid="{00000000-0005-0000-0000-0000D3360000}"/>
    <cellStyle name="Normal 21 2 2 3 2 3" xfId="9889" xr:uid="{00000000-0005-0000-0000-0000D4360000}"/>
    <cellStyle name="Normal 21 2 2 3 2 3 2" xfId="30081" xr:uid="{00000000-0005-0000-0000-0000D5360000}"/>
    <cellStyle name="Normal 21 2 2 3 2 3 3" xfId="15579" xr:uid="{00000000-0005-0000-0000-0000D6360000}"/>
    <cellStyle name="Normal 21 2 2 3 2 3_TOM TAT" xfId="22897" xr:uid="{00000000-0005-0000-0000-0000D7360000}"/>
    <cellStyle name="Normal 21 2 2 3 2 4" xfId="30078" xr:uid="{00000000-0005-0000-0000-0000D8360000}"/>
    <cellStyle name="Normal 21 2 2 3 2 5" xfId="15576" xr:uid="{00000000-0005-0000-0000-0000D9360000}"/>
    <cellStyle name="Normal 21 2 2 3 2_TOM TAT" xfId="9890" xr:uid="{00000000-0005-0000-0000-0000DA360000}"/>
    <cellStyle name="Normal 21 2 2 3 3" xfId="9891" xr:uid="{00000000-0005-0000-0000-0000DB360000}"/>
    <cellStyle name="Normal 21 2 2 3 3 2" xfId="9892" xr:uid="{00000000-0005-0000-0000-0000DC360000}"/>
    <cellStyle name="Normal 21 2 2 3 3 2 2" xfId="9893" xr:uid="{00000000-0005-0000-0000-0000DD360000}"/>
    <cellStyle name="Normal 21 2 2 3 3 2 2 2" xfId="30084" xr:uid="{00000000-0005-0000-0000-0000DE360000}"/>
    <cellStyle name="Normal 21 2 2 3 3 2 2 3" xfId="15582" xr:uid="{00000000-0005-0000-0000-0000DF360000}"/>
    <cellStyle name="Normal 21 2 2 3 3 2 2_TOM TAT" xfId="22898" xr:uid="{00000000-0005-0000-0000-0000E0360000}"/>
    <cellStyle name="Normal 21 2 2 3 3 2 3" xfId="30083" xr:uid="{00000000-0005-0000-0000-0000E1360000}"/>
    <cellStyle name="Normal 21 2 2 3 3 2 4" xfId="15581" xr:uid="{00000000-0005-0000-0000-0000E2360000}"/>
    <cellStyle name="Normal 21 2 2 3 3 2_TOM TAT" xfId="9894" xr:uid="{00000000-0005-0000-0000-0000E3360000}"/>
    <cellStyle name="Normal 21 2 2 3 3 3" xfId="9895" xr:uid="{00000000-0005-0000-0000-0000E4360000}"/>
    <cellStyle name="Normal 21 2 2 3 3 3 2" xfId="30085" xr:uid="{00000000-0005-0000-0000-0000E5360000}"/>
    <cellStyle name="Normal 21 2 2 3 3 3 3" xfId="15583" xr:uid="{00000000-0005-0000-0000-0000E6360000}"/>
    <cellStyle name="Normal 21 2 2 3 3 3_TOM TAT" xfId="22899" xr:uid="{00000000-0005-0000-0000-0000E7360000}"/>
    <cellStyle name="Normal 21 2 2 3 3 4" xfId="30082" xr:uid="{00000000-0005-0000-0000-0000E8360000}"/>
    <cellStyle name="Normal 21 2 2 3 3 5" xfId="15580" xr:uid="{00000000-0005-0000-0000-0000E9360000}"/>
    <cellStyle name="Normal 21 2 2 3 3_TOM TAT" xfId="9896" xr:uid="{00000000-0005-0000-0000-0000EA360000}"/>
    <cellStyle name="Normal 21 2 2 3 4" xfId="9897" xr:uid="{00000000-0005-0000-0000-0000EB360000}"/>
    <cellStyle name="Normal 21 2 2 3 4 2" xfId="9898" xr:uid="{00000000-0005-0000-0000-0000EC360000}"/>
    <cellStyle name="Normal 21 2 2 3 4 2 2" xfId="30087" xr:uid="{00000000-0005-0000-0000-0000ED360000}"/>
    <cellStyle name="Normal 21 2 2 3 4 2 3" xfId="15585" xr:uid="{00000000-0005-0000-0000-0000EE360000}"/>
    <cellStyle name="Normal 21 2 2 3 4 2_TOM TAT" xfId="22900" xr:uid="{00000000-0005-0000-0000-0000EF360000}"/>
    <cellStyle name="Normal 21 2 2 3 4 3" xfId="30086" xr:uid="{00000000-0005-0000-0000-0000F0360000}"/>
    <cellStyle name="Normal 21 2 2 3 4 4" xfId="15584" xr:uid="{00000000-0005-0000-0000-0000F1360000}"/>
    <cellStyle name="Normal 21 2 2 3 4_TOM TAT" xfId="9899" xr:uid="{00000000-0005-0000-0000-0000F2360000}"/>
    <cellStyle name="Normal 21 2 2 3 5" xfId="9900" xr:uid="{00000000-0005-0000-0000-0000F3360000}"/>
    <cellStyle name="Normal 21 2 2 3 5 2" xfId="30088" xr:uid="{00000000-0005-0000-0000-0000F4360000}"/>
    <cellStyle name="Normal 21 2 2 3 5 3" xfId="15586" xr:uid="{00000000-0005-0000-0000-0000F5360000}"/>
    <cellStyle name="Normal 21 2 2 3 5_TOM TAT" xfId="22901" xr:uid="{00000000-0005-0000-0000-0000F6360000}"/>
    <cellStyle name="Normal 21 2 2 3 6" xfId="30077" xr:uid="{00000000-0005-0000-0000-0000F7360000}"/>
    <cellStyle name="Normal 21 2 2 3 7" xfId="15575" xr:uid="{00000000-0005-0000-0000-0000F8360000}"/>
    <cellStyle name="Normal 21 2 2 3_TOM TAT" xfId="9901" xr:uid="{00000000-0005-0000-0000-0000F9360000}"/>
    <cellStyle name="Normal 21 2 2 4" xfId="9902" xr:uid="{00000000-0005-0000-0000-0000FA360000}"/>
    <cellStyle name="Normal 21 2 2 4 2" xfId="9903" xr:uid="{00000000-0005-0000-0000-0000FB360000}"/>
    <cellStyle name="Normal 21 2 2 4 2 2" xfId="9904" xr:uid="{00000000-0005-0000-0000-0000FC360000}"/>
    <cellStyle name="Normal 21 2 2 4 2 2 2" xfId="9905" xr:uid="{00000000-0005-0000-0000-0000FD360000}"/>
    <cellStyle name="Normal 21 2 2 4 2 2 2 2" xfId="30092" xr:uid="{00000000-0005-0000-0000-0000FE360000}"/>
    <cellStyle name="Normal 21 2 2 4 2 2 2 3" xfId="15590" xr:uid="{00000000-0005-0000-0000-0000FF360000}"/>
    <cellStyle name="Normal 21 2 2 4 2 2 2_TOM TAT" xfId="22902" xr:uid="{00000000-0005-0000-0000-000000370000}"/>
    <cellStyle name="Normal 21 2 2 4 2 2 3" xfId="30091" xr:uid="{00000000-0005-0000-0000-000001370000}"/>
    <cellStyle name="Normal 21 2 2 4 2 2 4" xfId="15589" xr:uid="{00000000-0005-0000-0000-000002370000}"/>
    <cellStyle name="Normal 21 2 2 4 2 2_TOM TAT" xfId="9906" xr:uid="{00000000-0005-0000-0000-000003370000}"/>
    <cellStyle name="Normal 21 2 2 4 2 3" xfId="9907" xr:uid="{00000000-0005-0000-0000-000004370000}"/>
    <cellStyle name="Normal 21 2 2 4 2 3 2" xfId="30093" xr:uid="{00000000-0005-0000-0000-000005370000}"/>
    <cellStyle name="Normal 21 2 2 4 2 3 3" xfId="15591" xr:uid="{00000000-0005-0000-0000-000006370000}"/>
    <cellStyle name="Normal 21 2 2 4 2 3_TOM TAT" xfId="22903" xr:uid="{00000000-0005-0000-0000-000007370000}"/>
    <cellStyle name="Normal 21 2 2 4 2 4" xfId="30090" xr:uid="{00000000-0005-0000-0000-000008370000}"/>
    <cellStyle name="Normal 21 2 2 4 2 5" xfId="15588" xr:uid="{00000000-0005-0000-0000-000009370000}"/>
    <cellStyle name="Normal 21 2 2 4 2_TOM TAT" xfId="9908" xr:uid="{00000000-0005-0000-0000-00000A370000}"/>
    <cellStyle name="Normal 21 2 2 4 3" xfId="9909" xr:uid="{00000000-0005-0000-0000-00000B370000}"/>
    <cellStyle name="Normal 21 2 2 4 3 2" xfId="9910" xr:uid="{00000000-0005-0000-0000-00000C370000}"/>
    <cellStyle name="Normal 21 2 2 4 3 2 2" xfId="9911" xr:uid="{00000000-0005-0000-0000-00000D370000}"/>
    <cellStyle name="Normal 21 2 2 4 3 2 2 2" xfId="30096" xr:uid="{00000000-0005-0000-0000-00000E370000}"/>
    <cellStyle name="Normal 21 2 2 4 3 2 2 3" xfId="15594" xr:uid="{00000000-0005-0000-0000-00000F370000}"/>
    <cellStyle name="Normal 21 2 2 4 3 2 2_TOM TAT" xfId="22904" xr:uid="{00000000-0005-0000-0000-000010370000}"/>
    <cellStyle name="Normal 21 2 2 4 3 2 3" xfId="30095" xr:uid="{00000000-0005-0000-0000-000011370000}"/>
    <cellStyle name="Normal 21 2 2 4 3 2 4" xfId="15593" xr:uid="{00000000-0005-0000-0000-000012370000}"/>
    <cellStyle name="Normal 21 2 2 4 3 2_TOM TAT" xfId="9912" xr:uid="{00000000-0005-0000-0000-000013370000}"/>
    <cellStyle name="Normal 21 2 2 4 3 3" xfId="9913" xr:uid="{00000000-0005-0000-0000-000014370000}"/>
    <cellStyle name="Normal 21 2 2 4 3 3 2" xfId="30097" xr:uid="{00000000-0005-0000-0000-000015370000}"/>
    <cellStyle name="Normal 21 2 2 4 3 3 3" xfId="15595" xr:uid="{00000000-0005-0000-0000-000016370000}"/>
    <cellStyle name="Normal 21 2 2 4 3 3_TOM TAT" xfId="22905" xr:uid="{00000000-0005-0000-0000-000017370000}"/>
    <cellStyle name="Normal 21 2 2 4 3 4" xfId="30094" xr:uid="{00000000-0005-0000-0000-000018370000}"/>
    <cellStyle name="Normal 21 2 2 4 3 5" xfId="15592" xr:uid="{00000000-0005-0000-0000-000019370000}"/>
    <cellStyle name="Normal 21 2 2 4 3_TOM TAT" xfId="9914" xr:uid="{00000000-0005-0000-0000-00001A370000}"/>
    <cellStyle name="Normal 21 2 2 4 4" xfId="9915" xr:uid="{00000000-0005-0000-0000-00001B370000}"/>
    <cellStyle name="Normal 21 2 2 4 4 2" xfId="9916" xr:uid="{00000000-0005-0000-0000-00001C370000}"/>
    <cellStyle name="Normal 21 2 2 4 4 2 2" xfId="30099" xr:uid="{00000000-0005-0000-0000-00001D370000}"/>
    <cellStyle name="Normal 21 2 2 4 4 2 3" xfId="15597" xr:uid="{00000000-0005-0000-0000-00001E370000}"/>
    <cellStyle name="Normal 21 2 2 4 4 2_TOM TAT" xfId="22906" xr:uid="{00000000-0005-0000-0000-00001F370000}"/>
    <cellStyle name="Normal 21 2 2 4 4 3" xfId="30098" xr:uid="{00000000-0005-0000-0000-000020370000}"/>
    <cellStyle name="Normal 21 2 2 4 4 4" xfId="15596" xr:uid="{00000000-0005-0000-0000-000021370000}"/>
    <cellStyle name="Normal 21 2 2 4 4_TOM TAT" xfId="9917" xr:uid="{00000000-0005-0000-0000-000022370000}"/>
    <cellStyle name="Normal 21 2 2 4 5" xfId="9918" xr:uid="{00000000-0005-0000-0000-000023370000}"/>
    <cellStyle name="Normal 21 2 2 4 5 2" xfId="30100" xr:uid="{00000000-0005-0000-0000-000024370000}"/>
    <cellStyle name="Normal 21 2 2 4 5 3" xfId="15598" xr:uid="{00000000-0005-0000-0000-000025370000}"/>
    <cellStyle name="Normal 21 2 2 4 5_TOM TAT" xfId="22907" xr:uid="{00000000-0005-0000-0000-000026370000}"/>
    <cellStyle name="Normal 21 2 2 4 6" xfId="30089" xr:uid="{00000000-0005-0000-0000-000027370000}"/>
    <cellStyle name="Normal 21 2 2 4 7" xfId="15587" xr:uid="{00000000-0005-0000-0000-000028370000}"/>
    <cellStyle name="Normal 21 2 2 4_TOM TAT" xfId="9919" xr:uid="{00000000-0005-0000-0000-000029370000}"/>
    <cellStyle name="Normal 21 2 2 5" xfId="9920" xr:uid="{00000000-0005-0000-0000-00002A370000}"/>
    <cellStyle name="Normal 21 2 2 5 2" xfId="9921" xr:uid="{00000000-0005-0000-0000-00002B370000}"/>
    <cellStyle name="Normal 21 2 2 5 2 2" xfId="9922" xr:uid="{00000000-0005-0000-0000-00002C370000}"/>
    <cellStyle name="Normal 21 2 2 5 2 2 2" xfId="30103" xr:uid="{00000000-0005-0000-0000-00002D370000}"/>
    <cellStyle name="Normal 21 2 2 5 2 2 3" xfId="15601" xr:uid="{00000000-0005-0000-0000-00002E370000}"/>
    <cellStyle name="Normal 21 2 2 5 2 2_TOM TAT" xfId="22908" xr:uid="{00000000-0005-0000-0000-00002F370000}"/>
    <cellStyle name="Normal 21 2 2 5 2 3" xfId="30102" xr:uid="{00000000-0005-0000-0000-000030370000}"/>
    <cellStyle name="Normal 21 2 2 5 2 4" xfId="15600" xr:uid="{00000000-0005-0000-0000-000031370000}"/>
    <cellStyle name="Normal 21 2 2 5 2_TOM TAT" xfId="9923" xr:uid="{00000000-0005-0000-0000-000032370000}"/>
    <cellStyle name="Normal 21 2 2 5 3" xfId="9924" xr:uid="{00000000-0005-0000-0000-000033370000}"/>
    <cellStyle name="Normal 21 2 2 5 3 2" xfId="30104" xr:uid="{00000000-0005-0000-0000-000034370000}"/>
    <cellStyle name="Normal 21 2 2 5 3 3" xfId="15602" xr:uid="{00000000-0005-0000-0000-000035370000}"/>
    <cellStyle name="Normal 21 2 2 5 3_TOM TAT" xfId="22909" xr:uid="{00000000-0005-0000-0000-000036370000}"/>
    <cellStyle name="Normal 21 2 2 5 4" xfId="30101" xr:uid="{00000000-0005-0000-0000-000037370000}"/>
    <cellStyle name="Normal 21 2 2 5 5" xfId="15599" xr:uid="{00000000-0005-0000-0000-000038370000}"/>
    <cellStyle name="Normal 21 2 2 5_TOM TAT" xfId="9925" xr:uid="{00000000-0005-0000-0000-000039370000}"/>
    <cellStyle name="Normal 21 2 2 6" xfId="9926" xr:uid="{00000000-0005-0000-0000-00003A370000}"/>
    <cellStyle name="Normal 21 2 2 6 2" xfId="9927" xr:uid="{00000000-0005-0000-0000-00003B370000}"/>
    <cellStyle name="Normal 21 2 2 6 2 2" xfId="9928" xr:uid="{00000000-0005-0000-0000-00003C370000}"/>
    <cellStyle name="Normal 21 2 2 6 2 2 2" xfId="30107" xr:uid="{00000000-0005-0000-0000-00003D370000}"/>
    <cellStyle name="Normal 21 2 2 6 2 2 3" xfId="15605" xr:uid="{00000000-0005-0000-0000-00003E370000}"/>
    <cellStyle name="Normal 21 2 2 6 2 2_TOM TAT" xfId="22910" xr:uid="{00000000-0005-0000-0000-00003F370000}"/>
    <cellStyle name="Normal 21 2 2 6 2 3" xfId="30106" xr:uid="{00000000-0005-0000-0000-000040370000}"/>
    <cellStyle name="Normal 21 2 2 6 2 4" xfId="15604" xr:uid="{00000000-0005-0000-0000-000041370000}"/>
    <cellStyle name="Normal 21 2 2 6 2_TOM TAT" xfId="9929" xr:uid="{00000000-0005-0000-0000-000042370000}"/>
    <cellStyle name="Normal 21 2 2 6 3" xfId="9930" xr:uid="{00000000-0005-0000-0000-000043370000}"/>
    <cellStyle name="Normal 21 2 2 6 3 2" xfId="30108" xr:uid="{00000000-0005-0000-0000-000044370000}"/>
    <cellStyle name="Normal 21 2 2 6 3 3" xfId="15606" xr:uid="{00000000-0005-0000-0000-000045370000}"/>
    <cellStyle name="Normal 21 2 2 6 3_TOM TAT" xfId="22911" xr:uid="{00000000-0005-0000-0000-000046370000}"/>
    <cellStyle name="Normal 21 2 2 6 4" xfId="30105" xr:uid="{00000000-0005-0000-0000-000047370000}"/>
    <cellStyle name="Normal 21 2 2 6 5" xfId="15603" xr:uid="{00000000-0005-0000-0000-000048370000}"/>
    <cellStyle name="Normal 21 2 2 6_TOM TAT" xfId="9931" xr:uid="{00000000-0005-0000-0000-000049370000}"/>
    <cellStyle name="Normal 21 2 2 7" xfId="9932" xr:uid="{00000000-0005-0000-0000-00004A370000}"/>
    <cellStyle name="Normal 21 2 2 7 2" xfId="9933" xr:uid="{00000000-0005-0000-0000-00004B370000}"/>
    <cellStyle name="Normal 21 2 2 7 2 2" xfId="30110" xr:uid="{00000000-0005-0000-0000-00004C370000}"/>
    <cellStyle name="Normal 21 2 2 7 2 3" xfId="15608" xr:uid="{00000000-0005-0000-0000-00004D370000}"/>
    <cellStyle name="Normal 21 2 2 7 2_TOM TAT" xfId="22912" xr:uid="{00000000-0005-0000-0000-00004E370000}"/>
    <cellStyle name="Normal 21 2 2 7 3" xfId="30109" xr:uid="{00000000-0005-0000-0000-00004F370000}"/>
    <cellStyle name="Normal 21 2 2 7 4" xfId="15607" xr:uid="{00000000-0005-0000-0000-000050370000}"/>
    <cellStyle name="Normal 21 2 2 7_TOM TAT" xfId="9934" xr:uid="{00000000-0005-0000-0000-000051370000}"/>
    <cellStyle name="Normal 21 2 2 8" xfId="9935" xr:uid="{00000000-0005-0000-0000-000052370000}"/>
    <cellStyle name="Normal 21 2 2 8 2" xfId="30111" xr:uid="{00000000-0005-0000-0000-000053370000}"/>
    <cellStyle name="Normal 21 2 2 8 3" xfId="15609" xr:uid="{00000000-0005-0000-0000-000054370000}"/>
    <cellStyle name="Normal 21 2 2 8_TOM TAT" xfId="22913" xr:uid="{00000000-0005-0000-0000-000055370000}"/>
    <cellStyle name="Normal 21 2 2 9" xfId="28061" xr:uid="{00000000-0005-0000-0000-000056370000}"/>
    <cellStyle name="Normal 21 2 2_TOM TAT" xfId="9936" xr:uid="{00000000-0005-0000-0000-000057370000}"/>
    <cellStyle name="Normal 21 2 3" xfId="4858" xr:uid="{00000000-0005-0000-0000-000058370000}"/>
    <cellStyle name="Normal 21 2 3 2" xfId="9937" xr:uid="{00000000-0005-0000-0000-000059370000}"/>
    <cellStyle name="Normal 21 2 3 2 2" xfId="9938" xr:uid="{00000000-0005-0000-0000-00005A370000}"/>
    <cellStyle name="Normal 21 2 3 2 2 2" xfId="9939" xr:uid="{00000000-0005-0000-0000-00005B370000}"/>
    <cellStyle name="Normal 21 2 3 2 2 2 2" xfId="9940" xr:uid="{00000000-0005-0000-0000-00005C370000}"/>
    <cellStyle name="Normal 21 2 3 2 2 2 2 2" xfId="30115" xr:uid="{00000000-0005-0000-0000-00005D370000}"/>
    <cellStyle name="Normal 21 2 3 2 2 2 2 3" xfId="15613" xr:uid="{00000000-0005-0000-0000-00005E370000}"/>
    <cellStyle name="Normal 21 2 3 2 2 2 2_TOM TAT" xfId="22914" xr:uid="{00000000-0005-0000-0000-00005F370000}"/>
    <cellStyle name="Normal 21 2 3 2 2 2 3" xfId="30114" xr:uid="{00000000-0005-0000-0000-000060370000}"/>
    <cellStyle name="Normal 21 2 3 2 2 2 4" xfId="15612" xr:uid="{00000000-0005-0000-0000-000061370000}"/>
    <cellStyle name="Normal 21 2 3 2 2 2_TOM TAT" xfId="9941" xr:uid="{00000000-0005-0000-0000-000062370000}"/>
    <cellStyle name="Normal 21 2 3 2 2 3" xfId="9942" xr:uid="{00000000-0005-0000-0000-000063370000}"/>
    <cellStyle name="Normal 21 2 3 2 2 3 2" xfId="30116" xr:uid="{00000000-0005-0000-0000-000064370000}"/>
    <cellStyle name="Normal 21 2 3 2 2 3 3" xfId="15614" xr:uid="{00000000-0005-0000-0000-000065370000}"/>
    <cellStyle name="Normal 21 2 3 2 2 3_TOM TAT" xfId="22915" xr:uid="{00000000-0005-0000-0000-000066370000}"/>
    <cellStyle name="Normal 21 2 3 2 2 4" xfId="30113" xr:uid="{00000000-0005-0000-0000-000067370000}"/>
    <cellStyle name="Normal 21 2 3 2 2 5" xfId="15611" xr:uid="{00000000-0005-0000-0000-000068370000}"/>
    <cellStyle name="Normal 21 2 3 2 2_TOM TAT" xfId="9943" xr:uid="{00000000-0005-0000-0000-000069370000}"/>
    <cellStyle name="Normal 21 2 3 2 3" xfId="9944" xr:uid="{00000000-0005-0000-0000-00006A370000}"/>
    <cellStyle name="Normal 21 2 3 2 3 2" xfId="9945" xr:uid="{00000000-0005-0000-0000-00006B370000}"/>
    <cellStyle name="Normal 21 2 3 2 3 2 2" xfId="9946" xr:uid="{00000000-0005-0000-0000-00006C370000}"/>
    <cellStyle name="Normal 21 2 3 2 3 2 2 2" xfId="30119" xr:uid="{00000000-0005-0000-0000-00006D370000}"/>
    <cellStyle name="Normal 21 2 3 2 3 2 2 3" xfId="15617" xr:uid="{00000000-0005-0000-0000-00006E370000}"/>
    <cellStyle name="Normal 21 2 3 2 3 2 2_TOM TAT" xfId="22916" xr:uid="{00000000-0005-0000-0000-00006F370000}"/>
    <cellStyle name="Normal 21 2 3 2 3 2 3" xfId="30118" xr:uid="{00000000-0005-0000-0000-000070370000}"/>
    <cellStyle name="Normal 21 2 3 2 3 2 4" xfId="15616" xr:uid="{00000000-0005-0000-0000-000071370000}"/>
    <cellStyle name="Normal 21 2 3 2 3 2_TOM TAT" xfId="9947" xr:uid="{00000000-0005-0000-0000-000072370000}"/>
    <cellStyle name="Normal 21 2 3 2 3 3" xfId="9948" xr:uid="{00000000-0005-0000-0000-000073370000}"/>
    <cellStyle name="Normal 21 2 3 2 3 3 2" xfId="30120" xr:uid="{00000000-0005-0000-0000-000074370000}"/>
    <cellStyle name="Normal 21 2 3 2 3 3 3" xfId="15618" xr:uid="{00000000-0005-0000-0000-000075370000}"/>
    <cellStyle name="Normal 21 2 3 2 3 3_TOM TAT" xfId="22917" xr:uid="{00000000-0005-0000-0000-000076370000}"/>
    <cellStyle name="Normal 21 2 3 2 3 4" xfId="30117" xr:uid="{00000000-0005-0000-0000-000077370000}"/>
    <cellStyle name="Normal 21 2 3 2 3 5" xfId="15615" xr:uid="{00000000-0005-0000-0000-000078370000}"/>
    <cellStyle name="Normal 21 2 3 2 3_TOM TAT" xfId="9949" xr:uid="{00000000-0005-0000-0000-000079370000}"/>
    <cellStyle name="Normal 21 2 3 2 4" xfId="9950" xr:uid="{00000000-0005-0000-0000-00007A370000}"/>
    <cellStyle name="Normal 21 2 3 2 4 2" xfId="9951" xr:uid="{00000000-0005-0000-0000-00007B370000}"/>
    <cellStyle name="Normal 21 2 3 2 4 2 2" xfId="30122" xr:uid="{00000000-0005-0000-0000-00007C370000}"/>
    <cellStyle name="Normal 21 2 3 2 4 2 3" xfId="15620" xr:uid="{00000000-0005-0000-0000-00007D370000}"/>
    <cellStyle name="Normal 21 2 3 2 4 2_TOM TAT" xfId="22918" xr:uid="{00000000-0005-0000-0000-00007E370000}"/>
    <cellStyle name="Normal 21 2 3 2 4 3" xfId="30121" xr:uid="{00000000-0005-0000-0000-00007F370000}"/>
    <cellStyle name="Normal 21 2 3 2 4 4" xfId="15619" xr:uid="{00000000-0005-0000-0000-000080370000}"/>
    <cellStyle name="Normal 21 2 3 2 4_TOM TAT" xfId="9952" xr:uid="{00000000-0005-0000-0000-000081370000}"/>
    <cellStyle name="Normal 21 2 3 2 5" xfId="9953" xr:uid="{00000000-0005-0000-0000-000082370000}"/>
    <cellStyle name="Normal 21 2 3 2 5 2" xfId="30123" xr:uid="{00000000-0005-0000-0000-000083370000}"/>
    <cellStyle name="Normal 21 2 3 2 5 3" xfId="15621" xr:uid="{00000000-0005-0000-0000-000084370000}"/>
    <cellStyle name="Normal 21 2 3 2 5_TOM TAT" xfId="22919" xr:uid="{00000000-0005-0000-0000-000085370000}"/>
    <cellStyle name="Normal 21 2 3 2 6" xfId="30112" xr:uid="{00000000-0005-0000-0000-000086370000}"/>
    <cellStyle name="Normal 21 2 3 2 7" xfId="15610" xr:uid="{00000000-0005-0000-0000-000087370000}"/>
    <cellStyle name="Normal 21 2 3 2_TOM TAT" xfId="9954" xr:uid="{00000000-0005-0000-0000-000088370000}"/>
    <cellStyle name="Normal 21 2 3 3" xfId="9955" xr:uid="{00000000-0005-0000-0000-000089370000}"/>
    <cellStyle name="Normal 21 2 3 3 2" xfId="9956" xr:uid="{00000000-0005-0000-0000-00008A370000}"/>
    <cellStyle name="Normal 21 2 3 3 2 2" xfId="9957" xr:uid="{00000000-0005-0000-0000-00008B370000}"/>
    <cellStyle name="Normal 21 2 3 3 2 2 2" xfId="30126" xr:uid="{00000000-0005-0000-0000-00008C370000}"/>
    <cellStyle name="Normal 21 2 3 3 2 2 3" xfId="15624" xr:uid="{00000000-0005-0000-0000-00008D370000}"/>
    <cellStyle name="Normal 21 2 3 3 2 2_TOM TAT" xfId="22920" xr:uid="{00000000-0005-0000-0000-00008E370000}"/>
    <cellStyle name="Normal 21 2 3 3 2 3" xfId="30125" xr:uid="{00000000-0005-0000-0000-00008F370000}"/>
    <cellStyle name="Normal 21 2 3 3 2 4" xfId="15623" xr:uid="{00000000-0005-0000-0000-000090370000}"/>
    <cellStyle name="Normal 21 2 3 3 2_TOM TAT" xfId="9958" xr:uid="{00000000-0005-0000-0000-000091370000}"/>
    <cellStyle name="Normal 21 2 3 3 3" xfId="9959" xr:uid="{00000000-0005-0000-0000-000092370000}"/>
    <cellStyle name="Normal 21 2 3 3 3 2" xfId="30127" xr:uid="{00000000-0005-0000-0000-000093370000}"/>
    <cellStyle name="Normal 21 2 3 3 3 3" xfId="15625" xr:uid="{00000000-0005-0000-0000-000094370000}"/>
    <cellStyle name="Normal 21 2 3 3 3_TOM TAT" xfId="22921" xr:uid="{00000000-0005-0000-0000-000095370000}"/>
    <cellStyle name="Normal 21 2 3 3 4" xfId="30124" xr:uid="{00000000-0005-0000-0000-000096370000}"/>
    <cellStyle name="Normal 21 2 3 3 5" xfId="15622" xr:uid="{00000000-0005-0000-0000-000097370000}"/>
    <cellStyle name="Normal 21 2 3 3_TOM TAT" xfId="9960" xr:uid="{00000000-0005-0000-0000-000098370000}"/>
    <cellStyle name="Normal 21 2 3 4" xfId="9961" xr:uid="{00000000-0005-0000-0000-000099370000}"/>
    <cellStyle name="Normal 21 2 3 4 2" xfId="9962" xr:uid="{00000000-0005-0000-0000-00009A370000}"/>
    <cellStyle name="Normal 21 2 3 4 2 2" xfId="9963" xr:uid="{00000000-0005-0000-0000-00009B370000}"/>
    <cellStyle name="Normal 21 2 3 4 2 2 2" xfId="30130" xr:uid="{00000000-0005-0000-0000-00009C370000}"/>
    <cellStyle name="Normal 21 2 3 4 2 2 3" xfId="15628" xr:uid="{00000000-0005-0000-0000-00009D370000}"/>
    <cellStyle name="Normal 21 2 3 4 2 2_TOM TAT" xfId="22922" xr:uid="{00000000-0005-0000-0000-00009E370000}"/>
    <cellStyle name="Normal 21 2 3 4 2 3" xfId="30129" xr:uid="{00000000-0005-0000-0000-00009F370000}"/>
    <cellStyle name="Normal 21 2 3 4 2 4" xfId="15627" xr:uid="{00000000-0005-0000-0000-0000A0370000}"/>
    <cellStyle name="Normal 21 2 3 4 2_TOM TAT" xfId="9964" xr:uid="{00000000-0005-0000-0000-0000A1370000}"/>
    <cellStyle name="Normal 21 2 3 4 3" xfId="9965" xr:uid="{00000000-0005-0000-0000-0000A2370000}"/>
    <cellStyle name="Normal 21 2 3 4 3 2" xfId="30131" xr:uid="{00000000-0005-0000-0000-0000A3370000}"/>
    <cellStyle name="Normal 21 2 3 4 3 3" xfId="15629" xr:uid="{00000000-0005-0000-0000-0000A4370000}"/>
    <cellStyle name="Normal 21 2 3 4 3_TOM TAT" xfId="22923" xr:uid="{00000000-0005-0000-0000-0000A5370000}"/>
    <cellStyle name="Normal 21 2 3 4 4" xfId="30128" xr:uid="{00000000-0005-0000-0000-0000A6370000}"/>
    <cellStyle name="Normal 21 2 3 4 5" xfId="15626" xr:uid="{00000000-0005-0000-0000-0000A7370000}"/>
    <cellStyle name="Normal 21 2 3 4_TOM TAT" xfId="9966" xr:uid="{00000000-0005-0000-0000-0000A8370000}"/>
    <cellStyle name="Normal 21 2 3 5" xfId="9967" xr:uid="{00000000-0005-0000-0000-0000A9370000}"/>
    <cellStyle name="Normal 21 2 3 5 2" xfId="9968" xr:uid="{00000000-0005-0000-0000-0000AA370000}"/>
    <cellStyle name="Normal 21 2 3 5 2 2" xfId="30133" xr:uid="{00000000-0005-0000-0000-0000AB370000}"/>
    <cellStyle name="Normal 21 2 3 5 2 3" xfId="15631" xr:uid="{00000000-0005-0000-0000-0000AC370000}"/>
    <cellStyle name="Normal 21 2 3 5 2_TOM TAT" xfId="22924" xr:uid="{00000000-0005-0000-0000-0000AD370000}"/>
    <cellStyle name="Normal 21 2 3 5 3" xfId="30132" xr:uid="{00000000-0005-0000-0000-0000AE370000}"/>
    <cellStyle name="Normal 21 2 3 5 4" xfId="15630" xr:uid="{00000000-0005-0000-0000-0000AF370000}"/>
    <cellStyle name="Normal 21 2 3 5_TOM TAT" xfId="9969" xr:uid="{00000000-0005-0000-0000-0000B0370000}"/>
    <cellStyle name="Normal 21 2 3 6" xfId="9970" xr:uid="{00000000-0005-0000-0000-0000B1370000}"/>
    <cellStyle name="Normal 21 2 3 6 2" xfId="30134" xr:uid="{00000000-0005-0000-0000-0000B2370000}"/>
    <cellStyle name="Normal 21 2 3 6 3" xfId="15632" xr:uid="{00000000-0005-0000-0000-0000B3370000}"/>
    <cellStyle name="Normal 21 2 3 6_TOM TAT" xfId="22925" xr:uid="{00000000-0005-0000-0000-0000B4370000}"/>
    <cellStyle name="Normal 21 2 3 7" xfId="28064" xr:uid="{00000000-0005-0000-0000-0000B5370000}"/>
    <cellStyle name="Normal 21 2 3 8" xfId="14653" xr:uid="{00000000-0005-0000-0000-0000B6370000}"/>
    <cellStyle name="Normal 21 2 3_TOM TAT" xfId="9971" xr:uid="{00000000-0005-0000-0000-0000B7370000}"/>
    <cellStyle name="Normal 21 2 4" xfId="5540" xr:uid="{00000000-0005-0000-0000-0000B8370000}"/>
    <cellStyle name="Normal 21 2 4 2" xfId="9972" xr:uid="{00000000-0005-0000-0000-0000B9370000}"/>
    <cellStyle name="Normal 21 2 4 2 2" xfId="9973" xr:uid="{00000000-0005-0000-0000-0000BA370000}"/>
    <cellStyle name="Normal 21 2 4 2 2 2" xfId="9974" xr:uid="{00000000-0005-0000-0000-0000BB370000}"/>
    <cellStyle name="Normal 21 2 4 2 2 2 2" xfId="30137" xr:uid="{00000000-0005-0000-0000-0000BC370000}"/>
    <cellStyle name="Normal 21 2 4 2 2 2 3" xfId="15635" xr:uid="{00000000-0005-0000-0000-0000BD370000}"/>
    <cellStyle name="Normal 21 2 4 2 2 2_TOM TAT" xfId="22926" xr:uid="{00000000-0005-0000-0000-0000BE370000}"/>
    <cellStyle name="Normal 21 2 4 2 2 3" xfId="30136" xr:uid="{00000000-0005-0000-0000-0000BF370000}"/>
    <cellStyle name="Normal 21 2 4 2 2 4" xfId="15634" xr:uid="{00000000-0005-0000-0000-0000C0370000}"/>
    <cellStyle name="Normal 21 2 4 2 2_TOM TAT" xfId="9975" xr:uid="{00000000-0005-0000-0000-0000C1370000}"/>
    <cellStyle name="Normal 21 2 4 2 3" xfId="9976" xr:uid="{00000000-0005-0000-0000-0000C2370000}"/>
    <cellStyle name="Normal 21 2 4 2 3 2" xfId="30138" xr:uid="{00000000-0005-0000-0000-0000C3370000}"/>
    <cellStyle name="Normal 21 2 4 2 3 3" xfId="15636" xr:uid="{00000000-0005-0000-0000-0000C4370000}"/>
    <cellStyle name="Normal 21 2 4 2 3_TOM TAT" xfId="22927" xr:uid="{00000000-0005-0000-0000-0000C5370000}"/>
    <cellStyle name="Normal 21 2 4 2 4" xfId="30135" xr:uid="{00000000-0005-0000-0000-0000C6370000}"/>
    <cellStyle name="Normal 21 2 4 2 5" xfId="15633" xr:uid="{00000000-0005-0000-0000-0000C7370000}"/>
    <cellStyle name="Normal 21 2 4 2_TOM TAT" xfId="9977" xr:uid="{00000000-0005-0000-0000-0000C8370000}"/>
    <cellStyle name="Normal 21 2 4 3" xfId="9978" xr:uid="{00000000-0005-0000-0000-0000C9370000}"/>
    <cellStyle name="Normal 21 2 4 3 2" xfId="9979" xr:uid="{00000000-0005-0000-0000-0000CA370000}"/>
    <cellStyle name="Normal 21 2 4 3 2 2" xfId="9980" xr:uid="{00000000-0005-0000-0000-0000CB370000}"/>
    <cellStyle name="Normal 21 2 4 3 2 2 2" xfId="30141" xr:uid="{00000000-0005-0000-0000-0000CC370000}"/>
    <cellStyle name="Normal 21 2 4 3 2 2 3" xfId="15639" xr:uid="{00000000-0005-0000-0000-0000CD370000}"/>
    <cellStyle name="Normal 21 2 4 3 2 2_TOM TAT" xfId="22928" xr:uid="{00000000-0005-0000-0000-0000CE370000}"/>
    <cellStyle name="Normal 21 2 4 3 2 3" xfId="30140" xr:uid="{00000000-0005-0000-0000-0000CF370000}"/>
    <cellStyle name="Normal 21 2 4 3 2 4" xfId="15638" xr:uid="{00000000-0005-0000-0000-0000D0370000}"/>
    <cellStyle name="Normal 21 2 4 3 2_TOM TAT" xfId="9981" xr:uid="{00000000-0005-0000-0000-0000D1370000}"/>
    <cellStyle name="Normal 21 2 4 3 3" xfId="9982" xr:uid="{00000000-0005-0000-0000-0000D2370000}"/>
    <cellStyle name="Normal 21 2 4 3 3 2" xfId="30142" xr:uid="{00000000-0005-0000-0000-0000D3370000}"/>
    <cellStyle name="Normal 21 2 4 3 3 3" xfId="15640" xr:uid="{00000000-0005-0000-0000-0000D4370000}"/>
    <cellStyle name="Normal 21 2 4 3 3_TOM TAT" xfId="22929" xr:uid="{00000000-0005-0000-0000-0000D5370000}"/>
    <cellStyle name="Normal 21 2 4 3 4" xfId="30139" xr:uid="{00000000-0005-0000-0000-0000D6370000}"/>
    <cellStyle name="Normal 21 2 4 3 5" xfId="15637" xr:uid="{00000000-0005-0000-0000-0000D7370000}"/>
    <cellStyle name="Normal 21 2 4 3_TOM TAT" xfId="9983" xr:uid="{00000000-0005-0000-0000-0000D8370000}"/>
    <cellStyle name="Normal 21 2 4 4" xfId="9984" xr:uid="{00000000-0005-0000-0000-0000D9370000}"/>
    <cellStyle name="Normal 21 2 4 4 2" xfId="9985" xr:uid="{00000000-0005-0000-0000-0000DA370000}"/>
    <cellStyle name="Normal 21 2 4 4 2 2" xfId="30144" xr:uid="{00000000-0005-0000-0000-0000DB370000}"/>
    <cellStyle name="Normal 21 2 4 4 2 3" xfId="15642" xr:uid="{00000000-0005-0000-0000-0000DC370000}"/>
    <cellStyle name="Normal 21 2 4 4 2_TOM TAT" xfId="22930" xr:uid="{00000000-0005-0000-0000-0000DD370000}"/>
    <cellStyle name="Normal 21 2 4 4 3" xfId="30143" xr:uid="{00000000-0005-0000-0000-0000DE370000}"/>
    <cellStyle name="Normal 21 2 4 4 4" xfId="15641" xr:uid="{00000000-0005-0000-0000-0000DF370000}"/>
    <cellStyle name="Normal 21 2 4 4_TOM TAT" xfId="9986" xr:uid="{00000000-0005-0000-0000-0000E0370000}"/>
    <cellStyle name="Normal 21 2 4 5" xfId="9987" xr:uid="{00000000-0005-0000-0000-0000E1370000}"/>
    <cellStyle name="Normal 21 2 4 5 2" xfId="30145" xr:uid="{00000000-0005-0000-0000-0000E2370000}"/>
    <cellStyle name="Normal 21 2 4 5 3" xfId="15643" xr:uid="{00000000-0005-0000-0000-0000E3370000}"/>
    <cellStyle name="Normal 21 2 4 5_TOM TAT" xfId="22931" xr:uid="{00000000-0005-0000-0000-0000E4370000}"/>
    <cellStyle name="Normal 21 2 4 6" xfId="28242" xr:uid="{00000000-0005-0000-0000-0000E5370000}"/>
    <cellStyle name="Normal 21 2 4 7" xfId="14681" xr:uid="{00000000-0005-0000-0000-0000E6370000}"/>
    <cellStyle name="Normal 21 2 4_TOM TAT" xfId="9988" xr:uid="{00000000-0005-0000-0000-0000E7370000}"/>
    <cellStyle name="Normal 21 2 5" xfId="9989" xr:uid="{00000000-0005-0000-0000-0000E8370000}"/>
    <cellStyle name="Normal 21 2 5 2" xfId="9990" xr:uid="{00000000-0005-0000-0000-0000E9370000}"/>
    <cellStyle name="Normal 21 2 5 2 2" xfId="9991" xr:uid="{00000000-0005-0000-0000-0000EA370000}"/>
    <cellStyle name="Normal 21 2 5 2 2 2" xfId="9992" xr:uid="{00000000-0005-0000-0000-0000EB370000}"/>
    <cellStyle name="Normal 21 2 5 2 2 2 2" xfId="30149" xr:uid="{00000000-0005-0000-0000-0000EC370000}"/>
    <cellStyle name="Normal 21 2 5 2 2 2 3" xfId="15647" xr:uid="{00000000-0005-0000-0000-0000ED370000}"/>
    <cellStyle name="Normal 21 2 5 2 2 2_TOM TAT" xfId="22932" xr:uid="{00000000-0005-0000-0000-0000EE370000}"/>
    <cellStyle name="Normal 21 2 5 2 2 3" xfId="30148" xr:uid="{00000000-0005-0000-0000-0000EF370000}"/>
    <cellStyle name="Normal 21 2 5 2 2 4" xfId="15646" xr:uid="{00000000-0005-0000-0000-0000F0370000}"/>
    <cellStyle name="Normal 21 2 5 2 2_TOM TAT" xfId="9993" xr:uid="{00000000-0005-0000-0000-0000F1370000}"/>
    <cellStyle name="Normal 21 2 5 2 3" xfId="9994" xr:uid="{00000000-0005-0000-0000-0000F2370000}"/>
    <cellStyle name="Normal 21 2 5 2 3 2" xfId="30150" xr:uid="{00000000-0005-0000-0000-0000F3370000}"/>
    <cellStyle name="Normal 21 2 5 2 3 3" xfId="15648" xr:uid="{00000000-0005-0000-0000-0000F4370000}"/>
    <cellStyle name="Normal 21 2 5 2 3_TOM TAT" xfId="22933" xr:uid="{00000000-0005-0000-0000-0000F5370000}"/>
    <cellStyle name="Normal 21 2 5 2 4" xfId="30147" xr:uid="{00000000-0005-0000-0000-0000F6370000}"/>
    <cellStyle name="Normal 21 2 5 2 5" xfId="15645" xr:uid="{00000000-0005-0000-0000-0000F7370000}"/>
    <cellStyle name="Normal 21 2 5 2_TOM TAT" xfId="9995" xr:uid="{00000000-0005-0000-0000-0000F8370000}"/>
    <cellStyle name="Normal 21 2 5 3" xfId="9996" xr:uid="{00000000-0005-0000-0000-0000F9370000}"/>
    <cellStyle name="Normal 21 2 5 3 2" xfId="9997" xr:uid="{00000000-0005-0000-0000-0000FA370000}"/>
    <cellStyle name="Normal 21 2 5 3 2 2" xfId="9998" xr:uid="{00000000-0005-0000-0000-0000FB370000}"/>
    <cellStyle name="Normal 21 2 5 3 2 2 2" xfId="30153" xr:uid="{00000000-0005-0000-0000-0000FC370000}"/>
    <cellStyle name="Normal 21 2 5 3 2 2 3" xfId="15651" xr:uid="{00000000-0005-0000-0000-0000FD370000}"/>
    <cellStyle name="Normal 21 2 5 3 2 2_TOM TAT" xfId="22934" xr:uid="{00000000-0005-0000-0000-0000FE370000}"/>
    <cellStyle name="Normal 21 2 5 3 2 3" xfId="30152" xr:uid="{00000000-0005-0000-0000-0000FF370000}"/>
    <cellStyle name="Normal 21 2 5 3 2 4" xfId="15650" xr:uid="{00000000-0005-0000-0000-000000380000}"/>
    <cellStyle name="Normal 21 2 5 3 2_TOM TAT" xfId="9999" xr:uid="{00000000-0005-0000-0000-000001380000}"/>
    <cellStyle name="Normal 21 2 5 3 3" xfId="10000" xr:uid="{00000000-0005-0000-0000-000002380000}"/>
    <cellStyle name="Normal 21 2 5 3 3 2" xfId="30154" xr:uid="{00000000-0005-0000-0000-000003380000}"/>
    <cellStyle name="Normal 21 2 5 3 3 3" xfId="15652" xr:uid="{00000000-0005-0000-0000-000004380000}"/>
    <cellStyle name="Normal 21 2 5 3 3_TOM TAT" xfId="22935" xr:uid="{00000000-0005-0000-0000-000005380000}"/>
    <cellStyle name="Normal 21 2 5 3 4" xfId="30151" xr:uid="{00000000-0005-0000-0000-000006380000}"/>
    <cellStyle name="Normal 21 2 5 3 5" xfId="15649" xr:uid="{00000000-0005-0000-0000-000007380000}"/>
    <cellStyle name="Normal 21 2 5 3_TOM TAT" xfId="10001" xr:uid="{00000000-0005-0000-0000-000008380000}"/>
    <cellStyle name="Normal 21 2 5 4" xfId="10002" xr:uid="{00000000-0005-0000-0000-000009380000}"/>
    <cellStyle name="Normal 21 2 5 4 2" xfId="10003" xr:uid="{00000000-0005-0000-0000-00000A380000}"/>
    <cellStyle name="Normal 21 2 5 4 2 2" xfId="30156" xr:uid="{00000000-0005-0000-0000-00000B380000}"/>
    <cellStyle name="Normal 21 2 5 4 2 3" xfId="15654" xr:uid="{00000000-0005-0000-0000-00000C380000}"/>
    <cellStyle name="Normal 21 2 5 4 2_TOM TAT" xfId="22936" xr:uid="{00000000-0005-0000-0000-00000D380000}"/>
    <cellStyle name="Normal 21 2 5 4 3" xfId="30155" xr:uid="{00000000-0005-0000-0000-00000E380000}"/>
    <cellStyle name="Normal 21 2 5 4 4" xfId="15653" xr:uid="{00000000-0005-0000-0000-00000F380000}"/>
    <cellStyle name="Normal 21 2 5 4_TOM TAT" xfId="10004" xr:uid="{00000000-0005-0000-0000-000010380000}"/>
    <cellStyle name="Normal 21 2 5 5" xfId="10005" xr:uid="{00000000-0005-0000-0000-000011380000}"/>
    <cellStyle name="Normal 21 2 5 5 2" xfId="30157" xr:uid="{00000000-0005-0000-0000-000012380000}"/>
    <cellStyle name="Normal 21 2 5 5 3" xfId="15655" xr:uid="{00000000-0005-0000-0000-000013380000}"/>
    <cellStyle name="Normal 21 2 5 5_TOM TAT" xfId="22937" xr:uid="{00000000-0005-0000-0000-000014380000}"/>
    <cellStyle name="Normal 21 2 5 6" xfId="30146" xr:uid="{00000000-0005-0000-0000-000015380000}"/>
    <cellStyle name="Normal 21 2 5 7" xfId="15644" xr:uid="{00000000-0005-0000-0000-000016380000}"/>
    <cellStyle name="Normal 21 2 5_TOM TAT" xfId="10006" xr:uid="{00000000-0005-0000-0000-000017380000}"/>
    <cellStyle name="Normal 21 2 6" xfId="10007" xr:uid="{00000000-0005-0000-0000-000018380000}"/>
    <cellStyle name="Normal 21 2 6 2" xfId="10008" xr:uid="{00000000-0005-0000-0000-000019380000}"/>
    <cellStyle name="Normal 21 2 6 2 2" xfId="10009" xr:uid="{00000000-0005-0000-0000-00001A380000}"/>
    <cellStyle name="Normal 21 2 6 2 2 2" xfId="30160" xr:uid="{00000000-0005-0000-0000-00001B380000}"/>
    <cellStyle name="Normal 21 2 6 2 2 3" xfId="15658" xr:uid="{00000000-0005-0000-0000-00001C380000}"/>
    <cellStyle name="Normal 21 2 6 2 2_TOM TAT" xfId="22938" xr:uid="{00000000-0005-0000-0000-00001D380000}"/>
    <cellStyle name="Normal 21 2 6 2 3" xfId="30159" xr:uid="{00000000-0005-0000-0000-00001E380000}"/>
    <cellStyle name="Normal 21 2 6 2 4" xfId="15657" xr:uid="{00000000-0005-0000-0000-00001F380000}"/>
    <cellStyle name="Normal 21 2 6 2_TOM TAT" xfId="10010" xr:uid="{00000000-0005-0000-0000-000020380000}"/>
    <cellStyle name="Normal 21 2 6 3" xfId="10011" xr:uid="{00000000-0005-0000-0000-000021380000}"/>
    <cellStyle name="Normal 21 2 6 3 2" xfId="30161" xr:uid="{00000000-0005-0000-0000-000022380000}"/>
    <cellStyle name="Normal 21 2 6 3 3" xfId="15659" xr:uid="{00000000-0005-0000-0000-000023380000}"/>
    <cellStyle name="Normal 21 2 6 3_TOM TAT" xfId="22939" xr:uid="{00000000-0005-0000-0000-000024380000}"/>
    <cellStyle name="Normal 21 2 6 4" xfId="30158" xr:uid="{00000000-0005-0000-0000-000025380000}"/>
    <cellStyle name="Normal 21 2 6 5" xfId="15656" xr:uid="{00000000-0005-0000-0000-000026380000}"/>
    <cellStyle name="Normal 21 2 6_TOM TAT" xfId="10012" xr:uid="{00000000-0005-0000-0000-000027380000}"/>
    <cellStyle name="Normal 21 2 7" xfId="10013" xr:uid="{00000000-0005-0000-0000-000028380000}"/>
    <cellStyle name="Normal 21 2 7 2" xfId="10014" xr:uid="{00000000-0005-0000-0000-000029380000}"/>
    <cellStyle name="Normal 21 2 7 2 2" xfId="10015" xr:uid="{00000000-0005-0000-0000-00002A380000}"/>
    <cellStyle name="Normal 21 2 7 2 2 2" xfId="30164" xr:uid="{00000000-0005-0000-0000-00002B380000}"/>
    <cellStyle name="Normal 21 2 7 2 2 3" xfId="15662" xr:uid="{00000000-0005-0000-0000-00002C380000}"/>
    <cellStyle name="Normal 21 2 7 2 2_TOM TAT" xfId="22940" xr:uid="{00000000-0005-0000-0000-00002D380000}"/>
    <cellStyle name="Normal 21 2 7 2 3" xfId="30163" xr:uid="{00000000-0005-0000-0000-00002E380000}"/>
    <cellStyle name="Normal 21 2 7 2 4" xfId="15661" xr:uid="{00000000-0005-0000-0000-00002F380000}"/>
    <cellStyle name="Normal 21 2 7 2_TOM TAT" xfId="10016" xr:uid="{00000000-0005-0000-0000-000030380000}"/>
    <cellStyle name="Normal 21 2 7 3" xfId="10017" xr:uid="{00000000-0005-0000-0000-000031380000}"/>
    <cellStyle name="Normal 21 2 7 3 2" xfId="30165" xr:uid="{00000000-0005-0000-0000-000032380000}"/>
    <cellStyle name="Normal 21 2 7 3 3" xfId="15663" xr:uid="{00000000-0005-0000-0000-000033380000}"/>
    <cellStyle name="Normal 21 2 7 3_TOM TAT" xfId="22941" xr:uid="{00000000-0005-0000-0000-000034380000}"/>
    <cellStyle name="Normal 21 2 7 4" xfId="30162" xr:uid="{00000000-0005-0000-0000-000035380000}"/>
    <cellStyle name="Normal 21 2 7 5" xfId="15660" xr:uid="{00000000-0005-0000-0000-000036380000}"/>
    <cellStyle name="Normal 21 2 7_TOM TAT" xfId="10018" xr:uid="{00000000-0005-0000-0000-000037380000}"/>
    <cellStyle name="Normal 21 2 8" xfId="10019" xr:uid="{00000000-0005-0000-0000-000038380000}"/>
    <cellStyle name="Normal 21 2 8 2" xfId="10020" xr:uid="{00000000-0005-0000-0000-000039380000}"/>
    <cellStyle name="Normal 21 2 8 2 2" xfId="30167" xr:uid="{00000000-0005-0000-0000-00003A380000}"/>
    <cellStyle name="Normal 21 2 8 2 3" xfId="15665" xr:uid="{00000000-0005-0000-0000-00003B380000}"/>
    <cellStyle name="Normal 21 2 8 2_TOM TAT" xfId="22942" xr:uid="{00000000-0005-0000-0000-00003C380000}"/>
    <cellStyle name="Normal 21 2 8 3" xfId="30166" xr:uid="{00000000-0005-0000-0000-00003D380000}"/>
    <cellStyle name="Normal 21 2 8 4" xfId="15664" xr:uid="{00000000-0005-0000-0000-00003E380000}"/>
    <cellStyle name="Normal 21 2 8_TOM TAT" xfId="10021" xr:uid="{00000000-0005-0000-0000-00003F380000}"/>
    <cellStyle name="Normal 21 2 9" xfId="10022" xr:uid="{00000000-0005-0000-0000-000040380000}"/>
    <cellStyle name="Normal 21 2 9 2" xfId="30168" xr:uid="{00000000-0005-0000-0000-000041380000}"/>
    <cellStyle name="Normal 21 2 9 3" xfId="15666" xr:uid="{00000000-0005-0000-0000-000042380000}"/>
    <cellStyle name="Normal 21 2 9_TOM TAT" xfId="22943" xr:uid="{00000000-0005-0000-0000-000043380000}"/>
    <cellStyle name="Normal 21 2_TOM TAT" xfId="10023" xr:uid="{00000000-0005-0000-0000-000044380000}"/>
    <cellStyle name="Normal 21 3" xfId="5541" xr:uid="{00000000-0005-0000-0000-000045380000}"/>
    <cellStyle name="Normal 21 3 10" xfId="14682" xr:uid="{00000000-0005-0000-0000-000046380000}"/>
    <cellStyle name="Normal 21 3 2" xfId="5542" xr:uid="{00000000-0005-0000-0000-000047380000}"/>
    <cellStyle name="Normal 21 3 2 2" xfId="10024" xr:uid="{00000000-0005-0000-0000-000048380000}"/>
    <cellStyle name="Normal 21 3 2 2 2" xfId="10025" xr:uid="{00000000-0005-0000-0000-000049380000}"/>
    <cellStyle name="Normal 21 3 2 2 2 2" xfId="10026" xr:uid="{00000000-0005-0000-0000-00004A380000}"/>
    <cellStyle name="Normal 21 3 2 2 2 2 2" xfId="10027" xr:uid="{00000000-0005-0000-0000-00004B380000}"/>
    <cellStyle name="Normal 21 3 2 2 2 2 2 2" xfId="30172" xr:uid="{00000000-0005-0000-0000-00004C380000}"/>
    <cellStyle name="Normal 21 3 2 2 2 2 2 3" xfId="15670" xr:uid="{00000000-0005-0000-0000-00004D380000}"/>
    <cellStyle name="Normal 21 3 2 2 2 2 2_TOM TAT" xfId="22944" xr:uid="{00000000-0005-0000-0000-00004E380000}"/>
    <cellStyle name="Normal 21 3 2 2 2 2 3" xfId="30171" xr:uid="{00000000-0005-0000-0000-00004F380000}"/>
    <cellStyle name="Normal 21 3 2 2 2 2 4" xfId="15669" xr:uid="{00000000-0005-0000-0000-000050380000}"/>
    <cellStyle name="Normal 21 3 2 2 2 2_TOM TAT" xfId="10028" xr:uid="{00000000-0005-0000-0000-000051380000}"/>
    <cellStyle name="Normal 21 3 2 2 2 3" xfId="10029" xr:uid="{00000000-0005-0000-0000-000052380000}"/>
    <cellStyle name="Normal 21 3 2 2 2 3 2" xfId="30173" xr:uid="{00000000-0005-0000-0000-000053380000}"/>
    <cellStyle name="Normal 21 3 2 2 2 3 3" xfId="15671" xr:uid="{00000000-0005-0000-0000-000054380000}"/>
    <cellStyle name="Normal 21 3 2 2 2 3_TOM TAT" xfId="22945" xr:uid="{00000000-0005-0000-0000-000055380000}"/>
    <cellStyle name="Normal 21 3 2 2 2 4" xfId="30170" xr:uid="{00000000-0005-0000-0000-000056380000}"/>
    <cellStyle name="Normal 21 3 2 2 2 5" xfId="15668" xr:uid="{00000000-0005-0000-0000-000057380000}"/>
    <cellStyle name="Normal 21 3 2 2 2_TOM TAT" xfId="10030" xr:uid="{00000000-0005-0000-0000-000058380000}"/>
    <cellStyle name="Normal 21 3 2 2 3" xfId="10031" xr:uid="{00000000-0005-0000-0000-000059380000}"/>
    <cellStyle name="Normal 21 3 2 2 3 2" xfId="10032" xr:uid="{00000000-0005-0000-0000-00005A380000}"/>
    <cellStyle name="Normal 21 3 2 2 3 2 2" xfId="10033" xr:uid="{00000000-0005-0000-0000-00005B380000}"/>
    <cellStyle name="Normal 21 3 2 2 3 2 2 2" xfId="30176" xr:uid="{00000000-0005-0000-0000-00005C380000}"/>
    <cellStyle name="Normal 21 3 2 2 3 2 2 3" xfId="15674" xr:uid="{00000000-0005-0000-0000-00005D380000}"/>
    <cellStyle name="Normal 21 3 2 2 3 2 2_TOM TAT" xfId="22946" xr:uid="{00000000-0005-0000-0000-00005E380000}"/>
    <cellStyle name="Normal 21 3 2 2 3 2 3" xfId="30175" xr:uid="{00000000-0005-0000-0000-00005F380000}"/>
    <cellStyle name="Normal 21 3 2 2 3 2 4" xfId="15673" xr:uid="{00000000-0005-0000-0000-000060380000}"/>
    <cellStyle name="Normal 21 3 2 2 3 2_TOM TAT" xfId="10034" xr:uid="{00000000-0005-0000-0000-000061380000}"/>
    <cellStyle name="Normal 21 3 2 2 3 3" xfId="10035" xr:uid="{00000000-0005-0000-0000-000062380000}"/>
    <cellStyle name="Normal 21 3 2 2 3 3 2" xfId="30177" xr:uid="{00000000-0005-0000-0000-000063380000}"/>
    <cellStyle name="Normal 21 3 2 2 3 3 3" xfId="15675" xr:uid="{00000000-0005-0000-0000-000064380000}"/>
    <cellStyle name="Normal 21 3 2 2 3 3_TOM TAT" xfId="22947" xr:uid="{00000000-0005-0000-0000-000065380000}"/>
    <cellStyle name="Normal 21 3 2 2 3 4" xfId="30174" xr:uid="{00000000-0005-0000-0000-000066380000}"/>
    <cellStyle name="Normal 21 3 2 2 3 5" xfId="15672" xr:uid="{00000000-0005-0000-0000-000067380000}"/>
    <cellStyle name="Normal 21 3 2 2 3_TOM TAT" xfId="10036" xr:uid="{00000000-0005-0000-0000-000068380000}"/>
    <cellStyle name="Normal 21 3 2 2 4" xfId="10037" xr:uid="{00000000-0005-0000-0000-000069380000}"/>
    <cellStyle name="Normal 21 3 2 2 4 2" xfId="10038" xr:uid="{00000000-0005-0000-0000-00006A380000}"/>
    <cellStyle name="Normal 21 3 2 2 4 2 2" xfId="30179" xr:uid="{00000000-0005-0000-0000-00006B380000}"/>
    <cellStyle name="Normal 21 3 2 2 4 2 3" xfId="15677" xr:uid="{00000000-0005-0000-0000-00006C380000}"/>
    <cellStyle name="Normal 21 3 2 2 4 2_TOM TAT" xfId="22948" xr:uid="{00000000-0005-0000-0000-00006D380000}"/>
    <cellStyle name="Normal 21 3 2 2 4 3" xfId="30178" xr:uid="{00000000-0005-0000-0000-00006E380000}"/>
    <cellStyle name="Normal 21 3 2 2 4 4" xfId="15676" xr:uid="{00000000-0005-0000-0000-00006F380000}"/>
    <cellStyle name="Normal 21 3 2 2 4_TOM TAT" xfId="10039" xr:uid="{00000000-0005-0000-0000-000070380000}"/>
    <cellStyle name="Normal 21 3 2 2 5" xfId="10040" xr:uid="{00000000-0005-0000-0000-000071380000}"/>
    <cellStyle name="Normal 21 3 2 2 5 2" xfId="30180" xr:uid="{00000000-0005-0000-0000-000072380000}"/>
    <cellStyle name="Normal 21 3 2 2 5 3" xfId="15678" xr:uid="{00000000-0005-0000-0000-000073380000}"/>
    <cellStyle name="Normal 21 3 2 2 5_TOM TAT" xfId="22949" xr:uid="{00000000-0005-0000-0000-000074380000}"/>
    <cellStyle name="Normal 21 3 2 2 6" xfId="30169" xr:uid="{00000000-0005-0000-0000-000075380000}"/>
    <cellStyle name="Normal 21 3 2 2 7" xfId="15667" xr:uid="{00000000-0005-0000-0000-000076380000}"/>
    <cellStyle name="Normal 21 3 2 2_TOM TAT" xfId="10041" xr:uid="{00000000-0005-0000-0000-000077380000}"/>
    <cellStyle name="Normal 21 3 2 3" xfId="10042" xr:uid="{00000000-0005-0000-0000-000078380000}"/>
    <cellStyle name="Normal 21 3 2 3 2" xfId="10043" xr:uid="{00000000-0005-0000-0000-000079380000}"/>
    <cellStyle name="Normal 21 3 2 3 2 2" xfId="10044" xr:uid="{00000000-0005-0000-0000-00007A380000}"/>
    <cellStyle name="Normal 21 3 2 3 2 2 2" xfId="30183" xr:uid="{00000000-0005-0000-0000-00007B380000}"/>
    <cellStyle name="Normal 21 3 2 3 2 2 3" xfId="15681" xr:uid="{00000000-0005-0000-0000-00007C380000}"/>
    <cellStyle name="Normal 21 3 2 3 2 2_TOM TAT" xfId="22950" xr:uid="{00000000-0005-0000-0000-00007D380000}"/>
    <cellStyle name="Normal 21 3 2 3 2 3" xfId="30182" xr:uid="{00000000-0005-0000-0000-00007E380000}"/>
    <cellStyle name="Normal 21 3 2 3 2 4" xfId="15680" xr:uid="{00000000-0005-0000-0000-00007F380000}"/>
    <cellStyle name="Normal 21 3 2 3 2_TOM TAT" xfId="10045" xr:uid="{00000000-0005-0000-0000-000080380000}"/>
    <cellStyle name="Normal 21 3 2 3 3" xfId="10046" xr:uid="{00000000-0005-0000-0000-000081380000}"/>
    <cellStyle name="Normal 21 3 2 3 3 2" xfId="30184" xr:uid="{00000000-0005-0000-0000-000082380000}"/>
    <cellStyle name="Normal 21 3 2 3 3 3" xfId="15682" xr:uid="{00000000-0005-0000-0000-000083380000}"/>
    <cellStyle name="Normal 21 3 2 3 3_TOM TAT" xfId="22951" xr:uid="{00000000-0005-0000-0000-000084380000}"/>
    <cellStyle name="Normal 21 3 2 3 4" xfId="30181" xr:uid="{00000000-0005-0000-0000-000085380000}"/>
    <cellStyle name="Normal 21 3 2 3 5" xfId="15679" xr:uid="{00000000-0005-0000-0000-000086380000}"/>
    <cellStyle name="Normal 21 3 2 3_TOM TAT" xfId="10047" xr:uid="{00000000-0005-0000-0000-000087380000}"/>
    <cellStyle name="Normal 21 3 2 4" xfId="10048" xr:uid="{00000000-0005-0000-0000-000088380000}"/>
    <cellStyle name="Normal 21 3 2 4 2" xfId="10049" xr:uid="{00000000-0005-0000-0000-000089380000}"/>
    <cellStyle name="Normal 21 3 2 4 2 2" xfId="10050" xr:uid="{00000000-0005-0000-0000-00008A380000}"/>
    <cellStyle name="Normal 21 3 2 4 2 2 2" xfId="30187" xr:uid="{00000000-0005-0000-0000-00008B380000}"/>
    <cellStyle name="Normal 21 3 2 4 2 2 3" xfId="15685" xr:uid="{00000000-0005-0000-0000-00008C380000}"/>
    <cellStyle name="Normal 21 3 2 4 2 2_TOM TAT" xfId="22952" xr:uid="{00000000-0005-0000-0000-00008D380000}"/>
    <cellStyle name="Normal 21 3 2 4 2 3" xfId="30186" xr:uid="{00000000-0005-0000-0000-00008E380000}"/>
    <cellStyle name="Normal 21 3 2 4 2 4" xfId="15684" xr:uid="{00000000-0005-0000-0000-00008F380000}"/>
    <cellStyle name="Normal 21 3 2 4 2_TOM TAT" xfId="10051" xr:uid="{00000000-0005-0000-0000-000090380000}"/>
    <cellStyle name="Normal 21 3 2 4 3" xfId="10052" xr:uid="{00000000-0005-0000-0000-000091380000}"/>
    <cellStyle name="Normal 21 3 2 4 3 2" xfId="30188" xr:uid="{00000000-0005-0000-0000-000092380000}"/>
    <cellStyle name="Normal 21 3 2 4 3 3" xfId="15686" xr:uid="{00000000-0005-0000-0000-000093380000}"/>
    <cellStyle name="Normal 21 3 2 4 3_TOM TAT" xfId="22953" xr:uid="{00000000-0005-0000-0000-000094380000}"/>
    <cellStyle name="Normal 21 3 2 4 4" xfId="30185" xr:uid="{00000000-0005-0000-0000-000095380000}"/>
    <cellStyle name="Normal 21 3 2 4 5" xfId="15683" xr:uid="{00000000-0005-0000-0000-000096380000}"/>
    <cellStyle name="Normal 21 3 2 4_TOM TAT" xfId="10053" xr:uid="{00000000-0005-0000-0000-000097380000}"/>
    <cellStyle name="Normal 21 3 2 5" xfId="10054" xr:uid="{00000000-0005-0000-0000-000098380000}"/>
    <cellStyle name="Normal 21 3 2 5 2" xfId="10055" xr:uid="{00000000-0005-0000-0000-000099380000}"/>
    <cellStyle name="Normal 21 3 2 5 2 2" xfId="30190" xr:uid="{00000000-0005-0000-0000-00009A380000}"/>
    <cellStyle name="Normal 21 3 2 5 2 3" xfId="15688" xr:uid="{00000000-0005-0000-0000-00009B380000}"/>
    <cellStyle name="Normal 21 3 2 5 2_TOM TAT" xfId="22954" xr:uid="{00000000-0005-0000-0000-00009C380000}"/>
    <cellStyle name="Normal 21 3 2 5 3" xfId="30189" xr:uid="{00000000-0005-0000-0000-00009D380000}"/>
    <cellStyle name="Normal 21 3 2 5 4" xfId="15687" xr:uid="{00000000-0005-0000-0000-00009E380000}"/>
    <cellStyle name="Normal 21 3 2 5_TOM TAT" xfId="10056" xr:uid="{00000000-0005-0000-0000-00009F380000}"/>
    <cellStyle name="Normal 21 3 2 6" xfId="10057" xr:uid="{00000000-0005-0000-0000-0000A0380000}"/>
    <cellStyle name="Normal 21 3 2 6 2" xfId="30191" xr:uid="{00000000-0005-0000-0000-0000A1380000}"/>
    <cellStyle name="Normal 21 3 2 6 3" xfId="15689" xr:uid="{00000000-0005-0000-0000-0000A2380000}"/>
    <cellStyle name="Normal 21 3 2 6_TOM TAT" xfId="22955" xr:uid="{00000000-0005-0000-0000-0000A3380000}"/>
    <cellStyle name="Normal 21 3 2 7" xfId="28244" xr:uid="{00000000-0005-0000-0000-0000A4380000}"/>
    <cellStyle name="Normal 21 3 2 8" xfId="14683" xr:uid="{00000000-0005-0000-0000-0000A5380000}"/>
    <cellStyle name="Normal 21 3 2_TOM TAT" xfId="10058" xr:uid="{00000000-0005-0000-0000-0000A6380000}"/>
    <cellStyle name="Normal 21 3 3" xfId="10059" xr:uid="{00000000-0005-0000-0000-0000A7380000}"/>
    <cellStyle name="Normal 21 3 3 2" xfId="10060" xr:uid="{00000000-0005-0000-0000-0000A8380000}"/>
    <cellStyle name="Normal 21 3 3 2 2" xfId="10061" xr:uid="{00000000-0005-0000-0000-0000A9380000}"/>
    <cellStyle name="Normal 21 3 3 2 2 2" xfId="10062" xr:uid="{00000000-0005-0000-0000-0000AA380000}"/>
    <cellStyle name="Normal 21 3 3 2 2 2 2" xfId="30195" xr:uid="{00000000-0005-0000-0000-0000AB380000}"/>
    <cellStyle name="Normal 21 3 3 2 2 2 3" xfId="15693" xr:uid="{00000000-0005-0000-0000-0000AC380000}"/>
    <cellStyle name="Normal 21 3 3 2 2 2_TOM TAT" xfId="22956" xr:uid="{00000000-0005-0000-0000-0000AD380000}"/>
    <cellStyle name="Normal 21 3 3 2 2 3" xfId="30194" xr:uid="{00000000-0005-0000-0000-0000AE380000}"/>
    <cellStyle name="Normal 21 3 3 2 2 4" xfId="15692" xr:uid="{00000000-0005-0000-0000-0000AF380000}"/>
    <cellStyle name="Normal 21 3 3 2 2_TOM TAT" xfId="10063" xr:uid="{00000000-0005-0000-0000-0000B0380000}"/>
    <cellStyle name="Normal 21 3 3 2 3" xfId="10064" xr:uid="{00000000-0005-0000-0000-0000B1380000}"/>
    <cellStyle name="Normal 21 3 3 2 3 2" xfId="30196" xr:uid="{00000000-0005-0000-0000-0000B2380000}"/>
    <cellStyle name="Normal 21 3 3 2 3 3" xfId="15694" xr:uid="{00000000-0005-0000-0000-0000B3380000}"/>
    <cellStyle name="Normal 21 3 3 2 3_TOM TAT" xfId="22957" xr:uid="{00000000-0005-0000-0000-0000B4380000}"/>
    <cellStyle name="Normal 21 3 3 2 4" xfId="30193" xr:uid="{00000000-0005-0000-0000-0000B5380000}"/>
    <cellStyle name="Normal 21 3 3 2 5" xfId="15691" xr:uid="{00000000-0005-0000-0000-0000B6380000}"/>
    <cellStyle name="Normal 21 3 3 2_TOM TAT" xfId="10065" xr:uid="{00000000-0005-0000-0000-0000B7380000}"/>
    <cellStyle name="Normal 21 3 3 3" xfId="10066" xr:uid="{00000000-0005-0000-0000-0000B8380000}"/>
    <cellStyle name="Normal 21 3 3 3 2" xfId="10067" xr:uid="{00000000-0005-0000-0000-0000B9380000}"/>
    <cellStyle name="Normal 21 3 3 3 2 2" xfId="10068" xr:uid="{00000000-0005-0000-0000-0000BA380000}"/>
    <cellStyle name="Normal 21 3 3 3 2 2 2" xfId="30199" xr:uid="{00000000-0005-0000-0000-0000BB380000}"/>
    <cellStyle name="Normal 21 3 3 3 2 2 3" xfId="15697" xr:uid="{00000000-0005-0000-0000-0000BC380000}"/>
    <cellStyle name="Normal 21 3 3 3 2 2_TOM TAT" xfId="22958" xr:uid="{00000000-0005-0000-0000-0000BD380000}"/>
    <cellStyle name="Normal 21 3 3 3 2 3" xfId="30198" xr:uid="{00000000-0005-0000-0000-0000BE380000}"/>
    <cellStyle name="Normal 21 3 3 3 2 4" xfId="15696" xr:uid="{00000000-0005-0000-0000-0000BF380000}"/>
    <cellStyle name="Normal 21 3 3 3 2_TOM TAT" xfId="10069" xr:uid="{00000000-0005-0000-0000-0000C0380000}"/>
    <cellStyle name="Normal 21 3 3 3 3" xfId="10070" xr:uid="{00000000-0005-0000-0000-0000C1380000}"/>
    <cellStyle name="Normal 21 3 3 3 3 2" xfId="30200" xr:uid="{00000000-0005-0000-0000-0000C2380000}"/>
    <cellStyle name="Normal 21 3 3 3 3 3" xfId="15698" xr:uid="{00000000-0005-0000-0000-0000C3380000}"/>
    <cellStyle name="Normal 21 3 3 3 3_TOM TAT" xfId="22959" xr:uid="{00000000-0005-0000-0000-0000C4380000}"/>
    <cellStyle name="Normal 21 3 3 3 4" xfId="30197" xr:uid="{00000000-0005-0000-0000-0000C5380000}"/>
    <cellStyle name="Normal 21 3 3 3 5" xfId="15695" xr:uid="{00000000-0005-0000-0000-0000C6380000}"/>
    <cellStyle name="Normal 21 3 3 3_TOM TAT" xfId="10071" xr:uid="{00000000-0005-0000-0000-0000C7380000}"/>
    <cellStyle name="Normal 21 3 3 4" xfId="10072" xr:uid="{00000000-0005-0000-0000-0000C8380000}"/>
    <cellStyle name="Normal 21 3 3 4 2" xfId="10073" xr:uid="{00000000-0005-0000-0000-0000C9380000}"/>
    <cellStyle name="Normal 21 3 3 4 2 2" xfId="30202" xr:uid="{00000000-0005-0000-0000-0000CA380000}"/>
    <cellStyle name="Normal 21 3 3 4 2 3" xfId="15700" xr:uid="{00000000-0005-0000-0000-0000CB380000}"/>
    <cellStyle name="Normal 21 3 3 4 2_TOM TAT" xfId="22960" xr:uid="{00000000-0005-0000-0000-0000CC380000}"/>
    <cellStyle name="Normal 21 3 3 4 3" xfId="30201" xr:uid="{00000000-0005-0000-0000-0000CD380000}"/>
    <cellStyle name="Normal 21 3 3 4 4" xfId="15699" xr:uid="{00000000-0005-0000-0000-0000CE380000}"/>
    <cellStyle name="Normal 21 3 3 4_TOM TAT" xfId="10074" xr:uid="{00000000-0005-0000-0000-0000CF380000}"/>
    <cellStyle name="Normal 21 3 3 5" xfId="10075" xr:uid="{00000000-0005-0000-0000-0000D0380000}"/>
    <cellStyle name="Normal 21 3 3 5 2" xfId="30203" xr:uid="{00000000-0005-0000-0000-0000D1380000}"/>
    <cellStyle name="Normal 21 3 3 5 3" xfId="15701" xr:uid="{00000000-0005-0000-0000-0000D2380000}"/>
    <cellStyle name="Normal 21 3 3 5_TOM TAT" xfId="22961" xr:uid="{00000000-0005-0000-0000-0000D3380000}"/>
    <cellStyle name="Normal 21 3 3 6" xfId="30192" xr:uid="{00000000-0005-0000-0000-0000D4380000}"/>
    <cellStyle name="Normal 21 3 3 7" xfId="15690" xr:uid="{00000000-0005-0000-0000-0000D5380000}"/>
    <cellStyle name="Normal 21 3 3_TOM TAT" xfId="10076" xr:uid="{00000000-0005-0000-0000-0000D6380000}"/>
    <cellStyle name="Normal 21 3 4" xfId="10077" xr:uid="{00000000-0005-0000-0000-0000D7380000}"/>
    <cellStyle name="Normal 21 3 4 2" xfId="10078" xr:uid="{00000000-0005-0000-0000-0000D8380000}"/>
    <cellStyle name="Normal 21 3 4 2 2" xfId="10079" xr:uid="{00000000-0005-0000-0000-0000D9380000}"/>
    <cellStyle name="Normal 21 3 4 2 2 2" xfId="10080" xr:uid="{00000000-0005-0000-0000-0000DA380000}"/>
    <cellStyle name="Normal 21 3 4 2 2 2 2" xfId="30207" xr:uid="{00000000-0005-0000-0000-0000DB380000}"/>
    <cellStyle name="Normal 21 3 4 2 2 2 3" xfId="15705" xr:uid="{00000000-0005-0000-0000-0000DC380000}"/>
    <cellStyle name="Normal 21 3 4 2 2 2_TOM TAT" xfId="22962" xr:uid="{00000000-0005-0000-0000-0000DD380000}"/>
    <cellStyle name="Normal 21 3 4 2 2 3" xfId="30206" xr:uid="{00000000-0005-0000-0000-0000DE380000}"/>
    <cellStyle name="Normal 21 3 4 2 2 4" xfId="15704" xr:uid="{00000000-0005-0000-0000-0000DF380000}"/>
    <cellStyle name="Normal 21 3 4 2 2_TOM TAT" xfId="10081" xr:uid="{00000000-0005-0000-0000-0000E0380000}"/>
    <cellStyle name="Normal 21 3 4 2 3" xfId="10082" xr:uid="{00000000-0005-0000-0000-0000E1380000}"/>
    <cellStyle name="Normal 21 3 4 2 3 2" xfId="30208" xr:uid="{00000000-0005-0000-0000-0000E2380000}"/>
    <cellStyle name="Normal 21 3 4 2 3 3" xfId="15706" xr:uid="{00000000-0005-0000-0000-0000E3380000}"/>
    <cellStyle name="Normal 21 3 4 2 3_TOM TAT" xfId="22963" xr:uid="{00000000-0005-0000-0000-0000E4380000}"/>
    <cellStyle name="Normal 21 3 4 2 4" xfId="30205" xr:uid="{00000000-0005-0000-0000-0000E5380000}"/>
    <cellStyle name="Normal 21 3 4 2 5" xfId="15703" xr:uid="{00000000-0005-0000-0000-0000E6380000}"/>
    <cellStyle name="Normal 21 3 4 2_TOM TAT" xfId="10083" xr:uid="{00000000-0005-0000-0000-0000E7380000}"/>
    <cellStyle name="Normal 21 3 4 3" xfId="10084" xr:uid="{00000000-0005-0000-0000-0000E8380000}"/>
    <cellStyle name="Normal 21 3 4 3 2" xfId="10085" xr:uid="{00000000-0005-0000-0000-0000E9380000}"/>
    <cellStyle name="Normal 21 3 4 3 2 2" xfId="10086" xr:uid="{00000000-0005-0000-0000-0000EA380000}"/>
    <cellStyle name="Normal 21 3 4 3 2 2 2" xfId="30211" xr:uid="{00000000-0005-0000-0000-0000EB380000}"/>
    <cellStyle name="Normal 21 3 4 3 2 2 3" xfId="15709" xr:uid="{00000000-0005-0000-0000-0000EC380000}"/>
    <cellStyle name="Normal 21 3 4 3 2 2_TOM TAT" xfId="22964" xr:uid="{00000000-0005-0000-0000-0000ED380000}"/>
    <cellStyle name="Normal 21 3 4 3 2 3" xfId="30210" xr:uid="{00000000-0005-0000-0000-0000EE380000}"/>
    <cellStyle name="Normal 21 3 4 3 2 4" xfId="15708" xr:uid="{00000000-0005-0000-0000-0000EF380000}"/>
    <cellStyle name="Normal 21 3 4 3 2_TOM TAT" xfId="10087" xr:uid="{00000000-0005-0000-0000-0000F0380000}"/>
    <cellStyle name="Normal 21 3 4 3 3" xfId="10088" xr:uid="{00000000-0005-0000-0000-0000F1380000}"/>
    <cellStyle name="Normal 21 3 4 3 3 2" xfId="30212" xr:uid="{00000000-0005-0000-0000-0000F2380000}"/>
    <cellStyle name="Normal 21 3 4 3 3 3" xfId="15710" xr:uid="{00000000-0005-0000-0000-0000F3380000}"/>
    <cellStyle name="Normal 21 3 4 3 3_TOM TAT" xfId="22965" xr:uid="{00000000-0005-0000-0000-0000F4380000}"/>
    <cellStyle name="Normal 21 3 4 3 4" xfId="30209" xr:uid="{00000000-0005-0000-0000-0000F5380000}"/>
    <cellStyle name="Normal 21 3 4 3 5" xfId="15707" xr:uid="{00000000-0005-0000-0000-0000F6380000}"/>
    <cellStyle name="Normal 21 3 4 3_TOM TAT" xfId="10089" xr:uid="{00000000-0005-0000-0000-0000F7380000}"/>
    <cellStyle name="Normal 21 3 4 4" xfId="10090" xr:uid="{00000000-0005-0000-0000-0000F8380000}"/>
    <cellStyle name="Normal 21 3 4 4 2" xfId="10091" xr:uid="{00000000-0005-0000-0000-0000F9380000}"/>
    <cellStyle name="Normal 21 3 4 4 2 2" xfId="30214" xr:uid="{00000000-0005-0000-0000-0000FA380000}"/>
    <cellStyle name="Normal 21 3 4 4 2 3" xfId="15712" xr:uid="{00000000-0005-0000-0000-0000FB380000}"/>
    <cellStyle name="Normal 21 3 4 4 2_TOM TAT" xfId="22966" xr:uid="{00000000-0005-0000-0000-0000FC380000}"/>
    <cellStyle name="Normal 21 3 4 4 3" xfId="30213" xr:uid="{00000000-0005-0000-0000-0000FD380000}"/>
    <cellStyle name="Normal 21 3 4 4 4" xfId="15711" xr:uid="{00000000-0005-0000-0000-0000FE380000}"/>
    <cellStyle name="Normal 21 3 4 4_TOM TAT" xfId="10092" xr:uid="{00000000-0005-0000-0000-0000FF380000}"/>
    <cellStyle name="Normal 21 3 4 5" xfId="10093" xr:uid="{00000000-0005-0000-0000-000000390000}"/>
    <cellStyle name="Normal 21 3 4 5 2" xfId="30215" xr:uid="{00000000-0005-0000-0000-000001390000}"/>
    <cellStyle name="Normal 21 3 4 5 3" xfId="15713" xr:uid="{00000000-0005-0000-0000-000002390000}"/>
    <cellStyle name="Normal 21 3 4 5_TOM TAT" xfId="22967" xr:uid="{00000000-0005-0000-0000-000003390000}"/>
    <cellStyle name="Normal 21 3 4 6" xfId="30204" xr:uid="{00000000-0005-0000-0000-000004390000}"/>
    <cellStyle name="Normal 21 3 4 7" xfId="15702" xr:uid="{00000000-0005-0000-0000-000005390000}"/>
    <cellStyle name="Normal 21 3 4_TOM TAT" xfId="10094" xr:uid="{00000000-0005-0000-0000-000006390000}"/>
    <cellStyle name="Normal 21 3 5" xfId="10095" xr:uid="{00000000-0005-0000-0000-000007390000}"/>
    <cellStyle name="Normal 21 3 5 2" xfId="10096" xr:uid="{00000000-0005-0000-0000-000008390000}"/>
    <cellStyle name="Normal 21 3 5 2 2" xfId="10097" xr:uid="{00000000-0005-0000-0000-000009390000}"/>
    <cellStyle name="Normal 21 3 5 2 2 2" xfId="30218" xr:uid="{00000000-0005-0000-0000-00000A390000}"/>
    <cellStyle name="Normal 21 3 5 2 2 3" xfId="15716" xr:uid="{00000000-0005-0000-0000-00000B390000}"/>
    <cellStyle name="Normal 21 3 5 2 2_TOM TAT" xfId="22968" xr:uid="{00000000-0005-0000-0000-00000C390000}"/>
    <cellStyle name="Normal 21 3 5 2 3" xfId="30217" xr:uid="{00000000-0005-0000-0000-00000D390000}"/>
    <cellStyle name="Normal 21 3 5 2 4" xfId="15715" xr:uid="{00000000-0005-0000-0000-00000E390000}"/>
    <cellStyle name="Normal 21 3 5 2_TOM TAT" xfId="10098" xr:uid="{00000000-0005-0000-0000-00000F390000}"/>
    <cellStyle name="Normal 21 3 5 3" xfId="10099" xr:uid="{00000000-0005-0000-0000-000010390000}"/>
    <cellStyle name="Normal 21 3 5 3 2" xfId="30219" xr:uid="{00000000-0005-0000-0000-000011390000}"/>
    <cellStyle name="Normal 21 3 5 3 3" xfId="15717" xr:uid="{00000000-0005-0000-0000-000012390000}"/>
    <cellStyle name="Normal 21 3 5 3_TOM TAT" xfId="22969" xr:uid="{00000000-0005-0000-0000-000013390000}"/>
    <cellStyle name="Normal 21 3 5 4" xfId="30216" xr:uid="{00000000-0005-0000-0000-000014390000}"/>
    <cellStyle name="Normal 21 3 5 5" xfId="15714" xr:uid="{00000000-0005-0000-0000-000015390000}"/>
    <cellStyle name="Normal 21 3 5_TOM TAT" xfId="10100" xr:uid="{00000000-0005-0000-0000-000016390000}"/>
    <cellStyle name="Normal 21 3 6" xfId="10101" xr:uid="{00000000-0005-0000-0000-000017390000}"/>
    <cellStyle name="Normal 21 3 6 2" xfId="10102" xr:uid="{00000000-0005-0000-0000-000018390000}"/>
    <cellStyle name="Normal 21 3 6 2 2" xfId="10103" xr:uid="{00000000-0005-0000-0000-000019390000}"/>
    <cellStyle name="Normal 21 3 6 2 2 2" xfId="30222" xr:uid="{00000000-0005-0000-0000-00001A390000}"/>
    <cellStyle name="Normal 21 3 6 2 2 3" xfId="15720" xr:uid="{00000000-0005-0000-0000-00001B390000}"/>
    <cellStyle name="Normal 21 3 6 2 2_TOM TAT" xfId="22970" xr:uid="{00000000-0005-0000-0000-00001C390000}"/>
    <cellStyle name="Normal 21 3 6 2 3" xfId="30221" xr:uid="{00000000-0005-0000-0000-00001D390000}"/>
    <cellStyle name="Normal 21 3 6 2 4" xfId="15719" xr:uid="{00000000-0005-0000-0000-00001E390000}"/>
    <cellStyle name="Normal 21 3 6 2_TOM TAT" xfId="10104" xr:uid="{00000000-0005-0000-0000-00001F390000}"/>
    <cellStyle name="Normal 21 3 6 3" xfId="10105" xr:uid="{00000000-0005-0000-0000-000020390000}"/>
    <cellStyle name="Normal 21 3 6 3 2" xfId="30223" xr:uid="{00000000-0005-0000-0000-000021390000}"/>
    <cellStyle name="Normal 21 3 6 3 3" xfId="15721" xr:uid="{00000000-0005-0000-0000-000022390000}"/>
    <cellStyle name="Normal 21 3 6 3_TOM TAT" xfId="22971" xr:uid="{00000000-0005-0000-0000-000023390000}"/>
    <cellStyle name="Normal 21 3 6 4" xfId="30220" xr:uid="{00000000-0005-0000-0000-000024390000}"/>
    <cellStyle name="Normal 21 3 6 5" xfId="15718" xr:uid="{00000000-0005-0000-0000-000025390000}"/>
    <cellStyle name="Normal 21 3 6_TOM TAT" xfId="10106" xr:uid="{00000000-0005-0000-0000-000026390000}"/>
    <cellStyle name="Normal 21 3 7" xfId="10107" xr:uid="{00000000-0005-0000-0000-000027390000}"/>
    <cellStyle name="Normal 21 3 7 2" xfId="10108" xr:uid="{00000000-0005-0000-0000-000028390000}"/>
    <cellStyle name="Normal 21 3 7 2 2" xfId="30225" xr:uid="{00000000-0005-0000-0000-000029390000}"/>
    <cellStyle name="Normal 21 3 7 2 3" xfId="15723" xr:uid="{00000000-0005-0000-0000-00002A390000}"/>
    <cellStyle name="Normal 21 3 7 2_TOM TAT" xfId="22972" xr:uid="{00000000-0005-0000-0000-00002B390000}"/>
    <cellStyle name="Normal 21 3 7 3" xfId="30224" xr:uid="{00000000-0005-0000-0000-00002C390000}"/>
    <cellStyle name="Normal 21 3 7 4" xfId="15722" xr:uid="{00000000-0005-0000-0000-00002D390000}"/>
    <cellStyle name="Normal 21 3 7_TOM TAT" xfId="10109" xr:uid="{00000000-0005-0000-0000-00002E390000}"/>
    <cellStyle name="Normal 21 3 8" xfId="10110" xr:uid="{00000000-0005-0000-0000-00002F390000}"/>
    <cellStyle name="Normal 21 3 8 2" xfId="30226" xr:uid="{00000000-0005-0000-0000-000030390000}"/>
    <cellStyle name="Normal 21 3 8 3" xfId="15724" xr:uid="{00000000-0005-0000-0000-000031390000}"/>
    <cellStyle name="Normal 21 3 8_TOM TAT" xfId="22973" xr:uid="{00000000-0005-0000-0000-000032390000}"/>
    <cellStyle name="Normal 21 3 9" xfId="28243" xr:uid="{00000000-0005-0000-0000-000033390000}"/>
    <cellStyle name="Normal 21 3_TOM TAT" xfId="10111" xr:uid="{00000000-0005-0000-0000-000034390000}"/>
    <cellStyle name="Normal 21 4" xfId="5543" xr:uid="{00000000-0005-0000-0000-000035390000}"/>
    <cellStyle name="Normal 21 4 2" xfId="10112" xr:uid="{00000000-0005-0000-0000-000036390000}"/>
    <cellStyle name="Normal 21 4 2 2" xfId="10113" xr:uid="{00000000-0005-0000-0000-000037390000}"/>
    <cellStyle name="Normal 21 4 2 2 2" xfId="10114" xr:uid="{00000000-0005-0000-0000-000038390000}"/>
    <cellStyle name="Normal 21 4 2 2 2 2" xfId="10115" xr:uid="{00000000-0005-0000-0000-000039390000}"/>
    <cellStyle name="Normal 21 4 2 2 2 2 2" xfId="30230" xr:uid="{00000000-0005-0000-0000-00003A390000}"/>
    <cellStyle name="Normal 21 4 2 2 2 2 3" xfId="15728" xr:uid="{00000000-0005-0000-0000-00003B390000}"/>
    <cellStyle name="Normal 21 4 2 2 2 2_TOM TAT" xfId="22974" xr:uid="{00000000-0005-0000-0000-00003C390000}"/>
    <cellStyle name="Normal 21 4 2 2 2 3" xfId="30229" xr:uid="{00000000-0005-0000-0000-00003D390000}"/>
    <cellStyle name="Normal 21 4 2 2 2 4" xfId="15727" xr:uid="{00000000-0005-0000-0000-00003E390000}"/>
    <cellStyle name="Normal 21 4 2 2 2_TOM TAT" xfId="10116" xr:uid="{00000000-0005-0000-0000-00003F390000}"/>
    <cellStyle name="Normal 21 4 2 2 3" xfId="10117" xr:uid="{00000000-0005-0000-0000-000040390000}"/>
    <cellStyle name="Normal 21 4 2 2 3 2" xfId="30231" xr:uid="{00000000-0005-0000-0000-000041390000}"/>
    <cellStyle name="Normal 21 4 2 2 3 3" xfId="15729" xr:uid="{00000000-0005-0000-0000-000042390000}"/>
    <cellStyle name="Normal 21 4 2 2 3_TOM TAT" xfId="22975" xr:uid="{00000000-0005-0000-0000-000043390000}"/>
    <cellStyle name="Normal 21 4 2 2 4" xfId="30228" xr:uid="{00000000-0005-0000-0000-000044390000}"/>
    <cellStyle name="Normal 21 4 2 2 5" xfId="15726" xr:uid="{00000000-0005-0000-0000-000045390000}"/>
    <cellStyle name="Normal 21 4 2 2_TOM TAT" xfId="10118" xr:uid="{00000000-0005-0000-0000-000046390000}"/>
    <cellStyle name="Normal 21 4 2 3" xfId="10119" xr:uid="{00000000-0005-0000-0000-000047390000}"/>
    <cellStyle name="Normal 21 4 2 3 2" xfId="10120" xr:uid="{00000000-0005-0000-0000-000048390000}"/>
    <cellStyle name="Normal 21 4 2 3 2 2" xfId="10121" xr:uid="{00000000-0005-0000-0000-000049390000}"/>
    <cellStyle name="Normal 21 4 2 3 2 2 2" xfId="30234" xr:uid="{00000000-0005-0000-0000-00004A390000}"/>
    <cellStyle name="Normal 21 4 2 3 2 2 3" xfId="15732" xr:uid="{00000000-0005-0000-0000-00004B390000}"/>
    <cellStyle name="Normal 21 4 2 3 2 2_TOM TAT" xfId="22976" xr:uid="{00000000-0005-0000-0000-00004C390000}"/>
    <cellStyle name="Normal 21 4 2 3 2 3" xfId="30233" xr:uid="{00000000-0005-0000-0000-00004D390000}"/>
    <cellStyle name="Normal 21 4 2 3 2 4" xfId="15731" xr:uid="{00000000-0005-0000-0000-00004E390000}"/>
    <cellStyle name="Normal 21 4 2 3 2_TOM TAT" xfId="10122" xr:uid="{00000000-0005-0000-0000-00004F390000}"/>
    <cellStyle name="Normal 21 4 2 3 3" xfId="10123" xr:uid="{00000000-0005-0000-0000-000050390000}"/>
    <cellStyle name="Normal 21 4 2 3 3 2" xfId="30235" xr:uid="{00000000-0005-0000-0000-000051390000}"/>
    <cellStyle name="Normal 21 4 2 3 3 3" xfId="15733" xr:uid="{00000000-0005-0000-0000-000052390000}"/>
    <cellStyle name="Normal 21 4 2 3 3_TOM TAT" xfId="22977" xr:uid="{00000000-0005-0000-0000-000053390000}"/>
    <cellStyle name="Normal 21 4 2 3 4" xfId="30232" xr:uid="{00000000-0005-0000-0000-000054390000}"/>
    <cellStyle name="Normal 21 4 2 3 5" xfId="15730" xr:uid="{00000000-0005-0000-0000-000055390000}"/>
    <cellStyle name="Normal 21 4 2 3_TOM TAT" xfId="10124" xr:uid="{00000000-0005-0000-0000-000056390000}"/>
    <cellStyle name="Normal 21 4 2 4" xfId="10125" xr:uid="{00000000-0005-0000-0000-000057390000}"/>
    <cellStyle name="Normal 21 4 2 4 2" xfId="10126" xr:uid="{00000000-0005-0000-0000-000058390000}"/>
    <cellStyle name="Normal 21 4 2 4 2 2" xfId="30237" xr:uid="{00000000-0005-0000-0000-000059390000}"/>
    <cellStyle name="Normal 21 4 2 4 2 3" xfId="15735" xr:uid="{00000000-0005-0000-0000-00005A390000}"/>
    <cellStyle name="Normal 21 4 2 4 2_TOM TAT" xfId="22978" xr:uid="{00000000-0005-0000-0000-00005B390000}"/>
    <cellStyle name="Normal 21 4 2 4 3" xfId="30236" xr:uid="{00000000-0005-0000-0000-00005C390000}"/>
    <cellStyle name="Normal 21 4 2 4 4" xfId="15734" xr:uid="{00000000-0005-0000-0000-00005D390000}"/>
    <cellStyle name="Normal 21 4 2 4_TOM TAT" xfId="10127" xr:uid="{00000000-0005-0000-0000-00005E390000}"/>
    <cellStyle name="Normal 21 4 2 5" xfId="10128" xr:uid="{00000000-0005-0000-0000-00005F390000}"/>
    <cellStyle name="Normal 21 4 2 5 2" xfId="30238" xr:uid="{00000000-0005-0000-0000-000060390000}"/>
    <cellStyle name="Normal 21 4 2 5 3" xfId="15736" xr:uid="{00000000-0005-0000-0000-000061390000}"/>
    <cellStyle name="Normal 21 4 2 5_TOM TAT" xfId="22979" xr:uid="{00000000-0005-0000-0000-000062390000}"/>
    <cellStyle name="Normal 21 4 2 6" xfId="30227" xr:uid="{00000000-0005-0000-0000-000063390000}"/>
    <cellStyle name="Normal 21 4 2 7" xfId="15725" xr:uid="{00000000-0005-0000-0000-000064390000}"/>
    <cellStyle name="Normal 21 4 2_TOM TAT" xfId="10129" xr:uid="{00000000-0005-0000-0000-000065390000}"/>
    <cellStyle name="Normal 21 4 3" xfId="10130" xr:uid="{00000000-0005-0000-0000-000066390000}"/>
    <cellStyle name="Normal 21 4 3 2" xfId="10131" xr:uid="{00000000-0005-0000-0000-000067390000}"/>
    <cellStyle name="Normal 21 4 3 2 2" xfId="10132" xr:uid="{00000000-0005-0000-0000-000068390000}"/>
    <cellStyle name="Normal 21 4 3 2 2 2" xfId="30241" xr:uid="{00000000-0005-0000-0000-000069390000}"/>
    <cellStyle name="Normal 21 4 3 2 2 3" xfId="15739" xr:uid="{00000000-0005-0000-0000-00006A390000}"/>
    <cellStyle name="Normal 21 4 3 2 2_TOM TAT" xfId="22980" xr:uid="{00000000-0005-0000-0000-00006B390000}"/>
    <cellStyle name="Normal 21 4 3 2 3" xfId="30240" xr:uid="{00000000-0005-0000-0000-00006C390000}"/>
    <cellStyle name="Normal 21 4 3 2 4" xfId="15738" xr:uid="{00000000-0005-0000-0000-00006D390000}"/>
    <cellStyle name="Normal 21 4 3 2_TOM TAT" xfId="10133" xr:uid="{00000000-0005-0000-0000-00006E390000}"/>
    <cellStyle name="Normal 21 4 3 3" xfId="10134" xr:uid="{00000000-0005-0000-0000-00006F390000}"/>
    <cellStyle name="Normal 21 4 3 3 2" xfId="30242" xr:uid="{00000000-0005-0000-0000-000070390000}"/>
    <cellStyle name="Normal 21 4 3 3 3" xfId="15740" xr:uid="{00000000-0005-0000-0000-000071390000}"/>
    <cellStyle name="Normal 21 4 3 3_TOM TAT" xfId="22981" xr:uid="{00000000-0005-0000-0000-000072390000}"/>
    <cellStyle name="Normal 21 4 3 4" xfId="30239" xr:uid="{00000000-0005-0000-0000-000073390000}"/>
    <cellStyle name="Normal 21 4 3 5" xfId="15737" xr:uid="{00000000-0005-0000-0000-000074390000}"/>
    <cellStyle name="Normal 21 4 3_TOM TAT" xfId="10135" xr:uid="{00000000-0005-0000-0000-000075390000}"/>
    <cellStyle name="Normal 21 4 4" xfId="10136" xr:uid="{00000000-0005-0000-0000-000076390000}"/>
    <cellStyle name="Normal 21 4 4 2" xfId="10137" xr:uid="{00000000-0005-0000-0000-000077390000}"/>
    <cellStyle name="Normal 21 4 4 2 2" xfId="10138" xr:uid="{00000000-0005-0000-0000-000078390000}"/>
    <cellStyle name="Normal 21 4 4 2 2 2" xfId="30245" xr:uid="{00000000-0005-0000-0000-000079390000}"/>
    <cellStyle name="Normal 21 4 4 2 2 3" xfId="15743" xr:uid="{00000000-0005-0000-0000-00007A390000}"/>
    <cellStyle name="Normal 21 4 4 2 2_TOM TAT" xfId="22982" xr:uid="{00000000-0005-0000-0000-00007B390000}"/>
    <cellStyle name="Normal 21 4 4 2 3" xfId="30244" xr:uid="{00000000-0005-0000-0000-00007C390000}"/>
    <cellStyle name="Normal 21 4 4 2 4" xfId="15742" xr:uid="{00000000-0005-0000-0000-00007D390000}"/>
    <cellStyle name="Normal 21 4 4 2_TOM TAT" xfId="10139" xr:uid="{00000000-0005-0000-0000-00007E390000}"/>
    <cellStyle name="Normal 21 4 4 3" xfId="10140" xr:uid="{00000000-0005-0000-0000-00007F390000}"/>
    <cellStyle name="Normal 21 4 4 3 2" xfId="30246" xr:uid="{00000000-0005-0000-0000-000080390000}"/>
    <cellStyle name="Normal 21 4 4 3 3" xfId="15744" xr:uid="{00000000-0005-0000-0000-000081390000}"/>
    <cellStyle name="Normal 21 4 4 3_TOM TAT" xfId="22983" xr:uid="{00000000-0005-0000-0000-000082390000}"/>
    <cellStyle name="Normal 21 4 4 4" xfId="30243" xr:uid="{00000000-0005-0000-0000-000083390000}"/>
    <cellStyle name="Normal 21 4 4 5" xfId="15741" xr:uid="{00000000-0005-0000-0000-000084390000}"/>
    <cellStyle name="Normal 21 4 4_TOM TAT" xfId="10141" xr:uid="{00000000-0005-0000-0000-000085390000}"/>
    <cellStyle name="Normal 21 4 5" xfId="10142" xr:uid="{00000000-0005-0000-0000-000086390000}"/>
    <cellStyle name="Normal 21 4 5 2" xfId="10143" xr:uid="{00000000-0005-0000-0000-000087390000}"/>
    <cellStyle name="Normal 21 4 5 2 2" xfId="30248" xr:uid="{00000000-0005-0000-0000-000088390000}"/>
    <cellStyle name="Normal 21 4 5 2 3" xfId="15746" xr:uid="{00000000-0005-0000-0000-000089390000}"/>
    <cellStyle name="Normal 21 4 5 2_TOM TAT" xfId="22984" xr:uid="{00000000-0005-0000-0000-00008A390000}"/>
    <cellStyle name="Normal 21 4 5 3" xfId="30247" xr:uid="{00000000-0005-0000-0000-00008B390000}"/>
    <cellStyle name="Normal 21 4 5 4" xfId="15745" xr:uid="{00000000-0005-0000-0000-00008C390000}"/>
    <cellStyle name="Normal 21 4 5_TOM TAT" xfId="10144" xr:uid="{00000000-0005-0000-0000-00008D390000}"/>
    <cellStyle name="Normal 21 4 6" xfId="10145" xr:uid="{00000000-0005-0000-0000-00008E390000}"/>
    <cellStyle name="Normal 21 4 6 2" xfId="30249" xr:uid="{00000000-0005-0000-0000-00008F390000}"/>
    <cellStyle name="Normal 21 4 6 3" xfId="15747" xr:uid="{00000000-0005-0000-0000-000090390000}"/>
    <cellStyle name="Normal 21 4 6_TOM TAT" xfId="22985" xr:uid="{00000000-0005-0000-0000-000091390000}"/>
    <cellStyle name="Normal 21 4 7" xfId="28245" xr:uid="{00000000-0005-0000-0000-000092390000}"/>
    <cellStyle name="Normal 21 4 8" xfId="14684" xr:uid="{00000000-0005-0000-0000-000093390000}"/>
    <cellStyle name="Normal 21 4_TOM TAT" xfId="10146" xr:uid="{00000000-0005-0000-0000-000094390000}"/>
    <cellStyle name="Normal 21 5" xfId="5544" xr:uid="{00000000-0005-0000-0000-000095390000}"/>
    <cellStyle name="Normal 21 5 2" xfId="10147" xr:uid="{00000000-0005-0000-0000-000096390000}"/>
    <cellStyle name="Normal 21 5 2 2" xfId="10148" xr:uid="{00000000-0005-0000-0000-000097390000}"/>
    <cellStyle name="Normal 21 5 2 2 2" xfId="10149" xr:uid="{00000000-0005-0000-0000-000098390000}"/>
    <cellStyle name="Normal 21 5 2 2 2 2" xfId="30252" xr:uid="{00000000-0005-0000-0000-000099390000}"/>
    <cellStyle name="Normal 21 5 2 2 2 3" xfId="15750" xr:uid="{00000000-0005-0000-0000-00009A390000}"/>
    <cellStyle name="Normal 21 5 2 2 2_TOM TAT" xfId="22986" xr:uid="{00000000-0005-0000-0000-00009B390000}"/>
    <cellStyle name="Normal 21 5 2 2 3" xfId="30251" xr:uid="{00000000-0005-0000-0000-00009C390000}"/>
    <cellStyle name="Normal 21 5 2 2 4" xfId="15749" xr:uid="{00000000-0005-0000-0000-00009D390000}"/>
    <cellStyle name="Normal 21 5 2 2_TOM TAT" xfId="10150" xr:uid="{00000000-0005-0000-0000-00009E390000}"/>
    <cellStyle name="Normal 21 5 2 3" xfId="10151" xr:uid="{00000000-0005-0000-0000-00009F390000}"/>
    <cellStyle name="Normal 21 5 2 3 2" xfId="30253" xr:uid="{00000000-0005-0000-0000-0000A0390000}"/>
    <cellStyle name="Normal 21 5 2 3 3" xfId="15751" xr:uid="{00000000-0005-0000-0000-0000A1390000}"/>
    <cellStyle name="Normal 21 5 2 3_TOM TAT" xfId="22987" xr:uid="{00000000-0005-0000-0000-0000A2390000}"/>
    <cellStyle name="Normal 21 5 2 4" xfId="30250" xr:uid="{00000000-0005-0000-0000-0000A3390000}"/>
    <cellStyle name="Normal 21 5 2 5" xfId="15748" xr:uid="{00000000-0005-0000-0000-0000A4390000}"/>
    <cellStyle name="Normal 21 5 2_TOM TAT" xfId="10152" xr:uid="{00000000-0005-0000-0000-0000A5390000}"/>
    <cellStyle name="Normal 21 5 3" xfId="10153" xr:uid="{00000000-0005-0000-0000-0000A6390000}"/>
    <cellStyle name="Normal 21 5 3 2" xfId="10154" xr:uid="{00000000-0005-0000-0000-0000A7390000}"/>
    <cellStyle name="Normal 21 5 3 2 2" xfId="10155" xr:uid="{00000000-0005-0000-0000-0000A8390000}"/>
    <cellStyle name="Normal 21 5 3 2 2 2" xfId="30256" xr:uid="{00000000-0005-0000-0000-0000A9390000}"/>
    <cellStyle name="Normal 21 5 3 2 2 3" xfId="15754" xr:uid="{00000000-0005-0000-0000-0000AA390000}"/>
    <cellStyle name="Normal 21 5 3 2 2_TOM TAT" xfId="22988" xr:uid="{00000000-0005-0000-0000-0000AB390000}"/>
    <cellStyle name="Normal 21 5 3 2 3" xfId="30255" xr:uid="{00000000-0005-0000-0000-0000AC390000}"/>
    <cellStyle name="Normal 21 5 3 2 4" xfId="15753" xr:uid="{00000000-0005-0000-0000-0000AD390000}"/>
    <cellStyle name="Normal 21 5 3 2_TOM TAT" xfId="10156" xr:uid="{00000000-0005-0000-0000-0000AE390000}"/>
    <cellStyle name="Normal 21 5 3 3" xfId="10157" xr:uid="{00000000-0005-0000-0000-0000AF390000}"/>
    <cellStyle name="Normal 21 5 3 3 2" xfId="30257" xr:uid="{00000000-0005-0000-0000-0000B0390000}"/>
    <cellStyle name="Normal 21 5 3 3 3" xfId="15755" xr:uid="{00000000-0005-0000-0000-0000B1390000}"/>
    <cellStyle name="Normal 21 5 3 3_TOM TAT" xfId="22989" xr:uid="{00000000-0005-0000-0000-0000B2390000}"/>
    <cellStyle name="Normal 21 5 3 4" xfId="30254" xr:uid="{00000000-0005-0000-0000-0000B3390000}"/>
    <cellStyle name="Normal 21 5 3 5" xfId="15752" xr:uid="{00000000-0005-0000-0000-0000B4390000}"/>
    <cellStyle name="Normal 21 5 3_TOM TAT" xfId="10158" xr:uid="{00000000-0005-0000-0000-0000B5390000}"/>
    <cellStyle name="Normal 21 5 4" xfId="10159" xr:uid="{00000000-0005-0000-0000-0000B6390000}"/>
    <cellStyle name="Normal 21 5 4 2" xfId="10160" xr:uid="{00000000-0005-0000-0000-0000B7390000}"/>
    <cellStyle name="Normal 21 5 4 2 2" xfId="30259" xr:uid="{00000000-0005-0000-0000-0000B8390000}"/>
    <cellStyle name="Normal 21 5 4 2 3" xfId="15757" xr:uid="{00000000-0005-0000-0000-0000B9390000}"/>
    <cellStyle name="Normal 21 5 4 2_TOM TAT" xfId="22990" xr:uid="{00000000-0005-0000-0000-0000BA390000}"/>
    <cellStyle name="Normal 21 5 4 3" xfId="30258" xr:uid="{00000000-0005-0000-0000-0000BB390000}"/>
    <cellStyle name="Normal 21 5 4 4" xfId="15756" xr:uid="{00000000-0005-0000-0000-0000BC390000}"/>
    <cellStyle name="Normal 21 5 4_TOM TAT" xfId="10161" xr:uid="{00000000-0005-0000-0000-0000BD390000}"/>
    <cellStyle name="Normal 21 5 5" xfId="10162" xr:uid="{00000000-0005-0000-0000-0000BE390000}"/>
    <cellStyle name="Normal 21 5 5 2" xfId="30260" xr:uid="{00000000-0005-0000-0000-0000BF390000}"/>
    <cellStyle name="Normal 21 5 5 3" xfId="15758" xr:uid="{00000000-0005-0000-0000-0000C0390000}"/>
    <cellStyle name="Normal 21 5 5_TOM TAT" xfId="22991" xr:uid="{00000000-0005-0000-0000-0000C1390000}"/>
    <cellStyle name="Normal 21 5 6" xfId="28246" xr:uid="{00000000-0005-0000-0000-0000C2390000}"/>
    <cellStyle name="Normal 21 5 7" xfId="14685" xr:uid="{00000000-0005-0000-0000-0000C3390000}"/>
    <cellStyle name="Normal 21 5_TOM TAT" xfId="10163" xr:uid="{00000000-0005-0000-0000-0000C4390000}"/>
    <cellStyle name="Normal 21 6" xfId="10164" xr:uid="{00000000-0005-0000-0000-0000C5390000}"/>
    <cellStyle name="Normal 21 6 2" xfId="10165" xr:uid="{00000000-0005-0000-0000-0000C6390000}"/>
    <cellStyle name="Normal 21 6 2 2" xfId="10166" xr:uid="{00000000-0005-0000-0000-0000C7390000}"/>
    <cellStyle name="Normal 21 6 2 2 2" xfId="10167" xr:uid="{00000000-0005-0000-0000-0000C8390000}"/>
    <cellStyle name="Normal 21 6 2 2 2 2" xfId="30264" xr:uid="{00000000-0005-0000-0000-0000C9390000}"/>
    <cellStyle name="Normal 21 6 2 2 2 3" xfId="15762" xr:uid="{00000000-0005-0000-0000-0000CA390000}"/>
    <cellStyle name="Normal 21 6 2 2 2_TOM TAT" xfId="22992" xr:uid="{00000000-0005-0000-0000-0000CB390000}"/>
    <cellStyle name="Normal 21 6 2 2 3" xfId="30263" xr:uid="{00000000-0005-0000-0000-0000CC390000}"/>
    <cellStyle name="Normal 21 6 2 2 4" xfId="15761" xr:uid="{00000000-0005-0000-0000-0000CD390000}"/>
    <cellStyle name="Normal 21 6 2 2_TOM TAT" xfId="10168" xr:uid="{00000000-0005-0000-0000-0000CE390000}"/>
    <cellStyle name="Normal 21 6 2 3" xfId="10169" xr:uid="{00000000-0005-0000-0000-0000CF390000}"/>
    <cellStyle name="Normal 21 6 2 3 2" xfId="30265" xr:uid="{00000000-0005-0000-0000-0000D0390000}"/>
    <cellStyle name="Normal 21 6 2 3 3" xfId="15763" xr:uid="{00000000-0005-0000-0000-0000D1390000}"/>
    <cellStyle name="Normal 21 6 2 3_TOM TAT" xfId="22993" xr:uid="{00000000-0005-0000-0000-0000D2390000}"/>
    <cellStyle name="Normal 21 6 2 4" xfId="30262" xr:uid="{00000000-0005-0000-0000-0000D3390000}"/>
    <cellStyle name="Normal 21 6 2 5" xfId="15760" xr:uid="{00000000-0005-0000-0000-0000D4390000}"/>
    <cellStyle name="Normal 21 6 2_TOM TAT" xfId="10170" xr:uid="{00000000-0005-0000-0000-0000D5390000}"/>
    <cellStyle name="Normal 21 6 3" xfId="10171" xr:uid="{00000000-0005-0000-0000-0000D6390000}"/>
    <cellStyle name="Normal 21 6 3 2" xfId="10172" xr:uid="{00000000-0005-0000-0000-0000D7390000}"/>
    <cellStyle name="Normal 21 6 3 2 2" xfId="10173" xr:uid="{00000000-0005-0000-0000-0000D8390000}"/>
    <cellStyle name="Normal 21 6 3 2 2 2" xfId="30268" xr:uid="{00000000-0005-0000-0000-0000D9390000}"/>
    <cellStyle name="Normal 21 6 3 2 2 3" xfId="15766" xr:uid="{00000000-0005-0000-0000-0000DA390000}"/>
    <cellStyle name="Normal 21 6 3 2 2_TOM TAT" xfId="22994" xr:uid="{00000000-0005-0000-0000-0000DB390000}"/>
    <cellStyle name="Normal 21 6 3 2 3" xfId="30267" xr:uid="{00000000-0005-0000-0000-0000DC390000}"/>
    <cellStyle name="Normal 21 6 3 2 4" xfId="15765" xr:uid="{00000000-0005-0000-0000-0000DD390000}"/>
    <cellStyle name="Normal 21 6 3 2_TOM TAT" xfId="10174" xr:uid="{00000000-0005-0000-0000-0000DE390000}"/>
    <cellStyle name="Normal 21 6 3 3" xfId="10175" xr:uid="{00000000-0005-0000-0000-0000DF390000}"/>
    <cellStyle name="Normal 21 6 3 3 2" xfId="30269" xr:uid="{00000000-0005-0000-0000-0000E0390000}"/>
    <cellStyle name="Normal 21 6 3 3 3" xfId="15767" xr:uid="{00000000-0005-0000-0000-0000E1390000}"/>
    <cellStyle name="Normal 21 6 3 3_TOM TAT" xfId="22995" xr:uid="{00000000-0005-0000-0000-0000E2390000}"/>
    <cellStyle name="Normal 21 6 3 4" xfId="30266" xr:uid="{00000000-0005-0000-0000-0000E3390000}"/>
    <cellStyle name="Normal 21 6 3 5" xfId="15764" xr:uid="{00000000-0005-0000-0000-0000E4390000}"/>
    <cellStyle name="Normal 21 6 3_TOM TAT" xfId="10176" xr:uid="{00000000-0005-0000-0000-0000E5390000}"/>
    <cellStyle name="Normal 21 6 4" xfId="10177" xr:uid="{00000000-0005-0000-0000-0000E6390000}"/>
    <cellStyle name="Normal 21 6 4 2" xfId="10178" xr:uid="{00000000-0005-0000-0000-0000E7390000}"/>
    <cellStyle name="Normal 21 6 4 2 2" xfId="30271" xr:uid="{00000000-0005-0000-0000-0000E8390000}"/>
    <cellStyle name="Normal 21 6 4 2 3" xfId="15769" xr:uid="{00000000-0005-0000-0000-0000E9390000}"/>
    <cellStyle name="Normal 21 6 4 2_TOM TAT" xfId="22996" xr:uid="{00000000-0005-0000-0000-0000EA390000}"/>
    <cellStyle name="Normal 21 6 4 3" xfId="30270" xr:uid="{00000000-0005-0000-0000-0000EB390000}"/>
    <cellStyle name="Normal 21 6 4 4" xfId="15768" xr:uid="{00000000-0005-0000-0000-0000EC390000}"/>
    <cellStyle name="Normal 21 6 4_TOM TAT" xfId="10179" xr:uid="{00000000-0005-0000-0000-0000ED390000}"/>
    <cellStyle name="Normal 21 6 5" xfId="10180" xr:uid="{00000000-0005-0000-0000-0000EE390000}"/>
    <cellStyle name="Normal 21 6 5 2" xfId="30272" xr:uid="{00000000-0005-0000-0000-0000EF390000}"/>
    <cellStyle name="Normal 21 6 5 3" xfId="15770" xr:uid="{00000000-0005-0000-0000-0000F0390000}"/>
    <cellStyle name="Normal 21 6 5_TOM TAT" xfId="22997" xr:uid="{00000000-0005-0000-0000-0000F1390000}"/>
    <cellStyle name="Normal 21 6 6" xfId="30261" xr:uid="{00000000-0005-0000-0000-0000F2390000}"/>
    <cellStyle name="Normal 21 6 7" xfId="15759" xr:uid="{00000000-0005-0000-0000-0000F3390000}"/>
    <cellStyle name="Normal 21 6_TOM TAT" xfId="10181" xr:uid="{00000000-0005-0000-0000-0000F4390000}"/>
    <cellStyle name="Normal 21 7" xfId="10182" xr:uid="{00000000-0005-0000-0000-0000F5390000}"/>
    <cellStyle name="Normal 21 7 2" xfId="10183" xr:uid="{00000000-0005-0000-0000-0000F6390000}"/>
    <cellStyle name="Normal 21 7 2 2" xfId="10184" xr:uid="{00000000-0005-0000-0000-0000F7390000}"/>
    <cellStyle name="Normal 21 7 2 2 2" xfId="30275" xr:uid="{00000000-0005-0000-0000-0000F8390000}"/>
    <cellStyle name="Normal 21 7 2 2 3" xfId="15773" xr:uid="{00000000-0005-0000-0000-0000F9390000}"/>
    <cellStyle name="Normal 21 7 2 2_TOM TAT" xfId="22998" xr:uid="{00000000-0005-0000-0000-0000FA390000}"/>
    <cellStyle name="Normal 21 7 2 3" xfId="30274" xr:uid="{00000000-0005-0000-0000-0000FB390000}"/>
    <cellStyle name="Normal 21 7 2 4" xfId="15772" xr:uid="{00000000-0005-0000-0000-0000FC390000}"/>
    <cellStyle name="Normal 21 7 2_TOM TAT" xfId="10185" xr:uid="{00000000-0005-0000-0000-0000FD390000}"/>
    <cellStyle name="Normal 21 7 3" xfId="10186" xr:uid="{00000000-0005-0000-0000-0000FE390000}"/>
    <cellStyle name="Normal 21 7 3 2" xfId="30276" xr:uid="{00000000-0005-0000-0000-0000FF390000}"/>
    <cellStyle name="Normal 21 7 3 3" xfId="15774" xr:uid="{00000000-0005-0000-0000-0000003A0000}"/>
    <cellStyle name="Normal 21 7 3_TOM TAT" xfId="22999" xr:uid="{00000000-0005-0000-0000-0000013A0000}"/>
    <cellStyle name="Normal 21 7 4" xfId="30273" xr:uid="{00000000-0005-0000-0000-0000023A0000}"/>
    <cellStyle name="Normal 21 7 5" xfId="15771" xr:uid="{00000000-0005-0000-0000-0000033A0000}"/>
    <cellStyle name="Normal 21 7_TOM TAT" xfId="10187" xr:uid="{00000000-0005-0000-0000-0000043A0000}"/>
    <cellStyle name="Normal 21 8" xfId="10188" xr:uid="{00000000-0005-0000-0000-0000053A0000}"/>
    <cellStyle name="Normal 21 8 2" xfId="10189" xr:uid="{00000000-0005-0000-0000-0000063A0000}"/>
    <cellStyle name="Normal 21 8 2 2" xfId="10190" xr:uid="{00000000-0005-0000-0000-0000073A0000}"/>
    <cellStyle name="Normal 21 8 2 2 2" xfId="30279" xr:uid="{00000000-0005-0000-0000-0000083A0000}"/>
    <cellStyle name="Normal 21 8 2 2 3" xfId="15777" xr:uid="{00000000-0005-0000-0000-0000093A0000}"/>
    <cellStyle name="Normal 21 8 2 2_TOM TAT" xfId="23000" xr:uid="{00000000-0005-0000-0000-00000A3A0000}"/>
    <cellStyle name="Normal 21 8 2 3" xfId="30278" xr:uid="{00000000-0005-0000-0000-00000B3A0000}"/>
    <cellStyle name="Normal 21 8 2 4" xfId="15776" xr:uid="{00000000-0005-0000-0000-00000C3A0000}"/>
    <cellStyle name="Normal 21 8 2_TOM TAT" xfId="10191" xr:uid="{00000000-0005-0000-0000-00000D3A0000}"/>
    <cellStyle name="Normal 21 8 3" xfId="10192" xr:uid="{00000000-0005-0000-0000-00000E3A0000}"/>
    <cellStyle name="Normal 21 8 3 2" xfId="30280" xr:uid="{00000000-0005-0000-0000-00000F3A0000}"/>
    <cellStyle name="Normal 21 8 3 3" xfId="15778" xr:uid="{00000000-0005-0000-0000-0000103A0000}"/>
    <cellStyle name="Normal 21 8 3_TOM TAT" xfId="23001" xr:uid="{00000000-0005-0000-0000-0000113A0000}"/>
    <cellStyle name="Normal 21 8 4" xfId="30277" xr:uid="{00000000-0005-0000-0000-0000123A0000}"/>
    <cellStyle name="Normal 21 8 5" xfId="15775" xr:uid="{00000000-0005-0000-0000-0000133A0000}"/>
    <cellStyle name="Normal 21 8_TOM TAT" xfId="10193" xr:uid="{00000000-0005-0000-0000-0000143A0000}"/>
    <cellStyle name="Normal 21 9" xfId="10194" xr:uid="{00000000-0005-0000-0000-0000153A0000}"/>
    <cellStyle name="Normal 21 9 2" xfId="10195" xr:uid="{00000000-0005-0000-0000-0000163A0000}"/>
    <cellStyle name="Normal 21 9 2 2" xfId="30282" xr:uid="{00000000-0005-0000-0000-0000173A0000}"/>
    <cellStyle name="Normal 21 9 2 3" xfId="15780" xr:uid="{00000000-0005-0000-0000-0000183A0000}"/>
    <cellStyle name="Normal 21 9 2_TOM TAT" xfId="23002" xr:uid="{00000000-0005-0000-0000-0000193A0000}"/>
    <cellStyle name="Normal 21 9 3" xfId="30281" xr:uid="{00000000-0005-0000-0000-00001A3A0000}"/>
    <cellStyle name="Normal 21 9 4" xfId="15779" xr:uid="{00000000-0005-0000-0000-00001B3A0000}"/>
    <cellStyle name="Normal 21 9_TOM TAT" xfId="10196" xr:uid="{00000000-0005-0000-0000-00001C3A0000}"/>
    <cellStyle name="Normal 21_TOM TAT" xfId="10197" xr:uid="{00000000-0005-0000-0000-00001D3A0000}"/>
    <cellStyle name="Normal 22" xfId="3276" xr:uid="{00000000-0005-0000-0000-00001E3A0000}"/>
    <cellStyle name="Normal 22 2" xfId="10198" xr:uid="{00000000-0005-0000-0000-00001F3A0000}"/>
    <cellStyle name="Normal 22 2 2" xfId="10199" xr:uid="{00000000-0005-0000-0000-0000203A0000}"/>
    <cellStyle name="Normal 22 2 2 2" xfId="10200" xr:uid="{00000000-0005-0000-0000-0000213A0000}"/>
    <cellStyle name="Normal 22 2 2 2 2" xfId="30285" xr:uid="{00000000-0005-0000-0000-0000223A0000}"/>
    <cellStyle name="Normal 22 2 2 2 3" xfId="15783" xr:uid="{00000000-0005-0000-0000-0000233A0000}"/>
    <cellStyle name="Normal 22 2 2 2_TOM TAT" xfId="23003" xr:uid="{00000000-0005-0000-0000-0000243A0000}"/>
    <cellStyle name="Normal 22 2 2 3" xfId="30284" xr:uid="{00000000-0005-0000-0000-0000253A0000}"/>
    <cellStyle name="Normal 22 2 2 4" xfId="15782" xr:uid="{00000000-0005-0000-0000-0000263A0000}"/>
    <cellStyle name="Normal 22 2 2_TOM TAT" xfId="10201" xr:uid="{00000000-0005-0000-0000-0000273A0000}"/>
    <cellStyle name="Normal 22 2 3" xfId="10202" xr:uid="{00000000-0005-0000-0000-0000283A0000}"/>
    <cellStyle name="Normal 22 2 3 2" xfId="30286" xr:uid="{00000000-0005-0000-0000-0000293A0000}"/>
    <cellStyle name="Normal 22 2 3 3" xfId="15784" xr:uid="{00000000-0005-0000-0000-00002A3A0000}"/>
    <cellStyle name="Normal 22 2 3_TOM TAT" xfId="23004" xr:uid="{00000000-0005-0000-0000-00002B3A0000}"/>
    <cellStyle name="Normal 22 2 4" xfId="18672" xr:uid="{00000000-0005-0000-0000-00002C3A0000}"/>
    <cellStyle name="Normal 22 2 4 2" xfId="31792" xr:uid="{00000000-0005-0000-0000-00002D3A0000}"/>
    <cellStyle name="Normal 22 2 4_TOM TAT" xfId="23005" xr:uid="{00000000-0005-0000-0000-00002E3A0000}"/>
    <cellStyle name="Normal 22 2 5" xfId="18947" xr:uid="{00000000-0005-0000-0000-00002F3A0000}"/>
    <cellStyle name="Normal 22 2 5 2" xfId="31864" xr:uid="{00000000-0005-0000-0000-0000303A0000}"/>
    <cellStyle name="Normal 22 2 5_TOM TAT" xfId="23006" xr:uid="{00000000-0005-0000-0000-0000313A0000}"/>
    <cellStyle name="Normal 22 2 6" xfId="30283" xr:uid="{00000000-0005-0000-0000-0000323A0000}"/>
    <cellStyle name="Normal 22 2 7" xfId="15781" xr:uid="{00000000-0005-0000-0000-0000333A0000}"/>
    <cellStyle name="Normal 22 2_TOM TAT" xfId="10203" xr:uid="{00000000-0005-0000-0000-0000343A0000}"/>
    <cellStyle name="Normal 22 3" xfId="10204" xr:uid="{00000000-0005-0000-0000-0000353A0000}"/>
    <cellStyle name="Normal 22 4" xfId="18601" xr:uid="{00000000-0005-0000-0000-0000363A0000}"/>
    <cellStyle name="Normal 22 4 2" xfId="31768" xr:uid="{00000000-0005-0000-0000-0000373A0000}"/>
    <cellStyle name="Normal 22 4_TOM TAT" xfId="23007" xr:uid="{00000000-0005-0000-0000-0000383A0000}"/>
    <cellStyle name="Normal 22 5" xfId="18918" xr:uid="{00000000-0005-0000-0000-0000393A0000}"/>
    <cellStyle name="Normal 22 5 2" xfId="31843" xr:uid="{00000000-0005-0000-0000-00003A3A0000}"/>
    <cellStyle name="Normal 22 5_TOM TAT" xfId="23008" xr:uid="{00000000-0005-0000-0000-00003B3A0000}"/>
    <cellStyle name="Normal 23" xfId="4841" xr:uid="{00000000-0005-0000-0000-00003C3A0000}"/>
    <cellStyle name="Normal 23 2" xfId="5545" xr:uid="{00000000-0005-0000-0000-00003D3A0000}"/>
    <cellStyle name="Normal 23 2 2" xfId="10205" xr:uid="{00000000-0005-0000-0000-00003E3A0000}"/>
    <cellStyle name="Normal 23 2 2 2" xfId="10206" xr:uid="{00000000-0005-0000-0000-00003F3A0000}"/>
    <cellStyle name="Normal 23 2 2 2 2" xfId="10207" xr:uid="{00000000-0005-0000-0000-0000403A0000}"/>
    <cellStyle name="Normal 23 2 2 2 2 2" xfId="10208" xr:uid="{00000000-0005-0000-0000-0000413A0000}"/>
    <cellStyle name="Normal 23 2 2 2 2 2 2" xfId="10209" xr:uid="{00000000-0005-0000-0000-0000423A0000}"/>
    <cellStyle name="Normal 23 2 2 2 2 2 2 2" xfId="10210" xr:uid="{00000000-0005-0000-0000-0000433A0000}"/>
    <cellStyle name="Normal 23 2 2 2 2 2 2 2 2" xfId="10211" xr:uid="{00000000-0005-0000-0000-0000443A0000}"/>
    <cellStyle name="Normal 23 2 2 2 2 2 2 2 2 2" xfId="30293" xr:uid="{00000000-0005-0000-0000-0000453A0000}"/>
    <cellStyle name="Normal 23 2 2 2 2 2 2 2 2 3" xfId="15791" xr:uid="{00000000-0005-0000-0000-0000463A0000}"/>
    <cellStyle name="Normal 23 2 2 2 2 2 2 2 2_TOM TAT" xfId="23009" xr:uid="{00000000-0005-0000-0000-0000473A0000}"/>
    <cellStyle name="Normal 23 2 2 2 2 2 2 2 3" xfId="30292" xr:uid="{00000000-0005-0000-0000-0000483A0000}"/>
    <cellStyle name="Normal 23 2 2 2 2 2 2 2 4" xfId="15790" xr:uid="{00000000-0005-0000-0000-0000493A0000}"/>
    <cellStyle name="Normal 23 2 2 2 2 2 2 2_TOM TAT" xfId="10212" xr:uid="{00000000-0005-0000-0000-00004A3A0000}"/>
    <cellStyle name="Normal 23 2 2 2 2 2 2 3" xfId="10213" xr:uid="{00000000-0005-0000-0000-00004B3A0000}"/>
    <cellStyle name="Normal 23 2 2 2 2 2 2 3 2" xfId="14610" xr:uid="{00000000-0005-0000-0000-00004C3A0000}"/>
    <cellStyle name="Normal 23 2 2 2 2 2 2 3 2 2" xfId="31910" xr:uid="{00000000-0005-0000-0000-00004D3A0000}"/>
    <cellStyle name="Normal 23 2 2 2 2 2 2 3 2_TOM TAT" xfId="23011" xr:uid="{00000000-0005-0000-0000-00004E3A0000}"/>
    <cellStyle name="Normal 23 2 2 2 2 2 2 3 3" xfId="14611" xr:uid="{00000000-0005-0000-0000-00004F3A0000}"/>
    <cellStyle name="Normal 23 2 2 2 2 2 2 3 3 2" xfId="19002" xr:uid="{00000000-0005-0000-0000-0000503A0000}"/>
    <cellStyle name="Normal 23 2 2 2 2 2 2 3 3 2 2" xfId="31912" xr:uid="{00000000-0005-0000-0000-0000513A0000}"/>
    <cellStyle name="Normal 23 2 2 2 2 2 2 3 3 2_TOM TAT" xfId="23013" xr:uid="{00000000-0005-0000-0000-0000523A0000}"/>
    <cellStyle name="Normal 23 2 2 2 2 2 2 3 3 3" xfId="31911" xr:uid="{00000000-0005-0000-0000-0000533A0000}"/>
    <cellStyle name="Normal 23 2 2 2 2 2 2 3 3_TOM TAT" xfId="23012" xr:uid="{00000000-0005-0000-0000-0000543A0000}"/>
    <cellStyle name="Normal 23 2 2 2 2 2 2 3 4" xfId="14612" xr:uid="{00000000-0005-0000-0000-0000553A0000}"/>
    <cellStyle name="Normal 23 2 2 2 2 2 2 3 4 2" xfId="31913" xr:uid="{00000000-0005-0000-0000-0000563A0000}"/>
    <cellStyle name="Normal 23 2 2 2 2 2 2 3 4_TOM TAT" xfId="23014" xr:uid="{00000000-0005-0000-0000-0000573A0000}"/>
    <cellStyle name="Normal 23 2 2 2 2 2 2 3 5" xfId="30294" xr:uid="{00000000-0005-0000-0000-0000583A0000}"/>
    <cellStyle name="Normal 23 2 2 2 2 2 2 3 6" xfId="15792" xr:uid="{00000000-0005-0000-0000-0000593A0000}"/>
    <cellStyle name="Normal 23 2 2 2 2 2 2 3_TOM TAT" xfId="23010" xr:uid="{00000000-0005-0000-0000-00005A3A0000}"/>
    <cellStyle name="Normal 23 2 2 2 2 2 2 4" xfId="30291" xr:uid="{00000000-0005-0000-0000-00005B3A0000}"/>
    <cellStyle name="Normal 23 2 2 2 2 2 2 5" xfId="15789" xr:uid="{00000000-0005-0000-0000-00005C3A0000}"/>
    <cellStyle name="Normal 23 2 2 2 2 2 2_TOM TAT" xfId="10214" xr:uid="{00000000-0005-0000-0000-00005D3A0000}"/>
    <cellStyle name="Normal 23 2 2 2 2 2 3" xfId="10215" xr:uid="{00000000-0005-0000-0000-00005E3A0000}"/>
    <cellStyle name="Normal 23 2 2 2 2 2 3 2" xfId="30295" xr:uid="{00000000-0005-0000-0000-00005F3A0000}"/>
    <cellStyle name="Normal 23 2 2 2 2 2 3 3" xfId="15793" xr:uid="{00000000-0005-0000-0000-0000603A0000}"/>
    <cellStyle name="Normal 23 2 2 2 2 2 3_TOM TAT" xfId="23015" xr:uid="{00000000-0005-0000-0000-0000613A0000}"/>
    <cellStyle name="Normal 23 2 2 2 2 2 4" xfId="30290" xr:uid="{00000000-0005-0000-0000-0000623A0000}"/>
    <cellStyle name="Normal 23 2 2 2 2 2 5" xfId="15788" xr:uid="{00000000-0005-0000-0000-0000633A0000}"/>
    <cellStyle name="Normal 23 2 2 2 2 2_TOM TAT" xfId="10216" xr:uid="{00000000-0005-0000-0000-0000643A0000}"/>
    <cellStyle name="Normal 23 2 2 2 2 3" xfId="10217" xr:uid="{00000000-0005-0000-0000-0000653A0000}"/>
    <cellStyle name="Normal 23 2 2 2 2 3 2" xfId="30296" xr:uid="{00000000-0005-0000-0000-0000663A0000}"/>
    <cellStyle name="Normal 23 2 2 2 2 3 3" xfId="15794" xr:uid="{00000000-0005-0000-0000-0000673A0000}"/>
    <cellStyle name="Normal 23 2 2 2 2 3_TOM TAT" xfId="23016" xr:uid="{00000000-0005-0000-0000-0000683A0000}"/>
    <cellStyle name="Normal 23 2 2 2 2 4" xfId="30289" xr:uid="{00000000-0005-0000-0000-0000693A0000}"/>
    <cellStyle name="Normal 23 2 2 2 2 5" xfId="15787" xr:uid="{00000000-0005-0000-0000-00006A3A0000}"/>
    <cellStyle name="Normal 23 2 2 2 2_TOM TAT" xfId="10218" xr:uid="{00000000-0005-0000-0000-00006B3A0000}"/>
    <cellStyle name="Normal 23 2 2 2 3" xfId="10219" xr:uid="{00000000-0005-0000-0000-00006C3A0000}"/>
    <cellStyle name="Normal 23 2 2 2 3 2" xfId="30297" xr:uid="{00000000-0005-0000-0000-00006D3A0000}"/>
    <cellStyle name="Normal 23 2 2 2 3 3" xfId="15795" xr:uid="{00000000-0005-0000-0000-00006E3A0000}"/>
    <cellStyle name="Normal 23 2 2 2 3_TOM TAT" xfId="23017" xr:uid="{00000000-0005-0000-0000-00006F3A0000}"/>
    <cellStyle name="Normal 23 2 2 2 4" xfId="30288" xr:uid="{00000000-0005-0000-0000-0000703A0000}"/>
    <cellStyle name="Normal 23 2 2 2 5" xfId="15786" xr:uid="{00000000-0005-0000-0000-0000713A0000}"/>
    <cellStyle name="Normal 23 2 2 2_TOM TAT" xfId="10220" xr:uid="{00000000-0005-0000-0000-0000723A0000}"/>
    <cellStyle name="Normal 23 2 2 3" xfId="10221" xr:uid="{00000000-0005-0000-0000-0000733A0000}"/>
    <cellStyle name="Normal 23 2 2 3 2" xfId="10222" xr:uid="{00000000-0005-0000-0000-0000743A0000}"/>
    <cellStyle name="Normal 23 2 2 3 2 2" xfId="30299" xr:uid="{00000000-0005-0000-0000-0000753A0000}"/>
    <cellStyle name="Normal 23 2 2 3 2 3" xfId="15797" xr:uid="{00000000-0005-0000-0000-0000763A0000}"/>
    <cellStyle name="Normal 23 2 2 3 2_TOM TAT" xfId="23018" xr:uid="{00000000-0005-0000-0000-0000773A0000}"/>
    <cellStyle name="Normal 23 2 2 3 3" xfId="30298" xr:uid="{00000000-0005-0000-0000-0000783A0000}"/>
    <cellStyle name="Normal 23 2 2 3 4" xfId="15796" xr:uid="{00000000-0005-0000-0000-0000793A0000}"/>
    <cellStyle name="Normal 23 2 2 3_TOM TAT" xfId="10223" xr:uid="{00000000-0005-0000-0000-00007A3A0000}"/>
    <cellStyle name="Normal 23 2 2 4" xfId="10224" xr:uid="{00000000-0005-0000-0000-00007B3A0000}"/>
    <cellStyle name="Normal 23 2 2 4 2" xfId="30300" xr:uid="{00000000-0005-0000-0000-00007C3A0000}"/>
    <cellStyle name="Normal 23 2 2 4 3" xfId="15798" xr:uid="{00000000-0005-0000-0000-00007D3A0000}"/>
    <cellStyle name="Normal 23 2 2 4_TOM TAT" xfId="23019" xr:uid="{00000000-0005-0000-0000-00007E3A0000}"/>
    <cellStyle name="Normal 23 2 2 5" xfId="30287" xr:uid="{00000000-0005-0000-0000-00007F3A0000}"/>
    <cellStyle name="Normal 23 2 2 6" xfId="15785" xr:uid="{00000000-0005-0000-0000-0000803A0000}"/>
    <cellStyle name="Normal 23 2 2_TOM TAT" xfId="10225" xr:uid="{00000000-0005-0000-0000-0000813A0000}"/>
    <cellStyle name="Normal 23 2 3" xfId="10226" xr:uid="{00000000-0005-0000-0000-0000823A0000}"/>
    <cellStyle name="Normal 23 2 3 2" xfId="10227" xr:uid="{00000000-0005-0000-0000-0000833A0000}"/>
    <cellStyle name="Normal 23 2 3 2 2" xfId="10228" xr:uid="{00000000-0005-0000-0000-0000843A0000}"/>
    <cellStyle name="Normal 23 2 3 2 2 2" xfId="30303" xr:uid="{00000000-0005-0000-0000-0000853A0000}"/>
    <cellStyle name="Normal 23 2 3 2 2 3" xfId="15801" xr:uid="{00000000-0005-0000-0000-0000863A0000}"/>
    <cellStyle name="Normal 23 2 3 2 2_TOM TAT" xfId="23020" xr:uid="{00000000-0005-0000-0000-0000873A0000}"/>
    <cellStyle name="Normal 23 2 3 2 3" xfId="30302" xr:uid="{00000000-0005-0000-0000-0000883A0000}"/>
    <cellStyle name="Normal 23 2 3 2 4" xfId="15800" xr:uid="{00000000-0005-0000-0000-0000893A0000}"/>
    <cellStyle name="Normal 23 2 3 2_TOM TAT" xfId="10229" xr:uid="{00000000-0005-0000-0000-00008A3A0000}"/>
    <cellStyle name="Normal 23 2 3 3" xfId="10230" xr:uid="{00000000-0005-0000-0000-00008B3A0000}"/>
    <cellStyle name="Normal 23 2 3 3 2" xfId="30304" xr:uid="{00000000-0005-0000-0000-00008C3A0000}"/>
    <cellStyle name="Normal 23 2 3 3 3" xfId="15802" xr:uid="{00000000-0005-0000-0000-00008D3A0000}"/>
    <cellStyle name="Normal 23 2 3 3_TOM TAT" xfId="23021" xr:uid="{00000000-0005-0000-0000-00008E3A0000}"/>
    <cellStyle name="Normal 23 2 3 4" xfId="30301" xr:uid="{00000000-0005-0000-0000-00008F3A0000}"/>
    <cellStyle name="Normal 23 2 3 5" xfId="15799" xr:uid="{00000000-0005-0000-0000-0000903A0000}"/>
    <cellStyle name="Normal 23 2 3_TOM TAT" xfId="10231" xr:uid="{00000000-0005-0000-0000-0000913A0000}"/>
    <cellStyle name="Normal 23 2 4" xfId="10232" xr:uid="{00000000-0005-0000-0000-0000923A0000}"/>
    <cellStyle name="Normal 23 2 4 2" xfId="10233" xr:uid="{00000000-0005-0000-0000-0000933A0000}"/>
    <cellStyle name="Normal 23 2 4 2 2" xfId="30306" xr:uid="{00000000-0005-0000-0000-0000943A0000}"/>
    <cellStyle name="Normal 23 2 4 2 3" xfId="15804" xr:uid="{00000000-0005-0000-0000-0000953A0000}"/>
    <cellStyle name="Normal 23 2 4 2_TOM TAT" xfId="23022" xr:uid="{00000000-0005-0000-0000-0000963A0000}"/>
    <cellStyle name="Normal 23 2 4 3" xfId="30305" xr:uid="{00000000-0005-0000-0000-0000973A0000}"/>
    <cellStyle name="Normal 23 2 4 4" xfId="15803" xr:uid="{00000000-0005-0000-0000-0000983A0000}"/>
    <cellStyle name="Normal 23 2 4_TOM TAT" xfId="10234" xr:uid="{00000000-0005-0000-0000-0000993A0000}"/>
    <cellStyle name="Normal 23 2 5" xfId="10235" xr:uid="{00000000-0005-0000-0000-00009A3A0000}"/>
    <cellStyle name="Normal 23 2 5 2" xfId="30307" xr:uid="{00000000-0005-0000-0000-00009B3A0000}"/>
    <cellStyle name="Normal 23 2 5 3" xfId="15805" xr:uid="{00000000-0005-0000-0000-00009C3A0000}"/>
    <cellStyle name="Normal 23 2 5_TOM TAT" xfId="23023" xr:uid="{00000000-0005-0000-0000-00009D3A0000}"/>
    <cellStyle name="Normal 23 2 6" xfId="18609" xr:uid="{00000000-0005-0000-0000-00009E3A0000}"/>
    <cellStyle name="Normal 23 2 6 2" xfId="31774" xr:uid="{00000000-0005-0000-0000-00009F3A0000}"/>
    <cellStyle name="Normal 23 2 6_TOM TAT" xfId="23024" xr:uid="{00000000-0005-0000-0000-0000A03A0000}"/>
    <cellStyle name="Normal 23 2 7" xfId="18922" xr:uid="{00000000-0005-0000-0000-0000A13A0000}"/>
    <cellStyle name="Normal 23 2 7 2" xfId="31847" xr:uid="{00000000-0005-0000-0000-0000A23A0000}"/>
    <cellStyle name="Normal 23 2 7_TOM TAT" xfId="23025" xr:uid="{00000000-0005-0000-0000-0000A33A0000}"/>
    <cellStyle name="Normal 23 2_TOM TAT" xfId="10236" xr:uid="{00000000-0005-0000-0000-0000A43A0000}"/>
    <cellStyle name="Normal 23 3" xfId="10237" xr:uid="{00000000-0005-0000-0000-0000A53A0000}"/>
    <cellStyle name="Normal 23 3 2" xfId="10238" xr:uid="{00000000-0005-0000-0000-0000A63A0000}"/>
    <cellStyle name="Normal 23 3 2 2" xfId="10239" xr:uid="{00000000-0005-0000-0000-0000A73A0000}"/>
    <cellStyle name="Normal 23 3 2 2 2" xfId="10240" xr:uid="{00000000-0005-0000-0000-0000A83A0000}"/>
    <cellStyle name="Normal 23 3 2 2 2 2" xfId="30311" xr:uid="{00000000-0005-0000-0000-0000A93A0000}"/>
    <cellStyle name="Normal 23 3 2 2 2 3" xfId="15809" xr:uid="{00000000-0005-0000-0000-0000AA3A0000}"/>
    <cellStyle name="Normal 23 3 2 2 2_TOM TAT" xfId="23026" xr:uid="{00000000-0005-0000-0000-0000AB3A0000}"/>
    <cellStyle name="Normal 23 3 2 2 3" xfId="30310" xr:uid="{00000000-0005-0000-0000-0000AC3A0000}"/>
    <cellStyle name="Normal 23 3 2 2 4" xfId="15808" xr:uid="{00000000-0005-0000-0000-0000AD3A0000}"/>
    <cellStyle name="Normal 23 3 2 2_TOM TAT" xfId="10241" xr:uid="{00000000-0005-0000-0000-0000AE3A0000}"/>
    <cellStyle name="Normal 23 3 2 3" xfId="10242" xr:uid="{00000000-0005-0000-0000-0000AF3A0000}"/>
    <cellStyle name="Normal 23 3 2 3 2" xfId="30312" xr:uid="{00000000-0005-0000-0000-0000B03A0000}"/>
    <cellStyle name="Normal 23 3 2 3 3" xfId="15810" xr:uid="{00000000-0005-0000-0000-0000B13A0000}"/>
    <cellStyle name="Normal 23 3 2 3_TOM TAT" xfId="23027" xr:uid="{00000000-0005-0000-0000-0000B23A0000}"/>
    <cellStyle name="Normal 23 3 2 4" xfId="30309" xr:uid="{00000000-0005-0000-0000-0000B33A0000}"/>
    <cellStyle name="Normal 23 3 2 5" xfId="15807" xr:uid="{00000000-0005-0000-0000-0000B43A0000}"/>
    <cellStyle name="Normal 23 3 2_TOM TAT" xfId="10243" xr:uid="{00000000-0005-0000-0000-0000B53A0000}"/>
    <cellStyle name="Normal 23 3 3" xfId="10244" xr:uid="{00000000-0005-0000-0000-0000B63A0000}"/>
    <cellStyle name="Normal 23 3 3 2" xfId="10245" xr:uid="{00000000-0005-0000-0000-0000B73A0000}"/>
    <cellStyle name="Normal 23 3 3 2 2" xfId="30314" xr:uid="{00000000-0005-0000-0000-0000B83A0000}"/>
    <cellStyle name="Normal 23 3 3 2 3" xfId="15812" xr:uid="{00000000-0005-0000-0000-0000B93A0000}"/>
    <cellStyle name="Normal 23 3 3 2_TOM TAT" xfId="23028" xr:uid="{00000000-0005-0000-0000-0000BA3A0000}"/>
    <cellStyle name="Normal 23 3 3 3" xfId="30313" xr:uid="{00000000-0005-0000-0000-0000BB3A0000}"/>
    <cellStyle name="Normal 23 3 3 4" xfId="15811" xr:uid="{00000000-0005-0000-0000-0000BC3A0000}"/>
    <cellStyle name="Normal 23 3 3_TOM TAT" xfId="10246" xr:uid="{00000000-0005-0000-0000-0000BD3A0000}"/>
    <cellStyle name="Normal 23 3 4" xfId="10247" xr:uid="{00000000-0005-0000-0000-0000BE3A0000}"/>
    <cellStyle name="Normal 23 3 4 2" xfId="30315" xr:uid="{00000000-0005-0000-0000-0000BF3A0000}"/>
    <cellStyle name="Normal 23 3 4 3" xfId="15813" xr:uid="{00000000-0005-0000-0000-0000C03A0000}"/>
    <cellStyle name="Normal 23 3 4_TOM TAT" xfId="23029" xr:uid="{00000000-0005-0000-0000-0000C13A0000}"/>
    <cellStyle name="Normal 23 3 5" xfId="18675" xr:uid="{00000000-0005-0000-0000-0000C23A0000}"/>
    <cellStyle name="Normal 23 3 5 2" xfId="31795" xr:uid="{00000000-0005-0000-0000-0000C33A0000}"/>
    <cellStyle name="Normal 23 3 5_TOM TAT" xfId="23030" xr:uid="{00000000-0005-0000-0000-0000C43A0000}"/>
    <cellStyle name="Normal 23 3 6" xfId="18949" xr:uid="{00000000-0005-0000-0000-0000C53A0000}"/>
    <cellStyle name="Normal 23 3 6 2" xfId="31866" xr:uid="{00000000-0005-0000-0000-0000C63A0000}"/>
    <cellStyle name="Normal 23 3 6_TOM TAT" xfId="23031" xr:uid="{00000000-0005-0000-0000-0000C73A0000}"/>
    <cellStyle name="Normal 23 3 7" xfId="30308" xr:uid="{00000000-0005-0000-0000-0000C83A0000}"/>
    <cellStyle name="Normal 23 3 8" xfId="15806" xr:uid="{00000000-0005-0000-0000-0000C93A0000}"/>
    <cellStyle name="Normal 23 3_TOM TAT" xfId="10248" xr:uid="{00000000-0005-0000-0000-0000CA3A0000}"/>
    <cellStyle name="Normal 23 4" xfId="10249" xr:uid="{00000000-0005-0000-0000-0000CB3A0000}"/>
    <cellStyle name="Normal 23 4 2" xfId="10250" xr:uid="{00000000-0005-0000-0000-0000CC3A0000}"/>
    <cellStyle name="Normal 23 4 2 2" xfId="10251" xr:uid="{00000000-0005-0000-0000-0000CD3A0000}"/>
    <cellStyle name="Normal 23 4 2 2 2" xfId="30318" xr:uid="{00000000-0005-0000-0000-0000CE3A0000}"/>
    <cellStyle name="Normal 23 4 2 2 3" xfId="15816" xr:uid="{00000000-0005-0000-0000-0000CF3A0000}"/>
    <cellStyle name="Normal 23 4 2 2_TOM TAT" xfId="23032" xr:uid="{00000000-0005-0000-0000-0000D03A0000}"/>
    <cellStyle name="Normal 23 4 2 3" xfId="30317" xr:uid="{00000000-0005-0000-0000-0000D13A0000}"/>
    <cellStyle name="Normal 23 4 2 4" xfId="15815" xr:uid="{00000000-0005-0000-0000-0000D23A0000}"/>
    <cellStyle name="Normal 23 4 2_TOM TAT" xfId="10252" xr:uid="{00000000-0005-0000-0000-0000D33A0000}"/>
    <cellStyle name="Normal 23 4 3" xfId="10253" xr:uid="{00000000-0005-0000-0000-0000D43A0000}"/>
    <cellStyle name="Normal 23 4 3 2" xfId="30319" xr:uid="{00000000-0005-0000-0000-0000D53A0000}"/>
    <cellStyle name="Normal 23 4 3 3" xfId="15817" xr:uid="{00000000-0005-0000-0000-0000D63A0000}"/>
    <cellStyle name="Normal 23 4 3_TOM TAT" xfId="23033" xr:uid="{00000000-0005-0000-0000-0000D73A0000}"/>
    <cellStyle name="Normal 23 4 4" xfId="30316" xr:uid="{00000000-0005-0000-0000-0000D83A0000}"/>
    <cellStyle name="Normal 23 4 5" xfId="15814" xr:uid="{00000000-0005-0000-0000-0000D93A0000}"/>
    <cellStyle name="Normal 23 4_TOM TAT" xfId="10254" xr:uid="{00000000-0005-0000-0000-0000DA3A0000}"/>
    <cellStyle name="Normal 23 5" xfId="10255" xr:uid="{00000000-0005-0000-0000-0000DB3A0000}"/>
    <cellStyle name="Normal 23 5 2" xfId="10256" xr:uid="{00000000-0005-0000-0000-0000DC3A0000}"/>
    <cellStyle name="Normal 23 5 2 2" xfId="30321" xr:uid="{00000000-0005-0000-0000-0000DD3A0000}"/>
    <cellStyle name="Normal 23 5 2 3" xfId="15819" xr:uid="{00000000-0005-0000-0000-0000DE3A0000}"/>
    <cellStyle name="Normal 23 5 2_TOM TAT" xfId="23034" xr:uid="{00000000-0005-0000-0000-0000DF3A0000}"/>
    <cellStyle name="Normal 23 5 3" xfId="30320" xr:uid="{00000000-0005-0000-0000-0000E03A0000}"/>
    <cellStyle name="Normal 23 5 4" xfId="15818" xr:uid="{00000000-0005-0000-0000-0000E13A0000}"/>
    <cellStyle name="Normal 23 5_TOM TAT" xfId="10257" xr:uid="{00000000-0005-0000-0000-0000E23A0000}"/>
    <cellStyle name="Normal 23 6" xfId="10258" xr:uid="{00000000-0005-0000-0000-0000E33A0000}"/>
    <cellStyle name="Normal 23 6 2" xfId="30322" xr:uid="{00000000-0005-0000-0000-0000E43A0000}"/>
    <cellStyle name="Normal 23 6 3" xfId="15820" xr:uid="{00000000-0005-0000-0000-0000E53A0000}"/>
    <cellStyle name="Normal 23 6_TOM TAT" xfId="23035" xr:uid="{00000000-0005-0000-0000-0000E63A0000}"/>
    <cellStyle name="Normal 23 7" xfId="18604" xr:uid="{00000000-0005-0000-0000-0000E73A0000}"/>
    <cellStyle name="Normal 23 7 2" xfId="31771" xr:uid="{00000000-0005-0000-0000-0000E83A0000}"/>
    <cellStyle name="Normal 23 7_TOM TAT" xfId="23036" xr:uid="{00000000-0005-0000-0000-0000E93A0000}"/>
    <cellStyle name="Normal 23 8" xfId="18920" xr:uid="{00000000-0005-0000-0000-0000EA3A0000}"/>
    <cellStyle name="Normal 23 8 2" xfId="31845" xr:uid="{00000000-0005-0000-0000-0000EB3A0000}"/>
    <cellStyle name="Normal 23 8_TOM TAT" xfId="23037" xr:uid="{00000000-0005-0000-0000-0000EC3A0000}"/>
    <cellStyle name="Normal 23_TOM TAT" xfId="10259" xr:uid="{00000000-0005-0000-0000-0000ED3A0000}"/>
    <cellStyle name="Normal 24" xfId="4846" xr:uid="{00000000-0005-0000-0000-0000EE3A0000}"/>
    <cellStyle name="Normal 24 2" xfId="5546" xr:uid="{00000000-0005-0000-0000-0000EF3A0000}"/>
    <cellStyle name="Normal 24 2 2" xfId="10260" xr:uid="{00000000-0005-0000-0000-0000F03A0000}"/>
    <cellStyle name="Normal 24 2 2 2" xfId="10261" xr:uid="{00000000-0005-0000-0000-0000F13A0000}"/>
    <cellStyle name="Normal 24 2 2 2 2" xfId="10262" xr:uid="{00000000-0005-0000-0000-0000F23A0000}"/>
    <cellStyle name="Normal 24 2 2 2 2 2" xfId="30325" xr:uid="{00000000-0005-0000-0000-0000F33A0000}"/>
    <cellStyle name="Normal 24 2 2 2 2 3" xfId="15823" xr:uid="{00000000-0005-0000-0000-0000F43A0000}"/>
    <cellStyle name="Normal 24 2 2 2 2_TOM TAT" xfId="23039" xr:uid="{00000000-0005-0000-0000-0000F53A0000}"/>
    <cellStyle name="Normal 24 2 2 2 3" xfId="30324" xr:uid="{00000000-0005-0000-0000-0000F63A0000}"/>
    <cellStyle name="Normal 24 2 2 2 4" xfId="15822" xr:uid="{00000000-0005-0000-0000-0000F73A0000}"/>
    <cellStyle name="Normal 24 2 2 2_TOM TAT" xfId="10263" xr:uid="{00000000-0005-0000-0000-0000F83A0000}"/>
    <cellStyle name="Normal 24 2 2 3" xfId="10264" xr:uid="{00000000-0005-0000-0000-0000F93A0000}"/>
    <cellStyle name="Normal 24 2 2 3 2" xfId="30326" xr:uid="{00000000-0005-0000-0000-0000FA3A0000}"/>
    <cellStyle name="Normal 24 2 2 3 3" xfId="15824" xr:uid="{00000000-0005-0000-0000-0000FB3A0000}"/>
    <cellStyle name="Normal 24 2 2 3_TOM TAT" xfId="23040" xr:uid="{00000000-0005-0000-0000-0000FC3A0000}"/>
    <cellStyle name="Normal 24 2 2 4" xfId="30323" xr:uid="{00000000-0005-0000-0000-0000FD3A0000}"/>
    <cellStyle name="Normal 24 2 2 5" xfId="15821" xr:uid="{00000000-0005-0000-0000-0000FE3A0000}"/>
    <cellStyle name="Normal 24 2 2_TOM TAT" xfId="10265" xr:uid="{00000000-0005-0000-0000-0000FF3A0000}"/>
    <cellStyle name="Normal 24 2 3" xfId="10266" xr:uid="{00000000-0005-0000-0000-0000003B0000}"/>
    <cellStyle name="Normal 24 2 3 2" xfId="10267" xr:uid="{00000000-0005-0000-0000-0000013B0000}"/>
    <cellStyle name="Normal 24 2 3 2 2" xfId="30328" xr:uid="{00000000-0005-0000-0000-0000023B0000}"/>
    <cellStyle name="Normal 24 2 3 2 3" xfId="15826" xr:uid="{00000000-0005-0000-0000-0000033B0000}"/>
    <cellStyle name="Normal 24 2 3 2_TOM TAT" xfId="23041" xr:uid="{00000000-0005-0000-0000-0000043B0000}"/>
    <cellStyle name="Normal 24 2 3 3" xfId="30327" xr:uid="{00000000-0005-0000-0000-0000053B0000}"/>
    <cellStyle name="Normal 24 2 3 4" xfId="15825" xr:uid="{00000000-0005-0000-0000-0000063B0000}"/>
    <cellStyle name="Normal 24 2 3_TOM TAT" xfId="10268" xr:uid="{00000000-0005-0000-0000-0000073B0000}"/>
    <cellStyle name="Normal 24 2 4" xfId="10269" xr:uid="{00000000-0005-0000-0000-0000083B0000}"/>
    <cellStyle name="Normal 24 2 4 2" xfId="30329" xr:uid="{00000000-0005-0000-0000-0000093B0000}"/>
    <cellStyle name="Normal 24 2 4 3" xfId="15827" xr:uid="{00000000-0005-0000-0000-00000A3B0000}"/>
    <cellStyle name="Normal 24 2 4_TOM TAT" xfId="23042" xr:uid="{00000000-0005-0000-0000-00000B3B0000}"/>
    <cellStyle name="Normal 24 2_TOM TAT" xfId="10270" xr:uid="{00000000-0005-0000-0000-00000C3B0000}"/>
    <cellStyle name="Normal 24 3" xfId="10271" xr:uid="{00000000-0005-0000-0000-00000D3B0000}"/>
    <cellStyle name="Normal 24 3 2" xfId="10272" xr:uid="{00000000-0005-0000-0000-00000E3B0000}"/>
    <cellStyle name="Normal 24 3 2 2" xfId="10273" xr:uid="{00000000-0005-0000-0000-00000F3B0000}"/>
    <cellStyle name="Normal 24 3 2 2 2" xfId="30332" xr:uid="{00000000-0005-0000-0000-0000103B0000}"/>
    <cellStyle name="Normal 24 3 2 2 3" xfId="15830" xr:uid="{00000000-0005-0000-0000-0000113B0000}"/>
    <cellStyle name="Normal 24 3 2 2_TOM TAT" xfId="23043" xr:uid="{00000000-0005-0000-0000-0000123B0000}"/>
    <cellStyle name="Normal 24 3 2 3" xfId="30331" xr:uid="{00000000-0005-0000-0000-0000133B0000}"/>
    <cellStyle name="Normal 24 3 2 4" xfId="15829" xr:uid="{00000000-0005-0000-0000-0000143B0000}"/>
    <cellStyle name="Normal 24 3 2_TOM TAT" xfId="10274" xr:uid="{00000000-0005-0000-0000-0000153B0000}"/>
    <cellStyle name="Normal 24 3 3" xfId="10275" xr:uid="{00000000-0005-0000-0000-0000163B0000}"/>
    <cellStyle name="Normal 24 3 3 2" xfId="30333" xr:uid="{00000000-0005-0000-0000-0000173B0000}"/>
    <cellStyle name="Normal 24 3 3 3" xfId="15831" xr:uid="{00000000-0005-0000-0000-0000183B0000}"/>
    <cellStyle name="Normal 24 3 3_TOM TAT" xfId="23044" xr:uid="{00000000-0005-0000-0000-0000193B0000}"/>
    <cellStyle name="Normal 24 3 4" xfId="30330" xr:uid="{00000000-0005-0000-0000-00001A3B0000}"/>
    <cellStyle name="Normal 24 3 5" xfId="15828" xr:uid="{00000000-0005-0000-0000-00001B3B0000}"/>
    <cellStyle name="Normal 24 3_TOM TAT" xfId="10276" xr:uid="{00000000-0005-0000-0000-00001C3B0000}"/>
    <cellStyle name="Normal 24 4" xfId="10277" xr:uid="{00000000-0005-0000-0000-00001D3B0000}"/>
    <cellStyle name="Normal 24 4 2" xfId="10278" xr:uid="{00000000-0005-0000-0000-00001E3B0000}"/>
    <cellStyle name="Normal 24 4 2 2" xfId="30335" xr:uid="{00000000-0005-0000-0000-00001F3B0000}"/>
    <cellStyle name="Normal 24 4 2 3" xfId="15833" xr:uid="{00000000-0005-0000-0000-0000203B0000}"/>
    <cellStyle name="Normal 24 4 2_TOM TAT" xfId="23045" xr:uid="{00000000-0005-0000-0000-0000213B0000}"/>
    <cellStyle name="Normal 24 4 3" xfId="30334" xr:uid="{00000000-0005-0000-0000-0000223B0000}"/>
    <cellStyle name="Normal 24 4 4" xfId="15832" xr:uid="{00000000-0005-0000-0000-0000233B0000}"/>
    <cellStyle name="Normal 24 4_TOM TAT" xfId="10279" xr:uid="{00000000-0005-0000-0000-0000243B0000}"/>
    <cellStyle name="Normal 24 5" xfId="10280" xr:uid="{00000000-0005-0000-0000-0000253B0000}"/>
    <cellStyle name="Normal 24 6" xfId="18611" xr:uid="{00000000-0005-0000-0000-0000263B0000}"/>
    <cellStyle name="Normal 24 7" xfId="18923" xr:uid="{00000000-0005-0000-0000-0000273B0000}"/>
    <cellStyle name="Normal 24 8" xfId="28058" xr:uid="{00000000-0005-0000-0000-0000283B0000}"/>
    <cellStyle name="Normal 24 9" xfId="14647" xr:uid="{00000000-0005-0000-0000-0000293B0000}"/>
    <cellStyle name="Normal 24_TOM TAT" xfId="23038" xr:uid="{00000000-0005-0000-0000-00002A3B0000}"/>
    <cellStyle name="Normal 25" xfId="4848" xr:uid="{00000000-0005-0000-0000-00002B3B0000}"/>
    <cellStyle name="Normal 25 2" xfId="4864" xr:uid="{00000000-0005-0000-0000-00002C3B0000}"/>
    <cellStyle name="Normal 25 3" xfId="10281" xr:uid="{00000000-0005-0000-0000-00002D3B0000}"/>
    <cellStyle name="Normal 25 4" xfId="28059" xr:uid="{00000000-0005-0000-0000-00002E3B0000}"/>
    <cellStyle name="Normal 25 5" xfId="14648" xr:uid="{00000000-0005-0000-0000-00002F3B0000}"/>
    <cellStyle name="Normal 25_TOM TAT" xfId="23046" xr:uid="{00000000-0005-0000-0000-0000303B0000}"/>
    <cellStyle name="Normal 26" xfId="4856" xr:uid="{00000000-0005-0000-0000-0000313B0000}"/>
    <cellStyle name="Normal 26 2" xfId="5547" xr:uid="{00000000-0005-0000-0000-0000323B0000}"/>
    <cellStyle name="Normal 26 2 2" xfId="10282" xr:uid="{00000000-0005-0000-0000-0000333B0000}"/>
    <cellStyle name="Normal 26 2 2 2" xfId="10283" xr:uid="{00000000-0005-0000-0000-0000343B0000}"/>
    <cellStyle name="Normal 26 2 2 2 2" xfId="30337" xr:uid="{00000000-0005-0000-0000-0000353B0000}"/>
    <cellStyle name="Normal 26 2 2 2 3" xfId="15835" xr:uid="{00000000-0005-0000-0000-0000363B0000}"/>
    <cellStyle name="Normal 26 2 2 2_TOM TAT" xfId="23047" xr:uid="{00000000-0005-0000-0000-0000373B0000}"/>
    <cellStyle name="Normal 26 2 2 3" xfId="30336" xr:uid="{00000000-0005-0000-0000-0000383B0000}"/>
    <cellStyle name="Normal 26 2 2 4" xfId="15834" xr:uid="{00000000-0005-0000-0000-0000393B0000}"/>
    <cellStyle name="Normal 26 2 2_TOM TAT" xfId="10284" xr:uid="{00000000-0005-0000-0000-00003A3B0000}"/>
    <cellStyle name="Normal 26 2 3" xfId="10285" xr:uid="{00000000-0005-0000-0000-00003B3B0000}"/>
    <cellStyle name="Normal 26 2 3 2" xfId="30338" xr:uid="{00000000-0005-0000-0000-00003C3B0000}"/>
    <cellStyle name="Normal 26 2 3 3" xfId="15836" xr:uid="{00000000-0005-0000-0000-00003D3B0000}"/>
    <cellStyle name="Normal 26 2 3_TOM TAT" xfId="23048" xr:uid="{00000000-0005-0000-0000-00003E3B0000}"/>
    <cellStyle name="Normal 26 2_TOM TAT" xfId="10286" xr:uid="{00000000-0005-0000-0000-00003F3B0000}"/>
    <cellStyle name="Normal 26 3" xfId="10287" xr:uid="{00000000-0005-0000-0000-0000403B0000}"/>
    <cellStyle name="Normal 26 3 2" xfId="10288" xr:uid="{00000000-0005-0000-0000-0000413B0000}"/>
    <cellStyle name="Normal 26 3 2 2" xfId="10289" xr:uid="{00000000-0005-0000-0000-0000423B0000}"/>
    <cellStyle name="Normal 26 3 2 2 2" xfId="30341" xr:uid="{00000000-0005-0000-0000-0000433B0000}"/>
    <cellStyle name="Normal 26 3 2 2 3" xfId="15839" xr:uid="{00000000-0005-0000-0000-0000443B0000}"/>
    <cellStyle name="Normal 26 3 2 2_TOM TAT" xfId="23049" xr:uid="{00000000-0005-0000-0000-0000453B0000}"/>
    <cellStyle name="Normal 26 3 2 3" xfId="30340" xr:uid="{00000000-0005-0000-0000-0000463B0000}"/>
    <cellStyle name="Normal 26 3 2 4" xfId="15838" xr:uid="{00000000-0005-0000-0000-0000473B0000}"/>
    <cellStyle name="Normal 26 3 2_TOM TAT" xfId="10290" xr:uid="{00000000-0005-0000-0000-0000483B0000}"/>
    <cellStyle name="Normal 26 3 3" xfId="10291" xr:uid="{00000000-0005-0000-0000-0000493B0000}"/>
    <cellStyle name="Normal 26 3 3 2" xfId="30342" xr:uid="{00000000-0005-0000-0000-00004A3B0000}"/>
    <cellStyle name="Normal 26 3 3 3" xfId="15840" xr:uid="{00000000-0005-0000-0000-00004B3B0000}"/>
    <cellStyle name="Normal 26 3 3_TOM TAT" xfId="23050" xr:uid="{00000000-0005-0000-0000-00004C3B0000}"/>
    <cellStyle name="Normal 26 3 4" xfId="30339" xr:uid="{00000000-0005-0000-0000-00004D3B0000}"/>
    <cellStyle name="Normal 26 3 5" xfId="15837" xr:uid="{00000000-0005-0000-0000-00004E3B0000}"/>
    <cellStyle name="Normal 26 3_TOM TAT" xfId="10292" xr:uid="{00000000-0005-0000-0000-00004F3B0000}"/>
    <cellStyle name="Normal 26 4" xfId="10293" xr:uid="{00000000-0005-0000-0000-0000503B0000}"/>
    <cellStyle name="Normal 26 4 2" xfId="10294" xr:uid="{00000000-0005-0000-0000-0000513B0000}"/>
    <cellStyle name="Normal 26 4 2 2" xfId="30344" xr:uid="{00000000-0005-0000-0000-0000523B0000}"/>
    <cellStyle name="Normal 26 4 2 3" xfId="15842" xr:uid="{00000000-0005-0000-0000-0000533B0000}"/>
    <cellStyle name="Normal 26 4 2_TOM TAT" xfId="23051" xr:uid="{00000000-0005-0000-0000-0000543B0000}"/>
    <cellStyle name="Normal 26 4 3" xfId="30343" xr:uid="{00000000-0005-0000-0000-0000553B0000}"/>
    <cellStyle name="Normal 26 4 4" xfId="15841" xr:uid="{00000000-0005-0000-0000-0000563B0000}"/>
    <cellStyle name="Normal 26 4_TOM TAT" xfId="10295" xr:uid="{00000000-0005-0000-0000-0000573B0000}"/>
    <cellStyle name="Normal 26 5" xfId="10296" xr:uid="{00000000-0005-0000-0000-0000583B0000}"/>
    <cellStyle name="Normal 26 5 2" xfId="30345" xr:uid="{00000000-0005-0000-0000-0000593B0000}"/>
    <cellStyle name="Normal 26 5 3" xfId="15843" xr:uid="{00000000-0005-0000-0000-00005A3B0000}"/>
    <cellStyle name="Normal 26 5_TOM TAT" xfId="23052" xr:uid="{00000000-0005-0000-0000-00005B3B0000}"/>
    <cellStyle name="Normal 26_TOM TAT" xfId="10297" xr:uid="{00000000-0005-0000-0000-00005C3B0000}"/>
    <cellStyle name="Normal 27" xfId="5548" xr:uid="{00000000-0005-0000-0000-00005D3B0000}"/>
    <cellStyle name="Normal 27 2" xfId="5549" xr:uid="{00000000-0005-0000-0000-00005E3B0000}"/>
    <cellStyle name="Normal 27 2 2" xfId="10298" xr:uid="{00000000-0005-0000-0000-00005F3B0000}"/>
    <cellStyle name="Normal 27 2 2 2" xfId="10299" xr:uid="{00000000-0005-0000-0000-0000603B0000}"/>
    <cellStyle name="Normal 27 2 2 2 2" xfId="30347" xr:uid="{00000000-0005-0000-0000-0000613B0000}"/>
    <cellStyle name="Normal 27 2 2 2 3" xfId="15845" xr:uid="{00000000-0005-0000-0000-0000623B0000}"/>
    <cellStyle name="Normal 27 2 2 2_TOM TAT" xfId="23053" xr:uid="{00000000-0005-0000-0000-0000633B0000}"/>
    <cellStyle name="Normal 27 2 2 3" xfId="30346" xr:uid="{00000000-0005-0000-0000-0000643B0000}"/>
    <cellStyle name="Normal 27 2 2 4" xfId="15844" xr:uid="{00000000-0005-0000-0000-0000653B0000}"/>
    <cellStyle name="Normal 27 2 2_TOM TAT" xfId="10300" xr:uid="{00000000-0005-0000-0000-0000663B0000}"/>
    <cellStyle name="Normal 27 2 3" xfId="10301" xr:uid="{00000000-0005-0000-0000-0000673B0000}"/>
    <cellStyle name="Normal 27 2 3 2" xfId="30348" xr:uid="{00000000-0005-0000-0000-0000683B0000}"/>
    <cellStyle name="Normal 27 2 3 3" xfId="15846" xr:uid="{00000000-0005-0000-0000-0000693B0000}"/>
    <cellStyle name="Normal 27 2 3_TOM TAT" xfId="23054" xr:uid="{00000000-0005-0000-0000-00006A3B0000}"/>
    <cellStyle name="Normal 27 2_TOM TAT" xfId="10302" xr:uid="{00000000-0005-0000-0000-00006B3B0000}"/>
    <cellStyle name="Normal 27 3" xfId="10303" xr:uid="{00000000-0005-0000-0000-00006C3B0000}"/>
    <cellStyle name="Normal 27 3 2" xfId="30349" xr:uid="{00000000-0005-0000-0000-00006D3B0000}"/>
    <cellStyle name="Normal 27 3 3" xfId="15847" xr:uid="{00000000-0005-0000-0000-00006E3B0000}"/>
    <cellStyle name="Normal 27 3_TOM TAT" xfId="23055" xr:uid="{00000000-0005-0000-0000-00006F3B0000}"/>
    <cellStyle name="Normal 27_TOM TAT" xfId="10304" xr:uid="{00000000-0005-0000-0000-0000703B0000}"/>
    <cellStyle name="Normal 28" xfId="5550" xr:uid="{00000000-0005-0000-0000-0000713B0000}"/>
    <cellStyle name="Normal 28 2" xfId="5551" xr:uid="{00000000-0005-0000-0000-0000723B0000}"/>
    <cellStyle name="Normal 28 2 2" xfId="10305" xr:uid="{00000000-0005-0000-0000-0000733B0000}"/>
    <cellStyle name="Normal 28 2_TOM TAT" xfId="10306" xr:uid="{00000000-0005-0000-0000-0000743B0000}"/>
    <cellStyle name="Normal 28 3" xfId="10307" xr:uid="{00000000-0005-0000-0000-0000753B0000}"/>
    <cellStyle name="Normal 28 4" xfId="18580" xr:uid="{00000000-0005-0000-0000-0000763B0000}"/>
    <cellStyle name="Normal 28 5" xfId="18911" xr:uid="{00000000-0005-0000-0000-0000773B0000}"/>
    <cellStyle name="Normal 28_TOM TAT" xfId="10308" xr:uid="{00000000-0005-0000-0000-0000783B0000}"/>
    <cellStyle name="Normal 29" xfId="5552" xr:uid="{00000000-0005-0000-0000-0000793B0000}"/>
    <cellStyle name="Normal 29 2" xfId="5553" xr:uid="{00000000-0005-0000-0000-00007A3B0000}"/>
    <cellStyle name="Normal 29 2 2" xfId="10309" xr:uid="{00000000-0005-0000-0000-00007B3B0000}"/>
    <cellStyle name="Normal 29 2 2 2" xfId="10310" xr:uid="{00000000-0005-0000-0000-00007C3B0000}"/>
    <cellStyle name="Normal 29 2 2 2 2" xfId="30351" xr:uid="{00000000-0005-0000-0000-00007D3B0000}"/>
    <cellStyle name="Normal 29 2 2 2 3" xfId="15849" xr:uid="{00000000-0005-0000-0000-00007E3B0000}"/>
    <cellStyle name="Normal 29 2 2 2_TOM TAT" xfId="23056" xr:uid="{00000000-0005-0000-0000-00007F3B0000}"/>
    <cellStyle name="Normal 29 2 2 3" xfId="30350" xr:uid="{00000000-0005-0000-0000-0000803B0000}"/>
    <cellStyle name="Normal 29 2 2 4" xfId="15848" xr:uid="{00000000-0005-0000-0000-0000813B0000}"/>
    <cellStyle name="Normal 29 2 2_TOM TAT" xfId="10311" xr:uid="{00000000-0005-0000-0000-0000823B0000}"/>
    <cellStyle name="Normal 29 2 3" xfId="10312" xr:uid="{00000000-0005-0000-0000-0000833B0000}"/>
    <cellStyle name="Normal 29 2 3 2" xfId="30352" xr:uid="{00000000-0005-0000-0000-0000843B0000}"/>
    <cellStyle name="Normal 29 2 3 3" xfId="15850" xr:uid="{00000000-0005-0000-0000-0000853B0000}"/>
    <cellStyle name="Normal 29 2 3_TOM TAT" xfId="23057" xr:uid="{00000000-0005-0000-0000-0000863B0000}"/>
    <cellStyle name="Normal 29 2_TOM TAT" xfId="10313" xr:uid="{00000000-0005-0000-0000-0000873B0000}"/>
    <cellStyle name="Normal 29 3" xfId="10314" xr:uid="{00000000-0005-0000-0000-0000883B0000}"/>
    <cellStyle name="Normal 29 3 2" xfId="30353" xr:uid="{00000000-0005-0000-0000-0000893B0000}"/>
    <cellStyle name="Normal 29 3 3" xfId="15851" xr:uid="{00000000-0005-0000-0000-00008A3B0000}"/>
    <cellStyle name="Normal 29 3_TOM TAT" xfId="23058" xr:uid="{00000000-0005-0000-0000-00008B3B0000}"/>
    <cellStyle name="Normal 29 4" xfId="19003" xr:uid="{00000000-0005-0000-0000-00008C3B0000}"/>
    <cellStyle name="Normal 29_TOM TAT" xfId="10315" xr:uid="{00000000-0005-0000-0000-00008D3B0000}"/>
    <cellStyle name="Normal 3" xfId="1361" xr:uid="{00000000-0005-0000-0000-00008E3B0000}"/>
    <cellStyle name="Normal 3 10" xfId="2231" xr:uid="{00000000-0005-0000-0000-00008F3B0000}"/>
    <cellStyle name="Normal 3 10 2" xfId="10316" xr:uid="{00000000-0005-0000-0000-0000903B0000}"/>
    <cellStyle name="Normal 3 10_TOM TAT" xfId="10317" xr:uid="{00000000-0005-0000-0000-0000913B0000}"/>
    <cellStyle name="Normal 3 11" xfId="2230" xr:uid="{00000000-0005-0000-0000-0000923B0000}"/>
    <cellStyle name="Normal 3 11 2" xfId="10318" xr:uid="{00000000-0005-0000-0000-0000933B0000}"/>
    <cellStyle name="Normal 3 11_TOM TAT" xfId="10319" xr:uid="{00000000-0005-0000-0000-0000943B0000}"/>
    <cellStyle name="Normal 3 12" xfId="5554" xr:uid="{00000000-0005-0000-0000-0000953B0000}"/>
    <cellStyle name="Normal 3 12 10" xfId="28247" xr:uid="{00000000-0005-0000-0000-0000963B0000}"/>
    <cellStyle name="Normal 3 12 11" xfId="14686" xr:uid="{00000000-0005-0000-0000-0000973B0000}"/>
    <cellStyle name="Normal 3 12 2" xfId="5555" xr:uid="{00000000-0005-0000-0000-0000983B0000}"/>
    <cellStyle name="Normal 3 12 2 10" xfId="14687" xr:uid="{00000000-0005-0000-0000-0000993B0000}"/>
    <cellStyle name="Normal 3 12 2 2" xfId="5556" xr:uid="{00000000-0005-0000-0000-00009A3B0000}"/>
    <cellStyle name="Normal 3 12 2 2 2" xfId="10320" xr:uid="{00000000-0005-0000-0000-00009B3B0000}"/>
    <cellStyle name="Normal 3 12 2 2 2 2" xfId="10321" xr:uid="{00000000-0005-0000-0000-00009C3B0000}"/>
    <cellStyle name="Normal 3 12 2 2 2 2 2" xfId="10322" xr:uid="{00000000-0005-0000-0000-00009D3B0000}"/>
    <cellStyle name="Normal 3 12 2 2 2 2 2 2" xfId="10323" xr:uid="{00000000-0005-0000-0000-00009E3B0000}"/>
    <cellStyle name="Normal 3 12 2 2 2 2 2 2 2" xfId="30357" xr:uid="{00000000-0005-0000-0000-00009F3B0000}"/>
    <cellStyle name="Normal 3 12 2 2 2 2 2 2 3" xfId="15855" xr:uid="{00000000-0005-0000-0000-0000A03B0000}"/>
    <cellStyle name="Normal 3 12 2 2 2 2 2 2_TOM TAT" xfId="23059" xr:uid="{00000000-0005-0000-0000-0000A13B0000}"/>
    <cellStyle name="Normal 3 12 2 2 2 2 2 3" xfId="30356" xr:uid="{00000000-0005-0000-0000-0000A23B0000}"/>
    <cellStyle name="Normal 3 12 2 2 2 2 2 4" xfId="15854" xr:uid="{00000000-0005-0000-0000-0000A33B0000}"/>
    <cellStyle name="Normal 3 12 2 2 2 2 2_TOM TAT" xfId="10324" xr:uid="{00000000-0005-0000-0000-0000A43B0000}"/>
    <cellStyle name="Normal 3 12 2 2 2 2 3" xfId="10325" xr:uid="{00000000-0005-0000-0000-0000A53B0000}"/>
    <cellStyle name="Normal 3 12 2 2 2 2 3 2" xfId="30358" xr:uid="{00000000-0005-0000-0000-0000A63B0000}"/>
    <cellStyle name="Normal 3 12 2 2 2 2 3 3" xfId="15856" xr:uid="{00000000-0005-0000-0000-0000A73B0000}"/>
    <cellStyle name="Normal 3 12 2 2 2 2 3_TOM TAT" xfId="23060" xr:uid="{00000000-0005-0000-0000-0000A83B0000}"/>
    <cellStyle name="Normal 3 12 2 2 2 2 4" xfId="30355" xr:uid="{00000000-0005-0000-0000-0000A93B0000}"/>
    <cellStyle name="Normal 3 12 2 2 2 2 5" xfId="15853" xr:uid="{00000000-0005-0000-0000-0000AA3B0000}"/>
    <cellStyle name="Normal 3 12 2 2 2 2_TOM TAT" xfId="10326" xr:uid="{00000000-0005-0000-0000-0000AB3B0000}"/>
    <cellStyle name="Normal 3 12 2 2 2 3" xfId="10327" xr:uid="{00000000-0005-0000-0000-0000AC3B0000}"/>
    <cellStyle name="Normal 3 12 2 2 2 3 2" xfId="10328" xr:uid="{00000000-0005-0000-0000-0000AD3B0000}"/>
    <cellStyle name="Normal 3 12 2 2 2 3 2 2" xfId="10329" xr:uid="{00000000-0005-0000-0000-0000AE3B0000}"/>
    <cellStyle name="Normal 3 12 2 2 2 3 2 2 2" xfId="30361" xr:uid="{00000000-0005-0000-0000-0000AF3B0000}"/>
    <cellStyle name="Normal 3 12 2 2 2 3 2 2 3" xfId="15859" xr:uid="{00000000-0005-0000-0000-0000B03B0000}"/>
    <cellStyle name="Normal 3 12 2 2 2 3 2 2_TOM TAT" xfId="23061" xr:uid="{00000000-0005-0000-0000-0000B13B0000}"/>
    <cellStyle name="Normal 3 12 2 2 2 3 2 3" xfId="30360" xr:uid="{00000000-0005-0000-0000-0000B23B0000}"/>
    <cellStyle name="Normal 3 12 2 2 2 3 2 4" xfId="15858" xr:uid="{00000000-0005-0000-0000-0000B33B0000}"/>
    <cellStyle name="Normal 3 12 2 2 2 3 2_TOM TAT" xfId="10330" xr:uid="{00000000-0005-0000-0000-0000B43B0000}"/>
    <cellStyle name="Normal 3 12 2 2 2 3 3" xfId="10331" xr:uid="{00000000-0005-0000-0000-0000B53B0000}"/>
    <cellStyle name="Normal 3 12 2 2 2 3 3 2" xfId="30362" xr:uid="{00000000-0005-0000-0000-0000B63B0000}"/>
    <cellStyle name="Normal 3 12 2 2 2 3 3 3" xfId="15860" xr:uid="{00000000-0005-0000-0000-0000B73B0000}"/>
    <cellStyle name="Normal 3 12 2 2 2 3 3_TOM TAT" xfId="23062" xr:uid="{00000000-0005-0000-0000-0000B83B0000}"/>
    <cellStyle name="Normal 3 12 2 2 2 3 4" xfId="30359" xr:uid="{00000000-0005-0000-0000-0000B93B0000}"/>
    <cellStyle name="Normal 3 12 2 2 2 3 5" xfId="15857" xr:uid="{00000000-0005-0000-0000-0000BA3B0000}"/>
    <cellStyle name="Normal 3 12 2 2 2 3_TOM TAT" xfId="10332" xr:uid="{00000000-0005-0000-0000-0000BB3B0000}"/>
    <cellStyle name="Normal 3 12 2 2 2 4" xfId="10333" xr:uid="{00000000-0005-0000-0000-0000BC3B0000}"/>
    <cellStyle name="Normal 3 12 2 2 2 4 2" xfId="10334" xr:uid="{00000000-0005-0000-0000-0000BD3B0000}"/>
    <cellStyle name="Normal 3 12 2 2 2 4 2 2" xfId="30364" xr:uid="{00000000-0005-0000-0000-0000BE3B0000}"/>
    <cellStyle name="Normal 3 12 2 2 2 4 2 3" xfId="15862" xr:uid="{00000000-0005-0000-0000-0000BF3B0000}"/>
    <cellStyle name="Normal 3 12 2 2 2 4 2_TOM TAT" xfId="23063" xr:uid="{00000000-0005-0000-0000-0000C03B0000}"/>
    <cellStyle name="Normal 3 12 2 2 2 4 3" xfId="30363" xr:uid="{00000000-0005-0000-0000-0000C13B0000}"/>
    <cellStyle name="Normal 3 12 2 2 2 4 4" xfId="15861" xr:uid="{00000000-0005-0000-0000-0000C23B0000}"/>
    <cellStyle name="Normal 3 12 2 2 2 4_TOM TAT" xfId="10335" xr:uid="{00000000-0005-0000-0000-0000C33B0000}"/>
    <cellStyle name="Normal 3 12 2 2 2 5" xfId="10336" xr:uid="{00000000-0005-0000-0000-0000C43B0000}"/>
    <cellStyle name="Normal 3 12 2 2 2 5 2" xfId="30365" xr:uid="{00000000-0005-0000-0000-0000C53B0000}"/>
    <cellStyle name="Normal 3 12 2 2 2 5 3" xfId="15863" xr:uid="{00000000-0005-0000-0000-0000C63B0000}"/>
    <cellStyle name="Normal 3 12 2 2 2 5_TOM TAT" xfId="23064" xr:uid="{00000000-0005-0000-0000-0000C73B0000}"/>
    <cellStyle name="Normal 3 12 2 2 2 6" xfId="30354" xr:uid="{00000000-0005-0000-0000-0000C83B0000}"/>
    <cellStyle name="Normal 3 12 2 2 2 7" xfId="15852" xr:uid="{00000000-0005-0000-0000-0000C93B0000}"/>
    <cellStyle name="Normal 3 12 2 2 2_TOM TAT" xfId="10337" xr:uid="{00000000-0005-0000-0000-0000CA3B0000}"/>
    <cellStyle name="Normal 3 12 2 2 3" xfId="10338" xr:uid="{00000000-0005-0000-0000-0000CB3B0000}"/>
    <cellStyle name="Normal 3 12 2 2 3 2" xfId="10339" xr:uid="{00000000-0005-0000-0000-0000CC3B0000}"/>
    <cellStyle name="Normal 3 12 2 2 3 2 2" xfId="10340" xr:uid="{00000000-0005-0000-0000-0000CD3B0000}"/>
    <cellStyle name="Normal 3 12 2 2 3 2 2 2" xfId="30368" xr:uid="{00000000-0005-0000-0000-0000CE3B0000}"/>
    <cellStyle name="Normal 3 12 2 2 3 2 2 3" xfId="15866" xr:uid="{00000000-0005-0000-0000-0000CF3B0000}"/>
    <cellStyle name="Normal 3 12 2 2 3 2 2_TOM TAT" xfId="23065" xr:uid="{00000000-0005-0000-0000-0000D03B0000}"/>
    <cellStyle name="Normal 3 12 2 2 3 2 3" xfId="30367" xr:uid="{00000000-0005-0000-0000-0000D13B0000}"/>
    <cellStyle name="Normal 3 12 2 2 3 2 4" xfId="15865" xr:uid="{00000000-0005-0000-0000-0000D23B0000}"/>
    <cellStyle name="Normal 3 12 2 2 3 2_TOM TAT" xfId="10341" xr:uid="{00000000-0005-0000-0000-0000D33B0000}"/>
    <cellStyle name="Normal 3 12 2 2 3 3" xfId="10342" xr:uid="{00000000-0005-0000-0000-0000D43B0000}"/>
    <cellStyle name="Normal 3 12 2 2 3 3 2" xfId="30369" xr:uid="{00000000-0005-0000-0000-0000D53B0000}"/>
    <cellStyle name="Normal 3 12 2 2 3 3 3" xfId="15867" xr:uid="{00000000-0005-0000-0000-0000D63B0000}"/>
    <cellStyle name="Normal 3 12 2 2 3 3_TOM TAT" xfId="23066" xr:uid="{00000000-0005-0000-0000-0000D73B0000}"/>
    <cellStyle name="Normal 3 12 2 2 3 4" xfId="30366" xr:uid="{00000000-0005-0000-0000-0000D83B0000}"/>
    <cellStyle name="Normal 3 12 2 2 3 5" xfId="15864" xr:uid="{00000000-0005-0000-0000-0000D93B0000}"/>
    <cellStyle name="Normal 3 12 2 2 3_TOM TAT" xfId="10343" xr:uid="{00000000-0005-0000-0000-0000DA3B0000}"/>
    <cellStyle name="Normal 3 12 2 2 4" xfId="10344" xr:uid="{00000000-0005-0000-0000-0000DB3B0000}"/>
    <cellStyle name="Normal 3 12 2 2 4 2" xfId="10345" xr:uid="{00000000-0005-0000-0000-0000DC3B0000}"/>
    <cellStyle name="Normal 3 12 2 2 4 2 2" xfId="10346" xr:uid="{00000000-0005-0000-0000-0000DD3B0000}"/>
    <cellStyle name="Normal 3 12 2 2 4 2 2 2" xfId="30372" xr:uid="{00000000-0005-0000-0000-0000DE3B0000}"/>
    <cellStyle name="Normal 3 12 2 2 4 2 2 3" xfId="15870" xr:uid="{00000000-0005-0000-0000-0000DF3B0000}"/>
    <cellStyle name="Normal 3 12 2 2 4 2 2_TOM TAT" xfId="23067" xr:uid="{00000000-0005-0000-0000-0000E03B0000}"/>
    <cellStyle name="Normal 3 12 2 2 4 2 3" xfId="30371" xr:uid="{00000000-0005-0000-0000-0000E13B0000}"/>
    <cellStyle name="Normal 3 12 2 2 4 2 4" xfId="15869" xr:uid="{00000000-0005-0000-0000-0000E23B0000}"/>
    <cellStyle name="Normal 3 12 2 2 4 2_TOM TAT" xfId="10347" xr:uid="{00000000-0005-0000-0000-0000E33B0000}"/>
    <cellStyle name="Normal 3 12 2 2 4 3" xfId="10348" xr:uid="{00000000-0005-0000-0000-0000E43B0000}"/>
    <cellStyle name="Normal 3 12 2 2 4 3 2" xfId="30373" xr:uid="{00000000-0005-0000-0000-0000E53B0000}"/>
    <cellStyle name="Normal 3 12 2 2 4 3 3" xfId="15871" xr:uid="{00000000-0005-0000-0000-0000E63B0000}"/>
    <cellStyle name="Normal 3 12 2 2 4 3_TOM TAT" xfId="23068" xr:uid="{00000000-0005-0000-0000-0000E73B0000}"/>
    <cellStyle name="Normal 3 12 2 2 4 4" xfId="30370" xr:uid="{00000000-0005-0000-0000-0000E83B0000}"/>
    <cellStyle name="Normal 3 12 2 2 4 5" xfId="15868" xr:uid="{00000000-0005-0000-0000-0000E93B0000}"/>
    <cellStyle name="Normal 3 12 2 2 4_TOM TAT" xfId="10349" xr:uid="{00000000-0005-0000-0000-0000EA3B0000}"/>
    <cellStyle name="Normal 3 12 2 2 5" xfId="10350" xr:uid="{00000000-0005-0000-0000-0000EB3B0000}"/>
    <cellStyle name="Normal 3 12 2 2 5 2" xfId="10351" xr:uid="{00000000-0005-0000-0000-0000EC3B0000}"/>
    <cellStyle name="Normal 3 12 2 2 5 2 2" xfId="30375" xr:uid="{00000000-0005-0000-0000-0000ED3B0000}"/>
    <cellStyle name="Normal 3 12 2 2 5 2 3" xfId="15873" xr:uid="{00000000-0005-0000-0000-0000EE3B0000}"/>
    <cellStyle name="Normal 3 12 2 2 5 2_TOM TAT" xfId="23069" xr:uid="{00000000-0005-0000-0000-0000EF3B0000}"/>
    <cellStyle name="Normal 3 12 2 2 5 3" xfId="30374" xr:uid="{00000000-0005-0000-0000-0000F03B0000}"/>
    <cellStyle name="Normal 3 12 2 2 5 4" xfId="15872" xr:uid="{00000000-0005-0000-0000-0000F13B0000}"/>
    <cellStyle name="Normal 3 12 2 2 5_TOM TAT" xfId="10352" xr:uid="{00000000-0005-0000-0000-0000F23B0000}"/>
    <cellStyle name="Normal 3 12 2 2 6" xfId="10353" xr:uid="{00000000-0005-0000-0000-0000F33B0000}"/>
    <cellStyle name="Normal 3 12 2 2 6 2" xfId="30376" xr:uid="{00000000-0005-0000-0000-0000F43B0000}"/>
    <cellStyle name="Normal 3 12 2 2 6 3" xfId="15874" xr:uid="{00000000-0005-0000-0000-0000F53B0000}"/>
    <cellStyle name="Normal 3 12 2 2 6_TOM TAT" xfId="23070" xr:uid="{00000000-0005-0000-0000-0000F63B0000}"/>
    <cellStyle name="Normal 3 12 2 2 7" xfId="28249" xr:uid="{00000000-0005-0000-0000-0000F73B0000}"/>
    <cellStyle name="Normal 3 12 2 2 8" xfId="14688" xr:uid="{00000000-0005-0000-0000-0000F83B0000}"/>
    <cellStyle name="Normal 3 12 2 2_TOM TAT" xfId="10354" xr:uid="{00000000-0005-0000-0000-0000F93B0000}"/>
    <cellStyle name="Normal 3 12 2 3" xfId="10355" xr:uid="{00000000-0005-0000-0000-0000FA3B0000}"/>
    <cellStyle name="Normal 3 12 2 3 2" xfId="10356" xr:uid="{00000000-0005-0000-0000-0000FB3B0000}"/>
    <cellStyle name="Normal 3 12 2 3 2 2" xfId="10357" xr:uid="{00000000-0005-0000-0000-0000FC3B0000}"/>
    <cellStyle name="Normal 3 12 2 3 2 2 2" xfId="10358" xr:uid="{00000000-0005-0000-0000-0000FD3B0000}"/>
    <cellStyle name="Normal 3 12 2 3 2 2 2 2" xfId="30380" xr:uid="{00000000-0005-0000-0000-0000FE3B0000}"/>
    <cellStyle name="Normal 3 12 2 3 2 2 2 3" xfId="15878" xr:uid="{00000000-0005-0000-0000-0000FF3B0000}"/>
    <cellStyle name="Normal 3 12 2 3 2 2 2_TOM TAT" xfId="23071" xr:uid="{00000000-0005-0000-0000-0000003C0000}"/>
    <cellStyle name="Normal 3 12 2 3 2 2 3" xfId="30379" xr:uid="{00000000-0005-0000-0000-0000013C0000}"/>
    <cellStyle name="Normal 3 12 2 3 2 2 4" xfId="15877" xr:uid="{00000000-0005-0000-0000-0000023C0000}"/>
    <cellStyle name="Normal 3 12 2 3 2 2_TOM TAT" xfId="10359" xr:uid="{00000000-0005-0000-0000-0000033C0000}"/>
    <cellStyle name="Normal 3 12 2 3 2 3" xfId="10360" xr:uid="{00000000-0005-0000-0000-0000043C0000}"/>
    <cellStyle name="Normal 3 12 2 3 2 3 2" xfId="30381" xr:uid="{00000000-0005-0000-0000-0000053C0000}"/>
    <cellStyle name="Normal 3 12 2 3 2 3 3" xfId="15879" xr:uid="{00000000-0005-0000-0000-0000063C0000}"/>
    <cellStyle name="Normal 3 12 2 3 2 3_TOM TAT" xfId="23072" xr:uid="{00000000-0005-0000-0000-0000073C0000}"/>
    <cellStyle name="Normal 3 12 2 3 2 4" xfId="30378" xr:uid="{00000000-0005-0000-0000-0000083C0000}"/>
    <cellStyle name="Normal 3 12 2 3 2 5" xfId="15876" xr:uid="{00000000-0005-0000-0000-0000093C0000}"/>
    <cellStyle name="Normal 3 12 2 3 2_TOM TAT" xfId="10361" xr:uid="{00000000-0005-0000-0000-00000A3C0000}"/>
    <cellStyle name="Normal 3 12 2 3 3" xfId="10362" xr:uid="{00000000-0005-0000-0000-00000B3C0000}"/>
    <cellStyle name="Normal 3 12 2 3 3 2" xfId="10363" xr:uid="{00000000-0005-0000-0000-00000C3C0000}"/>
    <cellStyle name="Normal 3 12 2 3 3 2 2" xfId="10364" xr:uid="{00000000-0005-0000-0000-00000D3C0000}"/>
    <cellStyle name="Normal 3 12 2 3 3 2 2 2" xfId="30384" xr:uid="{00000000-0005-0000-0000-00000E3C0000}"/>
    <cellStyle name="Normal 3 12 2 3 3 2 2 3" xfId="15882" xr:uid="{00000000-0005-0000-0000-00000F3C0000}"/>
    <cellStyle name="Normal 3 12 2 3 3 2 2_TOM TAT" xfId="23073" xr:uid="{00000000-0005-0000-0000-0000103C0000}"/>
    <cellStyle name="Normal 3 12 2 3 3 2 3" xfId="30383" xr:uid="{00000000-0005-0000-0000-0000113C0000}"/>
    <cellStyle name="Normal 3 12 2 3 3 2 4" xfId="15881" xr:uid="{00000000-0005-0000-0000-0000123C0000}"/>
    <cellStyle name="Normal 3 12 2 3 3 2_TOM TAT" xfId="10365" xr:uid="{00000000-0005-0000-0000-0000133C0000}"/>
    <cellStyle name="Normal 3 12 2 3 3 3" xfId="10366" xr:uid="{00000000-0005-0000-0000-0000143C0000}"/>
    <cellStyle name="Normal 3 12 2 3 3 3 2" xfId="30385" xr:uid="{00000000-0005-0000-0000-0000153C0000}"/>
    <cellStyle name="Normal 3 12 2 3 3 3 3" xfId="15883" xr:uid="{00000000-0005-0000-0000-0000163C0000}"/>
    <cellStyle name="Normal 3 12 2 3 3 3_TOM TAT" xfId="23074" xr:uid="{00000000-0005-0000-0000-0000173C0000}"/>
    <cellStyle name="Normal 3 12 2 3 3 4" xfId="30382" xr:uid="{00000000-0005-0000-0000-0000183C0000}"/>
    <cellStyle name="Normal 3 12 2 3 3 5" xfId="15880" xr:uid="{00000000-0005-0000-0000-0000193C0000}"/>
    <cellStyle name="Normal 3 12 2 3 3_TOM TAT" xfId="10367" xr:uid="{00000000-0005-0000-0000-00001A3C0000}"/>
    <cellStyle name="Normal 3 12 2 3 4" xfId="10368" xr:uid="{00000000-0005-0000-0000-00001B3C0000}"/>
    <cellStyle name="Normal 3 12 2 3 4 2" xfId="10369" xr:uid="{00000000-0005-0000-0000-00001C3C0000}"/>
    <cellStyle name="Normal 3 12 2 3 4 2 2" xfId="30387" xr:uid="{00000000-0005-0000-0000-00001D3C0000}"/>
    <cellStyle name="Normal 3 12 2 3 4 2 3" xfId="15885" xr:uid="{00000000-0005-0000-0000-00001E3C0000}"/>
    <cellStyle name="Normal 3 12 2 3 4 2_TOM TAT" xfId="23075" xr:uid="{00000000-0005-0000-0000-00001F3C0000}"/>
    <cellStyle name="Normal 3 12 2 3 4 3" xfId="30386" xr:uid="{00000000-0005-0000-0000-0000203C0000}"/>
    <cellStyle name="Normal 3 12 2 3 4 4" xfId="15884" xr:uid="{00000000-0005-0000-0000-0000213C0000}"/>
    <cellStyle name="Normal 3 12 2 3 4_TOM TAT" xfId="10370" xr:uid="{00000000-0005-0000-0000-0000223C0000}"/>
    <cellStyle name="Normal 3 12 2 3 5" xfId="10371" xr:uid="{00000000-0005-0000-0000-0000233C0000}"/>
    <cellStyle name="Normal 3 12 2 3 5 2" xfId="30388" xr:uid="{00000000-0005-0000-0000-0000243C0000}"/>
    <cellStyle name="Normal 3 12 2 3 5 3" xfId="15886" xr:uid="{00000000-0005-0000-0000-0000253C0000}"/>
    <cellStyle name="Normal 3 12 2 3 5_TOM TAT" xfId="23076" xr:uid="{00000000-0005-0000-0000-0000263C0000}"/>
    <cellStyle name="Normal 3 12 2 3 6" xfId="30377" xr:uid="{00000000-0005-0000-0000-0000273C0000}"/>
    <cellStyle name="Normal 3 12 2 3 7" xfId="15875" xr:uid="{00000000-0005-0000-0000-0000283C0000}"/>
    <cellStyle name="Normal 3 12 2 3_TOM TAT" xfId="10372" xr:uid="{00000000-0005-0000-0000-0000293C0000}"/>
    <cellStyle name="Normal 3 12 2 4" xfId="10373" xr:uid="{00000000-0005-0000-0000-00002A3C0000}"/>
    <cellStyle name="Normal 3 12 2 4 2" xfId="10374" xr:uid="{00000000-0005-0000-0000-00002B3C0000}"/>
    <cellStyle name="Normal 3 12 2 4 2 2" xfId="10375" xr:uid="{00000000-0005-0000-0000-00002C3C0000}"/>
    <cellStyle name="Normal 3 12 2 4 2 2 2" xfId="10376" xr:uid="{00000000-0005-0000-0000-00002D3C0000}"/>
    <cellStyle name="Normal 3 12 2 4 2 2 2 2" xfId="30392" xr:uid="{00000000-0005-0000-0000-00002E3C0000}"/>
    <cellStyle name="Normal 3 12 2 4 2 2 2 3" xfId="15890" xr:uid="{00000000-0005-0000-0000-00002F3C0000}"/>
    <cellStyle name="Normal 3 12 2 4 2 2 2_TOM TAT" xfId="23077" xr:uid="{00000000-0005-0000-0000-0000303C0000}"/>
    <cellStyle name="Normal 3 12 2 4 2 2 3" xfId="30391" xr:uid="{00000000-0005-0000-0000-0000313C0000}"/>
    <cellStyle name="Normal 3 12 2 4 2 2 4" xfId="15889" xr:uid="{00000000-0005-0000-0000-0000323C0000}"/>
    <cellStyle name="Normal 3 12 2 4 2 2_TOM TAT" xfId="10377" xr:uid="{00000000-0005-0000-0000-0000333C0000}"/>
    <cellStyle name="Normal 3 12 2 4 2 3" xfId="10378" xr:uid="{00000000-0005-0000-0000-0000343C0000}"/>
    <cellStyle name="Normal 3 12 2 4 2 3 2" xfId="30393" xr:uid="{00000000-0005-0000-0000-0000353C0000}"/>
    <cellStyle name="Normal 3 12 2 4 2 3 3" xfId="15891" xr:uid="{00000000-0005-0000-0000-0000363C0000}"/>
    <cellStyle name="Normal 3 12 2 4 2 3_TOM TAT" xfId="23078" xr:uid="{00000000-0005-0000-0000-0000373C0000}"/>
    <cellStyle name="Normal 3 12 2 4 2 4" xfId="30390" xr:uid="{00000000-0005-0000-0000-0000383C0000}"/>
    <cellStyle name="Normal 3 12 2 4 2 5" xfId="15888" xr:uid="{00000000-0005-0000-0000-0000393C0000}"/>
    <cellStyle name="Normal 3 12 2 4 2_TOM TAT" xfId="10379" xr:uid="{00000000-0005-0000-0000-00003A3C0000}"/>
    <cellStyle name="Normal 3 12 2 4 3" xfId="10380" xr:uid="{00000000-0005-0000-0000-00003B3C0000}"/>
    <cellStyle name="Normal 3 12 2 4 3 2" xfId="10381" xr:uid="{00000000-0005-0000-0000-00003C3C0000}"/>
    <cellStyle name="Normal 3 12 2 4 3 2 2" xfId="10382" xr:uid="{00000000-0005-0000-0000-00003D3C0000}"/>
    <cellStyle name="Normal 3 12 2 4 3 2 2 2" xfId="30396" xr:uid="{00000000-0005-0000-0000-00003E3C0000}"/>
    <cellStyle name="Normal 3 12 2 4 3 2 2 3" xfId="15894" xr:uid="{00000000-0005-0000-0000-00003F3C0000}"/>
    <cellStyle name="Normal 3 12 2 4 3 2 2_TOM TAT" xfId="23079" xr:uid="{00000000-0005-0000-0000-0000403C0000}"/>
    <cellStyle name="Normal 3 12 2 4 3 2 3" xfId="30395" xr:uid="{00000000-0005-0000-0000-0000413C0000}"/>
    <cellStyle name="Normal 3 12 2 4 3 2 4" xfId="15893" xr:uid="{00000000-0005-0000-0000-0000423C0000}"/>
    <cellStyle name="Normal 3 12 2 4 3 2_TOM TAT" xfId="10383" xr:uid="{00000000-0005-0000-0000-0000433C0000}"/>
    <cellStyle name="Normal 3 12 2 4 3 3" xfId="10384" xr:uid="{00000000-0005-0000-0000-0000443C0000}"/>
    <cellStyle name="Normal 3 12 2 4 3 3 2" xfId="30397" xr:uid="{00000000-0005-0000-0000-0000453C0000}"/>
    <cellStyle name="Normal 3 12 2 4 3 3 3" xfId="15895" xr:uid="{00000000-0005-0000-0000-0000463C0000}"/>
    <cellStyle name="Normal 3 12 2 4 3 3_TOM TAT" xfId="23080" xr:uid="{00000000-0005-0000-0000-0000473C0000}"/>
    <cellStyle name="Normal 3 12 2 4 3 4" xfId="30394" xr:uid="{00000000-0005-0000-0000-0000483C0000}"/>
    <cellStyle name="Normal 3 12 2 4 3 5" xfId="15892" xr:uid="{00000000-0005-0000-0000-0000493C0000}"/>
    <cellStyle name="Normal 3 12 2 4 3_TOM TAT" xfId="10385" xr:uid="{00000000-0005-0000-0000-00004A3C0000}"/>
    <cellStyle name="Normal 3 12 2 4 4" xfId="10386" xr:uid="{00000000-0005-0000-0000-00004B3C0000}"/>
    <cellStyle name="Normal 3 12 2 4 4 2" xfId="10387" xr:uid="{00000000-0005-0000-0000-00004C3C0000}"/>
    <cellStyle name="Normal 3 12 2 4 4 2 2" xfId="30399" xr:uid="{00000000-0005-0000-0000-00004D3C0000}"/>
    <cellStyle name="Normal 3 12 2 4 4 2 3" xfId="15897" xr:uid="{00000000-0005-0000-0000-00004E3C0000}"/>
    <cellStyle name="Normal 3 12 2 4 4 2_TOM TAT" xfId="23081" xr:uid="{00000000-0005-0000-0000-00004F3C0000}"/>
    <cellStyle name="Normal 3 12 2 4 4 3" xfId="30398" xr:uid="{00000000-0005-0000-0000-0000503C0000}"/>
    <cellStyle name="Normal 3 12 2 4 4 4" xfId="15896" xr:uid="{00000000-0005-0000-0000-0000513C0000}"/>
    <cellStyle name="Normal 3 12 2 4 4_TOM TAT" xfId="10388" xr:uid="{00000000-0005-0000-0000-0000523C0000}"/>
    <cellStyle name="Normal 3 12 2 4 5" xfId="10389" xr:uid="{00000000-0005-0000-0000-0000533C0000}"/>
    <cellStyle name="Normal 3 12 2 4 5 2" xfId="30400" xr:uid="{00000000-0005-0000-0000-0000543C0000}"/>
    <cellStyle name="Normal 3 12 2 4 5 3" xfId="15898" xr:uid="{00000000-0005-0000-0000-0000553C0000}"/>
    <cellStyle name="Normal 3 12 2 4 5_TOM TAT" xfId="23082" xr:uid="{00000000-0005-0000-0000-0000563C0000}"/>
    <cellStyle name="Normal 3 12 2 4 6" xfId="30389" xr:uid="{00000000-0005-0000-0000-0000573C0000}"/>
    <cellStyle name="Normal 3 12 2 4 7" xfId="15887" xr:uid="{00000000-0005-0000-0000-0000583C0000}"/>
    <cellStyle name="Normal 3 12 2 4_TOM TAT" xfId="10390" xr:uid="{00000000-0005-0000-0000-0000593C0000}"/>
    <cellStyle name="Normal 3 12 2 5" xfId="10391" xr:uid="{00000000-0005-0000-0000-00005A3C0000}"/>
    <cellStyle name="Normal 3 12 2 5 2" xfId="10392" xr:uid="{00000000-0005-0000-0000-00005B3C0000}"/>
    <cellStyle name="Normal 3 12 2 5 2 2" xfId="10393" xr:uid="{00000000-0005-0000-0000-00005C3C0000}"/>
    <cellStyle name="Normal 3 12 2 5 2 2 2" xfId="30403" xr:uid="{00000000-0005-0000-0000-00005D3C0000}"/>
    <cellStyle name="Normal 3 12 2 5 2 2 3" xfId="15901" xr:uid="{00000000-0005-0000-0000-00005E3C0000}"/>
    <cellStyle name="Normal 3 12 2 5 2 2_TOM TAT" xfId="23083" xr:uid="{00000000-0005-0000-0000-00005F3C0000}"/>
    <cellStyle name="Normal 3 12 2 5 2 3" xfId="30402" xr:uid="{00000000-0005-0000-0000-0000603C0000}"/>
    <cellStyle name="Normal 3 12 2 5 2 4" xfId="15900" xr:uid="{00000000-0005-0000-0000-0000613C0000}"/>
    <cellStyle name="Normal 3 12 2 5 2_TOM TAT" xfId="10394" xr:uid="{00000000-0005-0000-0000-0000623C0000}"/>
    <cellStyle name="Normal 3 12 2 5 3" xfId="10395" xr:uid="{00000000-0005-0000-0000-0000633C0000}"/>
    <cellStyle name="Normal 3 12 2 5 3 2" xfId="30404" xr:uid="{00000000-0005-0000-0000-0000643C0000}"/>
    <cellStyle name="Normal 3 12 2 5 3 3" xfId="15902" xr:uid="{00000000-0005-0000-0000-0000653C0000}"/>
    <cellStyle name="Normal 3 12 2 5 3_TOM TAT" xfId="23084" xr:uid="{00000000-0005-0000-0000-0000663C0000}"/>
    <cellStyle name="Normal 3 12 2 5 4" xfId="30401" xr:uid="{00000000-0005-0000-0000-0000673C0000}"/>
    <cellStyle name="Normal 3 12 2 5 5" xfId="15899" xr:uid="{00000000-0005-0000-0000-0000683C0000}"/>
    <cellStyle name="Normal 3 12 2 5_TOM TAT" xfId="10396" xr:uid="{00000000-0005-0000-0000-0000693C0000}"/>
    <cellStyle name="Normal 3 12 2 6" xfId="10397" xr:uid="{00000000-0005-0000-0000-00006A3C0000}"/>
    <cellStyle name="Normal 3 12 2 6 2" xfId="10398" xr:uid="{00000000-0005-0000-0000-00006B3C0000}"/>
    <cellStyle name="Normal 3 12 2 6 2 2" xfId="10399" xr:uid="{00000000-0005-0000-0000-00006C3C0000}"/>
    <cellStyle name="Normal 3 12 2 6 2 2 2" xfId="30407" xr:uid="{00000000-0005-0000-0000-00006D3C0000}"/>
    <cellStyle name="Normal 3 12 2 6 2 2 3" xfId="15905" xr:uid="{00000000-0005-0000-0000-00006E3C0000}"/>
    <cellStyle name="Normal 3 12 2 6 2 2_TOM TAT" xfId="23085" xr:uid="{00000000-0005-0000-0000-00006F3C0000}"/>
    <cellStyle name="Normal 3 12 2 6 2 3" xfId="30406" xr:uid="{00000000-0005-0000-0000-0000703C0000}"/>
    <cellStyle name="Normal 3 12 2 6 2 4" xfId="15904" xr:uid="{00000000-0005-0000-0000-0000713C0000}"/>
    <cellStyle name="Normal 3 12 2 6 2_TOM TAT" xfId="10400" xr:uid="{00000000-0005-0000-0000-0000723C0000}"/>
    <cellStyle name="Normal 3 12 2 6 3" xfId="10401" xr:uid="{00000000-0005-0000-0000-0000733C0000}"/>
    <cellStyle name="Normal 3 12 2 6 3 2" xfId="30408" xr:uid="{00000000-0005-0000-0000-0000743C0000}"/>
    <cellStyle name="Normal 3 12 2 6 3 3" xfId="15906" xr:uid="{00000000-0005-0000-0000-0000753C0000}"/>
    <cellStyle name="Normal 3 12 2 6 3_TOM TAT" xfId="23086" xr:uid="{00000000-0005-0000-0000-0000763C0000}"/>
    <cellStyle name="Normal 3 12 2 6 4" xfId="30405" xr:uid="{00000000-0005-0000-0000-0000773C0000}"/>
    <cellStyle name="Normal 3 12 2 6 5" xfId="15903" xr:uid="{00000000-0005-0000-0000-0000783C0000}"/>
    <cellStyle name="Normal 3 12 2 6_TOM TAT" xfId="10402" xr:uid="{00000000-0005-0000-0000-0000793C0000}"/>
    <cellStyle name="Normal 3 12 2 7" xfId="10403" xr:uid="{00000000-0005-0000-0000-00007A3C0000}"/>
    <cellStyle name="Normal 3 12 2 7 2" xfId="10404" xr:uid="{00000000-0005-0000-0000-00007B3C0000}"/>
    <cellStyle name="Normal 3 12 2 7 2 2" xfId="30410" xr:uid="{00000000-0005-0000-0000-00007C3C0000}"/>
    <cellStyle name="Normal 3 12 2 7 2 3" xfId="15908" xr:uid="{00000000-0005-0000-0000-00007D3C0000}"/>
    <cellStyle name="Normal 3 12 2 7 2_TOM TAT" xfId="23087" xr:uid="{00000000-0005-0000-0000-00007E3C0000}"/>
    <cellStyle name="Normal 3 12 2 7 3" xfId="30409" xr:uid="{00000000-0005-0000-0000-00007F3C0000}"/>
    <cellStyle name="Normal 3 12 2 7 4" xfId="15907" xr:uid="{00000000-0005-0000-0000-0000803C0000}"/>
    <cellStyle name="Normal 3 12 2 7_TOM TAT" xfId="10405" xr:uid="{00000000-0005-0000-0000-0000813C0000}"/>
    <cellStyle name="Normal 3 12 2 8" xfId="10406" xr:uid="{00000000-0005-0000-0000-0000823C0000}"/>
    <cellStyle name="Normal 3 12 2 8 2" xfId="30411" xr:uid="{00000000-0005-0000-0000-0000833C0000}"/>
    <cellStyle name="Normal 3 12 2 8 3" xfId="15909" xr:uid="{00000000-0005-0000-0000-0000843C0000}"/>
    <cellStyle name="Normal 3 12 2 8_TOM TAT" xfId="23088" xr:uid="{00000000-0005-0000-0000-0000853C0000}"/>
    <cellStyle name="Normal 3 12 2 9" xfId="28248" xr:uid="{00000000-0005-0000-0000-0000863C0000}"/>
    <cellStyle name="Normal 3 12 2_TOM TAT" xfId="10407" xr:uid="{00000000-0005-0000-0000-0000873C0000}"/>
    <cellStyle name="Normal 3 12 3" xfId="5557" xr:uid="{00000000-0005-0000-0000-0000883C0000}"/>
    <cellStyle name="Normal 3 12 3 2" xfId="10408" xr:uid="{00000000-0005-0000-0000-0000893C0000}"/>
    <cellStyle name="Normal 3 12 3 2 2" xfId="10409" xr:uid="{00000000-0005-0000-0000-00008A3C0000}"/>
    <cellStyle name="Normal 3 12 3 2 2 2" xfId="10410" xr:uid="{00000000-0005-0000-0000-00008B3C0000}"/>
    <cellStyle name="Normal 3 12 3 2 2 2 2" xfId="10411" xr:uid="{00000000-0005-0000-0000-00008C3C0000}"/>
    <cellStyle name="Normal 3 12 3 2 2 2 2 2" xfId="30415" xr:uid="{00000000-0005-0000-0000-00008D3C0000}"/>
    <cellStyle name="Normal 3 12 3 2 2 2 2 3" xfId="15913" xr:uid="{00000000-0005-0000-0000-00008E3C0000}"/>
    <cellStyle name="Normal 3 12 3 2 2 2 2_TOM TAT" xfId="23089" xr:uid="{00000000-0005-0000-0000-00008F3C0000}"/>
    <cellStyle name="Normal 3 12 3 2 2 2 3" xfId="30414" xr:uid="{00000000-0005-0000-0000-0000903C0000}"/>
    <cellStyle name="Normal 3 12 3 2 2 2 4" xfId="15912" xr:uid="{00000000-0005-0000-0000-0000913C0000}"/>
    <cellStyle name="Normal 3 12 3 2 2 2_TOM TAT" xfId="10412" xr:uid="{00000000-0005-0000-0000-0000923C0000}"/>
    <cellStyle name="Normal 3 12 3 2 2 3" xfId="10413" xr:uid="{00000000-0005-0000-0000-0000933C0000}"/>
    <cellStyle name="Normal 3 12 3 2 2 3 2" xfId="30416" xr:uid="{00000000-0005-0000-0000-0000943C0000}"/>
    <cellStyle name="Normal 3 12 3 2 2 3 3" xfId="15914" xr:uid="{00000000-0005-0000-0000-0000953C0000}"/>
    <cellStyle name="Normal 3 12 3 2 2 3_TOM TAT" xfId="23090" xr:uid="{00000000-0005-0000-0000-0000963C0000}"/>
    <cellStyle name="Normal 3 12 3 2 2 4" xfId="30413" xr:uid="{00000000-0005-0000-0000-0000973C0000}"/>
    <cellStyle name="Normal 3 12 3 2 2 5" xfId="15911" xr:uid="{00000000-0005-0000-0000-0000983C0000}"/>
    <cellStyle name="Normal 3 12 3 2 2_TOM TAT" xfId="10414" xr:uid="{00000000-0005-0000-0000-0000993C0000}"/>
    <cellStyle name="Normal 3 12 3 2 3" xfId="10415" xr:uid="{00000000-0005-0000-0000-00009A3C0000}"/>
    <cellStyle name="Normal 3 12 3 2 3 2" xfId="10416" xr:uid="{00000000-0005-0000-0000-00009B3C0000}"/>
    <cellStyle name="Normal 3 12 3 2 3 2 2" xfId="10417" xr:uid="{00000000-0005-0000-0000-00009C3C0000}"/>
    <cellStyle name="Normal 3 12 3 2 3 2 2 2" xfId="30419" xr:uid="{00000000-0005-0000-0000-00009D3C0000}"/>
    <cellStyle name="Normal 3 12 3 2 3 2 2 3" xfId="15917" xr:uid="{00000000-0005-0000-0000-00009E3C0000}"/>
    <cellStyle name="Normal 3 12 3 2 3 2 2_TOM TAT" xfId="23091" xr:uid="{00000000-0005-0000-0000-00009F3C0000}"/>
    <cellStyle name="Normal 3 12 3 2 3 2 3" xfId="30418" xr:uid="{00000000-0005-0000-0000-0000A03C0000}"/>
    <cellStyle name="Normal 3 12 3 2 3 2 4" xfId="15916" xr:uid="{00000000-0005-0000-0000-0000A13C0000}"/>
    <cellStyle name="Normal 3 12 3 2 3 2_TOM TAT" xfId="10418" xr:uid="{00000000-0005-0000-0000-0000A23C0000}"/>
    <cellStyle name="Normal 3 12 3 2 3 3" xfId="10419" xr:uid="{00000000-0005-0000-0000-0000A33C0000}"/>
    <cellStyle name="Normal 3 12 3 2 3 3 2" xfId="30420" xr:uid="{00000000-0005-0000-0000-0000A43C0000}"/>
    <cellStyle name="Normal 3 12 3 2 3 3 3" xfId="15918" xr:uid="{00000000-0005-0000-0000-0000A53C0000}"/>
    <cellStyle name="Normal 3 12 3 2 3 3_TOM TAT" xfId="23092" xr:uid="{00000000-0005-0000-0000-0000A63C0000}"/>
    <cellStyle name="Normal 3 12 3 2 3 4" xfId="30417" xr:uid="{00000000-0005-0000-0000-0000A73C0000}"/>
    <cellStyle name="Normal 3 12 3 2 3 5" xfId="15915" xr:uid="{00000000-0005-0000-0000-0000A83C0000}"/>
    <cellStyle name="Normal 3 12 3 2 3_TOM TAT" xfId="10420" xr:uid="{00000000-0005-0000-0000-0000A93C0000}"/>
    <cellStyle name="Normal 3 12 3 2 4" xfId="10421" xr:uid="{00000000-0005-0000-0000-0000AA3C0000}"/>
    <cellStyle name="Normal 3 12 3 2 4 2" xfId="10422" xr:uid="{00000000-0005-0000-0000-0000AB3C0000}"/>
    <cellStyle name="Normal 3 12 3 2 4 2 2" xfId="30422" xr:uid="{00000000-0005-0000-0000-0000AC3C0000}"/>
    <cellStyle name="Normal 3 12 3 2 4 2 3" xfId="15920" xr:uid="{00000000-0005-0000-0000-0000AD3C0000}"/>
    <cellStyle name="Normal 3 12 3 2 4 2_TOM TAT" xfId="23093" xr:uid="{00000000-0005-0000-0000-0000AE3C0000}"/>
    <cellStyle name="Normal 3 12 3 2 4 3" xfId="30421" xr:uid="{00000000-0005-0000-0000-0000AF3C0000}"/>
    <cellStyle name="Normal 3 12 3 2 4 4" xfId="15919" xr:uid="{00000000-0005-0000-0000-0000B03C0000}"/>
    <cellStyle name="Normal 3 12 3 2 4_TOM TAT" xfId="10423" xr:uid="{00000000-0005-0000-0000-0000B13C0000}"/>
    <cellStyle name="Normal 3 12 3 2 5" xfId="10424" xr:uid="{00000000-0005-0000-0000-0000B23C0000}"/>
    <cellStyle name="Normal 3 12 3 2 5 2" xfId="30423" xr:uid="{00000000-0005-0000-0000-0000B33C0000}"/>
    <cellStyle name="Normal 3 12 3 2 5 3" xfId="15921" xr:uid="{00000000-0005-0000-0000-0000B43C0000}"/>
    <cellStyle name="Normal 3 12 3 2 5_TOM TAT" xfId="23094" xr:uid="{00000000-0005-0000-0000-0000B53C0000}"/>
    <cellStyle name="Normal 3 12 3 2 6" xfId="30412" xr:uid="{00000000-0005-0000-0000-0000B63C0000}"/>
    <cellStyle name="Normal 3 12 3 2 7" xfId="15910" xr:uid="{00000000-0005-0000-0000-0000B73C0000}"/>
    <cellStyle name="Normal 3 12 3 2_TOM TAT" xfId="10425" xr:uid="{00000000-0005-0000-0000-0000B83C0000}"/>
    <cellStyle name="Normal 3 12 3 3" xfId="10426" xr:uid="{00000000-0005-0000-0000-0000B93C0000}"/>
    <cellStyle name="Normal 3 12 3 3 2" xfId="10427" xr:uid="{00000000-0005-0000-0000-0000BA3C0000}"/>
    <cellStyle name="Normal 3 12 3 3 2 2" xfId="10428" xr:uid="{00000000-0005-0000-0000-0000BB3C0000}"/>
    <cellStyle name="Normal 3 12 3 3 2 2 2" xfId="30426" xr:uid="{00000000-0005-0000-0000-0000BC3C0000}"/>
    <cellStyle name="Normal 3 12 3 3 2 2 3" xfId="15924" xr:uid="{00000000-0005-0000-0000-0000BD3C0000}"/>
    <cellStyle name="Normal 3 12 3 3 2 2_TOM TAT" xfId="23095" xr:uid="{00000000-0005-0000-0000-0000BE3C0000}"/>
    <cellStyle name="Normal 3 12 3 3 2 3" xfId="30425" xr:uid="{00000000-0005-0000-0000-0000BF3C0000}"/>
    <cellStyle name="Normal 3 12 3 3 2 4" xfId="15923" xr:uid="{00000000-0005-0000-0000-0000C03C0000}"/>
    <cellStyle name="Normal 3 12 3 3 2_TOM TAT" xfId="10429" xr:uid="{00000000-0005-0000-0000-0000C13C0000}"/>
    <cellStyle name="Normal 3 12 3 3 3" xfId="10430" xr:uid="{00000000-0005-0000-0000-0000C23C0000}"/>
    <cellStyle name="Normal 3 12 3 3 3 2" xfId="30427" xr:uid="{00000000-0005-0000-0000-0000C33C0000}"/>
    <cellStyle name="Normal 3 12 3 3 3 3" xfId="15925" xr:uid="{00000000-0005-0000-0000-0000C43C0000}"/>
    <cellStyle name="Normal 3 12 3 3 3_TOM TAT" xfId="23096" xr:uid="{00000000-0005-0000-0000-0000C53C0000}"/>
    <cellStyle name="Normal 3 12 3 3 4" xfId="30424" xr:uid="{00000000-0005-0000-0000-0000C63C0000}"/>
    <cellStyle name="Normal 3 12 3 3 5" xfId="15922" xr:uid="{00000000-0005-0000-0000-0000C73C0000}"/>
    <cellStyle name="Normal 3 12 3 3_TOM TAT" xfId="10431" xr:uid="{00000000-0005-0000-0000-0000C83C0000}"/>
    <cellStyle name="Normal 3 12 3 4" xfId="10432" xr:uid="{00000000-0005-0000-0000-0000C93C0000}"/>
    <cellStyle name="Normal 3 12 3 4 2" xfId="10433" xr:uid="{00000000-0005-0000-0000-0000CA3C0000}"/>
    <cellStyle name="Normal 3 12 3 4 2 2" xfId="10434" xr:uid="{00000000-0005-0000-0000-0000CB3C0000}"/>
    <cellStyle name="Normal 3 12 3 4 2 2 2" xfId="30430" xr:uid="{00000000-0005-0000-0000-0000CC3C0000}"/>
    <cellStyle name="Normal 3 12 3 4 2 2 3" xfId="15928" xr:uid="{00000000-0005-0000-0000-0000CD3C0000}"/>
    <cellStyle name="Normal 3 12 3 4 2 2_TOM TAT" xfId="23097" xr:uid="{00000000-0005-0000-0000-0000CE3C0000}"/>
    <cellStyle name="Normal 3 12 3 4 2 3" xfId="30429" xr:uid="{00000000-0005-0000-0000-0000CF3C0000}"/>
    <cellStyle name="Normal 3 12 3 4 2 4" xfId="15927" xr:uid="{00000000-0005-0000-0000-0000D03C0000}"/>
    <cellStyle name="Normal 3 12 3 4 2_TOM TAT" xfId="10435" xr:uid="{00000000-0005-0000-0000-0000D13C0000}"/>
    <cellStyle name="Normal 3 12 3 4 3" xfId="10436" xr:uid="{00000000-0005-0000-0000-0000D23C0000}"/>
    <cellStyle name="Normal 3 12 3 4 3 2" xfId="30431" xr:uid="{00000000-0005-0000-0000-0000D33C0000}"/>
    <cellStyle name="Normal 3 12 3 4 3 3" xfId="15929" xr:uid="{00000000-0005-0000-0000-0000D43C0000}"/>
    <cellStyle name="Normal 3 12 3 4 3_TOM TAT" xfId="23098" xr:uid="{00000000-0005-0000-0000-0000D53C0000}"/>
    <cellStyle name="Normal 3 12 3 4 4" xfId="30428" xr:uid="{00000000-0005-0000-0000-0000D63C0000}"/>
    <cellStyle name="Normal 3 12 3 4 5" xfId="15926" xr:uid="{00000000-0005-0000-0000-0000D73C0000}"/>
    <cellStyle name="Normal 3 12 3 4_TOM TAT" xfId="10437" xr:uid="{00000000-0005-0000-0000-0000D83C0000}"/>
    <cellStyle name="Normal 3 12 3 5" xfId="10438" xr:uid="{00000000-0005-0000-0000-0000D93C0000}"/>
    <cellStyle name="Normal 3 12 3 5 2" xfId="10439" xr:uid="{00000000-0005-0000-0000-0000DA3C0000}"/>
    <cellStyle name="Normal 3 12 3 5 2 2" xfId="30433" xr:uid="{00000000-0005-0000-0000-0000DB3C0000}"/>
    <cellStyle name="Normal 3 12 3 5 2 3" xfId="15931" xr:uid="{00000000-0005-0000-0000-0000DC3C0000}"/>
    <cellStyle name="Normal 3 12 3 5 2_TOM TAT" xfId="23099" xr:uid="{00000000-0005-0000-0000-0000DD3C0000}"/>
    <cellStyle name="Normal 3 12 3 5 3" xfId="30432" xr:uid="{00000000-0005-0000-0000-0000DE3C0000}"/>
    <cellStyle name="Normal 3 12 3 5 4" xfId="15930" xr:uid="{00000000-0005-0000-0000-0000DF3C0000}"/>
    <cellStyle name="Normal 3 12 3 5_TOM TAT" xfId="10440" xr:uid="{00000000-0005-0000-0000-0000E03C0000}"/>
    <cellStyle name="Normal 3 12 3 6" xfId="10441" xr:uid="{00000000-0005-0000-0000-0000E13C0000}"/>
    <cellStyle name="Normal 3 12 3 6 2" xfId="30434" xr:uid="{00000000-0005-0000-0000-0000E23C0000}"/>
    <cellStyle name="Normal 3 12 3 6 3" xfId="15932" xr:uid="{00000000-0005-0000-0000-0000E33C0000}"/>
    <cellStyle name="Normal 3 12 3 6_TOM TAT" xfId="23100" xr:uid="{00000000-0005-0000-0000-0000E43C0000}"/>
    <cellStyle name="Normal 3 12 3 7" xfId="28250" xr:uid="{00000000-0005-0000-0000-0000E53C0000}"/>
    <cellStyle name="Normal 3 12 3 8" xfId="14689" xr:uid="{00000000-0005-0000-0000-0000E63C0000}"/>
    <cellStyle name="Normal 3 12 3_TOM TAT" xfId="10442" xr:uid="{00000000-0005-0000-0000-0000E73C0000}"/>
    <cellStyle name="Normal 3 12 4" xfId="5558" xr:uid="{00000000-0005-0000-0000-0000E83C0000}"/>
    <cellStyle name="Normal 3 12 4 2" xfId="10443" xr:uid="{00000000-0005-0000-0000-0000E93C0000}"/>
    <cellStyle name="Normal 3 12 4 2 2" xfId="10444" xr:uid="{00000000-0005-0000-0000-0000EA3C0000}"/>
    <cellStyle name="Normal 3 12 4 2 2 2" xfId="10445" xr:uid="{00000000-0005-0000-0000-0000EB3C0000}"/>
    <cellStyle name="Normal 3 12 4 2 2 2 2" xfId="30437" xr:uid="{00000000-0005-0000-0000-0000EC3C0000}"/>
    <cellStyle name="Normal 3 12 4 2 2 2 3" xfId="15935" xr:uid="{00000000-0005-0000-0000-0000ED3C0000}"/>
    <cellStyle name="Normal 3 12 4 2 2 2_TOM TAT" xfId="23101" xr:uid="{00000000-0005-0000-0000-0000EE3C0000}"/>
    <cellStyle name="Normal 3 12 4 2 2 3" xfId="30436" xr:uid="{00000000-0005-0000-0000-0000EF3C0000}"/>
    <cellStyle name="Normal 3 12 4 2 2 4" xfId="15934" xr:uid="{00000000-0005-0000-0000-0000F03C0000}"/>
    <cellStyle name="Normal 3 12 4 2 2_TOM TAT" xfId="10446" xr:uid="{00000000-0005-0000-0000-0000F13C0000}"/>
    <cellStyle name="Normal 3 12 4 2 3" xfId="10447" xr:uid="{00000000-0005-0000-0000-0000F23C0000}"/>
    <cellStyle name="Normal 3 12 4 2 3 2" xfId="30438" xr:uid="{00000000-0005-0000-0000-0000F33C0000}"/>
    <cellStyle name="Normal 3 12 4 2 3 3" xfId="15936" xr:uid="{00000000-0005-0000-0000-0000F43C0000}"/>
    <cellStyle name="Normal 3 12 4 2 3_TOM TAT" xfId="23102" xr:uid="{00000000-0005-0000-0000-0000F53C0000}"/>
    <cellStyle name="Normal 3 12 4 2 4" xfId="30435" xr:uid="{00000000-0005-0000-0000-0000F63C0000}"/>
    <cellStyle name="Normal 3 12 4 2 5" xfId="15933" xr:uid="{00000000-0005-0000-0000-0000F73C0000}"/>
    <cellStyle name="Normal 3 12 4 2_TOM TAT" xfId="10448" xr:uid="{00000000-0005-0000-0000-0000F83C0000}"/>
    <cellStyle name="Normal 3 12 4 3" xfId="10449" xr:uid="{00000000-0005-0000-0000-0000F93C0000}"/>
    <cellStyle name="Normal 3 12 4 3 2" xfId="10450" xr:uid="{00000000-0005-0000-0000-0000FA3C0000}"/>
    <cellStyle name="Normal 3 12 4 3 2 2" xfId="10451" xr:uid="{00000000-0005-0000-0000-0000FB3C0000}"/>
    <cellStyle name="Normal 3 12 4 3 2 2 2" xfId="30441" xr:uid="{00000000-0005-0000-0000-0000FC3C0000}"/>
    <cellStyle name="Normal 3 12 4 3 2 2 3" xfId="15939" xr:uid="{00000000-0005-0000-0000-0000FD3C0000}"/>
    <cellStyle name="Normal 3 12 4 3 2 2_TOM TAT" xfId="23103" xr:uid="{00000000-0005-0000-0000-0000FE3C0000}"/>
    <cellStyle name="Normal 3 12 4 3 2 3" xfId="30440" xr:uid="{00000000-0005-0000-0000-0000FF3C0000}"/>
    <cellStyle name="Normal 3 12 4 3 2 4" xfId="15938" xr:uid="{00000000-0005-0000-0000-0000003D0000}"/>
    <cellStyle name="Normal 3 12 4 3 2_TOM TAT" xfId="10452" xr:uid="{00000000-0005-0000-0000-0000013D0000}"/>
    <cellStyle name="Normal 3 12 4 3 3" xfId="10453" xr:uid="{00000000-0005-0000-0000-0000023D0000}"/>
    <cellStyle name="Normal 3 12 4 3 3 2" xfId="30442" xr:uid="{00000000-0005-0000-0000-0000033D0000}"/>
    <cellStyle name="Normal 3 12 4 3 3 3" xfId="15940" xr:uid="{00000000-0005-0000-0000-0000043D0000}"/>
    <cellStyle name="Normal 3 12 4 3 3_TOM TAT" xfId="23104" xr:uid="{00000000-0005-0000-0000-0000053D0000}"/>
    <cellStyle name="Normal 3 12 4 3 4" xfId="30439" xr:uid="{00000000-0005-0000-0000-0000063D0000}"/>
    <cellStyle name="Normal 3 12 4 3 5" xfId="15937" xr:uid="{00000000-0005-0000-0000-0000073D0000}"/>
    <cellStyle name="Normal 3 12 4 3_TOM TAT" xfId="10454" xr:uid="{00000000-0005-0000-0000-0000083D0000}"/>
    <cellStyle name="Normal 3 12 4 4" xfId="10455" xr:uid="{00000000-0005-0000-0000-0000093D0000}"/>
    <cellStyle name="Normal 3 12 4 4 2" xfId="10456" xr:uid="{00000000-0005-0000-0000-00000A3D0000}"/>
    <cellStyle name="Normal 3 12 4 4 2 2" xfId="30444" xr:uid="{00000000-0005-0000-0000-00000B3D0000}"/>
    <cellStyle name="Normal 3 12 4 4 2 3" xfId="15942" xr:uid="{00000000-0005-0000-0000-00000C3D0000}"/>
    <cellStyle name="Normal 3 12 4 4 2_TOM TAT" xfId="23105" xr:uid="{00000000-0005-0000-0000-00000D3D0000}"/>
    <cellStyle name="Normal 3 12 4 4 3" xfId="30443" xr:uid="{00000000-0005-0000-0000-00000E3D0000}"/>
    <cellStyle name="Normal 3 12 4 4 4" xfId="15941" xr:uid="{00000000-0005-0000-0000-00000F3D0000}"/>
    <cellStyle name="Normal 3 12 4 4_TOM TAT" xfId="10457" xr:uid="{00000000-0005-0000-0000-0000103D0000}"/>
    <cellStyle name="Normal 3 12 4 5" xfId="10458" xr:uid="{00000000-0005-0000-0000-0000113D0000}"/>
    <cellStyle name="Normal 3 12 4 5 2" xfId="30445" xr:uid="{00000000-0005-0000-0000-0000123D0000}"/>
    <cellStyle name="Normal 3 12 4 5 3" xfId="15943" xr:uid="{00000000-0005-0000-0000-0000133D0000}"/>
    <cellStyle name="Normal 3 12 4 5_TOM TAT" xfId="23106" xr:uid="{00000000-0005-0000-0000-0000143D0000}"/>
    <cellStyle name="Normal 3 12 4 6" xfId="28251" xr:uid="{00000000-0005-0000-0000-0000153D0000}"/>
    <cellStyle name="Normal 3 12 4 7" xfId="14690" xr:uid="{00000000-0005-0000-0000-0000163D0000}"/>
    <cellStyle name="Normal 3 12 4_TOM TAT" xfId="10459" xr:uid="{00000000-0005-0000-0000-0000173D0000}"/>
    <cellStyle name="Normal 3 12 5" xfId="10460" xr:uid="{00000000-0005-0000-0000-0000183D0000}"/>
    <cellStyle name="Normal 3 12 5 2" xfId="10461" xr:uid="{00000000-0005-0000-0000-0000193D0000}"/>
    <cellStyle name="Normal 3 12 5 2 2" xfId="10462" xr:uid="{00000000-0005-0000-0000-00001A3D0000}"/>
    <cellStyle name="Normal 3 12 5 2 2 2" xfId="10463" xr:uid="{00000000-0005-0000-0000-00001B3D0000}"/>
    <cellStyle name="Normal 3 12 5 2 2 2 2" xfId="30449" xr:uid="{00000000-0005-0000-0000-00001C3D0000}"/>
    <cellStyle name="Normal 3 12 5 2 2 2 3" xfId="15947" xr:uid="{00000000-0005-0000-0000-00001D3D0000}"/>
    <cellStyle name="Normal 3 12 5 2 2 2_TOM TAT" xfId="23107" xr:uid="{00000000-0005-0000-0000-00001E3D0000}"/>
    <cellStyle name="Normal 3 12 5 2 2 3" xfId="30448" xr:uid="{00000000-0005-0000-0000-00001F3D0000}"/>
    <cellStyle name="Normal 3 12 5 2 2 4" xfId="15946" xr:uid="{00000000-0005-0000-0000-0000203D0000}"/>
    <cellStyle name="Normal 3 12 5 2 2_TOM TAT" xfId="10464" xr:uid="{00000000-0005-0000-0000-0000213D0000}"/>
    <cellStyle name="Normal 3 12 5 2 3" xfId="10465" xr:uid="{00000000-0005-0000-0000-0000223D0000}"/>
    <cellStyle name="Normal 3 12 5 2 3 2" xfId="30450" xr:uid="{00000000-0005-0000-0000-0000233D0000}"/>
    <cellStyle name="Normal 3 12 5 2 3 3" xfId="15948" xr:uid="{00000000-0005-0000-0000-0000243D0000}"/>
    <cellStyle name="Normal 3 12 5 2 3_TOM TAT" xfId="23108" xr:uid="{00000000-0005-0000-0000-0000253D0000}"/>
    <cellStyle name="Normal 3 12 5 2 4" xfId="30447" xr:uid="{00000000-0005-0000-0000-0000263D0000}"/>
    <cellStyle name="Normal 3 12 5 2 5" xfId="15945" xr:uid="{00000000-0005-0000-0000-0000273D0000}"/>
    <cellStyle name="Normal 3 12 5 2_TOM TAT" xfId="10466" xr:uid="{00000000-0005-0000-0000-0000283D0000}"/>
    <cellStyle name="Normal 3 12 5 3" xfId="10467" xr:uid="{00000000-0005-0000-0000-0000293D0000}"/>
    <cellStyle name="Normal 3 12 5 3 2" xfId="10468" xr:uid="{00000000-0005-0000-0000-00002A3D0000}"/>
    <cellStyle name="Normal 3 12 5 3 2 2" xfId="10469" xr:uid="{00000000-0005-0000-0000-00002B3D0000}"/>
    <cellStyle name="Normal 3 12 5 3 2 2 2" xfId="30453" xr:uid="{00000000-0005-0000-0000-00002C3D0000}"/>
    <cellStyle name="Normal 3 12 5 3 2 2 3" xfId="15951" xr:uid="{00000000-0005-0000-0000-00002D3D0000}"/>
    <cellStyle name="Normal 3 12 5 3 2 2_TOM TAT" xfId="23109" xr:uid="{00000000-0005-0000-0000-00002E3D0000}"/>
    <cellStyle name="Normal 3 12 5 3 2 3" xfId="30452" xr:uid="{00000000-0005-0000-0000-00002F3D0000}"/>
    <cellStyle name="Normal 3 12 5 3 2 4" xfId="15950" xr:uid="{00000000-0005-0000-0000-0000303D0000}"/>
    <cellStyle name="Normal 3 12 5 3 2_TOM TAT" xfId="10470" xr:uid="{00000000-0005-0000-0000-0000313D0000}"/>
    <cellStyle name="Normal 3 12 5 3 3" xfId="10471" xr:uid="{00000000-0005-0000-0000-0000323D0000}"/>
    <cellStyle name="Normal 3 12 5 3 3 2" xfId="30454" xr:uid="{00000000-0005-0000-0000-0000333D0000}"/>
    <cellStyle name="Normal 3 12 5 3 3 3" xfId="15952" xr:uid="{00000000-0005-0000-0000-0000343D0000}"/>
    <cellStyle name="Normal 3 12 5 3 3_TOM TAT" xfId="23110" xr:uid="{00000000-0005-0000-0000-0000353D0000}"/>
    <cellStyle name="Normal 3 12 5 3 4" xfId="30451" xr:uid="{00000000-0005-0000-0000-0000363D0000}"/>
    <cellStyle name="Normal 3 12 5 3 5" xfId="15949" xr:uid="{00000000-0005-0000-0000-0000373D0000}"/>
    <cellStyle name="Normal 3 12 5 3_TOM TAT" xfId="10472" xr:uid="{00000000-0005-0000-0000-0000383D0000}"/>
    <cellStyle name="Normal 3 12 5 4" xfId="10473" xr:uid="{00000000-0005-0000-0000-0000393D0000}"/>
    <cellStyle name="Normal 3 12 5 4 2" xfId="10474" xr:uid="{00000000-0005-0000-0000-00003A3D0000}"/>
    <cellStyle name="Normal 3 12 5 4 2 2" xfId="30456" xr:uid="{00000000-0005-0000-0000-00003B3D0000}"/>
    <cellStyle name="Normal 3 12 5 4 2 3" xfId="15954" xr:uid="{00000000-0005-0000-0000-00003C3D0000}"/>
    <cellStyle name="Normal 3 12 5 4 2_TOM TAT" xfId="23111" xr:uid="{00000000-0005-0000-0000-00003D3D0000}"/>
    <cellStyle name="Normal 3 12 5 4 3" xfId="30455" xr:uid="{00000000-0005-0000-0000-00003E3D0000}"/>
    <cellStyle name="Normal 3 12 5 4 4" xfId="15953" xr:uid="{00000000-0005-0000-0000-00003F3D0000}"/>
    <cellStyle name="Normal 3 12 5 4_TOM TAT" xfId="10475" xr:uid="{00000000-0005-0000-0000-0000403D0000}"/>
    <cellStyle name="Normal 3 12 5 5" xfId="10476" xr:uid="{00000000-0005-0000-0000-0000413D0000}"/>
    <cellStyle name="Normal 3 12 5 5 2" xfId="30457" xr:uid="{00000000-0005-0000-0000-0000423D0000}"/>
    <cellStyle name="Normal 3 12 5 5 3" xfId="15955" xr:uid="{00000000-0005-0000-0000-0000433D0000}"/>
    <cellStyle name="Normal 3 12 5 5_TOM TAT" xfId="23112" xr:uid="{00000000-0005-0000-0000-0000443D0000}"/>
    <cellStyle name="Normal 3 12 5 6" xfId="30446" xr:uid="{00000000-0005-0000-0000-0000453D0000}"/>
    <cellStyle name="Normal 3 12 5 7" xfId="15944" xr:uid="{00000000-0005-0000-0000-0000463D0000}"/>
    <cellStyle name="Normal 3 12 5_TOM TAT" xfId="10477" xr:uid="{00000000-0005-0000-0000-0000473D0000}"/>
    <cellStyle name="Normal 3 12 6" xfId="10478" xr:uid="{00000000-0005-0000-0000-0000483D0000}"/>
    <cellStyle name="Normal 3 12 6 2" xfId="10479" xr:uid="{00000000-0005-0000-0000-0000493D0000}"/>
    <cellStyle name="Normal 3 12 6 2 2" xfId="10480" xr:uid="{00000000-0005-0000-0000-00004A3D0000}"/>
    <cellStyle name="Normal 3 12 6 2 2 2" xfId="30460" xr:uid="{00000000-0005-0000-0000-00004B3D0000}"/>
    <cellStyle name="Normal 3 12 6 2 2 3" xfId="15958" xr:uid="{00000000-0005-0000-0000-00004C3D0000}"/>
    <cellStyle name="Normal 3 12 6 2 2_TOM TAT" xfId="23113" xr:uid="{00000000-0005-0000-0000-00004D3D0000}"/>
    <cellStyle name="Normal 3 12 6 2 3" xfId="30459" xr:uid="{00000000-0005-0000-0000-00004E3D0000}"/>
    <cellStyle name="Normal 3 12 6 2 4" xfId="15957" xr:uid="{00000000-0005-0000-0000-00004F3D0000}"/>
    <cellStyle name="Normal 3 12 6 2_TOM TAT" xfId="10481" xr:uid="{00000000-0005-0000-0000-0000503D0000}"/>
    <cellStyle name="Normal 3 12 6 3" xfId="10482" xr:uid="{00000000-0005-0000-0000-0000513D0000}"/>
    <cellStyle name="Normal 3 12 6 3 2" xfId="30461" xr:uid="{00000000-0005-0000-0000-0000523D0000}"/>
    <cellStyle name="Normal 3 12 6 3 3" xfId="15959" xr:uid="{00000000-0005-0000-0000-0000533D0000}"/>
    <cellStyle name="Normal 3 12 6 3_TOM TAT" xfId="23114" xr:uid="{00000000-0005-0000-0000-0000543D0000}"/>
    <cellStyle name="Normal 3 12 6 4" xfId="30458" xr:uid="{00000000-0005-0000-0000-0000553D0000}"/>
    <cellStyle name="Normal 3 12 6 5" xfId="15956" xr:uid="{00000000-0005-0000-0000-0000563D0000}"/>
    <cellStyle name="Normal 3 12 6_TOM TAT" xfId="10483" xr:uid="{00000000-0005-0000-0000-0000573D0000}"/>
    <cellStyle name="Normal 3 12 7" xfId="10484" xr:uid="{00000000-0005-0000-0000-0000583D0000}"/>
    <cellStyle name="Normal 3 12 7 2" xfId="10485" xr:uid="{00000000-0005-0000-0000-0000593D0000}"/>
    <cellStyle name="Normal 3 12 7 2 2" xfId="10486" xr:uid="{00000000-0005-0000-0000-00005A3D0000}"/>
    <cellStyle name="Normal 3 12 7 2 2 2" xfId="30464" xr:uid="{00000000-0005-0000-0000-00005B3D0000}"/>
    <cellStyle name="Normal 3 12 7 2 2 3" xfId="15962" xr:uid="{00000000-0005-0000-0000-00005C3D0000}"/>
    <cellStyle name="Normal 3 12 7 2 2_TOM TAT" xfId="23115" xr:uid="{00000000-0005-0000-0000-00005D3D0000}"/>
    <cellStyle name="Normal 3 12 7 2 3" xfId="30463" xr:uid="{00000000-0005-0000-0000-00005E3D0000}"/>
    <cellStyle name="Normal 3 12 7 2 4" xfId="15961" xr:uid="{00000000-0005-0000-0000-00005F3D0000}"/>
    <cellStyle name="Normal 3 12 7 2_TOM TAT" xfId="10487" xr:uid="{00000000-0005-0000-0000-0000603D0000}"/>
    <cellStyle name="Normal 3 12 7 3" xfId="10488" xr:uid="{00000000-0005-0000-0000-0000613D0000}"/>
    <cellStyle name="Normal 3 12 7 3 2" xfId="30465" xr:uid="{00000000-0005-0000-0000-0000623D0000}"/>
    <cellStyle name="Normal 3 12 7 3 3" xfId="15963" xr:uid="{00000000-0005-0000-0000-0000633D0000}"/>
    <cellStyle name="Normal 3 12 7 3_TOM TAT" xfId="23116" xr:uid="{00000000-0005-0000-0000-0000643D0000}"/>
    <cellStyle name="Normal 3 12 7 4" xfId="30462" xr:uid="{00000000-0005-0000-0000-0000653D0000}"/>
    <cellStyle name="Normal 3 12 7 5" xfId="15960" xr:uid="{00000000-0005-0000-0000-0000663D0000}"/>
    <cellStyle name="Normal 3 12 7_TOM TAT" xfId="10489" xr:uid="{00000000-0005-0000-0000-0000673D0000}"/>
    <cellStyle name="Normal 3 12 8" xfId="10490" xr:uid="{00000000-0005-0000-0000-0000683D0000}"/>
    <cellStyle name="Normal 3 12 8 2" xfId="10491" xr:uid="{00000000-0005-0000-0000-0000693D0000}"/>
    <cellStyle name="Normal 3 12 8 2 2" xfId="30467" xr:uid="{00000000-0005-0000-0000-00006A3D0000}"/>
    <cellStyle name="Normal 3 12 8 2 3" xfId="15965" xr:uid="{00000000-0005-0000-0000-00006B3D0000}"/>
    <cellStyle name="Normal 3 12 8 2_TOM TAT" xfId="23117" xr:uid="{00000000-0005-0000-0000-00006C3D0000}"/>
    <cellStyle name="Normal 3 12 8 3" xfId="30466" xr:uid="{00000000-0005-0000-0000-00006D3D0000}"/>
    <cellStyle name="Normal 3 12 8 4" xfId="15964" xr:uid="{00000000-0005-0000-0000-00006E3D0000}"/>
    <cellStyle name="Normal 3 12 8_TOM TAT" xfId="10492" xr:uid="{00000000-0005-0000-0000-00006F3D0000}"/>
    <cellStyle name="Normal 3 12 9" xfId="10493" xr:uid="{00000000-0005-0000-0000-0000703D0000}"/>
    <cellStyle name="Normal 3 12 9 2" xfId="30468" xr:uid="{00000000-0005-0000-0000-0000713D0000}"/>
    <cellStyle name="Normal 3 12 9 3" xfId="15966" xr:uid="{00000000-0005-0000-0000-0000723D0000}"/>
    <cellStyle name="Normal 3 12 9_TOM TAT" xfId="23118" xr:uid="{00000000-0005-0000-0000-0000733D0000}"/>
    <cellStyle name="Normal 3 12_TOM TAT" xfId="10494" xr:uid="{00000000-0005-0000-0000-0000743D0000}"/>
    <cellStyle name="Normal 3 13" xfId="5559" xr:uid="{00000000-0005-0000-0000-0000753D0000}"/>
    <cellStyle name="Normal 3 13 10" xfId="14691" xr:uid="{00000000-0005-0000-0000-0000763D0000}"/>
    <cellStyle name="Normal 3 13 2" xfId="5560" xr:uid="{00000000-0005-0000-0000-0000773D0000}"/>
    <cellStyle name="Normal 3 13 2 2" xfId="10495" xr:uid="{00000000-0005-0000-0000-0000783D0000}"/>
    <cellStyle name="Normal 3 13 2 2 2" xfId="10496" xr:uid="{00000000-0005-0000-0000-0000793D0000}"/>
    <cellStyle name="Normal 3 13 2 2 2 2" xfId="10497" xr:uid="{00000000-0005-0000-0000-00007A3D0000}"/>
    <cellStyle name="Normal 3 13 2 2 2 2 2" xfId="10498" xr:uid="{00000000-0005-0000-0000-00007B3D0000}"/>
    <cellStyle name="Normal 3 13 2 2 2 2 2 2" xfId="30472" xr:uid="{00000000-0005-0000-0000-00007C3D0000}"/>
    <cellStyle name="Normal 3 13 2 2 2 2 2 3" xfId="15970" xr:uid="{00000000-0005-0000-0000-00007D3D0000}"/>
    <cellStyle name="Normal 3 13 2 2 2 2 2_TOM TAT" xfId="23119" xr:uid="{00000000-0005-0000-0000-00007E3D0000}"/>
    <cellStyle name="Normal 3 13 2 2 2 2 3" xfId="30471" xr:uid="{00000000-0005-0000-0000-00007F3D0000}"/>
    <cellStyle name="Normal 3 13 2 2 2 2 4" xfId="15969" xr:uid="{00000000-0005-0000-0000-0000803D0000}"/>
    <cellStyle name="Normal 3 13 2 2 2 2_TOM TAT" xfId="10499" xr:uid="{00000000-0005-0000-0000-0000813D0000}"/>
    <cellStyle name="Normal 3 13 2 2 2 3" xfId="10500" xr:uid="{00000000-0005-0000-0000-0000823D0000}"/>
    <cellStyle name="Normal 3 13 2 2 2 3 2" xfId="30473" xr:uid="{00000000-0005-0000-0000-0000833D0000}"/>
    <cellStyle name="Normal 3 13 2 2 2 3 3" xfId="15971" xr:uid="{00000000-0005-0000-0000-0000843D0000}"/>
    <cellStyle name="Normal 3 13 2 2 2 3_TOM TAT" xfId="23120" xr:uid="{00000000-0005-0000-0000-0000853D0000}"/>
    <cellStyle name="Normal 3 13 2 2 2 4" xfId="30470" xr:uid="{00000000-0005-0000-0000-0000863D0000}"/>
    <cellStyle name="Normal 3 13 2 2 2 5" xfId="15968" xr:uid="{00000000-0005-0000-0000-0000873D0000}"/>
    <cellStyle name="Normal 3 13 2 2 2_TOM TAT" xfId="10501" xr:uid="{00000000-0005-0000-0000-0000883D0000}"/>
    <cellStyle name="Normal 3 13 2 2 3" xfId="10502" xr:uid="{00000000-0005-0000-0000-0000893D0000}"/>
    <cellStyle name="Normal 3 13 2 2 3 2" xfId="10503" xr:uid="{00000000-0005-0000-0000-00008A3D0000}"/>
    <cellStyle name="Normal 3 13 2 2 3 2 2" xfId="10504" xr:uid="{00000000-0005-0000-0000-00008B3D0000}"/>
    <cellStyle name="Normal 3 13 2 2 3 2 2 2" xfId="30476" xr:uid="{00000000-0005-0000-0000-00008C3D0000}"/>
    <cellStyle name="Normal 3 13 2 2 3 2 2 3" xfId="15974" xr:uid="{00000000-0005-0000-0000-00008D3D0000}"/>
    <cellStyle name="Normal 3 13 2 2 3 2 2_TOM TAT" xfId="23121" xr:uid="{00000000-0005-0000-0000-00008E3D0000}"/>
    <cellStyle name="Normal 3 13 2 2 3 2 3" xfId="30475" xr:uid="{00000000-0005-0000-0000-00008F3D0000}"/>
    <cellStyle name="Normal 3 13 2 2 3 2 4" xfId="15973" xr:uid="{00000000-0005-0000-0000-0000903D0000}"/>
    <cellStyle name="Normal 3 13 2 2 3 2_TOM TAT" xfId="10505" xr:uid="{00000000-0005-0000-0000-0000913D0000}"/>
    <cellStyle name="Normal 3 13 2 2 3 3" xfId="10506" xr:uid="{00000000-0005-0000-0000-0000923D0000}"/>
    <cellStyle name="Normal 3 13 2 2 3 3 2" xfId="30477" xr:uid="{00000000-0005-0000-0000-0000933D0000}"/>
    <cellStyle name="Normal 3 13 2 2 3 3 3" xfId="15975" xr:uid="{00000000-0005-0000-0000-0000943D0000}"/>
    <cellStyle name="Normal 3 13 2 2 3 3_TOM TAT" xfId="23122" xr:uid="{00000000-0005-0000-0000-0000953D0000}"/>
    <cellStyle name="Normal 3 13 2 2 3 4" xfId="30474" xr:uid="{00000000-0005-0000-0000-0000963D0000}"/>
    <cellStyle name="Normal 3 13 2 2 3 5" xfId="15972" xr:uid="{00000000-0005-0000-0000-0000973D0000}"/>
    <cellStyle name="Normal 3 13 2 2 3_TOM TAT" xfId="10507" xr:uid="{00000000-0005-0000-0000-0000983D0000}"/>
    <cellStyle name="Normal 3 13 2 2 4" xfId="10508" xr:uid="{00000000-0005-0000-0000-0000993D0000}"/>
    <cellStyle name="Normal 3 13 2 2 4 2" xfId="10509" xr:uid="{00000000-0005-0000-0000-00009A3D0000}"/>
    <cellStyle name="Normal 3 13 2 2 4 2 2" xfId="30479" xr:uid="{00000000-0005-0000-0000-00009B3D0000}"/>
    <cellStyle name="Normal 3 13 2 2 4 2 3" xfId="15977" xr:uid="{00000000-0005-0000-0000-00009C3D0000}"/>
    <cellStyle name="Normal 3 13 2 2 4 2_TOM TAT" xfId="23123" xr:uid="{00000000-0005-0000-0000-00009D3D0000}"/>
    <cellStyle name="Normal 3 13 2 2 4 3" xfId="30478" xr:uid="{00000000-0005-0000-0000-00009E3D0000}"/>
    <cellStyle name="Normal 3 13 2 2 4 4" xfId="15976" xr:uid="{00000000-0005-0000-0000-00009F3D0000}"/>
    <cellStyle name="Normal 3 13 2 2 4_TOM TAT" xfId="10510" xr:uid="{00000000-0005-0000-0000-0000A03D0000}"/>
    <cellStyle name="Normal 3 13 2 2 5" xfId="10511" xr:uid="{00000000-0005-0000-0000-0000A13D0000}"/>
    <cellStyle name="Normal 3 13 2 2 5 2" xfId="30480" xr:uid="{00000000-0005-0000-0000-0000A23D0000}"/>
    <cellStyle name="Normal 3 13 2 2 5 3" xfId="15978" xr:uid="{00000000-0005-0000-0000-0000A33D0000}"/>
    <cellStyle name="Normal 3 13 2 2 5_TOM TAT" xfId="23124" xr:uid="{00000000-0005-0000-0000-0000A43D0000}"/>
    <cellStyle name="Normal 3 13 2 2 6" xfId="30469" xr:uid="{00000000-0005-0000-0000-0000A53D0000}"/>
    <cellStyle name="Normal 3 13 2 2 7" xfId="15967" xr:uid="{00000000-0005-0000-0000-0000A63D0000}"/>
    <cellStyle name="Normal 3 13 2 2_TOM TAT" xfId="10512" xr:uid="{00000000-0005-0000-0000-0000A73D0000}"/>
    <cellStyle name="Normal 3 13 2 3" xfId="10513" xr:uid="{00000000-0005-0000-0000-0000A83D0000}"/>
    <cellStyle name="Normal 3 13 2 3 2" xfId="10514" xr:uid="{00000000-0005-0000-0000-0000A93D0000}"/>
    <cellStyle name="Normal 3 13 2 3 2 2" xfId="10515" xr:uid="{00000000-0005-0000-0000-0000AA3D0000}"/>
    <cellStyle name="Normal 3 13 2 3 2 2 2" xfId="30483" xr:uid="{00000000-0005-0000-0000-0000AB3D0000}"/>
    <cellStyle name="Normal 3 13 2 3 2 2 3" xfId="15981" xr:uid="{00000000-0005-0000-0000-0000AC3D0000}"/>
    <cellStyle name="Normal 3 13 2 3 2 2_TOM TAT" xfId="23125" xr:uid="{00000000-0005-0000-0000-0000AD3D0000}"/>
    <cellStyle name="Normal 3 13 2 3 2 3" xfId="30482" xr:uid="{00000000-0005-0000-0000-0000AE3D0000}"/>
    <cellStyle name="Normal 3 13 2 3 2 4" xfId="15980" xr:uid="{00000000-0005-0000-0000-0000AF3D0000}"/>
    <cellStyle name="Normal 3 13 2 3 2_TOM TAT" xfId="10516" xr:uid="{00000000-0005-0000-0000-0000B03D0000}"/>
    <cellStyle name="Normal 3 13 2 3 3" xfId="10517" xr:uid="{00000000-0005-0000-0000-0000B13D0000}"/>
    <cellStyle name="Normal 3 13 2 3 3 2" xfId="30484" xr:uid="{00000000-0005-0000-0000-0000B23D0000}"/>
    <cellStyle name="Normal 3 13 2 3 3 3" xfId="15982" xr:uid="{00000000-0005-0000-0000-0000B33D0000}"/>
    <cellStyle name="Normal 3 13 2 3 3_TOM TAT" xfId="23126" xr:uid="{00000000-0005-0000-0000-0000B43D0000}"/>
    <cellStyle name="Normal 3 13 2 3 4" xfId="30481" xr:uid="{00000000-0005-0000-0000-0000B53D0000}"/>
    <cellStyle name="Normal 3 13 2 3 5" xfId="15979" xr:uid="{00000000-0005-0000-0000-0000B63D0000}"/>
    <cellStyle name="Normal 3 13 2 3_TOM TAT" xfId="10518" xr:uid="{00000000-0005-0000-0000-0000B73D0000}"/>
    <cellStyle name="Normal 3 13 2 4" xfId="10519" xr:uid="{00000000-0005-0000-0000-0000B83D0000}"/>
    <cellStyle name="Normal 3 13 2 4 2" xfId="10520" xr:uid="{00000000-0005-0000-0000-0000B93D0000}"/>
    <cellStyle name="Normal 3 13 2 4 2 2" xfId="10521" xr:uid="{00000000-0005-0000-0000-0000BA3D0000}"/>
    <cellStyle name="Normal 3 13 2 4 2 2 2" xfId="30487" xr:uid="{00000000-0005-0000-0000-0000BB3D0000}"/>
    <cellStyle name="Normal 3 13 2 4 2 2 3" xfId="15985" xr:uid="{00000000-0005-0000-0000-0000BC3D0000}"/>
    <cellStyle name="Normal 3 13 2 4 2 2_TOM TAT" xfId="23127" xr:uid="{00000000-0005-0000-0000-0000BD3D0000}"/>
    <cellStyle name="Normal 3 13 2 4 2 3" xfId="30486" xr:uid="{00000000-0005-0000-0000-0000BE3D0000}"/>
    <cellStyle name="Normal 3 13 2 4 2 4" xfId="15984" xr:uid="{00000000-0005-0000-0000-0000BF3D0000}"/>
    <cellStyle name="Normal 3 13 2 4 2_TOM TAT" xfId="10522" xr:uid="{00000000-0005-0000-0000-0000C03D0000}"/>
    <cellStyle name="Normal 3 13 2 4 3" xfId="10523" xr:uid="{00000000-0005-0000-0000-0000C13D0000}"/>
    <cellStyle name="Normal 3 13 2 4 3 2" xfId="30488" xr:uid="{00000000-0005-0000-0000-0000C23D0000}"/>
    <cellStyle name="Normal 3 13 2 4 3 3" xfId="15986" xr:uid="{00000000-0005-0000-0000-0000C33D0000}"/>
    <cellStyle name="Normal 3 13 2 4 3_TOM TAT" xfId="23128" xr:uid="{00000000-0005-0000-0000-0000C43D0000}"/>
    <cellStyle name="Normal 3 13 2 4 4" xfId="30485" xr:uid="{00000000-0005-0000-0000-0000C53D0000}"/>
    <cellStyle name="Normal 3 13 2 4 5" xfId="15983" xr:uid="{00000000-0005-0000-0000-0000C63D0000}"/>
    <cellStyle name="Normal 3 13 2 4_TOM TAT" xfId="10524" xr:uid="{00000000-0005-0000-0000-0000C73D0000}"/>
    <cellStyle name="Normal 3 13 2 5" xfId="10525" xr:uid="{00000000-0005-0000-0000-0000C83D0000}"/>
    <cellStyle name="Normal 3 13 2 5 2" xfId="10526" xr:uid="{00000000-0005-0000-0000-0000C93D0000}"/>
    <cellStyle name="Normal 3 13 2 5 2 2" xfId="30490" xr:uid="{00000000-0005-0000-0000-0000CA3D0000}"/>
    <cellStyle name="Normal 3 13 2 5 2 3" xfId="15988" xr:uid="{00000000-0005-0000-0000-0000CB3D0000}"/>
    <cellStyle name="Normal 3 13 2 5 2_TOM TAT" xfId="23129" xr:uid="{00000000-0005-0000-0000-0000CC3D0000}"/>
    <cellStyle name="Normal 3 13 2 5 3" xfId="30489" xr:uid="{00000000-0005-0000-0000-0000CD3D0000}"/>
    <cellStyle name="Normal 3 13 2 5 4" xfId="15987" xr:uid="{00000000-0005-0000-0000-0000CE3D0000}"/>
    <cellStyle name="Normal 3 13 2 5_TOM TAT" xfId="10527" xr:uid="{00000000-0005-0000-0000-0000CF3D0000}"/>
    <cellStyle name="Normal 3 13 2 6" xfId="10528" xr:uid="{00000000-0005-0000-0000-0000D03D0000}"/>
    <cellStyle name="Normal 3 13 2 6 2" xfId="30491" xr:uid="{00000000-0005-0000-0000-0000D13D0000}"/>
    <cellStyle name="Normal 3 13 2 6 3" xfId="15989" xr:uid="{00000000-0005-0000-0000-0000D23D0000}"/>
    <cellStyle name="Normal 3 13 2 6_TOM TAT" xfId="23130" xr:uid="{00000000-0005-0000-0000-0000D33D0000}"/>
    <cellStyle name="Normal 3 13 2 7" xfId="28253" xr:uid="{00000000-0005-0000-0000-0000D43D0000}"/>
    <cellStyle name="Normal 3 13 2 8" xfId="14692" xr:uid="{00000000-0005-0000-0000-0000D53D0000}"/>
    <cellStyle name="Normal 3 13 2_TOM TAT" xfId="10529" xr:uid="{00000000-0005-0000-0000-0000D63D0000}"/>
    <cellStyle name="Normal 3 13 3" xfId="5561" xr:uid="{00000000-0005-0000-0000-0000D73D0000}"/>
    <cellStyle name="Normal 3 13 3 2" xfId="10530" xr:uid="{00000000-0005-0000-0000-0000D83D0000}"/>
    <cellStyle name="Normal 3 13 3 2 2" xfId="10531" xr:uid="{00000000-0005-0000-0000-0000D93D0000}"/>
    <cellStyle name="Normal 3 13 3 2 2 2" xfId="10532" xr:uid="{00000000-0005-0000-0000-0000DA3D0000}"/>
    <cellStyle name="Normal 3 13 3 2 2 2 2" xfId="30494" xr:uid="{00000000-0005-0000-0000-0000DB3D0000}"/>
    <cellStyle name="Normal 3 13 3 2 2 2 3" xfId="15992" xr:uid="{00000000-0005-0000-0000-0000DC3D0000}"/>
    <cellStyle name="Normal 3 13 3 2 2 2_TOM TAT" xfId="23131" xr:uid="{00000000-0005-0000-0000-0000DD3D0000}"/>
    <cellStyle name="Normal 3 13 3 2 2 3" xfId="30493" xr:uid="{00000000-0005-0000-0000-0000DE3D0000}"/>
    <cellStyle name="Normal 3 13 3 2 2 4" xfId="15991" xr:uid="{00000000-0005-0000-0000-0000DF3D0000}"/>
    <cellStyle name="Normal 3 13 3 2 2_TOM TAT" xfId="10533" xr:uid="{00000000-0005-0000-0000-0000E03D0000}"/>
    <cellStyle name="Normal 3 13 3 2 3" xfId="10534" xr:uid="{00000000-0005-0000-0000-0000E13D0000}"/>
    <cellStyle name="Normal 3 13 3 2 3 2" xfId="30495" xr:uid="{00000000-0005-0000-0000-0000E23D0000}"/>
    <cellStyle name="Normal 3 13 3 2 3 3" xfId="15993" xr:uid="{00000000-0005-0000-0000-0000E33D0000}"/>
    <cellStyle name="Normal 3 13 3 2 3_TOM TAT" xfId="23132" xr:uid="{00000000-0005-0000-0000-0000E43D0000}"/>
    <cellStyle name="Normal 3 13 3 2 4" xfId="30492" xr:uid="{00000000-0005-0000-0000-0000E53D0000}"/>
    <cellStyle name="Normal 3 13 3 2 5" xfId="15990" xr:uid="{00000000-0005-0000-0000-0000E63D0000}"/>
    <cellStyle name="Normal 3 13 3 2_TOM TAT" xfId="10535" xr:uid="{00000000-0005-0000-0000-0000E73D0000}"/>
    <cellStyle name="Normal 3 13 3 3" xfId="10536" xr:uid="{00000000-0005-0000-0000-0000E83D0000}"/>
    <cellStyle name="Normal 3 13 3 3 2" xfId="10537" xr:uid="{00000000-0005-0000-0000-0000E93D0000}"/>
    <cellStyle name="Normal 3 13 3 3 2 2" xfId="10538" xr:uid="{00000000-0005-0000-0000-0000EA3D0000}"/>
    <cellStyle name="Normal 3 13 3 3 2 2 2" xfId="30498" xr:uid="{00000000-0005-0000-0000-0000EB3D0000}"/>
    <cellStyle name="Normal 3 13 3 3 2 2 3" xfId="15996" xr:uid="{00000000-0005-0000-0000-0000EC3D0000}"/>
    <cellStyle name="Normal 3 13 3 3 2 2_TOM TAT" xfId="23133" xr:uid="{00000000-0005-0000-0000-0000ED3D0000}"/>
    <cellStyle name="Normal 3 13 3 3 2 3" xfId="30497" xr:uid="{00000000-0005-0000-0000-0000EE3D0000}"/>
    <cellStyle name="Normal 3 13 3 3 2 4" xfId="15995" xr:uid="{00000000-0005-0000-0000-0000EF3D0000}"/>
    <cellStyle name="Normal 3 13 3 3 2_TOM TAT" xfId="10539" xr:uid="{00000000-0005-0000-0000-0000F03D0000}"/>
    <cellStyle name="Normal 3 13 3 3 3" xfId="10540" xr:uid="{00000000-0005-0000-0000-0000F13D0000}"/>
    <cellStyle name="Normal 3 13 3 3 3 2" xfId="30499" xr:uid="{00000000-0005-0000-0000-0000F23D0000}"/>
    <cellStyle name="Normal 3 13 3 3 3 3" xfId="15997" xr:uid="{00000000-0005-0000-0000-0000F33D0000}"/>
    <cellStyle name="Normal 3 13 3 3 3_TOM TAT" xfId="23134" xr:uid="{00000000-0005-0000-0000-0000F43D0000}"/>
    <cellStyle name="Normal 3 13 3 3 4" xfId="30496" xr:uid="{00000000-0005-0000-0000-0000F53D0000}"/>
    <cellStyle name="Normal 3 13 3 3 5" xfId="15994" xr:uid="{00000000-0005-0000-0000-0000F63D0000}"/>
    <cellStyle name="Normal 3 13 3 3_TOM TAT" xfId="10541" xr:uid="{00000000-0005-0000-0000-0000F73D0000}"/>
    <cellStyle name="Normal 3 13 3 4" xfId="10542" xr:uid="{00000000-0005-0000-0000-0000F83D0000}"/>
    <cellStyle name="Normal 3 13 3 4 2" xfId="10543" xr:uid="{00000000-0005-0000-0000-0000F93D0000}"/>
    <cellStyle name="Normal 3 13 3 4 2 2" xfId="30501" xr:uid="{00000000-0005-0000-0000-0000FA3D0000}"/>
    <cellStyle name="Normal 3 13 3 4 2 3" xfId="15999" xr:uid="{00000000-0005-0000-0000-0000FB3D0000}"/>
    <cellStyle name="Normal 3 13 3 4 2_TOM TAT" xfId="23135" xr:uid="{00000000-0005-0000-0000-0000FC3D0000}"/>
    <cellStyle name="Normal 3 13 3 4 3" xfId="30500" xr:uid="{00000000-0005-0000-0000-0000FD3D0000}"/>
    <cellStyle name="Normal 3 13 3 4 4" xfId="15998" xr:uid="{00000000-0005-0000-0000-0000FE3D0000}"/>
    <cellStyle name="Normal 3 13 3 4_TOM TAT" xfId="10544" xr:uid="{00000000-0005-0000-0000-0000FF3D0000}"/>
    <cellStyle name="Normal 3 13 3 5" xfId="10545" xr:uid="{00000000-0005-0000-0000-0000003E0000}"/>
    <cellStyle name="Normal 3 13 3 5 2" xfId="30502" xr:uid="{00000000-0005-0000-0000-0000013E0000}"/>
    <cellStyle name="Normal 3 13 3 5 3" xfId="16000" xr:uid="{00000000-0005-0000-0000-0000023E0000}"/>
    <cellStyle name="Normal 3 13 3 5_TOM TAT" xfId="23136" xr:uid="{00000000-0005-0000-0000-0000033E0000}"/>
    <cellStyle name="Normal 3 13 3 6" xfId="28254" xr:uid="{00000000-0005-0000-0000-0000043E0000}"/>
    <cellStyle name="Normal 3 13 3 7" xfId="14693" xr:uid="{00000000-0005-0000-0000-0000053E0000}"/>
    <cellStyle name="Normal 3 13 3_TOM TAT" xfId="10546" xr:uid="{00000000-0005-0000-0000-0000063E0000}"/>
    <cellStyle name="Normal 3 13 4" xfId="10547" xr:uid="{00000000-0005-0000-0000-0000073E0000}"/>
    <cellStyle name="Normal 3 13 4 2" xfId="10548" xr:uid="{00000000-0005-0000-0000-0000083E0000}"/>
    <cellStyle name="Normal 3 13 4 2 2" xfId="10549" xr:uid="{00000000-0005-0000-0000-0000093E0000}"/>
    <cellStyle name="Normal 3 13 4 2 2 2" xfId="10550" xr:uid="{00000000-0005-0000-0000-00000A3E0000}"/>
    <cellStyle name="Normal 3 13 4 2 2 2 2" xfId="30506" xr:uid="{00000000-0005-0000-0000-00000B3E0000}"/>
    <cellStyle name="Normal 3 13 4 2 2 2 3" xfId="16004" xr:uid="{00000000-0005-0000-0000-00000C3E0000}"/>
    <cellStyle name="Normal 3 13 4 2 2 2_TOM TAT" xfId="23137" xr:uid="{00000000-0005-0000-0000-00000D3E0000}"/>
    <cellStyle name="Normal 3 13 4 2 2 3" xfId="30505" xr:uid="{00000000-0005-0000-0000-00000E3E0000}"/>
    <cellStyle name="Normal 3 13 4 2 2 4" xfId="16003" xr:uid="{00000000-0005-0000-0000-00000F3E0000}"/>
    <cellStyle name="Normal 3 13 4 2 2_TOM TAT" xfId="10551" xr:uid="{00000000-0005-0000-0000-0000103E0000}"/>
    <cellStyle name="Normal 3 13 4 2 3" xfId="10552" xr:uid="{00000000-0005-0000-0000-0000113E0000}"/>
    <cellStyle name="Normal 3 13 4 2 3 2" xfId="30507" xr:uid="{00000000-0005-0000-0000-0000123E0000}"/>
    <cellStyle name="Normal 3 13 4 2 3 3" xfId="16005" xr:uid="{00000000-0005-0000-0000-0000133E0000}"/>
    <cellStyle name="Normal 3 13 4 2 3_TOM TAT" xfId="23138" xr:uid="{00000000-0005-0000-0000-0000143E0000}"/>
    <cellStyle name="Normal 3 13 4 2 4" xfId="30504" xr:uid="{00000000-0005-0000-0000-0000153E0000}"/>
    <cellStyle name="Normal 3 13 4 2 5" xfId="16002" xr:uid="{00000000-0005-0000-0000-0000163E0000}"/>
    <cellStyle name="Normal 3 13 4 2_TOM TAT" xfId="10553" xr:uid="{00000000-0005-0000-0000-0000173E0000}"/>
    <cellStyle name="Normal 3 13 4 3" xfId="10554" xr:uid="{00000000-0005-0000-0000-0000183E0000}"/>
    <cellStyle name="Normal 3 13 4 3 2" xfId="10555" xr:uid="{00000000-0005-0000-0000-0000193E0000}"/>
    <cellStyle name="Normal 3 13 4 3 2 2" xfId="10556" xr:uid="{00000000-0005-0000-0000-00001A3E0000}"/>
    <cellStyle name="Normal 3 13 4 3 2 2 2" xfId="30510" xr:uid="{00000000-0005-0000-0000-00001B3E0000}"/>
    <cellStyle name="Normal 3 13 4 3 2 2 3" xfId="16008" xr:uid="{00000000-0005-0000-0000-00001C3E0000}"/>
    <cellStyle name="Normal 3 13 4 3 2 2_TOM TAT" xfId="23139" xr:uid="{00000000-0005-0000-0000-00001D3E0000}"/>
    <cellStyle name="Normal 3 13 4 3 2 3" xfId="30509" xr:uid="{00000000-0005-0000-0000-00001E3E0000}"/>
    <cellStyle name="Normal 3 13 4 3 2 4" xfId="16007" xr:uid="{00000000-0005-0000-0000-00001F3E0000}"/>
    <cellStyle name="Normal 3 13 4 3 2_TOM TAT" xfId="10557" xr:uid="{00000000-0005-0000-0000-0000203E0000}"/>
    <cellStyle name="Normal 3 13 4 3 3" xfId="10558" xr:uid="{00000000-0005-0000-0000-0000213E0000}"/>
    <cellStyle name="Normal 3 13 4 3 3 2" xfId="30511" xr:uid="{00000000-0005-0000-0000-0000223E0000}"/>
    <cellStyle name="Normal 3 13 4 3 3 3" xfId="16009" xr:uid="{00000000-0005-0000-0000-0000233E0000}"/>
    <cellStyle name="Normal 3 13 4 3 3_TOM TAT" xfId="23140" xr:uid="{00000000-0005-0000-0000-0000243E0000}"/>
    <cellStyle name="Normal 3 13 4 3 4" xfId="30508" xr:uid="{00000000-0005-0000-0000-0000253E0000}"/>
    <cellStyle name="Normal 3 13 4 3 5" xfId="16006" xr:uid="{00000000-0005-0000-0000-0000263E0000}"/>
    <cellStyle name="Normal 3 13 4 3_TOM TAT" xfId="10559" xr:uid="{00000000-0005-0000-0000-0000273E0000}"/>
    <cellStyle name="Normal 3 13 4 4" xfId="10560" xr:uid="{00000000-0005-0000-0000-0000283E0000}"/>
    <cellStyle name="Normal 3 13 4 4 2" xfId="10561" xr:uid="{00000000-0005-0000-0000-0000293E0000}"/>
    <cellStyle name="Normal 3 13 4 4 2 2" xfId="30513" xr:uid="{00000000-0005-0000-0000-00002A3E0000}"/>
    <cellStyle name="Normal 3 13 4 4 2 3" xfId="16011" xr:uid="{00000000-0005-0000-0000-00002B3E0000}"/>
    <cellStyle name="Normal 3 13 4 4 2_TOM TAT" xfId="23141" xr:uid="{00000000-0005-0000-0000-00002C3E0000}"/>
    <cellStyle name="Normal 3 13 4 4 3" xfId="30512" xr:uid="{00000000-0005-0000-0000-00002D3E0000}"/>
    <cellStyle name="Normal 3 13 4 4 4" xfId="16010" xr:uid="{00000000-0005-0000-0000-00002E3E0000}"/>
    <cellStyle name="Normal 3 13 4 4_TOM TAT" xfId="10562" xr:uid="{00000000-0005-0000-0000-00002F3E0000}"/>
    <cellStyle name="Normal 3 13 4 5" xfId="10563" xr:uid="{00000000-0005-0000-0000-0000303E0000}"/>
    <cellStyle name="Normal 3 13 4 5 2" xfId="30514" xr:uid="{00000000-0005-0000-0000-0000313E0000}"/>
    <cellStyle name="Normal 3 13 4 5 3" xfId="16012" xr:uid="{00000000-0005-0000-0000-0000323E0000}"/>
    <cellStyle name="Normal 3 13 4 5_TOM TAT" xfId="23142" xr:uid="{00000000-0005-0000-0000-0000333E0000}"/>
    <cellStyle name="Normal 3 13 4 6" xfId="30503" xr:uid="{00000000-0005-0000-0000-0000343E0000}"/>
    <cellStyle name="Normal 3 13 4 7" xfId="16001" xr:uid="{00000000-0005-0000-0000-0000353E0000}"/>
    <cellStyle name="Normal 3 13 4_TOM TAT" xfId="10564" xr:uid="{00000000-0005-0000-0000-0000363E0000}"/>
    <cellStyle name="Normal 3 13 5" xfId="10565" xr:uid="{00000000-0005-0000-0000-0000373E0000}"/>
    <cellStyle name="Normal 3 13 5 2" xfId="10566" xr:uid="{00000000-0005-0000-0000-0000383E0000}"/>
    <cellStyle name="Normal 3 13 5 2 2" xfId="10567" xr:uid="{00000000-0005-0000-0000-0000393E0000}"/>
    <cellStyle name="Normal 3 13 5 2 2 2" xfId="30517" xr:uid="{00000000-0005-0000-0000-00003A3E0000}"/>
    <cellStyle name="Normal 3 13 5 2 2 3" xfId="16015" xr:uid="{00000000-0005-0000-0000-00003B3E0000}"/>
    <cellStyle name="Normal 3 13 5 2 2_TOM TAT" xfId="23143" xr:uid="{00000000-0005-0000-0000-00003C3E0000}"/>
    <cellStyle name="Normal 3 13 5 2 3" xfId="30516" xr:uid="{00000000-0005-0000-0000-00003D3E0000}"/>
    <cellStyle name="Normal 3 13 5 2 4" xfId="16014" xr:uid="{00000000-0005-0000-0000-00003E3E0000}"/>
    <cellStyle name="Normal 3 13 5 2_TOM TAT" xfId="10568" xr:uid="{00000000-0005-0000-0000-00003F3E0000}"/>
    <cellStyle name="Normal 3 13 5 3" xfId="10569" xr:uid="{00000000-0005-0000-0000-0000403E0000}"/>
    <cellStyle name="Normal 3 13 5 3 2" xfId="30518" xr:uid="{00000000-0005-0000-0000-0000413E0000}"/>
    <cellStyle name="Normal 3 13 5 3 3" xfId="16016" xr:uid="{00000000-0005-0000-0000-0000423E0000}"/>
    <cellStyle name="Normal 3 13 5 3_TOM TAT" xfId="23144" xr:uid="{00000000-0005-0000-0000-0000433E0000}"/>
    <cellStyle name="Normal 3 13 5 4" xfId="30515" xr:uid="{00000000-0005-0000-0000-0000443E0000}"/>
    <cellStyle name="Normal 3 13 5 5" xfId="16013" xr:uid="{00000000-0005-0000-0000-0000453E0000}"/>
    <cellStyle name="Normal 3 13 5_TOM TAT" xfId="10570" xr:uid="{00000000-0005-0000-0000-0000463E0000}"/>
    <cellStyle name="Normal 3 13 6" xfId="10571" xr:uid="{00000000-0005-0000-0000-0000473E0000}"/>
    <cellStyle name="Normal 3 13 6 2" xfId="10572" xr:uid="{00000000-0005-0000-0000-0000483E0000}"/>
    <cellStyle name="Normal 3 13 6 2 2" xfId="10573" xr:uid="{00000000-0005-0000-0000-0000493E0000}"/>
    <cellStyle name="Normal 3 13 6 2 2 2" xfId="30521" xr:uid="{00000000-0005-0000-0000-00004A3E0000}"/>
    <cellStyle name="Normal 3 13 6 2 2 3" xfId="16019" xr:uid="{00000000-0005-0000-0000-00004B3E0000}"/>
    <cellStyle name="Normal 3 13 6 2 2_TOM TAT" xfId="23145" xr:uid="{00000000-0005-0000-0000-00004C3E0000}"/>
    <cellStyle name="Normal 3 13 6 2 3" xfId="30520" xr:uid="{00000000-0005-0000-0000-00004D3E0000}"/>
    <cellStyle name="Normal 3 13 6 2 4" xfId="16018" xr:uid="{00000000-0005-0000-0000-00004E3E0000}"/>
    <cellStyle name="Normal 3 13 6 2_TOM TAT" xfId="10574" xr:uid="{00000000-0005-0000-0000-00004F3E0000}"/>
    <cellStyle name="Normal 3 13 6 3" xfId="10575" xr:uid="{00000000-0005-0000-0000-0000503E0000}"/>
    <cellStyle name="Normal 3 13 6 3 2" xfId="30522" xr:uid="{00000000-0005-0000-0000-0000513E0000}"/>
    <cellStyle name="Normal 3 13 6 3 3" xfId="16020" xr:uid="{00000000-0005-0000-0000-0000523E0000}"/>
    <cellStyle name="Normal 3 13 6 3_TOM TAT" xfId="23146" xr:uid="{00000000-0005-0000-0000-0000533E0000}"/>
    <cellStyle name="Normal 3 13 6 4" xfId="30519" xr:uid="{00000000-0005-0000-0000-0000543E0000}"/>
    <cellStyle name="Normal 3 13 6 5" xfId="16017" xr:uid="{00000000-0005-0000-0000-0000553E0000}"/>
    <cellStyle name="Normal 3 13 6_TOM TAT" xfId="10576" xr:uid="{00000000-0005-0000-0000-0000563E0000}"/>
    <cellStyle name="Normal 3 13 7" xfId="10577" xr:uid="{00000000-0005-0000-0000-0000573E0000}"/>
    <cellStyle name="Normal 3 13 7 2" xfId="10578" xr:uid="{00000000-0005-0000-0000-0000583E0000}"/>
    <cellStyle name="Normal 3 13 7 2 2" xfId="30524" xr:uid="{00000000-0005-0000-0000-0000593E0000}"/>
    <cellStyle name="Normal 3 13 7 2 3" xfId="16022" xr:uid="{00000000-0005-0000-0000-00005A3E0000}"/>
    <cellStyle name="Normal 3 13 7 2_TOM TAT" xfId="23147" xr:uid="{00000000-0005-0000-0000-00005B3E0000}"/>
    <cellStyle name="Normal 3 13 7 3" xfId="30523" xr:uid="{00000000-0005-0000-0000-00005C3E0000}"/>
    <cellStyle name="Normal 3 13 7 4" xfId="16021" xr:uid="{00000000-0005-0000-0000-00005D3E0000}"/>
    <cellStyle name="Normal 3 13 7_TOM TAT" xfId="10579" xr:uid="{00000000-0005-0000-0000-00005E3E0000}"/>
    <cellStyle name="Normal 3 13 8" xfId="10580" xr:uid="{00000000-0005-0000-0000-00005F3E0000}"/>
    <cellStyle name="Normal 3 13 8 2" xfId="30525" xr:uid="{00000000-0005-0000-0000-0000603E0000}"/>
    <cellStyle name="Normal 3 13 8 3" xfId="16023" xr:uid="{00000000-0005-0000-0000-0000613E0000}"/>
    <cellStyle name="Normal 3 13 8_TOM TAT" xfId="23148" xr:uid="{00000000-0005-0000-0000-0000623E0000}"/>
    <cellStyle name="Normal 3 13 9" xfId="28252" xr:uid="{00000000-0005-0000-0000-0000633E0000}"/>
    <cellStyle name="Normal 3 13_TOM TAT" xfId="10581" xr:uid="{00000000-0005-0000-0000-0000643E0000}"/>
    <cellStyle name="Normal 3 14" xfId="5562" xr:uid="{00000000-0005-0000-0000-0000653E0000}"/>
    <cellStyle name="Normal 3 14 10" xfId="14694" xr:uid="{00000000-0005-0000-0000-0000663E0000}"/>
    <cellStyle name="Normal 3 14 2" xfId="5563" xr:uid="{00000000-0005-0000-0000-0000673E0000}"/>
    <cellStyle name="Normal 3 14 2 2" xfId="10582" xr:uid="{00000000-0005-0000-0000-0000683E0000}"/>
    <cellStyle name="Normal 3 14 2 2 2" xfId="10583" xr:uid="{00000000-0005-0000-0000-0000693E0000}"/>
    <cellStyle name="Normal 3 14 2 2 2 2" xfId="10584" xr:uid="{00000000-0005-0000-0000-00006A3E0000}"/>
    <cellStyle name="Normal 3 14 2 2 2 2 2" xfId="10585" xr:uid="{00000000-0005-0000-0000-00006B3E0000}"/>
    <cellStyle name="Normal 3 14 2 2 2 2 2 2" xfId="30529" xr:uid="{00000000-0005-0000-0000-00006C3E0000}"/>
    <cellStyle name="Normal 3 14 2 2 2 2 2 3" xfId="16027" xr:uid="{00000000-0005-0000-0000-00006D3E0000}"/>
    <cellStyle name="Normal 3 14 2 2 2 2 2_TOM TAT" xfId="23149" xr:uid="{00000000-0005-0000-0000-00006E3E0000}"/>
    <cellStyle name="Normal 3 14 2 2 2 2 3" xfId="30528" xr:uid="{00000000-0005-0000-0000-00006F3E0000}"/>
    <cellStyle name="Normal 3 14 2 2 2 2 4" xfId="16026" xr:uid="{00000000-0005-0000-0000-0000703E0000}"/>
    <cellStyle name="Normal 3 14 2 2 2 2_TOM TAT" xfId="10586" xr:uid="{00000000-0005-0000-0000-0000713E0000}"/>
    <cellStyle name="Normal 3 14 2 2 2 3" xfId="10587" xr:uid="{00000000-0005-0000-0000-0000723E0000}"/>
    <cellStyle name="Normal 3 14 2 2 2 3 2" xfId="30530" xr:uid="{00000000-0005-0000-0000-0000733E0000}"/>
    <cellStyle name="Normal 3 14 2 2 2 3 3" xfId="16028" xr:uid="{00000000-0005-0000-0000-0000743E0000}"/>
    <cellStyle name="Normal 3 14 2 2 2 3_TOM TAT" xfId="23150" xr:uid="{00000000-0005-0000-0000-0000753E0000}"/>
    <cellStyle name="Normal 3 14 2 2 2 4" xfId="30527" xr:uid="{00000000-0005-0000-0000-0000763E0000}"/>
    <cellStyle name="Normal 3 14 2 2 2 5" xfId="16025" xr:uid="{00000000-0005-0000-0000-0000773E0000}"/>
    <cellStyle name="Normal 3 14 2 2 2_TOM TAT" xfId="10588" xr:uid="{00000000-0005-0000-0000-0000783E0000}"/>
    <cellStyle name="Normal 3 14 2 2 3" xfId="10589" xr:uid="{00000000-0005-0000-0000-0000793E0000}"/>
    <cellStyle name="Normal 3 14 2 2 3 2" xfId="10590" xr:uid="{00000000-0005-0000-0000-00007A3E0000}"/>
    <cellStyle name="Normal 3 14 2 2 3 2 2" xfId="10591" xr:uid="{00000000-0005-0000-0000-00007B3E0000}"/>
    <cellStyle name="Normal 3 14 2 2 3 2 2 2" xfId="30533" xr:uid="{00000000-0005-0000-0000-00007C3E0000}"/>
    <cellStyle name="Normal 3 14 2 2 3 2 2 3" xfId="16031" xr:uid="{00000000-0005-0000-0000-00007D3E0000}"/>
    <cellStyle name="Normal 3 14 2 2 3 2 2_TOM TAT" xfId="23151" xr:uid="{00000000-0005-0000-0000-00007E3E0000}"/>
    <cellStyle name="Normal 3 14 2 2 3 2 3" xfId="30532" xr:uid="{00000000-0005-0000-0000-00007F3E0000}"/>
    <cellStyle name="Normal 3 14 2 2 3 2 4" xfId="16030" xr:uid="{00000000-0005-0000-0000-0000803E0000}"/>
    <cellStyle name="Normal 3 14 2 2 3 2_TOM TAT" xfId="10592" xr:uid="{00000000-0005-0000-0000-0000813E0000}"/>
    <cellStyle name="Normal 3 14 2 2 3 3" xfId="10593" xr:uid="{00000000-0005-0000-0000-0000823E0000}"/>
    <cellStyle name="Normal 3 14 2 2 3 3 2" xfId="30534" xr:uid="{00000000-0005-0000-0000-0000833E0000}"/>
    <cellStyle name="Normal 3 14 2 2 3 3 3" xfId="16032" xr:uid="{00000000-0005-0000-0000-0000843E0000}"/>
    <cellStyle name="Normal 3 14 2 2 3 3_TOM TAT" xfId="23152" xr:uid="{00000000-0005-0000-0000-0000853E0000}"/>
    <cellStyle name="Normal 3 14 2 2 3 4" xfId="30531" xr:uid="{00000000-0005-0000-0000-0000863E0000}"/>
    <cellStyle name="Normal 3 14 2 2 3 5" xfId="16029" xr:uid="{00000000-0005-0000-0000-0000873E0000}"/>
    <cellStyle name="Normal 3 14 2 2 3_TOM TAT" xfId="10594" xr:uid="{00000000-0005-0000-0000-0000883E0000}"/>
    <cellStyle name="Normal 3 14 2 2 4" xfId="10595" xr:uid="{00000000-0005-0000-0000-0000893E0000}"/>
    <cellStyle name="Normal 3 14 2 2 4 2" xfId="10596" xr:uid="{00000000-0005-0000-0000-00008A3E0000}"/>
    <cellStyle name="Normal 3 14 2 2 4 2 2" xfId="30536" xr:uid="{00000000-0005-0000-0000-00008B3E0000}"/>
    <cellStyle name="Normal 3 14 2 2 4 2 3" xfId="16034" xr:uid="{00000000-0005-0000-0000-00008C3E0000}"/>
    <cellStyle name="Normal 3 14 2 2 4 2_TOM TAT" xfId="23153" xr:uid="{00000000-0005-0000-0000-00008D3E0000}"/>
    <cellStyle name="Normal 3 14 2 2 4 3" xfId="30535" xr:uid="{00000000-0005-0000-0000-00008E3E0000}"/>
    <cellStyle name="Normal 3 14 2 2 4 4" xfId="16033" xr:uid="{00000000-0005-0000-0000-00008F3E0000}"/>
    <cellStyle name="Normal 3 14 2 2 4_TOM TAT" xfId="10597" xr:uid="{00000000-0005-0000-0000-0000903E0000}"/>
    <cellStyle name="Normal 3 14 2 2 5" xfId="10598" xr:uid="{00000000-0005-0000-0000-0000913E0000}"/>
    <cellStyle name="Normal 3 14 2 2 5 2" xfId="30537" xr:uid="{00000000-0005-0000-0000-0000923E0000}"/>
    <cellStyle name="Normal 3 14 2 2 5 3" xfId="16035" xr:uid="{00000000-0005-0000-0000-0000933E0000}"/>
    <cellStyle name="Normal 3 14 2 2 5_TOM TAT" xfId="23154" xr:uid="{00000000-0005-0000-0000-0000943E0000}"/>
    <cellStyle name="Normal 3 14 2 2 6" xfId="30526" xr:uid="{00000000-0005-0000-0000-0000953E0000}"/>
    <cellStyle name="Normal 3 14 2 2 7" xfId="16024" xr:uid="{00000000-0005-0000-0000-0000963E0000}"/>
    <cellStyle name="Normal 3 14 2 2_TOM TAT" xfId="10599" xr:uid="{00000000-0005-0000-0000-0000973E0000}"/>
    <cellStyle name="Normal 3 14 2 3" xfId="10600" xr:uid="{00000000-0005-0000-0000-0000983E0000}"/>
    <cellStyle name="Normal 3 14 2 3 2" xfId="10601" xr:uid="{00000000-0005-0000-0000-0000993E0000}"/>
    <cellStyle name="Normal 3 14 2 3 2 2" xfId="10602" xr:uid="{00000000-0005-0000-0000-00009A3E0000}"/>
    <cellStyle name="Normal 3 14 2 3 2 2 2" xfId="30540" xr:uid="{00000000-0005-0000-0000-00009B3E0000}"/>
    <cellStyle name="Normal 3 14 2 3 2 2 3" xfId="16038" xr:uid="{00000000-0005-0000-0000-00009C3E0000}"/>
    <cellStyle name="Normal 3 14 2 3 2 2_TOM TAT" xfId="23155" xr:uid="{00000000-0005-0000-0000-00009D3E0000}"/>
    <cellStyle name="Normal 3 14 2 3 2 3" xfId="30539" xr:uid="{00000000-0005-0000-0000-00009E3E0000}"/>
    <cellStyle name="Normal 3 14 2 3 2 4" xfId="16037" xr:uid="{00000000-0005-0000-0000-00009F3E0000}"/>
    <cellStyle name="Normal 3 14 2 3 2_TOM TAT" xfId="10603" xr:uid="{00000000-0005-0000-0000-0000A03E0000}"/>
    <cellStyle name="Normal 3 14 2 3 3" xfId="10604" xr:uid="{00000000-0005-0000-0000-0000A13E0000}"/>
    <cellStyle name="Normal 3 14 2 3 3 2" xfId="30541" xr:uid="{00000000-0005-0000-0000-0000A23E0000}"/>
    <cellStyle name="Normal 3 14 2 3 3 3" xfId="16039" xr:uid="{00000000-0005-0000-0000-0000A33E0000}"/>
    <cellStyle name="Normal 3 14 2 3 3_TOM TAT" xfId="23156" xr:uid="{00000000-0005-0000-0000-0000A43E0000}"/>
    <cellStyle name="Normal 3 14 2 3 4" xfId="30538" xr:uid="{00000000-0005-0000-0000-0000A53E0000}"/>
    <cellStyle name="Normal 3 14 2 3 5" xfId="16036" xr:uid="{00000000-0005-0000-0000-0000A63E0000}"/>
    <cellStyle name="Normal 3 14 2 3_TOM TAT" xfId="10605" xr:uid="{00000000-0005-0000-0000-0000A73E0000}"/>
    <cellStyle name="Normal 3 14 2 4" xfId="10606" xr:uid="{00000000-0005-0000-0000-0000A83E0000}"/>
    <cellStyle name="Normal 3 14 2 4 2" xfId="10607" xr:uid="{00000000-0005-0000-0000-0000A93E0000}"/>
    <cellStyle name="Normal 3 14 2 4 2 2" xfId="10608" xr:uid="{00000000-0005-0000-0000-0000AA3E0000}"/>
    <cellStyle name="Normal 3 14 2 4 2 2 2" xfId="30544" xr:uid="{00000000-0005-0000-0000-0000AB3E0000}"/>
    <cellStyle name="Normal 3 14 2 4 2 2 3" xfId="16042" xr:uid="{00000000-0005-0000-0000-0000AC3E0000}"/>
    <cellStyle name="Normal 3 14 2 4 2 2_TOM TAT" xfId="23157" xr:uid="{00000000-0005-0000-0000-0000AD3E0000}"/>
    <cellStyle name="Normal 3 14 2 4 2 3" xfId="30543" xr:uid="{00000000-0005-0000-0000-0000AE3E0000}"/>
    <cellStyle name="Normal 3 14 2 4 2 4" xfId="16041" xr:uid="{00000000-0005-0000-0000-0000AF3E0000}"/>
    <cellStyle name="Normal 3 14 2 4 2_TOM TAT" xfId="10609" xr:uid="{00000000-0005-0000-0000-0000B03E0000}"/>
    <cellStyle name="Normal 3 14 2 4 3" xfId="10610" xr:uid="{00000000-0005-0000-0000-0000B13E0000}"/>
    <cellStyle name="Normal 3 14 2 4 3 2" xfId="30545" xr:uid="{00000000-0005-0000-0000-0000B23E0000}"/>
    <cellStyle name="Normal 3 14 2 4 3 3" xfId="16043" xr:uid="{00000000-0005-0000-0000-0000B33E0000}"/>
    <cellStyle name="Normal 3 14 2 4 3_TOM TAT" xfId="23158" xr:uid="{00000000-0005-0000-0000-0000B43E0000}"/>
    <cellStyle name="Normal 3 14 2 4 4" xfId="30542" xr:uid="{00000000-0005-0000-0000-0000B53E0000}"/>
    <cellStyle name="Normal 3 14 2 4 5" xfId="16040" xr:uid="{00000000-0005-0000-0000-0000B63E0000}"/>
    <cellStyle name="Normal 3 14 2 4_TOM TAT" xfId="10611" xr:uid="{00000000-0005-0000-0000-0000B73E0000}"/>
    <cellStyle name="Normal 3 14 2 5" xfId="10612" xr:uid="{00000000-0005-0000-0000-0000B83E0000}"/>
    <cellStyle name="Normal 3 14 2 5 2" xfId="10613" xr:uid="{00000000-0005-0000-0000-0000B93E0000}"/>
    <cellStyle name="Normal 3 14 2 5 2 2" xfId="30547" xr:uid="{00000000-0005-0000-0000-0000BA3E0000}"/>
    <cellStyle name="Normal 3 14 2 5 2 3" xfId="16045" xr:uid="{00000000-0005-0000-0000-0000BB3E0000}"/>
    <cellStyle name="Normal 3 14 2 5 2_TOM TAT" xfId="23159" xr:uid="{00000000-0005-0000-0000-0000BC3E0000}"/>
    <cellStyle name="Normal 3 14 2 5 3" xfId="30546" xr:uid="{00000000-0005-0000-0000-0000BD3E0000}"/>
    <cellStyle name="Normal 3 14 2 5 4" xfId="16044" xr:uid="{00000000-0005-0000-0000-0000BE3E0000}"/>
    <cellStyle name="Normal 3 14 2 5_TOM TAT" xfId="10614" xr:uid="{00000000-0005-0000-0000-0000BF3E0000}"/>
    <cellStyle name="Normal 3 14 2 6" xfId="10615" xr:uid="{00000000-0005-0000-0000-0000C03E0000}"/>
    <cellStyle name="Normal 3 14 2 6 2" xfId="30548" xr:uid="{00000000-0005-0000-0000-0000C13E0000}"/>
    <cellStyle name="Normal 3 14 2 6 3" xfId="16046" xr:uid="{00000000-0005-0000-0000-0000C23E0000}"/>
    <cellStyle name="Normal 3 14 2 6_TOM TAT" xfId="23160" xr:uid="{00000000-0005-0000-0000-0000C33E0000}"/>
    <cellStyle name="Normal 3 14 2 7" xfId="28256" xr:uid="{00000000-0005-0000-0000-0000C43E0000}"/>
    <cellStyle name="Normal 3 14 2 8" xfId="14695" xr:uid="{00000000-0005-0000-0000-0000C53E0000}"/>
    <cellStyle name="Normal 3 14 2_TOM TAT" xfId="10616" xr:uid="{00000000-0005-0000-0000-0000C63E0000}"/>
    <cellStyle name="Normal 3 14 3" xfId="10617" xr:uid="{00000000-0005-0000-0000-0000C73E0000}"/>
    <cellStyle name="Normal 3 14 3 2" xfId="10618" xr:uid="{00000000-0005-0000-0000-0000C83E0000}"/>
    <cellStyle name="Normal 3 14 3 2 2" xfId="10619" xr:uid="{00000000-0005-0000-0000-0000C93E0000}"/>
    <cellStyle name="Normal 3 14 3 2 2 2" xfId="10620" xr:uid="{00000000-0005-0000-0000-0000CA3E0000}"/>
    <cellStyle name="Normal 3 14 3 2 2 2 2" xfId="30552" xr:uid="{00000000-0005-0000-0000-0000CB3E0000}"/>
    <cellStyle name="Normal 3 14 3 2 2 2 3" xfId="16050" xr:uid="{00000000-0005-0000-0000-0000CC3E0000}"/>
    <cellStyle name="Normal 3 14 3 2 2 2_TOM TAT" xfId="23161" xr:uid="{00000000-0005-0000-0000-0000CD3E0000}"/>
    <cellStyle name="Normal 3 14 3 2 2 3" xfId="30551" xr:uid="{00000000-0005-0000-0000-0000CE3E0000}"/>
    <cellStyle name="Normal 3 14 3 2 2 4" xfId="16049" xr:uid="{00000000-0005-0000-0000-0000CF3E0000}"/>
    <cellStyle name="Normal 3 14 3 2 2_TOM TAT" xfId="10621" xr:uid="{00000000-0005-0000-0000-0000D03E0000}"/>
    <cellStyle name="Normal 3 14 3 2 3" xfId="10622" xr:uid="{00000000-0005-0000-0000-0000D13E0000}"/>
    <cellStyle name="Normal 3 14 3 2 3 2" xfId="30553" xr:uid="{00000000-0005-0000-0000-0000D23E0000}"/>
    <cellStyle name="Normal 3 14 3 2 3 3" xfId="16051" xr:uid="{00000000-0005-0000-0000-0000D33E0000}"/>
    <cellStyle name="Normal 3 14 3 2 3_TOM TAT" xfId="23162" xr:uid="{00000000-0005-0000-0000-0000D43E0000}"/>
    <cellStyle name="Normal 3 14 3 2 4" xfId="30550" xr:uid="{00000000-0005-0000-0000-0000D53E0000}"/>
    <cellStyle name="Normal 3 14 3 2 5" xfId="16048" xr:uid="{00000000-0005-0000-0000-0000D63E0000}"/>
    <cellStyle name="Normal 3 14 3 2_TOM TAT" xfId="10623" xr:uid="{00000000-0005-0000-0000-0000D73E0000}"/>
    <cellStyle name="Normal 3 14 3 3" xfId="10624" xr:uid="{00000000-0005-0000-0000-0000D83E0000}"/>
    <cellStyle name="Normal 3 14 3 3 2" xfId="10625" xr:uid="{00000000-0005-0000-0000-0000D93E0000}"/>
    <cellStyle name="Normal 3 14 3 3 2 2" xfId="10626" xr:uid="{00000000-0005-0000-0000-0000DA3E0000}"/>
    <cellStyle name="Normal 3 14 3 3 2 2 2" xfId="30556" xr:uid="{00000000-0005-0000-0000-0000DB3E0000}"/>
    <cellStyle name="Normal 3 14 3 3 2 2 3" xfId="16054" xr:uid="{00000000-0005-0000-0000-0000DC3E0000}"/>
    <cellStyle name="Normal 3 14 3 3 2 2_TOM TAT" xfId="23163" xr:uid="{00000000-0005-0000-0000-0000DD3E0000}"/>
    <cellStyle name="Normal 3 14 3 3 2 3" xfId="30555" xr:uid="{00000000-0005-0000-0000-0000DE3E0000}"/>
    <cellStyle name="Normal 3 14 3 3 2 4" xfId="16053" xr:uid="{00000000-0005-0000-0000-0000DF3E0000}"/>
    <cellStyle name="Normal 3 14 3 3 2_TOM TAT" xfId="10627" xr:uid="{00000000-0005-0000-0000-0000E03E0000}"/>
    <cellStyle name="Normal 3 14 3 3 3" xfId="10628" xr:uid="{00000000-0005-0000-0000-0000E13E0000}"/>
    <cellStyle name="Normal 3 14 3 3 3 2" xfId="30557" xr:uid="{00000000-0005-0000-0000-0000E23E0000}"/>
    <cellStyle name="Normal 3 14 3 3 3 3" xfId="16055" xr:uid="{00000000-0005-0000-0000-0000E33E0000}"/>
    <cellStyle name="Normal 3 14 3 3 3_TOM TAT" xfId="23164" xr:uid="{00000000-0005-0000-0000-0000E43E0000}"/>
    <cellStyle name="Normal 3 14 3 3 4" xfId="30554" xr:uid="{00000000-0005-0000-0000-0000E53E0000}"/>
    <cellStyle name="Normal 3 14 3 3 5" xfId="16052" xr:uid="{00000000-0005-0000-0000-0000E63E0000}"/>
    <cellStyle name="Normal 3 14 3 3_TOM TAT" xfId="10629" xr:uid="{00000000-0005-0000-0000-0000E73E0000}"/>
    <cellStyle name="Normal 3 14 3 4" xfId="10630" xr:uid="{00000000-0005-0000-0000-0000E83E0000}"/>
    <cellStyle name="Normal 3 14 3 4 2" xfId="10631" xr:uid="{00000000-0005-0000-0000-0000E93E0000}"/>
    <cellStyle name="Normal 3 14 3 4 2 2" xfId="30559" xr:uid="{00000000-0005-0000-0000-0000EA3E0000}"/>
    <cellStyle name="Normal 3 14 3 4 2 3" xfId="16057" xr:uid="{00000000-0005-0000-0000-0000EB3E0000}"/>
    <cellStyle name="Normal 3 14 3 4 2_TOM TAT" xfId="23165" xr:uid="{00000000-0005-0000-0000-0000EC3E0000}"/>
    <cellStyle name="Normal 3 14 3 4 3" xfId="30558" xr:uid="{00000000-0005-0000-0000-0000ED3E0000}"/>
    <cellStyle name="Normal 3 14 3 4 4" xfId="16056" xr:uid="{00000000-0005-0000-0000-0000EE3E0000}"/>
    <cellStyle name="Normal 3 14 3 4_TOM TAT" xfId="10632" xr:uid="{00000000-0005-0000-0000-0000EF3E0000}"/>
    <cellStyle name="Normal 3 14 3 5" xfId="10633" xr:uid="{00000000-0005-0000-0000-0000F03E0000}"/>
    <cellStyle name="Normal 3 14 3 5 2" xfId="30560" xr:uid="{00000000-0005-0000-0000-0000F13E0000}"/>
    <cellStyle name="Normal 3 14 3 5 3" xfId="16058" xr:uid="{00000000-0005-0000-0000-0000F23E0000}"/>
    <cellStyle name="Normal 3 14 3 5_TOM TAT" xfId="23166" xr:uid="{00000000-0005-0000-0000-0000F33E0000}"/>
    <cellStyle name="Normal 3 14 3 6" xfId="30549" xr:uid="{00000000-0005-0000-0000-0000F43E0000}"/>
    <cellStyle name="Normal 3 14 3 7" xfId="16047" xr:uid="{00000000-0005-0000-0000-0000F53E0000}"/>
    <cellStyle name="Normal 3 14 3_TOM TAT" xfId="10634" xr:uid="{00000000-0005-0000-0000-0000F63E0000}"/>
    <cellStyle name="Normal 3 14 4" xfId="10635" xr:uid="{00000000-0005-0000-0000-0000F73E0000}"/>
    <cellStyle name="Normal 3 14 4 2" xfId="10636" xr:uid="{00000000-0005-0000-0000-0000F83E0000}"/>
    <cellStyle name="Normal 3 14 4 2 2" xfId="10637" xr:uid="{00000000-0005-0000-0000-0000F93E0000}"/>
    <cellStyle name="Normal 3 14 4 2 2 2" xfId="10638" xr:uid="{00000000-0005-0000-0000-0000FA3E0000}"/>
    <cellStyle name="Normal 3 14 4 2 2 2 2" xfId="30564" xr:uid="{00000000-0005-0000-0000-0000FB3E0000}"/>
    <cellStyle name="Normal 3 14 4 2 2 2 3" xfId="16062" xr:uid="{00000000-0005-0000-0000-0000FC3E0000}"/>
    <cellStyle name="Normal 3 14 4 2 2 2_TOM TAT" xfId="23167" xr:uid="{00000000-0005-0000-0000-0000FD3E0000}"/>
    <cellStyle name="Normal 3 14 4 2 2 3" xfId="30563" xr:uid="{00000000-0005-0000-0000-0000FE3E0000}"/>
    <cellStyle name="Normal 3 14 4 2 2 4" xfId="16061" xr:uid="{00000000-0005-0000-0000-0000FF3E0000}"/>
    <cellStyle name="Normal 3 14 4 2 2_TOM TAT" xfId="10639" xr:uid="{00000000-0005-0000-0000-0000003F0000}"/>
    <cellStyle name="Normal 3 14 4 2 3" xfId="10640" xr:uid="{00000000-0005-0000-0000-0000013F0000}"/>
    <cellStyle name="Normal 3 14 4 2 3 2" xfId="30565" xr:uid="{00000000-0005-0000-0000-0000023F0000}"/>
    <cellStyle name="Normal 3 14 4 2 3 3" xfId="16063" xr:uid="{00000000-0005-0000-0000-0000033F0000}"/>
    <cellStyle name="Normal 3 14 4 2 3_TOM TAT" xfId="23168" xr:uid="{00000000-0005-0000-0000-0000043F0000}"/>
    <cellStyle name="Normal 3 14 4 2 4" xfId="30562" xr:uid="{00000000-0005-0000-0000-0000053F0000}"/>
    <cellStyle name="Normal 3 14 4 2 5" xfId="16060" xr:uid="{00000000-0005-0000-0000-0000063F0000}"/>
    <cellStyle name="Normal 3 14 4 2_TOM TAT" xfId="10641" xr:uid="{00000000-0005-0000-0000-0000073F0000}"/>
    <cellStyle name="Normal 3 14 4 3" xfId="10642" xr:uid="{00000000-0005-0000-0000-0000083F0000}"/>
    <cellStyle name="Normal 3 14 4 3 2" xfId="10643" xr:uid="{00000000-0005-0000-0000-0000093F0000}"/>
    <cellStyle name="Normal 3 14 4 3 2 2" xfId="10644" xr:uid="{00000000-0005-0000-0000-00000A3F0000}"/>
    <cellStyle name="Normal 3 14 4 3 2 2 2" xfId="30568" xr:uid="{00000000-0005-0000-0000-00000B3F0000}"/>
    <cellStyle name="Normal 3 14 4 3 2 2 3" xfId="16066" xr:uid="{00000000-0005-0000-0000-00000C3F0000}"/>
    <cellStyle name="Normal 3 14 4 3 2 2_TOM TAT" xfId="23169" xr:uid="{00000000-0005-0000-0000-00000D3F0000}"/>
    <cellStyle name="Normal 3 14 4 3 2 3" xfId="30567" xr:uid="{00000000-0005-0000-0000-00000E3F0000}"/>
    <cellStyle name="Normal 3 14 4 3 2 4" xfId="16065" xr:uid="{00000000-0005-0000-0000-00000F3F0000}"/>
    <cellStyle name="Normal 3 14 4 3 2_TOM TAT" xfId="10645" xr:uid="{00000000-0005-0000-0000-0000103F0000}"/>
    <cellStyle name="Normal 3 14 4 3 3" xfId="10646" xr:uid="{00000000-0005-0000-0000-0000113F0000}"/>
    <cellStyle name="Normal 3 14 4 3 3 2" xfId="30569" xr:uid="{00000000-0005-0000-0000-0000123F0000}"/>
    <cellStyle name="Normal 3 14 4 3 3 3" xfId="16067" xr:uid="{00000000-0005-0000-0000-0000133F0000}"/>
    <cellStyle name="Normal 3 14 4 3 3_TOM TAT" xfId="23170" xr:uid="{00000000-0005-0000-0000-0000143F0000}"/>
    <cellStyle name="Normal 3 14 4 3 4" xfId="30566" xr:uid="{00000000-0005-0000-0000-0000153F0000}"/>
    <cellStyle name="Normal 3 14 4 3 5" xfId="16064" xr:uid="{00000000-0005-0000-0000-0000163F0000}"/>
    <cellStyle name="Normal 3 14 4 3_TOM TAT" xfId="10647" xr:uid="{00000000-0005-0000-0000-0000173F0000}"/>
    <cellStyle name="Normal 3 14 4 4" xfId="10648" xr:uid="{00000000-0005-0000-0000-0000183F0000}"/>
    <cellStyle name="Normal 3 14 4 4 2" xfId="10649" xr:uid="{00000000-0005-0000-0000-0000193F0000}"/>
    <cellStyle name="Normal 3 14 4 4 2 2" xfId="30571" xr:uid="{00000000-0005-0000-0000-00001A3F0000}"/>
    <cellStyle name="Normal 3 14 4 4 2 3" xfId="16069" xr:uid="{00000000-0005-0000-0000-00001B3F0000}"/>
    <cellStyle name="Normal 3 14 4 4 2_TOM TAT" xfId="23171" xr:uid="{00000000-0005-0000-0000-00001C3F0000}"/>
    <cellStyle name="Normal 3 14 4 4 3" xfId="30570" xr:uid="{00000000-0005-0000-0000-00001D3F0000}"/>
    <cellStyle name="Normal 3 14 4 4 4" xfId="16068" xr:uid="{00000000-0005-0000-0000-00001E3F0000}"/>
    <cellStyle name="Normal 3 14 4 4_TOM TAT" xfId="10650" xr:uid="{00000000-0005-0000-0000-00001F3F0000}"/>
    <cellStyle name="Normal 3 14 4 5" xfId="10651" xr:uid="{00000000-0005-0000-0000-0000203F0000}"/>
    <cellStyle name="Normal 3 14 4 5 2" xfId="30572" xr:uid="{00000000-0005-0000-0000-0000213F0000}"/>
    <cellStyle name="Normal 3 14 4 5 3" xfId="16070" xr:uid="{00000000-0005-0000-0000-0000223F0000}"/>
    <cellStyle name="Normal 3 14 4 5_TOM TAT" xfId="23172" xr:uid="{00000000-0005-0000-0000-0000233F0000}"/>
    <cellStyle name="Normal 3 14 4 6" xfId="30561" xr:uid="{00000000-0005-0000-0000-0000243F0000}"/>
    <cellStyle name="Normal 3 14 4 7" xfId="16059" xr:uid="{00000000-0005-0000-0000-0000253F0000}"/>
    <cellStyle name="Normal 3 14 4_TOM TAT" xfId="10652" xr:uid="{00000000-0005-0000-0000-0000263F0000}"/>
    <cellStyle name="Normal 3 14 5" xfId="10653" xr:uid="{00000000-0005-0000-0000-0000273F0000}"/>
    <cellStyle name="Normal 3 14 5 2" xfId="10654" xr:uid="{00000000-0005-0000-0000-0000283F0000}"/>
    <cellStyle name="Normal 3 14 5 2 2" xfId="10655" xr:uid="{00000000-0005-0000-0000-0000293F0000}"/>
    <cellStyle name="Normal 3 14 5 2 2 2" xfId="30575" xr:uid="{00000000-0005-0000-0000-00002A3F0000}"/>
    <cellStyle name="Normal 3 14 5 2 2 3" xfId="16073" xr:uid="{00000000-0005-0000-0000-00002B3F0000}"/>
    <cellStyle name="Normal 3 14 5 2 2_TOM TAT" xfId="23173" xr:uid="{00000000-0005-0000-0000-00002C3F0000}"/>
    <cellStyle name="Normal 3 14 5 2 3" xfId="30574" xr:uid="{00000000-0005-0000-0000-00002D3F0000}"/>
    <cellStyle name="Normal 3 14 5 2 4" xfId="16072" xr:uid="{00000000-0005-0000-0000-00002E3F0000}"/>
    <cellStyle name="Normal 3 14 5 2_TOM TAT" xfId="10656" xr:uid="{00000000-0005-0000-0000-00002F3F0000}"/>
    <cellStyle name="Normal 3 14 5 3" xfId="10657" xr:uid="{00000000-0005-0000-0000-0000303F0000}"/>
    <cellStyle name="Normal 3 14 5 3 2" xfId="30576" xr:uid="{00000000-0005-0000-0000-0000313F0000}"/>
    <cellStyle name="Normal 3 14 5 3 3" xfId="16074" xr:uid="{00000000-0005-0000-0000-0000323F0000}"/>
    <cellStyle name="Normal 3 14 5 3_TOM TAT" xfId="23174" xr:uid="{00000000-0005-0000-0000-0000333F0000}"/>
    <cellStyle name="Normal 3 14 5 4" xfId="30573" xr:uid="{00000000-0005-0000-0000-0000343F0000}"/>
    <cellStyle name="Normal 3 14 5 5" xfId="16071" xr:uid="{00000000-0005-0000-0000-0000353F0000}"/>
    <cellStyle name="Normal 3 14 5_TOM TAT" xfId="10658" xr:uid="{00000000-0005-0000-0000-0000363F0000}"/>
    <cellStyle name="Normal 3 14 6" xfId="10659" xr:uid="{00000000-0005-0000-0000-0000373F0000}"/>
    <cellStyle name="Normal 3 14 6 2" xfId="10660" xr:uid="{00000000-0005-0000-0000-0000383F0000}"/>
    <cellStyle name="Normal 3 14 6 2 2" xfId="10661" xr:uid="{00000000-0005-0000-0000-0000393F0000}"/>
    <cellStyle name="Normal 3 14 6 2 2 2" xfId="30579" xr:uid="{00000000-0005-0000-0000-00003A3F0000}"/>
    <cellStyle name="Normal 3 14 6 2 2 3" xfId="16077" xr:uid="{00000000-0005-0000-0000-00003B3F0000}"/>
    <cellStyle name="Normal 3 14 6 2 2_TOM TAT" xfId="23175" xr:uid="{00000000-0005-0000-0000-00003C3F0000}"/>
    <cellStyle name="Normal 3 14 6 2 3" xfId="30578" xr:uid="{00000000-0005-0000-0000-00003D3F0000}"/>
    <cellStyle name="Normal 3 14 6 2 4" xfId="16076" xr:uid="{00000000-0005-0000-0000-00003E3F0000}"/>
    <cellStyle name="Normal 3 14 6 2_TOM TAT" xfId="10662" xr:uid="{00000000-0005-0000-0000-00003F3F0000}"/>
    <cellStyle name="Normal 3 14 6 3" xfId="10663" xr:uid="{00000000-0005-0000-0000-0000403F0000}"/>
    <cellStyle name="Normal 3 14 6 3 2" xfId="30580" xr:uid="{00000000-0005-0000-0000-0000413F0000}"/>
    <cellStyle name="Normal 3 14 6 3 3" xfId="16078" xr:uid="{00000000-0005-0000-0000-0000423F0000}"/>
    <cellStyle name="Normal 3 14 6 3_TOM TAT" xfId="23176" xr:uid="{00000000-0005-0000-0000-0000433F0000}"/>
    <cellStyle name="Normal 3 14 6 4" xfId="30577" xr:uid="{00000000-0005-0000-0000-0000443F0000}"/>
    <cellStyle name="Normal 3 14 6 5" xfId="16075" xr:uid="{00000000-0005-0000-0000-0000453F0000}"/>
    <cellStyle name="Normal 3 14 6_TOM TAT" xfId="10664" xr:uid="{00000000-0005-0000-0000-0000463F0000}"/>
    <cellStyle name="Normal 3 14 7" xfId="10665" xr:uid="{00000000-0005-0000-0000-0000473F0000}"/>
    <cellStyle name="Normal 3 14 7 2" xfId="10666" xr:uid="{00000000-0005-0000-0000-0000483F0000}"/>
    <cellStyle name="Normal 3 14 7 2 2" xfId="30582" xr:uid="{00000000-0005-0000-0000-0000493F0000}"/>
    <cellStyle name="Normal 3 14 7 2 3" xfId="16080" xr:uid="{00000000-0005-0000-0000-00004A3F0000}"/>
    <cellStyle name="Normal 3 14 7 2_TOM TAT" xfId="23177" xr:uid="{00000000-0005-0000-0000-00004B3F0000}"/>
    <cellStyle name="Normal 3 14 7 3" xfId="30581" xr:uid="{00000000-0005-0000-0000-00004C3F0000}"/>
    <cellStyle name="Normal 3 14 7 4" xfId="16079" xr:uid="{00000000-0005-0000-0000-00004D3F0000}"/>
    <cellStyle name="Normal 3 14 7_TOM TAT" xfId="10667" xr:uid="{00000000-0005-0000-0000-00004E3F0000}"/>
    <cellStyle name="Normal 3 14 8" xfId="10668" xr:uid="{00000000-0005-0000-0000-00004F3F0000}"/>
    <cellStyle name="Normal 3 14 8 2" xfId="30583" xr:uid="{00000000-0005-0000-0000-0000503F0000}"/>
    <cellStyle name="Normal 3 14 8 3" xfId="16081" xr:uid="{00000000-0005-0000-0000-0000513F0000}"/>
    <cellStyle name="Normal 3 14 8_TOM TAT" xfId="23178" xr:uid="{00000000-0005-0000-0000-0000523F0000}"/>
    <cellStyle name="Normal 3 14 9" xfId="28255" xr:uid="{00000000-0005-0000-0000-0000533F0000}"/>
    <cellStyle name="Normal 3 14_TOM TAT" xfId="10669" xr:uid="{00000000-0005-0000-0000-0000543F0000}"/>
    <cellStyle name="Normal 3 15" xfId="10670" xr:uid="{00000000-0005-0000-0000-0000553F0000}"/>
    <cellStyle name="Normal 3 15 2" xfId="10671" xr:uid="{00000000-0005-0000-0000-0000563F0000}"/>
    <cellStyle name="Normal 3 15_TOM TAT" xfId="23179" xr:uid="{00000000-0005-0000-0000-0000573F0000}"/>
    <cellStyle name="Normal 3 16" xfId="10672" xr:uid="{00000000-0005-0000-0000-0000583F0000}"/>
    <cellStyle name="Normal 3 16 2" xfId="10673" xr:uid="{00000000-0005-0000-0000-0000593F0000}"/>
    <cellStyle name="Normal 3 16 2 2" xfId="10674" xr:uid="{00000000-0005-0000-0000-00005A3F0000}"/>
    <cellStyle name="Normal 3 16 2 2 2" xfId="30586" xr:uid="{00000000-0005-0000-0000-00005B3F0000}"/>
    <cellStyle name="Normal 3 16 2 2 3" xfId="16084" xr:uid="{00000000-0005-0000-0000-00005C3F0000}"/>
    <cellStyle name="Normal 3 16 2 2_TOM TAT" xfId="23180" xr:uid="{00000000-0005-0000-0000-00005D3F0000}"/>
    <cellStyle name="Normal 3 16 2 3" xfId="30585" xr:uid="{00000000-0005-0000-0000-00005E3F0000}"/>
    <cellStyle name="Normal 3 16 2 4" xfId="16083" xr:uid="{00000000-0005-0000-0000-00005F3F0000}"/>
    <cellStyle name="Normal 3 16 2_TOM TAT" xfId="10675" xr:uid="{00000000-0005-0000-0000-0000603F0000}"/>
    <cellStyle name="Normal 3 16 3" xfId="10676" xr:uid="{00000000-0005-0000-0000-0000613F0000}"/>
    <cellStyle name="Normal 3 16 3 2" xfId="30587" xr:uid="{00000000-0005-0000-0000-0000623F0000}"/>
    <cellStyle name="Normal 3 16 3 3" xfId="16085" xr:uid="{00000000-0005-0000-0000-0000633F0000}"/>
    <cellStyle name="Normal 3 16 3_TOM TAT" xfId="23181" xr:uid="{00000000-0005-0000-0000-0000643F0000}"/>
    <cellStyle name="Normal 3 16 4" xfId="30584" xr:uid="{00000000-0005-0000-0000-0000653F0000}"/>
    <cellStyle name="Normal 3 16 5" xfId="16082" xr:uid="{00000000-0005-0000-0000-0000663F0000}"/>
    <cellStyle name="Normal 3 16_TOM TAT" xfId="10677" xr:uid="{00000000-0005-0000-0000-0000673F0000}"/>
    <cellStyle name="Normal 3 17" xfId="10678" xr:uid="{00000000-0005-0000-0000-0000683F0000}"/>
    <cellStyle name="Normal 3 17 2" xfId="10679" xr:uid="{00000000-0005-0000-0000-0000693F0000}"/>
    <cellStyle name="Normal 3 17 2 2" xfId="30589" xr:uid="{00000000-0005-0000-0000-00006A3F0000}"/>
    <cellStyle name="Normal 3 17 2 3" xfId="16087" xr:uid="{00000000-0005-0000-0000-00006B3F0000}"/>
    <cellStyle name="Normal 3 17 2_TOM TAT" xfId="23182" xr:uid="{00000000-0005-0000-0000-00006C3F0000}"/>
    <cellStyle name="Normal 3 17 3" xfId="30588" xr:uid="{00000000-0005-0000-0000-00006D3F0000}"/>
    <cellStyle name="Normal 3 17 4" xfId="16086" xr:uid="{00000000-0005-0000-0000-00006E3F0000}"/>
    <cellStyle name="Normal 3 17_TOM TAT" xfId="10680" xr:uid="{00000000-0005-0000-0000-00006F3F0000}"/>
    <cellStyle name="Normal 3 18" xfId="10681" xr:uid="{00000000-0005-0000-0000-0000703F0000}"/>
    <cellStyle name="Normal 3 19" xfId="10682" xr:uid="{00000000-0005-0000-0000-0000713F0000}"/>
    <cellStyle name="Normal 3 2" xfId="2232" xr:uid="{00000000-0005-0000-0000-0000723F0000}"/>
    <cellStyle name="Normal 3 2 2" xfId="10683" xr:uid="{00000000-0005-0000-0000-0000733F0000}"/>
    <cellStyle name="Normal 3 2 2 2" xfId="10684" xr:uid="{00000000-0005-0000-0000-0000743F0000}"/>
    <cellStyle name="Normal 3 2 2_TOM TAT" xfId="10685" xr:uid="{00000000-0005-0000-0000-0000753F0000}"/>
    <cellStyle name="Normal 3 2 3" xfId="10686" xr:uid="{00000000-0005-0000-0000-0000763F0000}"/>
    <cellStyle name="Normal 3 2 4" xfId="10687" xr:uid="{00000000-0005-0000-0000-0000773F0000}"/>
    <cellStyle name="Normal 3 2 5" xfId="10688" xr:uid="{00000000-0005-0000-0000-0000783F0000}"/>
    <cellStyle name="Normal 3 2 6" xfId="18216" xr:uid="{00000000-0005-0000-0000-0000793F0000}"/>
    <cellStyle name="Normal 3 2 7" xfId="18687" xr:uid="{00000000-0005-0000-0000-00007A3F0000}"/>
    <cellStyle name="Normal 3 2 8" xfId="32265" xr:uid="{00000000-0005-0000-0000-00007B3F0000}"/>
    <cellStyle name="Normal 3 2_TOM TAT" xfId="10689" xr:uid="{00000000-0005-0000-0000-00007C3F0000}"/>
    <cellStyle name="Normal 3 20" xfId="10690" xr:uid="{00000000-0005-0000-0000-00007D3F0000}"/>
    <cellStyle name="Normal 3 21" xfId="18952" xr:uid="{00000000-0005-0000-0000-00007E3F0000}"/>
    <cellStyle name="Normal 3 22" xfId="32286" xr:uid="{00000000-0005-0000-0000-00007F3F0000}"/>
    <cellStyle name="Normal 3 23" xfId="32303" xr:uid="{00000000-0005-0000-0000-0000803F0000}"/>
    <cellStyle name="Normal 3 3" xfId="2233" xr:uid="{00000000-0005-0000-0000-0000813F0000}"/>
    <cellStyle name="Normal 3 3 10" xfId="10691" xr:uid="{00000000-0005-0000-0000-0000823F0000}"/>
    <cellStyle name="Normal 3 3 10 2" xfId="10692" xr:uid="{00000000-0005-0000-0000-0000833F0000}"/>
    <cellStyle name="Normal 3 3 10 2 2" xfId="10693" xr:uid="{00000000-0005-0000-0000-0000843F0000}"/>
    <cellStyle name="Normal 3 3 10 2 2 2" xfId="10694" xr:uid="{00000000-0005-0000-0000-0000853F0000}"/>
    <cellStyle name="Normal 3 3 10 2 2 2 2" xfId="30593" xr:uid="{00000000-0005-0000-0000-0000863F0000}"/>
    <cellStyle name="Normal 3 3 10 2 2 2 3" xfId="16091" xr:uid="{00000000-0005-0000-0000-0000873F0000}"/>
    <cellStyle name="Normal 3 3 10 2 2 2_TOM TAT" xfId="23183" xr:uid="{00000000-0005-0000-0000-0000883F0000}"/>
    <cellStyle name="Normal 3 3 10 2 2 3" xfId="30592" xr:uid="{00000000-0005-0000-0000-0000893F0000}"/>
    <cellStyle name="Normal 3 3 10 2 2 4" xfId="16090" xr:uid="{00000000-0005-0000-0000-00008A3F0000}"/>
    <cellStyle name="Normal 3 3 10 2 2_TOM TAT" xfId="10695" xr:uid="{00000000-0005-0000-0000-00008B3F0000}"/>
    <cellStyle name="Normal 3 3 10 2 3" xfId="10696" xr:uid="{00000000-0005-0000-0000-00008C3F0000}"/>
    <cellStyle name="Normal 3 3 10 2 3 2" xfId="30594" xr:uid="{00000000-0005-0000-0000-00008D3F0000}"/>
    <cellStyle name="Normal 3 3 10 2 3 3" xfId="16092" xr:uid="{00000000-0005-0000-0000-00008E3F0000}"/>
    <cellStyle name="Normal 3 3 10 2 3_TOM TAT" xfId="23184" xr:uid="{00000000-0005-0000-0000-00008F3F0000}"/>
    <cellStyle name="Normal 3 3 10 2 4" xfId="30591" xr:uid="{00000000-0005-0000-0000-0000903F0000}"/>
    <cellStyle name="Normal 3 3 10 2 5" xfId="16089" xr:uid="{00000000-0005-0000-0000-0000913F0000}"/>
    <cellStyle name="Normal 3 3 10 2_TOM TAT" xfId="10697" xr:uid="{00000000-0005-0000-0000-0000923F0000}"/>
    <cellStyle name="Normal 3 3 10 3" xfId="10698" xr:uid="{00000000-0005-0000-0000-0000933F0000}"/>
    <cellStyle name="Normal 3 3 10 3 2" xfId="10699" xr:uid="{00000000-0005-0000-0000-0000943F0000}"/>
    <cellStyle name="Normal 3 3 10 3 2 2" xfId="10700" xr:uid="{00000000-0005-0000-0000-0000953F0000}"/>
    <cellStyle name="Normal 3 3 10 3 2 2 2" xfId="30597" xr:uid="{00000000-0005-0000-0000-0000963F0000}"/>
    <cellStyle name="Normal 3 3 10 3 2 2 3" xfId="16095" xr:uid="{00000000-0005-0000-0000-0000973F0000}"/>
    <cellStyle name="Normal 3 3 10 3 2 2_TOM TAT" xfId="23185" xr:uid="{00000000-0005-0000-0000-0000983F0000}"/>
    <cellStyle name="Normal 3 3 10 3 2 3" xfId="30596" xr:uid="{00000000-0005-0000-0000-0000993F0000}"/>
    <cellStyle name="Normal 3 3 10 3 2 4" xfId="16094" xr:uid="{00000000-0005-0000-0000-00009A3F0000}"/>
    <cellStyle name="Normal 3 3 10 3 2_TOM TAT" xfId="10701" xr:uid="{00000000-0005-0000-0000-00009B3F0000}"/>
    <cellStyle name="Normal 3 3 10 3 3" xfId="10702" xr:uid="{00000000-0005-0000-0000-00009C3F0000}"/>
    <cellStyle name="Normal 3 3 10 3 3 2" xfId="30598" xr:uid="{00000000-0005-0000-0000-00009D3F0000}"/>
    <cellStyle name="Normal 3 3 10 3 3 3" xfId="16096" xr:uid="{00000000-0005-0000-0000-00009E3F0000}"/>
    <cellStyle name="Normal 3 3 10 3 3_TOM TAT" xfId="23186" xr:uid="{00000000-0005-0000-0000-00009F3F0000}"/>
    <cellStyle name="Normal 3 3 10 3 4" xfId="30595" xr:uid="{00000000-0005-0000-0000-0000A03F0000}"/>
    <cellStyle name="Normal 3 3 10 3 5" xfId="16093" xr:uid="{00000000-0005-0000-0000-0000A13F0000}"/>
    <cellStyle name="Normal 3 3 10 3_TOM TAT" xfId="10703" xr:uid="{00000000-0005-0000-0000-0000A23F0000}"/>
    <cellStyle name="Normal 3 3 10 4" xfId="10704" xr:uid="{00000000-0005-0000-0000-0000A33F0000}"/>
    <cellStyle name="Normal 3 3 10 4 2" xfId="10705" xr:uid="{00000000-0005-0000-0000-0000A43F0000}"/>
    <cellStyle name="Normal 3 3 10 4 2 2" xfId="30600" xr:uid="{00000000-0005-0000-0000-0000A53F0000}"/>
    <cellStyle name="Normal 3 3 10 4 2 3" xfId="16098" xr:uid="{00000000-0005-0000-0000-0000A63F0000}"/>
    <cellStyle name="Normal 3 3 10 4 2_TOM TAT" xfId="23187" xr:uid="{00000000-0005-0000-0000-0000A73F0000}"/>
    <cellStyle name="Normal 3 3 10 4 3" xfId="30599" xr:uid="{00000000-0005-0000-0000-0000A83F0000}"/>
    <cellStyle name="Normal 3 3 10 4 4" xfId="16097" xr:uid="{00000000-0005-0000-0000-0000A93F0000}"/>
    <cellStyle name="Normal 3 3 10 4_TOM TAT" xfId="10706" xr:uid="{00000000-0005-0000-0000-0000AA3F0000}"/>
    <cellStyle name="Normal 3 3 10 5" xfId="10707" xr:uid="{00000000-0005-0000-0000-0000AB3F0000}"/>
    <cellStyle name="Normal 3 3 10 5 2" xfId="30601" xr:uid="{00000000-0005-0000-0000-0000AC3F0000}"/>
    <cellStyle name="Normal 3 3 10 5 3" xfId="16099" xr:uid="{00000000-0005-0000-0000-0000AD3F0000}"/>
    <cellStyle name="Normal 3 3 10 5_TOM TAT" xfId="23188" xr:uid="{00000000-0005-0000-0000-0000AE3F0000}"/>
    <cellStyle name="Normal 3 3 10 6" xfId="30590" xr:uid="{00000000-0005-0000-0000-0000AF3F0000}"/>
    <cellStyle name="Normal 3 3 10 7" xfId="16088" xr:uid="{00000000-0005-0000-0000-0000B03F0000}"/>
    <cellStyle name="Normal 3 3 10_TOM TAT" xfId="10708" xr:uid="{00000000-0005-0000-0000-0000B13F0000}"/>
    <cellStyle name="Normal 3 3 11" xfId="10709" xr:uid="{00000000-0005-0000-0000-0000B23F0000}"/>
    <cellStyle name="Normal 3 3 11 2" xfId="10710" xr:uid="{00000000-0005-0000-0000-0000B33F0000}"/>
    <cellStyle name="Normal 3 3 11 2 2" xfId="10711" xr:uid="{00000000-0005-0000-0000-0000B43F0000}"/>
    <cellStyle name="Normal 3 3 11 2 2 2" xfId="30604" xr:uid="{00000000-0005-0000-0000-0000B53F0000}"/>
    <cellStyle name="Normal 3 3 11 2 2 3" xfId="16102" xr:uid="{00000000-0005-0000-0000-0000B63F0000}"/>
    <cellStyle name="Normal 3 3 11 2 2_TOM TAT" xfId="23189" xr:uid="{00000000-0005-0000-0000-0000B73F0000}"/>
    <cellStyle name="Normal 3 3 11 2 3" xfId="30603" xr:uid="{00000000-0005-0000-0000-0000B83F0000}"/>
    <cellStyle name="Normal 3 3 11 2 4" xfId="16101" xr:uid="{00000000-0005-0000-0000-0000B93F0000}"/>
    <cellStyle name="Normal 3 3 11 2_TOM TAT" xfId="10712" xr:uid="{00000000-0005-0000-0000-0000BA3F0000}"/>
    <cellStyle name="Normal 3 3 11 3" xfId="10713" xr:uid="{00000000-0005-0000-0000-0000BB3F0000}"/>
    <cellStyle name="Normal 3 3 11 3 2" xfId="30605" xr:uid="{00000000-0005-0000-0000-0000BC3F0000}"/>
    <cellStyle name="Normal 3 3 11 3 3" xfId="16103" xr:uid="{00000000-0005-0000-0000-0000BD3F0000}"/>
    <cellStyle name="Normal 3 3 11 3_TOM TAT" xfId="23190" xr:uid="{00000000-0005-0000-0000-0000BE3F0000}"/>
    <cellStyle name="Normal 3 3 11 4" xfId="30602" xr:uid="{00000000-0005-0000-0000-0000BF3F0000}"/>
    <cellStyle name="Normal 3 3 11 5" xfId="16100" xr:uid="{00000000-0005-0000-0000-0000C03F0000}"/>
    <cellStyle name="Normal 3 3 11_TOM TAT" xfId="10714" xr:uid="{00000000-0005-0000-0000-0000C13F0000}"/>
    <cellStyle name="Normal 3 3 12" xfId="10715" xr:uid="{00000000-0005-0000-0000-0000C23F0000}"/>
    <cellStyle name="Normal 3 3 12 2" xfId="10716" xr:uid="{00000000-0005-0000-0000-0000C33F0000}"/>
    <cellStyle name="Normal 3 3 12 2 2" xfId="10717" xr:uid="{00000000-0005-0000-0000-0000C43F0000}"/>
    <cellStyle name="Normal 3 3 12 2 2 2" xfId="30608" xr:uid="{00000000-0005-0000-0000-0000C53F0000}"/>
    <cellStyle name="Normal 3 3 12 2 2 3" xfId="16106" xr:uid="{00000000-0005-0000-0000-0000C63F0000}"/>
    <cellStyle name="Normal 3 3 12 2 2_TOM TAT" xfId="23191" xr:uid="{00000000-0005-0000-0000-0000C73F0000}"/>
    <cellStyle name="Normal 3 3 12 2 3" xfId="30607" xr:uid="{00000000-0005-0000-0000-0000C83F0000}"/>
    <cellStyle name="Normal 3 3 12 2 4" xfId="16105" xr:uid="{00000000-0005-0000-0000-0000C93F0000}"/>
    <cellStyle name="Normal 3 3 12 2_TOM TAT" xfId="10718" xr:uid="{00000000-0005-0000-0000-0000CA3F0000}"/>
    <cellStyle name="Normal 3 3 12 3" xfId="10719" xr:uid="{00000000-0005-0000-0000-0000CB3F0000}"/>
    <cellStyle name="Normal 3 3 12 3 2" xfId="30609" xr:uid="{00000000-0005-0000-0000-0000CC3F0000}"/>
    <cellStyle name="Normal 3 3 12 3 3" xfId="16107" xr:uid="{00000000-0005-0000-0000-0000CD3F0000}"/>
    <cellStyle name="Normal 3 3 12 3_TOM TAT" xfId="23192" xr:uid="{00000000-0005-0000-0000-0000CE3F0000}"/>
    <cellStyle name="Normal 3 3 12 4" xfId="30606" xr:uid="{00000000-0005-0000-0000-0000CF3F0000}"/>
    <cellStyle name="Normal 3 3 12 5" xfId="16104" xr:uid="{00000000-0005-0000-0000-0000D03F0000}"/>
    <cellStyle name="Normal 3 3 12_TOM TAT" xfId="10720" xr:uid="{00000000-0005-0000-0000-0000D13F0000}"/>
    <cellStyle name="Normal 3 3 13" xfId="10721" xr:uid="{00000000-0005-0000-0000-0000D23F0000}"/>
    <cellStyle name="Normal 3 3 13 2" xfId="30610" xr:uid="{00000000-0005-0000-0000-0000D33F0000}"/>
    <cellStyle name="Normal 3 3 13 3" xfId="16108" xr:uid="{00000000-0005-0000-0000-0000D43F0000}"/>
    <cellStyle name="Normal 3 3 13_TOM TAT" xfId="23193" xr:uid="{00000000-0005-0000-0000-0000D53F0000}"/>
    <cellStyle name="Normal 3 3 14" xfId="18584" xr:uid="{00000000-0005-0000-0000-0000D63F0000}"/>
    <cellStyle name="Normal 3 3 14 2" xfId="31752" xr:uid="{00000000-0005-0000-0000-0000D73F0000}"/>
    <cellStyle name="Normal 3 3 14_TOM TAT" xfId="23194" xr:uid="{00000000-0005-0000-0000-0000D83F0000}"/>
    <cellStyle name="Normal 3 3 15" xfId="18912" xr:uid="{00000000-0005-0000-0000-0000D93F0000}"/>
    <cellStyle name="Normal 3 3 15 2" xfId="31837" xr:uid="{00000000-0005-0000-0000-0000DA3F0000}"/>
    <cellStyle name="Normal 3 3 15_TOM TAT" xfId="23195" xr:uid="{00000000-0005-0000-0000-0000DB3F0000}"/>
    <cellStyle name="Normal 3 3 2" xfId="2234" xr:uid="{00000000-0005-0000-0000-0000DC3F0000}"/>
    <cellStyle name="Normal 3 3 2 2" xfId="2235" xr:uid="{00000000-0005-0000-0000-0000DD3F0000}"/>
    <cellStyle name="Normal 3 3 2 2 2" xfId="2236" xr:uid="{00000000-0005-0000-0000-0000DE3F0000}"/>
    <cellStyle name="Normal 3 3 2 2 2 2" xfId="10722" xr:uid="{00000000-0005-0000-0000-0000DF3F0000}"/>
    <cellStyle name="Normal 3 3 2 2 2_TOM TAT" xfId="10723" xr:uid="{00000000-0005-0000-0000-0000E03F0000}"/>
    <cellStyle name="Normal 3 3 2 2 3" xfId="10724" xr:uid="{00000000-0005-0000-0000-0000E13F0000}"/>
    <cellStyle name="Normal 3 3 2 2 3 2" xfId="30611" xr:uid="{00000000-0005-0000-0000-0000E23F0000}"/>
    <cellStyle name="Normal 3 3 2 2 3 3" xfId="16109" xr:uid="{00000000-0005-0000-0000-0000E33F0000}"/>
    <cellStyle name="Normal 3 3 2 2 3_TOM TAT" xfId="23196" xr:uid="{00000000-0005-0000-0000-0000E43F0000}"/>
    <cellStyle name="Normal 3 3 2 2_TOM TAT" xfId="10725" xr:uid="{00000000-0005-0000-0000-0000E53F0000}"/>
    <cellStyle name="Normal 3 3 2 3" xfId="10726" xr:uid="{00000000-0005-0000-0000-0000E63F0000}"/>
    <cellStyle name="Normal 3 3 2 3 2" xfId="30612" xr:uid="{00000000-0005-0000-0000-0000E73F0000}"/>
    <cellStyle name="Normal 3 3 2 3 3" xfId="16110" xr:uid="{00000000-0005-0000-0000-0000E83F0000}"/>
    <cellStyle name="Normal 3 3 2 3_TOM TAT" xfId="23197" xr:uid="{00000000-0005-0000-0000-0000E93F0000}"/>
    <cellStyle name="Normal 3 3 2 4" xfId="18656" xr:uid="{00000000-0005-0000-0000-0000EA3F0000}"/>
    <cellStyle name="Normal 3 3 2 4 2" xfId="31776" xr:uid="{00000000-0005-0000-0000-0000EB3F0000}"/>
    <cellStyle name="Normal 3 3 2 4_TOM TAT" xfId="23198" xr:uid="{00000000-0005-0000-0000-0000EC3F0000}"/>
    <cellStyle name="Normal 3 3 2 5" xfId="18941" xr:uid="{00000000-0005-0000-0000-0000ED3F0000}"/>
    <cellStyle name="Normal 3 3 2 5 2" xfId="31858" xr:uid="{00000000-0005-0000-0000-0000EE3F0000}"/>
    <cellStyle name="Normal 3 3 2 5_TOM TAT" xfId="23199" xr:uid="{00000000-0005-0000-0000-0000EF3F0000}"/>
    <cellStyle name="Normal 3 3 2_TOM TAT" xfId="10727" xr:uid="{00000000-0005-0000-0000-0000F03F0000}"/>
    <cellStyle name="Normal 3 3 3" xfId="2237" xr:uid="{00000000-0005-0000-0000-0000F13F0000}"/>
    <cellStyle name="Normal 3 3 3 2" xfId="2238" xr:uid="{00000000-0005-0000-0000-0000F23F0000}"/>
    <cellStyle name="Normal 3 3 3 2 2" xfId="10728" xr:uid="{00000000-0005-0000-0000-0000F33F0000}"/>
    <cellStyle name="Normal 3 3 3 2_TOM TAT" xfId="10729" xr:uid="{00000000-0005-0000-0000-0000F43F0000}"/>
    <cellStyle name="Normal 3 3 3 3" xfId="10730" xr:uid="{00000000-0005-0000-0000-0000F53F0000}"/>
    <cellStyle name="Normal 3 3 3 3 2" xfId="30613" xr:uid="{00000000-0005-0000-0000-0000F63F0000}"/>
    <cellStyle name="Normal 3 3 3 3 3" xfId="16111" xr:uid="{00000000-0005-0000-0000-0000F73F0000}"/>
    <cellStyle name="Normal 3 3 3 3_TOM TAT" xfId="23200" xr:uid="{00000000-0005-0000-0000-0000F83F0000}"/>
    <cellStyle name="Normal 3 3 3_TOM TAT" xfId="10731" xr:uid="{00000000-0005-0000-0000-0000F93F0000}"/>
    <cellStyle name="Normal 3 3 4" xfId="2239" xr:uid="{00000000-0005-0000-0000-0000FA3F0000}"/>
    <cellStyle name="Normal 3 3 4 2" xfId="2240" xr:uid="{00000000-0005-0000-0000-0000FB3F0000}"/>
    <cellStyle name="Normal 3 3 4 2 2" xfId="10732" xr:uid="{00000000-0005-0000-0000-0000FC3F0000}"/>
    <cellStyle name="Normal 3 3 4 2_TOM TAT" xfId="10733" xr:uid="{00000000-0005-0000-0000-0000FD3F0000}"/>
    <cellStyle name="Normal 3 3 4 3" xfId="10734" xr:uid="{00000000-0005-0000-0000-0000FE3F0000}"/>
    <cellStyle name="Normal 3 3 4_TOM TAT" xfId="10735" xr:uid="{00000000-0005-0000-0000-0000FF3F0000}"/>
    <cellStyle name="Normal 3 3 5" xfId="2241" xr:uid="{00000000-0005-0000-0000-000000400000}"/>
    <cellStyle name="Normal 3 3 5 2" xfId="2242" xr:uid="{00000000-0005-0000-0000-000001400000}"/>
    <cellStyle name="Normal 3 3 5 2 2" xfId="10736" xr:uid="{00000000-0005-0000-0000-000002400000}"/>
    <cellStyle name="Normal 3 3 5 2_TOM TAT" xfId="10737" xr:uid="{00000000-0005-0000-0000-000003400000}"/>
    <cellStyle name="Normal 3 3 5 3" xfId="10738" xr:uid="{00000000-0005-0000-0000-000004400000}"/>
    <cellStyle name="Normal 3 3 5_TOM TAT" xfId="10739" xr:uid="{00000000-0005-0000-0000-000005400000}"/>
    <cellStyle name="Normal 3 3 6" xfId="2243" xr:uid="{00000000-0005-0000-0000-000006400000}"/>
    <cellStyle name="Normal 3 3 6 2" xfId="10740" xr:uid="{00000000-0005-0000-0000-000007400000}"/>
    <cellStyle name="Normal 3 3 6_TOM TAT" xfId="10741" xr:uid="{00000000-0005-0000-0000-000008400000}"/>
    <cellStyle name="Normal 3 3 7" xfId="5564" xr:uid="{00000000-0005-0000-0000-000009400000}"/>
    <cellStyle name="Normal 3 3 7 10" xfId="14696" xr:uid="{00000000-0005-0000-0000-00000A400000}"/>
    <cellStyle name="Normal 3 3 7 2" xfId="5565" xr:uid="{00000000-0005-0000-0000-00000B400000}"/>
    <cellStyle name="Normal 3 3 7 2 2" xfId="10742" xr:uid="{00000000-0005-0000-0000-00000C400000}"/>
    <cellStyle name="Normal 3 3 7 2 2 2" xfId="10743" xr:uid="{00000000-0005-0000-0000-00000D400000}"/>
    <cellStyle name="Normal 3 3 7 2 2 2 2" xfId="10744" xr:uid="{00000000-0005-0000-0000-00000E400000}"/>
    <cellStyle name="Normal 3 3 7 2 2 2 2 2" xfId="10745" xr:uid="{00000000-0005-0000-0000-00000F400000}"/>
    <cellStyle name="Normal 3 3 7 2 2 2 2 2 2" xfId="30617" xr:uid="{00000000-0005-0000-0000-000010400000}"/>
    <cellStyle name="Normal 3 3 7 2 2 2 2 2 3" xfId="16115" xr:uid="{00000000-0005-0000-0000-000011400000}"/>
    <cellStyle name="Normal 3 3 7 2 2 2 2 2_TOM TAT" xfId="23201" xr:uid="{00000000-0005-0000-0000-000012400000}"/>
    <cellStyle name="Normal 3 3 7 2 2 2 2 3" xfId="30616" xr:uid="{00000000-0005-0000-0000-000013400000}"/>
    <cellStyle name="Normal 3 3 7 2 2 2 2 4" xfId="16114" xr:uid="{00000000-0005-0000-0000-000014400000}"/>
    <cellStyle name="Normal 3 3 7 2 2 2 2_TOM TAT" xfId="10746" xr:uid="{00000000-0005-0000-0000-000015400000}"/>
    <cellStyle name="Normal 3 3 7 2 2 2 3" xfId="10747" xr:uid="{00000000-0005-0000-0000-000016400000}"/>
    <cellStyle name="Normal 3 3 7 2 2 2 3 2" xfId="30618" xr:uid="{00000000-0005-0000-0000-000017400000}"/>
    <cellStyle name="Normal 3 3 7 2 2 2 3 3" xfId="16116" xr:uid="{00000000-0005-0000-0000-000018400000}"/>
    <cellStyle name="Normal 3 3 7 2 2 2 3_TOM TAT" xfId="23202" xr:uid="{00000000-0005-0000-0000-000019400000}"/>
    <cellStyle name="Normal 3 3 7 2 2 2 4" xfId="30615" xr:uid="{00000000-0005-0000-0000-00001A400000}"/>
    <cellStyle name="Normal 3 3 7 2 2 2 5" xfId="16113" xr:uid="{00000000-0005-0000-0000-00001B400000}"/>
    <cellStyle name="Normal 3 3 7 2 2 2_TOM TAT" xfId="10748" xr:uid="{00000000-0005-0000-0000-00001C400000}"/>
    <cellStyle name="Normal 3 3 7 2 2 3" xfId="10749" xr:uid="{00000000-0005-0000-0000-00001D400000}"/>
    <cellStyle name="Normal 3 3 7 2 2 3 2" xfId="10750" xr:uid="{00000000-0005-0000-0000-00001E400000}"/>
    <cellStyle name="Normal 3 3 7 2 2 3 2 2" xfId="10751" xr:uid="{00000000-0005-0000-0000-00001F400000}"/>
    <cellStyle name="Normal 3 3 7 2 2 3 2 2 2" xfId="30621" xr:uid="{00000000-0005-0000-0000-000020400000}"/>
    <cellStyle name="Normal 3 3 7 2 2 3 2 2 3" xfId="16119" xr:uid="{00000000-0005-0000-0000-000021400000}"/>
    <cellStyle name="Normal 3 3 7 2 2 3 2 2_TOM TAT" xfId="23203" xr:uid="{00000000-0005-0000-0000-000022400000}"/>
    <cellStyle name="Normal 3 3 7 2 2 3 2 3" xfId="30620" xr:uid="{00000000-0005-0000-0000-000023400000}"/>
    <cellStyle name="Normal 3 3 7 2 2 3 2 4" xfId="16118" xr:uid="{00000000-0005-0000-0000-000024400000}"/>
    <cellStyle name="Normal 3 3 7 2 2 3 2_TOM TAT" xfId="10752" xr:uid="{00000000-0005-0000-0000-000025400000}"/>
    <cellStyle name="Normal 3 3 7 2 2 3 3" xfId="10753" xr:uid="{00000000-0005-0000-0000-000026400000}"/>
    <cellStyle name="Normal 3 3 7 2 2 3 3 2" xfId="30622" xr:uid="{00000000-0005-0000-0000-000027400000}"/>
    <cellStyle name="Normal 3 3 7 2 2 3 3 3" xfId="16120" xr:uid="{00000000-0005-0000-0000-000028400000}"/>
    <cellStyle name="Normal 3 3 7 2 2 3 3_TOM TAT" xfId="23204" xr:uid="{00000000-0005-0000-0000-000029400000}"/>
    <cellStyle name="Normal 3 3 7 2 2 3 4" xfId="30619" xr:uid="{00000000-0005-0000-0000-00002A400000}"/>
    <cellStyle name="Normal 3 3 7 2 2 3 5" xfId="16117" xr:uid="{00000000-0005-0000-0000-00002B400000}"/>
    <cellStyle name="Normal 3 3 7 2 2 3_TOM TAT" xfId="10754" xr:uid="{00000000-0005-0000-0000-00002C400000}"/>
    <cellStyle name="Normal 3 3 7 2 2 4" xfId="10755" xr:uid="{00000000-0005-0000-0000-00002D400000}"/>
    <cellStyle name="Normal 3 3 7 2 2 4 2" xfId="10756" xr:uid="{00000000-0005-0000-0000-00002E400000}"/>
    <cellStyle name="Normal 3 3 7 2 2 4 2 2" xfId="30624" xr:uid="{00000000-0005-0000-0000-00002F400000}"/>
    <cellStyle name="Normal 3 3 7 2 2 4 2 3" xfId="16122" xr:uid="{00000000-0005-0000-0000-000030400000}"/>
    <cellStyle name="Normal 3 3 7 2 2 4 2_TOM TAT" xfId="23205" xr:uid="{00000000-0005-0000-0000-000031400000}"/>
    <cellStyle name="Normal 3 3 7 2 2 4 3" xfId="30623" xr:uid="{00000000-0005-0000-0000-000032400000}"/>
    <cellStyle name="Normal 3 3 7 2 2 4 4" xfId="16121" xr:uid="{00000000-0005-0000-0000-000033400000}"/>
    <cellStyle name="Normal 3 3 7 2 2 4_TOM TAT" xfId="10757" xr:uid="{00000000-0005-0000-0000-000034400000}"/>
    <cellStyle name="Normal 3 3 7 2 2 5" xfId="10758" xr:uid="{00000000-0005-0000-0000-000035400000}"/>
    <cellStyle name="Normal 3 3 7 2 2 5 2" xfId="30625" xr:uid="{00000000-0005-0000-0000-000036400000}"/>
    <cellStyle name="Normal 3 3 7 2 2 5 3" xfId="16123" xr:uid="{00000000-0005-0000-0000-000037400000}"/>
    <cellStyle name="Normal 3 3 7 2 2 5_TOM TAT" xfId="23206" xr:uid="{00000000-0005-0000-0000-000038400000}"/>
    <cellStyle name="Normal 3 3 7 2 2 6" xfId="30614" xr:uid="{00000000-0005-0000-0000-000039400000}"/>
    <cellStyle name="Normal 3 3 7 2 2 7" xfId="16112" xr:uid="{00000000-0005-0000-0000-00003A400000}"/>
    <cellStyle name="Normal 3 3 7 2 2_TOM TAT" xfId="10759" xr:uid="{00000000-0005-0000-0000-00003B400000}"/>
    <cellStyle name="Normal 3 3 7 2 3" xfId="10760" xr:uid="{00000000-0005-0000-0000-00003C400000}"/>
    <cellStyle name="Normal 3 3 7 2 3 2" xfId="10761" xr:uid="{00000000-0005-0000-0000-00003D400000}"/>
    <cellStyle name="Normal 3 3 7 2 3 2 2" xfId="10762" xr:uid="{00000000-0005-0000-0000-00003E400000}"/>
    <cellStyle name="Normal 3 3 7 2 3 2 2 2" xfId="30628" xr:uid="{00000000-0005-0000-0000-00003F400000}"/>
    <cellStyle name="Normal 3 3 7 2 3 2 2 3" xfId="16126" xr:uid="{00000000-0005-0000-0000-000040400000}"/>
    <cellStyle name="Normal 3 3 7 2 3 2 2_TOM TAT" xfId="23207" xr:uid="{00000000-0005-0000-0000-000041400000}"/>
    <cellStyle name="Normal 3 3 7 2 3 2 3" xfId="30627" xr:uid="{00000000-0005-0000-0000-000042400000}"/>
    <cellStyle name="Normal 3 3 7 2 3 2 4" xfId="16125" xr:uid="{00000000-0005-0000-0000-000043400000}"/>
    <cellStyle name="Normal 3 3 7 2 3 2_TOM TAT" xfId="10763" xr:uid="{00000000-0005-0000-0000-000044400000}"/>
    <cellStyle name="Normal 3 3 7 2 3 3" xfId="10764" xr:uid="{00000000-0005-0000-0000-000045400000}"/>
    <cellStyle name="Normal 3 3 7 2 3 3 2" xfId="30629" xr:uid="{00000000-0005-0000-0000-000046400000}"/>
    <cellStyle name="Normal 3 3 7 2 3 3 3" xfId="16127" xr:uid="{00000000-0005-0000-0000-000047400000}"/>
    <cellStyle name="Normal 3 3 7 2 3 3_TOM TAT" xfId="23208" xr:uid="{00000000-0005-0000-0000-000048400000}"/>
    <cellStyle name="Normal 3 3 7 2 3 4" xfId="30626" xr:uid="{00000000-0005-0000-0000-000049400000}"/>
    <cellStyle name="Normal 3 3 7 2 3 5" xfId="16124" xr:uid="{00000000-0005-0000-0000-00004A400000}"/>
    <cellStyle name="Normal 3 3 7 2 3_TOM TAT" xfId="10765" xr:uid="{00000000-0005-0000-0000-00004B400000}"/>
    <cellStyle name="Normal 3 3 7 2 4" xfId="10766" xr:uid="{00000000-0005-0000-0000-00004C400000}"/>
    <cellStyle name="Normal 3 3 7 2 4 2" xfId="10767" xr:uid="{00000000-0005-0000-0000-00004D400000}"/>
    <cellStyle name="Normal 3 3 7 2 4 2 2" xfId="10768" xr:uid="{00000000-0005-0000-0000-00004E400000}"/>
    <cellStyle name="Normal 3 3 7 2 4 2 2 2" xfId="30632" xr:uid="{00000000-0005-0000-0000-00004F400000}"/>
    <cellStyle name="Normal 3 3 7 2 4 2 2 3" xfId="16130" xr:uid="{00000000-0005-0000-0000-000050400000}"/>
    <cellStyle name="Normal 3 3 7 2 4 2 2_TOM TAT" xfId="23209" xr:uid="{00000000-0005-0000-0000-000051400000}"/>
    <cellStyle name="Normal 3 3 7 2 4 2 3" xfId="30631" xr:uid="{00000000-0005-0000-0000-000052400000}"/>
    <cellStyle name="Normal 3 3 7 2 4 2 4" xfId="16129" xr:uid="{00000000-0005-0000-0000-000053400000}"/>
    <cellStyle name="Normal 3 3 7 2 4 2_TOM TAT" xfId="10769" xr:uid="{00000000-0005-0000-0000-000054400000}"/>
    <cellStyle name="Normal 3 3 7 2 4 3" xfId="10770" xr:uid="{00000000-0005-0000-0000-000055400000}"/>
    <cellStyle name="Normal 3 3 7 2 4 3 2" xfId="30633" xr:uid="{00000000-0005-0000-0000-000056400000}"/>
    <cellStyle name="Normal 3 3 7 2 4 3 3" xfId="16131" xr:uid="{00000000-0005-0000-0000-000057400000}"/>
    <cellStyle name="Normal 3 3 7 2 4 3_TOM TAT" xfId="23210" xr:uid="{00000000-0005-0000-0000-000058400000}"/>
    <cellStyle name="Normal 3 3 7 2 4 4" xfId="30630" xr:uid="{00000000-0005-0000-0000-000059400000}"/>
    <cellStyle name="Normal 3 3 7 2 4 5" xfId="16128" xr:uid="{00000000-0005-0000-0000-00005A400000}"/>
    <cellStyle name="Normal 3 3 7 2 4_TOM TAT" xfId="10771" xr:uid="{00000000-0005-0000-0000-00005B400000}"/>
    <cellStyle name="Normal 3 3 7 2 5" xfId="10772" xr:uid="{00000000-0005-0000-0000-00005C400000}"/>
    <cellStyle name="Normal 3 3 7 2 5 2" xfId="10773" xr:uid="{00000000-0005-0000-0000-00005D400000}"/>
    <cellStyle name="Normal 3 3 7 2 5 2 2" xfId="30635" xr:uid="{00000000-0005-0000-0000-00005E400000}"/>
    <cellStyle name="Normal 3 3 7 2 5 2 3" xfId="16133" xr:uid="{00000000-0005-0000-0000-00005F400000}"/>
    <cellStyle name="Normal 3 3 7 2 5 2_TOM TAT" xfId="23211" xr:uid="{00000000-0005-0000-0000-000060400000}"/>
    <cellStyle name="Normal 3 3 7 2 5 3" xfId="30634" xr:uid="{00000000-0005-0000-0000-000061400000}"/>
    <cellStyle name="Normal 3 3 7 2 5 4" xfId="16132" xr:uid="{00000000-0005-0000-0000-000062400000}"/>
    <cellStyle name="Normal 3 3 7 2 5_TOM TAT" xfId="10774" xr:uid="{00000000-0005-0000-0000-000063400000}"/>
    <cellStyle name="Normal 3 3 7 2 6" xfId="10775" xr:uid="{00000000-0005-0000-0000-000064400000}"/>
    <cellStyle name="Normal 3 3 7 2 6 2" xfId="30636" xr:uid="{00000000-0005-0000-0000-000065400000}"/>
    <cellStyle name="Normal 3 3 7 2 6 3" xfId="16134" xr:uid="{00000000-0005-0000-0000-000066400000}"/>
    <cellStyle name="Normal 3 3 7 2 6_TOM TAT" xfId="23212" xr:uid="{00000000-0005-0000-0000-000067400000}"/>
    <cellStyle name="Normal 3 3 7 2 7" xfId="28258" xr:uid="{00000000-0005-0000-0000-000068400000}"/>
    <cellStyle name="Normal 3 3 7 2 8" xfId="14697" xr:uid="{00000000-0005-0000-0000-000069400000}"/>
    <cellStyle name="Normal 3 3 7 2_TOM TAT" xfId="10776" xr:uid="{00000000-0005-0000-0000-00006A400000}"/>
    <cellStyle name="Normal 3 3 7 3" xfId="10777" xr:uid="{00000000-0005-0000-0000-00006B400000}"/>
    <cellStyle name="Normal 3 3 7 3 2" xfId="10778" xr:uid="{00000000-0005-0000-0000-00006C400000}"/>
    <cellStyle name="Normal 3 3 7 3 2 2" xfId="10779" xr:uid="{00000000-0005-0000-0000-00006D400000}"/>
    <cellStyle name="Normal 3 3 7 3 2 2 2" xfId="10780" xr:uid="{00000000-0005-0000-0000-00006E400000}"/>
    <cellStyle name="Normal 3 3 7 3 2 2 2 2" xfId="30640" xr:uid="{00000000-0005-0000-0000-00006F400000}"/>
    <cellStyle name="Normal 3 3 7 3 2 2 2 3" xfId="16138" xr:uid="{00000000-0005-0000-0000-000070400000}"/>
    <cellStyle name="Normal 3 3 7 3 2 2 2_TOM TAT" xfId="23213" xr:uid="{00000000-0005-0000-0000-000071400000}"/>
    <cellStyle name="Normal 3 3 7 3 2 2 3" xfId="30639" xr:uid="{00000000-0005-0000-0000-000072400000}"/>
    <cellStyle name="Normal 3 3 7 3 2 2 4" xfId="16137" xr:uid="{00000000-0005-0000-0000-000073400000}"/>
    <cellStyle name="Normal 3 3 7 3 2 2_TOM TAT" xfId="10781" xr:uid="{00000000-0005-0000-0000-000074400000}"/>
    <cellStyle name="Normal 3 3 7 3 2 3" xfId="10782" xr:uid="{00000000-0005-0000-0000-000075400000}"/>
    <cellStyle name="Normal 3 3 7 3 2 3 2" xfId="30641" xr:uid="{00000000-0005-0000-0000-000076400000}"/>
    <cellStyle name="Normal 3 3 7 3 2 3 3" xfId="16139" xr:uid="{00000000-0005-0000-0000-000077400000}"/>
    <cellStyle name="Normal 3 3 7 3 2 3_TOM TAT" xfId="23214" xr:uid="{00000000-0005-0000-0000-000078400000}"/>
    <cellStyle name="Normal 3 3 7 3 2 4" xfId="30638" xr:uid="{00000000-0005-0000-0000-000079400000}"/>
    <cellStyle name="Normal 3 3 7 3 2 5" xfId="16136" xr:uid="{00000000-0005-0000-0000-00007A400000}"/>
    <cellStyle name="Normal 3 3 7 3 2_TOM TAT" xfId="10783" xr:uid="{00000000-0005-0000-0000-00007B400000}"/>
    <cellStyle name="Normal 3 3 7 3 3" xfId="10784" xr:uid="{00000000-0005-0000-0000-00007C400000}"/>
    <cellStyle name="Normal 3 3 7 3 3 2" xfId="10785" xr:uid="{00000000-0005-0000-0000-00007D400000}"/>
    <cellStyle name="Normal 3 3 7 3 3 2 2" xfId="10786" xr:uid="{00000000-0005-0000-0000-00007E400000}"/>
    <cellStyle name="Normal 3 3 7 3 3 2 2 2" xfId="30644" xr:uid="{00000000-0005-0000-0000-00007F400000}"/>
    <cellStyle name="Normal 3 3 7 3 3 2 2 3" xfId="16142" xr:uid="{00000000-0005-0000-0000-000080400000}"/>
    <cellStyle name="Normal 3 3 7 3 3 2 2_TOM TAT" xfId="23215" xr:uid="{00000000-0005-0000-0000-000081400000}"/>
    <cellStyle name="Normal 3 3 7 3 3 2 3" xfId="30643" xr:uid="{00000000-0005-0000-0000-000082400000}"/>
    <cellStyle name="Normal 3 3 7 3 3 2 4" xfId="16141" xr:uid="{00000000-0005-0000-0000-000083400000}"/>
    <cellStyle name="Normal 3 3 7 3 3 2_TOM TAT" xfId="10787" xr:uid="{00000000-0005-0000-0000-000084400000}"/>
    <cellStyle name="Normal 3 3 7 3 3 3" xfId="10788" xr:uid="{00000000-0005-0000-0000-000085400000}"/>
    <cellStyle name="Normal 3 3 7 3 3 3 2" xfId="30645" xr:uid="{00000000-0005-0000-0000-000086400000}"/>
    <cellStyle name="Normal 3 3 7 3 3 3 3" xfId="16143" xr:uid="{00000000-0005-0000-0000-000087400000}"/>
    <cellStyle name="Normal 3 3 7 3 3 3_TOM TAT" xfId="23216" xr:uid="{00000000-0005-0000-0000-000088400000}"/>
    <cellStyle name="Normal 3 3 7 3 3 4" xfId="30642" xr:uid="{00000000-0005-0000-0000-000089400000}"/>
    <cellStyle name="Normal 3 3 7 3 3 5" xfId="16140" xr:uid="{00000000-0005-0000-0000-00008A400000}"/>
    <cellStyle name="Normal 3 3 7 3 3_TOM TAT" xfId="10789" xr:uid="{00000000-0005-0000-0000-00008B400000}"/>
    <cellStyle name="Normal 3 3 7 3 4" xfId="10790" xr:uid="{00000000-0005-0000-0000-00008C400000}"/>
    <cellStyle name="Normal 3 3 7 3 4 2" xfId="10791" xr:uid="{00000000-0005-0000-0000-00008D400000}"/>
    <cellStyle name="Normal 3 3 7 3 4 2 2" xfId="30647" xr:uid="{00000000-0005-0000-0000-00008E400000}"/>
    <cellStyle name="Normal 3 3 7 3 4 2 3" xfId="16145" xr:uid="{00000000-0005-0000-0000-00008F400000}"/>
    <cellStyle name="Normal 3 3 7 3 4 2_TOM TAT" xfId="23217" xr:uid="{00000000-0005-0000-0000-000090400000}"/>
    <cellStyle name="Normal 3 3 7 3 4 3" xfId="30646" xr:uid="{00000000-0005-0000-0000-000091400000}"/>
    <cellStyle name="Normal 3 3 7 3 4 4" xfId="16144" xr:uid="{00000000-0005-0000-0000-000092400000}"/>
    <cellStyle name="Normal 3 3 7 3 4_TOM TAT" xfId="10792" xr:uid="{00000000-0005-0000-0000-000093400000}"/>
    <cellStyle name="Normal 3 3 7 3 5" xfId="10793" xr:uid="{00000000-0005-0000-0000-000094400000}"/>
    <cellStyle name="Normal 3 3 7 3 5 2" xfId="30648" xr:uid="{00000000-0005-0000-0000-000095400000}"/>
    <cellStyle name="Normal 3 3 7 3 5 3" xfId="16146" xr:uid="{00000000-0005-0000-0000-000096400000}"/>
    <cellStyle name="Normal 3 3 7 3 5_TOM TAT" xfId="23218" xr:uid="{00000000-0005-0000-0000-000097400000}"/>
    <cellStyle name="Normal 3 3 7 3 6" xfId="30637" xr:uid="{00000000-0005-0000-0000-000098400000}"/>
    <cellStyle name="Normal 3 3 7 3 7" xfId="16135" xr:uid="{00000000-0005-0000-0000-000099400000}"/>
    <cellStyle name="Normal 3 3 7 3_TOM TAT" xfId="10794" xr:uid="{00000000-0005-0000-0000-00009A400000}"/>
    <cellStyle name="Normal 3 3 7 4" xfId="10795" xr:uid="{00000000-0005-0000-0000-00009B400000}"/>
    <cellStyle name="Normal 3 3 7 4 2" xfId="10796" xr:uid="{00000000-0005-0000-0000-00009C400000}"/>
    <cellStyle name="Normal 3 3 7 4 2 2" xfId="10797" xr:uid="{00000000-0005-0000-0000-00009D400000}"/>
    <cellStyle name="Normal 3 3 7 4 2 2 2" xfId="10798" xr:uid="{00000000-0005-0000-0000-00009E400000}"/>
    <cellStyle name="Normal 3 3 7 4 2 2 2 2" xfId="30652" xr:uid="{00000000-0005-0000-0000-00009F400000}"/>
    <cellStyle name="Normal 3 3 7 4 2 2 2 3" xfId="16150" xr:uid="{00000000-0005-0000-0000-0000A0400000}"/>
    <cellStyle name="Normal 3 3 7 4 2 2 2_TOM TAT" xfId="23219" xr:uid="{00000000-0005-0000-0000-0000A1400000}"/>
    <cellStyle name="Normal 3 3 7 4 2 2 3" xfId="30651" xr:uid="{00000000-0005-0000-0000-0000A2400000}"/>
    <cellStyle name="Normal 3 3 7 4 2 2 4" xfId="16149" xr:uid="{00000000-0005-0000-0000-0000A3400000}"/>
    <cellStyle name="Normal 3 3 7 4 2 2_TOM TAT" xfId="10799" xr:uid="{00000000-0005-0000-0000-0000A4400000}"/>
    <cellStyle name="Normal 3 3 7 4 2 3" xfId="10800" xr:uid="{00000000-0005-0000-0000-0000A5400000}"/>
    <cellStyle name="Normal 3 3 7 4 2 3 2" xfId="30653" xr:uid="{00000000-0005-0000-0000-0000A6400000}"/>
    <cellStyle name="Normal 3 3 7 4 2 3 3" xfId="16151" xr:uid="{00000000-0005-0000-0000-0000A7400000}"/>
    <cellStyle name="Normal 3 3 7 4 2 3_TOM TAT" xfId="23220" xr:uid="{00000000-0005-0000-0000-0000A8400000}"/>
    <cellStyle name="Normal 3 3 7 4 2 4" xfId="30650" xr:uid="{00000000-0005-0000-0000-0000A9400000}"/>
    <cellStyle name="Normal 3 3 7 4 2 5" xfId="16148" xr:uid="{00000000-0005-0000-0000-0000AA400000}"/>
    <cellStyle name="Normal 3 3 7 4 2_TOM TAT" xfId="10801" xr:uid="{00000000-0005-0000-0000-0000AB400000}"/>
    <cellStyle name="Normal 3 3 7 4 3" xfId="10802" xr:uid="{00000000-0005-0000-0000-0000AC400000}"/>
    <cellStyle name="Normal 3 3 7 4 3 2" xfId="10803" xr:uid="{00000000-0005-0000-0000-0000AD400000}"/>
    <cellStyle name="Normal 3 3 7 4 3 2 2" xfId="10804" xr:uid="{00000000-0005-0000-0000-0000AE400000}"/>
    <cellStyle name="Normal 3 3 7 4 3 2 2 2" xfId="30656" xr:uid="{00000000-0005-0000-0000-0000AF400000}"/>
    <cellStyle name="Normal 3 3 7 4 3 2 2 3" xfId="16154" xr:uid="{00000000-0005-0000-0000-0000B0400000}"/>
    <cellStyle name="Normal 3 3 7 4 3 2 2_TOM TAT" xfId="23221" xr:uid="{00000000-0005-0000-0000-0000B1400000}"/>
    <cellStyle name="Normal 3 3 7 4 3 2 3" xfId="30655" xr:uid="{00000000-0005-0000-0000-0000B2400000}"/>
    <cellStyle name="Normal 3 3 7 4 3 2 4" xfId="16153" xr:uid="{00000000-0005-0000-0000-0000B3400000}"/>
    <cellStyle name="Normal 3 3 7 4 3 2_TOM TAT" xfId="10805" xr:uid="{00000000-0005-0000-0000-0000B4400000}"/>
    <cellStyle name="Normal 3 3 7 4 3 3" xfId="10806" xr:uid="{00000000-0005-0000-0000-0000B5400000}"/>
    <cellStyle name="Normal 3 3 7 4 3 3 2" xfId="30657" xr:uid="{00000000-0005-0000-0000-0000B6400000}"/>
    <cellStyle name="Normal 3 3 7 4 3 3 3" xfId="16155" xr:uid="{00000000-0005-0000-0000-0000B7400000}"/>
    <cellStyle name="Normal 3 3 7 4 3 3_TOM TAT" xfId="23222" xr:uid="{00000000-0005-0000-0000-0000B8400000}"/>
    <cellStyle name="Normal 3 3 7 4 3 4" xfId="30654" xr:uid="{00000000-0005-0000-0000-0000B9400000}"/>
    <cellStyle name="Normal 3 3 7 4 3 5" xfId="16152" xr:uid="{00000000-0005-0000-0000-0000BA400000}"/>
    <cellStyle name="Normal 3 3 7 4 3_TOM TAT" xfId="10807" xr:uid="{00000000-0005-0000-0000-0000BB400000}"/>
    <cellStyle name="Normal 3 3 7 4 4" xfId="10808" xr:uid="{00000000-0005-0000-0000-0000BC400000}"/>
    <cellStyle name="Normal 3 3 7 4 4 2" xfId="10809" xr:uid="{00000000-0005-0000-0000-0000BD400000}"/>
    <cellStyle name="Normal 3 3 7 4 4 2 2" xfId="30659" xr:uid="{00000000-0005-0000-0000-0000BE400000}"/>
    <cellStyle name="Normal 3 3 7 4 4 2 3" xfId="16157" xr:uid="{00000000-0005-0000-0000-0000BF400000}"/>
    <cellStyle name="Normal 3 3 7 4 4 2_TOM TAT" xfId="23223" xr:uid="{00000000-0005-0000-0000-0000C0400000}"/>
    <cellStyle name="Normal 3 3 7 4 4 3" xfId="30658" xr:uid="{00000000-0005-0000-0000-0000C1400000}"/>
    <cellStyle name="Normal 3 3 7 4 4 4" xfId="16156" xr:uid="{00000000-0005-0000-0000-0000C2400000}"/>
    <cellStyle name="Normal 3 3 7 4 4_TOM TAT" xfId="10810" xr:uid="{00000000-0005-0000-0000-0000C3400000}"/>
    <cellStyle name="Normal 3 3 7 4 5" xfId="10811" xr:uid="{00000000-0005-0000-0000-0000C4400000}"/>
    <cellStyle name="Normal 3 3 7 4 5 2" xfId="30660" xr:uid="{00000000-0005-0000-0000-0000C5400000}"/>
    <cellStyle name="Normal 3 3 7 4 5 3" xfId="16158" xr:uid="{00000000-0005-0000-0000-0000C6400000}"/>
    <cellStyle name="Normal 3 3 7 4 5_TOM TAT" xfId="23224" xr:uid="{00000000-0005-0000-0000-0000C7400000}"/>
    <cellStyle name="Normal 3 3 7 4 6" xfId="30649" xr:uid="{00000000-0005-0000-0000-0000C8400000}"/>
    <cellStyle name="Normal 3 3 7 4 7" xfId="16147" xr:uid="{00000000-0005-0000-0000-0000C9400000}"/>
    <cellStyle name="Normal 3 3 7 4_TOM TAT" xfId="10812" xr:uid="{00000000-0005-0000-0000-0000CA400000}"/>
    <cellStyle name="Normal 3 3 7 5" xfId="10813" xr:uid="{00000000-0005-0000-0000-0000CB400000}"/>
    <cellStyle name="Normal 3 3 7 5 2" xfId="10814" xr:uid="{00000000-0005-0000-0000-0000CC400000}"/>
    <cellStyle name="Normal 3 3 7 5 2 2" xfId="10815" xr:uid="{00000000-0005-0000-0000-0000CD400000}"/>
    <cellStyle name="Normal 3 3 7 5 2 2 2" xfId="30663" xr:uid="{00000000-0005-0000-0000-0000CE400000}"/>
    <cellStyle name="Normal 3 3 7 5 2 2 3" xfId="16161" xr:uid="{00000000-0005-0000-0000-0000CF400000}"/>
    <cellStyle name="Normal 3 3 7 5 2 2_TOM TAT" xfId="23225" xr:uid="{00000000-0005-0000-0000-0000D0400000}"/>
    <cellStyle name="Normal 3 3 7 5 2 3" xfId="30662" xr:uid="{00000000-0005-0000-0000-0000D1400000}"/>
    <cellStyle name="Normal 3 3 7 5 2 4" xfId="16160" xr:uid="{00000000-0005-0000-0000-0000D2400000}"/>
    <cellStyle name="Normal 3 3 7 5 2_TOM TAT" xfId="10816" xr:uid="{00000000-0005-0000-0000-0000D3400000}"/>
    <cellStyle name="Normal 3 3 7 5 3" xfId="10817" xr:uid="{00000000-0005-0000-0000-0000D4400000}"/>
    <cellStyle name="Normal 3 3 7 5 3 2" xfId="30664" xr:uid="{00000000-0005-0000-0000-0000D5400000}"/>
    <cellStyle name="Normal 3 3 7 5 3 3" xfId="16162" xr:uid="{00000000-0005-0000-0000-0000D6400000}"/>
    <cellStyle name="Normal 3 3 7 5 3_TOM TAT" xfId="23226" xr:uid="{00000000-0005-0000-0000-0000D7400000}"/>
    <cellStyle name="Normal 3 3 7 5 4" xfId="30661" xr:uid="{00000000-0005-0000-0000-0000D8400000}"/>
    <cellStyle name="Normal 3 3 7 5 5" xfId="16159" xr:uid="{00000000-0005-0000-0000-0000D9400000}"/>
    <cellStyle name="Normal 3 3 7 5_TOM TAT" xfId="10818" xr:uid="{00000000-0005-0000-0000-0000DA400000}"/>
    <cellStyle name="Normal 3 3 7 6" xfId="10819" xr:uid="{00000000-0005-0000-0000-0000DB400000}"/>
    <cellStyle name="Normal 3 3 7 6 2" xfId="10820" xr:uid="{00000000-0005-0000-0000-0000DC400000}"/>
    <cellStyle name="Normal 3 3 7 6 2 2" xfId="10821" xr:uid="{00000000-0005-0000-0000-0000DD400000}"/>
    <cellStyle name="Normal 3 3 7 6 2 2 2" xfId="30667" xr:uid="{00000000-0005-0000-0000-0000DE400000}"/>
    <cellStyle name="Normal 3 3 7 6 2 2 3" xfId="16165" xr:uid="{00000000-0005-0000-0000-0000DF400000}"/>
    <cellStyle name="Normal 3 3 7 6 2 2_TOM TAT" xfId="23227" xr:uid="{00000000-0005-0000-0000-0000E0400000}"/>
    <cellStyle name="Normal 3 3 7 6 2 3" xfId="30666" xr:uid="{00000000-0005-0000-0000-0000E1400000}"/>
    <cellStyle name="Normal 3 3 7 6 2 4" xfId="16164" xr:uid="{00000000-0005-0000-0000-0000E2400000}"/>
    <cellStyle name="Normal 3 3 7 6 2_TOM TAT" xfId="10822" xr:uid="{00000000-0005-0000-0000-0000E3400000}"/>
    <cellStyle name="Normal 3 3 7 6 3" xfId="10823" xr:uid="{00000000-0005-0000-0000-0000E4400000}"/>
    <cellStyle name="Normal 3 3 7 6 3 2" xfId="30668" xr:uid="{00000000-0005-0000-0000-0000E5400000}"/>
    <cellStyle name="Normal 3 3 7 6 3 3" xfId="16166" xr:uid="{00000000-0005-0000-0000-0000E6400000}"/>
    <cellStyle name="Normal 3 3 7 6 3_TOM TAT" xfId="23228" xr:uid="{00000000-0005-0000-0000-0000E7400000}"/>
    <cellStyle name="Normal 3 3 7 6 4" xfId="30665" xr:uid="{00000000-0005-0000-0000-0000E8400000}"/>
    <cellStyle name="Normal 3 3 7 6 5" xfId="16163" xr:uid="{00000000-0005-0000-0000-0000E9400000}"/>
    <cellStyle name="Normal 3 3 7 6_TOM TAT" xfId="10824" xr:uid="{00000000-0005-0000-0000-0000EA400000}"/>
    <cellStyle name="Normal 3 3 7 7" xfId="10825" xr:uid="{00000000-0005-0000-0000-0000EB400000}"/>
    <cellStyle name="Normal 3 3 7 7 2" xfId="10826" xr:uid="{00000000-0005-0000-0000-0000EC400000}"/>
    <cellStyle name="Normal 3 3 7 7 2 2" xfId="30670" xr:uid="{00000000-0005-0000-0000-0000ED400000}"/>
    <cellStyle name="Normal 3 3 7 7 2 3" xfId="16168" xr:uid="{00000000-0005-0000-0000-0000EE400000}"/>
    <cellStyle name="Normal 3 3 7 7 2_TOM TAT" xfId="23229" xr:uid="{00000000-0005-0000-0000-0000EF400000}"/>
    <cellStyle name="Normal 3 3 7 7 3" xfId="30669" xr:uid="{00000000-0005-0000-0000-0000F0400000}"/>
    <cellStyle name="Normal 3 3 7 7 4" xfId="16167" xr:uid="{00000000-0005-0000-0000-0000F1400000}"/>
    <cellStyle name="Normal 3 3 7 7_TOM TAT" xfId="10827" xr:uid="{00000000-0005-0000-0000-0000F2400000}"/>
    <cellStyle name="Normal 3 3 7 8" xfId="10828" xr:uid="{00000000-0005-0000-0000-0000F3400000}"/>
    <cellStyle name="Normal 3 3 7 8 2" xfId="30671" xr:uid="{00000000-0005-0000-0000-0000F4400000}"/>
    <cellStyle name="Normal 3 3 7 8 3" xfId="16169" xr:uid="{00000000-0005-0000-0000-0000F5400000}"/>
    <cellStyle name="Normal 3 3 7 8_TOM TAT" xfId="23230" xr:uid="{00000000-0005-0000-0000-0000F6400000}"/>
    <cellStyle name="Normal 3 3 7 9" xfId="28257" xr:uid="{00000000-0005-0000-0000-0000F7400000}"/>
    <cellStyle name="Normal 3 3 7_TOM TAT" xfId="10829" xr:uid="{00000000-0005-0000-0000-0000F8400000}"/>
    <cellStyle name="Normal 3 3 8" xfId="5566" xr:uid="{00000000-0005-0000-0000-0000F9400000}"/>
    <cellStyle name="Normal 3 3 8 2" xfId="10830" xr:uid="{00000000-0005-0000-0000-0000FA400000}"/>
    <cellStyle name="Normal 3 3 8 2 2" xfId="10831" xr:uid="{00000000-0005-0000-0000-0000FB400000}"/>
    <cellStyle name="Normal 3 3 8 2 2 2" xfId="10832" xr:uid="{00000000-0005-0000-0000-0000FC400000}"/>
    <cellStyle name="Normal 3 3 8 2 2 2 2" xfId="10833" xr:uid="{00000000-0005-0000-0000-0000FD400000}"/>
    <cellStyle name="Normal 3 3 8 2 2 2 2 2" xfId="30675" xr:uid="{00000000-0005-0000-0000-0000FE400000}"/>
    <cellStyle name="Normal 3 3 8 2 2 2 2 3" xfId="16173" xr:uid="{00000000-0005-0000-0000-0000FF400000}"/>
    <cellStyle name="Normal 3 3 8 2 2 2 2_TOM TAT" xfId="23231" xr:uid="{00000000-0005-0000-0000-000000410000}"/>
    <cellStyle name="Normal 3 3 8 2 2 2 3" xfId="30674" xr:uid="{00000000-0005-0000-0000-000001410000}"/>
    <cellStyle name="Normal 3 3 8 2 2 2 4" xfId="16172" xr:uid="{00000000-0005-0000-0000-000002410000}"/>
    <cellStyle name="Normal 3 3 8 2 2 2_TOM TAT" xfId="10834" xr:uid="{00000000-0005-0000-0000-000003410000}"/>
    <cellStyle name="Normal 3 3 8 2 2 3" xfId="10835" xr:uid="{00000000-0005-0000-0000-000004410000}"/>
    <cellStyle name="Normal 3 3 8 2 2 3 2" xfId="30676" xr:uid="{00000000-0005-0000-0000-000005410000}"/>
    <cellStyle name="Normal 3 3 8 2 2 3 3" xfId="16174" xr:uid="{00000000-0005-0000-0000-000006410000}"/>
    <cellStyle name="Normal 3 3 8 2 2 3_TOM TAT" xfId="23232" xr:uid="{00000000-0005-0000-0000-000007410000}"/>
    <cellStyle name="Normal 3 3 8 2 2 4" xfId="30673" xr:uid="{00000000-0005-0000-0000-000008410000}"/>
    <cellStyle name="Normal 3 3 8 2 2 5" xfId="16171" xr:uid="{00000000-0005-0000-0000-000009410000}"/>
    <cellStyle name="Normal 3 3 8 2 2_TOM TAT" xfId="10836" xr:uid="{00000000-0005-0000-0000-00000A410000}"/>
    <cellStyle name="Normal 3 3 8 2 3" xfId="10837" xr:uid="{00000000-0005-0000-0000-00000B410000}"/>
    <cellStyle name="Normal 3 3 8 2 3 2" xfId="10838" xr:uid="{00000000-0005-0000-0000-00000C410000}"/>
    <cellStyle name="Normal 3 3 8 2 3 2 2" xfId="10839" xr:uid="{00000000-0005-0000-0000-00000D410000}"/>
    <cellStyle name="Normal 3 3 8 2 3 2 2 2" xfId="30679" xr:uid="{00000000-0005-0000-0000-00000E410000}"/>
    <cellStyle name="Normal 3 3 8 2 3 2 2 3" xfId="16177" xr:uid="{00000000-0005-0000-0000-00000F410000}"/>
    <cellStyle name="Normal 3 3 8 2 3 2 2_TOM TAT" xfId="23233" xr:uid="{00000000-0005-0000-0000-000010410000}"/>
    <cellStyle name="Normal 3 3 8 2 3 2 3" xfId="30678" xr:uid="{00000000-0005-0000-0000-000011410000}"/>
    <cellStyle name="Normal 3 3 8 2 3 2 4" xfId="16176" xr:uid="{00000000-0005-0000-0000-000012410000}"/>
    <cellStyle name="Normal 3 3 8 2 3 2_TOM TAT" xfId="10840" xr:uid="{00000000-0005-0000-0000-000013410000}"/>
    <cellStyle name="Normal 3 3 8 2 3 3" xfId="10841" xr:uid="{00000000-0005-0000-0000-000014410000}"/>
    <cellStyle name="Normal 3 3 8 2 3 3 2" xfId="30680" xr:uid="{00000000-0005-0000-0000-000015410000}"/>
    <cellStyle name="Normal 3 3 8 2 3 3 3" xfId="16178" xr:uid="{00000000-0005-0000-0000-000016410000}"/>
    <cellStyle name="Normal 3 3 8 2 3 3_TOM TAT" xfId="23234" xr:uid="{00000000-0005-0000-0000-000017410000}"/>
    <cellStyle name="Normal 3 3 8 2 3 4" xfId="30677" xr:uid="{00000000-0005-0000-0000-000018410000}"/>
    <cellStyle name="Normal 3 3 8 2 3 5" xfId="16175" xr:uid="{00000000-0005-0000-0000-000019410000}"/>
    <cellStyle name="Normal 3 3 8 2 3_TOM TAT" xfId="10842" xr:uid="{00000000-0005-0000-0000-00001A410000}"/>
    <cellStyle name="Normal 3 3 8 2 4" xfId="10843" xr:uid="{00000000-0005-0000-0000-00001B410000}"/>
    <cellStyle name="Normal 3 3 8 2 4 2" xfId="10844" xr:uid="{00000000-0005-0000-0000-00001C410000}"/>
    <cellStyle name="Normal 3 3 8 2 4 2 2" xfId="30682" xr:uid="{00000000-0005-0000-0000-00001D410000}"/>
    <cellStyle name="Normal 3 3 8 2 4 2 3" xfId="16180" xr:uid="{00000000-0005-0000-0000-00001E410000}"/>
    <cellStyle name="Normal 3 3 8 2 4 2_TOM TAT" xfId="23235" xr:uid="{00000000-0005-0000-0000-00001F410000}"/>
    <cellStyle name="Normal 3 3 8 2 4 3" xfId="30681" xr:uid="{00000000-0005-0000-0000-000020410000}"/>
    <cellStyle name="Normal 3 3 8 2 4 4" xfId="16179" xr:uid="{00000000-0005-0000-0000-000021410000}"/>
    <cellStyle name="Normal 3 3 8 2 4_TOM TAT" xfId="10845" xr:uid="{00000000-0005-0000-0000-000022410000}"/>
    <cellStyle name="Normal 3 3 8 2 5" xfId="10846" xr:uid="{00000000-0005-0000-0000-000023410000}"/>
    <cellStyle name="Normal 3 3 8 2 5 2" xfId="30683" xr:uid="{00000000-0005-0000-0000-000024410000}"/>
    <cellStyle name="Normal 3 3 8 2 5 3" xfId="16181" xr:uid="{00000000-0005-0000-0000-000025410000}"/>
    <cellStyle name="Normal 3 3 8 2 5_TOM TAT" xfId="23236" xr:uid="{00000000-0005-0000-0000-000026410000}"/>
    <cellStyle name="Normal 3 3 8 2 6" xfId="30672" xr:uid="{00000000-0005-0000-0000-000027410000}"/>
    <cellStyle name="Normal 3 3 8 2 7" xfId="16170" xr:uid="{00000000-0005-0000-0000-000028410000}"/>
    <cellStyle name="Normal 3 3 8 2_TOM TAT" xfId="10847" xr:uid="{00000000-0005-0000-0000-000029410000}"/>
    <cellStyle name="Normal 3 3 8 3" xfId="10848" xr:uid="{00000000-0005-0000-0000-00002A410000}"/>
    <cellStyle name="Normal 3 3 8 3 2" xfId="10849" xr:uid="{00000000-0005-0000-0000-00002B410000}"/>
    <cellStyle name="Normal 3 3 8 3 2 2" xfId="10850" xr:uid="{00000000-0005-0000-0000-00002C410000}"/>
    <cellStyle name="Normal 3 3 8 3 2 2 2" xfId="30686" xr:uid="{00000000-0005-0000-0000-00002D410000}"/>
    <cellStyle name="Normal 3 3 8 3 2 2 3" xfId="16184" xr:uid="{00000000-0005-0000-0000-00002E410000}"/>
    <cellStyle name="Normal 3 3 8 3 2 2_TOM TAT" xfId="23237" xr:uid="{00000000-0005-0000-0000-00002F410000}"/>
    <cellStyle name="Normal 3 3 8 3 2 3" xfId="30685" xr:uid="{00000000-0005-0000-0000-000030410000}"/>
    <cellStyle name="Normal 3 3 8 3 2 4" xfId="16183" xr:uid="{00000000-0005-0000-0000-000031410000}"/>
    <cellStyle name="Normal 3 3 8 3 2_TOM TAT" xfId="10851" xr:uid="{00000000-0005-0000-0000-000032410000}"/>
    <cellStyle name="Normal 3 3 8 3 3" xfId="10852" xr:uid="{00000000-0005-0000-0000-000033410000}"/>
    <cellStyle name="Normal 3 3 8 3 3 2" xfId="30687" xr:uid="{00000000-0005-0000-0000-000034410000}"/>
    <cellStyle name="Normal 3 3 8 3 3 3" xfId="16185" xr:uid="{00000000-0005-0000-0000-000035410000}"/>
    <cellStyle name="Normal 3 3 8 3 3_TOM TAT" xfId="23238" xr:uid="{00000000-0005-0000-0000-000036410000}"/>
    <cellStyle name="Normal 3 3 8 3 4" xfId="30684" xr:uid="{00000000-0005-0000-0000-000037410000}"/>
    <cellStyle name="Normal 3 3 8 3 5" xfId="16182" xr:uid="{00000000-0005-0000-0000-000038410000}"/>
    <cellStyle name="Normal 3 3 8 3_TOM TAT" xfId="10853" xr:uid="{00000000-0005-0000-0000-000039410000}"/>
    <cellStyle name="Normal 3 3 8 4" xfId="10854" xr:uid="{00000000-0005-0000-0000-00003A410000}"/>
    <cellStyle name="Normal 3 3 8 4 2" xfId="10855" xr:uid="{00000000-0005-0000-0000-00003B410000}"/>
    <cellStyle name="Normal 3 3 8 4 2 2" xfId="10856" xr:uid="{00000000-0005-0000-0000-00003C410000}"/>
    <cellStyle name="Normal 3 3 8 4 2 2 2" xfId="30690" xr:uid="{00000000-0005-0000-0000-00003D410000}"/>
    <cellStyle name="Normal 3 3 8 4 2 2 3" xfId="16188" xr:uid="{00000000-0005-0000-0000-00003E410000}"/>
    <cellStyle name="Normal 3 3 8 4 2 2_TOM TAT" xfId="23239" xr:uid="{00000000-0005-0000-0000-00003F410000}"/>
    <cellStyle name="Normal 3 3 8 4 2 3" xfId="30689" xr:uid="{00000000-0005-0000-0000-000040410000}"/>
    <cellStyle name="Normal 3 3 8 4 2 4" xfId="16187" xr:uid="{00000000-0005-0000-0000-000041410000}"/>
    <cellStyle name="Normal 3 3 8 4 2_TOM TAT" xfId="10857" xr:uid="{00000000-0005-0000-0000-000042410000}"/>
    <cellStyle name="Normal 3 3 8 4 3" xfId="10858" xr:uid="{00000000-0005-0000-0000-000043410000}"/>
    <cellStyle name="Normal 3 3 8 4 3 2" xfId="30691" xr:uid="{00000000-0005-0000-0000-000044410000}"/>
    <cellStyle name="Normal 3 3 8 4 3 3" xfId="16189" xr:uid="{00000000-0005-0000-0000-000045410000}"/>
    <cellStyle name="Normal 3 3 8 4 3_TOM TAT" xfId="23240" xr:uid="{00000000-0005-0000-0000-000046410000}"/>
    <cellStyle name="Normal 3 3 8 4 4" xfId="30688" xr:uid="{00000000-0005-0000-0000-000047410000}"/>
    <cellStyle name="Normal 3 3 8 4 5" xfId="16186" xr:uid="{00000000-0005-0000-0000-000048410000}"/>
    <cellStyle name="Normal 3 3 8 4_TOM TAT" xfId="10859" xr:uid="{00000000-0005-0000-0000-000049410000}"/>
    <cellStyle name="Normal 3 3 8 5" xfId="10860" xr:uid="{00000000-0005-0000-0000-00004A410000}"/>
    <cellStyle name="Normal 3 3 8 5 2" xfId="10861" xr:uid="{00000000-0005-0000-0000-00004B410000}"/>
    <cellStyle name="Normal 3 3 8 5 2 2" xfId="30693" xr:uid="{00000000-0005-0000-0000-00004C410000}"/>
    <cellStyle name="Normal 3 3 8 5 2 3" xfId="16191" xr:uid="{00000000-0005-0000-0000-00004D410000}"/>
    <cellStyle name="Normal 3 3 8 5 2_TOM TAT" xfId="23241" xr:uid="{00000000-0005-0000-0000-00004E410000}"/>
    <cellStyle name="Normal 3 3 8 5 3" xfId="30692" xr:uid="{00000000-0005-0000-0000-00004F410000}"/>
    <cellStyle name="Normal 3 3 8 5 4" xfId="16190" xr:uid="{00000000-0005-0000-0000-000050410000}"/>
    <cellStyle name="Normal 3 3 8 5_TOM TAT" xfId="10862" xr:uid="{00000000-0005-0000-0000-000051410000}"/>
    <cellStyle name="Normal 3 3 8 6" xfId="10863" xr:uid="{00000000-0005-0000-0000-000052410000}"/>
    <cellStyle name="Normal 3 3 8 6 2" xfId="30694" xr:uid="{00000000-0005-0000-0000-000053410000}"/>
    <cellStyle name="Normal 3 3 8 6 3" xfId="16192" xr:uid="{00000000-0005-0000-0000-000054410000}"/>
    <cellStyle name="Normal 3 3 8 6_TOM TAT" xfId="23242" xr:uid="{00000000-0005-0000-0000-000055410000}"/>
    <cellStyle name="Normal 3 3 8 7" xfId="28259" xr:uid="{00000000-0005-0000-0000-000056410000}"/>
    <cellStyle name="Normal 3 3 8 8" xfId="14698" xr:uid="{00000000-0005-0000-0000-000057410000}"/>
    <cellStyle name="Normal 3 3 8_TOM TAT" xfId="10864" xr:uid="{00000000-0005-0000-0000-000058410000}"/>
    <cellStyle name="Normal 3 3 9" xfId="10865" xr:uid="{00000000-0005-0000-0000-000059410000}"/>
    <cellStyle name="Normal 3 3 9 2" xfId="10866" xr:uid="{00000000-0005-0000-0000-00005A410000}"/>
    <cellStyle name="Normal 3 3 9 2 2" xfId="10867" xr:uid="{00000000-0005-0000-0000-00005B410000}"/>
    <cellStyle name="Normal 3 3 9 2 2 2" xfId="10868" xr:uid="{00000000-0005-0000-0000-00005C410000}"/>
    <cellStyle name="Normal 3 3 9 2 2 2 2" xfId="30698" xr:uid="{00000000-0005-0000-0000-00005D410000}"/>
    <cellStyle name="Normal 3 3 9 2 2 2 3" xfId="16196" xr:uid="{00000000-0005-0000-0000-00005E410000}"/>
    <cellStyle name="Normal 3 3 9 2 2 2_TOM TAT" xfId="23243" xr:uid="{00000000-0005-0000-0000-00005F410000}"/>
    <cellStyle name="Normal 3 3 9 2 2 3" xfId="30697" xr:uid="{00000000-0005-0000-0000-000060410000}"/>
    <cellStyle name="Normal 3 3 9 2 2 4" xfId="16195" xr:uid="{00000000-0005-0000-0000-000061410000}"/>
    <cellStyle name="Normal 3 3 9 2 2_TOM TAT" xfId="10869" xr:uid="{00000000-0005-0000-0000-000062410000}"/>
    <cellStyle name="Normal 3 3 9 2 3" xfId="10870" xr:uid="{00000000-0005-0000-0000-000063410000}"/>
    <cellStyle name="Normal 3 3 9 2 3 2" xfId="30699" xr:uid="{00000000-0005-0000-0000-000064410000}"/>
    <cellStyle name="Normal 3 3 9 2 3 3" xfId="16197" xr:uid="{00000000-0005-0000-0000-000065410000}"/>
    <cellStyle name="Normal 3 3 9 2 3_TOM TAT" xfId="23244" xr:uid="{00000000-0005-0000-0000-000066410000}"/>
    <cellStyle name="Normal 3 3 9 2 4" xfId="30696" xr:uid="{00000000-0005-0000-0000-000067410000}"/>
    <cellStyle name="Normal 3 3 9 2 5" xfId="16194" xr:uid="{00000000-0005-0000-0000-000068410000}"/>
    <cellStyle name="Normal 3 3 9 2_TOM TAT" xfId="10871" xr:uid="{00000000-0005-0000-0000-000069410000}"/>
    <cellStyle name="Normal 3 3 9 3" xfId="10872" xr:uid="{00000000-0005-0000-0000-00006A410000}"/>
    <cellStyle name="Normal 3 3 9 3 2" xfId="10873" xr:uid="{00000000-0005-0000-0000-00006B410000}"/>
    <cellStyle name="Normal 3 3 9 3 2 2" xfId="10874" xr:uid="{00000000-0005-0000-0000-00006C410000}"/>
    <cellStyle name="Normal 3 3 9 3 2 2 2" xfId="30702" xr:uid="{00000000-0005-0000-0000-00006D410000}"/>
    <cellStyle name="Normal 3 3 9 3 2 2 3" xfId="16200" xr:uid="{00000000-0005-0000-0000-00006E410000}"/>
    <cellStyle name="Normal 3 3 9 3 2 2_TOM TAT" xfId="23245" xr:uid="{00000000-0005-0000-0000-00006F410000}"/>
    <cellStyle name="Normal 3 3 9 3 2 3" xfId="30701" xr:uid="{00000000-0005-0000-0000-000070410000}"/>
    <cellStyle name="Normal 3 3 9 3 2 4" xfId="16199" xr:uid="{00000000-0005-0000-0000-000071410000}"/>
    <cellStyle name="Normal 3 3 9 3 2_TOM TAT" xfId="10875" xr:uid="{00000000-0005-0000-0000-000072410000}"/>
    <cellStyle name="Normal 3 3 9 3 3" xfId="10876" xr:uid="{00000000-0005-0000-0000-000073410000}"/>
    <cellStyle name="Normal 3 3 9 3 3 2" xfId="30703" xr:uid="{00000000-0005-0000-0000-000074410000}"/>
    <cellStyle name="Normal 3 3 9 3 3 3" xfId="16201" xr:uid="{00000000-0005-0000-0000-000075410000}"/>
    <cellStyle name="Normal 3 3 9 3 3_TOM TAT" xfId="23246" xr:uid="{00000000-0005-0000-0000-000076410000}"/>
    <cellStyle name="Normal 3 3 9 3 4" xfId="30700" xr:uid="{00000000-0005-0000-0000-000077410000}"/>
    <cellStyle name="Normal 3 3 9 3 5" xfId="16198" xr:uid="{00000000-0005-0000-0000-000078410000}"/>
    <cellStyle name="Normal 3 3 9 3_TOM TAT" xfId="10877" xr:uid="{00000000-0005-0000-0000-000079410000}"/>
    <cellStyle name="Normal 3 3 9 4" xfId="10878" xr:uid="{00000000-0005-0000-0000-00007A410000}"/>
    <cellStyle name="Normal 3 3 9 4 2" xfId="10879" xr:uid="{00000000-0005-0000-0000-00007B410000}"/>
    <cellStyle name="Normal 3 3 9 4 2 2" xfId="30705" xr:uid="{00000000-0005-0000-0000-00007C410000}"/>
    <cellStyle name="Normal 3 3 9 4 2 3" xfId="16203" xr:uid="{00000000-0005-0000-0000-00007D410000}"/>
    <cellStyle name="Normal 3 3 9 4 2_TOM TAT" xfId="23247" xr:uid="{00000000-0005-0000-0000-00007E410000}"/>
    <cellStyle name="Normal 3 3 9 4 3" xfId="30704" xr:uid="{00000000-0005-0000-0000-00007F410000}"/>
    <cellStyle name="Normal 3 3 9 4 4" xfId="16202" xr:uid="{00000000-0005-0000-0000-000080410000}"/>
    <cellStyle name="Normal 3 3 9 4_TOM TAT" xfId="10880" xr:uid="{00000000-0005-0000-0000-000081410000}"/>
    <cellStyle name="Normal 3 3 9 5" xfId="10881" xr:uid="{00000000-0005-0000-0000-000082410000}"/>
    <cellStyle name="Normal 3 3 9 5 2" xfId="30706" xr:uid="{00000000-0005-0000-0000-000083410000}"/>
    <cellStyle name="Normal 3 3 9 5 3" xfId="16204" xr:uid="{00000000-0005-0000-0000-000084410000}"/>
    <cellStyle name="Normal 3 3 9 5_TOM TAT" xfId="23248" xr:uid="{00000000-0005-0000-0000-000085410000}"/>
    <cellStyle name="Normal 3 3 9 6" xfId="30695" xr:uid="{00000000-0005-0000-0000-000086410000}"/>
    <cellStyle name="Normal 3 3 9 7" xfId="16193" xr:uid="{00000000-0005-0000-0000-000087410000}"/>
    <cellStyle name="Normal 3 3 9_TOM TAT" xfId="10882" xr:uid="{00000000-0005-0000-0000-000088410000}"/>
    <cellStyle name="Normal 3 3_TOM TAT" xfId="10883" xr:uid="{00000000-0005-0000-0000-000089410000}"/>
    <cellStyle name="Normal 3 4" xfId="2244" xr:uid="{00000000-0005-0000-0000-00008A410000}"/>
    <cellStyle name="Normal 3 4 2" xfId="2245" xr:uid="{00000000-0005-0000-0000-00008B410000}"/>
    <cellStyle name="Normal 3 4 2 2" xfId="2246" xr:uid="{00000000-0005-0000-0000-00008C410000}"/>
    <cellStyle name="Normal 3 4 2 2 2" xfId="10884" xr:uid="{00000000-0005-0000-0000-00008D410000}"/>
    <cellStyle name="Normal 3 4 2 2 2 2" xfId="30707" xr:uid="{00000000-0005-0000-0000-00008E410000}"/>
    <cellStyle name="Normal 3 4 2 2 2 3" xfId="16205" xr:uid="{00000000-0005-0000-0000-00008F410000}"/>
    <cellStyle name="Normal 3 4 2 2 2_TOM TAT" xfId="23249" xr:uid="{00000000-0005-0000-0000-000090410000}"/>
    <cellStyle name="Normal 3 4 2 2_TOM TAT" xfId="10885" xr:uid="{00000000-0005-0000-0000-000091410000}"/>
    <cellStyle name="Normal 3 4 2 3" xfId="10886" xr:uid="{00000000-0005-0000-0000-000092410000}"/>
    <cellStyle name="Normal 3 4 2 3 2" xfId="30708" xr:uid="{00000000-0005-0000-0000-000093410000}"/>
    <cellStyle name="Normal 3 4 2 3 3" xfId="16206" xr:uid="{00000000-0005-0000-0000-000094410000}"/>
    <cellStyle name="Normal 3 4 2 3_TOM TAT" xfId="23250" xr:uid="{00000000-0005-0000-0000-000095410000}"/>
    <cellStyle name="Normal 3 4 2_TOM TAT" xfId="10887" xr:uid="{00000000-0005-0000-0000-000096410000}"/>
    <cellStyle name="Normal 3 4 3" xfId="10888" xr:uid="{00000000-0005-0000-0000-000097410000}"/>
    <cellStyle name="Normal 3 4 3 2" xfId="10889" xr:uid="{00000000-0005-0000-0000-000098410000}"/>
    <cellStyle name="Normal 3 4 3 2 2" xfId="10890" xr:uid="{00000000-0005-0000-0000-000099410000}"/>
    <cellStyle name="Normal 3 4 3 2 2 2" xfId="30711" xr:uid="{00000000-0005-0000-0000-00009A410000}"/>
    <cellStyle name="Normal 3 4 3 2 2 3" xfId="16209" xr:uid="{00000000-0005-0000-0000-00009B410000}"/>
    <cellStyle name="Normal 3 4 3 2 2_TOM TAT" xfId="23251" xr:uid="{00000000-0005-0000-0000-00009C410000}"/>
    <cellStyle name="Normal 3 4 3 2 3" xfId="30710" xr:uid="{00000000-0005-0000-0000-00009D410000}"/>
    <cellStyle name="Normal 3 4 3 2 4" xfId="16208" xr:uid="{00000000-0005-0000-0000-00009E410000}"/>
    <cellStyle name="Normal 3 4 3 2_TOM TAT" xfId="10891" xr:uid="{00000000-0005-0000-0000-00009F410000}"/>
    <cellStyle name="Normal 3 4 3 3" xfId="10892" xr:uid="{00000000-0005-0000-0000-0000A0410000}"/>
    <cellStyle name="Normal 3 4 3 3 2" xfId="30712" xr:uid="{00000000-0005-0000-0000-0000A1410000}"/>
    <cellStyle name="Normal 3 4 3 3 3" xfId="16210" xr:uid="{00000000-0005-0000-0000-0000A2410000}"/>
    <cellStyle name="Normal 3 4 3 3_TOM TAT" xfId="23252" xr:uid="{00000000-0005-0000-0000-0000A3410000}"/>
    <cellStyle name="Normal 3 4 3 4" xfId="30709" xr:uid="{00000000-0005-0000-0000-0000A4410000}"/>
    <cellStyle name="Normal 3 4 3 5" xfId="16207" xr:uid="{00000000-0005-0000-0000-0000A5410000}"/>
    <cellStyle name="Normal 3 4 3_TOM TAT" xfId="10893" xr:uid="{00000000-0005-0000-0000-0000A6410000}"/>
    <cellStyle name="Normal 3 4 4" xfId="10894" xr:uid="{00000000-0005-0000-0000-0000A7410000}"/>
    <cellStyle name="Normal 3 4 4 2" xfId="30713" xr:uid="{00000000-0005-0000-0000-0000A8410000}"/>
    <cellStyle name="Normal 3 4 4 3" xfId="16211" xr:uid="{00000000-0005-0000-0000-0000A9410000}"/>
    <cellStyle name="Normal 3 4 4_TOM TAT" xfId="23253" xr:uid="{00000000-0005-0000-0000-0000AA410000}"/>
    <cellStyle name="Normal 3 4_TOM TAT" xfId="10895" xr:uid="{00000000-0005-0000-0000-0000AB410000}"/>
    <cellStyle name="Normal 3 5" xfId="2247" xr:uid="{00000000-0005-0000-0000-0000AC410000}"/>
    <cellStyle name="Normal 3 5 2" xfId="10896" xr:uid="{00000000-0005-0000-0000-0000AD410000}"/>
    <cellStyle name="Normal 3 5 2 2" xfId="10897" xr:uid="{00000000-0005-0000-0000-0000AE410000}"/>
    <cellStyle name="Normal 3 5 2 2 2" xfId="10898" xr:uid="{00000000-0005-0000-0000-0000AF410000}"/>
    <cellStyle name="Normal 3 5 2 2 2 2" xfId="30716" xr:uid="{00000000-0005-0000-0000-0000B0410000}"/>
    <cellStyle name="Normal 3 5 2 2 2 3" xfId="16214" xr:uid="{00000000-0005-0000-0000-0000B1410000}"/>
    <cellStyle name="Normal 3 5 2 2 2_TOM TAT" xfId="23254" xr:uid="{00000000-0005-0000-0000-0000B2410000}"/>
    <cellStyle name="Normal 3 5 2 2 3" xfId="30715" xr:uid="{00000000-0005-0000-0000-0000B3410000}"/>
    <cellStyle name="Normal 3 5 2 2 4" xfId="16213" xr:uid="{00000000-0005-0000-0000-0000B4410000}"/>
    <cellStyle name="Normal 3 5 2 2_TOM TAT" xfId="10899" xr:uid="{00000000-0005-0000-0000-0000B5410000}"/>
    <cellStyle name="Normal 3 5 2 3" xfId="10900" xr:uid="{00000000-0005-0000-0000-0000B6410000}"/>
    <cellStyle name="Normal 3 5 2 3 2" xfId="30717" xr:uid="{00000000-0005-0000-0000-0000B7410000}"/>
    <cellStyle name="Normal 3 5 2 3 3" xfId="16215" xr:uid="{00000000-0005-0000-0000-0000B8410000}"/>
    <cellStyle name="Normal 3 5 2 3_TOM TAT" xfId="23255" xr:uid="{00000000-0005-0000-0000-0000B9410000}"/>
    <cellStyle name="Normal 3 5 2 4" xfId="30714" xr:uid="{00000000-0005-0000-0000-0000BA410000}"/>
    <cellStyle name="Normal 3 5 2 5" xfId="16212" xr:uid="{00000000-0005-0000-0000-0000BB410000}"/>
    <cellStyle name="Normal 3 5 2_TOM TAT" xfId="10901" xr:uid="{00000000-0005-0000-0000-0000BC410000}"/>
    <cellStyle name="Normal 3 5 3" xfId="10902" xr:uid="{00000000-0005-0000-0000-0000BD410000}"/>
    <cellStyle name="Normal 3 5 3 2" xfId="30718" xr:uid="{00000000-0005-0000-0000-0000BE410000}"/>
    <cellStyle name="Normal 3 5 3 3" xfId="16216" xr:uid="{00000000-0005-0000-0000-0000BF410000}"/>
    <cellStyle name="Normal 3 5 3_TOM TAT" xfId="23256" xr:uid="{00000000-0005-0000-0000-0000C0410000}"/>
    <cellStyle name="Normal 3 5_TOM TAT" xfId="10903" xr:uid="{00000000-0005-0000-0000-0000C1410000}"/>
    <cellStyle name="Normal 3 6" xfId="2248" xr:uid="{00000000-0005-0000-0000-0000C2410000}"/>
    <cellStyle name="Normal 3 6 2" xfId="2249" xr:uid="{00000000-0005-0000-0000-0000C3410000}"/>
    <cellStyle name="Normal 3 6 2 2" xfId="10904" xr:uid="{00000000-0005-0000-0000-0000C4410000}"/>
    <cellStyle name="Normal 3 6 2_TOM TAT" xfId="10905" xr:uid="{00000000-0005-0000-0000-0000C5410000}"/>
    <cellStyle name="Normal 3 6 3" xfId="10906" xr:uid="{00000000-0005-0000-0000-0000C6410000}"/>
    <cellStyle name="Normal 3 6_TOM TAT" xfId="10907" xr:uid="{00000000-0005-0000-0000-0000C7410000}"/>
    <cellStyle name="Normal 3 7" xfId="2250" xr:uid="{00000000-0005-0000-0000-0000C8410000}"/>
    <cellStyle name="Normal 3 7 2" xfId="10908" xr:uid="{00000000-0005-0000-0000-0000C9410000}"/>
    <cellStyle name="Normal 3 7_TOM TAT" xfId="10909" xr:uid="{00000000-0005-0000-0000-0000CA410000}"/>
    <cellStyle name="Normal 3 8" xfId="2251" xr:uid="{00000000-0005-0000-0000-0000CB410000}"/>
    <cellStyle name="Normal 3 8 2" xfId="2252" xr:uid="{00000000-0005-0000-0000-0000CC410000}"/>
    <cellStyle name="Normal 3 8 2 2" xfId="10910" xr:uid="{00000000-0005-0000-0000-0000CD410000}"/>
    <cellStyle name="Normal 3 8 2_TOM TAT" xfId="10911" xr:uid="{00000000-0005-0000-0000-0000CE410000}"/>
    <cellStyle name="Normal 3 8 3" xfId="10912" xr:uid="{00000000-0005-0000-0000-0000CF410000}"/>
    <cellStyle name="Normal 3 8_TOM TAT" xfId="10913" xr:uid="{00000000-0005-0000-0000-0000D0410000}"/>
    <cellStyle name="Normal 3 9" xfId="2253" xr:uid="{00000000-0005-0000-0000-0000D1410000}"/>
    <cellStyle name="Normal 3 9 2" xfId="2254" xr:uid="{00000000-0005-0000-0000-0000D2410000}"/>
    <cellStyle name="Normal 3 9 2 2" xfId="10914" xr:uid="{00000000-0005-0000-0000-0000D3410000}"/>
    <cellStyle name="Normal 3 9 2_TOM TAT" xfId="10915" xr:uid="{00000000-0005-0000-0000-0000D4410000}"/>
    <cellStyle name="Normal 3 9 3" xfId="10916" xr:uid="{00000000-0005-0000-0000-0000D5410000}"/>
    <cellStyle name="Normal 3 9_TOM TAT" xfId="10917" xr:uid="{00000000-0005-0000-0000-0000D6410000}"/>
    <cellStyle name="Normal 3_FS chuan Jamona Riverside" xfId="5567" xr:uid="{00000000-0005-0000-0000-0000D7410000}"/>
    <cellStyle name="Normal 30" xfId="4860" xr:uid="{00000000-0005-0000-0000-0000D8410000}"/>
    <cellStyle name="Normal 30 2" xfId="5568" xr:uid="{00000000-0005-0000-0000-0000D9410000}"/>
    <cellStyle name="Normal 30 2 2" xfId="10918" xr:uid="{00000000-0005-0000-0000-0000DA410000}"/>
    <cellStyle name="Normal 30 2 2 2" xfId="14613" xr:uid="{00000000-0005-0000-0000-0000DB410000}"/>
    <cellStyle name="Normal 30 2 3" xfId="10919" xr:uid="{00000000-0005-0000-0000-0000DC410000}"/>
    <cellStyle name="Normal 30 2_TOM TAT" xfId="10920" xr:uid="{00000000-0005-0000-0000-0000DD410000}"/>
    <cellStyle name="Normal 30 3" xfId="10921" xr:uid="{00000000-0005-0000-0000-0000DE410000}"/>
    <cellStyle name="Normal 30 3 2" xfId="10922" xr:uid="{00000000-0005-0000-0000-0000DF410000}"/>
    <cellStyle name="Normal 30 3 2 2" xfId="30720" xr:uid="{00000000-0005-0000-0000-0000E0410000}"/>
    <cellStyle name="Normal 30 3 2 3" xfId="16218" xr:uid="{00000000-0005-0000-0000-0000E1410000}"/>
    <cellStyle name="Normal 30 3 2_TOM TAT" xfId="23257" xr:uid="{00000000-0005-0000-0000-0000E2410000}"/>
    <cellStyle name="Normal 30 3 3" xfId="30719" xr:uid="{00000000-0005-0000-0000-0000E3410000}"/>
    <cellStyle name="Normal 30 3 4" xfId="16217" xr:uid="{00000000-0005-0000-0000-0000E4410000}"/>
    <cellStyle name="Normal 30 3_TOM TAT" xfId="10923" xr:uid="{00000000-0005-0000-0000-0000E5410000}"/>
    <cellStyle name="Normal 30 4" xfId="10924" xr:uid="{00000000-0005-0000-0000-0000E6410000}"/>
    <cellStyle name="Normal 30 5" xfId="19004" xr:uid="{00000000-0005-0000-0000-0000E7410000}"/>
    <cellStyle name="Normal 30 5 2" xfId="31914" xr:uid="{00000000-0005-0000-0000-0000E8410000}"/>
    <cellStyle name="Normal 30 5_TOM TAT" xfId="23258" xr:uid="{00000000-0005-0000-0000-0000E9410000}"/>
    <cellStyle name="Normal 30 6" xfId="19005" xr:uid="{00000000-0005-0000-0000-0000EA410000}"/>
    <cellStyle name="Normal 30 6 2" xfId="31915" xr:uid="{00000000-0005-0000-0000-0000EB410000}"/>
    <cellStyle name="Normal 30 6_TOM TAT" xfId="23259" xr:uid="{00000000-0005-0000-0000-0000EC410000}"/>
    <cellStyle name="Normal 30_TOM TAT" xfId="10925" xr:uid="{00000000-0005-0000-0000-0000ED410000}"/>
    <cellStyle name="Normal 31" xfId="5569" xr:uid="{00000000-0005-0000-0000-0000EE410000}"/>
    <cellStyle name="Normal 31 2" xfId="5570" xr:uid="{00000000-0005-0000-0000-0000EF410000}"/>
    <cellStyle name="Normal 31 3" xfId="19006" xr:uid="{00000000-0005-0000-0000-0000F0410000}"/>
    <cellStyle name="Normal 31 3 2" xfId="31916" xr:uid="{00000000-0005-0000-0000-0000F1410000}"/>
    <cellStyle name="Normal 31 3_TOM TAT" xfId="23260" xr:uid="{00000000-0005-0000-0000-0000F2410000}"/>
    <cellStyle name="Normal 31 4" xfId="19007" xr:uid="{00000000-0005-0000-0000-0000F3410000}"/>
    <cellStyle name="Normal 31 4 2" xfId="31917" xr:uid="{00000000-0005-0000-0000-0000F4410000}"/>
    <cellStyle name="Normal 31 4_TOM TAT" xfId="23261" xr:uid="{00000000-0005-0000-0000-0000F5410000}"/>
    <cellStyle name="Normal 31 5" xfId="28260" xr:uid="{00000000-0005-0000-0000-0000F6410000}"/>
    <cellStyle name="Normal 31 6" xfId="14699" xr:uid="{00000000-0005-0000-0000-0000F7410000}"/>
    <cellStyle name="Normal 31_TOM TAT" xfId="10926" xr:uid="{00000000-0005-0000-0000-0000F8410000}"/>
    <cellStyle name="Normal 32" xfId="5571" xr:uid="{00000000-0005-0000-0000-0000F9410000}"/>
    <cellStyle name="Normal 32 2" xfId="5572" xr:uid="{00000000-0005-0000-0000-0000FA410000}"/>
    <cellStyle name="Normal 32 2 2" xfId="5573" xr:uid="{00000000-0005-0000-0000-0000FB410000}"/>
    <cellStyle name="Normal 32 2 2 2" xfId="28263" xr:uid="{00000000-0005-0000-0000-0000FC410000}"/>
    <cellStyle name="Normal 32 2 2 3" xfId="14702" xr:uid="{00000000-0005-0000-0000-0000FD410000}"/>
    <cellStyle name="Normal 32 2 2_TOM TAT" xfId="23263" xr:uid="{00000000-0005-0000-0000-0000FE410000}"/>
    <cellStyle name="Normal 32 2 3" xfId="28262" xr:uid="{00000000-0005-0000-0000-0000FF410000}"/>
    <cellStyle name="Normal 32 2 4" xfId="14701" xr:uid="{00000000-0005-0000-0000-000000420000}"/>
    <cellStyle name="Normal 32 2_TOM TAT" xfId="23262" xr:uid="{00000000-0005-0000-0000-000001420000}"/>
    <cellStyle name="Normal 32 3" xfId="28261" xr:uid="{00000000-0005-0000-0000-000002420000}"/>
    <cellStyle name="Normal 32 4" xfId="14700" xr:uid="{00000000-0005-0000-0000-000003420000}"/>
    <cellStyle name="Normal 32_TOM TAT" xfId="10927" xr:uid="{00000000-0005-0000-0000-000004420000}"/>
    <cellStyle name="Normal 33" xfId="5574" xr:uid="{00000000-0005-0000-0000-000005420000}"/>
    <cellStyle name="Normal 33 2" xfId="10928" xr:uid="{00000000-0005-0000-0000-000006420000}"/>
    <cellStyle name="Normal 33_TOM TAT" xfId="10929" xr:uid="{00000000-0005-0000-0000-000007420000}"/>
    <cellStyle name="Normal 34" xfId="5575" xr:uid="{00000000-0005-0000-0000-000008420000}"/>
    <cellStyle name="Normal 34 2" xfId="10930" xr:uid="{00000000-0005-0000-0000-000009420000}"/>
    <cellStyle name="Normal 34_TOM TAT" xfId="10931" xr:uid="{00000000-0005-0000-0000-00000A420000}"/>
    <cellStyle name="Normal 35" xfId="5576" xr:uid="{00000000-0005-0000-0000-00000B420000}"/>
    <cellStyle name="Normal 35 2" xfId="5577" xr:uid="{00000000-0005-0000-0000-00000C420000}"/>
    <cellStyle name="Normal 35_TOM TAT" xfId="10932" xr:uid="{00000000-0005-0000-0000-00000D420000}"/>
    <cellStyle name="Normal 36" xfId="5578" xr:uid="{00000000-0005-0000-0000-00000E420000}"/>
    <cellStyle name="Normal 36 2" xfId="10933" xr:uid="{00000000-0005-0000-0000-00000F420000}"/>
    <cellStyle name="Normal 36_TOM TAT" xfId="10934" xr:uid="{00000000-0005-0000-0000-000010420000}"/>
    <cellStyle name="Normal 37" xfId="5579" xr:uid="{00000000-0005-0000-0000-000011420000}"/>
    <cellStyle name="Normal 37 2" xfId="10935" xr:uid="{00000000-0005-0000-0000-000012420000}"/>
    <cellStyle name="Normal 37_TOM TAT" xfId="10936" xr:uid="{00000000-0005-0000-0000-000013420000}"/>
    <cellStyle name="Normal 38" xfId="5580" xr:uid="{00000000-0005-0000-0000-000014420000}"/>
    <cellStyle name="Normal 38 2" xfId="10937" xr:uid="{00000000-0005-0000-0000-000015420000}"/>
    <cellStyle name="Normal 38_TOM TAT" xfId="10938" xr:uid="{00000000-0005-0000-0000-000016420000}"/>
    <cellStyle name="Normal 39" xfId="5581" xr:uid="{00000000-0005-0000-0000-000017420000}"/>
    <cellStyle name="Normal 39 2" xfId="10939" xr:uid="{00000000-0005-0000-0000-000018420000}"/>
    <cellStyle name="Normal 39_TOM TAT" xfId="23264" xr:uid="{00000000-0005-0000-0000-000019420000}"/>
    <cellStyle name="Normal 4" xfId="1362" xr:uid="{00000000-0005-0000-0000-00001A420000}"/>
    <cellStyle name="Normal 4 10" xfId="10940" xr:uid="{00000000-0005-0000-0000-00001B420000}"/>
    <cellStyle name="Normal 4 11" xfId="19048" xr:uid="{00000000-0005-0000-0000-00001C420000}"/>
    <cellStyle name="Normal 4 12" xfId="32292" xr:uid="{00000000-0005-0000-0000-00001D420000}"/>
    <cellStyle name="Normal 4 2" xfId="1363" xr:uid="{00000000-0005-0000-0000-00001E420000}"/>
    <cellStyle name="Normal 4 2 2" xfId="2256" xr:uid="{00000000-0005-0000-0000-00001F420000}"/>
    <cellStyle name="Normal 4 2 3" xfId="10941" xr:uid="{00000000-0005-0000-0000-000020420000}"/>
    <cellStyle name="Normal 4 2 4" xfId="10942" xr:uid="{00000000-0005-0000-0000-000021420000}"/>
    <cellStyle name="Normal 4 2_TOM TAT" xfId="10943" xr:uid="{00000000-0005-0000-0000-000022420000}"/>
    <cellStyle name="Normal 4 3" xfId="2257" xr:uid="{00000000-0005-0000-0000-000023420000}"/>
    <cellStyle name="Normal 4 3 2" xfId="5582" xr:uid="{00000000-0005-0000-0000-000024420000}"/>
    <cellStyle name="Normal 4 3 2 2" xfId="10944" xr:uid="{00000000-0005-0000-0000-000025420000}"/>
    <cellStyle name="Normal 4 3 2_TOM TAT" xfId="10945" xr:uid="{00000000-0005-0000-0000-000026420000}"/>
    <cellStyle name="Normal 4 3 3" xfId="10946" xr:uid="{00000000-0005-0000-0000-000027420000}"/>
    <cellStyle name="Normal 4 3 4" xfId="10947" xr:uid="{00000000-0005-0000-0000-000028420000}"/>
    <cellStyle name="Normal 4 3 5" xfId="10948" xr:uid="{00000000-0005-0000-0000-000029420000}"/>
    <cellStyle name="Normal 4 3_TOM TAT" xfId="10949" xr:uid="{00000000-0005-0000-0000-00002A420000}"/>
    <cellStyle name="Normal 4 4" xfId="2258" xr:uid="{00000000-0005-0000-0000-00002B420000}"/>
    <cellStyle name="Normal 4 4 2" xfId="10950" xr:uid="{00000000-0005-0000-0000-00002C420000}"/>
    <cellStyle name="Normal 4 4 3" xfId="18635" xr:uid="{00000000-0005-0000-0000-00002D420000}"/>
    <cellStyle name="Normal 4 4_TOM TAT" xfId="10951" xr:uid="{00000000-0005-0000-0000-00002E420000}"/>
    <cellStyle name="Normal 4 5" xfId="2259" xr:uid="{00000000-0005-0000-0000-00002F420000}"/>
    <cellStyle name="Normal 4 6" xfId="2255" xr:uid="{00000000-0005-0000-0000-000030420000}"/>
    <cellStyle name="Normal 4 6 2" xfId="10952" xr:uid="{00000000-0005-0000-0000-000031420000}"/>
    <cellStyle name="Normal 4 6_TOM TAT" xfId="10953" xr:uid="{00000000-0005-0000-0000-000032420000}"/>
    <cellStyle name="Normal 4 7" xfId="4431" xr:uid="{00000000-0005-0000-0000-000033420000}"/>
    <cellStyle name="Normal 4 7 2" xfId="10954" xr:uid="{00000000-0005-0000-0000-000034420000}"/>
    <cellStyle name="Normal 4 7_TOM TAT" xfId="10955" xr:uid="{00000000-0005-0000-0000-000035420000}"/>
    <cellStyle name="Normal 4 8" xfId="5583" xr:uid="{00000000-0005-0000-0000-000036420000}"/>
    <cellStyle name="Normal 4 9" xfId="10956" xr:uid="{00000000-0005-0000-0000-000037420000}"/>
    <cellStyle name="Normal 4_20141211 Tan Mai - Hanh" xfId="10957" xr:uid="{00000000-0005-0000-0000-000038420000}"/>
    <cellStyle name="Normal 40" xfId="5584" xr:uid="{00000000-0005-0000-0000-000039420000}"/>
    <cellStyle name="Normal 40 2" xfId="10958" xr:uid="{00000000-0005-0000-0000-00003A420000}"/>
    <cellStyle name="Normal 40_TOM TAT" xfId="10959" xr:uid="{00000000-0005-0000-0000-00003B420000}"/>
    <cellStyle name="Normal 41" xfId="5585" xr:uid="{00000000-0005-0000-0000-00003C420000}"/>
    <cellStyle name="Normal 41 2" xfId="10960" xr:uid="{00000000-0005-0000-0000-00003D420000}"/>
    <cellStyle name="Normal 41_TOM TAT" xfId="10961" xr:uid="{00000000-0005-0000-0000-00003E420000}"/>
    <cellStyle name="Normal 42" xfId="5586" xr:uid="{00000000-0005-0000-0000-00003F420000}"/>
    <cellStyle name="Normal 42 2" xfId="10962" xr:uid="{00000000-0005-0000-0000-000040420000}"/>
    <cellStyle name="Normal 42_TOM TAT" xfId="10963" xr:uid="{00000000-0005-0000-0000-000041420000}"/>
    <cellStyle name="Normal 43" xfId="5587" xr:uid="{00000000-0005-0000-0000-000042420000}"/>
    <cellStyle name="Normal 43 2" xfId="10964" xr:uid="{00000000-0005-0000-0000-000043420000}"/>
    <cellStyle name="Normal 43_TOM TAT" xfId="10965" xr:uid="{00000000-0005-0000-0000-000044420000}"/>
    <cellStyle name="Normal 44" xfId="5588" xr:uid="{00000000-0005-0000-0000-000045420000}"/>
    <cellStyle name="Normal 44 2" xfId="10966" xr:uid="{00000000-0005-0000-0000-000046420000}"/>
    <cellStyle name="Normal 44_TOM TAT" xfId="23265" xr:uid="{00000000-0005-0000-0000-000047420000}"/>
    <cellStyle name="Normal 45" xfId="5589" xr:uid="{00000000-0005-0000-0000-000048420000}"/>
    <cellStyle name="Normal 45 2" xfId="10967" xr:uid="{00000000-0005-0000-0000-000049420000}"/>
    <cellStyle name="Normal 45 2 2" xfId="10968" xr:uid="{00000000-0005-0000-0000-00004A420000}"/>
    <cellStyle name="Normal 45 2 2 2" xfId="10969" xr:uid="{00000000-0005-0000-0000-00004B420000}"/>
    <cellStyle name="Normal 45 2 2 2 2" xfId="30723" xr:uid="{00000000-0005-0000-0000-00004C420000}"/>
    <cellStyle name="Normal 45 2 2 2 3" xfId="16221" xr:uid="{00000000-0005-0000-0000-00004D420000}"/>
    <cellStyle name="Normal 45 2 2 2_TOM TAT" xfId="23266" xr:uid="{00000000-0005-0000-0000-00004E420000}"/>
    <cellStyle name="Normal 45 2 2 3" xfId="30722" xr:uid="{00000000-0005-0000-0000-00004F420000}"/>
    <cellStyle name="Normal 45 2 2 4" xfId="16220" xr:uid="{00000000-0005-0000-0000-000050420000}"/>
    <cellStyle name="Normal 45 2 2_TOM TAT" xfId="10970" xr:uid="{00000000-0005-0000-0000-000051420000}"/>
    <cellStyle name="Normal 45 2 3" xfId="10971" xr:uid="{00000000-0005-0000-0000-000052420000}"/>
    <cellStyle name="Normal 45 2 3 2" xfId="30724" xr:uid="{00000000-0005-0000-0000-000053420000}"/>
    <cellStyle name="Normal 45 2 3 3" xfId="16222" xr:uid="{00000000-0005-0000-0000-000054420000}"/>
    <cellStyle name="Normal 45 2 3_TOM TAT" xfId="23267" xr:uid="{00000000-0005-0000-0000-000055420000}"/>
    <cellStyle name="Normal 45 2 4" xfId="30721" xr:uid="{00000000-0005-0000-0000-000056420000}"/>
    <cellStyle name="Normal 45 2 5" xfId="16219" xr:uid="{00000000-0005-0000-0000-000057420000}"/>
    <cellStyle name="Normal 45 2_TOM TAT" xfId="10972" xr:uid="{00000000-0005-0000-0000-000058420000}"/>
    <cellStyle name="Normal 45 3" xfId="10973" xr:uid="{00000000-0005-0000-0000-000059420000}"/>
    <cellStyle name="Normal 45 3 2" xfId="10974" xr:uid="{00000000-0005-0000-0000-00005A420000}"/>
    <cellStyle name="Normal 45 3 2 2" xfId="10975" xr:uid="{00000000-0005-0000-0000-00005B420000}"/>
    <cellStyle name="Normal 45 3 2 2 2" xfId="30727" xr:uid="{00000000-0005-0000-0000-00005C420000}"/>
    <cellStyle name="Normal 45 3 2 2 3" xfId="16225" xr:uid="{00000000-0005-0000-0000-00005D420000}"/>
    <cellStyle name="Normal 45 3 2 2_TOM TAT" xfId="23268" xr:uid="{00000000-0005-0000-0000-00005E420000}"/>
    <cellStyle name="Normal 45 3 2 3" xfId="30726" xr:uid="{00000000-0005-0000-0000-00005F420000}"/>
    <cellStyle name="Normal 45 3 2 4" xfId="16224" xr:uid="{00000000-0005-0000-0000-000060420000}"/>
    <cellStyle name="Normal 45 3 2_TOM TAT" xfId="10976" xr:uid="{00000000-0005-0000-0000-000061420000}"/>
    <cellStyle name="Normal 45 3 3" xfId="10977" xr:uid="{00000000-0005-0000-0000-000062420000}"/>
    <cellStyle name="Normal 45 3 3 2" xfId="30728" xr:uid="{00000000-0005-0000-0000-000063420000}"/>
    <cellStyle name="Normal 45 3 3 3" xfId="16226" xr:uid="{00000000-0005-0000-0000-000064420000}"/>
    <cellStyle name="Normal 45 3 3_TOM TAT" xfId="23269" xr:uid="{00000000-0005-0000-0000-000065420000}"/>
    <cellStyle name="Normal 45 3 4" xfId="30725" xr:uid="{00000000-0005-0000-0000-000066420000}"/>
    <cellStyle name="Normal 45 3 5" xfId="16223" xr:uid="{00000000-0005-0000-0000-000067420000}"/>
    <cellStyle name="Normal 45 3_TOM TAT" xfId="10978" xr:uid="{00000000-0005-0000-0000-000068420000}"/>
    <cellStyle name="Normal 45 4" xfId="10979" xr:uid="{00000000-0005-0000-0000-000069420000}"/>
    <cellStyle name="Normal 45 4 2" xfId="10980" xr:uid="{00000000-0005-0000-0000-00006A420000}"/>
    <cellStyle name="Normal 45 4 2 2" xfId="30730" xr:uid="{00000000-0005-0000-0000-00006B420000}"/>
    <cellStyle name="Normal 45 4 2 3" xfId="16228" xr:uid="{00000000-0005-0000-0000-00006C420000}"/>
    <cellStyle name="Normal 45 4 2_TOM TAT" xfId="23270" xr:uid="{00000000-0005-0000-0000-00006D420000}"/>
    <cellStyle name="Normal 45 4 3" xfId="30729" xr:uid="{00000000-0005-0000-0000-00006E420000}"/>
    <cellStyle name="Normal 45 4 4" xfId="16227" xr:uid="{00000000-0005-0000-0000-00006F420000}"/>
    <cellStyle name="Normal 45 4_TOM TAT" xfId="10981" xr:uid="{00000000-0005-0000-0000-000070420000}"/>
    <cellStyle name="Normal 45 5" xfId="10982" xr:uid="{00000000-0005-0000-0000-000071420000}"/>
    <cellStyle name="Normal 45 5 2" xfId="30731" xr:uid="{00000000-0005-0000-0000-000072420000}"/>
    <cellStyle name="Normal 45 5 3" xfId="16229" xr:uid="{00000000-0005-0000-0000-000073420000}"/>
    <cellStyle name="Normal 45 5_TOM TAT" xfId="23271" xr:uid="{00000000-0005-0000-0000-000074420000}"/>
    <cellStyle name="Normal 45_TOM TAT" xfId="10983" xr:uid="{00000000-0005-0000-0000-000075420000}"/>
    <cellStyle name="Normal 46" xfId="5590" xr:uid="{00000000-0005-0000-0000-000076420000}"/>
    <cellStyle name="Normal 46 2" xfId="10984" xr:uid="{00000000-0005-0000-0000-000077420000}"/>
    <cellStyle name="Normal 46 2 2" xfId="10985" xr:uid="{00000000-0005-0000-0000-000078420000}"/>
    <cellStyle name="Normal 46 2 2 2" xfId="10986" xr:uid="{00000000-0005-0000-0000-000079420000}"/>
    <cellStyle name="Normal 46 2 2 2 2" xfId="30734" xr:uid="{00000000-0005-0000-0000-00007A420000}"/>
    <cellStyle name="Normal 46 2 2 2 3" xfId="16232" xr:uid="{00000000-0005-0000-0000-00007B420000}"/>
    <cellStyle name="Normal 46 2 2 2_TOM TAT" xfId="23272" xr:uid="{00000000-0005-0000-0000-00007C420000}"/>
    <cellStyle name="Normal 46 2 2 3" xfId="30733" xr:uid="{00000000-0005-0000-0000-00007D420000}"/>
    <cellStyle name="Normal 46 2 2 4" xfId="16231" xr:uid="{00000000-0005-0000-0000-00007E420000}"/>
    <cellStyle name="Normal 46 2 2_TOM TAT" xfId="10987" xr:uid="{00000000-0005-0000-0000-00007F420000}"/>
    <cellStyle name="Normal 46 2 3" xfId="10988" xr:uid="{00000000-0005-0000-0000-000080420000}"/>
    <cellStyle name="Normal 46 2 3 2" xfId="30735" xr:uid="{00000000-0005-0000-0000-000081420000}"/>
    <cellStyle name="Normal 46 2 3 3" xfId="16233" xr:uid="{00000000-0005-0000-0000-000082420000}"/>
    <cellStyle name="Normal 46 2 3_TOM TAT" xfId="23273" xr:uid="{00000000-0005-0000-0000-000083420000}"/>
    <cellStyle name="Normal 46 2 4" xfId="30732" xr:uid="{00000000-0005-0000-0000-000084420000}"/>
    <cellStyle name="Normal 46 2 5" xfId="16230" xr:uid="{00000000-0005-0000-0000-000085420000}"/>
    <cellStyle name="Normal 46 2_TOM TAT" xfId="10989" xr:uid="{00000000-0005-0000-0000-000086420000}"/>
    <cellStyle name="Normal 46 3" xfId="10990" xr:uid="{00000000-0005-0000-0000-000087420000}"/>
    <cellStyle name="Normal 46 3 2" xfId="10991" xr:uid="{00000000-0005-0000-0000-000088420000}"/>
    <cellStyle name="Normal 46 3 2 2" xfId="10992" xr:uid="{00000000-0005-0000-0000-000089420000}"/>
    <cellStyle name="Normal 46 3 2 2 2" xfId="30738" xr:uid="{00000000-0005-0000-0000-00008A420000}"/>
    <cellStyle name="Normal 46 3 2 2 3" xfId="16236" xr:uid="{00000000-0005-0000-0000-00008B420000}"/>
    <cellStyle name="Normal 46 3 2 2_TOM TAT" xfId="23274" xr:uid="{00000000-0005-0000-0000-00008C420000}"/>
    <cellStyle name="Normal 46 3 2 3" xfId="30737" xr:uid="{00000000-0005-0000-0000-00008D420000}"/>
    <cellStyle name="Normal 46 3 2 4" xfId="16235" xr:uid="{00000000-0005-0000-0000-00008E420000}"/>
    <cellStyle name="Normal 46 3 2_TOM TAT" xfId="10993" xr:uid="{00000000-0005-0000-0000-00008F420000}"/>
    <cellStyle name="Normal 46 3 3" xfId="10994" xr:uid="{00000000-0005-0000-0000-000090420000}"/>
    <cellStyle name="Normal 46 3 3 2" xfId="30739" xr:uid="{00000000-0005-0000-0000-000091420000}"/>
    <cellStyle name="Normal 46 3 3 3" xfId="16237" xr:uid="{00000000-0005-0000-0000-000092420000}"/>
    <cellStyle name="Normal 46 3 3_TOM TAT" xfId="23275" xr:uid="{00000000-0005-0000-0000-000093420000}"/>
    <cellStyle name="Normal 46 3 4" xfId="30736" xr:uid="{00000000-0005-0000-0000-000094420000}"/>
    <cellStyle name="Normal 46 3 5" xfId="16234" xr:uid="{00000000-0005-0000-0000-000095420000}"/>
    <cellStyle name="Normal 46 3_TOM TAT" xfId="10995" xr:uid="{00000000-0005-0000-0000-000096420000}"/>
    <cellStyle name="Normal 46 4" xfId="10996" xr:uid="{00000000-0005-0000-0000-000097420000}"/>
    <cellStyle name="Normal 46 4 2" xfId="10997" xr:uid="{00000000-0005-0000-0000-000098420000}"/>
    <cellStyle name="Normal 46 4 2 2" xfId="30741" xr:uid="{00000000-0005-0000-0000-000099420000}"/>
    <cellStyle name="Normal 46 4 2 3" xfId="16239" xr:uid="{00000000-0005-0000-0000-00009A420000}"/>
    <cellStyle name="Normal 46 4 2_TOM TAT" xfId="23276" xr:uid="{00000000-0005-0000-0000-00009B420000}"/>
    <cellStyle name="Normal 46 4 3" xfId="30740" xr:uid="{00000000-0005-0000-0000-00009C420000}"/>
    <cellStyle name="Normal 46 4 4" xfId="16238" xr:uid="{00000000-0005-0000-0000-00009D420000}"/>
    <cellStyle name="Normal 46 4_TOM TAT" xfId="10998" xr:uid="{00000000-0005-0000-0000-00009E420000}"/>
    <cellStyle name="Normal 46 5" xfId="10999" xr:uid="{00000000-0005-0000-0000-00009F420000}"/>
    <cellStyle name="Normal 46 5 2" xfId="30742" xr:uid="{00000000-0005-0000-0000-0000A0420000}"/>
    <cellStyle name="Normal 46 5 3" xfId="16240" xr:uid="{00000000-0005-0000-0000-0000A1420000}"/>
    <cellStyle name="Normal 46 5_TOM TAT" xfId="23277" xr:uid="{00000000-0005-0000-0000-0000A2420000}"/>
    <cellStyle name="Normal 46_TOM TAT" xfId="11000" xr:uid="{00000000-0005-0000-0000-0000A3420000}"/>
    <cellStyle name="Normal 47" xfId="5591" xr:uid="{00000000-0005-0000-0000-0000A4420000}"/>
    <cellStyle name="Normal 47 2" xfId="11001" xr:uid="{00000000-0005-0000-0000-0000A5420000}"/>
    <cellStyle name="Normal 47 2 2" xfId="11002" xr:uid="{00000000-0005-0000-0000-0000A6420000}"/>
    <cellStyle name="Normal 47 2 2 2" xfId="11003" xr:uid="{00000000-0005-0000-0000-0000A7420000}"/>
    <cellStyle name="Normal 47 2 2 2 2" xfId="30745" xr:uid="{00000000-0005-0000-0000-0000A8420000}"/>
    <cellStyle name="Normal 47 2 2 2 3" xfId="16243" xr:uid="{00000000-0005-0000-0000-0000A9420000}"/>
    <cellStyle name="Normal 47 2 2 2_TOM TAT" xfId="23278" xr:uid="{00000000-0005-0000-0000-0000AA420000}"/>
    <cellStyle name="Normal 47 2 2 3" xfId="30744" xr:uid="{00000000-0005-0000-0000-0000AB420000}"/>
    <cellStyle name="Normal 47 2 2 4" xfId="16242" xr:uid="{00000000-0005-0000-0000-0000AC420000}"/>
    <cellStyle name="Normal 47 2 2_TOM TAT" xfId="11004" xr:uid="{00000000-0005-0000-0000-0000AD420000}"/>
    <cellStyle name="Normal 47 2 3" xfId="11005" xr:uid="{00000000-0005-0000-0000-0000AE420000}"/>
    <cellStyle name="Normal 47 2 3 2" xfId="30746" xr:uid="{00000000-0005-0000-0000-0000AF420000}"/>
    <cellStyle name="Normal 47 2 3 3" xfId="16244" xr:uid="{00000000-0005-0000-0000-0000B0420000}"/>
    <cellStyle name="Normal 47 2 3_TOM TAT" xfId="23279" xr:uid="{00000000-0005-0000-0000-0000B1420000}"/>
    <cellStyle name="Normal 47 2 4" xfId="30743" xr:uid="{00000000-0005-0000-0000-0000B2420000}"/>
    <cellStyle name="Normal 47 2 5" xfId="16241" xr:uid="{00000000-0005-0000-0000-0000B3420000}"/>
    <cellStyle name="Normal 47 2_TOM TAT" xfId="11006" xr:uid="{00000000-0005-0000-0000-0000B4420000}"/>
    <cellStyle name="Normal 47 3" xfId="11007" xr:uid="{00000000-0005-0000-0000-0000B5420000}"/>
    <cellStyle name="Normal 47 3 2" xfId="11008" xr:uid="{00000000-0005-0000-0000-0000B6420000}"/>
    <cellStyle name="Normal 47 3 2 2" xfId="11009" xr:uid="{00000000-0005-0000-0000-0000B7420000}"/>
    <cellStyle name="Normal 47 3 2 2 2" xfId="30749" xr:uid="{00000000-0005-0000-0000-0000B8420000}"/>
    <cellStyle name="Normal 47 3 2 2 3" xfId="16247" xr:uid="{00000000-0005-0000-0000-0000B9420000}"/>
    <cellStyle name="Normal 47 3 2 2_TOM TAT" xfId="23280" xr:uid="{00000000-0005-0000-0000-0000BA420000}"/>
    <cellStyle name="Normal 47 3 2 3" xfId="30748" xr:uid="{00000000-0005-0000-0000-0000BB420000}"/>
    <cellStyle name="Normal 47 3 2 4" xfId="16246" xr:uid="{00000000-0005-0000-0000-0000BC420000}"/>
    <cellStyle name="Normal 47 3 2_TOM TAT" xfId="11010" xr:uid="{00000000-0005-0000-0000-0000BD420000}"/>
    <cellStyle name="Normal 47 3 3" xfId="11011" xr:uid="{00000000-0005-0000-0000-0000BE420000}"/>
    <cellStyle name="Normal 47 3 3 2" xfId="30750" xr:uid="{00000000-0005-0000-0000-0000BF420000}"/>
    <cellStyle name="Normal 47 3 3 3" xfId="16248" xr:uid="{00000000-0005-0000-0000-0000C0420000}"/>
    <cellStyle name="Normal 47 3 3_TOM TAT" xfId="23281" xr:uid="{00000000-0005-0000-0000-0000C1420000}"/>
    <cellStyle name="Normal 47 3 4" xfId="30747" xr:uid="{00000000-0005-0000-0000-0000C2420000}"/>
    <cellStyle name="Normal 47 3 5" xfId="16245" xr:uid="{00000000-0005-0000-0000-0000C3420000}"/>
    <cellStyle name="Normal 47 3_TOM TAT" xfId="11012" xr:uid="{00000000-0005-0000-0000-0000C4420000}"/>
    <cellStyle name="Normal 47 4" xfId="11013" xr:uid="{00000000-0005-0000-0000-0000C5420000}"/>
    <cellStyle name="Normal 47 4 2" xfId="11014" xr:uid="{00000000-0005-0000-0000-0000C6420000}"/>
    <cellStyle name="Normal 47 4 2 2" xfId="30752" xr:uid="{00000000-0005-0000-0000-0000C7420000}"/>
    <cellStyle name="Normal 47 4 2 3" xfId="16250" xr:uid="{00000000-0005-0000-0000-0000C8420000}"/>
    <cellStyle name="Normal 47 4 2_TOM TAT" xfId="23282" xr:uid="{00000000-0005-0000-0000-0000C9420000}"/>
    <cellStyle name="Normal 47 4 3" xfId="30751" xr:uid="{00000000-0005-0000-0000-0000CA420000}"/>
    <cellStyle name="Normal 47 4 4" xfId="16249" xr:uid="{00000000-0005-0000-0000-0000CB420000}"/>
    <cellStyle name="Normal 47 4_TOM TAT" xfId="11015" xr:uid="{00000000-0005-0000-0000-0000CC420000}"/>
    <cellStyle name="Normal 47 5" xfId="11016" xr:uid="{00000000-0005-0000-0000-0000CD420000}"/>
    <cellStyle name="Normal 47 5 2" xfId="30753" xr:uid="{00000000-0005-0000-0000-0000CE420000}"/>
    <cellStyle name="Normal 47 5 3" xfId="16251" xr:uid="{00000000-0005-0000-0000-0000CF420000}"/>
    <cellStyle name="Normal 47 5_TOM TAT" xfId="23283" xr:uid="{00000000-0005-0000-0000-0000D0420000}"/>
    <cellStyle name="Normal 47 6" xfId="28264" xr:uid="{00000000-0005-0000-0000-0000D1420000}"/>
    <cellStyle name="Normal 47 7" xfId="14703" xr:uid="{00000000-0005-0000-0000-0000D2420000}"/>
    <cellStyle name="Normal 47_TOM TAT" xfId="11017" xr:uid="{00000000-0005-0000-0000-0000D3420000}"/>
    <cellStyle name="Normal 48" xfId="5592" xr:uid="{00000000-0005-0000-0000-0000D4420000}"/>
    <cellStyle name="Normal 48 2" xfId="11018" xr:uid="{00000000-0005-0000-0000-0000D5420000}"/>
    <cellStyle name="Normal 48 2 2" xfId="11019" xr:uid="{00000000-0005-0000-0000-0000D6420000}"/>
    <cellStyle name="Normal 48 2 2 2" xfId="11020" xr:uid="{00000000-0005-0000-0000-0000D7420000}"/>
    <cellStyle name="Normal 48 2 2 2 2" xfId="30756" xr:uid="{00000000-0005-0000-0000-0000D8420000}"/>
    <cellStyle name="Normal 48 2 2 2 3" xfId="16254" xr:uid="{00000000-0005-0000-0000-0000D9420000}"/>
    <cellStyle name="Normal 48 2 2 2_TOM TAT" xfId="23284" xr:uid="{00000000-0005-0000-0000-0000DA420000}"/>
    <cellStyle name="Normal 48 2 2 3" xfId="30755" xr:uid="{00000000-0005-0000-0000-0000DB420000}"/>
    <cellStyle name="Normal 48 2 2 4" xfId="16253" xr:uid="{00000000-0005-0000-0000-0000DC420000}"/>
    <cellStyle name="Normal 48 2 2_TOM TAT" xfId="11021" xr:uid="{00000000-0005-0000-0000-0000DD420000}"/>
    <cellStyle name="Normal 48 2 3" xfId="11022" xr:uid="{00000000-0005-0000-0000-0000DE420000}"/>
    <cellStyle name="Normal 48 2 3 2" xfId="30757" xr:uid="{00000000-0005-0000-0000-0000DF420000}"/>
    <cellStyle name="Normal 48 2 3 3" xfId="16255" xr:uid="{00000000-0005-0000-0000-0000E0420000}"/>
    <cellStyle name="Normal 48 2 3_TOM TAT" xfId="23285" xr:uid="{00000000-0005-0000-0000-0000E1420000}"/>
    <cellStyle name="Normal 48 2 4" xfId="30754" xr:uid="{00000000-0005-0000-0000-0000E2420000}"/>
    <cellStyle name="Normal 48 2 5" xfId="16252" xr:uid="{00000000-0005-0000-0000-0000E3420000}"/>
    <cellStyle name="Normal 48 2_TOM TAT" xfId="11023" xr:uid="{00000000-0005-0000-0000-0000E4420000}"/>
    <cellStyle name="Normal 48 3" xfId="11024" xr:uid="{00000000-0005-0000-0000-0000E5420000}"/>
    <cellStyle name="Normal 48 3 2" xfId="11025" xr:uid="{00000000-0005-0000-0000-0000E6420000}"/>
    <cellStyle name="Normal 48 3 2 2" xfId="11026" xr:uid="{00000000-0005-0000-0000-0000E7420000}"/>
    <cellStyle name="Normal 48 3 2 2 2" xfId="30760" xr:uid="{00000000-0005-0000-0000-0000E8420000}"/>
    <cellStyle name="Normal 48 3 2 2 3" xfId="16258" xr:uid="{00000000-0005-0000-0000-0000E9420000}"/>
    <cellStyle name="Normal 48 3 2 2_TOM TAT" xfId="23286" xr:uid="{00000000-0005-0000-0000-0000EA420000}"/>
    <cellStyle name="Normal 48 3 2 3" xfId="30759" xr:uid="{00000000-0005-0000-0000-0000EB420000}"/>
    <cellStyle name="Normal 48 3 2 4" xfId="16257" xr:uid="{00000000-0005-0000-0000-0000EC420000}"/>
    <cellStyle name="Normal 48 3 2_TOM TAT" xfId="11027" xr:uid="{00000000-0005-0000-0000-0000ED420000}"/>
    <cellStyle name="Normal 48 3 3" xfId="11028" xr:uid="{00000000-0005-0000-0000-0000EE420000}"/>
    <cellStyle name="Normal 48 3 3 2" xfId="30761" xr:uid="{00000000-0005-0000-0000-0000EF420000}"/>
    <cellStyle name="Normal 48 3 3 3" xfId="16259" xr:uid="{00000000-0005-0000-0000-0000F0420000}"/>
    <cellStyle name="Normal 48 3 3_TOM TAT" xfId="23287" xr:uid="{00000000-0005-0000-0000-0000F1420000}"/>
    <cellStyle name="Normal 48 3 4" xfId="30758" xr:uid="{00000000-0005-0000-0000-0000F2420000}"/>
    <cellStyle name="Normal 48 3 5" xfId="16256" xr:uid="{00000000-0005-0000-0000-0000F3420000}"/>
    <cellStyle name="Normal 48 3_TOM TAT" xfId="11029" xr:uid="{00000000-0005-0000-0000-0000F4420000}"/>
    <cellStyle name="Normal 48 4" xfId="11030" xr:uid="{00000000-0005-0000-0000-0000F5420000}"/>
    <cellStyle name="Normal 48 4 2" xfId="11031" xr:uid="{00000000-0005-0000-0000-0000F6420000}"/>
    <cellStyle name="Normal 48 4 2 2" xfId="30763" xr:uid="{00000000-0005-0000-0000-0000F7420000}"/>
    <cellStyle name="Normal 48 4 2 3" xfId="16261" xr:uid="{00000000-0005-0000-0000-0000F8420000}"/>
    <cellStyle name="Normal 48 4 2_TOM TAT" xfId="23288" xr:uid="{00000000-0005-0000-0000-0000F9420000}"/>
    <cellStyle name="Normal 48 4 3" xfId="30762" xr:uid="{00000000-0005-0000-0000-0000FA420000}"/>
    <cellStyle name="Normal 48 4 4" xfId="16260" xr:uid="{00000000-0005-0000-0000-0000FB420000}"/>
    <cellStyle name="Normal 48 4_TOM TAT" xfId="11032" xr:uid="{00000000-0005-0000-0000-0000FC420000}"/>
    <cellStyle name="Normal 48 5" xfId="11033" xr:uid="{00000000-0005-0000-0000-0000FD420000}"/>
    <cellStyle name="Normal 48 5 2" xfId="30764" xr:uid="{00000000-0005-0000-0000-0000FE420000}"/>
    <cellStyle name="Normal 48 5 3" xfId="16262" xr:uid="{00000000-0005-0000-0000-0000FF420000}"/>
    <cellStyle name="Normal 48 5_TOM TAT" xfId="23289" xr:uid="{00000000-0005-0000-0000-000000430000}"/>
    <cellStyle name="Normal 48 6" xfId="28265" xr:uid="{00000000-0005-0000-0000-000001430000}"/>
    <cellStyle name="Normal 48 7" xfId="14704" xr:uid="{00000000-0005-0000-0000-000002430000}"/>
    <cellStyle name="Normal 48_TOM TAT" xfId="11034" xr:uid="{00000000-0005-0000-0000-000003430000}"/>
    <cellStyle name="Normal 49" xfId="5593" xr:uid="{00000000-0005-0000-0000-000004430000}"/>
    <cellStyle name="Normal 49 2" xfId="11035" xr:uid="{00000000-0005-0000-0000-000005430000}"/>
    <cellStyle name="Normal 49 2 2" xfId="11036" xr:uid="{00000000-0005-0000-0000-000006430000}"/>
    <cellStyle name="Normal 49 2 2 2" xfId="11037" xr:uid="{00000000-0005-0000-0000-000007430000}"/>
    <cellStyle name="Normal 49 2 2 2 2" xfId="30767" xr:uid="{00000000-0005-0000-0000-000008430000}"/>
    <cellStyle name="Normal 49 2 2 2 3" xfId="16265" xr:uid="{00000000-0005-0000-0000-000009430000}"/>
    <cellStyle name="Normal 49 2 2 2_TOM TAT" xfId="23290" xr:uid="{00000000-0005-0000-0000-00000A430000}"/>
    <cellStyle name="Normal 49 2 2 3" xfId="30766" xr:uid="{00000000-0005-0000-0000-00000B430000}"/>
    <cellStyle name="Normal 49 2 2 4" xfId="16264" xr:uid="{00000000-0005-0000-0000-00000C430000}"/>
    <cellStyle name="Normal 49 2 2_TOM TAT" xfId="11038" xr:uid="{00000000-0005-0000-0000-00000D430000}"/>
    <cellStyle name="Normal 49 2 3" xfId="11039" xr:uid="{00000000-0005-0000-0000-00000E430000}"/>
    <cellStyle name="Normal 49 2 3 2" xfId="30768" xr:uid="{00000000-0005-0000-0000-00000F430000}"/>
    <cellStyle name="Normal 49 2 3 3" xfId="16266" xr:uid="{00000000-0005-0000-0000-000010430000}"/>
    <cellStyle name="Normal 49 2 3_TOM TAT" xfId="23291" xr:uid="{00000000-0005-0000-0000-000011430000}"/>
    <cellStyle name="Normal 49 2 4" xfId="30765" xr:uid="{00000000-0005-0000-0000-000012430000}"/>
    <cellStyle name="Normal 49 2 5" xfId="16263" xr:uid="{00000000-0005-0000-0000-000013430000}"/>
    <cellStyle name="Normal 49 2_TOM TAT" xfId="11040" xr:uid="{00000000-0005-0000-0000-000014430000}"/>
    <cellStyle name="Normal 49 3" xfId="11041" xr:uid="{00000000-0005-0000-0000-000015430000}"/>
    <cellStyle name="Normal 49 3 2" xfId="11042" xr:uid="{00000000-0005-0000-0000-000016430000}"/>
    <cellStyle name="Normal 49 3 2 2" xfId="30770" xr:uid="{00000000-0005-0000-0000-000017430000}"/>
    <cellStyle name="Normal 49 3 2 3" xfId="16268" xr:uid="{00000000-0005-0000-0000-000018430000}"/>
    <cellStyle name="Normal 49 3 2_TOM TAT" xfId="23292" xr:uid="{00000000-0005-0000-0000-000019430000}"/>
    <cellStyle name="Normal 49 3 3" xfId="30769" xr:uid="{00000000-0005-0000-0000-00001A430000}"/>
    <cellStyle name="Normal 49 3 4" xfId="16267" xr:uid="{00000000-0005-0000-0000-00001B430000}"/>
    <cellStyle name="Normal 49 3_TOM TAT" xfId="11043" xr:uid="{00000000-0005-0000-0000-00001C430000}"/>
    <cellStyle name="Normal 49 4" xfId="11044" xr:uid="{00000000-0005-0000-0000-00001D430000}"/>
    <cellStyle name="Normal 49 4 2" xfId="30771" xr:uid="{00000000-0005-0000-0000-00001E430000}"/>
    <cellStyle name="Normal 49 4 3" xfId="16269" xr:uid="{00000000-0005-0000-0000-00001F430000}"/>
    <cellStyle name="Normal 49 4_TOM TAT" xfId="23293" xr:uid="{00000000-0005-0000-0000-000020430000}"/>
    <cellStyle name="Normal 49 5" xfId="28266" xr:uid="{00000000-0005-0000-0000-000021430000}"/>
    <cellStyle name="Normal 49 6" xfId="14705" xr:uid="{00000000-0005-0000-0000-000022430000}"/>
    <cellStyle name="Normal 49_TOM TAT" xfId="11045" xr:uid="{00000000-0005-0000-0000-000023430000}"/>
    <cellStyle name="Normal 5" xfId="1364" xr:uid="{00000000-0005-0000-0000-000024430000}"/>
    <cellStyle name="Normal 5 10" xfId="2260" xr:uid="{00000000-0005-0000-0000-000025430000}"/>
    <cellStyle name="Normal 5 10 2" xfId="11046" xr:uid="{00000000-0005-0000-0000-000026430000}"/>
    <cellStyle name="Normal 5 10_TOM TAT" xfId="11047" xr:uid="{00000000-0005-0000-0000-000027430000}"/>
    <cellStyle name="Normal 5 11" xfId="4432" xr:uid="{00000000-0005-0000-0000-000028430000}"/>
    <cellStyle name="Normal 5 11 2" xfId="11048" xr:uid="{00000000-0005-0000-0000-000029430000}"/>
    <cellStyle name="Normal 5 11_TOM TAT" xfId="11049" xr:uid="{00000000-0005-0000-0000-00002A430000}"/>
    <cellStyle name="Normal 5 12" xfId="11050" xr:uid="{00000000-0005-0000-0000-00002B430000}"/>
    <cellStyle name="Normal 5 13" xfId="11051" xr:uid="{00000000-0005-0000-0000-00002C430000}"/>
    <cellStyle name="Normal 5 14" xfId="11052" xr:uid="{00000000-0005-0000-0000-00002D430000}"/>
    <cellStyle name="Normal 5 15" xfId="18217" xr:uid="{00000000-0005-0000-0000-00002E430000}"/>
    <cellStyle name="Normal 5 16" xfId="18688" xr:uid="{00000000-0005-0000-0000-00002F430000}"/>
    <cellStyle name="Normal 5 17" xfId="26984" xr:uid="{00000000-0005-0000-0000-000030430000}"/>
    <cellStyle name="Normal 5 18" xfId="14629" xr:uid="{00000000-0005-0000-0000-000031430000}"/>
    <cellStyle name="Normal 5 19" xfId="32294" xr:uid="{00000000-0005-0000-0000-000032430000}"/>
    <cellStyle name="Normal 5 2" xfId="2261" xr:uid="{00000000-0005-0000-0000-000033430000}"/>
    <cellStyle name="Normal 5 2 10" xfId="11053" xr:uid="{00000000-0005-0000-0000-000034430000}"/>
    <cellStyle name="Normal 5 2 2" xfId="2262" xr:uid="{00000000-0005-0000-0000-000035430000}"/>
    <cellStyle name="Normal 5 2 2 2" xfId="2263" xr:uid="{00000000-0005-0000-0000-000036430000}"/>
    <cellStyle name="Normal 5 2 2 2 2" xfId="2264" xr:uid="{00000000-0005-0000-0000-000037430000}"/>
    <cellStyle name="Normal 5 2 2 2 3" xfId="11054" xr:uid="{00000000-0005-0000-0000-000038430000}"/>
    <cellStyle name="Normal 5 2 2 2_TOM TAT" xfId="11055" xr:uid="{00000000-0005-0000-0000-000039430000}"/>
    <cellStyle name="Normal 5 2 2 3" xfId="11056" xr:uid="{00000000-0005-0000-0000-00003A430000}"/>
    <cellStyle name="Normal 5 2 2 4" xfId="18637" xr:uid="{00000000-0005-0000-0000-00003B430000}"/>
    <cellStyle name="Normal 5 2 2 5" xfId="18927" xr:uid="{00000000-0005-0000-0000-00003C430000}"/>
    <cellStyle name="Normal 5 2 2_TOM TAT" xfId="11057" xr:uid="{00000000-0005-0000-0000-00003D430000}"/>
    <cellStyle name="Normal 5 2 3" xfId="2265" xr:uid="{00000000-0005-0000-0000-00003E430000}"/>
    <cellStyle name="Normal 5 2 3 2" xfId="2266" xr:uid="{00000000-0005-0000-0000-00003F430000}"/>
    <cellStyle name="Normal 5 2 3 2 2" xfId="11058" xr:uid="{00000000-0005-0000-0000-000040430000}"/>
    <cellStyle name="Normal 5 2 3 2_TOM TAT" xfId="11059" xr:uid="{00000000-0005-0000-0000-000041430000}"/>
    <cellStyle name="Normal 5 2 3 3" xfId="11060" xr:uid="{00000000-0005-0000-0000-000042430000}"/>
    <cellStyle name="Normal 5 2 3_TOM TAT" xfId="11061" xr:uid="{00000000-0005-0000-0000-000043430000}"/>
    <cellStyle name="Normal 5 2 4" xfId="2267" xr:uid="{00000000-0005-0000-0000-000044430000}"/>
    <cellStyle name="Normal 5 2 4 2" xfId="2268" xr:uid="{00000000-0005-0000-0000-000045430000}"/>
    <cellStyle name="Normal 5 2 4 2 2" xfId="11062" xr:uid="{00000000-0005-0000-0000-000046430000}"/>
    <cellStyle name="Normal 5 2 4 2_TOM TAT" xfId="11063" xr:uid="{00000000-0005-0000-0000-000047430000}"/>
    <cellStyle name="Normal 5 2 4 3" xfId="11064" xr:uid="{00000000-0005-0000-0000-000048430000}"/>
    <cellStyle name="Normal 5 2 4_TOM TAT" xfId="11065" xr:uid="{00000000-0005-0000-0000-000049430000}"/>
    <cellStyle name="Normal 5 2 5" xfId="2269" xr:uid="{00000000-0005-0000-0000-00004A430000}"/>
    <cellStyle name="Normal 5 2 5 2" xfId="2270" xr:uid="{00000000-0005-0000-0000-00004B430000}"/>
    <cellStyle name="Normal 5 2 5 2 2" xfId="11066" xr:uid="{00000000-0005-0000-0000-00004C430000}"/>
    <cellStyle name="Normal 5 2 5 2_TOM TAT" xfId="11067" xr:uid="{00000000-0005-0000-0000-00004D430000}"/>
    <cellStyle name="Normal 5 2 5 3" xfId="11068" xr:uid="{00000000-0005-0000-0000-00004E430000}"/>
    <cellStyle name="Normal 5 2 5_TOM TAT" xfId="11069" xr:uid="{00000000-0005-0000-0000-00004F430000}"/>
    <cellStyle name="Normal 5 2 6" xfId="2271" xr:uid="{00000000-0005-0000-0000-000050430000}"/>
    <cellStyle name="Normal 5 2 6 2" xfId="11070" xr:uid="{00000000-0005-0000-0000-000051430000}"/>
    <cellStyle name="Normal 5 2 6_TOM TAT" xfId="11071" xr:uid="{00000000-0005-0000-0000-000052430000}"/>
    <cellStyle name="Normal 5 2 7" xfId="5594" xr:uid="{00000000-0005-0000-0000-000053430000}"/>
    <cellStyle name="Normal 5 2 7 2" xfId="11072" xr:uid="{00000000-0005-0000-0000-000054430000}"/>
    <cellStyle name="Normal 5 2 7_TOM TAT" xfId="11073" xr:uid="{00000000-0005-0000-0000-000055430000}"/>
    <cellStyle name="Normal 5 2 8" xfId="11074" xr:uid="{00000000-0005-0000-0000-000056430000}"/>
    <cellStyle name="Normal 5 2 9" xfId="11075" xr:uid="{00000000-0005-0000-0000-000057430000}"/>
    <cellStyle name="Normal 5 2_TOM TAT" xfId="11076" xr:uid="{00000000-0005-0000-0000-000058430000}"/>
    <cellStyle name="Normal 5 20" xfId="32307" xr:uid="{00000000-0005-0000-0000-000059430000}"/>
    <cellStyle name="Normal 5 3" xfId="2272" xr:uid="{00000000-0005-0000-0000-00005A430000}"/>
    <cellStyle name="Normal 5 3 2" xfId="2273" xr:uid="{00000000-0005-0000-0000-00005B430000}"/>
    <cellStyle name="Normal 5 3 2 2" xfId="2274" xr:uid="{00000000-0005-0000-0000-00005C430000}"/>
    <cellStyle name="Normal 5 3 2 3" xfId="11077" xr:uid="{00000000-0005-0000-0000-00005D430000}"/>
    <cellStyle name="Normal 5 3 2_TOM TAT" xfId="11078" xr:uid="{00000000-0005-0000-0000-00005E430000}"/>
    <cellStyle name="Normal 5 3 3" xfId="11079" xr:uid="{00000000-0005-0000-0000-00005F430000}"/>
    <cellStyle name="Normal 5 3 4" xfId="18636" xr:uid="{00000000-0005-0000-0000-000060430000}"/>
    <cellStyle name="Normal 5 3 5" xfId="18926" xr:uid="{00000000-0005-0000-0000-000061430000}"/>
    <cellStyle name="Normal 5 3_TOM TAT" xfId="11080" xr:uid="{00000000-0005-0000-0000-000062430000}"/>
    <cellStyle name="Normal 5 4" xfId="2275" xr:uid="{00000000-0005-0000-0000-000063430000}"/>
    <cellStyle name="Normal 5 5" xfId="2276" xr:uid="{00000000-0005-0000-0000-000064430000}"/>
    <cellStyle name="Normal 5 5 2" xfId="2277" xr:uid="{00000000-0005-0000-0000-000065430000}"/>
    <cellStyle name="Normal 5 5 2 2" xfId="11081" xr:uid="{00000000-0005-0000-0000-000066430000}"/>
    <cellStyle name="Normal 5 5 2_TOM TAT" xfId="11082" xr:uid="{00000000-0005-0000-0000-000067430000}"/>
    <cellStyle name="Normal 5 5 3" xfId="11083" xr:uid="{00000000-0005-0000-0000-000068430000}"/>
    <cellStyle name="Normal 5 5_TOM TAT" xfId="11084" xr:uid="{00000000-0005-0000-0000-000069430000}"/>
    <cellStyle name="Normal 5 6" xfId="2278" xr:uid="{00000000-0005-0000-0000-00006A430000}"/>
    <cellStyle name="Normal 5 6 2" xfId="2279" xr:uid="{00000000-0005-0000-0000-00006B430000}"/>
    <cellStyle name="Normal 5 6 2 2" xfId="11085" xr:uid="{00000000-0005-0000-0000-00006C430000}"/>
    <cellStyle name="Normal 5 6 2_TOM TAT" xfId="11086" xr:uid="{00000000-0005-0000-0000-00006D430000}"/>
    <cellStyle name="Normal 5 6 3" xfId="11087" xr:uid="{00000000-0005-0000-0000-00006E430000}"/>
    <cellStyle name="Normal 5 6_TOM TAT" xfId="11088" xr:uid="{00000000-0005-0000-0000-00006F430000}"/>
    <cellStyle name="Normal 5 7" xfId="2280" xr:uid="{00000000-0005-0000-0000-000070430000}"/>
    <cellStyle name="Normal 5 7 2" xfId="2281" xr:uid="{00000000-0005-0000-0000-000071430000}"/>
    <cellStyle name="Normal 5 7 2 2" xfId="11089" xr:uid="{00000000-0005-0000-0000-000072430000}"/>
    <cellStyle name="Normal 5 7 2_TOM TAT" xfId="11090" xr:uid="{00000000-0005-0000-0000-000073430000}"/>
    <cellStyle name="Normal 5 7 3" xfId="11091" xr:uid="{00000000-0005-0000-0000-000074430000}"/>
    <cellStyle name="Normal 5 7_TOM TAT" xfId="11092" xr:uid="{00000000-0005-0000-0000-000075430000}"/>
    <cellStyle name="Normal 5 8" xfId="2282" xr:uid="{00000000-0005-0000-0000-000076430000}"/>
    <cellStyle name="Normal 5 8 2" xfId="2283" xr:uid="{00000000-0005-0000-0000-000077430000}"/>
    <cellStyle name="Normal 5 8 2 2" xfId="11093" xr:uid="{00000000-0005-0000-0000-000078430000}"/>
    <cellStyle name="Normal 5 8 2_TOM TAT" xfId="11094" xr:uid="{00000000-0005-0000-0000-000079430000}"/>
    <cellStyle name="Normal 5 8 3" xfId="11095" xr:uid="{00000000-0005-0000-0000-00007A430000}"/>
    <cellStyle name="Normal 5 8_TOM TAT" xfId="11096" xr:uid="{00000000-0005-0000-0000-00007B430000}"/>
    <cellStyle name="Normal 5 9" xfId="2284" xr:uid="{00000000-0005-0000-0000-00007C430000}"/>
    <cellStyle name="Normal 5 9 2" xfId="11097" xr:uid="{00000000-0005-0000-0000-00007D430000}"/>
    <cellStyle name="Normal 5 9_TOM TAT" xfId="11098" xr:uid="{00000000-0005-0000-0000-00007E430000}"/>
    <cellStyle name="Normal 5_20141211 Tan Mai - Hanh" xfId="11099" xr:uid="{00000000-0005-0000-0000-00007F430000}"/>
    <cellStyle name="Normal 50" xfId="5595" xr:uid="{00000000-0005-0000-0000-000080430000}"/>
    <cellStyle name="Normal 50 2" xfId="11100" xr:uid="{00000000-0005-0000-0000-000081430000}"/>
    <cellStyle name="Normal 50 2 2" xfId="11101" xr:uid="{00000000-0005-0000-0000-000082430000}"/>
    <cellStyle name="Normal 50 2 2 2" xfId="11102" xr:uid="{00000000-0005-0000-0000-000083430000}"/>
    <cellStyle name="Normal 50 2 2 2 2" xfId="30774" xr:uid="{00000000-0005-0000-0000-000084430000}"/>
    <cellStyle name="Normal 50 2 2 2 3" xfId="16272" xr:uid="{00000000-0005-0000-0000-000085430000}"/>
    <cellStyle name="Normal 50 2 2 2_TOM TAT" xfId="23294" xr:uid="{00000000-0005-0000-0000-000086430000}"/>
    <cellStyle name="Normal 50 2 2 3" xfId="30773" xr:uid="{00000000-0005-0000-0000-000087430000}"/>
    <cellStyle name="Normal 50 2 2 4" xfId="16271" xr:uid="{00000000-0005-0000-0000-000088430000}"/>
    <cellStyle name="Normal 50 2 2_TOM TAT" xfId="11103" xr:uid="{00000000-0005-0000-0000-000089430000}"/>
    <cellStyle name="Normal 50 2 3" xfId="11104" xr:uid="{00000000-0005-0000-0000-00008A430000}"/>
    <cellStyle name="Normal 50 2 3 2" xfId="30775" xr:uid="{00000000-0005-0000-0000-00008B430000}"/>
    <cellStyle name="Normal 50 2 3 3" xfId="16273" xr:uid="{00000000-0005-0000-0000-00008C430000}"/>
    <cellStyle name="Normal 50 2 3_TOM TAT" xfId="23295" xr:uid="{00000000-0005-0000-0000-00008D430000}"/>
    <cellStyle name="Normal 50 2 4" xfId="30772" xr:uid="{00000000-0005-0000-0000-00008E430000}"/>
    <cellStyle name="Normal 50 2 5" xfId="16270" xr:uid="{00000000-0005-0000-0000-00008F430000}"/>
    <cellStyle name="Normal 50 2_TOM TAT" xfId="11105" xr:uid="{00000000-0005-0000-0000-000090430000}"/>
    <cellStyle name="Normal 50 3" xfId="11106" xr:uid="{00000000-0005-0000-0000-000091430000}"/>
    <cellStyle name="Normal 50 3 2" xfId="11107" xr:uid="{00000000-0005-0000-0000-000092430000}"/>
    <cellStyle name="Normal 50 3 2 2" xfId="30777" xr:uid="{00000000-0005-0000-0000-000093430000}"/>
    <cellStyle name="Normal 50 3 2 3" xfId="16275" xr:uid="{00000000-0005-0000-0000-000094430000}"/>
    <cellStyle name="Normal 50 3 2_TOM TAT" xfId="23296" xr:uid="{00000000-0005-0000-0000-000095430000}"/>
    <cellStyle name="Normal 50 3 3" xfId="30776" xr:uid="{00000000-0005-0000-0000-000096430000}"/>
    <cellStyle name="Normal 50 3 4" xfId="16274" xr:uid="{00000000-0005-0000-0000-000097430000}"/>
    <cellStyle name="Normal 50 3_TOM TAT" xfId="11108" xr:uid="{00000000-0005-0000-0000-000098430000}"/>
    <cellStyle name="Normal 50 4" xfId="11109" xr:uid="{00000000-0005-0000-0000-000099430000}"/>
    <cellStyle name="Normal 50 4 2" xfId="30778" xr:uid="{00000000-0005-0000-0000-00009A430000}"/>
    <cellStyle name="Normal 50 4 3" xfId="16276" xr:uid="{00000000-0005-0000-0000-00009B430000}"/>
    <cellStyle name="Normal 50 4_TOM TAT" xfId="23297" xr:uid="{00000000-0005-0000-0000-00009C430000}"/>
    <cellStyle name="Normal 50 5" xfId="28267" xr:uid="{00000000-0005-0000-0000-00009D430000}"/>
    <cellStyle name="Normal 50 6" xfId="14706" xr:uid="{00000000-0005-0000-0000-00009E430000}"/>
    <cellStyle name="Normal 50_TOM TAT" xfId="11110" xr:uid="{00000000-0005-0000-0000-00009F430000}"/>
    <cellStyle name="Normal 51" xfId="5596" xr:uid="{00000000-0005-0000-0000-0000A0430000}"/>
    <cellStyle name="Normal 51 2" xfId="11111" xr:uid="{00000000-0005-0000-0000-0000A1430000}"/>
    <cellStyle name="Normal 51 2 2" xfId="11112" xr:uid="{00000000-0005-0000-0000-0000A2430000}"/>
    <cellStyle name="Normal 51 2 2 2" xfId="30780" xr:uid="{00000000-0005-0000-0000-0000A3430000}"/>
    <cellStyle name="Normal 51 2 2 3" xfId="16278" xr:uid="{00000000-0005-0000-0000-0000A4430000}"/>
    <cellStyle name="Normal 51 2 2_TOM TAT" xfId="23298" xr:uid="{00000000-0005-0000-0000-0000A5430000}"/>
    <cellStyle name="Normal 51 2 3" xfId="30779" xr:uid="{00000000-0005-0000-0000-0000A6430000}"/>
    <cellStyle name="Normal 51 2 4" xfId="16277" xr:uid="{00000000-0005-0000-0000-0000A7430000}"/>
    <cellStyle name="Normal 51 2_TOM TAT" xfId="11113" xr:uid="{00000000-0005-0000-0000-0000A8430000}"/>
    <cellStyle name="Normal 51 3" xfId="11114" xr:uid="{00000000-0005-0000-0000-0000A9430000}"/>
    <cellStyle name="Normal 51 3 2" xfId="30781" xr:uid="{00000000-0005-0000-0000-0000AA430000}"/>
    <cellStyle name="Normal 51 3 3" xfId="16279" xr:uid="{00000000-0005-0000-0000-0000AB430000}"/>
    <cellStyle name="Normal 51 3_TOM TAT" xfId="23299" xr:uid="{00000000-0005-0000-0000-0000AC430000}"/>
    <cellStyle name="Normal 51 4" xfId="28268" xr:uid="{00000000-0005-0000-0000-0000AD430000}"/>
    <cellStyle name="Normal 51 5" xfId="14707" xr:uid="{00000000-0005-0000-0000-0000AE430000}"/>
    <cellStyle name="Normal 51_TOM TAT" xfId="11115" xr:uid="{00000000-0005-0000-0000-0000AF430000}"/>
    <cellStyle name="Normal 52" xfId="6623" xr:uid="{00000000-0005-0000-0000-0000B0430000}"/>
    <cellStyle name="Normal 52 2" xfId="11116" xr:uid="{00000000-0005-0000-0000-0000B1430000}"/>
    <cellStyle name="Normal 52 3" xfId="29225" xr:uid="{00000000-0005-0000-0000-0000B2430000}"/>
    <cellStyle name="Normal 52 4" xfId="14742" xr:uid="{00000000-0005-0000-0000-0000B3430000}"/>
    <cellStyle name="Normal 52_TOM TAT" xfId="11117" xr:uid="{00000000-0005-0000-0000-0000B4430000}"/>
    <cellStyle name="Normal 53" xfId="6626" xr:uid="{00000000-0005-0000-0000-0000B5430000}"/>
    <cellStyle name="Normal 53 2" xfId="11118" xr:uid="{00000000-0005-0000-0000-0000B6430000}"/>
    <cellStyle name="Normal 53 2 2" xfId="11119" xr:uid="{00000000-0005-0000-0000-0000B7430000}"/>
    <cellStyle name="Normal 53 2 2 2" xfId="30783" xr:uid="{00000000-0005-0000-0000-0000B8430000}"/>
    <cellStyle name="Normal 53 2 2 3" xfId="16281" xr:uid="{00000000-0005-0000-0000-0000B9430000}"/>
    <cellStyle name="Normal 53 2 2_TOM TAT" xfId="23300" xr:uid="{00000000-0005-0000-0000-0000BA430000}"/>
    <cellStyle name="Normal 53 2 3" xfId="30782" xr:uid="{00000000-0005-0000-0000-0000BB430000}"/>
    <cellStyle name="Normal 53 2 4" xfId="16280" xr:uid="{00000000-0005-0000-0000-0000BC430000}"/>
    <cellStyle name="Normal 53 2_TOM TAT" xfId="11120" xr:uid="{00000000-0005-0000-0000-0000BD430000}"/>
    <cellStyle name="Normal 53 3" xfId="11121" xr:uid="{00000000-0005-0000-0000-0000BE430000}"/>
    <cellStyle name="Normal 53 3 2" xfId="30784" xr:uid="{00000000-0005-0000-0000-0000BF430000}"/>
    <cellStyle name="Normal 53 3 3" xfId="16282" xr:uid="{00000000-0005-0000-0000-0000C0430000}"/>
    <cellStyle name="Normal 53 3_TOM TAT" xfId="23301" xr:uid="{00000000-0005-0000-0000-0000C1430000}"/>
    <cellStyle name="Normal 53 4" xfId="29228" xr:uid="{00000000-0005-0000-0000-0000C2430000}"/>
    <cellStyle name="Normal 53 5" xfId="14745" xr:uid="{00000000-0005-0000-0000-0000C3430000}"/>
    <cellStyle name="Normal 53_TOM TAT" xfId="11122" xr:uid="{00000000-0005-0000-0000-0000C4430000}"/>
    <cellStyle name="Normal 54" xfId="6632" xr:uid="{00000000-0005-0000-0000-0000C5430000}"/>
    <cellStyle name="Normal 54 2" xfId="11123" xr:uid="{00000000-0005-0000-0000-0000C6430000}"/>
    <cellStyle name="Normal 54 2 2" xfId="11124" xr:uid="{00000000-0005-0000-0000-0000C7430000}"/>
    <cellStyle name="Normal 54 2 2 2" xfId="30786" xr:uid="{00000000-0005-0000-0000-0000C8430000}"/>
    <cellStyle name="Normal 54 2 2 3" xfId="16284" xr:uid="{00000000-0005-0000-0000-0000C9430000}"/>
    <cellStyle name="Normal 54 2 2_TOM TAT" xfId="23302" xr:uid="{00000000-0005-0000-0000-0000CA430000}"/>
    <cellStyle name="Normal 54 2 3" xfId="30785" xr:uid="{00000000-0005-0000-0000-0000CB430000}"/>
    <cellStyle name="Normal 54 2 4" xfId="16283" xr:uid="{00000000-0005-0000-0000-0000CC430000}"/>
    <cellStyle name="Normal 54 2_TOM TAT" xfId="11125" xr:uid="{00000000-0005-0000-0000-0000CD430000}"/>
    <cellStyle name="Normal 54 3" xfId="11126" xr:uid="{00000000-0005-0000-0000-0000CE430000}"/>
    <cellStyle name="Normal 54 3 2" xfId="30787" xr:uid="{00000000-0005-0000-0000-0000CF430000}"/>
    <cellStyle name="Normal 54 3 3" xfId="16285" xr:uid="{00000000-0005-0000-0000-0000D0430000}"/>
    <cellStyle name="Normal 54 3_TOM TAT" xfId="23303" xr:uid="{00000000-0005-0000-0000-0000D1430000}"/>
    <cellStyle name="Normal 54 4" xfId="29234" xr:uid="{00000000-0005-0000-0000-0000D2430000}"/>
    <cellStyle name="Normal 54 5" xfId="14749" xr:uid="{00000000-0005-0000-0000-0000D3430000}"/>
    <cellStyle name="Normal 54_TOM TAT" xfId="11127" xr:uid="{00000000-0005-0000-0000-0000D4430000}"/>
    <cellStyle name="Normal 55" xfId="6630" xr:uid="{00000000-0005-0000-0000-0000D5430000}"/>
    <cellStyle name="Normal 55 2" xfId="11128" xr:uid="{00000000-0005-0000-0000-0000D6430000}"/>
    <cellStyle name="Normal 55 2 2" xfId="30788" xr:uid="{00000000-0005-0000-0000-0000D7430000}"/>
    <cellStyle name="Normal 55 2 3" xfId="16286" xr:uid="{00000000-0005-0000-0000-0000D8430000}"/>
    <cellStyle name="Normal 55 2_TOM TAT" xfId="23304" xr:uid="{00000000-0005-0000-0000-0000D9430000}"/>
    <cellStyle name="Normal 55 3" xfId="29232" xr:uid="{00000000-0005-0000-0000-0000DA430000}"/>
    <cellStyle name="Normal 55 4" xfId="14747" xr:uid="{00000000-0005-0000-0000-0000DB430000}"/>
    <cellStyle name="Normal 55_TOM TAT" xfId="11129" xr:uid="{00000000-0005-0000-0000-0000DC430000}"/>
    <cellStyle name="Normal 56" xfId="6635" xr:uid="{00000000-0005-0000-0000-0000DD430000}"/>
    <cellStyle name="Normal 56 2" xfId="11130" xr:uid="{00000000-0005-0000-0000-0000DE430000}"/>
    <cellStyle name="Normal 56 2 2" xfId="11131" xr:uid="{00000000-0005-0000-0000-0000DF430000}"/>
    <cellStyle name="Normal 56 2 2 2" xfId="11132" xr:uid="{00000000-0005-0000-0000-0000E0430000}"/>
    <cellStyle name="Normal 56 2 2 2 2" xfId="30791" xr:uid="{00000000-0005-0000-0000-0000E1430000}"/>
    <cellStyle name="Normal 56 2 2 2 3" xfId="16289" xr:uid="{00000000-0005-0000-0000-0000E2430000}"/>
    <cellStyle name="Normal 56 2 2 2_TOM TAT" xfId="23305" xr:uid="{00000000-0005-0000-0000-0000E3430000}"/>
    <cellStyle name="Normal 56 2 2 3" xfId="30790" xr:uid="{00000000-0005-0000-0000-0000E4430000}"/>
    <cellStyle name="Normal 56 2 2 4" xfId="16288" xr:uid="{00000000-0005-0000-0000-0000E5430000}"/>
    <cellStyle name="Normal 56 2 2_TOM TAT" xfId="11133" xr:uid="{00000000-0005-0000-0000-0000E6430000}"/>
    <cellStyle name="Normal 56 2 3" xfId="11134" xr:uid="{00000000-0005-0000-0000-0000E7430000}"/>
    <cellStyle name="Normal 56 2 3 2" xfId="30792" xr:uid="{00000000-0005-0000-0000-0000E8430000}"/>
    <cellStyle name="Normal 56 2 3 3" xfId="16290" xr:uid="{00000000-0005-0000-0000-0000E9430000}"/>
    <cellStyle name="Normal 56 2 3_TOM TAT" xfId="23306" xr:uid="{00000000-0005-0000-0000-0000EA430000}"/>
    <cellStyle name="Normal 56 2 4" xfId="30789" xr:uid="{00000000-0005-0000-0000-0000EB430000}"/>
    <cellStyle name="Normal 56 2 5" xfId="16287" xr:uid="{00000000-0005-0000-0000-0000EC430000}"/>
    <cellStyle name="Normal 56 2_TOM TAT" xfId="11135" xr:uid="{00000000-0005-0000-0000-0000ED430000}"/>
    <cellStyle name="Normal 56 3" xfId="11136" xr:uid="{00000000-0005-0000-0000-0000EE430000}"/>
    <cellStyle name="Normal 56 3 2" xfId="11137" xr:uid="{00000000-0005-0000-0000-0000EF430000}"/>
    <cellStyle name="Normal 56 3 2 2" xfId="30794" xr:uid="{00000000-0005-0000-0000-0000F0430000}"/>
    <cellStyle name="Normal 56 3 2 3" xfId="16292" xr:uid="{00000000-0005-0000-0000-0000F1430000}"/>
    <cellStyle name="Normal 56 3 2_TOM TAT" xfId="23307" xr:uid="{00000000-0005-0000-0000-0000F2430000}"/>
    <cellStyle name="Normal 56 3 3" xfId="30793" xr:uid="{00000000-0005-0000-0000-0000F3430000}"/>
    <cellStyle name="Normal 56 3 4" xfId="16291" xr:uid="{00000000-0005-0000-0000-0000F4430000}"/>
    <cellStyle name="Normal 56 3_TOM TAT" xfId="11138" xr:uid="{00000000-0005-0000-0000-0000F5430000}"/>
    <cellStyle name="Normal 56 4" xfId="11139" xr:uid="{00000000-0005-0000-0000-0000F6430000}"/>
    <cellStyle name="Normal 56 4 2" xfId="30795" xr:uid="{00000000-0005-0000-0000-0000F7430000}"/>
    <cellStyle name="Normal 56 4 3" xfId="16293" xr:uid="{00000000-0005-0000-0000-0000F8430000}"/>
    <cellStyle name="Normal 56 4_TOM TAT" xfId="23308" xr:uid="{00000000-0005-0000-0000-0000F9430000}"/>
    <cellStyle name="Normal 56 5" xfId="29237" xr:uid="{00000000-0005-0000-0000-0000FA430000}"/>
    <cellStyle name="Normal 56 6" xfId="14752" xr:uid="{00000000-0005-0000-0000-0000FB430000}"/>
    <cellStyle name="Normal 56_TOM TAT" xfId="11140" xr:uid="{00000000-0005-0000-0000-0000FC430000}"/>
    <cellStyle name="Normal 57" xfId="6638" xr:uid="{00000000-0005-0000-0000-0000FD430000}"/>
    <cellStyle name="Normal 57 2" xfId="11141" xr:uid="{00000000-0005-0000-0000-0000FE430000}"/>
    <cellStyle name="Normal 57 2 2" xfId="11142" xr:uid="{00000000-0005-0000-0000-0000FF430000}"/>
    <cellStyle name="Normal 57 2 2 2" xfId="11143" xr:uid="{00000000-0005-0000-0000-000000440000}"/>
    <cellStyle name="Normal 57 2 2 2 2" xfId="30798" xr:uid="{00000000-0005-0000-0000-000001440000}"/>
    <cellStyle name="Normal 57 2 2 2 3" xfId="16296" xr:uid="{00000000-0005-0000-0000-000002440000}"/>
    <cellStyle name="Normal 57 2 2 2_TOM TAT" xfId="23309" xr:uid="{00000000-0005-0000-0000-000003440000}"/>
    <cellStyle name="Normal 57 2 2 3" xfId="30797" xr:uid="{00000000-0005-0000-0000-000004440000}"/>
    <cellStyle name="Normal 57 2 2 4" xfId="16295" xr:uid="{00000000-0005-0000-0000-000005440000}"/>
    <cellStyle name="Normal 57 2 2_TOM TAT" xfId="11144" xr:uid="{00000000-0005-0000-0000-000006440000}"/>
    <cellStyle name="Normal 57 2 3" xfId="11145" xr:uid="{00000000-0005-0000-0000-000007440000}"/>
    <cellStyle name="Normal 57 2 3 2" xfId="30799" xr:uid="{00000000-0005-0000-0000-000008440000}"/>
    <cellStyle name="Normal 57 2 3 3" xfId="16297" xr:uid="{00000000-0005-0000-0000-000009440000}"/>
    <cellStyle name="Normal 57 2 3_TOM TAT" xfId="23310" xr:uid="{00000000-0005-0000-0000-00000A440000}"/>
    <cellStyle name="Normal 57 2 4" xfId="30796" xr:uid="{00000000-0005-0000-0000-00000B440000}"/>
    <cellStyle name="Normal 57 2 5" xfId="16294" xr:uid="{00000000-0005-0000-0000-00000C440000}"/>
    <cellStyle name="Normal 57 2_TOM TAT" xfId="11146" xr:uid="{00000000-0005-0000-0000-00000D440000}"/>
    <cellStyle name="Normal 57 3" xfId="11147" xr:uid="{00000000-0005-0000-0000-00000E440000}"/>
    <cellStyle name="Normal 57 3 2" xfId="11148" xr:uid="{00000000-0005-0000-0000-00000F440000}"/>
    <cellStyle name="Normal 57 3 2 2" xfId="30801" xr:uid="{00000000-0005-0000-0000-000010440000}"/>
    <cellStyle name="Normal 57 3 2 3" xfId="16299" xr:uid="{00000000-0005-0000-0000-000011440000}"/>
    <cellStyle name="Normal 57 3 2_TOM TAT" xfId="23311" xr:uid="{00000000-0005-0000-0000-000012440000}"/>
    <cellStyle name="Normal 57 3 3" xfId="30800" xr:uid="{00000000-0005-0000-0000-000013440000}"/>
    <cellStyle name="Normal 57 3 4" xfId="16298" xr:uid="{00000000-0005-0000-0000-000014440000}"/>
    <cellStyle name="Normal 57 3_TOM TAT" xfId="11149" xr:uid="{00000000-0005-0000-0000-000015440000}"/>
    <cellStyle name="Normal 57 4" xfId="11150" xr:uid="{00000000-0005-0000-0000-000016440000}"/>
    <cellStyle name="Normal 57 4 2" xfId="30802" xr:uid="{00000000-0005-0000-0000-000017440000}"/>
    <cellStyle name="Normal 57 4 3" xfId="16300" xr:uid="{00000000-0005-0000-0000-000018440000}"/>
    <cellStyle name="Normal 57 4_TOM TAT" xfId="23312" xr:uid="{00000000-0005-0000-0000-000019440000}"/>
    <cellStyle name="Normal 57 5" xfId="29240" xr:uid="{00000000-0005-0000-0000-00001A440000}"/>
    <cellStyle name="Normal 57 6" xfId="14755" xr:uid="{00000000-0005-0000-0000-00001B440000}"/>
    <cellStyle name="Normal 57_TOM TAT" xfId="11151" xr:uid="{00000000-0005-0000-0000-00001C440000}"/>
    <cellStyle name="Normal 58" xfId="11152" xr:uid="{00000000-0005-0000-0000-00001D440000}"/>
    <cellStyle name="Normal 58 2" xfId="11153" xr:uid="{00000000-0005-0000-0000-00001E440000}"/>
    <cellStyle name="Normal 58 2 2" xfId="11154" xr:uid="{00000000-0005-0000-0000-00001F440000}"/>
    <cellStyle name="Normal 58 2 2 2" xfId="11155" xr:uid="{00000000-0005-0000-0000-000020440000}"/>
    <cellStyle name="Normal 58 2 2 2 2" xfId="30806" xr:uid="{00000000-0005-0000-0000-000021440000}"/>
    <cellStyle name="Normal 58 2 2 2 3" xfId="16304" xr:uid="{00000000-0005-0000-0000-000022440000}"/>
    <cellStyle name="Normal 58 2 2 2_TOM TAT" xfId="23313" xr:uid="{00000000-0005-0000-0000-000023440000}"/>
    <cellStyle name="Normal 58 2 2 3" xfId="30805" xr:uid="{00000000-0005-0000-0000-000024440000}"/>
    <cellStyle name="Normal 58 2 2 4" xfId="16303" xr:uid="{00000000-0005-0000-0000-000025440000}"/>
    <cellStyle name="Normal 58 2 2_TOM TAT" xfId="11156" xr:uid="{00000000-0005-0000-0000-000026440000}"/>
    <cellStyle name="Normal 58 2 3" xfId="11157" xr:uid="{00000000-0005-0000-0000-000027440000}"/>
    <cellStyle name="Normal 58 2 3 2" xfId="30807" xr:uid="{00000000-0005-0000-0000-000028440000}"/>
    <cellStyle name="Normal 58 2 3 3" xfId="16305" xr:uid="{00000000-0005-0000-0000-000029440000}"/>
    <cellStyle name="Normal 58 2 3_TOM TAT" xfId="23314" xr:uid="{00000000-0005-0000-0000-00002A440000}"/>
    <cellStyle name="Normal 58 2 4" xfId="30804" xr:uid="{00000000-0005-0000-0000-00002B440000}"/>
    <cellStyle name="Normal 58 2 5" xfId="16302" xr:uid="{00000000-0005-0000-0000-00002C440000}"/>
    <cellStyle name="Normal 58 2_TOM TAT" xfId="11158" xr:uid="{00000000-0005-0000-0000-00002D440000}"/>
    <cellStyle name="Normal 58 3" xfId="11159" xr:uid="{00000000-0005-0000-0000-00002E440000}"/>
    <cellStyle name="Normal 58 3 2" xfId="11160" xr:uid="{00000000-0005-0000-0000-00002F440000}"/>
    <cellStyle name="Normal 58 3 2 2" xfId="30809" xr:uid="{00000000-0005-0000-0000-000030440000}"/>
    <cellStyle name="Normal 58 3 2 3" xfId="16307" xr:uid="{00000000-0005-0000-0000-000031440000}"/>
    <cellStyle name="Normal 58 3 2_TOM TAT" xfId="23315" xr:uid="{00000000-0005-0000-0000-000032440000}"/>
    <cellStyle name="Normal 58 3 3" xfId="30808" xr:uid="{00000000-0005-0000-0000-000033440000}"/>
    <cellStyle name="Normal 58 3 4" xfId="16306" xr:uid="{00000000-0005-0000-0000-000034440000}"/>
    <cellStyle name="Normal 58 3_TOM TAT" xfId="11161" xr:uid="{00000000-0005-0000-0000-000035440000}"/>
    <cellStyle name="Normal 58 4" xfId="11162" xr:uid="{00000000-0005-0000-0000-000036440000}"/>
    <cellStyle name="Normal 58 4 2" xfId="30810" xr:uid="{00000000-0005-0000-0000-000037440000}"/>
    <cellStyle name="Normal 58 4 3" xfId="16308" xr:uid="{00000000-0005-0000-0000-000038440000}"/>
    <cellStyle name="Normal 58 4_TOM TAT" xfId="23316" xr:uid="{00000000-0005-0000-0000-000039440000}"/>
    <cellStyle name="Normal 58 5" xfId="19169" xr:uid="{00000000-0005-0000-0000-00003A440000}"/>
    <cellStyle name="Normal 58 5 2" xfId="32024" xr:uid="{00000000-0005-0000-0000-00003B440000}"/>
    <cellStyle name="Normal 58 5_TOM TAT" xfId="23317" xr:uid="{00000000-0005-0000-0000-00003C440000}"/>
    <cellStyle name="Normal 58 6" xfId="30803" xr:uid="{00000000-0005-0000-0000-00003D440000}"/>
    <cellStyle name="Normal 58 7" xfId="16301" xr:uid="{00000000-0005-0000-0000-00003E440000}"/>
    <cellStyle name="Normal 58_TOM TAT" xfId="11163" xr:uid="{00000000-0005-0000-0000-00003F440000}"/>
    <cellStyle name="Normal 59" xfId="11164" xr:uid="{00000000-0005-0000-0000-000040440000}"/>
    <cellStyle name="Normal 59 2" xfId="11165" xr:uid="{00000000-0005-0000-0000-000041440000}"/>
    <cellStyle name="Normal 59 2 2" xfId="11166" xr:uid="{00000000-0005-0000-0000-000042440000}"/>
    <cellStyle name="Normal 59 2 2 2" xfId="30812" xr:uid="{00000000-0005-0000-0000-000043440000}"/>
    <cellStyle name="Normal 59 2 2 3" xfId="16310" xr:uid="{00000000-0005-0000-0000-000044440000}"/>
    <cellStyle name="Normal 59 2 2_TOM TAT" xfId="23319" xr:uid="{00000000-0005-0000-0000-000045440000}"/>
    <cellStyle name="Normal 59 2 3" xfId="30811" xr:uid="{00000000-0005-0000-0000-000046440000}"/>
    <cellStyle name="Normal 59 2 4" xfId="16309" xr:uid="{00000000-0005-0000-0000-000047440000}"/>
    <cellStyle name="Normal 59 2_TOM TAT" xfId="11167" xr:uid="{00000000-0005-0000-0000-000048440000}"/>
    <cellStyle name="Normal 59 3" xfId="11168" xr:uid="{00000000-0005-0000-0000-000049440000}"/>
    <cellStyle name="Normal 59_TOM TAT" xfId="23318" xr:uid="{00000000-0005-0000-0000-00004A440000}"/>
    <cellStyle name="Normal 6" xfId="1365" xr:uid="{00000000-0005-0000-0000-00004B440000}"/>
    <cellStyle name="Normal 6 10" xfId="11169" xr:uid="{00000000-0005-0000-0000-00004C440000}"/>
    <cellStyle name="Normal 6 11" xfId="11170" xr:uid="{00000000-0005-0000-0000-00004D440000}"/>
    <cellStyle name="Normal 6 12" xfId="26985" xr:uid="{00000000-0005-0000-0000-00004E440000}"/>
    <cellStyle name="Normal 6 2" xfId="2286" xr:uid="{00000000-0005-0000-0000-00004F440000}"/>
    <cellStyle name="Normal 6 2 10" xfId="18218" xr:uid="{00000000-0005-0000-0000-000050440000}"/>
    <cellStyle name="Normal 6 2 2" xfId="2287" xr:uid="{00000000-0005-0000-0000-000051440000}"/>
    <cellStyle name="Normal 6 2 2 2" xfId="2288" xr:uid="{00000000-0005-0000-0000-000052440000}"/>
    <cellStyle name="Normal 6 2 2 2 2" xfId="11171" xr:uid="{00000000-0005-0000-0000-000053440000}"/>
    <cellStyle name="Normal 6 2 2 2_TOM TAT" xfId="11172" xr:uid="{00000000-0005-0000-0000-000054440000}"/>
    <cellStyle name="Normal 6 2 2 3" xfId="11173" xr:uid="{00000000-0005-0000-0000-000055440000}"/>
    <cellStyle name="Normal 6 2 2 4" xfId="18639" xr:uid="{00000000-0005-0000-0000-000056440000}"/>
    <cellStyle name="Normal 6 2 2 5" xfId="18929" xr:uid="{00000000-0005-0000-0000-000057440000}"/>
    <cellStyle name="Normal 6 2 2_TOM TAT" xfId="11174" xr:uid="{00000000-0005-0000-0000-000058440000}"/>
    <cellStyle name="Normal 6 2 3" xfId="2289" xr:uid="{00000000-0005-0000-0000-000059440000}"/>
    <cellStyle name="Normal 6 2 3 2" xfId="2290" xr:uid="{00000000-0005-0000-0000-00005A440000}"/>
    <cellStyle name="Normal 6 2 3 2 2" xfId="11175" xr:uid="{00000000-0005-0000-0000-00005B440000}"/>
    <cellStyle name="Normal 6 2 3 2_TOM TAT" xfId="11176" xr:uid="{00000000-0005-0000-0000-00005C440000}"/>
    <cellStyle name="Normal 6 2 3 3" xfId="11177" xr:uid="{00000000-0005-0000-0000-00005D440000}"/>
    <cellStyle name="Normal 6 2 3_TOM TAT" xfId="11178" xr:uid="{00000000-0005-0000-0000-00005E440000}"/>
    <cellStyle name="Normal 6 2 4" xfId="2291" xr:uid="{00000000-0005-0000-0000-00005F440000}"/>
    <cellStyle name="Normal 6 2 4 2" xfId="2292" xr:uid="{00000000-0005-0000-0000-000060440000}"/>
    <cellStyle name="Normal 6 2 4 2 2" xfId="11179" xr:uid="{00000000-0005-0000-0000-000061440000}"/>
    <cellStyle name="Normal 6 2 4 2_TOM TAT" xfId="11180" xr:uid="{00000000-0005-0000-0000-000062440000}"/>
    <cellStyle name="Normal 6 2 4 3" xfId="11181" xr:uid="{00000000-0005-0000-0000-000063440000}"/>
    <cellStyle name="Normal 6 2 4_TOM TAT" xfId="11182" xr:uid="{00000000-0005-0000-0000-000064440000}"/>
    <cellStyle name="Normal 6 2 5" xfId="2293" xr:uid="{00000000-0005-0000-0000-000065440000}"/>
    <cellStyle name="Normal 6 2 5 2" xfId="11183" xr:uid="{00000000-0005-0000-0000-000066440000}"/>
    <cellStyle name="Normal 6 2 5_TOM TAT" xfId="11184" xr:uid="{00000000-0005-0000-0000-000067440000}"/>
    <cellStyle name="Normal 6 2 6" xfId="5597" xr:uid="{00000000-0005-0000-0000-000068440000}"/>
    <cellStyle name="Normal 6 2 6 2" xfId="11185" xr:uid="{00000000-0005-0000-0000-000069440000}"/>
    <cellStyle name="Normal 6 2 6_TOM TAT" xfId="11186" xr:uid="{00000000-0005-0000-0000-00006A440000}"/>
    <cellStyle name="Normal 6 2 7" xfId="11187" xr:uid="{00000000-0005-0000-0000-00006B440000}"/>
    <cellStyle name="Normal 6 2 8" xfId="11188" xr:uid="{00000000-0005-0000-0000-00006C440000}"/>
    <cellStyle name="Normal 6 2 9" xfId="11189" xr:uid="{00000000-0005-0000-0000-00006D440000}"/>
    <cellStyle name="Normal 6 2_TOM TAT" xfId="11190" xr:uid="{00000000-0005-0000-0000-00006E440000}"/>
    <cellStyle name="Normal 6 3" xfId="2294" xr:uid="{00000000-0005-0000-0000-00006F440000}"/>
    <cellStyle name="Normal 6 3 2" xfId="2295" xr:uid="{00000000-0005-0000-0000-000070440000}"/>
    <cellStyle name="Normal 6 3 2 2" xfId="11191" xr:uid="{00000000-0005-0000-0000-000071440000}"/>
    <cellStyle name="Normal 6 3 2_TOM TAT" xfId="11192" xr:uid="{00000000-0005-0000-0000-000072440000}"/>
    <cellStyle name="Normal 6 3 3" xfId="11193" xr:uid="{00000000-0005-0000-0000-000073440000}"/>
    <cellStyle name="Normal 6 3 4" xfId="18638" xr:uid="{00000000-0005-0000-0000-000074440000}"/>
    <cellStyle name="Normal 6 3 5" xfId="18928" xr:uid="{00000000-0005-0000-0000-000075440000}"/>
    <cellStyle name="Normal 6 3_TOM TAT" xfId="11194" xr:uid="{00000000-0005-0000-0000-000076440000}"/>
    <cellStyle name="Normal 6 4" xfId="2296" xr:uid="{00000000-0005-0000-0000-000077440000}"/>
    <cellStyle name="Normal 6 4 2" xfId="11195" xr:uid="{00000000-0005-0000-0000-000078440000}"/>
    <cellStyle name="Normal 6 4_TOM TAT" xfId="11196" xr:uid="{00000000-0005-0000-0000-000079440000}"/>
    <cellStyle name="Normal 6 5" xfId="2297" xr:uid="{00000000-0005-0000-0000-00007A440000}"/>
    <cellStyle name="Normal 6 5 2" xfId="2298" xr:uid="{00000000-0005-0000-0000-00007B440000}"/>
    <cellStyle name="Normal 6 5 2 2" xfId="11197" xr:uid="{00000000-0005-0000-0000-00007C440000}"/>
    <cellStyle name="Normal 6 5 2_TOM TAT" xfId="11198" xr:uid="{00000000-0005-0000-0000-00007D440000}"/>
    <cellStyle name="Normal 6 5 3" xfId="11199" xr:uid="{00000000-0005-0000-0000-00007E440000}"/>
    <cellStyle name="Normal 6 5_TOM TAT" xfId="11200" xr:uid="{00000000-0005-0000-0000-00007F440000}"/>
    <cellStyle name="Normal 6 6" xfId="2299" xr:uid="{00000000-0005-0000-0000-000080440000}"/>
    <cellStyle name="Normal 6 6 2" xfId="2300" xr:uid="{00000000-0005-0000-0000-000081440000}"/>
    <cellStyle name="Normal 6 6 2 2" xfId="11201" xr:uid="{00000000-0005-0000-0000-000082440000}"/>
    <cellStyle name="Normal 6 6 2_TOM TAT" xfId="11202" xr:uid="{00000000-0005-0000-0000-000083440000}"/>
    <cellStyle name="Normal 6 6 3" xfId="11203" xr:uid="{00000000-0005-0000-0000-000084440000}"/>
    <cellStyle name="Normal 6 6_TOM TAT" xfId="11204" xr:uid="{00000000-0005-0000-0000-000085440000}"/>
    <cellStyle name="Normal 6 7" xfId="2301" xr:uid="{00000000-0005-0000-0000-000086440000}"/>
    <cellStyle name="Normal 6 7 2" xfId="11205" xr:uid="{00000000-0005-0000-0000-000087440000}"/>
    <cellStyle name="Normal 6 7_TOM TAT" xfId="11206" xr:uid="{00000000-0005-0000-0000-000088440000}"/>
    <cellStyle name="Normal 6 8" xfId="2285" xr:uid="{00000000-0005-0000-0000-000089440000}"/>
    <cellStyle name="Normal 6 8 2" xfId="11207" xr:uid="{00000000-0005-0000-0000-00008A440000}"/>
    <cellStyle name="Normal 6 8_TOM TAT" xfId="11208" xr:uid="{00000000-0005-0000-0000-00008B440000}"/>
    <cellStyle name="Normal 6 9" xfId="4433" xr:uid="{00000000-0005-0000-0000-00008C440000}"/>
    <cellStyle name="Normal 6 9 2" xfId="11209" xr:uid="{00000000-0005-0000-0000-00008D440000}"/>
    <cellStyle name="Normal 6 9_TOM TAT" xfId="11210" xr:uid="{00000000-0005-0000-0000-00008E440000}"/>
    <cellStyle name="Normal 6_20141211 Tan Mai - Hanh" xfId="11211" xr:uid="{00000000-0005-0000-0000-00008F440000}"/>
    <cellStyle name="Normal 60" xfId="11212" xr:uid="{00000000-0005-0000-0000-000090440000}"/>
    <cellStyle name="Normal 60 2" xfId="11213" xr:uid="{00000000-0005-0000-0000-000091440000}"/>
    <cellStyle name="Normal 60 2 2" xfId="14614" xr:uid="{00000000-0005-0000-0000-000092440000}"/>
    <cellStyle name="Normal 60 2 2 2" xfId="14615" xr:uid="{00000000-0005-0000-0000-000093440000}"/>
    <cellStyle name="Normal 60 2 2 2 2" xfId="19028" xr:uid="{00000000-0005-0000-0000-000094440000}"/>
    <cellStyle name="Normal 60 2 2 2 2 2" xfId="31933" xr:uid="{00000000-0005-0000-0000-000095440000}"/>
    <cellStyle name="Normal 60 2 2 2 2_TOM TAT" xfId="23323" xr:uid="{00000000-0005-0000-0000-000096440000}"/>
    <cellStyle name="Normal 60 2 2 2 3" xfId="19038" xr:uid="{00000000-0005-0000-0000-000097440000}"/>
    <cellStyle name="Normal 60 2 2 2 3 2" xfId="19170" xr:uid="{00000000-0005-0000-0000-000098440000}"/>
    <cellStyle name="Normal 60 2 2 2 3 2 2" xfId="32025" xr:uid="{00000000-0005-0000-0000-000099440000}"/>
    <cellStyle name="Normal 60 2 2 2 3 2_TOM TAT" xfId="23325" xr:uid="{00000000-0005-0000-0000-00009A440000}"/>
    <cellStyle name="Normal 60 2 2 2 3 3" xfId="19171" xr:uid="{00000000-0005-0000-0000-00009B440000}"/>
    <cellStyle name="Normal 60 2 2 2 3 3 2" xfId="32026" xr:uid="{00000000-0005-0000-0000-00009C440000}"/>
    <cellStyle name="Normal 60 2 2 2 3 3_TOM TAT" xfId="23326" xr:uid="{00000000-0005-0000-0000-00009D440000}"/>
    <cellStyle name="Normal 60 2 2 2 3 4" xfId="19172" xr:uid="{00000000-0005-0000-0000-00009E440000}"/>
    <cellStyle name="Normal 60 2 2 2 3 4 2" xfId="32027" xr:uid="{00000000-0005-0000-0000-00009F440000}"/>
    <cellStyle name="Normal 60 2 2 2 3 4 3" xfId="32143" xr:uid="{00000000-0005-0000-0000-0000A0440000}"/>
    <cellStyle name="Normal 60 2 2 2 3 4_TOM TAT" xfId="23327" xr:uid="{00000000-0005-0000-0000-0000A1440000}"/>
    <cellStyle name="Normal 60 2 2 2 3 5" xfId="31943" xr:uid="{00000000-0005-0000-0000-0000A2440000}"/>
    <cellStyle name="Normal 60 2 2 2 3_TOM TAT" xfId="23324" xr:uid="{00000000-0005-0000-0000-0000A3440000}"/>
    <cellStyle name="Normal 60 2 2 2 4" xfId="31918" xr:uid="{00000000-0005-0000-0000-0000A4440000}"/>
    <cellStyle name="Normal 60 2 2 2_TOM TAT" xfId="23322" xr:uid="{00000000-0005-0000-0000-0000A5440000}"/>
    <cellStyle name="Normal 60 2 2 3" xfId="14616" xr:uid="{00000000-0005-0000-0000-0000A6440000}"/>
    <cellStyle name="Normal 60 2 2 3 2" xfId="19008" xr:uid="{00000000-0005-0000-0000-0000A7440000}"/>
    <cellStyle name="Normal 60 2 2 3 2 2" xfId="31920" xr:uid="{00000000-0005-0000-0000-0000A8440000}"/>
    <cellStyle name="Normal 60 2 2 3 2_TOM TAT" xfId="23329" xr:uid="{00000000-0005-0000-0000-0000A9440000}"/>
    <cellStyle name="Normal 60 2 2 3 3" xfId="31919" xr:uid="{00000000-0005-0000-0000-0000AA440000}"/>
    <cellStyle name="Normal 60 2 2 3_TOM TAT" xfId="23328" xr:uid="{00000000-0005-0000-0000-0000AB440000}"/>
    <cellStyle name="Normal 60 2 2 4" xfId="14617" xr:uid="{00000000-0005-0000-0000-0000AC440000}"/>
    <cellStyle name="Normal 60 2 2 4 2" xfId="31921" xr:uid="{00000000-0005-0000-0000-0000AD440000}"/>
    <cellStyle name="Normal 60 2 2 4_TOM TAT" xfId="23330" xr:uid="{00000000-0005-0000-0000-0000AE440000}"/>
    <cellStyle name="Normal 60 2 2 5" xfId="31804" xr:uid="{00000000-0005-0000-0000-0000AF440000}"/>
    <cellStyle name="Normal 60 2 2 8" xfId="32254" xr:uid="{00000000-0005-0000-0000-0000B0440000}"/>
    <cellStyle name="Normal 60 2 2_TOM TAT" xfId="23321" xr:uid="{00000000-0005-0000-0000-0000B1440000}"/>
    <cellStyle name="Normal 60 2 3" xfId="30814" xr:uid="{00000000-0005-0000-0000-0000B2440000}"/>
    <cellStyle name="Normal 60 2 4" xfId="16312" xr:uid="{00000000-0005-0000-0000-0000B3440000}"/>
    <cellStyle name="Normal 60 2_TOM TAT" xfId="23320" xr:uid="{00000000-0005-0000-0000-0000B4440000}"/>
    <cellStyle name="Normal 60 3" xfId="30813" xr:uid="{00000000-0005-0000-0000-0000B5440000}"/>
    <cellStyle name="Normal 60 4" xfId="16311" xr:uid="{00000000-0005-0000-0000-0000B6440000}"/>
    <cellStyle name="Normal 60_TOM TAT" xfId="11214" xr:uid="{00000000-0005-0000-0000-0000B7440000}"/>
    <cellStyle name="Normal 61" xfId="11215" xr:uid="{00000000-0005-0000-0000-0000B8440000}"/>
    <cellStyle name="Normal 61 2" xfId="11216" xr:uid="{00000000-0005-0000-0000-0000B9440000}"/>
    <cellStyle name="Normal 61 2 2" xfId="30816" xr:uid="{00000000-0005-0000-0000-0000BA440000}"/>
    <cellStyle name="Normal 61 2 3" xfId="16314" xr:uid="{00000000-0005-0000-0000-0000BB440000}"/>
    <cellStyle name="Normal 61 2_TOM TAT" xfId="23331" xr:uid="{00000000-0005-0000-0000-0000BC440000}"/>
    <cellStyle name="Normal 61 3" xfId="30815" xr:uid="{00000000-0005-0000-0000-0000BD440000}"/>
    <cellStyle name="Normal 61 4" xfId="16313" xr:uid="{00000000-0005-0000-0000-0000BE440000}"/>
    <cellStyle name="Normal 61_TOM TAT" xfId="11217" xr:uid="{00000000-0005-0000-0000-0000BF440000}"/>
    <cellStyle name="Normal 62" xfId="11218" xr:uid="{00000000-0005-0000-0000-0000C0440000}"/>
    <cellStyle name="Normal 62 2" xfId="11219" xr:uid="{00000000-0005-0000-0000-0000C1440000}"/>
    <cellStyle name="Normal 62 2 2" xfId="30818" xr:uid="{00000000-0005-0000-0000-0000C2440000}"/>
    <cellStyle name="Normal 62 2 3" xfId="16316" xr:uid="{00000000-0005-0000-0000-0000C3440000}"/>
    <cellStyle name="Normal 62 2_TOM TAT" xfId="23332" xr:uid="{00000000-0005-0000-0000-0000C4440000}"/>
    <cellStyle name="Normal 62 3" xfId="30817" xr:uid="{00000000-0005-0000-0000-0000C5440000}"/>
    <cellStyle name="Normal 62 4" xfId="16315" xr:uid="{00000000-0005-0000-0000-0000C6440000}"/>
    <cellStyle name="Normal 62_TOM TAT" xfId="11220" xr:uid="{00000000-0005-0000-0000-0000C7440000}"/>
    <cellStyle name="Normal 63" xfId="11221" xr:uid="{00000000-0005-0000-0000-0000C8440000}"/>
    <cellStyle name="Normal 63 2" xfId="11222" xr:uid="{00000000-0005-0000-0000-0000C9440000}"/>
    <cellStyle name="Normal 63 2 2" xfId="30820" xr:uid="{00000000-0005-0000-0000-0000CA440000}"/>
    <cellStyle name="Normal 63 2 3" xfId="16318" xr:uid="{00000000-0005-0000-0000-0000CB440000}"/>
    <cellStyle name="Normal 63 2_TOM TAT" xfId="23333" xr:uid="{00000000-0005-0000-0000-0000CC440000}"/>
    <cellStyle name="Normal 63 3" xfId="30819" xr:uid="{00000000-0005-0000-0000-0000CD440000}"/>
    <cellStyle name="Normal 63 4" xfId="16317" xr:uid="{00000000-0005-0000-0000-0000CE440000}"/>
    <cellStyle name="Normal 63_TOM TAT" xfId="11223" xr:uid="{00000000-0005-0000-0000-0000CF440000}"/>
    <cellStyle name="Normal 64" xfId="6641" xr:uid="{00000000-0005-0000-0000-0000D0440000}"/>
    <cellStyle name="Normal 64 2" xfId="11224" xr:uid="{00000000-0005-0000-0000-0000D1440000}"/>
    <cellStyle name="Normal 64 2 2" xfId="30821" xr:uid="{00000000-0005-0000-0000-0000D2440000}"/>
    <cellStyle name="Normal 64 2 3" xfId="16319" xr:uid="{00000000-0005-0000-0000-0000D3440000}"/>
    <cellStyle name="Normal 64 2_TOM TAT" xfId="23334" xr:uid="{00000000-0005-0000-0000-0000D4440000}"/>
    <cellStyle name="Normal 64 3" xfId="29243" xr:uid="{00000000-0005-0000-0000-0000D5440000}"/>
    <cellStyle name="Normal 64 4" xfId="14758" xr:uid="{00000000-0005-0000-0000-0000D6440000}"/>
    <cellStyle name="Normal 64_TOM TAT" xfId="11225" xr:uid="{00000000-0005-0000-0000-0000D7440000}"/>
    <cellStyle name="Normal 65" xfId="11226" xr:uid="{00000000-0005-0000-0000-0000D8440000}"/>
    <cellStyle name="Normal 65 2" xfId="11227" xr:uid="{00000000-0005-0000-0000-0000D9440000}"/>
    <cellStyle name="Normal 65 2 2" xfId="30823" xr:uid="{00000000-0005-0000-0000-0000DA440000}"/>
    <cellStyle name="Normal 65 2 3" xfId="16321" xr:uid="{00000000-0005-0000-0000-0000DB440000}"/>
    <cellStyle name="Normal 65 2_TOM TAT" xfId="23335" xr:uid="{00000000-0005-0000-0000-0000DC440000}"/>
    <cellStyle name="Normal 65 3" xfId="30822" xr:uid="{00000000-0005-0000-0000-0000DD440000}"/>
    <cellStyle name="Normal 65 4" xfId="16320" xr:uid="{00000000-0005-0000-0000-0000DE440000}"/>
    <cellStyle name="Normal 65_TOM TAT" xfId="11228" xr:uid="{00000000-0005-0000-0000-0000DF440000}"/>
    <cellStyle name="Normal 66" xfId="11229" xr:uid="{00000000-0005-0000-0000-0000E0440000}"/>
    <cellStyle name="Normal 66 2" xfId="11230" xr:uid="{00000000-0005-0000-0000-0000E1440000}"/>
    <cellStyle name="Normal 66 2 2" xfId="30825" xr:uid="{00000000-0005-0000-0000-0000E2440000}"/>
    <cellStyle name="Normal 66 2 3" xfId="16323" xr:uid="{00000000-0005-0000-0000-0000E3440000}"/>
    <cellStyle name="Normal 66 2_TOM TAT" xfId="23336" xr:uid="{00000000-0005-0000-0000-0000E4440000}"/>
    <cellStyle name="Normal 66 3" xfId="30824" xr:uid="{00000000-0005-0000-0000-0000E5440000}"/>
    <cellStyle name="Normal 66 4" xfId="16322" xr:uid="{00000000-0005-0000-0000-0000E6440000}"/>
    <cellStyle name="Normal 66_TOM TAT" xfId="11231" xr:uid="{00000000-0005-0000-0000-0000E7440000}"/>
    <cellStyle name="Normal 67" xfId="11232" xr:uid="{00000000-0005-0000-0000-0000E8440000}"/>
    <cellStyle name="Normal 67 2" xfId="11233" xr:uid="{00000000-0005-0000-0000-0000E9440000}"/>
    <cellStyle name="Normal 67 2 2" xfId="30827" xr:uid="{00000000-0005-0000-0000-0000EA440000}"/>
    <cellStyle name="Normal 67 2 3" xfId="16325" xr:uid="{00000000-0005-0000-0000-0000EB440000}"/>
    <cellStyle name="Normal 67 2_TOM TAT" xfId="23337" xr:uid="{00000000-0005-0000-0000-0000EC440000}"/>
    <cellStyle name="Normal 67 3" xfId="30826" xr:uid="{00000000-0005-0000-0000-0000ED440000}"/>
    <cellStyle name="Normal 67 4" xfId="16324" xr:uid="{00000000-0005-0000-0000-0000EE440000}"/>
    <cellStyle name="Normal 67_TOM TAT" xfId="11234" xr:uid="{00000000-0005-0000-0000-0000EF440000}"/>
    <cellStyle name="Normal 68" xfId="11235" xr:uid="{00000000-0005-0000-0000-0000F0440000}"/>
    <cellStyle name="Normal 68 2" xfId="11236" xr:uid="{00000000-0005-0000-0000-0000F1440000}"/>
    <cellStyle name="Normal 68 2 2" xfId="30829" xr:uid="{00000000-0005-0000-0000-0000F2440000}"/>
    <cellStyle name="Normal 68 2 3" xfId="16327" xr:uid="{00000000-0005-0000-0000-0000F3440000}"/>
    <cellStyle name="Normal 68 2_TOM TAT" xfId="23338" xr:uid="{00000000-0005-0000-0000-0000F4440000}"/>
    <cellStyle name="Normal 68 3" xfId="30828" xr:uid="{00000000-0005-0000-0000-0000F5440000}"/>
    <cellStyle name="Normal 68 4" xfId="16326" xr:uid="{00000000-0005-0000-0000-0000F6440000}"/>
    <cellStyle name="Normal 68_TOM TAT" xfId="11237" xr:uid="{00000000-0005-0000-0000-0000F7440000}"/>
    <cellStyle name="Normal 69" xfId="11238" xr:uid="{00000000-0005-0000-0000-0000F8440000}"/>
    <cellStyle name="Normal 69 2" xfId="11239" xr:uid="{00000000-0005-0000-0000-0000F9440000}"/>
    <cellStyle name="Normal 69 2 2" xfId="30831" xr:uid="{00000000-0005-0000-0000-0000FA440000}"/>
    <cellStyle name="Normal 69 2 3" xfId="16329" xr:uid="{00000000-0005-0000-0000-0000FB440000}"/>
    <cellStyle name="Normal 69 2_TOM TAT" xfId="23339" xr:uid="{00000000-0005-0000-0000-0000FC440000}"/>
    <cellStyle name="Normal 69 3" xfId="30830" xr:uid="{00000000-0005-0000-0000-0000FD440000}"/>
    <cellStyle name="Normal 69 4" xfId="16328" xr:uid="{00000000-0005-0000-0000-0000FE440000}"/>
    <cellStyle name="Normal 69_TOM TAT" xfId="11240" xr:uid="{00000000-0005-0000-0000-0000FF440000}"/>
    <cellStyle name="Normal 7" xfId="1366" xr:uid="{00000000-0005-0000-0000-000000450000}"/>
    <cellStyle name="Normal 7 10" xfId="14630" xr:uid="{00000000-0005-0000-0000-000001450000}"/>
    <cellStyle name="Normal 7 2" xfId="2302" xr:uid="{00000000-0005-0000-0000-000002450000}"/>
    <cellStyle name="Normal 7 2 2" xfId="11241" xr:uid="{00000000-0005-0000-0000-000003450000}"/>
    <cellStyle name="Normal 7 2_TOM TAT" xfId="11242" xr:uid="{00000000-0005-0000-0000-000004450000}"/>
    <cellStyle name="Normal 7 3" xfId="4434" xr:uid="{00000000-0005-0000-0000-000005450000}"/>
    <cellStyle name="Normal 7 3 2" xfId="11243" xr:uid="{00000000-0005-0000-0000-000006450000}"/>
    <cellStyle name="Normal 7 3_TOM TAT" xfId="11244" xr:uid="{00000000-0005-0000-0000-000007450000}"/>
    <cellStyle name="Normal 7 4" xfId="11245" xr:uid="{00000000-0005-0000-0000-000008450000}"/>
    <cellStyle name="Normal 7 5" xfId="11246" xr:uid="{00000000-0005-0000-0000-000009450000}"/>
    <cellStyle name="Normal 7 6" xfId="11247" xr:uid="{00000000-0005-0000-0000-00000A450000}"/>
    <cellStyle name="Normal 7 7" xfId="18219" xr:uid="{00000000-0005-0000-0000-00000B450000}"/>
    <cellStyle name="Normal 7 8" xfId="18689" xr:uid="{00000000-0005-0000-0000-00000C450000}"/>
    <cellStyle name="Normal 7 9" xfId="26986" xr:uid="{00000000-0005-0000-0000-00000D450000}"/>
    <cellStyle name="Normal 7_TOM TAT" xfId="11248" xr:uid="{00000000-0005-0000-0000-00000E450000}"/>
    <cellStyle name="Normal 70" xfId="11249" xr:uid="{00000000-0005-0000-0000-00000F450000}"/>
    <cellStyle name="Normal 71" xfId="11250" xr:uid="{00000000-0005-0000-0000-000010450000}"/>
    <cellStyle name="Normal 72" xfId="11251" xr:uid="{00000000-0005-0000-0000-000011450000}"/>
    <cellStyle name="Normal 72 2" xfId="19009" xr:uid="{00000000-0005-0000-0000-000012450000}"/>
    <cellStyle name="Normal 72 2 2" xfId="31922" xr:uid="{00000000-0005-0000-0000-000013450000}"/>
    <cellStyle name="Normal 72 2_TOM TAT" xfId="23341" xr:uid="{00000000-0005-0000-0000-000014450000}"/>
    <cellStyle name="Normal 72_TOM TAT" xfId="23340" xr:uid="{00000000-0005-0000-0000-000015450000}"/>
    <cellStyle name="Normal 73" xfId="14586" xr:uid="{00000000-0005-0000-0000-000016450000}"/>
    <cellStyle name="Normal 73 2" xfId="14592" xr:uid="{00000000-0005-0000-0000-000017450000}"/>
    <cellStyle name="Normal 73 2 2" xfId="32207" xr:uid="{00000000-0005-0000-0000-000018450000}"/>
    <cellStyle name="Normal 73 2 3" xfId="32209" xr:uid="{00000000-0005-0000-0000-000019450000}"/>
    <cellStyle name="Normal 73_TOM TAT" xfId="23342" xr:uid="{00000000-0005-0000-0000-00001A450000}"/>
    <cellStyle name="Normal 74" xfId="14589" xr:uid="{00000000-0005-0000-0000-00001B450000}"/>
    <cellStyle name="Normal 74 2" xfId="18959" xr:uid="{00000000-0005-0000-0000-00001C450000}"/>
    <cellStyle name="Normal 74 2 2" xfId="31874" xr:uid="{00000000-0005-0000-0000-00001D450000}"/>
    <cellStyle name="Normal 74 2_TOM TAT" xfId="23344" xr:uid="{00000000-0005-0000-0000-00001E450000}"/>
    <cellStyle name="Normal 74 3" xfId="18970" xr:uid="{00000000-0005-0000-0000-00001F450000}"/>
    <cellStyle name="Normal 74 3 2" xfId="31885" xr:uid="{00000000-0005-0000-0000-000020450000}"/>
    <cellStyle name="Normal 74 3_TOM TAT" xfId="23345" xr:uid="{00000000-0005-0000-0000-000021450000}"/>
    <cellStyle name="Normal 74 4" xfId="19029" xr:uid="{00000000-0005-0000-0000-000022450000}"/>
    <cellStyle name="Normal 74 4 2" xfId="19173" xr:uid="{00000000-0005-0000-0000-000023450000}"/>
    <cellStyle name="Normal 74 4 2 2" xfId="32028" xr:uid="{00000000-0005-0000-0000-000024450000}"/>
    <cellStyle name="Normal 74 4 2_TOM TAT" xfId="23347" xr:uid="{00000000-0005-0000-0000-000025450000}"/>
    <cellStyle name="Normal 74 4 3" xfId="19174" xr:uid="{00000000-0005-0000-0000-000026450000}"/>
    <cellStyle name="Normal 74 4 3 2" xfId="32029" xr:uid="{00000000-0005-0000-0000-000027450000}"/>
    <cellStyle name="Normal 74 4 3_TOM TAT" xfId="23348" xr:uid="{00000000-0005-0000-0000-000028450000}"/>
    <cellStyle name="Normal 74 4 4" xfId="19083" xr:uid="{00000000-0005-0000-0000-000029450000}"/>
    <cellStyle name="Normal 74 4 4 2" xfId="31972" xr:uid="{00000000-0005-0000-0000-00002A450000}"/>
    <cellStyle name="Normal 74 4 4 3" xfId="32138" xr:uid="{00000000-0005-0000-0000-00002B450000}"/>
    <cellStyle name="Normal 74 4 4_TOM TAT" xfId="23349" xr:uid="{00000000-0005-0000-0000-00002C450000}"/>
    <cellStyle name="Normal 74 4 5" xfId="31934" xr:uid="{00000000-0005-0000-0000-00002D450000}"/>
    <cellStyle name="Normal 74 4_TOM TAT" xfId="23346" xr:uid="{00000000-0005-0000-0000-00002E450000}"/>
    <cellStyle name="Normal 74 5" xfId="19039" xr:uid="{00000000-0005-0000-0000-00002F450000}"/>
    <cellStyle name="Normal 74 5 2" xfId="19175" xr:uid="{00000000-0005-0000-0000-000030450000}"/>
    <cellStyle name="Normal 74 5 2 2" xfId="19176" xr:uid="{00000000-0005-0000-0000-000031450000}"/>
    <cellStyle name="Normal 74 5 2 2 2" xfId="32031" xr:uid="{00000000-0005-0000-0000-000032450000}"/>
    <cellStyle name="Normal 74 5 2 2_TOM TAT" xfId="23352" xr:uid="{00000000-0005-0000-0000-000033450000}"/>
    <cellStyle name="Normal 74 5 2 3" xfId="19177" xr:uid="{00000000-0005-0000-0000-000034450000}"/>
    <cellStyle name="Normal 74 5 2 3 2" xfId="32032" xr:uid="{00000000-0005-0000-0000-000035450000}"/>
    <cellStyle name="Normal 74 5 2 3 3" xfId="32142" xr:uid="{00000000-0005-0000-0000-000036450000}"/>
    <cellStyle name="Normal 74 5 2 3_TOM TAT" xfId="23353" xr:uid="{00000000-0005-0000-0000-000037450000}"/>
    <cellStyle name="Normal 74 5 2 4" xfId="19087" xr:uid="{00000000-0005-0000-0000-000038450000}"/>
    <cellStyle name="Normal 74 5 2 4 2" xfId="31975" xr:uid="{00000000-0005-0000-0000-000039450000}"/>
    <cellStyle name="Normal 74 5 2 4 3" xfId="32141" xr:uid="{00000000-0005-0000-0000-00003A450000}"/>
    <cellStyle name="Normal 74 5 2 4_TOM TAT" xfId="23354" xr:uid="{00000000-0005-0000-0000-00003B450000}"/>
    <cellStyle name="Normal 74 5 2 5" xfId="32030" xr:uid="{00000000-0005-0000-0000-00003C450000}"/>
    <cellStyle name="Normal 74 5 2_TOM TAT" xfId="23351" xr:uid="{00000000-0005-0000-0000-00003D450000}"/>
    <cellStyle name="Normal 74 5 3" xfId="31944" xr:uid="{00000000-0005-0000-0000-00003E450000}"/>
    <cellStyle name="Normal 74 5_TOM TAT" xfId="23350" xr:uid="{00000000-0005-0000-0000-00003F450000}"/>
    <cellStyle name="Normal 74 6" xfId="19085" xr:uid="{00000000-0005-0000-0000-000040450000}"/>
    <cellStyle name="Normal 74 7" xfId="31730" xr:uid="{00000000-0005-0000-0000-000041450000}"/>
    <cellStyle name="Normal 74 8" xfId="17101" xr:uid="{00000000-0005-0000-0000-000042450000}"/>
    <cellStyle name="Normal 74_TOM TAT" xfId="23343" xr:uid="{00000000-0005-0000-0000-000043450000}"/>
    <cellStyle name="Normal 75" xfId="17104" xr:uid="{00000000-0005-0000-0000-000044450000}"/>
    <cellStyle name="Normal 76" xfId="18546" xr:uid="{00000000-0005-0000-0000-000045450000}"/>
    <cellStyle name="Normal 77" xfId="18953" xr:uid="{00000000-0005-0000-0000-000046450000}"/>
    <cellStyle name="Normal 77 2" xfId="31869" xr:uid="{00000000-0005-0000-0000-000047450000}"/>
    <cellStyle name="Normal 77 3" xfId="32257" xr:uid="{00000000-0005-0000-0000-000048450000}"/>
    <cellStyle name="Normal 77_TOM TAT" xfId="23355" xr:uid="{00000000-0005-0000-0000-000049450000}"/>
    <cellStyle name="Normal 78" xfId="18955" xr:uid="{00000000-0005-0000-0000-00004A450000}"/>
    <cellStyle name="Normal 78 2" xfId="31871" xr:uid="{00000000-0005-0000-0000-00004B450000}"/>
    <cellStyle name="Normal 78_TOM TAT" xfId="23356" xr:uid="{00000000-0005-0000-0000-00004C450000}"/>
    <cellStyle name="Normal 79" xfId="18958" xr:uid="{00000000-0005-0000-0000-00004D450000}"/>
    <cellStyle name="Normal 79 2" xfId="31873" xr:uid="{00000000-0005-0000-0000-00004E450000}"/>
    <cellStyle name="Normal 79_TOM TAT" xfId="23357" xr:uid="{00000000-0005-0000-0000-00004F450000}"/>
    <cellStyle name="Normal 8" xfId="1367" xr:uid="{00000000-0005-0000-0000-000050450000}"/>
    <cellStyle name="Normal 8 2" xfId="2304" xr:uid="{00000000-0005-0000-0000-000051450000}"/>
    <cellStyle name="Normal 8 2 2" xfId="5598" xr:uid="{00000000-0005-0000-0000-000052450000}"/>
    <cellStyle name="Normal 8 2 2 2" xfId="11252" xr:uid="{00000000-0005-0000-0000-000053450000}"/>
    <cellStyle name="Normal 8 2 2_TOM TAT" xfId="11253" xr:uid="{00000000-0005-0000-0000-000054450000}"/>
    <cellStyle name="Normal 8 2 3" xfId="11254" xr:uid="{00000000-0005-0000-0000-000055450000}"/>
    <cellStyle name="Normal 8 2 4" xfId="11255" xr:uid="{00000000-0005-0000-0000-000056450000}"/>
    <cellStyle name="Normal 8 2 5" xfId="11256" xr:uid="{00000000-0005-0000-0000-000057450000}"/>
    <cellStyle name="Normal 8 2_TOM TAT" xfId="11257" xr:uid="{00000000-0005-0000-0000-000058450000}"/>
    <cellStyle name="Normal 8 3" xfId="2303" xr:uid="{00000000-0005-0000-0000-000059450000}"/>
    <cellStyle name="Normal 8 3 2" xfId="11258" xr:uid="{00000000-0005-0000-0000-00005A450000}"/>
    <cellStyle name="Normal 8 3 3" xfId="18640" xr:uid="{00000000-0005-0000-0000-00005B450000}"/>
    <cellStyle name="Normal 8 3_TOM TAT" xfId="11259" xr:uid="{00000000-0005-0000-0000-00005C450000}"/>
    <cellStyle name="Normal 8 4" xfId="4435" xr:uid="{00000000-0005-0000-0000-00005D450000}"/>
    <cellStyle name="Normal 8 4 2" xfId="11260" xr:uid="{00000000-0005-0000-0000-00005E450000}"/>
    <cellStyle name="Normal 8 4_TOM TAT" xfId="11261" xr:uid="{00000000-0005-0000-0000-00005F450000}"/>
    <cellStyle name="Normal 8 5" xfId="11262" xr:uid="{00000000-0005-0000-0000-000060450000}"/>
    <cellStyle name="Normal 8 6" xfId="11263" xr:uid="{00000000-0005-0000-0000-000061450000}"/>
    <cellStyle name="Normal 8 7" xfId="11264" xr:uid="{00000000-0005-0000-0000-000062450000}"/>
    <cellStyle name="Normal 8_20141211 Tan Mai - Hanh" xfId="11265" xr:uid="{00000000-0005-0000-0000-000063450000}"/>
    <cellStyle name="Normal 80" xfId="18963" xr:uid="{00000000-0005-0000-0000-000064450000}"/>
    <cellStyle name="Normal 80 2" xfId="31878" xr:uid="{00000000-0005-0000-0000-000065450000}"/>
    <cellStyle name="Normal 80 8" xfId="32213" xr:uid="{00000000-0005-0000-0000-000066450000}"/>
    <cellStyle name="Normal 80 8 2" xfId="32220" xr:uid="{00000000-0005-0000-0000-000067450000}"/>
    <cellStyle name="Normal 80 8 3" xfId="32246" xr:uid="{00000000-0005-0000-0000-000068450000}"/>
    <cellStyle name="Normal 80_TOM TAT" xfId="23358" xr:uid="{00000000-0005-0000-0000-000069450000}"/>
    <cellStyle name="Normal 81" xfId="18965" xr:uid="{00000000-0005-0000-0000-00006A450000}"/>
    <cellStyle name="Normal 81 2" xfId="19052" xr:uid="{00000000-0005-0000-0000-00006B450000}"/>
    <cellStyle name="Normal 81 2 2" xfId="31954" xr:uid="{00000000-0005-0000-0000-00006C450000}"/>
    <cellStyle name="Normal 81 2_TOM TAT" xfId="23360" xr:uid="{00000000-0005-0000-0000-00006D450000}"/>
    <cellStyle name="Normal 81 3" xfId="19178" xr:uid="{00000000-0005-0000-0000-00006E450000}"/>
    <cellStyle name="Normal 81 3 2" xfId="32033" xr:uid="{00000000-0005-0000-0000-00006F450000}"/>
    <cellStyle name="Normal 81 3_TOM TAT" xfId="23361" xr:uid="{00000000-0005-0000-0000-000070450000}"/>
    <cellStyle name="Normal 81 4" xfId="31880" xr:uid="{00000000-0005-0000-0000-000071450000}"/>
    <cellStyle name="Normal 81_TOM TAT" xfId="23359" xr:uid="{00000000-0005-0000-0000-000072450000}"/>
    <cellStyle name="Normal 82" xfId="18967" xr:uid="{00000000-0005-0000-0000-000073450000}"/>
    <cellStyle name="Normal 82 2" xfId="31882" xr:uid="{00000000-0005-0000-0000-000074450000}"/>
    <cellStyle name="Normal 82_TOM TAT" xfId="23362" xr:uid="{00000000-0005-0000-0000-000075450000}"/>
    <cellStyle name="Normal 83" xfId="19025" xr:uid="{00000000-0005-0000-0000-000076450000}"/>
    <cellStyle name="Normal 83 2" xfId="19050" xr:uid="{00000000-0005-0000-0000-000077450000}"/>
    <cellStyle name="Normal 83 2 2" xfId="31952" xr:uid="{00000000-0005-0000-0000-000078450000}"/>
    <cellStyle name="Normal 83 2_TOM TAT" xfId="23364" xr:uid="{00000000-0005-0000-0000-000079450000}"/>
    <cellStyle name="Normal 83 3" xfId="31930" xr:uid="{00000000-0005-0000-0000-00007A450000}"/>
    <cellStyle name="Normal 83_TOM TAT" xfId="23363" xr:uid="{00000000-0005-0000-0000-00007B450000}"/>
    <cellStyle name="Normal 84" xfId="19034" xr:uid="{00000000-0005-0000-0000-00007C450000}"/>
    <cellStyle name="Normal 84 2" xfId="19179" xr:uid="{00000000-0005-0000-0000-00007D450000}"/>
    <cellStyle name="Normal 84 2 2" xfId="19180" xr:uid="{00000000-0005-0000-0000-00007E450000}"/>
    <cellStyle name="Normal 84 2 2 2" xfId="32035" xr:uid="{00000000-0005-0000-0000-00007F450000}"/>
    <cellStyle name="Normal 84 2 2_TOM TAT" xfId="23367" xr:uid="{00000000-0005-0000-0000-000080450000}"/>
    <cellStyle name="Normal 84 2 3" xfId="19181" xr:uid="{00000000-0005-0000-0000-000081450000}"/>
    <cellStyle name="Normal 84 2 3 2" xfId="32036" xr:uid="{00000000-0005-0000-0000-000082450000}"/>
    <cellStyle name="Normal 84 2 3 3" xfId="32144" xr:uid="{00000000-0005-0000-0000-000083450000}"/>
    <cellStyle name="Normal 84 2 3_TOM TAT" xfId="23368" xr:uid="{00000000-0005-0000-0000-000084450000}"/>
    <cellStyle name="Normal 84 2 4" xfId="32034" xr:uid="{00000000-0005-0000-0000-000085450000}"/>
    <cellStyle name="Normal 84 2_TOM TAT" xfId="23366" xr:uid="{00000000-0005-0000-0000-000086450000}"/>
    <cellStyle name="Normal 84 3" xfId="31939" xr:uid="{00000000-0005-0000-0000-000087450000}"/>
    <cellStyle name="Normal 84_TOM TAT" xfId="23365" xr:uid="{00000000-0005-0000-0000-000088450000}"/>
    <cellStyle name="Normal 85" xfId="19037" xr:uid="{00000000-0005-0000-0000-000089450000}"/>
    <cellStyle name="Normal 85 2" xfId="31942" xr:uid="{00000000-0005-0000-0000-00008A450000}"/>
    <cellStyle name="Normal 85_TOM TAT" xfId="23369" xr:uid="{00000000-0005-0000-0000-00008B450000}"/>
    <cellStyle name="Normal 86" xfId="19069" xr:uid="{00000000-0005-0000-0000-00008C450000}"/>
    <cellStyle name="Normal 86 2" xfId="31958" xr:uid="{00000000-0005-0000-0000-00008D450000}"/>
    <cellStyle name="Normal 86_TOM TAT" xfId="23370" xr:uid="{00000000-0005-0000-0000-00008E450000}"/>
    <cellStyle name="Normal 87" xfId="19070" xr:uid="{00000000-0005-0000-0000-00008F450000}"/>
    <cellStyle name="Normal 87 2" xfId="31959" xr:uid="{00000000-0005-0000-0000-000090450000}"/>
    <cellStyle name="Normal 87_TOM TAT" xfId="23371" xr:uid="{00000000-0005-0000-0000-000091450000}"/>
    <cellStyle name="Normal 88" xfId="19072" xr:uid="{00000000-0005-0000-0000-000092450000}"/>
    <cellStyle name="Normal 88 2" xfId="31961" xr:uid="{00000000-0005-0000-0000-000093450000}"/>
    <cellStyle name="Normal 88 3" xfId="32160" xr:uid="{00000000-0005-0000-0000-000094450000}"/>
    <cellStyle name="Normal 88 4" xfId="32205" xr:uid="{00000000-0005-0000-0000-000095450000}"/>
    <cellStyle name="Normal 88 5" xfId="32216" xr:uid="{00000000-0005-0000-0000-000096450000}"/>
    <cellStyle name="Normal 88_TOM TAT" xfId="23372" xr:uid="{00000000-0005-0000-0000-000097450000}"/>
    <cellStyle name="Normal 89" xfId="19075" xr:uid="{00000000-0005-0000-0000-000098450000}"/>
    <cellStyle name="Normal 89 2" xfId="31964" xr:uid="{00000000-0005-0000-0000-000099450000}"/>
    <cellStyle name="Normal 89 3" xfId="32217" xr:uid="{00000000-0005-0000-0000-00009A450000}"/>
    <cellStyle name="Normal 89_TOM TAT" xfId="23373" xr:uid="{00000000-0005-0000-0000-00009B450000}"/>
    <cellStyle name="Normal 9" xfId="1368" xr:uid="{00000000-0005-0000-0000-00009C450000}"/>
    <cellStyle name="Normal 9 2" xfId="2306" xr:uid="{00000000-0005-0000-0000-00009D450000}"/>
    <cellStyle name="Normal 9 2 2" xfId="11266" xr:uid="{00000000-0005-0000-0000-00009E450000}"/>
    <cellStyle name="Normal 9 2 2 2" xfId="11267" xr:uid="{00000000-0005-0000-0000-00009F450000}"/>
    <cellStyle name="Normal 9 2 2_TOM TAT" xfId="11268" xr:uid="{00000000-0005-0000-0000-0000A0450000}"/>
    <cellStyle name="Normal 9 2 3" xfId="11269" xr:uid="{00000000-0005-0000-0000-0000A1450000}"/>
    <cellStyle name="Normal 9 2 4" xfId="11270" xr:uid="{00000000-0005-0000-0000-0000A2450000}"/>
    <cellStyle name="Normal 9 2 5" xfId="11271" xr:uid="{00000000-0005-0000-0000-0000A3450000}"/>
    <cellStyle name="Normal 9 2 6" xfId="18220" xr:uid="{00000000-0005-0000-0000-0000A4450000}"/>
    <cellStyle name="Normal 9 2 7" xfId="18690" xr:uid="{00000000-0005-0000-0000-0000A5450000}"/>
    <cellStyle name="Normal 9 2_TOM TAT" xfId="11272" xr:uid="{00000000-0005-0000-0000-0000A6450000}"/>
    <cellStyle name="Normal 9 3" xfId="2305" xr:uid="{00000000-0005-0000-0000-0000A7450000}"/>
    <cellStyle name="Normal 9 3 2" xfId="11273" xr:uid="{00000000-0005-0000-0000-0000A8450000}"/>
    <cellStyle name="Normal 9 3_TOM TAT" xfId="11274" xr:uid="{00000000-0005-0000-0000-0000A9450000}"/>
    <cellStyle name="Normal 9 4" xfId="11275" xr:uid="{00000000-0005-0000-0000-0000AA450000}"/>
    <cellStyle name="Normal 9 5" xfId="11276" xr:uid="{00000000-0005-0000-0000-0000AB450000}"/>
    <cellStyle name="Normal 9 6" xfId="11277" xr:uid="{00000000-0005-0000-0000-0000AC450000}"/>
    <cellStyle name="Normal 9_FS chuan Jamona Riverside" xfId="5599" xr:uid="{00000000-0005-0000-0000-0000AD450000}"/>
    <cellStyle name="Normal 90" xfId="19078" xr:uid="{00000000-0005-0000-0000-0000AE450000}"/>
    <cellStyle name="Normal 90 2" xfId="31967" xr:uid="{00000000-0005-0000-0000-0000AF450000}"/>
    <cellStyle name="Normal 90_TOM TAT" xfId="23374" xr:uid="{00000000-0005-0000-0000-0000B0450000}"/>
    <cellStyle name="Normal 91" xfId="26942" xr:uid="{00000000-0005-0000-0000-0000B1450000}"/>
    <cellStyle name="Normal 91 2" xfId="32150" xr:uid="{00000000-0005-0000-0000-0000B2450000}"/>
    <cellStyle name="Normal 91 3" xfId="32228" xr:uid="{00000000-0005-0000-0000-0000B3450000}"/>
    <cellStyle name="Normal 91 3 2" xfId="32230" xr:uid="{00000000-0005-0000-0000-0000B4450000}"/>
    <cellStyle name="Normal 92" xfId="32153" xr:uid="{00000000-0005-0000-0000-0000B5450000}"/>
    <cellStyle name="Normal 93" xfId="32154" xr:uid="{00000000-0005-0000-0000-0000B6450000}"/>
    <cellStyle name="Normal 94" xfId="32155" xr:uid="{00000000-0005-0000-0000-0000B7450000}"/>
    <cellStyle name="Normal 95" xfId="32156" xr:uid="{00000000-0005-0000-0000-0000B8450000}"/>
    <cellStyle name="Normal 96" xfId="32157" xr:uid="{00000000-0005-0000-0000-0000B9450000}"/>
    <cellStyle name="Normal 97" xfId="32199" xr:uid="{00000000-0005-0000-0000-0000BA450000}"/>
    <cellStyle name="Normal 98" xfId="14622" xr:uid="{00000000-0005-0000-0000-0000BB450000}"/>
    <cellStyle name="Normal 99" xfId="32206" xr:uid="{00000000-0005-0000-0000-0000BC450000}"/>
    <cellStyle name="Normal BQ" xfId="1369" xr:uid="{00000000-0005-0000-0000-0000BD450000}"/>
    <cellStyle name="Normal BQ 2" xfId="4436" xr:uid="{00000000-0005-0000-0000-0000BE450000}"/>
    <cellStyle name="Normal BQ 2 2" xfId="5600" xr:uid="{00000000-0005-0000-0000-0000BF450000}"/>
    <cellStyle name="Normal BQ 2 2 2" xfId="11278" xr:uid="{00000000-0005-0000-0000-0000C0450000}"/>
    <cellStyle name="Normal BQ 2 2_TOM TAT" xfId="11279" xr:uid="{00000000-0005-0000-0000-0000C1450000}"/>
    <cellStyle name="Normal BQ 2 3" xfId="11280" xr:uid="{00000000-0005-0000-0000-0000C2450000}"/>
    <cellStyle name="Normal BQ 2 4" xfId="11281" xr:uid="{00000000-0005-0000-0000-0000C3450000}"/>
    <cellStyle name="Normal BQ 2 5" xfId="11282" xr:uid="{00000000-0005-0000-0000-0000C4450000}"/>
    <cellStyle name="Normal BQ 2_TOM TAT" xfId="11283" xr:uid="{00000000-0005-0000-0000-0000C5450000}"/>
    <cellStyle name="Normal BQ 3" xfId="5601" xr:uid="{00000000-0005-0000-0000-0000C6450000}"/>
    <cellStyle name="Normal BQ 3 2" xfId="11284" xr:uid="{00000000-0005-0000-0000-0000C7450000}"/>
    <cellStyle name="Normal BQ 3_TOM TAT" xfId="11285" xr:uid="{00000000-0005-0000-0000-0000C8450000}"/>
    <cellStyle name="Normal BQ 4" xfId="11286" xr:uid="{00000000-0005-0000-0000-0000C9450000}"/>
    <cellStyle name="Normal BQ 5" xfId="11287" xr:uid="{00000000-0005-0000-0000-0000CA450000}"/>
    <cellStyle name="Normal BQ 6" xfId="11288" xr:uid="{00000000-0005-0000-0000-0000CB450000}"/>
    <cellStyle name="Normal BQ_20141211 Tan Mai - Hanh" xfId="11289" xr:uid="{00000000-0005-0000-0000-0000CC450000}"/>
    <cellStyle name="Normal_LONG TAN (PA1 - 02-10-09)" xfId="1370" xr:uid="{00000000-0005-0000-0000-0000CD450000}"/>
    <cellStyle name="Normal_LONG TAN (PA1 - 02-10-09) 2" xfId="1848" xr:uid="{00000000-0005-0000-0000-0000CE450000}"/>
    <cellStyle name="Normal_PA QH 28.2.08" xfId="1371" xr:uid="{00000000-0005-0000-0000-0000CF450000}"/>
    <cellStyle name="Normal1" xfId="19010" xr:uid="{00000000-0005-0000-0000-0000D0450000}"/>
    <cellStyle name="NormalCurrency" xfId="1372" xr:uid="{00000000-0005-0000-0000-0000D1450000}"/>
    <cellStyle name="NormalCurrency 2" xfId="11290" xr:uid="{00000000-0005-0000-0000-0000D2450000}"/>
    <cellStyle name="NormalCurrency 3" xfId="11291" xr:uid="{00000000-0005-0000-0000-0000D3450000}"/>
    <cellStyle name="NormalCurrency_TOM TAT" xfId="11292" xr:uid="{00000000-0005-0000-0000-0000D4450000}"/>
    <cellStyle name="Note" xfId="1373" builtinId="10" customBuiltin="1"/>
    <cellStyle name="Note 2" xfId="2307" xr:uid="{00000000-0005-0000-0000-0000D6450000}"/>
    <cellStyle name="Note 2 10" xfId="27138" xr:uid="{00000000-0005-0000-0000-0000D7450000}"/>
    <cellStyle name="Note 2 2" xfId="2308" xr:uid="{00000000-0005-0000-0000-0000D8450000}"/>
    <cellStyle name="Note 2 2 2" xfId="2309" xr:uid="{00000000-0005-0000-0000-0000D9450000}"/>
    <cellStyle name="Note 2 2 2 2" xfId="5602" xr:uid="{00000000-0005-0000-0000-0000DA450000}"/>
    <cellStyle name="Note 2 2 2 2 2" xfId="28269" xr:uid="{00000000-0005-0000-0000-0000DB450000}"/>
    <cellStyle name="Note 2 2 2 2_TOM TAT" xfId="23375" xr:uid="{00000000-0005-0000-0000-0000DC450000}"/>
    <cellStyle name="Note 2 2 2 3" xfId="27140" xr:uid="{00000000-0005-0000-0000-0000DD450000}"/>
    <cellStyle name="Note 2 2 2_TOM TAT" xfId="11293" xr:uid="{00000000-0005-0000-0000-0000DE450000}"/>
    <cellStyle name="Note 2 2 3" xfId="5603" xr:uid="{00000000-0005-0000-0000-0000DF450000}"/>
    <cellStyle name="Note 2 2 3 2" xfId="28270" xr:uid="{00000000-0005-0000-0000-0000E0450000}"/>
    <cellStyle name="Note 2 2 3_TOM TAT" xfId="23376" xr:uid="{00000000-0005-0000-0000-0000E1450000}"/>
    <cellStyle name="Note 2 2 4" xfId="27139" xr:uid="{00000000-0005-0000-0000-0000E2450000}"/>
    <cellStyle name="Note 2 2_TOM TAT" xfId="11294" xr:uid="{00000000-0005-0000-0000-0000E3450000}"/>
    <cellStyle name="Note 2 3" xfId="2310" xr:uid="{00000000-0005-0000-0000-0000E4450000}"/>
    <cellStyle name="Note 2 3 2" xfId="5604" xr:uid="{00000000-0005-0000-0000-0000E5450000}"/>
    <cellStyle name="Note 2 3 2 2" xfId="28271" xr:uid="{00000000-0005-0000-0000-0000E6450000}"/>
    <cellStyle name="Note 2 3 2_TOM TAT" xfId="23377" xr:uid="{00000000-0005-0000-0000-0000E7450000}"/>
    <cellStyle name="Note 2 3 3" xfId="27141" xr:uid="{00000000-0005-0000-0000-0000E8450000}"/>
    <cellStyle name="Note 2 3_TOM TAT" xfId="11295" xr:uid="{00000000-0005-0000-0000-0000E9450000}"/>
    <cellStyle name="Note 2 4" xfId="5605" xr:uid="{00000000-0005-0000-0000-0000EA450000}"/>
    <cellStyle name="Note 2 4 2" xfId="11296" xr:uid="{00000000-0005-0000-0000-0000EB450000}"/>
    <cellStyle name="Note 2 4 2 2" xfId="30832" xr:uid="{00000000-0005-0000-0000-0000EC450000}"/>
    <cellStyle name="Note 2 4 2_TOM TAT" xfId="23378" xr:uid="{00000000-0005-0000-0000-0000ED450000}"/>
    <cellStyle name="Note 2 4 3" xfId="28272" xr:uid="{00000000-0005-0000-0000-0000EE450000}"/>
    <cellStyle name="Note 2 4_TOM TAT" xfId="11297" xr:uid="{00000000-0005-0000-0000-0000EF450000}"/>
    <cellStyle name="Note 2 5" xfId="11298" xr:uid="{00000000-0005-0000-0000-0000F0450000}"/>
    <cellStyle name="Note 2 5 2" xfId="30833" xr:uid="{00000000-0005-0000-0000-0000F1450000}"/>
    <cellStyle name="Note 2 5_TOM TAT" xfId="23379" xr:uid="{00000000-0005-0000-0000-0000F2450000}"/>
    <cellStyle name="Note 2 6" xfId="11299" xr:uid="{00000000-0005-0000-0000-0000F3450000}"/>
    <cellStyle name="Note 2 6 2" xfId="30834" xr:uid="{00000000-0005-0000-0000-0000F4450000}"/>
    <cellStyle name="Note 2 6_TOM TAT" xfId="23380" xr:uid="{00000000-0005-0000-0000-0000F5450000}"/>
    <cellStyle name="Note 2 7" xfId="11300" xr:uid="{00000000-0005-0000-0000-0000F6450000}"/>
    <cellStyle name="Note 2 7 2" xfId="30835" xr:uid="{00000000-0005-0000-0000-0000F7450000}"/>
    <cellStyle name="Note 2 7_TOM TAT" xfId="23381" xr:uid="{00000000-0005-0000-0000-0000F8450000}"/>
    <cellStyle name="Note 2 8" xfId="18221" xr:uid="{00000000-0005-0000-0000-0000F9450000}"/>
    <cellStyle name="Note 2 8 2" xfId="31731" xr:uid="{00000000-0005-0000-0000-0000FA450000}"/>
    <cellStyle name="Note 2 8_TOM TAT" xfId="23382" xr:uid="{00000000-0005-0000-0000-0000FB450000}"/>
    <cellStyle name="Note 2 9" xfId="18691" xr:uid="{00000000-0005-0000-0000-0000FC450000}"/>
    <cellStyle name="Note 2 9 2" xfId="31803" xr:uid="{00000000-0005-0000-0000-0000FD450000}"/>
    <cellStyle name="Note 2 9_TOM TAT" xfId="23383" xr:uid="{00000000-0005-0000-0000-0000FE450000}"/>
    <cellStyle name="Note 2_TOM TAT" xfId="11301" xr:uid="{00000000-0005-0000-0000-0000FF450000}"/>
    <cellStyle name="Note 3" xfId="2311" xr:uid="{00000000-0005-0000-0000-000000460000}"/>
    <cellStyle name="Note 3 2" xfId="2312" xr:uid="{00000000-0005-0000-0000-000001460000}"/>
    <cellStyle name="Note 3 2 2" xfId="5606" xr:uid="{00000000-0005-0000-0000-000002460000}"/>
    <cellStyle name="Note 3 2 2 2" xfId="28273" xr:uid="{00000000-0005-0000-0000-000003460000}"/>
    <cellStyle name="Note 3 2 2_TOM TAT" xfId="23384" xr:uid="{00000000-0005-0000-0000-000004460000}"/>
    <cellStyle name="Note 3 2 3" xfId="27143" xr:uid="{00000000-0005-0000-0000-000005460000}"/>
    <cellStyle name="Note 3 2_TOM TAT" xfId="11302" xr:uid="{00000000-0005-0000-0000-000006460000}"/>
    <cellStyle name="Note 3 3" xfId="5607" xr:uid="{00000000-0005-0000-0000-000007460000}"/>
    <cellStyle name="Note 3 3 2" xfId="28274" xr:uid="{00000000-0005-0000-0000-000008460000}"/>
    <cellStyle name="Note 3 3_TOM TAT" xfId="23385" xr:uid="{00000000-0005-0000-0000-000009460000}"/>
    <cellStyle name="Note 3 4" xfId="27142" xr:uid="{00000000-0005-0000-0000-00000A460000}"/>
    <cellStyle name="Note 3_TOM TAT" xfId="11303" xr:uid="{00000000-0005-0000-0000-00000B460000}"/>
    <cellStyle name="Note 4" xfId="2313" xr:uid="{00000000-0005-0000-0000-00000C460000}"/>
    <cellStyle name="Note 4 2" xfId="5608" xr:uid="{00000000-0005-0000-0000-00000D460000}"/>
    <cellStyle name="Note 4 2 2" xfId="28275" xr:uid="{00000000-0005-0000-0000-00000E460000}"/>
    <cellStyle name="Note 4 2_TOM TAT" xfId="23386" xr:uid="{00000000-0005-0000-0000-00000F460000}"/>
    <cellStyle name="Note 4 3" xfId="27144" xr:uid="{00000000-0005-0000-0000-000010460000}"/>
    <cellStyle name="Note 4_TOM TAT" xfId="11304" xr:uid="{00000000-0005-0000-0000-000011460000}"/>
    <cellStyle name="Note 5" xfId="4437" xr:uid="{00000000-0005-0000-0000-000012460000}"/>
    <cellStyle name="Note 5 2" xfId="5609" xr:uid="{00000000-0005-0000-0000-000013460000}"/>
    <cellStyle name="Note 5 2 2" xfId="28276" xr:uid="{00000000-0005-0000-0000-000014460000}"/>
    <cellStyle name="Note 5 2_TOM TAT" xfId="23387" xr:uid="{00000000-0005-0000-0000-000015460000}"/>
    <cellStyle name="Note 5 3" xfId="28054" xr:uid="{00000000-0005-0000-0000-000016460000}"/>
    <cellStyle name="Note 5_TOM TAT" xfId="11305" xr:uid="{00000000-0005-0000-0000-000017460000}"/>
    <cellStyle name="Note 6" xfId="5610" xr:uid="{00000000-0005-0000-0000-000018460000}"/>
    <cellStyle name="Note 6 2" xfId="28277" xr:uid="{00000000-0005-0000-0000-000019460000}"/>
    <cellStyle name="Note 6_TOM TAT" xfId="23388" xr:uid="{00000000-0005-0000-0000-00001A460000}"/>
    <cellStyle name="Note 7" xfId="26987" xr:uid="{00000000-0005-0000-0000-00001B460000}"/>
    <cellStyle name="Note 8" xfId="32200" xr:uid="{00000000-0005-0000-0000-00001C460000}"/>
    <cellStyle name="Note 9" xfId="14631" xr:uid="{00000000-0005-0000-0000-00001D460000}"/>
    <cellStyle name="NUMBER" xfId="1374" xr:uid="{00000000-0005-0000-0000-00001E460000}"/>
    <cellStyle name="NUMBER 2" xfId="5611" xr:uid="{00000000-0005-0000-0000-00001F460000}"/>
    <cellStyle name="NUMBER_TOM TAT" xfId="11306" xr:uid="{00000000-0005-0000-0000-000020460000}"/>
    <cellStyle name="NWM" xfId="1375" xr:uid="{00000000-0005-0000-0000-000021460000}"/>
    <cellStyle name="NWM 2" xfId="4438" xr:uid="{00000000-0005-0000-0000-000022460000}"/>
    <cellStyle name="NWM 3" xfId="18222" xr:uid="{00000000-0005-0000-0000-000023460000}"/>
    <cellStyle name="NWM_TOM TAT" xfId="11307" xr:uid="{00000000-0005-0000-0000-000024460000}"/>
    <cellStyle name="Œ…‹æØ‚è [0.00]_laroux" xfId="1376" xr:uid="{00000000-0005-0000-0000-000025460000}"/>
    <cellStyle name="Œ…‹æØ‚è_laroux" xfId="1377" xr:uid="{00000000-0005-0000-0000-000026460000}"/>
    <cellStyle name="oft Excel]_x000a__x000a_Comment=open=/f ‚ðw’è‚·‚é‚ÆAƒ†[ƒU[’è‹`ŠÖ”‚ðŠÖ”“\‚è•t‚¯‚Ìˆê——‚É“o˜^‚·‚é‚±‚Æ‚ª‚Å‚«‚Ü‚·B_x000a__x000a_Maximized" xfId="1378" xr:uid="{00000000-0005-0000-0000-000027460000}"/>
    <cellStyle name="oft Excel]_x000a__x000a_Comment=open=/f ‚ðw’è‚·‚é‚ÆAƒ†[ƒU[’è‹`ŠÖ”‚ðŠÖ”“\‚è•t‚¯‚Ìˆê——‚É“o˜^‚·‚é‚±‚Æ‚ª‚Å‚«‚Ü‚·B_x000a__x000a_Maximized 2" xfId="11308" xr:uid="{00000000-0005-0000-0000-000028460000}"/>
    <cellStyle name="oft Excel]_x000a__x000a_Comment=open=/f ‚ðw’è‚·‚é‚ÆAƒ†[ƒU[’è‹`ŠÖ”‚ðŠÖ”“\‚è•t‚¯‚Ìˆê——‚É“o˜^‚·‚é‚±‚Æ‚ª‚Å‚«‚Ü‚·B_x000a__x000a_Maximized_TOM TAT" xfId="23389" xr:uid="{00000000-0005-0000-0000-000029460000}"/>
    <cellStyle name="oft Excel]_x000a__x000a_Comment=open=/f ‚ðŽw’è‚·‚é‚ÆAƒ†[ƒU[’è‹`ŠÖ”‚ðŠÖ”“\‚è•t‚¯‚Ìˆê——‚É“o˜^‚·‚é‚±‚Æ‚ª‚Å‚«‚Ü‚·B_x000a__x000a_Maximized" xfId="11309" xr:uid="{00000000-0005-0000-0000-00002A460000}"/>
    <cellStyle name="oft Excel]_x000a__x000a_Comment=open=/f ‚ðŽw’è‚·‚é‚ÆAƒ†[ƒU[’è‹`ŠÖ”‚ðŠÖ”“\‚è•t‚¯‚Ìˆê——‚É“o˜^‚·‚é‚±‚Æ‚ª‚Å‚«‚Ü‚·B_x000a__x000a_Maximized 2" xfId="11310" xr:uid="{00000000-0005-0000-0000-00002B460000}"/>
    <cellStyle name="oft Excel]_x000a__x000a_Comment=open=/f ‚ðŽw’è‚·‚é‚ÆAƒ†[ƒU[’è‹`ŠÖ”‚ðŠÖ”“\‚è•t‚¯‚Ìˆê——‚É“o˜^‚·‚é‚±‚Æ‚ª‚Å‚«‚Ü‚·B_x000a__x000a_Maximized_TOM TAT" xfId="23390" xr:uid="{00000000-0005-0000-0000-00002C460000}"/>
    <cellStyle name="oft Excel]_x000d__x000a_Comment=open=/f ‚ðw’è‚·‚é‚ÆAƒ†[ƒU[’è‹`ŠÖ”‚ðŠÖ”“\‚è•t‚¯‚Ìˆê——‚É“o˜^‚·‚é‚±‚Æ‚ª‚Å‚«‚Ü‚·B_x000d__x000a_Maximized" xfId="1379" xr:uid="{00000000-0005-0000-0000-00002D460000}"/>
    <cellStyle name="oft Excel]_x000d__x000a_Comment=open=/f ‚ðw’è‚·‚é‚ÆAƒ†[ƒU[’è‹`ŠÖ”‚ðŠÖ”“\‚è•t‚¯‚Ìˆê——‚É“o˜^‚·‚é‚±‚Æ‚ª‚Å‚«‚Ü‚·B_x000d__x000a_Maximized 2" xfId="11311" xr:uid="{00000000-0005-0000-0000-00002E460000}"/>
    <cellStyle name="oft Excel]_x000d__x000a_Comment=open=/f ‚ðw’è‚·‚é‚ÆAƒ†[ƒU[’è‹`ŠÖ”‚ðŠÖ”“\‚è•t‚¯‚Ìˆê——‚É“o˜^‚·‚é‚±‚Æ‚ª‚Å‚«‚Ü‚·B_x000d__x000a_Maximized 3" xfId="11312" xr:uid="{00000000-0005-0000-0000-00002F460000}"/>
    <cellStyle name="oft Excel]_x000d__x000a_Comment=open=/f ‚ðw’è‚·‚é‚ÆAƒ†[ƒU[’è‹`ŠÖ”‚ðŠÖ”“\‚è•t‚¯‚Ìˆê——‚É“o˜^‚·‚é‚±‚Æ‚ª‚Å‚«‚Ü‚·B_x000d__x000a_Maximized_TOM TAT" xfId="23391" xr:uid="{00000000-0005-0000-0000-000030460000}"/>
    <cellStyle name="oft Excel]_x000d__x000a_Comment=open=/f ‚ðŽw’è‚·‚é‚ÆAƒ†[ƒU[’è‹`ŠÖ”‚ðŠÖ”“\‚è•t‚¯‚Ìˆê——‚É“o˜^‚·‚é‚±‚Æ‚ª‚Å‚«‚Ü‚·B_x000d__x000a_Maximized" xfId="11313" xr:uid="{00000000-0005-0000-0000-000031460000}"/>
    <cellStyle name="oft Excel]_x000d__x000a_Comment=open=/f ‚ðŽw’è‚·‚é‚ÆAƒ†[ƒU[’è‹`ŠÖ”‚ðŠÖ”“\‚è•t‚¯‚Ìˆê——‚É“o˜^‚·‚é‚±‚Æ‚ª‚Å‚«‚Ü‚·B_x000d__x000a_Maximized 2" xfId="11314" xr:uid="{00000000-0005-0000-0000-000032460000}"/>
    <cellStyle name="oft Excel]_x000d__x000a_Comment=open=/f ‚ðŽw’è‚·‚é‚ÆAƒ†[ƒU[’è‹`ŠÖ”‚ðŠÖ”“\‚è•t‚¯‚Ìˆê——‚É“o˜^‚·‚é‚±‚Æ‚ª‚Å‚«‚Ü‚·B_x000d__x000a_Maximized_TOM TAT" xfId="23392" xr:uid="{00000000-0005-0000-0000-000033460000}"/>
    <cellStyle name="oft Excel]_x000d__x000a_Comment=The open=/f lines load custom functions into the Paste Function list._x000d__x000a_Maximized=2_x000d__x000a_Basics=1_x000d__x000a_A" xfId="19011" xr:uid="{00000000-0005-0000-0000-000034460000}"/>
    <cellStyle name="oft Excel]_x000d__x000a_Comment=The open=/f lines load custom functions into the Paste Function list._x000d__x000a_Maximized=3_x000d__x000a_Basics=1_x000d__x000a_A" xfId="19012" xr:uid="{00000000-0005-0000-0000-000035460000}"/>
    <cellStyle name="oft Mail]_x000a__x000a_NextOnMoveDelete=1_x000a__x000a_CustomInitHandler=_x000a__x000a_DemosEnabled=1_x000a__x000a_WG=0_x000a__x000a_Login=slwong_x000a__x000a_MAPIHELP=C:\MSMAIL\MSMAIL.HL" xfId="1380" xr:uid="{00000000-0005-0000-0000-000036460000}"/>
    <cellStyle name="oft Mail]_x000a__x000a_NextOnMoveDelete=1_x000a__x000a_CustomInitHandler=_x000a__x000a_DemosEnabled=1_x000a__x000a_WG=0_x000a__x000a_Login=slwong_x000a__x000a_MAPIHELP=C:\MSMAIL\MSMAIL.HL 2" xfId="11315" xr:uid="{00000000-0005-0000-0000-000037460000}"/>
    <cellStyle name="oft Mail]_x000a__x000a_NextOnMoveDelete=1_x000a__x000a_CustomInitHandler=_x000a__x000a_DemosEnabled=1_x000a__x000a_WG=0_x000a__x000a_Login=slwong_x000a__x000a_MAPIHELP=C:\MSMAIL\MSMAIL.HL_TOM TAT" xfId="11316" xr:uid="{00000000-0005-0000-0000-000038460000}"/>
    <cellStyle name="oft Mail]_x000d__x000a_NextOnMoveDelete=1_x000d__x000a_CustomInitHandler=_x000d__x000a_DemosEnabled=1_x000d__x000a_WG=0_x000d__x000a_Login=slwong_x000d__x000a_MAPIHELP=C:\MSMAIL\MSMAIL.HL" xfId="1381" xr:uid="{00000000-0005-0000-0000-000039460000}"/>
    <cellStyle name="oft Mail]_x000d__x000a_NextOnMoveDelete=1_x000d__x000a_CustomInitHandler=_x000d__x000a_DemosEnabled=1_x000d__x000a_WG=0_x000d__x000a_Login=slwong_x000d__x000a_MAPIHELP=C:\MSMAIL\MSMAIL.HL 2" xfId="11317" xr:uid="{00000000-0005-0000-0000-00003A460000}"/>
    <cellStyle name="oft Mail]_x000d__x000a_NextOnMoveDelete=1_x000d__x000a_CustomInitHandler=_x000d__x000a_DemosEnabled=1_x000d__x000a_WG=0_x000d__x000a_Login=slwong_x000d__x000a_MAPIHELP=C:\MSMAIL\MSMAIL.HL 3" xfId="11318" xr:uid="{00000000-0005-0000-0000-00003B460000}"/>
    <cellStyle name="oft Mail]_x000d__x000a_NextOnMoveDelete=1_x000d__x000a_CustomInitHandler=_x000d__x000a_DemosEnabled=1_x000d__x000a_WG=0_x000d__x000a_Login=slwong_x000d__x000a_MAPIHELP=C:\MSMAIL\MSMAIL.HL_TOM TAT" xfId="11319" xr:uid="{00000000-0005-0000-0000-00003C460000}"/>
    <cellStyle name="omma [0]_Mktg Prog" xfId="1382" xr:uid="{00000000-0005-0000-0000-00003D460000}"/>
    <cellStyle name="ormal_Sheet1_1" xfId="1383" xr:uid="{00000000-0005-0000-0000-00003E460000}"/>
    <cellStyle name="Output" xfId="1384" builtinId="21" customBuiltin="1"/>
    <cellStyle name="Output 2" xfId="2314" xr:uid="{00000000-0005-0000-0000-000040460000}"/>
    <cellStyle name="Output 2 2" xfId="2315" xr:uid="{00000000-0005-0000-0000-000041460000}"/>
    <cellStyle name="Output 2 2 2" xfId="2316" xr:uid="{00000000-0005-0000-0000-000042460000}"/>
    <cellStyle name="Output 2 2 2 2" xfId="5612" xr:uid="{00000000-0005-0000-0000-000043460000}"/>
    <cellStyle name="Output 2 2 2 2 2" xfId="28278" xr:uid="{00000000-0005-0000-0000-000044460000}"/>
    <cellStyle name="Output 2 2 2 2_TOM TAT" xfId="23393" xr:uid="{00000000-0005-0000-0000-000045460000}"/>
    <cellStyle name="Output 2 2 2 3" xfId="27147" xr:uid="{00000000-0005-0000-0000-000046460000}"/>
    <cellStyle name="Output 2 2 2_TOM TAT" xfId="11320" xr:uid="{00000000-0005-0000-0000-000047460000}"/>
    <cellStyle name="Output 2 2 3" xfId="5613" xr:uid="{00000000-0005-0000-0000-000048460000}"/>
    <cellStyle name="Output 2 2 3 2" xfId="28279" xr:uid="{00000000-0005-0000-0000-000049460000}"/>
    <cellStyle name="Output 2 2 3_TOM TAT" xfId="23394" xr:uid="{00000000-0005-0000-0000-00004A460000}"/>
    <cellStyle name="Output 2 2 4" xfId="27146" xr:uid="{00000000-0005-0000-0000-00004B460000}"/>
    <cellStyle name="Output 2 2_TOM TAT" xfId="11321" xr:uid="{00000000-0005-0000-0000-00004C460000}"/>
    <cellStyle name="Output 2 3" xfId="2317" xr:uid="{00000000-0005-0000-0000-00004D460000}"/>
    <cellStyle name="Output 2 3 2" xfId="5614" xr:uid="{00000000-0005-0000-0000-00004E460000}"/>
    <cellStyle name="Output 2 3 2 2" xfId="28280" xr:uid="{00000000-0005-0000-0000-00004F460000}"/>
    <cellStyle name="Output 2 3 2_TOM TAT" xfId="23395" xr:uid="{00000000-0005-0000-0000-000050460000}"/>
    <cellStyle name="Output 2 3 3" xfId="27148" xr:uid="{00000000-0005-0000-0000-000051460000}"/>
    <cellStyle name="Output 2 3_TOM TAT" xfId="11322" xr:uid="{00000000-0005-0000-0000-000052460000}"/>
    <cellStyle name="Output 2 4" xfId="2318" xr:uid="{00000000-0005-0000-0000-000053460000}"/>
    <cellStyle name="Output 2 4 2" xfId="5615" xr:uid="{00000000-0005-0000-0000-000054460000}"/>
    <cellStyle name="Output 2 4 2 2" xfId="28281" xr:uid="{00000000-0005-0000-0000-000055460000}"/>
    <cellStyle name="Output 2 4 2_TOM TAT" xfId="23396" xr:uid="{00000000-0005-0000-0000-000056460000}"/>
    <cellStyle name="Output 2 4 3" xfId="27149" xr:uid="{00000000-0005-0000-0000-000057460000}"/>
    <cellStyle name="Output 2 4_TOM TAT" xfId="11323" xr:uid="{00000000-0005-0000-0000-000058460000}"/>
    <cellStyle name="Output 2 5" xfId="5616" xr:uid="{00000000-0005-0000-0000-000059460000}"/>
    <cellStyle name="Output 2 5 2" xfId="28282" xr:uid="{00000000-0005-0000-0000-00005A460000}"/>
    <cellStyle name="Output 2 5_TOM TAT" xfId="23397" xr:uid="{00000000-0005-0000-0000-00005B460000}"/>
    <cellStyle name="Output 2 6" xfId="27145" xr:uid="{00000000-0005-0000-0000-00005C460000}"/>
    <cellStyle name="Output 2_TOM TAT" xfId="11324" xr:uid="{00000000-0005-0000-0000-00005D460000}"/>
    <cellStyle name="Output 3" xfId="2319" xr:uid="{00000000-0005-0000-0000-00005E460000}"/>
    <cellStyle name="Output 3 2" xfId="2320" xr:uid="{00000000-0005-0000-0000-00005F460000}"/>
    <cellStyle name="Output 3 2 2" xfId="5617" xr:uid="{00000000-0005-0000-0000-000060460000}"/>
    <cellStyle name="Output 3 2 2 2" xfId="28283" xr:uid="{00000000-0005-0000-0000-000061460000}"/>
    <cellStyle name="Output 3 2 2_TOM TAT" xfId="23398" xr:uid="{00000000-0005-0000-0000-000062460000}"/>
    <cellStyle name="Output 3 2 3" xfId="27151" xr:uid="{00000000-0005-0000-0000-000063460000}"/>
    <cellStyle name="Output 3 2_TOM TAT" xfId="11325" xr:uid="{00000000-0005-0000-0000-000064460000}"/>
    <cellStyle name="Output 3 3" xfId="5618" xr:uid="{00000000-0005-0000-0000-000065460000}"/>
    <cellStyle name="Output 3 3 2" xfId="28284" xr:uid="{00000000-0005-0000-0000-000066460000}"/>
    <cellStyle name="Output 3 3_TOM TAT" xfId="23399" xr:uid="{00000000-0005-0000-0000-000067460000}"/>
    <cellStyle name="Output 3 4" xfId="27150" xr:uid="{00000000-0005-0000-0000-000068460000}"/>
    <cellStyle name="Output 3_TOM TAT" xfId="11326" xr:uid="{00000000-0005-0000-0000-000069460000}"/>
    <cellStyle name="Output 4" xfId="2321" xr:uid="{00000000-0005-0000-0000-00006A460000}"/>
    <cellStyle name="Output 4 2" xfId="5619" xr:uid="{00000000-0005-0000-0000-00006B460000}"/>
    <cellStyle name="Output 4 2 2" xfId="28285" xr:uid="{00000000-0005-0000-0000-00006C460000}"/>
    <cellStyle name="Output 4 2_TOM TAT" xfId="23400" xr:uid="{00000000-0005-0000-0000-00006D460000}"/>
    <cellStyle name="Output 4 3" xfId="27152" xr:uid="{00000000-0005-0000-0000-00006E460000}"/>
    <cellStyle name="Output 4_TOM TAT" xfId="11327" xr:uid="{00000000-0005-0000-0000-00006F460000}"/>
    <cellStyle name="Output 5" xfId="5620" xr:uid="{00000000-0005-0000-0000-000070460000}"/>
    <cellStyle name="Output 5 2" xfId="28286" xr:uid="{00000000-0005-0000-0000-000071460000}"/>
    <cellStyle name="Output 5_TOM TAT" xfId="23401" xr:uid="{00000000-0005-0000-0000-000072460000}"/>
    <cellStyle name="Output 6" xfId="26988" xr:uid="{00000000-0005-0000-0000-000073460000}"/>
    <cellStyle name="Output 7" xfId="32201" xr:uid="{00000000-0005-0000-0000-000074460000}"/>
    <cellStyle name="Output Line Items" xfId="1385" xr:uid="{00000000-0005-0000-0000-000075460000}"/>
    <cellStyle name="Output Line Items 2" xfId="11328" xr:uid="{00000000-0005-0000-0000-000076460000}"/>
    <cellStyle name="Output Line Items 3" xfId="11329" xr:uid="{00000000-0005-0000-0000-000077460000}"/>
    <cellStyle name="Output Line Items_TOM TAT" xfId="11330" xr:uid="{00000000-0005-0000-0000-000078460000}"/>
    <cellStyle name="Page Number" xfId="1386" xr:uid="{00000000-0005-0000-0000-000079460000}"/>
    <cellStyle name="Page-Title" xfId="1387" xr:uid="{00000000-0005-0000-0000-00007A460000}"/>
    <cellStyle name="Page-Title 2" xfId="2322" xr:uid="{00000000-0005-0000-0000-00007B460000}"/>
    <cellStyle name="Page-Title 3" xfId="18223" xr:uid="{00000000-0005-0000-0000-00007C460000}"/>
    <cellStyle name="Page-Title_TOM TAT" xfId="11331" xr:uid="{00000000-0005-0000-0000-00007D460000}"/>
    <cellStyle name="paint" xfId="1388" xr:uid="{00000000-0005-0000-0000-00007E460000}"/>
    <cellStyle name="paint 2" xfId="11332" xr:uid="{00000000-0005-0000-0000-00007F460000}"/>
    <cellStyle name="paint 3" xfId="11333" xr:uid="{00000000-0005-0000-0000-000080460000}"/>
    <cellStyle name="paint_TOM TAT" xfId="11334" xr:uid="{00000000-0005-0000-0000-000081460000}"/>
    <cellStyle name="per.style" xfId="1389" xr:uid="{00000000-0005-0000-0000-000082460000}"/>
    <cellStyle name="Percent" xfId="1390" builtinId="5"/>
    <cellStyle name="Percent [0]" xfId="1391" xr:uid="{00000000-0005-0000-0000-000084460000}"/>
    <cellStyle name="Percent [0] 2" xfId="4439" xr:uid="{00000000-0005-0000-0000-000085460000}"/>
    <cellStyle name="Percent [0] 2 2" xfId="5621" xr:uid="{00000000-0005-0000-0000-000086460000}"/>
    <cellStyle name="Percent [0] 2_TOM TAT" xfId="11335" xr:uid="{00000000-0005-0000-0000-000087460000}"/>
    <cellStyle name="Percent [0] 3" xfId="5622" xr:uid="{00000000-0005-0000-0000-000088460000}"/>
    <cellStyle name="Percent [0]_TOM TAT" xfId="11336" xr:uid="{00000000-0005-0000-0000-000089460000}"/>
    <cellStyle name="Percent [00]" xfId="1392" xr:uid="{00000000-0005-0000-0000-00008A460000}"/>
    <cellStyle name="Percent [00] 2" xfId="4440" xr:uid="{00000000-0005-0000-0000-00008B460000}"/>
    <cellStyle name="Percent [00] 2 2" xfId="5623" xr:uid="{00000000-0005-0000-0000-00008C460000}"/>
    <cellStyle name="Percent [00] 2_TOM TAT" xfId="11337" xr:uid="{00000000-0005-0000-0000-00008D460000}"/>
    <cellStyle name="Percent [00] 3" xfId="5624" xr:uid="{00000000-0005-0000-0000-00008E460000}"/>
    <cellStyle name="Percent [00]_TOM TAT" xfId="11338" xr:uid="{00000000-0005-0000-0000-00008F460000}"/>
    <cellStyle name="Percent [2]" xfId="1393" xr:uid="{00000000-0005-0000-0000-000090460000}"/>
    <cellStyle name="Percent [2] 2" xfId="4441" xr:uid="{00000000-0005-0000-0000-000091460000}"/>
    <cellStyle name="Percent [2] 2 2" xfId="5625" xr:uid="{00000000-0005-0000-0000-000092460000}"/>
    <cellStyle name="Percent [2] 2_TOM TAT" xfId="11339" xr:uid="{00000000-0005-0000-0000-000093460000}"/>
    <cellStyle name="Percent [2] 3" xfId="5626" xr:uid="{00000000-0005-0000-0000-000094460000}"/>
    <cellStyle name="Percent [2]_TOM TAT" xfId="11340" xr:uid="{00000000-0005-0000-0000-000095460000}"/>
    <cellStyle name="Percent 10" xfId="1394" xr:uid="{00000000-0005-0000-0000-000096460000}"/>
    <cellStyle name="Percent 10 3" xfId="6645" xr:uid="{00000000-0005-0000-0000-000098460000}"/>
    <cellStyle name="Percent 10 4" xfId="11341" xr:uid="{00000000-0005-0000-0000-000099460000}"/>
    <cellStyle name="Percent 10 5" xfId="11342" xr:uid="{00000000-0005-0000-0000-00009A460000}"/>
    <cellStyle name="Percent 10_TOM TAT" xfId="11343" xr:uid="{00000000-0005-0000-0000-00009B460000}"/>
    <cellStyle name="Percent 11" xfId="1850" xr:uid="{00000000-0005-0000-0000-00009C460000}"/>
    <cellStyle name="Percent 11 2" xfId="4836" xr:uid="{00000000-0005-0000-0000-00009D460000}"/>
    <cellStyle name="Percent 11_TOM TAT" xfId="11344" xr:uid="{00000000-0005-0000-0000-00009E460000}"/>
    <cellStyle name="Percent 12" xfId="1853" xr:uid="{00000000-0005-0000-0000-00009F460000}"/>
    <cellStyle name="Percent 12 2" xfId="4867" xr:uid="{00000000-0005-0000-0000-0000A0460000}"/>
    <cellStyle name="Percent 12 2 2" xfId="18658" xr:uid="{00000000-0005-0000-0000-0000A1460000}"/>
    <cellStyle name="Percent 12 2 2 2" xfId="31778" xr:uid="{00000000-0005-0000-0000-0000A2460000}"/>
    <cellStyle name="Percent 12 2 2_TOM TAT" xfId="23403" xr:uid="{00000000-0005-0000-0000-0000A4460000}"/>
    <cellStyle name="Percent 12 2_TOM TAT" xfId="23402" xr:uid="{00000000-0005-0000-0000-0000A5460000}"/>
    <cellStyle name="Percent 12 3" xfId="11345" xr:uid="{00000000-0005-0000-0000-0000A6460000}"/>
    <cellStyle name="Percent 12 3 2" xfId="11346" xr:uid="{00000000-0005-0000-0000-0000A7460000}"/>
    <cellStyle name="Percent 12 3 2 2" xfId="11347" xr:uid="{00000000-0005-0000-0000-0000A8460000}"/>
    <cellStyle name="Percent 12 3 2 2 2" xfId="30838" xr:uid="{00000000-0005-0000-0000-0000A9460000}"/>
    <cellStyle name="Percent 12 3 2 2 3" xfId="16332" xr:uid="{00000000-0005-0000-0000-0000AA460000}"/>
    <cellStyle name="Percent 12 3 2 2_TOM TAT" xfId="23404" xr:uid="{00000000-0005-0000-0000-0000AB460000}"/>
    <cellStyle name="Percent 12 3 2 3" xfId="30837" xr:uid="{00000000-0005-0000-0000-0000AC460000}"/>
    <cellStyle name="Percent 12 3 2 4" xfId="16331" xr:uid="{00000000-0005-0000-0000-0000AD460000}"/>
    <cellStyle name="Percent 12 3 2_TOM TAT" xfId="11348" xr:uid="{00000000-0005-0000-0000-0000AE460000}"/>
    <cellStyle name="Percent 12 3 3" xfId="11349" xr:uid="{00000000-0005-0000-0000-0000AF460000}"/>
    <cellStyle name="Percent 12 3 3 2" xfId="30839" xr:uid="{00000000-0005-0000-0000-0000B0460000}"/>
    <cellStyle name="Percent 12 3 3 3" xfId="16333" xr:uid="{00000000-0005-0000-0000-0000B1460000}"/>
    <cellStyle name="Percent 12 3 3_TOM TAT" xfId="23405" xr:uid="{00000000-0005-0000-0000-0000B2460000}"/>
    <cellStyle name="Percent 12 3 4" xfId="30836" xr:uid="{00000000-0005-0000-0000-0000B3460000}"/>
    <cellStyle name="Percent 12 3 5" xfId="16330" xr:uid="{00000000-0005-0000-0000-0000B4460000}"/>
    <cellStyle name="Percent 12 3_TOM TAT" xfId="11350" xr:uid="{00000000-0005-0000-0000-0000B5460000}"/>
    <cellStyle name="Percent 12 4" xfId="18587" xr:uid="{00000000-0005-0000-0000-0000B6460000}"/>
    <cellStyle name="Percent 12 4 2" xfId="31754" xr:uid="{00000000-0005-0000-0000-0000B7460000}"/>
    <cellStyle name="Percent 12 4_TOM TAT" xfId="23406" xr:uid="{00000000-0005-0000-0000-0000B8460000}"/>
    <cellStyle name="Percent 12_TOM TAT" xfId="11351" xr:uid="{00000000-0005-0000-0000-0000B9460000}"/>
    <cellStyle name="Percent 13" xfId="2323" xr:uid="{00000000-0005-0000-0000-0000BA460000}"/>
    <cellStyle name="Percent 13 2" xfId="11352" xr:uid="{00000000-0005-0000-0000-0000BB460000}"/>
    <cellStyle name="Percent 13 2 10" xfId="16334" xr:uid="{00000000-0005-0000-0000-0000BC460000}"/>
    <cellStyle name="Percent 13 2 2" xfId="11353" xr:uid="{00000000-0005-0000-0000-0000BD460000}"/>
    <cellStyle name="Percent 13 2 2 2" xfId="11354" xr:uid="{00000000-0005-0000-0000-0000BE460000}"/>
    <cellStyle name="Percent 13 2 2 2 2" xfId="11355" xr:uid="{00000000-0005-0000-0000-0000BF460000}"/>
    <cellStyle name="Percent 13 2 2 2 2 2" xfId="11356" xr:uid="{00000000-0005-0000-0000-0000C0460000}"/>
    <cellStyle name="Percent 13 2 2 2 2 2 2" xfId="30844" xr:uid="{00000000-0005-0000-0000-0000C1460000}"/>
    <cellStyle name="Percent 13 2 2 2 2 2 3" xfId="16338" xr:uid="{00000000-0005-0000-0000-0000C2460000}"/>
    <cellStyle name="Percent 13 2 2 2 2 2_TOM TAT" xfId="23407" xr:uid="{00000000-0005-0000-0000-0000C3460000}"/>
    <cellStyle name="Percent 13 2 2 2 2 3" xfId="30843" xr:uid="{00000000-0005-0000-0000-0000C4460000}"/>
    <cellStyle name="Percent 13 2 2 2 2 4" xfId="16337" xr:uid="{00000000-0005-0000-0000-0000C5460000}"/>
    <cellStyle name="Percent 13 2 2 2 2_TOM TAT" xfId="11357" xr:uid="{00000000-0005-0000-0000-0000C6460000}"/>
    <cellStyle name="Percent 13 2 2 2 3" xfId="11358" xr:uid="{00000000-0005-0000-0000-0000C7460000}"/>
    <cellStyle name="Percent 13 2 2 2 3 2" xfId="30845" xr:uid="{00000000-0005-0000-0000-0000C8460000}"/>
    <cellStyle name="Percent 13 2 2 2 3 3" xfId="16339" xr:uid="{00000000-0005-0000-0000-0000C9460000}"/>
    <cellStyle name="Percent 13 2 2 2 3_TOM TAT" xfId="23408" xr:uid="{00000000-0005-0000-0000-0000CA460000}"/>
    <cellStyle name="Percent 13 2 2 2 4" xfId="30842" xr:uid="{00000000-0005-0000-0000-0000CB460000}"/>
    <cellStyle name="Percent 13 2 2 2 5" xfId="16336" xr:uid="{00000000-0005-0000-0000-0000CC460000}"/>
    <cellStyle name="Percent 13 2 2 2_TOM TAT" xfId="11359" xr:uid="{00000000-0005-0000-0000-0000CD460000}"/>
    <cellStyle name="Percent 13 2 2 3" xfId="11360" xr:uid="{00000000-0005-0000-0000-0000CE460000}"/>
    <cellStyle name="Percent 13 2 2 3 2" xfId="11361" xr:uid="{00000000-0005-0000-0000-0000CF460000}"/>
    <cellStyle name="Percent 13 2 2 3 2 2" xfId="11362" xr:uid="{00000000-0005-0000-0000-0000D0460000}"/>
    <cellStyle name="Percent 13 2 2 3 2 2 2" xfId="30848" xr:uid="{00000000-0005-0000-0000-0000D1460000}"/>
    <cellStyle name="Percent 13 2 2 3 2 2 3" xfId="16342" xr:uid="{00000000-0005-0000-0000-0000D2460000}"/>
    <cellStyle name="Percent 13 2 2 3 2 2_TOM TAT" xfId="23409" xr:uid="{00000000-0005-0000-0000-0000D3460000}"/>
    <cellStyle name="Percent 13 2 2 3 2 3" xfId="30847" xr:uid="{00000000-0005-0000-0000-0000D4460000}"/>
    <cellStyle name="Percent 13 2 2 3 2 4" xfId="16341" xr:uid="{00000000-0005-0000-0000-0000D5460000}"/>
    <cellStyle name="Percent 13 2 2 3 2_TOM TAT" xfId="11363" xr:uid="{00000000-0005-0000-0000-0000D6460000}"/>
    <cellStyle name="Percent 13 2 2 3 3" xfId="11364" xr:uid="{00000000-0005-0000-0000-0000D7460000}"/>
    <cellStyle name="Percent 13 2 2 3 3 2" xfId="30849" xr:uid="{00000000-0005-0000-0000-0000D8460000}"/>
    <cellStyle name="Percent 13 2 2 3 3 3" xfId="16343" xr:uid="{00000000-0005-0000-0000-0000D9460000}"/>
    <cellStyle name="Percent 13 2 2 3 3_TOM TAT" xfId="23410" xr:uid="{00000000-0005-0000-0000-0000DA460000}"/>
    <cellStyle name="Percent 13 2 2 3 4" xfId="30846" xr:uid="{00000000-0005-0000-0000-0000DB460000}"/>
    <cellStyle name="Percent 13 2 2 3 5" xfId="16340" xr:uid="{00000000-0005-0000-0000-0000DC460000}"/>
    <cellStyle name="Percent 13 2 2 3_TOM TAT" xfId="11365" xr:uid="{00000000-0005-0000-0000-0000DD460000}"/>
    <cellStyle name="Percent 13 2 2 4" xfId="11366" xr:uid="{00000000-0005-0000-0000-0000DE460000}"/>
    <cellStyle name="Percent 13 2 2 4 2" xfId="11367" xr:uid="{00000000-0005-0000-0000-0000DF460000}"/>
    <cellStyle name="Percent 13 2 2 4 2 2" xfId="30851" xr:uid="{00000000-0005-0000-0000-0000E0460000}"/>
    <cellStyle name="Percent 13 2 2 4 2 3" xfId="16345" xr:uid="{00000000-0005-0000-0000-0000E1460000}"/>
    <cellStyle name="Percent 13 2 2 4 2_TOM TAT" xfId="23411" xr:uid="{00000000-0005-0000-0000-0000E2460000}"/>
    <cellStyle name="Percent 13 2 2 4 3" xfId="30850" xr:uid="{00000000-0005-0000-0000-0000E3460000}"/>
    <cellStyle name="Percent 13 2 2 4 4" xfId="16344" xr:uid="{00000000-0005-0000-0000-0000E4460000}"/>
    <cellStyle name="Percent 13 2 2 4_TOM TAT" xfId="11368" xr:uid="{00000000-0005-0000-0000-0000E5460000}"/>
    <cellStyle name="Percent 13 2 2 5" xfId="11369" xr:uid="{00000000-0005-0000-0000-0000E6460000}"/>
    <cellStyle name="Percent 13 2 2 5 2" xfId="30852" xr:uid="{00000000-0005-0000-0000-0000E7460000}"/>
    <cellStyle name="Percent 13 2 2 5 3" xfId="16346" xr:uid="{00000000-0005-0000-0000-0000E8460000}"/>
    <cellStyle name="Percent 13 2 2 5_TOM TAT" xfId="23412" xr:uid="{00000000-0005-0000-0000-0000E9460000}"/>
    <cellStyle name="Percent 13 2 2 6" xfId="30841" xr:uid="{00000000-0005-0000-0000-0000EA460000}"/>
    <cellStyle name="Percent 13 2 2 7" xfId="16335" xr:uid="{00000000-0005-0000-0000-0000EB460000}"/>
    <cellStyle name="Percent 13 2 2_TOM TAT" xfId="11370" xr:uid="{00000000-0005-0000-0000-0000EC460000}"/>
    <cellStyle name="Percent 13 2 3" xfId="11371" xr:uid="{00000000-0005-0000-0000-0000ED460000}"/>
    <cellStyle name="Percent 13 2 3 2" xfId="11372" xr:uid="{00000000-0005-0000-0000-0000EE460000}"/>
    <cellStyle name="Percent 13 2 3 2 2" xfId="11373" xr:uid="{00000000-0005-0000-0000-0000EF460000}"/>
    <cellStyle name="Percent 13 2 3 2 2 2" xfId="11374" xr:uid="{00000000-0005-0000-0000-0000F0460000}"/>
    <cellStyle name="Percent 13 2 3 2 2 2 2" xfId="30856" xr:uid="{00000000-0005-0000-0000-0000F1460000}"/>
    <cellStyle name="Percent 13 2 3 2 2 2 3" xfId="16350" xr:uid="{00000000-0005-0000-0000-0000F2460000}"/>
    <cellStyle name="Percent 13 2 3 2 2 2_TOM TAT" xfId="23413" xr:uid="{00000000-0005-0000-0000-0000F3460000}"/>
    <cellStyle name="Percent 13 2 3 2 2 3" xfId="30855" xr:uid="{00000000-0005-0000-0000-0000F4460000}"/>
    <cellStyle name="Percent 13 2 3 2 2 4" xfId="16349" xr:uid="{00000000-0005-0000-0000-0000F5460000}"/>
    <cellStyle name="Percent 13 2 3 2 2_TOM TAT" xfId="11375" xr:uid="{00000000-0005-0000-0000-0000F6460000}"/>
    <cellStyle name="Percent 13 2 3 2 3" xfId="11376" xr:uid="{00000000-0005-0000-0000-0000F7460000}"/>
    <cellStyle name="Percent 13 2 3 2 3 2" xfId="30857" xr:uid="{00000000-0005-0000-0000-0000F8460000}"/>
    <cellStyle name="Percent 13 2 3 2 3 3" xfId="16351" xr:uid="{00000000-0005-0000-0000-0000F9460000}"/>
    <cellStyle name="Percent 13 2 3 2 3_TOM TAT" xfId="23414" xr:uid="{00000000-0005-0000-0000-0000FA460000}"/>
    <cellStyle name="Percent 13 2 3 2 4" xfId="30854" xr:uid="{00000000-0005-0000-0000-0000FB460000}"/>
    <cellStyle name="Percent 13 2 3 2 5" xfId="16348" xr:uid="{00000000-0005-0000-0000-0000FC460000}"/>
    <cellStyle name="Percent 13 2 3 2_TOM TAT" xfId="11377" xr:uid="{00000000-0005-0000-0000-0000FD460000}"/>
    <cellStyle name="Percent 13 2 3 3" xfId="11378" xr:uid="{00000000-0005-0000-0000-0000FE460000}"/>
    <cellStyle name="Percent 13 2 3 3 2" xfId="11379" xr:uid="{00000000-0005-0000-0000-0000FF460000}"/>
    <cellStyle name="Percent 13 2 3 3 2 2" xfId="30859" xr:uid="{00000000-0005-0000-0000-000000470000}"/>
    <cellStyle name="Percent 13 2 3 3 2 3" xfId="16353" xr:uid="{00000000-0005-0000-0000-000001470000}"/>
    <cellStyle name="Percent 13 2 3 3 2_TOM TAT" xfId="23415" xr:uid="{00000000-0005-0000-0000-000002470000}"/>
    <cellStyle name="Percent 13 2 3 3 3" xfId="30858" xr:uid="{00000000-0005-0000-0000-000003470000}"/>
    <cellStyle name="Percent 13 2 3 3 4" xfId="16352" xr:uid="{00000000-0005-0000-0000-000004470000}"/>
    <cellStyle name="Percent 13 2 3 3_TOM TAT" xfId="11380" xr:uid="{00000000-0005-0000-0000-000005470000}"/>
    <cellStyle name="Percent 13 2 3 4" xfId="11381" xr:uid="{00000000-0005-0000-0000-000006470000}"/>
    <cellStyle name="Percent 13 2 3 4 2" xfId="30860" xr:uid="{00000000-0005-0000-0000-000007470000}"/>
    <cellStyle name="Percent 13 2 3 4 3" xfId="16354" xr:uid="{00000000-0005-0000-0000-000008470000}"/>
    <cellStyle name="Percent 13 2 3 4_TOM TAT" xfId="23416" xr:uid="{00000000-0005-0000-0000-000009470000}"/>
    <cellStyle name="Percent 13 2 3 5" xfId="30853" xr:uid="{00000000-0005-0000-0000-00000A470000}"/>
    <cellStyle name="Percent 13 2 3 6" xfId="16347" xr:uid="{00000000-0005-0000-0000-00000B470000}"/>
    <cellStyle name="Percent 13 2 3_TOM TAT" xfId="11382" xr:uid="{00000000-0005-0000-0000-00000C470000}"/>
    <cellStyle name="Percent 13 2 4" xfId="11383" xr:uid="{00000000-0005-0000-0000-00000D470000}"/>
    <cellStyle name="Percent 13 2 4 2" xfId="11384" xr:uid="{00000000-0005-0000-0000-00000E470000}"/>
    <cellStyle name="Percent 13 2 4 2 2" xfId="11385" xr:uid="{00000000-0005-0000-0000-00000F470000}"/>
    <cellStyle name="Percent 13 2 4 2 2 2" xfId="30863" xr:uid="{00000000-0005-0000-0000-000010470000}"/>
    <cellStyle name="Percent 13 2 4 2 2 3" xfId="16357" xr:uid="{00000000-0005-0000-0000-000011470000}"/>
    <cellStyle name="Percent 13 2 4 2 2_TOM TAT" xfId="23417" xr:uid="{00000000-0005-0000-0000-000012470000}"/>
    <cellStyle name="Percent 13 2 4 2 3" xfId="30862" xr:uid="{00000000-0005-0000-0000-000013470000}"/>
    <cellStyle name="Percent 13 2 4 2 4" xfId="16356" xr:uid="{00000000-0005-0000-0000-000014470000}"/>
    <cellStyle name="Percent 13 2 4 2_TOM TAT" xfId="11386" xr:uid="{00000000-0005-0000-0000-000015470000}"/>
    <cellStyle name="Percent 13 2 4 3" xfId="11387" xr:uid="{00000000-0005-0000-0000-000016470000}"/>
    <cellStyle name="Percent 13 2 4 3 2" xfId="30864" xr:uid="{00000000-0005-0000-0000-000017470000}"/>
    <cellStyle name="Percent 13 2 4 3 3" xfId="16358" xr:uid="{00000000-0005-0000-0000-000018470000}"/>
    <cellStyle name="Percent 13 2 4 3_TOM TAT" xfId="23418" xr:uid="{00000000-0005-0000-0000-000019470000}"/>
    <cellStyle name="Percent 13 2 4 4" xfId="30861" xr:uid="{00000000-0005-0000-0000-00001A470000}"/>
    <cellStyle name="Percent 13 2 4 5" xfId="16355" xr:uid="{00000000-0005-0000-0000-00001B470000}"/>
    <cellStyle name="Percent 13 2 4_TOM TAT" xfId="11388" xr:uid="{00000000-0005-0000-0000-00001C470000}"/>
    <cellStyle name="Percent 13 2 5" xfId="11389" xr:uid="{00000000-0005-0000-0000-00001D470000}"/>
    <cellStyle name="Percent 13 2 5 2" xfId="11390" xr:uid="{00000000-0005-0000-0000-00001E470000}"/>
    <cellStyle name="Percent 13 2 5 2 2" xfId="30866" xr:uid="{00000000-0005-0000-0000-00001F470000}"/>
    <cellStyle name="Percent 13 2 5 2 3" xfId="16360" xr:uid="{00000000-0005-0000-0000-000020470000}"/>
    <cellStyle name="Percent 13 2 5 2_TOM TAT" xfId="23419" xr:uid="{00000000-0005-0000-0000-000021470000}"/>
    <cellStyle name="Percent 13 2 5 3" xfId="30865" xr:uid="{00000000-0005-0000-0000-000022470000}"/>
    <cellStyle name="Percent 13 2 5 4" xfId="16359" xr:uid="{00000000-0005-0000-0000-000023470000}"/>
    <cellStyle name="Percent 13 2 5_TOM TAT" xfId="11391" xr:uid="{00000000-0005-0000-0000-000024470000}"/>
    <cellStyle name="Percent 13 2 6" xfId="11392" xr:uid="{00000000-0005-0000-0000-000025470000}"/>
    <cellStyle name="Percent 13 2 6 2" xfId="30867" xr:uid="{00000000-0005-0000-0000-000026470000}"/>
    <cellStyle name="Percent 13 2 6 3" xfId="16361" xr:uid="{00000000-0005-0000-0000-000027470000}"/>
    <cellStyle name="Percent 13 2 6_TOM TAT" xfId="23420" xr:uid="{00000000-0005-0000-0000-000028470000}"/>
    <cellStyle name="Percent 13 2 7" xfId="18661" xr:uid="{00000000-0005-0000-0000-000029470000}"/>
    <cellStyle name="Percent 13 2 7 2" xfId="31781" xr:uid="{00000000-0005-0000-0000-00002A470000}"/>
    <cellStyle name="Percent 13 2 7_TOM TAT" xfId="23421" xr:uid="{00000000-0005-0000-0000-00002B470000}"/>
    <cellStyle name="Percent 13 2 8" xfId="18942" xr:uid="{00000000-0005-0000-0000-00002C470000}"/>
    <cellStyle name="Percent 13 2 8 2" xfId="31859" xr:uid="{00000000-0005-0000-0000-00002D470000}"/>
    <cellStyle name="Percent 13 2 8_TOM TAT" xfId="23422" xr:uid="{00000000-0005-0000-0000-00002E470000}"/>
    <cellStyle name="Percent 13 2 9" xfId="30840" xr:uid="{00000000-0005-0000-0000-00002F470000}"/>
    <cellStyle name="Percent 13 2_TOM TAT" xfId="11393" xr:uid="{00000000-0005-0000-0000-000030470000}"/>
    <cellStyle name="Percent 13 3" xfId="11394" xr:uid="{00000000-0005-0000-0000-000031470000}"/>
    <cellStyle name="Percent 13 3 2" xfId="11395" xr:uid="{00000000-0005-0000-0000-000032470000}"/>
    <cellStyle name="Percent 13 3 2 2" xfId="11396" xr:uid="{00000000-0005-0000-0000-000033470000}"/>
    <cellStyle name="Percent 13 3 2 2 2" xfId="11397" xr:uid="{00000000-0005-0000-0000-000034470000}"/>
    <cellStyle name="Percent 13 3 2 2 2 2" xfId="30871" xr:uid="{00000000-0005-0000-0000-000035470000}"/>
    <cellStyle name="Percent 13 3 2 2 2 3" xfId="16365" xr:uid="{00000000-0005-0000-0000-000036470000}"/>
    <cellStyle name="Percent 13 3 2 2 2_TOM TAT" xfId="23423" xr:uid="{00000000-0005-0000-0000-000037470000}"/>
    <cellStyle name="Percent 13 3 2 2 3" xfId="30870" xr:uid="{00000000-0005-0000-0000-000038470000}"/>
    <cellStyle name="Percent 13 3 2 2 4" xfId="16364" xr:uid="{00000000-0005-0000-0000-000039470000}"/>
    <cellStyle name="Percent 13 3 2 2_TOM TAT" xfId="11398" xr:uid="{00000000-0005-0000-0000-00003A470000}"/>
    <cellStyle name="Percent 13 3 2 3" xfId="11399" xr:uid="{00000000-0005-0000-0000-00003B470000}"/>
    <cellStyle name="Percent 13 3 2 3 2" xfId="30872" xr:uid="{00000000-0005-0000-0000-00003C470000}"/>
    <cellStyle name="Percent 13 3 2 3 3" xfId="16366" xr:uid="{00000000-0005-0000-0000-00003D470000}"/>
    <cellStyle name="Percent 13 3 2 3_TOM TAT" xfId="23424" xr:uid="{00000000-0005-0000-0000-00003E470000}"/>
    <cellStyle name="Percent 13 3 2 4" xfId="30869" xr:uid="{00000000-0005-0000-0000-00003F470000}"/>
    <cellStyle name="Percent 13 3 2 5" xfId="16363" xr:uid="{00000000-0005-0000-0000-000040470000}"/>
    <cellStyle name="Percent 13 3 2_TOM TAT" xfId="11400" xr:uid="{00000000-0005-0000-0000-000041470000}"/>
    <cellStyle name="Percent 13 3 3" xfId="11401" xr:uid="{00000000-0005-0000-0000-000042470000}"/>
    <cellStyle name="Percent 13 3 3 2" xfId="11402" xr:uid="{00000000-0005-0000-0000-000043470000}"/>
    <cellStyle name="Percent 13 3 3 2 2" xfId="11403" xr:uid="{00000000-0005-0000-0000-000044470000}"/>
    <cellStyle name="Percent 13 3 3 2 2 2" xfId="30875" xr:uid="{00000000-0005-0000-0000-000045470000}"/>
    <cellStyle name="Percent 13 3 3 2 2 3" xfId="16369" xr:uid="{00000000-0005-0000-0000-000046470000}"/>
    <cellStyle name="Percent 13 3 3 2 2_TOM TAT" xfId="23425" xr:uid="{00000000-0005-0000-0000-000047470000}"/>
    <cellStyle name="Percent 13 3 3 2 3" xfId="30874" xr:uid="{00000000-0005-0000-0000-000048470000}"/>
    <cellStyle name="Percent 13 3 3 2 4" xfId="16368" xr:uid="{00000000-0005-0000-0000-000049470000}"/>
    <cellStyle name="Percent 13 3 3 2_TOM TAT" xfId="11404" xr:uid="{00000000-0005-0000-0000-00004A470000}"/>
    <cellStyle name="Percent 13 3 3 3" xfId="11405" xr:uid="{00000000-0005-0000-0000-00004B470000}"/>
    <cellStyle name="Percent 13 3 3 3 2" xfId="30876" xr:uid="{00000000-0005-0000-0000-00004C470000}"/>
    <cellStyle name="Percent 13 3 3 3 3" xfId="16370" xr:uid="{00000000-0005-0000-0000-00004D470000}"/>
    <cellStyle name="Percent 13 3 3 3_TOM TAT" xfId="23426" xr:uid="{00000000-0005-0000-0000-00004E470000}"/>
    <cellStyle name="Percent 13 3 3 4" xfId="30873" xr:uid="{00000000-0005-0000-0000-00004F470000}"/>
    <cellStyle name="Percent 13 3 3 5" xfId="16367" xr:uid="{00000000-0005-0000-0000-000050470000}"/>
    <cellStyle name="Percent 13 3 3_TOM TAT" xfId="11406" xr:uid="{00000000-0005-0000-0000-000051470000}"/>
    <cellStyle name="Percent 13 3 4" xfId="11407" xr:uid="{00000000-0005-0000-0000-000052470000}"/>
    <cellStyle name="Percent 13 3 4 2" xfId="11408" xr:uid="{00000000-0005-0000-0000-000053470000}"/>
    <cellStyle name="Percent 13 3 4 2 2" xfId="30878" xr:uid="{00000000-0005-0000-0000-000054470000}"/>
    <cellStyle name="Percent 13 3 4 2 3" xfId="16372" xr:uid="{00000000-0005-0000-0000-000055470000}"/>
    <cellStyle name="Percent 13 3 4 2_TOM TAT" xfId="23427" xr:uid="{00000000-0005-0000-0000-000056470000}"/>
    <cellStyle name="Percent 13 3 4 3" xfId="30877" xr:uid="{00000000-0005-0000-0000-000057470000}"/>
    <cellStyle name="Percent 13 3 4 4" xfId="16371" xr:uid="{00000000-0005-0000-0000-000058470000}"/>
    <cellStyle name="Percent 13 3 4_TOM TAT" xfId="11409" xr:uid="{00000000-0005-0000-0000-000059470000}"/>
    <cellStyle name="Percent 13 3 5" xfId="11410" xr:uid="{00000000-0005-0000-0000-00005A470000}"/>
    <cellStyle name="Percent 13 3 5 2" xfId="30879" xr:uid="{00000000-0005-0000-0000-00005B470000}"/>
    <cellStyle name="Percent 13 3 5 3" xfId="16373" xr:uid="{00000000-0005-0000-0000-00005C470000}"/>
    <cellStyle name="Percent 13 3 5_TOM TAT" xfId="23428" xr:uid="{00000000-0005-0000-0000-00005D470000}"/>
    <cellStyle name="Percent 13 3 6" xfId="30868" xr:uid="{00000000-0005-0000-0000-00005E470000}"/>
    <cellStyle name="Percent 13 3 7" xfId="16362" xr:uid="{00000000-0005-0000-0000-00005F470000}"/>
    <cellStyle name="Percent 13 3_TOM TAT" xfId="11411" xr:uid="{00000000-0005-0000-0000-000060470000}"/>
    <cellStyle name="Percent 13 4" xfId="11412" xr:uid="{00000000-0005-0000-0000-000061470000}"/>
    <cellStyle name="Percent 13 4 2" xfId="11413" xr:uid="{00000000-0005-0000-0000-000062470000}"/>
    <cellStyle name="Percent 13 4 2 2" xfId="11414" xr:uid="{00000000-0005-0000-0000-000063470000}"/>
    <cellStyle name="Percent 13 4 2 2 2" xfId="11415" xr:uid="{00000000-0005-0000-0000-000064470000}"/>
    <cellStyle name="Percent 13 4 2 2 2 2" xfId="30883" xr:uid="{00000000-0005-0000-0000-000065470000}"/>
    <cellStyle name="Percent 13 4 2 2 2 3" xfId="16377" xr:uid="{00000000-0005-0000-0000-000066470000}"/>
    <cellStyle name="Percent 13 4 2 2 2_TOM TAT" xfId="23429" xr:uid="{00000000-0005-0000-0000-000067470000}"/>
    <cellStyle name="Percent 13 4 2 2 3" xfId="30882" xr:uid="{00000000-0005-0000-0000-000068470000}"/>
    <cellStyle name="Percent 13 4 2 2 4" xfId="16376" xr:uid="{00000000-0005-0000-0000-000069470000}"/>
    <cellStyle name="Percent 13 4 2 2_TOM TAT" xfId="11416" xr:uid="{00000000-0005-0000-0000-00006A470000}"/>
    <cellStyle name="Percent 13 4 2 3" xfId="11417" xr:uid="{00000000-0005-0000-0000-00006B470000}"/>
    <cellStyle name="Percent 13 4 2 3 2" xfId="30884" xr:uid="{00000000-0005-0000-0000-00006C470000}"/>
    <cellStyle name="Percent 13 4 2 3 3" xfId="16378" xr:uid="{00000000-0005-0000-0000-00006D470000}"/>
    <cellStyle name="Percent 13 4 2 3_TOM TAT" xfId="23430" xr:uid="{00000000-0005-0000-0000-00006E470000}"/>
    <cellStyle name="Percent 13 4 2 4" xfId="30881" xr:uid="{00000000-0005-0000-0000-00006F470000}"/>
    <cellStyle name="Percent 13 4 2 5" xfId="16375" xr:uid="{00000000-0005-0000-0000-000070470000}"/>
    <cellStyle name="Percent 13 4 2_TOM TAT" xfId="11418" xr:uid="{00000000-0005-0000-0000-000071470000}"/>
    <cellStyle name="Percent 13 4 3" xfId="11419" xr:uid="{00000000-0005-0000-0000-000072470000}"/>
    <cellStyle name="Percent 13 4 3 2" xfId="11420" xr:uid="{00000000-0005-0000-0000-000073470000}"/>
    <cellStyle name="Percent 13 4 3 2 2" xfId="30886" xr:uid="{00000000-0005-0000-0000-000074470000}"/>
    <cellStyle name="Percent 13 4 3 2 3" xfId="16380" xr:uid="{00000000-0005-0000-0000-000075470000}"/>
    <cellStyle name="Percent 13 4 3 2_TOM TAT" xfId="23431" xr:uid="{00000000-0005-0000-0000-000076470000}"/>
    <cellStyle name="Percent 13 4 3 3" xfId="30885" xr:uid="{00000000-0005-0000-0000-000077470000}"/>
    <cellStyle name="Percent 13 4 3 4" xfId="16379" xr:uid="{00000000-0005-0000-0000-000078470000}"/>
    <cellStyle name="Percent 13 4 3_TOM TAT" xfId="11421" xr:uid="{00000000-0005-0000-0000-000079470000}"/>
    <cellStyle name="Percent 13 4 4" xfId="11422" xr:uid="{00000000-0005-0000-0000-00007A470000}"/>
    <cellStyle name="Percent 13 4 4 2" xfId="30887" xr:uid="{00000000-0005-0000-0000-00007B470000}"/>
    <cellStyle name="Percent 13 4 4 3" xfId="16381" xr:uid="{00000000-0005-0000-0000-00007C470000}"/>
    <cellStyle name="Percent 13 4 4_TOM TAT" xfId="23432" xr:uid="{00000000-0005-0000-0000-00007D470000}"/>
    <cellStyle name="Percent 13 4 5" xfId="30880" xr:uid="{00000000-0005-0000-0000-00007E470000}"/>
    <cellStyle name="Percent 13 4 6" xfId="16374" xr:uid="{00000000-0005-0000-0000-00007F470000}"/>
    <cellStyle name="Percent 13 4_TOM TAT" xfId="11423" xr:uid="{00000000-0005-0000-0000-000080470000}"/>
    <cellStyle name="Percent 13 5" xfId="11424" xr:uid="{00000000-0005-0000-0000-000081470000}"/>
    <cellStyle name="Percent 13 5 2" xfId="11425" xr:uid="{00000000-0005-0000-0000-000082470000}"/>
    <cellStyle name="Percent 13 5 2 2" xfId="11426" xr:uid="{00000000-0005-0000-0000-000083470000}"/>
    <cellStyle name="Percent 13 5 2 2 2" xfId="30890" xr:uid="{00000000-0005-0000-0000-000084470000}"/>
    <cellStyle name="Percent 13 5 2 2 3" xfId="16384" xr:uid="{00000000-0005-0000-0000-000085470000}"/>
    <cellStyle name="Percent 13 5 2 2_TOM TAT" xfId="23433" xr:uid="{00000000-0005-0000-0000-000086470000}"/>
    <cellStyle name="Percent 13 5 2 3" xfId="30889" xr:uid="{00000000-0005-0000-0000-000087470000}"/>
    <cellStyle name="Percent 13 5 2 4" xfId="16383" xr:uid="{00000000-0005-0000-0000-000088470000}"/>
    <cellStyle name="Percent 13 5 2_TOM TAT" xfId="11427" xr:uid="{00000000-0005-0000-0000-000089470000}"/>
    <cellStyle name="Percent 13 5 3" xfId="11428" xr:uid="{00000000-0005-0000-0000-00008A470000}"/>
    <cellStyle name="Percent 13 5 3 2" xfId="30891" xr:uid="{00000000-0005-0000-0000-00008B470000}"/>
    <cellStyle name="Percent 13 5 3 3" xfId="16385" xr:uid="{00000000-0005-0000-0000-00008C470000}"/>
    <cellStyle name="Percent 13 5 3_TOM TAT" xfId="23434" xr:uid="{00000000-0005-0000-0000-00008D470000}"/>
    <cellStyle name="Percent 13 5 4" xfId="30888" xr:uid="{00000000-0005-0000-0000-00008E470000}"/>
    <cellStyle name="Percent 13 5 5" xfId="16382" xr:uid="{00000000-0005-0000-0000-00008F470000}"/>
    <cellStyle name="Percent 13 5_TOM TAT" xfId="11429" xr:uid="{00000000-0005-0000-0000-000090470000}"/>
    <cellStyle name="Percent 13 6" xfId="11430" xr:uid="{00000000-0005-0000-0000-000091470000}"/>
    <cellStyle name="Percent 13 6 2" xfId="11431" xr:uid="{00000000-0005-0000-0000-000092470000}"/>
    <cellStyle name="Percent 13 6 2 2" xfId="30893" xr:uid="{00000000-0005-0000-0000-000093470000}"/>
    <cellStyle name="Percent 13 6 2 3" xfId="16387" xr:uid="{00000000-0005-0000-0000-000094470000}"/>
    <cellStyle name="Percent 13 6 2_TOM TAT" xfId="23435" xr:uid="{00000000-0005-0000-0000-000095470000}"/>
    <cellStyle name="Percent 13 6 3" xfId="30892" xr:uid="{00000000-0005-0000-0000-000096470000}"/>
    <cellStyle name="Percent 13 6 4" xfId="16386" xr:uid="{00000000-0005-0000-0000-000097470000}"/>
    <cellStyle name="Percent 13 6_TOM TAT" xfId="11432" xr:uid="{00000000-0005-0000-0000-000098470000}"/>
    <cellStyle name="Percent 13 7" xfId="11433" xr:uid="{00000000-0005-0000-0000-000099470000}"/>
    <cellStyle name="Percent 13 7 2" xfId="30894" xr:uid="{00000000-0005-0000-0000-00009A470000}"/>
    <cellStyle name="Percent 13 7 3" xfId="16388" xr:uid="{00000000-0005-0000-0000-00009B470000}"/>
    <cellStyle name="Percent 13 7_TOM TAT" xfId="23436" xr:uid="{00000000-0005-0000-0000-00009C470000}"/>
    <cellStyle name="Percent 13 8" xfId="18590" xr:uid="{00000000-0005-0000-0000-00009D470000}"/>
    <cellStyle name="Percent 13 8 2" xfId="31757" xr:uid="{00000000-0005-0000-0000-00009E470000}"/>
    <cellStyle name="Percent 13 8_TOM TAT" xfId="23437" xr:uid="{00000000-0005-0000-0000-00009F470000}"/>
    <cellStyle name="Percent 13 9" xfId="18913" xr:uid="{00000000-0005-0000-0000-0000A0470000}"/>
    <cellStyle name="Percent 13 9 2" xfId="31838" xr:uid="{00000000-0005-0000-0000-0000A1470000}"/>
    <cellStyle name="Percent 13 9_TOM TAT" xfId="23438" xr:uid="{00000000-0005-0000-0000-0000A2470000}"/>
    <cellStyle name="Percent 13_TOM TAT" xfId="11434" xr:uid="{00000000-0005-0000-0000-0000A3470000}"/>
    <cellStyle name="Percent 14" xfId="3275" xr:uid="{00000000-0005-0000-0000-0000A4470000}"/>
    <cellStyle name="Percent 14 10" xfId="11435" xr:uid="{00000000-0005-0000-0000-0000A5470000}"/>
    <cellStyle name="Percent 14 10 2" xfId="30895" xr:uid="{00000000-0005-0000-0000-0000A6470000}"/>
    <cellStyle name="Percent 14 10 3" xfId="16389" xr:uid="{00000000-0005-0000-0000-0000A7470000}"/>
    <cellStyle name="Percent 14 10_TOM TAT" xfId="23439" xr:uid="{00000000-0005-0000-0000-0000A8470000}"/>
    <cellStyle name="Percent 14 11" xfId="18593" xr:uid="{00000000-0005-0000-0000-0000A9470000}"/>
    <cellStyle name="Percent 14 11 2" xfId="31760" xr:uid="{00000000-0005-0000-0000-0000AA470000}"/>
    <cellStyle name="Percent 14 11_TOM TAT" xfId="23440" xr:uid="{00000000-0005-0000-0000-0000AB470000}"/>
    <cellStyle name="Percent 14 12" xfId="28053" xr:uid="{00000000-0005-0000-0000-0000AC470000}"/>
    <cellStyle name="Percent 14 13" xfId="14643" xr:uid="{00000000-0005-0000-0000-0000AD470000}"/>
    <cellStyle name="Percent 14 14" xfId="32235" xr:uid="{00000000-0005-0000-0000-0000AE470000}"/>
    <cellStyle name="Percent 14 15" xfId="32218" xr:uid="{00000000-0005-0000-0000-0000AF470000}"/>
    <cellStyle name="Percent 14 2" xfId="4840" xr:uid="{00000000-0005-0000-0000-0000B0470000}"/>
    <cellStyle name="Percent 14 2 10" xfId="18664" xr:uid="{00000000-0005-0000-0000-0000B1470000}"/>
    <cellStyle name="Percent 14 2 10 2" xfId="31784" xr:uid="{00000000-0005-0000-0000-0000B2470000}"/>
    <cellStyle name="Percent 14 2 10_TOM TAT" xfId="23441" xr:uid="{00000000-0005-0000-0000-0000B3470000}"/>
    <cellStyle name="Percent 14 2 11" xfId="28057" xr:uid="{00000000-0005-0000-0000-0000B4470000}"/>
    <cellStyle name="Percent 14 2 12" xfId="14646" xr:uid="{00000000-0005-0000-0000-0000B5470000}"/>
    <cellStyle name="Percent 14 2 2" xfId="4854" xr:uid="{00000000-0005-0000-0000-0000B6470000}"/>
    <cellStyle name="Percent 14 2 2 10" xfId="14651" xr:uid="{00000000-0005-0000-0000-0000B7470000}"/>
    <cellStyle name="Percent 14 2 2 2" xfId="5627" xr:uid="{00000000-0005-0000-0000-0000B8470000}"/>
    <cellStyle name="Percent 14 2 2 2 2" xfId="11436" xr:uid="{00000000-0005-0000-0000-0000B9470000}"/>
    <cellStyle name="Percent 14 2 2 2 2 2" xfId="11437" xr:uid="{00000000-0005-0000-0000-0000BA470000}"/>
    <cellStyle name="Percent 14 2 2 2 2 2 2" xfId="11438" xr:uid="{00000000-0005-0000-0000-0000BB470000}"/>
    <cellStyle name="Percent 14 2 2 2 2 2 2 2" xfId="11439" xr:uid="{00000000-0005-0000-0000-0000BC470000}"/>
    <cellStyle name="Percent 14 2 2 2 2 2 2 2 2" xfId="30899" xr:uid="{00000000-0005-0000-0000-0000BD470000}"/>
    <cellStyle name="Percent 14 2 2 2 2 2 2 2 3" xfId="16393" xr:uid="{00000000-0005-0000-0000-0000BE470000}"/>
    <cellStyle name="Percent 14 2 2 2 2 2 2 2_TOM TAT" xfId="23442" xr:uid="{00000000-0005-0000-0000-0000BF470000}"/>
    <cellStyle name="Percent 14 2 2 2 2 2 2 3" xfId="30898" xr:uid="{00000000-0005-0000-0000-0000C0470000}"/>
    <cellStyle name="Percent 14 2 2 2 2 2 2 4" xfId="16392" xr:uid="{00000000-0005-0000-0000-0000C1470000}"/>
    <cellStyle name="Percent 14 2 2 2 2 2 2_TOM TAT" xfId="11440" xr:uid="{00000000-0005-0000-0000-0000C2470000}"/>
    <cellStyle name="Percent 14 2 2 2 2 2 3" xfId="11441" xr:uid="{00000000-0005-0000-0000-0000C3470000}"/>
    <cellStyle name="Percent 14 2 2 2 2 2 3 2" xfId="30900" xr:uid="{00000000-0005-0000-0000-0000C4470000}"/>
    <cellStyle name="Percent 14 2 2 2 2 2 3 3" xfId="16394" xr:uid="{00000000-0005-0000-0000-0000C5470000}"/>
    <cellStyle name="Percent 14 2 2 2 2 2 3_TOM TAT" xfId="23443" xr:uid="{00000000-0005-0000-0000-0000C6470000}"/>
    <cellStyle name="Percent 14 2 2 2 2 2 4" xfId="30897" xr:uid="{00000000-0005-0000-0000-0000C7470000}"/>
    <cellStyle name="Percent 14 2 2 2 2 2 5" xfId="16391" xr:uid="{00000000-0005-0000-0000-0000C8470000}"/>
    <cellStyle name="Percent 14 2 2 2 2 2_TOM TAT" xfId="11442" xr:uid="{00000000-0005-0000-0000-0000C9470000}"/>
    <cellStyle name="Percent 14 2 2 2 2 3" xfId="11443" xr:uid="{00000000-0005-0000-0000-0000CA470000}"/>
    <cellStyle name="Percent 14 2 2 2 2 3 2" xfId="11444" xr:uid="{00000000-0005-0000-0000-0000CB470000}"/>
    <cellStyle name="Percent 14 2 2 2 2 3 2 2" xfId="11445" xr:uid="{00000000-0005-0000-0000-0000CC470000}"/>
    <cellStyle name="Percent 14 2 2 2 2 3 2 2 2" xfId="30903" xr:uid="{00000000-0005-0000-0000-0000CD470000}"/>
    <cellStyle name="Percent 14 2 2 2 2 3 2 2 3" xfId="16397" xr:uid="{00000000-0005-0000-0000-0000CE470000}"/>
    <cellStyle name="Percent 14 2 2 2 2 3 2 2_TOM TAT" xfId="23444" xr:uid="{00000000-0005-0000-0000-0000CF470000}"/>
    <cellStyle name="Percent 14 2 2 2 2 3 2 3" xfId="30902" xr:uid="{00000000-0005-0000-0000-0000D0470000}"/>
    <cellStyle name="Percent 14 2 2 2 2 3 2 4" xfId="16396" xr:uid="{00000000-0005-0000-0000-0000D1470000}"/>
    <cellStyle name="Percent 14 2 2 2 2 3 2_TOM TAT" xfId="11446" xr:uid="{00000000-0005-0000-0000-0000D2470000}"/>
    <cellStyle name="Percent 14 2 2 2 2 3 3" xfId="11447" xr:uid="{00000000-0005-0000-0000-0000D3470000}"/>
    <cellStyle name="Percent 14 2 2 2 2 3 3 2" xfId="30904" xr:uid="{00000000-0005-0000-0000-0000D4470000}"/>
    <cellStyle name="Percent 14 2 2 2 2 3 3 3" xfId="16398" xr:uid="{00000000-0005-0000-0000-0000D5470000}"/>
    <cellStyle name="Percent 14 2 2 2 2 3 3_TOM TAT" xfId="23445" xr:uid="{00000000-0005-0000-0000-0000D6470000}"/>
    <cellStyle name="Percent 14 2 2 2 2 3 4" xfId="30901" xr:uid="{00000000-0005-0000-0000-0000D7470000}"/>
    <cellStyle name="Percent 14 2 2 2 2 3 5" xfId="16395" xr:uid="{00000000-0005-0000-0000-0000D8470000}"/>
    <cellStyle name="Percent 14 2 2 2 2 3_TOM TAT" xfId="11448" xr:uid="{00000000-0005-0000-0000-0000D9470000}"/>
    <cellStyle name="Percent 14 2 2 2 2 4" xfId="11449" xr:uid="{00000000-0005-0000-0000-0000DA470000}"/>
    <cellStyle name="Percent 14 2 2 2 2 4 2" xfId="11450" xr:uid="{00000000-0005-0000-0000-0000DB470000}"/>
    <cellStyle name="Percent 14 2 2 2 2 4 2 2" xfId="30906" xr:uid="{00000000-0005-0000-0000-0000DC470000}"/>
    <cellStyle name="Percent 14 2 2 2 2 4 2 3" xfId="16400" xr:uid="{00000000-0005-0000-0000-0000DD470000}"/>
    <cellStyle name="Percent 14 2 2 2 2 4 2_TOM TAT" xfId="23446" xr:uid="{00000000-0005-0000-0000-0000DE470000}"/>
    <cellStyle name="Percent 14 2 2 2 2 4 3" xfId="30905" xr:uid="{00000000-0005-0000-0000-0000DF470000}"/>
    <cellStyle name="Percent 14 2 2 2 2 4 4" xfId="16399" xr:uid="{00000000-0005-0000-0000-0000E0470000}"/>
    <cellStyle name="Percent 14 2 2 2 2 4_TOM TAT" xfId="11451" xr:uid="{00000000-0005-0000-0000-0000E1470000}"/>
    <cellStyle name="Percent 14 2 2 2 2 5" xfId="11452" xr:uid="{00000000-0005-0000-0000-0000E2470000}"/>
    <cellStyle name="Percent 14 2 2 2 2 5 2" xfId="30907" xr:uid="{00000000-0005-0000-0000-0000E3470000}"/>
    <cellStyle name="Percent 14 2 2 2 2 5 3" xfId="16401" xr:uid="{00000000-0005-0000-0000-0000E4470000}"/>
    <cellStyle name="Percent 14 2 2 2 2 5_TOM TAT" xfId="23447" xr:uid="{00000000-0005-0000-0000-0000E5470000}"/>
    <cellStyle name="Percent 14 2 2 2 2 6" xfId="30896" xr:uid="{00000000-0005-0000-0000-0000E6470000}"/>
    <cellStyle name="Percent 14 2 2 2 2 7" xfId="16390" xr:uid="{00000000-0005-0000-0000-0000E7470000}"/>
    <cellStyle name="Percent 14 2 2 2 2_TOM TAT" xfId="11453" xr:uid="{00000000-0005-0000-0000-0000E8470000}"/>
    <cellStyle name="Percent 14 2 2 2 3" xfId="11454" xr:uid="{00000000-0005-0000-0000-0000E9470000}"/>
    <cellStyle name="Percent 14 2 2 2 3 2" xfId="11455" xr:uid="{00000000-0005-0000-0000-0000EA470000}"/>
    <cellStyle name="Percent 14 2 2 2 3 2 2" xfId="11456" xr:uid="{00000000-0005-0000-0000-0000EB470000}"/>
    <cellStyle name="Percent 14 2 2 2 3 2 2 2" xfId="30910" xr:uid="{00000000-0005-0000-0000-0000EC470000}"/>
    <cellStyle name="Percent 14 2 2 2 3 2 2 3" xfId="16404" xr:uid="{00000000-0005-0000-0000-0000ED470000}"/>
    <cellStyle name="Percent 14 2 2 2 3 2 2_TOM TAT" xfId="23448" xr:uid="{00000000-0005-0000-0000-0000EE470000}"/>
    <cellStyle name="Percent 14 2 2 2 3 2 3" xfId="30909" xr:uid="{00000000-0005-0000-0000-0000EF470000}"/>
    <cellStyle name="Percent 14 2 2 2 3 2 4" xfId="16403" xr:uid="{00000000-0005-0000-0000-0000F0470000}"/>
    <cellStyle name="Percent 14 2 2 2 3 2_TOM TAT" xfId="11457" xr:uid="{00000000-0005-0000-0000-0000F1470000}"/>
    <cellStyle name="Percent 14 2 2 2 3 3" xfId="11458" xr:uid="{00000000-0005-0000-0000-0000F2470000}"/>
    <cellStyle name="Percent 14 2 2 2 3 3 2" xfId="30911" xr:uid="{00000000-0005-0000-0000-0000F3470000}"/>
    <cellStyle name="Percent 14 2 2 2 3 3 3" xfId="16405" xr:uid="{00000000-0005-0000-0000-0000F4470000}"/>
    <cellStyle name="Percent 14 2 2 2 3 3_TOM TAT" xfId="23449" xr:uid="{00000000-0005-0000-0000-0000F5470000}"/>
    <cellStyle name="Percent 14 2 2 2 3 4" xfId="30908" xr:uid="{00000000-0005-0000-0000-0000F6470000}"/>
    <cellStyle name="Percent 14 2 2 2 3 5" xfId="16402" xr:uid="{00000000-0005-0000-0000-0000F7470000}"/>
    <cellStyle name="Percent 14 2 2 2 3_TOM TAT" xfId="11459" xr:uid="{00000000-0005-0000-0000-0000F8470000}"/>
    <cellStyle name="Percent 14 2 2 2 4" xfId="11460" xr:uid="{00000000-0005-0000-0000-0000F9470000}"/>
    <cellStyle name="Percent 14 2 2 2 4 2" xfId="11461" xr:uid="{00000000-0005-0000-0000-0000FA470000}"/>
    <cellStyle name="Percent 14 2 2 2 4 2 2" xfId="11462" xr:uid="{00000000-0005-0000-0000-0000FB470000}"/>
    <cellStyle name="Percent 14 2 2 2 4 2 2 2" xfId="30914" xr:uid="{00000000-0005-0000-0000-0000FC470000}"/>
    <cellStyle name="Percent 14 2 2 2 4 2 2 3" xfId="16408" xr:uid="{00000000-0005-0000-0000-0000FD470000}"/>
    <cellStyle name="Percent 14 2 2 2 4 2 2_TOM TAT" xfId="23450" xr:uid="{00000000-0005-0000-0000-0000FE470000}"/>
    <cellStyle name="Percent 14 2 2 2 4 2 3" xfId="30913" xr:uid="{00000000-0005-0000-0000-0000FF470000}"/>
    <cellStyle name="Percent 14 2 2 2 4 2 4" xfId="16407" xr:uid="{00000000-0005-0000-0000-000000480000}"/>
    <cellStyle name="Percent 14 2 2 2 4 2_TOM TAT" xfId="11463" xr:uid="{00000000-0005-0000-0000-000001480000}"/>
    <cellStyle name="Percent 14 2 2 2 4 3" xfId="11464" xr:uid="{00000000-0005-0000-0000-000002480000}"/>
    <cellStyle name="Percent 14 2 2 2 4 3 2" xfId="30915" xr:uid="{00000000-0005-0000-0000-000003480000}"/>
    <cellStyle name="Percent 14 2 2 2 4 3 3" xfId="16409" xr:uid="{00000000-0005-0000-0000-000004480000}"/>
    <cellStyle name="Percent 14 2 2 2 4 3_TOM TAT" xfId="23451" xr:uid="{00000000-0005-0000-0000-000005480000}"/>
    <cellStyle name="Percent 14 2 2 2 4 4" xfId="30912" xr:uid="{00000000-0005-0000-0000-000006480000}"/>
    <cellStyle name="Percent 14 2 2 2 4 5" xfId="16406" xr:uid="{00000000-0005-0000-0000-000007480000}"/>
    <cellStyle name="Percent 14 2 2 2 4_TOM TAT" xfId="11465" xr:uid="{00000000-0005-0000-0000-000008480000}"/>
    <cellStyle name="Percent 14 2 2 2 5" xfId="11466" xr:uid="{00000000-0005-0000-0000-000009480000}"/>
    <cellStyle name="Percent 14 2 2 2 5 2" xfId="11467" xr:uid="{00000000-0005-0000-0000-00000A480000}"/>
    <cellStyle name="Percent 14 2 2 2 5 2 2" xfId="30917" xr:uid="{00000000-0005-0000-0000-00000B480000}"/>
    <cellStyle name="Percent 14 2 2 2 5 2 3" xfId="16411" xr:uid="{00000000-0005-0000-0000-00000C480000}"/>
    <cellStyle name="Percent 14 2 2 2 5 2_TOM TAT" xfId="23452" xr:uid="{00000000-0005-0000-0000-00000D480000}"/>
    <cellStyle name="Percent 14 2 2 2 5 3" xfId="30916" xr:uid="{00000000-0005-0000-0000-00000E480000}"/>
    <cellStyle name="Percent 14 2 2 2 5 4" xfId="16410" xr:uid="{00000000-0005-0000-0000-00000F480000}"/>
    <cellStyle name="Percent 14 2 2 2 5_TOM TAT" xfId="11468" xr:uid="{00000000-0005-0000-0000-000010480000}"/>
    <cellStyle name="Percent 14 2 2 2 6" xfId="11469" xr:uid="{00000000-0005-0000-0000-000011480000}"/>
    <cellStyle name="Percent 14 2 2 2 6 2" xfId="30918" xr:uid="{00000000-0005-0000-0000-000012480000}"/>
    <cellStyle name="Percent 14 2 2 2 6 3" xfId="16412" xr:uid="{00000000-0005-0000-0000-000013480000}"/>
    <cellStyle name="Percent 14 2 2 2 6_TOM TAT" xfId="23453" xr:uid="{00000000-0005-0000-0000-000014480000}"/>
    <cellStyle name="Percent 14 2 2 2 7" xfId="28287" xr:uid="{00000000-0005-0000-0000-000015480000}"/>
    <cellStyle name="Percent 14 2 2 2 8" xfId="14708" xr:uid="{00000000-0005-0000-0000-000016480000}"/>
    <cellStyle name="Percent 14 2 2 2_TOM TAT" xfId="11470" xr:uid="{00000000-0005-0000-0000-000017480000}"/>
    <cellStyle name="Percent 14 2 2 3" xfId="11471" xr:uid="{00000000-0005-0000-0000-000018480000}"/>
    <cellStyle name="Percent 14 2 2 3 2" xfId="11472" xr:uid="{00000000-0005-0000-0000-000019480000}"/>
    <cellStyle name="Percent 14 2 2 3 2 2" xfId="11473" xr:uid="{00000000-0005-0000-0000-00001A480000}"/>
    <cellStyle name="Percent 14 2 2 3 2 2 2" xfId="11474" xr:uid="{00000000-0005-0000-0000-00001B480000}"/>
    <cellStyle name="Percent 14 2 2 3 2 2 2 2" xfId="30922" xr:uid="{00000000-0005-0000-0000-00001C480000}"/>
    <cellStyle name="Percent 14 2 2 3 2 2 2 3" xfId="16416" xr:uid="{00000000-0005-0000-0000-00001D480000}"/>
    <cellStyle name="Percent 14 2 2 3 2 2 2_TOM TAT" xfId="23454" xr:uid="{00000000-0005-0000-0000-00001E480000}"/>
    <cellStyle name="Percent 14 2 2 3 2 2 3" xfId="30921" xr:uid="{00000000-0005-0000-0000-00001F480000}"/>
    <cellStyle name="Percent 14 2 2 3 2 2 4" xfId="16415" xr:uid="{00000000-0005-0000-0000-000020480000}"/>
    <cellStyle name="Percent 14 2 2 3 2 2_TOM TAT" xfId="11475" xr:uid="{00000000-0005-0000-0000-000021480000}"/>
    <cellStyle name="Percent 14 2 2 3 2 3" xfId="11476" xr:uid="{00000000-0005-0000-0000-000022480000}"/>
    <cellStyle name="Percent 14 2 2 3 2 3 2" xfId="30923" xr:uid="{00000000-0005-0000-0000-000023480000}"/>
    <cellStyle name="Percent 14 2 2 3 2 3 3" xfId="16417" xr:uid="{00000000-0005-0000-0000-000024480000}"/>
    <cellStyle name="Percent 14 2 2 3 2 3_TOM TAT" xfId="23455" xr:uid="{00000000-0005-0000-0000-000025480000}"/>
    <cellStyle name="Percent 14 2 2 3 2 4" xfId="30920" xr:uid="{00000000-0005-0000-0000-000026480000}"/>
    <cellStyle name="Percent 14 2 2 3 2 5" xfId="16414" xr:uid="{00000000-0005-0000-0000-000027480000}"/>
    <cellStyle name="Percent 14 2 2 3 2_TOM TAT" xfId="11477" xr:uid="{00000000-0005-0000-0000-000028480000}"/>
    <cellStyle name="Percent 14 2 2 3 3" xfId="11478" xr:uid="{00000000-0005-0000-0000-000029480000}"/>
    <cellStyle name="Percent 14 2 2 3 3 2" xfId="11479" xr:uid="{00000000-0005-0000-0000-00002A480000}"/>
    <cellStyle name="Percent 14 2 2 3 3 2 2" xfId="11480" xr:uid="{00000000-0005-0000-0000-00002B480000}"/>
    <cellStyle name="Percent 14 2 2 3 3 2 2 2" xfId="30926" xr:uid="{00000000-0005-0000-0000-00002C480000}"/>
    <cellStyle name="Percent 14 2 2 3 3 2 2 3" xfId="16420" xr:uid="{00000000-0005-0000-0000-00002D480000}"/>
    <cellStyle name="Percent 14 2 2 3 3 2 2_TOM TAT" xfId="23456" xr:uid="{00000000-0005-0000-0000-00002E480000}"/>
    <cellStyle name="Percent 14 2 2 3 3 2 3" xfId="30925" xr:uid="{00000000-0005-0000-0000-00002F480000}"/>
    <cellStyle name="Percent 14 2 2 3 3 2 4" xfId="16419" xr:uid="{00000000-0005-0000-0000-000030480000}"/>
    <cellStyle name="Percent 14 2 2 3 3 2_TOM TAT" xfId="11481" xr:uid="{00000000-0005-0000-0000-000031480000}"/>
    <cellStyle name="Percent 14 2 2 3 3 3" xfId="11482" xr:uid="{00000000-0005-0000-0000-000032480000}"/>
    <cellStyle name="Percent 14 2 2 3 3 3 2" xfId="30927" xr:uid="{00000000-0005-0000-0000-000033480000}"/>
    <cellStyle name="Percent 14 2 2 3 3 3 3" xfId="16421" xr:uid="{00000000-0005-0000-0000-000034480000}"/>
    <cellStyle name="Percent 14 2 2 3 3 3_TOM TAT" xfId="23457" xr:uid="{00000000-0005-0000-0000-000035480000}"/>
    <cellStyle name="Percent 14 2 2 3 3 4" xfId="30924" xr:uid="{00000000-0005-0000-0000-000036480000}"/>
    <cellStyle name="Percent 14 2 2 3 3 5" xfId="16418" xr:uid="{00000000-0005-0000-0000-000037480000}"/>
    <cellStyle name="Percent 14 2 2 3 3_TOM TAT" xfId="11483" xr:uid="{00000000-0005-0000-0000-000038480000}"/>
    <cellStyle name="Percent 14 2 2 3 4" xfId="11484" xr:uid="{00000000-0005-0000-0000-000039480000}"/>
    <cellStyle name="Percent 14 2 2 3 4 2" xfId="11485" xr:uid="{00000000-0005-0000-0000-00003A480000}"/>
    <cellStyle name="Percent 14 2 2 3 4 2 2" xfId="30929" xr:uid="{00000000-0005-0000-0000-00003B480000}"/>
    <cellStyle name="Percent 14 2 2 3 4 2 3" xfId="16423" xr:uid="{00000000-0005-0000-0000-00003C480000}"/>
    <cellStyle name="Percent 14 2 2 3 4 2_TOM TAT" xfId="23458" xr:uid="{00000000-0005-0000-0000-00003D480000}"/>
    <cellStyle name="Percent 14 2 2 3 4 3" xfId="30928" xr:uid="{00000000-0005-0000-0000-00003E480000}"/>
    <cellStyle name="Percent 14 2 2 3 4 4" xfId="16422" xr:uid="{00000000-0005-0000-0000-00003F480000}"/>
    <cellStyle name="Percent 14 2 2 3 4_TOM TAT" xfId="11486" xr:uid="{00000000-0005-0000-0000-000040480000}"/>
    <cellStyle name="Percent 14 2 2 3 5" xfId="11487" xr:uid="{00000000-0005-0000-0000-000041480000}"/>
    <cellStyle name="Percent 14 2 2 3 5 2" xfId="30930" xr:uid="{00000000-0005-0000-0000-000042480000}"/>
    <cellStyle name="Percent 14 2 2 3 5 3" xfId="16424" xr:uid="{00000000-0005-0000-0000-000043480000}"/>
    <cellStyle name="Percent 14 2 2 3 5_TOM TAT" xfId="23459" xr:uid="{00000000-0005-0000-0000-000044480000}"/>
    <cellStyle name="Percent 14 2 2 3 6" xfId="30919" xr:uid="{00000000-0005-0000-0000-000045480000}"/>
    <cellStyle name="Percent 14 2 2 3 7" xfId="16413" xr:uid="{00000000-0005-0000-0000-000046480000}"/>
    <cellStyle name="Percent 14 2 2 3_TOM TAT" xfId="11488" xr:uid="{00000000-0005-0000-0000-000047480000}"/>
    <cellStyle name="Percent 14 2 2 4" xfId="11489" xr:uid="{00000000-0005-0000-0000-000048480000}"/>
    <cellStyle name="Percent 14 2 2 4 2" xfId="11490" xr:uid="{00000000-0005-0000-0000-000049480000}"/>
    <cellStyle name="Percent 14 2 2 4 2 2" xfId="11491" xr:uid="{00000000-0005-0000-0000-00004A480000}"/>
    <cellStyle name="Percent 14 2 2 4 2 2 2" xfId="11492" xr:uid="{00000000-0005-0000-0000-00004B480000}"/>
    <cellStyle name="Percent 14 2 2 4 2 2 2 2" xfId="30934" xr:uid="{00000000-0005-0000-0000-00004C480000}"/>
    <cellStyle name="Percent 14 2 2 4 2 2 2 3" xfId="16428" xr:uid="{00000000-0005-0000-0000-00004D480000}"/>
    <cellStyle name="Percent 14 2 2 4 2 2 2_TOM TAT" xfId="23460" xr:uid="{00000000-0005-0000-0000-00004E480000}"/>
    <cellStyle name="Percent 14 2 2 4 2 2 3" xfId="30933" xr:uid="{00000000-0005-0000-0000-00004F480000}"/>
    <cellStyle name="Percent 14 2 2 4 2 2 4" xfId="16427" xr:uid="{00000000-0005-0000-0000-000050480000}"/>
    <cellStyle name="Percent 14 2 2 4 2 2_TOM TAT" xfId="11493" xr:uid="{00000000-0005-0000-0000-000051480000}"/>
    <cellStyle name="Percent 14 2 2 4 2 3" xfId="11494" xr:uid="{00000000-0005-0000-0000-000052480000}"/>
    <cellStyle name="Percent 14 2 2 4 2 3 2" xfId="30935" xr:uid="{00000000-0005-0000-0000-000053480000}"/>
    <cellStyle name="Percent 14 2 2 4 2 3 3" xfId="16429" xr:uid="{00000000-0005-0000-0000-000054480000}"/>
    <cellStyle name="Percent 14 2 2 4 2 3_TOM TAT" xfId="23461" xr:uid="{00000000-0005-0000-0000-000055480000}"/>
    <cellStyle name="Percent 14 2 2 4 2 4" xfId="30932" xr:uid="{00000000-0005-0000-0000-000056480000}"/>
    <cellStyle name="Percent 14 2 2 4 2 5" xfId="16426" xr:uid="{00000000-0005-0000-0000-000057480000}"/>
    <cellStyle name="Percent 14 2 2 4 2_TOM TAT" xfId="11495" xr:uid="{00000000-0005-0000-0000-000058480000}"/>
    <cellStyle name="Percent 14 2 2 4 3" xfId="11496" xr:uid="{00000000-0005-0000-0000-000059480000}"/>
    <cellStyle name="Percent 14 2 2 4 3 2" xfId="11497" xr:uid="{00000000-0005-0000-0000-00005A480000}"/>
    <cellStyle name="Percent 14 2 2 4 3 2 2" xfId="11498" xr:uid="{00000000-0005-0000-0000-00005B480000}"/>
    <cellStyle name="Percent 14 2 2 4 3 2 2 2" xfId="30938" xr:uid="{00000000-0005-0000-0000-00005C480000}"/>
    <cellStyle name="Percent 14 2 2 4 3 2 2 3" xfId="16432" xr:uid="{00000000-0005-0000-0000-00005D480000}"/>
    <cellStyle name="Percent 14 2 2 4 3 2 2_TOM TAT" xfId="23462" xr:uid="{00000000-0005-0000-0000-00005E480000}"/>
    <cellStyle name="Percent 14 2 2 4 3 2 3" xfId="30937" xr:uid="{00000000-0005-0000-0000-00005F480000}"/>
    <cellStyle name="Percent 14 2 2 4 3 2 4" xfId="16431" xr:uid="{00000000-0005-0000-0000-000060480000}"/>
    <cellStyle name="Percent 14 2 2 4 3 2_TOM TAT" xfId="11499" xr:uid="{00000000-0005-0000-0000-000061480000}"/>
    <cellStyle name="Percent 14 2 2 4 3 3" xfId="11500" xr:uid="{00000000-0005-0000-0000-000062480000}"/>
    <cellStyle name="Percent 14 2 2 4 3 3 2" xfId="30939" xr:uid="{00000000-0005-0000-0000-000063480000}"/>
    <cellStyle name="Percent 14 2 2 4 3 3 3" xfId="16433" xr:uid="{00000000-0005-0000-0000-000064480000}"/>
    <cellStyle name="Percent 14 2 2 4 3 3_TOM TAT" xfId="23463" xr:uid="{00000000-0005-0000-0000-000065480000}"/>
    <cellStyle name="Percent 14 2 2 4 3 4" xfId="30936" xr:uid="{00000000-0005-0000-0000-000066480000}"/>
    <cellStyle name="Percent 14 2 2 4 3 5" xfId="16430" xr:uid="{00000000-0005-0000-0000-000067480000}"/>
    <cellStyle name="Percent 14 2 2 4 3_TOM TAT" xfId="11501" xr:uid="{00000000-0005-0000-0000-000068480000}"/>
    <cellStyle name="Percent 14 2 2 4 4" xfId="11502" xr:uid="{00000000-0005-0000-0000-000069480000}"/>
    <cellStyle name="Percent 14 2 2 4 4 2" xfId="11503" xr:uid="{00000000-0005-0000-0000-00006A480000}"/>
    <cellStyle name="Percent 14 2 2 4 4 2 2" xfId="30941" xr:uid="{00000000-0005-0000-0000-00006B480000}"/>
    <cellStyle name="Percent 14 2 2 4 4 2 3" xfId="16435" xr:uid="{00000000-0005-0000-0000-00006C480000}"/>
    <cellStyle name="Percent 14 2 2 4 4 2_TOM TAT" xfId="23464" xr:uid="{00000000-0005-0000-0000-00006D480000}"/>
    <cellStyle name="Percent 14 2 2 4 4 3" xfId="30940" xr:uid="{00000000-0005-0000-0000-00006E480000}"/>
    <cellStyle name="Percent 14 2 2 4 4 4" xfId="16434" xr:uid="{00000000-0005-0000-0000-00006F480000}"/>
    <cellStyle name="Percent 14 2 2 4 4_TOM TAT" xfId="11504" xr:uid="{00000000-0005-0000-0000-000070480000}"/>
    <cellStyle name="Percent 14 2 2 4 5" xfId="11505" xr:uid="{00000000-0005-0000-0000-000071480000}"/>
    <cellStyle name="Percent 14 2 2 4 5 2" xfId="30942" xr:uid="{00000000-0005-0000-0000-000072480000}"/>
    <cellStyle name="Percent 14 2 2 4 5 3" xfId="16436" xr:uid="{00000000-0005-0000-0000-000073480000}"/>
    <cellStyle name="Percent 14 2 2 4 5_TOM TAT" xfId="23465" xr:uid="{00000000-0005-0000-0000-000074480000}"/>
    <cellStyle name="Percent 14 2 2 4 6" xfId="30931" xr:uid="{00000000-0005-0000-0000-000075480000}"/>
    <cellStyle name="Percent 14 2 2 4 7" xfId="16425" xr:uid="{00000000-0005-0000-0000-000076480000}"/>
    <cellStyle name="Percent 14 2 2 4_TOM TAT" xfId="11506" xr:uid="{00000000-0005-0000-0000-000077480000}"/>
    <cellStyle name="Percent 14 2 2 5" xfId="11507" xr:uid="{00000000-0005-0000-0000-000078480000}"/>
    <cellStyle name="Percent 14 2 2 5 2" xfId="11508" xr:uid="{00000000-0005-0000-0000-000079480000}"/>
    <cellStyle name="Percent 14 2 2 5 2 2" xfId="11509" xr:uid="{00000000-0005-0000-0000-00007A480000}"/>
    <cellStyle name="Percent 14 2 2 5 2 2 2" xfId="30945" xr:uid="{00000000-0005-0000-0000-00007B480000}"/>
    <cellStyle name="Percent 14 2 2 5 2 2 3" xfId="16439" xr:uid="{00000000-0005-0000-0000-00007C480000}"/>
    <cellStyle name="Percent 14 2 2 5 2 2_TOM TAT" xfId="23466" xr:uid="{00000000-0005-0000-0000-00007D480000}"/>
    <cellStyle name="Percent 14 2 2 5 2 3" xfId="30944" xr:uid="{00000000-0005-0000-0000-00007E480000}"/>
    <cellStyle name="Percent 14 2 2 5 2 4" xfId="16438" xr:uid="{00000000-0005-0000-0000-00007F480000}"/>
    <cellStyle name="Percent 14 2 2 5 2_TOM TAT" xfId="11510" xr:uid="{00000000-0005-0000-0000-000080480000}"/>
    <cellStyle name="Percent 14 2 2 5 3" xfId="11511" xr:uid="{00000000-0005-0000-0000-000081480000}"/>
    <cellStyle name="Percent 14 2 2 5 3 2" xfId="30946" xr:uid="{00000000-0005-0000-0000-000082480000}"/>
    <cellStyle name="Percent 14 2 2 5 3 3" xfId="16440" xr:uid="{00000000-0005-0000-0000-000083480000}"/>
    <cellStyle name="Percent 14 2 2 5 3_TOM TAT" xfId="23467" xr:uid="{00000000-0005-0000-0000-000084480000}"/>
    <cellStyle name="Percent 14 2 2 5 4" xfId="30943" xr:uid="{00000000-0005-0000-0000-000085480000}"/>
    <cellStyle name="Percent 14 2 2 5 5" xfId="16437" xr:uid="{00000000-0005-0000-0000-000086480000}"/>
    <cellStyle name="Percent 14 2 2 5_TOM TAT" xfId="11512" xr:uid="{00000000-0005-0000-0000-000087480000}"/>
    <cellStyle name="Percent 14 2 2 6" xfId="11513" xr:uid="{00000000-0005-0000-0000-000088480000}"/>
    <cellStyle name="Percent 14 2 2 6 2" xfId="11514" xr:uid="{00000000-0005-0000-0000-000089480000}"/>
    <cellStyle name="Percent 14 2 2 6 2 2" xfId="11515" xr:uid="{00000000-0005-0000-0000-00008A480000}"/>
    <cellStyle name="Percent 14 2 2 6 2 2 2" xfId="30949" xr:uid="{00000000-0005-0000-0000-00008B480000}"/>
    <cellStyle name="Percent 14 2 2 6 2 2 3" xfId="16443" xr:uid="{00000000-0005-0000-0000-00008C480000}"/>
    <cellStyle name="Percent 14 2 2 6 2 2_TOM TAT" xfId="23468" xr:uid="{00000000-0005-0000-0000-00008D480000}"/>
    <cellStyle name="Percent 14 2 2 6 2 3" xfId="30948" xr:uid="{00000000-0005-0000-0000-00008E480000}"/>
    <cellStyle name="Percent 14 2 2 6 2 4" xfId="16442" xr:uid="{00000000-0005-0000-0000-00008F480000}"/>
    <cellStyle name="Percent 14 2 2 6 2_TOM TAT" xfId="11516" xr:uid="{00000000-0005-0000-0000-000090480000}"/>
    <cellStyle name="Percent 14 2 2 6 3" xfId="11517" xr:uid="{00000000-0005-0000-0000-000091480000}"/>
    <cellStyle name="Percent 14 2 2 6 3 2" xfId="30950" xr:uid="{00000000-0005-0000-0000-000092480000}"/>
    <cellStyle name="Percent 14 2 2 6 3 3" xfId="16444" xr:uid="{00000000-0005-0000-0000-000093480000}"/>
    <cellStyle name="Percent 14 2 2 6 3_TOM TAT" xfId="23469" xr:uid="{00000000-0005-0000-0000-000094480000}"/>
    <cellStyle name="Percent 14 2 2 6 4" xfId="30947" xr:uid="{00000000-0005-0000-0000-000095480000}"/>
    <cellStyle name="Percent 14 2 2 6 5" xfId="16441" xr:uid="{00000000-0005-0000-0000-000096480000}"/>
    <cellStyle name="Percent 14 2 2 6_TOM TAT" xfId="11518" xr:uid="{00000000-0005-0000-0000-000097480000}"/>
    <cellStyle name="Percent 14 2 2 7" xfId="11519" xr:uid="{00000000-0005-0000-0000-000098480000}"/>
    <cellStyle name="Percent 14 2 2 7 2" xfId="11520" xr:uid="{00000000-0005-0000-0000-000099480000}"/>
    <cellStyle name="Percent 14 2 2 7 2 2" xfId="30952" xr:uid="{00000000-0005-0000-0000-00009A480000}"/>
    <cellStyle name="Percent 14 2 2 7 2 3" xfId="16446" xr:uid="{00000000-0005-0000-0000-00009B480000}"/>
    <cellStyle name="Percent 14 2 2 7 2_TOM TAT" xfId="23470" xr:uid="{00000000-0005-0000-0000-00009C480000}"/>
    <cellStyle name="Percent 14 2 2 7 3" xfId="30951" xr:uid="{00000000-0005-0000-0000-00009D480000}"/>
    <cellStyle name="Percent 14 2 2 7 4" xfId="16445" xr:uid="{00000000-0005-0000-0000-00009E480000}"/>
    <cellStyle name="Percent 14 2 2 7_TOM TAT" xfId="11521" xr:uid="{00000000-0005-0000-0000-00009F480000}"/>
    <cellStyle name="Percent 14 2 2 8" xfId="11522" xr:uid="{00000000-0005-0000-0000-0000A0480000}"/>
    <cellStyle name="Percent 14 2 2 8 2" xfId="30953" xr:uid="{00000000-0005-0000-0000-0000A1480000}"/>
    <cellStyle name="Percent 14 2 2 8 3" xfId="16447" xr:uid="{00000000-0005-0000-0000-0000A2480000}"/>
    <cellStyle name="Percent 14 2 2 8_TOM TAT" xfId="23471" xr:uid="{00000000-0005-0000-0000-0000A3480000}"/>
    <cellStyle name="Percent 14 2 2 9" xfId="28062" xr:uid="{00000000-0005-0000-0000-0000A4480000}"/>
    <cellStyle name="Percent 14 2 2_TOM TAT" xfId="11523" xr:uid="{00000000-0005-0000-0000-0000A5480000}"/>
    <cellStyle name="Percent 14 2 3" xfId="4859" xr:uid="{00000000-0005-0000-0000-0000A6480000}"/>
    <cellStyle name="Percent 14 2 3 2" xfId="11524" xr:uid="{00000000-0005-0000-0000-0000A7480000}"/>
    <cellStyle name="Percent 14 2 3 2 2" xfId="11525" xr:uid="{00000000-0005-0000-0000-0000A8480000}"/>
    <cellStyle name="Percent 14 2 3 2 2 2" xfId="11526" xr:uid="{00000000-0005-0000-0000-0000A9480000}"/>
    <cellStyle name="Percent 14 2 3 2 2 2 2" xfId="11527" xr:uid="{00000000-0005-0000-0000-0000AA480000}"/>
    <cellStyle name="Percent 14 2 3 2 2 2 2 2" xfId="30957" xr:uid="{00000000-0005-0000-0000-0000AB480000}"/>
    <cellStyle name="Percent 14 2 3 2 2 2 2 3" xfId="16451" xr:uid="{00000000-0005-0000-0000-0000AC480000}"/>
    <cellStyle name="Percent 14 2 3 2 2 2 2_TOM TAT" xfId="23472" xr:uid="{00000000-0005-0000-0000-0000AD480000}"/>
    <cellStyle name="Percent 14 2 3 2 2 2 3" xfId="30956" xr:uid="{00000000-0005-0000-0000-0000AE480000}"/>
    <cellStyle name="Percent 14 2 3 2 2 2 4" xfId="16450" xr:uid="{00000000-0005-0000-0000-0000AF480000}"/>
    <cellStyle name="Percent 14 2 3 2 2 2_TOM TAT" xfId="11528" xr:uid="{00000000-0005-0000-0000-0000B0480000}"/>
    <cellStyle name="Percent 14 2 3 2 2 3" xfId="11529" xr:uid="{00000000-0005-0000-0000-0000B1480000}"/>
    <cellStyle name="Percent 14 2 3 2 2 3 2" xfId="30958" xr:uid="{00000000-0005-0000-0000-0000B2480000}"/>
    <cellStyle name="Percent 14 2 3 2 2 3 3" xfId="16452" xr:uid="{00000000-0005-0000-0000-0000B3480000}"/>
    <cellStyle name="Percent 14 2 3 2 2 3_TOM TAT" xfId="23473" xr:uid="{00000000-0005-0000-0000-0000B4480000}"/>
    <cellStyle name="Percent 14 2 3 2 2 4" xfId="30955" xr:uid="{00000000-0005-0000-0000-0000B5480000}"/>
    <cellStyle name="Percent 14 2 3 2 2 5" xfId="16449" xr:uid="{00000000-0005-0000-0000-0000B6480000}"/>
    <cellStyle name="Percent 14 2 3 2 2_TOM TAT" xfId="11530" xr:uid="{00000000-0005-0000-0000-0000B7480000}"/>
    <cellStyle name="Percent 14 2 3 2 3" xfId="11531" xr:uid="{00000000-0005-0000-0000-0000B8480000}"/>
    <cellStyle name="Percent 14 2 3 2 3 2" xfId="11532" xr:uid="{00000000-0005-0000-0000-0000B9480000}"/>
    <cellStyle name="Percent 14 2 3 2 3 2 2" xfId="11533" xr:uid="{00000000-0005-0000-0000-0000BA480000}"/>
    <cellStyle name="Percent 14 2 3 2 3 2 2 2" xfId="30961" xr:uid="{00000000-0005-0000-0000-0000BB480000}"/>
    <cellStyle name="Percent 14 2 3 2 3 2 2 3" xfId="16455" xr:uid="{00000000-0005-0000-0000-0000BC480000}"/>
    <cellStyle name="Percent 14 2 3 2 3 2 2_TOM TAT" xfId="23474" xr:uid="{00000000-0005-0000-0000-0000BD480000}"/>
    <cellStyle name="Percent 14 2 3 2 3 2 3" xfId="30960" xr:uid="{00000000-0005-0000-0000-0000BE480000}"/>
    <cellStyle name="Percent 14 2 3 2 3 2 4" xfId="16454" xr:uid="{00000000-0005-0000-0000-0000BF480000}"/>
    <cellStyle name="Percent 14 2 3 2 3 2_TOM TAT" xfId="11534" xr:uid="{00000000-0005-0000-0000-0000C0480000}"/>
    <cellStyle name="Percent 14 2 3 2 3 3" xfId="11535" xr:uid="{00000000-0005-0000-0000-0000C1480000}"/>
    <cellStyle name="Percent 14 2 3 2 3 3 2" xfId="30962" xr:uid="{00000000-0005-0000-0000-0000C2480000}"/>
    <cellStyle name="Percent 14 2 3 2 3 3 3" xfId="16456" xr:uid="{00000000-0005-0000-0000-0000C3480000}"/>
    <cellStyle name="Percent 14 2 3 2 3 3_TOM TAT" xfId="23475" xr:uid="{00000000-0005-0000-0000-0000C4480000}"/>
    <cellStyle name="Percent 14 2 3 2 3 4" xfId="30959" xr:uid="{00000000-0005-0000-0000-0000C5480000}"/>
    <cellStyle name="Percent 14 2 3 2 3 5" xfId="16453" xr:uid="{00000000-0005-0000-0000-0000C6480000}"/>
    <cellStyle name="Percent 14 2 3 2 3_TOM TAT" xfId="11536" xr:uid="{00000000-0005-0000-0000-0000C7480000}"/>
    <cellStyle name="Percent 14 2 3 2 4" xfId="11537" xr:uid="{00000000-0005-0000-0000-0000C8480000}"/>
    <cellStyle name="Percent 14 2 3 2 4 2" xfId="11538" xr:uid="{00000000-0005-0000-0000-0000C9480000}"/>
    <cellStyle name="Percent 14 2 3 2 4 2 2" xfId="30964" xr:uid="{00000000-0005-0000-0000-0000CA480000}"/>
    <cellStyle name="Percent 14 2 3 2 4 2 3" xfId="16458" xr:uid="{00000000-0005-0000-0000-0000CB480000}"/>
    <cellStyle name="Percent 14 2 3 2 4 2_TOM TAT" xfId="23476" xr:uid="{00000000-0005-0000-0000-0000CC480000}"/>
    <cellStyle name="Percent 14 2 3 2 4 3" xfId="30963" xr:uid="{00000000-0005-0000-0000-0000CD480000}"/>
    <cellStyle name="Percent 14 2 3 2 4 4" xfId="16457" xr:uid="{00000000-0005-0000-0000-0000CE480000}"/>
    <cellStyle name="Percent 14 2 3 2 4_TOM TAT" xfId="11539" xr:uid="{00000000-0005-0000-0000-0000CF480000}"/>
    <cellStyle name="Percent 14 2 3 2 5" xfId="11540" xr:uid="{00000000-0005-0000-0000-0000D0480000}"/>
    <cellStyle name="Percent 14 2 3 2 5 2" xfId="30965" xr:uid="{00000000-0005-0000-0000-0000D1480000}"/>
    <cellStyle name="Percent 14 2 3 2 5 3" xfId="16459" xr:uid="{00000000-0005-0000-0000-0000D2480000}"/>
    <cellStyle name="Percent 14 2 3 2 5_TOM TAT" xfId="23477" xr:uid="{00000000-0005-0000-0000-0000D3480000}"/>
    <cellStyle name="Percent 14 2 3 2 6" xfId="30954" xr:uid="{00000000-0005-0000-0000-0000D4480000}"/>
    <cellStyle name="Percent 14 2 3 2 7" xfId="16448" xr:uid="{00000000-0005-0000-0000-0000D5480000}"/>
    <cellStyle name="Percent 14 2 3 2_TOM TAT" xfId="11541" xr:uid="{00000000-0005-0000-0000-0000D6480000}"/>
    <cellStyle name="Percent 14 2 3 3" xfId="11542" xr:uid="{00000000-0005-0000-0000-0000D7480000}"/>
    <cellStyle name="Percent 14 2 3 3 2" xfId="11543" xr:uid="{00000000-0005-0000-0000-0000D8480000}"/>
    <cellStyle name="Percent 14 2 3 3 2 2" xfId="11544" xr:uid="{00000000-0005-0000-0000-0000D9480000}"/>
    <cellStyle name="Percent 14 2 3 3 2 2 2" xfId="30968" xr:uid="{00000000-0005-0000-0000-0000DA480000}"/>
    <cellStyle name="Percent 14 2 3 3 2 2 3" xfId="16462" xr:uid="{00000000-0005-0000-0000-0000DB480000}"/>
    <cellStyle name="Percent 14 2 3 3 2 2_TOM TAT" xfId="23478" xr:uid="{00000000-0005-0000-0000-0000DC480000}"/>
    <cellStyle name="Percent 14 2 3 3 2 3" xfId="30967" xr:uid="{00000000-0005-0000-0000-0000DD480000}"/>
    <cellStyle name="Percent 14 2 3 3 2 4" xfId="16461" xr:uid="{00000000-0005-0000-0000-0000DE480000}"/>
    <cellStyle name="Percent 14 2 3 3 2_TOM TAT" xfId="11545" xr:uid="{00000000-0005-0000-0000-0000DF480000}"/>
    <cellStyle name="Percent 14 2 3 3 3" xfId="11546" xr:uid="{00000000-0005-0000-0000-0000E0480000}"/>
    <cellStyle name="Percent 14 2 3 3 3 2" xfId="30969" xr:uid="{00000000-0005-0000-0000-0000E1480000}"/>
    <cellStyle name="Percent 14 2 3 3 3 3" xfId="16463" xr:uid="{00000000-0005-0000-0000-0000E2480000}"/>
    <cellStyle name="Percent 14 2 3 3 3_TOM TAT" xfId="23479" xr:uid="{00000000-0005-0000-0000-0000E3480000}"/>
    <cellStyle name="Percent 14 2 3 3 4" xfId="30966" xr:uid="{00000000-0005-0000-0000-0000E4480000}"/>
    <cellStyle name="Percent 14 2 3 3 5" xfId="16460" xr:uid="{00000000-0005-0000-0000-0000E5480000}"/>
    <cellStyle name="Percent 14 2 3 3_TOM TAT" xfId="11547" xr:uid="{00000000-0005-0000-0000-0000E6480000}"/>
    <cellStyle name="Percent 14 2 3 4" xfId="11548" xr:uid="{00000000-0005-0000-0000-0000E7480000}"/>
    <cellStyle name="Percent 14 2 3 4 2" xfId="11549" xr:uid="{00000000-0005-0000-0000-0000E8480000}"/>
    <cellStyle name="Percent 14 2 3 4 2 2" xfId="11550" xr:uid="{00000000-0005-0000-0000-0000E9480000}"/>
    <cellStyle name="Percent 14 2 3 4 2 2 2" xfId="30972" xr:uid="{00000000-0005-0000-0000-0000EA480000}"/>
    <cellStyle name="Percent 14 2 3 4 2 2 3" xfId="16466" xr:uid="{00000000-0005-0000-0000-0000EB480000}"/>
    <cellStyle name="Percent 14 2 3 4 2 2_TOM TAT" xfId="23480" xr:uid="{00000000-0005-0000-0000-0000EC480000}"/>
    <cellStyle name="Percent 14 2 3 4 2 3" xfId="30971" xr:uid="{00000000-0005-0000-0000-0000ED480000}"/>
    <cellStyle name="Percent 14 2 3 4 2 4" xfId="16465" xr:uid="{00000000-0005-0000-0000-0000EE480000}"/>
    <cellStyle name="Percent 14 2 3 4 2_TOM TAT" xfId="11551" xr:uid="{00000000-0005-0000-0000-0000EF480000}"/>
    <cellStyle name="Percent 14 2 3 4 3" xfId="11552" xr:uid="{00000000-0005-0000-0000-0000F0480000}"/>
    <cellStyle name="Percent 14 2 3 4 3 2" xfId="30973" xr:uid="{00000000-0005-0000-0000-0000F1480000}"/>
    <cellStyle name="Percent 14 2 3 4 3 3" xfId="16467" xr:uid="{00000000-0005-0000-0000-0000F2480000}"/>
    <cellStyle name="Percent 14 2 3 4 3_TOM TAT" xfId="23481" xr:uid="{00000000-0005-0000-0000-0000F3480000}"/>
    <cellStyle name="Percent 14 2 3 4 4" xfId="30970" xr:uid="{00000000-0005-0000-0000-0000F4480000}"/>
    <cellStyle name="Percent 14 2 3 4 5" xfId="16464" xr:uid="{00000000-0005-0000-0000-0000F5480000}"/>
    <cellStyle name="Percent 14 2 3 4_TOM TAT" xfId="11553" xr:uid="{00000000-0005-0000-0000-0000F6480000}"/>
    <cellStyle name="Percent 14 2 3 5" xfId="11554" xr:uid="{00000000-0005-0000-0000-0000F7480000}"/>
    <cellStyle name="Percent 14 2 3 5 2" xfId="11555" xr:uid="{00000000-0005-0000-0000-0000F8480000}"/>
    <cellStyle name="Percent 14 2 3 5 2 2" xfId="30975" xr:uid="{00000000-0005-0000-0000-0000F9480000}"/>
    <cellStyle name="Percent 14 2 3 5 2 3" xfId="16469" xr:uid="{00000000-0005-0000-0000-0000FA480000}"/>
    <cellStyle name="Percent 14 2 3 5 2_TOM TAT" xfId="23482" xr:uid="{00000000-0005-0000-0000-0000FB480000}"/>
    <cellStyle name="Percent 14 2 3 5 3" xfId="30974" xr:uid="{00000000-0005-0000-0000-0000FC480000}"/>
    <cellStyle name="Percent 14 2 3 5 4" xfId="16468" xr:uid="{00000000-0005-0000-0000-0000FD480000}"/>
    <cellStyle name="Percent 14 2 3 5_TOM TAT" xfId="11556" xr:uid="{00000000-0005-0000-0000-0000FE480000}"/>
    <cellStyle name="Percent 14 2 3 6" xfId="11557" xr:uid="{00000000-0005-0000-0000-0000FF480000}"/>
    <cellStyle name="Percent 14 2 3 6 2" xfId="30976" xr:uid="{00000000-0005-0000-0000-000000490000}"/>
    <cellStyle name="Percent 14 2 3 6 3" xfId="16470" xr:uid="{00000000-0005-0000-0000-000001490000}"/>
    <cellStyle name="Percent 14 2 3 6_TOM TAT" xfId="23483" xr:uid="{00000000-0005-0000-0000-000002490000}"/>
    <cellStyle name="Percent 14 2 3 7" xfId="28065" xr:uid="{00000000-0005-0000-0000-000003490000}"/>
    <cellStyle name="Percent 14 2 3 8" xfId="14654" xr:uid="{00000000-0005-0000-0000-000004490000}"/>
    <cellStyle name="Percent 14 2 3_TOM TAT" xfId="11558" xr:uid="{00000000-0005-0000-0000-000005490000}"/>
    <cellStyle name="Percent 14 2 4" xfId="5628" xr:uid="{00000000-0005-0000-0000-000006490000}"/>
    <cellStyle name="Percent 14 2 4 2" xfId="11559" xr:uid="{00000000-0005-0000-0000-000007490000}"/>
    <cellStyle name="Percent 14 2 4 2 2" xfId="11560" xr:uid="{00000000-0005-0000-0000-000008490000}"/>
    <cellStyle name="Percent 14 2 4 2 2 2" xfId="11561" xr:uid="{00000000-0005-0000-0000-000009490000}"/>
    <cellStyle name="Percent 14 2 4 2 2 2 2" xfId="30979" xr:uid="{00000000-0005-0000-0000-00000A490000}"/>
    <cellStyle name="Percent 14 2 4 2 2 2 3" xfId="16473" xr:uid="{00000000-0005-0000-0000-00000B490000}"/>
    <cellStyle name="Percent 14 2 4 2 2 2_TOM TAT" xfId="23484" xr:uid="{00000000-0005-0000-0000-00000C490000}"/>
    <cellStyle name="Percent 14 2 4 2 2 3" xfId="30978" xr:uid="{00000000-0005-0000-0000-00000D490000}"/>
    <cellStyle name="Percent 14 2 4 2 2 4" xfId="16472" xr:uid="{00000000-0005-0000-0000-00000E490000}"/>
    <cellStyle name="Percent 14 2 4 2 2_TOM TAT" xfId="11562" xr:uid="{00000000-0005-0000-0000-00000F490000}"/>
    <cellStyle name="Percent 14 2 4 2 3" xfId="11563" xr:uid="{00000000-0005-0000-0000-000010490000}"/>
    <cellStyle name="Percent 14 2 4 2 3 2" xfId="30980" xr:uid="{00000000-0005-0000-0000-000011490000}"/>
    <cellStyle name="Percent 14 2 4 2 3 3" xfId="16474" xr:uid="{00000000-0005-0000-0000-000012490000}"/>
    <cellStyle name="Percent 14 2 4 2 3_TOM TAT" xfId="23485" xr:uid="{00000000-0005-0000-0000-000013490000}"/>
    <cellStyle name="Percent 14 2 4 2 4" xfId="30977" xr:uid="{00000000-0005-0000-0000-000014490000}"/>
    <cellStyle name="Percent 14 2 4 2 5" xfId="16471" xr:uid="{00000000-0005-0000-0000-000015490000}"/>
    <cellStyle name="Percent 14 2 4 2_TOM TAT" xfId="11564" xr:uid="{00000000-0005-0000-0000-000016490000}"/>
    <cellStyle name="Percent 14 2 4 3" xfId="11565" xr:uid="{00000000-0005-0000-0000-000017490000}"/>
    <cellStyle name="Percent 14 2 4 3 2" xfId="11566" xr:uid="{00000000-0005-0000-0000-000018490000}"/>
    <cellStyle name="Percent 14 2 4 3 2 2" xfId="11567" xr:uid="{00000000-0005-0000-0000-000019490000}"/>
    <cellStyle name="Percent 14 2 4 3 2 2 2" xfId="30983" xr:uid="{00000000-0005-0000-0000-00001A490000}"/>
    <cellStyle name="Percent 14 2 4 3 2 2 3" xfId="16477" xr:uid="{00000000-0005-0000-0000-00001B490000}"/>
    <cellStyle name="Percent 14 2 4 3 2 2_TOM TAT" xfId="23486" xr:uid="{00000000-0005-0000-0000-00001C490000}"/>
    <cellStyle name="Percent 14 2 4 3 2 3" xfId="30982" xr:uid="{00000000-0005-0000-0000-00001D490000}"/>
    <cellStyle name="Percent 14 2 4 3 2 4" xfId="16476" xr:uid="{00000000-0005-0000-0000-00001E490000}"/>
    <cellStyle name="Percent 14 2 4 3 2_TOM TAT" xfId="11568" xr:uid="{00000000-0005-0000-0000-00001F490000}"/>
    <cellStyle name="Percent 14 2 4 3 3" xfId="11569" xr:uid="{00000000-0005-0000-0000-000020490000}"/>
    <cellStyle name="Percent 14 2 4 3 3 2" xfId="30984" xr:uid="{00000000-0005-0000-0000-000021490000}"/>
    <cellStyle name="Percent 14 2 4 3 3 3" xfId="16478" xr:uid="{00000000-0005-0000-0000-000022490000}"/>
    <cellStyle name="Percent 14 2 4 3 3_TOM TAT" xfId="23487" xr:uid="{00000000-0005-0000-0000-000023490000}"/>
    <cellStyle name="Percent 14 2 4 3 4" xfId="30981" xr:uid="{00000000-0005-0000-0000-000024490000}"/>
    <cellStyle name="Percent 14 2 4 3 5" xfId="16475" xr:uid="{00000000-0005-0000-0000-000025490000}"/>
    <cellStyle name="Percent 14 2 4 3_TOM TAT" xfId="11570" xr:uid="{00000000-0005-0000-0000-000026490000}"/>
    <cellStyle name="Percent 14 2 4 4" xfId="11571" xr:uid="{00000000-0005-0000-0000-000027490000}"/>
    <cellStyle name="Percent 14 2 4 4 2" xfId="11572" xr:uid="{00000000-0005-0000-0000-000028490000}"/>
    <cellStyle name="Percent 14 2 4 4 2 2" xfId="30986" xr:uid="{00000000-0005-0000-0000-000029490000}"/>
    <cellStyle name="Percent 14 2 4 4 2 3" xfId="16480" xr:uid="{00000000-0005-0000-0000-00002A490000}"/>
    <cellStyle name="Percent 14 2 4 4 2_TOM TAT" xfId="23488" xr:uid="{00000000-0005-0000-0000-00002B490000}"/>
    <cellStyle name="Percent 14 2 4 4 3" xfId="30985" xr:uid="{00000000-0005-0000-0000-00002C490000}"/>
    <cellStyle name="Percent 14 2 4 4 4" xfId="16479" xr:uid="{00000000-0005-0000-0000-00002D490000}"/>
    <cellStyle name="Percent 14 2 4 4_TOM TAT" xfId="11573" xr:uid="{00000000-0005-0000-0000-00002E490000}"/>
    <cellStyle name="Percent 14 2 4 5" xfId="11574" xr:uid="{00000000-0005-0000-0000-00002F490000}"/>
    <cellStyle name="Percent 14 2 4 5 2" xfId="30987" xr:uid="{00000000-0005-0000-0000-000030490000}"/>
    <cellStyle name="Percent 14 2 4 5 3" xfId="16481" xr:uid="{00000000-0005-0000-0000-000031490000}"/>
    <cellStyle name="Percent 14 2 4 5_TOM TAT" xfId="23489" xr:uid="{00000000-0005-0000-0000-000032490000}"/>
    <cellStyle name="Percent 14 2 4 6" xfId="28288" xr:uid="{00000000-0005-0000-0000-000033490000}"/>
    <cellStyle name="Percent 14 2 4 7" xfId="14709" xr:uid="{00000000-0005-0000-0000-000034490000}"/>
    <cellStyle name="Percent 14 2 4_TOM TAT" xfId="11575" xr:uid="{00000000-0005-0000-0000-000035490000}"/>
    <cellStyle name="Percent 14 2 5" xfId="11576" xr:uid="{00000000-0005-0000-0000-000036490000}"/>
    <cellStyle name="Percent 14 2 5 2" xfId="11577" xr:uid="{00000000-0005-0000-0000-000037490000}"/>
    <cellStyle name="Percent 14 2 5 2 2" xfId="11578" xr:uid="{00000000-0005-0000-0000-000038490000}"/>
    <cellStyle name="Percent 14 2 5 2 2 2" xfId="11579" xr:uid="{00000000-0005-0000-0000-000039490000}"/>
    <cellStyle name="Percent 14 2 5 2 2 2 2" xfId="30991" xr:uid="{00000000-0005-0000-0000-00003A490000}"/>
    <cellStyle name="Percent 14 2 5 2 2 2 3" xfId="16485" xr:uid="{00000000-0005-0000-0000-00003B490000}"/>
    <cellStyle name="Percent 14 2 5 2 2 2_TOM TAT" xfId="23490" xr:uid="{00000000-0005-0000-0000-00003C490000}"/>
    <cellStyle name="Percent 14 2 5 2 2 3" xfId="30990" xr:uid="{00000000-0005-0000-0000-00003D490000}"/>
    <cellStyle name="Percent 14 2 5 2 2 4" xfId="16484" xr:uid="{00000000-0005-0000-0000-00003E490000}"/>
    <cellStyle name="Percent 14 2 5 2 2_TOM TAT" xfId="11580" xr:uid="{00000000-0005-0000-0000-00003F490000}"/>
    <cellStyle name="Percent 14 2 5 2 3" xfId="11581" xr:uid="{00000000-0005-0000-0000-000040490000}"/>
    <cellStyle name="Percent 14 2 5 2 3 2" xfId="30992" xr:uid="{00000000-0005-0000-0000-000041490000}"/>
    <cellStyle name="Percent 14 2 5 2 3 3" xfId="16486" xr:uid="{00000000-0005-0000-0000-000042490000}"/>
    <cellStyle name="Percent 14 2 5 2 3_TOM TAT" xfId="23491" xr:uid="{00000000-0005-0000-0000-000043490000}"/>
    <cellStyle name="Percent 14 2 5 2 4" xfId="30989" xr:uid="{00000000-0005-0000-0000-000044490000}"/>
    <cellStyle name="Percent 14 2 5 2 5" xfId="16483" xr:uid="{00000000-0005-0000-0000-000045490000}"/>
    <cellStyle name="Percent 14 2 5 2_TOM TAT" xfId="11582" xr:uid="{00000000-0005-0000-0000-000046490000}"/>
    <cellStyle name="Percent 14 2 5 3" xfId="11583" xr:uid="{00000000-0005-0000-0000-000047490000}"/>
    <cellStyle name="Percent 14 2 5 3 2" xfId="11584" xr:uid="{00000000-0005-0000-0000-000048490000}"/>
    <cellStyle name="Percent 14 2 5 3 2 2" xfId="11585" xr:uid="{00000000-0005-0000-0000-000049490000}"/>
    <cellStyle name="Percent 14 2 5 3 2 2 2" xfId="30995" xr:uid="{00000000-0005-0000-0000-00004A490000}"/>
    <cellStyle name="Percent 14 2 5 3 2 2 3" xfId="16489" xr:uid="{00000000-0005-0000-0000-00004B490000}"/>
    <cellStyle name="Percent 14 2 5 3 2 2_TOM TAT" xfId="23492" xr:uid="{00000000-0005-0000-0000-00004C490000}"/>
    <cellStyle name="Percent 14 2 5 3 2 3" xfId="30994" xr:uid="{00000000-0005-0000-0000-00004D490000}"/>
    <cellStyle name="Percent 14 2 5 3 2 4" xfId="16488" xr:uid="{00000000-0005-0000-0000-00004E490000}"/>
    <cellStyle name="Percent 14 2 5 3 2_TOM TAT" xfId="11586" xr:uid="{00000000-0005-0000-0000-00004F490000}"/>
    <cellStyle name="Percent 14 2 5 3 3" xfId="11587" xr:uid="{00000000-0005-0000-0000-000050490000}"/>
    <cellStyle name="Percent 14 2 5 3 3 2" xfId="30996" xr:uid="{00000000-0005-0000-0000-000051490000}"/>
    <cellStyle name="Percent 14 2 5 3 3 3" xfId="16490" xr:uid="{00000000-0005-0000-0000-000052490000}"/>
    <cellStyle name="Percent 14 2 5 3 3_TOM TAT" xfId="23493" xr:uid="{00000000-0005-0000-0000-000053490000}"/>
    <cellStyle name="Percent 14 2 5 3 4" xfId="30993" xr:uid="{00000000-0005-0000-0000-000054490000}"/>
    <cellStyle name="Percent 14 2 5 3 5" xfId="16487" xr:uid="{00000000-0005-0000-0000-000055490000}"/>
    <cellStyle name="Percent 14 2 5 3_TOM TAT" xfId="11588" xr:uid="{00000000-0005-0000-0000-000056490000}"/>
    <cellStyle name="Percent 14 2 5 4" xfId="11589" xr:uid="{00000000-0005-0000-0000-000057490000}"/>
    <cellStyle name="Percent 14 2 5 4 2" xfId="11590" xr:uid="{00000000-0005-0000-0000-000058490000}"/>
    <cellStyle name="Percent 14 2 5 4 2 2" xfId="30998" xr:uid="{00000000-0005-0000-0000-000059490000}"/>
    <cellStyle name="Percent 14 2 5 4 2 3" xfId="16492" xr:uid="{00000000-0005-0000-0000-00005A490000}"/>
    <cellStyle name="Percent 14 2 5 4 2_TOM TAT" xfId="23494" xr:uid="{00000000-0005-0000-0000-00005B490000}"/>
    <cellStyle name="Percent 14 2 5 4 3" xfId="30997" xr:uid="{00000000-0005-0000-0000-00005C490000}"/>
    <cellStyle name="Percent 14 2 5 4 4" xfId="16491" xr:uid="{00000000-0005-0000-0000-00005D490000}"/>
    <cellStyle name="Percent 14 2 5 4_TOM TAT" xfId="11591" xr:uid="{00000000-0005-0000-0000-00005E490000}"/>
    <cellStyle name="Percent 14 2 5 5" xfId="11592" xr:uid="{00000000-0005-0000-0000-00005F490000}"/>
    <cellStyle name="Percent 14 2 5 5 2" xfId="30999" xr:uid="{00000000-0005-0000-0000-000060490000}"/>
    <cellStyle name="Percent 14 2 5 5 3" xfId="16493" xr:uid="{00000000-0005-0000-0000-000061490000}"/>
    <cellStyle name="Percent 14 2 5 5_TOM TAT" xfId="23495" xr:uid="{00000000-0005-0000-0000-000062490000}"/>
    <cellStyle name="Percent 14 2 5 6" xfId="30988" xr:uid="{00000000-0005-0000-0000-000063490000}"/>
    <cellStyle name="Percent 14 2 5 7" xfId="16482" xr:uid="{00000000-0005-0000-0000-000064490000}"/>
    <cellStyle name="Percent 14 2 5_TOM TAT" xfId="11593" xr:uid="{00000000-0005-0000-0000-000065490000}"/>
    <cellStyle name="Percent 14 2 6" xfId="11594" xr:uid="{00000000-0005-0000-0000-000066490000}"/>
    <cellStyle name="Percent 14 2 6 2" xfId="11595" xr:uid="{00000000-0005-0000-0000-000067490000}"/>
    <cellStyle name="Percent 14 2 6 2 2" xfId="11596" xr:uid="{00000000-0005-0000-0000-000068490000}"/>
    <cellStyle name="Percent 14 2 6 2 2 2" xfId="31002" xr:uid="{00000000-0005-0000-0000-000069490000}"/>
    <cellStyle name="Percent 14 2 6 2 2 3" xfId="16496" xr:uid="{00000000-0005-0000-0000-00006A490000}"/>
    <cellStyle name="Percent 14 2 6 2 2_TOM TAT" xfId="23496" xr:uid="{00000000-0005-0000-0000-00006B490000}"/>
    <cellStyle name="Percent 14 2 6 2 3" xfId="31001" xr:uid="{00000000-0005-0000-0000-00006C490000}"/>
    <cellStyle name="Percent 14 2 6 2 4" xfId="16495" xr:uid="{00000000-0005-0000-0000-00006D490000}"/>
    <cellStyle name="Percent 14 2 6 2_TOM TAT" xfId="11597" xr:uid="{00000000-0005-0000-0000-00006E490000}"/>
    <cellStyle name="Percent 14 2 6 3" xfId="11598" xr:uid="{00000000-0005-0000-0000-00006F490000}"/>
    <cellStyle name="Percent 14 2 6 3 2" xfId="31003" xr:uid="{00000000-0005-0000-0000-000070490000}"/>
    <cellStyle name="Percent 14 2 6 3 3" xfId="16497" xr:uid="{00000000-0005-0000-0000-000071490000}"/>
    <cellStyle name="Percent 14 2 6 3_TOM TAT" xfId="23497" xr:uid="{00000000-0005-0000-0000-000072490000}"/>
    <cellStyle name="Percent 14 2 6 4" xfId="31000" xr:uid="{00000000-0005-0000-0000-000073490000}"/>
    <cellStyle name="Percent 14 2 6 5" xfId="16494" xr:uid="{00000000-0005-0000-0000-000074490000}"/>
    <cellStyle name="Percent 14 2 6_TOM TAT" xfId="11599" xr:uid="{00000000-0005-0000-0000-000075490000}"/>
    <cellStyle name="Percent 14 2 7" xfId="11600" xr:uid="{00000000-0005-0000-0000-000076490000}"/>
    <cellStyle name="Percent 14 2 7 2" xfId="11601" xr:uid="{00000000-0005-0000-0000-000077490000}"/>
    <cellStyle name="Percent 14 2 7 2 2" xfId="11602" xr:uid="{00000000-0005-0000-0000-000078490000}"/>
    <cellStyle name="Percent 14 2 7 2 2 2" xfId="31006" xr:uid="{00000000-0005-0000-0000-000079490000}"/>
    <cellStyle name="Percent 14 2 7 2 2 3" xfId="16500" xr:uid="{00000000-0005-0000-0000-00007A490000}"/>
    <cellStyle name="Percent 14 2 7 2 2_TOM TAT" xfId="23498" xr:uid="{00000000-0005-0000-0000-00007B490000}"/>
    <cellStyle name="Percent 14 2 7 2 3" xfId="31005" xr:uid="{00000000-0005-0000-0000-00007C490000}"/>
    <cellStyle name="Percent 14 2 7 2 4" xfId="16499" xr:uid="{00000000-0005-0000-0000-00007D490000}"/>
    <cellStyle name="Percent 14 2 7 2_TOM TAT" xfId="11603" xr:uid="{00000000-0005-0000-0000-00007E490000}"/>
    <cellStyle name="Percent 14 2 7 3" xfId="11604" xr:uid="{00000000-0005-0000-0000-00007F490000}"/>
    <cellStyle name="Percent 14 2 7 3 2" xfId="31007" xr:uid="{00000000-0005-0000-0000-000080490000}"/>
    <cellStyle name="Percent 14 2 7 3 3" xfId="16501" xr:uid="{00000000-0005-0000-0000-000081490000}"/>
    <cellStyle name="Percent 14 2 7 3_TOM TAT" xfId="23499" xr:uid="{00000000-0005-0000-0000-000082490000}"/>
    <cellStyle name="Percent 14 2 7 4" xfId="31004" xr:uid="{00000000-0005-0000-0000-000083490000}"/>
    <cellStyle name="Percent 14 2 7 5" xfId="16498" xr:uid="{00000000-0005-0000-0000-000084490000}"/>
    <cellStyle name="Percent 14 2 7_TOM TAT" xfId="11605" xr:uid="{00000000-0005-0000-0000-000085490000}"/>
    <cellStyle name="Percent 14 2 8" xfId="11606" xr:uid="{00000000-0005-0000-0000-000086490000}"/>
    <cellStyle name="Percent 14 2 8 2" xfId="11607" xr:uid="{00000000-0005-0000-0000-000087490000}"/>
    <cellStyle name="Percent 14 2 8 2 2" xfId="31009" xr:uid="{00000000-0005-0000-0000-000088490000}"/>
    <cellStyle name="Percent 14 2 8 2 3" xfId="16503" xr:uid="{00000000-0005-0000-0000-000089490000}"/>
    <cellStyle name="Percent 14 2 8 2_TOM TAT" xfId="23500" xr:uid="{00000000-0005-0000-0000-00008A490000}"/>
    <cellStyle name="Percent 14 2 8 3" xfId="31008" xr:uid="{00000000-0005-0000-0000-00008B490000}"/>
    <cellStyle name="Percent 14 2 8 4" xfId="16502" xr:uid="{00000000-0005-0000-0000-00008C490000}"/>
    <cellStyle name="Percent 14 2 8_TOM TAT" xfId="11608" xr:uid="{00000000-0005-0000-0000-00008D490000}"/>
    <cellStyle name="Percent 14 2 9" xfId="11609" xr:uid="{00000000-0005-0000-0000-00008E490000}"/>
    <cellStyle name="Percent 14 2 9 2" xfId="31010" xr:uid="{00000000-0005-0000-0000-00008F490000}"/>
    <cellStyle name="Percent 14 2 9 3" xfId="16504" xr:uid="{00000000-0005-0000-0000-000090490000}"/>
    <cellStyle name="Percent 14 2 9_TOM TAT" xfId="23501" xr:uid="{00000000-0005-0000-0000-000091490000}"/>
    <cellStyle name="Percent 14 2_TOM TAT" xfId="11610" xr:uid="{00000000-0005-0000-0000-000092490000}"/>
    <cellStyle name="Percent 14 3" xfId="5629" xr:uid="{00000000-0005-0000-0000-000093490000}"/>
    <cellStyle name="Percent 14 3 10" xfId="14710" xr:uid="{00000000-0005-0000-0000-000094490000}"/>
    <cellStyle name="Percent 14 3 2" xfId="5630" xr:uid="{00000000-0005-0000-0000-000095490000}"/>
    <cellStyle name="Percent 14 3 2 2" xfId="11611" xr:uid="{00000000-0005-0000-0000-000096490000}"/>
    <cellStyle name="Percent 14 3 2 2 2" xfId="11612" xr:uid="{00000000-0005-0000-0000-000097490000}"/>
    <cellStyle name="Percent 14 3 2 2 2 2" xfId="11613" xr:uid="{00000000-0005-0000-0000-000098490000}"/>
    <cellStyle name="Percent 14 3 2 2 2 2 2" xfId="11614" xr:uid="{00000000-0005-0000-0000-000099490000}"/>
    <cellStyle name="Percent 14 3 2 2 2 2 2 2" xfId="31014" xr:uid="{00000000-0005-0000-0000-00009A490000}"/>
    <cellStyle name="Percent 14 3 2 2 2 2 2 3" xfId="16508" xr:uid="{00000000-0005-0000-0000-00009B490000}"/>
    <cellStyle name="Percent 14 3 2 2 2 2 2_TOM TAT" xfId="23502" xr:uid="{00000000-0005-0000-0000-00009C490000}"/>
    <cellStyle name="Percent 14 3 2 2 2 2 3" xfId="31013" xr:uid="{00000000-0005-0000-0000-00009D490000}"/>
    <cellStyle name="Percent 14 3 2 2 2 2 4" xfId="16507" xr:uid="{00000000-0005-0000-0000-00009E490000}"/>
    <cellStyle name="Percent 14 3 2 2 2 2_TOM TAT" xfId="11615" xr:uid="{00000000-0005-0000-0000-00009F490000}"/>
    <cellStyle name="Percent 14 3 2 2 2 3" xfId="11616" xr:uid="{00000000-0005-0000-0000-0000A0490000}"/>
    <cellStyle name="Percent 14 3 2 2 2 3 2" xfId="31015" xr:uid="{00000000-0005-0000-0000-0000A1490000}"/>
    <cellStyle name="Percent 14 3 2 2 2 3 3" xfId="16509" xr:uid="{00000000-0005-0000-0000-0000A2490000}"/>
    <cellStyle name="Percent 14 3 2 2 2 3_TOM TAT" xfId="23503" xr:uid="{00000000-0005-0000-0000-0000A3490000}"/>
    <cellStyle name="Percent 14 3 2 2 2 4" xfId="31012" xr:uid="{00000000-0005-0000-0000-0000A4490000}"/>
    <cellStyle name="Percent 14 3 2 2 2 5" xfId="16506" xr:uid="{00000000-0005-0000-0000-0000A5490000}"/>
    <cellStyle name="Percent 14 3 2 2 2_TOM TAT" xfId="11617" xr:uid="{00000000-0005-0000-0000-0000A6490000}"/>
    <cellStyle name="Percent 14 3 2 2 3" xfId="11618" xr:uid="{00000000-0005-0000-0000-0000A7490000}"/>
    <cellStyle name="Percent 14 3 2 2 3 2" xfId="11619" xr:uid="{00000000-0005-0000-0000-0000A8490000}"/>
    <cellStyle name="Percent 14 3 2 2 3 2 2" xfId="11620" xr:uid="{00000000-0005-0000-0000-0000A9490000}"/>
    <cellStyle name="Percent 14 3 2 2 3 2 2 2" xfId="31018" xr:uid="{00000000-0005-0000-0000-0000AA490000}"/>
    <cellStyle name="Percent 14 3 2 2 3 2 2 3" xfId="16512" xr:uid="{00000000-0005-0000-0000-0000AB490000}"/>
    <cellStyle name="Percent 14 3 2 2 3 2 2_TOM TAT" xfId="23504" xr:uid="{00000000-0005-0000-0000-0000AC490000}"/>
    <cellStyle name="Percent 14 3 2 2 3 2 3" xfId="31017" xr:uid="{00000000-0005-0000-0000-0000AD490000}"/>
    <cellStyle name="Percent 14 3 2 2 3 2 4" xfId="16511" xr:uid="{00000000-0005-0000-0000-0000AE490000}"/>
    <cellStyle name="Percent 14 3 2 2 3 2_TOM TAT" xfId="11621" xr:uid="{00000000-0005-0000-0000-0000AF490000}"/>
    <cellStyle name="Percent 14 3 2 2 3 3" xfId="11622" xr:uid="{00000000-0005-0000-0000-0000B0490000}"/>
    <cellStyle name="Percent 14 3 2 2 3 3 2" xfId="31019" xr:uid="{00000000-0005-0000-0000-0000B1490000}"/>
    <cellStyle name="Percent 14 3 2 2 3 3 3" xfId="16513" xr:uid="{00000000-0005-0000-0000-0000B2490000}"/>
    <cellStyle name="Percent 14 3 2 2 3 3_TOM TAT" xfId="23505" xr:uid="{00000000-0005-0000-0000-0000B3490000}"/>
    <cellStyle name="Percent 14 3 2 2 3 4" xfId="31016" xr:uid="{00000000-0005-0000-0000-0000B4490000}"/>
    <cellStyle name="Percent 14 3 2 2 3 5" xfId="16510" xr:uid="{00000000-0005-0000-0000-0000B5490000}"/>
    <cellStyle name="Percent 14 3 2 2 3_TOM TAT" xfId="11623" xr:uid="{00000000-0005-0000-0000-0000B6490000}"/>
    <cellStyle name="Percent 14 3 2 2 4" xfId="11624" xr:uid="{00000000-0005-0000-0000-0000B7490000}"/>
    <cellStyle name="Percent 14 3 2 2 4 2" xfId="11625" xr:uid="{00000000-0005-0000-0000-0000B8490000}"/>
    <cellStyle name="Percent 14 3 2 2 4 2 2" xfId="31021" xr:uid="{00000000-0005-0000-0000-0000B9490000}"/>
    <cellStyle name="Percent 14 3 2 2 4 2 3" xfId="16515" xr:uid="{00000000-0005-0000-0000-0000BA490000}"/>
    <cellStyle name="Percent 14 3 2 2 4 2_TOM TAT" xfId="23506" xr:uid="{00000000-0005-0000-0000-0000BB490000}"/>
    <cellStyle name="Percent 14 3 2 2 4 3" xfId="31020" xr:uid="{00000000-0005-0000-0000-0000BC490000}"/>
    <cellStyle name="Percent 14 3 2 2 4 4" xfId="16514" xr:uid="{00000000-0005-0000-0000-0000BD490000}"/>
    <cellStyle name="Percent 14 3 2 2 4_TOM TAT" xfId="11626" xr:uid="{00000000-0005-0000-0000-0000BE490000}"/>
    <cellStyle name="Percent 14 3 2 2 5" xfId="11627" xr:uid="{00000000-0005-0000-0000-0000BF490000}"/>
    <cellStyle name="Percent 14 3 2 2 5 2" xfId="31022" xr:uid="{00000000-0005-0000-0000-0000C0490000}"/>
    <cellStyle name="Percent 14 3 2 2 5 3" xfId="16516" xr:uid="{00000000-0005-0000-0000-0000C1490000}"/>
    <cellStyle name="Percent 14 3 2 2 5_TOM TAT" xfId="23507" xr:uid="{00000000-0005-0000-0000-0000C2490000}"/>
    <cellStyle name="Percent 14 3 2 2 6" xfId="31011" xr:uid="{00000000-0005-0000-0000-0000C3490000}"/>
    <cellStyle name="Percent 14 3 2 2 7" xfId="16505" xr:uid="{00000000-0005-0000-0000-0000C4490000}"/>
    <cellStyle name="Percent 14 3 2 2_TOM TAT" xfId="11628" xr:uid="{00000000-0005-0000-0000-0000C5490000}"/>
    <cellStyle name="Percent 14 3 2 3" xfId="11629" xr:uid="{00000000-0005-0000-0000-0000C6490000}"/>
    <cellStyle name="Percent 14 3 2 3 2" xfId="11630" xr:uid="{00000000-0005-0000-0000-0000C7490000}"/>
    <cellStyle name="Percent 14 3 2 3 2 2" xfId="11631" xr:uid="{00000000-0005-0000-0000-0000C8490000}"/>
    <cellStyle name="Percent 14 3 2 3 2 2 2" xfId="31025" xr:uid="{00000000-0005-0000-0000-0000C9490000}"/>
    <cellStyle name="Percent 14 3 2 3 2 2 3" xfId="16519" xr:uid="{00000000-0005-0000-0000-0000CA490000}"/>
    <cellStyle name="Percent 14 3 2 3 2 2_TOM TAT" xfId="23508" xr:uid="{00000000-0005-0000-0000-0000CB490000}"/>
    <cellStyle name="Percent 14 3 2 3 2 3" xfId="31024" xr:uid="{00000000-0005-0000-0000-0000CC490000}"/>
    <cellStyle name="Percent 14 3 2 3 2 4" xfId="16518" xr:uid="{00000000-0005-0000-0000-0000CD490000}"/>
    <cellStyle name="Percent 14 3 2 3 2_TOM TAT" xfId="11632" xr:uid="{00000000-0005-0000-0000-0000CE490000}"/>
    <cellStyle name="Percent 14 3 2 3 3" xfId="11633" xr:uid="{00000000-0005-0000-0000-0000CF490000}"/>
    <cellStyle name="Percent 14 3 2 3 3 2" xfId="31026" xr:uid="{00000000-0005-0000-0000-0000D0490000}"/>
    <cellStyle name="Percent 14 3 2 3 3 3" xfId="16520" xr:uid="{00000000-0005-0000-0000-0000D1490000}"/>
    <cellStyle name="Percent 14 3 2 3 3_TOM TAT" xfId="23509" xr:uid="{00000000-0005-0000-0000-0000D2490000}"/>
    <cellStyle name="Percent 14 3 2 3 4" xfId="31023" xr:uid="{00000000-0005-0000-0000-0000D3490000}"/>
    <cellStyle name="Percent 14 3 2 3 5" xfId="16517" xr:uid="{00000000-0005-0000-0000-0000D4490000}"/>
    <cellStyle name="Percent 14 3 2 3_TOM TAT" xfId="11634" xr:uid="{00000000-0005-0000-0000-0000D5490000}"/>
    <cellStyle name="Percent 14 3 2 4" xfId="11635" xr:uid="{00000000-0005-0000-0000-0000D6490000}"/>
    <cellStyle name="Percent 14 3 2 4 2" xfId="11636" xr:uid="{00000000-0005-0000-0000-0000D7490000}"/>
    <cellStyle name="Percent 14 3 2 4 2 2" xfId="11637" xr:uid="{00000000-0005-0000-0000-0000D8490000}"/>
    <cellStyle name="Percent 14 3 2 4 2 2 2" xfId="31029" xr:uid="{00000000-0005-0000-0000-0000D9490000}"/>
    <cellStyle name="Percent 14 3 2 4 2 2 3" xfId="16523" xr:uid="{00000000-0005-0000-0000-0000DA490000}"/>
    <cellStyle name="Percent 14 3 2 4 2 2_TOM TAT" xfId="23510" xr:uid="{00000000-0005-0000-0000-0000DB490000}"/>
    <cellStyle name="Percent 14 3 2 4 2 3" xfId="31028" xr:uid="{00000000-0005-0000-0000-0000DC490000}"/>
    <cellStyle name="Percent 14 3 2 4 2 4" xfId="16522" xr:uid="{00000000-0005-0000-0000-0000DD490000}"/>
    <cellStyle name="Percent 14 3 2 4 2_TOM TAT" xfId="11638" xr:uid="{00000000-0005-0000-0000-0000DE490000}"/>
    <cellStyle name="Percent 14 3 2 4 3" xfId="11639" xr:uid="{00000000-0005-0000-0000-0000DF490000}"/>
    <cellStyle name="Percent 14 3 2 4 3 2" xfId="31030" xr:uid="{00000000-0005-0000-0000-0000E0490000}"/>
    <cellStyle name="Percent 14 3 2 4 3 3" xfId="16524" xr:uid="{00000000-0005-0000-0000-0000E1490000}"/>
    <cellStyle name="Percent 14 3 2 4 3_TOM TAT" xfId="23511" xr:uid="{00000000-0005-0000-0000-0000E2490000}"/>
    <cellStyle name="Percent 14 3 2 4 4" xfId="31027" xr:uid="{00000000-0005-0000-0000-0000E3490000}"/>
    <cellStyle name="Percent 14 3 2 4 5" xfId="16521" xr:uid="{00000000-0005-0000-0000-0000E4490000}"/>
    <cellStyle name="Percent 14 3 2 4_TOM TAT" xfId="11640" xr:uid="{00000000-0005-0000-0000-0000E5490000}"/>
    <cellStyle name="Percent 14 3 2 5" xfId="11641" xr:uid="{00000000-0005-0000-0000-0000E6490000}"/>
    <cellStyle name="Percent 14 3 2 5 2" xfId="11642" xr:uid="{00000000-0005-0000-0000-0000E7490000}"/>
    <cellStyle name="Percent 14 3 2 5 2 2" xfId="31032" xr:uid="{00000000-0005-0000-0000-0000E8490000}"/>
    <cellStyle name="Percent 14 3 2 5 2 3" xfId="16526" xr:uid="{00000000-0005-0000-0000-0000E9490000}"/>
    <cellStyle name="Percent 14 3 2 5 2_TOM TAT" xfId="23512" xr:uid="{00000000-0005-0000-0000-0000EA490000}"/>
    <cellStyle name="Percent 14 3 2 5 3" xfId="31031" xr:uid="{00000000-0005-0000-0000-0000EB490000}"/>
    <cellStyle name="Percent 14 3 2 5 4" xfId="16525" xr:uid="{00000000-0005-0000-0000-0000EC490000}"/>
    <cellStyle name="Percent 14 3 2 5_TOM TAT" xfId="11643" xr:uid="{00000000-0005-0000-0000-0000ED490000}"/>
    <cellStyle name="Percent 14 3 2 6" xfId="11644" xr:uid="{00000000-0005-0000-0000-0000EE490000}"/>
    <cellStyle name="Percent 14 3 2 6 2" xfId="31033" xr:uid="{00000000-0005-0000-0000-0000EF490000}"/>
    <cellStyle name="Percent 14 3 2 6 3" xfId="16527" xr:uid="{00000000-0005-0000-0000-0000F0490000}"/>
    <cellStyle name="Percent 14 3 2 6_TOM TAT" xfId="23513" xr:uid="{00000000-0005-0000-0000-0000F1490000}"/>
    <cellStyle name="Percent 14 3 2 7" xfId="28290" xr:uid="{00000000-0005-0000-0000-0000F2490000}"/>
    <cellStyle name="Percent 14 3 2 8" xfId="14711" xr:uid="{00000000-0005-0000-0000-0000F3490000}"/>
    <cellStyle name="Percent 14 3 2_TOM TAT" xfId="11645" xr:uid="{00000000-0005-0000-0000-0000F4490000}"/>
    <cellStyle name="Percent 14 3 3" xfId="11646" xr:uid="{00000000-0005-0000-0000-0000F5490000}"/>
    <cellStyle name="Percent 14 3 3 2" xfId="11647" xr:uid="{00000000-0005-0000-0000-0000F6490000}"/>
    <cellStyle name="Percent 14 3 3 2 2" xfId="11648" xr:uid="{00000000-0005-0000-0000-0000F7490000}"/>
    <cellStyle name="Percent 14 3 3 2 2 2" xfId="11649" xr:uid="{00000000-0005-0000-0000-0000F8490000}"/>
    <cellStyle name="Percent 14 3 3 2 2 2 2" xfId="31037" xr:uid="{00000000-0005-0000-0000-0000F9490000}"/>
    <cellStyle name="Percent 14 3 3 2 2 2 3" xfId="16531" xr:uid="{00000000-0005-0000-0000-0000FA490000}"/>
    <cellStyle name="Percent 14 3 3 2 2 2_TOM TAT" xfId="23514" xr:uid="{00000000-0005-0000-0000-0000FB490000}"/>
    <cellStyle name="Percent 14 3 3 2 2 3" xfId="31036" xr:uid="{00000000-0005-0000-0000-0000FC490000}"/>
    <cellStyle name="Percent 14 3 3 2 2 4" xfId="16530" xr:uid="{00000000-0005-0000-0000-0000FD490000}"/>
    <cellStyle name="Percent 14 3 3 2 2_TOM TAT" xfId="11650" xr:uid="{00000000-0005-0000-0000-0000FE490000}"/>
    <cellStyle name="Percent 14 3 3 2 3" xfId="11651" xr:uid="{00000000-0005-0000-0000-0000FF490000}"/>
    <cellStyle name="Percent 14 3 3 2 3 2" xfId="31038" xr:uid="{00000000-0005-0000-0000-0000004A0000}"/>
    <cellStyle name="Percent 14 3 3 2 3 3" xfId="16532" xr:uid="{00000000-0005-0000-0000-0000014A0000}"/>
    <cellStyle name="Percent 14 3 3 2 3_TOM TAT" xfId="23515" xr:uid="{00000000-0005-0000-0000-0000024A0000}"/>
    <cellStyle name="Percent 14 3 3 2 4" xfId="31035" xr:uid="{00000000-0005-0000-0000-0000034A0000}"/>
    <cellStyle name="Percent 14 3 3 2 5" xfId="16529" xr:uid="{00000000-0005-0000-0000-0000044A0000}"/>
    <cellStyle name="Percent 14 3 3 2_TOM TAT" xfId="11652" xr:uid="{00000000-0005-0000-0000-0000054A0000}"/>
    <cellStyle name="Percent 14 3 3 3" xfId="11653" xr:uid="{00000000-0005-0000-0000-0000064A0000}"/>
    <cellStyle name="Percent 14 3 3 3 2" xfId="11654" xr:uid="{00000000-0005-0000-0000-0000074A0000}"/>
    <cellStyle name="Percent 14 3 3 3 2 2" xfId="11655" xr:uid="{00000000-0005-0000-0000-0000084A0000}"/>
    <cellStyle name="Percent 14 3 3 3 2 2 2" xfId="31041" xr:uid="{00000000-0005-0000-0000-0000094A0000}"/>
    <cellStyle name="Percent 14 3 3 3 2 2 3" xfId="16535" xr:uid="{00000000-0005-0000-0000-00000A4A0000}"/>
    <cellStyle name="Percent 14 3 3 3 2 2_TOM TAT" xfId="23516" xr:uid="{00000000-0005-0000-0000-00000B4A0000}"/>
    <cellStyle name="Percent 14 3 3 3 2 3" xfId="31040" xr:uid="{00000000-0005-0000-0000-00000C4A0000}"/>
    <cellStyle name="Percent 14 3 3 3 2 4" xfId="16534" xr:uid="{00000000-0005-0000-0000-00000D4A0000}"/>
    <cellStyle name="Percent 14 3 3 3 2_TOM TAT" xfId="11656" xr:uid="{00000000-0005-0000-0000-00000E4A0000}"/>
    <cellStyle name="Percent 14 3 3 3 3" xfId="11657" xr:uid="{00000000-0005-0000-0000-00000F4A0000}"/>
    <cellStyle name="Percent 14 3 3 3 3 2" xfId="31042" xr:uid="{00000000-0005-0000-0000-0000104A0000}"/>
    <cellStyle name="Percent 14 3 3 3 3 3" xfId="16536" xr:uid="{00000000-0005-0000-0000-0000114A0000}"/>
    <cellStyle name="Percent 14 3 3 3 3_TOM TAT" xfId="23517" xr:uid="{00000000-0005-0000-0000-0000124A0000}"/>
    <cellStyle name="Percent 14 3 3 3 4" xfId="31039" xr:uid="{00000000-0005-0000-0000-0000134A0000}"/>
    <cellStyle name="Percent 14 3 3 3 5" xfId="16533" xr:uid="{00000000-0005-0000-0000-0000144A0000}"/>
    <cellStyle name="Percent 14 3 3 3_TOM TAT" xfId="11658" xr:uid="{00000000-0005-0000-0000-0000154A0000}"/>
    <cellStyle name="Percent 14 3 3 4" xfId="11659" xr:uid="{00000000-0005-0000-0000-0000164A0000}"/>
    <cellStyle name="Percent 14 3 3 4 2" xfId="11660" xr:uid="{00000000-0005-0000-0000-0000174A0000}"/>
    <cellStyle name="Percent 14 3 3 4 2 2" xfId="31044" xr:uid="{00000000-0005-0000-0000-0000184A0000}"/>
    <cellStyle name="Percent 14 3 3 4 2 3" xfId="16538" xr:uid="{00000000-0005-0000-0000-0000194A0000}"/>
    <cellStyle name="Percent 14 3 3 4 2_TOM TAT" xfId="23518" xr:uid="{00000000-0005-0000-0000-00001A4A0000}"/>
    <cellStyle name="Percent 14 3 3 4 3" xfId="31043" xr:uid="{00000000-0005-0000-0000-00001B4A0000}"/>
    <cellStyle name="Percent 14 3 3 4 4" xfId="16537" xr:uid="{00000000-0005-0000-0000-00001C4A0000}"/>
    <cellStyle name="Percent 14 3 3 4_TOM TAT" xfId="11661" xr:uid="{00000000-0005-0000-0000-00001D4A0000}"/>
    <cellStyle name="Percent 14 3 3 5" xfId="11662" xr:uid="{00000000-0005-0000-0000-00001E4A0000}"/>
    <cellStyle name="Percent 14 3 3 5 2" xfId="31045" xr:uid="{00000000-0005-0000-0000-00001F4A0000}"/>
    <cellStyle name="Percent 14 3 3 5 3" xfId="16539" xr:uid="{00000000-0005-0000-0000-0000204A0000}"/>
    <cellStyle name="Percent 14 3 3 5_TOM TAT" xfId="23519" xr:uid="{00000000-0005-0000-0000-0000214A0000}"/>
    <cellStyle name="Percent 14 3 3 6" xfId="31034" xr:uid="{00000000-0005-0000-0000-0000224A0000}"/>
    <cellStyle name="Percent 14 3 3 7" xfId="16528" xr:uid="{00000000-0005-0000-0000-0000234A0000}"/>
    <cellStyle name="Percent 14 3 3_TOM TAT" xfId="11663" xr:uid="{00000000-0005-0000-0000-0000244A0000}"/>
    <cellStyle name="Percent 14 3 4" xfId="11664" xr:uid="{00000000-0005-0000-0000-0000254A0000}"/>
    <cellStyle name="Percent 14 3 4 2" xfId="11665" xr:uid="{00000000-0005-0000-0000-0000264A0000}"/>
    <cellStyle name="Percent 14 3 4 2 2" xfId="11666" xr:uid="{00000000-0005-0000-0000-0000274A0000}"/>
    <cellStyle name="Percent 14 3 4 2 2 2" xfId="11667" xr:uid="{00000000-0005-0000-0000-0000284A0000}"/>
    <cellStyle name="Percent 14 3 4 2 2 2 2" xfId="31049" xr:uid="{00000000-0005-0000-0000-0000294A0000}"/>
    <cellStyle name="Percent 14 3 4 2 2 2 3" xfId="16543" xr:uid="{00000000-0005-0000-0000-00002A4A0000}"/>
    <cellStyle name="Percent 14 3 4 2 2 2_TOM TAT" xfId="23520" xr:uid="{00000000-0005-0000-0000-00002B4A0000}"/>
    <cellStyle name="Percent 14 3 4 2 2 3" xfId="31048" xr:uid="{00000000-0005-0000-0000-00002C4A0000}"/>
    <cellStyle name="Percent 14 3 4 2 2 4" xfId="16542" xr:uid="{00000000-0005-0000-0000-00002D4A0000}"/>
    <cellStyle name="Percent 14 3 4 2 2_TOM TAT" xfId="11668" xr:uid="{00000000-0005-0000-0000-00002E4A0000}"/>
    <cellStyle name="Percent 14 3 4 2 3" xfId="11669" xr:uid="{00000000-0005-0000-0000-00002F4A0000}"/>
    <cellStyle name="Percent 14 3 4 2 3 2" xfId="31050" xr:uid="{00000000-0005-0000-0000-0000304A0000}"/>
    <cellStyle name="Percent 14 3 4 2 3 3" xfId="16544" xr:uid="{00000000-0005-0000-0000-0000314A0000}"/>
    <cellStyle name="Percent 14 3 4 2 3_TOM TAT" xfId="23521" xr:uid="{00000000-0005-0000-0000-0000324A0000}"/>
    <cellStyle name="Percent 14 3 4 2 4" xfId="31047" xr:uid="{00000000-0005-0000-0000-0000334A0000}"/>
    <cellStyle name="Percent 14 3 4 2 5" xfId="16541" xr:uid="{00000000-0005-0000-0000-0000344A0000}"/>
    <cellStyle name="Percent 14 3 4 2_TOM TAT" xfId="11670" xr:uid="{00000000-0005-0000-0000-0000354A0000}"/>
    <cellStyle name="Percent 14 3 4 3" xfId="11671" xr:uid="{00000000-0005-0000-0000-0000364A0000}"/>
    <cellStyle name="Percent 14 3 4 3 2" xfId="11672" xr:uid="{00000000-0005-0000-0000-0000374A0000}"/>
    <cellStyle name="Percent 14 3 4 3 2 2" xfId="11673" xr:uid="{00000000-0005-0000-0000-0000384A0000}"/>
    <cellStyle name="Percent 14 3 4 3 2 2 2" xfId="31053" xr:uid="{00000000-0005-0000-0000-0000394A0000}"/>
    <cellStyle name="Percent 14 3 4 3 2 2 3" xfId="16547" xr:uid="{00000000-0005-0000-0000-00003A4A0000}"/>
    <cellStyle name="Percent 14 3 4 3 2 2_TOM TAT" xfId="23522" xr:uid="{00000000-0005-0000-0000-00003B4A0000}"/>
    <cellStyle name="Percent 14 3 4 3 2 3" xfId="31052" xr:uid="{00000000-0005-0000-0000-00003C4A0000}"/>
    <cellStyle name="Percent 14 3 4 3 2 4" xfId="16546" xr:uid="{00000000-0005-0000-0000-00003D4A0000}"/>
    <cellStyle name="Percent 14 3 4 3 2_TOM TAT" xfId="11674" xr:uid="{00000000-0005-0000-0000-00003E4A0000}"/>
    <cellStyle name="Percent 14 3 4 3 3" xfId="11675" xr:uid="{00000000-0005-0000-0000-00003F4A0000}"/>
    <cellStyle name="Percent 14 3 4 3 3 2" xfId="31054" xr:uid="{00000000-0005-0000-0000-0000404A0000}"/>
    <cellStyle name="Percent 14 3 4 3 3 3" xfId="16548" xr:uid="{00000000-0005-0000-0000-0000414A0000}"/>
    <cellStyle name="Percent 14 3 4 3 3_TOM TAT" xfId="23523" xr:uid="{00000000-0005-0000-0000-0000424A0000}"/>
    <cellStyle name="Percent 14 3 4 3 4" xfId="31051" xr:uid="{00000000-0005-0000-0000-0000434A0000}"/>
    <cellStyle name="Percent 14 3 4 3 5" xfId="16545" xr:uid="{00000000-0005-0000-0000-0000444A0000}"/>
    <cellStyle name="Percent 14 3 4 3_TOM TAT" xfId="11676" xr:uid="{00000000-0005-0000-0000-0000454A0000}"/>
    <cellStyle name="Percent 14 3 4 4" xfId="11677" xr:uid="{00000000-0005-0000-0000-0000464A0000}"/>
    <cellStyle name="Percent 14 3 4 4 2" xfId="11678" xr:uid="{00000000-0005-0000-0000-0000474A0000}"/>
    <cellStyle name="Percent 14 3 4 4 2 2" xfId="31056" xr:uid="{00000000-0005-0000-0000-0000484A0000}"/>
    <cellStyle name="Percent 14 3 4 4 2 3" xfId="16550" xr:uid="{00000000-0005-0000-0000-0000494A0000}"/>
    <cellStyle name="Percent 14 3 4 4 2_TOM TAT" xfId="23524" xr:uid="{00000000-0005-0000-0000-00004A4A0000}"/>
    <cellStyle name="Percent 14 3 4 4 3" xfId="31055" xr:uid="{00000000-0005-0000-0000-00004B4A0000}"/>
    <cellStyle name="Percent 14 3 4 4 4" xfId="16549" xr:uid="{00000000-0005-0000-0000-00004C4A0000}"/>
    <cellStyle name="Percent 14 3 4 4_TOM TAT" xfId="11679" xr:uid="{00000000-0005-0000-0000-00004D4A0000}"/>
    <cellStyle name="Percent 14 3 4 5" xfId="11680" xr:uid="{00000000-0005-0000-0000-00004E4A0000}"/>
    <cellStyle name="Percent 14 3 4 5 2" xfId="31057" xr:uid="{00000000-0005-0000-0000-00004F4A0000}"/>
    <cellStyle name="Percent 14 3 4 5 3" xfId="16551" xr:uid="{00000000-0005-0000-0000-0000504A0000}"/>
    <cellStyle name="Percent 14 3 4 5_TOM TAT" xfId="23525" xr:uid="{00000000-0005-0000-0000-0000514A0000}"/>
    <cellStyle name="Percent 14 3 4 6" xfId="31046" xr:uid="{00000000-0005-0000-0000-0000524A0000}"/>
    <cellStyle name="Percent 14 3 4 7" xfId="16540" xr:uid="{00000000-0005-0000-0000-0000534A0000}"/>
    <cellStyle name="Percent 14 3 4_TOM TAT" xfId="11681" xr:uid="{00000000-0005-0000-0000-0000544A0000}"/>
    <cellStyle name="Percent 14 3 5" xfId="11682" xr:uid="{00000000-0005-0000-0000-0000554A0000}"/>
    <cellStyle name="Percent 14 3 5 2" xfId="11683" xr:uid="{00000000-0005-0000-0000-0000564A0000}"/>
    <cellStyle name="Percent 14 3 5 2 2" xfId="11684" xr:uid="{00000000-0005-0000-0000-0000574A0000}"/>
    <cellStyle name="Percent 14 3 5 2 2 2" xfId="31060" xr:uid="{00000000-0005-0000-0000-0000584A0000}"/>
    <cellStyle name="Percent 14 3 5 2 2 3" xfId="16554" xr:uid="{00000000-0005-0000-0000-0000594A0000}"/>
    <cellStyle name="Percent 14 3 5 2 2_TOM TAT" xfId="23526" xr:uid="{00000000-0005-0000-0000-00005A4A0000}"/>
    <cellStyle name="Percent 14 3 5 2 3" xfId="31059" xr:uid="{00000000-0005-0000-0000-00005B4A0000}"/>
    <cellStyle name="Percent 14 3 5 2 4" xfId="16553" xr:uid="{00000000-0005-0000-0000-00005C4A0000}"/>
    <cellStyle name="Percent 14 3 5 2_TOM TAT" xfId="11685" xr:uid="{00000000-0005-0000-0000-00005D4A0000}"/>
    <cellStyle name="Percent 14 3 5 3" xfId="11686" xr:uid="{00000000-0005-0000-0000-00005E4A0000}"/>
    <cellStyle name="Percent 14 3 5 3 2" xfId="31061" xr:uid="{00000000-0005-0000-0000-00005F4A0000}"/>
    <cellStyle name="Percent 14 3 5 3 3" xfId="16555" xr:uid="{00000000-0005-0000-0000-0000604A0000}"/>
    <cellStyle name="Percent 14 3 5 3_TOM TAT" xfId="23527" xr:uid="{00000000-0005-0000-0000-0000614A0000}"/>
    <cellStyle name="Percent 14 3 5 4" xfId="31058" xr:uid="{00000000-0005-0000-0000-0000624A0000}"/>
    <cellStyle name="Percent 14 3 5 5" xfId="16552" xr:uid="{00000000-0005-0000-0000-0000634A0000}"/>
    <cellStyle name="Percent 14 3 5_TOM TAT" xfId="11687" xr:uid="{00000000-0005-0000-0000-0000644A0000}"/>
    <cellStyle name="Percent 14 3 6" xfId="11688" xr:uid="{00000000-0005-0000-0000-0000654A0000}"/>
    <cellStyle name="Percent 14 3 6 2" xfId="11689" xr:uid="{00000000-0005-0000-0000-0000664A0000}"/>
    <cellStyle name="Percent 14 3 6 2 2" xfId="11690" xr:uid="{00000000-0005-0000-0000-0000674A0000}"/>
    <cellStyle name="Percent 14 3 6 2 2 2" xfId="31064" xr:uid="{00000000-0005-0000-0000-0000684A0000}"/>
    <cellStyle name="Percent 14 3 6 2 2 3" xfId="16558" xr:uid="{00000000-0005-0000-0000-0000694A0000}"/>
    <cellStyle name="Percent 14 3 6 2 2_TOM TAT" xfId="23528" xr:uid="{00000000-0005-0000-0000-00006A4A0000}"/>
    <cellStyle name="Percent 14 3 6 2 3" xfId="31063" xr:uid="{00000000-0005-0000-0000-00006B4A0000}"/>
    <cellStyle name="Percent 14 3 6 2 4" xfId="16557" xr:uid="{00000000-0005-0000-0000-00006C4A0000}"/>
    <cellStyle name="Percent 14 3 6 2_TOM TAT" xfId="11691" xr:uid="{00000000-0005-0000-0000-00006D4A0000}"/>
    <cellStyle name="Percent 14 3 6 3" xfId="11692" xr:uid="{00000000-0005-0000-0000-00006E4A0000}"/>
    <cellStyle name="Percent 14 3 6 3 2" xfId="31065" xr:uid="{00000000-0005-0000-0000-00006F4A0000}"/>
    <cellStyle name="Percent 14 3 6 3 3" xfId="16559" xr:uid="{00000000-0005-0000-0000-0000704A0000}"/>
    <cellStyle name="Percent 14 3 6 3_TOM TAT" xfId="23529" xr:uid="{00000000-0005-0000-0000-0000714A0000}"/>
    <cellStyle name="Percent 14 3 6 4" xfId="31062" xr:uid="{00000000-0005-0000-0000-0000724A0000}"/>
    <cellStyle name="Percent 14 3 6 5" xfId="16556" xr:uid="{00000000-0005-0000-0000-0000734A0000}"/>
    <cellStyle name="Percent 14 3 6_TOM TAT" xfId="11693" xr:uid="{00000000-0005-0000-0000-0000744A0000}"/>
    <cellStyle name="Percent 14 3 7" xfId="11694" xr:uid="{00000000-0005-0000-0000-0000754A0000}"/>
    <cellStyle name="Percent 14 3 7 2" xfId="11695" xr:uid="{00000000-0005-0000-0000-0000764A0000}"/>
    <cellStyle name="Percent 14 3 7 2 2" xfId="31067" xr:uid="{00000000-0005-0000-0000-0000774A0000}"/>
    <cellStyle name="Percent 14 3 7 2 3" xfId="16561" xr:uid="{00000000-0005-0000-0000-0000784A0000}"/>
    <cellStyle name="Percent 14 3 7 2_TOM TAT" xfId="23530" xr:uid="{00000000-0005-0000-0000-0000794A0000}"/>
    <cellStyle name="Percent 14 3 7 3" xfId="31066" xr:uid="{00000000-0005-0000-0000-00007A4A0000}"/>
    <cellStyle name="Percent 14 3 7 4" xfId="16560" xr:uid="{00000000-0005-0000-0000-00007B4A0000}"/>
    <cellStyle name="Percent 14 3 7_TOM TAT" xfId="11696" xr:uid="{00000000-0005-0000-0000-00007C4A0000}"/>
    <cellStyle name="Percent 14 3 8" xfId="11697" xr:uid="{00000000-0005-0000-0000-00007D4A0000}"/>
    <cellStyle name="Percent 14 3 8 2" xfId="31068" xr:uid="{00000000-0005-0000-0000-00007E4A0000}"/>
    <cellStyle name="Percent 14 3 8 3" xfId="16562" xr:uid="{00000000-0005-0000-0000-00007F4A0000}"/>
    <cellStyle name="Percent 14 3 8_TOM TAT" xfId="23531" xr:uid="{00000000-0005-0000-0000-0000804A0000}"/>
    <cellStyle name="Percent 14 3 9" xfId="28289" xr:uid="{00000000-0005-0000-0000-0000814A0000}"/>
    <cellStyle name="Percent 14 3_TOM TAT" xfId="11698" xr:uid="{00000000-0005-0000-0000-0000824A0000}"/>
    <cellStyle name="Percent 14 4" xfId="5631" xr:uid="{00000000-0005-0000-0000-0000834A0000}"/>
    <cellStyle name="Percent 14 4 2" xfId="11699" xr:uid="{00000000-0005-0000-0000-0000844A0000}"/>
    <cellStyle name="Percent 14 4 2 2" xfId="11700" xr:uid="{00000000-0005-0000-0000-0000854A0000}"/>
    <cellStyle name="Percent 14 4 2 2 2" xfId="11701" xr:uid="{00000000-0005-0000-0000-0000864A0000}"/>
    <cellStyle name="Percent 14 4 2 2 2 2" xfId="11702" xr:uid="{00000000-0005-0000-0000-0000874A0000}"/>
    <cellStyle name="Percent 14 4 2 2 2 2 2" xfId="31072" xr:uid="{00000000-0005-0000-0000-0000884A0000}"/>
    <cellStyle name="Percent 14 4 2 2 2 2 3" xfId="16566" xr:uid="{00000000-0005-0000-0000-0000894A0000}"/>
    <cellStyle name="Percent 14 4 2 2 2 2_TOM TAT" xfId="23532" xr:uid="{00000000-0005-0000-0000-00008A4A0000}"/>
    <cellStyle name="Percent 14 4 2 2 2 3" xfId="31071" xr:uid="{00000000-0005-0000-0000-00008B4A0000}"/>
    <cellStyle name="Percent 14 4 2 2 2 4" xfId="16565" xr:uid="{00000000-0005-0000-0000-00008C4A0000}"/>
    <cellStyle name="Percent 14 4 2 2 2_TOM TAT" xfId="11703" xr:uid="{00000000-0005-0000-0000-00008D4A0000}"/>
    <cellStyle name="Percent 14 4 2 2 3" xfId="11704" xr:uid="{00000000-0005-0000-0000-00008E4A0000}"/>
    <cellStyle name="Percent 14 4 2 2 3 2" xfId="31073" xr:uid="{00000000-0005-0000-0000-00008F4A0000}"/>
    <cellStyle name="Percent 14 4 2 2 3 3" xfId="16567" xr:uid="{00000000-0005-0000-0000-0000904A0000}"/>
    <cellStyle name="Percent 14 4 2 2 3_TOM TAT" xfId="23533" xr:uid="{00000000-0005-0000-0000-0000914A0000}"/>
    <cellStyle name="Percent 14 4 2 2 4" xfId="31070" xr:uid="{00000000-0005-0000-0000-0000924A0000}"/>
    <cellStyle name="Percent 14 4 2 2 5" xfId="16564" xr:uid="{00000000-0005-0000-0000-0000934A0000}"/>
    <cellStyle name="Percent 14 4 2 2_TOM TAT" xfId="11705" xr:uid="{00000000-0005-0000-0000-0000944A0000}"/>
    <cellStyle name="Percent 14 4 2 3" xfId="11706" xr:uid="{00000000-0005-0000-0000-0000954A0000}"/>
    <cellStyle name="Percent 14 4 2 3 2" xfId="11707" xr:uid="{00000000-0005-0000-0000-0000964A0000}"/>
    <cellStyle name="Percent 14 4 2 3 2 2" xfId="11708" xr:uid="{00000000-0005-0000-0000-0000974A0000}"/>
    <cellStyle name="Percent 14 4 2 3 2 2 2" xfId="31076" xr:uid="{00000000-0005-0000-0000-0000984A0000}"/>
    <cellStyle name="Percent 14 4 2 3 2 2 3" xfId="16570" xr:uid="{00000000-0005-0000-0000-0000994A0000}"/>
    <cellStyle name="Percent 14 4 2 3 2 2_TOM TAT" xfId="23534" xr:uid="{00000000-0005-0000-0000-00009A4A0000}"/>
    <cellStyle name="Percent 14 4 2 3 2 3" xfId="31075" xr:uid="{00000000-0005-0000-0000-00009B4A0000}"/>
    <cellStyle name="Percent 14 4 2 3 2 4" xfId="16569" xr:uid="{00000000-0005-0000-0000-00009C4A0000}"/>
    <cellStyle name="Percent 14 4 2 3 2_TOM TAT" xfId="11709" xr:uid="{00000000-0005-0000-0000-00009D4A0000}"/>
    <cellStyle name="Percent 14 4 2 3 3" xfId="11710" xr:uid="{00000000-0005-0000-0000-00009E4A0000}"/>
    <cellStyle name="Percent 14 4 2 3 3 2" xfId="31077" xr:uid="{00000000-0005-0000-0000-00009F4A0000}"/>
    <cellStyle name="Percent 14 4 2 3 3 3" xfId="16571" xr:uid="{00000000-0005-0000-0000-0000A04A0000}"/>
    <cellStyle name="Percent 14 4 2 3 3_TOM TAT" xfId="23535" xr:uid="{00000000-0005-0000-0000-0000A14A0000}"/>
    <cellStyle name="Percent 14 4 2 3 4" xfId="31074" xr:uid="{00000000-0005-0000-0000-0000A24A0000}"/>
    <cellStyle name="Percent 14 4 2 3 5" xfId="16568" xr:uid="{00000000-0005-0000-0000-0000A34A0000}"/>
    <cellStyle name="Percent 14 4 2 3_TOM TAT" xfId="11711" xr:uid="{00000000-0005-0000-0000-0000A44A0000}"/>
    <cellStyle name="Percent 14 4 2 4" xfId="11712" xr:uid="{00000000-0005-0000-0000-0000A54A0000}"/>
    <cellStyle name="Percent 14 4 2 4 2" xfId="11713" xr:uid="{00000000-0005-0000-0000-0000A64A0000}"/>
    <cellStyle name="Percent 14 4 2 4 2 2" xfId="31079" xr:uid="{00000000-0005-0000-0000-0000A74A0000}"/>
    <cellStyle name="Percent 14 4 2 4 2 3" xfId="16573" xr:uid="{00000000-0005-0000-0000-0000A84A0000}"/>
    <cellStyle name="Percent 14 4 2 4 2_TOM TAT" xfId="23536" xr:uid="{00000000-0005-0000-0000-0000A94A0000}"/>
    <cellStyle name="Percent 14 4 2 4 3" xfId="31078" xr:uid="{00000000-0005-0000-0000-0000AA4A0000}"/>
    <cellStyle name="Percent 14 4 2 4 4" xfId="16572" xr:uid="{00000000-0005-0000-0000-0000AB4A0000}"/>
    <cellStyle name="Percent 14 4 2 4_TOM TAT" xfId="11714" xr:uid="{00000000-0005-0000-0000-0000AC4A0000}"/>
    <cellStyle name="Percent 14 4 2 5" xfId="11715" xr:uid="{00000000-0005-0000-0000-0000AD4A0000}"/>
    <cellStyle name="Percent 14 4 2 5 2" xfId="31080" xr:uid="{00000000-0005-0000-0000-0000AE4A0000}"/>
    <cellStyle name="Percent 14 4 2 5 3" xfId="16574" xr:uid="{00000000-0005-0000-0000-0000AF4A0000}"/>
    <cellStyle name="Percent 14 4 2 5_TOM TAT" xfId="23537" xr:uid="{00000000-0005-0000-0000-0000B04A0000}"/>
    <cellStyle name="Percent 14 4 2 6" xfId="31069" xr:uid="{00000000-0005-0000-0000-0000B14A0000}"/>
    <cellStyle name="Percent 14 4 2 7" xfId="16563" xr:uid="{00000000-0005-0000-0000-0000B24A0000}"/>
    <cellStyle name="Percent 14 4 2_TOM TAT" xfId="11716" xr:uid="{00000000-0005-0000-0000-0000B34A0000}"/>
    <cellStyle name="Percent 14 4 3" xfId="11717" xr:uid="{00000000-0005-0000-0000-0000B44A0000}"/>
    <cellStyle name="Percent 14 4 3 2" xfId="11718" xr:uid="{00000000-0005-0000-0000-0000B54A0000}"/>
    <cellStyle name="Percent 14 4 3 2 2" xfId="11719" xr:uid="{00000000-0005-0000-0000-0000B64A0000}"/>
    <cellStyle name="Percent 14 4 3 2 2 2" xfId="31083" xr:uid="{00000000-0005-0000-0000-0000B74A0000}"/>
    <cellStyle name="Percent 14 4 3 2 2 3" xfId="16577" xr:uid="{00000000-0005-0000-0000-0000B84A0000}"/>
    <cellStyle name="Percent 14 4 3 2 2_TOM TAT" xfId="23538" xr:uid="{00000000-0005-0000-0000-0000B94A0000}"/>
    <cellStyle name="Percent 14 4 3 2 3" xfId="31082" xr:uid="{00000000-0005-0000-0000-0000BA4A0000}"/>
    <cellStyle name="Percent 14 4 3 2 4" xfId="16576" xr:uid="{00000000-0005-0000-0000-0000BB4A0000}"/>
    <cellStyle name="Percent 14 4 3 2_TOM TAT" xfId="11720" xr:uid="{00000000-0005-0000-0000-0000BC4A0000}"/>
    <cellStyle name="Percent 14 4 3 3" xfId="11721" xr:uid="{00000000-0005-0000-0000-0000BD4A0000}"/>
    <cellStyle name="Percent 14 4 3 3 2" xfId="31084" xr:uid="{00000000-0005-0000-0000-0000BE4A0000}"/>
    <cellStyle name="Percent 14 4 3 3 3" xfId="16578" xr:uid="{00000000-0005-0000-0000-0000BF4A0000}"/>
    <cellStyle name="Percent 14 4 3 3_TOM TAT" xfId="23539" xr:uid="{00000000-0005-0000-0000-0000C04A0000}"/>
    <cellStyle name="Percent 14 4 3 4" xfId="31081" xr:uid="{00000000-0005-0000-0000-0000C14A0000}"/>
    <cellStyle name="Percent 14 4 3 5" xfId="16575" xr:uid="{00000000-0005-0000-0000-0000C24A0000}"/>
    <cellStyle name="Percent 14 4 3_TOM TAT" xfId="11722" xr:uid="{00000000-0005-0000-0000-0000C34A0000}"/>
    <cellStyle name="Percent 14 4 4" xfId="11723" xr:uid="{00000000-0005-0000-0000-0000C44A0000}"/>
    <cellStyle name="Percent 14 4 4 2" xfId="11724" xr:uid="{00000000-0005-0000-0000-0000C54A0000}"/>
    <cellStyle name="Percent 14 4 4 2 2" xfId="11725" xr:uid="{00000000-0005-0000-0000-0000C64A0000}"/>
    <cellStyle name="Percent 14 4 4 2 2 2" xfId="31087" xr:uid="{00000000-0005-0000-0000-0000C74A0000}"/>
    <cellStyle name="Percent 14 4 4 2 2 3" xfId="16581" xr:uid="{00000000-0005-0000-0000-0000C84A0000}"/>
    <cellStyle name="Percent 14 4 4 2 2_TOM TAT" xfId="23540" xr:uid="{00000000-0005-0000-0000-0000C94A0000}"/>
    <cellStyle name="Percent 14 4 4 2 3" xfId="31086" xr:uid="{00000000-0005-0000-0000-0000CA4A0000}"/>
    <cellStyle name="Percent 14 4 4 2 4" xfId="16580" xr:uid="{00000000-0005-0000-0000-0000CB4A0000}"/>
    <cellStyle name="Percent 14 4 4 2_TOM TAT" xfId="11726" xr:uid="{00000000-0005-0000-0000-0000CC4A0000}"/>
    <cellStyle name="Percent 14 4 4 3" xfId="11727" xr:uid="{00000000-0005-0000-0000-0000CD4A0000}"/>
    <cellStyle name="Percent 14 4 4 3 2" xfId="31088" xr:uid="{00000000-0005-0000-0000-0000CE4A0000}"/>
    <cellStyle name="Percent 14 4 4 3 3" xfId="16582" xr:uid="{00000000-0005-0000-0000-0000CF4A0000}"/>
    <cellStyle name="Percent 14 4 4 3_TOM TAT" xfId="23541" xr:uid="{00000000-0005-0000-0000-0000D04A0000}"/>
    <cellStyle name="Percent 14 4 4 4" xfId="31085" xr:uid="{00000000-0005-0000-0000-0000D14A0000}"/>
    <cellStyle name="Percent 14 4 4 5" xfId="16579" xr:uid="{00000000-0005-0000-0000-0000D24A0000}"/>
    <cellStyle name="Percent 14 4 4_TOM TAT" xfId="11728" xr:uid="{00000000-0005-0000-0000-0000D34A0000}"/>
    <cellStyle name="Percent 14 4 5" xfId="11729" xr:uid="{00000000-0005-0000-0000-0000D44A0000}"/>
    <cellStyle name="Percent 14 4 5 2" xfId="11730" xr:uid="{00000000-0005-0000-0000-0000D54A0000}"/>
    <cellStyle name="Percent 14 4 5 2 2" xfId="31090" xr:uid="{00000000-0005-0000-0000-0000D64A0000}"/>
    <cellStyle name="Percent 14 4 5 2 3" xfId="16584" xr:uid="{00000000-0005-0000-0000-0000D74A0000}"/>
    <cellStyle name="Percent 14 4 5 2_TOM TAT" xfId="23542" xr:uid="{00000000-0005-0000-0000-0000D84A0000}"/>
    <cellStyle name="Percent 14 4 5 3" xfId="31089" xr:uid="{00000000-0005-0000-0000-0000D94A0000}"/>
    <cellStyle name="Percent 14 4 5 4" xfId="16583" xr:uid="{00000000-0005-0000-0000-0000DA4A0000}"/>
    <cellStyle name="Percent 14 4 5_TOM TAT" xfId="11731" xr:uid="{00000000-0005-0000-0000-0000DB4A0000}"/>
    <cellStyle name="Percent 14 4 6" xfId="11732" xr:uid="{00000000-0005-0000-0000-0000DC4A0000}"/>
    <cellStyle name="Percent 14 4 6 2" xfId="31091" xr:uid="{00000000-0005-0000-0000-0000DD4A0000}"/>
    <cellStyle name="Percent 14 4 6 3" xfId="16585" xr:uid="{00000000-0005-0000-0000-0000DE4A0000}"/>
    <cellStyle name="Percent 14 4 6_TOM TAT" xfId="23543" xr:uid="{00000000-0005-0000-0000-0000DF4A0000}"/>
    <cellStyle name="Percent 14 4 7" xfId="28291" xr:uid="{00000000-0005-0000-0000-0000E04A0000}"/>
    <cellStyle name="Percent 14 4 8" xfId="14712" xr:uid="{00000000-0005-0000-0000-0000E14A0000}"/>
    <cellStyle name="Percent 14 4_TOM TAT" xfId="11733" xr:uid="{00000000-0005-0000-0000-0000E24A0000}"/>
    <cellStyle name="Percent 14 5" xfId="5632" xr:uid="{00000000-0005-0000-0000-0000E34A0000}"/>
    <cellStyle name="Percent 14 5 2" xfId="11734" xr:uid="{00000000-0005-0000-0000-0000E44A0000}"/>
    <cellStyle name="Percent 14 5 2 2" xfId="11735" xr:uid="{00000000-0005-0000-0000-0000E54A0000}"/>
    <cellStyle name="Percent 14 5 2 2 2" xfId="11736" xr:uid="{00000000-0005-0000-0000-0000E64A0000}"/>
    <cellStyle name="Percent 14 5 2 2 2 2" xfId="31094" xr:uid="{00000000-0005-0000-0000-0000E74A0000}"/>
    <cellStyle name="Percent 14 5 2 2 2 3" xfId="16588" xr:uid="{00000000-0005-0000-0000-0000E84A0000}"/>
    <cellStyle name="Percent 14 5 2 2 2_TOM TAT" xfId="23544" xr:uid="{00000000-0005-0000-0000-0000E94A0000}"/>
    <cellStyle name="Percent 14 5 2 2 3" xfId="31093" xr:uid="{00000000-0005-0000-0000-0000EA4A0000}"/>
    <cellStyle name="Percent 14 5 2 2 4" xfId="16587" xr:uid="{00000000-0005-0000-0000-0000EB4A0000}"/>
    <cellStyle name="Percent 14 5 2 2_TOM TAT" xfId="11737" xr:uid="{00000000-0005-0000-0000-0000EC4A0000}"/>
    <cellStyle name="Percent 14 5 2 3" xfId="11738" xr:uid="{00000000-0005-0000-0000-0000ED4A0000}"/>
    <cellStyle name="Percent 14 5 2 3 2" xfId="31095" xr:uid="{00000000-0005-0000-0000-0000EE4A0000}"/>
    <cellStyle name="Percent 14 5 2 3 3" xfId="16589" xr:uid="{00000000-0005-0000-0000-0000EF4A0000}"/>
    <cellStyle name="Percent 14 5 2 3_TOM TAT" xfId="23545" xr:uid="{00000000-0005-0000-0000-0000F04A0000}"/>
    <cellStyle name="Percent 14 5 2 4" xfId="31092" xr:uid="{00000000-0005-0000-0000-0000F14A0000}"/>
    <cellStyle name="Percent 14 5 2 5" xfId="16586" xr:uid="{00000000-0005-0000-0000-0000F24A0000}"/>
    <cellStyle name="Percent 14 5 2_TOM TAT" xfId="11739" xr:uid="{00000000-0005-0000-0000-0000F34A0000}"/>
    <cellStyle name="Percent 14 5 3" xfId="11740" xr:uid="{00000000-0005-0000-0000-0000F44A0000}"/>
    <cellStyle name="Percent 14 5 3 2" xfId="11741" xr:uid="{00000000-0005-0000-0000-0000F54A0000}"/>
    <cellStyle name="Percent 14 5 3 2 2" xfId="11742" xr:uid="{00000000-0005-0000-0000-0000F64A0000}"/>
    <cellStyle name="Percent 14 5 3 2 2 2" xfId="31098" xr:uid="{00000000-0005-0000-0000-0000F74A0000}"/>
    <cellStyle name="Percent 14 5 3 2 2 3" xfId="16592" xr:uid="{00000000-0005-0000-0000-0000F84A0000}"/>
    <cellStyle name="Percent 14 5 3 2 2_TOM TAT" xfId="23546" xr:uid="{00000000-0005-0000-0000-0000F94A0000}"/>
    <cellStyle name="Percent 14 5 3 2 3" xfId="31097" xr:uid="{00000000-0005-0000-0000-0000FA4A0000}"/>
    <cellStyle name="Percent 14 5 3 2 4" xfId="16591" xr:uid="{00000000-0005-0000-0000-0000FB4A0000}"/>
    <cellStyle name="Percent 14 5 3 2_TOM TAT" xfId="11743" xr:uid="{00000000-0005-0000-0000-0000FC4A0000}"/>
    <cellStyle name="Percent 14 5 3 3" xfId="11744" xr:uid="{00000000-0005-0000-0000-0000FD4A0000}"/>
    <cellStyle name="Percent 14 5 3 3 2" xfId="31099" xr:uid="{00000000-0005-0000-0000-0000FE4A0000}"/>
    <cellStyle name="Percent 14 5 3 3 3" xfId="16593" xr:uid="{00000000-0005-0000-0000-0000FF4A0000}"/>
    <cellStyle name="Percent 14 5 3 3_TOM TAT" xfId="23547" xr:uid="{00000000-0005-0000-0000-0000004B0000}"/>
    <cellStyle name="Percent 14 5 3 4" xfId="31096" xr:uid="{00000000-0005-0000-0000-0000014B0000}"/>
    <cellStyle name="Percent 14 5 3 5" xfId="16590" xr:uid="{00000000-0005-0000-0000-0000024B0000}"/>
    <cellStyle name="Percent 14 5 3_TOM TAT" xfId="11745" xr:uid="{00000000-0005-0000-0000-0000034B0000}"/>
    <cellStyle name="Percent 14 5 4" xfId="11746" xr:uid="{00000000-0005-0000-0000-0000044B0000}"/>
    <cellStyle name="Percent 14 5 4 2" xfId="11747" xr:uid="{00000000-0005-0000-0000-0000054B0000}"/>
    <cellStyle name="Percent 14 5 4 2 2" xfId="31101" xr:uid="{00000000-0005-0000-0000-0000064B0000}"/>
    <cellStyle name="Percent 14 5 4 2 3" xfId="16595" xr:uid="{00000000-0005-0000-0000-0000074B0000}"/>
    <cellStyle name="Percent 14 5 4 2_TOM TAT" xfId="23548" xr:uid="{00000000-0005-0000-0000-0000084B0000}"/>
    <cellStyle name="Percent 14 5 4 3" xfId="31100" xr:uid="{00000000-0005-0000-0000-0000094B0000}"/>
    <cellStyle name="Percent 14 5 4 4" xfId="16594" xr:uid="{00000000-0005-0000-0000-00000A4B0000}"/>
    <cellStyle name="Percent 14 5 4_TOM TAT" xfId="11748" xr:uid="{00000000-0005-0000-0000-00000B4B0000}"/>
    <cellStyle name="Percent 14 5 5" xfId="11749" xr:uid="{00000000-0005-0000-0000-00000C4B0000}"/>
    <cellStyle name="Percent 14 5 5 2" xfId="31102" xr:uid="{00000000-0005-0000-0000-00000D4B0000}"/>
    <cellStyle name="Percent 14 5 5 3" xfId="16596" xr:uid="{00000000-0005-0000-0000-00000E4B0000}"/>
    <cellStyle name="Percent 14 5 5_TOM TAT" xfId="23549" xr:uid="{00000000-0005-0000-0000-00000F4B0000}"/>
    <cellStyle name="Percent 14 5 6" xfId="28292" xr:uid="{00000000-0005-0000-0000-0000104B0000}"/>
    <cellStyle name="Percent 14 5 7" xfId="14713" xr:uid="{00000000-0005-0000-0000-0000114B0000}"/>
    <cellStyle name="Percent 14 5_TOM TAT" xfId="11750" xr:uid="{00000000-0005-0000-0000-0000124B0000}"/>
    <cellStyle name="Percent 14 6" xfId="11751" xr:uid="{00000000-0005-0000-0000-0000134B0000}"/>
    <cellStyle name="Percent 14 6 2" xfId="11752" xr:uid="{00000000-0005-0000-0000-0000144B0000}"/>
    <cellStyle name="Percent 14 6 2 2" xfId="11753" xr:uid="{00000000-0005-0000-0000-0000154B0000}"/>
    <cellStyle name="Percent 14 6 2 2 2" xfId="11754" xr:uid="{00000000-0005-0000-0000-0000164B0000}"/>
    <cellStyle name="Percent 14 6 2 2 2 2" xfId="31106" xr:uid="{00000000-0005-0000-0000-0000174B0000}"/>
    <cellStyle name="Percent 14 6 2 2 2 3" xfId="16600" xr:uid="{00000000-0005-0000-0000-0000184B0000}"/>
    <cellStyle name="Percent 14 6 2 2 2_TOM TAT" xfId="23550" xr:uid="{00000000-0005-0000-0000-0000194B0000}"/>
    <cellStyle name="Percent 14 6 2 2 3" xfId="31105" xr:uid="{00000000-0005-0000-0000-00001A4B0000}"/>
    <cellStyle name="Percent 14 6 2 2 4" xfId="16599" xr:uid="{00000000-0005-0000-0000-00001B4B0000}"/>
    <cellStyle name="Percent 14 6 2 2_TOM TAT" xfId="11755" xr:uid="{00000000-0005-0000-0000-00001C4B0000}"/>
    <cellStyle name="Percent 14 6 2 3" xfId="11756" xr:uid="{00000000-0005-0000-0000-00001D4B0000}"/>
    <cellStyle name="Percent 14 6 2 3 2" xfId="31107" xr:uid="{00000000-0005-0000-0000-00001E4B0000}"/>
    <cellStyle name="Percent 14 6 2 3 3" xfId="16601" xr:uid="{00000000-0005-0000-0000-00001F4B0000}"/>
    <cellStyle name="Percent 14 6 2 3_TOM TAT" xfId="23551" xr:uid="{00000000-0005-0000-0000-0000204B0000}"/>
    <cellStyle name="Percent 14 6 2 4" xfId="31104" xr:uid="{00000000-0005-0000-0000-0000214B0000}"/>
    <cellStyle name="Percent 14 6 2 5" xfId="16598" xr:uid="{00000000-0005-0000-0000-0000224B0000}"/>
    <cellStyle name="Percent 14 6 2_TOM TAT" xfId="11757" xr:uid="{00000000-0005-0000-0000-0000234B0000}"/>
    <cellStyle name="Percent 14 6 3" xfId="11758" xr:uid="{00000000-0005-0000-0000-0000244B0000}"/>
    <cellStyle name="Percent 14 6 3 2" xfId="11759" xr:uid="{00000000-0005-0000-0000-0000254B0000}"/>
    <cellStyle name="Percent 14 6 3 2 2" xfId="11760" xr:uid="{00000000-0005-0000-0000-0000264B0000}"/>
    <cellStyle name="Percent 14 6 3 2 2 2" xfId="31110" xr:uid="{00000000-0005-0000-0000-0000274B0000}"/>
    <cellStyle name="Percent 14 6 3 2 2 3" xfId="16604" xr:uid="{00000000-0005-0000-0000-0000284B0000}"/>
    <cellStyle name="Percent 14 6 3 2 2_TOM TAT" xfId="23552" xr:uid="{00000000-0005-0000-0000-0000294B0000}"/>
    <cellStyle name="Percent 14 6 3 2 3" xfId="31109" xr:uid="{00000000-0005-0000-0000-00002A4B0000}"/>
    <cellStyle name="Percent 14 6 3 2 4" xfId="16603" xr:uid="{00000000-0005-0000-0000-00002B4B0000}"/>
    <cellStyle name="Percent 14 6 3 2_TOM TAT" xfId="11761" xr:uid="{00000000-0005-0000-0000-00002C4B0000}"/>
    <cellStyle name="Percent 14 6 3 3" xfId="11762" xr:uid="{00000000-0005-0000-0000-00002D4B0000}"/>
    <cellStyle name="Percent 14 6 3 3 2" xfId="31111" xr:uid="{00000000-0005-0000-0000-00002E4B0000}"/>
    <cellStyle name="Percent 14 6 3 3 3" xfId="16605" xr:uid="{00000000-0005-0000-0000-00002F4B0000}"/>
    <cellStyle name="Percent 14 6 3 3_TOM TAT" xfId="23553" xr:uid="{00000000-0005-0000-0000-0000304B0000}"/>
    <cellStyle name="Percent 14 6 3 4" xfId="31108" xr:uid="{00000000-0005-0000-0000-0000314B0000}"/>
    <cellStyle name="Percent 14 6 3 5" xfId="16602" xr:uid="{00000000-0005-0000-0000-0000324B0000}"/>
    <cellStyle name="Percent 14 6 3_TOM TAT" xfId="11763" xr:uid="{00000000-0005-0000-0000-0000334B0000}"/>
    <cellStyle name="Percent 14 6 4" xfId="11764" xr:uid="{00000000-0005-0000-0000-0000344B0000}"/>
    <cellStyle name="Percent 14 6 4 2" xfId="11765" xr:uid="{00000000-0005-0000-0000-0000354B0000}"/>
    <cellStyle name="Percent 14 6 4 2 2" xfId="31113" xr:uid="{00000000-0005-0000-0000-0000364B0000}"/>
    <cellStyle name="Percent 14 6 4 2 3" xfId="16607" xr:uid="{00000000-0005-0000-0000-0000374B0000}"/>
    <cellStyle name="Percent 14 6 4 2_TOM TAT" xfId="23554" xr:uid="{00000000-0005-0000-0000-0000384B0000}"/>
    <cellStyle name="Percent 14 6 4 3" xfId="31112" xr:uid="{00000000-0005-0000-0000-0000394B0000}"/>
    <cellStyle name="Percent 14 6 4 4" xfId="16606" xr:uid="{00000000-0005-0000-0000-00003A4B0000}"/>
    <cellStyle name="Percent 14 6 4_TOM TAT" xfId="11766" xr:uid="{00000000-0005-0000-0000-00003B4B0000}"/>
    <cellStyle name="Percent 14 6 5" xfId="11767" xr:uid="{00000000-0005-0000-0000-00003C4B0000}"/>
    <cellStyle name="Percent 14 6 5 2" xfId="31114" xr:uid="{00000000-0005-0000-0000-00003D4B0000}"/>
    <cellStyle name="Percent 14 6 5 3" xfId="16608" xr:uid="{00000000-0005-0000-0000-00003E4B0000}"/>
    <cellStyle name="Percent 14 6 5_TOM TAT" xfId="23555" xr:uid="{00000000-0005-0000-0000-00003F4B0000}"/>
    <cellStyle name="Percent 14 6 6" xfId="31103" xr:uid="{00000000-0005-0000-0000-0000404B0000}"/>
    <cellStyle name="Percent 14 6 7" xfId="16597" xr:uid="{00000000-0005-0000-0000-0000414B0000}"/>
    <cellStyle name="Percent 14 6_TOM TAT" xfId="11768" xr:uid="{00000000-0005-0000-0000-0000424B0000}"/>
    <cellStyle name="Percent 14 7" xfId="11769" xr:uid="{00000000-0005-0000-0000-0000434B0000}"/>
    <cellStyle name="Percent 14 7 2" xfId="11770" xr:uid="{00000000-0005-0000-0000-0000444B0000}"/>
    <cellStyle name="Percent 14 7 2 2" xfId="11771" xr:uid="{00000000-0005-0000-0000-0000454B0000}"/>
    <cellStyle name="Percent 14 7 2 2 2" xfId="31117" xr:uid="{00000000-0005-0000-0000-0000464B0000}"/>
    <cellStyle name="Percent 14 7 2 2 3" xfId="16611" xr:uid="{00000000-0005-0000-0000-0000474B0000}"/>
    <cellStyle name="Percent 14 7 2 2_TOM TAT" xfId="23556" xr:uid="{00000000-0005-0000-0000-0000484B0000}"/>
    <cellStyle name="Percent 14 7 2 3" xfId="31116" xr:uid="{00000000-0005-0000-0000-0000494B0000}"/>
    <cellStyle name="Percent 14 7 2 4" xfId="16610" xr:uid="{00000000-0005-0000-0000-00004A4B0000}"/>
    <cellStyle name="Percent 14 7 2_TOM TAT" xfId="11772" xr:uid="{00000000-0005-0000-0000-00004B4B0000}"/>
    <cellStyle name="Percent 14 7 3" xfId="11773" xr:uid="{00000000-0005-0000-0000-00004C4B0000}"/>
    <cellStyle name="Percent 14 7 3 2" xfId="31118" xr:uid="{00000000-0005-0000-0000-00004D4B0000}"/>
    <cellStyle name="Percent 14 7 3 3" xfId="16612" xr:uid="{00000000-0005-0000-0000-00004E4B0000}"/>
    <cellStyle name="Percent 14 7 3_TOM TAT" xfId="23557" xr:uid="{00000000-0005-0000-0000-00004F4B0000}"/>
    <cellStyle name="Percent 14 7 4" xfId="31115" xr:uid="{00000000-0005-0000-0000-0000504B0000}"/>
    <cellStyle name="Percent 14 7 5" xfId="16609" xr:uid="{00000000-0005-0000-0000-0000514B0000}"/>
    <cellStyle name="Percent 14 7_TOM TAT" xfId="11774" xr:uid="{00000000-0005-0000-0000-0000524B0000}"/>
    <cellStyle name="Percent 14 8" xfId="11775" xr:uid="{00000000-0005-0000-0000-0000534B0000}"/>
    <cellStyle name="Percent 14 8 2" xfId="11776" xr:uid="{00000000-0005-0000-0000-0000544B0000}"/>
    <cellStyle name="Percent 14 8 2 2" xfId="11777" xr:uid="{00000000-0005-0000-0000-0000554B0000}"/>
    <cellStyle name="Percent 14 8 2 2 2" xfId="31121" xr:uid="{00000000-0005-0000-0000-0000564B0000}"/>
    <cellStyle name="Percent 14 8 2 2 3" xfId="16615" xr:uid="{00000000-0005-0000-0000-0000574B0000}"/>
    <cellStyle name="Percent 14 8 2 2_TOM TAT" xfId="23558" xr:uid="{00000000-0005-0000-0000-0000584B0000}"/>
    <cellStyle name="Percent 14 8 2 3" xfId="31120" xr:uid="{00000000-0005-0000-0000-0000594B0000}"/>
    <cellStyle name="Percent 14 8 2 4" xfId="16614" xr:uid="{00000000-0005-0000-0000-00005A4B0000}"/>
    <cellStyle name="Percent 14 8 2_TOM TAT" xfId="11778" xr:uid="{00000000-0005-0000-0000-00005B4B0000}"/>
    <cellStyle name="Percent 14 8 3" xfId="11779" xr:uid="{00000000-0005-0000-0000-00005C4B0000}"/>
    <cellStyle name="Percent 14 8 3 2" xfId="31122" xr:uid="{00000000-0005-0000-0000-00005D4B0000}"/>
    <cellStyle name="Percent 14 8 3 3" xfId="16616" xr:uid="{00000000-0005-0000-0000-00005E4B0000}"/>
    <cellStyle name="Percent 14 8 3_TOM TAT" xfId="23559" xr:uid="{00000000-0005-0000-0000-00005F4B0000}"/>
    <cellStyle name="Percent 14 8 4" xfId="31119" xr:uid="{00000000-0005-0000-0000-0000604B0000}"/>
    <cellStyle name="Percent 14 8 5" xfId="16613" xr:uid="{00000000-0005-0000-0000-0000614B0000}"/>
    <cellStyle name="Percent 14 8_TOM TAT" xfId="11780" xr:uid="{00000000-0005-0000-0000-0000624B0000}"/>
    <cellStyle name="Percent 14 9" xfId="11781" xr:uid="{00000000-0005-0000-0000-0000634B0000}"/>
    <cellStyle name="Percent 14 9 2" xfId="11782" xr:uid="{00000000-0005-0000-0000-0000644B0000}"/>
    <cellStyle name="Percent 14 9 2 2" xfId="31124" xr:uid="{00000000-0005-0000-0000-0000654B0000}"/>
    <cellStyle name="Percent 14 9 2 3" xfId="16618" xr:uid="{00000000-0005-0000-0000-0000664B0000}"/>
    <cellStyle name="Percent 14 9 2_TOM TAT" xfId="23560" xr:uid="{00000000-0005-0000-0000-0000674B0000}"/>
    <cellStyle name="Percent 14 9 3" xfId="31123" xr:uid="{00000000-0005-0000-0000-0000684B0000}"/>
    <cellStyle name="Percent 14 9 4" xfId="16617" xr:uid="{00000000-0005-0000-0000-0000694B0000}"/>
    <cellStyle name="Percent 14 9_TOM TAT" xfId="11783" xr:uid="{00000000-0005-0000-0000-00006A4B0000}"/>
    <cellStyle name="Percent 14_TOM TAT" xfId="11784" xr:uid="{00000000-0005-0000-0000-00006B4B0000}"/>
    <cellStyle name="Percent 15 2" xfId="11785" xr:uid="{00000000-0005-0000-0000-00006D4B0000}"/>
    <cellStyle name="Percent 15 2 10" xfId="16619" xr:uid="{00000000-0005-0000-0000-00006E4B0000}"/>
    <cellStyle name="Percent 15 2 2" xfId="11786" xr:uid="{00000000-0005-0000-0000-00006F4B0000}"/>
    <cellStyle name="Percent 15 2 2 2" xfId="11787" xr:uid="{00000000-0005-0000-0000-0000704B0000}"/>
    <cellStyle name="Percent 15 2 2 2 2" xfId="11788" xr:uid="{00000000-0005-0000-0000-0000714B0000}"/>
    <cellStyle name="Percent 15 2 2 2 2 2" xfId="11789" xr:uid="{00000000-0005-0000-0000-0000724B0000}"/>
    <cellStyle name="Percent 15 2 2 2 2 2 2" xfId="31129" xr:uid="{00000000-0005-0000-0000-0000734B0000}"/>
    <cellStyle name="Percent 15 2 2 2 2 2 3" xfId="16623" xr:uid="{00000000-0005-0000-0000-0000744B0000}"/>
    <cellStyle name="Percent 15 2 2 2 2 2_TOM TAT" xfId="23561" xr:uid="{00000000-0005-0000-0000-0000754B0000}"/>
    <cellStyle name="Percent 15 2 2 2 2 3" xfId="31128" xr:uid="{00000000-0005-0000-0000-0000764B0000}"/>
    <cellStyle name="Percent 15 2 2 2 2 4" xfId="16622" xr:uid="{00000000-0005-0000-0000-0000774B0000}"/>
    <cellStyle name="Percent 15 2 2 2 2_TOM TAT" xfId="11790" xr:uid="{00000000-0005-0000-0000-0000784B0000}"/>
    <cellStyle name="Percent 15 2 2 2 3" xfId="11791" xr:uid="{00000000-0005-0000-0000-0000794B0000}"/>
    <cellStyle name="Percent 15 2 2 2 3 2" xfId="31130" xr:uid="{00000000-0005-0000-0000-00007A4B0000}"/>
    <cellStyle name="Percent 15 2 2 2 3 3" xfId="16624" xr:uid="{00000000-0005-0000-0000-00007B4B0000}"/>
    <cellStyle name="Percent 15 2 2 2 3_TOM TAT" xfId="23562" xr:uid="{00000000-0005-0000-0000-00007C4B0000}"/>
    <cellStyle name="Percent 15 2 2 2 4" xfId="31127" xr:uid="{00000000-0005-0000-0000-00007D4B0000}"/>
    <cellStyle name="Percent 15 2 2 2 5" xfId="16621" xr:uid="{00000000-0005-0000-0000-00007E4B0000}"/>
    <cellStyle name="Percent 15 2 2 2_TOM TAT" xfId="11792" xr:uid="{00000000-0005-0000-0000-00007F4B0000}"/>
    <cellStyle name="Percent 15 2 2 3" xfId="11793" xr:uid="{00000000-0005-0000-0000-0000804B0000}"/>
    <cellStyle name="Percent 15 2 2 3 2" xfId="11794" xr:uid="{00000000-0005-0000-0000-0000814B0000}"/>
    <cellStyle name="Percent 15 2 2 3 2 2" xfId="11795" xr:uid="{00000000-0005-0000-0000-0000824B0000}"/>
    <cellStyle name="Percent 15 2 2 3 2 2 2" xfId="31133" xr:uid="{00000000-0005-0000-0000-0000834B0000}"/>
    <cellStyle name="Percent 15 2 2 3 2 2 3" xfId="16627" xr:uid="{00000000-0005-0000-0000-0000844B0000}"/>
    <cellStyle name="Percent 15 2 2 3 2 2_TOM TAT" xfId="23563" xr:uid="{00000000-0005-0000-0000-0000854B0000}"/>
    <cellStyle name="Percent 15 2 2 3 2 3" xfId="31132" xr:uid="{00000000-0005-0000-0000-0000864B0000}"/>
    <cellStyle name="Percent 15 2 2 3 2 4" xfId="16626" xr:uid="{00000000-0005-0000-0000-0000874B0000}"/>
    <cellStyle name="Percent 15 2 2 3 2_TOM TAT" xfId="11796" xr:uid="{00000000-0005-0000-0000-0000884B0000}"/>
    <cellStyle name="Percent 15 2 2 3 3" xfId="11797" xr:uid="{00000000-0005-0000-0000-0000894B0000}"/>
    <cellStyle name="Percent 15 2 2 3 3 2" xfId="31134" xr:uid="{00000000-0005-0000-0000-00008A4B0000}"/>
    <cellStyle name="Percent 15 2 2 3 3 3" xfId="16628" xr:uid="{00000000-0005-0000-0000-00008B4B0000}"/>
    <cellStyle name="Percent 15 2 2 3 3_TOM TAT" xfId="23564" xr:uid="{00000000-0005-0000-0000-00008C4B0000}"/>
    <cellStyle name="Percent 15 2 2 3 4" xfId="31131" xr:uid="{00000000-0005-0000-0000-00008D4B0000}"/>
    <cellStyle name="Percent 15 2 2 3 5" xfId="16625" xr:uid="{00000000-0005-0000-0000-00008E4B0000}"/>
    <cellStyle name="Percent 15 2 2 3_TOM TAT" xfId="11798" xr:uid="{00000000-0005-0000-0000-00008F4B0000}"/>
    <cellStyle name="Percent 15 2 2 4" xfId="11799" xr:uid="{00000000-0005-0000-0000-0000904B0000}"/>
    <cellStyle name="Percent 15 2 2 4 2" xfId="11800" xr:uid="{00000000-0005-0000-0000-0000914B0000}"/>
    <cellStyle name="Percent 15 2 2 4 2 2" xfId="31136" xr:uid="{00000000-0005-0000-0000-0000924B0000}"/>
    <cellStyle name="Percent 15 2 2 4 2 3" xfId="16630" xr:uid="{00000000-0005-0000-0000-0000934B0000}"/>
    <cellStyle name="Percent 15 2 2 4 2_TOM TAT" xfId="23565" xr:uid="{00000000-0005-0000-0000-0000944B0000}"/>
    <cellStyle name="Percent 15 2 2 4 3" xfId="31135" xr:uid="{00000000-0005-0000-0000-0000954B0000}"/>
    <cellStyle name="Percent 15 2 2 4 4" xfId="16629" xr:uid="{00000000-0005-0000-0000-0000964B0000}"/>
    <cellStyle name="Percent 15 2 2 4_TOM TAT" xfId="11801" xr:uid="{00000000-0005-0000-0000-0000974B0000}"/>
    <cellStyle name="Percent 15 2 2 5" xfId="11802" xr:uid="{00000000-0005-0000-0000-0000984B0000}"/>
    <cellStyle name="Percent 15 2 2 5 2" xfId="31137" xr:uid="{00000000-0005-0000-0000-0000994B0000}"/>
    <cellStyle name="Percent 15 2 2 5 3" xfId="16631" xr:uid="{00000000-0005-0000-0000-00009A4B0000}"/>
    <cellStyle name="Percent 15 2 2 5_TOM TAT" xfId="23566" xr:uid="{00000000-0005-0000-0000-00009B4B0000}"/>
    <cellStyle name="Percent 15 2 2 6" xfId="31126" xr:uid="{00000000-0005-0000-0000-00009C4B0000}"/>
    <cellStyle name="Percent 15 2 2 7" xfId="16620" xr:uid="{00000000-0005-0000-0000-00009D4B0000}"/>
    <cellStyle name="Percent 15 2 2_TOM TAT" xfId="11803" xr:uid="{00000000-0005-0000-0000-00009E4B0000}"/>
    <cellStyle name="Percent 15 2 3" xfId="11804" xr:uid="{00000000-0005-0000-0000-00009F4B0000}"/>
    <cellStyle name="Percent 15 2 3 2" xfId="11805" xr:uid="{00000000-0005-0000-0000-0000A04B0000}"/>
    <cellStyle name="Percent 15 2 3 2 2" xfId="11806" xr:uid="{00000000-0005-0000-0000-0000A14B0000}"/>
    <cellStyle name="Percent 15 2 3 2 2 2" xfId="11807" xr:uid="{00000000-0005-0000-0000-0000A24B0000}"/>
    <cellStyle name="Percent 15 2 3 2 2 2 2" xfId="31141" xr:uid="{00000000-0005-0000-0000-0000A34B0000}"/>
    <cellStyle name="Percent 15 2 3 2 2 2 3" xfId="16635" xr:uid="{00000000-0005-0000-0000-0000A44B0000}"/>
    <cellStyle name="Percent 15 2 3 2 2 2_TOM TAT" xfId="23567" xr:uid="{00000000-0005-0000-0000-0000A54B0000}"/>
    <cellStyle name="Percent 15 2 3 2 2 3" xfId="31140" xr:uid="{00000000-0005-0000-0000-0000A64B0000}"/>
    <cellStyle name="Percent 15 2 3 2 2 4" xfId="16634" xr:uid="{00000000-0005-0000-0000-0000A74B0000}"/>
    <cellStyle name="Percent 15 2 3 2 2_TOM TAT" xfId="11808" xr:uid="{00000000-0005-0000-0000-0000A84B0000}"/>
    <cellStyle name="Percent 15 2 3 2 3" xfId="11809" xr:uid="{00000000-0005-0000-0000-0000A94B0000}"/>
    <cellStyle name="Percent 15 2 3 2 3 2" xfId="31142" xr:uid="{00000000-0005-0000-0000-0000AA4B0000}"/>
    <cellStyle name="Percent 15 2 3 2 3 3" xfId="16636" xr:uid="{00000000-0005-0000-0000-0000AB4B0000}"/>
    <cellStyle name="Percent 15 2 3 2 3_TOM TAT" xfId="23568" xr:uid="{00000000-0005-0000-0000-0000AC4B0000}"/>
    <cellStyle name="Percent 15 2 3 2 4" xfId="31139" xr:uid="{00000000-0005-0000-0000-0000AD4B0000}"/>
    <cellStyle name="Percent 15 2 3 2 5" xfId="16633" xr:uid="{00000000-0005-0000-0000-0000AE4B0000}"/>
    <cellStyle name="Percent 15 2 3 2_TOM TAT" xfId="11810" xr:uid="{00000000-0005-0000-0000-0000AF4B0000}"/>
    <cellStyle name="Percent 15 2 3 3" xfId="11811" xr:uid="{00000000-0005-0000-0000-0000B04B0000}"/>
    <cellStyle name="Percent 15 2 3 3 2" xfId="11812" xr:uid="{00000000-0005-0000-0000-0000B14B0000}"/>
    <cellStyle name="Percent 15 2 3 3 2 2" xfId="31144" xr:uid="{00000000-0005-0000-0000-0000B24B0000}"/>
    <cellStyle name="Percent 15 2 3 3 2 3" xfId="16638" xr:uid="{00000000-0005-0000-0000-0000B34B0000}"/>
    <cellStyle name="Percent 15 2 3 3 2_TOM TAT" xfId="23569" xr:uid="{00000000-0005-0000-0000-0000B44B0000}"/>
    <cellStyle name="Percent 15 2 3 3 3" xfId="31143" xr:uid="{00000000-0005-0000-0000-0000B54B0000}"/>
    <cellStyle name="Percent 15 2 3 3 4" xfId="16637" xr:uid="{00000000-0005-0000-0000-0000B64B0000}"/>
    <cellStyle name="Percent 15 2 3 3_TOM TAT" xfId="11813" xr:uid="{00000000-0005-0000-0000-0000B74B0000}"/>
    <cellStyle name="Percent 15 2 3 4" xfId="11814" xr:uid="{00000000-0005-0000-0000-0000B84B0000}"/>
    <cellStyle name="Percent 15 2 3 4 2" xfId="31145" xr:uid="{00000000-0005-0000-0000-0000B94B0000}"/>
    <cellStyle name="Percent 15 2 3 4 3" xfId="16639" xr:uid="{00000000-0005-0000-0000-0000BA4B0000}"/>
    <cellStyle name="Percent 15 2 3 4_TOM TAT" xfId="23570" xr:uid="{00000000-0005-0000-0000-0000BB4B0000}"/>
    <cellStyle name="Percent 15 2 3 5" xfId="31138" xr:uid="{00000000-0005-0000-0000-0000BC4B0000}"/>
    <cellStyle name="Percent 15 2 3 6" xfId="16632" xr:uid="{00000000-0005-0000-0000-0000BD4B0000}"/>
    <cellStyle name="Percent 15 2 3_TOM TAT" xfId="11815" xr:uid="{00000000-0005-0000-0000-0000BE4B0000}"/>
    <cellStyle name="Percent 15 2 4" xfId="11816" xr:uid="{00000000-0005-0000-0000-0000BF4B0000}"/>
    <cellStyle name="Percent 15 2 4 2" xfId="11817" xr:uid="{00000000-0005-0000-0000-0000C04B0000}"/>
    <cellStyle name="Percent 15 2 4 2 2" xfId="11818" xr:uid="{00000000-0005-0000-0000-0000C14B0000}"/>
    <cellStyle name="Percent 15 2 4 2 2 2" xfId="31148" xr:uid="{00000000-0005-0000-0000-0000C24B0000}"/>
    <cellStyle name="Percent 15 2 4 2 2 3" xfId="16642" xr:uid="{00000000-0005-0000-0000-0000C34B0000}"/>
    <cellStyle name="Percent 15 2 4 2 2_TOM TAT" xfId="23571" xr:uid="{00000000-0005-0000-0000-0000C44B0000}"/>
    <cellStyle name="Percent 15 2 4 2 3" xfId="31147" xr:uid="{00000000-0005-0000-0000-0000C54B0000}"/>
    <cellStyle name="Percent 15 2 4 2 4" xfId="16641" xr:uid="{00000000-0005-0000-0000-0000C64B0000}"/>
    <cellStyle name="Percent 15 2 4 2_TOM TAT" xfId="11819" xr:uid="{00000000-0005-0000-0000-0000C74B0000}"/>
    <cellStyle name="Percent 15 2 4 3" xfId="11820" xr:uid="{00000000-0005-0000-0000-0000C84B0000}"/>
    <cellStyle name="Percent 15 2 4 3 2" xfId="31149" xr:uid="{00000000-0005-0000-0000-0000C94B0000}"/>
    <cellStyle name="Percent 15 2 4 3 3" xfId="16643" xr:uid="{00000000-0005-0000-0000-0000CA4B0000}"/>
    <cellStyle name="Percent 15 2 4 3_TOM TAT" xfId="23572" xr:uid="{00000000-0005-0000-0000-0000CB4B0000}"/>
    <cellStyle name="Percent 15 2 4 4" xfId="31146" xr:uid="{00000000-0005-0000-0000-0000CC4B0000}"/>
    <cellStyle name="Percent 15 2 4 5" xfId="16640" xr:uid="{00000000-0005-0000-0000-0000CD4B0000}"/>
    <cellStyle name="Percent 15 2 4_TOM TAT" xfId="11821" xr:uid="{00000000-0005-0000-0000-0000CE4B0000}"/>
    <cellStyle name="Percent 15 2 5" xfId="11822" xr:uid="{00000000-0005-0000-0000-0000CF4B0000}"/>
    <cellStyle name="Percent 15 2 5 2" xfId="11823" xr:uid="{00000000-0005-0000-0000-0000D04B0000}"/>
    <cellStyle name="Percent 15 2 5 2 2" xfId="31151" xr:uid="{00000000-0005-0000-0000-0000D14B0000}"/>
    <cellStyle name="Percent 15 2 5 2 3" xfId="16645" xr:uid="{00000000-0005-0000-0000-0000D24B0000}"/>
    <cellStyle name="Percent 15 2 5 2_TOM TAT" xfId="23573" xr:uid="{00000000-0005-0000-0000-0000D34B0000}"/>
    <cellStyle name="Percent 15 2 5 3" xfId="31150" xr:uid="{00000000-0005-0000-0000-0000D44B0000}"/>
    <cellStyle name="Percent 15 2 5 4" xfId="16644" xr:uid="{00000000-0005-0000-0000-0000D54B0000}"/>
    <cellStyle name="Percent 15 2 5_TOM TAT" xfId="11824" xr:uid="{00000000-0005-0000-0000-0000D64B0000}"/>
    <cellStyle name="Percent 15 2 6" xfId="11825" xr:uid="{00000000-0005-0000-0000-0000D74B0000}"/>
    <cellStyle name="Percent 15 2 6 2" xfId="31152" xr:uid="{00000000-0005-0000-0000-0000D84B0000}"/>
    <cellStyle name="Percent 15 2 6 3" xfId="16646" xr:uid="{00000000-0005-0000-0000-0000D94B0000}"/>
    <cellStyle name="Percent 15 2 6_TOM TAT" xfId="23574" xr:uid="{00000000-0005-0000-0000-0000DA4B0000}"/>
    <cellStyle name="Percent 15 2 7" xfId="18667" xr:uid="{00000000-0005-0000-0000-0000DB4B0000}"/>
    <cellStyle name="Percent 15 2 7 2" xfId="31787" xr:uid="{00000000-0005-0000-0000-0000DC4B0000}"/>
    <cellStyle name="Percent 15 2 7_TOM TAT" xfId="23575" xr:uid="{00000000-0005-0000-0000-0000DD4B0000}"/>
    <cellStyle name="Percent 15 2 8" xfId="18945" xr:uid="{00000000-0005-0000-0000-0000DE4B0000}"/>
    <cellStyle name="Percent 15 2 8 2" xfId="31862" xr:uid="{00000000-0005-0000-0000-0000DF4B0000}"/>
    <cellStyle name="Percent 15 2 8_TOM TAT" xfId="23576" xr:uid="{00000000-0005-0000-0000-0000E04B0000}"/>
    <cellStyle name="Percent 15 2 9" xfId="31125" xr:uid="{00000000-0005-0000-0000-0000E14B0000}"/>
    <cellStyle name="Percent 15 2_TOM TAT" xfId="11826" xr:uid="{00000000-0005-0000-0000-0000E24B0000}"/>
    <cellStyle name="Percent 15 3" xfId="11827" xr:uid="{00000000-0005-0000-0000-0000E34B0000}"/>
    <cellStyle name="Percent 15 3 2" xfId="11828" xr:uid="{00000000-0005-0000-0000-0000E44B0000}"/>
    <cellStyle name="Percent 15 3 2 2" xfId="11829" xr:uid="{00000000-0005-0000-0000-0000E54B0000}"/>
    <cellStyle name="Percent 15 3 2 2 2" xfId="11830" xr:uid="{00000000-0005-0000-0000-0000E64B0000}"/>
    <cellStyle name="Percent 15 3 2 2 2 2" xfId="31156" xr:uid="{00000000-0005-0000-0000-0000E74B0000}"/>
    <cellStyle name="Percent 15 3 2 2 2 3" xfId="16650" xr:uid="{00000000-0005-0000-0000-0000E84B0000}"/>
    <cellStyle name="Percent 15 3 2 2 2_TOM TAT" xfId="23577" xr:uid="{00000000-0005-0000-0000-0000E94B0000}"/>
    <cellStyle name="Percent 15 3 2 2 3" xfId="31155" xr:uid="{00000000-0005-0000-0000-0000EA4B0000}"/>
    <cellStyle name="Percent 15 3 2 2 4" xfId="16649" xr:uid="{00000000-0005-0000-0000-0000EB4B0000}"/>
    <cellStyle name="Percent 15 3 2 2_TOM TAT" xfId="11831" xr:uid="{00000000-0005-0000-0000-0000EC4B0000}"/>
    <cellStyle name="Percent 15 3 2 3" xfId="11832" xr:uid="{00000000-0005-0000-0000-0000ED4B0000}"/>
    <cellStyle name="Percent 15 3 2 3 2" xfId="31157" xr:uid="{00000000-0005-0000-0000-0000EE4B0000}"/>
    <cellStyle name="Percent 15 3 2 3 3" xfId="16651" xr:uid="{00000000-0005-0000-0000-0000EF4B0000}"/>
    <cellStyle name="Percent 15 3 2 3_TOM TAT" xfId="23578" xr:uid="{00000000-0005-0000-0000-0000F04B0000}"/>
    <cellStyle name="Percent 15 3 2 4" xfId="31154" xr:uid="{00000000-0005-0000-0000-0000F14B0000}"/>
    <cellStyle name="Percent 15 3 2 5" xfId="16648" xr:uid="{00000000-0005-0000-0000-0000F24B0000}"/>
    <cellStyle name="Percent 15 3 2_TOM TAT" xfId="11833" xr:uid="{00000000-0005-0000-0000-0000F34B0000}"/>
    <cellStyle name="Percent 15 3 3" xfId="11834" xr:uid="{00000000-0005-0000-0000-0000F44B0000}"/>
    <cellStyle name="Percent 15 3 3 2" xfId="11835" xr:uid="{00000000-0005-0000-0000-0000F54B0000}"/>
    <cellStyle name="Percent 15 3 3 2 2" xfId="11836" xr:uid="{00000000-0005-0000-0000-0000F64B0000}"/>
    <cellStyle name="Percent 15 3 3 2 2 2" xfId="31160" xr:uid="{00000000-0005-0000-0000-0000F74B0000}"/>
    <cellStyle name="Percent 15 3 3 2 2 3" xfId="16654" xr:uid="{00000000-0005-0000-0000-0000F84B0000}"/>
    <cellStyle name="Percent 15 3 3 2 2_TOM TAT" xfId="23579" xr:uid="{00000000-0005-0000-0000-0000F94B0000}"/>
    <cellStyle name="Percent 15 3 3 2 3" xfId="31159" xr:uid="{00000000-0005-0000-0000-0000FA4B0000}"/>
    <cellStyle name="Percent 15 3 3 2 4" xfId="16653" xr:uid="{00000000-0005-0000-0000-0000FB4B0000}"/>
    <cellStyle name="Percent 15 3 3 2_TOM TAT" xfId="11837" xr:uid="{00000000-0005-0000-0000-0000FC4B0000}"/>
    <cellStyle name="Percent 15 3 3 3" xfId="11838" xr:uid="{00000000-0005-0000-0000-0000FD4B0000}"/>
    <cellStyle name="Percent 15 3 3 3 2" xfId="31161" xr:uid="{00000000-0005-0000-0000-0000FE4B0000}"/>
    <cellStyle name="Percent 15 3 3 3 3" xfId="16655" xr:uid="{00000000-0005-0000-0000-0000FF4B0000}"/>
    <cellStyle name="Percent 15 3 3 3_TOM TAT" xfId="23580" xr:uid="{00000000-0005-0000-0000-0000004C0000}"/>
    <cellStyle name="Percent 15 3 3 4" xfId="31158" xr:uid="{00000000-0005-0000-0000-0000014C0000}"/>
    <cellStyle name="Percent 15 3 3 5" xfId="16652" xr:uid="{00000000-0005-0000-0000-0000024C0000}"/>
    <cellStyle name="Percent 15 3 3_TOM TAT" xfId="11839" xr:uid="{00000000-0005-0000-0000-0000034C0000}"/>
    <cellStyle name="Percent 15 3 4" xfId="11840" xr:uid="{00000000-0005-0000-0000-0000044C0000}"/>
    <cellStyle name="Percent 15 3 4 2" xfId="11841" xr:uid="{00000000-0005-0000-0000-0000054C0000}"/>
    <cellStyle name="Percent 15 3 4 2 2" xfId="31163" xr:uid="{00000000-0005-0000-0000-0000064C0000}"/>
    <cellStyle name="Percent 15 3 4 2 3" xfId="16657" xr:uid="{00000000-0005-0000-0000-0000074C0000}"/>
    <cellStyle name="Percent 15 3 4 2_TOM TAT" xfId="23581" xr:uid="{00000000-0005-0000-0000-0000084C0000}"/>
    <cellStyle name="Percent 15 3 4 3" xfId="31162" xr:uid="{00000000-0005-0000-0000-0000094C0000}"/>
    <cellStyle name="Percent 15 3 4 4" xfId="16656" xr:uid="{00000000-0005-0000-0000-00000A4C0000}"/>
    <cellStyle name="Percent 15 3 4_TOM TAT" xfId="11842" xr:uid="{00000000-0005-0000-0000-00000B4C0000}"/>
    <cellStyle name="Percent 15 3 5" xfId="11843" xr:uid="{00000000-0005-0000-0000-00000C4C0000}"/>
    <cellStyle name="Percent 15 3 5 2" xfId="31164" xr:uid="{00000000-0005-0000-0000-00000D4C0000}"/>
    <cellStyle name="Percent 15 3 5 3" xfId="16658" xr:uid="{00000000-0005-0000-0000-00000E4C0000}"/>
    <cellStyle name="Percent 15 3 5_TOM TAT" xfId="23582" xr:uid="{00000000-0005-0000-0000-00000F4C0000}"/>
    <cellStyle name="Percent 15 3 6" xfId="31153" xr:uid="{00000000-0005-0000-0000-0000104C0000}"/>
    <cellStyle name="Percent 15 3 7" xfId="16647" xr:uid="{00000000-0005-0000-0000-0000114C0000}"/>
    <cellStyle name="Percent 15 3_TOM TAT" xfId="11844" xr:uid="{00000000-0005-0000-0000-0000124C0000}"/>
    <cellStyle name="Percent 15 4" xfId="11845" xr:uid="{00000000-0005-0000-0000-0000134C0000}"/>
    <cellStyle name="Percent 15 4 2" xfId="11846" xr:uid="{00000000-0005-0000-0000-0000144C0000}"/>
    <cellStyle name="Percent 15 4 2 2" xfId="11847" xr:uid="{00000000-0005-0000-0000-0000154C0000}"/>
    <cellStyle name="Percent 15 4 2 2 2" xfId="11848" xr:uid="{00000000-0005-0000-0000-0000164C0000}"/>
    <cellStyle name="Percent 15 4 2 2 2 2" xfId="31168" xr:uid="{00000000-0005-0000-0000-0000174C0000}"/>
    <cellStyle name="Percent 15 4 2 2 2 3" xfId="16662" xr:uid="{00000000-0005-0000-0000-0000184C0000}"/>
    <cellStyle name="Percent 15 4 2 2 2_TOM TAT" xfId="23583" xr:uid="{00000000-0005-0000-0000-0000194C0000}"/>
    <cellStyle name="Percent 15 4 2 2 3" xfId="31167" xr:uid="{00000000-0005-0000-0000-00001A4C0000}"/>
    <cellStyle name="Percent 15 4 2 2 4" xfId="16661" xr:uid="{00000000-0005-0000-0000-00001B4C0000}"/>
    <cellStyle name="Percent 15 4 2 2_TOM TAT" xfId="11849" xr:uid="{00000000-0005-0000-0000-00001C4C0000}"/>
    <cellStyle name="Percent 15 4 2 3" xfId="11850" xr:uid="{00000000-0005-0000-0000-00001D4C0000}"/>
    <cellStyle name="Percent 15 4 2 3 2" xfId="31169" xr:uid="{00000000-0005-0000-0000-00001E4C0000}"/>
    <cellStyle name="Percent 15 4 2 3 3" xfId="16663" xr:uid="{00000000-0005-0000-0000-00001F4C0000}"/>
    <cellStyle name="Percent 15 4 2 3_TOM TAT" xfId="23584" xr:uid="{00000000-0005-0000-0000-0000204C0000}"/>
    <cellStyle name="Percent 15 4 2 4" xfId="31166" xr:uid="{00000000-0005-0000-0000-0000214C0000}"/>
    <cellStyle name="Percent 15 4 2 5" xfId="16660" xr:uid="{00000000-0005-0000-0000-0000224C0000}"/>
    <cellStyle name="Percent 15 4 2_TOM TAT" xfId="11851" xr:uid="{00000000-0005-0000-0000-0000234C0000}"/>
    <cellStyle name="Percent 15 4 3" xfId="11852" xr:uid="{00000000-0005-0000-0000-0000244C0000}"/>
    <cellStyle name="Percent 15 4 3 2" xfId="11853" xr:uid="{00000000-0005-0000-0000-0000254C0000}"/>
    <cellStyle name="Percent 15 4 3 2 2" xfId="31171" xr:uid="{00000000-0005-0000-0000-0000264C0000}"/>
    <cellStyle name="Percent 15 4 3 2 3" xfId="16665" xr:uid="{00000000-0005-0000-0000-0000274C0000}"/>
    <cellStyle name="Percent 15 4 3 2_TOM TAT" xfId="23585" xr:uid="{00000000-0005-0000-0000-0000284C0000}"/>
    <cellStyle name="Percent 15 4 3 3" xfId="31170" xr:uid="{00000000-0005-0000-0000-0000294C0000}"/>
    <cellStyle name="Percent 15 4 3 4" xfId="16664" xr:uid="{00000000-0005-0000-0000-00002A4C0000}"/>
    <cellStyle name="Percent 15 4 3_TOM TAT" xfId="11854" xr:uid="{00000000-0005-0000-0000-00002B4C0000}"/>
    <cellStyle name="Percent 15 4 4" xfId="11855" xr:uid="{00000000-0005-0000-0000-00002C4C0000}"/>
    <cellStyle name="Percent 15 4 4 2" xfId="31172" xr:uid="{00000000-0005-0000-0000-00002D4C0000}"/>
    <cellStyle name="Percent 15 4 4 3" xfId="16666" xr:uid="{00000000-0005-0000-0000-00002E4C0000}"/>
    <cellStyle name="Percent 15 4 4_TOM TAT" xfId="23586" xr:uid="{00000000-0005-0000-0000-00002F4C0000}"/>
    <cellStyle name="Percent 15 4 5" xfId="31165" xr:uid="{00000000-0005-0000-0000-0000304C0000}"/>
    <cellStyle name="Percent 15 4 6" xfId="16659" xr:uid="{00000000-0005-0000-0000-0000314C0000}"/>
    <cellStyle name="Percent 15 4_TOM TAT" xfId="11856" xr:uid="{00000000-0005-0000-0000-0000324C0000}"/>
    <cellStyle name="Percent 15 5" xfId="11857" xr:uid="{00000000-0005-0000-0000-0000334C0000}"/>
    <cellStyle name="Percent 15 5 2" xfId="11858" xr:uid="{00000000-0005-0000-0000-0000344C0000}"/>
    <cellStyle name="Percent 15 5 2 2" xfId="11859" xr:uid="{00000000-0005-0000-0000-0000354C0000}"/>
    <cellStyle name="Percent 15 5 2 2 2" xfId="31175" xr:uid="{00000000-0005-0000-0000-0000364C0000}"/>
    <cellStyle name="Percent 15 5 2 2 3" xfId="16669" xr:uid="{00000000-0005-0000-0000-0000374C0000}"/>
    <cellStyle name="Percent 15 5 2 2_TOM TAT" xfId="23587" xr:uid="{00000000-0005-0000-0000-0000384C0000}"/>
    <cellStyle name="Percent 15 5 2 3" xfId="31174" xr:uid="{00000000-0005-0000-0000-0000394C0000}"/>
    <cellStyle name="Percent 15 5 2 4" xfId="16668" xr:uid="{00000000-0005-0000-0000-00003A4C0000}"/>
    <cellStyle name="Percent 15 5 2_TOM TAT" xfId="11860" xr:uid="{00000000-0005-0000-0000-00003B4C0000}"/>
    <cellStyle name="Percent 15 5 3" xfId="11861" xr:uid="{00000000-0005-0000-0000-00003C4C0000}"/>
    <cellStyle name="Percent 15 5 3 2" xfId="31176" xr:uid="{00000000-0005-0000-0000-00003D4C0000}"/>
    <cellStyle name="Percent 15 5 3 3" xfId="16670" xr:uid="{00000000-0005-0000-0000-00003E4C0000}"/>
    <cellStyle name="Percent 15 5 3_TOM TAT" xfId="23588" xr:uid="{00000000-0005-0000-0000-00003F4C0000}"/>
    <cellStyle name="Percent 15 5 4" xfId="31173" xr:uid="{00000000-0005-0000-0000-0000404C0000}"/>
    <cellStyle name="Percent 15 5 5" xfId="16667" xr:uid="{00000000-0005-0000-0000-0000414C0000}"/>
    <cellStyle name="Percent 15 5_TOM TAT" xfId="11862" xr:uid="{00000000-0005-0000-0000-0000424C0000}"/>
    <cellStyle name="Percent 15 6" xfId="11863" xr:uid="{00000000-0005-0000-0000-0000434C0000}"/>
    <cellStyle name="Percent 15 6 2" xfId="11864" xr:uid="{00000000-0005-0000-0000-0000444C0000}"/>
    <cellStyle name="Percent 15 6 2 2" xfId="31178" xr:uid="{00000000-0005-0000-0000-0000454C0000}"/>
    <cellStyle name="Percent 15 6 2 3" xfId="16672" xr:uid="{00000000-0005-0000-0000-0000464C0000}"/>
    <cellStyle name="Percent 15 6 2_TOM TAT" xfId="23589" xr:uid="{00000000-0005-0000-0000-0000474C0000}"/>
    <cellStyle name="Percent 15 6 3" xfId="31177" xr:uid="{00000000-0005-0000-0000-0000484C0000}"/>
    <cellStyle name="Percent 15 6 4" xfId="16671" xr:uid="{00000000-0005-0000-0000-0000494C0000}"/>
    <cellStyle name="Percent 15 6_TOM TAT" xfId="11865" xr:uid="{00000000-0005-0000-0000-00004A4C0000}"/>
    <cellStyle name="Percent 15 7" xfId="11866" xr:uid="{00000000-0005-0000-0000-00004B4C0000}"/>
    <cellStyle name="Percent 15 7 2" xfId="31179" xr:uid="{00000000-0005-0000-0000-00004C4C0000}"/>
    <cellStyle name="Percent 15 7 3" xfId="16673" xr:uid="{00000000-0005-0000-0000-00004D4C0000}"/>
    <cellStyle name="Percent 15 7_TOM TAT" xfId="23590" xr:uid="{00000000-0005-0000-0000-00004E4C0000}"/>
    <cellStyle name="Percent 15 8" xfId="18596" xr:uid="{00000000-0005-0000-0000-00004F4C0000}"/>
    <cellStyle name="Percent 15 8 2" xfId="31763" xr:uid="{00000000-0005-0000-0000-0000504C0000}"/>
    <cellStyle name="Percent 15 8_TOM TAT" xfId="23591" xr:uid="{00000000-0005-0000-0000-0000514C0000}"/>
    <cellStyle name="Percent 15 9" xfId="18916" xr:uid="{00000000-0005-0000-0000-0000524C0000}"/>
    <cellStyle name="Percent 15 9 2" xfId="31841" xr:uid="{00000000-0005-0000-0000-0000534C0000}"/>
    <cellStyle name="Percent 15 9_TOM TAT" xfId="23592" xr:uid="{00000000-0005-0000-0000-0000544C0000}"/>
    <cellStyle name="Percent 15_TOM TAT" xfId="11867" xr:uid="{00000000-0005-0000-0000-0000554C0000}"/>
    <cellStyle name="Percent 16" xfId="4843" xr:uid="{00000000-0005-0000-0000-0000564C0000}"/>
    <cellStyle name="Percent 16 2" xfId="5633" xr:uid="{00000000-0005-0000-0000-0000574C0000}"/>
    <cellStyle name="Percent 16 2 2" xfId="11868" xr:uid="{00000000-0005-0000-0000-0000584C0000}"/>
    <cellStyle name="Percent 16 2 2 2" xfId="11869" xr:uid="{00000000-0005-0000-0000-0000594C0000}"/>
    <cellStyle name="Percent 16 2 2 2 2" xfId="11870" xr:uid="{00000000-0005-0000-0000-00005A4C0000}"/>
    <cellStyle name="Percent 16 2 2 2 2 2" xfId="11871" xr:uid="{00000000-0005-0000-0000-00005B4C0000}"/>
    <cellStyle name="Percent 16 2 2 2 2 2 2" xfId="31183" xr:uid="{00000000-0005-0000-0000-00005C4C0000}"/>
    <cellStyle name="Percent 16 2 2 2 2 2 3" xfId="16677" xr:uid="{00000000-0005-0000-0000-00005D4C0000}"/>
    <cellStyle name="Percent 16 2 2 2 2 2_TOM TAT" xfId="23593" xr:uid="{00000000-0005-0000-0000-00005E4C0000}"/>
    <cellStyle name="Percent 16 2 2 2 2 3" xfId="31182" xr:uid="{00000000-0005-0000-0000-00005F4C0000}"/>
    <cellStyle name="Percent 16 2 2 2 2 4" xfId="16676" xr:uid="{00000000-0005-0000-0000-0000604C0000}"/>
    <cellStyle name="Percent 16 2 2 2 2_TOM TAT" xfId="11872" xr:uid="{00000000-0005-0000-0000-0000614C0000}"/>
    <cellStyle name="Percent 16 2 2 2 3" xfId="11873" xr:uid="{00000000-0005-0000-0000-0000624C0000}"/>
    <cellStyle name="Percent 16 2 2 2 3 2" xfId="31184" xr:uid="{00000000-0005-0000-0000-0000634C0000}"/>
    <cellStyle name="Percent 16 2 2 2 3 3" xfId="16678" xr:uid="{00000000-0005-0000-0000-0000644C0000}"/>
    <cellStyle name="Percent 16 2 2 2 3_TOM TAT" xfId="23594" xr:uid="{00000000-0005-0000-0000-0000654C0000}"/>
    <cellStyle name="Percent 16 2 2 2 4" xfId="31181" xr:uid="{00000000-0005-0000-0000-0000664C0000}"/>
    <cellStyle name="Percent 16 2 2 2 5" xfId="16675" xr:uid="{00000000-0005-0000-0000-0000674C0000}"/>
    <cellStyle name="Percent 16 2 2 2_TOM TAT" xfId="11874" xr:uid="{00000000-0005-0000-0000-0000684C0000}"/>
    <cellStyle name="Percent 16 2 2 3" xfId="11875" xr:uid="{00000000-0005-0000-0000-0000694C0000}"/>
    <cellStyle name="Percent 16 2 2 3 2" xfId="11876" xr:uid="{00000000-0005-0000-0000-00006A4C0000}"/>
    <cellStyle name="Percent 16 2 2 3 2 2" xfId="11877" xr:uid="{00000000-0005-0000-0000-00006B4C0000}"/>
    <cellStyle name="Percent 16 2 2 3 2 2 2" xfId="31187" xr:uid="{00000000-0005-0000-0000-00006C4C0000}"/>
    <cellStyle name="Percent 16 2 2 3 2 2 3" xfId="16681" xr:uid="{00000000-0005-0000-0000-00006D4C0000}"/>
    <cellStyle name="Percent 16 2 2 3 2 2_TOM TAT" xfId="23595" xr:uid="{00000000-0005-0000-0000-00006E4C0000}"/>
    <cellStyle name="Percent 16 2 2 3 2 3" xfId="31186" xr:uid="{00000000-0005-0000-0000-00006F4C0000}"/>
    <cellStyle name="Percent 16 2 2 3 2 4" xfId="16680" xr:uid="{00000000-0005-0000-0000-0000704C0000}"/>
    <cellStyle name="Percent 16 2 2 3 2_TOM TAT" xfId="11878" xr:uid="{00000000-0005-0000-0000-0000714C0000}"/>
    <cellStyle name="Percent 16 2 2 3 3" xfId="11879" xr:uid="{00000000-0005-0000-0000-0000724C0000}"/>
    <cellStyle name="Percent 16 2 2 3 3 2" xfId="31188" xr:uid="{00000000-0005-0000-0000-0000734C0000}"/>
    <cellStyle name="Percent 16 2 2 3 3 3" xfId="16682" xr:uid="{00000000-0005-0000-0000-0000744C0000}"/>
    <cellStyle name="Percent 16 2 2 3 3_TOM TAT" xfId="23596" xr:uid="{00000000-0005-0000-0000-0000754C0000}"/>
    <cellStyle name="Percent 16 2 2 3 4" xfId="31185" xr:uid="{00000000-0005-0000-0000-0000764C0000}"/>
    <cellStyle name="Percent 16 2 2 3 5" xfId="16679" xr:uid="{00000000-0005-0000-0000-0000774C0000}"/>
    <cellStyle name="Percent 16 2 2 3_TOM TAT" xfId="11880" xr:uid="{00000000-0005-0000-0000-0000784C0000}"/>
    <cellStyle name="Percent 16 2 2 4" xfId="11881" xr:uid="{00000000-0005-0000-0000-0000794C0000}"/>
    <cellStyle name="Percent 16 2 2 4 2" xfId="11882" xr:uid="{00000000-0005-0000-0000-00007A4C0000}"/>
    <cellStyle name="Percent 16 2 2 4 2 2" xfId="31190" xr:uid="{00000000-0005-0000-0000-00007B4C0000}"/>
    <cellStyle name="Percent 16 2 2 4 2 3" xfId="16684" xr:uid="{00000000-0005-0000-0000-00007C4C0000}"/>
    <cellStyle name="Percent 16 2 2 4 2_TOM TAT" xfId="23597" xr:uid="{00000000-0005-0000-0000-00007D4C0000}"/>
    <cellStyle name="Percent 16 2 2 4 3" xfId="31189" xr:uid="{00000000-0005-0000-0000-00007E4C0000}"/>
    <cellStyle name="Percent 16 2 2 4 4" xfId="16683" xr:uid="{00000000-0005-0000-0000-00007F4C0000}"/>
    <cellStyle name="Percent 16 2 2 4_TOM TAT" xfId="11883" xr:uid="{00000000-0005-0000-0000-0000804C0000}"/>
    <cellStyle name="Percent 16 2 2 5" xfId="11884" xr:uid="{00000000-0005-0000-0000-0000814C0000}"/>
    <cellStyle name="Percent 16 2 2 5 2" xfId="31191" xr:uid="{00000000-0005-0000-0000-0000824C0000}"/>
    <cellStyle name="Percent 16 2 2 5 3" xfId="16685" xr:uid="{00000000-0005-0000-0000-0000834C0000}"/>
    <cellStyle name="Percent 16 2 2 5_TOM TAT" xfId="23598" xr:uid="{00000000-0005-0000-0000-0000844C0000}"/>
    <cellStyle name="Percent 16 2 2 6" xfId="31180" xr:uid="{00000000-0005-0000-0000-0000854C0000}"/>
    <cellStyle name="Percent 16 2 2 7" xfId="16674" xr:uid="{00000000-0005-0000-0000-0000864C0000}"/>
    <cellStyle name="Percent 16 2 2_TOM TAT" xfId="11885" xr:uid="{00000000-0005-0000-0000-0000874C0000}"/>
    <cellStyle name="Percent 16 2 3" xfId="11886" xr:uid="{00000000-0005-0000-0000-0000884C0000}"/>
    <cellStyle name="Percent 16 2 3 2" xfId="11887" xr:uid="{00000000-0005-0000-0000-0000894C0000}"/>
    <cellStyle name="Percent 16 2 3 2 2" xfId="11888" xr:uid="{00000000-0005-0000-0000-00008A4C0000}"/>
    <cellStyle name="Percent 16 2 3 2 2 2" xfId="11889" xr:uid="{00000000-0005-0000-0000-00008B4C0000}"/>
    <cellStyle name="Percent 16 2 3 2 2 2 2" xfId="31195" xr:uid="{00000000-0005-0000-0000-00008C4C0000}"/>
    <cellStyle name="Percent 16 2 3 2 2 2 3" xfId="16689" xr:uid="{00000000-0005-0000-0000-00008D4C0000}"/>
    <cellStyle name="Percent 16 2 3 2 2 2_TOM TAT" xfId="23599" xr:uid="{00000000-0005-0000-0000-00008E4C0000}"/>
    <cellStyle name="Percent 16 2 3 2 2 3" xfId="31194" xr:uid="{00000000-0005-0000-0000-00008F4C0000}"/>
    <cellStyle name="Percent 16 2 3 2 2 4" xfId="16688" xr:uid="{00000000-0005-0000-0000-0000904C0000}"/>
    <cellStyle name="Percent 16 2 3 2 2_TOM TAT" xfId="11890" xr:uid="{00000000-0005-0000-0000-0000914C0000}"/>
    <cellStyle name="Percent 16 2 3 2 3" xfId="11891" xr:uid="{00000000-0005-0000-0000-0000924C0000}"/>
    <cellStyle name="Percent 16 2 3 2 3 2" xfId="31196" xr:uid="{00000000-0005-0000-0000-0000934C0000}"/>
    <cellStyle name="Percent 16 2 3 2 3 3" xfId="16690" xr:uid="{00000000-0005-0000-0000-0000944C0000}"/>
    <cellStyle name="Percent 16 2 3 2 3_TOM TAT" xfId="23600" xr:uid="{00000000-0005-0000-0000-0000954C0000}"/>
    <cellStyle name="Percent 16 2 3 2 4" xfId="31193" xr:uid="{00000000-0005-0000-0000-0000964C0000}"/>
    <cellStyle name="Percent 16 2 3 2 5" xfId="16687" xr:uid="{00000000-0005-0000-0000-0000974C0000}"/>
    <cellStyle name="Percent 16 2 3 2_TOM TAT" xfId="11892" xr:uid="{00000000-0005-0000-0000-0000984C0000}"/>
    <cellStyle name="Percent 16 2 3 3" xfId="11893" xr:uid="{00000000-0005-0000-0000-0000994C0000}"/>
    <cellStyle name="Percent 16 2 3 3 2" xfId="11894" xr:uid="{00000000-0005-0000-0000-00009A4C0000}"/>
    <cellStyle name="Percent 16 2 3 3 2 2" xfId="31198" xr:uid="{00000000-0005-0000-0000-00009B4C0000}"/>
    <cellStyle name="Percent 16 2 3 3 2 3" xfId="16692" xr:uid="{00000000-0005-0000-0000-00009C4C0000}"/>
    <cellStyle name="Percent 16 2 3 3 2_TOM TAT" xfId="23601" xr:uid="{00000000-0005-0000-0000-00009D4C0000}"/>
    <cellStyle name="Percent 16 2 3 3 3" xfId="31197" xr:uid="{00000000-0005-0000-0000-00009E4C0000}"/>
    <cellStyle name="Percent 16 2 3 3 4" xfId="16691" xr:uid="{00000000-0005-0000-0000-00009F4C0000}"/>
    <cellStyle name="Percent 16 2 3 3_TOM TAT" xfId="11895" xr:uid="{00000000-0005-0000-0000-0000A04C0000}"/>
    <cellStyle name="Percent 16 2 3 4" xfId="11896" xr:uid="{00000000-0005-0000-0000-0000A14C0000}"/>
    <cellStyle name="Percent 16 2 3 4 2" xfId="31199" xr:uid="{00000000-0005-0000-0000-0000A24C0000}"/>
    <cellStyle name="Percent 16 2 3 4 3" xfId="16693" xr:uid="{00000000-0005-0000-0000-0000A34C0000}"/>
    <cellStyle name="Percent 16 2 3 4_TOM TAT" xfId="23602" xr:uid="{00000000-0005-0000-0000-0000A44C0000}"/>
    <cellStyle name="Percent 16 2 3 5" xfId="31192" xr:uid="{00000000-0005-0000-0000-0000A54C0000}"/>
    <cellStyle name="Percent 16 2 3 6" xfId="16686" xr:uid="{00000000-0005-0000-0000-0000A64C0000}"/>
    <cellStyle name="Percent 16 2 3_TOM TAT" xfId="11897" xr:uid="{00000000-0005-0000-0000-0000A74C0000}"/>
    <cellStyle name="Percent 16 2 4" xfId="11898" xr:uid="{00000000-0005-0000-0000-0000A84C0000}"/>
    <cellStyle name="Percent 16 2 4 2" xfId="11899" xr:uid="{00000000-0005-0000-0000-0000A94C0000}"/>
    <cellStyle name="Percent 16 2 4 2 2" xfId="11900" xr:uid="{00000000-0005-0000-0000-0000AA4C0000}"/>
    <cellStyle name="Percent 16 2 4 2 2 2" xfId="31202" xr:uid="{00000000-0005-0000-0000-0000AB4C0000}"/>
    <cellStyle name="Percent 16 2 4 2 2 3" xfId="16696" xr:uid="{00000000-0005-0000-0000-0000AC4C0000}"/>
    <cellStyle name="Percent 16 2 4 2 2_TOM TAT" xfId="23603" xr:uid="{00000000-0005-0000-0000-0000AD4C0000}"/>
    <cellStyle name="Percent 16 2 4 2 3" xfId="31201" xr:uid="{00000000-0005-0000-0000-0000AE4C0000}"/>
    <cellStyle name="Percent 16 2 4 2 4" xfId="16695" xr:uid="{00000000-0005-0000-0000-0000AF4C0000}"/>
    <cellStyle name="Percent 16 2 4 2_TOM TAT" xfId="11901" xr:uid="{00000000-0005-0000-0000-0000B04C0000}"/>
    <cellStyle name="Percent 16 2 4 3" xfId="11902" xr:uid="{00000000-0005-0000-0000-0000B14C0000}"/>
    <cellStyle name="Percent 16 2 4 3 2" xfId="31203" xr:uid="{00000000-0005-0000-0000-0000B24C0000}"/>
    <cellStyle name="Percent 16 2 4 3 3" xfId="16697" xr:uid="{00000000-0005-0000-0000-0000B34C0000}"/>
    <cellStyle name="Percent 16 2 4 3_TOM TAT" xfId="23604" xr:uid="{00000000-0005-0000-0000-0000B44C0000}"/>
    <cellStyle name="Percent 16 2 4 4" xfId="31200" xr:uid="{00000000-0005-0000-0000-0000B54C0000}"/>
    <cellStyle name="Percent 16 2 4 5" xfId="16694" xr:uid="{00000000-0005-0000-0000-0000B64C0000}"/>
    <cellStyle name="Percent 16 2 4_TOM TAT" xfId="11903" xr:uid="{00000000-0005-0000-0000-0000B74C0000}"/>
    <cellStyle name="Percent 16 2 5" xfId="11904" xr:uid="{00000000-0005-0000-0000-0000B84C0000}"/>
    <cellStyle name="Percent 16 2 6" xfId="11905" xr:uid="{00000000-0005-0000-0000-0000B94C0000}"/>
    <cellStyle name="Percent 16 2 6 2" xfId="11906" xr:uid="{00000000-0005-0000-0000-0000BA4C0000}"/>
    <cellStyle name="Percent 16 2 6 2 2" xfId="31205" xr:uid="{00000000-0005-0000-0000-0000BB4C0000}"/>
    <cellStyle name="Percent 16 2 6 2 3" xfId="16699" xr:uid="{00000000-0005-0000-0000-0000BC4C0000}"/>
    <cellStyle name="Percent 16 2 6 2_TOM TAT" xfId="23605" xr:uid="{00000000-0005-0000-0000-0000BD4C0000}"/>
    <cellStyle name="Percent 16 2 6 3" xfId="31204" xr:uid="{00000000-0005-0000-0000-0000BE4C0000}"/>
    <cellStyle name="Percent 16 2 6 4" xfId="16698" xr:uid="{00000000-0005-0000-0000-0000BF4C0000}"/>
    <cellStyle name="Percent 16 2 6_TOM TAT" xfId="11907" xr:uid="{00000000-0005-0000-0000-0000C04C0000}"/>
    <cellStyle name="Percent 16 2 7" xfId="18671" xr:uid="{00000000-0005-0000-0000-0000C14C0000}"/>
    <cellStyle name="Percent 16 2 7 2" xfId="31791" xr:uid="{00000000-0005-0000-0000-0000C24C0000}"/>
    <cellStyle name="Percent 16 2 7_TOM TAT" xfId="23606" xr:uid="{00000000-0005-0000-0000-0000C34C0000}"/>
    <cellStyle name="Percent 16 2 8" xfId="18946" xr:uid="{00000000-0005-0000-0000-0000C44C0000}"/>
    <cellStyle name="Percent 16 2 8 2" xfId="31863" xr:uid="{00000000-0005-0000-0000-0000C54C0000}"/>
    <cellStyle name="Percent 16 2 8_TOM TAT" xfId="23607" xr:uid="{00000000-0005-0000-0000-0000C64C0000}"/>
    <cellStyle name="Percent 16 2_TOM TAT" xfId="11908" xr:uid="{00000000-0005-0000-0000-0000C74C0000}"/>
    <cellStyle name="Percent 16 3" xfId="11909" xr:uid="{00000000-0005-0000-0000-0000C84C0000}"/>
    <cellStyle name="Percent 16 3 2" xfId="11910" xr:uid="{00000000-0005-0000-0000-0000C94C0000}"/>
    <cellStyle name="Percent 16 3 2 2" xfId="11911" xr:uid="{00000000-0005-0000-0000-0000CA4C0000}"/>
    <cellStyle name="Percent 16 3 2 2 2" xfId="11912" xr:uid="{00000000-0005-0000-0000-0000CB4C0000}"/>
    <cellStyle name="Percent 16 3 2 2 2 2" xfId="31209" xr:uid="{00000000-0005-0000-0000-0000CC4C0000}"/>
    <cellStyle name="Percent 16 3 2 2 2 3" xfId="16703" xr:uid="{00000000-0005-0000-0000-0000CD4C0000}"/>
    <cellStyle name="Percent 16 3 2 2 2_TOM TAT" xfId="23608" xr:uid="{00000000-0005-0000-0000-0000CE4C0000}"/>
    <cellStyle name="Percent 16 3 2 2 3" xfId="31208" xr:uid="{00000000-0005-0000-0000-0000CF4C0000}"/>
    <cellStyle name="Percent 16 3 2 2 4" xfId="16702" xr:uid="{00000000-0005-0000-0000-0000D04C0000}"/>
    <cellStyle name="Percent 16 3 2 2_TOM TAT" xfId="11913" xr:uid="{00000000-0005-0000-0000-0000D14C0000}"/>
    <cellStyle name="Percent 16 3 2 3" xfId="11914" xr:uid="{00000000-0005-0000-0000-0000D24C0000}"/>
    <cellStyle name="Percent 16 3 2 3 2" xfId="31210" xr:uid="{00000000-0005-0000-0000-0000D34C0000}"/>
    <cellStyle name="Percent 16 3 2 3 3" xfId="16704" xr:uid="{00000000-0005-0000-0000-0000D44C0000}"/>
    <cellStyle name="Percent 16 3 2 3_TOM TAT" xfId="23609" xr:uid="{00000000-0005-0000-0000-0000D54C0000}"/>
    <cellStyle name="Percent 16 3 2 4" xfId="31207" xr:uid="{00000000-0005-0000-0000-0000D64C0000}"/>
    <cellStyle name="Percent 16 3 2 5" xfId="16701" xr:uid="{00000000-0005-0000-0000-0000D74C0000}"/>
    <cellStyle name="Percent 16 3 2_TOM TAT" xfId="11915" xr:uid="{00000000-0005-0000-0000-0000D84C0000}"/>
    <cellStyle name="Percent 16 3 3" xfId="11916" xr:uid="{00000000-0005-0000-0000-0000D94C0000}"/>
    <cellStyle name="Percent 16 3 3 2" xfId="11917" xr:uid="{00000000-0005-0000-0000-0000DA4C0000}"/>
    <cellStyle name="Percent 16 3 3 2 2" xfId="11918" xr:uid="{00000000-0005-0000-0000-0000DB4C0000}"/>
    <cellStyle name="Percent 16 3 3 2 2 2" xfId="31213" xr:uid="{00000000-0005-0000-0000-0000DC4C0000}"/>
    <cellStyle name="Percent 16 3 3 2 2 3" xfId="16707" xr:uid="{00000000-0005-0000-0000-0000DD4C0000}"/>
    <cellStyle name="Percent 16 3 3 2 2_TOM TAT" xfId="23610" xr:uid="{00000000-0005-0000-0000-0000DE4C0000}"/>
    <cellStyle name="Percent 16 3 3 2 3" xfId="31212" xr:uid="{00000000-0005-0000-0000-0000DF4C0000}"/>
    <cellStyle name="Percent 16 3 3 2 4" xfId="16706" xr:uid="{00000000-0005-0000-0000-0000E04C0000}"/>
    <cellStyle name="Percent 16 3 3 2_TOM TAT" xfId="11919" xr:uid="{00000000-0005-0000-0000-0000E14C0000}"/>
    <cellStyle name="Percent 16 3 3 3" xfId="11920" xr:uid="{00000000-0005-0000-0000-0000E24C0000}"/>
    <cellStyle name="Percent 16 3 3 3 2" xfId="31214" xr:uid="{00000000-0005-0000-0000-0000E34C0000}"/>
    <cellStyle name="Percent 16 3 3 3 3" xfId="16708" xr:uid="{00000000-0005-0000-0000-0000E44C0000}"/>
    <cellStyle name="Percent 16 3 3 3_TOM TAT" xfId="23611" xr:uid="{00000000-0005-0000-0000-0000E54C0000}"/>
    <cellStyle name="Percent 16 3 3 4" xfId="31211" xr:uid="{00000000-0005-0000-0000-0000E64C0000}"/>
    <cellStyle name="Percent 16 3 3 5" xfId="16705" xr:uid="{00000000-0005-0000-0000-0000E74C0000}"/>
    <cellStyle name="Percent 16 3 3_TOM TAT" xfId="11921" xr:uid="{00000000-0005-0000-0000-0000E84C0000}"/>
    <cellStyle name="Percent 16 3 4" xfId="11922" xr:uid="{00000000-0005-0000-0000-0000E94C0000}"/>
    <cellStyle name="Percent 16 3 4 2" xfId="11923" xr:uid="{00000000-0005-0000-0000-0000EA4C0000}"/>
    <cellStyle name="Percent 16 3 4 2 2" xfId="31216" xr:uid="{00000000-0005-0000-0000-0000EB4C0000}"/>
    <cellStyle name="Percent 16 3 4 2 3" xfId="16710" xr:uid="{00000000-0005-0000-0000-0000EC4C0000}"/>
    <cellStyle name="Percent 16 3 4 2_TOM TAT" xfId="23612" xr:uid="{00000000-0005-0000-0000-0000ED4C0000}"/>
    <cellStyle name="Percent 16 3 4 3" xfId="31215" xr:uid="{00000000-0005-0000-0000-0000EE4C0000}"/>
    <cellStyle name="Percent 16 3 4 4" xfId="16709" xr:uid="{00000000-0005-0000-0000-0000EF4C0000}"/>
    <cellStyle name="Percent 16 3 4_TOM TAT" xfId="11924" xr:uid="{00000000-0005-0000-0000-0000F04C0000}"/>
    <cellStyle name="Percent 16 3 5" xfId="11925" xr:uid="{00000000-0005-0000-0000-0000F14C0000}"/>
    <cellStyle name="Percent 16 3 5 2" xfId="31217" xr:uid="{00000000-0005-0000-0000-0000F24C0000}"/>
    <cellStyle name="Percent 16 3 5 3" xfId="16711" xr:uid="{00000000-0005-0000-0000-0000F34C0000}"/>
    <cellStyle name="Percent 16 3 5_TOM TAT" xfId="23613" xr:uid="{00000000-0005-0000-0000-0000F44C0000}"/>
    <cellStyle name="Percent 16 3 6" xfId="31206" xr:uid="{00000000-0005-0000-0000-0000F54C0000}"/>
    <cellStyle name="Percent 16 3 7" xfId="16700" xr:uid="{00000000-0005-0000-0000-0000F64C0000}"/>
    <cellStyle name="Percent 16 3_TOM TAT" xfId="11926" xr:uid="{00000000-0005-0000-0000-0000F74C0000}"/>
    <cellStyle name="Percent 16 4" xfId="11927" xr:uid="{00000000-0005-0000-0000-0000F84C0000}"/>
    <cellStyle name="Percent 16 4 2" xfId="11928" xr:uid="{00000000-0005-0000-0000-0000F94C0000}"/>
    <cellStyle name="Percent 16 4 2 2" xfId="11929" xr:uid="{00000000-0005-0000-0000-0000FA4C0000}"/>
    <cellStyle name="Percent 16 4 2 2 2" xfId="11930" xr:uid="{00000000-0005-0000-0000-0000FB4C0000}"/>
    <cellStyle name="Percent 16 4 2 2 2 2" xfId="31221" xr:uid="{00000000-0005-0000-0000-0000FC4C0000}"/>
    <cellStyle name="Percent 16 4 2 2 2 3" xfId="16715" xr:uid="{00000000-0005-0000-0000-0000FD4C0000}"/>
    <cellStyle name="Percent 16 4 2 2 2_TOM TAT" xfId="23614" xr:uid="{00000000-0005-0000-0000-0000FE4C0000}"/>
    <cellStyle name="Percent 16 4 2 2 3" xfId="31220" xr:uid="{00000000-0005-0000-0000-0000FF4C0000}"/>
    <cellStyle name="Percent 16 4 2 2 4" xfId="16714" xr:uid="{00000000-0005-0000-0000-0000004D0000}"/>
    <cellStyle name="Percent 16 4 2 2_TOM TAT" xfId="11931" xr:uid="{00000000-0005-0000-0000-0000014D0000}"/>
    <cellStyle name="Percent 16 4 2 3" xfId="11932" xr:uid="{00000000-0005-0000-0000-0000024D0000}"/>
    <cellStyle name="Percent 16 4 2 3 2" xfId="31222" xr:uid="{00000000-0005-0000-0000-0000034D0000}"/>
    <cellStyle name="Percent 16 4 2 3 3" xfId="16716" xr:uid="{00000000-0005-0000-0000-0000044D0000}"/>
    <cellStyle name="Percent 16 4 2 3_TOM TAT" xfId="23615" xr:uid="{00000000-0005-0000-0000-0000054D0000}"/>
    <cellStyle name="Percent 16 4 2 4" xfId="31219" xr:uid="{00000000-0005-0000-0000-0000064D0000}"/>
    <cellStyle name="Percent 16 4 2 5" xfId="16713" xr:uid="{00000000-0005-0000-0000-0000074D0000}"/>
    <cellStyle name="Percent 16 4 2_TOM TAT" xfId="11933" xr:uid="{00000000-0005-0000-0000-0000084D0000}"/>
    <cellStyle name="Percent 16 4 3" xfId="11934" xr:uid="{00000000-0005-0000-0000-0000094D0000}"/>
    <cellStyle name="Percent 16 4 3 2" xfId="11935" xr:uid="{00000000-0005-0000-0000-00000A4D0000}"/>
    <cellStyle name="Percent 16 4 3 2 2" xfId="31224" xr:uid="{00000000-0005-0000-0000-00000B4D0000}"/>
    <cellStyle name="Percent 16 4 3 2 3" xfId="16718" xr:uid="{00000000-0005-0000-0000-00000C4D0000}"/>
    <cellStyle name="Percent 16 4 3 2_TOM TAT" xfId="23616" xr:uid="{00000000-0005-0000-0000-00000D4D0000}"/>
    <cellStyle name="Percent 16 4 3 3" xfId="31223" xr:uid="{00000000-0005-0000-0000-00000E4D0000}"/>
    <cellStyle name="Percent 16 4 3 4" xfId="16717" xr:uid="{00000000-0005-0000-0000-00000F4D0000}"/>
    <cellStyle name="Percent 16 4 3_TOM TAT" xfId="11936" xr:uid="{00000000-0005-0000-0000-0000104D0000}"/>
    <cellStyle name="Percent 16 4 4" xfId="11937" xr:uid="{00000000-0005-0000-0000-0000114D0000}"/>
    <cellStyle name="Percent 16 4 4 2" xfId="31225" xr:uid="{00000000-0005-0000-0000-0000124D0000}"/>
    <cellStyle name="Percent 16 4 4 3" xfId="16719" xr:uid="{00000000-0005-0000-0000-0000134D0000}"/>
    <cellStyle name="Percent 16 4 4_TOM TAT" xfId="23617" xr:uid="{00000000-0005-0000-0000-0000144D0000}"/>
    <cellStyle name="Percent 16 4 5" xfId="31218" xr:uid="{00000000-0005-0000-0000-0000154D0000}"/>
    <cellStyle name="Percent 16 4 6" xfId="16712" xr:uid="{00000000-0005-0000-0000-0000164D0000}"/>
    <cellStyle name="Percent 16 4_TOM TAT" xfId="11938" xr:uid="{00000000-0005-0000-0000-0000174D0000}"/>
    <cellStyle name="Percent 16 5" xfId="11939" xr:uid="{00000000-0005-0000-0000-0000184D0000}"/>
    <cellStyle name="Percent 16 5 2" xfId="11940" xr:uid="{00000000-0005-0000-0000-0000194D0000}"/>
    <cellStyle name="Percent 16 5 2 2" xfId="11941" xr:uid="{00000000-0005-0000-0000-00001A4D0000}"/>
    <cellStyle name="Percent 16 5 2 2 2" xfId="31228" xr:uid="{00000000-0005-0000-0000-00001B4D0000}"/>
    <cellStyle name="Percent 16 5 2 2 3" xfId="16722" xr:uid="{00000000-0005-0000-0000-00001C4D0000}"/>
    <cellStyle name="Percent 16 5 2 2_TOM TAT" xfId="23618" xr:uid="{00000000-0005-0000-0000-00001D4D0000}"/>
    <cellStyle name="Percent 16 5 2 3" xfId="31227" xr:uid="{00000000-0005-0000-0000-00001E4D0000}"/>
    <cellStyle name="Percent 16 5 2 4" xfId="16721" xr:uid="{00000000-0005-0000-0000-00001F4D0000}"/>
    <cellStyle name="Percent 16 5 2_TOM TAT" xfId="11942" xr:uid="{00000000-0005-0000-0000-0000204D0000}"/>
    <cellStyle name="Percent 16 5 3" xfId="11943" xr:uid="{00000000-0005-0000-0000-0000214D0000}"/>
    <cellStyle name="Percent 16 5 3 2" xfId="31229" xr:uid="{00000000-0005-0000-0000-0000224D0000}"/>
    <cellStyle name="Percent 16 5 3 3" xfId="16723" xr:uid="{00000000-0005-0000-0000-0000234D0000}"/>
    <cellStyle name="Percent 16 5 3_TOM TAT" xfId="23619" xr:uid="{00000000-0005-0000-0000-0000244D0000}"/>
    <cellStyle name="Percent 16 5 4" xfId="31226" xr:uid="{00000000-0005-0000-0000-0000254D0000}"/>
    <cellStyle name="Percent 16 5 5" xfId="16720" xr:uid="{00000000-0005-0000-0000-0000264D0000}"/>
    <cellStyle name="Percent 16 5_TOM TAT" xfId="11944" xr:uid="{00000000-0005-0000-0000-0000274D0000}"/>
    <cellStyle name="Percent 16 6" xfId="11945" xr:uid="{00000000-0005-0000-0000-0000284D0000}"/>
    <cellStyle name="Percent 16 6 2" xfId="11946" xr:uid="{00000000-0005-0000-0000-0000294D0000}"/>
    <cellStyle name="Percent 16 6 2 2" xfId="31231" xr:uid="{00000000-0005-0000-0000-00002A4D0000}"/>
    <cellStyle name="Percent 16 6 2 3" xfId="16725" xr:uid="{00000000-0005-0000-0000-00002B4D0000}"/>
    <cellStyle name="Percent 16 6 2_TOM TAT" xfId="23620" xr:uid="{00000000-0005-0000-0000-00002C4D0000}"/>
    <cellStyle name="Percent 16 6 3" xfId="31230" xr:uid="{00000000-0005-0000-0000-00002D4D0000}"/>
    <cellStyle name="Percent 16 6 4" xfId="16724" xr:uid="{00000000-0005-0000-0000-00002E4D0000}"/>
    <cellStyle name="Percent 16 6_TOM TAT" xfId="11947" xr:uid="{00000000-0005-0000-0000-00002F4D0000}"/>
    <cellStyle name="Percent 16 7" xfId="11948" xr:uid="{00000000-0005-0000-0000-0000304D0000}"/>
    <cellStyle name="Percent 16 7 2" xfId="31232" xr:uid="{00000000-0005-0000-0000-0000314D0000}"/>
    <cellStyle name="Percent 16 7 3" xfId="16726" xr:uid="{00000000-0005-0000-0000-0000324D0000}"/>
    <cellStyle name="Percent 16 7_TOM TAT" xfId="23621" xr:uid="{00000000-0005-0000-0000-0000334D0000}"/>
    <cellStyle name="Percent 16 8" xfId="18600" xr:uid="{00000000-0005-0000-0000-0000344D0000}"/>
    <cellStyle name="Percent 16 8 2" xfId="31767" xr:uid="{00000000-0005-0000-0000-0000354D0000}"/>
    <cellStyle name="Percent 16 8_TOM TAT" xfId="23622" xr:uid="{00000000-0005-0000-0000-0000364D0000}"/>
    <cellStyle name="Percent 16 9" xfId="18917" xr:uid="{00000000-0005-0000-0000-0000374D0000}"/>
    <cellStyle name="Percent 16 9 2" xfId="31842" xr:uid="{00000000-0005-0000-0000-0000384D0000}"/>
    <cellStyle name="Percent 16 9_TOM TAT" xfId="23623" xr:uid="{00000000-0005-0000-0000-0000394D0000}"/>
    <cellStyle name="Percent 16_TOM TAT" xfId="11949" xr:uid="{00000000-0005-0000-0000-00003A4D0000}"/>
    <cellStyle name="Percent 17" xfId="4852" xr:uid="{00000000-0005-0000-0000-00003B4D0000}"/>
    <cellStyle name="Percent 17 2" xfId="5634" xr:uid="{00000000-0005-0000-0000-00003C4D0000}"/>
    <cellStyle name="Percent 17 2 2" xfId="11950" xr:uid="{00000000-0005-0000-0000-00003D4D0000}"/>
    <cellStyle name="Percent 17 2 2 2" xfId="11951" xr:uid="{00000000-0005-0000-0000-00003E4D0000}"/>
    <cellStyle name="Percent 17 2 2 2 2" xfId="11952" xr:uid="{00000000-0005-0000-0000-00003F4D0000}"/>
    <cellStyle name="Percent 17 2 2 2 2 2" xfId="11953" xr:uid="{00000000-0005-0000-0000-0000404D0000}"/>
    <cellStyle name="Percent 17 2 2 2 2 2 2" xfId="31236" xr:uid="{00000000-0005-0000-0000-0000414D0000}"/>
    <cellStyle name="Percent 17 2 2 2 2 2 3" xfId="16730" xr:uid="{00000000-0005-0000-0000-0000424D0000}"/>
    <cellStyle name="Percent 17 2 2 2 2 2_TOM TAT" xfId="23624" xr:uid="{00000000-0005-0000-0000-0000434D0000}"/>
    <cellStyle name="Percent 17 2 2 2 2 3" xfId="31235" xr:uid="{00000000-0005-0000-0000-0000444D0000}"/>
    <cellStyle name="Percent 17 2 2 2 2 4" xfId="16729" xr:uid="{00000000-0005-0000-0000-0000454D0000}"/>
    <cellStyle name="Percent 17 2 2 2 2_TOM TAT" xfId="11954" xr:uid="{00000000-0005-0000-0000-0000464D0000}"/>
    <cellStyle name="Percent 17 2 2 2 3" xfId="11955" xr:uid="{00000000-0005-0000-0000-0000474D0000}"/>
    <cellStyle name="Percent 17 2 2 2 3 2" xfId="31237" xr:uid="{00000000-0005-0000-0000-0000484D0000}"/>
    <cellStyle name="Percent 17 2 2 2 3 3" xfId="16731" xr:uid="{00000000-0005-0000-0000-0000494D0000}"/>
    <cellStyle name="Percent 17 2 2 2 3_TOM TAT" xfId="23625" xr:uid="{00000000-0005-0000-0000-00004A4D0000}"/>
    <cellStyle name="Percent 17 2 2 2 4" xfId="31234" xr:uid="{00000000-0005-0000-0000-00004B4D0000}"/>
    <cellStyle name="Percent 17 2 2 2 5" xfId="16728" xr:uid="{00000000-0005-0000-0000-00004C4D0000}"/>
    <cellStyle name="Percent 17 2 2 2_TOM TAT" xfId="11956" xr:uid="{00000000-0005-0000-0000-00004D4D0000}"/>
    <cellStyle name="Percent 17 2 2 3" xfId="11957" xr:uid="{00000000-0005-0000-0000-00004E4D0000}"/>
    <cellStyle name="Percent 17 2 2 3 2" xfId="11958" xr:uid="{00000000-0005-0000-0000-00004F4D0000}"/>
    <cellStyle name="Percent 17 2 2 3 2 2" xfId="11959" xr:uid="{00000000-0005-0000-0000-0000504D0000}"/>
    <cellStyle name="Percent 17 2 2 3 2 2 2" xfId="31240" xr:uid="{00000000-0005-0000-0000-0000514D0000}"/>
    <cellStyle name="Percent 17 2 2 3 2 2 3" xfId="16734" xr:uid="{00000000-0005-0000-0000-0000524D0000}"/>
    <cellStyle name="Percent 17 2 2 3 2 2_TOM TAT" xfId="23626" xr:uid="{00000000-0005-0000-0000-0000534D0000}"/>
    <cellStyle name="Percent 17 2 2 3 2 3" xfId="31239" xr:uid="{00000000-0005-0000-0000-0000544D0000}"/>
    <cellStyle name="Percent 17 2 2 3 2 4" xfId="16733" xr:uid="{00000000-0005-0000-0000-0000554D0000}"/>
    <cellStyle name="Percent 17 2 2 3 2_TOM TAT" xfId="11960" xr:uid="{00000000-0005-0000-0000-0000564D0000}"/>
    <cellStyle name="Percent 17 2 2 3 3" xfId="11961" xr:uid="{00000000-0005-0000-0000-0000574D0000}"/>
    <cellStyle name="Percent 17 2 2 3 3 2" xfId="31241" xr:uid="{00000000-0005-0000-0000-0000584D0000}"/>
    <cellStyle name="Percent 17 2 2 3 3 3" xfId="16735" xr:uid="{00000000-0005-0000-0000-0000594D0000}"/>
    <cellStyle name="Percent 17 2 2 3 3_TOM TAT" xfId="23627" xr:uid="{00000000-0005-0000-0000-00005A4D0000}"/>
    <cellStyle name="Percent 17 2 2 3 4" xfId="31238" xr:uid="{00000000-0005-0000-0000-00005B4D0000}"/>
    <cellStyle name="Percent 17 2 2 3 5" xfId="16732" xr:uid="{00000000-0005-0000-0000-00005C4D0000}"/>
    <cellStyle name="Percent 17 2 2 3_TOM TAT" xfId="11962" xr:uid="{00000000-0005-0000-0000-00005D4D0000}"/>
    <cellStyle name="Percent 17 2 2 4" xfId="11963" xr:uid="{00000000-0005-0000-0000-00005E4D0000}"/>
    <cellStyle name="Percent 17 2 2 4 2" xfId="11964" xr:uid="{00000000-0005-0000-0000-00005F4D0000}"/>
    <cellStyle name="Percent 17 2 2 4 2 2" xfId="31243" xr:uid="{00000000-0005-0000-0000-0000604D0000}"/>
    <cellStyle name="Percent 17 2 2 4 2 3" xfId="16737" xr:uid="{00000000-0005-0000-0000-0000614D0000}"/>
    <cellStyle name="Percent 17 2 2 4 2_TOM TAT" xfId="23628" xr:uid="{00000000-0005-0000-0000-0000624D0000}"/>
    <cellStyle name="Percent 17 2 2 4 3" xfId="31242" xr:uid="{00000000-0005-0000-0000-0000634D0000}"/>
    <cellStyle name="Percent 17 2 2 4 4" xfId="16736" xr:uid="{00000000-0005-0000-0000-0000644D0000}"/>
    <cellStyle name="Percent 17 2 2 4_TOM TAT" xfId="11965" xr:uid="{00000000-0005-0000-0000-0000654D0000}"/>
    <cellStyle name="Percent 17 2 2 5" xfId="11966" xr:uid="{00000000-0005-0000-0000-0000664D0000}"/>
    <cellStyle name="Percent 17 2 2 5 2" xfId="31244" xr:uid="{00000000-0005-0000-0000-0000674D0000}"/>
    <cellStyle name="Percent 17 2 2 5 3" xfId="16738" xr:uid="{00000000-0005-0000-0000-0000684D0000}"/>
    <cellStyle name="Percent 17 2 2 5_TOM TAT" xfId="23629" xr:uid="{00000000-0005-0000-0000-0000694D0000}"/>
    <cellStyle name="Percent 17 2 2 6" xfId="31233" xr:uid="{00000000-0005-0000-0000-00006A4D0000}"/>
    <cellStyle name="Percent 17 2 2 7" xfId="16727" xr:uid="{00000000-0005-0000-0000-00006B4D0000}"/>
    <cellStyle name="Percent 17 2 2_TOM TAT" xfId="11967" xr:uid="{00000000-0005-0000-0000-00006C4D0000}"/>
    <cellStyle name="Percent 17 2 3" xfId="11968" xr:uid="{00000000-0005-0000-0000-00006D4D0000}"/>
    <cellStyle name="Percent 17 2 3 2" xfId="11969" xr:uid="{00000000-0005-0000-0000-00006E4D0000}"/>
    <cellStyle name="Percent 17 2 3 2 2" xfId="11970" xr:uid="{00000000-0005-0000-0000-00006F4D0000}"/>
    <cellStyle name="Percent 17 2 3 2 2 2" xfId="11971" xr:uid="{00000000-0005-0000-0000-0000704D0000}"/>
    <cellStyle name="Percent 17 2 3 2 2 2 2" xfId="31248" xr:uid="{00000000-0005-0000-0000-0000714D0000}"/>
    <cellStyle name="Percent 17 2 3 2 2 2 3" xfId="16742" xr:uid="{00000000-0005-0000-0000-0000724D0000}"/>
    <cellStyle name="Percent 17 2 3 2 2 2_TOM TAT" xfId="23630" xr:uid="{00000000-0005-0000-0000-0000734D0000}"/>
    <cellStyle name="Percent 17 2 3 2 2 3" xfId="31247" xr:uid="{00000000-0005-0000-0000-0000744D0000}"/>
    <cellStyle name="Percent 17 2 3 2 2 4" xfId="16741" xr:uid="{00000000-0005-0000-0000-0000754D0000}"/>
    <cellStyle name="Percent 17 2 3 2 2_TOM TAT" xfId="11972" xr:uid="{00000000-0005-0000-0000-0000764D0000}"/>
    <cellStyle name="Percent 17 2 3 2 3" xfId="11973" xr:uid="{00000000-0005-0000-0000-0000774D0000}"/>
    <cellStyle name="Percent 17 2 3 2 3 2" xfId="31249" xr:uid="{00000000-0005-0000-0000-0000784D0000}"/>
    <cellStyle name="Percent 17 2 3 2 3 3" xfId="16743" xr:uid="{00000000-0005-0000-0000-0000794D0000}"/>
    <cellStyle name="Percent 17 2 3 2 3_TOM TAT" xfId="23631" xr:uid="{00000000-0005-0000-0000-00007A4D0000}"/>
    <cellStyle name="Percent 17 2 3 2 4" xfId="31246" xr:uid="{00000000-0005-0000-0000-00007B4D0000}"/>
    <cellStyle name="Percent 17 2 3 2 5" xfId="16740" xr:uid="{00000000-0005-0000-0000-00007C4D0000}"/>
    <cellStyle name="Percent 17 2 3 2_TOM TAT" xfId="11974" xr:uid="{00000000-0005-0000-0000-00007D4D0000}"/>
    <cellStyle name="Percent 17 2 3 3" xfId="11975" xr:uid="{00000000-0005-0000-0000-00007E4D0000}"/>
    <cellStyle name="Percent 17 2 3 3 2" xfId="11976" xr:uid="{00000000-0005-0000-0000-00007F4D0000}"/>
    <cellStyle name="Percent 17 2 3 3 2 2" xfId="31251" xr:uid="{00000000-0005-0000-0000-0000804D0000}"/>
    <cellStyle name="Percent 17 2 3 3 2 3" xfId="16745" xr:uid="{00000000-0005-0000-0000-0000814D0000}"/>
    <cellStyle name="Percent 17 2 3 3 2_TOM TAT" xfId="23632" xr:uid="{00000000-0005-0000-0000-0000824D0000}"/>
    <cellStyle name="Percent 17 2 3 3 3" xfId="31250" xr:uid="{00000000-0005-0000-0000-0000834D0000}"/>
    <cellStyle name="Percent 17 2 3 3 4" xfId="16744" xr:uid="{00000000-0005-0000-0000-0000844D0000}"/>
    <cellStyle name="Percent 17 2 3 3_TOM TAT" xfId="11977" xr:uid="{00000000-0005-0000-0000-0000854D0000}"/>
    <cellStyle name="Percent 17 2 3 4" xfId="11978" xr:uid="{00000000-0005-0000-0000-0000864D0000}"/>
    <cellStyle name="Percent 17 2 3 4 2" xfId="31252" xr:uid="{00000000-0005-0000-0000-0000874D0000}"/>
    <cellStyle name="Percent 17 2 3 4 3" xfId="16746" xr:uid="{00000000-0005-0000-0000-0000884D0000}"/>
    <cellStyle name="Percent 17 2 3 4_TOM TAT" xfId="23633" xr:uid="{00000000-0005-0000-0000-0000894D0000}"/>
    <cellStyle name="Percent 17 2 3 5" xfId="31245" xr:uid="{00000000-0005-0000-0000-00008A4D0000}"/>
    <cellStyle name="Percent 17 2 3 6" xfId="16739" xr:uid="{00000000-0005-0000-0000-00008B4D0000}"/>
    <cellStyle name="Percent 17 2 3_TOM TAT" xfId="11979" xr:uid="{00000000-0005-0000-0000-00008C4D0000}"/>
    <cellStyle name="Percent 17 2 4" xfId="11980" xr:uid="{00000000-0005-0000-0000-00008D4D0000}"/>
    <cellStyle name="Percent 17 2 4 2" xfId="11981" xr:uid="{00000000-0005-0000-0000-00008E4D0000}"/>
    <cellStyle name="Percent 17 2 4 2 2" xfId="11982" xr:uid="{00000000-0005-0000-0000-00008F4D0000}"/>
    <cellStyle name="Percent 17 2 4 2 2 2" xfId="31255" xr:uid="{00000000-0005-0000-0000-0000904D0000}"/>
    <cellStyle name="Percent 17 2 4 2 2 3" xfId="16749" xr:uid="{00000000-0005-0000-0000-0000914D0000}"/>
    <cellStyle name="Percent 17 2 4 2 2_TOM TAT" xfId="23634" xr:uid="{00000000-0005-0000-0000-0000924D0000}"/>
    <cellStyle name="Percent 17 2 4 2 3" xfId="31254" xr:uid="{00000000-0005-0000-0000-0000934D0000}"/>
    <cellStyle name="Percent 17 2 4 2 4" xfId="16748" xr:uid="{00000000-0005-0000-0000-0000944D0000}"/>
    <cellStyle name="Percent 17 2 4 2_TOM TAT" xfId="11983" xr:uid="{00000000-0005-0000-0000-0000954D0000}"/>
    <cellStyle name="Percent 17 2 4 3" xfId="11984" xr:uid="{00000000-0005-0000-0000-0000964D0000}"/>
    <cellStyle name="Percent 17 2 4 3 2" xfId="31256" xr:uid="{00000000-0005-0000-0000-0000974D0000}"/>
    <cellStyle name="Percent 17 2 4 3 3" xfId="16750" xr:uid="{00000000-0005-0000-0000-0000984D0000}"/>
    <cellStyle name="Percent 17 2 4 3_TOM TAT" xfId="23635" xr:uid="{00000000-0005-0000-0000-0000994D0000}"/>
    <cellStyle name="Percent 17 2 4 4" xfId="31253" xr:uid="{00000000-0005-0000-0000-00009A4D0000}"/>
    <cellStyle name="Percent 17 2 4 5" xfId="16747" xr:uid="{00000000-0005-0000-0000-00009B4D0000}"/>
    <cellStyle name="Percent 17 2 4_TOM TAT" xfId="11985" xr:uid="{00000000-0005-0000-0000-00009C4D0000}"/>
    <cellStyle name="Percent 17 2 5" xfId="11986" xr:uid="{00000000-0005-0000-0000-00009D4D0000}"/>
    <cellStyle name="Percent 17 2 5 2" xfId="11987" xr:uid="{00000000-0005-0000-0000-00009E4D0000}"/>
    <cellStyle name="Percent 17 2 5 2 2" xfId="31258" xr:uid="{00000000-0005-0000-0000-00009F4D0000}"/>
    <cellStyle name="Percent 17 2 5 2 3" xfId="16752" xr:uid="{00000000-0005-0000-0000-0000A04D0000}"/>
    <cellStyle name="Percent 17 2 5 2_TOM TAT" xfId="23636" xr:uid="{00000000-0005-0000-0000-0000A14D0000}"/>
    <cellStyle name="Percent 17 2 5 3" xfId="31257" xr:uid="{00000000-0005-0000-0000-0000A24D0000}"/>
    <cellStyle name="Percent 17 2 5 4" xfId="16751" xr:uid="{00000000-0005-0000-0000-0000A34D0000}"/>
    <cellStyle name="Percent 17 2 5_TOM TAT" xfId="11988" xr:uid="{00000000-0005-0000-0000-0000A44D0000}"/>
    <cellStyle name="Percent 17 2 6" xfId="11989" xr:uid="{00000000-0005-0000-0000-0000A54D0000}"/>
    <cellStyle name="Percent 17 2 6 2" xfId="31259" xr:uid="{00000000-0005-0000-0000-0000A64D0000}"/>
    <cellStyle name="Percent 17 2 6 3" xfId="16753" xr:uid="{00000000-0005-0000-0000-0000A74D0000}"/>
    <cellStyle name="Percent 17 2 6_TOM TAT" xfId="23637" xr:uid="{00000000-0005-0000-0000-0000A84D0000}"/>
    <cellStyle name="Percent 17 2 7" xfId="18674" xr:uid="{00000000-0005-0000-0000-0000A94D0000}"/>
    <cellStyle name="Percent 17 2 7 2" xfId="31794" xr:uid="{00000000-0005-0000-0000-0000AA4D0000}"/>
    <cellStyle name="Percent 17 2 7_TOM TAT" xfId="23638" xr:uid="{00000000-0005-0000-0000-0000AB4D0000}"/>
    <cellStyle name="Percent 17 2 8" xfId="18948" xr:uid="{00000000-0005-0000-0000-0000AC4D0000}"/>
    <cellStyle name="Percent 17 2 8 2" xfId="31865" xr:uid="{00000000-0005-0000-0000-0000AD4D0000}"/>
    <cellStyle name="Percent 17 2 8_TOM TAT" xfId="23639" xr:uid="{00000000-0005-0000-0000-0000AE4D0000}"/>
    <cellStyle name="Percent 17 2_TOM TAT" xfId="11990" xr:uid="{00000000-0005-0000-0000-0000AF4D0000}"/>
    <cellStyle name="Percent 17 3" xfId="11991" xr:uid="{00000000-0005-0000-0000-0000B04D0000}"/>
    <cellStyle name="Percent 17 3 2" xfId="11992" xr:uid="{00000000-0005-0000-0000-0000B14D0000}"/>
    <cellStyle name="Percent 17 3 2 2" xfId="11993" xr:uid="{00000000-0005-0000-0000-0000B24D0000}"/>
    <cellStyle name="Percent 17 3 2 2 2" xfId="11994" xr:uid="{00000000-0005-0000-0000-0000B34D0000}"/>
    <cellStyle name="Percent 17 3 2 2 2 2" xfId="31263" xr:uid="{00000000-0005-0000-0000-0000B44D0000}"/>
    <cellStyle name="Percent 17 3 2 2 2 3" xfId="16757" xr:uid="{00000000-0005-0000-0000-0000B54D0000}"/>
    <cellStyle name="Percent 17 3 2 2 2_TOM TAT" xfId="23640" xr:uid="{00000000-0005-0000-0000-0000B64D0000}"/>
    <cellStyle name="Percent 17 3 2 2 3" xfId="31262" xr:uid="{00000000-0005-0000-0000-0000B74D0000}"/>
    <cellStyle name="Percent 17 3 2 2 4" xfId="16756" xr:uid="{00000000-0005-0000-0000-0000B84D0000}"/>
    <cellStyle name="Percent 17 3 2 2_TOM TAT" xfId="11995" xr:uid="{00000000-0005-0000-0000-0000B94D0000}"/>
    <cellStyle name="Percent 17 3 2 3" xfId="11996" xr:uid="{00000000-0005-0000-0000-0000BA4D0000}"/>
    <cellStyle name="Percent 17 3 2 3 2" xfId="31264" xr:uid="{00000000-0005-0000-0000-0000BB4D0000}"/>
    <cellStyle name="Percent 17 3 2 3 3" xfId="16758" xr:uid="{00000000-0005-0000-0000-0000BC4D0000}"/>
    <cellStyle name="Percent 17 3 2 3_TOM TAT" xfId="23641" xr:uid="{00000000-0005-0000-0000-0000BD4D0000}"/>
    <cellStyle name="Percent 17 3 2 4" xfId="31261" xr:uid="{00000000-0005-0000-0000-0000BE4D0000}"/>
    <cellStyle name="Percent 17 3 2 5" xfId="16755" xr:uid="{00000000-0005-0000-0000-0000BF4D0000}"/>
    <cellStyle name="Percent 17 3 2_TOM TAT" xfId="11997" xr:uid="{00000000-0005-0000-0000-0000C04D0000}"/>
    <cellStyle name="Percent 17 3 3" xfId="11998" xr:uid="{00000000-0005-0000-0000-0000C14D0000}"/>
    <cellStyle name="Percent 17 3 3 2" xfId="11999" xr:uid="{00000000-0005-0000-0000-0000C24D0000}"/>
    <cellStyle name="Percent 17 3 3 2 2" xfId="12000" xr:uid="{00000000-0005-0000-0000-0000C34D0000}"/>
    <cellStyle name="Percent 17 3 3 2 2 2" xfId="31267" xr:uid="{00000000-0005-0000-0000-0000C44D0000}"/>
    <cellStyle name="Percent 17 3 3 2 2 3" xfId="16761" xr:uid="{00000000-0005-0000-0000-0000C54D0000}"/>
    <cellStyle name="Percent 17 3 3 2 2_TOM TAT" xfId="23642" xr:uid="{00000000-0005-0000-0000-0000C64D0000}"/>
    <cellStyle name="Percent 17 3 3 2 3" xfId="31266" xr:uid="{00000000-0005-0000-0000-0000C74D0000}"/>
    <cellStyle name="Percent 17 3 3 2 4" xfId="16760" xr:uid="{00000000-0005-0000-0000-0000C84D0000}"/>
    <cellStyle name="Percent 17 3 3 2_TOM TAT" xfId="12001" xr:uid="{00000000-0005-0000-0000-0000C94D0000}"/>
    <cellStyle name="Percent 17 3 3 3" xfId="12002" xr:uid="{00000000-0005-0000-0000-0000CA4D0000}"/>
    <cellStyle name="Percent 17 3 3 3 2" xfId="31268" xr:uid="{00000000-0005-0000-0000-0000CB4D0000}"/>
    <cellStyle name="Percent 17 3 3 3 3" xfId="16762" xr:uid="{00000000-0005-0000-0000-0000CC4D0000}"/>
    <cellStyle name="Percent 17 3 3 3_TOM TAT" xfId="23643" xr:uid="{00000000-0005-0000-0000-0000CD4D0000}"/>
    <cellStyle name="Percent 17 3 3 4" xfId="31265" xr:uid="{00000000-0005-0000-0000-0000CE4D0000}"/>
    <cellStyle name="Percent 17 3 3 5" xfId="16759" xr:uid="{00000000-0005-0000-0000-0000CF4D0000}"/>
    <cellStyle name="Percent 17 3 3_TOM TAT" xfId="12003" xr:uid="{00000000-0005-0000-0000-0000D04D0000}"/>
    <cellStyle name="Percent 17 3 4" xfId="12004" xr:uid="{00000000-0005-0000-0000-0000D14D0000}"/>
    <cellStyle name="Percent 17 3 4 2" xfId="12005" xr:uid="{00000000-0005-0000-0000-0000D24D0000}"/>
    <cellStyle name="Percent 17 3 4 2 2" xfId="31270" xr:uid="{00000000-0005-0000-0000-0000D34D0000}"/>
    <cellStyle name="Percent 17 3 4 2 3" xfId="16764" xr:uid="{00000000-0005-0000-0000-0000D44D0000}"/>
    <cellStyle name="Percent 17 3 4 2_TOM TAT" xfId="23644" xr:uid="{00000000-0005-0000-0000-0000D54D0000}"/>
    <cellStyle name="Percent 17 3 4 3" xfId="31269" xr:uid="{00000000-0005-0000-0000-0000D64D0000}"/>
    <cellStyle name="Percent 17 3 4 4" xfId="16763" xr:uid="{00000000-0005-0000-0000-0000D74D0000}"/>
    <cellStyle name="Percent 17 3 4_TOM TAT" xfId="12006" xr:uid="{00000000-0005-0000-0000-0000D84D0000}"/>
    <cellStyle name="Percent 17 3 5" xfId="12007" xr:uid="{00000000-0005-0000-0000-0000D94D0000}"/>
    <cellStyle name="Percent 17 3 5 2" xfId="31271" xr:uid="{00000000-0005-0000-0000-0000DA4D0000}"/>
    <cellStyle name="Percent 17 3 5 3" xfId="16765" xr:uid="{00000000-0005-0000-0000-0000DB4D0000}"/>
    <cellStyle name="Percent 17 3 5_TOM TAT" xfId="23645" xr:uid="{00000000-0005-0000-0000-0000DC4D0000}"/>
    <cellStyle name="Percent 17 3 6" xfId="31260" xr:uid="{00000000-0005-0000-0000-0000DD4D0000}"/>
    <cellStyle name="Percent 17 3 7" xfId="16754" xr:uid="{00000000-0005-0000-0000-0000DE4D0000}"/>
    <cellStyle name="Percent 17 3_TOM TAT" xfId="12008" xr:uid="{00000000-0005-0000-0000-0000DF4D0000}"/>
    <cellStyle name="Percent 17 4" xfId="12009" xr:uid="{00000000-0005-0000-0000-0000E04D0000}"/>
    <cellStyle name="Percent 17 4 2" xfId="12010" xr:uid="{00000000-0005-0000-0000-0000E14D0000}"/>
    <cellStyle name="Percent 17 4 2 2" xfId="12011" xr:uid="{00000000-0005-0000-0000-0000E24D0000}"/>
    <cellStyle name="Percent 17 4 2 2 2" xfId="12012" xr:uid="{00000000-0005-0000-0000-0000E34D0000}"/>
    <cellStyle name="Percent 17 4 2 2 2 2" xfId="31275" xr:uid="{00000000-0005-0000-0000-0000E44D0000}"/>
    <cellStyle name="Percent 17 4 2 2 2 3" xfId="16769" xr:uid="{00000000-0005-0000-0000-0000E54D0000}"/>
    <cellStyle name="Percent 17 4 2 2 2_TOM TAT" xfId="23646" xr:uid="{00000000-0005-0000-0000-0000E64D0000}"/>
    <cellStyle name="Percent 17 4 2 2 3" xfId="31274" xr:uid="{00000000-0005-0000-0000-0000E74D0000}"/>
    <cellStyle name="Percent 17 4 2 2 4" xfId="16768" xr:uid="{00000000-0005-0000-0000-0000E84D0000}"/>
    <cellStyle name="Percent 17 4 2 2_TOM TAT" xfId="12013" xr:uid="{00000000-0005-0000-0000-0000E94D0000}"/>
    <cellStyle name="Percent 17 4 2 3" xfId="12014" xr:uid="{00000000-0005-0000-0000-0000EA4D0000}"/>
    <cellStyle name="Percent 17 4 2 3 2" xfId="31276" xr:uid="{00000000-0005-0000-0000-0000EB4D0000}"/>
    <cellStyle name="Percent 17 4 2 3 3" xfId="16770" xr:uid="{00000000-0005-0000-0000-0000EC4D0000}"/>
    <cellStyle name="Percent 17 4 2 3_TOM TAT" xfId="23647" xr:uid="{00000000-0005-0000-0000-0000ED4D0000}"/>
    <cellStyle name="Percent 17 4 2 4" xfId="31273" xr:uid="{00000000-0005-0000-0000-0000EE4D0000}"/>
    <cellStyle name="Percent 17 4 2 5" xfId="16767" xr:uid="{00000000-0005-0000-0000-0000EF4D0000}"/>
    <cellStyle name="Percent 17 4 2_TOM TAT" xfId="12015" xr:uid="{00000000-0005-0000-0000-0000F04D0000}"/>
    <cellStyle name="Percent 17 4 3" xfId="12016" xr:uid="{00000000-0005-0000-0000-0000F14D0000}"/>
    <cellStyle name="Percent 17 4 3 2" xfId="12017" xr:uid="{00000000-0005-0000-0000-0000F24D0000}"/>
    <cellStyle name="Percent 17 4 3 2 2" xfId="31278" xr:uid="{00000000-0005-0000-0000-0000F34D0000}"/>
    <cellStyle name="Percent 17 4 3 2 3" xfId="16772" xr:uid="{00000000-0005-0000-0000-0000F44D0000}"/>
    <cellStyle name="Percent 17 4 3 2_TOM TAT" xfId="23648" xr:uid="{00000000-0005-0000-0000-0000F54D0000}"/>
    <cellStyle name="Percent 17 4 3 3" xfId="31277" xr:uid="{00000000-0005-0000-0000-0000F64D0000}"/>
    <cellStyle name="Percent 17 4 3 4" xfId="16771" xr:uid="{00000000-0005-0000-0000-0000F74D0000}"/>
    <cellStyle name="Percent 17 4 3_TOM TAT" xfId="12018" xr:uid="{00000000-0005-0000-0000-0000F84D0000}"/>
    <cellStyle name="Percent 17 4 4" xfId="12019" xr:uid="{00000000-0005-0000-0000-0000F94D0000}"/>
    <cellStyle name="Percent 17 4 4 2" xfId="31279" xr:uid="{00000000-0005-0000-0000-0000FA4D0000}"/>
    <cellStyle name="Percent 17 4 4 3" xfId="16773" xr:uid="{00000000-0005-0000-0000-0000FB4D0000}"/>
    <cellStyle name="Percent 17 4 4_TOM TAT" xfId="23649" xr:uid="{00000000-0005-0000-0000-0000FC4D0000}"/>
    <cellStyle name="Percent 17 4 5" xfId="31272" xr:uid="{00000000-0005-0000-0000-0000FD4D0000}"/>
    <cellStyle name="Percent 17 4 6" xfId="16766" xr:uid="{00000000-0005-0000-0000-0000FE4D0000}"/>
    <cellStyle name="Percent 17 4_TOM TAT" xfId="12020" xr:uid="{00000000-0005-0000-0000-0000FF4D0000}"/>
    <cellStyle name="Percent 17 5" xfId="12021" xr:uid="{00000000-0005-0000-0000-0000004E0000}"/>
    <cellStyle name="Percent 17 5 2" xfId="12022" xr:uid="{00000000-0005-0000-0000-0000014E0000}"/>
    <cellStyle name="Percent 17 5 2 2" xfId="12023" xr:uid="{00000000-0005-0000-0000-0000024E0000}"/>
    <cellStyle name="Percent 17 5 2 2 2" xfId="31282" xr:uid="{00000000-0005-0000-0000-0000034E0000}"/>
    <cellStyle name="Percent 17 5 2 2 3" xfId="16776" xr:uid="{00000000-0005-0000-0000-0000044E0000}"/>
    <cellStyle name="Percent 17 5 2 2_TOM TAT" xfId="23650" xr:uid="{00000000-0005-0000-0000-0000054E0000}"/>
    <cellStyle name="Percent 17 5 2 3" xfId="31281" xr:uid="{00000000-0005-0000-0000-0000064E0000}"/>
    <cellStyle name="Percent 17 5 2 4" xfId="16775" xr:uid="{00000000-0005-0000-0000-0000074E0000}"/>
    <cellStyle name="Percent 17 5 2_TOM TAT" xfId="12024" xr:uid="{00000000-0005-0000-0000-0000084E0000}"/>
    <cellStyle name="Percent 17 5 3" xfId="12025" xr:uid="{00000000-0005-0000-0000-0000094E0000}"/>
    <cellStyle name="Percent 17 5 3 2" xfId="31283" xr:uid="{00000000-0005-0000-0000-00000A4E0000}"/>
    <cellStyle name="Percent 17 5 3 3" xfId="16777" xr:uid="{00000000-0005-0000-0000-00000B4E0000}"/>
    <cellStyle name="Percent 17 5 3_TOM TAT" xfId="23651" xr:uid="{00000000-0005-0000-0000-00000C4E0000}"/>
    <cellStyle name="Percent 17 5 4" xfId="31280" xr:uid="{00000000-0005-0000-0000-00000D4E0000}"/>
    <cellStyle name="Percent 17 5 5" xfId="16774" xr:uid="{00000000-0005-0000-0000-00000E4E0000}"/>
    <cellStyle name="Percent 17 5_TOM TAT" xfId="12026" xr:uid="{00000000-0005-0000-0000-00000F4E0000}"/>
    <cellStyle name="Percent 17 6" xfId="12027" xr:uid="{00000000-0005-0000-0000-0000104E0000}"/>
    <cellStyle name="Percent 17 6 2" xfId="12028" xr:uid="{00000000-0005-0000-0000-0000114E0000}"/>
    <cellStyle name="Percent 17 6 2 2" xfId="31285" xr:uid="{00000000-0005-0000-0000-0000124E0000}"/>
    <cellStyle name="Percent 17 6 2 3" xfId="16779" xr:uid="{00000000-0005-0000-0000-0000134E0000}"/>
    <cellStyle name="Percent 17 6 2_TOM TAT" xfId="23652" xr:uid="{00000000-0005-0000-0000-0000144E0000}"/>
    <cellStyle name="Percent 17 6 3" xfId="31284" xr:uid="{00000000-0005-0000-0000-0000154E0000}"/>
    <cellStyle name="Percent 17 6 4" xfId="16778" xr:uid="{00000000-0005-0000-0000-0000164E0000}"/>
    <cellStyle name="Percent 17 6_TOM TAT" xfId="12029" xr:uid="{00000000-0005-0000-0000-0000174E0000}"/>
    <cellStyle name="Percent 17 7" xfId="12030" xr:uid="{00000000-0005-0000-0000-0000184E0000}"/>
    <cellStyle name="Percent 17 7 2" xfId="31286" xr:uid="{00000000-0005-0000-0000-0000194E0000}"/>
    <cellStyle name="Percent 17 7 3" xfId="16780" xr:uid="{00000000-0005-0000-0000-00001A4E0000}"/>
    <cellStyle name="Percent 17 7_TOM TAT" xfId="23653" xr:uid="{00000000-0005-0000-0000-00001B4E0000}"/>
    <cellStyle name="Percent 17 8" xfId="18603" xr:uid="{00000000-0005-0000-0000-00001C4E0000}"/>
    <cellStyle name="Percent 17 8 2" xfId="31770" xr:uid="{00000000-0005-0000-0000-00001D4E0000}"/>
    <cellStyle name="Percent 17 8_TOM TAT" xfId="23654" xr:uid="{00000000-0005-0000-0000-00001E4E0000}"/>
    <cellStyle name="Percent 17 9" xfId="18919" xr:uid="{00000000-0005-0000-0000-00001F4E0000}"/>
    <cellStyle name="Percent 17 9 2" xfId="31844" xr:uid="{00000000-0005-0000-0000-0000204E0000}"/>
    <cellStyle name="Percent 17 9_TOM TAT" xfId="23655" xr:uid="{00000000-0005-0000-0000-0000214E0000}"/>
    <cellStyle name="Percent 17_TOM TAT" xfId="12031" xr:uid="{00000000-0005-0000-0000-0000224E0000}"/>
    <cellStyle name="Percent 18" xfId="4862" xr:uid="{00000000-0005-0000-0000-0000234E0000}"/>
    <cellStyle name="Percent 18 2" xfId="5635" xr:uid="{00000000-0005-0000-0000-0000244E0000}"/>
    <cellStyle name="Percent 18 2 2" xfId="12032" xr:uid="{00000000-0005-0000-0000-0000254E0000}"/>
    <cellStyle name="Percent 18 2 2 2" xfId="12033" xr:uid="{00000000-0005-0000-0000-0000264E0000}"/>
    <cellStyle name="Percent 18 2 2 2 2" xfId="31288" xr:uid="{00000000-0005-0000-0000-0000274E0000}"/>
    <cellStyle name="Percent 18 2 2 2 3" xfId="16782" xr:uid="{00000000-0005-0000-0000-0000284E0000}"/>
    <cellStyle name="Percent 18 2 2 2_TOM TAT" xfId="23656" xr:uid="{00000000-0005-0000-0000-0000294E0000}"/>
    <cellStyle name="Percent 18 2 2 3" xfId="31287" xr:uid="{00000000-0005-0000-0000-00002A4E0000}"/>
    <cellStyle name="Percent 18 2 2 4" xfId="16781" xr:uid="{00000000-0005-0000-0000-00002B4E0000}"/>
    <cellStyle name="Percent 18 2 2_TOM TAT" xfId="12034" xr:uid="{00000000-0005-0000-0000-00002C4E0000}"/>
    <cellStyle name="Percent 18 2 3" xfId="12035" xr:uid="{00000000-0005-0000-0000-00002D4E0000}"/>
    <cellStyle name="Percent 18 2 3 2" xfId="31289" xr:uid="{00000000-0005-0000-0000-00002E4E0000}"/>
    <cellStyle name="Percent 18 2 3 3" xfId="16783" xr:uid="{00000000-0005-0000-0000-00002F4E0000}"/>
    <cellStyle name="Percent 18 2 3_TOM TAT" xfId="23657" xr:uid="{00000000-0005-0000-0000-0000304E0000}"/>
    <cellStyle name="Percent 18 2 4" xfId="18677" xr:uid="{00000000-0005-0000-0000-0000314E0000}"/>
    <cellStyle name="Percent 18 2 4 2" xfId="31797" xr:uid="{00000000-0005-0000-0000-0000324E0000}"/>
    <cellStyle name="Percent 18 2 4_TOM TAT" xfId="23658" xr:uid="{00000000-0005-0000-0000-0000334E0000}"/>
    <cellStyle name="Percent 18 2 5" xfId="18950" xr:uid="{00000000-0005-0000-0000-0000344E0000}"/>
    <cellStyle name="Percent 18 2 5 2" xfId="31867" xr:uid="{00000000-0005-0000-0000-0000354E0000}"/>
    <cellStyle name="Percent 18 2 5_TOM TAT" xfId="23659" xr:uid="{00000000-0005-0000-0000-0000364E0000}"/>
    <cellStyle name="Percent 18 2 6" xfId="19046" xr:uid="{00000000-0005-0000-0000-0000374E0000}"/>
    <cellStyle name="Percent 18 2_TOM TAT" xfId="12036" xr:uid="{00000000-0005-0000-0000-0000384E0000}"/>
    <cellStyle name="Percent 18 3" xfId="12037" xr:uid="{00000000-0005-0000-0000-0000394E0000}"/>
    <cellStyle name="Percent 18 3 2" xfId="12038" xr:uid="{00000000-0005-0000-0000-00003A4E0000}"/>
    <cellStyle name="Percent 18 3 2 2" xfId="31291" xr:uid="{00000000-0005-0000-0000-00003B4E0000}"/>
    <cellStyle name="Percent 18 3 2 3" xfId="16785" xr:uid="{00000000-0005-0000-0000-00003C4E0000}"/>
    <cellStyle name="Percent 18 3 2_TOM TAT" xfId="23660" xr:uid="{00000000-0005-0000-0000-00003D4E0000}"/>
    <cellStyle name="Percent 18 3 3" xfId="31290" xr:uid="{00000000-0005-0000-0000-00003E4E0000}"/>
    <cellStyle name="Percent 18 3 4" xfId="16784" xr:uid="{00000000-0005-0000-0000-00003F4E0000}"/>
    <cellStyle name="Percent 18 3_TOM TAT" xfId="12039" xr:uid="{00000000-0005-0000-0000-0000404E0000}"/>
    <cellStyle name="Percent 18 4" xfId="12040" xr:uid="{00000000-0005-0000-0000-0000414E0000}"/>
    <cellStyle name="Percent 18 4 2" xfId="31292" xr:uid="{00000000-0005-0000-0000-0000424E0000}"/>
    <cellStyle name="Percent 18 4 3" xfId="16786" xr:uid="{00000000-0005-0000-0000-0000434E0000}"/>
    <cellStyle name="Percent 18 4_TOM TAT" xfId="23661" xr:uid="{00000000-0005-0000-0000-0000444E0000}"/>
    <cellStyle name="Percent 18 5" xfId="18606" xr:uid="{00000000-0005-0000-0000-0000454E0000}"/>
    <cellStyle name="Percent 18 5 2" xfId="31773" xr:uid="{00000000-0005-0000-0000-0000464E0000}"/>
    <cellStyle name="Percent 18 5_TOM TAT" xfId="23662" xr:uid="{00000000-0005-0000-0000-0000474E0000}"/>
    <cellStyle name="Percent 18 6" xfId="18921" xr:uid="{00000000-0005-0000-0000-0000484E0000}"/>
    <cellStyle name="Percent 18 6 2" xfId="31846" xr:uid="{00000000-0005-0000-0000-0000494E0000}"/>
    <cellStyle name="Percent 18 6_TOM TAT" xfId="23663" xr:uid="{00000000-0005-0000-0000-00004A4E0000}"/>
    <cellStyle name="Percent 18_TOM TAT" xfId="12041" xr:uid="{00000000-0005-0000-0000-00004B4E0000}"/>
    <cellStyle name="Percent 19" xfId="5636" xr:uid="{00000000-0005-0000-0000-00004C4E0000}"/>
    <cellStyle name="Percent 19 2" xfId="5637" xr:uid="{00000000-0005-0000-0000-00004D4E0000}"/>
    <cellStyle name="Percent 19 2 2" xfId="12042" xr:uid="{00000000-0005-0000-0000-00004E4E0000}"/>
    <cellStyle name="Percent 19 2 2 2" xfId="12043" xr:uid="{00000000-0005-0000-0000-00004F4E0000}"/>
    <cellStyle name="Percent 19 2 2 2 2" xfId="12044" xr:uid="{00000000-0005-0000-0000-0000504E0000}"/>
    <cellStyle name="Percent 19 2 2 2 2 2" xfId="31295" xr:uid="{00000000-0005-0000-0000-0000514E0000}"/>
    <cellStyle name="Percent 19 2 2 2 2 3" xfId="16789" xr:uid="{00000000-0005-0000-0000-0000524E0000}"/>
    <cellStyle name="Percent 19 2 2 2 2_TOM TAT" xfId="23664" xr:uid="{00000000-0005-0000-0000-0000534E0000}"/>
    <cellStyle name="Percent 19 2 2 2 3" xfId="31294" xr:uid="{00000000-0005-0000-0000-0000544E0000}"/>
    <cellStyle name="Percent 19 2 2 2 4" xfId="16788" xr:uid="{00000000-0005-0000-0000-0000554E0000}"/>
    <cellStyle name="Percent 19 2 2 2_TOM TAT" xfId="12045" xr:uid="{00000000-0005-0000-0000-0000564E0000}"/>
    <cellStyle name="Percent 19 2 2 3" xfId="12046" xr:uid="{00000000-0005-0000-0000-0000574E0000}"/>
    <cellStyle name="Percent 19 2 2 3 2" xfId="31296" xr:uid="{00000000-0005-0000-0000-0000584E0000}"/>
    <cellStyle name="Percent 19 2 2 3 3" xfId="16790" xr:uid="{00000000-0005-0000-0000-0000594E0000}"/>
    <cellStyle name="Percent 19 2 2 3_TOM TAT" xfId="23665" xr:uid="{00000000-0005-0000-0000-00005A4E0000}"/>
    <cellStyle name="Percent 19 2 2 4" xfId="31293" xr:uid="{00000000-0005-0000-0000-00005B4E0000}"/>
    <cellStyle name="Percent 19 2 2 5" xfId="16787" xr:uid="{00000000-0005-0000-0000-00005C4E0000}"/>
    <cellStyle name="Percent 19 2 2_TOM TAT" xfId="12047" xr:uid="{00000000-0005-0000-0000-00005D4E0000}"/>
    <cellStyle name="Percent 19 2 3" xfId="12048" xr:uid="{00000000-0005-0000-0000-00005E4E0000}"/>
    <cellStyle name="Percent 19 2 3 2" xfId="12049" xr:uid="{00000000-0005-0000-0000-00005F4E0000}"/>
    <cellStyle name="Percent 19 2 3 2 2" xfId="12050" xr:uid="{00000000-0005-0000-0000-0000604E0000}"/>
    <cellStyle name="Percent 19 2 3 2 2 2" xfId="31299" xr:uid="{00000000-0005-0000-0000-0000614E0000}"/>
    <cellStyle name="Percent 19 2 3 2 2 3" xfId="16793" xr:uid="{00000000-0005-0000-0000-0000624E0000}"/>
    <cellStyle name="Percent 19 2 3 2 2_TOM TAT" xfId="23666" xr:uid="{00000000-0005-0000-0000-0000634E0000}"/>
    <cellStyle name="Percent 19 2 3 2 3" xfId="31298" xr:uid="{00000000-0005-0000-0000-0000644E0000}"/>
    <cellStyle name="Percent 19 2 3 2 4" xfId="16792" xr:uid="{00000000-0005-0000-0000-0000654E0000}"/>
    <cellStyle name="Percent 19 2 3 2_TOM TAT" xfId="12051" xr:uid="{00000000-0005-0000-0000-0000664E0000}"/>
    <cellStyle name="Percent 19 2 3 3" xfId="12052" xr:uid="{00000000-0005-0000-0000-0000674E0000}"/>
    <cellStyle name="Percent 19 2 3 3 2" xfId="31300" xr:uid="{00000000-0005-0000-0000-0000684E0000}"/>
    <cellStyle name="Percent 19 2 3 3 3" xfId="16794" xr:uid="{00000000-0005-0000-0000-0000694E0000}"/>
    <cellStyle name="Percent 19 2 3 3_TOM TAT" xfId="23667" xr:uid="{00000000-0005-0000-0000-00006A4E0000}"/>
    <cellStyle name="Percent 19 2 3 4" xfId="31297" xr:uid="{00000000-0005-0000-0000-00006B4E0000}"/>
    <cellStyle name="Percent 19 2 3 5" xfId="16791" xr:uid="{00000000-0005-0000-0000-00006C4E0000}"/>
    <cellStyle name="Percent 19 2 3_TOM TAT" xfId="12053" xr:uid="{00000000-0005-0000-0000-00006D4E0000}"/>
    <cellStyle name="Percent 19 2 4" xfId="12054" xr:uid="{00000000-0005-0000-0000-00006E4E0000}"/>
    <cellStyle name="Percent 19 2 4 2" xfId="12055" xr:uid="{00000000-0005-0000-0000-00006F4E0000}"/>
    <cellStyle name="Percent 19 2 4 2 2" xfId="31302" xr:uid="{00000000-0005-0000-0000-0000704E0000}"/>
    <cellStyle name="Percent 19 2 4 2 3" xfId="16796" xr:uid="{00000000-0005-0000-0000-0000714E0000}"/>
    <cellStyle name="Percent 19 2 4 2_TOM TAT" xfId="23668" xr:uid="{00000000-0005-0000-0000-0000724E0000}"/>
    <cellStyle name="Percent 19 2 4 3" xfId="31301" xr:uid="{00000000-0005-0000-0000-0000734E0000}"/>
    <cellStyle name="Percent 19 2 4 4" xfId="16795" xr:uid="{00000000-0005-0000-0000-0000744E0000}"/>
    <cellStyle name="Percent 19 2 4_TOM TAT" xfId="12056" xr:uid="{00000000-0005-0000-0000-0000754E0000}"/>
    <cellStyle name="Percent 19 2 5" xfId="12057" xr:uid="{00000000-0005-0000-0000-0000764E0000}"/>
    <cellStyle name="Percent 19 2 5 2" xfId="31303" xr:uid="{00000000-0005-0000-0000-0000774E0000}"/>
    <cellStyle name="Percent 19 2 5 3" xfId="16797" xr:uid="{00000000-0005-0000-0000-0000784E0000}"/>
    <cellStyle name="Percent 19 2 5_TOM TAT" xfId="23669" xr:uid="{00000000-0005-0000-0000-0000794E0000}"/>
    <cellStyle name="Percent 19 2_TOM TAT" xfId="12058" xr:uid="{00000000-0005-0000-0000-00007A4E0000}"/>
    <cellStyle name="Percent 19 3" xfId="12059" xr:uid="{00000000-0005-0000-0000-00007B4E0000}"/>
    <cellStyle name="Percent 19 3 2" xfId="12060" xr:uid="{00000000-0005-0000-0000-00007C4E0000}"/>
    <cellStyle name="Percent 19 3 2 2" xfId="12061" xr:uid="{00000000-0005-0000-0000-00007D4E0000}"/>
    <cellStyle name="Percent 19 3 2 2 2" xfId="12062" xr:uid="{00000000-0005-0000-0000-00007E4E0000}"/>
    <cellStyle name="Percent 19 3 2 2 2 2" xfId="31307" xr:uid="{00000000-0005-0000-0000-00007F4E0000}"/>
    <cellStyle name="Percent 19 3 2 2 2 3" xfId="16801" xr:uid="{00000000-0005-0000-0000-0000804E0000}"/>
    <cellStyle name="Percent 19 3 2 2 2_TOM TAT" xfId="23670" xr:uid="{00000000-0005-0000-0000-0000814E0000}"/>
    <cellStyle name="Percent 19 3 2 2 3" xfId="31306" xr:uid="{00000000-0005-0000-0000-0000824E0000}"/>
    <cellStyle name="Percent 19 3 2 2 4" xfId="16800" xr:uid="{00000000-0005-0000-0000-0000834E0000}"/>
    <cellStyle name="Percent 19 3 2 2_TOM TAT" xfId="12063" xr:uid="{00000000-0005-0000-0000-0000844E0000}"/>
    <cellStyle name="Percent 19 3 2 3" xfId="12064" xr:uid="{00000000-0005-0000-0000-0000854E0000}"/>
    <cellStyle name="Percent 19 3 2 3 2" xfId="31308" xr:uid="{00000000-0005-0000-0000-0000864E0000}"/>
    <cellStyle name="Percent 19 3 2 3 3" xfId="16802" xr:uid="{00000000-0005-0000-0000-0000874E0000}"/>
    <cellStyle name="Percent 19 3 2 3_TOM TAT" xfId="23671" xr:uid="{00000000-0005-0000-0000-0000884E0000}"/>
    <cellStyle name="Percent 19 3 2 4" xfId="31305" xr:uid="{00000000-0005-0000-0000-0000894E0000}"/>
    <cellStyle name="Percent 19 3 2 5" xfId="16799" xr:uid="{00000000-0005-0000-0000-00008A4E0000}"/>
    <cellStyle name="Percent 19 3 2_TOM TAT" xfId="12065" xr:uid="{00000000-0005-0000-0000-00008B4E0000}"/>
    <cellStyle name="Percent 19 3 3" xfId="12066" xr:uid="{00000000-0005-0000-0000-00008C4E0000}"/>
    <cellStyle name="Percent 19 3 3 2" xfId="12067" xr:uid="{00000000-0005-0000-0000-00008D4E0000}"/>
    <cellStyle name="Percent 19 3 3 2 2" xfId="31310" xr:uid="{00000000-0005-0000-0000-00008E4E0000}"/>
    <cellStyle name="Percent 19 3 3 2 3" xfId="16804" xr:uid="{00000000-0005-0000-0000-00008F4E0000}"/>
    <cellStyle name="Percent 19 3 3 2_TOM TAT" xfId="23672" xr:uid="{00000000-0005-0000-0000-0000904E0000}"/>
    <cellStyle name="Percent 19 3 3 3" xfId="31309" xr:uid="{00000000-0005-0000-0000-0000914E0000}"/>
    <cellStyle name="Percent 19 3 3 4" xfId="16803" xr:uid="{00000000-0005-0000-0000-0000924E0000}"/>
    <cellStyle name="Percent 19 3 3_TOM TAT" xfId="12068" xr:uid="{00000000-0005-0000-0000-0000934E0000}"/>
    <cellStyle name="Percent 19 3 4" xfId="12069" xr:uid="{00000000-0005-0000-0000-0000944E0000}"/>
    <cellStyle name="Percent 19 3 4 2" xfId="31311" xr:uid="{00000000-0005-0000-0000-0000954E0000}"/>
    <cellStyle name="Percent 19 3 4 3" xfId="16805" xr:uid="{00000000-0005-0000-0000-0000964E0000}"/>
    <cellStyle name="Percent 19 3 4_TOM TAT" xfId="23673" xr:uid="{00000000-0005-0000-0000-0000974E0000}"/>
    <cellStyle name="Percent 19 3 5" xfId="31304" xr:uid="{00000000-0005-0000-0000-0000984E0000}"/>
    <cellStyle name="Percent 19 3 6" xfId="16798" xr:uid="{00000000-0005-0000-0000-0000994E0000}"/>
    <cellStyle name="Percent 19 3_TOM TAT" xfId="12070" xr:uid="{00000000-0005-0000-0000-00009A4E0000}"/>
    <cellStyle name="Percent 19 4" xfId="12071" xr:uid="{00000000-0005-0000-0000-00009B4E0000}"/>
    <cellStyle name="Percent 19 4 2" xfId="12072" xr:uid="{00000000-0005-0000-0000-00009C4E0000}"/>
    <cellStyle name="Percent 19 4 2 2" xfId="12073" xr:uid="{00000000-0005-0000-0000-00009D4E0000}"/>
    <cellStyle name="Percent 19 4 2 2 2" xfId="31314" xr:uid="{00000000-0005-0000-0000-00009E4E0000}"/>
    <cellStyle name="Percent 19 4 2 2 3" xfId="16808" xr:uid="{00000000-0005-0000-0000-00009F4E0000}"/>
    <cellStyle name="Percent 19 4 2 2_TOM TAT" xfId="23674" xr:uid="{00000000-0005-0000-0000-0000A04E0000}"/>
    <cellStyle name="Percent 19 4 2 3" xfId="31313" xr:uid="{00000000-0005-0000-0000-0000A14E0000}"/>
    <cellStyle name="Percent 19 4 2 4" xfId="16807" xr:uid="{00000000-0005-0000-0000-0000A24E0000}"/>
    <cellStyle name="Percent 19 4 2_TOM TAT" xfId="12074" xr:uid="{00000000-0005-0000-0000-0000A34E0000}"/>
    <cellStyle name="Percent 19 4 3" xfId="12075" xr:uid="{00000000-0005-0000-0000-0000A44E0000}"/>
    <cellStyle name="Percent 19 4 3 2" xfId="31315" xr:uid="{00000000-0005-0000-0000-0000A54E0000}"/>
    <cellStyle name="Percent 19 4 3 3" xfId="16809" xr:uid="{00000000-0005-0000-0000-0000A64E0000}"/>
    <cellStyle name="Percent 19 4 3_TOM TAT" xfId="23675" xr:uid="{00000000-0005-0000-0000-0000A74E0000}"/>
    <cellStyle name="Percent 19 4 4" xfId="31312" xr:uid="{00000000-0005-0000-0000-0000A84E0000}"/>
    <cellStyle name="Percent 19 4 5" xfId="16806" xr:uid="{00000000-0005-0000-0000-0000A94E0000}"/>
    <cellStyle name="Percent 19 4_TOM TAT" xfId="12076" xr:uid="{00000000-0005-0000-0000-0000AA4E0000}"/>
    <cellStyle name="Percent 19 5" xfId="12077" xr:uid="{00000000-0005-0000-0000-0000AB4E0000}"/>
    <cellStyle name="Percent 19 5 2" xfId="12078" xr:uid="{00000000-0005-0000-0000-0000AC4E0000}"/>
    <cellStyle name="Percent 19 5 2 2" xfId="31317" xr:uid="{00000000-0005-0000-0000-0000AD4E0000}"/>
    <cellStyle name="Percent 19 5 2 3" xfId="16811" xr:uid="{00000000-0005-0000-0000-0000AE4E0000}"/>
    <cellStyle name="Percent 19 5 2_TOM TAT" xfId="23676" xr:uid="{00000000-0005-0000-0000-0000AF4E0000}"/>
    <cellStyle name="Percent 19 5 3" xfId="31316" xr:uid="{00000000-0005-0000-0000-0000B04E0000}"/>
    <cellStyle name="Percent 19 5 4" xfId="16810" xr:uid="{00000000-0005-0000-0000-0000B14E0000}"/>
    <cellStyle name="Percent 19 5_TOM TAT" xfId="12079" xr:uid="{00000000-0005-0000-0000-0000B24E0000}"/>
    <cellStyle name="Percent 19 6" xfId="28293" xr:uid="{00000000-0005-0000-0000-0000B34E0000}"/>
    <cellStyle name="Percent 19 7" xfId="14714" xr:uid="{00000000-0005-0000-0000-0000B44E0000}"/>
    <cellStyle name="Percent 19_TOM TAT" xfId="12080" xr:uid="{00000000-0005-0000-0000-0000B54E0000}"/>
    <cellStyle name="Percent 2" xfId="1395" xr:uid="{00000000-0005-0000-0000-0000B64E0000}"/>
    <cellStyle name="Percent 2 10" xfId="2325" xr:uid="{00000000-0005-0000-0000-0000B74E0000}"/>
    <cellStyle name="Percent 2 11" xfId="2326" xr:uid="{00000000-0005-0000-0000-0000B84E0000}"/>
    <cellStyle name="Percent 2 12" xfId="2324" xr:uid="{00000000-0005-0000-0000-0000B94E0000}"/>
    <cellStyle name="Percent 2 13" xfId="4442" xr:uid="{00000000-0005-0000-0000-0000BA4E0000}"/>
    <cellStyle name="Percent 2 14" xfId="4847" xr:uid="{00000000-0005-0000-0000-0000BB4E0000}"/>
    <cellStyle name="Percent 2 15" xfId="5638" xr:uid="{00000000-0005-0000-0000-0000BC4E0000}"/>
    <cellStyle name="Percent 2 15 10" xfId="28294" xr:uid="{00000000-0005-0000-0000-0000BD4E0000}"/>
    <cellStyle name="Percent 2 15 11" xfId="14715" xr:uid="{00000000-0005-0000-0000-0000BE4E0000}"/>
    <cellStyle name="Percent 2 15 2" xfId="5639" xr:uid="{00000000-0005-0000-0000-0000BF4E0000}"/>
    <cellStyle name="Percent 2 15 2 10" xfId="14716" xr:uid="{00000000-0005-0000-0000-0000C04E0000}"/>
    <cellStyle name="Percent 2 15 2 2" xfId="5640" xr:uid="{00000000-0005-0000-0000-0000C14E0000}"/>
    <cellStyle name="Percent 2 15 2 2 2" xfId="12081" xr:uid="{00000000-0005-0000-0000-0000C24E0000}"/>
    <cellStyle name="Percent 2 15 2 2 2 2" xfId="12082" xr:uid="{00000000-0005-0000-0000-0000C34E0000}"/>
    <cellStyle name="Percent 2 15 2 2 2 2 2" xfId="12083" xr:uid="{00000000-0005-0000-0000-0000C44E0000}"/>
    <cellStyle name="Percent 2 15 2 2 2 2 2 2" xfId="12084" xr:uid="{00000000-0005-0000-0000-0000C54E0000}"/>
    <cellStyle name="Percent 2 15 2 2 2 2 2 2 2" xfId="31321" xr:uid="{00000000-0005-0000-0000-0000C64E0000}"/>
    <cellStyle name="Percent 2 15 2 2 2 2 2 2 3" xfId="16815" xr:uid="{00000000-0005-0000-0000-0000C74E0000}"/>
    <cellStyle name="Percent 2 15 2 2 2 2 2 2_TOM TAT" xfId="23677" xr:uid="{00000000-0005-0000-0000-0000C84E0000}"/>
    <cellStyle name="Percent 2 15 2 2 2 2 2 3" xfId="31320" xr:uid="{00000000-0005-0000-0000-0000C94E0000}"/>
    <cellStyle name="Percent 2 15 2 2 2 2 2 4" xfId="16814" xr:uid="{00000000-0005-0000-0000-0000CA4E0000}"/>
    <cellStyle name="Percent 2 15 2 2 2 2 2_TOM TAT" xfId="12085" xr:uid="{00000000-0005-0000-0000-0000CB4E0000}"/>
    <cellStyle name="Percent 2 15 2 2 2 2 3" xfId="12086" xr:uid="{00000000-0005-0000-0000-0000CC4E0000}"/>
    <cellStyle name="Percent 2 15 2 2 2 2 3 2" xfId="31322" xr:uid="{00000000-0005-0000-0000-0000CD4E0000}"/>
    <cellStyle name="Percent 2 15 2 2 2 2 3 3" xfId="16816" xr:uid="{00000000-0005-0000-0000-0000CE4E0000}"/>
    <cellStyle name="Percent 2 15 2 2 2 2 3_TOM TAT" xfId="23678" xr:uid="{00000000-0005-0000-0000-0000CF4E0000}"/>
    <cellStyle name="Percent 2 15 2 2 2 2 4" xfId="31319" xr:uid="{00000000-0005-0000-0000-0000D04E0000}"/>
    <cellStyle name="Percent 2 15 2 2 2 2 5" xfId="16813" xr:uid="{00000000-0005-0000-0000-0000D14E0000}"/>
    <cellStyle name="Percent 2 15 2 2 2 2_TOM TAT" xfId="12087" xr:uid="{00000000-0005-0000-0000-0000D24E0000}"/>
    <cellStyle name="Percent 2 15 2 2 2 3" xfId="12088" xr:uid="{00000000-0005-0000-0000-0000D34E0000}"/>
    <cellStyle name="Percent 2 15 2 2 2 3 2" xfId="12089" xr:uid="{00000000-0005-0000-0000-0000D44E0000}"/>
    <cellStyle name="Percent 2 15 2 2 2 3 2 2" xfId="12090" xr:uid="{00000000-0005-0000-0000-0000D54E0000}"/>
    <cellStyle name="Percent 2 15 2 2 2 3 2 2 2" xfId="31325" xr:uid="{00000000-0005-0000-0000-0000D64E0000}"/>
    <cellStyle name="Percent 2 15 2 2 2 3 2 2 3" xfId="16819" xr:uid="{00000000-0005-0000-0000-0000D74E0000}"/>
    <cellStyle name="Percent 2 15 2 2 2 3 2 2_TOM TAT" xfId="23679" xr:uid="{00000000-0005-0000-0000-0000D84E0000}"/>
    <cellStyle name="Percent 2 15 2 2 2 3 2 3" xfId="31324" xr:uid="{00000000-0005-0000-0000-0000D94E0000}"/>
    <cellStyle name="Percent 2 15 2 2 2 3 2 4" xfId="16818" xr:uid="{00000000-0005-0000-0000-0000DA4E0000}"/>
    <cellStyle name="Percent 2 15 2 2 2 3 2_TOM TAT" xfId="12091" xr:uid="{00000000-0005-0000-0000-0000DB4E0000}"/>
    <cellStyle name="Percent 2 15 2 2 2 3 3" xfId="12092" xr:uid="{00000000-0005-0000-0000-0000DC4E0000}"/>
    <cellStyle name="Percent 2 15 2 2 2 3 3 2" xfId="31326" xr:uid="{00000000-0005-0000-0000-0000DD4E0000}"/>
    <cellStyle name="Percent 2 15 2 2 2 3 3 3" xfId="16820" xr:uid="{00000000-0005-0000-0000-0000DE4E0000}"/>
    <cellStyle name="Percent 2 15 2 2 2 3 3_TOM TAT" xfId="23680" xr:uid="{00000000-0005-0000-0000-0000DF4E0000}"/>
    <cellStyle name="Percent 2 15 2 2 2 3 4" xfId="31323" xr:uid="{00000000-0005-0000-0000-0000E04E0000}"/>
    <cellStyle name="Percent 2 15 2 2 2 3 5" xfId="16817" xr:uid="{00000000-0005-0000-0000-0000E14E0000}"/>
    <cellStyle name="Percent 2 15 2 2 2 3_TOM TAT" xfId="12093" xr:uid="{00000000-0005-0000-0000-0000E24E0000}"/>
    <cellStyle name="Percent 2 15 2 2 2 4" xfId="12094" xr:uid="{00000000-0005-0000-0000-0000E34E0000}"/>
    <cellStyle name="Percent 2 15 2 2 2 4 2" xfId="12095" xr:uid="{00000000-0005-0000-0000-0000E44E0000}"/>
    <cellStyle name="Percent 2 15 2 2 2 4 2 2" xfId="31328" xr:uid="{00000000-0005-0000-0000-0000E54E0000}"/>
    <cellStyle name="Percent 2 15 2 2 2 4 2 3" xfId="16822" xr:uid="{00000000-0005-0000-0000-0000E64E0000}"/>
    <cellStyle name="Percent 2 15 2 2 2 4 2_TOM TAT" xfId="23681" xr:uid="{00000000-0005-0000-0000-0000E74E0000}"/>
    <cellStyle name="Percent 2 15 2 2 2 4 3" xfId="31327" xr:uid="{00000000-0005-0000-0000-0000E84E0000}"/>
    <cellStyle name="Percent 2 15 2 2 2 4 4" xfId="16821" xr:uid="{00000000-0005-0000-0000-0000E94E0000}"/>
    <cellStyle name="Percent 2 15 2 2 2 4_TOM TAT" xfId="12096" xr:uid="{00000000-0005-0000-0000-0000EA4E0000}"/>
    <cellStyle name="Percent 2 15 2 2 2 5" xfId="12097" xr:uid="{00000000-0005-0000-0000-0000EB4E0000}"/>
    <cellStyle name="Percent 2 15 2 2 2 5 2" xfId="31329" xr:uid="{00000000-0005-0000-0000-0000EC4E0000}"/>
    <cellStyle name="Percent 2 15 2 2 2 5 3" xfId="16823" xr:uid="{00000000-0005-0000-0000-0000ED4E0000}"/>
    <cellStyle name="Percent 2 15 2 2 2 5_TOM TAT" xfId="23682" xr:uid="{00000000-0005-0000-0000-0000EE4E0000}"/>
    <cellStyle name="Percent 2 15 2 2 2 6" xfId="31318" xr:uid="{00000000-0005-0000-0000-0000EF4E0000}"/>
    <cellStyle name="Percent 2 15 2 2 2 7" xfId="16812" xr:uid="{00000000-0005-0000-0000-0000F04E0000}"/>
    <cellStyle name="Percent 2 15 2 2 2_TOM TAT" xfId="12098" xr:uid="{00000000-0005-0000-0000-0000F14E0000}"/>
    <cellStyle name="Percent 2 15 2 2 3" xfId="12099" xr:uid="{00000000-0005-0000-0000-0000F24E0000}"/>
    <cellStyle name="Percent 2 15 2 2 3 2" xfId="12100" xr:uid="{00000000-0005-0000-0000-0000F34E0000}"/>
    <cellStyle name="Percent 2 15 2 2 3 2 2" xfId="12101" xr:uid="{00000000-0005-0000-0000-0000F44E0000}"/>
    <cellStyle name="Percent 2 15 2 2 3 2 2 2" xfId="31332" xr:uid="{00000000-0005-0000-0000-0000F54E0000}"/>
    <cellStyle name="Percent 2 15 2 2 3 2 2 3" xfId="16826" xr:uid="{00000000-0005-0000-0000-0000F64E0000}"/>
    <cellStyle name="Percent 2 15 2 2 3 2 2_TOM TAT" xfId="23683" xr:uid="{00000000-0005-0000-0000-0000F74E0000}"/>
    <cellStyle name="Percent 2 15 2 2 3 2 3" xfId="31331" xr:uid="{00000000-0005-0000-0000-0000F84E0000}"/>
    <cellStyle name="Percent 2 15 2 2 3 2 4" xfId="16825" xr:uid="{00000000-0005-0000-0000-0000F94E0000}"/>
    <cellStyle name="Percent 2 15 2 2 3 2_TOM TAT" xfId="12102" xr:uid="{00000000-0005-0000-0000-0000FA4E0000}"/>
    <cellStyle name="Percent 2 15 2 2 3 3" xfId="12103" xr:uid="{00000000-0005-0000-0000-0000FB4E0000}"/>
    <cellStyle name="Percent 2 15 2 2 3 3 2" xfId="31333" xr:uid="{00000000-0005-0000-0000-0000FC4E0000}"/>
    <cellStyle name="Percent 2 15 2 2 3 3 3" xfId="16827" xr:uid="{00000000-0005-0000-0000-0000FD4E0000}"/>
    <cellStyle name="Percent 2 15 2 2 3 3_TOM TAT" xfId="23684" xr:uid="{00000000-0005-0000-0000-0000FE4E0000}"/>
    <cellStyle name="Percent 2 15 2 2 3 4" xfId="31330" xr:uid="{00000000-0005-0000-0000-0000FF4E0000}"/>
    <cellStyle name="Percent 2 15 2 2 3 5" xfId="16824" xr:uid="{00000000-0005-0000-0000-0000004F0000}"/>
    <cellStyle name="Percent 2 15 2 2 3_TOM TAT" xfId="12104" xr:uid="{00000000-0005-0000-0000-0000014F0000}"/>
    <cellStyle name="Percent 2 15 2 2 4" xfId="12105" xr:uid="{00000000-0005-0000-0000-0000024F0000}"/>
    <cellStyle name="Percent 2 15 2 2 4 2" xfId="12106" xr:uid="{00000000-0005-0000-0000-0000034F0000}"/>
    <cellStyle name="Percent 2 15 2 2 4 2 2" xfId="12107" xr:uid="{00000000-0005-0000-0000-0000044F0000}"/>
    <cellStyle name="Percent 2 15 2 2 4 2 2 2" xfId="31336" xr:uid="{00000000-0005-0000-0000-0000054F0000}"/>
    <cellStyle name="Percent 2 15 2 2 4 2 2 3" xfId="16830" xr:uid="{00000000-0005-0000-0000-0000064F0000}"/>
    <cellStyle name="Percent 2 15 2 2 4 2 2_TOM TAT" xfId="23685" xr:uid="{00000000-0005-0000-0000-0000074F0000}"/>
    <cellStyle name="Percent 2 15 2 2 4 2 3" xfId="31335" xr:uid="{00000000-0005-0000-0000-0000084F0000}"/>
    <cellStyle name="Percent 2 15 2 2 4 2 4" xfId="16829" xr:uid="{00000000-0005-0000-0000-0000094F0000}"/>
    <cellStyle name="Percent 2 15 2 2 4 2_TOM TAT" xfId="12108" xr:uid="{00000000-0005-0000-0000-00000A4F0000}"/>
    <cellStyle name="Percent 2 15 2 2 4 3" xfId="12109" xr:uid="{00000000-0005-0000-0000-00000B4F0000}"/>
    <cellStyle name="Percent 2 15 2 2 4 3 2" xfId="31337" xr:uid="{00000000-0005-0000-0000-00000C4F0000}"/>
    <cellStyle name="Percent 2 15 2 2 4 3 3" xfId="16831" xr:uid="{00000000-0005-0000-0000-00000D4F0000}"/>
    <cellStyle name="Percent 2 15 2 2 4 3_TOM TAT" xfId="23686" xr:uid="{00000000-0005-0000-0000-00000E4F0000}"/>
    <cellStyle name="Percent 2 15 2 2 4 4" xfId="31334" xr:uid="{00000000-0005-0000-0000-00000F4F0000}"/>
    <cellStyle name="Percent 2 15 2 2 4 5" xfId="16828" xr:uid="{00000000-0005-0000-0000-0000104F0000}"/>
    <cellStyle name="Percent 2 15 2 2 4_TOM TAT" xfId="12110" xr:uid="{00000000-0005-0000-0000-0000114F0000}"/>
    <cellStyle name="Percent 2 15 2 2 5" xfId="12111" xr:uid="{00000000-0005-0000-0000-0000124F0000}"/>
    <cellStyle name="Percent 2 15 2 2 5 2" xfId="12112" xr:uid="{00000000-0005-0000-0000-0000134F0000}"/>
    <cellStyle name="Percent 2 15 2 2 5 2 2" xfId="31339" xr:uid="{00000000-0005-0000-0000-0000144F0000}"/>
    <cellStyle name="Percent 2 15 2 2 5 2 3" xfId="16833" xr:uid="{00000000-0005-0000-0000-0000154F0000}"/>
    <cellStyle name="Percent 2 15 2 2 5 2_TOM TAT" xfId="23687" xr:uid="{00000000-0005-0000-0000-0000164F0000}"/>
    <cellStyle name="Percent 2 15 2 2 5 3" xfId="31338" xr:uid="{00000000-0005-0000-0000-0000174F0000}"/>
    <cellStyle name="Percent 2 15 2 2 5 4" xfId="16832" xr:uid="{00000000-0005-0000-0000-0000184F0000}"/>
    <cellStyle name="Percent 2 15 2 2 5_TOM TAT" xfId="12113" xr:uid="{00000000-0005-0000-0000-0000194F0000}"/>
    <cellStyle name="Percent 2 15 2 2 6" xfId="12114" xr:uid="{00000000-0005-0000-0000-00001A4F0000}"/>
    <cellStyle name="Percent 2 15 2 2 6 2" xfId="31340" xr:uid="{00000000-0005-0000-0000-00001B4F0000}"/>
    <cellStyle name="Percent 2 15 2 2 6 3" xfId="16834" xr:uid="{00000000-0005-0000-0000-00001C4F0000}"/>
    <cellStyle name="Percent 2 15 2 2 6_TOM TAT" xfId="23688" xr:uid="{00000000-0005-0000-0000-00001D4F0000}"/>
    <cellStyle name="Percent 2 15 2 2 7" xfId="28296" xr:uid="{00000000-0005-0000-0000-00001E4F0000}"/>
    <cellStyle name="Percent 2 15 2 2 8" xfId="14717" xr:uid="{00000000-0005-0000-0000-00001F4F0000}"/>
    <cellStyle name="Percent 2 15 2 2_TOM TAT" xfId="12115" xr:uid="{00000000-0005-0000-0000-0000204F0000}"/>
    <cellStyle name="Percent 2 15 2 3" xfId="12116" xr:uid="{00000000-0005-0000-0000-0000214F0000}"/>
    <cellStyle name="Percent 2 15 2 3 2" xfId="12117" xr:uid="{00000000-0005-0000-0000-0000224F0000}"/>
    <cellStyle name="Percent 2 15 2 3 2 2" xfId="12118" xr:uid="{00000000-0005-0000-0000-0000234F0000}"/>
    <cellStyle name="Percent 2 15 2 3 2 2 2" xfId="12119" xr:uid="{00000000-0005-0000-0000-0000244F0000}"/>
    <cellStyle name="Percent 2 15 2 3 2 2 2 2" xfId="31344" xr:uid="{00000000-0005-0000-0000-0000254F0000}"/>
    <cellStyle name="Percent 2 15 2 3 2 2 2 3" xfId="16838" xr:uid="{00000000-0005-0000-0000-0000264F0000}"/>
    <cellStyle name="Percent 2 15 2 3 2 2 2_TOM TAT" xfId="23689" xr:uid="{00000000-0005-0000-0000-0000274F0000}"/>
    <cellStyle name="Percent 2 15 2 3 2 2 3" xfId="31343" xr:uid="{00000000-0005-0000-0000-0000284F0000}"/>
    <cellStyle name="Percent 2 15 2 3 2 2 4" xfId="16837" xr:uid="{00000000-0005-0000-0000-0000294F0000}"/>
    <cellStyle name="Percent 2 15 2 3 2 2_TOM TAT" xfId="12120" xr:uid="{00000000-0005-0000-0000-00002A4F0000}"/>
    <cellStyle name="Percent 2 15 2 3 2 3" xfId="12121" xr:uid="{00000000-0005-0000-0000-00002B4F0000}"/>
    <cellStyle name="Percent 2 15 2 3 2 3 2" xfId="31345" xr:uid="{00000000-0005-0000-0000-00002C4F0000}"/>
    <cellStyle name="Percent 2 15 2 3 2 3 3" xfId="16839" xr:uid="{00000000-0005-0000-0000-00002D4F0000}"/>
    <cellStyle name="Percent 2 15 2 3 2 3_TOM TAT" xfId="23690" xr:uid="{00000000-0005-0000-0000-00002E4F0000}"/>
    <cellStyle name="Percent 2 15 2 3 2 4" xfId="31342" xr:uid="{00000000-0005-0000-0000-00002F4F0000}"/>
    <cellStyle name="Percent 2 15 2 3 2 5" xfId="16836" xr:uid="{00000000-0005-0000-0000-0000304F0000}"/>
    <cellStyle name="Percent 2 15 2 3 2_TOM TAT" xfId="12122" xr:uid="{00000000-0005-0000-0000-0000314F0000}"/>
    <cellStyle name="Percent 2 15 2 3 3" xfId="12123" xr:uid="{00000000-0005-0000-0000-0000324F0000}"/>
    <cellStyle name="Percent 2 15 2 3 3 2" xfId="12124" xr:uid="{00000000-0005-0000-0000-0000334F0000}"/>
    <cellStyle name="Percent 2 15 2 3 3 2 2" xfId="12125" xr:uid="{00000000-0005-0000-0000-0000344F0000}"/>
    <cellStyle name="Percent 2 15 2 3 3 2 2 2" xfId="31348" xr:uid="{00000000-0005-0000-0000-0000354F0000}"/>
    <cellStyle name="Percent 2 15 2 3 3 2 2 3" xfId="16842" xr:uid="{00000000-0005-0000-0000-0000364F0000}"/>
    <cellStyle name="Percent 2 15 2 3 3 2 2_TOM TAT" xfId="23691" xr:uid="{00000000-0005-0000-0000-0000374F0000}"/>
    <cellStyle name="Percent 2 15 2 3 3 2 3" xfId="31347" xr:uid="{00000000-0005-0000-0000-0000384F0000}"/>
    <cellStyle name="Percent 2 15 2 3 3 2 4" xfId="16841" xr:uid="{00000000-0005-0000-0000-0000394F0000}"/>
    <cellStyle name="Percent 2 15 2 3 3 2_TOM TAT" xfId="12126" xr:uid="{00000000-0005-0000-0000-00003A4F0000}"/>
    <cellStyle name="Percent 2 15 2 3 3 3" xfId="12127" xr:uid="{00000000-0005-0000-0000-00003B4F0000}"/>
    <cellStyle name="Percent 2 15 2 3 3 3 2" xfId="31349" xr:uid="{00000000-0005-0000-0000-00003C4F0000}"/>
    <cellStyle name="Percent 2 15 2 3 3 3 3" xfId="16843" xr:uid="{00000000-0005-0000-0000-00003D4F0000}"/>
    <cellStyle name="Percent 2 15 2 3 3 3_TOM TAT" xfId="23692" xr:uid="{00000000-0005-0000-0000-00003E4F0000}"/>
    <cellStyle name="Percent 2 15 2 3 3 4" xfId="31346" xr:uid="{00000000-0005-0000-0000-00003F4F0000}"/>
    <cellStyle name="Percent 2 15 2 3 3 5" xfId="16840" xr:uid="{00000000-0005-0000-0000-0000404F0000}"/>
    <cellStyle name="Percent 2 15 2 3 3_TOM TAT" xfId="12128" xr:uid="{00000000-0005-0000-0000-0000414F0000}"/>
    <cellStyle name="Percent 2 15 2 3 4" xfId="12129" xr:uid="{00000000-0005-0000-0000-0000424F0000}"/>
    <cellStyle name="Percent 2 15 2 3 4 2" xfId="12130" xr:uid="{00000000-0005-0000-0000-0000434F0000}"/>
    <cellStyle name="Percent 2 15 2 3 4 2 2" xfId="31351" xr:uid="{00000000-0005-0000-0000-0000444F0000}"/>
    <cellStyle name="Percent 2 15 2 3 4 2 3" xfId="16845" xr:uid="{00000000-0005-0000-0000-0000454F0000}"/>
    <cellStyle name="Percent 2 15 2 3 4 2_TOM TAT" xfId="23693" xr:uid="{00000000-0005-0000-0000-0000464F0000}"/>
    <cellStyle name="Percent 2 15 2 3 4 3" xfId="31350" xr:uid="{00000000-0005-0000-0000-0000474F0000}"/>
    <cellStyle name="Percent 2 15 2 3 4 4" xfId="16844" xr:uid="{00000000-0005-0000-0000-0000484F0000}"/>
    <cellStyle name="Percent 2 15 2 3 4_TOM TAT" xfId="12131" xr:uid="{00000000-0005-0000-0000-0000494F0000}"/>
    <cellStyle name="Percent 2 15 2 3 5" xfId="12132" xr:uid="{00000000-0005-0000-0000-00004A4F0000}"/>
    <cellStyle name="Percent 2 15 2 3 5 2" xfId="31352" xr:uid="{00000000-0005-0000-0000-00004B4F0000}"/>
    <cellStyle name="Percent 2 15 2 3 5 3" xfId="16846" xr:uid="{00000000-0005-0000-0000-00004C4F0000}"/>
    <cellStyle name="Percent 2 15 2 3 5_TOM TAT" xfId="23694" xr:uid="{00000000-0005-0000-0000-00004D4F0000}"/>
    <cellStyle name="Percent 2 15 2 3 6" xfId="31341" xr:uid="{00000000-0005-0000-0000-00004E4F0000}"/>
    <cellStyle name="Percent 2 15 2 3 7" xfId="16835" xr:uid="{00000000-0005-0000-0000-00004F4F0000}"/>
    <cellStyle name="Percent 2 15 2 3_TOM TAT" xfId="12133" xr:uid="{00000000-0005-0000-0000-0000504F0000}"/>
    <cellStyle name="Percent 2 15 2 4" xfId="12134" xr:uid="{00000000-0005-0000-0000-0000514F0000}"/>
    <cellStyle name="Percent 2 15 2 4 2" xfId="12135" xr:uid="{00000000-0005-0000-0000-0000524F0000}"/>
    <cellStyle name="Percent 2 15 2 4 2 2" xfId="12136" xr:uid="{00000000-0005-0000-0000-0000534F0000}"/>
    <cellStyle name="Percent 2 15 2 4 2 2 2" xfId="12137" xr:uid="{00000000-0005-0000-0000-0000544F0000}"/>
    <cellStyle name="Percent 2 15 2 4 2 2 2 2" xfId="31356" xr:uid="{00000000-0005-0000-0000-0000554F0000}"/>
    <cellStyle name="Percent 2 15 2 4 2 2 2 3" xfId="16850" xr:uid="{00000000-0005-0000-0000-0000564F0000}"/>
    <cellStyle name="Percent 2 15 2 4 2 2 2_TOM TAT" xfId="23695" xr:uid="{00000000-0005-0000-0000-0000574F0000}"/>
    <cellStyle name="Percent 2 15 2 4 2 2 3" xfId="31355" xr:uid="{00000000-0005-0000-0000-0000584F0000}"/>
    <cellStyle name="Percent 2 15 2 4 2 2 4" xfId="16849" xr:uid="{00000000-0005-0000-0000-0000594F0000}"/>
    <cellStyle name="Percent 2 15 2 4 2 2_TOM TAT" xfId="12138" xr:uid="{00000000-0005-0000-0000-00005A4F0000}"/>
    <cellStyle name="Percent 2 15 2 4 2 3" xfId="12139" xr:uid="{00000000-0005-0000-0000-00005B4F0000}"/>
    <cellStyle name="Percent 2 15 2 4 2 3 2" xfId="31357" xr:uid="{00000000-0005-0000-0000-00005C4F0000}"/>
    <cellStyle name="Percent 2 15 2 4 2 3 3" xfId="16851" xr:uid="{00000000-0005-0000-0000-00005D4F0000}"/>
    <cellStyle name="Percent 2 15 2 4 2 3_TOM TAT" xfId="23696" xr:uid="{00000000-0005-0000-0000-00005E4F0000}"/>
    <cellStyle name="Percent 2 15 2 4 2 4" xfId="31354" xr:uid="{00000000-0005-0000-0000-00005F4F0000}"/>
    <cellStyle name="Percent 2 15 2 4 2 5" xfId="16848" xr:uid="{00000000-0005-0000-0000-0000604F0000}"/>
    <cellStyle name="Percent 2 15 2 4 2_TOM TAT" xfId="12140" xr:uid="{00000000-0005-0000-0000-0000614F0000}"/>
    <cellStyle name="Percent 2 15 2 4 3" xfId="12141" xr:uid="{00000000-0005-0000-0000-0000624F0000}"/>
    <cellStyle name="Percent 2 15 2 4 3 2" xfId="12142" xr:uid="{00000000-0005-0000-0000-0000634F0000}"/>
    <cellStyle name="Percent 2 15 2 4 3 2 2" xfId="12143" xr:uid="{00000000-0005-0000-0000-0000644F0000}"/>
    <cellStyle name="Percent 2 15 2 4 3 2 2 2" xfId="31360" xr:uid="{00000000-0005-0000-0000-0000654F0000}"/>
    <cellStyle name="Percent 2 15 2 4 3 2 2 3" xfId="16854" xr:uid="{00000000-0005-0000-0000-0000664F0000}"/>
    <cellStyle name="Percent 2 15 2 4 3 2 2_TOM TAT" xfId="23697" xr:uid="{00000000-0005-0000-0000-0000674F0000}"/>
    <cellStyle name="Percent 2 15 2 4 3 2 3" xfId="31359" xr:uid="{00000000-0005-0000-0000-0000684F0000}"/>
    <cellStyle name="Percent 2 15 2 4 3 2 4" xfId="16853" xr:uid="{00000000-0005-0000-0000-0000694F0000}"/>
    <cellStyle name="Percent 2 15 2 4 3 2_TOM TAT" xfId="12144" xr:uid="{00000000-0005-0000-0000-00006A4F0000}"/>
    <cellStyle name="Percent 2 15 2 4 3 3" xfId="12145" xr:uid="{00000000-0005-0000-0000-00006B4F0000}"/>
    <cellStyle name="Percent 2 15 2 4 3 3 2" xfId="31361" xr:uid="{00000000-0005-0000-0000-00006C4F0000}"/>
    <cellStyle name="Percent 2 15 2 4 3 3 3" xfId="16855" xr:uid="{00000000-0005-0000-0000-00006D4F0000}"/>
    <cellStyle name="Percent 2 15 2 4 3 3_TOM TAT" xfId="23698" xr:uid="{00000000-0005-0000-0000-00006E4F0000}"/>
    <cellStyle name="Percent 2 15 2 4 3 4" xfId="31358" xr:uid="{00000000-0005-0000-0000-00006F4F0000}"/>
    <cellStyle name="Percent 2 15 2 4 3 5" xfId="16852" xr:uid="{00000000-0005-0000-0000-0000704F0000}"/>
    <cellStyle name="Percent 2 15 2 4 3_TOM TAT" xfId="12146" xr:uid="{00000000-0005-0000-0000-0000714F0000}"/>
    <cellStyle name="Percent 2 15 2 4 4" xfId="12147" xr:uid="{00000000-0005-0000-0000-0000724F0000}"/>
    <cellStyle name="Percent 2 15 2 4 4 2" xfId="12148" xr:uid="{00000000-0005-0000-0000-0000734F0000}"/>
    <cellStyle name="Percent 2 15 2 4 4 2 2" xfId="31363" xr:uid="{00000000-0005-0000-0000-0000744F0000}"/>
    <cellStyle name="Percent 2 15 2 4 4 2 3" xfId="16857" xr:uid="{00000000-0005-0000-0000-0000754F0000}"/>
    <cellStyle name="Percent 2 15 2 4 4 2_TOM TAT" xfId="23699" xr:uid="{00000000-0005-0000-0000-0000764F0000}"/>
    <cellStyle name="Percent 2 15 2 4 4 3" xfId="31362" xr:uid="{00000000-0005-0000-0000-0000774F0000}"/>
    <cellStyle name="Percent 2 15 2 4 4 4" xfId="16856" xr:uid="{00000000-0005-0000-0000-0000784F0000}"/>
    <cellStyle name="Percent 2 15 2 4 4_TOM TAT" xfId="12149" xr:uid="{00000000-0005-0000-0000-0000794F0000}"/>
    <cellStyle name="Percent 2 15 2 4 5" xfId="12150" xr:uid="{00000000-0005-0000-0000-00007A4F0000}"/>
    <cellStyle name="Percent 2 15 2 4 5 2" xfId="31364" xr:uid="{00000000-0005-0000-0000-00007B4F0000}"/>
    <cellStyle name="Percent 2 15 2 4 5 3" xfId="16858" xr:uid="{00000000-0005-0000-0000-00007C4F0000}"/>
    <cellStyle name="Percent 2 15 2 4 5_TOM TAT" xfId="23700" xr:uid="{00000000-0005-0000-0000-00007D4F0000}"/>
    <cellStyle name="Percent 2 15 2 4 6" xfId="31353" xr:uid="{00000000-0005-0000-0000-00007E4F0000}"/>
    <cellStyle name="Percent 2 15 2 4 7" xfId="16847" xr:uid="{00000000-0005-0000-0000-00007F4F0000}"/>
    <cellStyle name="Percent 2 15 2 4_TOM TAT" xfId="12151" xr:uid="{00000000-0005-0000-0000-0000804F0000}"/>
    <cellStyle name="Percent 2 15 2 5" xfId="12152" xr:uid="{00000000-0005-0000-0000-0000814F0000}"/>
    <cellStyle name="Percent 2 15 2 5 2" xfId="12153" xr:uid="{00000000-0005-0000-0000-0000824F0000}"/>
    <cellStyle name="Percent 2 15 2 5 2 2" xfId="12154" xr:uid="{00000000-0005-0000-0000-0000834F0000}"/>
    <cellStyle name="Percent 2 15 2 5 2 2 2" xfId="31367" xr:uid="{00000000-0005-0000-0000-0000844F0000}"/>
    <cellStyle name="Percent 2 15 2 5 2 2 3" xfId="16861" xr:uid="{00000000-0005-0000-0000-0000854F0000}"/>
    <cellStyle name="Percent 2 15 2 5 2 2_TOM TAT" xfId="23701" xr:uid="{00000000-0005-0000-0000-0000864F0000}"/>
    <cellStyle name="Percent 2 15 2 5 2 3" xfId="31366" xr:uid="{00000000-0005-0000-0000-0000874F0000}"/>
    <cellStyle name="Percent 2 15 2 5 2 4" xfId="16860" xr:uid="{00000000-0005-0000-0000-0000884F0000}"/>
    <cellStyle name="Percent 2 15 2 5 2_TOM TAT" xfId="12155" xr:uid="{00000000-0005-0000-0000-0000894F0000}"/>
    <cellStyle name="Percent 2 15 2 5 3" xfId="12156" xr:uid="{00000000-0005-0000-0000-00008A4F0000}"/>
    <cellStyle name="Percent 2 15 2 5 3 2" xfId="31368" xr:uid="{00000000-0005-0000-0000-00008B4F0000}"/>
    <cellStyle name="Percent 2 15 2 5 3 3" xfId="16862" xr:uid="{00000000-0005-0000-0000-00008C4F0000}"/>
    <cellStyle name="Percent 2 15 2 5 3_TOM TAT" xfId="23702" xr:uid="{00000000-0005-0000-0000-00008D4F0000}"/>
    <cellStyle name="Percent 2 15 2 5 4" xfId="31365" xr:uid="{00000000-0005-0000-0000-00008E4F0000}"/>
    <cellStyle name="Percent 2 15 2 5 5" xfId="16859" xr:uid="{00000000-0005-0000-0000-00008F4F0000}"/>
    <cellStyle name="Percent 2 15 2 5_TOM TAT" xfId="12157" xr:uid="{00000000-0005-0000-0000-0000904F0000}"/>
    <cellStyle name="Percent 2 15 2 6" xfId="12158" xr:uid="{00000000-0005-0000-0000-0000914F0000}"/>
    <cellStyle name="Percent 2 15 2 6 2" xfId="12159" xr:uid="{00000000-0005-0000-0000-0000924F0000}"/>
    <cellStyle name="Percent 2 15 2 6 2 2" xfId="12160" xr:uid="{00000000-0005-0000-0000-0000934F0000}"/>
    <cellStyle name="Percent 2 15 2 6 2 2 2" xfId="31371" xr:uid="{00000000-0005-0000-0000-0000944F0000}"/>
    <cellStyle name="Percent 2 15 2 6 2 2 3" xfId="16865" xr:uid="{00000000-0005-0000-0000-0000954F0000}"/>
    <cellStyle name="Percent 2 15 2 6 2 2_TOM TAT" xfId="23703" xr:uid="{00000000-0005-0000-0000-0000964F0000}"/>
    <cellStyle name="Percent 2 15 2 6 2 3" xfId="31370" xr:uid="{00000000-0005-0000-0000-0000974F0000}"/>
    <cellStyle name="Percent 2 15 2 6 2 4" xfId="16864" xr:uid="{00000000-0005-0000-0000-0000984F0000}"/>
    <cellStyle name="Percent 2 15 2 6 2_TOM TAT" xfId="12161" xr:uid="{00000000-0005-0000-0000-0000994F0000}"/>
    <cellStyle name="Percent 2 15 2 6 3" xfId="12162" xr:uid="{00000000-0005-0000-0000-00009A4F0000}"/>
    <cellStyle name="Percent 2 15 2 6 3 2" xfId="31372" xr:uid="{00000000-0005-0000-0000-00009B4F0000}"/>
    <cellStyle name="Percent 2 15 2 6 3 3" xfId="16866" xr:uid="{00000000-0005-0000-0000-00009C4F0000}"/>
    <cellStyle name="Percent 2 15 2 6 3_TOM TAT" xfId="23704" xr:uid="{00000000-0005-0000-0000-00009D4F0000}"/>
    <cellStyle name="Percent 2 15 2 6 4" xfId="31369" xr:uid="{00000000-0005-0000-0000-00009E4F0000}"/>
    <cellStyle name="Percent 2 15 2 6 5" xfId="16863" xr:uid="{00000000-0005-0000-0000-00009F4F0000}"/>
    <cellStyle name="Percent 2 15 2 6_TOM TAT" xfId="12163" xr:uid="{00000000-0005-0000-0000-0000A04F0000}"/>
    <cellStyle name="Percent 2 15 2 7" xfId="12164" xr:uid="{00000000-0005-0000-0000-0000A14F0000}"/>
    <cellStyle name="Percent 2 15 2 7 2" xfId="12165" xr:uid="{00000000-0005-0000-0000-0000A24F0000}"/>
    <cellStyle name="Percent 2 15 2 7 2 2" xfId="31374" xr:uid="{00000000-0005-0000-0000-0000A34F0000}"/>
    <cellStyle name="Percent 2 15 2 7 2 3" xfId="16868" xr:uid="{00000000-0005-0000-0000-0000A44F0000}"/>
    <cellStyle name="Percent 2 15 2 7 2_TOM TAT" xfId="23705" xr:uid="{00000000-0005-0000-0000-0000A54F0000}"/>
    <cellStyle name="Percent 2 15 2 7 3" xfId="31373" xr:uid="{00000000-0005-0000-0000-0000A64F0000}"/>
    <cellStyle name="Percent 2 15 2 7 4" xfId="16867" xr:uid="{00000000-0005-0000-0000-0000A74F0000}"/>
    <cellStyle name="Percent 2 15 2 7_TOM TAT" xfId="12166" xr:uid="{00000000-0005-0000-0000-0000A84F0000}"/>
    <cellStyle name="Percent 2 15 2 8" xfId="12167" xr:uid="{00000000-0005-0000-0000-0000A94F0000}"/>
    <cellStyle name="Percent 2 15 2 8 2" xfId="31375" xr:uid="{00000000-0005-0000-0000-0000AA4F0000}"/>
    <cellStyle name="Percent 2 15 2 8 3" xfId="16869" xr:uid="{00000000-0005-0000-0000-0000AB4F0000}"/>
    <cellStyle name="Percent 2 15 2 8_TOM TAT" xfId="23706" xr:uid="{00000000-0005-0000-0000-0000AC4F0000}"/>
    <cellStyle name="Percent 2 15 2 9" xfId="28295" xr:uid="{00000000-0005-0000-0000-0000AD4F0000}"/>
    <cellStyle name="Percent 2 15 2_TOM TAT" xfId="12168" xr:uid="{00000000-0005-0000-0000-0000AE4F0000}"/>
    <cellStyle name="Percent 2 15 3" xfId="5641" xr:uid="{00000000-0005-0000-0000-0000AF4F0000}"/>
    <cellStyle name="Percent 2 15 3 2" xfId="12169" xr:uid="{00000000-0005-0000-0000-0000B04F0000}"/>
    <cellStyle name="Percent 2 15 3 2 2" xfId="12170" xr:uid="{00000000-0005-0000-0000-0000B14F0000}"/>
    <cellStyle name="Percent 2 15 3 2 2 2" xfId="12171" xr:uid="{00000000-0005-0000-0000-0000B24F0000}"/>
    <cellStyle name="Percent 2 15 3 2 2 2 2" xfId="12172" xr:uid="{00000000-0005-0000-0000-0000B34F0000}"/>
    <cellStyle name="Percent 2 15 3 2 2 2 2 2" xfId="31379" xr:uid="{00000000-0005-0000-0000-0000B44F0000}"/>
    <cellStyle name="Percent 2 15 3 2 2 2 2 3" xfId="16873" xr:uid="{00000000-0005-0000-0000-0000B54F0000}"/>
    <cellStyle name="Percent 2 15 3 2 2 2 2_TOM TAT" xfId="23707" xr:uid="{00000000-0005-0000-0000-0000B64F0000}"/>
    <cellStyle name="Percent 2 15 3 2 2 2 3" xfId="31378" xr:uid="{00000000-0005-0000-0000-0000B74F0000}"/>
    <cellStyle name="Percent 2 15 3 2 2 2 4" xfId="16872" xr:uid="{00000000-0005-0000-0000-0000B84F0000}"/>
    <cellStyle name="Percent 2 15 3 2 2 2_TOM TAT" xfId="12173" xr:uid="{00000000-0005-0000-0000-0000B94F0000}"/>
    <cellStyle name="Percent 2 15 3 2 2 3" xfId="12174" xr:uid="{00000000-0005-0000-0000-0000BA4F0000}"/>
    <cellStyle name="Percent 2 15 3 2 2 3 2" xfId="31380" xr:uid="{00000000-0005-0000-0000-0000BB4F0000}"/>
    <cellStyle name="Percent 2 15 3 2 2 3 3" xfId="16874" xr:uid="{00000000-0005-0000-0000-0000BC4F0000}"/>
    <cellStyle name="Percent 2 15 3 2 2 3_TOM TAT" xfId="23708" xr:uid="{00000000-0005-0000-0000-0000BD4F0000}"/>
    <cellStyle name="Percent 2 15 3 2 2 4" xfId="31377" xr:uid="{00000000-0005-0000-0000-0000BE4F0000}"/>
    <cellStyle name="Percent 2 15 3 2 2 5" xfId="16871" xr:uid="{00000000-0005-0000-0000-0000BF4F0000}"/>
    <cellStyle name="Percent 2 15 3 2 2_TOM TAT" xfId="12175" xr:uid="{00000000-0005-0000-0000-0000C04F0000}"/>
    <cellStyle name="Percent 2 15 3 2 3" xfId="12176" xr:uid="{00000000-0005-0000-0000-0000C14F0000}"/>
    <cellStyle name="Percent 2 15 3 2 3 2" xfId="12177" xr:uid="{00000000-0005-0000-0000-0000C24F0000}"/>
    <cellStyle name="Percent 2 15 3 2 3 2 2" xfId="12178" xr:uid="{00000000-0005-0000-0000-0000C34F0000}"/>
    <cellStyle name="Percent 2 15 3 2 3 2 2 2" xfId="31383" xr:uid="{00000000-0005-0000-0000-0000C44F0000}"/>
    <cellStyle name="Percent 2 15 3 2 3 2 2 3" xfId="16877" xr:uid="{00000000-0005-0000-0000-0000C54F0000}"/>
    <cellStyle name="Percent 2 15 3 2 3 2 2_TOM TAT" xfId="23709" xr:uid="{00000000-0005-0000-0000-0000C64F0000}"/>
    <cellStyle name="Percent 2 15 3 2 3 2 3" xfId="31382" xr:uid="{00000000-0005-0000-0000-0000C74F0000}"/>
    <cellStyle name="Percent 2 15 3 2 3 2 4" xfId="16876" xr:uid="{00000000-0005-0000-0000-0000C84F0000}"/>
    <cellStyle name="Percent 2 15 3 2 3 2_TOM TAT" xfId="12179" xr:uid="{00000000-0005-0000-0000-0000C94F0000}"/>
    <cellStyle name="Percent 2 15 3 2 3 3" xfId="12180" xr:uid="{00000000-0005-0000-0000-0000CA4F0000}"/>
    <cellStyle name="Percent 2 15 3 2 3 3 2" xfId="31384" xr:uid="{00000000-0005-0000-0000-0000CB4F0000}"/>
    <cellStyle name="Percent 2 15 3 2 3 3 3" xfId="16878" xr:uid="{00000000-0005-0000-0000-0000CC4F0000}"/>
    <cellStyle name="Percent 2 15 3 2 3 3_TOM TAT" xfId="23710" xr:uid="{00000000-0005-0000-0000-0000CD4F0000}"/>
    <cellStyle name="Percent 2 15 3 2 3 4" xfId="31381" xr:uid="{00000000-0005-0000-0000-0000CE4F0000}"/>
    <cellStyle name="Percent 2 15 3 2 3 5" xfId="16875" xr:uid="{00000000-0005-0000-0000-0000CF4F0000}"/>
    <cellStyle name="Percent 2 15 3 2 3_TOM TAT" xfId="12181" xr:uid="{00000000-0005-0000-0000-0000D04F0000}"/>
    <cellStyle name="Percent 2 15 3 2 4" xfId="12182" xr:uid="{00000000-0005-0000-0000-0000D14F0000}"/>
    <cellStyle name="Percent 2 15 3 2 4 2" xfId="12183" xr:uid="{00000000-0005-0000-0000-0000D24F0000}"/>
    <cellStyle name="Percent 2 15 3 2 4 2 2" xfId="31386" xr:uid="{00000000-0005-0000-0000-0000D34F0000}"/>
    <cellStyle name="Percent 2 15 3 2 4 2 3" xfId="16880" xr:uid="{00000000-0005-0000-0000-0000D44F0000}"/>
    <cellStyle name="Percent 2 15 3 2 4 2_TOM TAT" xfId="23711" xr:uid="{00000000-0005-0000-0000-0000D54F0000}"/>
    <cellStyle name="Percent 2 15 3 2 4 3" xfId="31385" xr:uid="{00000000-0005-0000-0000-0000D64F0000}"/>
    <cellStyle name="Percent 2 15 3 2 4 4" xfId="16879" xr:uid="{00000000-0005-0000-0000-0000D74F0000}"/>
    <cellStyle name="Percent 2 15 3 2 4_TOM TAT" xfId="12184" xr:uid="{00000000-0005-0000-0000-0000D84F0000}"/>
    <cellStyle name="Percent 2 15 3 2 5" xfId="12185" xr:uid="{00000000-0005-0000-0000-0000D94F0000}"/>
    <cellStyle name="Percent 2 15 3 2 5 2" xfId="31387" xr:uid="{00000000-0005-0000-0000-0000DA4F0000}"/>
    <cellStyle name="Percent 2 15 3 2 5 3" xfId="16881" xr:uid="{00000000-0005-0000-0000-0000DB4F0000}"/>
    <cellStyle name="Percent 2 15 3 2 5_TOM TAT" xfId="23712" xr:uid="{00000000-0005-0000-0000-0000DC4F0000}"/>
    <cellStyle name="Percent 2 15 3 2 6" xfId="31376" xr:uid="{00000000-0005-0000-0000-0000DD4F0000}"/>
    <cellStyle name="Percent 2 15 3 2 7" xfId="16870" xr:uid="{00000000-0005-0000-0000-0000DE4F0000}"/>
    <cellStyle name="Percent 2 15 3 2_TOM TAT" xfId="12186" xr:uid="{00000000-0005-0000-0000-0000DF4F0000}"/>
    <cellStyle name="Percent 2 15 3 3" xfId="12187" xr:uid="{00000000-0005-0000-0000-0000E04F0000}"/>
    <cellStyle name="Percent 2 15 3 3 2" xfId="12188" xr:uid="{00000000-0005-0000-0000-0000E14F0000}"/>
    <cellStyle name="Percent 2 15 3 3 2 2" xfId="12189" xr:uid="{00000000-0005-0000-0000-0000E24F0000}"/>
    <cellStyle name="Percent 2 15 3 3 2 2 2" xfId="31390" xr:uid="{00000000-0005-0000-0000-0000E34F0000}"/>
    <cellStyle name="Percent 2 15 3 3 2 2 3" xfId="16884" xr:uid="{00000000-0005-0000-0000-0000E44F0000}"/>
    <cellStyle name="Percent 2 15 3 3 2 2_TOM TAT" xfId="23713" xr:uid="{00000000-0005-0000-0000-0000E54F0000}"/>
    <cellStyle name="Percent 2 15 3 3 2 3" xfId="31389" xr:uid="{00000000-0005-0000-0000-0000E64F0000}"/>
    <cellStyle name="Percent 2 15 3 3 2 4" xfId="16883" xr:uid="{00000000-0005-0000-0000-0000E74F0000}"/>
    <cellStyle name="Percent 2 15 3 3 2_TOM TAT" xfId="12190" xr:uid="{00000000-0005-0000-0000-0000E84F0000}"/>
    <cellStyle name="Percent 2 15 3 3 3" xfId="12191" xr:uid="{00000000-0005-0000-0000-0000E94F0000}"/>
    <cellStyle name="Percent 2 15 3 3 3 2" xfId="31391" xr:uid="{00000000-0005-0000-0000-0000EA4F0000}"/>
    <cellStyle name="Percent 2 15 3 3 3 3" xfId="16885" xr:uid="{00000000-0005-0000-0000-0000EB4F0000}"/>
    <cellStyle name="Percent 2 15 3 3 3_TOM TAT" xfId="23714" xr:uid="{00000000-0005-0000-0000-0000EC4F0000}"/>
    <cellStyle name="Percent 2 15 3 3 4" xfId="31388" xr:uid="{00000000-0005-0000-0000-0000ED4F0000}"/>
    <cellStyle name="Percent 2 15 3 3 5" xfId="16882" xr:uid="{00000000-0005-0000-0000-0000EE4F0000}"/>
    <cellStyle name="Percent 2 15 3 3_TOM TAT" xfId="12192" xr:uid="{00000000-0005-0000-0000-0000EF4F0000}"/>
    <cellStyle name="Percent 2 15 3 4" xfId="12193" xr:uid="{00000000-0005-0000-0000-0000F04F0000}"/>
    <cellStyle name="Percent 2 15 3 4 2" xfId="12194" xr:uid="{00000000-0005-0000-0000-0000F14F0000}"/>
    <cellStyle name="Percent 2 15 3 4 2 2" xfId="12195" xr:uid="{00000000-0005-0000-0000-0000F24F0000}"/>
    <cellStyle name="Percent 2 15 3 4 2 2 2" xfId="31394" xr:uid="{00000000-0005-0000-0000-0000F34F0000}"/>
    <cellStyle name="Percent 2 15 3 4 2 2 3" xfId="16888" xr:uid="{00000000-0005-0000-0000-0000F44F0000}"/>
    <cellStyle name="Percent 2 15 3 4 2 2_TOM TAT" xfId="23715" xr:uid="{00000000-0005-0000-0000-0000F54F0000}"/>
    <cellStyle name="Percent 2 15 3 4 2 3" xfId="31393" xr:uid="{00000000-0005-0000-0000-0000F64F0000}"/>
    <cellStyle name="Percent 2 15 3 4 2 4" xfId="16887" xr:uid="{00000000-0005-0000-0000-0000F74F0000}"/>
    <cellStyle name="Percent 2 15 3 4 2_TOM TAT" xfId="12196" xr:uid="{00000000-0005-0000-0000-0000F84F0000}"/>
    <cellStyle name="Percent 2 15 3 4 3" xfId="12197" xr:uid="{00000000-0005-0000-0000-0000F94F0000}"/>
    <cellStyle name="Percent 2 15 3 4 3 2" xfId="31395" xr:uid="{00000000-0005-0000-0000-0000FA4F0000}"/>
    <cellStyle name="Percent 2 15 3 4 3 3" xfId="16889" xr:uid="{00000000-0005-0000-0000-0000FB4F0000}"/>
    <cellStyle name="Percent 2 15 3 4 3_TOM TAT" xfId="23716" xr:uid="{00000000-0005-0000-0000-0000FC4F0000}"/>
    <cellStyle name="Percent 2 15 3 4 4" xfId="31392" xr:uid="{00000000-0005-0000-0000-0000FD4F0000}"/>
    <cellStyle name="Percent 2 15 3 4 5" xfId="16886" xr:uid="{00000000-0005-0000-0000-0000FE4F0000}"/>
    <cellStyle name="Percent 2 15 3 4_TOM TAT" xfId="12198" xr:uid="{00000000-0005-0000-0000-0000FF4F0000}"/>
    <cellStyle name="Percent 2 15 3 5" xfId="12199" xr:uid="{00000000-0005-0000-0000-000000500000}"/>
    <cellStyle name="Percent 2 15 3 5 2" xfId="12200" xr:uid="{00000000-0005-0000-0000-000001500000}"/>
    <cellStyle name="Percent 2 15 3 5 2 2" xfId="31397" xr:uid="{00000000-0005-0000-0000-000002500000}"/>
    <cellStyle name="Percent 2 15 3 5 2 3" xfId="16891" xr:uid="{00000000-0005-0000-0000-000003500000}"/>
    <cellStyle name="Percent 2 15 3 5 2_TOM TAT" xfId="23717" xr:uid="{00000000-0005-0000-0000-000004500000}"/>
    <cellStyle name="Percent 2 15 3 5 3" xfId="31396" xr:uid="{00000000-0005-0000-0000-000005500000}"/>
    <cellStyle name="Percent 2 15 3 5 4" xfId="16890" xr:uid="{00000000-0005-0000-0000-000006500000}"/>
    <cellStyle name="Percent 2 15 3 5_TOM TAT" xfId="12201" xr:uid="{00000000-0005-0000-0000-000007500000}"/>
    <cellStyle name="Percent 2 15 3 6" xfId="12202" xr:uid="{00000000-0005-0000-0000-000008500000}"/>
    <cellStyle name="Percent 2 15 3 6 2" xfId="31398" xr:uid="{00000000-0005-0000-0000-000009500000}"/>
    <cellStyle name="Percent 2 15 3 6 3" xfId="16892" xr:uid="{00000000-0005-0000-0000-00000A500000}"/>
    <cellStyle name="Percent 2 15 3 6_TOM TAT" xfId="23718" xr:uid="{00000000-0005-0000-0000-00000B500000}"/>
    <cellStyle name="Percent 2 15 3 7" xfId="28297" xr:uid="{00000000-0005-0000-0000-00000C500000}"/>
    <cellStyle name="Percent 2 15 3 8" xfId="14718" xr:uid="{00000000-0005-0000-0000-00000D500000}"/>
    <cellStyle name="Percent 2 15 3_TOM TAT" xfId="12203" xr:uid="{00000000-0005-0000-0000-00000E500000}"/>
    <cellStyle name="Percent 2 15 4" xfId="5642" xr:uid="{00000000-0005-0000-0000-00000F500000}"/>
    <cellStyle name="Percent 2 15 4 2" xfId="12204" xr:uid="{00000000-0005-0000-0000-000010500000}"/>
    <cellStyle name="Percent 2 15 4 2 2" xfId="12205" xr:uid="{00000000-0005-0000-0000-000011500000}"/>
    <cellStyle name="Percent 2 15 4 2 2 2" xfId="12206" xr:uid="{00000000-0005-0000-0000-000012500000}"/>
    <cellStyle name="Percent 2 15 4 2 2 2 2" xfId="31401" xr:uid="{00000000-0005-0000-0000-000013500000}"/>
    <cellStyle name="Percent 2 15 4 2 2 2 3" xfId="16895" xr:uid="{00000000-0005-0000-0000-000014500000}"/>
    <cellStyle name="Percent 2 15 4 2 2 2_TOM TAT" xfId="23719" xr:uid="{00000000-0005-0000-0000-000015500000}"/>
    <cellStyle name="Percent 2 15 4 2 2 3" xfId="31400" xr:uid="{00000000-0005-0000-0000-000016500000}"/>
    <cellStyle name="Percent 2 15 4 2 2 4" xfId="16894" xr:uid="{00000000-0005-0000-0000-000017500000}"/>
    <cellStyle name="Percent 2 15 4 2 2_TOM TAT" xfId="12207" xr:uid="{00000000-0005-0000-0000-000018500000}"/>
    <cellStyle name="Percent 2 15 4 2 3" xfId="12208" xr:uid="{00000000-0005-0000-0000-000019500000}"/>
    <cellStyle name="Percent 2 15 4 2 3 2" xfId="31402" xr:uid="{00000000-0005-0000-0000-00001A500000}"/>
    <cellStyle name="Percent 2 15 4 2 3 3" xfId="16896" xr:uid="{00000000-0005-0000-0000-00001B500000}"/>
    <cellStyle name="Percent 2 15 4 2 3_TOM TAT" xfId="23720" xr:uid="{00000000-0005-0000-0000-00001C500000}"/>
    <cellStyle name="Percent 2 15 4 2 4" xfId="31399" xr:uid="{00000000-0005-0000-0000-00001D500000}"/>
    <cellStyle name="Percent 2 15 4 2 5" xfId="16893" xr:uid="{00000000-0005-0000-0000-00001E500000}"/>
    <cellStyle name="Percent 2 15 4 2_TOM TAT" xfId="12209" xr:uid="{00000000-0005-0000-0000-00001F500000}"/>
    <cellStyle name="Percent 2 15 4 3" xfId="12210" xr:uid="{00000000-0005-0000-0000-000020500000}"/>
    <cellStyle name="Percent 2 15 4 3 2" xfId="12211" xr:uid="{00000000-0005-0000-0000-000021500000}"/>
    <cellStyle name="Percent 2 15 4 3 2 2" xfId="12212" xr:uid="{00000000-0005-0000-0000-000022500000}"/>
    <cellStyle name="Percent 2 15 4 3 2 2 2" xfId="31405" xr:uid="{00000000-0005-0000-0000-000023500000}"/>
    <cellStyle name="Percent 2 15 4 3 2 2 3" xfId="16899" xr:uid="{00000000-0005-0000-0000-000024500000}"/>
    <cellStyle name="Percent 2 15 4 3 2 2_TOM TAT" xfId="23721" xr:uid="{00000000-0005-0000-0000-000025500000}"/>
    <cellStyle name="Percent 2 15 4 3 2 3" xfId="31404" xr:uid="{00000000-0005-0000-0000-000026500000}"/>
    <cellStyle name="Percent 2 15 4 3 2 4" xfId="16898" xr:uid="{00000000-0005-0000-0000-000027500000}"/>
    <cellStyle name="Percent 2 15 4 3 2_TOM TAT" xfId="12213" xr:uid="{00000000-0005-0000-0000-000028500000}"/>
    <cellStyle name="Percent 2 15 4 3 3" xfId="12214" xr:uid="{00000000-0005-0000-0000-000029500000}"/>
    <cellStyle name="Percent 2 15 4 3 3 2" xfId="31406" xr:uid="{00000000-0005-0000-0000-00002A500000}"/>
    <cellStyle name="Percent 2 15 4 3 3 3" xfId="16900" xr:uid="{00000000-0005-0000-0000-00002B500000}"/>
    <cellStyle name="Percent 2 15 4 3 3_TOM TAT" xfId="23722" xr:uid="{00000000-0005-0000-0000-00002C500000}"/>
    <cellStyle name="Percent 2 15 4 3 4" xfId="31403" xr:uid="{00000000-0005-0000-0000-00002D500000}"/>
    <cellStyle name="Percent 2 15 4 3 5" xfId="16897" xr:uid="{00000000-0005-0000-0000-00002E500000}"/>
    <cellStyle name="Percent 2 15 4 3_TOM TAT" xfId="12215" xr:uid="{00000000-0005-0000-0000-00002F500000}"/>
    <cellStyle name="Percent 2 15 4 4" xfId="12216" xr:uid="{00000000-0005-0000-0000-000030500000}"/>
    <cellStyle name="Percent 2 15 4 4 2" xfId="12217" xr:uid="{00000000-0005-0000-0000-000031500000}"/>
    <cellStyle name="Percent 2 15 4 4 2 2" xfId="31408" xr:uid="{00000000-0005-0000-0000-000032500000}"/>
    <cellStyle name="Percent 2 15 4 4 2 3" xfId="16902" xr:uid="{00000000-0005-0000-0000-000033500000}"/>
    <cellStyle name="Percent 2 15 4 4 2_TOM TAT" xfId="23723" xr:uid="{00000000-0005-0000-0000-000034500000}"/>
    <cellStyle name="Percent 2 15 4 4 3" xfId="31407" xr:uid="{00000000-0005-0000-0000-000035500000}"/>
    <cellStyle name="Percent 2 15 4 4 4" xfId="16901" xr:uid="{00000000-0005-0000-0000-000036500000}"/>
    <cellStyle name="Percent 2 15 4 4_TOM TAT" xfId="12218" xr:uid="{00000000-0005-0000-0000-000037500000}"/>
    <cellStyle name="Percent 2 15 4 5" xfId="12219" xr:uid="{00000000-0005-0000-0000-000038500000}"/>
    <cellStyle name="Percent 2 15 4 5 2" xfId="31409" xr:uid="{00000000-0005-0000-0000-000039500000}"/>
    <cellStyle name="Percent 2 15 4 5 3" xfId="16903" xr:uid="{00000000-0005-0000-0000-00003A500000}"/>
    <cellStyle name="Percent 2 15 4 5_TOM TAT" xfId="23724" xr:uid="{00000000-0005-0000-0000-00003B500000}"/>
    <cellStyle name="Percent 2 15 4 6" xfId="28298" xr:uid="{00000000-0005-0000-0000-00003C500000}"/>
    <cellStyle name="Percent 2 15 4 7" xfId="14719" xr:uid="{00000000-0005-0000-0000-00003D500000}"/>
    <cellStyle name="Percent 2 15 4_TOM TAT" xfId="12220" xr:uid="{00000000-0005-0000-0000-00003E500000}"/>
    <cellStyle name="Percent 2 15 5" xfId="12221" xr:uid="{00000000-0005-0000-0000-00003F500000}"/>
    <cellStyle name="Percent 2 15 5 2" xfId="12222" xr:uid="{00000000-0005-0000-0000-000040500000}"/>
    <cellStyle name="Percent 2 15 5 2 2" xfId="12223" xr:uid="{00000000-0005-0000-0000-000041500000}"/>
    <cellStyle name="Percent 2 15 5 2 2 2" xfId="12224" xr:uid="{00000000-0005-0000-0000-000042500000}"/>
    <cellStyle name="Percent 2 15 5 2 2 2 2" xfId="31413" xr:uid="{00000000-0005-0000-0000-000043500000}"/>
    <cellStyle name="Percent 2 15 5 2 2 2 3" xfId="16907" xr:uid="{00000000-0005-0000-0000-000044500000}"/>
    <cellStyle name="Percent 2 15 5 2 2 2_TOM TAT" xfId="23725" xr:uid="{00000000-0005-0000-0000-000045500000}"/>
    <cellStyle name="Percent 2 15 5 2 2 3" xfId="31412" xr:uid="{00000000-0005-0000-0000-000046500000}"/>
    <cellStyle name="Percent 2 15 5 2 2 4" xfId="16906" xr:uid="{00000000-0005-0000-0000-000047500000}"/>
    <cellStyle name="Percent 2 15 5 2 2_TOM TAT" xfId="12225" xr:uid="{00000000-0005-0000-0000-000048500000}"/>
    <cellStyle name="Percent 2 15 5 2 3" xfId="12226" xr:uid="{00000000-0005-0000-0000-000049500000}"/>
    <cellStyle name="Percent 2 15 5 2 3 2" xfId="31414" xr:uid="{00000000-0005-0000-0000-00004A500000}"/>
    <cellStyle name="Percent 2 15 5 2 3 3" xfId="16908" xr:uid="{00000000-0005-0000-0000-00004B500000}"/>
    <cellStyle name="Percent 2 15 5 2 3_TOM TAT" xfId="23726" xr:uid="{00000000-0005-0000-0000-00004C500000}"/>
    <cellStyle name="Percent 2 15 5 2 4" xfId="31411" xr:uid="{00000000-0005-0000-0000-00004D500000}"/>
    <cellStyle name="Percent 2 15 5 2 5" xfId="16905" xr:uid="{00000000-0005-0000-0000-00004E500000}"/>
    <cellStyle name="Percent 2 15 5 2_TOM TAT" xfId="12227" xr:uid="{00000000-0005-0000-0000-00004F500000}"/>
    <cellStyle name="Percent 2 15 5 3" xfId="12228" xr:uid="{00000000-0005-0000-0000-000050500000}"/>
    <cellStyle name="Percent 2 15 5 3 2" xfId="12229" xr:uid="{00000000-0005-0000-0000-000051500000}"/>
    <cellStyle name="Percent 2 15 5 3 2 2" xfId="12230" xr:uid="{00000000-0005-0000-0000-000052500000}"/>
    <cellStyle name="Percent 2 15 5 3 2 2 2" xfId="31417" xr:uid="{00000000-0005-0000-0000-000053500000}"/>
    <cellStyle name="Percent 2 15 5 3 2 2 3" xfId="16911" xr:uid="{00000000-0005-0000-0000-000054500000}"/>
    <cellStyle name="Percent 2 15 5 3 2 2_TOM TAT" xfId="23727" xr:uid="{00000000-0005-0000-0000-000055500000}"/>
    <cellStyle name="Percent 2 15 5 3 2 3" xfId="31416" xr:uid="{00000000-0005-0000-0000-000056500000}"/>
    <cellStyle name="Percent 2 15 5 3 2 4" xfId="16910" xr:uid="{00000000-0005-0000-0000-000057500000}"/>
    <cellStyle name="Percent 2 15 5 3 2_TOM TAT" xfId="12231" xr:uid="{00000000-0005-0000-0000-000058500000}"/>
    <cellStyle name="Percent 2 15 5 3 3" xfId="12232" xr:uid="{00000000-0005-0000-0000-000059500000}"/>
    <cellStyle name="Percent 2 15 5 3 3 2" xfId="31418" xr:uid="{00000000-0005-0000-0000-00005A500000}"/>
    <cellStyle name="Percent 2 15 5 3 3 3" xfId="16912" xr:uid="{00000000-0005-0000-0000-00005B500000}"/>
    <cellStyle name="Percent 2 15 5 3 3_TOM TAT" xfId="23728" xr:uid="{00000000-0005-0000-0000-00005C500000}"/>
    <cellStyle name="Percent 2 15 5 3 4" xfId="31415" xr:uid="{00000000-0005-0000-0000-00005D500000}"/>
    <cellStyle name="Percent 2 15 5 3 5" xfId="16909" xr:uid="{00000000-0005-0000-0000-00005E500000}"/>
    <cellStyle name="Percent 2 15 5 3_TOM TAT" xfId="12233" xr:uid="{00000000-0005-0000-0000-00005F500000}"/>
    <cellStyle name="Percent 2 15 5 4" xfId="12234" xr:uid="{00000000-0005-0000-0000-000060500000}"/>
    <cellStyle name="Percent 2 15 5 4 2" xfId="12235" xr:uid="{00000000-0005-0000-0000-000061500000}"/>
    <cellStyle name="Percent 2 15 5 4 2 2" xfId="31420" xr:uid="{00000000-0005-0000-0000-000062500000}"/>
    <cellStyle name="Percent 2 15 5 4 2 3" xfId="16914" xr:uid="{00000000-0005-0000-0000-000063500000}"/>
    <cellStyle name="Percent 2 15 5 4 2_TOM TAT" xfId="23729" xr:uid="{00000000-0005-0000-0000-000064500000}"/>
    <cellStyle name="Percent 2 15 5 4 3" xfId="31419" xr:uid="{00000000-0005-0000-0000-000065500000}"/>
    <cellStyle name="Percent 2 15 5 4 4" xfId="16913" xr:uid="{00000000-0005-0000-0000-000066500000}"/>
    <cellStyle name="Percent 2 15 5 4_TOM TAT" xfId="12236" xr:uid="{00000000-0005-0000-0000-000067500000}"/>
    <cellStyle name="Percent 2 15 5 5" xfId="12237" xr:uid="{00000000-0005-0000-0000-000068500000}"/>
    <cellStyle name="Percent 2 15 5 5 2" xfId="31421" xr:uid="{00000000-0005-0000-0000-000069500000}"/>
    <cellStyle name="Percent 2 15 5 5 3" xfId="16915" xr:uid="{00000000-0005-0000-0000-00006A500000}"/>
    <cellStyle name="Percent 2 15 5 5_TOM TAT" xfId="23730" xr:uid="{00000000-0005-0000-0000-00006B500000}"/>
    <cellStyle name="Percent 2 15 5 6" xfId="31410" xr:uid="{00000000-0005-0000-0000-00006C500000}"/>
    <cellStyle name="Percent 2 15 5 7" xfId="16904" xr:uid="{00000000-0005-0000-0000-00006D500000}"/>
    <cellStyle name="Percent 2 15 5_TOM TAT" xfId="12238" xr:uid="{00000000-0005-0000-0000-00006E500000}"/>
    <cellStyle name="Percent 2 15 6" xfId="12239" xr:uid="{00000000-0005-0000-0000-00006F500000}"/>
    <cellStyle name="Percent 2 15 6 2" xfId="12240" xr:uid="{00000000-0005-0000-0000-000070500000}"/>
    <cellStyle name="Percent 2 15 6 2 2" xfId="12241" xr:uid="{00000000-0005-0000-0000-000071500000}"/>
    <cellStyle name="Percent 2 15 6 2 2 2" xfId="31424" xr:uid="{00000000-0005-0000-0000-000072500000}"/>
    <cellStyle name="Percent 2 15 6 2 2 3" xfId="16918" xr:uid="{00000000-0005-0000-0000-000073500000}"/>
    <cellStyle name="Percent 2 15 6 2 2_TOM TAT" xfId="23731" xr:uid="{00000000-0005-0000-0000-000074500000}"/>
    <cellStyle name="Percent 2 15 6 2 3" xfId="31423" xr:uid="{00000000-0005-0000-0000-000075500000}"/>
    <cellStyle name="Percent 2 15 6 2 4" xfId="16917" xr:uid="{00000000-0005-0000-0000-000076500000}"/>
    <cellStyle name="Percent 2 15 6 2_TOM TAT" xfId="12242" xr:uid="{00000000-0005-0000-0000-000077500000}"/>
    <cellStyle name="Percent 2 15 6 3" xfId="12243" xr:uid="{00000000-0005-0000-0000-000078500000}"/>
    <cellStyle name="Percent 2 15 6 3 2" xfId="31425" xr:uid="{00000000-0005-0000-0000-000079500000}"/>
    <cellStyle name="Percent 2 15 6 3 3" xfId="16919" xr:uid="{00000000-0005-0000-0000-00007A500000}"/>
    <cellStyle name="Percent 2 15 6 3_TOM TAT" xfId="23732" xr:uid="{00000000-0005-0000-0000-00007B500000}"/>
    <cellStyle name="Percent 2 15 6 4" xfId="31422" xr:uid="{00000000-0005-0000-0000-00007C500000}"/>
    <cellStyle name="Percent 2 15 6 5" xfId="16916" xr:uid="{00000000-0005-0000-0000-00007D500000}"/>
    <cellStyle name="Percent 2 15 6_TOM TAT" xfId="12244" xr:uid="{00000000-0005-0000-0000-00007E500000}"/>
    <cellStyle name="Percent 2 15 7" xfId="12245" xr:uid="{00000000-0005-0000-0000-00007F500000}"/>
    <cellStyle name="Percent 2 15 7 2" xfId="12246" xr:uid="{00000000-0005-0000-0000-000080500000}"/>
    <cellStyle name="Percent 2 15 7 2 2" xfId="12247" xr:uid="{00000000-0005-0000-0000-000081500000}"/>
    <cellStyle name="Percent 2 15 7 2 2 2" xfId="31428" xr:uid="{00000000-0005-0000-0000-000082500000}"/>
    <cellStyle name="Percent 2 15 7 2 2 3" xfId="16922" xr:uid="{00000000-0005-0000-0000-000083500000}"/>
    <cellStyle name="Percent 2 15 7 2 2_TOM TAT" xfId="23733" xr:uid="{00000000-0005-0000-0000-000084500000}"/>
    <cellStyle name="Percent 2 15 7 2 3" xfId="31427" xr:uid="{00000000-0005-0000-0000-000085500000}"/>
    <cellStyle name="Percent 2 15 7 2 4" xfId="16921" xr:uid="{00000000-0005-0000-0000-000086500000}"/>
    <cellStyle name="Percent 2 15 7 2_TOM TAT" xfId="12248" xr:uid="{00000000-0005-0000-0000-000087500000}"/>
    <cellStyle name="Percent 2 15 7 3" xfId="12249" xr:uid="{00000000-0005-0000-0000-000088500000}"/>
    <cellStyle name="Percent 2 15 7 3 2" xfId="31429" xr:uid="{00000000-0005-0000-0000-000089500000}"/>
    <cellStyle name="Percent 2 15 7 3 3" xfId="16923" xr:uid="{00000000-0005-0000-0000-00008A500000}"/>
    <cellStyle name="Percent 2 15 7 3_TOM TAT" xfId="23734" xr:uid="{00000000-0005-0000-0000-00008B500000}"/>
    <cellStyle name="Percent 2 15 7 4" xfId="31426" xr:uid="{00000000-0005-0000-0000-00008C500000}"/>
    <cellStyle name="Percent 2 15 7 5" xfId="16920" xr:uid="{00000000-0005-0000-0000-00008D500000}"/>
    <cellStyle name="Percent 2 15 7_TOM TAT" xfId="12250" xr:uid="{00000000-0005-0000-0000-00008E500000}"/>
    <cellStyle name="Percent 2 15 8" xfId="12251" xr:uid="{00000000-0005-0000-0000-00008F500000}"/>
    <cellStyle name="Percent 2 15 8 2" xfId="12252" xr:uid="{00000000-0005-0000-0000-000090500000}"/>
    <cellStyle name="Percent 2 15 8 2 2" xfId="31431" xr:uid="{00000000-0005-0000-0000-000091500000}"/>
    <cellStyle name="Percent 2 15 8 2 3" xfId="16925" xr:uid="{00000000-0005-0000-0000-000092500000}"/>
    <cellStyle name="Percent 2 15 8 2_TOM TAT" xfId="23735" xr:uid="{00000000-0005-0000-0000-000093500000}"/>
    <cellStyle name="Percent 2 15 8 3" xfId="31430" xr:uid="{00000000-0005-0000-0000-000094500000}"/>
    <cellStyle name="Percent 2 15 8 4" xfId="16924" xr:uid="{00000000-0005-0000-0000-000095500000}"/>
    <cellStyle name="Percent 2 15 8_TOM TAT" xfId="12253" xr:uid="{00000000-0005-0000-0000-000096500000}"/>
    <cellStyle name="Percent 2 15 9" xfId="12254" xr:uid="{00000000-0005-0000-0000-000097500000}"/>
    <cellStyle name="Percent 2 15 9 2" xfId="31432" xr:uid="{00000000-0005-0000-0000-000098500000}"/>
    <cellStyle name="Percent 2 15 9 3" xfId="16926" xr:uid="{00000000-0005-0000-0000-000099500000}"/>
    <cellStyle name="Percent 2 15 9_TOM TAT" xfId="23736" xr:uid="{00000000-0005-0000-0000-00009A500000}"/>
    <cellStyle name="Percent 2 15_TOM TAT" xfId="12255" xr:uid="{00000000-0005-0000-0000-00009B500000}"/>
    <cellStyle name="Percent 2 16" xfId="5643" xr:uid="{00000000-0005-0000-0000-00009C500000}"/>
    <cellStyle name="Percent 2 16 2" xfId="5644" xr:uid="{00000000-0005-0000-0000-00009D500000}"/>
    <cellStyle name="Percent 2 16 2 2" xfId="12256" xr:uid="{00000000-0005-0000-0000-00009E500000}"/>
    <cellStyle name="Percent 2 16 2 2 2" xfId="12257" xr:uid="{00000000-0005-0000-0000-00009F500000}"/>
    <cellStyle name="Percent 2 16 2 2 2 2" xfId="12258" xr:uid="{00000000-0005-0000-0000-0000A0500000}"/>
    <cellStyle name="Percent 2 16 2 2 2 2 2" xfId="12259" xr:uid="{00000000-0005-0000-0000-0000A1500000}"/>
    <cellStyle name="Percent 2 16 2 2 2 2 2 2" xfId="31436" xr:uid="{00000000-0005-0000-0000-0000A2500000}"/>
    <cellStyle name="Percent 2 16 2 2 2 2 2 3" xfId="16930" xr:uid="{00000000-0005-0000-0000-0000A3500000}"/>
    <cellStyle name="Percent 2 16 2 2 2 2 2_TOM TAT" xfId="23737" xr:uid="{00000000-0005-0000-0000-0000A4500000}"/>
    <cellStyle name="Percent 2 16 2 2 2 2 3" xfId="31435" xr:uid="{00000000-0005-0000-0000-0000A5500000}"/>
    <cellStyle name="Percent 2 16 2 2 2 2 4" xfId="16929" xr:uid="{00000000-0005-0000-0000-0000A6500000}"/>
    <cellStyle name="Percent 2 16 2 2 2 2_TOM TAT" xfId="12260" xr:uid="{00000000-0005-0000-0000-0000A7500000}"/>
    <cellStyle name="Percent 2 16 2 2 2 3" xfId="12261" xr:uid="{00000000-0005-0000-0000-0000A8500000}"/>
    <cellStyle name="Percent 2 16 2 2 2 3 2" xfId="31437" xr:uid="{00000000-0005-0000-0000-0000A9500000}"/>
    <cellStyle name="Percent 2 16 2 2 2 3 3" xfId="16931" xr:uid="{00000000-0005-0000-0000-0000AA500000}"/>
    <cellStyle name="Percent 2 16 2 2 2 3_TOM TAT" xfId="23738" xr:uid="{00000000-0005-0000-0000-0000AB500000}"/>
    <cellStyle name="Percent 2 16 2 2 2 4" xfId="31434" xr:uid="{00000000-0005-0000-0000-0000AC500000}"/>
    <cellStyle name="Percent 2 16 2 2 2 5" xfId="16928" xr:uid="{00000000-0005-0000-0000-0000AD500000}"/>
    <cellStyle name="Percent 2 16 2 2 2_TOM TAT" xfId="12262" xr:uid="{00000000-0005-0000-0000-0000AE500000}"/>
    <cellStyle name="Percent 2 16 2 2 3" xfId="12263" xr:uid="{00000000-0005-0000-0000-0000AF500000}"/>
    <cellStyle name="Percent 2 16 2 2 3 2" xfId="12264" xr:uid="{00000000-0005-0000-0000-0000B0500000}"/>
    <cellStyle name="Percent 2 16 2 2 3 2 2" xfId="12265" xr:uid="{00000000-0005-0000-0000-0000B1500000}"/>
    <cellStyle name="Percent 2 16 2 2 3 2 2 2" xfId="31440" xr:uid="{00000000-0005-0000-0000-0000B2500000}"/>
    <cellStyle name="Percent 2 16 2 2 3 2 2 3" xfId="16934" xr:uid="{00000000-0005-0000-0000-0000B3500000}"/>
    <cellStyle name="Percent 2 16 2 2 3 2 2_TOM TAT" xfId="23739" xr:uid="{00000000-0005-0000-0000-0000B4500000}"/>
    <cellStyle name="Percent 2 16 2 2 3 2 3" xfId="31439" xr:uid="{00000000-0005-0000-0000-0000B5500000}"/>
    <cellStyle name="Percent 2 16 2 2 3 2 4" xfId="16933" xr:uid="{00000000-0005-0000-0000-0000B6500000}"/>
    <cellStyle name="Percent 2 16 2 2 3 2_TOM TAT" xfId="12266" xr:uid="{00000000-0005-0000-0000-0000B7500000}"/>
    <cellStyle name="Percent 2 16 2 2 3 3" xfId="12267" xr:uid="{00000000-0005-0000-0000-0000B8500000}"/>
    <cellStyle name="Percent 2 16 2 2 3 3 2" xfId="31441" xr:uid="{00000000-0005-0000-0000-0000B9500000}"/>
    <cellStyle name="Percent 2 16 2 2 3 3 3" xfId="16935" xr:uid="{00000000-0005-0000-0000-0000BA500000}"/>
    <cellStyle name="Percent 2 16 2 2 3 3_TOM TAT" xfId="23740" xr:uid="{00000000-0005-0000-0000-0000BB500000}"/>
    <cellStyle name="Percent 2 16 2 2 3 4" xfId="31438" xr:uid="{00000000-0005-0000-0000-0000BC500000}"/>
    <cellStyle name="Percent 2 16 2 2 3 5" xfId="16932" xr:uid="{00000000-0005-0000-0000-0000BD500000}"/>
    <cellStyle name="Percent 2 16 2 2 3_TOM TAT" xfId="12268" xr:uid="{00000000-0005-0000-0000-0000BE500000}"/>
    <cellStyle name="Percent 2 16 2 2 4" xfId="12269" xr:uid="{00000000-0005-0000-0000-0000BF500000}"/>
    <cellStyle name="Percent 2 16 2 2 4 2" xfId="12270" xr:uid="{00000000-0005-0000-0000-0000C0500000}"/>
    <cellStyle name="Percent 2 16 2 2 4 2 2" xfId="31443" xr:uid="{00000000-0005-0000-0000-0000C1500000}"/>
    <cellStyle name="Percent 2 16 2 2 4 2 3" xfId="16937" xr:uid="{00000000-0005-0000-0000-0000C2500000}"/>
    <cellStyle name="Percent 2 16 2 2 4 2_TOM TAT" xfId="23741" xr:uid="{00000000-0005-0000-0000-0000C3500000}"/>
    <cellStyle name="Percent 2 16 2 2 4 3" xfId="31442" xr:uid="{00000000-0005-0000-0000-0000C4500000}"/>
    <cellStyle name="Percent 2 16 2 2 4 4" xfId="16936" xr:uid="{00000000-0005-0000-0000-0000C5500000}"/>
    <cellStyle name="Percent 2 16 2 2 4_TOM TAT" xfId="12271" xr:uid="{00000000-0005-0000-0000-0000C6500000}"/>
    <cellStyle name="Percent 2 16 2 2 5" xfId="12272" xr:uid="{00000000-0005-0000-0000-0000C7500000}"/>
    <cellStyle name="Percent 2 16 2 2 5 2" xfId="31444" xr:uid="{00000000-0005-0000-0000-0000C8500000}"/>
    <cellStyle name="Percent 2 16 2 2 5 3" xfId="16938" xr:uid="{00000000-0005-0000-0000-0000C9500000}"/>
    <cellStyle name="Percent 2 16 2 2 5_TOM TAT" xfId="23742" xr:uid="{00000000-0005-0000-0000-0000CA500000}"/>
    <cellStyle name="Percent 2 16 2 2 6" xfId="31433" xr:uid="{00000000-0005-0000-0000-0000CB500000}"/>
    <cellStyle name="Percent 2 16 2 2 7" xfId="16927" xr:uid="{00000000-0005-0000-0000-0000CC500000}"/>
    <cellStyle name="Percent 2 16 2 2_TOM TAT" xfId="12273" xr:uid="{00000000-0005-0000-0000-0000CD500000}"/>
    <cellStyle name="Percent 2 16 2 3" xfId="12274" xr:uid="{00000000-0005-0000-0000-0000CE500000}"/>
    <cellStyle name="Percent 2 16 2 3 2" xfId="12275" xr:uid="{00000000-0005-0000-0000-0000CF500000}"/>
    <cellStyle name="Percent 2 16 2 3 2 2" xfId="12276" xr:uid="{00000000-0005-0000-0000-0000D0500000}"/>
    <cellStyle name="Percent 2 16 2 3 2 2 2" xfId="31447" xr:uid="{00000000-0005-0000-0000-0000D1500000}"/>
    <cellStyle name="Percent 2 16 2 3 2 2 3" xfId="16941" xr:uid="{00000000-0005-0000-0000-0000D2500000}"/>
    <cellStyle name="Percent 2 16 2 3 2 2_TOM TAT" xfId="23743" xr:uid="{00000000-0005-0000-0000-0000D3500000}"/>
    <cellStyle name="Percent 2 16 2 3 2 3" xfId="31446" xr:uid="{00000000-0005-0000-0000-0000D4500000}"/>
    <cellStyle name="Percent 2 16 2 3 2 4" xfId="16940" xr:uid="{00000000-0005-0000-0000-0000D5500000}"/>
    <cellStyle name="Percent 2 16 2 3 2_TOM TAT" xfId="12277" xr:uid="{00000000-0005-0000-0000-0000D6500000}"/>
    <cellStyle name="Percent 2 16 2 3 3" xfId="12278" xr:uid="{00000000-0005-0000-0000-0000D7500000}"/>
    <cellStyle name="Percent 2 16 2 3 3 2" xfId="31448" xr:uid="{00000000-0005-0000-0000-0000D8500000}"/>
    <cellStyle name="Percent 2 16 2 3 3 3" xfId="16942" xr:uid="{00000000-0005-0000-0000-0000D9500000}"/>
    <cellStyle name="Percent 2 16 2 3 3_TOM TAT" xfId="23744" xr:uid="{00000000-0005-0000-0000-0000DA500000}"/>
    <cellStyle name="Percent 2 16 2 3 4" xfId="31445" xr:uid="{00000000-0005-0000-0000-0000DB500000}"/>
    <cellStyle name="Percent 2 16 2 3 5" xfId="16939" xr:uid="{00000000-0005-0000-0000-0000DC500000}"/>
    <cellStyle name="Percent 2 16 2 3_TOM TAT" xfId="12279" xr:uid="{00000000-0005-0000-0000-0000DD500000}"/>
    <cellStyle name="Percent 2 16 2 4" xfId="12280" xr:uid="{00000000-0005-0000-0000-0000DE500000}"/>
    <cellStyle name="Percent 2 16 2 4 2" xfId="12281" xr:uid="{00000000-0005-0000-0000-0000DF500000}"/>
    <cellStyle name="Percent 2 16 2 4 2 2" xfId="12282" xr:uid="{00000000-0005-0000-0000-0000E0500000}"/>
    <cellStyle name="Percent 2 16 2 4 2 2 2" xfId="31451" xr:uid="{00000000-0005-0000-0000-0000E1500000}"/>
    <cellStyle name="Percent 2 16 2 4 2 2 3" xfId="16945" xr:uid="{00000000-0005-0000-0000-0000E2500000}"/>
    <cellStyle name="Percent 2 16 2 4 2 2_TOM TAT" xfId="23745" xr:uid="{00000000-0005-0000-0000-0000E3500000}"/>
    <cellStyle name="Percent 2 16 2 4 2 3" xfId="31450" xr:uid="{00000000-0005-0000-0000-0000E4500000}"/>
    <cellStyle name="Percent 2 16 2 4 2 4" xfId="16944" xr:uid="{00000000-0005-0000-0000-0000E5500000}"/>
    <cellStyle name="Percent 2 16 2 4 2_TOM TAT" xfId="12283" xr:uid="{00000000-0005-0000-0000-0000E6500000}"/>
    <cellStyle name="Percent 2 16 2 4 3" xfId="12284" xr:uid="{00000000-0005-0000-0000-0000E7500000}"/>
    <cellStyle name="Percent 2 16 2 4 3 2" xfId="31452" xr:uid="{00000000-0005-0000-0000-0000E8500000}"/>
    <cellStyle name="Percent 2 16 2 4 3 3" xfId="16946" xr:uid="{00000000-0005-0000-0000-0000E9500000}"/>
    <cellStyle name="Percent 2 16 2 4 3_TOM TAT" xfId="23746" xr:uid="{00000000-0005-0000-0000-0000EA500000}"/>
    <cellStyle name="Percent 2 16 2 4 4" xfId="31449" xr:uid="{00000000-0005-0000-0000-0000EB500000}"/>
    <cellStyle name="Percent 2 16 2 4 5" xfId="16943" xr:uid="{00000000-0005-0000-0000-0000EC500000}"/>
    <cellStyle name="Percent 2 16 2 4_TOM TAT" xfId="12285" xr:uid="{00000000-0005-0000-0000-0000ED500000}"/>
    <cellStyle name="Percent 2 16 2 5" xfId="12286" xr:uid="{00000000-0005-0000-0000-0000EE500000}"/>
    <cellStyle name="Percent 2 16 2 5 2" xfId="12287" xr:uid="{00000000-0005-0000-0000-0000EF500000}"/>
    <cellStyle name="Percent 2 16 2 5 2 2" xfId="31454" xr:uid="{00000000-0005-0000-0000-0000F0500000}"/>
    <cellStyle name="Percent 2 16 2 5 2 3" xfId="16948" xr:uid="{00000000-0005-0000-0000-0000F1500000}"/>
    <cellStyle name="Percent 2 16 2 5 2_TOM TAT" xfId="23747" xr:uid="{00000000-0005-0000-0000-0000F2500000}"/>
    <cellStyle name="Percent 2 16 2 5 3" xfId="31453" xr:uid="{00000000-0005-0000-0000-0000F3500000}"/>
    <cellStyle name="Percent 2 16 2 5 4" xfId="16947" xr:uid="{00000000-0005-0000-0000-0000F4500000}"/>
    <cellStyle name="Percent 2 16 2 5_TOM TAT" xfId="12288" xr:uid="{00000000-0005-0000-0000-0000F5500000}"/>
    <cellStyle name="Percent 2 16 2 6" xfId="12289" xr:uid="{00000000-0005-0000-0000-0000F6500000}"/>
    <cellStyle name="Percent 2 16 2 6 2" xfId="31455" xr:uid="{00000000-0005-0000-0000-0000F7500000}"/>
    <cellStyle name="Percent 2 16 2 6 3" xfId="16949" xr:uid="{00000000-0005-0000-0000-0000F8500000}"/>
    <cellStyle name="Percent 2 16 2 6_TOM TAT" xfId="23748" xr:uid="{00000000-0005-0000-0000-0000F9500000}"/>
    <cellStyle name="Percent 2 16 2 7" xfId="28300" xr:uid="{00000000-0005-0000-0000-0000FA500000}"/>
    <cellStyle name="Percent 2 16 2 8" xfId="14721" xr:uid="{00000000-0005-0000-0000-0000FB500000}"/>
    <cellStyle name="Percent 2 16 2_TOM TAT" xfId="12290" xr:uid="{00000000-0005-0000-0000-0000FC500000}"/>
    <cellStyle name="Percent 2 16 3" xfId="12291" xr:uid="{00000000-0005-0000-0000-0000FD500000}"/>
    <cellStyle name="Percent 2 16 3 2" xfId="12292" xr:uid="{00000000-0005-0000-0000-0000FE500000}"/>
    <cellStyle name="Percent 2 16 3 2 2" xfId="12293" xr:uid="{00000000-0005-0000-0000-0000FF500000}"/>
    <cellStyle name="Percent 2 16 3 2 2 2" xfId="12294" xr:uid="{00000000-0005-0000-0000-000000510000}"/>
    <cellStyle name="Percent 2 16 3 2 2 2 2" xfId="31459" xr:uid="{00000000-0005-0000-0000-000001510000}"/>
    <cellStyle name="Percent 2 16 3 2 2 2 3" xfId="16953" xr:uid="{00000000-0005-0000-0000-000002510000}"/>
    <cellStyle name="Percent 2 16 3 2 2 2_TOM TAT" xfId="23749" xr:uid="{00000000-0005-0000-0000-000003510000}"/>
    <cellStyle name="Percent 2 16 3 2 2 3" xfId="31458" xr:uid="{00000000-0005-0000-0000-000004510000}"/>
    <cellStyle name="Percent 2 16 3 2 2 4" xfId="16952" xr:uid="{00000000-0005-0000-0000-000005510000}"/>
    <cellStyle name="Percent 2 16 3 2 2_TOM TAT" xfId="12295" xr:uid="{00000000-0005-0000-0000-000006510000}"/>
    <cellStyle name="Percent 2 16 3 2 3" xfId="12296" xr:uid="{00000000-0005-0000-0000-000007510000}"/>
    <cellStyle name="Percent 2 16 3 2 3 2" xfId="31460" xr:uid="{00000000-0005-0000-0000-000008510000}"/>
    <cellStyle name="Percent 2 16 3 2 3 3" xfId="16954" xr:uid="{00000000-0005-0000-0000-000009510000}"/>
    <cellStyle name="Percent 2 16 3 2 3_TOM TAT" xfId="23750" xr:uid="{00000000-0005-0000-0000-00000A510000}"/>
    <cellStyle name="Percent 2 16 3 2 4" xfId="31457" xr:uid="{00000000-0005-0000-0000-00000B510000}"/>
    <cellStyle name="Percent 2 16 3 2 5" xfId="16951" xr:uid="{00000000-0005-0000-0000-00000C510000}"/>
    <cellStyle name="Percent 2 16 3 2_TOM TAT" xfId="12297" xr:uid="{00000000-0005-0000-0000-00000D510000}"/>
    <cellStyle name="Percent 2 16 3 3" xfId="12298" xr:uid="{00000000-0005-0000-0000-00000E510000}"/>
    <cellStyle name="Percent 2 16 3 3 2" xfId="12299" xr:uid="{00000000-0005-0000-0000-00000F510000}"/>
    <cellStyle name="Percent 2 16 3 3 2 2" xfId="12300" xr:uid="{00000000-0005-0000-0000-000010510000}"/>
    <cellStyle name="Percent 2 16 3 3 2 2 2" xfId="31463" xr:uid="{00000000-0005-0000-0000-000011510000}"/>
    <cellStyle name="Percent 2 16 3 3 2 2 3" xfId="16957" xr:uid="{00000000-0005-0000-0000-000012510000}"/>
    <cellStyle name="Percent 2 16 3 3 2 2_TOM TAT" xfId="23751" xr:uid="{00000000-0005-0000-0000-000013510000}"/>
    <cellStyle name="Percent 2 16 3 3 2 3" xfId="31462" xr:uid="{00000000-0005-0000-0000-000014510000}"/>
    <cellStyle name="Percent 2 16 3 3 2 4" xfId="16956" xr:uid="{00000000-0005-0000-0000-000015510000}"/>
    <cellStyle name="Percent 2 16 3 3 2_TOM TAT" xfId="12301" xr:uid="{00000000-0005-0000-0000-000016510000}"/>
    <cellStyle name="Percent 2 16 3 3 3" xfId="12302" xr:uid="{00000000-0005-0000-0000-000017510000}"/>
    <cellStyle name="Percent 2 16 3 3 3 2" xfId="31464" xr:uid="{00000000-0005-0000-0000-000018510000}"/>
    <cellStyle name="Percent 2 16 3 3 3 3" xfId="16958" xr:uid="{00000000-0005-0000-0000-000019510000}"/>
    <cellStyle name="Percent 2 16 3 3 3_TOM TAT" xfId="23752" xr:uid="{00000000-0005-0000-0000-00001A510000}"/>
    <cellStyle name="Percent 2 16 3 3 4" xfId="31461" xr:uid="{00000000-0005-0000-0000-00001B510000}"/>
    <cellStyle name="Percent 2 16 3 3 5" xfId="16955" xr:uid="{00000000-0005-0000-0000-00001C510000}"/>
    <cellStyle name="Percent 2 16 3 3_TOM TAT" xfId="12303" xr:uid="{00000000-0005-0000-0000-00001D510000}"/>
    <cellStyle name="Percent 2 16 3 4" xfId="12304" xr:uid="{00000000-0005-0000-0000-00001E510000}"/>
    <cellStyle name="Percent 2 16 3 4 2" xfId="12305" xr:uid="{00000000-0005-0000-0000-00001F510000}"/>
    <cellStyle name="Percent 2 16 3 4 2 2" xfId="31466" xr:uid="{00000000-0005-0000-0000-000020510000}"/>
    <cellStyle name="Percent 2 16 3 4 2 3" xfId="16960" xr:uid="{00000000-0005-0000-0000-000021510000}"/>
    <cellStyle name="Percent 2 16 3 4 2_TOM TAT" xfId="23753" xr:uid="{00000000-0005-0000-0000-000022510000}"/>
    <cellStyle name="Percent 2 16 3 4 3" xfId="31465" xr:uid="{00000000-0005-0000-0000-000023510000}"/>
    <cellStyle name="Percent 2 16 3 4 4" xfId="16959" xr:uid="{00000000-0005-0000-0000-000024510000}"/>
    <cellStyle name="Percent 2 16 3 4_TOM TAT" xfId="12306" xr:uid="{00000000-0005-0000-0000-000025510000}"/>
    <cellStyle name="Percent 2 16 3 5" xfId="12307" xr:uid="{00000000-0005-0000-0000-000026510000}"/>
    <cellStyle name="Percent 2 16 3 5 2" xfId="31467" xr:uid="{00000000-0005-0000-0000-000027510000}"/>
    <cellStyle name="Percent 2 16 3 5 3" xfId="16961" xr:uid="{00000000-0005-0000-0000-000028510000}"/>
    <cellStyle name="Percent 2 16 3 5_TOM TAT" xfId="23754" xr:uid="{00000000-0005-0000-0000-000029510000}"/>
    <cellStyle name="Percent 2 16 3 6" xfId="31456" xr:uid="{00000000-0005-0000-0000-00002A510000}"/>
    <cellStyle name="Percent 2 16 3 7" xfId="16950" xr:uid="{00000000-0005-0000-0000-00002B510000}"/>
    <cellStyle name="Percent 2 16 3_TOM TAT" xfId="12308" xr:uid="{00000000-0005-0000-0000-00002C510000}"/>
    <cellStyle name="Percent 2 16 4" xfId="12309" xr:uid="{00000000-0005-0000-0000-00002D510000}"/>
    <cellStyle name="Percent 2 16 4 2" xfId="12310" xr:uid="{00000000-0005-0000-0000-00002E510000}"/>
    <cellStyle name="Percent 2 16 4 2 2" xfId="12311" xr:uid="{00000000-0005-0000-0000-00002F510000}"/>
    <cellStyle name="Percent 2 16 4 2 2 2" xfId="12312" xr:uid="{00000000-0005-0000-0000-000030510000}"/>
    <cellStyle name="Percent 2 16 4 2 2 2 2" xfId="31471" xr:uid="{00000000-0005-0000-0000-000031510000}"/>
    <cellStyle name="Percent 2 16 4 2 2 2 3" xfId="16965" xr:uid="{00000000-0005-0000-0000-000032510000}"/>
    <cellStyle name="Percent 2 16 4 2 2 2_TOM TAT" xfId="23755" xr:uid="{00000000-0005-0000-0000-000033510000}"/>
    <cellStyle name="Percent 2 16 4 2 2 3" xfId="31470" xr:uid="{00000000-0005-0000-0000-000034510000}"/>
    <cellStyle name="Percent 2 16 4 2 2 4" xfId="16964" xr:uid="{00000000-0005-0000-0000-000035510000}"/>
    <cellStyle name="Percent 2 16 4 2 2_TOM TAT" xfId="12313" xr:uid="{00000000-0005-0000-0000-000036510000}"/>
    <cellStyle name="Percent 2 16 4 2 3" xfId="12314" xr:uid="{00000000-0005-0000-0000-000037510000}"/>
    <cellStyle name="Percent 2 16 4 2 3 2" xfId="31472" xr:uid="{00000000-0005-0000-0000-000038510000}"/>
    <cellStyle name="Percent 2 16 4 2 3 3" xfId="16966" xr:uid="{00000000-0005-0000-0000-000039510000}"/>
    <cellStyle name="Percent 2 16 4 2 3_TOM TAT" xfId="23756" xr:uid="{00000000-0005-0000-0000-00003A510000}"/>
    <cellStyle name="Percent 2 16 4 2 4" xfId="31469" xr:uid="{00000000-0005-0000-0000-00003B510000}"/>
    <cellStyle name="Percent 2 16 4 2 5" xfId="16963" xr:uid="{00000000-0005-0000-0000-00003C510000}"/>
    <cellStyle name="Percent 2 16 4 2_TOM TAT" xfId="12315" xr:uid="{00000000-0005-0000-0000-00003D510000}"/>
    <cellStyle name="Percent 2 16 4 3" xfId="12316" xr:uid="{00000000-0005-0000-0000-00003E510000}"/>
    <cellStyle name="Percent 2 16 4 3 2" xfId="12317" xr:uid="{00000000-0005-0000-0000-00003F510000}"/>
    <cellStyle name="Percent 2 16 4 3 2 2" xfId="12318" xr:uid="{00000000-0005-0000-0000-000040510000}"/>
    <cellStyle name="Percent 2 16 4 3 2 2 2" xfId="31475" xr:uid="{00000000-0005-0000-0000-000041510000}"/>
    <cellStyle name="Percent 2 16 4 3 2 2 3" xfId="16969" xr:uid="{00000000-0005-0000-0000-000042510000}"/>
    <cellStyle name="Percent 2 16 4 3 2 2_TOM TAT" xfId="23757" xr:uid="{00000000-0005-0000-0000-000043510000}"/>
    <cellStyle name="Percent 2 16 4 3 2 3" xfId="31474" xr:uid="{00000000-0005-0000-0000-000044510000}"/>
    <cellStyle name="Percent 2 16 4 3 2 4" xfId="16968" xr:uid="{00000000-0005-0000-0000-000045510000}"/>
    <cellStyle name="Percent 2 16 4 3 2_TOM TAT" xfId="12319" xr:uid="{00000000-0005-0000-0000-000046510000}"/>
    <cellStyle name="Percent 2 16 4 3 3" xfId="12320" xr:uid="{00000000-0005-0000-0000-000047510000}"/>
    <cellStyle name="Percent 2 16 4 3 3 2" xfId="31476" xr:uid="{00000000-0005-0000-0000-000048510000}"/>
    <cellStyle name="Percent 2 16 4 3 3 3" xfId="16970" xr:uid="{00000000-0005-0000-0000-000049510000}"/>
    <cellStyle name="Percent 2 16 4 3 3_TOM TAT" xfId="23758" xr:uid="{00000000-0005-0000-0000-00004A510000}"/>
    <cellStyle name="Percent 2 16 4 3 4" xfId="31473" xr:uid="{00000000-0005-0000-0000-00004B510000}"/>
    <cellStyle name="Percent 2 16 4 3 5" xfId="16967" xr:uid="{00000000-0005-0000-0000-00004C510000}"/>
    <cellStyle name="Percent 2 16 4 3_TOM TAT" xfId="12321" xr:uid="{00000000-0005-0000-0000-00004D510000}"/>
    <cellStyle name="Percent 2 16 4 4" xfId="12322" xr:uid="{00000000-0005-0000-0000-00004E510000}"/>
    <cellStyle name="Percent 2 16 4 4 2" xfId="12323" xr:uid="{00000000-0005-0000-0000-00004F510000}"/>
    <cellStyle name="Percent 2 16 4 4 2 2" xfId="31478" xr:uid="{00000000-0005-0000-0000-000050510000}"/>
    <cellStyle name="Percent 2 16 4 4 2 3" xfId="16972" xr:uid="{00000000-0005-0000-0000-000051510000}"/>
    <cellStyle name="Percent 2 16 4 4 2_TOM TAT" xfId="23759" xr:uid="{00000000-0005-0000-0000-000052510000}"/>
    <cellStyle name="Percent 2 16 4 4 3" xfId="31477" xr:uid="{00000000-0005-0000-0000-000053510000}"/>
    <cellStyle name="Percent 2 16 4 4 4" xfId="16971" xr:uid="{00000000-0005-0000-0000-000054510000}"/>
    <cellStyle name="Percent 2 16 4 4_TOM TAT" xfId="12324" xr:uid="{00000000-0005-0000-0000-000055510000}"/>
    <cellStyle name="Percent 2 16 4 5" xfId="12325" xr:uid="{00000000-0005-0000-0000-000056510000}"/>
    <cellStyle name="Percent 2 16 4 5 2" xfId="31479" xr:uid="{00000000-0005-0000-0000-000057510000}"/>
    <cellStyle name="Percent 2 16 4 5 3" xfId="16973" xr:uid="{00000000-0005-0000-0000-000058510000}"/>
    <cellStyle name="Percent 2 16 4 5_TOM TAT" xfId="23760" xr:uid="{00000000-0005-0000-0000-000059510000}"/>
    <cellStyle name="Percent 2 16 4 6" xfId="31468" xr:uid="{00000000-0005-0000-0000-00005A510000}"/>
    <cellStyle name="Percent 2 16 4 7" xfId="16962" xr:uid="{00000000-0005-0000-0000-00005B510000}"/>
    <cellStyle name="Percent 2 16 4_TOM TAT" xfId="12326" xr:uid="{00000000-0005-0000-0000-00005C510000}"/>
    <cellStyle name="Percent 2 16 5" xfId="12327" xr:uid="{00000000-0005-0000-0000-00005D510000}"/>
    <cellStyle name="Percent 2 16 5 2" xfId="12328" xr:uid="{00000000-0005-0000-0000-00005E510000}"/>
    <cellStyle name="Percent 2 16 5 2 2" xfId="12329" xr:uid="{00000000-0005-0000-0000-00005F510000}"/>
    <cellStyle name="Percent 2 16 5 2 2 2" xfId="31482" xr:uid="{00000000-0005-0000-0000-000060510000}"/>
    <cellStyle name="Percent 2 16 5 2 2 3" xfId="16976" xr:uid="{00000000-0005-0000-0000-000061510000}"/>
    <cellStyle name="Percent 2 16 5 2 2_TOM TAT" xfId="23761" xr:uid="{00000000-0005-0000-0000-000062510000}"/>
    <cellStyle name="Percent 2 16 5 2 3" xfId="31481" xr:uid="{00000000-0005-0000-0000-000063510000}"/>
    <cellStyle name="Percent 2 16 5 2 4" xfId="16975" xr:uid="{00000000-0005-0000-0000-000064510000}"/>
    <cellStyle name="Percent 2 16 5 2_TOM TAT" xfId="12330" xr:uid="{00000000-0005-0000-0000-000065510000}"/>
    <cellStyle name="Percent 2 16 5 3" xfId="12331" xr:uid="{00000000-0005-0000-0000-000066510000}"/>
    <cellStyle name="Percent 2 16 5 3 2" xfId="31483" xr:uid="{00000000-0005-0000-0000-000067510000}"/>
    <cellStyle name="Percent 2 16 5 3 3" xfId="16977" xr:uid="{00000000-0005-0000-0000-000068510000}"/>
    <cellStyle name="Percent 2 16 5 3_TOM TAT" xfId="23762" xr:uid="{00000000-0005-0000-0000-000069510000}"/>
    <cellStyle name="Percent 2 16 5 4" xfId="31480" xr:uid="{00000000-0005-0000-0000-00006A510000}"/>
    <cellStyle name="Percent 2 16 5 5" xfId="16974" xr:uid="{00000000-0005-0000-0000-00006B510000}"/>
    <cellStyle name="Percent 2 16 5_TOM TAT" xfId="12332" xr:uid="{00000000-0005-0000-0000-00006C510000}"/>
    <cellStyle name="Percent 2 16 6" xfId="12333" xr:uid="{00000000-0005-0000-0000-00006D510000}"/>
    <cellStyle name="Percent 2 16 6 2" xfId="12334" xr:uid="{00000000-0005-0000-0000-00006E510000}"/>
    <cellStyle name="Percent 2 16 6 2 2" xfId="12335" xr:uid="{00000000-0005-0000-0000-00006F510000}"/>
    <cellStyle name="Percent 2 16 6 2 2 2" xfId="31486" xr:uid="{00000000-0005-0000-0000-000070510000}"/>
    <cellStyle name="Percent 2 16 6 2 2 3" xfId="16980" xr:uid="{00000000-0005-0000-0000-000071510000}"/>
    <cellStyle name="Percent 2 16 6 2 2_TOM TAT" xfId="23763" xr:uid="{00000000-0005-0000-0000-000072510000}"/>
    <cellStyle name="Percent 2 16 6 2 3" xfId="31485" xr:uid="{00000000-0005-0000-0000-000073510000}"/>
    <cellStyle name="Percent 2 16 6 2 4" xfId="16979" xr:uid="{00000000-0005-0000-0000-000074510000}"/>
    <cellStyle name="Percent 2 16 6 2_TOM TAT" xfId="12336" xr:uid="{00000000-0005-0000-0000-000075510000}"/>
    <cellStyle name="Percent 2 16 6 3" xfId="12337" xr:uid="{00000000-0005-0000-0000-000076510000}"/>
    <cellStyle name="Percent 2 16 6 3 2" xfId="31487" xr:uid="{00000000-0005-0000-0000-000077510000}"/>
    <cellStyle name="Percent 2 16 6 3 3" xfId="16981" xr:uid="{00000000-0005-0000-0000-000078510000}"/>
    <cellStyle name="Percent 2 16 6 3_TOM TAT" xfId="23764" xr:uid="{00000000-0005-0000-0000-000079510000}"/>
    <cellStyle name="Percent 2 16 6 4" xfId="31484" xr:uid="{00000000-0005-0000-0000-00007A510000}"/>
    <cellStyle name="Percent 2 16 6 5" xfId="16978" xr:uid="{00000000-0005-0000-0000-00007B510000}"/>
    <cellStyle name="Percent 2 16 6_TOM TAT" xfId="12338" xr:uid="{00000000-0005-0000-0000-00007C510000}"/>
    <cellStyle name="Percent 2 16 7" xfId="12339" xr:uid="{00000000-0005-0000-0000-00007D510000}"/>
    <cellStyle name="Percent 2 16 7 2" xfId="31488" xr:uid="{00000000-0005-0000-0000-00007E510000}"/>
    <cellStyle name="Percent 2 16 7 3" xfId="16982" xr:uid="{00000000-0005-0000-0000-00007F510000}"/>
    <cellStyle name="Percent 2 16 7_TOM TAT" xfId="23765" xr:uid="{00000000-0005-0000-0000-000080510000}"/>
    <cellStyle name="Percent 2 16 8" xfId="28299" xr:uid="{00000000-0005-0000-0000-000081510000}"/>
    <cellStyle name="Percent 2 16 9" xfId="14720" xr:uid="{00000000-0005-0000-0000-000082510000}"/>
    <cellStyle name="Percent 2 16_TOM TAT" xfId="12340" xr:uid="{00000000-0005-0000-0000-000083510000}"/>
    <cellStyle name="Percent 2 17" xfId="5645" xr:uid="{00000000-0005-0000-0000-000084510000}"/>
    <cellStyle name="Percent 2 18" xfId="12341" xr:uid="{00000000-0005-0000-0000-000085510000}"/>
    <cellStyle name="Percent 2 18 2" xfId="12342" xr:uid="{00000000-0005-0000-0000-000086510000}"/>
    <cellStyle name="Percent 2 18 2 2" xfId="12343" xr:uid="{00000000-0005-0000-0000-000087510000}"/>
    <cellStyle name="Percent 2 18 2 2 2" xfId="31491" xr:uid="{00000000-0005-0000-0000-000088510000}"/>
    <cellStyle name="Percent 2 18 2 2 3" xfId="16985" xr:uid="{00000000-0005-0000-0000-000089510000}"/>
    <cellStyle name="Percent 2 18 2 2_TOM TAT" xfId="23766" xr:uid="{00000000-0005-0000-0000-00008A510000}"/>
    <cellStyle name="Percent 2 18 2 3" xfId="31490" xr:uid="{00000000-0005-0000-0000-00008B510000}"/>
    <cellStyle name="Percent 2 18 2 4" xfId="16984" xr:uid="{00000000-0005-0000-0000-00008C510000}"/>
    <cellStyle name="Percent 2 18 2_TOM TAT" xfId="12344" xr:uid="{00000000-0005-0000-0000-00008D510000}"/>
    <cellStyle name="Percent 2 18 3" xfId="12345" xr:uid="{00000000-0005-0000-0000-00008E510000}"/>
    <cellStyle name="Percent 2 18 3 2" xfId="31492" xr:uid="{00000000-0005-0000-0000-00008F510000}"/>
    <cellStyle name="Percent 2 18 3 3" xfId="16986" xr:uid="{00000000-0005-0000-0000-000090510000}"/>
    <cellStyle name="Percent 2 18 3_TOM TAT" xfId="23767" xr:uid="{00000000-0005-0000-0000-000091510000}"/>
    <cellStyle name="Percent 2 18 4" xfId="31489" xr:uid="{00000000-0005-0000-0000-000092510000}"/>
    <cellStyle name="Percent 2 18 5" xfId="16983" xr:uid="{00000000-0005-0000-0000-000093510000}"/>
    <cellStyle name="Percent 2 18_TOM TAT" xfId="12346" xr:uid="{00000000-0005-0000-0000-000094510000}"/>
    <cellStyle name="Percent 2 19" xfId="12347" xr:uid="{00000000-0005-0000-0000-000095510000}"/>
    <cellStyle name="Percent 2 2" xfId="2327" xr:uid="{00000000-0005-0000-0000-000096510000}"/>
    <cellStyle name="Percent 2 2 2" xfId="12348" xr:uid="{00000000-0005-0000-0000-000097510000}"/>
    <cellStyle name="Percent 2 2 3" xfId="18581" xr:uid="{00000000-0005-0000-0000-000098510000}"/>
    <cellStyle name="Percent 2 2 4" xfId="19182" xr:uid="{00000000-0005-0000-0000-000099510000}"/>
    <cellStyle name="Percent 2 2_TOM TAT" xfId="12349" xr:uid="{00000000-0005-0000-0000-00009A510000}"/>
    <cellStyle name="Percent 2 20" xfId="19183" xr:uid="{00000000-0005-0000-0000-00009B510000}"/>
    <cellStyle name="Percent 2 20 2" xfId="19184" xr:uid="{00000000-0005-0000-0000-00009C510000}"/>
    <cellStyle name="Percent 2 20 2 2" xfId="32038" xr:uid="{00000000-0005-0000-0000-00009D510000}"/>
    <cellStyle name="Percent 2 20 2_TOM TAT" xfId="23769" xr:uid="{00000000-0005-0000-0000-00009E510000}"/>
    <cellStyle name="Percent 2 20 3" xfId="19185" xr:uid="{00000000-0005-0000-0000-00009F510000}"/>
    <cellStyle name="Percent 2 20 3 2" xfId="32039" xr:uid="{00000000-0005-0000-0000-0000A0510000}"/>
    <cellStyle name="Percent 2 20 3_TOM TAT" xfId="23770" xr:uid="{00000000-0005-0000-0000-0000A1510000}"/>
    <cellStyle name="Percent 2 20 4" xfId="32037" xr:uid="{00000000-0005-0000-0000-0000A2510000}"/>
    <cellStyle name="Percent 2 20_TOM TAT" xfId="23768" xr:uid="{00000000-0005-0000-0000-0000A3510000}"/>
    <cellStyle name="Percent 2 21" xfId="19186" xr:uid="{00000000-0005-0000-0000-0000A4510000}"/>
    <cellStyle name="Percent 2 21 2" xfId="32040" xr:uid="{00000000-0005-0000-0000-0000A5510000}"/>
    <cellStyle name="Percent 2 21_TOM TAT" xfId="23771" xr:uid="{00000000-0005-0000-0000-0000A6510000}"/>
    <cellStyle name="Percent 2 22" xfId="26990" xr:uid="{00000000-0005-0000-0000-0000A7510000}"/>
    <cellStyle name="Percent 2 23" xfId="32274" xr:uid="{00000000-0005-0000-0000-0000A8510000}"/>
    <cellStyle name="Percent 2 24" xfId="32297" xr:uid="{00000000-0005-0000-0000-0000A9510000}"/>
    <cellStyle name="Percent 2 3" xfId="2328" xr:uid="{00000000-0005-0000-0000-0000AA510000}"/>
    <cellStyle name="Percent 2 3 2" xfId="2329" xr:uid="{00000000-0005-0000-0000-0000AB510000}"/>
    <cellStyle name="Percent 2 3 2 2" xfId="12350" xr:uid="{00000000-0005-0000-0000-0000AC510000}"/>
    <cellStyle name="Percent 2 3 2 2 2" xfId="12351" xr:uid="{00000000-0005-0000-0000-0000AD510000}"/>
    <cellStyle name="Percent 2 3 2 2 2 2" xfId="12352" xr:uid="{00000000-0005-0000-0000-0000AE510000}"/>
    <cellStyle name="Percent 2 3 2 2 2 2 2" xfId="31495" xr:uid="{00000000-0005-0000-0000-0000AF510000}"/>
    <cellStyle name="Percent 2 3 2 2 2 2 3" xfId="16989" xr:uid="{00000000-0005-0000-0000-0000B0510000}"/>
    <cellStyle name="Percent 2 3 2 2 2 2_TOM TAT" xfId="23772" xr:uid="{00000000-0005-0000-0000-0000B1510000}"/>
    <cellStyle name="Percent 2 3 2 2 2 3" xfId="31494" xr:uid="{00000000-0005-0000-0000-0000B2510000}"/>
    <cellStyle name="Percent 2 3 2 2 2 4" xfId="16988" xr:uid="{00000000-0005-0000-0000-0000B3510000}"/>
    <cellStyle name="Percent 2 3 2 2 2_TOM TAT" xfId="12353" xr:uid="{00000000-0005-0000-0000-0000B4510000}"/>
    <cellStyle name="Percent 2 3 2 2 3" xfId="12354" xr:uid="{00000000-0005-0000-0000-0000B5510000}"/>
    <cellStyle name="Percent 2 3 2 2 3 2" xfId="31496" xr:uid="{00000000-0005-0000-0000-0000B6510000}"/>
    <cellStyle name="Percent 2 3 2 2 3 3" xfId="16990" xr:uid="{00000000-0005-0000-0000-0000B7510000}"/>
    <cellStyle name="Percent 2 3 2 2 3_TOM TAT" xfId="23773" xr:uid="{00000000-0005-0000-0000-0000B8510000}"/>
    <cellStyle name="Percent 2 3 2 2 4" xfId="31493" xr:uid="{00000000-0005-0000-0000-0000B9510000}"/>
    <cellStyle name="Percent 2 3 2 2 5" xfId="16987" xr:uid="{00000000-0005-0000-0000-0000BA510000}"/>
    <cellStyle name="Percent 2 3 2 2_TOM TAT" xfId="12355" xr:uid="{00000000-0005-0000-0000-0000BB510000}"/>
    <cellStyle name="Percent 2 3 2 3" xfId="12356" xr:uid="{00000000-0005-0000-0000-0000BC510000}"/>
    <cellStyle name="Percent 2 3 2 3 2" xfId="31497" xr:uid="{00000000-0005-0000-0000-0000BD510000}"/>
    <cellStyle name="Percent 2 3 2 3 3" xfId="16991" xr:uid="{00000000-0005-0000-0000-0000BE510000}"/>
    <cellStyle name="Percent 2 3 2 3_TOM TAT" xfId="23774" xr:uid="{00000000-0005-0000-0000-0000BF510000}"/>
    <cellStyle name="Percent 2 3 2_TOM TAT" xfId="12357" xr:uid="{00000000-0005-0000-0000-0000C0510000}"/>
    <cellStyle name="Percent 2 3 3" xfId="12358" xr:uid="{00000000-0005-0000-0000-0000C1510000}"/>
    <cellStyle name="Percent 2 3 3 2" xfId="12359" xr:uid="{00000000-0005-0000-0000-0000C2510000}"/>
    <cellStyle name="Percent 2 3 3 2 2" xfId="12360" xr:uid="{00000000-0005-0000-0000-0000C3510000}"/>
    <cellStyle name="Percent 2 3 3 2 2 2" xfId="31500" xr:uid="{00000000-0005-0000-0000-0000C4510000}"/>
    <cellStyle name="Percent 2 3 3 2 2 3" xfId="16994" xr:uid="{00000000-0005-0000-0000-0000C5510000}"/>
    <cellStyle name="Percent 2 3 3 2 2_TOM TAT" xfId="23775" xr:uid="{00000000-0005-0000-0000-0000C6510000}"/>
    <cellStyle name="Percent 2 3 3 2 3" xfId="31499" xr:uid="{00000000-0005-0000-0000-0000C7510000}"/>
    <cellStyle name="Percent 2 3 3 2 4" xfId="16993" xr:uid="{00000000-0005-0000-0000-0000C8510000}"/>
    <cellStyle name="Percent 2 3 3 2_TOM TAT" xfId="12361" xr:uid="{00000000-0005-0000-0000-0000C9510000}"/>
    <cellStyle name="Percent 2 3 3 3" xfId="12362" xr:uid="{00000000-0005-0000-0000-0000CA510000}"/>
    <cellStyle name="Percent 2 3 3 3 2" xfId="31501" xr:uid="{00000000-0005-0000-0000-0000CB510000}"/>
    <cellStyle name="Percent 2 3 3 3 3" xfId="16995" xr:uid="{00000000-0005-0000-0000-0000CC510000}"/>
    <cellStyle name="Percent 2 3 3 3_TOM TAT" xfId="23776" xr:uid="{00000000-0005-0000-0000-0000CD510000}"/>
    <cellStyle name="Percent 2 3 3 4" xfId="31498" xr:uid="{00000000-0005-0000-0000-0000CE510000}"/>
    <cellStyle name="Percent 2 3 3 5" xfId="16992" xr:uid="{00000000-0005-0000-0000-0000CF510000}"/>
    <cellStyle name="Percent 2 3 3_TOM TAT" xfId="12363" xr:uid="{00000000-0005-0000-0000-0000D0510000}"/>
    <cellStyle name="Percent 2 3 4" xfId="12364" xr:uid="{00000000-0005-0000-0000-0000D1510000}"/>
    <cellStyle name="Percent 2 3 4 2" xfId="31502" xr:uid="{00000000-0005-0000-0000-0000D2510000}"/>
    <cellStyle name="Percent 2 3 4 3" xfId="16996" xr:uid="{00000000-0005-0000-0000-0000D3510000}"/>
    <cellStyle name="Percent 2 3 4_TOM TAT" xfId="23777" xr:uid="{00000000-0005-0000-0000-0000D4510000}"/>
    <cellStyle name="Percent 2 3 5" xfId="18641" xr:uid="{00000000-0005-0000-0000-0000D5510000}"/>
    <cellStyle name="Percent 2 3 6" xfId="18930" xr:uid="{00000000-0005-0000-0000-0000D6510000}"/>
    <cellStyle name="Percent 2 3 7" xfId="32278" xr:uid="{00000000-0005-0000-0000-0000D7510000}"/>
    <cellStyle name="Percent 2 3 8" xfId="32299" xr:uid="{00000000-0005-0000-0000-0000D8510000}"/>
    <cellStyle name="Percent 2 3_TOM TAT" xfId="12365" xr:uid="{00000000-0005-0000-0000-0000D9510000}"/>
    <cellStyle name="Percent 2 4" xfId="2330" xr:uid="{00000000-0005-0000-0000-0000DA510000}"/>
    <cellStyle name="Percent 2 4 2" xfId="12366" xr:uid="{00000000-0005-0000-0000-0000DB510000}"/>
    <cellStyle name="Percent 2 4 2 2" xfId="12367" xr:uid="{00000000-0005-0000-0000-0000DC510000}"/>
    <cellStyle name="Percent 2 4 2 2 2" xfId="12368" xr:uid="{00000000-0005-0000-0000-0000DD510000}"/>
    <cellStyle name="Percent 2 4 2 2 2 2" xfId="31505" xr:uid="{00000000-0005-0000-0000-0000DE510000}"/>
    <cellStyle name="Percent 2 4 2 2 2 3" xfId="16999" xr:uid="{00000000-0005-0000-0000-0000DF510000}"/>
    <cellStyle name="Percent 2 4 2 2 2_TOM TAT" xfId="23778" xr:uid="{00000000-0005-0000-0000-0000E0510000}"/>
    <cellStyle name="Percent 2 4 2 2 3" xfId="31504" xr:uid="{00000000-0005-0000-0000-0000E1510000}"/>
    <cellStyle name="Percent 2 4 2 2 4" xfId="16998" xr:uid="{00000000-0005-0000-0000-0000E2510000}"/>
    <cellStyle name="Percent 2 4 2 2_TOM TAT" xfId="12369" xr:uid="{00000000-0005-0000-0000-0000E3510000}"/>
    <cellStyle name="Percent 2 4 2 3" xfId="12370" xr:uid="{00000000-0005-0000-0000-0000E4510000}"/>
    <cellStyle name="Percent 2 4 2 3 2" xfId="31506" xr:uid="{00000000-0005-0000-0000-0000E5510000}"/>
    <cellStyle name="Percent 2 4 2 3 3" xfId="17000" xr:uid="{00000000-0005-0000-0000-0000E6510000}"/>
    <cellStyle name="Percent 2 4 2 3_TOM TAT" xfId="23779" xr:uid="{00000000-0005-0000-0000-0000E7510000}"/>
    <cellStyle name="Percent 2 4 2 4" xfId="31503" xr:uid="{00000000-0005-0000-0000-0000E8510000}"/>
    <cellStyle name="Percent 2 4 2 5" xfId="16997" xr:uid="{00000000-0005-0000-0000-0000E9510000}"/>
    <cellStyle name="Percent 2 4 2_TOM TAT" xfId="12371" xr:uid="{00000000-0005-0000-0000-0000EA510000}"/>
    <cellStyle name="Percent 2 4 3" xfId="12372" xr:uid="{00000000-0005-0000-0000-0000EB510000}"/>
    <cellStyle name="Percent 2 4 3 2" xfId="31507" xr:uid="{00000000-0005-0000-0000-0000EC510000}"/>
    <cellStyle name="Percent 2 4 3 3" xfId="17001" xr:uid="{00000000-0005-0000-0000-0000ED510000}"/>
    <cellStyle name="Percent 2 4 3_TOM TAT" xfId="23780" xr:uid="{00000000-0005-0000-0000-0000EE510000}"/>
    <cellStyle name="Percent 2 4_TOM TAT" xfId="12373" xr:uid="{00000000-0005-0000-0000-0000EF510000}"/>
    <cellStyle name="Percent 2 5" xfId="2331" xr:uid="{00000000-0005-0000-0000-0000F0510000}"/>
    <cellStyle name="Percent 2 5 2" xfId="19013" xr:uid="{00000000-0005-0000-0000-0000F1510000}"/>
    <cellStyle name="Percent 2 5 3" xfId="19187" xr:uid="{00000000-0005-0000-0000-0000F2510000}"/>
    <cellStyle name="Percent 2 5_TOM TAT" xfId="23781" xr:uid="{00000000-0005-0000-0000-0000F3510000}"/>
    <cellStyle name="Percent 2 6" xfId="2332" xr:uid="{00000000-0005-0000-0000-0000F4510000}"/>
    <cellStyle name="Percent 2 7" xfId="2333" xr:uid="{00000000-0005-0000-0000-0000F5510000}"/>
    <cellStyle name="Percent 2 8" xfId="2334" xr:uid="{00000000-0005-0000-0000-0000F6510000}"/>
    <cellStyle name="Percent 2 9" xfId="2335" xr:uid="{00000000-0005-0000-0000-0000F7510000}"/>
    <cellStyle name="Percent 2_FS chuan Jamona Riverside" xfId="5646" xr:uid="{00000000-0005-0000-0000-0000F8510000}"/>
    <cellStyle name="Percent 20" xfId="5647" xr:uid="{00000000-0005-0000-0000-0000F9510000}"/>
    <cellStyle name="Percent 20 2" xfId="5648" xr:uid="{00000000-0005-0000-0000-0000FA510000}"/>
    <cellStyle name="Percent 20 2 2" xfId="12374" xr:uid="{00000000-0005-0000-0000-0000FB510000}"/>
    <cellStyle name="Percent 20 2 2 2" xfId="12375" xr:uid="{00000000-0005-0000-0000-0000FC510000}"/>
    <cellStyle name="Percent 20 2 2 2 2" xfId="12376" xr:uid="{00000000-0005-0000-0000-0000FD510000}"/>
    <cellStyle name="Percent 20 2 2 2 2 2" xfId="31510" xr:uid="{00000000-0005-0000-0000-0000FE510000}"/>
    <cellStyle name="Percent 20 2 2 2 2 3" xfId="17004" xr:uid="{00000000-0005-0000-0000-0000FF510000}"/>
    <cellStyle name="Percent 20 2 2 2 2_TOM TAT" xfId="23782" xr:uid="{00000000-0005-0000-0000-000000520000}"/>
    <cellStyle name="Percent 20 2 2 2 3" xfId="31509" xr:uid="{00000000-0005-0000-0000-000001520000}"/>
    <cellStyle name="Percent 20 2 2 2 4" xfId="17003" xr:uid="{00000000-0005-0000-0000-000002520000}"/>
    <cellStyle name="Percent 20 2 2 2_TOM TAT" xfId="12377" xr:uid="{00000000-0005-0000-0000-000003520000}"/>
    <cellStyle name="Percent 20 2 2 3" xfId="12378" xr:uid="{00000000-0005-0000-0000-000004520000}"/>
    <cellStyle name="Percent 20 2 2 3 2" xfId="31511" xr:uid="{00000000-0005-0000-0000-000005520000}"/>
    <cellStyle name="Percent 20 2 2 3 3" xfId="17005" xr:uid="{00000000-0005-0000-0000-000006520000}"/>
    <cellStyle name="Percent 20 2 2 3_TOM TAT" xfId="23783" xr:uid="{00000000-0005-0000-0000-000007520000}"/>
    <cellStyle name="Percent 20 2 2 4" xfId="31508" xr:uid="{00000000-0005-0000-0000-000008520000}"/>
    <cellStyle name="Percent 20 2 2 5" xfId="17002" xr:uid="{00000000-0005-0000-0000-000009520000}"/>
    <cellStyle name="Percent 20 2 2_TOM TAT" xfId="12379" xr:uid="{00000000-0005-0000-0000-00000A520000}"/>
    <cellStyle name="Percent 20 2 3" xfId="12380" xr:uid="{00000000-0005-0000-0000-00000B520000}"/>
    <cellStyle name="Percent 20 2 3 2" xfId="12381" xr:uid="{00000000-0005-0000-0000-00000C520000}"/>
    <cellStyle name="Percent 20 2 3 2 2" xfId="31513" xr:uid="{00000000-0005-0000-0000-00000D520000}"/>
    <cellStyle name="Percent 20 2 3 2 3" xfId="17007" xr:uid="{00000000-0005-0000-0000-00000E520000}"/>
    <cellStyle name="Percent 20 2 3 2_TOM TAT" xfId="23784" xr:uid="{00000000-0005-0000-0000-00000F520000}"/>
    <cellStyle name="Percent 20 2 3 3" xfId="31512" xr:uid="{00000000-0005-0000-0000-000010520000}"/>
    <cellStyle name="Percent 20 2 3 4" xfId="17006" xr:uid="{00000000-0005-0000-0000-000011520000}"/>
    <cellStyle name="Percent 20 2 3_TOM TAT" xfId="12382" xr:uid="{00000000-0005-0000-0000-000012520000}"/>
    <cellStyle name="Percent 20 2 4" xfId="12383" xr:uid="{00000000-0005-0000-0000-000013520000}"/>
    <cellStyle name="Percent 20 2 4 2" xfId="31514" xr:uid="{00000000-0005-0000-0000-000014520000}"/>
    <cellStyle name="Percent 20 2 4 3" xfId="17008" xr:uid="{00000000-0005-0000-0000-000015520000}"/>
    <cellStyle name="Percent 20 2 4_TOM TAT" xfId="23785" xr:uid="{00000000-0005-0000-0000-000016520000}"/>
    <cellStyle name="Percent 20 2_TOM TAT" xfId="12384" xr:uid="{00000000-0005-0000-0000-000017520000}"/>
    <cellStyle name="Percent 20 3" xfId="12385" xr:uid="{00000000-0005-0000-0000-000018520000}"/>
    <cellStyle name="Percent 20 3 2" xfId="12386" xr:uid="{00000000-0005-0000-0000-000019520000}"/>
    <cellStyle name="Percent 20 3 2 2" xfId="12387" xr:uid="{00000000-0005-0000-0000-00001A520000}"/>
    <cellStyle name="Percent 20 3 2 2 2" xfId="31517" xr:uid="{00000000-0005-0000-0000-00001B520000}"/>
    <cellStyle name="Percent 20 3 2 2 3" xfId="17011" xr:uid="{00000000-0005-0000-0000-00001C520000}"/>
    <cellStyle name="Percent 20 3 2 2_TOM TAT" xfId="23786" xr:uid="{00000000-0005-0000-0000-00001D520000}"/>
    <cellStyle name="Percent 20 3 2 3" xfId="31516" xr:uid="{00000000-0005-0000-0000-00001E520000}"/>
    <cellStyle name="Percent 20 3 2 4" xfId="17010" xr:uid="{00000000-0005-0000-0000-00001F520000}"/>
    <cellStyle name="Percent 20 3 2_TOM TAT" xfId="12388" xr:uid="{00000000-0005-0000-0000-000020520000}"/>
    <cellStyle name="Percent 20 3 3" xfId="12389" xr:uid="{00000000-0005-0000-0000-000021520000}"/>
    <cellStyle name="Percent 20 3 3 2" xfId="31518" xr:uid="{00000000-0005-0000-0000-000022520000}"/>
    <cellStyle name="Percent 20 3 3 3" xfId="17012" xr:uid="{00000000-0005-0000-0000-000023520000}"/>
    <cellStyle name="Percent 20 3 3_TOM TAT" xfId="23787" xr:uid="{00000000-0005-0000-0000-000024520000}"/>
    <cellStyle name="Percent 20 3 4" xfId="31515" xr:uid="{00000000-0005-0000-0000-000025520000}"/>
    <cellStyle name="Percent 20 3 5" xfId="17009" xr:uid="{00000000-0005-0000-0000-000026520000}"/>
    <cellStyle name="Percent 20 3_TOM TAT" xfId="12390" xr:uid="{00000000-0005-0000-0000-000027520000}"/>
    <cellStyle name="Percent 20 4" xfId="12391" xr:uid="{00000000-0005-0000-0000-000028520000}"/>
    <cellStyle name="Percent 20 4 2" xfId="12392" xr:uid="{00000000-0005-0000-0000-000029520000}"/>
    <cellStyle name="Percent 20 4 2 2" xfId="31520" xr:uid="{00000000-0005-0000-0000-00002A520000}"/>
    <cellStyle name="Percent 20 4 2 3" xfId="17014" xr:uid="{00000000-0005-0000-0000-00002B520000}"/>
    <cellStyle name="Percent 20 4 2_TOM TAT" xfId="23788" xr:uid="{00000000-0005-0000-0000-00002C520000}"/>
    <cellStyle name="Percent 20 4 3" xfId="31519" xr:uid="{00000000-0005-0000-0000-00002D520000}"/>
    <cellStyle name="Percent 20 4 4" xfId="17013" xr:uid="{00000000-0005-0000-0000-00002E520000}"/>
    <cellStyle name="Percent 20 4_TOM TAT" xfId="12393" xr:uid="{00000000-0005-0000-0000-00002F520000}"/>
    <cellStyle name="Percent 20 5" xfId="28301" xr:uid="{00000000-0005-0000-0000-000030520000}"/>
    <cellStyle name="Percent 20 6" xfId="14722" xr:uid="{00000000-0005-0000-0000-000031520000}"/>
    <cellStyle name="Percent 20_TOM TAT" xfId="12394" xr:uid="{00000000-0005-0000-0000-000032520000}"/>
    <cellStyle name="Percent 21" xfId="5649" xr:uid="{00000000-0005-0000-0000-000033520000}"/>
    <cellStyle name="Percent 21 2" xfId="12395" xr:uid="{00000000-0005-0000-0000-000034520000}"/>
    <cellStyle name="Percent 21 2 2" xfId="12396" xr:uid="{00000000-0005-0000-0000-000035520000}"/>
    <cellStyle name="Percent 21 2 2 2" xfId="12397" xr:uid="{00000000-0005-0000-0000-000036520000}"/>
    <cellStyle name="Percent 21 2 2 2 2" xfId="31523" xr:uid="{00000000-0005-0000-0000-000037520000}"/>
    <cellStyle name="Percent 21 2 2 2 3" xfId="17017" xr:uid="{00000000-0005-0000-0000-000038520000}"/>
    <cellStyle name="Percent 21 2 2 2_TOM TAT" xfId="23789" xr:uid="{00000000-0005-0000-0000-000039520000}"/>
    <cellStyle name="Percent 21 2 2 3" xfId="31522" xr:uid="{00000000-0005-0000-0000-00003A520000}"/>
    <cellStyle name="Percent 21 2 2 4" xfId="17016" xr:uid="{00000000-0005-0000-0000-00003B520000}"/>
    <cellStyle name="Percent 21 2 2_TOM TAT" xfId="12398" xr:uid="{00000000-0005-0000-0000-00003C520000}"/>
    <cellStyle name="Percent 21 2 3" xfId="12399" xr:uid="{00000000-0005-0000-0000-00003D520000}"/>
    <cellStyle name="Percent 21 2 3 2" xfId="31524" xr:uid="{00000000-0005-0000-0000-00003E520000}"/>
    <cellStyle name="Percent 21 2 3 3" xfId="17018" xr:uid="{00000000-0005-0000-0000-00003F520000}"/>
    <cellStyle name="Percent 21 2 3_TOM TAT" xfId="23790" xr:uid="{00000000-0005-0000-0000-000040520000}"/>
    <cellStyle name="Percent 21 2 4" xfId="31521" xr:uid="{00000000-0005-0000-0000-000041520000}"/>
    <cellStyle name="Percent 21 2 5" xfId="17015" xr:uid="{00000000-0005-0000-0000-000042520000}"/>
    <cellStyle name="Percent 21 2_TOM TAT" xfId="12400" xr:uid="{00000000-0005-0000-0000-000043520000}"/>
    <cellStyle name="Percent 21 3" xfId="12401" xr:uid="{00000000-0005-0000-0000-000044520000}"/>
    <cellStyle name="Percent 21 3 2" xfId="12402" xr:uid="{00000000-0005-0000-0000-000045520000}"/>
    <cellStyle name="Percent 21 3 2 2" xfId="12403" xr:uid="{00000000-0005-0000-0000-000046520000}"/>
    <cellStyle name="Percent 21 3 2 2 2" xfId="31527" xr:uid="{00000000-0005-0000-0000-000047520000}"/>
    <cellStyle name="Percent 21 3 2 2 3" xfId="17021" xr:uid="{00000000-0005-0000-0000-000048520000}"/>
    <cellStyle name="Percent 21 3 2 2_TOM TAT" xfId="23791" xr:uid="{00000000-0005-0000-0000-000049520000}"/>
    <cellStyle name="Percent 21 3 2 3" xfId="31526" xr:uid="{00000000-0005-0000-0000-00004A520000}"/>
    <cellStyle name="Percent 21 3 2 4" xfId="17020" xr:uid="{00000000-0005-0000-0000-00004B520000}"/>
    <cellStyle name="Percent 21 3 2_TOM TAT" xfId="12404" xr:uid="{00000000-0005-0000-0000-00004C520000}"/>
    <cellStyle name="Percent 21 3 3" xfId="12405" xr:uid="{00000000-0005-0000-0000-00004D520000}"/>
    <cellStyle name="Percent 21 3 3 2" xfId="31528" xr:uid="{00000000-0005-0000-0000-00004E520000}"/>
    <cellStyle name="Percent 21 3 3 3" xfId="17022" xr:uid="{00000000-0005-0000-0000-00004F520000}"/>
    <cellStyle name="Percent 21 3 3_TOM TAT" xfId="23792" xr:uid="{00000000-0005-0000-0000-000050520000}"/>
    <cellStyle name="Percent 21 3 4" xfId="31525" xr:uid="{00000000-0005-0000-0000-000051520000}"/>
    <cellStyle name="Percent 21 3 5" xfId="17019" xr:uid="{00000000-0005-0000-0000-000052520000}"/>
    <cellStyle name="Percent 21 3_TOM TAT" xfId="12406" xr:uid="{00000000-0005-0000-0000-000053520000}"/>
    <cellStyle name="Percent 21 4" xfId="12407" xr:uid="{00000000-0005-0000-0000-000054520000}"/>
    <cellStyle name="Percent 21 4 2" xfId="12408" xr:uid="{00000000-0005-0000-0000-000055520000}"/>
    <cellStyle name="Percent 21 4 2 2" xfId="31530" xr:uid="{00000000-0005-0000-0000-000056520000}"/>
    <cellStyle name="Percent 21 4 2 3" xfId="17024" xr:uid="{00000000-0005-0000-0000-000057520000}"/>
    <cellStyle name="Percent 21 4 2_TOM TAT" xfId="23793" xr:uid="{00000000-0005-0000-0000-000058520000}"/>
    <cellStyle name="Percent 21 4 3" xfId="31529" xr:uid="{00000000-0005-0000-0000-000059520000}"/>
    <cellStyle name="Percent 21 4 4" xfId="17023" xr:uid="{00000000-0005-0000-0000-00005A520000}"/>
    <cellStyle name="Percent 21 4_TOM TAT" xfId="12409" xr:uid="{00000000-0005-0000-0000-00005B520000}"/>
    <cellStyle name="Percent 21 5" xfId="12410" xr:uid="{00000000-0005-0000-0000-00005C520000}"/>
    <cellStyle name="Percent 21 5 2" xfId="31531" xr:uid="{00000000-0005-0000-0000-00005D520000}"/>
    <cellStyle name="Percent 21 5 3" xfId="17025" xr:uid="{00000000-0005-0000-0000-00005E520000}"/>
    <cellStyle name="Percent 21 5_TOM TAT" xfId="23794" xr:uid="{00000000-0005-0000-0000-00005F520000}"/>
    <cellStyle name="Percent 21_TOM TAT" xfId="12411" xr:uid="{00000000-0005-0000-0000-000060520000}"/>
    <cellStyle name="Percent 22" xfId="5650" xr:uid="{00000000-0005-0000-0000-000061520000}"/>
    <cellStyle name="Percent 22 2" xfId="12412" xr:uid="{00000000-0005-0000-0000-000062520000}"/>
    <cellStyle name="Percent 22 2 2" xfId="12413" xr:uid="{00000000-0005-0000-0000-000063520000}"/>
    <cellStyle name="Percent 22 2 2 2" xfId="12414" xr:uid="{00000000-0005-0000-0000-000064520000}"/>
    <cellStyle name="Percent 22 2 2 2 2" xfId="31534" xr:uid="{00000000-0005-0000-0000-000065520000}"/>
    <cellStyle name="Percent 22 2 2 2 3" xfId="17028" xr:uid="{00000000-0005-0000-0000-000066520000}"/>
    <cellStyle name="Percent 22 2 2 2_TOM TAT" xfId="23795" xr:uid="{00000000-0005-0000-0000-000067520000}"/>
    <cellStyle name="Percent 22 2 2 3" xfId="31533" xr:uid="{00000000-0005-0000-0000-000068520000}"/>
    <cellStyle name="Percent 22 2 2 4" xfId="17027" xr:uid="{00000000-0005-0000-0000-000069520000}"/>
    <cellStyle name="Percent 22 2 2_TOM TAT" xfId="12415" xr:uid="{00000000-0005-0000-0000-00006A520000}"/>
    <cellStyle name="Percent 22 2 3" xfId="12416" xr:uid="{00000000-0005-0000-0000-00006B520000}"/>
    <cellStyle name="Percent 22 2 3 2" xfId="31535" xr:uid="{00000000-0005-0000-0000-00006C520000}"/>
    <cellStyle name="Percent 22 2 3 3" xfId="17029" xr:uid="{00000000-0005-0000-0000-00006D520000}"/>
    <cellStyle name="Percent 22 2 3_TOM TAT" xfId="23796" xr:uid="{00000000-0005-0000-0000-00006E520000}"/>
    <cellStyle name="Percent 22 2 4" xfId="31532" xr:uid="{00000000-0005-0000-0000-00006F520000}"/>
    <cellStyle name="Percent 22 2 5" xfId="17026" xr:uid="{00000000-0005-0000-0000-000070520000}"/>
    <cellStyle name="Percent 22 2_TOM TAT" xfId="12417" xr:uid="{00000000-0005-0000-0000-000071520000}"/>
    <cellStyle name="Percent 22 3" xfId="12418" xr:uid="{00000000-0005-0000-0000-000072520000}"/>
    <cellStyle name="Percent 22 3 2" xfId="31536" xr:uid="{00000000-0005-0000-0000-000073520000}"/>
    <cellStyle name="Percent 22 3 3" xfId="17030" xr:uid="{00000000-0005-0000-0000-000074520000}"/>
    <cellStyle name="Percent 22 3_TOM TAT" xfId="23797" xr:uid="{00000000-0005-0000-0000-000075520000}"/>
    <cellStyle name="Percent 22 4" xfId="19014" xr:uid="{00000000-0005-0000-0000-000076520000}"/>
    <cellStyle name="Percent 22 4 2" xfId="31923" xr:uid="{00000000-0005-0000-0000-000077520000}"/>
    <cellStyle name="Percent 22 4_TOM TAT" xfId="23798" xr:uid="{00000000-0005-0000-0000-000078520000}"/>
    <cellStyle name="Percent 22 5" xfId="19015" xr:uid="{00000000-0005-0000-0000-000079520000}"/>
    <cellStyle name="Percent 22 5 2" xfId="31924" xr:uid="{00000000-0005-0000-0000-00007A520000}"/>
    <cellStyle name="Percent 22 5_TOM TAT" xfId="23799" xr:uid="{00000000-0005-0000-0000-00007B520000}"/>
    <cellStyle name="Percent 22_TOM TAT" xfId="12419" xr:uid="{00000000-0005-0000-0000-00007C520000}"/>
    <cellStyle name="Percent 23" xfId="5651" xr:uid="{00000000-0005-0000-0000-00007D520000}"/>
    <cellStyle name="Percent 23 2" xfId="12420" xr:uid="{00000000-0005-0000-0000-00007E520000}"/>
    <cellStyle name="Percent 23 2 2" xfId="12421" xr:uid="{00000000-0005-0000-0000-00007F520000}"/>
    <cellStyle name="Percent 23 2 2 2" xfId="12422" xr:uid="{00000000-0005-0000-0000-000080520000}"/>
    <cellStyle name="Percent 23 2 2 2 2" xfId="31539" xr:uid="{00000000-0005-0000-0000-000081520000}"/>
    <cellStyle name="Percent 23 2 2 2 3" xfId="17033" xr:uid="{00000000-0005-0000-0000-000082520000}"/>
    <cellStyle name="Percent 23 2 2 2_TOM TAT" xfId="23800" xr:uid="{00000000-0005-0000-0000-000083520000}"/>
    <cellStyle name="Percent 23 2 2 3" xfId="31538" xr:uid="{00000000-0005-0000-0000-000084520000}"/>
    <cellStyle name="Percent 23 2 2 4" xfId="17032" xr:uid="{00000000-0005-0000-0000-000085520000}"/>
    <cellStyle name="Percent 23 2 2_TOM TAT" xfId="12423" xr:uid="{00000000-0005-0000-0000-000086520000}"/>
    <cellStyle name="Percent 23 2 3" xfId="12424" xr:uid="{00000000-0005-0000-0000-000087520000}"/>
    <cellStyle name="Percent 23 2 3 2" xfId="31540" xr:uid="{00000000-0005-0000-0000-000088520000}"/>
    <cellStyle name="Percent 23 2 3 3" xfId="17034" xr:uid="{00000000-0005-0000-0000-000089520000}"/>
    <cellStyle name="Percent 23 2 3_TOM TAT" xfId="23801" xr:uid="{00000000-0005-0000-0000-00008A520000}"/>
    <cellStyle name="Percent 23 2 4" xfId="31537" xr:uid="{00000000-0005-0000-0000-00008B520000}"/>
    <cellStyle name="Percent 23 2 5" xfId="17031" xr:uid="{00000000-0005-0000-0000-00008C520000}"/>
    <cellStyle name="Percent 23 2_TOM TAT" xfId="12425" xr:uid="{00000000-0005-0000-0000-00008D520000}"/>
    <cellStyle name="Percent 23 3" xfId="12426" xr:uid="{00000000-0005-0000-0000-00008E520000}"/>
    <cellStyle name="Percent 23 3 2" xfId="31541" xr:uid="{00000000-0005-0000-0000-00008F520000}"/>
    <cellStyle name="Percent 23 3 3" xfId="17035" xr:uid="{00000000-0005-0000-0000-000090520000}"/>
    <cellStyle name="Percent 23 3_TOM TAT" xfId="23802" xr:uid="{00000000-0005-0000-0000-000091520000}"/>
    <cellStyle name="Percent 23 4" xfId="19016" xr:uid="{00000000-0005-0000-0000-000092520000}"/>
    <cellStyle name="Percent 23 4 2" xfId="31925" xr:uid="{00000000-0005-0000-0000-000093520000}"/>
    <cellStyle name="Percent 23 4_TOM TAT" xfId="23803" xr:uid="{00000000-0005-0000-0000-000094520000}"/>
    <cellStyle name="Percent 23 5" xfId="19017" xr:uid="{00000000-0005-0000-0000-000095520000}"/>
    <cellStyle name="Percent 23 5 2" xfId="31926" xr:uid="{00000000-0005-0000-0000-000096520000}"/>
    <cellStyle name="Percent 23 5_TOM TAT" xfId="23804" xr:uid="{00000000-0005-0000-0000-000097520000}"/>
    <cellStyle name="Percent 23_TOM TAT" xfId="12427" xr:uid="{00000000-0005-0000-0000-000098520000}"/>
    <cellStyle name="Percent 24" xfId="5652" xr:uid="{00000000-0005-0000-0000-000099520000}"/>
    <cellStyle name="Percent 24 2" xfId="5653" xr:uid="{00000000-0005-0000-0000-00009A520000}"/>
    <cellStyle name="Percent 24 3" xfId="14618" xr:uid="{00000000-0005-0000-0000-00009B520000}"/>
    <cellStyle name="Percent 24_TOM TAT" xfId="12428" xr:uid="{00000000-0005-0000-0000-00009C520000}"/>
    <cellStyle name="Percent 25" xfId="5654" xr:uid="{00000000-0005-0000-0000-00009D520000}"/>
    <cellStyle name="Percent 26" xfId="5655" xr:uid="{00000000-0005-0000-0000-00009E520000}"/>
    <cellStyle name="Percent 27" xfId="5656" xr:uid="{00000000-0005-0000-0000-00009F520000}"/>
    <cellStyle name="Percent 28" xfId="5657" xr:uid="{00000000-0005-0000-0000-0000A0520000}"/>
    <cellStyle name="Percent 29" xfId="5658" xr:uid="{00000000-0005-0000-0000-0000A1520000}"/>
    <cellStyle name="Percent 29 2" xfId="12429" xr:uid="{00000000-0005-0000-0000-0000A2520000}"/>
    <cellStyle name="Percent 29 2 2" xfId="12430" xr:uid="{00000000-0005-0000-0000-0000A3520000}"/>
    <cellStyle name="Percent 29 2 2 2" xfId="12431" xr:uid="{00000000-0005-0000-0000-0000A4520000}"/>
    <cellStyle name="Percent 29 2 2 2 2" xfId="31544" xr:uid="{00000000-0005-0000-0000-0000A5520000}"/>
    <cellStyle name="Percent 29 2 2 2 3" xfId="17038" xr:uid="{00000000-0005-0000-0000-0000A6520000}"/>
    <cellStyle name="Percent 29 2 2 2_TOM TAT" xfId="23805" xr:uid="{00000000-0005-0000-0000-0000A7520000}"/>
    <cellStyle name="Percent 29 2 2 3" xfId="31543" xr:uid="{00000000-0005-0000-0000-0000A8520000}"/>
    <cellStyle name="Percent 29 2 2 4" xfId="17037" xr:uid="{00000000-0005-0000-0000-0000A9520000}"/>
    <cellStyle name="Percent 29 2 2_TOM TAT" xfId="12432" xr:uid="{00000000-0005-0000-0000-0000AA520000}"/>
    <cellStyle name="Percent 29 2 3" xfId="12433" xr:uid="{00000000-0005-0000-0000-0000AB520000}"/>
    <cellStyle name="Percent 29 2 3 2" xfId="31545" xr:uid="{00000000-0005-0000-0000-0000AC520000}"/>
    <cellStyle name="Percent 29 2 3 3" xfId="17039" xr:uid="{00000000-0005-0000-0000-0000AD520000}"/>
    <cellStyle name="Percent 29 2 3_TOM TAT" xfId="23806" xr:uid="{00000000-0005-0000-0000-0000AE520000}"/>
    <cellStyle name="Percent 29 2 4" xfId="31542" xr:uid="{00000000-0005-0000-0000-0000AF520000}"/>
    <cellStyle name="Percent 29 2 5" xfId="17036" xr:uid="{00000000-0005-0000-0000-0000B0520000}"/>
    <cellStyle name="Percent 29 2_TOM TAT" xfId="12434" xr:uid="{00000000-0005-0000-0000-0000B1520000}"/>
    <cellStyle name="Percent 29 3" xfId="12435" xr:uid="{00000000-0005-0000-0000-0000B2520000}"/>
    <cellStyle name="Percent 29 3 2" xfId="12436" xr:uid="{00000000-0005-0000-0000-0000B3520000}"/>
    <cellStyle name="Percent 29 3 2 2" xfId="12437" xr:uid="{00000000-0005-0000-0000-0000B4520000}"/>
    <cellStyle name="Percent 29 3 2 2 2" xfId="31548" xr:uid="{00000000-0005-0000-0000-0000B5520000}"/>
    <cellStyle name="Percent 29 3 2 2 3" xfId="17042" xr:uid="{00000000-0005-0000-0000-0000B6520000}"/>
    <cellStyle name="Percent 29 3 2 2_TOM TAT" xfId="23807" xr:uid="{00000000-0005-0000-0000-0000B7520000}"/>
    <cellStyle name="Percent 29 3 2 3" xfId="31547" xr:uid="{00000000-0005-0000-0000-0000B8520000}"/>
    <cellStyle name="Percent 29 3 2 4" xfId="17041" xr:uid="{00000000-0005-0000-0000-0000B9520000}"/>
    <cellStyle name="Percent 29 3 2_TOM TAT" xfId="12438" xr:uid="{00000000-0005-0000-0000-0000BA520000}"/>
    <cellStyle name="Percent 29 3 3" xfId="12439" xr:uid="{00000000-0005-0000-0000-0000BB520000}"/>
    <cellStyle name="Percent 29 3 3 2" xfId="31549" xr:uid="{00000000-0005-0000-0000-0000BC520000}"/>
    <cellStyle name="Percent 29 3 3 3" xfId="17043" xr:uid="{00000000-0005-0000-0000-0000BD520000}"/>
    <cellStyle name="Percent 29 3 3_TOM TAT" xfId="23808" xr:uid="{00000000-0005-0000-0000-0000BE520000}"/>
    <cellStyle name="Percent 29 3 4" xfId="31546" xr:uid="{00000000-0005-0000-0000-0000BF520000}"/>
    <cellStyle name="Percent 29 3 5" xfId="17040" xr:uid="{00000000-0005-0000-0000-0000C0520000}"/>
    <cellStyle name="Percent 29 3_TOM TAT" xfId="12440" xr:uid="{00000000-0005-0000-0000-0000C1520000}"/>
    <cellStyle name="Percent 29 4" xfId="12441" xr:uid="{00000000-0005-0000-0000-0000C2520000}"/>
    <cellStyle name="Percent 29 4 2" xfId="12442" xr:uid="{00000000-0005-0000-0000-0000C3520000}"/>
    <cellStyle name="Percent 29 4 2 2" xfId="31551" xr:uid="{00000000-0005-0000-0000-0000C4520000}"/>
    <cellStyle name="Percent 29 4 2 3" xfId="17045" xr:uid="{00000000-0005-0000-0000-0000C5520000}"/>
    <cellStyle name="Percent 29 4 2_TOM TAT" xfId="23809" xr:uid="{00000000-0005-0000-0000-0000C6520000}"/>
    <cellStyle name="Percent 29 4 3" xfId="31550" xr:uid="{00000000-0005-0000-0000-0000C7520000}"/>
    <cellStyle name="Percent 29 4 4" xfId="17044" xr:uid="{00000000-0005-0000-0000-0000C8520000}"/>
    <cellStyle name="Percent 29 4_TOM TAT" xfId="12443" xr:uid="{00000000-0005-0000-0000-0000C9520000}"/>
    <cellStyle name="Percent 29 5" xfId="12444" xr:uid="{00000000-0005-0000-0000-0000CA520000}"/>
    <cellStyle name="Percent 29 5 2" xfId="31552" xr:uid="{00000000-0005-0000-0000-0000CB520000}"/>
    <cellStyle name="Percent 29 5 3" xfId="17046" xr:uid="{00000000-0005-0000-0000-0000CC520000}"/>
    <cellStyle name="Percent 29 5_TOM TAT" xfId="23810" xr:uid="{00000000-0005-0000-0000-0000CD520000}"/>
    <cellStyle name="Percent 29_TOM TAT" xfId="12445" xr:uid="{00000000-0005-0000-0000-0000CE520000}"/>
    <cellStyle name="Percent 3" xfId="1396" xr:uid="{00000000-0005-0000-0000-0000CF520000}"/>
    <cellStyle name="Percent 3 10" xfId="2336" xr:uid="{00000000-0005-0000-0000-0000D0520000}"/>
    <cellStyle name="Percent 3 11" xfId="4443" xr:uid="{00000000-0005-0000-0000-0000D1520000}"/>
    <cellStyle name="Percent 3 12" xfId="5659" xr:uid="{00000000-0005-0000-0000-0000D2520000}"/>
    <cellStyle name="Percent 3 12 2" xfId="5660" xr:uid="{00000000-0005-0000-0000-0000D3520000}"/>
    <cellStyle name="Percent 3 12_TOM TAT" xfId="12446" xr:uid="{00000000-0005-0000-0000-0000D4520000}"/>
    <cellStyle name="Percent 3 13" xfId="5661" xr:uid="{00000000-0005-0000-0000-0000D5520000}"/>
    <cellStyle name="Percent 3 13 2" xfId="12447" xr:uid="{00000000-0005-0000-0000-0000D6520000}"/>
    <cellStyle name="Percent 3 13 3" xfId="12448" xr:uid="{00000000-0005-0000-0000-0000D7520000}"/>
    <cellStyle name="Percent 3 13 3 2" xfId="12449" xr:uid="{00000000-0005-0000-0000-0000D8520000}"/>
    <cellStyle name="Percent 3 13 3 2 2" xfId="31554" xr:uid="{00000000-0005-0000-0000-0000D9520000}"/>
    <cellStyle name="Percent 3 13 3 2 3" xfId="17048" xr:uid="{00000000-0005-0000-0000-0000DA520000}"/>
    <cellStyle name="Percent 3 13 3 2_TOM TAT" xfId="23811" xr:uid="{00000000-0005-0000-0000-0000DB520000}"/>
    <cellStyle name="Percent 3 13 3 3" xfId="31553" xr:uid="{00000000-0005-0000-0000-0000DC520000}"/>
    <cellStyle name="Percent 3 13 3 4" xfId="17047" xr:uid="{00000000-0005-0000-0000-0000DD520000}"/>
    <cellStyle name="Percent 3 13 3_TOM TAT" xfId="12450" xr:uid="{00000000-0005-0000-0000-0000DE520000}"/>
    <cellStyle name="Percent 3 13_TOM TAT" xfId="12451" xr:uid="{00000000-0005-0000-0000-0000DF520000}"/>
    <cellStyle name="Percent 3 14" xfId="12452" xr:uid="{00000000-0005-0000-0000-0000E0520000}"/>
    <cellStyle name="Percent 3 14 2" xfId="12453" xr:uid="{00000000-0005-0000-0000-0000E1520000}"/>
    <cellStyle name="Percent 3 14 2 2" xfId="31556" xr:uid="{00000000-0005-0000-0000-0000E2520000}"/>
    <cellStyle name="Percent 3 14 2 3" xfId="17050" xr:uid="{00000000-0005-0000-0000-0000E3520000}"/>
    <cellStyle name="Percent 3 14 2_TOM TAT" xfId="23812" xr:uid="{00000000-0005-0000-0000-0000E4520000}"/>
    <cellStyle name="Percent 3 14 3" xfId="31555" xr:uid="{00000000-0005-0000-0000-0000E5520000}"/>
    <cellStyle name="Percent 3 14 4" xfId="17049" xr:uid="{00000000-0005-0000-0000-0000E6520000}"/>
    <cellStyle name="Percent 3 14_TOM TAT" xfId="12454" xr:uid="{00000000-0005-0000-0000-0000E7520000}"/>
    <cellStyle name="Percent 3 15" xfId="12455" xr:uid="{00000000-0005-0000-0000-0000E8520000}"/>
    <cellStyle name="Percent 3 16" xfId="26991" xr:uid="{00000000-0005-0000-0000-0000E9520000}"/>
    <cellStyle name="Percent 3 17" xfId="32289" xr:uid="{00000000-0005-0000-0000-0000EA520000}"/>
    <cellStyle name="Percent 3 18" xfId="32305" xr:uid="{00000000-0005-0000-0000-0000EB520000}"/>
    <cellStyle name="Percent 3 2" xfId="2337" xr:uid="{00000000-0005-0000-0000-0000EC520000}"/>
    <cellStyle name="Percent 3 2 2" xfId="2338" xr:uid="{00000000-0005-0000-0000-0000ED520000}"/>
    <cellStyle name="Percent 3 2 2 2" xfId="18643" xr:uid="{00000000-0005-0000-0000-0000EE520000}"/>
    <cellStyle name="Percent 3 2 2_TOM TAT" xfId="23813" xr:uid="{00000000-0005-0000-0000-0000EF520000}"/>
    <cellStyle name="Percent 3 2 3" xfId="5662" xr:uid="{00000000-0005-0000-0000-0000F0520000}"/>
    <cellStyle name="Percent 3 2_TOM TAT" xfId="12456" xr:uid="{00000000-0005-0000-0000-0000F1520000}"/>
    <cellStyle name="Percent 3 3" xfId="2339" xr:uid="{00000000-0005-0000-0000-0000F2520000}"/>
    <cellStyle name="Percent 3 3 2" xfId="18642" xr:uid="{00000000-0005-0000-0000-0000F3520000}"/>
    <cellStyle name="Percent 3 3_TOM TAT" xfId="23814" xr:uid="{00000000-0005-0000-0000-0000F4520000}"/>
    <cellStyle name="Percent 3 4" xfId="2340" xr:uid="{00000000-0005-0000-0000-0000F5520000}"/>
    <cellStyle name="Percent 3 5" xfId="2341" xr:uid="{00000000-0005-0000-0000-0000F6520000}"/>
    <cellStyle name="Percent 3 6" xfId="2342" xr:uid="{00000000-0005-0000-0000-0000F7520000}"/>
    <cellStyle name="Percent 3 7" xfId="2343" xr:uid="{00000000-0005-0000-0000-0000F8520000}"/>
    <cellStyle name="Percent 3 8" xfId="2344" xr:uid="{00000000-0005-0000-0000-0000F9520000}"/>
    <cellStyle name="Percent 3 9" xfId="2345" xr:uid="{00000000-0005-0000-0000-0000FA520000}"/>
    <cellStyle name="Percent 3_FS chuan Jamona Riverside" xfId="5663" xr:uid="{00000000-0005-0000-0000-0000FB520000}"/>
    <cellStyle name="Percent 30" xfId="5664" xr:uid="{00000000-0005-0000-0000-0000FC520000}"/>
    <cellStyle name="Percent 30 2" xfId="12457" xr:uid="{00000000-0005-0000-0000-0000FD520000}"/>
    <cellStyle name="Percent 30 2 2" xfId="12458" xr:uid="{00000000-0005-0000-0000-0000FE520000}"/>
    <cellStyle name="Percent 30 2 2 2" xfId="12459" xr:uid="{00000000-0005-0000-0000-0000FF520000}"/>
    <cellStyle name="Percent 30 2 2 2 2" xfId="31559" xr:uid="{00000000-0005-0000-0000-000000530000}"/>
    <cellStyle name="Percent 30 2 2 2 3" xfId="17053" xr:uid="{00000000-0005-0000-0000-000001530000}"/>
    <cellStyle name="Percent 30 2 2 2_TOM TAT" xfId="23815" xr:uid="{00000000-0005-0000-0000-000002530000}"/>
    <cellStyle name="Percent 30 2 2 3" xfId="31558" xr:uid="{00000000-0005-0000-0000-000003530000}"/>
    <cellStyle name="Percent 30 2 2 4" xfId="17052" xr:uid="{00000000-0005-0000-0000-000004530000}"/>
    <cellStyle name="Percent 30 2 2_TOM TAT" xfId="12460" xr:uid="{00000000-0005-0000-0000-000005530000}"/>
    <cellStyle name="Percent 30 2 3" xfId="12461" xr:uid="{00000000-0005-0000-0000-000006530000}"/>
    <cellStyle name="Percent 30 2 3 2" xfId="31560" xr:uid="{00000000-0005-0000-0000-000007530000}"/>
    <cellStyle name="Percent 30 2 3 3" xfId="17054" xr:uid="{00000000-0005-0000-0000-000008530000}"/>
    <cellStyle name="Percent 30 2 3_TOM TAT" xfId="23816" xr:uid="{00000000-0005-0000-0000-000009530000}"/>
    <cellStyle name="Percent 30 2 4" xfId="31557" xr:uid="{00000000-0005-0000-0000-00000A530000}"/>
    <cellStyle name="Percent 30 2 5" xfId="17051" xr:uid="{00000000-0005-0000-0000-00000B530000}"/>
    <cellStyle name="Percent 30 2_TOM TAT" xfId="12462" xr:uid="{00000000-0005-0000-0000-00000C530000}"/>
    <cellStyle name="Percent 30 3" xfId="12463" xr:uid="{00000000-0005-0000-0000-00000D530000}"/>
    <cellStyle name="Percent 30 3 2" xfId="12464" xr:uid="{00000000-0005-0000-0000-00000E530000}"/>
    <cellStyle name="Percent 30 3 2 2" xfId="12465" xr:uid="{00000000-0005-0000-0000-00000F530000}"/>
    <cellStyle name="Percent 30 3 2 2 2" xfId="31563" xr:uid="{00000000-0005-0000-0000-000010530000}"/>
    <cellStyle name="Percent 30 3 2 2 3" xfId="17057" xr:uid="{00000000-0005-0000-0000-000011530000}"/>
    <cellStyle name="Percent 30 3 2 2_TOM TAT" xfId="23817" xr:uid="{00000000-0005-0000-0000-000012530000}"/>
    <cellStyle name="Percent 30 3 2 3" xfId="31562" xr:uid="{00000000-0005-0000-0000-000013530000}"/>
    <cellStyle name="Percent 30 3 2 4" xfId="17056" xr:uid="{00000000-0005-0000-0000-000014530000}"/>
    <cellStyle name="Percent 30 3 2_TOM TAT" xfId="12466" xr:uid="{00000000-0005-0000-0000-000015530000}"/>
    <cellStyle name="Percent 30 3 3" xfId="12467" xr:uid="{00000000-0005-0000-0000-000016530000}"/>
    <cellStyle name="Percent 30 3 3 2" xfId="31564" xr:uid="{00000000-0005-0000-0000-000017530000}"/>
    <cellStyle name="Percent 30 3 3 3" xfId="17058" xr:uid="{00000000-0005-0000-0000-000018530000}"/>
    <cellStyle name="Percent 30 3 3_TOM TAT" xfId="23818" xr:uid="{00000000-0005-0000-0000-000019530000}"/>
    <cellStyle name="Percent 30 3 4" xfId="31561" xr:uid="{00000000-0005-0000-0000-00001A530000}"/>
    <cellStyle name="Percent 30 3 5" xfId="17055" xr:uid="{00000000-0005-0000-0000-00001B530000}"/>
    <cellStyle name="Percent 30 3_TOM TAT" xfId="12468" xr:uid="{00000000-0005-0000-0000-00001C530000}"/>
    <cellStyle name="Percent 30 4" xfId="12469" xr:uid="{00000000-0005-0000-0000-00001D530000}"/>
    <cellStyle name="Percent 30 4 2" xfId="12470" xr:uid="{00000000-0005-0000-0000-00001E530000}"/>
    <cellStyle name="Percent 30 4 2 2" xfId="31566" xr:uid="{00000000-0005-0000-0000-00001F530000}"/>
    <cellStyle name="Percent 30 4 2 3" xfId="17060" xr:uid="{00000000-0005-0000-0000-000020530000}"/>
    <cellStyle name="Percent 30 4 2_TOM TAT" xfId="23819" xr:uid="{00000000-0005-0000-0000-000021530000}"/>
    <cellStyle name="Percent 30 4 3" xfId="31565" xr:uid="{00000000-0005-0000-0000-000022530000}"/>
    <cellStyle name="Percent 30 4 4" xfId="17059" xr:uid="{00000000-0005-0000-0000-000023530000}"/>
    <cellStyle name="Percent 30 4_TOM TAT" xfId="12471" xr:uid="{00000000-0005-0000-0000-000024530000}"/>
    <cellStyle name="Percent 30 5" xfId="12472" xr:uid="{00000000-0005-0000-0000-000025530000}"/>
    <cellStyle name="Percent 30 5 2" xfId="31567" xr:uid="{00000000-0005-0000-0000-000026530000}"/>
    <cellStyle name="Percent 30 5 3" xfId="17061" xr:uid="{00000000-0005-0000-0000-000027530000}"/>
    <cellStyle name="Percent 30 5_TOM TAT" xfId="23820" xr:uid="{00000000-0005-0000-0000-000028530000}"/>
    <cellStyle name="Percent 30_TOM TAT" xfId="12473" xr:uid="{00000000-0005-0000-0000-000029530000}"/>
    <cellStyle name="Percent 31" xfId="5665" xr:uid="{00000000-0005-0000-0000-00002A530000}"/>
    <cellStyle name="Percent 31 2" xfId="12474" xr:uid="{00000000-0005-0000-0000-00002B530000}"/>
    <cellStyle name="Percent 31 2 2" xfId="12475" xr:uid="{00000000-0005-0000-0000-00002C530000}"/>
    <cellStyle name="Percent 31 2 2 2" xfId="12476" xr:uid="{00000000-0005-0000-0000-00002D530000}"/>
    <cellStyle name="Percent 31 2 2 2 2" xfId="31570" xr:uid="{00000000-0005-0000-0000-00002E530000}"/>
    <cellStyle name="Percent 31 2 2 2 3" xfId="17064" xr:uid="{00000000-0005-0000-0000-00002F530000}"/>
    <cellStyle name="Percent 31 2 2 2_TOM TAT" xfId="23821" xr:uid="{00000000-0005-0000-0000-000030530000}"/>
    <cellStyle name="Percent 31 2 2 3" xfId="31569" xr:uid="{00000000-0005-0000-0000-000031530000}"/>
    <cellStyle name="Percent 31 2 2 4" xfId="17063" xr:uid="{00000000-0005-0000-0000-000032530000}"/>
    <cellStyle name="Percent 31 2 2_TOM TAT" xfId="12477" xr:uid="{00000000-0005-0000-0000-000033530000}"/>
    <cellStyle name="Percent 31 2 3" xfId="12478" xr:uid="{00000000-0005-0000-0000-000034530000}"/>
    <cellStyle name="Percent 31 2 3 2" xfId="31571" xr:uid="{00000000-0005-0000-0000-000035530000}"/>
    <cellStyle name="Percent 31 2 3 3" xfId="17065" xr:uid="{00000000-0005-0000-0000-000036530000}"/>
    <cellStyle name="Percent 31 2 3_TOM TAT" xfId="23822" xr:uid="{00000000-0005-0000-0000-000037530000}"/>
    <cellStyle name="Percent 31 2 4" xfId="31568" xr:uid="{00000000-0005-0000-0000-000038530000}"/>
    <cellStyle name="Percent 31 2 5" xfId="17062" xr:uid="{00000000-0005-0000-0000-000039530000}"/>
    <cellStyle name="Percent 31 2_TOM TAT" xfId="12479" xr:uid="{00000000-0005-0000-0000-00003A530000}"/>
    <cellStyle name="Percent 31 3" xfId="12480" xr:uid="{00000000-0005-0000-0000-00003B530000}"/>
    <cellStyle name="Percent 31 3 2" xfId="12481" xr:uid="{00000000-0005-0000-0000-00003C530000}"/>
    <cellStyle name="Percent 31 3 2 2" xfId="12482" xr:uid="{00000000-0005-0000-0000-00003D530000}"/>
    <cellStyle name="Percent 31 3 2 2 2" xfId="31574" xr:uid="{00000000-0005-0000-0000-00003E530000}"/>
    <cellStyle name="Percent 31 3 2 2 3" xfId="17068" xr:uid="{00000000-0005-0000-0000-00003F530000}"/>
    <cellStyle name="Percent 31 3 2 2_TOM TAT" xfId="23823" xr:uid="{00000000-0005-0000-0000-000040530000}"/>
    <cellStyle name="Percent 31 3 2 3" xfId="31573" xr:uid="{00000000-0005-0000-0000-000041530000}"/>
    <cellStyle name="Percent 31 3 2 4" xfId="17067" xr:uid="{00000000-0005-0000-0000-000042530000}"/>
    <cellStyle name="Percent 31 3 2_TOM TAT" xfId="12483" xr:uid="{00000000-0005-0000-0000-000043530000}"/>
    <cellStyle name="Percent 31 3 3" xfId="12484" xr:uid="{00000000-0005-0000-0000-000044530000}"/>
    <cellStyle name="Percent 31 3 3 2" xfId="31575" xr:uid="{00000000-0005-0000-0000-000045530000}"/>
    <cellStyle name="Percent 31 3 3 3" xfId="17069" xr:uid="{00000000-0005-0000-0000-000046530000}"/>
    <cellStyle name="Percent 31 3 3_TOM TAT" xfId="23824" xr:uid="{00000000-0005-0000-0000-000047530000}"/>
    <cellStyle name="Percent 31 3 4" xfId="31572" xr:uid="{00000000-0005-0000-0000-000048530000}"/>
    <cellStyle name="Percent 31 3 5" xfId="17066" xr:uid="{00000000-0005-0000-0000-000049530000}"/>
    <cellStyle name="Percent 31 3_TOM TAT" xfId="12485" xr:uid="{00000000-0005-0000-0000-00004A530000}"/>
    <cellStyle name="Percent 31 4" xfId="12486" xr:uid="{00000000-0005-0000-0000-00004B530000}"/>
    <cellStyle name="Percent 31 4 2" xfId="12487" xr:uid="{00000000-0005-0000-0000-00004C530000}"/>
    <cellStyle name="Percent 31 4 2 2" xfId="31577" xr:uid="{00000000-0005-0000-0000-00004D530000}"/>
    <cellStyle name="Percent 31 4 2 3" xfId="17071" xr:uid="{00000000-0005-0000-0000-00004E530000}"/>
    <cellStyle name="Percent 31 4 2_TOM TAT" xfId="23825" xr:uid="{00000000-0005-0000-0000-00004F530000}"/>
    <cellStyle name="Percent 31 4 3" xfId="31576" xr:uid="{00000000-0005-0000-0000-000050530000}"/>
    <cellStyle name="Percent 31 4 4" xfId="17070" xr:uid="{00000000-0005-0000-0000-000051530000}"/>
    <cellStyle name="Percent 31 4_TOM TAT" xfId="12488" xr:uid="{00000000-0005-0000-0000-000052530000}"/>
    <cellStyle name="Percent 31 5" xfId="12489" xr:uid="{00000000-0005-0000-0000-000053530000}"/>
    <cellStyle name="Percent 31 5 2" xfId="31578" xr:uid="{00000000-0005-0000-0000-000054530000}"/>
    <cellStyle name="Percent 31 5 3" xfId="17072" xr:uid="{00000000-0005-0000-0000-000055530000}"/>
    <cellStyle name="Percent 31 5_TOM TAT" xfId="23826" xr:uid="{00000000-0005-0000-0000-000056530000}"/>
    <cellStyle name="Percent 31_TOM TAT" xfId="12490" xr:uid="{00000000-0005-0000-0000-000057530000}"/>
    <cellStyle name="Percent 32" xfId="5666" xr:uid="{00000000-0005-0000-0000-000058530000}"/>
    <cellStyle name="Percent 32 2" xfId="12491" xr:uid="{00000000-0005-0000-0000-000059530000}"/>
    <cellStyle name="Percent 32 2 2" xfId="12492" xr:uid="{00000000-0005-0000-0000-00005A530000}"/>
    <cellStyle name="Percent 32 2 2 2" xfId="12493" xr:uid="{00000000-0005-0000-0000-00005B530000}"/>
    <cellStyle name="Percent 32 2 2 2 2" xfId="31581" xr:uid="{00000000-0005-0000-0000-00005C530000}"/>
    <cellStyle name="Percent 32 2 2 2 3" xfId="17075" xr:uid="{00000000-0005-0000-0000-00005D530000}"/>
    <cellStyle name="Percent 32 2 2 2_TOM TAT" xfId="23827" xr:uid="{00000000-0005-0000-0000-00005E530000}"/>
    <cellStyle name="Percent 32 2 2 3" xfId="31580" xr:uid="{00000000-0005-0000-0000-00005F530000}"/>
    <cellStyle name="Percent 32 2 2 4" xfId="17074" xr:uid="{00000000-0005-0000-0000-000060530000}"/>
    <cellStyle name="Percent 32 2 2_TOM TAT" xfId="12494" xr:uid="{00000000-0005-0000-0000-000061530000}"/>
    <cellStyle name="Percent 32 2 3" xfId="12495" xr:uid="{00000000-0005-0000-0000-000062530000}"/>
    <cellStyle name="Percent 32 2 3 2" xfId="31582" xr:uid="{00000000-0005-0000-0000-000063530000}"/>
    <cellStyle name="Percent 32 2 3 3" xfId="17076" xr:uid="{00000000-0005-0000-0000-000064530000}"/>
    <cellStyle name="Percent 32 2 3_TOM TAT" xfId="23828" xr:uid="{00000000-0005-0000-0000-000065530000}"/>
    <cellStyle name="Percent 32 2 4" xfId="31579" xr:uid="{00000000-0005-0000-0000-000066530000}"/>
    <cellStyle name="Percent 32 2 5" xfId="17073" xr:uid="{00000000-0005-0000-0000-000067530000}"/>
    <cellStyle name="Percent 32 2_TOM TAT" xfId="12496" xr:uid="{00000000-0005-0000-0000-000068530000}"/>
    <cellStyle name="Percent 32 3" xfId="12497" xr:uid="{00000000-0005-0000-0000-000069530000}"/>
    <cellStyle name="Percent 32 3 2" xfId="12498" xr:uid="{00000000-0005-0000-0000-00006A530000}"/>
    <cellStyle name="Percent 32 3 2 2" xfId="31584" xr:uid="{00000000-0005-0000-0000-00006B530000}"/>
    <cellStyle name="Percent 32 3 2 3" xfId="17078" xr:uid="{00000000-0005-0000-0000-00006C530000}"/>
    <cellStyle name="Percent 32 3 2_TOM TAT" xfId="23829" xr:uid="{00000000-0005-0000-0000-00006D530000}"/>
    <cellStyle name="Percent 32 3 3" xfId="31583" xr:uid="{00000000-0005-0000-0000-00006E530000}"/>
    <cellStyle name="Percent 32 3 4" xfId="17077" xr:uid="{00000000-0005-0000-0000-00006F530000}"/>
    <cellStyle name="Percent 32 3_TOM TAT" xfId="12499" xr:uid="{00000000-0005-0000-0000-000070530000}"/>
    <cellStyle name="Percent 32 4" xfId="12500" xr:uid="{00000000-0005-0000-0000-000071530000}"/>
    <cellStyle name="Percent 32 4 2" xfId="31585" xr:uid="{00000000-0005-0000-0000-000072530000}"/>
    <cellStyle name="Percent 32 4 3" xfId="17079" xr:uid="{00000000-0005-0000-0000-000073530000}"/>
    <cellStyle name="Percent 32 4_TOM TAT" xfId="23830" xr:uid="{00000000-0005-0000-0000-000074530000}"/>
    <cellStyle name="Percent 32_TOM TAT" xfId="12501" xr:uid="{00000000-0005-0000-0000-000075530000}"/>
    <cellStyle name="Percent 33" xfId="5667" xr:uid="{00000000-0005-0000-0000-000076530000}"/>
    <cellStyle name="Percent 33 2" xfId="12502" xr:uid="{00000000-0005-0000-0000-000077530000}"/>
    <cellStyle name="Percent 33 2 2" xfId="12503" xr:uid="{00000000-0005-0000-0000-000078530000}"/>
    <cellStyle name="Percent 33 2 2 2" xfId="12504" xr:uid="{00000000-0005-0000-0000-000079530000}"/>
    <cellStyle name="Percent 33 2 2 2 2" xfId="31588" xr:uid="{00000000-0005-0000-0000-00007A530000}"/>
    <cellStyle name="Percent 33 2 2 2 3" xfId="17082" xr:uid="{00000000-0005-0000-0000-00007B530000}"/>
    <cellStyle name="Percent 33 2 2 2_TOM TAT" xfId="23831" xr:uid="{00000000-0005-0000-0000-00007C530000}"/>
    <cellStyle name="Percent 33 2 2 3" xfId="31587" xr:uid="{00000000-0005-0000-0000-00007D530000}"/>
    <cellStyle name="Percent 33 2 2 4" xfId="17081" xr:uid="{00000000-0005-0000-0000-00007E530000}"/>
    <cellStyle name="Percent 33 2 2_TOM TAT" xfId="12505" xr:uid="{00000000-0005-0000-0000-00007F530000}"/>
    <cellStyle name="Percent 33 2 3" xfId="12506" xr:uid="{00000000-0005-0000-0000-000080530000}"/>
    <cellStyle name="Percent 33 2 3 2" xfId="31589" xr:uid="{00000000-0005-0000-0000-000081530000}"/>
    <cellStyle name="Percent 33 2 3 3" xfId="17083" xr:uid="{00000000-0005-0000-0000-000082530000}"/>
    <cellStyle name="Percent 33 2 3_TOM TAT" xfId="23832" xr:uid="{00000000-0005-0000-0000-000083530000}"/>
    <cellStyle name="Percent 33 2 4" xfId="31586" xr:uid="{00000000-0005-0000-0000-000084530000}"/>
    <cellStyle name="Percent 33 2 5" xfId="17080" xr:uid="{00000000-0005-0000-0000-000085530000}"/>
    <cellStyle name="Percent 33 2_TOM TAT" xfId="12507" xr:uid="{00000000-0005-0000-0000-000086530000}"/>
    <cellStyle name="Percent 33 3" xfId="12508" xr:uid="{00000000-0005-0000-0000-000087530000}"/>
    <cellStyle name="Percent 33 3 2" xfId="12509" xr:uid="{00000000-0005-0000-0000-000088530000}"/>
    <cellStyle name="Percent 33 3 2 2" xfId="31591" xr:uid="{00000000-0005-0000-0000-000089530000}"/>
    <cellStyle name="Percent 33 3 2 3" xfId="17085" xr:uid="{00000000-0005-0000-0000-00008A530000}"/>
    <cellStyle name="Percent 33 3 2_TOM TAT" xfId="23833" xr:uid="{00000000-0005-0000-0000-00008B530000}"/>
    <cellStyle name="Percent 33 3 3" xfId="31590" xr:uid="{00000000-0005-0000-0000-00008C530000}"/>
    <cellStyle name="Percent 33 3 4" xfId="17084" xr:uid="{00000000-0005-0000-0000-00008D530000}"/>
    <cellStyle name="Percent 33 3_TOM TAT" xfId="12510" xr:uid="{00000000-0005-0000-0000-00008E530000}"/>
    <cellStyle name="Percent 33 4" xfId="12511" xr:uid="{00000000-0005-0000-0000-00008F530000}"/>
    <cellStyle name="Percent 33 4 2" xfId="31592" xr:uid="{00000000-0005-0000-0000-000090530000}"/>
    <cellStyle name="Percent 33 4 3" xfId="17086" xr:uid="{00000000-0005-0000-0000-000091530000}"/>
    <cellStyle name="Percent 33 4_TOM TAT" xfId="23834" xr:uid="{00000000-0005-0000-0000-000092530000}"/>
    <cellStyle name="Percent 33 5" xfId="28302" xr:uid="{00000000-0005-0000-0000-000093530000}"/>
    <cellStyle name="Percent 33 6" xfId="14723" xr:uid="{00000000-0005-0000-0000-000094530000}"/>
    <cellStyle name="Percent 33_TOM TAT" xfId="12512" xr:uid="{00000000-0005-0000-0000-000095530000}"/>
    <cellStyle name="Percent 34" xfId="6625" xr:uid="{00000000-0005-0000-0000-000096530000}"/>
    <cellStyle name="Percent 34 2" xfId="12513" xr:uid="{00000000-0005-0000-0000-000097530000}"/>
    <cellStyle name="Percent 34 2 2" xfId="12514" xr:uid="{00000000-0005-0000-0000-000098530000}"/>
    <cellStyle name="Percent 34 2 2 2" xfId="31594" xr:uid="{00000000-0005-0000-0000-000099530000}"/>
    <cellStyle name="Percent 34 2 2 3" xfId="17088" xr:uid="{00000000-0005-0000-0000-00009A530000}"/>
    <cellStyle name="Percent 34 2 2_TOM TAT" xfId="23835" xr:uid="{00000000-0005-0000-0000-00009B530000}"/>
    <cellStyle name="Percent 34 2 3" xfId="31593" xr:uid="{00000000-0005-0000-0000-00009C530000}"/>
    <cellStyle name="Percent 34 2 4" xfId="17087" xr:uid="{00000000-0005-0000-0000-00009D530000}"/>
    <cellStyle name="Percent 34 2_TOM TAT" xfId="12515" xr:uid="{00000000-0005-0000-0000-00009E530000}"/>
    <cellStyle name="Percent 34 3" xfId="29227" xr:uid="{00000000-0005-0000-0000-00009F530000}"/>
    <cellStyle name="Percent 34 4" xfId="14744" xr:uid="{00000000-0005-0000-0000-0000A0530000}"/>
    <cellStyle name="Percent 34_TOM TAT" xfId="12516" xr:uid="{00000000-0005-0000-0000-0000A1530000}"/>
    <cellStyle name="Percent 35" xfId="6628" xr:uid="{00000000-0005-0000-0000-0000A2530000}"/>
    <cellStyle name="Percent 35 2" xfId="12517" xr:uid="{00000000-0005-0000-0000-0000A3530000}"/>
    <cellStyle name="Percent 35 2 2" xfId="31595" xr:uid="{00000000-0005-0000-0000-0000A4530000}"/>
    <cellStyle name="Percent 35 2 3" xfId="17089" xr:uid="{00000000-0005-0000-0000-0000A5530000}"/>
    <cellStyle name="Percent 35 2_TOM TAT" xfId="23836" xr:uid="{00000000-0005-0000-0000-0000A6530000}"/>
    <cellStyle name="Percent 35 3" xfId="29230" xr:uid="{00000000-0005-0000-0000-0000A7530000}"/>
    <cellStyle name="Percent 35 4" xfId="14746" xr:uid="{00000000-0005-0000-0000-0000A8530000}"/>
    <cellStyle name="Percent 35_TOM TAT" xfId="12518" xr:uid="{00000000-0005-0000-0000-0000A9530000}"/>
    <cellStyle name="Percent 36" xfId="6633" xr:uid="{00000000-0005-0000-0000-0000AA530000}"/>
    <cellStyle name="Percent 36 2" xfId="12519" xr:uid="{00000000-0005-0000-0000-0000AB530000}"/>
    <cellStyle name="Percent 36 2 2" xfId="31596" xr:uid="{00000000-0005-0000-0000-0000AC530000}"/>
    <cellStyle name="Percent 36 2 3" xfId="17090" xr:uid="{00000000-0005-0000-0000-0000AD530000}"/>
    <cellStyle name="Percent 36 2_TOM TAT" xfId="23837" xr:uid="{00000000-0005-0000-0000-0000AE530000}"/>
    <cellStyle name="Percent 36 3" xfId="29235" xr:uid="{00000000-0005-0000-0000-0000AF530000}"/>
    <cellStyle name="Percent 36 4" xfId="14750" xr:uid="{00000000-0005-0000-0000-0000B0530000}"/>
    <cellStyle name="Percent 36_TOM TAT" xfId="12520" xr:uid="{00000000-0005-0000-0000-0000B1530000}"/>
    <cellStyle name="Percent 37" xfId="6631" xr:uid="{00000000-0005-0000-0000-0000B2530000}"/>
    <cellStyle name="Percent 37 2" xfId="12521" xr:uid="{00000000-0005-0000-0000-0000B3530000}"/>
    <cellStyle name="Percent 37 2 2" xfId="12522" xr:uid="{00000000-0005-0000-0000-0000B4530000}"/>
    <cellStyle name="Percent 37 2 2 2" xfId="31598" xr:uid="{00000000-0005-0000-0000-0000B5530000}"/>
    <cellStyle name="Percent 37 2 2 3" xfId="17092" xr:uid="{00000000-0005-0000-0000-0000B6530000}"/>
    <cellStyle name="Percent 37 2 2_TOM TAT" xfId="23838" xr:uid="{00000000-0005-0000-0000-0000B7530000}"/>
    <cellStyle name="Percent 37 2 3" xfId="31597" xr:uid="{00000000-0005-0000-0000-0000B8530000}"/>
    <cellStyle name="Percent 37 2 4" xfId="17091" xr:uid="{00000000-0005-0000-0000-0000B9530000}"/>
    <cellStyle name="Percent 37 2_TOM TAT" xfId="12523" xr:uid="{00000000-0005-0000-0000-0000BA530000}"/>
    <cellStyle name="Percent 37 3" xfId="12524" xr:uid="{00000000-0005-0000-0000-0000BB530000}"/>
    <cellStyle name="Percent 37 3 2" xfId="31599" xr:uid="{00000000-0005-0000-0000-0000BC530000}"/>
    <cellStyle name="Percent 37 3 3" xfId="17093" xr:uid="{00000000-0005-0000-0000-0000BD530000}"/>
    <cellStyle name="Percent 37 3_TOM TAT" xfId="23839" xr:uid="{00000000-0005-0000-0000-0000BE530000}"/>
    <cellStyle name="Percent 37 4" xfId="29233" xr:uid="{00000000-0005-0000-0000-0000BF530000}"/>
    <cellStyle name="Percent 37 5" xfId="14748" xr:uid="{00000000-0005-0000-0000-0000C0530000}"/>
    <cellStyle name="Percent 37_TOM TAT" xfId="12525" xr:uid="{00000000-0005-0000-0000-0000C1530000}"/>
    <cellStyle name="Percent 38" xfId="6636" xr:uid="{00000000-0005-0000-0000-0000C2530000}"/>
    <cellStyle name="Percent 38 2" xfId="12526" xr:uid="{00000000-0005-0000-0000-0000C3530000}"/>
    <cellStyle name="Percent 38 2 2" xfId="12527" xr:uid="{00000000-0005-0000-0000-0000C4530000}"/>
    <cellStyle name="Percent 38 2 2 2" xfId="31601" xr:uid="{00000000-0005-0000-0000-0000C5530000}"/>
    <cellStyle name="Percent 38 2 2 3" xfId="17095" xr:uid="{00000000-0005-0000-0000-0000C6530000}"/>
    <cellStyle name="Percent 38 2 2_TOM TAT" xfId="23840" xr:uid="{00000000-0005-0000-0000-0000C7530000}"/>
    <cellStyle name="Percent 38 2 3" xfId="31600" xr:uid="{00000000-0005-0000-0000-0000C8530000}"/>
    <cellStyle name="Percent 38 2 4" xfId="17094" xr:uid="{00000000-0005-0000-0000-0000C9530000}"/>
    <cellStyle name="Percent 38 2_TOM TAT" xfId="12528" xr:uid="{00000000-0005-0000-0000-0000CA530000}"/>
    <cellStyle name="Percent 38 3" xfId="29238" xr:uid="{00000000-0005-0000-0000-0000CB530000}"/>
    <cellStyle name="Percent 38 4" xfId="14753" xr:uid="{00000000-0005-0000-0000-0000CC530000}"/>
    <cellStyle name="Percent 38_TOM TAT" xfId="12529" xr:uid="{00000000-0005-0000-0000-0000CD530000}"/>
    <cellStyle name="Percent 39" xfId="6639" xr:uid="{00000000-0005-0000-0000-0000CE530000}"/>
    <cellStyle name="Percent 39 2" xfId="12530" xr:uid="{00000000-0005-0000-0000-0000CF530000}"/>
    <cellStyle name="Percent 39 2 2" xfId="31602" xr:uid="{00000000-0005-0000-0000-0000D0530000}"/>
    <cellStyle name="Percent 39 2 3" xfId="17096" xr:uid="{00000000-0005-0000-0000-0000D1530000}"/>
    <cellStyle name="Percent 39 2_TOM TAT" xfId="23841" xr:uid="{00000000-0005-0000-0000-0000D2530000}"/>
    <cellStyle name="Percent 39 3" xfId="29241" xr:uid="{00000000-0005-0000-0000-0000D3530000}"/>
    <cellStyle name="Percent 39 4" xfId="14756" xr:uid="{00000000-0005-0000-0000-0000D4530000}"/>
    <cellStyle name="Percent 39_TOM TAT" xfId="12531" xr:uid="{00000000-0005-0000-0000-0000D5530000}"/>
    <cellStyle name="Percent 4" xfId="1397" xr:uid="{00000000-0005-0000-0000-0000D6530000}"/>
    <cellStyle name="Percent 4 2" xfId="2347" xr:uid="{00000000-0005-0000-0000-0000D7530000}"/>
    <cellStyle name="Percent 4 2 2" xfId="5668" xr:uid="{00000000-0005-0000-0000-0000D8530000}"/>
    <cellStyle name="Percent 4 2_TOM TAT" xfId="12532" xr:uid="{00000000-0005-0000-0000-0000D9530000}"/>
    <cellStyle name="Percent 4 3" xfId="2346" xr:uid="{00000000-0005-0000-0000-0000DA530000}"/>
    <cellStyle name="Percent 4 3 2" xfId="18644" xr:uid="{00000000-0005-0000-0000-0000DB530000}"/>
    <cellStyle name="Percent 4 3_TOM TAT" xfId="23842" xr:uid="{00000000-0005-0000-0000-0000DC530000}"/>
    <cellStyle name="Percent 4 4" xfId="4444" xr:uid="{00000000-0005-0000-0000-0000DD530000}"/>
    <cellStyle name="Percent 4 5" xfId="5669" xr:uid="{00000000-0005-0000-0000-0000DE530000}"/>
    <cellStyle name="Percent 4 6" xfId="26992" xr:uid="{00000000-0005-0000-0000-0000DF530000}"/>
    <cellStyle name="Percent 4 7" xfId="14633" xr:uid="{00000000-0005-0000-0000-0000E0530000}"/>
    <cellStyle name="Percent 4 8" xfId="32296" xr:uid="{00000000-0005-0000-0000-0000E1530000}"/>
    <cellStyle name="Percent 4 9" xfId="32309" xr:uid="{00000000-0005-0000-0000-0000E2530000}"/>
    <cellStyle name="Percent 4_FS chuan Jamona Riverside" xfId="5670" xr:uid="{00000000-0005-0000-0000-0000E3530000}"/>
    <cellStyle name="Percent 40" xfId="12533" xr:uid="{00000000-0005-0000-0000-0000E4530000}"/>
    <cellStyle name="Percent 40 2" xfId="12534" xr:uid="{00000000-0005-0000-0000-0000E5530000}"/>
    <cellStyle name="Percent 40 2 2" xfId="31604" xr:uid="{00000000-0005-0000-0000-0000E6530000}"/>
    <cellStyle name="Percent 40 2 3" xfId="17098" xr:uid="{00000000-0005-0000-0000-0000E7530000}"/>
    <cellStyle name="Percent 40 2_TOM TAT" xfId="23843" xr:uid="{00000000-0005-0000-0000-0000E8530000}"/>
    <cellStyle name="Percent 40 3" xfId="31603" xr:uid="{00000000-0005-0000-0000-0000E9530000}"/>
    <cellStyle name="Percent 40 4" xfId="17097" xr:uid="{00000000-0005-0000-0000-0000EA530000}"/>
    <cellStyle name="Percent 40_TOM TAT" xfId="12535" xr:uid="{00000000-0005-0000-0000-0000EB530000}"/>
    <cellStyle name="Percent 41" xfId="6642" xr:uid="{00000000-0005-0000-0000-0000EC530000}"/>
    <cellStyle name="Percent 41 2" xfId="12536" xr:uid="{00000000-0005-0000-0000-0000ED530000}"/>
    <cellStyle name="Percent 41 2 2" xfId="31605" xr:uid="{00000000-0005-0000-0000-0000EE530000}"/>
    <cellStyle name="Percent 41 2 3" xfId="17099" xr:uid="{00000000-0005-0000-0000-0000EF530000}"/>
    <cellStyle name="Percent 41 2_TOM TAT" xfId="23844" xr:uid="{00000000-0005-0000-0000-0000F0530000}"/>
    <cellStyle name="Percent 41 3" xfId="29244" xr:uid="{00000000-0005-0000-0000-0000F1530000}"/>
    <cellStyle name="Percent 41 4" xfId="14759" xr:uid="{00000000-0005-0000-0000-0000F2530000}"/>
    <cellStyle name="Percent 41_TOM TAT" xfId="12537" xr:uid="{00000000-0005-0000-0000-0000F3530000}"/>
    <cellStyle name="Percent 42" xfId="14587" xr:uid="{00000000-0005-0000-0000-0000F4530000}"/>
    <cellStyle name="Percent 42 2" xfId="14594" xr:uid="{00000000-0005-0000-0000-0000F5530000}"/>
    <cellStyle name="Percent 42 2 2" xfId="31927" xr:uid="{00000000-0005-0000-0000-0000F6530000}"/>
    <cellStyle name="Percent 42 2 3" xfId="32211" xr:uid="{00000000-0005-0000-0000-0000F7530000}"/>
    <cellStyle name="Percent 42 2_TOM TAT" xfId="23846" xr:uid="{00000000-0005-0000-0000-0000F8530000}"/>
    <cellStyle name="Percent 42 3" xfId="31728" xr:uid="{00000000-0005-0000-0000-0000F9530000}"/>
    <cellStyle name="Percent 42_TOM TAT" xfId="23845" xr:uid="{00000000-0005-0000-0000-0000FA530000}"/>
    <cellStyle name="Percent 43" xfId="14590" xr:uid="{00000000-0005-0000-0000-0000FB530000}"/>
    <cellStyle name="Percent 43 2" xfId="18224" xr:uid="{00000000-0005-0000-0000-0000FC530000}"/>
    <cellStyle name="Percent 44" xfId="18692" xr:uid="{00000000-0005-0000-0000-0000FD530000}"/>
    <cellStyle name="Percent 45" xfId="18962" xr:uid="{00000000-0005-0000-0000-0000FE530000}"/>
    <cellStyle name="Percent 45 2" xfId="31877" xr:uid="{00000000-0005-0000-0000-0000FF530000}"/>
    <cellStyle name="Percent 45_TOM TAT" xfId="23847" xr:uid="{00000000-0005-0000-0000-000000540000}"/>
    <cellStyle name="Percent 46" xfId="18964" xr:uid="{00000000-0005-0000-0000-000001540000}"/>
    <cellStyle name="Percent 46 2" xfId="31879" xr:uid="{00000000-0005-0000-0000-000002540000}"/>
    <cellStyle name="Percent 46_TOM TAT" xfId="23848" xr:uid="{00000000-0005-0000-0000-000003540000}"/>
    <cellStyle name="Percent 47" xfId="18966" xr:uid="{00000000-0005-0000-0000-000004540000}"/>
    <cellStyle name="Percent 47 2" xfId="19054" xr:uid="{00000000-0005-0000-0000-000005540000}"/>
    <cellStyle name="Percent 47 2 2" xfId="31956" xr:uid="{00000000-0005-0000-0000-000006540000}"/>
    <cellStyle name="Percent 47 2_TOM TAT" xfId="23850" xr:uid="{00000000-0005-0000-0000-000007540000}"/>
    <cellStyle name="Percent 47 3" xfId="31881" xr:uid="{00000000-0005-0000-0000-000008540000}"/>
    <cellStyle name="Percent 47_TOM TAT" xfId="23849" xr:uid="{00000000-0005-0000-0000-000009540000}"/>
    <cellStyle name="Percent 48" xfId="18972" xr:uid="{00000000-0005-0000-0000-00000A540000}"/>
    <cellStyle name="Percent 48 2" xfId="31887" xr:uid="{00000000-0005-0000-0000-00000B540000}"/>
    <cellStyle name="Percent 48_TOM TAT" xfId="23851" xr:uid="{00000000-0005-0000-0000-00000C540000}"/>
    <cellStyle name="Percent 49" xfId="19031" xr:uid="{00000000-0005-0000-0000-00000D540000}"/>
    <cellStyle name="Percent 49 2" xfId="31936" xr:uid="{00000000-0005-0000-0000-00000E540000}"/>
    <cellStyle name="Percent 49_TOM TAT" xfId="23852" xr:uid="{00000000-0005-0000-0000-00000F540000}"/>
    <cellStyle name="Percent 5" xfId="1398" xr:uid="{00000000-0005-0000-0000-000010540000}"/>
    <cellStyle name="Percent 5 2" xfId="2348" xr:uid="{00000000-0005-0000-0000-000011540000}"/>
    <cellStyle name="Percent 5 2 2" xfId="5671" xr:uid="{00000000-0005-0000-0000-000012540000}"/>
    <cellStyle name="Percent 5 2_TOM TAT" xfId="12538" xr:uid="{00000000-0005-0000-0000-000013540000}"/>
    <cellStyle name="Percent 5 3" xfId="4445" xr:uid="{00000000-0005-0000-0000-000014540000}"/>
    <cellStyle name="Percent 5 3 2" xfId="18645" xr:uid="{00000000-0005-0000-0000-000015540000}"/>
    <cellStyle name="Percent 5 3_TOM TAT" xfId="23853" xr:uid="{00000000-0005-0000-0000-000016540000}"/>
    <cellStyle name="Percent 5 4" xfId="5672" xr:uid="{00000000-0005-0000-0000-000017540000}"/>
    <cellStyle name="Percent 5 5" xfId="26993" xr:uid="{00000000-0005-0000-0000-000018540000}"/>
    <cellStyle name="Percent 5 6" xfId="14634" xr:uid="{00000000-0005-0000-0000-000019540000}"/>
    <cellStyle name="Percent 5_TOM TAT" xfId="12539" xr:uid="{00000000-0005-0000-0000-00001A540000}"/>
    <cellStyle name="Percent 50" xfId="19035" xr:uid="{00000000-0005-0000-0000-00001B540000}"/>
    <cellStyle name="Percent 50 2" xfId="19188" xr:uid="{00000000-0005-0000-0000-00001C540000}"/>
    <cellStyle name="Percent 50 2 2" xfId="19189" xr:uid="{00000000-0005-0000-0000-00001D540000}"/>
    <cellStyle name="Percent 50 2 2 2" xfId="32042" xr:uid="{00000000-0005-0000-0000-00001E540000}"/>
    <cellStyle name="Percent 50 2 2_TOM TAT" xfId="23856" xr:uid="{00000000-0005-0000-0000-00001F540000}"/>
    <cellStyle name="Percent 50 2 3" xfId="19190" xr:uid="{00000000-0005-0000-0000-000020540000}"/>
    <cellStyle name="Percent 50 2 3 2" xfId="32043" xr:uid="{00000000-0005-0000-0000-000021540000}"/>
    <cellStyle name="Percent 50 2 3 3" xfId="32148" xr:uid="{00000000-0005-0000-0000-000022540000}"/>
    <cellStyle name="Percent 50 2 3_TOM TAT" xfId="23857" xr:uid="{00000000-0005-0000-0000-000023540000}"/>
    <cellStyle name="Percent 50 2 4" xfId="19086" xr:uid="{00000000-0005-0000-0000-000024540000}"/>
    <cellStyle name="Percent 50 2 4 2" xfId="31974" xr:uid="{00000000-0005-0000-0000-000025540000}"/>
    <cellStyle name="Percent 50 2 4 3" xfId="32140" xr:uid="{00000000-0005-0000-0000-000026540000}"/>
    <cellStyle name="Percent 50 2 4_TOM TAT" xfId="23858" xr:uid="{00000000-0005-0000-0000-000027540000}"/>
    <cellStyle name="Percent 50 2 5" xfId="32041" xr:uid="{00000000-0005-0000-0000-000028540000}"/>
    <cellStyle name="Percent 50 2_TOM TAT" xfId="23855" xr:uid="{00000000-0005-0000-0000-000029540000}"/>
    <cellStyle name="Percent 50 3" xfId="31940" xr:uid="{00000000-0005-0000-0000-00002A540000}"/>
    <cellStyle name="Percent 50_TOM TAT" xfId="23854" xr:uid="{00000000-0005-0000-0000-00002B540000}"/>
    <cellStyle name="Percent 51" xfId="19041" xr:uid="{00000000-0005-0000-0000-00002C540000}"/>
    <cellStyle name="Percent 51 2" xfId="31946" xr:uid="{00000000-0005-0000-0000-00002D540000}"/>
    <cellStyle name="Percent 51_TOM TAT" xfId="23859" xr:uid="{00000000-0005-0000-0000-00002E540000}"/>
    <cellStyle name="Percent 52" xfId="19074" xr:uid="{00000000-0005-0000-0000-00002F540000}"/>
    <cellStyle name="Percent 52 2" xfId="19080" xr:uid="{00000000-0005-0000-0000-000030540000}"/>
    <cellStyle name="Percent 52 2 2" xfId="31969" xr:uid="{00000000-0005-0000-0000-000031540000}"/>
    <cellStyle name="Percent 52 2_TOM TAT" xfId="23861" xr:uid="{00000000-0005-0000-0000-000032540000}"/>
    <cellStyle name="Percent 52 3" xfId="31963" xr:uid="{00000000-0005-0000-0000-000033540000}"/>
    <cellStyle name="Percent 52 4" xfId="32135" xr:uid="{00000000-0005-0000-0000-000034540000}"/>
    <cellStyle name="Percent 52_TOM TAT" xfId="23860" xr:uid="{00000000-0005-0000-0000-000035540000}"/>
    <cellStyle name="Percent 53" xfId="19076" xr:uid="{00000000-0005-0000-0000-000036540000}"/>
    <cellStyle name="Percent 53 2" xfId="31965" xr:uid="{00000000-0005-0000-0000-000037540000}"/>
    <cellStyle name="Percent 53_TOM TAT" xfId="23862" xr:uid="{00000000-0005-0000-0000-000038540000}"/>
    <cellStyle name="Percent 54" xfId="26989" xr:uid="{00000000-0005-0000-0000-000039540000}"/>
    <cellStyle name="Percent 55" xfId="32158" xr:uid="{00000000-0005-0000-0000-00003A540000}"/>
    <cellStyle name="Percent 56" xfId="32161" xr:uid="{00000000-0005-0000-0000-00003B540000}"/>
    <cellStyle name="Percent 57" xfId="14632" xr:uid="{00000000-0005-0000-0000-00003C540000}"/>
    <cellStyle name="Percent 58" xfId="32241" xr:uid="{00000000-0005-0000-0000-00003D540000}"/>
    <cellStyle name="Percent 59" xfId="32245" xr:uid="{00000000-0005-0000-0000-00003E540000}"/>
    <cellStyle name="Percent 6" xfId="1399" xr:uid="{00000000-0005-0000-0000-00003F540000}"/>
    <cellStyle name="Percent 6 2" xfId="4446" xr:uid="{00000000-0005-0000-0000-000040540000}"/>
    <cellStyle name="Percent 6 2 2" xfId="5673" xr:uid="{00000000-0005-0000-0000-000041540000}"/>
    <cellStyle name="Percent 6 2_TOM TAT" xfId="12540" xr:uid="{00000000-0005-0000-0000-000042540000}"/>
    <cellStyle name="Percent 6 3" xfId="5674" xr:uid="{00000000-0005-0000-0000-000043540000}"/>
    <cellStyle name="Percent 6_TOM TAT" xfId="12541" xr:uid="{00000000-0005-0000-0000-000044540000}"/>
    <cellStyle name="Percent 60" xfId="32261" xr:uid="{00000000-0005-0000-0000-000045540000}"/>
    <cellStyle name="Percent 61" xfId="32264" xr:uid="{00000000-0005-0000-0000-000046540000}"/>
    <cellStyle name="Percent 62" xfId="32267" xr:uid="{00000000-0005-0000-0000-000047540000}"/>
    <cellStyle name="Percent 63" xfId="32271" xr:uid="{00000000-0005-0000-0000-000048540000}"/>
    <cellStyle name="Percent 7" xfId="1400" xr:uid="{00000000-0005-0000-0000-000049540000}"/>
    <cellStyle name="Percent 7 2" xfId="4447" xr:uid="{00000000-0005-0000-0000-00004A540000}"/>
    <cellStyle name="Percent 7 2 2" xfId="5675" xr:uid="{00000000-0005-0000-0000-00004B540000}"/>
    <cellStyle name="Percent 7 2_TOM TAT" xfId="12542" xr:uid="{00000000-0005-0000-0000-00004C540000}"/>
    <cellStyle name="Percent 7 3" xfId="5676" xr:uid="{00000000-0005-0000-0000-00004D540000}"/>
    <cellStyle name="Percent 7_TOM TAT" xfId="12543" xr:uid="{00000000-0005-0000-0000-00004E540000}"/>
    <cellStyle name="Percent 8" xfId="1401" xr:uid="{00000000-0005-0000-0000-00004F540000}"/>
    <cellStyle name="Percent 8 2" xfId="4448" xr:uid="{00000000-0005-0000-0000-000050540000}"/>
    <cellStyle name="Percent 8 3" xfId="18225" xr:uid="{00000000-0005-0000-0000-000051540000}"/>
    <cellStyle name="Percent 8_TOM TAT" xfId="12544" xr:uid="{00000000-0005-0000-0000-000052540000}"/>
    <cellStyle name="Percent 9" xfId="1402" xr:uid="{00000000-0005-0000-0000-000053540000}"/>
    <cellStyle name="Percent 9 2" xfId="4449" xr:uid="{00000000-0005-0000-0000-000054540000}"/>
    <cellStyle name="Percent 9 3" xfId="12545" xr:uid="{00000000-0005-0000-0000-000055540000}"/>
    <cellStyle name="Percent 9_TOM TAT" xfId="12546" xr:uid="{00000000-0005-0000-0000-000056540000}"/>
    <cellStyle name="Percent_2013.08.28 FS Jamona 25 tang" xfId="1403" xr:uid="{00000000-0005-0000-0000-000057540000}"/>
    <cellStyle name="Percent_FS chuan Jamona Riverside" xfId="1404" xr:uid="{00000000-0005-0000-0000-000058540000}"/>
    <cellStyle name="Percent1" xfId="1405" xr:uid="{00000000-0005-0000-0000-000059540000}"/>
    <cellStyle name="Percent1 2" xfId="18226" xr:uid="{00000000-0005-0000-0000-00005A540000}"/>
    <cellStyle name="Percent1_TOM TAT" xfId="23863" xr:uid="{00000000-0005-0000-0000-00005B540000}"/>
    <cellStyle name="percentage" xfId="1406" xr:uid="{00000000-0005-0000-0000-00005C540000}"/>
    <cellStyle name="percentage 2" xfId="18227" xr:uid="{00000000-0005-0000-0000-00005D540000}"/>
    <cellStyle name="percentage_TOM TAT" xfId="23864" xr:uid="{00000000-0005-0000-0000-00005E540000}"/>
    <cellStyle name="Pink" xfId="1407" xr:uid="{00000000-0005-0000-0000-00005F540000}"/>
    <cellStyle name="Pink 2" xfId="12547" xr:uid="{00000000-0005-0000-0000-000060540000}"/>
    <cellStyle name="Pink 2 2" xfId="14619" xr:uid="{00000000-0005-0000-0000-000061540000}"/>
    <cellStyle name="Pink 2_TOM TAT" xfId="23865" xr:uid="{00000000-0005-0000-0000-000062540000}"/>
    <cellStyle name="Pink 3" xfId="18228" xr:uid="{00000000-0005-0000-0000-000063540000}"/>
    <cellStyle name="Pink_TOM TAT" xfId="12548" xr:uid="{00000000-0005-0000-0000-000064540000}"/>
    <cellStyle name="Pivot" xfId="1408" xr:uid="{00000000-0005-0000-0000-000065540000}"/>
    <cellStyle name="PrePop Currency (0)" xfId="1409" xr:uid="{00000000-0005-0000-0000-000066540000}"/>
    <cellStyle name="PrePop Currency (0) 2" xfId="4450" xr:uid="{00000000-0005-0000-0000-000067540000}"/>
    <cellStyle name="PrePop Currency (0) 2 2" xfId="5677" xr:uid="{00000000-0005-0000-0000-000068540000}"/>
    <cellStyle name="PrePop Currency (0) 2 2 2" xfId="12549" xr:uid="{00000000-0005-0000-0000-000069540000}"/>
    <cellStyle name="PrePop Currency (0) 2 2_TOM TAT" xfId="12550" xr:uid="{00000000-0005-0000-0000-00006A540000}"/>
    <cellStyle name="PrePop Currency (0) 2 3" xfId="12551" xr:uid="{00000000-0005-0000-0000-00006B540000}"/>
    <cellStyle name="PrePop Currency (0) 2 4" xfId="12552" xr:uid="{00000000-0005-0000-0000-00006C540000}"/>
    <cellStyle name="PrePop Currency (0) 2 5" xfId="12553" xr:uid="{00000000-0005-0000-0000-00006D540000}"/>
    <cellStyle name="PrePop Currency (0) 2_TOM TAT" xfId="12554" xr:uid="{00000000-0005-0000-0000-00006E540000}"/>
    <cellStyle name="PrePop Currency (0) 3" xfId="5678" xr:uid="{00000000-0005-0000-0000-00006F540000}"/>
    <cellStyle name="PrePop Currency (0) 3 2" xfId="12555" xr:uid="{00000000-0005-0000-0000-000070540000}"/>
    <cellStyle name="PrePop Currency (0) 3_TOM TAT" xfId="12556" xr:uid="{00000000-0005-0000-0000-000071540000}"/>
    <cellStyle name="PrePop Currency (0) 4" xfId="12557" xr:uid="{00000000-0005-0000-0000-000072540000}"/>
    <cellStyle name="PrePop Currency (0) 5" xfId="12558" xr:uid="{00000000-0005-0000-0000-000073540000}"/>
    <cellStyle name="PrePop Currency (0) 6" xfId="12559" xr:uid="{00000000-0005-0000-0000-000074540000}"/>
    <cellStyle name="PrePop Currency (0)_20141211 Tan Mai - Hanh" xfId="12560" xr:uid="{00000000-0005-0000-0000-000075540000}"/>
    <cellStyle name="PrePop Currency (2)" xfId="1410" xr:uid="{00000000-0005-0000-0000-000076540000}"/>
    <cellStyle name="PrePop Currency (2) 2" xfId="4451" xr:uid="{00000000-0005-0000-0000-000077540000}"/>
    <cellStyle name="PrePop Currency (2) 2 2" xfId="5679" xr:uid="{00000000-0005-0000-0000-000078540000}"/>
    <cellStyle name="PrePop Currency (2) 2 2 2" xfId="12561" xr:uid="{00000000-0005-0000-0000-000079540000}"/>
    <cellStyle name="PrePop Currency (2) 2 2_TOM TAT" xfId="12562" xr:uid="{00000000-0005-0000-0000-00007A540000}"/>
    <cellStyle name="PrePop Currency (2) 2 3" xfId="12563" xr:uid="{00000000-0005-0000-0000-00007B540000}"/>
    <cellStyle name="PrePop Currency (2) 2 4" xfId="12564" xr:uid="{00000000-0005-0000-0000-00007C540000}"/>
    <cellStyle name="PrePop Currency (2) 2 5" xfId="12565" xr:uid="{00000000-0005-0000-0000-00007D540000}"/>
    <cellStyle name="PrePop Currency (2) 2_TOM TAT" xfId="12566" xr:uid="{00000000-0005-0000-0000-00007E540000}"/>
    <cellStyle name="PrePop Currency (2) 3" xfId="5680" xr:uid="{00000000-0005-0000-0000-00007F540000}"/>
    <cellStyle name="PrePop Currency (2) 3 2" xfId="12567" xr:uid="{00000000-0005-0000-0000-000080540000}"/>
    <cellStyle name="PrePop Currency (2) 3_TOM TAT" xfId="12568" xr:uid="{00000000-0005-0000-0000-000081540000}"/>
    <cellStyle name="PrePop Currency (2) 4" xfId="12569" xr:uid="{00000000-0005-0000-0000-000082540000}"/>
    <cellStyle name="PrePop Currency (2) 5" xfId="12570" xr:uid="{00000000-0005-0000-0000-000083540000}"/>
    <cellStyle name="PrePop Currency (2) 6" xfId="12571" xr:uid="{00000000-0005-0000-0000-000084540000}"/>
    <cellStyle name="PrePop Currency (2)_20141211 Tan Mai - Hanh" xfId="12572" xr:uid="{00000000-0005-0000-0000-000085540000}"/>
    <cellStyle name="PrePop Units (0)" xfId="1411" xr:uid="{00000000-0005-0000-0000-000086540000}"/>
    <cellStyle name="PrePop Units (0) 2" xfId="4452" xr:uid="{00000000-0005-0000-0000-000087540000}"/>
    <cellStyle name="PrePop Units (0) 2 2" xfId="5681" xr:uid="{00000000-0005-0000-0000-000088540000}"/>
    <cellStyle name="PrePop Units (0) 2 2 2" xfId="12573" xr:uid="{00000000-0005-0000-0000-000089540000}"/>
    <cellStyle name="PrePop Units (0) 2 2_TOM TAT" xfId="12574" xr:uid="{00000000-0005-0000-0000-00008A540000}"/>
    <cellStyle name="PrePop Units (0) 2 3" xfId="12575" xr:uid="{00000000-0005-0000-0000-00008B540000}"/>
    <cellStyle name="PrePop Units (0) 2 4" xfId="12576" xr:uid="{00000000-0005-0000-0000-00008C540000}"/>
    <cellStyle name="PrePop Units (0) 2 5" xfId="12577" xr:uid="{00000000-0005-0000-0000-00008D540000}"/>
    <cellStyle name="PrePop Units (0) 2_TOM TAT" xfId="12578" xr:uid="{00000000-0005-0000-0000-00008E540000}"/>
    <cellStyle name="PrePop Units (0) 3" xfId="5682" xr:uid="{00000000-0005-0000-0000-00008F540000}"/>
    <cellStyle name="PrePop Units (0) 3 2" xfId="12579" xr:uid="{00000000-0005-0000-0000-000090540000}"/>
    <cellStyle name="PrePop Units (0) 3_TOM TAT" xfId="12580" xr:uid="{00000000-0005-0000-0000-000091540000}"/>
    <cellStyle name="PrePop Units (0) 4" xfId="12581" xr:uid="{00000000-0005-0000-0000-000092540000}"/>
    <cellStyle name="PrePop Units (0) 5" xfId="12582" xr:uid="{00000000-0005-0000-0000-000093540000}"/>
    <cellStyle name="PrePop Units (0) 6" xfId="12583" xr:uid="{00000000-0005-0000-0000-000094540000}"/>
    <cellStyle name="PrePop Units (0)_20141211 Tan Mai - Hanh" xfId="12584" xr:uid="{00000000-0005-0000-0000-000095540000}"/>
    <cellStyle name="PrePop Units (1)" xfId="1412" xr:uid="{00000000-0005-0000-0000-000096540000}"/>
    <cellStyle name="PrePop Units (1) 2" xfId="4453" xr:uid="{00000000-0005-0000-0000-000097540000}"/>
    <cellStyle name="PrePop Units (1) 2 2" xfId="5683" xr:uid="{00000000-0005-0000-0000-000098540000}"/>
    <cellStyle name="PrePop Units (1) 2_TOM TAT" xfId="12585" xr:uid="{00000000-0005-0000-0000-000099540000}"/>
    <cellStyle name="PrePop Units (1) 3" xfId="5684" xr:uid="{00000000-0005-0000-0000-00009A540000}"/>
    <cellStyle name="PrePop Units (1)_20141211 Tan Mai - Hanh" xfId="12586" xr:uid="{00000000-0005-0000-0000-00009B540000}"/>
    <cellStyle name="PrePop Units (2)" xfId="1413" xr:uid="{00000000-0005-0000-0000-00009C540000}"/>
    <cellStyle name="PrePop Units (2) 2" xfId="4454" xr:uid="{00000000-0005-0000-0000-00009D540000}"/>
    <cellStyle name="PrePop Units (2) 2 2" xfId="5685" xr:uid="{00000000-0005-0000-0000-00009E540000}"/>
    <cellStyle name="PrePop Units (2) 2 2 2" xfId="12587" xr:uid="{00000000-0005-0000-0000-00009F540000}"/>
    <cellStyle name="PrePop Units (2) 2 2_TOM TAT" xfId="12588" xr:uid="{00000000-0005-0000-0000-0000A0540000}"/>
    <cellStyle name="PrePop Units (2) 2 3" xfId="12589" xr:uid="{00000000-0005-0000-0000-0000A1540000}"/>
    <cellStyle name="PrePop Units (2) 2 4" xfId="12590" xr:uid="{00000000-0005-0000-0000-0000A2540000}"/>
    <cellStyle name="PrePop Units (2) 2 5" xfId="12591" xr:uid="{00000000-0005-0000-0000-0000A3540000}"/>
    <cellStyle name="PrePop Units (2) 2_TOM TAT" xfId="12592" xr:uid="{00000000-0005-0000-0000-0000A4540000}"/>
    <cellStyle name="PrePop Units (2) 3" xfId="5686" xr:uid="{00000000-0005-0000-0000-0000A5540000}"/>
    <cellStyle name="PrePop Units (2) 3 2" xfId="12593" xr:uid="{00000000-0005-0000-0000-0000A6540000}"/>
    <cellStyle name="PrePop Units (2) 3_TOM TAT" xfId="12594" xr:uid="{00000000-0005-0000-0000-0000A7540000}"/>
    <cellStyle name="PrePop Units (2) 4" xfId="12595" xr:uid="{00000000-0005-0000-0000-0000A8540000}"/>
    <cellStyle name="PrePop Units (2) 5" xfId="12596" xr:uid="{00000000-0005-0000-0000-0000A9540000}"/>
    <cellStyle name="PrePop Units (2) 6" xfId="12597" xr:uid="{00000000-0005-0000-0000-0000AA540000}"/>
    <cellStyle name="PrePop Units (2)_20141211 Tan Mai - Hanh" xfId="12598" xr:uid="{00000000-0005-0000-0000-0000AB540000}"/>
    <cellStyle name="pricing" xfId="1414" xr:uid="{00000000-0005-0000-0000-0000AC540000}"/>
    <cellStyle name="pricing 2" xfId="18229" xr:uid="{00000000-0005-0000-0000-0000AD540000}"/>
    <cellStyle name="pricing_TOM TAT" xfId="23866" xr:uid="{00000000-0005-0000-0000-0000AE540000}"/>
    <cellStyle name="Profile" xfId="1415" xr:uid="{00000000-0005-0000-0000-0000AF540000}"/>
    <cellStyle name="Profile 2" xfId="4455" xr:uid="{00000000-0005-0000-0000-0000B0540000}"/>
    <cellStyle name="Profile 2 2" xfId="12599" xr:uid="{00000000-0005-0000-0000-0000B1540000}"/>
    <cellStyle name="Profile 2 2 2" xfId="12600" xr:uid="{00000000-0005-0000-0000-0000B2540000}"/>
    <cellStyle name="Profile 2 2_TOM TAT" xfId="12601" xr:uid="{00000000-0005-0000-0000-0000B3540000}"/>
    <cellStyle name="Profile 2 3" xfId="12602" xr:uid="{00000000-0005-0000-0000-0000B4540000}"/>
    <cellStyle name="Profile 2 4" xfId="12603" xr:uid="{00000000-0005-0000-0000-0000B5540000}"/>
    <cellStyle name="Profile 2 5" xfId="12604" xr:uid="{00000000-0005-0000-0000-0000B6540000}"/>
    <cellStyle name="Profile 2 6" xfId="18231" xr:uid="{00000000-0005-0000-0000-0000B7540000}"/>
    <cellStyle name="Profile 2 7" xfId="18694" xr:uid="{00000000-0005-0000-0000-0000B8540000}"/>
    <cellStyle name="Profile 2_TOM TAT" xfId="12605" xr:uid="{00000000-0005-0000-0000-0000B9540000}"/>
    <cellStyle name="Profile 3" xfId="12606" xr:uid="{00000000-0005-0000-0000-0000BA540000}"/>
    <cellStyle name="Profile 3 2" xfId="12607" xr:uid="{00000000-0005-0000-0000-0000BB540000}"/>
    <cellStyle name="Profile 3_TOM TAT" xfId="12608" xr:uid="{00000000-0005-0000-0000-0000BC540000}"/>
    <cellStyle name="Profile 4" xfId="12609" xr:uid="{00000000-0005-0000-0000-0000BD540000}"/>
    <cellStyle name="Profile 5" xfId="12610" xr:uid="{00000000-0005-0000-0000-0000BE540000}"/>
    <cellStyle name="Profile 6" xfId="12611" xr:uid="{00000000-0005-0000-0000-0000BF540000}"/>
    <cellStyle name="Profile 7" xfId="18230" xr:uid="{00000000-0005-0000-0000-0000C0540000}"/>
    <cellStyle name="Profile 8" xfId="18693" xr:uid="{00000000-0005-0000-0000-0000C1540000}"/>
    <cellStyle name="Profile_TOM TAT" xfId="12612" xr:uid="{00000000-0005-0000-0000-0000C2540000}"/>
    <cellStyle name="PSChar" xfId="1416" xr:uid="{00000000-0005-0000-0000-0000C3540000}"/>
    <cellStyle name="PSChar 2" xfId="4456" xr:uid="{00000000-0005-0000-0000-0000C4540000}"/>
    <cellStyle name="PSChar 2 2" xfId="12613" xr:uid="{00000000-0005-0000-0000-0000C5540000}"/>
    <cellStyle name="PSChar 2_TOM TAT" xfId="12614" xr:uid="{00000000-0005-0000-0000-0000C6540000}"/>
    <cellStyle name="PSChar 3" xfId="12615" xr:uid="{00000000-0005-0000-0000-0000C7540000}"/>
    <cellStyle name="PSChar 4" xfId="12616" xr:uid="{00000000-0005-0000-0000-0000C8540000}"/>
    <cellStyle name="PSChar 5" xfId="12617" xr:uid="{00000000-0005-0000-0000-0000C9540000}"/>
    <cellStyle name="PSChar 6" xfId="18232" xr:uid="{00000000-0005-0000-0000-0000CA540000}"/>
    <cellStyle name="PSChar 7" xfId="18695" xr:uid="{00000000-0005-0000-0000-0000CB540000}"/>
    <cellStyle name="PSChar_TOM TAT" xfId="12618" xr:uid="{00000000-0005-0000-0000-0000CC540000}"/>
    <cellStyle name="PSHeading" xfId="1417" xr:uid="{00000000-0005-0000-0000-0000CD540000}"/>
    <cellStyle name="PSHeading 2" xfId="12619" xr:uid="{00000000-0005-0000-0000-0000CE540000}"/>
    <cellStyle name="PSHeading 3" xfId="12620" xr:uid="{00000000-0005-0000-0000-0000CF540000}"/>
    <cellStyle name="PSHeading_TOM TAT" xfId="12621" xr:uid="{00000000-0005-0000-0000-0000D0540000}"/>
    <cellStyle name="Quantity Column" xfId="19191" xr:uid="{00000000-0005-0000-0000-0000D1540000}"/>
    <cellStyle name="Rate" xfId="1418" xr:uid="{00000000-0005-0000-0000-0000D2540000}"/>
    <cellStyle name="Rate 2" xfId="4457" xr:uid="{00000000-0005-0000-0000-0000D3540000}"/>
    <cellStyle name="Rate 2 2" xfId="14620" xr:uid="{00000000-0005-0000-0000-0000D4540000}"/>
    <cellStyle name="Rate 2 2 2" xfId="31928" xr:uid="{00000000-0005-0000-0000-0000D5540000}"/>
    <cellStyle name="Rate 2 2 3" xfId="19018" xr:uid="{00000000-0005-0000-0000-0000D6540000}"/>
    <cellStyle name="Rate 2 2_TOM TAT" xfId="23868" xr:uid="{00000000-0005-0000-0000-0000D7540000}"/>
    <cellStyle name="Rate 2_TOM TAT" xfId="23867" xr:uid="{00000000-0005-0000-0000-0000D8540000}"/>
    <cellStyle name="Rate 3" xfId="12622" xr:uid="{00000000-0005-0000-0000-0000D9540000}"/>
    <cellStyle name="Rate 3 2" xfId="12623" xr:uid="{00000000-0005-0000-0000-0000DA540000}"/>
    <cellStyle name="Rate 3 2 2" xfId="31607" xr:uid="{00000000-0005-0000-0000-0000DB540000}"/>
    <cellStyle name="Rate 3 2_TOM TAT" xfId="23869" xr:uid="{00000000-0005-0000-0000-0000DC540000}"/>
    <cellStyle name="Rate 3 3" xfId="31606" xr:uid="{00000000-0005-0000-0000-0000DD540000}"/>
    <cellStyle name="Rate 3_TOM TAT" xfId="12624" xr:uid="{00000000-0005-0000-0000-0000DE540000}"/>
    <cellStyle name="Rate_TOM TAT" xfId="12625" xr:uid="{00000000-0005-0000-0000-0000DF540000}"/>
    <cellStyle name="Reset  - Style4" xfId="1419" xr:uid="{00000000-0005-0000-0000-0000E0540000}"/>
    <cellStyle name="Reset  - Style4 2" xfId="12626" xr:uid="{00000000-0005-0000-0000-0000E1540000}"/>
    <cellStyle name="Reset  - Style4 3" xfId="12627" xr:uid="{00000000-0005-0000-0000-0000E2540000}"/>
    <cellStyle name="Reset  - Style4_TOM TAT" xfId="12628" xr:uid="{00000000-0005-0000-0000-0000E3540000}"/>
    <cellStyle name="Reset  - Style7" xfId="1420" xr:uid="{00000000-0005-0000-0000-0000E4540000}"/>
    <cellStyle name="Reset  - Style7 2" xfId="12629" xr:uid="{00000000-0005-0000-0000-0000E5540000}"/>
    <cellStyle name="Reset  - Style7 3" xfId="12630" xr:uid="{00000000-0005-0000-0000-0000E6540000}"/>
    <cellStyle name="Reset  - Style7_TOM TAT" xfId="12631" xr:uid="{00000000-0005-0000-0000-0000E7540000}"/>
    <cellStyle name="Reset range style to defaults" xfId="1421" xr:uid="{00000000-0005-0000-0000-0000E8540000}"/>
    <cellStyle name="Reset range style to defaults 2" xfId="5687" xr:uid="{00000000-0005-0000-0000-0000E9540000}"/>
    <cellStyle name="Reset range style to defaults 2 2" xfId="28303" xr:uid="{00000000-0005-0000-0000-0000EA540000}"/>
    <cellStyle name="Reset range style to defaults 2_TOM TAT" xfId="23870" xr:uid="{00000000-0005-0000-0000-0000EB540000}"/>
    <cellStyle name="Reset range style to defaults 3" xfId="12632" xr:uid="{00000000-0005-0000-0000-0000EC540000}"/>
    <cellStyle name="Reset range style to defaults 3 2" xfId="31608" xr:uid="{00000000-0005-0000-0000-0000ED540000}"/>
    <cellStyle name="Reset range style to defaults 3_TOM TAT" xfId="23871" xr:uid="{00000000-0005-0000-0000-0000EE540000}"/>
    <cellStyle name="Reset range style to defaults 4" xfId="26994" xr:uid="{00000000-0005-0000-0000-0000EF540000}"/>
    <cellStyle name="Reset range style to defaults_TOM TAT" xfId="12633" xr:uid="{00000000-0005-0000-0000-0000F0540000}"/>
    <cellStyle name="Revenue(rev).xls]SEPT" xfId="1422" xr:uid="{00000000-0005-0000-0000-0000F1540000}"/>
    <cellStyle name="Revenue(rev).xls]SEPT 2" xfId="4458" xr:uid="{00000000-0005-0000-0000-0000F2540000}"/>
    <cellStyle name="Revenue(rev).xls]SEPT 3" xfId="18233" xr:uid="{00000000-0005-0000-0000-0000F3540000}"/>
    <cellStyle name="Revenue(rev).xls]SEPT_TOM TAT" xfId="12634" xr:uid="{00000000-0005-0000-0000-0000F4540000}"/>
    <cellStyle name="RevList" xfId="1423" xr:uid="{00000000-0005-0000-0000-0000F5540000}"/>
    <cellStyle name="RevList 2" xfId="12635" xr:uid="{00000000-0005-0000-0000-0000F6540000}"/>
    <cellStyle name="RevList 3" xfId="18234" xr:uid="{00000000-0005-0000-0000-0000F7540000}"/>
    <cellStyle name="RevList_TOM TAT" xfId="23872" xr:uid="{00000000-0005-0000-0000-0000F8540000}"/>
    <cellStyle name="s" xfId="1424" xr:uid="{00000000-0005-0000-0000-0000F9540000}"/>
    <cellStyle name="S—_x0008_" xfId="1425" xr:uid="{00000000-0005-0000-0000-0000FA540000}"/>
    <cellStyle name="s 10" xfId="12636" xr:uid="{00000000-0005-0000-0000-0000FB540000}"/>
    <cellStyle name="S—_x0008_ 10" xfId="14636" xr:uid="{00000000-0005-0000-0000-0000FC540000}"/>
    <cellStyle name="s 10 2" xfId="12637" xr:uid="{00000000-0005-0000-0000-0000FD540000}"/>
    <cellStyle name="s 10 2 2" xfId="31610" xr:uid="{00000000-0005-0000-0000-0000FE540000}"/>
    <cellStyle name="s 10 2_TOM TAT" xfId="23875" xr:uid="{00000000-0005-0000-0000-0000FF540000}"/>
    <cellStyle name="s 10 3" xfId="31609" xr:uid="{00000000-0005-0000-0000-000000550000}"/>
    <cellStyle name="s 10_TOM TAT" xfId="12638" xr:uid="{00000000-0005-0000-0000-000001550000}"/>
    <cellStyle name="s 11" xfId="12639" xr:uid="{00000000-0005-0000-0000-000002550000}"/>
    <cellStyle name="s 11 2" xfId="12640" xr:uid="{00000000-0005-0000-0000-000003550000}"/>
    <cellStyle name="s 11 2 2" xfId="31612" xr:uid="{00000000-0005-0000-0000-000004550000}"/>
    <cellStyle name="s 11 2_TOM TAT" xfId="23876" xr:uid="{00000000-0005-0000-0000-000005550000}"/>
    <cellStyle name="s 11 3" xfId="31611" xr:uid="{00000000-0005-0000-0000-000006550000}"/>
    <cellStyle name="s 11_TOM TAT" xfId="12641" xr:uid="{00000000-0005-0000-0000-000007550000}"/>
    <cellStyle name="s 12" xfId="12642" xr:uid="{00000000-0005-0000-0000-000008550000}"/>
    <cellStyle name="s 12 2" xfId="12643" xr:uid="{00000000-0005-0000-0000-000009550000}"/>
    <cellStyle name="s 12 2 2" xfId="31614" xr:uid="{00000000-0005-0000-0000-00000A550000}"/>
    <cellStyle name="s 12 2_TOM TAT" xfId="23877" xr:uid="{00000000-0005-0000-0000-00000B550000}"/>
    <cellStyle name="s 12 3" xfId="31613" xr:uid="{00000000-0005-0000-0000-00000C550000}"/>
    <cellStyle name="s 12_TOM TAT" xfId="12644" xr:uid="{00000000-0005-0000-0000-00000D550000}"/>
    <cellStyle name="s 13" xfId="12645" xr:uid="{00000000-0005-0000-0000-00000E550000}"/>
    <cellStyle name="s 13 2" xfId="12646" xr:uid="{00000000-0005-0000-0000-00000F550000}"/>
    <cellStyle name="s 13_TOM TAT" xfId="12647" xr:uid="{00000000-0005-0000-0000-000010550000}"/>
    <cellStyle name="s 14" xfId="12648" xr:uid="{00000000-0005-0000-0000-000011550000}"/>
    <cellStyle name="s 14 2" xfId="12649" xr:uid="{00000000-0005-0000-0000-000012550000}"/>
    <cellStyle name="s 14 2 2" xfId="31616" xr:uid="{00000000-0005-0000-0000-000013550000}"/>
    <cellStyle name="s 14 2_TOM TAT" xfId="23878" xr:uid="{00000000-0005-0000-0000-000014550000}"/>
    <cellStyle name="s 14 3" xfId="31615" xr:uid="{00000000-0005-0000-0000-000015550000}"/>
    <cellStyle name="s 14_TOM TAT" xfId="12650" xr:uid="{00000000-0005-0000-0000-000016550000}"/>
    <cellStyle name="s 15" xfId="12651" xr:uid="{00000000-0005-0000-0000-000017550000}"/>
    <cellStyle name="s 15 2" xfId="12652" xr:uid="{00000000-0005-0000-0000-000018550000}"/>
    <cellStyle name="s 15 2 2" xfId="31618" xr:uid="{00000000-0005-0000-0000-000019550000}"/>
    <cellStyle name="s 15 2_TOM TAT" xfId="23879" xr:uid="{00000000-0005-0000-0000-00001A550000}"/>
    <cellStyle name="s 15 3" xfId="31617" xr:uid="{00000000-0005-0000-0000-00001B550000}"/>
    <cellStyle name="s 15_TOM TAT" xfId="12653" xr:uid="{00000000-0005-0000-0000-00001C550000}"/>
    <cellStyle name="s 16" xfId="12654" xr:uid="{00000000-0005-0000-0000-00001D550000}"/>
    <cellStyle name="s 16 2" xfId="31619" xr:uid="{00000000-0005-0000-0000-00001E550000}"/>
    <cellStyle name="s 16_TOM TAT" xfId="23880" xr:uid="{00000000-0005-0000-0000-00001F550000}"/>
    <cellStyle name="s 17" xfId="12655" xr:uid="{00000000-0005-0000-0000-000020550000}"/>
    <cellStyle name="s 17 2" xfId="31620" xr:uid="{00000000-0005-0000-0000-000021550000}"/>
    <cellStyle name="s 17_TOM TAT" xfId="23881" xr:uid="{00000000-0005-0000-0000-000022550000}"/>
    <cellStyle name="s 18" xfId="12656" xr:uid="{00000000-0005-0000-0000-000023550000}"/>
    <cellStyle name="s 18 2" xfId="31621" xr:uid="{00000000-0005-0000-0000-000024550000}"/>
    <cellStyle name="s 18_TOM TAT" xfId="23882" xr:uid="{00000000-0005-0000-0000-000025550000}"/>
    <cellStyle name="s 19" xfId="18235" xr:uid="{00000000-0005-0000-0000-000026550000}"/>
    <cellStyle name="s 2" xfId="4459" xr:uid="{00000000-0005-0000-0000-000027550000}"/>
    <cellStyle name="S—_x0008_ 2" xfId="4460" xr:uid="{00000000-0005-0000-0000-000028550000}"/>
    <cellStyle name="s 2 10" xfId="12657" xr:uid="{00000000-0005-0000-0000-000029550000}"/>
    <cellStyle name="s 2 10 2" xfId="12658" xr:uid="{00000000-0005-0000-0000-00002A550000}"/>
    <cellStyle name="s 2 10 2 2" xfId="31623" xr:uid="{00000000-0005-0000-0000-00002B550000}"/>
    <cellStyle name="s 2 10 2_TOM TAT" xfId="23884" xr:uid="{00000000-0005-0000-0000-00002C550000}"/>
    <cellStyle name="s 2 10 3" xfId="31622" xr:uid="{00000000-0005-0000-0000-00002D550000}"/>
    <cellStyle name="s 2 10_TOM TAT" xfId="12659" xr:uid="{00000000-0005-0000-0000-00002E550000}"/>
    <cellStyle name="s 2 11" xfId="12660" xr:uid="{00000000-0005-0000-0000-00002F550000}"/>
    <cellStyle name="s 2 11 2" xfId="12661" xr:uid="{00000000-0005-0000-0000-000030550000}"/>
    <cellStyle name="s 2 11 2 2" xfId="31625" xr:uid="{00000000-0005-0000-0000-000031550000}"/>
    <cellStyle name="s 2 11 2_TOM TAT" xfId="23885" xr:uid="{00000000-0005-0000-0000-000032550000}"/>
    <cellStyle name="s 2 11 3" xfId="31624" xr:uid="{00000000-0005-0000-0000-000033550000}"/>
    <cellStyle name="s 2 11_TOM TAT" xfId="12662" xr:uid="{00000000-0005-0000-0000-000034550000}"/>
    <cellStyle name="s 2 12" xfId="12663" xr:uid="{00000000-0005-0000-0000-000035550000}"/>
    <cellStyle name="s 2 12 2" xfId="12664" xr:uid="{00000000-0005-0000-0000-000036550000}"/>
    <cellStyle name="s 2 12 2 2" xfId="31627" xr:uid="{00000000-0005-0000-0000-000037550000}"/>
    <cellStyle name="s 2 12 2_TOM TAT" xfId="23886" xr:uid="{00000000-0005-0000-0000-000038550000}"/>
    <cellStyle name="s 2 12 3" xfId="31626" xr:uid="{00000000-0005-0000-0000-000039550000}"/>
    <cellStyle name="s 2 12_TOM TAT" xfId="12665" xr:uid="{00000000-0005-0000-0000-00003A550000}"/>
    <cellStyle name="s 2 13" xfId="12666" xr:uid="{00000000-0005-0000-0000-00003B550000}"/>
    <cellStyle name="s 2 13 2" xfId="31628" xr:uid="{00000000-0005-0000-0000-00003C550000}"/>
    <cellStyle name="s 2 13_TOM TAT" xfId="23887" xr:uid="{00000000-0005-0000-0000-00003D550000}"/>
    <cellStyle name="s 2 14" xfId="12667" xr:uid="{00000000-0005-0000-0000-00003E550000}"/>
    <cellStyle name="s 2 14 2" xfId="31629" xr:uid="{00000000-0005-0000-0000-00003F550000}"/>
    <cellStyle name="s 2 14_TOM TAT" xfId="23888" xr:uid="{00000000-0005-0000-0000-000040550000}"/>
    <cellStyle name="s 2 15" xfId="12668" xr:uid="{00000000-0005-0000-0000-000041550000}"/>
    <cellStyle name="s 2 15 2" xfId="31630" xr:uid="{00000000-0005-0000-0000-000042550000}"/>
    <cellStyle name="s 2 15_TOM TAT" xfId="23889" xr:uid="{00000000-0005-0000-0000-000043550000}"/>
    <cellStyle name="s 2 16" xfId="18237" xr:uid="{00000000-0005-0000-0000-000044550000}"/>
    <cellStyle name="s 2 17" xfId="18698" xr:uid="{00000000-0005-0000-0000-000045550000}"/>
    <cellStyle name="s 2 2" xfId="5688" xr:uid="{00000000-0005-0000-0000-000046550000}"/>
    <cellStyle name="S—_x0008_ 2 2" xfId="12669" xr:uid="{00000000-0005-0000-0000-000047550000}"/>
    <cellStyle name="s 2 2 2" xfId="12670" xr:uid="{00000000-0005-0000-0000-000048550000}"/>
    <cellStyle name="s 2 2 2 2" xfId="31631" xr:uid="{00000000-0005-0000-0000-000049550000}"/>
    <cellStyle name="s 2 2 2_TOM TAT" xfId="23892" xr:uid="{00000000-0005-0000-0000-00004A550000}"/>
    <cellStyle name="s 2 2 3" xfId="18647" xr:uid="{00000000-0005-0000-0000-00004B550000}"/>
    <cellStyle name="s 2 2 4" xfId="18932" xr:uid="{00000000-0005-0000-0000-00004C550000}"/>
    <cellStyle name="s 2 2 5" xfId="28304" xr:uid="{00000000-0005-0000-0000-00004D550000}"/>
    <cellStyle name="s 2 2_TOM TAT" xfId="12671" xr:uid="{00000000-0005-0000-0000-00004E550000}"/>
    <cellStyle name="S—_x0008_ 2 2_TOM TAT" xfId="23891" xr:uid="{00000000-0005-0000-0000-00004F550000}"/>
    <cellStyle name="s 2 2_TOM TAT_1" xfId="23890" xr:uid="{00000000-0005-0000-0000-000050550000}"/>
    <cellStyle name="s 2 3" xfId="5689" xr:uid="{00000000-0005-0000-0000-000051550000}"/>
    <cellStyle name="s 2 3 2" xfId="12672" xr:uid="{00000000-0005-0000-0000-000052550000}"/>
    <cellStyle name="s 2 3 2 2" xfId="31632" xr:uid="{00000000-0005-0000-0000-000053550000}"/>
    <cellStyle name="s 2 3 2_TOM TAT" xfId="23893" xr:uid="{00000000-0005-0000-0000-000054550000}"/>
    <cellStyle name="s 2 3 3" xfId="28305" xr:uid="{00000000-0005-0000-0000-000055550000}"/>
    <cellStyle name="s 2 3_TOM TAT" xfId="12673" xr:uid="{00000000-0005-0000-0000-000056550000}"/>
    <cellStyle name="s 2 4" xfId="12674" xr:uid="{00000000-0005-0000-0000-000057550000}"/>
    <cellStyle name="s 2 4 2" xfId="12675" xr:uid="{00000000-0005-0000-0000-000058550000}"/>
    <cellStyle name="s 2 4 2 2" xfId="31634" xr:uid="{00000000-0005-0000-0000-000059550000}"/>
    <cellStyle name="s 2 4 2_TOM TAT" xfId="23894" xr:uid="{00000000-0005-0000-0000-00005A550000}"/>
    <cellStyle name="s 2 4 3" xfId="31633" xr:uid="{00000000-0005-0000-0000-00005B550000}"/>
    <cellStyle name="s 2 4_TOM TAT" xfId="12676" xr:uid="{00000000-0005-0000-0000-00005C550000}"/>
    <cellStyle name="s 2 5" xfId="12677" xr:uid="{00000000-0005-0000-0000-00005D550000}"/>
    <cellStyle name="s 2 5 2" xfId="12678" xr:uid="{00000000-0005-0000-0000-00005E550000}"/>
    <cellStyle name="s 2 5 2 2" xfId="31636" xr:uid="{00000000-0005-0000-0000-00005F550000}"/>
    <cellStyle name="s 2 5 2_TOM TAT" xfId="23895" xr:uid="{00000000-0005-0000-0000-000060550000}"/>
    <cellStyle name="s 2 5 3" xfId="31635" xr:uid="{00000000-0005-0000-0000-000061550000}"/>
    <cellStyle name="s 2 5_TOM TAT" xfId="12679" xr:uid="{00000000-0005-0000-0000-000062550000}"/>
    <cellStyle name="s 2 6" xfId="12680" xr:uid="{00000000-0005-0000-0000-000063550000}"/>
    <cellStyle name="s 2 6 2" xfId="12681" xr:uid="{00000000-0005-0000-0000-000064550000}"/>
    <cellStyle name="s 2 6 2 2" xfId="31638" xr:uid="{00000000-0005-0000-0000-000065550000}"/>
    <cellStyle name="s 2 6 2_TOM TAT" xfId="23896" xr:uid="{00000000-0005-0000-0000-000066550000}"/>
    <cellStyle name="s 2 6 3" xfId="31637" xr:uid="{00000000-0005-0000-0000-000067550000}"/>
    <cellStyle name="s 2 6_TOM TAT" xfId="12682" xr:uid="{00000000-0005-0000-0000-000068550000}"/>
    <cellStyle name="s 2 7" xfId="12683" xr:uid="{00000000-0005-0000-0000-000069550000}"/>
    <cellStyle name="s 2 7 2" xfId="12684" xr:uid="{00000000-0005-0000-0000-00006A550000}"/>
    <cellStyle name="s 2 7 2 2" xfId="31640" xr:uid="{00000000-0005-0000-0000-00006B550000}"/>
    <cellStyle name="s 2 7 2_TOM TAT" xfId="23897" xr:uid="{00000000-0005-0000-0000-00006C550000}"/>
    <cellStyle name="s 2 7 3" xfId="31639" xr:uid="{00000000-0005-0000-0000-00006D550000}"/>
    <cellStyle name="s 2 7_TOM TAT" xfId="12685" xr:uid="{00000000-0005-0000-0000-00006E550000}"/>
    <cellStyle name="s 2 8" xfId="12686" xr:uid="{00000000-0005-0000-0000-00006F550000}"/>
    <cellStyle name="s 2 8 2" xfId="12687" xr:uid="{00000000-0005-0000-0000-000070550000}"/>
    <cellStyle name="s 2 8 2 2" xfId="31642" xr:uid="{00000000-0005-0000-0000-000071550000}"/>
    <cellStyle name="s 2 8 2_TOM TAT" xfId="23898" xr:uid="{00000000-0005-0000-0000-000072550000}"/>
    <cellStyle name="s 2 8 3" xfId="31641" xr:uid="{00000000-0005-0000-0000-000073550000}"/>
    <cellStyle name="s 2 8_TOM TAT" xfId="12688" xr:uid="{00000000-0005-0000-0000-000074550000}"/>
    <cellStyle name="s 2 9" xfId="12689" xr:uid="{00000000-0005-0000-0000-000075550000}"/>
    <cellStyle name="s 2 9 2" xfId="12690" xr:uid="{00000000-0005-0000-0000-000076550000}"/>
    <cellStyle name="s 2 9 2 2" xfId="31644" xr:uid="{00000000-0005-0000-0000-000077550000}"/>
    <cellStyle name="s 2 9 2_TOM TAT" xfId="23899" xr:uid="{00000000-0005-0000-0000-000078550000}"/>
    <cellStyle name="s 2 9 3" xfId="31643" xr:uid="{00000000-0005-0000-0000-000079550000}"/>
    <cellStyle name="s 2 9_TOM TAT" xfId="12691" xr:uid="{00000000-0005-0000-0000-00007A550000}"/>
    <cellStyle name="s 2_TOM TAT" xfId="12692" xr:uid="{00000000-0005-0000-0000-00007B550000}"/>
    <cellStyle name="S—_x0008_ 2_TOM TAT" xfId="12693" xr:uid="{00000000-0005-0000-0000-00007C550000}"/>
    <cellStyle name="s 2_TOM TAT 2" xfId="12694" xr:uid="{00000000-0005-0000-0000-00007D550000}"/>
    <cellStyle name="S—_x0008_ 2_TOM TAT 2" xfId="12695" xr:uid="{00000000-0005-0000-0000-00007E550000}"/>
    <cellStyle name="s 2_TOM TAT 2_TOM TAT" xfId="23901" xr:uid="{00000000-0005-0000-0000-00007F550000}"/>
    <cellStyle name="S—_x0008_ 2_TOM TAT 2_TOM TAT" xfId="23902" xr:uid="{00000000-0005-0000-0000-000080550000}"/>
    <cellStyle name="s 2_TOM TAT_1" xfId="23883" xr:uid="{00000000-0005-0000-0000-000081550000}"/>
    <cellStyle name="S—_x0008_ 2_TOM TAT_TOM TAT" xfId="23900" xr:uid="{00000000-0005-0000-0000-000082550000}"/>
    <cellStyle name="s 20" xfId="18696" xr:uid="{00000000-0005-0000-0000-000083550000}"/>
    <cellStyle name="s 21" xfId="26995" xr:uid="{00000000-0005-0000-0000-000084550000}"/>
    <cellStyle name="s 22" xfId="14635" xr:uid="{00000000-0005-0000-0000-000085550000}"/>
    <cellStyle name="s 3" xfId="5690" xr:uid="{00000000-0005-0000-0000-000086550000}"/>
    <cellStyle name="S—_x0008_ 3" xfId="5691" xr:uid="{00000000-0005-0000-0000-000087550000}"/>
    <cellStyle name="s 3 2" xfId="12696" xr:uid="{00000000-0005-0000-0000-000088550000}"/>
    <cellStyle name="S—_x0008_ 3 2" xfId="12697" xr:uid="{00000000-0005-0000-0000-000089550000}"/>
    <cellStyle name="s 3 2 2" xfId="31645" xr:uid="{00000000-0005-0000-0000-00008A550000}"/>
    <cellStyle name="s 3 2_TOM TAT" xfId="23904" xr:uid="{00000000-0005-0000-0000-00008B550000}"/>
    <cellStyle name="S—_x0008_ 3 2_TOM TAT" xfId="23905" xr:uid="{00000000-0005-0000-0000-00008C550000}"/>
    <cellStyle name="s 3 3" xfId="18646" xr:uid="{00000000-0005-0000-0000-00008D550000}"/>
    <cellStyle name="s 3 4" xfId="18931" xr:uid="{00000000-0005-0000-0000-00008E550000}"/>
    <cellStyle name="s 3 5" xfId="28306" xr:uid="{00000000-0005-0000-0000-00008F550000}"/>
    <cellStyle name="s 3_TOM TAT" xfId="12698" xr:uid="{00000000-0005-0000-0000-000090550000}"/>
    <cellStyle name="S—_x0008_ 3_TOM TAT" xfId="12699" xr:uid="{00000000-0005-0000-0000-000091550000}"/>
    <cellStyle name="s 3_TOM TAT 2" xfId="12700" xr:uid="{00000000-0005-0000-0000-000092550000}"/>
    <cellStyle name="S—_x0008_ 3_TOM TAT 2" xfId="12701" xr:uid="{00000000-0005-0000-0000-000093550000}"/>
    <cellStyle name="s 3_TOM TAT 2_TOM TAT" xfId="23907" xr:uid="{00000000-0005-0000-0000-000094550000}"/>
    <cellStyle name="S—_x0008_ 3_TOM TAT 2_TOM TAT" xfId="23908" xr:uid="{00000000-0005-0000-0000-000095550000}"/>
    <cellStyle name="s 3_TOM TAT_1" xfId="23903" xr:uid="{00000000-0005-0000-0000-000096550000}"/>
    <cellStyle name="S—_x0008_ 3_TOM TAT_TOM TAT" xfId="23906" xr:uid="{00000000-0005-0000-0000-000097550000}"/>
    <cellStyle name="s 4" xfId="5692" xr:uid="{00000000-0005-0000-0000-000098550000}"/>
    <cellStyle name="S—_x0008_ 4" xfId="12702" xr:uid="{00000000-0005-0000-0000-000099550000}"/>
    <cellStyle name="s 4 2" xfId="12703" xr:uid="{00000000-0005-0000-0000-00009A550000}"/>
    <cellStyle name="S—_x0008_ 4 2" xfId="12704" xr:uid="{00000000-0005-0000-0000-00009B550000}"/>
    <cellStyle name="s 4 2 2" xfId="31646" xr:uid="{00000000-0005-0000-0000-00009C550000}"/>
    <cellStyle name="s 4 2_TOM TAT" xfId="23911" xr:uid="{00000000-0005-0000-0000-00009D550000}"/>
    <cellStyle name="S—_x0008_ 4 2_TOM TAT" xfId="23912" xr:uid="{00000000-0005-0000-0000-00009E550000}"/>
    <cellStyle name="s 4 3" xfId="28307" xr:uid="{00000000-0005-0000-0000-00009F550000}"/>
    <cellStyle name="s 4_TOM TAT" xfId="12705" xr:uid="{00000000-0005-0000-0000-0000A0550000}"/>
    <cellStyle name="S—_x0008_ 4_TOM TAT" xfId="12706" xr:uid="{00000000-0005-0000-0000-0000A1550000}"/>
    <cellStyle name="s 4_TOM TAT 2" xfId="12707" xr:uid="{00000000-0005-0000-0000-0000A2550000}"/>
    <cellStyle name="S—_x0008_ 4_TOM TAT 2" xfId="12708" xr:uid="{00000000-0005-0000-0000-0000A3550000}"/>
    <cellStyle name="s 4_TOM TAT 2_TOM TAT" xfId="23915" xr:uid="{00000000-0005-0000-0000-0000A4550000}"/>
    <cellStyle name="S—_x0008_ 4_TOM TAT 2_TOM TAT" xfId="23916" xr:uid="{00000000-0005-0000-0000-0000A5550000}"/>
    <cellStyle name="s 4_TOM TAT_1" xfId="23909" xr:uid="{00000000-0005-0000-0000-0000A6550000}"/>
    <cellStyle name="S—_x0008_ 4_TOM TAT_1" xfId="23910" xr:uid="{00000000-0005-0000-0000-0000A7550000}"/>
    <cellStyle name="s 4_TOM TAT_TOM TAT" xfId="23913" xr:uid="{00000000-0005-0000-0000-0000A8550000}"/>
    <cellStyle name="S—_x0008_ 4_TOM TAT_TOM TAT" xfId="23914" xr:uid="{00000000-0005-0000-0000-0000A9550000}"/>
    <cellStyle name="s 5" xfId="5693" xr:uid="{00000000-0005-0000-0000-0000AA550000}"/>
    <cellStyle name="S—_x0008_ 5" xfId="12709" xr:uid="{00000000-0005-0000-0000-0000AB550000}"/>
    <cellStyle name="s 5 2" xfId="12710" xr:uid="{00000000-0005-0000-0000-0000AC550000}"/>
    <cellStyle name="S—_x0008_ 5 2" xfId="12711" xr:uid="{00000000-0005-0000-0000-0000AD550000}"/>
    <cellStyle name="s 5 2 2" xfId="31647" xr:uid="{00000000-0005-0000-0000-0000AE550000}"/>
    <cellStyle name="s 5 2_TOM TAT" xfId="23919" xr:uid="{00000000-0005-0000-0000-0000AF550000}"/>
    <cellStyle name="S—_x0008_ 5 2_TOM TAT" xfId="23920" xr:uid="{00000000-0005-0000-0000-0000B0550000}"/>
    <cellStyle name="s 5_TOM TAT" xfId="12712" xr:uid="{00000000-0005-0000-0000-0000B1550000}"/>
    <cellStyle name="S—_x0008_ 5_TOM TAT" xfId="12713" xr:uid="{00000000-0005-0000-0000-0000B2550000}"/>
    <cellStyle name="s 5_TOM TAT 2" xfId="12714" xr:uid="{00000000-0005-0000-0000-0000B3550000}"/>
    <cellStyle name="S—_x0008_ 5_TOM TAT 2" xfId="12715" xr:uid="{00000000-0005-0000-0000-0000B4550000}"/>
    <cellStyle name="s 5_TOM TAT 2_TOM TAT" xfId="23923" xr:uid="{00000000-0005-0000-0000-0000B5550000}"/>
    <cellStyle name="S—_x0008_ 5_TOM TAT 2_TOM TAT" xfId="23924" xr:uid="{00000000-0005-0000-0000-0000B6550000}"/>
    <cellStyle name="s 5_TOM TAT_1" xfId="23917" xr:uid="{00000000-0005-0000-0000-0000B7550000}"/>
    <cellStyle name="S—_x0008_ 5_TOM TAT_1" xfId="23918" xr:uid="{00000000-0005-0000-0000-0000B8550000}"/>
    <cellStyle name="s 5_TOM TAT_TOM TAT" xfId="23921" xr:uid="{00000000-0005-0000-0000-0000B9550000}"/>
    <cellStyle name="S—_x0008_ 5_TOM TAT_TOM TAT" xfId="23922" xr:uid="{00000000-0005-0000-0000-0000BA550000}"/>
    <cellStyle name="s 6" xfId="12716" xr:uid="{00000000-0005-0000-0000-0000BB550000}"/>
    <cellStyle name="S—_x0008_ 6" xfId="12717" xr:uid="{00000000-0005-0000-0000-0000BC550000}"/>
    <cellStyle name="s 6 2" xfId="12718" xr:uid="{00000000-0005-0000-0000-0000BD550000}"/>
    <cellStyle name="S—_x0008_ 6 2" xfId="12719" xr:uid="{00000000-0005-0000-0000-0000BE550000}"/>
    <cellStyle name="s 6 2 2" xfId="31649" xr:uid="{00000000-0005-0000-0000-0000BF550000}"/>
    <cellStyle name="s 6 2_TOM TAT" xfId="23927" xr:uid="{00000000-0005-0000-0000-0000C0550000}"/>
    <cellStyle name="S—_x0008_ 6 2_TOM TAT" xfId="23928" xr:uid="{00000000-0005-0000-0000-0000C1550000}"/>
    <cellStyle name="s 6 3" xfId="31648" xr:uid="{00000000-0005-0000-0000-0000C2550000}"/>
    <cellStyle name="s 6_TOM TAT" xfId="12720" xr:uid="{00000000-0005-0000-0000-0000C3550000}"/>
    <cellStyle name="S—_x0008_ 6_TOM TAT" xfId="12721" xr:uid="{00000000-0005-0000-0000-0000C4550000}"/>
    <cellStyle name="s 6_TOM TAT 2" xfId="12722" xr:uid="{00000000-0005-0000-0000-0000C5550000}"/>
    <cellStyle name="S—_x0008_ 6_TOM TAT 2" xfId="12723" xr:uid="{00000000-0005-0000-0000-0000C6550000}"/>
    <cellStyle name="s 6_TOM TAT 2_TOM TAT" xfId="23931" xr:uid="{00000000-0005-0000-0000-0000C7550000}"/>
    <cellStyle name="S—_x0008_ 6_TOM TAT 2_TOM TAT" xfId="23932" xr:uid="{00000000-0005-0000-0000-0000C8550000}"/>
    <cellStyle name="s 6_TOM TAT_1" xfId="23925" xr:uid="{00000000-0005-0000-0000-0000C9550000}"/>
    <cellStyle name="S—_x0008_ 6_TOM TAT_1" xfId="23926" xr:uid="{00000000-0005-0000-0000-0000CA550000}"/>
    <cellStyle name="s 6_TOM TAT_TOM TAT" xfId="23929" xr:uid="{00000000-0005-0000-0000-0000CB550000}"/>
    <cellStyle name="S—_x0008_ 6_TOM TAT_TOM TAT" xfId="23930" xr:uid="{00000000-0005-0000-0000-0000CC550000}"/>
    <cellStyle name="s 7" xfId="12724" xr:uid="{00000000-0005-0000-0000-0000CD550000}"/>
    <cellStyle name="S—_x0008_ 7" xfId="18236" xr:uid="{00000000-0005-0000-0000-0000CE550000}"/>
    <cellStyle name="s 7 2" xfId="12725" xr:uid="{00000000-0005-0000-0000-0000CF550000}"/>
    <cellStyle name="s 7 2 2" xfId="31651" xr:uid="{00000000-0005-0000-0000-0000D0550000}"/>
    <cellStyle name="s 7 2_TOM TAT" xfId="23935" xr:uid="{00000000-0005-0000-0000-0000D1550000}"/>
    <cellStyle name="s 7 3" xfId="31650" xr:uid="{00000000-0005-0000-0000-0000D2550000}"/>
    <cellStyle name="s 7_TOM TAT" xfId="12726" xr:uid="{00000000-0005-0000-0000-0000D3550000}"/>
    <cellStyle name="S—_x0008_ 7_TOM TAT" xfId="23934" xr:uid="{00000000-0005-0000-0000-0000D4550000}"/>
    <cellStyle name="s 7_TOM TAT_1" xfId="23933" xr:uid="{00000000-0005-0000-0000-0000D5550000}"/>
    <cellStyle name="s 8" xfId="12727" xr:uid="{00000000-0005-0000-0000-0000D6550000}"/>
    <cellStyle name="S—_x0008_ 8" xfId="18697" xr:uid="{00000000-0005-0000-0000-0000D7550000}"/>
    <cellStyle name="s 8 2" xfId="12728" xr:uid="{00000000-0005-0000-0000-0000D8550000}"/>
    <cellStyle name="s 8 2 2" xfId="31653" xr:uid="{00000000-0005-0000-0000-0000D9550000}"/>
    <cellStyle name="s 8 2_TOM TAT" xfId="23938" xr:uid="{00000000-0005-0000-0000-0000DA550000}"/>
    <cellStyle name="s 8 3" xfId="31652" xr:uid="{00000000-0005-0000-0000-0000DB550000}"/>
    <cellStyle name="s 8_TOM TAT" xfId="12729" xr:uid="{00000000-0005-0000-0000-0000DC550000}"/>
    <cellStyle name="S—_x0008_ 8_TOM TAT" xfId="23937" xr:uid="{00000000-0005-0000-0000-0000DD550000}"/>
    <cellStyle name="s 8_TOM TAT_1" xfId="23936" xr:uid="{00000000-0005-0000-0000-0000DE550000}"/>
    <cellStyle name="s 9" xfId="12730" xr:uid="{00000000-0005-0000-0000-0000DF550000}"/>
    <cellStyle name="S—_x0008_ 9" xfId="26996" xr:uid="{00000000-0005-0000-0000-0000E0550000}"/>
    <cellStyle name="s 9 2" xfId="12731" xr:uid="{00000000-0005-0000-0000-0000E1550000}"/>
    <cellStyle name="s 9 2 2" xfId="31655" xr:uid="{00000000-0005-0000-0000-0000E2550000}"/>
    <cellStyle name="s 9 2_TOM TAT" xfId="23939" xr:uid="{00000000-0005-0000-0000-0000E3550000}"/>
    <cellStyle name="s 9 3" xfId="31654" xr:uid="{00000000-0005-0000-0000-0000E4550000}"/>
    <cellStyle name="s 9_TOM TAT" xfId="12732" xr:uid="{00000000-0005-0000-0000-0000E5550000}"/>
    <cellStyle name="s]_x000d__x000a_spooler=yes_x000d__x000a_load=_x000d__x000a_Beep=yes_x000d__x000a_NullPort=None_x000d__x000a_BorderWidth=3_x000d__x000a_CursorBlinkRate=1200_x000d__x000a_DoubleClickSpeed=452_x000d__x000a_Programs=co" xfId="19019" xr:uid="{00000000-0005-0000-0000-0000E6550000}"/>
    <cellStyle name="s_20141211 Tan Mai - Hanh" xfId="12733" xr:uid="{00000000-0005-0000-0000-0000E7550000}"/>
    <cellStyle name="s_20141211 Tan Mai - Hanh 2" xfId="12734" xr:uid="{00000000-0005-0000-0000-0000E8550000}"/>
    <cellStyle name="s_20141211 Tan Mai - Hanh 2 2" xfId="31657" xr:uid="{00000000-0005-0000-0000-0000E9550000}"/>
    <cellStyle name="s_20141211 Tan Mai - Hanh 2_TOM TAT" xfId="23941" xr:uid="{00000000-0005-0000-0000-0000EA550000}"/>
    <cellStyle name="s_20141211 Tan Mai - Hanh 3" xfId="31656" xr:uid="{00000000-0005-0000-0000-0000EB550000}"/>
    <cellStyle name="s_20141211 Tan Mai - Hanh_TOM TAT" xfId="12735" xr:uid="{00000000-0005-0000-0000-0000EC550000}"/>
    <cellStyle name="s_20141211 Tan Mai - Hanh_TOM TAT 2" xfId="12736" xr:uid="{00000000-0005-0000-0000-0000ED550000}"/>
    <cellStyle name="s_20141211 Tan Mai - Hanh_TOM TAT 2_TOM TAT" xfId="23943" xr:uid="{00000000-0005-0000-0000-0000EE550000}"/>
    <cellStyle name="s_20141211 Tan Mai - Hanh_TOM TAT_1" xfId="23940" xr:uid="{00000000-0005-0000-0000-0000EF550000}"/>
    <cellStyle name="s_20141211 Tan Mai - Hanh_TOM TAT_TOM TAT" xfId="23942" xr:uid="{00000000-0005-0000-0000-0000F0550000}"/>
    <cellStyle name="s_TOM TAT" xfId="12737" xr:uid="{00000000-0005-0000-0000-0000F1550000}"/>
    <cellStyle name="S—_x0008__TOM TAT" xfId="12738" xr:uid="{00000000-0005-0000-0000-0000F2550000}"/>
    <cellStyle name="s_TOM TAT 2" xfId="12739" xr:uid="{00000000-0005-0000-0000-0000F3550000}"/>
    <cellStyle name="S—_x0008__TOM TAT 2" xfId="12740" xr:uid="{00000000-0005-0000-0000-0000F4550000}"/>
    <cellStyle name="s_TOM TAT 2_TOM TAT" xfId="23946" xr:uid="{00000000-0005-0000-0000-0000F5550000}"/>
    <cellStyle name="S—_x0008__TOM TAT 2_TOM TAT" xfId="23947" xr:uid="{00000000-0005-0000-0000-0000F6550000}"/>
    <cellStyle name="s_TOM TAT_1" xfId="23873" xr:uid="{00000000-0005-0000-0000-0000F7550000}"/>
    <cellStyle name="S—_x0008__TOM TAT_1" xfId="23874" xr:uid="{00000000-0005-0000-0000-0000F8550000}"/>
    <cellStyle name="s_TOM TAT_TOM TAT" xfId="23944" xr:uid="{00000000-0005-0000-0000-0000F9550000}"/>
    <cellStyle name="S—_x0008__TOM TAT_TOM TAT" xfId="23945" xr:uid="{00000000-0005-0000-0000-0000FA550000}"/>
    <cellStyle name="sbt2" xfId="1426" xr:uid="{00000000-0005-0000-0000-0000FB550000}"/>
    <cellStyle name="sbt2 2" xfId="5694" xr:uid="{00000000-0005-0000-0000-0000FC550000}"/>
    <cellStyle name="sbt2 2 2" xfId="28308" xr:uid="{00000000-0005-0000-0000-0000FD550000}"/>
    <cellStyle name="sbt2 2_TOM TAT" xfId="23948" xr:uid="{00000000-0005-0000-0000-0000FE550000}"/>
    <cellStyle name="sbt2 3" xfId="12741" xr:uid="{00000000-0005-0000-0000-0000FF550000}"/>
    <cellStyle name="sbt2 3 2" xfId="31658" xr:uid="{00000000-0005-0000-0000-000000560000}"/>
    <cellStyle name="sbt2 3 3" xfId="17100" xr:uid="{00000000-0005-0000-0000-000001560000}"/>
    <cellStyle name="sbt2 3_TOM TAT" xfId="23949" xr:uid="{00000000-0005-0000-0000-000002560000}"/>
    <cellStyle name="sbt2 4" xfId="26997" xr:uid="{00000000-0005-0000-0000-000003560000}"/>
    <cellStyle name="sbt2_TOM TAT" xfId="12742" xr:uid="{00000000-0005-0000-0000-000004560000}"/>
    <cellStyle name="shade" xfId="1427" xr:uid="{00000000-0005-0000-0000-000005560000}"/>
    <cellStyle name="shade 2" xfId="12743" xr:uid="{00000000-0005-0000-0000-000006560000}"/>
    <cellStyle name="shade 3" xfId="12744" xr:uid="{00000000-0005-0000-0000-000007560000}"/>
    <cellStyle name="shade_TOM TAT" xfId="12745" xr:uid="{00000000-0005-0000-0000-000008560000}"/>
    <cellStyle name="Sheet Title" xfId="1428" xr:uid="{00000000-0005-0000-0000-000009560000}"/>
    <cellStyle name="Sheet Title 2" xfId="12746" xr:uid="{00000000-0005-0000-0000-00000A560000}"/>
    <cellStyle name="Sheet Title 3" xfId="12747" xr:uid="{00000000-0005-0000-0000-00000B560000}"/>
    <cellStyle name="Sheet Title_TOM TAT" xfId="12748" xr:uid="{00000000-0005-0000-0000-00000C560000}"/>
    <cellStyle name="Sign Here" xfId="19192" xr:uid="{00000000-0005-0000-0000-00000D560000}"/>
    <cellStyle name="Standard_Anpassen der Amortisation" xfId="1429" xr:uid="{00000000-0005-0000-0000-00000E560000}"/>
    <cellStyle name="STEVE" xfId="1430" xr:uid="{00000000-0005-0000-0000-00000F560000}"/>
    <cellStyle name="STEVE 2" xfId="18238" xr:uid="{00000000-0005-0000-0000-000010560000}"/>
    <cellStyle name="STEVE_TOM TAT" xfId="23950" xr:uid="{00000000-0005-0000-0000-000011560000}"/>
    <cellStyle name="steven" xfId="1431" xr:uid="{00000000-0005-0000-0000-000012560000}"/>
    <cellStyle name="steven 2" xfId="18239" xr:uid="{00000000-0005-0000-0000-000013560000}"/>
    <cellStyle name="steven_TOM TAT" xfId="23951" xr:uid="{00000000-0005-0000-0000-000014560000}"/>
    <cellStyle name="Style 1" xfId="1432" xr:uid="{00000000-0005-0000-0000-000015560000}"/>
    <cellStyle name="Style 1 2" xfId="2349" xr:uid="{00000000-0005-0000-0000-000016560000}"/>
    <cellStyle name="Style 1 2 2" xfId="12749" xr:uid="{00000000-0005-0000-0000-000017560000}"/>
    <cellStyle name="Style 1 2_TOM TAT" xfId="12750" xr:uid="{00000000-0005-0000-0000-000018560000}"/>
    <cellStyle name="Style 1 3" xfId="12751" xr:uid="{00000000-0005-0000-0000-000019560000}"/>
    <cellStyle name="Style 1 4" xfId="12752" xr:uid="{00000000-0005-0000-0000-00001A560000}"/>
    <cellStyle name="Style 1 5" xfId="12753" xr:uid="{00000000-0005-0000-0000-00001B560000}"/>
    <cellStyle name="Style 1 6" xfId="18240" xr:uid="{00000000-0005-0000-0000-00001C560000}"/>
    <cellStyle name="Style 1 7" xfId="18699" xr:uid="{00000000-0005-0000-0000-00001D560000}"/>
    <cellStyle name="Style 1_TOM TAT" xfId="12754" xr:uid="{00000000-0005-0000-0000-00001E560000}"/>
    <cellStyle name="Style 10" xfId="1433" xr:uid="{00000000-0005-0000-0000-00001F560000}"/>
    <cellStyle name="Style 10 2" xfId="4461" xr:uid="{00000000-0005-0000-0000-000020560000}"/>
    <cellStyle name="Style 10 3" xfId="18241" xr:uid="{00000000-0005-0000-0000-000021560000}"/>
    <cellStyle name="Style 10_TOM TAT" xfId="12755" xr:uid="{00000000-0005-0000-0000-000022560000}"/>
    <cellStyle name="Style 100" xfId="1434" xr:uid="{00000000-0005-0000-0000-000023560000}"/>
    <cellStyle name="Style 100 2" xfId="4462" xr:uid="{00000000-0005-0000-0000-000024560000}"/>
    <cellStyle name="Style 100 3" xfId="18242" xr:uid="{00000000-0005-0000-0000-000025560000}"/>
    <cellStyle name="Style 100_TOM TAT" xfId="12756" xr:uid="{00000000-0005-0000-0000-000026560000}"/>
    <cellStyle name="Style 101" xfId="1435" xr:uid="{00000000-0005-0000-0000-000027560000}"/>
    <cellStyle name="Style 101 2" xfId="4463" xr:uid="{00000000-0005-0000-0000-000028560000}"/>
    <cellStyle name="Style 101 3" xfId="18243" xr:uid="{00000000-0005-0000-0000-000029560000}"/>
    <cellStyle name="Style 101_TOM TAT" xfId="12757" xr:uid="{00000000-0005-0000-0000-00002A560000}"/>
    <cellStyle name="Style 102" xfId="1436" xr:uid="{00000000-0005-0000-0000-00002B560000}"/>
    <cellStyle name="Style 102 2" xfId="4464" xr:uid="{00000000-0005-0000-0000-00002C560000}"/>
    <cellStyle name="Style 102 3" xfId="18244" xr:uid="{00000000-0005-0000-0000-00002D560000}"/>
    <cellStyle name="Style 102_TOM TAT" xfId="12758" xr:uid="{00000000-0005-0000-0000-00002E560000}"/>
    <cellStyle name="Style 103" xfId="1437" xr:uid="{00000000-0005-0000-0000-00002F560000}"/>
    <cellStyle name="Style 103 2" xfId="4465" xr:uid="{00000000-0005-0000-0000-000030560000}"/>
    <cellStyle name="Style 103 3" xfId="18245" xr:uid="{00000000-0005-0000-0000-000031560000}"/>
    <cellStyle name="Style 103_TOM TAT" xfId="12759" xr:uid="{00000000-0005-0000-0000-000032560000}"/>
    <cellStyle name="Style 104" xfId="1438" xr:uid="{00000000-0005-0000-0000-000033560000}"/>
    <cellStyle name="Style 104 2" xfId="4466" xr:uid="{00000000-0005-0000-0000-000034560000}"/>
    <cellStyle name="Style 104 3" xfId="18246" xr:uid="{00000000-0005-0000-0000-000035560000}"/>
    <cellStyle name="Style 104_TOM TAT" xfId="12760" xr:uid="{00000000-0005-0000-0000-000036560000}"/>
    <cellStyle name="Style 105" xfId="1439" xr:uid="{00000000-0005-0000-0000-000037560000}"/>
    <cellStyle name="Style 105 2" xfId="4467" xr:uid="{00000000-0005-0000-0000-000038560000}"/>
    <cellStyle name="Style 105 3" xfId="18247" xr:uid="{00000000-0005-0000-0000-000039560000}"/>
    <cellStyle name="Style 105_TOM TAT" xfId="12761" xr:uid="{00000000-0005-0000-0000-00003A560000}"/>
    <cellStyle name="Style 106" xfId="1440" xr:uid="{00000000-0005-0000-0000-00003B560000}"/>
    <cellStyle name="Style 106 2" xfId="4468" xr:uid="{00000000-0005-0000-0000-00003C560000}"/>
    <cellStyle name="Style 106 3" xfId="18248" xr:uid="{00000000-0005-0000-0000-00003D560000}"/>
    <cellStyle name="Style 106_TOM TAT" xfId="12762" xr:uid="{00000000-0005-0000-0000-00003E560000}"/>
    <cellStyle name="Style 107" xfId="1441" xr:uid="{00000000-0005-0000-0000-00003F560000}"/>
    <cellStyle name="Style 107 2" xfId="4469" xr:uid="{00000000-0005-0000-0000-000040560000}"/>
    <cellStyle name="Style 107 3" xfId="18249" xr:uid="{00000000-0005-0000-0000-000041560000}"/>
    <cellStyle name="Style 107_TOM TAT" xfId="12763" xr:uid="{00000000-0005-0000-0000-000042560000}"/>
    <cellStyle name="Style 108" xfId="1442" xr:uid="{00000000-0005-0000-0000-000043560000}"/>
    <cellStyle name="Style 108 2" xfId="4470" xr:uid="{00000000-0005-0000-0000-000044560000}"/>
    <cellStyle name="Style 108 3" xfId="18250" xr:uid="{00000000-0005-0000-0000-000045560000}"/>
    <cellStyle name="Style 108_TOM TAT" xfId="12764" xr:uid="{00000000-0005-0000-0000-000046560000}"/>
    <cellStyle name="Style 109" xfId="1443" xr:uid="{00000000-0005-0000-0000-000047560000}"/>
    <cellStyle name="Style 109 2" xfId="4471" xr:uid="{00000000-0005-0000-0000-000048560000}"/>
    <cellStyle name="Style 109 3" xfId="18251" xr:uid="{00000000-0005-0000-0000-000049560000}"/>
    <cellStyle name="Style 109_TOM TAT" xfId="12765" xr:uid="{00000000-0005-0000-0000-00004A560000}"/>
    <cellStyle name="Style 11" xfId="1444" xr:uid="{00000000-0005-0000-0000-00004B560000}"/>
    <cellStyle name="Style 11 2" xfId="4472" xr:uid="{00000000-0005-0000-0000-00004C560000}"/>
    <cellStyle name="Style 11 3" xfId="18252" xr:uid="{00000000-0005-0000-0000-00004D560000}"/>
    <cellStyle name="Style 11_TOM TAT" xfId="12766" xr:uid="{00000000-0005-0000-0000-00004E560000}"/>
    <cellStyle name="Style 110" xfId="1445" xr:uid="{00000000-0005-0000-0000-00004F560000}"/>
    <cellStyle name="Style 110 2" xfId="4473" xr:uid="{00000000-0005-0000-0000-000050560000}"/>
    <cellStyle name="Style 110 3" xfId="18253" xr:uid="{00000000-0005-0000-0000-000051560000}"/>
    <cellStyle name="Style 110_TOM TAT" xfId="12767" xr:uid="{00000000-0005-0000-0000-000052560000}"/>
    <cellStyle name="Style 111" xfId="1446" xr:uid="{00000000-0005-0000-0000-000053560000}"/>
    <cellStyle name="Style 111 2" xfId="4474" xr:uid="{00000000-0005-0000-0000-000054560000}"/>
    <cellStyle name="Style 111 3" xfId="18254" xr:uid="{00000000-0005-0000-0000-000055560000}"/>
    <cellStyle name="Style 111_TOM TAT" xfId="12768" xr:uid="{00000000-0005-0000-0000-000056560000}"/>
    <cellStyle name="Style 112" xfId="1447" xr:uid="{00000000-0005-0000-0000-000057560000}"/>
    <cellStyle name="Style 112 2" xfId="4475" xr:uid="{00000000-0005-0000-0000-000058560000}"/>
    <cellStyle name="Style 112 3" xfId="18255" xr:uid="{00000000-0005-0000-0000-000059560000}"/>
    <cellStyle name="Style 112_TOM TAT" xfId="12769" xr:uid="{00000000-0005-0000-0000-00005A560000}"/>
    <cellStyle name="Style 113" xfId="1448" xr:uid="{00000000-0005-0000-0000-00005B560000}"/>
    <cellStyle name="Style 113 2" xfId="4476" xr:uid="{00000000-0005-0000-0000-00005C560000}"/>
    <cellStyle name="Style 113 3" xfId="18256" xr:uid="{00000000-0005-0000-0000-00005D560000}"/>
    <cellStyle name="Style 113_TOM TAT" xfId="12770" xr:uid="{00000000-0005-0000-0000-00005E560000}"/>
    <cellStyle name="Style 114" xfId="1449" xr:uid="{00000000-0005-0000-0000-00005F560000}"/>
    <cellStyle name="Style 114 2" xfId="4477" xr:uid="{00000000-0005-0000-0000-000060560000}"/>
    <cellStyle name="Style 114 3" xfId="18257" xr:uid="{00000000-0005-0000-0000-000061560000}"/>
    <cellStyle name="Style 114_TOM TAT" xfId="12771" xr:uid="{00000000-0005-0000-0000-000062560000}"/>
    <cellStyle name="Style 115" xfId="1450" xr:uid="{00000000-0005-0000-0000-000063560000}"/>
    <cellStyle name="Style 115 2" xfId="4478" xr:uid="{00000000-0005-0000-0000-000064560000}"/>
    <cellStyle name="Style 115 3" xfId="18258" xr:uid="{00000000-0005-0000-0000-000065560000}"/>
    <cellStyle name="Style 115_TOM TAT" xfId="12772" xr:uid="{00000000-0005-0000-0000-000066560000}"/>
    <cellStyle name="Style 116" xfId="1451" xr:uid="{00000000-0005-0000-0000-000067560000}"/>
    <cellStyle name="Style 116 2" xfId="4479" xr:uid="{00000000-0005-0000-0000-000068560000}"/>
    <cellStyle name="Style 116 3" xfId="18259" xr:uid="{00000000-0005-0000-0000-000069560000}"/>
    <cellStyle name="Style 116_TOM TAT" xfId="12773" xr:uid="{00000000-0005-0000-0000-00006A560000}"/>
    <cellStyle name="Style 117" xfId="1452" xr:uid="{00000000-0005-0000-0000-00006B560000}"/>
    <cellStyle name="Style 117 2" xfId="4480" xr:uid="{00000000-0005-0000-0000-00006C560000}"/>
    <cellStyle name="Style 117 3" xfId="18260" xr:uid="{00000000-0005-0000-0000-00006D560000}"/>
    <cellStyle name="Style 117_TOM TAT" xfId="12774" xr:uid="{00000000-0005-0000-0000-00006E560000}"/>
    <cellStyle name="Style 118" xfId="1453" xr:uid="{00000000-0005-0000-0000-00006F560000}"/>
    <cellStyle name="Style 118 2" xfId="4481" xr:uid="{00000000-0005-0000-0000-000070560000}"/>
    <cellStyle name="Style 118 3" xfId="18261" xr:uid="{00000000-0005-0000-0000-000071560000}"/>
    <cellStyle name="Style 118_TOM TAT" xfId="12775" xr:uid="{00000000-0005-0000-0000-000072560000}"/>
    <cellStyle name="Style 119" xfId="1454" xr:uid="{00000000-0005-0000-0000-000073560000}"/>
    <cellStyle name="Style 119 2" xfId="4482" xr:uid="{00000000-0005-0000-0000-000074560000}"/>
    <cellStyle name="Style 119 3" xfId="18262" xr:uid="{00000000-0005-0000-0000-000075560000}"/>
    <cellStyle name="Style 119_TOM TAT" xfId="12776" xr:uid="{00000000-0005-0000-0000-000076560000}"/>
    <cellStyle name="Style 12" xfId="1455" xr:uid="{00000000-0005-0000-0000-000077560000}"/>
    <cellStyle name="Style 12 2" xfId="4483" xr:uid="{00000000-0005-0000-0000-000078560000}"/>
    <cellStyle name="Style 12 3" xfId="18263" xr:uid="{00000000-0005-0000-0000-000079560000}"/>
    <cellStyle name="Style 12_TOM TAT" xfId="12777" xr:uid="{00000000-0005-0000-0000-00007A560000}"/>
    <cellStyle name="Style 120" xfId="1456" xr:uid="{00000000-0005-0000-0000-00007B560000}"/>
    <cellStyle name="Style 120 2" xfId="4484" xr:uid="{00000000-0005-0000-0000-00007C560000}"/>
    <cellStyle name="Style 120 3" xfId="18264" xr:uid="{00000000-0005-0000-0000-00007D560000}"/>
    <cellStyle name="Style 120_TOM TAT" xfId="12778" xr:uid="{00000000-0005-0000-0000-00007E560000}"/>
    <cellStyle name="Style 121" xfId="1457" xr:uid="{00000000-0005-0000-0000-00007F560000}"/>
    <cellStyle name="Style 121 2" xfId="4485" xr:uid="{00000000-0005-0000-0000-000080560000}"/>
    <cellStyle name="Style 121 3" xfId="18265" xr:uid="{00000000-0005-0000-0000-000081560000}"/>
    <cellStyle name="Style 121_TOM TAT" xfId="12779" xr:uid="{00000000-0005-0000-0000-000082560000}"/>
    <cellStyle name="Style 122" xfId="1458" xr:uid="{00000000-0005-0000-0000-000083560000}"/>
    <cellStyle name="Style 122 2" xfId="4486" xr:uid="{00000000-0005-0000-0000-000084560000}"/>
    <cellStyle name="Style 122 3" xfId="18266" xr:uid="{00000000-0005-0000-0000-000085560000}"/>
    <cellStyle name="Style 122_TOM TAT" xfId="12780" xr:uid="{00000000-0005-0000-0000-000086560000}"/>
    <cellStyle name="Style 123" xfId="1459" xr:uid="{00000000-0005-0000-0000-000087560000}"/>
    <cellStyle name="Style 123 2" xfId="4487" xr:uid="{00000000-0005-0000-0000-000088560000}"/>
    <cellStyle name="Style 123 3" xfId="18267" xr:uid="{00000000-0005-0000-0000-000089560000}"/>
    <cellStyle name="Style 123_TOM TAT" xfId="12781" xr:uid="{00000000-0005-0000-0000-00008A560000}"/>
    <cellStyle name="Style 124" xfId="1460" xr:uid="{00000000-0005-0000-0000-00008B560000}"/>
    <cellStyle name="Style 124 2" xfId="4488" xr:uid="{00000000-0005-0000-0000-00008C560000}"/>
    <cellStyle name="Style 124 3" xfId="18268" xr:uid="{00000000-0005-0000-0000-00008D560000}"/>
    <cellStyle name="Style 124_TOM TAT" xfId="12782" xr:uid="{00000000-0005-0000-0000-00008E560000}"/>
    <cellStyle name="Style 125" xfId="1461" xr:uid="{00000000-0005-0000-0000-00008F560000}"/>
    <cellStyle name="Style 125 2" xfId="4489" xr:uid="{00000000-0005-0000-0000-000090560000}"/>
    <cellStyle name="Style 125 3" xfId="18269" xr:uid="{00000000-0005-0000-0000-000091560000}"/>
    <cellStyle name="Style 125_TOM TAT" xfId="12783" xr:uid="{00000000-0005-0000-0000-000092560000}"/>
    <cellStyle name="Style 126" xfId="1462" xr:uid="{00000000-0005-0000-0000-000093560000}"/>
    <cellStyle name="Style 126 2" xfId="4490" xr:uid="{00000000-0005-0000-0000-000094560000}"/>
    <cellStyle name="Style 126 3" xfId="18270" xr:uid="{00000000-0005-0000-0000-000095560000}"/>
    <cellStyle name="Style 126_TOM TAT" xfId="12784" xr:uid="{00000000-0005-0000-0000-000096560000}"/>
    <cellStyle name="Style 127" xfId="1463" xr:uid="{00000000-0005-0000-0000-000097560000}"/>
    <cellStyle name="Style 127 2" xfId="4491" xr:uid="{00000000-0005-0000-0000-000098560000}"/>
    <cellStyle name="Style 127 3" xfId="18271" xr:uid="{00000000-0005-0000-0000-000099560000}"/>
    <cellStyle name="Style 127_TOM TAT" xfId="12785" xr:uid="{00000000-0005-0000-0000-00009A560000}"/>
    <cellStyle name="Style 128" xfId="1464" xr:uid="{00000000-0005-0000-0000-00009B560000}"/>
    <cellStyle name="Style 128 2" xfId="4492" xr:uid="{00000000-0005-0000-0000-00009C560000}"/>
    <cellStyle name="Style 128 3" xfId="18272" xr:uid="{00000000-0005-0000-0000-00009D560000}"/>
    <cellStyle name="Style 128_TOM TAT" xfId="12786" xr:uid="{00000000-0005-0000-0000-00009E560000}"/>
    <cellStyle name="Style 129" xfId="1465" xr:uid="{00000000-0005-0000-0000-00009F560000}"/>
    <cellStyle name="Style 129 2" xfId="4493" xr:uid="{00000000-0005-0000-0000-0000A0560000}"/>
    <cellStyle name="Style 129 3" xfId="18273" xr:uid="{00000000-0005-0000-0000-0000A1560000}"/>
    <cellStyle name="Style 129_TOM TAT" xfId="12787" xr:uid="{00000000-0005-0000-0000-0000A2560000}"/>
    <cellStyle name="Style 13" xfId="1466" xr:uid="{00000000-0005-0000-0000-0000A3560000}"/>
    <cellStyle name="Style 13 2" xfId="4494" xr:uid="{00000000-0005-0000-0000-0000A4560000}"/>
    <cellStyle name="Style 13 3" xfId="18274" xr:uid="{00000000-0005-0000-0000-0000A5560000}"/>
    <cellStyle name="Style 13_TOM TAT" xfId="12788" xr:uid="{00000000-0005-0000-0000-0000A6560000}"/>
    <cellStyle name="Style 130" xfId="1467" xr:uid="{00000000-0005-0000-0000-0000A7560000}"/>
    <cellStyle name="Style 130 2" xfId="4495" xr:uid="{00000000-0005-0000-0000-0000A8560000}"/>
    <cellStyle name="Style 130 3" xfId="18275" xr:uid="{00000000-0005-0000-0000-0000A9560000}"/>
    <cellStyle name="Style 130_TOM TAT" xfId="12789" xr:uid="{00000000-0005-0000-0000-0000AA560000}"/>
    <cellStyle name="Style 131" xfId="1468" xr:uid="{00000000-0005-0000-0000-0000AB560000}"/>
    <cellStyle name="Style 131 2" xfId="4496" xr:uid="{00000000-0005-0000-0000-0000AC560000}"/>
    <cellStyle name="Style 131 3" xfId="18276" xr:uid="{00000000-0005-0000-0000-0000AD560000}"/>
    <cellStyle name="Style 131_TOM TAT" xfId="12790" xr:uid="{00000000-0005-0000-0000-0000AE560000}"/>
    <cellStyle name="Style 132" xfId="1469" xr:uid="{00000000-0005-0000-0000-0000AF560000}"/>
    <cellStyle name="Style 132 2" xfId="4497" xr:uid="{00000000-0005-0000-0000-0000B0560000}"/>
    <cellStyle name="Style 132 3" xfId="18277" xr:uid="{00000000-0005-0000-0000-0000B1560000}"/>
    <cellStyle name="Style 132_TOM TAT" xfId="12791" xr:uid="{00000000-0005-0000-0000-0000B2560000}"/>
    <cellStyle name="Style 133" xfId="1470" xr:uid="{00000000-0005-0000-0000-0000B3560000}"/>
    <cellStyle name="Style 133 2" xfId="4498" xr:uid="{00000000-0005-0000-0000-0000B4560000}"/>
    <cellStyle name="Style 133 3" xfId="18278" xr:uid="{00000000-0005-0000-0000-0000B5560000}"/>
    <cellStyle name="Style 133_TOM TAT" xfId="12792" xr:uid="{00000000-0005-0000-0000-0000B6560000}"/>
    <cellStyle name="Style 134" xfId="1471" xr:uid="{00000000-0005-0000-0000-0000B7560000}"/>
    <cellStyle name="Style 134 2" xfId="4499" xr:uid="{00000000-0005-0000-0000-0000B8560000}"/>
    <cellStyle name="Style 134 3" xfId="18279" xr:uid="{00000000-0005-0000-0000-0000B9560000}"/>
    <cellStyle name="Style 134_TOM TAT" xfId="12793" xr:uid="{00000000-0005-0000-0000-0000BA560000}"/>
    <cellStyle name="Style 135" xfId="1472" xr:uid="{00000000-0005-0000-0000-0000BB560000}"/>
    <cellStyle name="Style 135 2" xfId="4500" xr:uid="{00000000-0005-0000-0000-0000BC560000}"/>
    <cellStyle name="Style 135 3" xfId="18280" xr:uid="{00000000-0005-0000-0000-0000BD560000}"/>
    <cellStyle name="Style 135_TOM TAT" xfId="12794" xr:uid="{00000000-0005-0000-0000-0000BE560000}"/>
    <cellStyle name="Style 136" xfId="1473" xr:uid="{00000000-0005-0000-0000-0000BF560000}"/>
    <cellStyle name="Style 136 2" xfId="4501" xr:uid="{00000000-0005-0000-0000-0000C0560000}"/>
    <cellStyle name="Style 136 3" xfId="18281" xr:uid="{00000000-0005-0000-0000-0000C1560000}"/>
    <cellStyle name="Style 136_TOM TAT" xfId="12795" xr:uid="{00000000-0005-0000-0000-0000C2560000}"/>
    <cellStyle name="Style 137" xfId="1474" xr:uid="{00000000-0005-0000-0000-0000C3560000}"/>
    <cellStyle name="Style 137 2" xfId="4502" xr:uid="{00000000-0005-0000-0000-0000C4560000}"/>
    <cellStyle name="Style 137 3" xfId="18282" xr:uid="{00000000-0005-0000-0000-0000C5560000}"/>
    <cellStyle name="Style 137_TOM TAT" xfId="12796" xr:uid="{00000000-0005-0000-0000-0000C6560000}"/>
    <cellStyle name="Style 138" xfId="1475" xr:uid="{00000000-0005-0000-0000-0000C7560000}"/>
    <cellStyle name="Style 138 2" xfId="4503" xr:uid="{00000000-0005-0000-0000-0000C8560000}"/>
    <cellStyle name="Style 138 3" xfId="18283" xr:uid="{00000000-0005-0000-0000-0000C9560000}"/>
    <cellStyle name="Style 138_TOM TAT" xfId="12797" xr:uid="{00000000-0005-0000-0000-0000CA560000}"/>
    <cellStyle name="Style 139" xfId="1476" xr:uid="{00000000-0005-0000-0000-0000CB560000}"/>
    <cellStyle name="Style 139 2" xfId="4504" xr:uid="{00000000-0005-0000-0000-0000CC560000}"/>
    <cellStyle name="Style 139 3" xfId="18284" xr:uid="{00000000-0005-0000-0000-0000CD560000}"/>
    <cellStyle name="Style 139_TOM TAT" xfId="12798" xr:uid="{00000000-0005-0000-0000-0000CE560000}"/>
    <cellStyle name="Style 14" xfId="1477" xr:uid="{00000000-0005-0000-0000-0000CF560000}"/>
    <cellStyle name="Style 14 2" xfId="4505" xr:uid="{00000000-0005-0000-0000-0000D0560000}"/>
    <cellStyle name="Style 14 3" xfId="18285" xr:uid="{00000000-0005-0000-0000-0000D1560000}"/>
    <cellStyle name="Style 14_TOM TAT" xfId="12799" xr:uid="{00000000-0005-0000-0000-0000D2560000}"/>
    <cellStyle name="Style 140" xfId="1478" xr:uid="{00000000-0005-0000-0000-0000D3560000}"/>
    <cellStyle name="Style 140 2" xfId="4506" xr:uid="{00000000-0005-0000-0000-0000D4560000}"/>
    <cellStyle name="Style 140 3" xfId="18286" xr:uid="{00000000-0005-0000-0000-0000D5560000}"/>
    <cellStyle name="Style 140_TOM TAT" xfId="12800" xr:uid="{00000000-0005-0000-0000-0000D6560000}"/>
    <cellStyle name="Style 141" xfId="1479" xr:uid="{00000000-0005-0000-0000-0000D7560000}"/>
    <cellStyle name="Style 141 2" xfId="4507" xr:uid="{00000000-0005-0000-0000-0000D8560000}"/>
    <cellStyle name="Style 141 3" xfId="18287" xr:uid="{00000000-0005-0000-0000-0000D9560000}"/>
    <cellStyle name="Style 141_TOM TAT" xfId="12801" xr:uid="{00000000-0005-0000-0000-0000DA560000}"/>
    <cellStyle name="Style 142" xfId="1480" xr:uid="{00000000-0005-0000-0000-0000DB560000}"/>
    <cellStyle name="Style 142 2" xfId="4508" xr:uid="{00000000-0005-0000-0000-0000DC560000}"/>
    <cellStyle name="Style 142 3" xfId="18288" xr:uid="{00000000-0005-0000-0000-0000DD560000}"/>
    <cellStyle name="Style 142_TOM TAT" xfId="12802" xr:uid="{00000000-0005-0000-0000-0000DE560000}"/>
    <cellStyle name="Style 143" xfId="1481" xr:uid="{00000000-0005-0000-0000-0000DF560000}"/>
    <cellStyle name="Style 143 2" xfId="4509" xr:uid="{00000000-0005-0000-0000-0000E0560000}"/>
    <cellStyle name="Style 143 3" xfId="18289" xr:uid="{00000000-0005-0000-0000-0000E1560000}"/>
    <cellStyle name="Style 143_TOM TAT" xfId="12803" xr:uid="{00000000-0005-0000-0000-0000E2560000}"/>
    <cellStyle name="Style 144" xfId="1482" xr:uid="{00000000-0005-0000-0000-0000E3560000}"/>
    <cellStyle name="Style 144 2" xfId="4510" xr:uid="{00000000-0005-0000-0000-0000E4560000}"/>
    <cellStyle name="Style 144 3" xfId="18290" xr:uid="{00000000-0005-0000-0000-0000E5560000}"/>
    <cellStyle name="Style 144_TOM TAT" xfId="12804" xr:uid="{00000000-0005-0000-0000-0000E6560000}"/>
    <cellStyle name="Style 145" xfId="1483" xr:uid="{00000000-0005-0000-0000-0000E7560000}"/>
    <cellStyle name="Style 145 2" xfId="4511" xr:uid="{00000000-0005-0000-0000-0000E8560000}"/>
    <cellStyle name="Style 145 3" xfId="18291" xr:uid="{00000000-0005-0000-0000-0000E9560000}"/>
    <cellStyle name="Style 145_TOM TAT" xfId="12805" xr:uid="{00000000-0005-0000-0000-0000EA560000}"/>
    <cellStyle name="Style 146" xfId="1484" xr:uid="{00000000-0005-0000-0000-0000EB560000}"/>
    <cellStyle name="Style 146 2" xfId="4512" xr:uid="{00000000-0005-0000-0000-0000EC560000}"/>
    <cellStyle name="Style 146 3" xfId="18292" xr:uid="{00000000-0005-0000-0000-0000ED560000}"/>
    <cellStyle name="Style 146_TOM TAT" xfId="12806" xr:uid="{00000000-0005-0000-0000-0000EE560000}"/>
    <cellStyle name="Style 147" xfId="1485" xr:uid="{00000000-0005-0000-0000-0000EF560000}"/>
    <cellStyle name="Style 147 2" xfId="4513" xr:uid="{00000000-0005-0000-0000-0000F0560000}"/>
    <cellStyle name="Style 147 3" xfId="18293" xr:uid="{00000000-0005-0000-0000-0000F1560000}"/>
    <cellStyle name="Style 147_TOM TAT" xfId="12807" xr:uid="{00000000-0005-0000-0000-0000F2560000}"/>
    <cellStyle name="Style 148" xfId="1486" xr:uid="{00000000-0005-0000-0000-0000F3560000}"/>
    <cellStyle name="Style 148 2" xfId="4514" xr:uid="{00000000-0005-0000-0000-0000F4560000}"/>
    <cellStyle name="Style 148 3" xfId="18294" xr:uid="{00000000-0005-0000-0000-0000F5560000}"/>
    <cellStyle name="Style 148_TOM TAT" xfId="12808" xr:uid="{00000000-0005-0000-0000-0000F6560000}"/>
    <cellStyle name="Style 149" xfId="1487" xr:uid="{00000000-0005-0000-0000-0000F7560000}"/>
    <cellStyle name="Style 149 2" xfId="4515" xr:uid="{00000000-0005-0000-0000-0000F8560000}"/>
    <cellStyle name="Style 149 3" xfId="18295" xr:uid="{00000000-0005-0000-0000-0000F9560000}"/>
    <cellStyle name="Style 149_TOM TAT" xfId="12809" xr:uid="{00000000-0005-0000-0000-0000FA560000}"/>
    <cellStyle name="Style 15" xfId="1488" xr:uid="{00000000-0005-0000-0000-0000FB560000}"/>
    <cellStyle name="Style 15 2" xfId="4516" xr:uid="{00000000-0005-0000-0000-0000FC560000}"/>
    <cellStyle name="Style 15 3" xfId="18296" xr:uid="{00000000-0005-0000-0000-0000FD560000}"/>
    <cellStyle name="Style 15_TOM TAT" xfId="12810" xr:uid="{00000000-0005-0000-0000-0000FE560000}"/>
    <cellStyle name="Style 150" xfId="1489" xr:uid="{00000000-0005-0000-0000-0000FF560000}"/>
    <cellStyle name="Style 150 2" xfId="4517" xr:uid="{00000000-0005-0000-0000-000000570000}"/>
    <cellStyle name="Style 150 3" xfId="18297" xr:uid="{00000000-0005-0000-0000-000001570000}"/>
    <cellStyle name="Style 150_TOM TAT" xfId="12811" xr:uid="{00000000-0005-0000-0000-000002570000}"/>
    <cellStyle name="Style 151" xfId="1490" xr:uid="{00000000-0005-0000-0000-000003570000}"/>
    <cellStyle name="Style 151 2" xfId="4518" xr:uid="{00000000-0005-0000-0000-000004570000}"/>
    <cellStyle name="Style 151 3" xfId="18298" xr:uid="{00000000-0005-0000-0000-000005570000}"/>
    <cellStyle name="Style 151_TOM TAT" xfId="12812" xr:uid="{00000000-0005-0000-0000-000006570000}"/>
    <cellStyle name="Style 152" xfId="1491" xr:uid="{00000000-0005-0000-0000-000007570000}"/>
    <cellStyle name="Style 152 2" xfId="4519" xr:uid="{00000000-0005-0000-0000-000008570000}"/>
    <cellStyle name="Style 152 3" xfId="18299" xr:uid="{00000000-0005-0000-0000-000009570000}"/>
    <cellStyle name="Style 152_TOM TAT" xfId="12813" xr:uid="{00000000-0005-0000-0000-00000A570000}"/>
    <cellStyle name="Style 153" xfId="1492" xr:uid="{00000000-0005-0000-0000-00000B570000}"/>
    <cellStyle name="Style 153 2" xfId="4520" xr:uid="{00000000-0005-0000-0000-00000C570000}"/>
    <cellStyle name="Style 153 3" xfId="18300" xr:uid="{00000000-0005-0000-0000-00000D570000}"/>
    <cellStyle name="Style 153_TOM TAT" xfId="12814" xr:uid="{00000000-0005-0000-0000-00000E570000}"/>
    <cellStyle name="Style 154" xfId="1493" xr:uid="{00000000-0005-0000-0000-00000F570000}"/>
    <cellStyle name="Style 154 2" xfId="4521" xr:uid="{00000000-0005-0000-0000-000010570000}"/>
    <cellStyle name="Style 154 3" xfId="18301" xr:uid="{00000000-0005-0000-0000-000011570000}"/>
    <cellStyle name="Style 154_TOM TAT" xfId="12815" xr:uid="{00000000-0005-0000-0000-000012570000}"/>
    <cellStyle name="Style 155" xfId="1494" xr:uid="{00000000-0005-0000-0000-000013570000}"/>
    <cellStyle name="Style 155 2" xfId="4522" xr:uid="{00000000-0005-0000-0000-000014570000}"/>
    <cellStyle name="Style 155 3" xfId="18302" xr:uid="{00000000-0005-0000-0000-000015570000}"/>
    <cellStyle name="Style 155_TOM TAT" xfId="12816" xr:uid="{00000000-0005-0000-0000-000016570000}"/>
    <cellStyle name="Style 156" xfId="1495" xr:uid="{00000000-0005-0000-0000-000017570000}"/>
    <cellStyle name="Style 156 2" xfId="4523" xr:uid="{00000000-0005-0000-0000-000018570000}"/>
    <cellStyle name="Style 156 3" xfId="18303" xr:uid="{00000000-0005-0000-0000-000019570000}"/>
    <cellStyle name="Style 156_TOM TAT" xfId="12817" xr:uid="{00000000-0005-0000-0000-00001A570000}"/>
    <cellStyle name="Style 157" xfId="1496" xr:uid="{00000000-0005-0000-0000-00001B570000}"/>
    <cellStyle name="Style 157 2" xfId="4524" xr:uid="{00000000-0005-0000-0000-00001C570000}"/>
    <cellStyle name="Style 157 3" xfId="18304" xr:uid="{00000000-0005-0000-0000-00001D570000}"/>
    <cellStyle name="Style 157_TOM TAT" xfId="12818" xr:uid="{00000000-0005-0000-0000-00001E570000}"/>
    <cellStyle name="Style 158" xfId="1497" xr:uid="{00000000-0005-0000-0000-00001F570000}"/>
    <cellStyle name="Style 158 2" xfId="4525" xr:uid="{00000000-0005-0000-0000-000020570000}"/>
    <cellStyle name="Style 158 3" xfId="18305" xr:uid="{00000000-0005-0000-0000-000021570000}"/>
    <cellStyle name="Style 158_TOM TAT" xfId="12819" xr:uid="{00000000-0005-0000-0000-000022570000}"/>
    <cellStyle name="Style 159" xfId="1498" xr:uid="{00000000-0005-0000-0000-000023570000}"/>
    <cellStyle name="Style 159 2" xfId="4526" xr:uid="{00000000-0005-0000-0000-000024570000}"/>
    <cellStyle name="Style 159 3" xfId="18306" xr:uid="{00000000-0005-0000-0000-000025570000}"/>
    <cellStyle name="Style 159_TOM TAT" xfId="12820" xr:uid="{00000000-0005-0000-0000-000026570000}"/>
    <cellStyle name="Style 16" xfId="1499" xr:uid="{00000000-0005-0000-0000-000027570000}"/>
    <cellStyle name="Style 16 2" xfId="4527" xr:uid="{00000000-0005-0000-0000-000028570000}"/>
    <cellStyle name="Style 16 3" xfId="18307" xr:uid="{00000000-0005-0000-0000-000029570000}"/>
    <cellStyle name="Style 16_TOM TAT" xfId="12821" xr:uid="{00000000-0005-0000-0000-00002A570000}"/>
    <cellStyle name="Style 160" xfId="1500" xr:uid="{00000000-0005-0000-0000-00002B570000}"/>
    <cellStyle name="Style 160 2" xfId="4528" xr:uid="{00000000-0005-0000-0000-00002C570000}"/>
    <cellStyle name="Style 160 3" xfId="18308" xr:uid="{00000000-0005-0000-0000-00002D570000}"/>
    <cellStyle name="Style 160_TOM TAT" xfId="12822" xr:uid="{00000000-0005-0000-0000-00002E570000}"/>
    <cellStyle name="Style 161" xfId="1501" xr:uid="{00000000-0005-0000-0000-00002F570000}"/>
    <cellStyle name="Style 161 2" xfId="4529" xr:uid="{00000000-0005-0000-0000-000030570000}"/>
    <cellStyle name="Style 161 3" xfId="18309" xr:uid="{00000000-0005-0000-0000-000031570000}"/>
    <cellStyle name="Style 161_TOM TAT" xfId="12823" xr:uid="{00000000-0005-0000-0000-000032570000}"/>
    <cellStyle name="Style 162" xfId="1502" xr:uid="{00000000-0005-0000-0000-000033570000}"/>
    <cellStyle name="Style 162 2" xfId="4530" xr:uid="{00000000-0005-0000-0000-000034570000}"/>
    <cellStyle name="Style 162 3" xfId="18310" xr:uid="{00000000-0005-0000-0000-000035570000}"/>
    <cellStyle name="Style 162_TOM TAT" xfId="12824" xr:uid="{00000000-0005-0000-0000-000036570000}"/>
    <cellStyle name="Style 163" xfId="1503" xr:uid="{00000000-0005-0000-0000-000037570000}"/>
    <cellStyle name="Style 163 2" xfId="4531" xr:uid="{00000000-0005-0000-0000-000038570000}"/>
    <cellStyle name="Style 163 3" xfId="18311" xr:uid="{00000000-0005-0000-0000-000039570000}"/>
    <cellStyle name="Style 163_TOM TAT" xfId="12825" xr:uid="{00000000-0005-0000-0000-00003A570000}"/>
    <cellStyle name="Style 164" xfId="1504" xr:uid="{00000000-0005-0000-0000-00003B570000}"/>
    <cellStyle name="Style 164 2" xfId="4532" xr:uid="{00000000-0005-0000-0000-00003C570000}"/>
    <cellStyle name="Style 164 3" xfId="18312" xr:uid="{00000000-0005-0000-0000-00003D570000}"/>
    <cellStyle name="Style 164_TOM TAT" xfId="12826" xr:uid="{00000000-0005-0000-0000-00003E570000}"/>
    <cellStyle name="Style 165" xfId="1505" xr:uid="{00000000-0005-0000-0000-00003F570000}"/>
    <cellStyle name="Style 165 2" xfId="4533" xr:uid="{00000000-0005-0000-0000-000040570000}"/>
    <cellStyle name="Style 165 3" xfId="18313" xr:uid="{00000000-0005-0000-0000-000041570000}"/>
    <cellStyle name="Style 165_TOM TAT" xfId="12827" xr:uid="{00000000-0005-0000-0000-000042570000}"/>
    <cellStyle name="Style 166" xfId="1506" xr:uid="{00000000-0005-0000-0000-000043570000}"/>
    <cellStyle name="Style 166 2" xfId="4534" xr:uid="{00000000-0005-0000-0000-000044570000}"/>
    <cellStyle name="Style 166 3" xfId="18314" xr:uid="{00000000-0005-0000-0000-000045570000}"/>
    <cellStyle name="Style 166_TOM TAT" xfId="12828" xr:uid="{00000000-0005-0000-0000-000046570000}"/>
    <cellStyle name="Style 167" xfId="1507" xr:uid="{00000000-0005-0000-0000-000047570000}"/>
    <cellStyle name="Style 167 2" xfId="4535" xr:uid="{00000000-0005-0000-0000-000048570000}"/>
    <cellStyle name="Style 167 3" xfId="18315" xr:uid="{00000000-0005-0000-0000-000049570000}"/>
    <cellStyle name="Style 167_TOM TAT" xfId="12829" xr:uid="{00000000-0005-0000-0000-00004A570000}"/>
    <cellStyle name="Style 168" xfId="1508" xr:uid="{00000000-0005-0000-0000-00004B570000}"/>
    <cellStyle name="Style 168 2" xfId="4536" xr:uid="{00000000-0005-0000-0000-00004C570000}"/>
    <cellStyle name="Style 168 3" xfId="18316" xr:uid="{00000000-0005-0000-0000-00004D570000}"/>
    <cellStyle name="Style 168_TOM TAT" xfId="12830" xr:uid="{00000000-0005-0000-0000-00004E570000}"/>
    <cellStyle name="Style 169" xfId="1509" xr:uid="{00000000-0005-0000-0000-00004F570000}"/>
    <cellStyle name="Style 169 2" xfId="4537" xr:uid="{00000000-0005-0000-0000-000050570000}"/>
    <cellStyle name="Style 169 3" xfId="18317" xr:uid="{00000000-0005-0000-0000-000051570000}"/>
    <cellStyle name="Style 169_TOM TAT" xfId="12831" xr:uid="{00000000-0005-0000-0000-000052570000}"/>
    <cellStyle name="Style 17" xfId="1510" xr:uid="{00000000-0005-0000-0000-000053570000}"/>
    <cellStyle name="Style 17 2" xfId="4538" xr:uid="{00000000-0005-0000-0000-000054570000}"/>
    <cellStyle name="Style 17 3" xfId="18318" xr:uid="{00000000-0005-0000-0000-000055570000}"/>
    <cellStyle name="Style 17_TOM TAT" xfId="12832" xr:uid="{00000000-0005-0000-0000-000056570000}"/>
    <cellStyle name="Style 170" xfId="1511" xr:uid="{00000000-0005-0000-0000-000057570000}"/>
    <cellStyle name="Style 170 2" xfId="4539" xr:uid="{00000000-0005-0000-0000-000058570000}"/>
    <cellStyle name="Style 170 3" xfId="18319" xr:uid="{00000000-0005-0000-0000-000059570000}"/>
    <cellStyle name="Style 170_TOM TAT" xfId="12833" xr:uid="{00000000-0005-0000-0000-00005A570000}"/>
    <cellStyle name="Style 171" xfId="1512" xr:uid="{00000000-0005-0000-0000-00005B570000}"/>
    <cellStyle name="Style 171 2" xfId="4540" xr:uid="{00000000-0005-0000-0000-00005C570000}"/>
    <cellStyle name="Style 171 3" xfId="18320" xr:uid="{00000000-0005-0000-0000-00005D570000}"/>
    <cellStyle name="Style 171_TOM TAT" xfId="12834" xr:uid="{00000000-0005-0000-0000-00005E570000}"/>
    <cellStyle name="Style 172" xfId="1513" xr:uid="{00000000-0005-0000-0000-00005F570000}"/>
    <cellStyle name="Style 172 2" xfId="4541" xr:uid="{00000000-0005-0000-0000-000060570000}"/>
    <cellStyle name="Style 172 3" xfId="18321" xr:uid="{00000000-0005-0000-0000-000061570000}"/>
    <cellStyle name="Style 172_TOM TAT" xfId="12835" xr:uid="{00000000-0005-0000-0000-000062570000}"/>
    <cellStyle name="Style 173" xfId="1514" xr:uid="{00000000-0005-0000-0000-000063570000}"/>
    <cellStyle name="Style 173 2" xfId="4542" xr:uid="{00000000-0005-0000-0000-000064570000}"/>
    <cellStyle name="Style 173 3" xfId="18322" xr:uid="{00000000-0005-0000-0000-000065570000}"/>
    <cellStyle name="Style 173_TOM TAT" xfId="12836" xr:uid="{00000000-0005-0000-0000-000066570000}"/>
    <cellStyle name="Style 174" xfId="1515" xr:uid="{00000000-0005-0000-0000-000067570000}"/>
    <cellStyle name="Style 174 2" xfId="4543" xr:uid="{00000000-0005-0000-0000-000068570000}"/>
    <cellStyle name="Style 174 3" xfId="18323" xr:uid="{00000000-0005-0000-0000-000069570000}"/>
    <cellStyle name="Style 174_TOM TAT" xfId="12837" xr:uid="{00000000-0005-0000-0000-00006A570000}"/>
    <cellStyle name="Style 175" xfId="1516" xr:uid="{00000000-0005-0000-0000-00006B570000}"/>
    <cellStyle name="Style 175 2" xfId="4544" xr:uid="{00000000-0005-0000-0000-00006C570000}"/>
    <cellStyle name="Style 175 3" xfId="18324" xr:uid="{00000000-0005-0000-0000-00006D570000}"/>
    <cellStyle name="Style 175_TOM TAT" xfId="12838" xr:uid="{00000000-0005-0000-0000-00006E570000}"/>
    <cellStyle name="Style 176" xfId="1517" xr:uid="{00000000-0005-0000-0000-00006F570000}"/>
    <cellStyle name="Style 176 2" xfId="4545" xr:uid="{00000000-0005-0000-0000-000070570000}"/>
    <cellStyle name="Style 176 3" xfId="18325" xr:uid="{00000000-0005-0000-0000-000071570000}"/>
    <cellStyle name="Style 176_TOM TAT" xfId="12839" xr:uid="{00000000-0005-0000-0000-000072570000}"/>
    <cellStyle name="Style 177" xfId="1518" xr:uid="{00000000-0005-0000-0000-000073570000}"/>
    <cellStyle name="Style 177 2" xfId="4546" xr:uid="{00000000-0005-0000-0000-000074570000}"/>
    <cellStyle name="Style 177 3" xfId="18326" xr:uid="{00000000-0005-0000-0000-000075570000}"/>
    <cellStyle name="Style 177_TOM TAT" xfId="12840" xr:uid="{00000000-0005-0000-0000-000076570000}"/>
    <cellStyle name="Style 178" xfId="1519" xr:uid="{00000000-0005-0000-0000-000077570000}"/>
    <cellStyle name="Style 178 2" xfId="4547" xr:uid="{00000000-0005-0000-0000-000078570000}"/>
    <cellStyle name="Style 178 3" xfId="18327" xr:uid="{00000000-0005-0000-0000-000079570000}"/>
    <cellStyle name="Style 178_TOM TAT" xfId="12841" xr:uid="{00000000-0005-0000-0000-00007A570000}"/>
    <cellStyle name="Style 179" xfId="1520" xr:uid="{00000000-0005-0000-0000-00007B570000}"/>
    <cellStyle name="Style 179 2" xfId="4548" xr:uid="{00000000-0005-0000-0000-00007C570000}"/>
    <cellStyle name="Style 179 3" xfId="18328" xr:uid="{00000000-0005-0000-0000-00007D570000}"/>
    <cellStyle name="Style 179_TOM TAT" xfId="12842" xr:uid="{00000000-0005-0000-0000-00007E570000}"/>
    <cellStyle name="Style 18" xfId="1521" xr:uid="{00000000-0005-0000-0000-00007F570000}"/>
    <cellStyle name="Style 18 2" xfId="4549" xr:uid="{00000000-0005-0000-0000-000080570000}"/>
    <cellStyle name="Style 18 3" xfId="18329" xr:uid="{00000000-0005-0000-0000-000081570000}"/>
    <cellStyle name="Style 18_TOM TAT" xfId="12843" xr:uid="{00000000-0005-0000-0000-000082570000}"/>
    <cellStyle name="Style 180" xfId="1522" xr:uid="{00000000-0005-0000-0000-000083570000}"/>
    <cellStyle name="Style 180 2" xfId="4550" xr:uid="{00000000-0005-0000-0000-000084570000}"/>
    <cellStyle name="Style 180 3" xfId="18330" xr:uid="{00000000-0005-0000-0000-000085570000}"/>
    <cellStyle name="Style 180_TOM TAT" xfId="12844" xr:uid="{00000000-0005-0000-0000-000086570000}"/>
    <cellStyle name="Style 181" xfId="1523" xr:uid="{00000000-0005-0000-0000-000087570000}"/>
    <cellStyle name="Style 181 2" xfId="4551" xr:uid="{00000000-0005-0000-0000-000088570000}"/>
    <cellStyle name="Style 181 3" xfId="18331" xr:uid="{00000000-0005-0000-0000-000089570000}"/>
    <cellStyle name="Style 181_TOM TAT" xfId="12845" xr:uid="{00000000-0005-0000-0000-00008A570000}"/>
    <cellStyle name="Style 182" xfId="1524" xr:uid="{00000000-0005-0000-0000-00008B570000}"/>
    <cellStyle name="Style 182 2" xfId="4552" xr:uid="{00000000-0005-0000-0000-00008C570000}"/>
    <cellStyle name="Style 182 3" xfId="18332" xr:uid="{00000000-0005-0000-0000-00008D570000}"/>
    <cellStyle name="Style 182_TOM TAT" xfId="12846" xr:uid="{00000000-0005-0000-0000-00008E570000}"/>
    <cellStyle name="Style 183" xfId="1525" xr:uid="{00000000-0005-0000-0000-00008F570000}"/>
    <cellStyle name="Style 183 2" xfId="4553" xr:uid="{00000000-0005-0000-0000-000090570000}"/>
    <cellStyle name="Style 183 3" xfId="18333" xr:uid="{00000000-0005-0000-0000-000091570000}"/>
    <cellStyle name="Style 183_TOM TAT" xfId="12847" xr:uid="{00000000-0005-0000-0000-000092570000}"/>
    <cellStyle name="Style 184" xfId="1526" xr:uid="{00000000-0005-0000-0000-000093570000}"/>
    <cellStyle name="Style 184 2" xfId="4554" xr:uid="{00000000-0005-0000-0000-000094570000}"/>
    <cellStyle name="Style 184 3" xfId="18334" xr:uid="{00000000-0005-0000-0000-000095570000}"/>
    <cellStyle name="Style 184_TOM TAT" xfId="12848" xr:uid="{00000000-0005-0000-0000-000096570000}"/>
    <cellStyle name="Style 185" xfId="1527" xr:uid="{00000000-0005-0000-0000-000097570000}"/>
    <cellStyle name="Style 185 2" xfId="4555" xr:uid="{00000000-0005-0000-0000-000098570000}"/>
    <cellStyle name="Style 185 3" xfId="18335" xr:uid="{00000000-0005-0000-0000-000099570000}"/>
    <cellStyle name="Style 185_TOM TAT" xfId="12849" xr:uid="{00000000-0005-0000-0000-00009A570000}"/>
    <cellStyle name="Style 186" xfId="1528" xr:uid="{00000000-0005-0000-0000-00009B570000}"/>
    <cellStyle name="Style 186 2" xfId="4556" xr:uid="{00000000-0005-0000-0000-00009C570000}"/>
    <cellStyle name="Style 186 3" xfId="18336" xr:uid="{00000000-0005-0000-0000-00009D570000}"/>
    <cellStyle name="Style 186_TOM TAT" xfId="12850" xr:uid="{00000000-0005-0000-0000-00009E570000}"/>
    <cellStyle name="Style 187" xfId="1529" xr:uid="{00000000-0005-0000-0000-00009F570000}"/>
    <cellStyle name="Style 187 2" xfId="4557" xr:uid="{00000000-0005-0000-0000-0000A0570000}"/>
    <cellStyle name="Style 187 3" xfId="18337" xr:uid="{00000000-0005-0000-0000-0000A1570000}"/>
    <cellStyle name="Style 187_TOM TAT" xfId="12851" xr:uid="{00000000-0005-0000-0000-0000A2570000}"/>
    <cellStyle name="Style 188" xfId="1530" xr:uid="{00000000-0005-0000-0000-0000A3570000}"/>
    <cellStyle name="Style 188 2" xfId="4558" xr:uid="{00000000-0005-0000-0000-0000A4570000}"/>
    <cellStyle name="Style 188 3" xfId="18338" xr:uid="{00000000-0005-0000-0000-0000A5570000}"/>
    <cellStyle name="Style 188_TOM TAT" xfId="12852" xr:uid="{00000000-0005-0000-0000-0000A6570000}"/>
    <cellStyle name="Style 189" xfId="1531" xr:uid="{00000000-0005-0000-0000-0000A7570000}"/>
    <cellStyle name="Style 189 2" xfId="4559" xr:uid="{00000000-0005-0000-0000-0000A8570000}"/>
    <cellStyle name="Style 189 3" xfId="18339" xr:uid="{00000000-0005-0000-0000-0000A9570000}"/>
    <cellStyle name="Style 189_TOM TAT" xfId="12853" xr:uid="{00000000-0005-0000-0000-0000AA570000}"/>
    <cellStyle name="Style 19" xfId="1532" xr:uid="{00000000-0005-0000-0000-0000AB570000}"/>
    <cellStyle name="Style 19 2" xfId="4560" xr:uid="{00000000-0005-0000-0000-0000AC570000}"/>
    <cellStyle name="Style 19 3" xfId="18340" xr:uid="{00000000-0005-0000-0000-0000AD570000}"/>
    <cellStyle name="Style 19_TOM TAT" xfId="12854" xr:uid="{00000000-0005-0000-0000-0000AE570000}"/>
    <cellStyle name="Style 190" xfId="1533" xr:uid="{00000000-0005-0000-0000-0000AF570000}"/>
    <cellStyle name="Style 190 2" xfId="4561" xr:uid="{00000000-0005-0000-0000-0000B0570000}"/>
    <cellStyle name="Style 190 3" xfId="18341" xr:uid="{00000000-0005-0000-0000-0000B1570000}"/>
    <cellStyle name="Style 190_TOM TAT" xfId="12855" xr:uid="{00000000-0005-0000-0000-0000B2570000}"/>
    <cellStyle name="Style 191" xfId="1534" xr:uid="{00000000-0005-0000-0000-0000B3570000}"/>
    <cellStyle name="Style 191 2" xfId="4562" xr:uid="{00000000-0005-0000-0000-0000B4570000}"/>
    <cellStyle name="Style 191 3" xfId="18342" xr:uid="{00000000-0005-0000-0000-0000B5570000}"/>
    <cellStyle name="Style 191_TOM TAT" xfId="12856" xr:uid="{00000000-0005-0000-0000-0000B6570000}"/>
    <cellStyle name="Style 192" xfId="1535" xr:uid="{00000000-0005-0000-0000-0000B7570000}"/>
    <cellStyle name="Style 192 2" xfId="4563" xr:uid="{00000000-0005-0000-0000-0000B8570000}"/>
    <cellStyle name="Style 192 3" xfId="18343" xr:uid="{00000000-0005-0000-0000-0000B9570000}"/>
    <cellStyle name="Style 192_TOM TAT" xfId="12857" xr:uid="{00000000-0005-0000-0000-0000BA570000}"/>
    <cellStyle name="Style 193" xfId="1536" xr:uid="{00000000-0005-0000-0000-0000BB570000}"/>
    <cellStyle name="Style 193 2" xfId="4564" xr:uid="{00000000-0005-0000-0000-0000BC570000}"/>
    <cellStyle name="Style 193 3" xfId="18344" xr:uid="{00000000-0005-0000-0000-0000BD570000}"/>
    <cellStyle name="Style 193_TOM TAT" xfId="12858" xr:uid="{00000000-0005-0000-0000-0000BE570000}"/>
    <cellStyle name="Style 194" xfId="1537" xr:uid="{00000000-0005-0000-0000-0000BF570000}"/>
    <cellStyle name="Style 194 2" xfId="4565" xr:uid="{00000000-0005-0000-0000-0000C0570000}"/>
    <cellStyle name="Style 194 3" xfId="18345" xr:uid="{00000000-0005-0000-0000-0000C1570000}"/>
    <cellStyle name="Style 194_TOM TAT" xfId="12859" xr:uid="{00000000-0005-0000-0000-0000C2570000}"/>
    <cellStyle name="Style 195" xfId="1538" xr:uid="{00000000-0005-0000-0000-0000C3570000}"/>
    <cellStyle name="Style 195 2" xfId="4566" xr:uid="{00000000-0005-0000-0000-0000C4570000}"/>
    <cellStyle name="Style 195 3" xfId="18346" xr:uid="{00000000-0005-0000-0000-0000C5570000}"/>
    <cellStyle name="Style 195_TOM TAT" xfId="12860" xr:uid="{00000000-0005-0000-0000-0000C6570000}"/>
    <cellStyle name="Style 196" xfId="1539" xr:uid="{00000000-0005-0000-0000-0000C7570000}"/>
    <cellStyle name="Style 196 2" xfId="4567" xr:uid="{00000000-0005-0000-0000-0000C8570000}"/>
    <cellStyle name="Style 196 3" xfId="18347" xr:uid="{00000000-0005-0000-0000-0000C9570000}"/>
    <cellStyle name="Style 196_TOM TAT" xfId="12861" xr:uid="{00000000-0005-0000-0000-0000CA570000}"/>
    <cellStyle name="Style 197" xfId="1540" xr:uid="{00000000-0005-0000-0000-0000CB570000}"/>
    <cellStyle name="Style 197 2" xfId="4568" xr:uid="{00000000-0005-0000-0000-0000CC570000}"/>
    <cellStyle name="Style 197 3" xfId="18348" xr:uid="{00000000-0005-0000-0000-0000CD570000}"/>
    <cellStyle name="Style 197_TOM TAT" xfId="12862" xr:uid="{00000000-0005-0000-0000-0000CE570000}"/>
    <cellStyle name="Style 198" xfId="1541" xr:uid="{00000000-0005-0000-0000-0000CF570000}"/>
    <cellStyle name="Style 198 2" xfId="4569" xr:uid="{00000000-0005-0000-0000-0000D0570000}"/>
    <cellStyle name="Style 198 3" xfId="18349" xr:uid="{00000000-0005-0000-0000-0000D1570000}"/>
    <cellStyle name="Style 198_TOM TAT" xfId="12863" xr:uid="{00000000-0005-0000-0000-0000D2570000}"/>
    <cellStyle name="Style 199" xfId="1542" xr:uid="{00000000-0005-0000-0000-0000D3570000}"/>
    <cellStyle name="Style 199 2" xfId="4570" xr:uid="{00000000-0005-0000-0000-0000D4570000}"/>
    <cellStyle name="Style 199 3" xfId="18350" xr:uid="{00000000-0005-0000-0000-0000D5570000}"/>
    <cellStyle name="Style 199_TOM TAT" xfId="12864" xr:uid="{00000000-0005-0000-0000-0000D6570000}"/>
    <cellStyle name="Style 2" xfId="1543" xr:uid="{00000000-0005-0000-0000-0000D7570000}"/>
    <cellStyle name="Style 20" xfId="1544" xr:uid="{00000000-0005-0000-0000-0000D8570000}"/>
    <cellStyle name="Style 20 2" xfId="4571" xr:uid="{00000000-0005-0000-0000-0000D9570000}"/>
    <cellStyle name="Style 20 3" xfId="18351" xr:uid="{00000000-0005-0000-0000-0000DA570000}"/>
    <cellStyle name="Style 20_TOM TAT" xfId="12865" xr:uid="{00000000-0005-0000-0000-0000DB570000}"/>
    <cellStyle name="Style 200" xfId="1545" xr:uid="{00000000-0005-0000-0000-0000DC570000}"/>
    <cellStyle name="Style 200 2" xfId="4572" xr:uid="{00000000-0005-0000-0000-0000DD570000}"/>
    <cellStyle name="Style 200 3" xfId="18352" xr:uid="{00000000-0005-0000-0000-0000DE570000}"/>
    <cellStyle name="Style 200_TOM TAT" xfId="12866" xr:uid="{00000000-0005-0000-0000-0000DF570000}"/>
    <cellStyle name="Style 201" xfId="1546" xr:uid="{00000000-0005-0000-0000-0000E0570000}"/>
    <cellStyle name="Style 201 2" xfId="4573" xr:uid="{00000000-0005-0000-0000-0000E1570000}"/>
    <cellStyle name="Style 201 3" xfId="18353" xr:uid="{00000000-0005-0000-0000-0000E2570000}"/>
    <cellStyle name="Style 201_TOM TAT" xfId="12867" xr:uid="{00000000-0005-0000-0000-0000E3570000}"/>
    <cellStyle name="Style 202" xfId="1547" xr:uid="{00000000-0005-0000-0000-0000E4570000}"/>
    <cellStyle name="Style 202 2" xfId="4574" xr:uid="{00000000-0005-0000-0000-0000E5570000}"/>
    <cellStyle name="Style 202 3" xfId="18354" xr:uid="{00000000-0005-0000-0000-0000E6570000}"/>
    <cellStyle name="Style 202_TOM TAT" xfId="12868" xr:uid="{00000000-0005-0000-0000-0000E7570000}"/>
    <cellStyle name="Style 203" xfId="1548" xr:uid="{00000000-0005-0000-0000-0000E8570000}"/>
    <cellStyle name="Style 203 2" xfId="4575" xr:uid="{00000000-0005-0000-0000-0000E9570000}"/>
    <cellStyle name="Style 203 3" xfId="18355" xr:uid="{00000000-0005-0000-0000-0000EA570000}"/>
    <cellStyle name="Style 203_TOM TAT" xfId="12869" xr:uid="{00000000-0005-0000-0000-0000EB570000}"/>
    <cellStyle name="Style 204" xfId="1549" xr:uid="{00000000-0005-0000-0000-0000EC570000}"/>
    <cellStyle name="Style 204 2" xfId="4576" xr:uid="{00000000-0005-0000-0000-0000ED570000}"/>
    <cellStyle name="Style 204 3" xfId="18356" xr:uid="{00000000-0005-0000-0000-0000EE570000}"/>
    <cellStyle name="Style 204_TOM TAT" xfId="12870" xr:uid="{00000000-0005-0000-0000-0000EF570000}"/>
    <cellStyle name="Style 205" xfId="1550" xr:uid="{00000000-0005-0000-0000-0000F0570000}"/>
    <cellStyle name="Style 205 2" xfId="4577" xr:uid="{00000000-0005-0000-0000-0000F1570000}"/>
    <cellStyle name="Style 205 3" xfId="18357" xr:uid="{00000000-0005-0000-0000-0000F2570000}"/>
    <cellStyle name="Style 205_TOM TAT" xfId="12871" xr:uid="{00000000-0005-0000-0000-0000F3570000}"/>
    <cellStyle name="Style 206" xfId="1551" xr:uid="{00000000-0005-0000-0000-0000F4570000}"/>
    <cellStyle name="Style 206 2" xfId="4578" xr:uid="{00000000-0005-0000-0000-0000F5570000}"/>
    <cellStyle name="Style 206 3" xfId="18358" xr:uid="{00000000-0005-0000-0000-0000F6570000}"/>
    <cellStyle name="Style 206_TOM TAT" xfId="12872" xr:uid="{00000000-0005-0000-0000-0000F7570000}"/>
    <cellStyle name="Style 207" xfId="1552" xr:uid="{00000000-0005-0000-0000-0000F8570000}"/>
    <cellStyle name="Style 207 2" xfId="4579" xr:uid="{00000000-0005-0000-0000-0000F9570000}"/>
    <cellStyle name="Style 207 3" xfId="18359" xr:uid="{00000000-0005-0000-0000-0000FA570000}"/>
    <cellStyle name="Style 207_TOM TAT" xfId="12873" xr:uid="{00000000-0005-0000-0000-0000FB570000}"/>
    <cellStyle name="Style 208" xfId="1553" xr:uid="{00000000-0005-0000-0000-0000FC570000}"/>
    <cellStyle name="Style 208 2" xfId="4580" xr:uid="{00000000-0005-0000-0000-0000FD570000}"/>
    <cellStyle name="Style 208 3" xfId="18360" xr:uid="{00000000-0005-0000-0000-0000FE570000}"/>
    <cellStyle name="Style 208_TOM TAT" xfId="12874" xr:uid="{00000000-0005-0000-0000-0000FF570000}"/>
    <cellStyle name="Style 209" xfId="1554" xr:uid="{00000000-0005-0000-0000-000000580000}"/>
    <cellStyle name="Style 209 2" xfId="4581" xr:uid="{00000000-0005-0000-0000-000001580000}"/>
    <cellStyle name="Style 209 3" xfId="18361" xr:uid="{00000000-0005-0000-0000-000002580000}"/>
    <cellStyle name="Style 209_TOM TAT" xfId="12875" xr:uid="{00000000-0005-0000-0000-000003580000}"/>
    <cellStyle name="Style 21" xfId="1555" xr:uid="{00000000-0005-0000-0000-000004580000}"/>
    <cellStyle name="Style 21 2" xfId="4582" xr:uid="{00000000-0005-0000-0000-000005580000}"/>
    <cellStyle name="Style 21 3" xfId="18362" xr:uid="{00000000-0005-0000-0000-000006580000}"/>
    <cellStyle name="Style 21_TOM TAT" xfId="12876" xr:uid="{00000000-0005-0000-0000-000007580000}"/>
    <cellStyle name="Style 210" xfId="1556" xr:uid="{00000000-0005-0000-0000-000008580000}"/>
    <cellStyle name="Style 210 2" xfId="4583" xr:uid="{00000000-0005-0000-0000-000009580000}"/>
    <cellStyle name="Style 210 3" xfId="18363" xr:uid="{00000000-0005-0000-0000-00000A580000}"/>
    <cellStyle name="Style 210_TOM TAT" xfId="12877" xr:uid="{00000000-0005-0000-0000-00000B580000}"/>
    <cellStyle name="Style 211" xfId="1557" xr:uid="{00000000-0005-0000-0000-00000C580000}"/>
    <cellStyle name="Style 211 2" xfId="4584" xr:uid="{00000000-0005-0000-0000-00000D580000}"/>
    <cellStyle name="Style 211 2 2" xfId="12878" xr:uid="{00000000-0005-0000-0000-00000E580000}"/>
    <cellStyle name="Style 211 2_TOM TAT" xfId="12879" xr:uid="{00000000-0005-0000-0000-00000F580000}"/>
    <cellStyle name="Style 211 3" xfId="18364" xr:uid="{00000000-0005-0000-0000-000010580000}"/>
    <cellStyle name="Style 211 4" xfId="18701" xr:uid="{00000000-0005-0000-0000-000011580000}"/>
    <cellStyle name="Style 211_TOM TAT" xfId="12880" xr:uid="{00000000-0005-0000-0000-000012580000}"/>
    <cellStyle name="Style 212" xfId="1558" xr:uid="{00000000-0005-0000-0000-000013580000}"/>
    <cellStyle name="Style 212 2" xfId="4585" xr:uid="{00000000-0005-0000-0000-000014580000}"/>
    <cellStyle name="Style 212 2 2" xfId="12881" xr:uid="{00000000-0005-0000-0000-000015580000}"/>
    <cellStyle name="Style 212 2_TOM TAT" xfId="12882" xr:uid="{00000000-0005-0000-0000-000016580000}"/>
    <cellStyle name="Style 212 3" xfId="18365" xr:uid="{00000000-0005-0000-0000-000017580000}"/>
    <cellStyle name="Style 212 4" xfId="18702" xr:uid="{00000000-0005-0000-0000-000018580000}"/>
    <cellStyle name="Style 212_TOM TAT" xfId="12883" xr:uid="{00000000-0005-0000-0000-000019580000}"/>
    <cellStyle name="Style 213" xfId="1559" xr:uid="{00000000-0005-0000-0000-00001A580000}"/>
    <cellStyle name="Style 213 2" xfId="4586" xr:uid="{00000000-0005-0000-0000-00001B580000}"/>
    <cellStyle name="Style 213 2 2" xfId="12884" xr:uid="{00000000-0005-0000-0000-00001C580000}"/>
    <cellStyle name="Style 213 2_TOM TAT" xfId="12885" xr:uid="{00000000-0005-0000-0000-00001D580000}"/>
    <cellStyle name="Style 213 3" xfId="18366" xr:uid="{00000000-0005-0000-0000-00001E580000}"/>
    <cellStyle name="Style 213 4" xfId="18703" xr:uid="{00000000-0005-0000-0000-00001F580000}"/>
    <cellStyle name="Style 213_TOM TAT" xfId="12886" xr:uid="{00000000-0005-0000-0000-000020580000}"/>
    <cellStyle name="Style 214" xfId="1560" xr:uid="{00000000-0005-0000-0000-000021580000}"/>
    <cellStyle name="Style 214 2" xfId="4587" xr:uid="{00000000-0005-0000-0000-000022580000}"/>
    <cellStyle name="Style 214 2 2" xfId="12887" xr:uid="{00000000-0005-0000-0000-000023580000}"/>
    <cellStyle name="Style 214 2_TOM TAT" xfId="12888" xr:uid="{00000000-0005-0000-0000-000024580000}"/>
    <cellStyle name="Style 214 3" xfId="18367" xr:uid="{00000000-0005-0000-0000-000025580000}"/>
    <cellStyle name="Style 214 4" xfId="18704" xr:uid="{00000000-0005-0000-0000-000026580000}"/>
    <cellStyle name="Style 214_TOM TAT" xfId="12889" xr:uid="{00000000-0005-0000-0000-000027580000}"/>
    <cellStyle name="Style 215" xfId="1561" xr:uid="{00000000-0005-0000-0000-000028580000}"/>
    <cellStyle name="Style 215 2" xfId="4588" xr:uid="{00000000-0005-0000-0000-000029580000}"/>
    <cellStyle name="Style 215 2 2" xfId="12890" xr:uid="{00000000-0005-0000-0000-00002A580000}"/>
    <cellStyle name="Style 215 2_TOM TAT" xfId="12891" xr:uid="{00000000-0005-0000-0000-00002B580000}"/>
    <cellStyle name="Style 215 3" xfId="18368" xr:uid="{00000000-0005-0000-0000-00002C580000}"/>
    <cellStyle name="Style 215 4" xfId="18705" xr:uid="{00000000-0005-0000-0000-00002D580000}"/>
    <cellStyle name="Style 215_TOM TAT" xfId="12892" xr:uid="{00000000-0005-0000-0000-00002E580000}"/>
    <cellStyle name="Style 216" xfId="1562" xr:uid="{00000000-0005-0000-0000-00002F580000}"/>
    <cellStyle name="Style 216 2" xfId="4589" xr:uid="{00000000-0005-0000-0000-000030580000}"/>
    <cellStyle name="Style 216 2 2" xfId="12893" xr:uid="{00000000-0005-0000-0000-000031580000}"/>
    <cellStyle name="Style 216 2_TOM TAT" xfId="12894" xr:uid="{00000000-0005-0000-0000-000032580000}"/>
    <cellStyle name="Style 216 3" xfId="18369" xr:uid="{00000000-0005-0000-0000-000033580000}"/>
    <cellStyle name="Style 216 4" xfId="18706" xr:uid="{00000000-0005-0000-0000-000034580000}"/>
    <cellStyle name="Style 216_TOM TAT" xfId="12895" xr:uid="{00000000-0005-0000-0000-000035580000}"/>
    <cellStyle name="Style 217" xfId="1563" xr:uid="{00000000-0005-0000-0000-000036580000}"/>
    <cellStyle name="Style 217 2" xfId="4590" xr:uid="{00000000-0005-0000-0000-000037580000}"/>
    <cellStyle name="Style 217 2 2" xfId="12896" xr:uid="{00000000-0005-0000-0000-000038580000}"/>
    <cellStyle name="Style 217 2_TOM TAT" xfId="12897" xr:uid="{00000000-0005-0000-0000-000039580000}"/>
    <cellStyle name="Style 217 3" xfId="18370" xr:uid="{00000000-0005-0000-0000-00003A580000}"/>
    <cellStyle name="Style 217 4" xfId="18707" xr:uid="{00000000-0005-0000-0000-00003B580000}"/>
    <cellStyle name="Style 217_TOM TAT" xfId="12898" xr:uid="{00000000-0005-0000-0000-00003C580000}"/>
    <cellStyle name="Style 218" xfId="1564" xr:uid="{00000000-0005-0000-0000-00003D580000}"/>
    <cellStyle name="Style 218 2" xfId="4591" xr:uid="{00000000-0005-0000-0000-00003E580000}"/>
    <cellStyle name="Style 218 2 2" xfId="12899" xr:uid="{00000000-0005-0000-0000-00003F580000}"/>
    <cellStyle name="Style 218 2_TOM TAT" xfId="12900" xr:uid="{00000000-0005-0000-0000-000040580000}"/>
    <cellStyle name="Style 218 3" xfId="18371" xr:uid="{00000000-0005-0000-0000-000041580000}"/>
    <cellStyle name="Style 218 4" xfId="18708" xr:uid="{00000000-0005-0000-0000-000042580000}"/>
    <cellStyle name="Style 218_TOM TAT" xfId="12901" xr:uid="{00000000-0005-0000-0000-000043580000}"/>
    <cellStyle name="Style 219" xfId="1565" xr:uid="{00000000-0005-0000-0000-000044580000}"/>
    <cellStyle name="Style 219 2" xfId="4592" xr:uid="{00000000-0005-0000-0000-000045580000}"/>
    <cellStyle name="Style 219 2 2" xfId="12902" xr:uid="{00000000-0005-0000-0000-000046580000}"/>
    <cellStyle name="Style 219 2_TOM TAT" xfId="12903" xr:uid="{00000000-0005-0000-0000-000047580000}"/>
    <cellStyle name="Style 219 3" xfId="18372" xr:uid="{00000000-0005-0000-0000-000048580000}"/>
    <cellStyle name="Style 219 4" xfId="18709" xr:uid="{00000000-0005-0000-0000-000049580000}"/>
    <cellStyle name="Style 219_TOM TAT" xfId="12904" xr:uid="{00000000-0005-0000-0000-00004A580000}"/>
    <cellStyle name="Style 22" xfId="1566" xr:uid="{00000000-0005-0000-0000-00004B580000}"/>
    <cellStyle name="Style 22 2" xfId="4593" xr:uid="{00000000-0005-0000-0000-00004C580000}"/>
    <cellStyle name="Style 22 2 2" xfId="12905" xr:uid="{00000000-0005-0000-0000-00004D580000}"/>
    <cellStyle name="Style 22 2_TOM TAT" xfId="12906" xr:uid="{00000000-0005-0000-0000-00004E580000}"/>
    <cellStyle name="Style 22 3" xfId="18373" xr:uid="{00000000-0005-0000-0000-00004F580000}"/>
    <cellStyle name="Style 22 4" xfId="18710" xr:uid="{00000000-0005-0000-0000-000050580000}"/>
    <cellStyle name="Style 22_TOM TAT" xfId="12907" xr:uid="{00000000-0005-0000-0000-000051580000}"/>
    <cellStyle name="Style 220" xfId="1567" xr:uid="{00000000-0005-0000-0000-000052580000}"/>
    <cellStyle name="Style 220 2" xfId="4594" xr:uid="{00000000-0005-0000-0000-000053580000}"/>
    <cellStyle name="Style 220 2 2" xfId="12908" xr:uid="{00000000-0005-0000-0000-000054580000}"/>
    <cellStyle name="Style 220 2_TOM TAT" xfId="12909" xr:uid="{00000000-0005-0000-0000-000055580000}"/>
    <cellStyle name="Style 220 3" xfId="18374" xr:uid="{00000000-0005-0000-0000-000056580000}"/>
    <cellStyle name="Style 220 4" xfId="18711" xr:uid="{00000000-0005-0000-0000-000057580000}"/>
    <cellStyle name="Style 220_TOM TAT" xfId="12910" xr:uid="{00000000-0005-0000-0000-000058580000}"/>
    <cellStyle name="Style 221" xfId="1568" xr:uid="{00000000-0005-0000-0000-000059580000}"/>
    <cellStyle name="Style 221 2" xfId="4595" xr:uid="{00000000-0005-0000-0000-00005A580000}"/>
    <cellStyle name="Style 221 2 2" xfId="12911" xr:uid="{00000000-0005-0000-0000-00005B580000}"/>
    <cellStyle name="Style 221 2_TOM TAT" xfId="12912" xr:uid="{00000000-0005-0000-0000-00005C580000}"/>
    <cellStyle name="Style 221 3" xfId="18375" xr:uid="{00000000-0005-0000-0000-00005D580000}"/>
    <cellStyle name="Style 221 4" xfId="18712" xr:uid="{00000000-0005-0000-0000-00005E580000}"/>
    <cellStyle name="Style 221_TOM TAT" xfId="12913" xr:uid="{00000000-0005-0000-0000-00005F580000}"/>
    <cellStyle name="Style 222" xfId="1569" xr:uid="{00000000-0005-0000-0000-000060580000}"/>
    <cellStyle name="Style 222 2" xfId="4596" xr:uid="{00000000-0005-0000-0000-000061580000}"/>
    <cellStyle name="Style 222 2 2" xfId="12914" xr:uid="{00000000-0005-0000-0000-000062580000}"/>
    <cellStyle name="Style 222 2_TOM TAT" xfId="12915" xr:uid="{00000000-0005-0000-0000-000063580000}"/>
    <cellStyle name="Style 222 3" xfId="18376" xr:uid="{00000000-0005-0000-0000-000064580000}"/>
    <cellStyle name="Style 222 4" xfId="18713" xr:uid="{00000000-0005-0000-0000-000065580000}"/>
    <cellStyle name="Style 222_TOM TAT" xfId="12916" xr:uid="{00000000-0005-0000-0000-000066580000}"/>
    <cellStyle name="Style 223" xfId="1570" xr:uid="{00000000-0005-0000-0000-000067580000}"/>
    <cellStyle name="Style 223 2" xfId="4597" xr:uid="{00000000-0005-0000-0000-000068580000}"/>
    <cellStyle name="Style 223 2 2" xfId="12917" xr:uid="{00000000-0005-0000-0000-000069580000}"/>
    <cellStyle name="Style 223 2_TOM TAT" xfId="12918" xr:uid="{00000000-0005-0000-0000-00006A580000}"/>
    <cellStyle name="Style 223 3" xfId="18377" xr:uid="{00000000-0005-0000-0000-00006B580000}"/>
    <cellStyle name="Style 223 4" xfId="18714" xr:uid="{00000000-0005-0000-0000-00006C580000}"/>
    <cellStyle name="Style 223_TOM TAT" xfId="12919" xr:uid="{00000000-0005-0000-0000-00006D580000}"/>
    <cellStyle name="Style 224" xfId="1571" xr:uid="{00000000-0005-0000-0000-00006E580000}"/>
    <cellStyle name="Style 224 2" xfId="4598" xr:uid="{00000000-0005-0000-0000-00006F580000}"/>
    <cellStyle name="Style 224 2 2" xfId="12920" xr:uid="{00000000-0005-0000-0000-000070580000}"/>
    <cellStyle name="Style 224 2_TOM TAT" xfId="12921" xr:uid="{00000000-0005-0000-0000-000071580000}"/>
    <cellStyle name="Style 224 3" xfId="18378" xr:uid="{00000000-0005-0000-0000-000072580000}"/>
    <cellStyle name="Style 224 4" xfId="18715" xr:uid="{00000000-0005-0000-0000-000073580000}"/>
    <cellStyle name="Style 224_TOM TAT" xfId="12922" xr:uid="{00000000-0005-0000-0000-000074580000}"/>
    <cellStyle name="Style 225" xfId="1572" xr:uid="{00000000-0005-0000-0000-000075580000}"/>
    <cellStyle name="Style 225 2" xfId="4599" xr:uid="{00000000-0005-0000-0000-000076580000}"/>
    <cellStyle name="Style 225 2 2" xfId="12923" xr:uid="{00000000-0005-0000-0000-000077580000}"/>
    <cellStyle name="Style 225 2_TOM TAT" xfId="12924" xr:uid="{00000000-0005-0000-0000-000078580000}"/>
    <cellStyle name="Style 225 3" xfId="18379" xr:uid="{00000000-0005-0000-0000-000079580000}"/>
    <cellStyle name="Style 225 4" xfId="18716" xr:uid="{00000000-0005-0000-0000-00007A580000}"/>
    <cellStyle name="Style 225_TOM TAT" xfId="12925" xr:uid="{00000000-0005-0000-0000-00007B580000}"/>
    <cellStyle name="Style 226" xfId="1573" xr:uid="{00000000-0005-0000-0000-00007C580000}"/>
    <cellStyle name="Style 226 2" xfId="4600" xr:uid="{00000000-0005-0000-0000-00007D580000}"/>
    <cellStyle name="Style 226 2 2" xfId="12926" xr:uid="{00000000-0005-0000-0000-00007E580000}"/>
    <cellStyle name="Style 226 2_TOM TAT" xfId="12927" xr:uid="{00000000-0005-0000-0000-00007F580000}"/>
    <cellStyle name="Style 226 3" xfId="18380" xr:uid="{00000000-0005-0000-0000-000080580000}"/>
    <cellStyle name="Style 226 4" xfId="18717" xr:uid="{00000000-0005-0000-0000-000081580000}"/>
    <cellStyle name="Style 226_TOM TAT" xfId="12928" xr:uid="{00000000-0005-0000-0000-000082580000}"/>
    <cellStyle name="Style 227" xfId="1574" xr:uid="{00000000-0005-0000-0000-000083580000}"/>
    <cellStyle name="Style 227 2" xfId="4601" xr:uid="{00000000-0005-0000-0000-000084580000}"/>
    <cellStyle name="Style 227 2 2" xfId="12929" xr:uid="{00000000-0005-0000-0000-000085580000}"/>
    <cellStyle name="Style 227 2_TOM TAT" xfId="12930" xr:uid="{00000000-0005-0000-0000-000086580000}"/>
    <cellStyle name="Style 227 3" xfId="18381" xr:uid="{00000000-0005-0000-0000-000087580000}"/>
    <cellStyle name="Style 227 4" xfId="18718" xr:uid="{00000000-0005-0000-0000-000088580000}"/>
    <cellStyle name="Style 227_TOM TAT" xfId="12931" xr:uid="{00000000-0005-0000-0000-000089580000}"/>
    <cellStyle name="Style 228" xfId="1575" xr:uid="{00000000-0005-0000-0000-00008A580000}"/>
    <cellStyle name="Style 228 2" xfId="4602" xr:uid="{00000000-0005-0000-0000-00008B580000}"/>
    <cellStyle name="Style 228 2 2" xfId="12932" xr:uid="{00000000-0005-0000-0000-00008C580000}"/>
    <cellStyle name="Style 228 2_TOM TAT" xfId="12933" xr:uid="{00000000-0005-0000-0000-00008D580000}"/>
    <cellStyle name="Style 228 3" xfId="18382" xr:uid="{00000000-0005-0000-0000-00008E580000}"/>
    <cellStyle name="Style 228 4" xfId="18719" xr:uid="{00000000-0005-0000-0000-00008F580000}"/>
    <cellStyle name="Style 228_TOM TAT" xfId="12934" xr:uid="{00000000-0005-0000-0000-000090580000}"/>
    <cellStyle name="Style 229" xfId="1576" xr:uid="{00000000-0005-0000-0000-000091580000}"/>
    <cellStyle name="Style 229 2" xfId="4603" xr:uid="{00000000-0005-0000-0000-000092580000}"/>
    <cellStyle name="Style 229 2 2" xfId="12935" xr:uid="{00000000-0005-0000-0000-000093580000}"/>
    <cellStyle name="Style 229 2_TOM TAT" xfId="12936" xr:uid="{00000000-0005-0000-0000-000094580000}"/>
    <cellStyle name="Style 229 3" xfId="18383" xr:uid="{00000000-0005-0000-0000-000095580000}"/>
    <cellStyle name="Style 229 4" xfId="18720" xr:uid="{00000000-0005-0000-0000-000096580000}"/>
    <cellStyle name="Style 229_TOM TAT" xfId="12937" xr:uid="{00000000-0005-0000-0000-000097580000}"/>
    <cellStyle name="Style 23" xfId="1577" xr:uid="{00000000-0005-0000-0000-000098580000}"/>
    <cellStyle name="Style 23 2" xfId="4604" xr:uid="{00000000-0005-0000-0000-000099580000}"/>
    <cellStyle name="Style 23 2 2" xfId="12938" xr:uid="{00000000-0005-0000-0000-00009A580000}"/>
    <cellStyle name="Style 23 2_TOM TAT" xfId="12939" xr:uid="{00000000-0005-0000-0000-00009B580000}"/>
    <cellStyle name="Style 23 3" xfId="18384" xr:uid="{00000000-0005-0000-0000-00009C580000}"/>
    <cellStyle name="Style 23 4" xfId="18721" xr:uid="{00000000-0005-0000-0000-00009D580000}"/>
    <cellStyle name="Style 23_TOM TAT" xfId="12940" xr:uid="{00000000-0005-0000-0000-00009E580000}"/>
    <cellStyle name="Style 230" xfId="1578" xr:uid="{00000000-0005-0000-0000-00009F580000}"/>
    <cellStyle name="Style 230 2" xfId="4605" xr:uid="{00000000-0005-0000-0000-0000A0580000}"/>
    <cellStyle name="Style 230 2 2" xfId="12941" xr:uid="{00000000-0005-0000-0000-0000A1580000}"/>
    <cellStyle name="Style 230 2_TOM TAT" xfId="12942" xr:uid="{00000000-0005-0000-0000-0000A2580000}"/>
    <cellStyle name="Style 230 3" xfId="18385" xr:uid="{00000000-0005-0000-0000-0000A3580000}"/>
    <cellStyle name="Style 230 4" xfId="18722" xr:uid="{00000000-0005-0000-0000-0000A4580000}"/>
    <cellStyle name="Style 230_TOM TAT" xfId="12943" xr:uid="{00000000-0005-0000-0000-0000A5580000}"/>
    <cellStyle name="Style 231" xfId="1579" xr:uid="{00000000-0005-0000-0000-0000A6580000}"/>
    <cellStyle name="Style 231 2" xfId="4606" xr:uid="{00000000-0005-0000-0000-0000A7580000}"/>
    <cellStyle name="Style 231 2 2" xfId="12944" xr:uid="{00000000-0005-0000-0000-0000A8580000}"/>
    <cellStyle name="Style 231 2_TOM TAT" xfId="12945" xr:uid="{00000000-0005-0000-0000-0000A9580000}"/>
    <cellStyle name="Style 231 3" xfId="18386" xr:uid="{00000000-0005-0000-0000-0000AA580000}"/>
    <cellStyle name="Style 231 4" xfId="18723" xr:uid="{00000000-0005-0000-0000-0000AB580000}"/>
    <cellStyle name="Style 231_TOM TAT" xfId="12946" xr:uid="{00000000-0005-0000-0000-0000AC580000}"/>
    <cellStyle name="Style 232" xfId="1580" xr:uid="{00000000-0005-0000-0000-0000AD580000}"/>
    <cellStyle name="Style 232 2" xfId="4607" xr:uid="{00000000-0005-0000-0000-0000AE580000}"/>
    <cellStyle name="Style 232 2 2" xfId="12947" xr:uid="{00000000-0005-0000-0000-0000AF580000}"/>
    <cellStyle name="Style 232 2_TOM TAT" xfId="12948" xr:uid="{00000000-0005-0000-0000-0000B0580000}"/>
    <cellStyle name="Style 232 3" xfId="18387" xr:uid="{00000000-0005-0000-0000-0000B1580000}"/>
    <cellStyle name="Style 232 4" xfId="18724" xr:uid="{00000000-0005-0000-0000-0000B2580000}"/>
    <cellStyle name="Style 232_TOM TAT" xfId="12949" xr:uid="{00000000-0005-0000-0000-0000B3580000}"/>
    <cellStyle name="Style 233" xfId="1581" xr:uid="{00000000-0005-0000-0000-0000B4580000}"/>
    <cellStyle name="Style 233 2" xfId="4608" xr:uid="{00000000-0005-0000-0000-0000B5580000}"/>
    <cellStyle name="Style 233 2 2" xfId="12950" xr:uid="{00000000-0005-0000-0000-0000B6580000}"/>
    <cellStyle name="Style 233 2_TOM TAT" xfId="12951" xr:uid="{00000000-0005-0000-0000-0000B7580000}"/>
    <cellStyle name="Style 233 3" xfId="18388" xr:uid="{00000000-0005-0000-0000-0000B8580000}"/>
    <cellStyle name="Style 233 4" xfId="18725" xr:uid="{00000000-0005-0000-0000-0000B9580000}"/>
    <cellStyle name="Style 233_TOM TAT" xfId="12952" xr:uid="{00000000-0005-0000-0000-0000BA580000}"/>
    <cellStyle name="Style 234" xfId="1582" xr:uid="{00000000-0005-0000-0000-0000BB580000}"/>
    <cellStyle name="Style 234 2" xfId="4609" xr:uid="{00000000-0005-0000-0000-0000BC580000}"/>
    <cellStyle name="Style 234 2 2" xfId="12953" xr:uid="{00000000-0005-0000-0000-0000BD580000}"/>
    <cellStyle name="Style 234 2_TOM TAT" xfId="12954" xr:uid="{00000000-0005-0000-0000-0000BE580000}"/>
    <cellStyle name="Style 234 3" xfId="18389" xr:uid="{00000000-0005-0000-0000-0000BF580000}"/>
    <cellStyle name="Style 234 4" xfId="18726" xr:uid="{00000000-0005-0000-0000-0000C0580000}"/>
    <cellStyle name="Style 234_TOM TAT" xfId="12955" xr:uid="{00000000-0005-0000-0000-0000C1580000}"/>
    <cellStyle name="Style 235" xfId="1583" xr:uid="{00000000-0005-0000-0000-0000C2580000}"/>
    <cellStyle name="Style 235 2" xfId="4610" xr:uid="{00000000-0005-0000-0000-0000C3580000}"/>
    <cellStyle name="Style 235 2 2" xfId="12956" xr:uid="{00000000-0005-0000-0000-0000C4580000}"/>
    <cellStyle name="Style 235 2_TOM TAT" xfId="12957" xr:uid="{00000000-0005-0000-0000-0000C5580000}"/>
    <cellStyle name="Style 235 3" xfId="18390" xr:uid="{00000000-0005-0000-0000-0000C6580000}"/>
    <cellStyle name="Style 235 4" xfId="18727" xr:uid="{00000000-0005-0000-0000-0000C7580000}"/>
    <cellStyle name="Style 235_TOM TAT" xfId="12958" xr:uid="{00000000-0005-0000-0000-0000C8580000}"/>
    <cellStyle name="Style 236" xfId="1584" xr:uid="{00000000-0005-0000-0000-0000C9580000}"/>
    <cellStyle name="Style 236 2" xfId="4611" xr:uid="{00000000-0005-0000-0000-0000CA580000}"/>
    <cellStyle name="Style 236 2 2" xfId="12959" xr:uid="{00000000-0005-0000-0000-0000CB580000}"/>
    <cellStyle name="Style 236 2_TOM TAT" xfId="12960" xr:uid="{00000000-0005-0000-0000-0000CC580000}"/>
    <cellStyle name="Style 236 3" xfId="18391" xr:uid="{00000000-0005-0000-0000-0000CD580000}"/>
    <cellStyle name="Style 236 4" xfId="18728" xr:uid="{00000000-0005-0000-0000-0000CE580000}"/>
    <cellStyle name="Style 236_TOM TAT" xfId="12961" xr:uid="{00000000-0005-0000-0000-0000CF580000}"/>
    <cellStyle name="Style 237" xfId="1585" xr:uid="{00000000-0005-0000-0000-0000D0580000}"/>
    <cellStyle name="Style 237 2" xfId="4612" xr:uid="{00000000-0005-0000-0000-0000D1580000}"/>
    <cellStyle name="Style 237 2 2" xfId="12962" xr:uid="{00000000-0005-0000-0000-0000D2580000}"/>
    <cellStyle name="Style 237 2_TOM TAT" xfId="12963" xr:uid="{00000000-0005-0000-0000-0000D3580000}"/>
    <cellStyle name="Style 237 3" xfId="18392" xr:uid="{00000000-0005-0000-0000-0000D4580000}"/>
    <cellStyle name="Style 237 4" xfId="18729" xr:uid="{00000000-0005-0000-0000-0000D5580000}"/>
    <cellStyle name="Style 237_TOM TAT" xfId="12964" xr:uid="{00000000-0005-0000-0000-0000D6580000}"/>
    <cellStyle name="Style 238" xfId="1586" xr:uid="{00000000-0005-0000-0000-0000D7580000}"/>
    <cellStyle name="Style 238 2" xfId="4613" xr:uid="{00000000-0005-0000-0000-0000D8580000}"/>
    <cellStyle name="Style 238 2 2" xfId="12965" xr:uid="{00000000-0005-0000-0000-0000D9580000}"/>
    <cellStyle name="Style 238 2_TOM TAT" xfId="12966" xr:uid="{00000000-0005-0000-0000-0000DA580000}"/>
    <cellStyle name="Style 238 3" xfId="18393" xr:uid="{00000000-0005-0000-0000-0000DB580000}"/>
    <cellStyle name="Style 238 4" xfId="18730" xr:uid="{00000000-0005-0000-0000-0000DC580000}"/>
    <cellStyle name="Style 238_TOM TAT" xfId="12967" xr:uid="{00000000-0005-0000-0000-0000DD580000}"/>
    <cellStyle name="Style 239" xfId="1587" xr:uid="{00000000-0005-0000-0000-0000DE580000}"/>
    <cellStyle name="Style 239 2" xfId="4614" xr:uid="{00000000-0005-0000-0000-0000DF580000}"/>
    <cellStyle name="Style 239 2 2" xfId="12968" xr:uid="{00000000-0005-0000-0000-0000E0580000}"/>
    <cellStyle name="Style 239 2_TOM TAT" xfId="12969" xr:uid="{00000000-0005-0000-0000-0000E1580000}"/>
    <cellStyle name="Style 239 3" xfId="18394" xr:uid="{00000000-0005-0000-0000-0000E2580000}"/>
    <cellStyle name="Style 239 4" xfId="18731" xr:uid="{00000000-0005-0000-0000-0000E3580000}"/>
    <cellStyle name="Style 239_TOM TAT" xfId="12970" xr:uid="{00000000-0005-0000-0000-0000E4580000}"/>
    <cellStyle name="Style 24" xfId="1588" xr:uid="{00000000-0005-0000-0000-0000E5580000}"/>
    <cellStyle name="Style 24 2" xfId="4615" xr:uid="{00000000-0005-0000-0000-0000E6580000}"/>
    <cellStyle name="Style 24 2 2" xfId="12971" xr:uid="{00000000-0005-0000-0000-0000E7580000}"/>
    <cellStyle name="Style 24 2_TOM TAT" xfId="12972" xr:uid="{00000000-0005-0000-0000-0000E8580000}"/>
    <cellStyle name="Style 24 3" xfId="18395" xr:uid="{00000000-0005-0000-0000-0000E9580000}"/>
    <cellStyle name="Style 24 4" xfId="18732" xr:uid="{00000000-0005-0000-0000-0000EA580000}"/>
    <cellStyle name="Style 24_TOM TAT" xfId="12973" xr:uid="{00000000-0005-0000-0000-0000EB580000}"/>
    <cellStyle name="Style 240" xfId="1589" xr:uid="{00000000-0005-0000-0000-0000EC580000}"/>
    <cellStyle name="Style 240 2" xfId="4616" xr:uid="{00000000-0005-0000-0000-0000ED580000}"/>
    <cellStyle name="Style 240 2 2" xfId="12974" xr:uid="{00000000-0005-0000-0000-0000EE580000}"/>
    <cellStyle name="Style 240 2_TOM TAT" xfId="12975" xr:uid="{00000000-0005-0000-0000-0000EF580000}"/>
    <cellStyle name="Style 240 3" xfId="18396" xr:uid="{00000000-0005-0000-0000-0000F0580000}"/>
    <cellStyle name="Style 240 4" xfId="18733" xr:uid="{00000000-0005-0000-0000-0000F1580000}"/>
    <cellStyle name="Style 240_TOM TAT" xfId="12976" xr:uid="{00000000-0005-0000-0000-0000F2580000}"/>
    <cellStyle name="Style 241" xfId="1590" xr:uid="{00000000-0005-0000-0000-0000F3580000}"/>
    <cellStyle name="Style 241 2" xfId="4617" xr:uid="{00000000-0005-0000-0000-0000F4580000}"/>
    <cellStyle name="Style 241 2 2" xfId="12977" xr:uid="{00000000-0005-0000-0000-0000F5580000}"/>
    <cellStyle name="Style 241 2_TOM TAT" xfId="12978" xr:uid="{00000000-0005-0000-0000-0000F6580000}"/>
    <cellStyle name="Style 241 3" xfId="18397" xr:uid="{00000000-0005-0000-0000-0000F7580000}"/>
    <cellStyle name="Style 241 4" xfId="18734" xr:uid="{00000000-0005-0000-0000-0000F8580000}"/>
    <cellStyle name="Style 241_TOM TAT" xfId="12979" xr:uid="{00000000-0005-0000-0000-0000F9580000}"/>
    <cellStyle name="Style 242" xfId="1591" xr:uid="{00000000-0005-0000-0000-0000FA580000}"/>
    <cellStyle name="Style 242 2" xfId="4618" xr:uid="{00000000-0005-0000-0000-0000FB580000}"/>
    <cellStyle name="Style 242 2 2" xfId="12980" xr:uid="{00000000-0005-0000-0000-0000FC580000}"/>
    <cellStyle name="Style 242 2_TOM TAT" xfId="12981" xr:uid="{00000000-0005-0000-0000-0000FD580000}"/>
    <cellStyle name="Style 242 3" xfId="18398" xr:uid="{00000000-0005-0000-0000-0000FE580000}"/>
    <cellStyle name="Style 242 4" xfId="18735" xr:uid="{00000000-0005-0000-0000-0000FF580000}"/>
    <cellStyle name="Style 242_TOM TAT" xfId="12982" xr:uid="{00000000-0005-0000-0000-000000590000}"/>
    <cellStyle name="Style 243" xfId="1592" xr:uid="{00000000-0005-0000-0000-000001590000}"/>
    <cellStyle name="Style 243 2" xfId="4619" xr:uid="{00000000-0005-0000-0000-000002590000}"/>
    <cellStyle name="Style 243 2 2" xfId="12983" xr:uid="{00000000-0005-0000-0000-000003590000}"/>
    <cellStyle name="Style 243 2_TOM TAT" xfId="12984" xr:uid="{00000000-0005-0000-0000-000004590000}"/>
    <cellStyle name="Style 243 3" xfId="18399" xr:uid="{00000000-0005-0000-0000-000005590000}"/>
    <cellStyle name="Style 243 4" xfId="18736" xr:uid="{00000000-0005-0000-0000-000006590000}"/>
    <cellStyle name="Style 243_TOM TAT" xfId="12985" xr:uid="{00000000-0005-0000-0000-000007590000}"/>
    <cellStyle name="Style 244" xfId="1593" xr:uid="{00000000-0005-0000-0000-000008590000}"/>
    <cellStyle name="Style 244 2" xfId="4620" xr:uid="{00000000-0005-0000-0000-000009590000}"/>
    <cellStyle name="Style 244 2 2" xfId="12986" xr:uid="{00000000-0005-0000-0000-00000A590000}"/>
    <cellStyle name="Style 244 2_TOM TAT" xfId="12987" xr:uid="{00000000-0005-0000-0000-00000B590000}"/>
    <cellStyle name="Style 244 3" xfId="18400" xr:uid="{00000000-0005-0000-0000-00000C590000}"/>
    <cellStyle name="Style 244 4" xfId="18737" xr:uid="{00000000-0005-0000-0000-00000D590000}"/>
    <cellStyle name="Style 244_TOM TAT" xfId="12988" xr:uid="{00000000-0005-0000-0000-00000E590000}"/>
    <cellStyle name="Style 245" xfId="1594" xr:uid="{00000000-0005-0000-0000-00000F590000}"/>
    <cellStyle name="Style 245 2" xfId="4621" xr:uid="{00000000-0005-0000-0000-000010590000}"/>
    <cellStyle name="Style 245 2 2" xfId="12989" xr:uid="{00000000-0005-0000-0000-000011590000}"/>
    <cellStyle name="Style 245 2_TOM TAT" xfId="12990" xr:uid="{00000000-0005-0000-0000-000012590000}"/>
    <cellStyle name="Style 245 3" xfId="18401" xr:uid="{00000000-0005-0000-0000-000013590000}"/>
    <cellStyle name="Style 245 4" xfId="18738" xr:uid="{00000000-0005-0000-0000-000014590000}"/>
    <cellStyle name="Style 245_TOM TAT" xfId="12991" xr:uid="{00000000-0005-0000-0000-000015590000}"/>
    <cellStyle name="Style 246" xfId="1595" xr:uid="{00000000-0005-0000-0000-000016590000}"/>
    <cellStyle name="Style 246 2" xfId="4622" xr:uid="{00000000-0005-0000-0000-000017590000}"/>
    <cellStyle name="Style 246 2 2" xfId="12992" xr:uid="{00000000-0005-0000-0000-000018590000}"/>
    <cellStyle name="Style 246 2_TOM TAT" xfId="12993" xr:uid="{00000000-0005-0000-0000-000019590000}"/>
    <cellStyle name="Style 246 3" xfId="18402" xr:uid="{00000000-0005-0000-0000-00001A590000}"/>
    <cellStyle name="Style 246 4" xfId="18739" xr:uid="{00000000-0005-0000-0000-00001B590000}"/>
    <cellStyle name="Style 246_TOM TAT" xfId="12994" xr:uid="{00000000-0005-0000-0000-00001C590000}"/>
    <cellStyle name="Style 247" xfId="1596" xr:uid="{00000000-0005-0000-0000-00001D590000}"/>
    <cellStyle name="Style 247 2" xfId="4623" xr:uid="{00000000-0005-0000-0000-00001E590000}"/>
    <cellStyle name="Style 247 2 2" xfId="12995" xr:uid="{00000000-0005-0000-0000-00001F590000}"/>
    <cellStyle name="Style 247 2_TOM TAT" xfId="12996" xr:uid="{00000000-0005-0000-0000-000020590000}"/>
    <cellStyle name="Style 247 3" xfId="18403" xr:uid="{00000000-0005-0000-0000-000021590000}"/>
    <cellStyle name="Style 247 4" xfId="18740" xr:uid="{00000000-0005-0000-0000-000022590000}"/>
    <cellStyle name="Style 247_TOM TAT" xfId="12997" xr:uid="{00000000-0005-0000-0000-000023590000}"/>
    <cellStyle name="Style 248" xfId="1597" xr:uid="{00000000-0005-0000-0000-000024590000}"/>
    <cellStyle name="Style 248 2" xfId="4624" xr:uid="{00000000-0005-0000-0000-000025590000}"/>
    <cellStyle name="Style 248 2 2" xfId="12998" xr:uid="{00000000-0005-0000-0000-000026590000}"/>
    <cellStyle name="Style 248 2_TOM TAT" xfId="12999" xr:uid="{00000000-0005-0000-0000-000027590000}"/>
    <cellStyle name="Style 248 3" xfId="18404" xr:uid="{00000000-0005-0000-0000-000028590000}"/>
    <cellStyle name="Style 248 4" xfId="18741" xr:uid="{00000000-0005-0000-0000-000029590000}"/>
    <cellStyle name="Style 248_TOM TAT" xfId="13000" xr:uid="{00000000-0005-0000-0000-00002A590000}"/>
    <cellStyle name="Style 249" xfId="1598" xr:uid="{00000000-0005-0000-0000-00002B590000}"/>
    <cellStyle name="Style 249 2" xfId="4625" xr:uid="{00000000-0005-0000-0000-00002C590000}"/>
    <cellStyle name="Style 249 2 2" xfId="13001" xr:uid="{00000000-0005-0000-0000-00002D590000}"/>
    <cellStyle name="Style 249 2_TOM TAT" xfId="13002" xr:uid="{00000000-0005-0000-0000-00002E590000}"/>
    <cellStyle name="Style 249 3" xfId="18405" xr:uid="{00000000-0005-0000-0000-00002F590000}"/>
    <cellStyle name="Style 249 4" xfId="18742" xr:uid="{00000000-0005-0000-0000-000030590000}"/>
    <cellStyle name="Style 249_TOM TAT" xfId="13003" xr:uid="{00000000-0005-0000-0000-000031590000}"/>
    <cellStyle name="Style 25" xfId="1599" xr:uid="{00000000-0005-0000-0000-000032590000}"/>
    <cellStyle name="Style 25 2" xfId="4626" xr:uid="{00000000-0005-0000-0000-000033590000}"/>
    <cellStyle name="Style 25 2 2" xfId="13004" xr:uid="{00000000-0005-0000-0000-000034590000}"/>
    <cellStyle name="Style 25 2_TOM TAT" xfId="13005" xr:uid="{00000000-0005-0000-0000-000035590000}"/>
    <cellStyle name="Style 25 3" xfId="18406" xr:uid="{00000000-0005-0000-0000-000036590000}"/>
    <cellStyle name="Style 25 4" xfId="18743" xr:uid="{00000000-0005-0000-0000-000037590000}"/>
    <cellStyle name="Style 25_TOM TAT" xfId="13006" xr:uid="{00000000-0005-0000-0000-000038590000}"/>
    <cellStyle name="Style 250" xfId="1600" xr:uid="{00000000-0005-0000-0000-000039590000}"/>
    <cellStyle name="Style 250 2" xfId="4627" xr:uid="{00000000-0005-0000-0000-00003A590000}"/>
    <cellStyle name="Style 250 2 2" xfId="13007" xr:uid="{00000000-0005-0000-0000-00003B590000}"/>
    <cellStyle name="Style 250 2_TOM TAT" xfId="13008" xr:uid="{00000000-0005-0000-0000-00003C590000}"/>
    <cellStyle name="Style 250 3" xfId="18407" xr:uid="{00000000-0005-0000-0000-00003D590000}"/>
    <cellStyle name="Style 250 4" xfId="18744" xr:uid="{00000000-0005-0000-0000-00003E590000}"/>
    <cellStyle name="Style 250_TOM TAT" xfId="13009" xr:uid="{00000000-0005-0000-0000-00003F590000}"/>
    <cellStyle name="Style 251" xfId="1601" xr:uid="{00000000-0005-0000-0000-000040590000}"/>
    <cellStyle name="Style 251 2" xfId="4628" xr:uid="{00000000-0005-0000-0000-000041590000}"/>
    <cellStyle name="Style 251 2 2" xfId="13010" xr:uid="{00000000-0005-0000-0000-000042590000}"/>
    <cellStyle name="Style 251 2_TOM TAT" xfId="13011" xr:uid="{00000000-0005-0000-0000-000043590000}"/>
    <cellStyle name="Style 251 3" xfId="18408" xr:uid="{00000000-0005-0000-0000-000044590000}"/>
    <cellStyle name="Style 251 4" xfId="18745" xr:uid="{00000000-0005-0000-0000-000045590000}"/>
    <cellStyle name="Style 251_TOM TAT" xfId="13012" xr:uid="{00000000-0005-0000-0000-000046590000}"/>
    <cellStyle name="Style 252" xfId="1602" xr:uid="{00000000-0005-0000-0000-000047590000}"/>
    <cellStyle name="Style 252 2" xfId="4629" xr:uid="{00000000-0005-0000-0000-000048590000}"/>
    <cellStyle name="Style 252 2 2" xfId="13013" xr:uid="{00000000-0005-0000-0000-000049590000}"/>
    <cellStyle name="Style 252 2_TOM TAT" xfId="13014" xr:uid="{00000000-0005-0000-0000-00004A590000}"/>
    <cellStyle name="Style 252 3" xfId="18409" xr:uid="{00000000-0005-0000-0000-00004B590000}"/>
    <cellStyle name="Style 252 4" xfId="18746" xr:uid="{00000000-0005-0000-0000-00004C590000}"/>
    <cellStyle name="Style 252_TOM TAT" xfId="13015" xr:uid="{00000000-0005-0000-0000-00004D590000}"/>
    <cellStyle name="Style 253" xfId="1603" xr:uid="{00000000-0005-0000-0000-00004E590000}"/>
    <cellStyle name="Style 253 2" xfId="4630" xr:uid="{00000000-0005-0000-0000-00004F590000}"/>
    <cellStyle name="Style 253 2 2" xfId="13016" xr:uid="{00000000-0005-0000-0000-000050590000}"/>
    <cellStyle name="Style 253 2_TOM TAT" xfId="13017" xr:uid="{00000000-0005-0000-0000-000051590000}"/>
    <cellStyle name="Style 253 3" xfId="18410" xr:uid="{00000000-0005-0000-0000-000052590000}"/>
    <cellStyle name="Style 253 4" xfId="18747" xr:uid="{00000000-0005-0000-0000-000053590000}"/>
    <cellStyle name="Style 253_TOM TAT" xfId="13018" xr:uid="{00000000-0005-0000-0000-000054590000}"/>
    <cellStyle name="Style 254" xfId="1604" xr:uid="{00000000-0005-0000-0000-000055590000}"/>
    <cellStyle name="Style 254 2" xfId="4631" xr:uid="{00000000-0005-0000-0000-000056590000}"/>
    <cellStyle name="Style 254 2 2" xfId="13019" xr:uid="{00000000-0005-0000-0000-000057590000}"/>
    <cellStyle name="Style 254 2_TOM TAT" xfId="13020" xr:uid="{00000000-0005-0000-0000-000058590000}"/>
    <cellStyle name="Style 254 3" xfId="18411" xr:uid="{00000000-0005-0000-0000-000059590000}"/>
    <cellStyle name="Style 254 4" xfId="18748" xr:uid="{00000000-0005-0000-0000-00005A590000}"/>
    <cellStyle name="Style 254_TOM TAT" xfId="13021" xr:uid="{00000000-0005-0000-0000-00005B590000}"/>
    <cellStyle name="Style 255" xfId="1605" xr:uid="{00000000-0005-0000-0000-00005C590000}"/>
    <cellStyle name="Style 255 2" xfId="4632" xr:uid="{00000000-0005-0000-0000-00005D590000}"/>
    <cellStyle name="Style 255 2 2" xfId="13022" xr:uid="{00000000-0005-0000-0000-00005E590000}"/>
    <cellStyle name="Style 255 2_TOM TAT" xfId="13023" xr:uid="{00000000-0005-0000-0000-00005F590000}"/>
    <cellStyle name="Style 255 3" xfId="18412" xr:uid="{00000000-0005-0000-0000-000060590000}"/>
    <cellStyle name="Style 255 4" xfId="18749" xr:uid="{00000000-0005-0000-0000-000061590000}"/>
    <cellStyle name="Style 255_TOM TAT" xfId="13024" xr:uid="{00000000-0005-0000-0000-000062590000}"/>
    <cellStyle name="Style 26" xfId="1606" xr:uid="{00000000-0005-0000-0000-000063590000}"/>
    <cellStyle name="Style 26 2" xfId="4633" xr:uid="{00000000-0005-0000-0000-000064590000}"/>
    <cellStyle name="Style 26 2 2" xfId="13025" xr:uid="{00000000-0005-0000-0000-000065590000}"/>
    <cellStyle name="Style 26 2_TOM TAT" xfId="13026" xr:uid="{00000000-0005-0000-0000-000066590000}"/>
    <cellStyle name="Style 26 3" xfId="18413" xr:uid="{00000000-0005-0000-0000-000067590000}"/>
    <cellStyle name="Style 26 4" xfId="18750" xr:uid="{00000000-0005-0000-0000-000068590000}"/>
    <cellStyle name="Style 26_TOM TAT" xfId="13027" xr:uid="{00000000-0005-0000-0000-000069590000}"/>
    <cellStyle name="Style 27" xfId="1607" xr:uid="{00000000-0005-0000-0000-00006A590000}"/>
    <cellStyle name="Style 27 2" xfId="4634" xr:uid="{00000000-0005-0000-0000-00006B590000}"/>
    <cellStyle name="Style 27 2 2" xfId="13028" xr:uid="{00000000-0005-0000-0000-00006C590000}"/>
    <cellStyle name="Style 27 2_TOM TAT" xfId="13029" xr:uid="{00000000-0005-0000-0000-00006D590000}"/>
    <cellStyle name="Style 27 3" xfId="18414" xr:uid="{00000000-0005-0000-0000-00006E590000}"/>
    <cellStyle name="Style 27 4" xfId="18751" xr:uid="{00000000-0005-0000-0000-00006F590000}"/>
    <cellStyle name="Style 27_TOM TAT" xfId="13030" xr:uid="{00000000-0005-0000-0000-000070590000}"/>
    <cellStyle name="Style 28" xfId="1608" xr:uid="{00000000-0005-0000-0000-000071590000}"/>
    <cellStyle name="Style 28 2" xfId="4635" xr:uid="{00000000-0005-0000-0000-000072590000}"/>
    <cellStyle name="Style 28 2 2" xfId="13031" xr:uid="{00000000-0005-0000-0000-000073590000}"/>
    <cellStyle name="Style 28 2_TOM TAT" xfId="13032" xr:uid="{00000000-0005-0000-0000-000074590000}"/>
    <cellStyle name="Style 28 3" xfId="18415" xr:uid="{00000000-0005-0000-0000-000075590000}"/>
    <cellStyle name="Style 28 4" xfId="18752" xr:uid="{00000000-0005-0000-0000-000076590000}"/>
    <cellStyle name="Style 28_TOM TAT" xfId="13033" xr:uid="{00000000-0005-0000-0000-000077590000}"/>
    <cellStyle name="Style 29" xfId="1609" xr:uid="{00000000-0005-0000-0000-000078590000}"/>
    <cellStyle name="Style 29 2" xfId="4636" xr:uid="{00000000-0005-0000-0000-000079590000}"/>
    <cellStyle name="Style 29 2 2" xfId="13034" xr:uid="{00000000-0005-0000-0000-00007A590000}"/>
    <cellStyle name="Style 29 2_TOM TAT" xfId="13035" xr:uid="{00000000-0005-0000-0000-00007B590000}"/>
    <cellStyle name="Style 29 3" xfId="18416" xr:uid="{00000000-0005-0000-0000-00007C590000}"/>
    <cellStyle name="Style 29 4" xfId="18753" xr:uid="{00000000-0005-0000-0000-00007D590000}"/>
    <cellStyle name="Style 29_TOM TAT" xfId="13036" xr:uid="{00000000-0005-0000-0000-00007E590000}"/>
    <cellStyle name="Style 3" xfId="1610" xr:uid="{00000000-0005-0000-0000-00007F590000}"/>
    <cellStyle name="Style 3 2" xfId="4637" xr:uid="{00000000-0005-0000-0000-000080590000}"/>
    <cellStyle name="Style 3 2 2" xfId="13037" xr:uid="{00000000-0005-0000-0000-000081590000}"/>
    <cellStyle name="Style 3 2_TOM TAT" xfId="13038" xr:uid="{00000000-0005-0000-0000-000082590000}"/>
    <cellStyle name="Style 3 3" xfId="18417" xr:uid="{00000000-0005-0000-0000-000083590000}"/>
    <cellStyle name="Style 3 4" xfId="18754" xr:uid="{00000000-0005-0000-0000-000084590000}"/>
    <cellStyle name="Style 3_TOM TAT" xfId="13039" xr:uid="{00000000-0005-0000-0000-000085590000}"/>
    <cellStyle name="Style 30" xfId="1611" xr:uid="{00000000-0005-0000-0000-000086590000}"/>
    <cellStyle name="Style 30 2" xfId="4638" xr:uid="{00000000-0005-0000-0000-000087590000}"/>
    <cellStyle name="Style 30 2 2" xfId="13040" xr:uid="{00000000-0005-0000-0000-000088590000}"/>
    <cellStyle name="Style 30 2_TOM TAT" xfId="13041" xr:uid="{00000000-0005-0000-0000-000089590000}"/>
    <cellStyle name="Style 30 3" xfId="18418" xr:uid="{00000000-0005-0000-0000-00008A590000}"/>
    <cellStyle name="Style 30 4" xfId="18755" xr:uid="{00000000-0005-0000-0000-00008B590000}"/>
    <cellStyle name="Style 30_TOM TAT" xfId="13042" xr:uid="{00000000-0005-0000-0000-00008C590000}"/>
    <cellStyle name="Style 31" xfId="1612" xr:uid="{00000000-0005-0000-0000-00008D590000}"/>
    <cellStyle name="Style 31 2" xfId="4639" xr:uid="{00000000-0005-0000-0000-00008E590000}"/>
    <cellStyle name="Style 31 2 2" xfId="13043" xr:uid="{00000000-0005-0000-0000-00008F590000}"/>
    <cellStyle name="Style 31 2_TOM TAT" xfId="13044" xr:uid="{00000000-0005-0000-0000-000090590000}"/>
    <cellStyle name="Style 31 3" xfId="18419" xr:uid="{00000000-0005-0000-0000-000091590000}"/>
    <cellStyle name="Style 31 4" xfId="18756" xr:uid="{00000000-0005-0000-0000-000092590000}"/>
    <cellStyle name="Style 31_TOM TAT" xfId="13045" xr:uid="{00000000-0005-0000-0000-000093590000}"/>
    <cellStyle name="Style 32" xfId="1613" xr:uid="{00000000-0005-0000-0000-000094590000}"/>
    <cellStyle name="Style 32 2" xfId="4640" xr:uid="{00000000-0005-0000-0000-000095590000}"/>
    <cellStyle name="Style 32 2 2" xfId="13046" xr:uid="{00000000-0005-0000-0000-000096590000}"/>
    <cellStyle name="Style 32 2_TOM TAT" xfId="13047" xr:uid="{00000000-0005-0000-0000-000097590000}"/>
    <cellStyle name="Style 32 3" xfId="18420" xr:uid="{00000000-0005-0000-0000-000098590000}"/>
    <cellStyle name="Style 32 4" xfId="18757" xr:uid="{00000000-0005-0000-0000-000099590000}"/>
    <cellStyle name="Style 32_TOM TAT" xfId="13048" xr:uid="{00000000-0005-0000-0000-00009A590000}"/>
    <cellStyle name="Style 33" xfId="1614" xr:uid="{00000000-0005-0000-0000-00009B590000}"/>
    <cellStyle name="Style 33 2" xfId="4641" xr:uid="{00000000-0005-0000-0000-00009C590000}"/>
    <cellStyle name="Style 33 2 2" xfId="13049" xr:uid="{00000000-0005-0000-0000-00009D590000}"/>
    <cellStyle name="Style 33 2_TOM TAT" xfId="13050" xr:uid="{00000000-0005-0000-0000-00009E590000}"/>
    <cellStyle name="Style 33 3" xfId="18421" xr:uid="{00000000-0005-0000-0000-00009F590000}"/>
    <cellStyle name="Style 33 4" xfId="18758" xr:uid="{00000000-0005-0000-0000-0000A0590000}"/>
    <cellStyle name="Style 33_TOM TAT" xfId="13051" xr:uid="{00000000-0005-0000-0000-0000A1590000}"/>
    <cellStyle name="Style 34" xfId="1615" xr:uid="{00000000-0005-0000-0000-0000A2590000}"/>
    <cellStyle name="Style 34 2" xfId="4642" xr:uid="{00000000-0005-0000-0000-0000A3590000}"/>
    <cellStyle name="Style 34 2 2" xfId="13052" xr:uid="{00000000-0005-0000-0000-0000A4590000}"/>
    <cellStyle name="Style 34 2_TOM TAT" xfId="13053" xr:uid="{00000000-0005-0000-0000-0000A5590000}"/>
    <cellStyle name="Style 34 3" xfId="18422" xr:uid="{00000000-0005-0000-0000-0000A6590000}"/>
    <cellStyle name="Style 34 4" xfId="18759" xr:uid="{00000000-0005-0000-0000-0000A7590000}"/>
    <cellStyle name="Style 34_TOM TAT" xfId="13054" xr:uid="{00000000-0005-0000-0000-0000A8590000}"/>
    <cellStyle name="Style 35" xfId="1616" xr:uid="{00000000-0005-0000-0000-0000A9590000}"/>
    <cellStyle name="Style 35 2" xfId="4643" xr:uid="{00000000-0005-0000-0000-0000AA590000}"/>
    <cellStyle name="Style 35 2 2" xfId="13055" xr:uid="{00000000-0005-0000-0000-0000AB590000}"/>
    <cellStyle name="Style 35 2_TOM TAT" xfId="13056" xr:uid="{00000000-0005-0000-0000-0000AC590000}"/>
    <cellStyle name="Style 35 3" xfId="18423" xr:uid="{00000000-0005-0000-0000-0000AD590000}"/>
    <cellStyle name="Style 35 4" xfId="18760" xr:uid="{00000000-0005-0000-0000-0000AE590000}"/>
    <cellStyle name="Style 35_TOM TAT" xfId="13057" xr:uid="{00000000-0005-0000-0000-0000AF590000}"/>
    <cellStyle name="Style 36" xfId="1617" xr:uid="{00000000-0005-0000-0000-0000B0590000}"/>
    <cellStyle name="Style 36 2" xfId="4644" xr:uid="{00000000-0005-0000-0000-0000B1590000}"/>
    <cellStyle name="Style 36 2 2" xfId="13058" xr:uid="{00000000-0005-0000-0000-0000B2590000}"/>
    <cellStyle name="Style 36 2_TOM TAT" xfId="13059" xr:uid="{00000000-0005-0000-0000-0000B3590000}"/>
    <cellStyle name="Style 36 3" xfId="18424" xr:uid="{00000000-0005-0000-0000-0000B4590000}"/>
    <cellStyle name="Style 36 4" xfId="18761" xr:uid="{00000000-0005-0000-0000-0000B5590000}"/>
    <cellStyle name="Style 36_TOM TAT" xfId="13060" xr:uid="{00000000-0005-0000-0000-0000B6590000}"/>
    <cellStyle name="Style 37" xfId="1618" xr:uid="{00000000-0005-0000-0000-0000B7590000}"/>
    <cellStyle name="Style 37 2" xfId="4645" xr:uid="{00000000-0005-0000-0000-0000B8590000}"/>
    <cellStyle name="Style 37 2 2" xfId="13061" xr:uid="{00000000-0005-0000-0000-0000B9590000}"/>
    <cellStyle name="Style 37 2_TOM TAT" xfId="13062" xr:uid="{00000000-0005-0000-0000-0000BA590000}"/>
    <cellStyle name="Style 37 3" xfId="18425" xr:uid="{00000000-0005-0000-0000-0000BB590000}"/>
    <cellStyle name="Style 37 4" xfId="18762" xr:uid="{00000000-0005-0000-0000-0000BC590000}"/>
    <cellStyle name="Style 37_TOM TAT" xfId="13063" xr:uid="{00000000-0005-0000-0000-0000BD590000}"/>
    <cellStyle name="Style 38" xfId="1619" xr:uid="{00000000-0005-0000-0000-0000BE590000}"/>
    <cellStyle name="Style 38 2" xfId="4646" xr:uid="{00000000-0005-0000-0000-0000BF590000}"/>
    <cellStyle name="Style 38 2 2" xfId="13064" xr:uid="{00000000-0005-0000-0000-0000C0590000}"/>
    <cellStyle name="Style 38 2_TOM TAT" xfId="13065" xr:uid="{00000000-0005-0000-0000-0000C1590000}"/>
    <cellStyle name="Style 38 3" xfId="18426" xr:uid="{00000000-0005-0000-0000-0000C2590000}"/>
    <cellStyle name="Style 38 4" xfId="18763" xr:uid="{00000000-0005-0000-0000-0000C3590000}"/>
    <cellStyle name="Style 38_TOM TAT" xfId="13066" xr:uid="{00000000-0005-0000-0000-0000C4590000}"/>
    <cellStyle name="Style 39" xfId="1620" xr:uid="{00000000-0005-0000-0000-0000C5590000}"/>
    <cellStyle name="Style 39 2" xfId="4647" xr:uid="{00000000-0005-0000-0000-0000C6590000}"/>
    <cellStyle name="Style 39 2 2" xfId="13067" xr:uid="{00000000-0005-0000-0000-0000C7590000}"/>
    <cellStyle name="Style 39 2_TOM TAT" xfId="13068" xr:uid="{00000000-0005-0000-0000-0000C8590000}"/>
    <cellStyle name="Style 39 3" xfId="18427" xr:uid="{00000000-0005-0000-0000-0000C9590000}"/>
    <cellStyle name="Style 39 4" xfId="18764" xr:uid="{00000000-0005-0000-0000-0000CA590000}"/>
    <cellStyle name="Style 39_TOM TAT" xfId="13069" xr:uid="{00000000-0005-0000-0000-0000CB590000}"/>
    <cellStyle name="Style 4" xfId="1621" xr:uid="{00000000-0005-0000-0000-0000CC590000}"/>
    <cellStyle name="Style 4 2" xfId="4648" xr:uid="{00000000-0005-0000-0000-0000CD590000}"/>
    <cellStyle name="Style 4 2 2" xfId="13070" xr:uid="{00000000-0005-0000-0000-0000CE590000}"/>
    <cellStyle name="Style 4 2_TOM TAT" xfId="13071" xr:uid="{00000000-0005-0000-0000-0000CF590000}"/>
    <cellStyle name="Style 4 3" xfId="18428" xr:uid="{00000000-0005-0000-0000-0000D0590000}"/>
    <cellStyle name="Style 4 4" xfId="18765" xr:uid="{00000000-0005-0000-0000-0000D1590000}"/>
    <cellStyle name="Style 4_TOM TAT" xfId="13072" xr:uid="{00000000-0005-0000-0000-0000D2590000}"/>
    <cellStyle name="Style 40" xfId="1622" xr:uid="{00000000-0005-0000-0000-0000D3590000}"/>
    <cellStyle name="Style 40 2" xfId="4649" xr:uid="{00000000-0005-0000-0000-0000D4590000}"/>
    <cellStyle name="Style 40 2 2" xfId="13073" xr:uid="{00000000-0005-0000-0000-0000D5590000}"/>
    <cellStyle name="Style 40 2_TOM TAT" xfId="13074" xr:uid="{00000000-0005-0000-0000-0000D6590000}"/>
    <cellStyle name="Style 40 3" xfId="18429" xr:uid="{00000000-0005-0000-0000-0000D7590000}"/>
    <cellStyle name="Style 40 4" xfId="18766" xr:uid="{00000000-0005-0000-0000-0000D8590000}"/>
    <cellStyle name="Style 40_TOM TAT" xfId="13075" xr:uid="{00000000-0005-0000-0000-0000D9590000}"/>
    <cellStyle name="Style 41" xfId="1623" xr:uid="{00000000-0005-0000-0000-0000DA590000}"/>
    <cellStyle name="Style 41 2" xfId="4650" xr:uid="{00000000-0005-0000-0000-0000DB590000}"/>
    <cellStyle name="Style 41 2 2" xfId="13076" xr:uid="{00000000-0005-0000-0000-0000DC590000}"/>
    <cellStyle name="Style 41 2_TOM TAT" xfId="13077" xr:uid="{00000000-0005-0000-0000-0000DD590000}"/>
    <cellStyle name="Style 41 3" xfId="18430" xr:uid="{00000000-0005-0000-0000-0000DE590000}"/>
    <cellStyle name="Style 41 4" xfId="18767" xr:uid="{00000000-0005-0000-0000-0000DF590000}"/>
    <cellStyle name="Style 41_TOM TAT" xfId="13078" xr:uid="{00000000-0005-0000-0000-0000E0590000}"/>
    <cellStyle name="Style 42" xfId="1624" xr:uid="{00000000-0005-0000-0000-0000E1590000}"/>
    <cellStyle name="Style 42 2" xfId="4651" xr:uid="{00000000-0005-0000-0000-0000E2590000}"/>
    <cellStyle name="Style 42 2 2" xfId="13079" xr:uid="{00000000-0005-0000-0000-0000E3590000}"/>
    <cellStyle name="Style 42 2_TOM TAT" xfId="13080" xr:uid="{00000000-0005-0000-0000-0000E4590000}"/>
    <cellStyle name="Style 42 3" xfId="18431" xr:uid="{00000000-0005-0000-0000-0000E5590000}"/>
    <cellStyle name="Style 42 4" xfId="18768" xr:uid="{00000000-0005-0000-0000-0000E6590000}"/>
    <cellStyle name="Style 42_TOM TAT" xfId="13081" xr:uid="{00000000-0005-0000-0000-0000E7590000}"/>
    <cellStyle name="Style 43" xfId="1625" xr:uid="{00000000-0005-0000-0000-0000E8590000}"/>
    <cellStyle name="Style 43 2" xfId="4652" xr:uid="{00000000-0005-0000-0000-0000E9590000}"/>
    <cellStyle name="Style 43 2 2" xfId="13082" xr:uid="{00000000-0005-0000-0000-0000EA590000}"/>
    <cellStyle name="Style 43 2_TOM TAT" xfId="13083" xr:uid="{00000000-0005-0000-0000-0000EB590000}"/>
    <cellStyle name="Style 43 3" xfId="18432" xr:uid="{00000000-0005-0000-0000-0000EC590000}"/>
    <cellStyle name="Style 43 4" xfId="18769" xr:uid="{00000000-0005-0000-0000-0000ED590000}"/>
    <cellStyle name="Style 43_TOM TAT" xfId="13084" xr:uid="{00000000-0005-0000-0000-0000EE590000}"/>
    <cellStyle name="Style 44" xfId="1626" xr:uid="{00000000-0005-0000-0000-0000EF590000}"/>
    <cellStyle name="Style 44 2" xfId="4653" xr:uid="{00000000-0005-0000-0000-0000F0590000}"/>
    <cellStyle name="Style 44 2 2" xfId="13085" xr:uid="{00000000-0005-0000-0000-0000F1590000}"/>
    <cellStyle name="Style 44 2_TOM TAT" xfId="13086" xr:uid="{00000000-0005-0000-0000-0000F2590000}"/>
    <cellStyle name="Style 44 3" xfId="18433" xr:uid="{00000000-0005-0000-0000-0000F3590000}"/>
    <cellStyle name="Style 44 4" xfId="18770" xr:uid="{00000000-0005-0000-0000-0000F4590000}"/>
    <cellStyle name="Style 44_TOM TAT" xfId="13087" xr:uid="{00000000-0005-0000-0000-0000F5590000}"/>
    <cellStyle name="Style 45" xfId="1627" xr:uid="{00000000-0005-0000-0000-0000F6590000}"/>
    <cellStyle name="Style 45 2" xfId="4654" xr:uid="{00000000-0005-0000-0000-0000F7590000}"/>
    <cellStyle name="Style 45 2 2" xfId="13088" xr:uid="{00000000-0005-0000-0000-0000F8590000}"/>
    <cellStyle name="Style 45 2_TOM TAT" xfId="13089" xr:uid="{00000000-0005-0000-0000-0000F9590000}"/>
    <cellStyle name="Style 45 3" xfId="18434" xr:uid="{00000000-0005-0000-0000-0000FA590000}"/>
    <cellStyle name="Style 45 4" xfId="18771" xr:uid="{00000000-0005-0000-0000-0000FB590000}"/>
    <cellStyle name="Style 45_TOM TAT" xfId="13090" xr:uid="{00000000-0005-0000-0000-0000FC590000}"/>
    <cellStyle name="Style 46" xfId="1628" xr:uid="{00000000-0005-0000-0000-0000FD590000}"/>
    <cellStyle name="Style 46 2" xfId="4655" xr:uid="{00000000-0005-0000-0000-0000FE590000}"/>
    <cellStyle name="Style 46 2 2" xfId="13091" xr:uid="{00000000-0005-0000-0000-0000FF590000}"/>
    <cellStyle name="Style 46 2_TOM TAT" xfId="13092" xr:uid="{00000000-0005-0000-0000-0000005A0000}"/>
    <cellStyle name="Style 46 3" xfId="18435" xr:uid="{00000000-0005-0000-0000-0000015A0000}"/>
    <cellStyle name="Style 46 4" xfId="18772" xr:uid="{00000000-0005-0000-0000-0000025A0000}"/>
    <cellStyle name="Style 46_TOM TAT" xfId="13093" xr:uid="{00000000-0005-0000-0000-0000035A0000}"/>
    <cellStyle name="Style 47" xfId="1629" xr:uid="{00000000-0005-0000-0000-0000045A0000}"/>
    <cellStyle name="Style 47 2" xfId="4656" xr:uid="{00000000-0005-0000-0000-0000055A0000}"/>
    <cellStyle name="Style 47 2 2" xfId="13094" xr:uid="{00000000-0005-0000-0000-0000065A0000}"/>
    <cellStyle name="Style 47 2_TOM TAT" xfId="13095" xr:uid="{00000000-0005-0000-0000-0000075A0000}"/>
    <cellStyle name="Style 47 3" xfId="18436" xr:uid="{00000000-0005-0000-0000-0000085A0000}"/>
    <cellStyle name="Style 47 4" xfId="18773" xr:uid="{00000000-0005-0000-0000-0000095A0000}"/>
    <cellStyle name="Style 47_TOM TAT" xfId="13096" xr:uid="{00000000-0005-0000-0000-00000A5A0000}"/>
    <cellStyle name="Style 48" xfId="1630" xr:uid="{00000000-0005-0000-0000-00000B5A0000}"/>
    <cellStyle name="Style 48 2" xfId="4657" xr:uid="{00000000-0005-0000-0000-00000C5A0000}"/>
    <cellStyle name="Style 48 2 2" xfId="13097" xr:uid="{00000000-0005-0000-0000-00000D5A0000}"/>
    <cellStyle name="Style 48 2_TOM TAT" xfId="13098" xr:uid="{00000000-0005-0000-0000-00000E5A0000}"/>
    <cellStyle name="Style 48 3" xfId="18437" xr:uid="{00000000-0005-0000-0000-00000F5A0000}"/>
    <cellStyle name="Style 48 4" xfId="18774" xr:uid="{00000000-0005-0000-0000-0000105A0000}"/>
    <cellStyle name="Style 48_TOM TAT" xfId="13099" xr:uid="{00000000-0005-0000-0000-0000115A0000}"/>
    <cellStyle name="Style 49" xfId="1631" xr:uid="{00000000-0005-0000-0000-0000125A0000}"/>
    <cellStyle name="Style 49 2" xfId="4658" xr:uid="{00000000-0005-0000-0000-0000135A0000}"/>
    <cellStyle name="Style 49 2 2" xfId="13100" xr:uid="{00000000-0005-0000-0000-0000145A0000}"/>
    <cellStyle name="Style 49 2_TOM TAT" xfId="13101" xr:uid="{00000000-0005-0000-0000-0000155A0000}"/>
    <cellStyle name="Style 49 3" xfId="18438" xr:uid="{00000000-0005-0000-0000-0000165A0000}"/>
    <cellStyle name="Style 49 4" xfId="18775" xr:uid="{00000000-0005-0000-0000-0000175A0000}"/>
    <cellStyle name="Style 49_TOM TAT" xfId="13102" xr:uid="{00000000-0005-0000-0000-0000185A0000}"/>
    <cellStyle name="Style 5" xfId="1632" xr:uid="{00000000-0005-0000-0000-0000195A0000}"/>
    <cellStyle name="Style 5 2" xfId="4659" xr:uid="{00000000-0005-0000-0000-00001A5A0000}"/>
    <cellStyle name="Style 5 2 2" xfId="13103" xr:uid="{00000000-0005-0000-0000-00001B5A0000}"/>
    <cellStyle name="Style 5 2_TOM TAT" xfId="13104" xr:uid="{00000000-0005-0000-0000-00001C5A0000}"/>
    <cellStyle name="Style 5 3" xfId="18439" xr:uid="{00000000-0005-0000-0000-00001D5A0000}"/>
    <cellStyle name="Style 5 4" xfId="18776" xr:uid="{00000000-0005-0000-0000-00001E5A0000}"/>
    <cellStyle name="Style 5_TOM TAT" xfId="13105" xr:uid="{00000000-0005-0000-0000-00001F5A0000}"/>
    <cellStyle name="Style 50" xfId="1633" xr:uid="{00000000-0005-0000-0000-0000205A0000}"/>
    <cellStyle name="Style 50 2" xfId="4660" xr:uid="{00000000-0005-0000-0000-0000215A0000}"/>
    <cellStyle name="Style 50 2 2" xfId="13106" xr:uid="{00000000-0005-0000-0000-0000225A0000}"/>
    <cellStyle name="Style 50 2_TOM TAT" xfId="13107" xr:uid="{00000000-0005-0000-0000-0000235A0000}"/>
    <cellStyle name="Style 50 3" xfId="18440" xr:uid="{00000000-0005-0000-0000-0000245A0000}"/>
    <cellStyle name="Style 50 4" xfId="18777" xr:uid="{00000000-0005-0000-0000-0000255A0000}"/>
    <cellStyle name="Style 50_TOM TAT" xfId="13108" xr:uid="{00000000-0005-0000-0000-0000265A0000}"/>
    <cellStyle name="Style 51" xfId="1634" xr:uid="{00000000-0005-0000-0000-0000275A0000}"/>
    <cellStyle name="Style 51 2" xfId="4661" xr:uid="{00000000-0005-0000-0000-0000285A0000}"/>
    <cellStyle name="Style 51 2 2" xfId="13109" xr:uid="{00000000-0005-0000-0000-0000295A0000}"/>
    <cellStyle name="Style 51 2_TOM TAT" xfId="13110" xr:uid="{00000000-0005-0000-0000-00002A5A0000}"/>
    <cellStyle name="Style 51 3" xfId="18441" xr:uid="{00000000-0005-0000-0000-00002B5A0000}"/>
    <cellStyle name="Style 51 4" xfId="18778" xr:uid="{00000000-0005-0000-0000-00002C5A0000}"/>
    <cellStyle name="Style 51_TOM TAT" xfId="13111" xr:uid="{00000000-0005-0000-0000-00002D5A0000}"/>
    <cellStyle name="Style 52" xfId="1635" xr:uid="{00000000-0005-0000-0000-00002E5A0000}"/>
    <cellStyle name="Style 52 2" xfId="4662" xr:uid="{00000000-0005-0000-0000-00002F5A0000}"/>
    <cellStyle name="Style 52 2 2" xfId="13112" xr:uid="{00000000-0005-0000-0000-0000305A0000}"/>
    <cellStyle name="Style 52 2_TOM TAT" xfId="13113" xr:uid="{00000000-0005-0000-0000-0000315A0000}"/>
    <cellStyle name="Style 52 3" xfId="18442" xr:uid="{00000000-0005-0000-0000-0000325A0000}"/>
    <cellStyle name="Style 52 4" xfId="18779" xr:uid="{00000000-0005-0000-0000-0000335A0000}"/>
    <cellStyle name="Style 52_TOM TAT" xfId="13114" xr:uid="{00000000-0005-0000-0000-0000345A0000}"/>
    <cellStyle name="Style 53" xfId="1636" xr:uid="{00000000-0005-0000-0000-0000355A0000}"/>
    <cellStyle name="Style 53 2" xfId="4663" xr:uid="{00000000-0005-0000-0000-0000365A0000}"/>
    <cellStyle name="Style 53 2 2" xfId="13115" xr:uid="{00000000-0005-0000-0000-0000375A0000}"/>
    <cellStyle name="Style 53 2_TOM TAT" xfId="13116" xr:uid="{00000000-0005-0000-0000-0000385A0000}"/>
    <cellStyle name="Style 53 3" xfId="18443" xr:uid="{00000000-0005-0000-0000-0000395A0000}"/>
    <cellStyle name="Style 53 4" xfId="18780" xr:uid="{00000000-0005-0000-0000-00003A5A0000}"/>
    <cellStyle name="Style 53_TOM TAT" xfId="13117" xr:uid="{00000000-0005-0000-0000-00003B5A0000}"/>
    <cellStyle name="Style 54" xfId="1637" xr:uid="{00000000-0005-0000-0000-00003C5A0000}"/>
    <cellStyle name="Style 54 2" xfId="4664" xr:uid="{00000000-0005-0000-0000-00003D5A0000}"/>
    <cellStyle name="Style 54 2 2" xfId="13118" xr:uid="{00000000-0005-0000-0000-00003E5A0000}"/>
    <cellStyle name="Style 54 2_TOM TAT" xfId="13119" xr:uid="{00000000-0005-0000-0000-00003F5A0000}"/>
    <cellStyle name="Style 54 3" xfId="18444" xr:uid="{00000000-0005-0000-0000-0000405A0000}"/>
    <cellStyle name="Style 54 4" xfId="18781" xr:uid="{00000000-0005-0000-0000-0000415A0000}"/>
    <cellStyle name="Style 54_TOM TAT" xfId="13120" xr:uid="{00000000-0005-0000-0000-0000425A0000}"/>
    <cellStyle name="Style 55" xfId="1638" xr:uid="{00000000-0005-0000-0000-0000435A0000}"/>
    <cellStyle name="Style 55 2" xfId="4665" xr:uid="{00000000-0005-0000-0000-0000445A0000}"/>
    <cellStyle name="Style 55 2 2" xfId="13121" xr:uid="{00000000-0005-0000-0000-0000455A0000}"/>
    <cellStyle name="Style 55 2_TOM TAT" xfId="13122" xr:uid="{00000000-0005-0000-0000-0000465A0000}"/>
    <cellStyle name="Style 55 3" xfId="18445" xr:uid="{00000000-0005-0000-0000-0000475A0000}"/>
    <cellStyle name="Style 55 4" xfId="18782" xr:uid="{00000000-0005-0000-0000-0000485A0000}"/>
    <cellStyle name="Style 55_TOM TAT" xfId="13123" xr:uid="{00000000-0005-0000-0000-0000495A0000}"/>
    <cellStyle name="Style 56" xfId="1639" xr:uid="{00000000-0005-0000-0000-00004A5A0000}"/>
    <cellStyle name="Style 56 2" xfId="4666" xr:uid="{00000000-0005-0000-0000-00004B5A0000}"/>
    <cellStyle name="Style 56 2 2" xfId="13124" xr:uid="{00000000-0005-0000-0000-00004C5A0000}"/>
    <cellStyle name="Style 56 2_TOM TAT" xfId="13125" xr:uid="{00000000-0005-0000-0000-00004D5A0000}"/>
    <cellStyle name="Style 56 3" xfId="18446" xr:uid="{00000000-0005-0000-0000-00004E5A0000}"/>
    <cellStyle name="Style 56 4" xfId="18783" xr:uid="{00000000-0005-0000-0000-00004F5A0000}"/>
    <cellStyle name="Style 56_TOM TAT" xfId="13126" xr:uid="{00000000-0005-0000-0000-0000505A0000}"/>
    <cellStyle name="Style 57" xfId="1640" xr:uid="{00000000-0005-0000-0000-0000515A0000}"/>
    <cellStyle name="Style 57 2" xfId="4667" xr:uid="{00000000-0005-0000-0000-0000525A0000}"/>
    <cellStyle name="Style 57 2 2" xfId="13127" xr:uid="{00000000-0005-0000-0000-0000535A0000}"/>
    <cellStyle name="Style 57 2_TOM TAT" xfId="13128" xr:uid="{00000000-0005-0000-0000-0000545A0000}"/>
    <cellStyle name="Style 57 3" xfId="18447" xr:uid="{00000000-0005-0000-0000-0000555A0000}"/>
    <cellStyle name="Style 57 4" xfId="18784" xr:uid="{00000000-0005-0000-0000-0000565A0000}"/>
    <cellStyle name="Style 57_TOM TAT" xfId="13129" xr:uid="{00000000-0005-0000-0000-0000575A0000}"/>
    <cellStyle name="Style 58" xfId="1641" xr:uid="{00000000-0005-0000-0000-0000585A0000}"/>
    <cellStyle name="Style 58 2" xfId="4668" xr:uid="{00000000-0005-0000-0000-0000595A0000}"/>
    <cellStyle name="Style 58 2 2" xfId="13130" xr:uid="{00000000-0005-0000-0000-00005A5A0000}"/>
    <cellStyle name="Style 58 2_TOM TAT" xfId="13131" xr:uid="{00000000-0005-0000-0000-00005B5A0000}"/>
    <cellStyle name="Style 58 3" xfId="18448" xr:uid="{00000000-0005-0000-0000-00005C5A0000}"/>
    <cellStyle name="Style 58 4" xfId="18785" xr:uid="{00000000-0005-0000-0000-00005D5A0000}"/>
    <cellStyle name="Style 58_TOM TAT" xfId="13132" xr:uid="{00000000-0005-0000-0000-00005E5A0000}"/>
    <cellStyle name="Style 59" xfId="1642" xr:uid="{00000000-0005-0000-0000-00005F5A0000}"/>
    <cellStyle name="Style 59 2" xfId="4669" xr:uid="{00000000-0005-0000-0000-0000605A0000}"/>
    <cellStyle name="Style 59 2 2" xfId="13133" xr:uid="{00000000-0005-0000-0000-0000615A0000}"/>
    <cellStyle name="Style 59 2_TOM TAT" xfId="13134" xr:uid="{00000000-0005-0000-0000-0000625A0000}"/>
    <cellStyle name="Style 59 3" xfId="18449" xr:uid="{00000000-0005-0000-0000-0000635A0000}"/>
    <cellStyle name="Style 59 4" xfId="18786" xr:uid="{00000000-0005-0000-0000-0000645A0000}"/>
    <cellStyle name="Style 59_TOM TAT" xfId="13135" xr:uid="{00000000-0005-0000-0000-0000655A0000}"/>
    <cellStyle name="Style 6" xfId="1643" xr:uid="{00000000-0005-0000-0000-0000665A0000}"/>
    <cellStyle name="Style 6 2" xfId="4670" xr:uid="{00000000-0005-0000-0000-0000675A0000}"/>
    <cellStyle name="Style 6 2 2" xfId="13136" xr:uid="{00000000-0005-0000-0000-0000685A0000}"/>
    <cellStyle name="Style 6 2_TOM TAT" xfId="13137" xr:uid="{00000000-0005-0000-0000-0000695A0000}"/>
    <cellStyle name="Style 6 3" xfId="18450" xr:uid="{00000000-0005-0000-0000-00006A5A0000}"/>
    <cellStyle name="Style 6 4" xfId="18787" xr:uid="{00000000-0005-0000-0000-00006B5A0000}"/>
    <cellStyle name="Style 6_TOM TAT" xfId="13138" xr:uid="{00000000-0005-0000-0000-00006C5A0000}"/>
    <cellStyle name="Style 60" xfId="1644" xr:uid="{00000000-0005-0000-0000-00006D5A0000}"/>
    <cellStyle name="Style 60 2" xfId="4671" xr:uid="{00000000-0005-0000-0000-00006E5A0000}"/>
    <cellStyle name="Style 60 2 2" xfId="13139" xr:uid="{00000000-0005-0000-0000-00006F5A0000}"/>
    <cellStyle name="Style 60 2_TOM TAT" xfId="13140" xr:uid="{00000000-0005-0000-0000-0000705A0000}"/>
    <cellStyle name="Style 60 3" xfId="18451" xr:uid="{00000000-0005-0000-0000-0000715A0000}"/>
    <cellStyle name="Style 60 4" xfId="18788" xr:uid="{00000000-0005-0000-0000-0000725A0000}"/>
    <cellStyle name="Style 60_TOM TAT" xfId="13141" xr:uid="{00000000-0005-0000-0000-0000735A0000}"/>
    <cellStyle name="Style 61" xfId="1645" xr:uid="{00000000-0005-0000-0000-0000745A0000}"/>
    <cellStyle name="Style 61 2" xfId="4672" xr:uid="{00000000-0005-0000-0000-0000755A0000}"/>
    <cellStyle name="Style 61 2 2" xfId="13142" xr:uid="{00000000-0005-0000-0000-0000765A0000}"/>
    <cellStyle name="Style 61 2_TOM TAT" xfId="13143" xr:uid="{00000000-0005-0000-0000-0000775A0000}"/>
    <cellStyle name="Style 61 3" xfId="18452" xr:uid="{00000000-0005-0000-0000-0000785A0000}"/>
    <cellStyle name="Style 61 4" xfId="18789" xr:uid="{00000000-0005-0000-0000-0000795A0000}"/>
    <cellStyle name="Style 61_TOM TAT" xfId="13144" xr:uid="{00000000-0005-0000-0000-00007A5A0000}"/>
    <cellStyle name="Style 62" xfId="1646" xr:uid="{00000000-0005-0000-0000-00007B5A0000}"/>
    <cellStyle name="Style 62 2" xfId="4673" xr:uid="{00000000-0005-0000-0000-00007C5A0000}"/>
    <cellStyle name="Style 62 2 2" xfId="13145" xr:uid="{00000000-0005-0000-0000-00007D5A0000}"/>
    <cellStyle name="Style 62 2_TOM TAT" xfId="13146" xr:uid="{00000000-0005-0000-0000-00007E5A0000}"/>
    <cellStyle name="Style 62 3" xfId="18453" xr:uid="{00000000-0005-0000-0000-00007F5A0000}"/>
    <cellStyle name="Style 62 4" xfId="18790" xr:uid="{00000000-0005-0000-0000-0000805A0000}"/>
    <cellStyle name="Style 62_TOM TAT" xfId="13147" xr:uid="{00000000-0005-0000-0000-0000815A0000}"/>
    <cellStyle name="Style 63" xfId="1647" xr:uid="{00000000-0005-0000-0000-0000825A0000}"/>
    <cellStyle name="Style 63 2" xfId="4674" xr:uid="{00000000-0005-0000-0000-0000835A0000}"/>
    <cellStyle name="Style 63 2 2" xfId="13148" xr:uid="{00000000-0005-0000-0000-0000845A0000}"/>
    <cellStyle name="Style 63 2_TOM TAT" xfId="13149" xr:uid="{00000000-0005-0000-0000-0000855A0000}"/>
    <cellStyle name="Style 63 3" xfId="18454" xr:uid="{00000000-0005-0000-0000-0000865A0000}"/>
    <cellStyle name="Style 63 4" xfId="18791" xr:uid="{00000000-0005-0000-0000-0000875A0000}"/>
    <cellStyle name="Style 63_TOM TAT" xfId="13150" xr:uid="{00000000-0005-0000-0000-0000885A0000}"/>
    <cellStyle name="Style 64" xfId="1648" xr:uid="{00000000-0005-0000-0000-0000895A0000}"/>
    <cellStyle name="Style 64 2" xfId="4675" xr:uid="{00000000-0005-0000-0000-00008A5A0000}"/>
    <cellStyle name="Style 64 2 2" xfId="13151" xr:uid="{00000000-0005-0000-0000-00008B5A0000}"/>
    <cellStyle name="Style 64 2_TOM TAT" xfId="13152" xr:uid="{00000000-0005-0000-0000-00008C5A0000}"/>
    <cellStyle name="Style 64 3" xfId="18455" xr:uid="{00000000-0005-0000-0000-00008D5A0000}"/>
    <cellStyle name="Style 64 4" xfId="18792" xr:uid="{00000000-0005-0000-0000-00008E5A0000}"/>
    <cellStyle name="Style 64_TOM TAT" xfId="13153" xr:uid="{00000000-0005-0000-0000-00008F5A0000}"/>
    <cellStyle name="Style 65" xfId="1649" xr:uid="{00000000-0005-0000-0000-0000905A0000}"/>
    <cellStyle name="Style 65 2" xfId="4676" xr:uid="{00000000-0005-0000-0000-0000915A0000}"/>
    <cellStyle name="Style 65 2 2" xfId="13154" xr:uid="{00000000-0005-0000-0000-0000925A0000}"/>
    <cellStyle name="Style 65 2_TOM TAT" xfId="13155" xr:uid="{00000000-0005-0000-0000-0000935A0000}"/>
    <cellStyle name="Style 65 3" xfId="18456" xr:uid="{00000000-0005-0000-0000-0000945A0000}"/>
    <cellStyle name="Style 65 4" xfId="18793" xr:uid="{00000000-0005-0000-0000-0000955A0000}"/>
    <cellStyle name="Style 65_TOM TAT" xfId="13156" xr:uid="{00000000-0005-0000-0000-0000965A0000}"/>
    <cellStyle name="Style 66" xfId="1650" xr:uid="{00000000-0005-0000-0000-0000975A0000}"/>
    <cellStyle name="Style 66 2" xfId="4677" xr:uid="{00000000-0005-0000-0000-0000985A0000}"/>
    <cellStyle name="Style 66 2 2" xfId="13157" xr:uid="{00000000-0005-0000-0000-0000995A0000}"/>
    <cellStyle name="Style 66 2_TOM TAT" xfId="13158" xr:uid="{00000000-0005-0000-0000-00009A5A0000}"/>
    <cellStyle name="Style 66 3" xfId="18457" xr:uid="{00000000-0005-0000-0000-00009B5A0000}"/>
    <cellStyle name="Style 66 4" xfId="18794" xr:uid="{00000000-0005-0000-0000-00009C5A0000}"/>
    <cellStyle name="Style 66_TOM TAT" xfId="13159" xr:uid="{00000000-0005-0000-0000-00009D5A0000}"/>
    <cellStyle name="Style 67" xfId="1651" xr:uid="{00000000-0005-0000-0000-00009E5A0000}"/>
    <cellStyle name="Style 67 2" xfId="4678" xr:uid="{00000000-0005-0000-0000-00009F5A0000}"/>
    <cellStyle name="Style 67 2 2" xfId="13160" xr:uid="{00000000-0005-0000-0000-0000A05A0000}"/>
    <cellStyle name="Style 67 2_TOM TAT" xfId="13161" xr:uid="{00000000-0005-0000-0000-0000A15A0000}"/>
    <cellStyle name="Style 67 3" xfId="18458" xr:uid="{00000000-0005-0000-0000-0000A25A0000}"/>
    <cellStyle name="Style 67 4" xfId="18795" xr:uid="{00000000-0005-0000-0000-0000A35A0000}"/>
    <cellStyle name="Style 67_TOM TAT" xfId="13162" xr:uid="{00000000-0005-0000-0000-0000A45A0000}"/>
    <cellStyle name="Style 68" xfId="1652" xr:uid="{00000000-0005-0000-0000-0000A55A0000}"/>
    <cellStyle name="Style 68 2" xfId="4679" xr:uid="{00000000-0005-0000-0000-0000A65A0000}"/>
    <cellStyle name="Style 68 2 2" xfId="13163" xr:uid="{00000000-0005-0000-0000-0000A75A0000}"/>
    <cellStyle name="Style 68 2_TOM TAT" xfId="13164" xr:uid="{00000000-0005-0000-0000-0000A85A0000}"/>
    <cellStyle name="Style 68 3" xfId="18459" xr:uid="{00000000-0005-0000-0000-0000A95A0000}"/>
    <cellStyle name="Style 68 4" xfId="18796" xr:uid="{00000000-0005-0000-0000-0000AA5A0000}"/>
    <cellStyle name="Style 68_TOM TAT" xfId="13165" xr:uid="{00000000-0005-0000-0000-0000AB5A0000}"/>
    <cellStyle name="Style 69" xfId="1653" xr:uid="{00000000-0005-0000-0000-0000AC5A0000}"/>
    <cellStyle name="Style 69 2" xfId="4680" xr:uid="{00000000-0005-0000-0000-0000AD5A0000}"/>
    <cellStyle name="Style 69 2 2" xfId="13166" xr:uid="{00000000-0005-0000-0000-0000AE5A0000}"/>
    <cellStyle name="Style 69 2_TOM TAT" xfId="13167" xr:uid="{00000000-0005-0000-0000-0000AF5A0000}"/>
    <cellStyle name="Style 69 3" xfId="18460" xr:uid="{00000000-0005-0000-0000-0000B05A0000}"/>
    <cellStyle name="Style 69 4" xfId="18797" xr:uid="{00000000-0005-0000-0000-0000B15A0000}"/>
    <cellStyle name="Style 69_TOM TAT" xfId="13168" xr:uid="{00000000-0005-0000-0000-0000B25A0000}"/>
    <cellStyle name="Style 7" xfId="1654" xr:uid="{00000000-0005-0000-0000-0000B35A0000}"/>
    <cellStyle name="Style 7 2" xfId="4681" xr:uid="{00000000-0005-0000-0000-0000B45A0000}"/>
    <cellStyle name="Style 7 2 2" xfId="13169" xr:uid="{00000000-0005-0000-0000-0000B55A0000}"/>
    <cellStyle name="Style 7 2_TOM TAT" xfId="13170" xr:uid="{00000000-0005-0000-0000-0000B65A0000}"/>
    <cellStyle name="Style 7 3" xfId="18461" xr:uid="{00000000-0005-0000-0000-0000B75A0000}"/>
    <cellStyle name="Style 7 4" xfId="18798" xr:uid="{00000000-0005-0000-0000-0000B85A0000}"/>
    <cellStyle name="Style 7_TOM TAT" xfId="13171" xr:uid="{00000000-0005-0000-0000-0000B95A0000}"/>
    <cellStyle name="Style 70" xfId="1655" xr:uid="{00000000-0005-0000-0000-0000BA5A0000}"/>
    <cellStyle name="Style 70 2" xfId="4682" xr:uid="{00000000-0005-0000-0000-0000BB5A0000}"/>
    <cellStyle name="Style 70 2 2" xfId="13172" xr:uid="{00000000-0005-0000-0000-0000BC5A0000}"/>
    <cellStyle name="Style 70 2_TOM TAT" xfId="13173" xr:uid="{00000000-0005-0000-0000-0000BD5A0000}"/>
    <cellStyle name="Style 70 3" xfId="18462" xr:uid="{00000000-0005-0000-0000-0000BE5A0000}"/>
    <cellStyle name="Style 70 4" xfId="18799" xr:uid="{00000000-0005-0000-0000-0000BF5A0000}"/>
    <cellStyle name="Style 70_TOM TAT" xfId="13174" xr:uid="{00000000-0005-0000-0000-0000C05A0000}"/>
    <cellStyle name="Style 71" xfId="1656" xr:uid="{00000000-0005-0000-0000-0000C15A0000}"/>
    <cellStyle name="Style 71 2" xfId="4683" xr:uid="{00000000-0005-0000-0000-0000C25A0000}"/>
    <cellStyle name="Style 71 2 2" xfId="13175" xr:uid="{00000000-0005-0000-0000-0000C35A0000}"/>
    <cellStyle name="Style 71 2_TOM TAT" xfId="13176" xr:uid="{00000000-0005-0000-0000-0000C45A0000}"/>
    <cellStyle name="Style 71 3" xfId="18463" xr:uid="{00000000-0005-0000-0000-0000C55A0000}"/>
    <cellStyle name="Style 71 4" xfId="18800" xr:uid="{00000000-0005-0000-0000-0000C65A0000}"/>
    <cellStyle name="Style 71_TOM TAT" xfId="13177" xr:uid="{00000000-0005-0000-0000-0000C75A0000}"/>
    <cellStyle name="Style 72" xfId="1657" xr:uid="{00000000-0005-0000-0000-0000C85A0000}"/>
    <cellStyle name="Style 72 2" xfId="4684" xr:uid="{00000000-0005-0000-0000-0000C95A0000}"/>
    <cellStyle name="Style 72 2 2" xfId="13178" xr:uid="{00000000-0005-0000-0000-0000CA5A0000}"/>
    <cellStyle name="Style 72 2_TOM TAT" xfId="13179" xr:uid="{00000000-0005-0000-0000-0000CB5A0000}"/>
    <cellStyle name="Style 72 3" xfId="18464" xr:uid="{00000000-0005-0000-0000-0000CC5A0000}"/>
    <cellStyle name="Style 72 4" xfId="18801" xr:uid="{00000000-0005-0000-0000-0000CD5A0000}"/>
    <cellStyle name="Style 72_TOM TAT" xfId="13180" xr:uid="{00000000-0005-0000-0000-0000CE5A0000}"/>
    <cellStyle name="Style 73" xfId="1658" xr:uid="{00000000-0005-0000-0000-0000CF5A0000}"/>
    <cellStyle name="Style 73 2" xfId="4685" xr:uid="{00000000-0005-0000-0000-0000D05A0000}"/>
    <cellStyle name="Style 73 2 2" xfId="13181" xr:uid="{00000000-0005-0000-0000-0000D15A0000}"/>
    <cellStyle name="Style 73 2_TOM TAT" xfId="13182" xr:uid="{00000000-0005-0000-0000-0000D25A0000}"/>
    <cellStyle name="Style 73 3" xfId="18465" xr:uid="{00000000-0005-0000-0000-0000D35A0000}"/>
    <cellStyle name="Style 73 4" xfId="18802" xr:uid="{00000000-0005-0000-0000-0000D45A0000}"/>
    <cellStyle name="Style 73_TOM TAT" xfId="13183" xr:uid="{00000000-0005-0000-0000-0000D55A0000}"/>
    <cellStyle name="Style 74" xfId="1659" xr:uid="{00000000-0005-0000-0000-0000D65A0000}"/>
    <cellStyle name="Style 74 2" xfId="4686" xr:uid="{00000000-0005-0000-0000-0000D75A0000}"/>
    <cellStyle name="Style 74 2 2" xfId="13184" xr:uid="{00000000-0005-0000-0000-0000D85A0000}"/>
    <cellStyle name="Style 74 2_TOM TAT" xfId="13185" xr:uid="{00000000-0005-0000-0000-0000D95A0000}"/>
    <cellStyle name="Style 74 3" xfId="18466" xr:uid="{00000000-0005-0000-0000-0000DA5A0000}"/>
    <cellStyle name="Style 74 4" xfId="18803" xr:uid="{00000000-0005-0000-0000-0000DB5A0000}"/>
    <cellStyle name="Style 74_TOM TAT" xfId="13186" xr:uid="{00000000-0005-0000-0000-0000DC5A0000}"/>
    <cellStyle name="Style 75" xfId="1660" xr:uid="{00000000-0005-0000-0000-0000DD5A0000}"/>
    <cellStyle name="Style 75 2" xfId="4687" xr:uid="{00000000-0005-0000-0000-0000DE5A0000}"/>
    <cellStyle name="Style 75 2 2" xfId="13187" xr:uid="{00000000-0005-0000-0000-0000DF5A0000}"/>
    <cellStyle name="Style 75 2_TOM TAT" xfId="13188" xr:uid="{00000000-0005-0000-0000-0000E05A0000}"/>
    <cellStyle name="Style 75 3" xfId="18467" xr:uid="{00000000-0005-0000-0000-0000E15A0000}"/>
    <cellStyle name="Style 75 4" xfId="18804" xr:uid="{00000000-0005-0000-0000-0000E25A0000}"/>
    <cellStyle name="Style 75_TOM TAT" xfId="13189" xr:uid="{00000000-0005-0000-0000-0000E35A0000}"/>
    <cellStyle name="Style 76" xfId="1661" xr:uid="{00000000-0005-0000-0000-0000E45A0000}"/>
    <cellStyle name="Style 76 2" xfId="4688" xr:uid="{00000000-0005-0000-0000-0000E55A0000}"/>
    <cellStyle name="Style 76 2 2" xfId="13190" xr:uid="{00000000-0005-0000-0000-0000E65A0000}"/>
    <cellStyle name="Style 76 2_TOM TAT" xfId="13191" xr:uid="{00000000-0005-0000-0000-0000E75A0000}"/>
    <cellStyle name="Style 76 3" xfId="18468" xr:uid="{00000000-0005-0000-0000-0000E85A0000}"/>
    <cellStyle name="Style 76 4" xfId="18805" xr:uid="{00000000-0005-0000-0000-0000E95A0000}"/>
    <cellStyle name="Style 76_TOM TAT" xfId="13192" xr:uid="{00000000-0005-0000-0000-0000EA5A0000}"/>
    <cellStyle name="Style 77" xfId="1662" xr:uid="{00000000-0005-0000-0000-0000EB5A0000}"/>
    <cellStyle name="Style 77 2" xfId="4689" xr:uid="{00000000-0005-0000-0000-0000EC5A0000}"/>
    <cellStyle name="Style 77 2 2" xfId="13193" xr:uid="{00000000-0005-0000-0000-0000ED5A0000}"/>
    <cellStyle name="Style 77 2_TOM TAT" xfId="13194" xr:uid="{00000000-0005-0000-0000-0000EE5A0000}"/>
    <cellStyle name="Style 77 3" xfId="18469" xr:uid="{00000000-0005-0000-0000-0000EF5A0000}"/>
    <cellStyle name="Style 77 4" xfId="18806" xr:uid="{00000000-0005-0000-0000-0000F05A0000}"/>
    <cellStyle name="Style 77_TOM TAT" xfId="13195" xr:uid="{00000000-0005-0000-0000-0000F15A0000}"/>
    <cellStyle name="Style 78" xfId="1663" xr:uid="{00000000-0005-0000-0000-0000F25A0000}"/>
    <cellStyle name="Style 78 2" xfId="4690" xr:uid="{00000000-0005-0000-0000-0000F35A0000}"/>
    <cellStyle name="Style 78 2 2" xfId="13196" xr:uid="{00000000-0005-0000-0000-0000F45A0000}"/>
    <cellStyle name="Style 78 2_TOM TAT" xfId="13197" xr:uid="{00000000-0005-0000-0000-0000F55A0000}"/>
    <cellStyle name="Style 78 3" xfId="18470" xr:uid="{00000000-0005-0000-0000-0000F65A0000}"/>
    <cellStyle name="Style 78 4" xfId="18807" xr:uid="{00000000-0005-0000-0000-0000F75A0000}"/>
    <cellStyle name="Style 78_TOM TAT" xfId="13198" xr:uid="{00000000-0005-0000-0000-0000F85A0000}"/>
    <cellStyle name="Style 79" xfId="1664" xr:uid="{00000000-0005-0000-0000-0000F95A0000}"/>
    <cellStyle name="Style 79 2" xfId="4691" xr:uid="{00000000-0005-0000-0000-0000FA5A0000}"/>
    <cellStyle name="Style 79 2 2" xfId="13199" xr:uid="{00000000-0005-0000-0000-0000FB5A0000}"/>
    <cellStyle name="Style 79 2_TOM TAT" xfId="13200" xr:uid="{00000000-0005-0000-0000-0000FC5A0000}"/>
    <cellStyle name="Style 79 3" xfId="18471" xr:uid="{00000000-0005-0000-0000-0000FD5A0000}"/>
    <cellStyle name="Style 79 4" xfId="18808" xr:uid="{00000000-0005-0000-0000-0000FE5A0000}"/>
    <cellStyle name="Style 79_TOM TAT" xfId="13201" xr:uid="{00000000-0005-0000-0000-0000FF5A0000}"/>
    <cellStyle name="Style 8" xfId="1665" xr:uid="{00000000-0005-0000-0000-0000005B0000}"/>
    <cellStyle name="Style 8 2" xfId="4692" xr:uid="{00000000-0005-0000-0000-0000015B0000}"/>
    <cellStyle name="Style 8 2 2" xfId="13202" xr:uid="{00000000-0005-0000-0000-0000025B0000}"/>
    <cellStyle name="Style 8 2_TOM TAT" xfId="13203" xr:uid="{00000000-0005-0000-0000-0000035B0000}"/>
    <cellStyle name="Style 8 3" xfId="18472" xr:uid="{00000000-0005-0000-0000-0000045B0000}"/>
    <cellStyle name="Style 8 4" xfId="18809" xr:uid="{00000000-0005-0000-0000-0000055B0000}"/>
    <cellStyle name="Style 8_TOM TAT" xfId="13204" xr:uid="{00000000-0005-0000-0000-0000065B0000}"/>
    <cellStyle name="Style 80" xfId="1666" xr:uid="{00000000-0005-0000-0000-0000075B0000}"/>
    <cellStyle name="Style 80 2" xfId="4693" xr:uid="{00000000-0005-0000-0000-0000085B0000}"/>
    <cellStyle name="Style 80 2 2" xfId="13205" xr:uid="{00000000-0005-0000-0000-0000095B0000}"/>
    <cellStyle name="Style 80 2_TOM TAT" xfId="13206" xr:uid="{00000000-0005-0000-0000-00000A5B0000}"/>
    <cellStyle name="Style 80 3" xfId="18473" xr:uid="{00000000-0005-0000-0000-00000B5B0000}"/>
    <cellStyle name="Style 80 4" xfId="18810" xr:uid="{00000000-0005-0000-0000-00000C5B0000}"/>
    <cellStyle name="Style 80_TOM TAT" xfId="13207" xr:uid="{00000000-0005-0000-0000-00000D5B0000}"/>
    <cellStyle name="Style 81" xfId="1667" xr:uid="{00000000-0005-0000-0000-00000E5B0000}"/>
    <cellStyle name="Style 81 2" xfId="4694" xr:uid="{00000000-0005-0000-0000-00000F5B0000}"/>
    <cellStyle name="Style 81 2 2" xfId="13208" xr:uid="{00000000-0005-0000-0000-0000105B0000}"/>
    <cellStyle name="Style 81 2_TOM TAT" xfId="13209" xr:uid="{00000000-0005-0000-0000-0000115B0000}"/>
    <cellStyle name="Style 81 3" xfId="18474" xr:uid="{00000000-0005-0000-0000-0000125B0000}"/>
    <cellStyle name="Style 81 4" xfId="18811" xr:uid="{00000000-0005-0000-0000-0000135B0000}"/>
    <cellStyle name="Style 81_TOM TAT" xfId="13210" xr:uid="{00000000-0005-0000-0000-0000145B0000}"/>
    <cellStyle name="Style 82" xfId="1668" xr:uid="{00000000-0005-0000-0000-0000155B0000}"/>
    <cellStyle name="Style 82 2" xfId="4695" xr:uid="{00000000-0005-0000-0000-0000165B0000}"/>
    <cellStyle name="Style 82 2 2" xfId="13211" xr:uid="{00000000-0005-0000-0000-0000175B0000}"/>
    <cellStyle name="Style 82 2_TOM TAT" xfId="13212" xr:uid="{00000000-0005-0000-0000-0000185B0000}"/>
    <cellStyle name="Style 82 3" xfId="18475" xr:uid="{00000000-0005-0000-0000-0000195B0000}"/>
    <cellStyle name="Style 82 4" xfId="18812" xr:uid="{00000000-0005-0000-0000-00001A5B0000}"/>
    <cellStyle name="Style 82_TOM TAT" xfId="13213" xr:uid="{00000000-0005-0000-0000-00001B5B0000}"/>
    <cellStyle name="Style 83" xfId="1669" xr:uid="{00000000-0005-0000-0000-00001C5B0000}"/>
    <cellStyle name="Style 83 2" xfId="4696" xr:uid="{00000000-0005-0000-0000-00001D5B0000}"/>
    <cellStyle name="Style 83 2 2" xfId="13214" xr:uid="{00000000-0005-0000-0000-00001E5B0000}"/>
    <cellStyle name="Style 83 2_TOM TAT" xfId="13215" xr:uid="{00000000-0005-0000-0000-00001F5B0000}"/>
    <cellStyle name="Style 83 3" xfId="18476" xr:uid="{00000000-0005-0000-0000-0000205B0000}"/>
    <cellStyle name="Style 83 4" xfId="18813" xr:uid="{00000000-0005-0000-0000-0000215B0000}"/>
    <cellStyle name="Style 83_TOM TAT" xfId="13216" xr:uid="{00000000-0005-0000-0000-0000225B0000}"/>
    <cellStyle name="Style 84" xfId="1670" xr:uid="{00000000-0005-0000-0000-0000235B0000}"/>
    <cellStyle name="Style 84 2" xfId="4697" xr:uid="{00000000-0005-0000-0000-0000245B0000}"/>
    <cellStyle name="Style 84 2 2" xfId="13217" xr:uid="{00000000-0005-0000-0000-0000255B0000}"/>
    <cellStyle name="Style 84 2_TOM TAT" xfId="13218" xr:uid="{00000000-0005-0000-0000-0000265B0000}"/>
    <cellStyle name="Style 84 3" xfId="18477" xr:uid="{00000000-0005-0000-0000-0000275B0000}"/>
    <cellStyle name="Style 84 4" xfId="18814" xr:uid="{00000000-0005-0000-0000-0000285B0000}"/>
    <cellStyle name="Style 84_TOM TAT" xfId="13219" xr:uid="{00000000-0005-0000-0000-0000295B0000}"/>
    <cellStyle name="Style 85" xfId="1671" xr:uid="{00000000-0005-0000-0000-00002A5B0000}"/>
    <cellStyle name="Style 85 2" xfId="4698" xr:uid="{00000000-0005-0000-0000-00002B5B0000}"/>
    <cellStyle name="Style 85 2 2" xfId="13220" xr:uid="{00000000-0005-0000-0000-00002C5B0000}"/>
    <cellStyle name="Style 85 2_TOM TAT" xfId="13221" xr:uid="{00000000-0005-0000-0000-00002D5B0000}"/>
    <cellStyle name="Style 85 3" xfId="18478" xr:uid="{00000000-0005-0000-0000-00002E5B0000}"/>
    <cellStyle name="Style 85 4" xfId="18815" xr:uid="{00000000-0005-0000-0000-00002F5B0000}"/>
    <cellStyle name="Style 85_TOM TAT" xfId="13222" xr:uid="{00000000-0005-0000-0000-0000305B0000}"/>
    <cellStyle name="Style 86" xfId="1672" xr:uid="{00000000-0005-0000-0000-0000315B0000}"/>
    <cellStyle name="Style 86 2" xfId="4699" xr:uid="{00000000-0005-0000-0000-0000325B0000}"/>
    <cellStyle name="Style 86 2 2" xfId="13223" xr:uid="{00000000-0005-0000-0000-0000335B0000}"/>
    <cellStyle name="Style 86 2_TOM TAT" xfId="13224" xr:uid="{00000000-0005-0000-0000-0000345B0000}"/>
    <cellStyle name="Style 86 3" xfId="18479" xr:uid="{00000000-0005-0000-0000-0000355B0000}"/>
    <cellStyle name="Style 86 4" xfId="18816" xr:uid="{00000000-0005-0000-0000-0000365B0000}"/>
    <cellStyle name="Style 86_TOM TAT" xfId="13225" xr:uid="{00000000-0005-0000-0000-0000375B0000}"/>
    <cellStyle name="Style 87" xfId="1673" xr:uid="{00000000-0005-0000-0000-0000385B0000}"/>
    <cellStyle name="Style 87 2" xfId="4700" xr:uid="{00000000-0005-0000-0000-0000395B0000}"/>
    <cellStyle name="Style 87 2 2" xfId="13226" xr:uid="{00000000-0005-0000-0000-00003A5B0000}"/>
    <cellStyle name="Style 87 2_TOM TAT" xfId="13227" xr:uid="{00000000-0005-0000-0000-00003B5B0000}"/>
    <cellStyle name="Style 87 3" xfId="18480" xr:uid="{00000000-0005-0000-0000-00003C5B0000}"/>
    <cellStyle name="Style 87 4" xfId="18817" xr:uid="{00000000-0005-0000-0000-00003D5B0000}"/>
    <cellStyle name="Style 87_TOM TAT" xfId="13228" xr:uid="{00000000-0005-0000-0000-00003E5B0000}"/>
    <cellStyle name="Style 88" xfId="1674" xr:uid="{00000000-0005-0000-0000-00003F5B0000}"/>
    <cellStyle name="Style 88 2" xfId="4701" xr:uid="{00000000-0005-0000-0000-0000405B0000}"/>
    <cellStyle name="Style 88 2 2" xfId="13229" xr:uid="{00000000-0005-0000-0000-0000415B0000}"/>
    <cellStyle name="Style 88 2_TOM TAT" xfId="13230" xr:uid="{00000000-0005-0000-0000-0000425B0000}"/>
    <cellStyle name="Style 88 3" xfId="18481" xr:uid="{00000000-0005-0000-0000-0000435B0000}"/>
    <cellStyle name="Style 88 4" xfId="18818" xr:uid="{00000000-0005-0000-0000-0000445B0000}"/>
    <cellStyle name="Style 88_TOM TAT" xfId="13231" xr:uid="{00000000-0005-0000-0000-0000455B0000}"/>
    <cellStyle name="Style 89" xfId="1675" xr:uid="{00000000-0005-0000-0000-0000465B0000}"/>
    <cellStyle name="Style 89 2" xfId="4702" xr:uid="{00000000-0005-0000-0000-0000475B0000}"/>
    <cellStyle name="Style 89 2 2" xfId="13232" xr:uid="{00000000-0005-0000-0000-0000485B0000}"/>
    <cellStyle name="Style 89 2_TOM TAT" xfId="13233" xr:uid="{00000000-0005-0000-0000-0000495B0000}"/>
    <cellStyle name="Style 89 3" xfId="18482" xr:uid="{00000000-0005-0000-0000-00004A5B0000}"/>
    <cellStyle name="Style 89 4" xfId="18819" xr:uid="{00000000-0005-0000-0000-00004B5B0000}"/>
    <cellStyle name="Style 89_TOM TAT" xfId="13234" xr:uid="{00000000-0005-0000-0000-00004C5B0000}"/>
    <cellStyle name="Style 9" xfId="1676" xr:uid="{00000000-0005-0000-0000-00004D5B0000}"/>
    <cellStyle name="Style 9 2" xfId="4703" xr:uid="{00000000-0005-0000-0000-00004E5B0000}"/>
    <cellStyle name="Style 9 2 2" xfId="13235" xr:uid="{00000000-0005-0000-0000-00004F5B0000}"/>
    <cellStyle name="Style 9 2_TOM TAT" xfId="13236" xr:uid="{00000000-0005-0000-0000-0000505B0000}"/>
    <cellStyle name="Style 9 3" xfId="18483" xr:uid="{00000000-0005-0000-0000-0000515B0000}"/>
    <cellStyle name="Style 9 4" xfId="18820" xr:uid="{00000000-0005-0000-0000-0000525B0000}"/>
    <cellStyle name="Style 9_TOM TAT" xfId="13237" xr:uid="{00000000-0005-0000-0000-0000535B0000}"/>
    <cellStyle name="Style 90" xfId="1677" xr:uid="{00000000-0005-0000-0000-0000545B0000}"/>
    <cellStyle name="Style 90 2" xfId="4704" xr:uid="{00000000-0005-0000-0000-0000555B0000}"/>
    <cellStyle name="Style 90 2 2" xfId="13238" xr:uid="{00000000-0005-0000-0000-0000565B0000}"/>
    <cellStyle name="Style 90 2_TOM TAT" xfId="13239" xr:uid="{00000000-0005-0000-0000-0000575B0000}"/>
    <cellStyle name="Style 90 3" xfId="18484" xr:uid="{00000000-0005-0000-0000-0000585B0000}"/>
    <cellStyle name="Style 90 4" xfId="18821" xr:uid="{00000000-0005-0000-0000-0000595B0000}"/>
    <cellStyle name="Style 90_TOM TAT" xfId="13240" xr:uid="{00000000-0005-0000-0000-00005A5B0000}"/>
    <cellStyle name="Style 91" xfId="1678" xr:uid="{00000000-0005-0000-0000-00005B5B0000}"/>
    <cellStyle name="Style 91 2" xfId="4705" xr:uid="{00000000-0005-0000-0000-00005C5B0000}"/>
    <cellStyle name="Style 91 2 2" xfId="13241" xr:uid="{00000000-0005-0000-0000-00005D5B0000}"/>
    <cellStyle name="Style 91 2_TOM TAT" xfId="13242" xr:uid="{00000000-0005-0000-0000-00005E5B0000}"/>
    <cellStyle name="Style 91 3" xfId="18485" xr:uid="{00000000-0005-0000-0000-00005F5B0000}"/>
    <cellStyle name="Style 91 4" xfId="18822" xr:uid="{00000000-0005-0000-0000-0000605B0000}"/>
    <cellStyle name="Style 91_TOM TAT" xfId="13243" xr:uid="{00000000-0005-0000-0000-0000615B0000}"/>
    <cellStyle name="Style 92" xfId="1679" xr:uid="{00000000-0005-0000-0000-0000625B0000}"/>
    <cellStyle name="Style 92 2" xfId="4706" xr:uid="{00000000-0005-0000-0000-0000635B0000}"/>
    <cellStyle name="Style 92 2 2" xfId="13244" xr:uid="{00000000-0005-0000-0000-0000645B0000}"/>
    <cellStyle name="Style 92 2_TOM TAT" xfId="13245" xr:uid="{00000000-0005-0000-0000-0000655B0000}"/>
    <cellStyle name="Style 92 3" xfId="18486" xr:uid="{00000000-0005-0000-0000-0000665B0000}"/>
    <cellStyle name="Style 92 4" xfId="18823" xr:uid="{00000000-0005-0000-0000-0000675B0000}"/>
    <cellStyle name="Style 92_TOM TAT" xfId="13246" xr:uid="{00000000-0005-0000-0000-0000685B0000}"/>
    <cellStyle name="Style 93" xfId="1680" xr:uid="{00000000-0005-0000-0000-0000695B0000}"/>
    <cellStyle name="Style 93 2" xfId="4707" xr:uid="{00000000-0005-0000-0000-00006A5B0000}"/>
    <cellStyle name="Style 93 2 2" xfId="13247" xr:uid="{00000000-0005-0000-0000-00006B5B0000}"/>
    <cellStyle name="Style 93 2_TOM TAT" xfId="13248" xr:uid="{00000000-0005-0000-0000-00006C5B0000}"/>
    <cellStyle name="Style 93 3" xfId="18487" xr:uid="{00000000-0005-0000-0000-00006D5B0000}"/>
    <cellStyle name="Style 93 4" xfId="18824" xr:uid="{00000000-0005-0000-0000-00006E5B0000}"/>
    <cellStyle name="Style 93_TOM TAT" xfId="13249" xr:uid="{00000000-0005-0000-0000-00006F5B0000}"/>
    <cellStyle name="Style 94" xfId="1681" xr:uid="{00000000-0005-0000-0000-0000705B0000}"/>
    <cellStyle name="Style 94 2" xfId="4708" xr:uid="{00000000-0005-0000-0000-0000715B0000}"/>
    <cellStyle name="Style 94 2 2" xfId="13250" xr:uid="{00000000-0005-0000-0000-0000725B0000}"/>
    <cellStyle name="Style 94 2_TOM TAT" xfId="13251" xr:uid="{00000000-0005-0000-0000-0000735B0000}"/>
    <cellStyle name="Style 94 3" xfId="18488" xr:uid="{00000000-0005-0000-0000-0000745B0000}"/>
    <cellStyle name="Style 94 4" xfId="18825" xr:uid="{00000000-0005-0000-0000-0000755B0000}"/>
    <cellStyle name="Style 94_TOM TAT" xfId="13252" xr:uid="{00000000-0005-0000-0000-0000765B0000}"/>
    <cellStyle name="Style 95" xfId="1682" xr:uid="{00000000-0005-0000-0000-0000775B0000}"/>
    <cellStyle name="Style 95 2" xfId="4709" xr:uid="{00000000-0005-0000-0000-0000785B0000}"/>
    <cellStyle name="Style 95 2 2" xfId="13253" xr:uid="{00000000-0005-0000-0000-0000795B0000}"/>
    <cellStyle name="Style 95 2_TOM TAT" xfId="13254" xr:uid="{00000000-0005-0000-0000-00007A5B0000}"/>
    <cellStyle name="Style 95 3" xfId="18489" xr:uid="{00000000-0005-0000-0000-00007B5B0000}"/>
    <cellStyle name="Style 95 4" xfId="18826" xr:uid="{00000000-0005-0000-0000-00007C5B0000}"/>
    <cellStyle name="Style 95_TOM TAT" xfId="13255" xr:uid="{00000000-0005-0000-0000-00007D5B0000}"/>
    <cellStyle name="Style 96" xfId="1683" xr:uid="{00000000-0005-0000-0000-00007E5B0000}"/>
    <cellStyle name="Style 96 2" xfId="4710" xr:uid="{00000000-0005-0000-0000-00007F5B0000}"/>
    <cellStyle name="Style 96 2 2" xfId="13256" xr:uid="{00000000-0005-0000-0000-0000805B0000}"/>
    <cellStyle name="Style 96 2_TOM TAT" xfId="13257" xr:uid="{00000000-0005-0000-0000-0000815B0000}"/>
    <cellStyle name="Style 96 3" xfId="18490" xr:uid="{00000000-0005-0000-0000-0000825B0000}"/>
    <cellStyle name="Style 96 4" xfId="18827" xr:uid="{00000000-0005-0000-0000-0000835B0000}"/>
    <cellStyle name="Style 96_TOM TAT" xfId="13258" xr:uid="{00000000-0005-0000-0000-0000845B0000}"/>
    <cellStyle name="Style 97" xfId="1684" xr:uid="{00000000-0005-0000-0000-0000855B0000}"/>
    <cellStyle name="Style 97 2" xfId="4711" xr:uid="{00000000-0005-0000-0000-0000865B0000}"/>
    <cellStyle name="Style 97 2 2" xfId="13259" xr:uid="{00000000-0005-0000-0000-0000875B0000}"/>
    <cellStyle name="Style 97 2_TOM TAT" xfId="13260" xr:uid="{00000000-0005-0000-0000-0000885B0000}"/>
    <cellStyle name="Style 97 3" xfId="18491" xr:uid="{00000000-0005-0000-0000-0000895B0000}"/>
    <cellStyle name="Style 97 4" xfId="18828" xr:uid="{00000000-0005-0000-0000-00008A5B0000}"/>
    <cellStyle name="Style 97_TOM TAT" xfId="13261" xr:uid="{00000000-0005-0000-0000-00008B5B0000}"/>
    <cellStyle name="Style 98" xfId="1685" xr:uid="{00000000-0005-0000-0000-00008C5B0000}"/>
    <cellStyle name="Style 98 2" xfId="4712" xr:uid="{00000000-0005-0000-0000-00008D5B0000}"/>
    <cellStyle name="Style 98 2 2" xfId="13262" xr:uid="{00000000-0005-0000-0000-00008E5B0000}"/>
    <cellStyle name="Style 98 2_TOM TAT" xfId="13263" xr:uid="{00000000-0005-0000-0000-00008F5B0000}"/>
    <cellStyle name="Style 98 3" xfId="18492" xr:uid="{00000000-0005-0000-0000-0000905B0000}"/>
    <cellStyle name="Style 98 4" xfId="18829" xr:uid="{00000000-0005-0000-0000-0000915B0000}"/>
    <cellStyle name="Style 98_TOM TAT" xfId="13264" xr:uid="{00000000-0005-0000-0000-0000925B0000}"/>
    <cellStyle name="Style 99" xfId="1686" xr:uid="{00000000-0005-0000-0000-0000935B0000}"/>
    <cellStyle name="Style 99 2" xfId="4713" xr:uid="{00000000-0005-0000-0000-0000945B0000}"/>
    <cellStyle name="Style 99 2 2" xfId="13265" xr:uid="{00000000-0005-0000-0000-0000955B0000}"/>
    <cellStyle name="Style 99 2_TOM TAT" xfId="13266" xr:uid="{00000000-0005-0000-0000-0000965B0000}"/>
    <cellStyle name="Style 99 3" xfId="18493" xr:uid="{00000000-0005-0000-0000-0000975B0000}"/>
    <cellStyle name="Style 99 4" xfId="18830" xr:uid="{00000000-0005-0000-0000-0000985B0000}"/>
    <cellStyle name="Style 99_TOM TAT" xfId="13267" xr:uid="{00000000-0005-0000-0000-0000995B0000}"/>
    <cellStyle name="Style Date" xfId="1687" xr:uid="{00000000-0005-0000-0000-00009A5B0000}"/>
    <cellStyle name="Style Date 2" xfId="4714" xr:uid="{00000000-0005-0000-0000-00009B5B0000}"/>
    <cellStyle name="Style Date 2 2" xfId="13268" xr:uid="{00000000-0005-0000-0000-00009C5B0000}"/>
    <cellStyle name="Style Date 2_TOM TAT" xfId="13269" xr:uid="{00000000-0005-0000-0000-00009D5B0000}"/>
    <cellStyle name="Style Date 3" xfId="18494" xr:uid="{00000000-0005-0000-0000-00009E5B0000}"/>
    <cellStyle name="Style Date 4" xfId="18831" xr:uid="{00000000-0005-0000-0000-00009F5B0000}"/>
    <cellStyle name="Style Date_TOM TAT" xfId="13270" xr:uid="{00000000-0005-0000-0000-0000A05B0000}"/>
    <cellStyle name="style_1" xfId="19020" xr:uid="{00000000-0005-0000-0000-0000A15B0000}"/>
    <cellStyle name="Sub Title" xfId="1688" xr:uid="{00000000-0005-0000-0000-0000A25B0000}"/>
    <cellStyle name="Sub Title 2" xfId="4715" xr:uid="{00000000-0005-0000-0000-0000A35B0000}"/>
    <cellStyle name="Sub Title 2 2" xfId="13271" xr:uid="{00000000-0005-0000-0000-0000A45B0000}"/>
    <cellStyle name="Sub Title 2_TOM TAT" xfId="13272" xr:uid="{00000000-0005-0000-0000-0000A55B0000}"/>
    <cellStyle name="Sub Title 3" xfId="18495" xr:uid="{00000000-0005-0000-0000-0000A65B0000}"/>
    <cellStyle name="Sub Title 4" xfId="18832" xr:uid="{00000000-0005-0000-0000-0000A75B0000}"/>
    <cellStyle name="Sub Title_TOM TAT" xfId="13273" xr:uid="{00000000-0005-0000-0000-0000A85B0000}"/>
    <cellStyle name="subhead" xfId="1689" xr:uid="{00000000-0005-0000-0000-0000A95B0000}"/>
    <cellStyle name="subhead 2" xfId="4716" xr:uid="{00000000-0005-0000-0000-0000AA5B0000}"/>
    <cellStyle name="subhead 2 2" xfId="13274" xr:uid="{00000000-0005-0000-0000-0000AB5B0000}"/>
    <cellStyle name="subhead 2_TOM TAT" xfId="13275" xr:uid="{00000000-0005-0000-0000-0000AC5B0000}"/>
    <cellStyle name="subhead 3" xfId="13276" xr:uid="{00000000-0005-0000-0000-0000AD5B0000}"/>
    <cellStyle name="subhead 4" xfId="13277" xr:uid="{00000000-0005-0000-0000-0000AE5B0000}"/>
    <cellStyle name="subhead 5" xfId="13278" xr:uid="{00000000-0005-0000-0000-0000AF5B0000}"/>
    <cellStyle name="subhead 6" xfId="18496" xr:uid="{00000000-0005-0000-0000-0000B05B0000}"/>
    <cellStyle name="subhead 7" xfId="18833" xr:uid="{00000000-0005-0000-0000-0000B15B0000}"/>
    <cellStyle name="subhead_TOM TAT" xfId="13279" xr:uid="{00000000-0005-0000-0000-0000B25B0000}"/>
    <cellStyle name="subt1" xfId="1690" xr:uid="{00000000-0005-0000-0000-0000B35B0000}"/>
    <cellStyle name="subt1 2" xfId="4717" xr:uid="{00000000-0005-0000-0000-0000B45B0000}"/>
    <cellStyle name="subt1 2 2" xfId="13280" xr:uid="{00000000-0005-0000-0000-0000B55B0000}"/>
    <cellStyle name="subt1 2_TOM TAT" xfId="13281" xr:uid="{00000000-0005-0000-0000-0000B65B0000}"/>
    <cellStyle name="subt1 3" xfId="13282" xr:uid="{00000000-0005-0000-0000-0000B75B0000}"/>
    <cellStyle name="subt1 4" xfId="13283" xr:uid="{00000000-0005-0000-0000-0000B85B0000}"/>
    <cellStyle name="subt1 5" xfId="13284" xr:uid="{00000000-0005-0000-0000-0000B95B0000}"/>
    <cellStyle name="subt1 6" xfId="18497" xr:uid="{00000000-0005-0000-0000-0000BA5B0000}"/>
    <cellStyle name="subt1 7" xfId="18834" xr:uid="{00000000-0005-0000-0000-0000BB5B0000}"/>
    <cellStyle name="subt1_TOM TAT" xfId="13285" xr:uid="{00000000-0005-0000-0000-0000BC5B0000}"/>
    <cellStyle name="Subtotal" xfId="1691" xr:uid="{00000000-0005-0000-0000-0000BD5B0000}"/>
    <cellStyle name="Subtotal 2" xfId="4718" xr:uid="{00000000-0005-0000-0000-0000BE5B0000}"/>
    <cellStyle name="Subtotal 2 2" xfId="13286" xr:uid="{00000000-0005-0000-0000-0000BF5B0000}"/>
    <cellStyle name="Subtotal 2_TOM TAT" xfId="13287" xr:uid="{00000000-0005-0000-0000-0000C05B0000}"/>
    <cellStyle name="Subtotal 3" xfId="18498" xr:uid="{00000000-0005-0000-0000-0000C15B0000}"/>
    <cellStyle name="Subtotal 4" xfId="18835" xr:uid="{00000000-0005-0000-0000-0000C25B0000}"/>
    <cellStyle name="Subtotal_TOM TAT" xfId="13288" xr:uid="{00000000-0005-0000-0000-0000C35B0000}"/>
    <cellStyle name="T" xfId="1692" xr:uid="{00000000-0005-0000-0000-0000C45B0000}"/>
    <cellStyle name="T 2" xfId="4719" xr:uid="{00000000-0005-0000-0000-0000C55B0000}"/>
    <cellStyle name="T 2 2" xfId="13289" xr:uid="{00000000-0005-0000-0000-0000C65B0000}"/>
    <cellStyle name="T 2 2 2" xfId="31659" xr:uid="{00000000-0005-0000-0000-0000C75B0000}"/>
    <cellStyle name="T 2 2_TOM TAT" xfId="23953" xr:uid="{00000000-0005-0000-0000-0000C85B0000}"/>
    <cellStyle name="T 2 3" xfId="19193" xr:uid="{00000000-0005-0000-0000-0000C95B0000}"/>
    <cellStyle name="T 2 3 2" xfId="32044" xr:uid="{00000000-0005-0000-0000-0000CA5B0000}"/>
    <cellStyle name="T 2 3_TOM TAT" xfId="23954" xr:uid="{00000000-0005-0000-0000-0000CB5B0000}"/>
    <cellStyle name="T 2 4" xfId="19194" xr:uid="{00000000-0005-0000-0000-0000CC5B0000}"/>
    <cellStyle name="T 2 4 2" xfId="32045" xr:uid="{00000000-0005-0000-0000-0000CD5B0000}"/>
    <cellStyle name="T 2 4_TOM TAT" xfId="23955" xr:uid="{00000000-0005-0000-0000-0000CE5B0000}"/>
    <cellStyle name="T 2_TOM TAT" xfId="13290" xr:uid="{00000000-0005-0000-0000-0000CF5B0000}"/>
    <cellStyle name="T 3" xfId="19195" xr:uid="{00000000-0005-0000-0000-0000D05B0000}"/>
    <cellStyle name="T 3 2" xfId="19196" xr:uid="{00000000-0005-0000-0000-0000D15B0000}"/>
    <cellStyle name="T 3 2 2" xfId="32047" xr:uid="{00000000-0005-0000-0000-0000D25B0000}"/>
    <cellStyle name="T 3 2_TOM TAT" xfId="23957" xr:uid="{00000000-0005-0000-0000-0000D35B0000}"/>
    <cellStyle name="T 3 3" xfId="19197" xr:uid="{00000000-0005-0000-0000-0000D45B0000}"/>
    <cellStyle name="T 3 3 2" xfId="32048" xr:uid="{00000000-0005-0000-0000-0000D55B0000}"/>
    <cellStyle name="T 3 3_TOM TAT" xfId="23958" xr:uid="{00000000-0005-0000-0000-0000D65B0000}"/>
    <cellStyle name="T 3 4" xfId="19198" xr:uid="{00000000-0005-0000-0000-0000D75B0000}"/>
    <cellStyle name="T 3 4 2" xfId="32049" xr:uid="{00000000-0005-0000-0000-0000D85B0000}"/>
    <cellStyle name="T 3 4_TOM TAT" xfId="23959" xr:uid="{00000000-0005-0000-0000-0000D95B0000}"/>
    <cellStyle name="T 3 5" xfId="32046" xr:uid="{00000000-0005-0000-0000-0000DA5B0000}"/>
    <cellStyle name="T 3_TOM TAT" xfId="23956" xr:uid="{00000000-0005-0000-0000-0000DB5B0000}"/>
    <cellStyle name="T 4" xfId="19199" xr:uid="{00000000-0005-0000-0000-0000DC5B0000}"/>
    <cellStyle name="T 4 2" xfId="19200" xr:uid="{00000000-0005-0000-0000-0000DD5B0000}"/>
    <cellStyle name="T 4 2 2" xfId="32051" xr:uid="{00000000-0005-0000-0000-0000DE5B0000}"/>
    <cellStyle name="T 4 2_TOM TAT" xfId="23961" xr:uid="{00000000-0005-0000-0000-0000DF5B0000}"/>
    <cellStyle name="T 4 3" xfId="19201" xr:uid="{00000000-0005-0000-0000-0000E05B0000}"/>
    <cellStyle name="T 4 3 2" xfId="32052" xr:uid="{00000000-0005-0000-0000-0000E15B0000}"/>
    <cellStyle name="T 4 3_TOM TAT" xfId="23962" xr:uid="{00000000-0005-0000-0000-0000E25B0000}"/>
    <cellStyle name="T 4 4" xfId="19202" xr:uid="{00000000-0005-0000-0000-0000E35B0000}"/>
    <cellStyle name="T 4 4 2" xfId="32053" xr:uid="{00000000-0005-0000-0000-0000E45B0000}"/>
    <cellStyle name="T 4 4_TOM TAT" xfId="23963" xr:uid="{00000000-0005-0000-0000-0000E55B0000}"/>
    <cellStyle name="T 4 5" xfId="32050" xr:uid="{00000000-0005-0000-0000-0000E65B0000}"/>
    <cellStyle name="T 4_TOM TAT" xfId="23960" xr:uid="{00000000-0005-0000-0000-0000E75B0000}"/>
    <cellStyle name="T 5" xfId="19203" xr:uid="{00000000-0005-0000-0000-0000E85B0000}"/>
    <cellStyle name="T 5 2" xfId="19204" xr:uid="{00000000-0005-0000-0000-0000E95B0000}"/>
    <cellStyle name="T 5 2 2" xfId="32055" xr:uid="{00000000-0005-0000-0000-0000EA5B0000}"/>
    <cellStyle name="T 5 2_TOM TAT" xfId="23965" xr:uid="{00000000-0005-0000-0000-0000EB5B0000}"/>
    <cellStyle name="T 5 3" xfId="19205" xr:uid="{00000000-0005-0000-0000-0000EC5B0000}"/>
    <cellStyle name="T 5 3 2" xfId="32056" xr:uid="{00000000-0005-0000-0000-0000ED5B0000}"/>
    <cellStyle name="T 5 3_TOM TAT" xfId="23966" xr:uid="{00000000-0005-0000-0000-0000EE5B0000}"/>
    <cellStyle name="T 5 4" xfId="19206" xr:uid="{00000000-0005-0000-0000-0000EF5B0000}"/>
    <cellStyle name="T 5 4 2" xfId="32057" xr:uid="{00000000-0005-0000-0000-0000F05B0000}"/>
    <cellStyle name="T 5 4_TOM TAT" xfId="23967" xr:uid="{00000000-0005-0000-0000-0000F15B0000}"/>
    <cellStyle name="T 5 5" xfId="32054" xr:uid="{00000000-0005-0000-0000-0000F25B0000}"/>
    <cellStyle name="T 5_TOM TAT" xfId="23964" xr:uid="{00000000-0005-0000-0000-0000F35B0000}"/>
    <cellStyle name="T 6" xfId="19207" xr:uid="{00000000-0005-0000-0000-0000F45B0000}"/>
    <cellStyle name="T 6 2" xfId="19208" xr:uid="{00000000-0005-0000-0000-0000F55B0000}"/>
    <cellStyle name="T 6 2 2" xfId="32059" xr:uid="{00000000-0005-0000-0000-0000F65B0000}"/>
    <cellStyle name="T 6 2_TOM TAT" xfId="23969" xr:uid="{00000000-0005-0000-0000-0000F75B0000}"/>
    <cellStyle name="T 6 3" xfId="19209" xr:uid="{00000000-0005-0000-0000-0000F85B0000}"/>
    <cellStyle name="T 6 3 2" xfId="32060" xr:uid="{00000000-0005-0000-0000-0000F95B0000}"/>
    <cellStyle name="T 6 3_TOM TAT" xfId="23970" xr:uid="{00000000-0005-0000-0000-0000FA5B0000}"/>
    <cellStyle name="T 6 4" xfId="19210" xr:uid="{00000000-0005-0000-0000-0000FB5B0000}"/>
    <cellStyle name="T 6 4 2" xfId="32061" xr:uid="{00000000-0005-0000-0000-0000FC5B0000}"/>
    <cellStyle name="T 6 4_TOM TAT" xfId="23971" xr:uid="{00000000-0005-0000-0000-0000FD5B0000}"/>
    <cellStyle name="T 6 5" xfId="32058" xr:uid="{00000000-0005-0000-0000-0000FE5B0000}"/>
    <cellStyle name="T 6_TOM TAT" xfId="23968" xr:uid="{00000000-0005-0000-0000-0000FF5B0000}"/>
    <cellStyle name="T 7" xfId="19211" xr:uid="{00000000-0005-0000-0000-0000005C0000}"/>
    <cellStyle name="T 7 2" xfId="32062" xr:uid="{00000000-0005-0000-0000-0000015C0000}"/>
    <cellStyle name="T 7_TOM TAT" xfId="23972" xr:uid="{00000000-0005-0000-0000-0000025C0000}"/>
    <cellStyle name="T 8" xfId="19212" xr:uid="{00000000-0005-0000-0000-0000035C0000}"/>
    <cellStyle name="T 8 2" xfId="32063" xr:uid="{00000000-0005-0000-0000-0000045C0000}"/>
    <cellStyle name="T 8_TOM TAT" xfId="23973" xr:uid="{00000000-0005-0000-0000-0000055C0000}"/>
    <cellStyle name="T 9" xfId="19213" xr:uid="{00000000-0005-0000-0000-0000065C0000}"/>
    <cellStyle name="T 9 2" xfId="32064" xr:uid="{00000000-0005-0000-0000-0000075C0000}"/>
    <cellStyle name="T 9_TOM TAT" xfId="23974" xr:uid="{00000000-0005-0000-0000-0000085C0000}"/>
    <cellStyle name="T_Bang Cong tac" xfId="1693" xr:uid="{00000000-0005-0000-0000-0000095C0000}"/>
    <cellStyle name="T_Bang Cong tac 2" xfId="4720" xr:uid="{00000000-0005-0000-0000-00000A5C0000}"/>
    <cellStyle name="T_Bang Cong tac 2 2" xfId="13291" xr:uid="{00000000-0005-0000-0000-00000B5C0000}"/>
    <cellStyle name="T_Bang Cong tac 2 2_TOM TAT" xfId="23976" xr:uid="{00000000-0005-0000-0000-00000C5C0000}"/>
    <cellStyle name="T_Bang Cong tac 2_TOM TAT" xfId="13292" xr:uid="{00000000-0005-0000-0000-00000D5C0000}"/>
    <cellStyle name="T_Bang Cong tac 2_TOM TAT 2" xfId="13293" xr:uid="{00000000-0005-0000-0000-00000E5C0000}"/>
    <cellStyle name="T_Bang Cong tac 2_TOM TAT 2_TOM TAT" xfId="23978" xr:uid="{00000000-0005-0000-0000-00000F5C0000}"/>
    <cellStyle name="T_Bang Cong tac 2_TOM TAT_TOM TAT" xfId="23977" xr:uid="{00000000-0005-0000-0000-0000105C0000}"/>
    <cellStyle name="T_Bang Cong tac 3" xfId="18499" xr:uid="{00000000-0005-0000-0000-0000115C0000}"/>
    <cellStyle name="T_Bang Cong tac 3 2" xfId="31732" xr:uid="{00000000-0005-0000-0000-0000125C0000}"/>
    <cellStyle name="T_Bang Cong tac 3_TOM TAT" xfId="23979" xr:uid="{00000000-0005-0000-0000-0000135C0000}"/>
    <cellStyle name="T_Bang Cong tac 4" xfId="18836" xr:uid="{00000000-0005-0000-0000-0000145C0000}"/>
    <cellStyle name="T_Bang Cong tac 4 2" xfId="31807" xr:uid="{00000000-0005-0000-0000-0000155C0000}"/>
    <cellStyle name="T_Bang Cong tac 4_TOM TAT" xfId="23980" xr:uid="{00000000-0005-0000-0000-0000165C0000}"/>
    <cellStyle name="T_Bang Cong tac_TOM TAT" xfId="13294" xr:uid="{00000000-0005-0000-0000-0000175C0000}"/>
    <cellStyle name="T_Bang Cong tac_TOM TAT 2" xfId="13295" xr:uid="{00000000-0005-0000-0000-0000185C0000}"/>
    <cellStyle name="T_Bang Cong tac_TOM TAT 2_TOM TAT" xfId="23982" xr:uid="{00000000-0005-0000-0000-0000195C0000}"/>
    <cellStyle name="T_Bang Cong tac_TOM TAT_1" xfId="23975" xr:uid="{00000000-0005-0000-0000-00001A5C0000}"/>
    <cellStyle name="T_Bang Cong tac_TOM TAT_TOM TAT" xfId="23981" xr:uid="{00000000-0005-0000-0000-00001B5C0000}"/>
    <cellStyle name="T_Bao cao kttb milk yomilkYAO-mien bac" xfId="1694" xr:uid="{00000000-0005-0000-0000-00001C5C0000}"/>
    <cellStyle name="T_Bao cao kttb milk yomilkYAO-mien bac 2" xfId="4721" xr:uid="{00000000-0005-0000-0000-00001D5C0000}"/>
    <cellStyle name="T_Bao cao kttb milk yomilkYAO-mien bac 2 2" xfId="13296" xr:uid="{00000000-0005-0000-0000-00001E5C0000}"/>
    <cellStyle name="T_Bao cao kttb milk yomilkYAO-mien bac 2 2_TOM TAT" xfId="23984" xr:uid="{00000000-0005-0000-0000-00001F5C0000}"/>
    <cellStyle name="T_Bao cao kttb milk yomilkYAO-mien bac 2_TOM TAT" xfId="13297" xr:uid="{00000000-0005-0000-0000-0000205C0000}"/>
    <cellStyle name="T_Bao cao kttb milk yomilkYAO-mien bac 2_TOM TAT 2" xfId="13298" xr:uid="{00000000-0005-0000-0000-0000215C0000}"/>
    <cellStyle name="T_Bao cao kttb milk yomilkYAO-mien bac 2_TOM TAT 2_TOM TAT" xfId="23986" xr:uid="{00000000-0005-0000-0000-0000225C0000}"/>
    <cellStyle name="T_Bao cao kttb milk yomilkYAO-mien bac 2_TOM TAT_TOM TAT" xfId="23985" xr:uid="{00000000-0005-0000-0000-0000235C0000}"/>
    <cellStyle name="T_Bao cao kttb milk yomilkYAO-mien bac 3" xfId="18500" xr:uid="{00000000-0005-0000-0000-0000245C0000}"/>
    <cellStyle name="T_Bao cao kttb milk yomilkYAO-mien bac 3 2" xfId="31733" xr:uid="{00000000-0005-0000-0000-0000255C0000}"/>
    <cellStyle name="T_Bao cao kttb milk yomilkYAO-mien bac 3_TOM TAT" xfId="23987" xr:uid="{00000000-0005-0000-0000-0000265C0000}"/>
    <cellStyle name="T_Bao cao kttb milk yomilkYAO-mien bac 4" xfId="18837" xr:uid="{00000000-0005-0000-0000-0000275C0000}"/>
    <cellStyle name="T_Bao cao kttb milk yomilkYAO-mien bac 4 2" xfId="31808" xr:uid="{00000000-0005-0000-0000-0000285C0000}"/>
    <cellStyle name="T_Bao cao kttb milk yomilkYAO-mien bac 4_TOM TAT" xfId="23988" xr:uid="{00000000-0005-0000-0000-0000295C0000}"/>
    <cellStyle name="T_Bao cao kttb milk yomilkYAO-mien bac_Bang Cong tac" xfId="1695" xr:uid="{00000000-0005-0000-0000-00002A5C0000}"/>
    <cellStyle name="T_Bao cao kttb milk yomilkYAO-mien bac_Bang Cong tac 2" xfId="4722" xr:uid="{00000000-0005-0000-0000-00002B5C0000}"/>
    <cellStyle name="T_Bao cao kttb milk yomilkYAO-mien bac_Bang Cong tac 2 2" xfId="13299" xr:uid="{00000000-0005-0000-0000-00002C5C0000}"/>
    <cellStyle name="T_Bao cao kttb milk yomilkYAO-mien bac_Bang Cong tac 2 2_TOM TAT" xfId="23990" xr:uid="{00000000-0005-0000-0000-00002D5C0000}"/>
    <cellStyle name="T_Bao cao kttb milk yomilkYAO-mien bac_Bang Cong tac 2_TOM TAT" xfId="13300" xr:uid="{00000000-0005-0000-0000-00002E5C0000}"/>
    <cellStyle name="T_Bao cao kttb milk yomilkYAO-mien bac_Bang Cong tac 2_TOM TAT 2" xfId="13301" xr:uid="{00000000-0005-0000-0000-00002F5C0000}"/>
    <cellStyle name="T_Bao cao kttb milk yomilkYAO-mien bac_Bang Cong tac 2_TOM TAT 2_TOM TAT" xfId="23992" xr:uid="{00000000-0005-0000-0000-0000305C0000}"/>
    <cellStyle name="T_Bao cao kttb milk yomilkYAO-mien bac_Bang Cong tac 2_TOM TAT_TOM TAT" xfId="23991" xr:uid="{00000000-0005-0000-0000-0000315C0000}"/>
    <cellStyle name="T_Bao cao kttb milk yomilkYAO-mien bac_Bang Cong tac 3" xfId="18501" xr:uid="{00000000-0005-0000-0000-0000325C0000}"/>
    <cellStyle name="T_Bao cao kttb milk yomilkYAO-mien bac_Bang Cong tac 3 2" xfId="31734" xr:uid="{00000000-0005-0000-0000-0000335C0000}"/>
    <cellStyle name="T_Bao cao kttb milk yomilkYAO-mien bac_Bang Cong tac 3_TOM TAT" xfId="23993" xr:uid="{00000000-0005-0000-0000-0000345C0000}"/>
    <cellStyle name="T_Bao cao kttb milk yomilkYAO-mien bac_Bang Cong tac 4" xfId="18838" xr:uid="{00000000-0005-0000-0000-0000355C0000}"/>
    <cellStyle name="T_Bao cao kttb milk yomilkYAO-mien bac_Bang Cong tac 4 2" xfId="31809" xr:uid="{00000000-0005-0000-0000-0000365C0000}"/>
    <cellStyle name="T_Bao cao kttb milk yomilkYAO-mien bac_Bang Cong tac 4_TOM TAT" xfId="23994" xr:uid="{00000000-0005-0000-0000-0000375C0000}"/>
    <cellStyle name="T_Bao cao kttb milk yomilkYAO-mien bac_Bang Cong tac_TOM TAT" xfId="13302" xr:uid="{00000000-0005-0000-0000-0000385C0000}"/>
    <cellStyle name="T_Bao cao kttb milk yomilkYAO-mien bac_Bang Cong tac_TOM TAT 2" xfId="13303" xr:uid="{00000000-0005-0000-0000-0000395C0000}"/>
    <cellStyle name="T_Bao cao kttb milk yomilkYAO-mien bac_Bang Cong tac_TOM TAT 2_TOM TAT" xfId="23996" xr:uid="{00000000-0005-0000-0000-00003A5C0000}"/>
    <cellStyle name="T_Bao cao kttb milk yomilkYAO-mien bac_Bang Cong tac_TOM TAT_1" xfId="23989" xr:uid="{00000000-0005-0000-0000-00003B5C0000}"/>
    <cellStyle name="T_Bao cao kttb milk yomilkYAO-mien bac_Bang Cong tac_TOM TAT_TOM TAT" xfId="23995" xr:uid="{00000000-0005-0000-0000-00003C5C0000}"/>
    <cellStyle name="T_Bao cao kttb milk yomilkYAO-mien bac_TOM TAT" xfId="13304" xr:uid="{00000000-0005-0000-0000-00003D5C0000}"/>
    <cellStyle name="T_Bao cao kttb milk yomilkYAO-mien bac_TOM TAT 2" xfId="13305" xr:uid="{00000000-0005-0000-0000-00003E5C0000}"/>
    <cellStyle name="T_Bao cao kttb milk yomilkYAO-mien bac_TOM TAT 2_TOM TAT" xfId="23998" xr:uid="{00000000-0005-0000-0000-00003F5C0000}"/>
    <cellStyle name="T_Bao cao kttb milk yomilkYAO-mien bac_TOM TAT_1" xfId="23983" xr:uid="{00000000-0005-0000-0000-0000405C0000}"/>
    <cellStyle name="T_Bao cao kttb milk yomilkYAO-mien bac_TOM TAT_TOM TAT" xfId="23997" xr:uid="{00000000-0005-0000-0000-0000415C0000}"/>
    <cellStyle name="T_bc_km_ngay" xfId="1696" xr:uid="{00000000-0005-0000-0000-0000425C0000}"/>
    <cellStyle name="T_bc_km_ngay 2" xfId="4723" xr:uid="{00000000-0005-0000-0000-0000435C0000}"/>
    <cellStyle name="T_bc_km_ngay 2 2" xfId="13306" xr:uid="{00000000-0005-0000-0000-0000445C0000}"/>
    <cellStyle name="T_bc_km_ngay 2 2_TOM TAT" xfId="24000" xr:uid="{00000000-0005-0000-0000-0000455C0000}"/>
    <cellStyle name="T_bc_km_ngay 2_TOM TAT" xfId="13307" xr:uid="{00000000-0005-0000-0000-0000465C0000}"/>
    <cellStyle name="T_bc_km_ngay 2_TOM TAT 2" xfId="13308" xr:uid="{00000000-0005-0000-0000-0000475C0000}"/>
    <cellStyle name="T_bc_km_ngay 2_TOM TAT 2_TOM TAT" xfId="24002" xr:uid="{00000000-0005-0000-0000-0000485C0000}"/>
    <cellStyle name="T_bc_km_ngay 2_TOM TAT_TOM TAT" xfId="24001" xr:uid="{00000000-0005-0000-0000-0000495C0000}"/>
    <cellStyle name="T_bc_km_ngay 3" xfId="18502" xr:uid="{00000000-0005-0000-0000-00004A5C0000}"/>
    <cellStyle name="T_bc_km_ngay 3 2" xfId="31735" xr:uid="{00000000-0005-0000-0000-00004B5C0000}"/>
    <cellStyle name="T_bc_km_ngay 3_TOM TAT" xfId="24003" xr:uid="{00000000-0005-0000-0000-00004C5C0000}"/>
    <cellStyle name="T_bc_km_ngay 4" xfId="18839" xr:uid="{00000000-0005-0000-0000-00004D5C0000}"/>
    <cellStyle name="T_bc_km_ngay 4 2" xfId="31810" xr:uid="{00000000-0005-0000-0000-00004E5C0000}"/>
    <cellStyle name="T_bc_km_ngay 4_TOM TAT" xfId="24004" xr:uid="{00000000-0005-0000-0000-00004F5C0000}"/>
    <cellStyle name="T_bc_km_ngay_Bang Cong tac" xfId="1697" xr:uid="{00000000-0005-0000-0000-0000505C0000}"/>
    <cellStyle name="T_bc_km_ngay_Bang Cong tac 2" xfId="4724" xr:uid="{00000000-0005-0000-0000-0000515C0000}"/>
    <cellStyle name="T_bc_km_ngay_Bang Cong tac 2 2" xfId="13309" xr:uid="{00000000-0005-0000-0000-0000525C0000}"/>
    <cellStyle name="T_bc_km_ngay_Bang Cong tac 2 2_TOM TAT" xfId="24006" xr:uid="{00000000-0005-0000-0000-0000535C0000}"/>
    <cellStyle name="T_bc_km_ngay_Bang Cong tac 2_TOM TAT" xfId="13310" xr:uid="{00000000-0005-0000-0000-0000545C0000}"/>
    <cellStyle name="T_bc_km_ngay_Bang Cong tac 2_TOM TAT 2" xfId="13311" xr:uid="{00000000-0005-0000-0000-0000555C0000}"/>
    <cellStyle name="T_bc_km_ngay_Bang Cong tac 2_TOM TAT 2_TOM TAT" xfId="24008" xr:uid="{00000000-0005-0000-0000-0000565C0000}"/>
    <cellStyle name="T_bc_km_ngay_Bang Cong tac 2_TOM TAT_TOM TAT" xfId="24007" xr:uid="{00000000-0005-0000-0000-0000575C0000}"/>
    <cellStyle name="T_bc_km_ngay_Bang Cong tac 3" xfId="18503" xr:uid="{00000000-0005-0000-0000-0000585C0000}"/>
    <cellStyle name="T_bc_km_ngay_Bang Cong tac 3 2" xfId="31736" xr:uid="{00000000-0005-0000-0000-0000595C0000}"/>
    <cellStyle name="T_bc_km_ngay_Bang Cong tac 3_TOM TAT" xfId="24009" xr:uid="{00000000-0005-0000-0000-00005A5C0000}"/>
    <cellStyle name="T_bc_km_ngay_Bang Cong tac 4" xfId="18840" xr:uid="{00000000-0005-0000-0000-00005B5C0000}"/>
    <cellStyle name="T_bc_km_ngay_Bang Cong tac 4 2" xfId="31811" xr:uid="{00000000-0005-0000-0000-00005C5C0000}"/>
    <cellStyle name="T_bc_km_ngay_Bang Cong tac 4_TOM TAT" xfId="24010" xr:uid="{00000000-0005-0000-0000-00005D5C0000}"/>
    <cellStyle name="T_bc_km_ngay_Bang Cong tac_TOM TAT" xfId="13312" xr:uid="{00000000-0005-0000-0000-00005E5C0000}"/>
    <cellStyle name="T_bc_km_ngay_Bang Cong tac_TOM TAT 2" xfId="13313" xr:uid="{00000000-0005-0000-0000-00005F5C0000}"/>
    <cellStyle name="T_bc_km_ngay_Bang Cong tac_TOM TAT 2_TOM TAT" xfId="24012" xr:uid="{00000000-0005-0000-0000-0000605C0000}"/>
    <cellStyle name="T_bc_km_ngay_Bang Cong tac_TOM TAT_1" xfId="24005" xr:uid="{00000000-0005-0000-0000-0000615C0000}"/>
    <cellStyle name="T_bc_km_ngay_Bang Cong tac_TOM TAT_TOM TAT" xfId="24011" xr:uid="{00000000-0005-0000-0000-0000625C0000}"/>
    <cellStyle name="T_bc_km_ngay_TOM TAT" xfId="13314" xr:uid="{00000000-0005-0000-0000-0000635C0000}"/>
    <cellStyle name="T_bc_km_ngay_TOM TAT 2" xfId="13315" xr:uid="{00000000-0005-0000-0000-0000645C0000}"/>
    <cellStyle name="T_bc_km_ngay_TOM TAT 2_TOM TAT" xfId="24014" xr:uid="{00000000-0005-0000-0000-0000655C0000}"/>
    <cellStyle name="T_bc_km_ngay_TOM TAT_1" xfId="23999" xr:uid="{00000000-0005-0000-0000-0000665C0000}"/>
    <cellStyle name="T_bc_km_ngay_TOM TAT_TOM TAT" xfId="24013" xr:uid="{00000000-0005-0000-0000-0000675C0000}"/>
    <cellStyle name="T_Book1" xfId="1698" xr:uid="{00000000-0005-0000-0000-0000685C0000}"/>
    <cellStyle name="T_Book1 2" xfId="4725" xr:uid="{00000000-0005-0000-0000-0000695C0000}"/>
    <cellStyle name="T_Book1 2 2" xfId="13316" xr:uid="{00000000-0005-0000-0000-00006A5C0000}"/>
    <cellStyle name="T_Book1 2 2_TOM TAT" xfId="24016" xr:uid="{00000000-0005-0000-0000-00006B5C0000}"/>
    <cellStyle name="T_Book1 2_TOM TAT" xfId="13317" xr:uid="{00000000-0005-0000-0000-00006C5C0000}"/>
    <cellStyle name="T_Book1 2_TOM TAT 2" xfId="13318" xr:uid="{00000000-0005-0000-0000-00006D5C0000}"/>
    <cellStyle name="T_Book1 2_TOM TAT 2_TOM TAT" xfId="24018" xr:uid="{00000000-0005-0000-0000-00006E5C0000}"/>
    <cellStyle name="T_Book1 2_TOM TAT_TOM TAT" xfId="24017" xr:uid="{00000000-0005-0000-0000-00006F5C0000}"/>
    <cellStyle name="T_Book1 3" xfId="18504" xr:uid="{00000000-0005-0000-0000-0000705C0000}"/>
    <cellStyle name="T_Book1 3 2" xfId="31737" xr:uid="{00000000-0005-0000-0000-0000715C0000}"/>
    <cellStyle name="T_Book1 3_TOM TAT" xfId="24019" xr:uid="{00000000-0005-0000-0000-0000725C0000}"/>
    <cellStyle name="T_Book1 4" xfId="18841" xr:uid="{00000000-0005-0000-0000-0000735C0000}"/>
    <cellStyle name="T_Book1 4 2" xfId="31812" xr:uid="{00000000-0005-0000-0000-0000745C0000}"/>
    <cellStyle name="T_Book1 4_TOM TAT" xfId="24020" xr:uid="{00000000-0005-0000-0000-0000755C0000}"/>
    <cellStyle name="T_Book1_1" xfId="1699" xr:uid="{00000000-0005-0000-0000-0000765C0000}"/>
    <cellStyle name="T_Book1_1 2" xfId="4726" xr:uid="{00000000-0005-0000-0000-0000775C0000}"/>
    <cellStyle name="T_Book1_1 2 2" xfId="13319" xr:uid="{00000000-0005-0000-0000-0000785C0000}"/>
    <cellStyle name="T_Book1_1 2 2 2" xfId="31660" xr:uid="{00000000-0005-0000-0000-0000795C0000}"/>
    <cellStyle name="T_Book1_1 2 2_TOM TAT" xfId="13320" xr:uid="{00000000-0005-0000-0000-00007A5C0000}"/>
    <cellStyle name="T_Book1_1 2 2_TOM TAT 2" xfId="13321" xr:uid="{00000000-0005-0000-0000-00007B5C0000}"/>
    <cellStyle name="T_Book1_1 2 2_TOM TAT 2_TOM TAT" xfId="24024" xr:uid="{00000000-0005-0000-0000-00007C5C0000}"/>
    <cellStyle name="T_Book1_1 2 2_TOM TAT_1" xfId="24022" xr:uid="{00000000-0005-0000-0000-00007D5C0000}"/>
    <cellStyle name="T_Book1_1 2 2_TOM TAT_TOM TAT" xfId="24023" xr:uid="{00000000-0005-0000-0000-00007E5C0000}"/>
    <cellStyle name="T_Book1_1 2_TOM TAT" xfId="13322" xr:uid="{00000000-0005-0000-0000-00007F5C0000}"/>
    <cellStyle name="T_Book1_1 2_TOM TAT 2" xfId="13323" xr:uid="{00000000-0005-0000-0000-0000805C0000}"/>
    <cellStyle name="T_Book1_1 2_TOM TAT 2_TOM TAT" xfId="24026" xr:uid="{00000000-0005-0000-0000-0000815C0000}"/>
    <cellStyle name="T_Book1_1 2_TOM TAT_TOM TAT" xfId="24025" xr:uid="{00000000-0005-0000-0000-0000825C0000}"/>
    <cellStyle name="T_Book1_1 3" xfId="13324" xr:uid="{00000000-0005-0000-0000-0000835C0000}"/>
    <cellStyle name="T_Book1_1 3 2" xfId="31661" xr:uid="{00000000-0005-0000-0000-0000845C0000}"/>
    <cellStyle name="T_Book1_1 3_TOM TAT" xfId="13325" xr:uid="{00000000-0005-0000-0000-0000855C0000}"/>
    <cellStyle name="T_Book1_1 3_TOM TAT 2" xfId="13326" xr:uid="{00000000-0005-0000-0000-0000865C0000}"/>
    <cellStyle name="T_Book1_1 3_TOM TAT 2_TOM TAT" xfId="24029" xr:uid="{00000000-0005-0000-0000-0000875C0000}"/>
    <cellStyle name="T_Book1_1 3_TOM TAT_1" xfId="24027" xr:uid="{00000000-0005-0000-0000-0000885C0000}"/>
    <cellStyle name="T_Book1_1 3_TOM TAT_TOM TAT" xfId="24028" xr:uid="{00000000-0005-0000-0000-0000895C0000}"/>
    <cellStyle name="T_Book1_1_TOM TAT" xfId="13327" xr:uid="{00000000-0005-0000-0000-00008A5C0000}"/>
    <cellStyle name="T_Book1_1_TOM TAT 2" xfId="13328" xr:uid="{00000000-0005-0000-0000-00008B5C0000}"/>
    <cellStyle name="T_Book1_1_TOM TAT 2_TOM TAT" xfId="24031" xr:uid="{00000000-0005-0000-0000-00008C5C0000}"/>
    <cellStyle name="T_Book1_1_TOM TAT_1" xfId="24021" xr:uid="{00000000-0005-0000-0000-00008D5C0000}"/>
    <cellStyle name="T_Book1_1_TOM TAT_TOM TAT" xfId="24030" xr:uid="{00000000-0005-0000-0000-00008E5C0000}"/>
    <cellStyle name="T_Book1_Bang Cong tac" xfId="1700" xr:uid="{00000000-0005-0000-0000-00008F5C0000}"/>
    <cellStyle name="T_Book1_Bang Cong tac 2" xfId="4727" xr:uid="{00000000-0005-0000-0000-0000905C0000}"/>
    <cellStyle name="T_Book1_Bang Cong tac 2 2" xfId="13329" xr:uid="{00000000-0005-0000-0000-0000915C0000}"/>
    <cellStyle name="T_Book1_Bang Cong tac 2 2 2" xfId="31662" xr:uid="{00000000-0005-0000-0000-0000925C0000}"/>
    <cellStyle name="T_Book1_Bang Cong tac 2 2_TOM TAT" xfId="13330" xr:uid="{00000000-0005-0000-0000-0000935C0000}"/>
    <cellStyle name="T_Book1_Bang Cong tac 2 2_TOM TAT 2" xfId="13331" xr:uid="{00000000-0005-0000-0000-0000945C0000}"/>
    <cellStyle name="T_Book1_Bang Cong tac 2 2_TOM TAT 2_TOM TAT" xfId="24035" xr:uid="{00000000-0005-0000-0000-0000955C0000}"/>
    <cellStyle name="T_Book1_Bang Cong tac 2 2_TOM TAT_1" xfId="24033" xr:uid="{00000000-0005-0000-0000-0000965C0000}"/>
    <cellStyle name="T_Book1_Bang Cong tac 2 2_TOM TAT_TOM TAT" xfId="24034" xr:uid="{00000000-0005-0000-0000-0000975C0000}"/>
    <cellStyle name="T_Book1_Bang Cong tac 2_TOM TAT" xfId="13332" xr:uid="{00000000-0005-0000-0000-0000985C0000}"/>
    <cellStyle name="T_Book1_Bang Cong tac 2_TOM TAT 2" xfId="13333" xr:uid="{00000000-0005-0000-0000-0000995C0000}"/>
    <cellStyle name="T_Book1_Bang Cong tac 2_TOM TAT 2_TOM TAT" xfId="24037" xr:uid="{00000000-0005-0000-0000-00009A5C0000}"/>
    <cellStyle name="T_Book1_Bang Cong tac 2_TOM TAT_TOM TAT" xfId="24036" xr:uid="{00000000-0005-0000-0000-00009B5C0000}"/>
    <cellStyle name="T_Book1_Bang Cong tac 3" xfId="13334" xr:uid="{00000000-0005-0000-0000-00009C5C0000}"/>
    <cellStyle name="T_Book1_Bang Cong tac 3 2" xfId="31663" xr:uid="{00000000-0005-0000-0000-00009D5C0000}"/>
    <cellStyle name="T_Book1_Bang Cong tac 3_TOM TAT" xfId="13335" xr:uid="{00000000-0005-0000-0000-00009E5C0000}"/>
    <cellStyle name="T_Book1_Bang Cong tac 3_TOM TAT 2" xfId="13336" xr:uid="{00000000-0005-0000-0000-00009F5C0000}"/>
    <cellStyle name="T_Book1_Bang Cong tac 3_TOM TAT 2_TOM TAT" xfId="24040" xr:uid="{00000000-0005-0000-0000-0000A05C0000}"/>
    <cellStyle name="T_Book1_Bang Cong tac 3_TOM TAT_1" xfId="24038" xr:uid="{00000000-0005-0000-0000-0000A15C0000}"/>
    <cellStyle name="T_Book1_Bang Cong tac 3_TOM TAT_TOM TAT" xfId="24039" xr:uid="{00000000-0005-0000-0000-0000A25C0000}"/>
    <cellStyle name="T_Book1_Bang Cong tac_TOM TAT" xfId="13337" xr:uid="{00000000-0005-0000-0000-0000A35C0000}"/>
    <cellStyle name="T_Book1_Bang Cong tac_TOM TAT 2" xfId="13338" xr:uid="{00000000-0005-0000-0000-0000A45C0000}"/>
    <cellStyle name="T_Book1_Bang Cong tac_TOM TAT 2_TOM TAT" xfId="24042" xr:uid="{00000000-0005-0000-0000-0000A55C0000}"/>
    <cellStyle name="T_Book1_Bang Cong tac_TOM TAT_1" xfId="24032" xr:uid="{00000000-0005-0000-0000-0000A65C0000}"/>
    <cellStyle name="T_Book1_Bang Cong tac_TOM TAT_TOM TAT" xfId="24041" xr:uid="{00000000-0005-0000-0000-0000A75C0000}"/>
    <cellStyle name="T_Book1_TOM TAT" xfId="13339" xr:uid="{00000000-0005-0000-0000-0000A85C0000}"/>
    <cellStyle name="T_Book1_TOM TAT 2" xfId="13340" xr:uid="{00000000-0005-0000-0000-0000A95C0000}"/>
    <cellStyle name="T_Book1_TOM TAT 2_TOM TAT" xfId="24044" xr:uid="{00000000-0005-0000-0000-0000AA5C0000}"/>
    <cellStyle name="T_Book1_TOM TAT_1" xfId="24015" xr:uid="{00000000-0005-0000-0000-0000AB5C0000}"/>
    <cellStyle name="T_Book1_TOM TAT_TOM TAT" xfId="24043" xr:uid="{00000000-0005-0000-0000-0000AC5C0000}"/>
    <cellStyle name="T_Cac bao cao TB  Milk-Yomilk-co Ke- CK 1-Vinh Thang" xfId="1701" xr:uid="{00000000-0005-0000-0000-0000AD5C0000}"/>
    <cellStyle name="T_Cac bao cao TB  Milk-Yomilk-co Ke- CK 1-Vinh Thang 2" xfId="4728" xr:uid="{00000000-0005-0000-0000-0000AE5C0000}"/>
    <cellStyle name="T_Cac bao cao TB  Milk-Yomilk-co Ke- CK 1-Vinh Thang 2 2" xfId="13341" xr:uid="{00000000-0005-0000-0000-0000AF5C0000}"/>
    <cellStyle name="T_Cac bao cao TB  Milk-Yomilk-co Ke- CK 1-Vinh Thang 2 2 2" xfId="31664" xr:uid="{00000000-0005-0000-0000-0000B05C0000}"/>
    <cellStyle name="T_Cac bao cao TB  Milk-Yomilk-co Ke- CK 1-Vinh Thang 2 2_TOM TAT" xfId="13342" xr:uid="{00000000-0005-0000-0000-0000B15C0000}"/>
    <cellStyle name="T_Cac bao cao TB  Milk-Yomilk-co Ke- CK 1-Vinh Thang 2 2_TOM TAT 2" xfId="13343" xr:uid="{00000000-0005-0000-0000-0000B25C0000}"/>
    <cellStyle name="T_Cac bao cao TB  Milk-Yomilk-co Ke- CK 1-Vinh Thang 2 2_TOM TAT 2_TOM TAT" xfId="24048" xr:uid="{00000000-0005-0000-0000-0000B35C0000}"/>
    <cellStyle name="T_Cac bao cao TB  Milk-Yomilk-co Ke- CK 1-Vinh Thang 2 2_TOM TAT_1" xfId="24046" xr:uid="{00000000-0005-0000-0000-0000B45C0000}"/>
    <cellStyle name="T_Cac bao cao TB  Milk-Yomilk-co Ke- CK 1-Vinh Thang 2 2_TOM TAT_TOM TAT" xfId="24047" xr:uid="{00000000-0005-0000-0000-0000B55C0000}"/>
    <cellStyle name="T_Cac bao cao TB  Milk-Yomilk-co Ke- CK 1-Vinh Thang 2_TOM TAT" xfId="13344" xr:uid="{00000000-0005-0000-0000-0000B65C0000}"/>
    <cellStyle name="T_Cac bao cao TB  Milk-Yomilk-co Ke- CK 1-Vinh Thang 2_TOM TAT 2" xfId="13345" xr:uid="{00000000-0005-0000-0000-0000B75C0000}"/>
    <cellStyle name="T_Cac bao cao TB  Milk-Yomilk-co Ke- CK 1-Vinh Thang 2_TOM TAT 2_TOM TAT" xfId="24050" xr:uid="{00000000-0005-0000-0000-0000B85C0000}"/>
    <cellStyle name="T_Cac bao cao TB  Milk-Yomilk-co Ke- CK 1-Vinh Thang 2_TOM TAT_TOM TAT" xfId="24049" xr:uid="{00000000-0005-0000-0000-0000B95C0000}"/>
    <cellStyle name="T_Cac bao cao TB  Milk-Yomilk-co Ke- CK 1-Vinh Thang 3" xfId="13346" xr:uid="{00000000-0005-0000-0000-0000BA5C0000}"/>
    <cellStyle name="T_Cac bao cao TB  Milk-Yomilk-co Ke- CK 1-Vinh Thang 3 2" xfId="31665" xr:uid="{00000000-0005-0000-0000-0000BB5C0000}"/>
    <cellStyle name="T_Cac bao cao TB  Milk-Yomilk-co Ke- CK 1-Vinh Thang 3_TOM TAT" xfId="13347" xr:uid="{00000000-0005-0000-0000-0000BC5C0000}"/>
    <cellStyle name="T_Cac bao cao TB  Milk-Yomilk-co Ke- CK 1-Vinh Thang 3_TOM TAT 2" xfId="13348" xr:uid="{00000000-0005-0000-0000-0000BD5C0000}"/>
    <cellStyle name="T_Cac bao cao TB  Milk-Yomilk-co Ke- CK 1-Vinh Thang 3_TOM TAT 2_TOM TAT" xfId="24053" xr:uid="{00000000-0005-0000-0000-0000BE5C0000}"/>
    <cellStyle name="T_Cac bao cao TB  Milk-Yomilk-co Ke- CK 1-Vinh Thang 3_TOM TAT_1" xfId="24051" xr:uid="{00000000-0005-0000-0000-0000BF5C0000}"/>
    <cellStyle name="T_Cac bao cao TB  Milk-Yomilk-co Ke- CK 1-Vinh Thang 3_TOM TAT_TOM TAT" xfId="24052" xr:uid="{00000000-0005-0000-0000-0000C05C0000}"/>
    <cellStyle name="T_Cac bao cao TB  Milk-Yomilk-co Ke- CK 1-Vinh Thang_Bang Cong tac" xfId="1702" xr:uid="{00000000-0005-0000-0000-0000C15C0000}"/>
    <cellStyle name="T_Cac bao cao TB  Milk-Yomilk-co Ke- CK 1-Vinh Thang_Bang Cong tac 2" xfId="4729" xr:uid="{00000000-0005-0000-0000-0000C25C0000}"/>
    <cellStyle name="T_Cac bao cao TB  Milk-Yomilk-co Ke- CK 1-Vinh Thang_Bang Cong tac 2 2" xfId="13349" xr:uid="{00000000-0005-0000-0000-0000C35C0000}"/>
    <cellStyle name="T_Cac bao cao TB  Milk-Yomilk-co Ke- CK 1-Vinh Thang_Bang Cong tac 2 2 2" xfId="31666" xr:uid="{00000000-0005-0000-0000-0000C45C0000}"/>
    <cellStyle name="T_Cac bao cao TB  Milk-Yomilk-co Ke- CK 1-Vinh Thang_Bang Cong tac 2 2_TOM TAT" xfId="13350" xr:uid="{00000000-0005-0000-0000-0000C55C0000}"/>
    <cellStyle name="T_Cac bao cao TB  Milk-Yomilk-co Ke- CK 1-Vinh Thang_Bang Cong tac 2 2_TOM TAT 2" xfId="13351" xr:uid="{00000000-0005-0000-0000-0000C65C0000}"/>
    <cellStyle name="T_Cac bao cao TB  Milk-Yomilk-co Ke- CK 1-Vinh Thang_Bang Cong tac 2 2_TOM TAT 2_TOM TAT" xfId="24057" xr:uid="{00000000-0005-0000-0000-0000C75C0000}"/>
    <cellStyle name="T_Cac bao cao TB  Milk-Yomilk-co Ke- CK 1-Vinh Thang_Bang Cong tac 2 2_TOM TAT_1" xfId="24055" xr:uid="{00000000-0005-0000-0000-0000C85C0000}"/>
    <cellStyle name="T_Cac bao cao TB  Milk-Yomilk-co Ke- CK 1-Vinh Thang_Bang Cong tac 2 2_TOM TAT_TOM TAT" xfId="24056" xr:uid="{00000000-0005-0000-0000-0000C95C0000}"/>
    <cellStyle name="T_Cac bao cao TB  Milk-Yomilk-co Ke- CK 1-Vinh Thang_Bang Cong tac 2_TOM TAT" xfId="13352" xr:uid="{00000000-0005-0000-0000-0000CA5C0000}"/>
    <cellStyle name="T_Cac bao cao TB  Milk-Yomilk-co Ke- CK 1-Vinh Thang_Bang Cong tac 2_TOM TAT 2" xfId="13353" xr:uid="{00000000-0005-0000-0000-0000CB5C0000}"/>
    <cellStyle name="T_Cac bao cao TB  Milk-Yomilk-co Ke- CK 1-Vinh Thang_Bang Cong tac 2_TOM TAT 2_TOM TAT" xfId="24059" xr:uid="{00000000-0005-0000-0000-0000CC5C0000}"/>
    <cellStyle name="T_Cac bao cao TB  Milk-Yomilk-co Ke- CK 1-Vinh Thang_Bang Cong tac 2_TOM TAT_TOM TAT" xfId="24058" xr:uid="{00000000-0005-0000-0000-0000CD5C0000}"/>
    <cellStyle name="T_Cac bao cao TB  Milk-Yomilk-co Ke- CK 1-Vinh Thang_Bang Cong tac 3" xfId="13354" xr:uid="{00000000-0005-0000-0000-0000CE5C0000}"/>
    <cellStyle name="T_Cac bao cao TB  Milk-Yomilk-co Ke- CK 1-Vinh Thang_Bang Cong tac 3 2" xfId="31667" xr:uid="{00000000-0005-0000-0000-0000CF5C0000}"/>
    <cellStyle name="T_Cac bao cao TB  Milk-Yomilk-co Ke- CK 1-Vinh Thang_Bang Cong tac 3_TOM TAT" xfId="13355" xr:uid="{00000000-0005-0000-0000-0000D05C0000}"/>
    <cellStyle name="T_Cac bao cao TB  Milk-Yomilk-co Ke- CK 1-Vinh Thang_Bang Cong tac 3_TOM TAT 2" xfId="13356" xr:uid="{00000000-0005-0000-0000-0000D15C0000}"/>
    <cellStyle name="T_Cac bao cao TB  Milk-Yomilk-co Ke- CK 1-Vinh Thang_Bang Cong tac 3_TOM TAT 2_TOM TAT" xfId="24062" xr:uid="{00000000-0005-0000-0000-0000D25C0000}"/>
    <cellStyle name="T_Cac bao cao TB  Milk-Yomilk-co Ke- CK 1-Vinh Thang_Bang Cong tac 3_TOM TAT_1" xfId="24060" xr:uid="{00000000-0005-0000-0000-0000D35C0000}"/>
    <cellStyle name="T_Cac bao cao TB  Milk-Yomilk-co Ke- CK 1-Vinh Thang_Bang Cong tac 3_TOM TAT_TOM TAT" xfId="24061" xr:uid="{00000000-0005-0000-0000-0000D45C0000}"/>
    <cellStyle name="T_Cac bao cao TB  Milk-Yomilk-co Ke- CK 1-Vinh Thang_Bang Cong tac_TOM TAT" xfId="13357" xr:uid="{00000000-0005-0000-0000-0000D55C0000}"/>
    <cellStyle name="T_Cac bao cao TB  Milk-Yomilk-co Ke- CK 1-Vinh Thang_Bang Cong tac_TOM TAT 2" xfId="13358" xr:uid="{00000000-0005-0000-0000-0000D65C0000}"/>
    <cellStyle name="T_Cac bao cao TB  Milk-Yomilk-co Ke- CK 1-Vinh Thang_Bang Cong tac_TOM TAT 2_TOM TAT" xfId="24064" xr:uid="{00000000-0005-0000-0000-0000D75C0000}"/>
    <cellStyle name="T_Cac bao cao TB  Milk-Yomilk-co Ke- CK 1-Vinh Thang_Bang Cong tac_TOM TAT_1" xfId="24054" xr:uid="{00000000-0005-0000-0000-0000D85C0000}"/>
    <cellStyle name="T_Cac bao cao TB  Milk-Yomilk-co Ke- CK 1-Vinh Thang_Bang Cong tac_TOM TAT_TOM TAT" xfId="24063" xr:uid="{00000000-0005-0000-0000-0000D95C0000}"/>
    <cellStyle name="T_Cac bao cao TB  Milk-Yomilk-co Ke- CK 1-Vinh Thang_TOM TAT" xfId="13359" xr:uid="{00000000-0005-0000-0000-0000DA5C0000}"/>
    <cellStyle name="T_Cac bao cao TB  Milk-Yomilk-co Ke- CK 1-Vinh Thang_TOM TAT 2" xfId="13360" xr:uid="{00000000-0005-0000-0000-0000DB5C0000}"/>
    <cellStyle name="T_Cac bao cao TB  Milk-Yomilk-co Ke- CK 1-Vinh Thang_TOM TAT 2_TOM TAT" xfId="24066" xr:uid="{00000000-0005-0000-0000-0000DC5C0000}"/>
    <cellStyle name="T_Cac bao cao TB  Milk-Yomilk-co Ke- CK 1-Vinh Thang_TOM TAT_1" xfId="24045" xr:uid="{00000000-0005-0000-0000-0000DD5C0000}"/>
    <cellStyle name="T_Cac bao cao TB  Milk-Yomilk-co Ke- CK 1-Vinh Thang_TOM TAT_TOM TAT" xfId="24065" xr:uid="{00000000-0005-0000-0000-0000DE5C0000}"/>
    <cellStyle name="T_cham diem Milk chu ky2-ANH MINH" xfId="1703" xr:uid="{00000000-0005-0000-0000-0000DF5C0000}"/>
    <cellStyle name="T_cham diem Milk chu ky2-ANH MINH 2" xfId="4730" xr:uid="{00000000-0005-0000-0000-0000E05C0000}"/>
    <cellStyle name="T_cham diem Milk chu ky2-ANH MINH 2 2" xfId="13361" xr:uid="{00000000-0005-0000-0000-0000E15C0000}"/>
    <cellStyle name="T_cham diem Milk chu ky2-ANH MINH 2 2_TOM TAT" xfId="24068" xr:uid="{00000000-0005-0000-0000-0000E25C0000}"/>
    <cellStyle name="T_cham diem Milk chu ky2-ANH MINH 2_TOM TAT" xfId="13362" xr:uid="{00000000-0005-0000-0000-0000E35C0000}"/>
    <cellStyle name="T_cham diem Milk chu ky2-ANH MINH 2_TOM TAT 2" xfId="13363" xr:uid="{00000000-0005-0000-0000-0000E45C0000}"/>
    <cellStyle name="T_cham diem Milk chu ky2-ANH MINH 2_TOM TAT 2_TOM TAT" xfId="24070" xr:uid="{00000000-0005-0000-0000-0000E55C0000}"/>
    <cellStyle name="T_cham diem Milk chu ky2-ANH MINH 2_TOM TAT_TOM TAT" xfId="24069" xr:uid="{00000000-0005-0000-0000-0000E65C0000}"/>
    <cellStyle name="T_cham diem Milk chu ky2-ANH MINH 3" xfId="18505" xr:uid="{00000000-0005-0000-0000-0000E75C0000}"/>
    <cellStyle name="T_cham diem Milk chu ky2-ANH MINH 3 2" xfId="31738" xr:uid="{00000000-0005-0000-0000-0000E85C0000}"/>
    <cellStyle name="T_cham diem Milk chu ky2-ANH MINH 3_TOM TAT" xfId="24071" xr:uid="{00000000-0005-0000-0000-0000E95C0000}"/>
    <cellStyle name="T_cham diem Milk chu ky2-ANH MINH 4" xfId="18842" xr:uid="{00000000-0005-0000-0000-0000EA5C0000}"/>
    <cellStyle name="T_cham diem Milk chu ky2-ANH MINH 4 2" xfId="31813" xr:uid="{00000000-0005-0000-0000-0000EB5C0000}"/>
    <cellStyle name="T_cham diem Milk chu ky2-ANH MINH 4_TOM TAT" xfId="24072" xr:uid="{00000000-0005-0000-0000-0000EC5C0000}"/>
    <cellStyle name="T_cham diem Milk chu ky2-ANH MINH_Bang Cong tac" xfId="1704" xr:uid="{00000000-0005-0000-0000-0000ED5C0000}"/>
    <cellStyle name="T_cham diem Milk chu ky2-ANH MINH_Bang Cong tac 2" xfId="4731" xr:uid="{00000000-0005-0000-0000-0000EE5C0000}"/>
    <cellStyle name="T_cham diem Milk chu ky2-ANH MINH_Bang Cong tac 2 2" xfId="13364" xr:uid="{00000000-0005-0000-0000-0000EF5C0000}"/>
    <cellStyle name="T_cham diem Milk chu ky2-ANH MINH_Bang Cong tac 2 2_TOM TAT" xfId="24074" xr:uid="{00000000-0005-0000-0000-0000F05C0000}"/>
    <cellStyle name="T_cham diem Milk chu ky2-ANH MINH_Bang Cong tac 2_TOM TAT" xfId="13365" xr:uid="{00000000-0005-0000-0000-0000F15C0000}"/>
    <cellStyle name="T_cham diem Milk chu ky2-ANH MINH_Bang Cong tac 2_TOM TAT 2" xfId="13366" xr:uid="{00000000-0005-0000-0000-0000F25C0000}"/>
    <cellStyle name="T_cham diem Milk chu ky2-ANH MINH_Bang Cong tac 2_TOM TAT 2_TOM TAT" xfId="24076" xr:uid="{00000000-0005-0000-0000-0000F35C0000}"/>
    <cellStyle name="T_cham diem Milk chu ky2-ANH MINH_Bang Cong tac 2_TOM TAT_TOM TAT" xfId="24075" xr:uid="{00000000-0005-0000-0000-0000F45C0000}"/>
    <cellStyle name="T_cham diem Milk chu ky2-ANH MINH_Bang Cong tac 3" xfId="18506" xr:uid="{00000000-0005-0000-0000-0000F55C0000}"/>
    <cellStyle name="T_cham diem Milk chu ky2-ANH MINH_Bang Cong tac 3 2" xfId="31739" xr:uid="{00000000-0005-0000-0000-0000F65C0000}"/>
    <cellStyle name="T_cham diem Milk chu ky2-ANH MINH_Bang Cong tac 3_TOM TAT" xfId="24077" xr:uid="{00000000-0005-0000-0000-0000F75C0000}"/>
    <cellStyle name="T_cham diem Milk chu ky2-ANH MINH_Bang Cong tac 4" xfId="18843" xr:uid="{00000000-0005-0000-0000-0000F85C0000}"/>
    <cellStyle name="T_cham diem Milk chu ky2-ANH MINH_Bang Cong tac 4 2" xfId="31814" xr:uid="{00000000-0005-0000-0000-0000F95C0000}"/>
    <cellStyle name="T_cham diem Milk chu ky2-ANH MINH_Bang Cong tac 4_TOM TAT" xfId="24078" xr:uid="{00000000-0005-0000-0000-0000FA5C0000}"/>
    <cellStyle name="T_cham diem Milk chu ky2-ANH MINH_Bang Cong tac_TOM TAT" xfId="13367" xr:uid="{00000000-0005-0000-0000-0000FB5C0000}"/>
    <cellStyle name="T_cham diem Milk chu ky2-ANH MINH_Bang Cong tac_TOM TAT 2" xfId="13368" xr:uid="{00000000-0005-0000-0000-0000FC5C0000}"/>
    <cellStyle name="T_cham diem Milk chu ky2-ANH MINH_Bang Cong tac_TOM TAT 2_TOM TAT" xfId="24080" xr:uid="{00000000-0005-0000-0000-0000FD5C0000}"/>
    <cellStyle name="T_cham diem Milk chu ky2-ANH MINH_Bang Cong tac_TOM TAT_1" xfId="24073" xr:uid="{00000000-0005-0000-0000-0000FE5C0000}"/>
    <cellStyle name="T_cham diem Milk chu ky2-ANH MINH_Bang Cong tac_TOM TAT_TOM TAT" xfId="24079" xr:uid="{00000000-0005-0000-0000-0000FF5C0000}"/>
    <cellStyle name="T_cham diem Milk chu ky2-ANH MINH_TOM TAT" xfId="13369" xr:uid="{00000000-0005-0000-0000-0000005D0000}"/>
    <cellStyle name="T_cham diem Milk chu ky2-ANH MINH_TOM TAT 2" xfId="13370" xr:uid="{00000000-0005-0000-0000-0000015D0000}"/>
    <cellStyle name="T_cham diem Milk chu ky2-ANH MINH_TOM TAT 2_TOM TAT" xfId="24082" xr:uid="{00000000-0005-0000-0000-0000025D0000}"/>
    <cellStyle name="T_cham diem Milk chu ky2-ANH MINH_TOM TAT_1" xfId="24067" xr:uid="{00000000-0005-0000-0000-0000035D0000}"/>
    <cellStyle name="T_cham diem Milk chu ky2-ANH MINH_TOM TAT_TOM TAT" xfId="24081" xr:uid="{00000000-0005-0000-0000-0000045D0000}"/>
    <cellStyle name="T_cham trung bay ck 1 m.Bac milk co ke 2" xfId="1705" xr:uid="{00000000-0005-0000-0000-0000055D0000}"/>
    <cellStyle name="T_cham trung bay ck 1 m.Bac milk co ke 2 2" xfId="4732" xr:uid="{00000000-0005-0000-0000-0000065D0000}"/>
    <cellStyle name="T_cham trung bay ck 1 m.Bac milk co ke 2 2 2" xfId="13371" xr:uid="{00000000-0005-0000-0000-0000075D0000}"/>
    <cellStyle name="T_cham trung bay ck 1 m.Bac milk co ke 2 2 2_TOM TAT" xfId="24084" xr:uid="{00000000-0005-0000-0000-0000085D0000}"/>
    <cellStyle name="T_cham trung bay ck 1 m.Bac milk co ke 2 2_TOM TAT" xfId="13372" xr:uid="{00000000-0005-0000-0000-0000095D0000}"/>
    <cellStyle name="T_cham trung bay ck 1 m.Bac milk co ke 2 2_TOM TAT 2" xfId="13373" xr:uid="{00000000-0005-0000-0000-00000A5D0000}"/>
    <cellStyle name="T_cham trung bay ck 1 m.Bac milk co ke 2 2_TOM TAT 2_TOM TAT" xfId="24086" xr:uid="{00000000-0005-0000-0000-00000B5D0000}"/>
    <cellStyle name="T_cham trung bay ck 1 m.Bac milk co ke 2 2_TOM TAT_TOM TAT" xfId="24085" xr:uid="{00000000-0005-0000-0000-00000C5D0000}"/>
    <cellStyle name="T_cham trung bay ck 1 m.Bac milk co ke 2 3" xfId="18507" xr:uid="{00000000-0005-0000-0000-00000D5D0000}"/>
    <cellStyle name="T_cham trung bay ck 1 m.Bac milk co ke 2 3 2" xfId="31740" xr:uid="{00000000-0005-0000-0000-00000E5D0000}"/>
    <cellStyle name="T_cham trung bay ck 1 m.Bac milk co ke 2 3_TOM TAT" xfId="24087" xr:uid="{00000000-0005-0000-0000-00000F5D0000}"/>
    <cellStyle name="T_cham trung bay ck 1 m.Bac milk co ke 2 4" xfId="18844" xr:uid="{00000000-0005-0000-0000-0000105D0000}"/>
    <cellStyle name="T_cham trung bay ck 1 m.Bac milk co ke 2 4 2" xfId="31815" xr:uid="{00000000-0005-0000-0000-0000115D0000}"/>
    <cellStyle name="T_cham trung bay ck 1 m.Bac milk co ke 2 4_TOM TAT" xfId="24088" xr:uid="{00000000-0005-0000-0000-0000125D0000}"/>
    <cellStyle name="T_cham trung bay ck 1 m.Bac milk co ke 2_Bang Cong tac" xfId="1706" xr:uid="{00000000-0005-0000-0000-0000135D0000}"/>
    <cellStyle name="T_cham trung bay ck 1 m.Bac milk co ke 2_Bang Cong tac 2" xfId="4733" xr:uid="{00000000-0005-0000-0000-0000145D0000}"/>
    <cellStyle name="T_cham trung bay ck 1 m.Bac milk co ke 2_Bang Cong tac 2 2" xfId="13374" xr:uid="{00000000-0005-0000-0000-0000155D0000}"/>
    <cellStyle name="T_cham trung bay ck 1 m.Bac milk co ke 2_Bang Cong tac 2 2_TOM TAT" xfId="24090" xr:uid="{00000000-0005-0000-0000-0000165D0000}"/>
    <cellStyle name="T_cham trung bay ck 1 m.Bac milk co ke 2_Bang Cong tac 2_TOM TAT" xfId="13375" xr:uid="{00000000-0005-0000-0000-0000175D0000}"/>
    <cellStyle name="T_cham trung bay ck 1 m.Bac milk co ke 2_Bang Cong tac 2_TOM TAT 2" xfId="13376" xr:uid="{00000000-0005-0000-0000-0000185D0000}"/>
    <cellStyle name="T_cham trung bay ck 1 m.Bac milk co ke 2_Bang Cong tac 2_TOM TAT 2_TOM TAT" xfId="24092" xr:uid="{00000000-0005-0000-0000-0000195D0000}"/>
    <cellStyle name="T_cham trung bay ck 1 m.Bac milk co ke 2_Bang Cong tac 2_TOM TAT_TOM TAT" xfId="24091" xr:uid="{00000000-0005-0000-0000-00001A5D0000}"/>
    <cellStyle name="T_cham trung bay ck 1 m.Bac milk co ke 2_Bang Cong tac 3" xfId="18508" xr:uid="{00000000-0005-0000-0000-00001B5D0000}"/>
    <cellStyle name="T_cham trung bay ck 1 m.Bac milk co ke 2_Bang Cong tac 3 2" xfId="31741" xr:uid="{00000000-0005-0000-0000-00001C5D0000}"/>
    <cellStyle name="T_cham trung bay ck 1 m.Bac milk co ke 2_Bang Cong tac 3_TOM TAT" xfId="24093" xr:uid="{00000000-0005-0000-0000-00001D5D0000}"/>
    <cellStyle name="T_cham trung bay ck 1 m.Bac milk co ke 2_Bang Cong tac 4" xfId="18845" xr:uid="{00000000-0005-0000-0000-00001E5D0000}"/>
    <cellStyle name="T_cham trung bay ck 1 m.Bac milk co ke 2_Bang Cong tac 4 2" xfId="31816" xr:uid="{00000000-0005-0000-0000-00001F5D0000}"/>
    <cellStyle name="T_cham trung bay ck 1 m.Bac milk co ke 2_Bang Cong tac 4_TOM TAT" xfId="24094" xr:uid="{00000000-0005-0000-0000-0000205D0000}"/>
    <cellStyle name="T_cham trung bay ck 1 m.Bac milk co ke 2_Bang Cong tac_TOM TAT" xfId="13377" xr:uid="{00000000-0005-0000-0000-0000215D0000}"/>
    <cellStyle name="T_cham trung bay ck 1 m.Bac milk co ke 2_Bang Cong tac_TOM TAT 2" xfId="13378" xr:uid="{00000000-0005-0000-0000-0000225D0000}"/>
    <cellStyle name="T_cham trung bay ck 1 m.Bac milk co ke 2_Bang Cong tac_TOM TAT 2_TOM TAT" xfId="24096" xr:uid="{00000000-0005-0000-0000-0000235D0000}"/>
    <cellStyle name="T_cham trung bay ck 1 m.Bac milk co ke 2_Bang Cong tac_TOM TAT_1" xfId="24089" xr:uid="{00000000-0005-0000-0000-0000245D0000}"/>
    <cellStyle name="T_cham trung bay ck 1 m.Bac milk co ke 2_Bang Cong tac_TOM TAT_TOM TAT" xfId="24095" xr:uid="{00000000-0005-0000-0000-0000255D0000}"/>
    <cellStyle name="T_cham trung bay ck 1 m.Bac milk co ke 2_TOM TAT" xfId="13379" xr:uid="{00000000-0005-0000-0000-0000265D0000}"/>
    <cellStyle name="T_cham trung bay ck 1 m.Bac milk co ke 2_TOM TAT 2" xfId="13380" xr:uid="{00000000-0005-0000-0000-0000275D0000}"/>
    <cellStyle name="T_cham trung bay ck 1 m.Bac milk co ke 2_TOM TAT 2_TOM TAT" xfId="24098" xr:uid="{00000000-0005-0000-0000-0000285D0000}"/>
    <cellStyle name="T_cham trung bay ck 1 m.Bac milk co ke 2_TOM TAT_1" xfId="24083" xr:uid="{00000000-0005-0000-0000-0000295D0000}"/>
    <cellStyle name="T_cham trung bay ck 1 m.Bac milk co ke 2_TOM TAT_TOM TAT" xfId="24097" xr:uid="{00000000-0005-0000-0000-00002A5D0000}"/>
    <cellStyle name="T_cham trung bay yao smart milk ck 2 mien Bac" xfId="1707" xr:uid="{00000000-0005-0000-0000-00002B5D0000}"/>
    <cellStyle name="T_cham trung bay yao smart milk ck 2 mien Bac 2" xfId="4734" xr:uid="{00000000-0005-0000-0000-00002C5D0000}"/>
    <cellStyle name="T_cham trung bay yao smart milk ck 2 mien Bac 2 2" xfId="13381" xr:uid="{00000000-0005-0000-0000-00002D5D0000}"/>
    <cellStyle name="T_cham trung bay yao smart milk ck 2 mien Bac 2 2 2" xfId="31668" xr:uid="{00000000-0005-0000-0000-00002E5D0000}"/>
    <cellStyle name="T_cham trung bay yao smart milk ck 2 mien Bac 2 2_TOM TAT" xfId="13382" xr:uid="{00000000-0005-0000-0000-00002F5D0000}"/>
    <cellStyle name="T_cham trung bay yao smart milk ck 2 mien Bac 2 2_TOM TAT 2" xfId="13383" xr:uid="{00000000-0005-0000-0000-0000305D0000}"/>
    <cellStyle name="T_cham trung bay yao smart milk ck 2 mien Bac 2 2_TOM TAT 2_TOM TAT" xfId="24102" xr:uid="{00000000-0005-0000-0000-0000315D0000}"/>
    <cellStyle name="T_cham trung bay yao smart milk ck 2 mien Bac 2 2_TOM TAT_1" xfId="24100" xr:uid="{00000000-0005-0000-0000-0000325D0000}"/>
    <cellStyle name="T_cham trung bay yao smart milk ck 2 mien Bac 2 2_TOM TAT_TOM TAT" xfId="24101" xr:uid="{00000000-0005-0000-0000-0000335D0000}"/>
    <cellStyle name="T_cham trung bay yao smart milk ck 2 mien Bac 2_TOM TAT" xfId="13384" xr:uid="{00000000-0005-0000-0000-0000345D0000}"/>
    <cellStyle name="T_cham trung bay yao smart milk ck 2 mien Bac 2_TOM TAT 2" xfId="13385" xr:uid="{00000000-0005-0000-0000-0000355D0000}"/>
    <cellStyle name="T_cham trung bay yao smart milk ck 2 mien Bac 2_TOM TAT 2_TOM TAT" xfId="24104" xr:uid="{00000000-0005-0000-0000-0000365D0000}"/>
    <cellStyle name="T_cham trung bay yao smart milk ck 2 mien Bac 2_TOM TAT_TOM TAT" xfId="24103" xr:uid="{00000000-0005-0000-0000-0000375D0000}"/>
    <cellStyle name="T_cham trung bay yao smart milk ck 2 mien Bac 3" xfId="13386" xr:uid="{00000000-0005-0000-0000-0000385D0000}"/>
    <cellStyle name="T_cham trung bay yao smart milk ck 2 mien Bac 3 2" xfId="31669" xr:uid="{00000000-0005-0000-0000-0000395D0000}"/>
    <cellStyle name="T_cham trung bay yao smart milk ck 2 mien Bac 3_TOM TAT" xfId="13387" xr:uid="{00000000-0005-0000-0000-00003A5D0000}"/>
    <cellStyle name="T_cham trung bay yao smart milk ck 2 mien Bac 3_TOM TAT 2" xfId="13388" xr:uid="{00000000-0005-0000-0000-00003B5D0000}"/>
    <cellStyle name="T_cham trung bay yao smart milk ck 2 mien Bac 3_TOM TAT 2_TOM TAT" xfId="24107" xr:uid="{00000000-0005-0000-0000-00003C5D0000}"/>
    <cellStyle name="T_cham trung bay yao smart milk ck 2 mien Bac 3_TOM TAT_1" xfId="24105" xr:uid="{00000000-0005-0000-0000-00003D5D0000}"/>
    <cellStyle name="T_cham trung bay yao smart milk ck 2 mien Bac 3_TOM TAT_TOM TAT" xfId="24106" xr:uid="{00000000-0005-0000-0000-00003E5D0000}"/>
    <cellStyle name="T_cham trung bay yao smart milk ck 2 mien Bac_Bang Cong tac" xfId="1708" xr:uid="{00000000-0005-0000-0000-00003F5D0000}"/>
    <cellStyle name="T_cham trung bay yao smart milk ck 2 mien Bac_Bang Cong tac 2" xfId="4735" xr:uid="{00000000-0005-0000-0000-0000405D0000}"/>
    <cellStyle name="T_cham trung bay yao smart milk ck 2 mien Bac_Bang Cong tac 2 2" xfId="13389" xr:uid="{00000000-0005-0000-0000-0000415D0000}"/>
    <cellStyle name="T_cham trung bay yao smart milk ck 2 mien Bac_Bang Cong tac 2 2 2" xfId="31670" xr:uid="{00000000-0005-0000-0000-0000425D0000}"/>
    <cellStyle name="T_cham trung bay yao smart milk ck 2 mien Bac_Bang Cong tac 2 2_TOM TAT" xfId="13390" xr:uid="{00000000-0005-0000-0000-0000435D0000}"/>
    <cellStyle name="T_cham trung bay yao smart milk ck 2 mien Bac_Bang Cong tac 2 2_TOM TAT 2" xfId="13391" xr:uid="{00000000-0005-0000-0000-0000445D0000}"/>
    <cellStyle name="T_cham trung bay yao smart milk ck 2 mien Bac_Bang Cong tac 2 2_TOM TAT 2_TOM TAT" xfId="24111" xr:uid="{00000000-0005-0000-0000-0000455D0000}"/>
    <cellStyle name="T_cham trung bay yao smart milk ck 2 mien Bac_Bang Cong tac 2 2_TOM TAT_1" xfId="24109" xr:uid="{00000000-0005-0000-0000-0000465D0000}"/>
    <cellStyle name="T_cham trung bay yao smart milk ck 2 mien Bac_Bang Cong tac 2 2_TOM TAT_TOM TAT" xfId="24110" xr:uid="{00000000-0005-0000-0000-0000475D0000}"/>
    <cellStyle name="T_cham trung bay yao smart milk ck 2 mien Bac_Bang Cong tac 2_TOM TAT" xfId="13392" xr:uid="{00000000-0005-0000-0000-0000485D0000}"/>
    <cellStyle name="T_cham trung bay yao smart milk ck 2 mien Bac_Bang Cong tac 2_TOM TAT 2" xfId="13393" xr:uid="{00000000-0005-0000-0000-0000495D0000}"/>
    <cellStyle name="T_cham trung bay yao smart milk ck 2 mien Bac_Bang Cong tac 2_TOM TAT 2_TOM TAT" xfId="24113" xr:uid="{00000000-0005-0000-0000-00004A5D0000}"/>
    <cellStyle name="T_cham trung bay yao smart milk ck 2 mien Bac_Bang Cong tac 2_TOM TAT_TOM TAT" xfId="24112" xr:uid="{00000000-0005-0000-0000-00004B5D0000}"/>
    <cellStyle name="T_cham trung bay yao smart milk ck 2 mien Bac_Bang Cong tac 3" xfId="13394" xr:uid="{00000000-0005-0000-0000-00004C5D0000}"/>
    <cellStyle name="T_cham trung bay yao smart milk ck 2 mien Bac_Bang Cong tac 3 2" xfId="31671" xr:uid="{00000000-0005-0000-0000-00004D5D0000}"/>
    <cellStyle name="T_cham trung bay yao smart milk ck 2 mien Bac_Bang Cong tac 3_TOM TAT" xfId="13395" xr:uid="{00000000-0005-0000-0000-00004E5D0000}"/>
    <cellStyle name="T_cham trung bay yao smart milk ck 2 mien Bac_Bang Cong tac 3_TOM TAT 2" xfId="13396" xr:uid="{00000000-0005-0000-0000-00004F5D0000}"/>
    <cellStyle name="T_cham trung bay yao smart milk ck 2 mien Bac_Bang Cong tac 3_TOM TAT 2_TOM TAT" xfId="24116" xr:uid="{00000000-0005-0000-0000-0000505D0000}"/>
    <cellStyle name="T_cham trung bay yao smart milk ck 2 mien Bac_Bang Cong tac 3_TOM TAT_1" xfId="24114" xr:uid="{00000000-0005-0000-0000-0000515D0000}"/>
    <cellStyle name="T_cham trung bay yao smart milk ck 2 mien Bac_Bang Cong tac 3_TOM TAT_TOM TAT" xfId="24115" xr:uid="{00000000-0005-0000-0000-0000525D0000}"/>
    <cellStyle name="T_cham trung bay yao smart milk ck 2 mien Bac_Bang Cong tac_TOM TAT" xfId="13397" xr:uid="{00000000-0005-0000-0000-0000535D0000}"/>
    <cellStyle name="T_cham trung bay yao smart milk ck 2 mien Bac_Bang Cong tac_TOM TAT 2" xfId="13398" xr:uid="{00000000-0005-0000-0000-0000545D0000}"/>
    <cellStyle name="T_cham trung bay yao smart milk ck 2 mien Bac_Bang Cong tac_TOM TAT 2_TOM TAT" xfId="24118" xr:uid="{00000000-0005-0000-0000-0000555D0000}"/>
    <cellStyle name="T_cham trung bay yao smart milk ck 2 mien Bac_Bang Cong tac_TOM TAT_1" xfId="24108" xr:uid="{00000000-0005-0000-0000-0000565D0000}"/>
    <cellStyle name="T_cham trung bay yao smart milk ck 2 mien Bac_Bang Cong tac_TOM TAT_TOM TAT" xfId="24117" xr:uid="{00000000-0005-0000-0000-0000575D0000}"/>
    <cellStyle name="T_cham trung bay yao smart milk ck 2 mien Bac_TOM TAT" xfId="13399" xr:uid="{00000000-0005-0000-0000-0000585D0000}"/>
    <cellStyle name="T_cham trung bay yao smart milk ck 2 mien Bac_TOM TAT 2" xfId="13400" xr:uid="{00000000-0005-0000-0000-0000595D0000}"/>
    <cellStyle name="T_cham trung bay yao smart milk ck 2 mien Bac_TOM TAT 2_TOM TAT" xfId="24120" xr:uid="{00000000-0005-0000-0000-00005A5D0000}"/>
    <cellStyle name="T_cham trung bay yao smart milk ck 2 mien Bac_TOM TAT_1" xfId="24099" xr:uid="{00000000-0005-0000-0000-00005B5D0000}"/>
    <cellStyle name="T_cham trung bay yao smart milk ck 2 mien Bac_TOM TAT_TOM TAT" xfId="24119" xr:uid="{00000000-0005-0000-0000-00005C5D0000}"/>
    <cellStyle name="T_danh sach chua nop bcao trung bay sua chua  tinh den 1-3-06" xfId="1709" xr:uid="{00000000-0005-0000-0000-00005D5D0000}"/>
    <cellStyle name="T_danh sach chua nop bcao trung bay sua chua  tinh den 1-3-06 2" xfId="4736" xr:uid="{00000000-0005-0000-0000-00005E5D0000}"/>
    <cellStyle name="T_danh sach chua nop bcao trung bay sua chua  tinh den 1-3-06 2 2" xfId="13401" xr:uid="{00000000-0005-0000-0000-00005F5D0000}"/>
    <cellStyle name="T_danh sach chua nop bcao trung bay sua chua  tinh den 1-3-06 2 2 2" xfId="31672" xr:uid="{00000000-0005-0000-0000-0000605D0000}"/>
    <cellStyle name="T_danh sach chua nop bcao trung bay sua chua  tinh den 1-3-06 2 2_TOM TAT" xfId="13402" xr:uid="{00000000-0005-0000-0000-0000615D0000}"/>
    <cellStyle name="T_danh sach chua nop bcao trung bay sua chua  tinh den 1-3-06 2 2_TOM TAT 2" xfId="13403" xr:uid="{00000000-0005-0000-0000-0000625D0000}"/>
    <cellStyle name="T_danh sach chua nop bcao trung bay sua chua  tinh den 1-3-06 2 2_TOM TAT 2_TOM TAT" xfId="24124" xr:uid="{00000000-0005-0000-0000-0000635D0000}"/>
    <cellStyle name="T_danh sach chua nop bcao trung bay sua chua  tinh den 1-3-06 2 2_TOM TAT_1" xfId="24122" xr:uid="{00000000-0005-0000-0000-0000645D0000}"/>
    <cellStyle name="T_danh sach chua nop bcao trung bay sua chua  tinh den 1-3-06 2 2_TOM TAT_TOM TAT" xfId="24123" xr:uid="{00000000-0005-0000-0000-0000655D0000}"/>
    <cellStyle name="T_danh sach chua nop bcao trung bay sua chua  tinh den 1-3-06 2_TOM TAT" xfId="13404" xr:uid="{00000000-0005-0000-0000-0000665D0000}"/>
    <cellStyle name="T_danh sach chua nop bcao trung bay sua chua  tinh den 1-3-06 2_TOM TAT 2" xfId="13405" xr:uid="{00000000-0005-0000-0000-0000675D0000}"/>
    <cellStyle name="T_danh sach chua nop bcao trung bay sua chua  tinh den 1-3-06 2_TOM TAT 2_TOM TAT" xfId="24126" xr:uid="{00000000-0005-0000-0000-0000685D0000}"/>
    <cellStyle name="T_danh sach chua nop bcao trung bay sua chua  tinh den 1-3-06 2_TOM TAT_TOM TAT" xfId="24125" xr:uid="{00000000-0005-0000-0000-0000695D0000}"/>
    <cellStyle name="T_danh sach chua nop bcao trung bay sua chua  tinh den 1-3-06 3" xfId="13406" xr:uid="{00000000-0005-0000-0000-00006A5D0000}"/>
    <cellStyle name="T_danh sach chua nop bcao trung bay sua chua  tinh den 1-3-06 3 2" xfId="31673" xr:uid="{00000000-0005-0000-0000-00006B5D0000}"/>
    <cellStyle name="T_danh sach chua nop bcao trung bay sua chua  tinh den 1-3-06 3_TOM TAT" xfId="13407" xr:uid="{00000000-0005-0000-0000-00006C5D0000}"/>
    <cellStyle name="T_danh sach chua nop bcao trung bay sua chua  tinh den 1-3-06 3_TOM TAT 2" xfId="13408" xr:uid="{00000000-0005-0000-0000-00006D5D0000}"/>
    <cellStyle name="T_danh sach chua nop bcao trung bay sua chua  tinh den 1-3-06 3_TOM TAT 2_TOM TAT" xfId="24129" xr:uid="{00000000-0005-0000-0000-00006E5D0000}"/>
    <cellStyle name="T_danh sach chua nop bcao trung bay sua chua  tinh den 1-3-06 3_TOM TAT_1" xfId="24127" xr:uid="{00000000-0005-0000-0000-00006F5D0000}"/>
    <cellStyle name="T_danh sach chua nop bcao trung bay sua chua  tinh den 1-3-06 3_TOM TAT_TOM TAT" xfId="24128" xr:uid="{00000000-0005-0000-0000-0000705D0000}"/>
    <cellStyle name="T_danh sach chua nop bcao trung bay sua chua  tinh den 1-3-06_Bang Cong tac" xfId="1710" xr:uid="{00000000-0005-0000-0000-0000715D0000}"/>
    <cellStyle name="T_danh sach chua nop bcao trung bay sua chua  tinh den 1-3-06_Bang Cong tac 2" xfId="4737" xr:uid="{00000000-0005-0000-0000-0000725D0000}"/>
    <cellStyle name="T_danh sach chua nop bcao trung bay sua chua  tinh den 1-3-06_Bang Cong tac 2 2" xfId="13409" xr:uid="{00000000-0005-0000-0000-0000735D0000}"/>
    <cellStyle name="T_danh sach chua nop bcao trung bay sua chua  tinh den 1-3-06_Bang Cong tac 2 2 2" xfId="31674" xr:uid="{00000000-0005-0000-0000-0000745D0000}"/>
    <cellStyle name="T_danh sach chua nop bcao trung bay sua chua  tinh den 1-3-06_Bang Cong tac 2 2_TOM TAT" xfId="13410" xr:uid="{00000000-0005-0000-0000-0000755D0000}"/>
    <cellStyle name="T_danh sach chua nop bcao trung bay sua chua  tinh den 1-3-06_Bang Cong tac 2 2_TOM TAT 2" xfId="13411" xr:uid="{00000000-0005-0000-0000-0000765D0000}"/>
    <cellStyle name="T_danh sach chua nop bcao trung bay sua chua  tinh den 1-3-06_Bang Cong tac 2 2_TOM TAT 2_TOM TAT" xfId="24133" xr:uid="{00000000-0005-0000-0000-0000775D0000}"/>
    <cellStyle name="T_danh sach chua nop bcao trung bay sua chua  tinh den 1-3-06_Bang Cong tac 2 2_TOM TAT_1" xfId="24131" xr:uid="{00000000-0005-0000-0000-0000785D0000}"/>
    <cellStyle name="T_danh sach chua nop bcao trung bay sua chua  tinh den 1-3-06_Bang Cong tac 2 2_TOM TAT_TOM TAT" xfId="24132" xr:uid="{00000000-0005-0000-0000-0000795D0000}"/>
    <cellStyle name="T_danh sach chua nop bcao trung bay sua chua  tinh den 1-3-06_Bang Cong tac 2_TOM TAT" xfId="13412" xr:uid="{00000000-0005-0000-0000-00007A5D0000}"/>
    <cellStyle name="T_danh sach chua nop bcao trung bay sua chua  tinh den 1-3-06_Bang Cong tac 2_TOM TAT 2" xfId="13413" xr:uid="{00000000-0005-0000-0000-00007B5D0000}"/>
    <cellStyle name="T_danh sach chua nop bcao trung bay sua chua  tinh den 1-3-06_Bang Cong tac 2_TOM TAT 2_TOM TAT" xfId="24135" xr:uid="{00000000-0005-0000-0000-00007C5D0000}"/>
    <cellStyle name="T_danh sach chua nop bcao trung bay sua chua  tinh den 1-3-06_Bang Cong tac 2_TOM TAT_TOM TAT" xfId="24134" xr:uid="{00000000-0005-0000-0000-00007D5D0000}"/>
    <cellStyle name="T_danh sach chua nop bcao trung bay sua chua  tinh den 1-3-06_Bang Cong tac 3" xfId="13414" xr:uid="{00000000-0005-0000-0000-00007E5D0000}"/>
    <cellStyle name="T_danh sach chua nop bcao trung bay sua chua  tinh den 1-3-06_Bang Cong tac 3 2" xfId="31675" xr:uid="{00000000-0005-0000-0000-00007F5D0000}"/>
    <cellStyle name="T_danh sach chua nop bcao trung bay sua chua  tinh den 1-3-06_Bang Cong tac 3_TOM TAT" xfId="13415" xr:uid="{00000000-0005-0000-0000-0000805D0000}"/>
    <cellStyle name="T_danh sach chua nop bcao trung bay sua chua  tinh den 1-3-06_Bang Cong tac 3_TOM TAT 2" xfId="13416" xr:uid="{00000000-0005-0000-0000-0000815D0000}"/>
    <cellStyle name="T_danh sach chua nop bcao trung bay sua chua  tinh den 1-3-06_Bang Cong tac 3_TOM TAT 2_TOM TAT" xfId="24138" xr:uid="{00000000-0005-0000-0000-0000825D0000}"/>
    <cellStyle name="T_danh sach chua nop bcao trung bay sua chua  tinh den 1-3-06_Bang Cong tac 3_TOM TAT_1" xfId="24136" xr:uid="{00000000-0005-0000-0000-0000835D0000}"/>
    <cellStyle name="T_danh sach chua nop bcao trung bay sua chua  tinh den 1-3-06_Bang Cong tac 3_TOM TAT_TOM TAT" xfId="24137" xr:uid="{00000000-0005-0000-0000-0000845D0000}"/>
    <cellStyle name="T_danh sach chua nop bcao trung bay sua chua  tinh den 1-3-06_Bang Cong tac_TOM TAT" xfId="13417" xr:uid="{00000000-0005-0000-0000-0000855D0000}"/>
    <cellStyle name="T_danh sach chua nop bcao trung bay sua chua  tinh den 1-3-06_Bang Cong tac_TOM TAT 2" xfId="13418" xr:uid="{00000000-0005-0000-0000-0000865D0000}"/>
    <cellStyle name="T_danh sach chua nop bcao trung bay sua chua  tinh den 1-3-06_Bang Cong tac_TOM TAT 2_TOM TAT" xfId="24140" xr:uid="{00000000-0005-0000-0000-0000875D0000}"/>
    <cellStyle name="T_danh sach chua nop bcao trung bay sua chua  tinh den 1-3-06_Bang Cong tac_TOM TAT_1" xfId="24130" xr:uid="{00000000-0005-0000-0000-0000885D0000}"/>
    <cellStyle name="T_danh sach chua nop bcao trung bay sua chua  tinh den 1-3-06_Bang Cong tac_TOM TAT_TOM TAT" xfId="24139" xr:uid="{00000000-0005-0000-0000-0000895D0000}"/>
    <cellStyle name="T_danh sach chua nop bcao trung bay sua chua  tinh den 1-3-06_TOM TAT" xfId="13419" xr:uid="{00000000-0005-0000-0000-00008A5D0000}"/>
    <cellStyle name="T_danh sach chua nop bcao trung bay sua chua  tinh den 1-3-06_TOM TAT 2" xfId="13420" xr:uid="{00000000-0005-0000-0000-00008B5D0000}"/>
    <cellStyle name="T_danh sach chua nop bcao trung bay sua chua  tinh den 1-3-06_TOM TAT 2_TOM TAT" xfId="24142" xr:uid="{00000000-0005-0000-0000-00008C5D0000}"/>
    <cellStyle name="T_danh sach chua nop bcao trung bay sua chua  tinh den 1-3-06_TOM TAT_1" xfId="24121" xr:uid="{00000000-0005-0000-0000-00008D5D0000}"/>
    <cellStyle name="T_danh sach chua nop bcao trung bay sua chua  tinh den 1-3-06_TOM TAT_TOM TAT" xfId="24141" xr:uid="{00000000-0005-0000-0000-00008E5D0000}"/>
    <cellStyle name="T_Danh sach KH TB MilkYomilk Yao  Smart chu ky 2-Vinh Thang" xfId="1711" xr:uid="{00000000-0005-0000-0000-00008F5D0000}"/>
    <cellStyle name="T_Danh sach KH TB MilkYomilk Yao  Smart chu ky 2-Vinh Thang 2" xfId="4738" xr:uid="{00000000-0005-0000-0000-0000905D0000}"/>
    <cellStyle name="T_Danh sach KH TB MilkYomilk Yao  Smart chu ky 2-Vinh Thang 2 2" xfId="13421" xr:uid="{00000000-0005-0000-0000-0000915D0000}"/>
    <cellStyle name="T_Danh sach KH TB MilkYomilk Yao  Smart chu ky 2-Vinh Thang 2 2 2" xfId="31676" xr:uid="{00000000-0005-0000-0000-0000925D0000}"/>
    <cellStyle name="T_Danh sach KH TB MilkYomilk Yao  Smart chu ky 2-Vinh Thang 2 2_TOM TAT" xfId="13422" xr:uid="{00000000-0005-0000-0000-0000935D0000}"/>
    <cellStyle name="T_Danh sach KH TB MilkYomilk Yao  Smart chu ky 2-Vinh Thang 2 2_TOM TAT 2" xfId="13423" xr:uid="{00000000-0005-0000-0000-0000945D0000}"/>
    <cellStyle name="T_Danh sach KH TB MilkYomilk Yao  Smart chu ky 2-Vinh Thang 2 2_TOM TAT 2_TOM TAT" xfId="24146" xr:uid="{00000000-0005-0000-0000-0000955D0000}"/>
    <cellStyle name="T_Danh sach KH TB MilkYomilk Yao  Smart chu ky 2-Vinh Thang 2 2_TOM TAT_1" xfId="24144" xr:uid="{00000000-0005-0000-0000-0000965D0000}"/>
    <cellStyle name="T_Danh sach KH TB MilkYomilk Yao  Smart chu ky 2-Vinh Thang 2 2_TOM TAT_TOM TAT" xfId="24145" xr:uid="{00000000-0005-0000-0000-0000975D0000}"/>
    <cellStyle name="T_Danh sach KH TB MilkYomilk Yao  Smart chu ky 2-Vinh Thang 2_TOM TAT" xfId="13424" xr:uid="{00000000-0005-0000-0000-0000985D0000}"/>
    <cellStyle name="T_Danh sach KH TB MilkYomilk Yao  Smart chu ky 2-Vinh Thang 2_TOM TAT 2" xfId="13425" xr:uid="{00000000-0005-0000-0000-0000995D0000}"/>
    <cellStyle name="T_Danh sach KH TB MilkYomilk Yao  Smart chu ky 2-Vinh Thang 2_TOM TAT 2_TOM TAT" xfId="24148" xr:uid="{00000000-0005-0000-0000-00009A5D0000}"/>
    <cellStyle name="T_Danh sach KH TB MilkYomilk Yao  Smart chu ky 2-Vinh Thang 2_TOM TAT_TOM TAT" xfId="24147" xr:uid="{00000000-0005-0000-0000-00009B5D0000}"/>
    <cellStyle name="T_Danh sach KH TB MilkYomilk Yao  Smart chu ky 2-Vinh Thang 3" xfId="13426" xr:uid="{00000000-0005-0000-0000-00009C5D0000}"/>
    <cellStyle name="T_Danh sach KH TB MilkYomilk Yao  Smart chu ky 2-Vinh Thang 3 2" xfId="31677" xr:uid="{00000000-0005-0000-0000-00009D5D0000}"/>
    <cellStyle name="T_Danh sach KH TB MilkYomilk Yao  Smart chu ky 2-Vinh Thang 3_TOM TAT" xfId="13427" xr:uid="{00000000-0005-0000-0000-00009E5D0000}"/>
    <cellStyle name="T_Danh sach KH TB MilkYomilk Yao  Smart chu ky 2-Vinh Thang 3_TOM TAT 2" xfId="13428" xr:uid="{00000000-0005-0000-0000-00009F5D0000}"/>
    <cellStyle name="T_Danh sach KH TB MilkYomilk Yao  Smart chu ky 2-Vinh Thang 3_TOM TAT 2_TOM TAT" xfId="24151" xr:uid="{00000000-0005-0000-0000-0000A05D0000}"/>
    <cellStyle name="T_Danh sach KH TB MilkYomilk Yao  Smart chu ky 2-Vinh Thang 3_TOM TAT_1" xfId="24149" xr:uid="{00000000-0005-0000-0000-0000A15D0000}"/>
    <cellStyle name="T_Danh sach KH TB MilkYomilk Yao  Smart chu ky 2-Vinh Thang 3_TOM TAT_TOM TAT" xfId="24150" xr:uid="{00000000-0005-0000-0000-0000A25D0000}"/>
    <cellStyle name="T_Danh sach KH TB MilkYomilk Yao  Smart chu ky 2-Vinh Thang_Bang Cong tac" xfId="1712" xr:uid="{00000000-0005-0000-0000-0000A35D0000}"/>
    <cellStyle name="T_Danh sach KH TB MilkYomilk Yao  Smart chu ky 2-Vinh Thang_Bang Cong tac 2" xfId="4739" xr:uid="{00000000-0005-0000-0000-0000A45D0000}"/>
    <cellStyle name="T_Danh sach KH TB MilkYomilk Yao  Smart chu ky 2-Vinh Thang_Bang Cong tac 2 2" xfId="13429" xr:uid="{00000000-0005-0000-0000-0000A55D0000}"/>
    <cellStyle name="T_Danh sach KH TB MilkYomilk Yao  Smart chu ky 2-Vinh Thang_Bang Cong tac 2 2 2" xfId="31678" xr:uid="{00000000-0005-0000-0000-0000A65D0000}"/>
    <cellStyle name="T_Danh sach KH TB MilkYomilk Yao  Smart chu ky 2-Vinh Thang_Bang Cong tac 2 2_TOM TAT" xfId="13430" xr:uid="{00000000-0005-0000-0000-0000A75D0000}"/>
    <cellStyle name="T_Danh sach KH TB MilkYomilk Yao  Smart chu ky 2-Vinh Thang_Bang Cong tac 2 2_TOM TAT 2" xfId="13431" xr:uid="{00000000-0005-0000-0000-0000A85D0000}"/>
    <cellStyle name="T_Danh sach KH TB MilkYomilk Yao  Smart chu ky 2-Vinh Thang_Bang Cong tac 2 2_TOM TAT 2_TOM TAT" xfId="24155" xr:uid="{00000000-0005-0000-0000-0000A95D0000}"/>
    <cellStyle name="T_Danh sach KH TB MilkYomilk Yao  Smart chu ky 2-Vinh Thang_Bang Cong tac 2 2_TOM TAT_1" xfId="24153" xr:uid="{00000000-0005-0000-0000-0000AA5D0000}"/>
    <cellStyle name="T_Danh sach KH TB MilkYomilk Yao  Smart chu ky 2-Vinh Thang_Bang Cong tac 2 2_TOM TAT_TOM TAT" xfId="24154" xr:uid="{00000000-0005-0000-0000-0000AB5D0000}"/>
    <cellStyle name="T_Danh sach KH TB MilkYomilk Yao  Smart chu ky 2-Vinh Thang_Bang Cong tac 2_TOM TAT" xfId="13432" xr:uid="{00000000-0005-0000-0000-0000AC5D0000}"/>
    <cellStyle name="T_Danh sach KH TB MilkYomilk Yao  Smart chu ky 2-Vinh Thang_Bang Cong tac 2_TOM TAT 2" xfId="13433" xr:uid="{00000000-0005-0000-0000-0000AD5D0000}"/>
    <cellStyle name="T_Danh sach KH TB MilkYomilk Yao  Smart chu ky 2-Vinh Thang_Bang Cong tac 2_TOM TAT 2_TOM TAT" xfId="24157" xr:uid="{00000000-0005-0000-0000-0000AE5D0000}"/>
    <cellStyle name="T_Danh sach KH TB MilkYomilk Yao  Smart chu ky 2-Vinh Thang_Bang Cong tac 2_TOM TAT_TOM TAT" xfId="24156" xr:uid="{00000000-0005-0000-0000-0000AF5D0000}"/>
    <cellStyle name="T_Danh sach KH TB MilkYomilk Yao  Smart chu ky 2-Vinh Thang_Bang Cong tac 3" xfId="13434" xr:uid="{00000000-0005-0000-0000-0000B05D0000}"/>
    <cellStyle name="T_Danh sach KH TB MilkYomilk Yao  Smart chu ky 2-Vinh Thang_Bang Cong tac 3 2" xfId="31679" xr:uid="{00000000-0005-0000-0000-0000B15D0000}"/>
    <cellStyle name="T_Danh sach KH TB MilkYomilk Yao  Smart chu ky 2-Vinh Thang_Bang Cong tac 3_TOM TAT" xfId="13435" xr:uid="{00000000-0005-0000-0000-0000B25D0000}"/>
    <cellStyle name="T_Danh sach KH TB MilkYomilk Yao  Smart chu ky 2-Vinh Thang_Bang Cong tac 3_TOM TAT 2" xfId="13436" xr:uid="{00000000-0005-0000-0000-0000B35D0000}"/>
    <cellStyle name="T_Danh sach KH TB MilkYomilk Yao  Smart chu ky 2-Vinh Thang_Bang Cong tac 3_TOM TAT 2_TOM TAT" xfId="24160" xr:uid="{00000000-0005-0000-0000-0000B45D0000}"/>
    <cellStyle name="T_Danh sach KH TB MilkYomilk Yao  Smart chu ky 2-Vinh Thang_Bang Cong tac 3_TOM TAT_1" xfId="24158" xr:uid="{00000000-0005-0000-0000-0000B55D0000}"/>
    <cellStyle name="T_Danh sach KH TB MilkYomilk Yao  Smart chu ky 2-Vinh Thang_Bang Cong tac 3_TOM TAT_TOM TAT" xfId="24159" xr:uid="{00000000-0005-0000-0000-0000B65D0000}"/>
    <cellStyle name="T_Danh sach KH TB MilkYomilk Yao  Smart chu ky 2-Vinh Thang_Bang Cong tac_TOM TAT" xfId="13437" xr:uid="{00000000-0005-0000-0000-0000B75D0000}"/>
    <cellStyle name="T_Danh sach KH TB MilkYomilk Yao  Smart chu ky 2-Vinh Thang_Bang Cong tac_TOM TAT 2" xfId="13438" xr:uid="{00000000-0005-0000-0000-0000B85D0000}"/>
    <cellStyle name="T_Danh sach KH TB MilkYomilk Yao  Smart chu ky 2-Vinh Thang_Bang Cong tac_TOM TAT 2_TOM TAT" xfId="24162" xr:uid="{00000000-0005-0000-0000-0000B95D0000}"/>
    <cellStyle name="T_Danh sach KH TB MilkYomilk Yao  Smart chu ky 2-Vinh Thang_Bang Cong tac_TOM TAT_1" xfId="24152" xr:uid="{00000000-0005-0000-0000-0000BA5D0000}"/>
    <cellStyle name="T_Danh sach KH TB MilkYomilk Yao  Smart chu ky 2-Vinh Thang_Bang Cong tac_TOM TAT_TOM TAT" xfId="24161" xr:uid="{00000000-0005-0000-0000-0000BB5D0000}"/>
    <cellStyle name="T_Danh sach KH TB MilkYomilk Yao  Smart chu ky 2-Vinh Thang_TOM TAT" xfId="13439" xr:uid="{00000000-0005-0000-0000-0000BC5D0000}"/>
    <cellStyle name="T_Danh sach KH TB MilkYomilk Yao  Smart chu ky 2-Vinh Thang_TOM TAT 2" xfId="13440" xr:uid="{00000000-0005-0000-0000-0000BD5D0000}"/>
    <cellStyle name="T_Danh sach KH TB MilkYomilk Yao  Smart chu ky 2-Vinh Thang_TOM TAT 2_TOM TAT" xfId="24164" xr:uid="{00000000-0005-0000-0000-0000BE5D0000}"/>
    <cellStyle name="T_Danh sach KH TB MilkYomilk Yao  Smart chu ky 2-Vinh Thang_TOM TAT_1" xfId="24143" xr:uid="{00000000-0005-0000-0000-0000BF5D0000}"/>
    <cellStyle name="T_Danh sach KH TB MilkYomilk Yao  Smart chu ky 2-Vinh Thang_TOM TAT_TOM TAT" xfId="24163" xr:uid="{00000000-0005-0000-0000-0000C05D0000}"/>
    <cellStyle name="T_Danh sach KH trung bay MilkYomilk co ke chu ky 2-Vinh Thang" xfId="1713" xr:uid="{00000000-0005-0000-0000-0000C15D0000}"/>
    <cellStyle name="T_Danh sach KH trung bay MilkYomilk co ke chu ky 2-Vinh Thang 2" xfId="4740" xr:uid="{00000000-0005-0000-0000-0000C25D0000}"/>
    <cellStyle name="T_Danh sach KH trung bay MilkYomilk co ke chu ky 2-Vinh Thang 2 2" xfId="13441" xr:uid="{00000000-0005-0000-0000-0000C35D0000}"/>
    <cellStyle name="T_Danh sach KH trung bay MilkYomilk co ke chu ky 2-Vinh Thang 2 2 2" xfId="31680" xr:uid="{00000000-0005-0000-0000-0000C45D0000}"/>
    <cellStyle name="T_Danh sach KH trung bay MilkYomilk co ke chu ky 2-Vinh Thang 2 2_TOM TAT" xfId="13442" xr:uid="{00000000-0005-0000-0000-0000C55D0000}"/>
    <cellStyle name="T_Danh sach KH trung bay MilkYomilk co ke chu ky 2-Vinh Thang 2 2_TOM TAT 2" xfId="13443" xr:uid="{00000000-0005-0000-0000-0000C65D0000}"/>
    <cellStyle name="T_Danh sach KH trung bay MilkYomilk co ke chu ky 2-Vinh Thang 2 2_TOM TAT 2_TOM TAT" xfId="24168" xr:uid="{00000000-0005-0000-0000-0000C75D0000}"/>
    <cellStyle name="T_Danh sach KH trung bay MilkYomilk co ke chu ky 2-Vinh Thang 2 2_TOM TAT_1" xfId="24166" xr:uid="{00000000-0005-0000-0000-0000C85D0000}"/>
    <cellStyle name="T_Danh sach KH trung bay MilkYomilk co ke chu ky 2-Vinh Thang 2 2_TOM TAT_TOM TAT" xfId="24167" xr:uid="{00000000-0005-0000-0000-0000C95D0000}"/>
    <cellStyle name="T_Danh sach KH trung bay MilkYomilk co ke chu ky 2-Vinh Thang 2_TOM TAT" xfId="13444" xr:uid="{00000000-0005-0000-0000-0000CA5D0000}"/>
    <cellStyle name="T_Danh sach KH trung bay MilkYomilk co ke chu ky 2-Vinh Thang 2_TOM TAT 2" xfId="13445" xr:uid="{00000000-0005-0000-0000-0000CB5D0000}"/>
    <cellStyle name="T_Danh sach KH trung bay MilkYomilk co ke chu ky 2-Vinh Thang 2_TOM TAT 2_TOM TAT" xfId="24170" xr:uid="{00000000-0005-0000-0000-0000CC5D0000}"/>
    <cellStyle name="T_Danh sach KH trung bay MilkYomilk co ke chu ky 2-Vinh Thang 2_TOM TAT_TOM TAT" xfId="24169" xr:uid="{00000000-0005-0000-0000-0000CD5D0000}"/>
    <cellStyle name="T_Danh sach KH trung bay MilkYomilk co ke chu ky 2-Vinh Thang 3" xfId="13446" xr:uid="{00000000-0005-0000-0000-0000CE5D0000}"/>
    <cellStyle name="T_Danh sach KH trung bay MilkYomilk co ke chu ky 2-Vinh Thang 3 2" xfId="31681" xr:uid="{00000000-0005-0000-0000-0000CF5D0000}"/>
    <cellStyle name="T_Danh sach KH trung bay MilkYomilk co ke chu ky 2-Vinh Thang 3_TOM TAT" xfId="13447" xr:uid="{00000000-0005-0000-0000-0000D05D0000}"/>
    <cellStyle name="T_Danh sach KH trung bay MilkYomilk co ke chu ky 2-Vinh Thang 3_TOM TAT 2" xfId="13448" xr:uid="{00000000-0005-0000-0000-0000D15D0000}"/>
    <cellStyle name="T_Danh sach KH trung bay MilkYomilk co ke chu ky 2-Vinh Thang 3_TOM TAT 2_TOM TAT" xfId="24173" xr:uid="{00000000-0005-0000-0000-0000D25D0000}"/>
    <cellStyle name="T_Danh sach KH trung bay MilkYomilk co ke chu ky 2-Vinh Thang 3_TOM TAT_1" xfId="24171" xr:uid="{00000000-0005-0000-0000-0000D35D0000}"/>
    <cellStyle name="T_Danh sach KH trung bay MilkYomilk co ke chu ky 2-Vinh Thang 3_TOM TAT_TOM TAT" xfId="24172" xr:uid="{00000000-0005-0000-0000-0000D45D0000}"/>
    <cellStyle name="T_Danh sach KH trung bay MilkYomilk co ke chu ky 2-Vinh Thang_Bang Cong tac" xfId="1714" xr:uid="{00000000-0005-0000-0000-0000D55D0000}"/>
    <cellStyle name="T_Danh sach KH trung bay MilkYomilk co ke chu ky 2-Vinh Thang_Bang Cong tac 2" xfId="4741" xr:uid="{00000000-0005-0000-0000-0000D65D0000}"/>
    <cellStyle name="T_Danh sach KH trung bay MilkYomilk co ke chu ky 2-Vinh Thang_Bang Cong tac 2 2" xfId="13449" xr:uid="{00000000-0005-0000-0000-0000D75D0000}"/>
    <cellStyle name="T_Danh sach KH trung bay MilkYomilk co ke chu ky 2-Vinh Thang_Bang Cong tac 2 2 2" xfId="31682" xr:uid="{00000000-0005-0000-0000-0000D85D0000}"/>
    <cellStyle name="T_Danh sach KH trung bay MilkYomilk co ke chu ky 2-Vinh Thang_Bang Cong tac 2 2_TOM TAT" xfId="13450" xr:uid="{00000000-0005-0000-0000-0000D95D0000}"/>
    <cellStyle name="T_Danh sach KH trung bay MilkYomilk co ke chu ky 2-Vinh Thang_Bang Cong tac 2 2_TOM TAT 2" xfId="13451" xr:uid="{00000000-0005-0000-0000-0000DA5D0000}"/>
    <cellStyle name="T_Danh sach KH trung bay MilkYomilk co ke chu ky 2-Vinh Thang_Bang Cong tac 2 2_TOM TAT 2_TOM TAT" xfId="24177" xr:uid="{00000000-0005-0000-0000-0000DB5D0000}"/>
    <cellStyle name="T_Danh sach KH trung bay MilkYomilk co ke chu ky 2-Vinh Thang_Bang Cong tac 2 2_TOM TAT_1" xfId="24175" xr:uid="{00000000-0005-0000-0000-0000DC5D0000}"/>
    <cellStyle name="T_Danh sach KH trung bay MilkYomilk co ke chu ky 2-Vinh Thang_Bang Cong tac 2 2_TOM TAT_TOM TAT" xfId="24176" xr:uid="{00000000-0005-0000-0000-0000DD5D0000}"/>
    <cellStyle name="T_Danh sach KH trung bay MilkYomilk co ke chu ky 2-Vinh Thang_Bang Cong tac 2_TOM TAT" xfId="13452" xr:uid="{00000000-0005-0000-0000-0000DE5D0000}"/>
    <cellStyle name="T_Danh sach KH trung bay MilkYomilk co ke chu ky 2-Vinh Thang_Bang Cong tac 2_TOM TAT 2" xfId="13453" xr:uid="{00000000-0005-0000-0000-0000DF5D0000}"/>
    <cellStyle name="T_Danh sach KH trung bay MilkYomilk co ke chu ky 2-Vinh Thang_Bang Cong tac 2_TOM TAT 2_TOM TAT" xfId="24179" xr:uid="{00000000-0005-0000-0000-0000E05D0000}"/>
    <cellStyle name="T_Danh sach KH trung bay MilkYomilk co ke chu ky 2-Vinh Thang_Bang Cong tac 2_TOM TAT_TOM TAT" xfId="24178" xr:uid="{00000000-0005-0000-0000-0000E15D0000}"/>
    <cellStyle name="T_Danh sach KH trung bay MilkYomilk co ke chu ky 2-Vinh Thang_Bang Cong tac 3" xfId="13454" xr:uid="{00000000-0005-0000-0000-0000E25D0000}"/>
    <cellStyle name="T_Danh sach KH trung bay MilkYomilk co ke chu ky 2-Vinh Thang_Bang Cong tac 3 2" xfId="31683" xr:uid="{00000000-0005-0000-0000-0000E35D0000}"/>
    <cellStyle name="T_Danh sach KH trung bay MilkYomilk co ke chu ky 2-Vinh Thang_Bang Cong tac 3_TOM TAT" xfId="13455" xr:uid="{00000000-0005-0000-0000-0000E45D0000}"/>
    <cellStyle name="T_Danh sach KH trung bay MilkYomilk co ke chu ky 2-Vinh Thang_Bang Cong tac 3_TOM TAT 2" xfId="13456" xr:uid="{00000000-0005-0000-0000-0000E55D0000}"/>
    <cellStyle name="T_Danh sach KH trung bay MilkYomilk co ke chu ky 2-Vinh Thang_Bang Cong tac 3_TOM TAT 2_TOM TAT" xfId="24182" xr:uid="{00000000-0005-0000-0000-0000E65D0000}"/>
    <cellStyle name="T_Danh sach KH trung bay MilkYomilk co ke chu ky 2-Vinh Thang_Bang Cong tac 3_TOM TAT_1" xfId="24180" xr:uid="{00000000-0005-0000-0000-0000E75D0000}"/>
    <cellStyle name="T_Danh sach KH trung bay MilkYomilk co ke chu ky 2-Vinh Thang_Bang Cong tac 3_TOM TAT_TOM TAT" xfId="24181" xr:uid="{00000000-0005-0000-0000-0000E85D0000}"/>
    <cellStyle name="T_Danh sach KH trung bay MilkYomilk co ke chu ky 2-Vinh Thang_Bang Cong tac_TOM TAT" xfId="13457" xr:uid="{00000000-0005-0000-0000-0000E95D0000}"/>
    <cellStyle name="T_Danh sach KH trung bay MilkYomilk co ke chu ky 2-Vinh Thang_Bang Cong tac_TOM TAT 2" xfId="13458" xr:uid="{00000000-0005-0000-0000-0000EA5D0000}"/>
    <cellStyle name="T_Danh sach KH trung bay MilkYomilk co ke chu ky 2-Vinh Thang_Bang Cong tac_TOM TAT 2_TOM TAT" xfId="24184" xr:uid="{00000000-0005-0000-0000-0000EB5D0000}"/>
    <cellStyle name="T_Danh sach KH trung bay MilkYomilk co ke chu ky 2-Vinh Thang_Bang Cong tac_TOM TAT_1" xfId="24174" xr:uid="{00000000-0005-0000-0000-0000EC5D0000}"/>
    <cellStyle name="T_Danh sach KH trung bay MilkYomilk co ke chu ky 2-Vinh Thang_Bang Cong tac_TOM TAT_TOM TAT" xfId="24183" xr:uid="{00000000-0005-0000-0000-0000ED5D0000}"/>
    <cellStyle name="T_Danh sach KH trung bay MilkYomilk co ke chu ky 2-Vinh Thang_TOM TAT" xfId="13459" xr:uid="{00000000-0005-0000-0000-0000EE5D0000}"/>
    <cellStyle name="T_Danh sach KH trung bay MilkYomilk co ke chu ky 2-Vinh Thang_TOM TAT 2" xfId="13460" xr:uid="{00000000-0005-0000-0000-0000EF5D0000}"/>
    <cellStyle name="T_Danh sach KH trung bay MilkYomilk co ke chu ky 2-Vinh Thang_TOM TAT 2_TOM TAT" xfId="24186" xr:uid="{00000000-0005-0000-0000-0000F05D0000}"/>
    <cellStyle name="T_Danh sach KH trung bay MilkYomilk co ke chu ky 2-Vinh Thang_TOM TAT_1" xfId="24165" xr:uid="{00000000-0005-0000-0000-0000F15D0000}"/>
    <cellStyle name="T_Danh sach KH trung bay MilkYomilk co ke chu ky 2-Vinh Thang_TOM TAT_TOM TAT" xfId="24185" xr:uid="{00000000-0005-0000-0000-0000F25D0000}"/>
    <cellStyle name="T_DSACH MILK YO MILK CK 2 M.BAC" xfId="1715" xr:uid="{00000000-0005-0000-0000-0000F35D0000}"/>
    <cellStyle name="T_DSACH MILK YO MILK CK 2 M.BAC 2" xfId="4742" xr:uid="{00000000-0005-0000-0000-0000F45D0000}"/>
    <cellStyle name="T_DSACH MILK YO MILK CK 2 M.BAC 2 2" xfId="13461" xr:uid="{00000000-0005-0000-0000-0000F55D0000}"/>
    <cellStyle name="T_DSACH MILK YO MILK CK 2 M.BAC 2 2_TOM TAT" xfId="24188" xr:uid="{00000000-0005-0000-0000-0000F65D0000}"/>
    <cellStyle name="T_DSACH MILK YO MILK CK 2 M.BAC 2_TOM TAT" xfId="13462" xr:uid="{00000000-0005-0000-0000-0000F75D0000}"/>
    <cellStyle name="T_DSACH MILK YO MILK CK 2 M.BAC 2_TOM TAT 2" xfId="13463" xr:uid="{00000000-0005-0000-0000-0000F85D0000}"/>
    <cellStyle name="T_DSACH MILK YO MILK CK 2 M.BAC 2_TOM TAT 2_TOM TAT" xfId="24190" xr:uid="{00000000-0005-0000-0000-0000F95D0000}"/>
    <cellStyle name="T_DSACH MILK YO MILK CK 2 M.BAC 2_TOM TAT_TOM TAT" xfId="24189" xr:uid="{00000000-0005-0000-0000-0000FA5D0000}"/>
    <cellStyle name="T_DSACH MILK YO MILK CK 2 M.BAC 3" xfId="18509" xr:uid="{00000000-0005-0000-0000-0000FB5D0000}"/>
    <cellStyle name="T_DSACH MILK YO MILK CK 2 M.BAC 3 2" xfId="31742" xr:uid="{00000000-0005-0000-0000-0000FC5D0000}"/>
    <cellStyle name="T_DSACH MILK YO MILK CK 2 M.BAC 3_TOM TAT" xfId="24191" xr:uid="{00000000-0005-0000-0000-0000FD5D0000}"/>
    <cellStyle name="T_DSACH MILK YO MILK CK 2 M.BAC 4" xfId="18846" xr:uid="{00000000-0005-0000-0000-0000FE5D0000}"/>
    <cellStyle name="T_DSACH MILK YO MILK CK 2 M.BAC 4 2" xfId="31817" xr:uid="{00000000-0005-0000-0000-0000FF5D0000}"/>
    <cellStyle name="T_DSACH MILK YO MILK CK 2 M.BAC 4_TOM TAT" xfId="24192" xr:uid="{00000000-0005-0000-0000-0000005E0000}"/>
    <cellStyle name="T_DSACH MILK YO MILK CK 2 M.BAC_Bang Cong tac" xfId="1716" xr:uid="{00000000-0005-0000-0000-0000015E0000}"/>
    <cellStyle name="T_DSACH MILK YO MILK CK 2 M.BAC_Bang Cong tac 2" xfId="4743" xr:uid="{00000000-0005-0000-0000-0000025E0000}"/>
    <cellStyle name="T_DSACH MILK YO MILK CK 2 M.BAC_Bang Cong tac 2 2" xfId="13464" xr:uid="{00000000-0005-0000-0000-0000035E0000}"/>
    <cellStyle name="T_DSACH MILK YO MILK CK 2 M.BAC_Bang Cong tac 2 2_TOM TAT" xfId="24194" xr:uid="{00000000-0005-0000-0000-0000045E0000}"/>
    <cellStyle name="T_DSACH MILK YO MILK CK 2 M.BAC_Bang Cong tac 2_TOM TAT" xfId="13465" xr:uid="{00000000-0005-0000-0000-0000055E0000}"/>
    <cellStyle name="T_DSACH MILK YO MILK CK 2 M.BAC_Bang Cong tac 2_TOM TAT 2" xfId="13466" xr:uid="{00000000-0005-0000-0000-0000065E0000}"/>
    <cellStyle name="T_DSACH MILK YO MILK CK 2 M.BAC_Bang Cong tac 2_TOM TAT 2_TOM TAT" xfId="24196" xr:uid="{00000000-0005-0000-0000-0000075E0000}"/>
    <cellStyle name="T_DSACH MILK YO MILK CK 2 M.BAC_Bang Cong tac 2_TOM TAT_TOM TAT" xfId="24195" xr:uid="{00000000-0005-0000-0000-0000085E0000}"/>
    <cellStyle name="T_DSACH MILK YO MILK CK 2 M.BAC_Bang Cong tac 3" xfId="18510" xr:uid="{00000000-0005-0000-0000-0000095E0000}"/>
    <cellStyle name="T_DSACH MILK YO MILK CK 2 M.BAC_Bang Cong tac 3 2" xfId="31743" xr:uid="{00000000-0005-0000-0000-00000A5E0000}"/>
    <cellStyle name="T_DSACH MILK YO MILK CK 2 M.BAC_Bang Cong tac 3_TOM TAT" xfId="24197" xr:uid="{00000000-0005-0000-0000-00000B5E0000}"/>
    <cellStyle name="T_DSACH MILK YO MILK CK 2 M.BAC_Bang Cong tac 4" xfId="18847" xr:uid="{00000000-0005-0000-0000-00000C5E0000}"/>
    <cellStyle name="T_DSACH MILK YO MILK CK 2 M.BAC_Bang Cong tac 4 2" xfId="31818" xr:uid="{00000000-0005-0000-0000-00000D5E0000}"/>
    <cellStyle name="T_DSACH MILK YO MILK CK 2 M.BAC_Bang Cong tac 4_TOM TAT" xfId="24198" xr:uid="{00000000-0005-0000-0000-00000E5E0000}"/>
    <cellStyle name="T_DSACH MILK YO MILK CK 2 M.BAC_Bang Cong tac_TOM TAT" xfId="13467" xr:uid="{00000000-0005-0000-0000-00000F5E0000}"/>
    <cellStyle name="T_DSACH MILK YO MILK CK 2 M.BAC_Bang Cong tac_TOM TAT 2" xfId="13468" xr:uid="{00000000-0005-0000-0000-0000105E0000}"/>
    <cellStyle name="T_DSACH MILK YO MILK CK 2 M.BAC_Bang Cong tac_TOM TAT 2_TOM TAT" xfId="24200" xr:uid="{00000000-0005-0000-0000-0000115E0000}"/>
    <cellStyle name="T_DSACH MILK YO MILK CK 2 M.BAC_Bang Cong tac_TOM TAT_1" xfId="24193" xr:uid="{00000000-0005-0000-0000-0000125E0000}"/>
    <cellStyle name="T_DSACH MILK YO MILK CK 2 M.BAC_Bang Cong tac_TOM TAT_TOM TAT" xfId="24199" xr:uid="{00000000-0005-0000-0000-0000135E0000}"/>
    <cellStyle name="T_DSACH MILK YO MILK CK 2 M.BAC_TOM TAT" xfId="13469" xr:uid="{00000000-0005-0000-0000-0000145E0000}"/>
    <cellStyle name="T_DSACH MILK YO MILK CK 2 M.BAC_TOM TAT 2" xfId="13470" xr:uid="{00000000-0005-0000-0000-0000155E0000}"/>
    <cellStyle name="T_DSACH MILK YO MILK CK 2 M.BAC_TOM TAT 2_TOM TAT" xfId="24202" xr:uid="{00000000-0005-0000-0000-0000165E0000}"/>
    <cellStyle name="T_DSACH MILK YO MILK CK 2 M.BAC_TOM TAT_1" xfId="24187" xr:uid="{00000000-0005-0000-0000-0000175E0000}"/>
    <cellStyle name="T_DSACH MILK YO MILK CK 2 M.BAC_TOM TAT_TOM TAT" xfId="24201" xr:uid="{00000000-0005-0000-0000-0000185E0000}"/>
    <cellStyle name="T_DSKH Tbay Milk , Yomilk CK 2 Vu Thi Hanh" xfId="1717" xr:uid="{00000000-0005-0000-0000-0000195E0000}"/>
    <cellStyle name="T_DSKH Tbay Milk , Yomilk CK 2 Vu Thi Hanh 2" xfId="4744" xr:uid="{00000000-0005-0000-0000-00001A5E0000}"/>
    <cellStyle name="T_DSKH Tbay Milk , Yomilk CK 2 Vu Thi Hanh 2 2" xfId="13471" xr:uid="{00000000-0005-0000-0000-00001B5E0000}"/>
    <cellStyle name="T_DSKH Tbay Milk , Yomilk CK 2 Vu Thi Hanh 2 2 2" xfId="31684" xr:uid="{00000000-0005-0000-0000-00001C5E0000}"/>
    <cellStyle name="T_DSKH Tbay Milk , Yomilk CK 2 Vu Thi Hanh 2 2_TOM TAT" xfId="13472" xr:uid="{00000000-0005-0000-0000-00001D5E0000}"/>
    <cellStyle name="T_DSKH Tbay Milk , Yomilk CK 2 Vu Thi Hanh 2 2_TOM TAT 2" xfId="13473" xr:uid="{00000000-0005-0000-0000-00001E5E0000}"/>
    <cellStyle name="T_DSKH Tbay Milk , Yomilk CK 2 Vu Thi Hanh 2 2_TOM TAT 2_TOM TAT" xfId="24206" xr:uid="{00000000-0005-0000-0000-00001F5E0000}"/>
    <cellStyle name="T_DSKH Tbay Milk , Yomilk CK 2 Vu Thi Hanh 2 2_TOM TAT_1" xfId="24204" xr:uid="{00000000-0005-0000-0000-0000205E0000}"/>
    <cellStyle name="T_DSKH Tbay Milk , Yomilk CK 2 Vu Thi Hanh 2 2_TOM TAT_TOM TAT" xfId="24205" xr:uid="{00000000-0005-0000-0000-0000215E0000}"/>
    <cellStyle name="T_DSKH Tbay Milk , Yomilk CK 2 Vu Thi Hanh 2_TOM TAT" xfId="13474" xr:uid="{00000000-0005-0000-0000-0000225E0000}"/>
    <cellStyle name="T_DSKH Tbay Milk , Yomilk CK 2 Vu Thi Hanh 2_TOM TAT 2" xfId="13475" xr:uid="{00000000-0005-0000-0000-0000235E0000}"/>
    <cellStyle name="T_DSKH Tbay Milk , Yomilk CK 2 Vu Thi Hanh 2_TOM TAT 2_TOM TAT" xfId="24208" xr:uid="{00000000-0005-0000-0000-0000245E0000}"/>
    <cellStyle name="T_DSKH Tbay Milk , Yomilk CK 2 Vu Thi Hanh 2_TOM TAT_TOM TAT" xfId="24207" xr:uid="{00000000-0005-0000-0000-0000255E0000}"/>
    <cellStyle name="T_DSKH Tbay Milk , Yomilk CK 2 Vu Thi Hanh 3" xfId="13476" xr:uid="{00000000-0005-0000-0000-0000265E0000}"/>
    <cellStyle name="T_DSKH Tbay Milk , Yomilk CK 2 Vu Thi Hanh 3 2" xfId="31685" xr:uid="{00000000-0005-0000-0000-0000275E0000}"/>
    <cellStyle name="T_DSKH Tbay Milk , Yomilk CK 2 Vu Thi Hanh 3_TOM TAT" xfId="13477" xr:uid="{00000000-0005-0000-0000-0000285E0000}"/>
    <cellStyle name="T_DSKH Tbay Milk , Yomilk CK 2 Vu Thi Hanh 3_TOM TAT 2" xfId="13478" xr:uid="{00000000-0005-0000-0000-0000295E0000}"/>
    <cellStyle name="T_DSKH Tbay Milk , Yomilk CK 2 Vu Thi Hanh 3_TOM TAT 2_TOM TAT" xfId="24211" xr:uid="{00000000-0005-0000-0000-00002A5E0000}"/>
    <cellStyle name="T_DSKH Tbay Milk , Yomilk CK 2 Vu Thi Hanh 3_TOM TAT_1" xfId="24209" xr:uid="{00000000-0005-0000-0000-00002B5E0000}"/>
    <cellStyle name="T_DSKH Tbay Milk , Yomilk CK 2 Vu Thi Hanh 3_TOM TAT_TOM TAT" xfId="24210" xr:uid="{00000000-0005-0000-0000-00002C5E0000}"/>
    <cellStyle name="T_DSKH Tbay Milk , Yomilk CK 2 Vu Thi Hanh_Bang Cong tac" xfId="1718" xr:uid="{00000000-0005-0000-0000-00002D5E0000}"/>
    <cellStyle name="T_DSKH Tbay Milk , Yomilk CK 2 Vu Thi Hanh_Bang Cong tac 2" xfId="4745" xr:uid="{00000000-0005-0000-0000-00002E5E0000}"/>
    <cellStyle name="T_DSKH Tbay Milk , Yomilk CK 2 Vu Thi Hanh_Bang Cong tac 2 2" xfId="13479" xr:uid="{00000000-0005-0000-0000-00002F5E0000}"/>
    <cellStyle name="T_DSKH Tbay Milk , Yomilk CK 2 Vu Thi Hanh_Bang Cong tac 2 2 2" xfId="31686" xr:uid="{00000000-0005-0000-0000-0000305E0000}"/>
    <cellStyle name="T_DSKH Tbay Milk , Yomilk CK 2 Vu Thi Hanh_Bang Cong tac 2 2_TOM TAT" xfId="13480" xr:uid="{00000000-0005-0000-0000-0000315E0000}"/>
    <cellStyle name="T_DSKH Tbay Milk , Yomilk CK 2 Vu Thi Hanh_Bang Cong tac 2 2_TOM TAT 2" xfId="13481" xr:uid="{00000000-0005-0000-0000-0000325E0000}"/>
    <cellStyle name="T_DSKH Tbay Milk , Yomilk CK 2 Vu Thi Hanh_Bang Cong tac 2 2_TOM TAT 2_TOM TAT" xfId="24215" xr:uid="{00000000-0005-0000-0000-0000335E0000}"/>
    <cellStyle name="T_DSKH Tbay Milk , Yomilk CK 2 Vu Thi Hanh_Bang Cong tac 2 2_TOM TAT_1" xfId="24213" xr:uid="{00000000-0005-0000-0000-0000345E0000}"/>
    <cellStyle name="T_DSKH Tbay Milk , Yomilk CK 2 Vu Thi Hanh_Bang Cong tac 2 2_TOM TAT_TOM TAT" xfId="24214" xr:uid="{00000000-0005-0000-0000-0000355E0000}"/>
    <cellStyle name="T_DSKH Tbay Milk , Yomilk CK 2 Vu Thi Hanh_Bang Cong tac 2_TOM TAT" xfId="13482" xr:uid="{00000000-0005-0000-0000-0000365E0000}"/>
    <cellStyle name="T_DSKH Tbay Milk , Yomilk CK 2 Vu Thi Hanh_Bang Cong tac 2_TOM TAT 2" xfId="13483" xr:uid="{00000000-0005-0000-0000-0000375E0000}"/>
    <cellStyle name="T_DSKH Tbay Milk , Yomilk CK 2 Vu Thi Hanh_Bang Cong tac 2_TOM TAT 2_TOM TAT" xfId="24217" xr:uid="{00000000-0005-0000-0000-0000385E0000}"/>
    <cellStyle name="T_DSKH Tbay Milk , Yomilk CK 2 Vu Thi Hanh_Bang Cong tac 2_TOM TAT_TOM TAT" xfId="24216" xr:uid="{00000000-0005-0000-0000-0000395E0000}"/>
    <cellStyle name="T_DSKH Tbay Milk , Yomilk CK 2 Vu Thi Hanh_Bang Cong tac 3" xfId="13484" xr:uid="{00000000-0005-0000-0000-00003A5E0000}"/>
    <cellStyle name="T_DSKH Tbay Milk , Yomilk CK 2 Vu Thi Hanh_Bang Cong tac 3 2" xfId="31687" xr:uid="{00000000-0005-0000-0000-00003B5E0000}"/>
    <cellStyle name="T_DSKH Tbay Milk , Yomilk CK 2 Vu Thi Hanh_Bang Cong tac 3_TOM TAT" xfId="13485" xr:uid="{00000000-0005-0000-0000-00003C5E0000}"/>
    <cellStyle name="T_DSKH Tbay Milk , Yomilk CK 2 Vu Thi Hanh_Bang Cong tac 3_TOM TAT 2" xfId="13486" xr:uid="{00000000-0005-0000-0000-00003D5E0000}"/>
    <cellStyle name="T_DSKH Tbay Milk , Yomilk CK 2 Vu Thi Hanh_Bang Cong tac 3_TOM TAT 2_TOM TAT" xfId="24220" xr:uid="{00000000-0005-0000-0000-00003E5E0000}"/>
    <cellStyle name="T_DSKH Tbay Milk , Yomilk CK 2 Vu Thi Hanh_Bang Cong tac 3_TOM TAT_1" xfId="24218" xr:uid="{00000000-0005-0000-0000-00003F5E0000}"/>
    <cellStyle name="T_DSKH Tbay Milk , Yomilk CK 2 Vu Thi Hanh_Bang Cong tac 3_TOM TAT_TOM TAT" xfId="24219" xr:uid="{00000000-0005-0000-0000-0000405E0000}"/>
    <cellStyle name="T_DSKH Tbay Milk , Yomilk CK 2 Vu Thi Hanh_Bang Cong tac_TOM TAT" xfId="13487" xr:uid="{00000000-0005-0000-0000-0000415E0000}"/>
    <cellStyle name="T_DSKH Tbay Milk , Yomilk CK 2 Vu Thi Hanh_Bang Cong tac_TOM TAT 2" xfId="13488" xr:uid="{00000000-0005-0000-0000-0000425E0000}"/>
    <cellStyle name="T_DSKH Tbay Milk , Yomilk CK 2 Vu Thi Hanh_Bang Cong tac_TOM TAT 2_TOM TAT" xfId="24222" xr:uid="{00000000-0005-0000-0000-0000435E0000}"/>
    <cellStyle name="T_DSKH Tbay Milk , Yomilk CK 2 Vu Thi Hanh_Bang Cong tac_TOM TAT_1" xfId="24212" xr:uid="{00000000-0005-0000-0000-0000445E0000}"/>
    <cellStyle name="T_DSKH Tbay Milk , Yomilk CK 2 Vu Thi Hanh_Bang Cong tac_TOM TAT_TOM TAT" xfId="24221" xr:uid="{00000000-0005-0000-0000-0000455E0000}"/>
    <cellStyle name="T_DSKH Tbay Milk , Yomilk CK 2 Vu Thi Hanh_TOM TAT" xfId="13489" xr:uid="{00000000-0005-0000-0000-0000465E0000}"/>
    <cellStyle name="T_DSKH Tbay Milk , Yomilk CK 2 Vu Thi Hanh_TOM TAT 2" xfId="13490" xr:uid="{00000000-0005-0000-0000-0000475E0000}"/>
    <cellStyle name="T_DSKH Tbay Milk , Yomilk CK 2 Vu Thi Hanh_TOM TAT 2_TOM TAT" xfId="24224" xr:uid="{00000000-0005-0000-0000-0000485E0000}"/>
    <cellStyle name="T_DSKH Tbay Milk , Yomilk CK 2 Vu Thi Hanh_TOM TAT_1" xfId="24203" xr:uid="{00000000-0005-0000-0000-0000495E0000}"/>
    <cellStyle name="T_DSKH Tbay Milk , Yomilk CK 2 Vu Thi Hanh_TOM TAT_TOM TAT" xfId="24223" xr:uid="{00000000-0005-0000-0000-00004A5E0000}"/>
    <cellStyle name="T_form ton kho CK 2 tuan 8" xfId="1719" xr:uid="{00000000-0005-0000-0000-00004B5E0000}"/>
    <cellStyle name="T_form ton kho CK 2 tuan 8 2" xfId="4746" xr:uid="{00000000-0005-0000-0000-00004C5E0000}"/>
    <cellStyle name="T_form ton kho CK 2 tuan 8 2 2" xfId="13491" xr:uid="{00000000-0005-0000-0000-00004D5E0000}"/>
    <cellStyle name="T_form ton kho CK 2 tuan 8 2 2_TOM TAT" xfId="24226" xr:uid="{00000000-0005-0000-0000-00004E5E0000}"/>
    <cellStyle name="T_form ton kho CK 2 tuan 8 2_TOM TAT" xfId="13492" xr:uid="{00000000-0005-0000-0000-00004F5E0000}"/>
    <cellStyle name="T_form ton kho CK 2 tuan 8 2_TOM TAT 2" xfId="13493" xr:uid="{00000000-0005-0000-0000-0000505E0000}"/>
    <cellStyle name="T_form ton kho CK 2 tuan 8 2_TOM TAT 2_TOM TAT" xfId="24228" xr:uid="{00000000-0005-0000-0000-0000515E0000}"/>
    <cellStyle name="T_form ton kho CK 2 tuan 8 2_TOM TAT_TOM TAT" xfId="24227" xr:uid="{00000000-0005-0000-0000-0000525E0000}"/>
    <cellStyle name="T_form ton kho CK 2 tuan 8 3" xfId="18511" xr:uid="{00000000-0005-0000-0000-0000535E0000}"/>
    <cellStyle name="T_form ton kho CK 2 tuan 8 3 2" xfId="31744" xr:uid="{00000000-0005-0000-0000-0000545E0000}"/>
    <cellStyle name="T_form ton kho CK 2 tuan 8 3_TOM TAT" xfId="24229" xr:uid="{00000000-0005-0000-0000-0000555E0000}"/>
    <cellStyle name="T_form ton kho CK 2 tuan 8 4" xfId="18848" xr:uid="{00000000-0005-0000-0000-0000565E0000}"/>
    <cellStyle name="T_form ton kho CK 2 tuan 8 4 2" xfId="31819" xr:uid="{00000000-0005-0000-0000-0000575E0000}"/>
    <cellStyle name="T_form ton kho CK 2 tuan 8 4_TOM TAT" xfId="24230" xr:uid="{00000000-0005-0000-0000-0000585E0000}"/>
    <cellStyle name="T_form ton kho CK 2 tuan 8_Bang Cong tac" xfId="1720" xr:uid="{00000000-0005-0000-0000-0000595E0000}"/>
    <cellStyle name="T_form ton kho CK 2 tuan 8_Bang Cong tac 2" xfId="4747" xr:uid="{00000000-0005-0000-0000-00005A5E0000}"/>
    <cellStyle name="T_form ton kho CK 2 tuan 8_Bang Cong tac 2 2" xfId="13494" xr:uid="{00000000-0005-0000-0000-00005B5E0000}"/>
    <cellStyle name="T_form ton kho CK 2 tuan 8_Bang Cong tac 2 2_TOM TAT" xfId="24232" xr:uid="{00000000-0005-0000-0000-00005C5E0000}"/>
    <cellStyle name="T_form ton kho CK 2 tuan 8_Bang Cong tac 2_TOM TAT" xfId="13495" xr:uid="{00000000-0005-0000-0000-00005D5E0000}"/>
    <cellStyle name="T_form ton kho CK 2 tuan 8_Bang Cong tac 2_TOM TAT 2" xfId="13496" xr:uid="{00000000-0005-0000-0000-00005E5E0000}"/>
    <cellStyle name="T_form ton kho CK 2 tuan 8_Bang Cong tac 2_TOM TAT 2_TOM TAT" xfId="24234" xr:uid="{00000000-0005-0000-0000-00005F5E0000}"/>
    <cellStyle name="T_form ton kho CK 2 tuan 8_Bang Cong tac 2_TOM TAT_TOM TAT" xfId="24233" xr:uid="{00000000-0005-0000-0000-0000605E0000}"/>
    <cellStyle name="T_form ton kho CK 2 tuan 8_Bang Cong tac 3" xfId="18512" xr:uid="{00000000-0005-0000-0000-0000615E0000}"/>
    <cellStyle name="T_form ton kho CK 2 tuan 8_Bang Cong tac 3 2" xfId="31745" xr:uid="{00000000-0005-0000-0000-0000625E0000}"/>
    <cellStyle name="T_form ton kho CK 2 tuan 8_Bang Cong tac 3_TOM TAT" xfId="24235" xr:uid="{00000000-0005-0000-0000-0000635E0000}"/>
    <cellStyle name="T_form ton kho CK 2 tuan 8_Bang Cong tac 4" xfId="18849" xr:uid="{00000000-0005-0000-0000-0000645E0000}"/>
    <cellStyle name="T_form ton kho CK 2 tuan 8_Bang Cong tac 4 2" xfId="31820" xr:uid="{00000000-0005-0000-0000-0000655E0000}"/>
    <cellStyle name="T_form ton kho CK 2 tuan 8_Bang Cong tac 4_TOM TAT" xfId="24236" xr:uid="{00000000-0005-0000-0000-0000665E0000}"/>
    <cellStyle name="T_form ton kho CK 2 tuan 8_Bang Cong tac_TOM TAT" xfId="13497" xr:uid="{00000000-0005-0000-0000-0000675E0000}"/>
    <cellStyle name="T_form ton kho CK 2 tuan 8_Bang Cong tac_TOM TAT 2" xfId="13498" xr:uid="{00000000-0005-0000-0000-0000685E0000}"/>
    <cellStyle name="T_form ton kho CK 2 tuan 8_Bang Cong tac_TOM TAT 2_TOM TAT" xfId="24238" xr:uid="{00000000-0005-0000-0000-0000695E0000}"/>
    <cellStyle name="T_form ton kho CK 2 tuan 8_Bang Cong tac_TOM TAT_1" xfId="24231" xr:uid="{00000000-0005-0000-0000-00006A5E0000}"/>
    <cellStyle name="T_form ton kho CK 2 tuan 8_Bang Cong tac_TOM TAT_TOM TAT" xfId="24237" xr:uid="{00000000-0005-0000-0000-00006B5E0000}"/>
    <cellStyle name="T_form ton kho CK 2 tuan 8_TOM TAT" xfId="13499" xr:uid="{00000000-0005-0000-0000-00006C5E0000}"/>
    <cellStyle name="T_form ton kho CK 2 tuan 8_TOM TAT 2" xfId="13500" xr:uid="{00000000-0005-0000-0000-00006D5E0000}"/>
    <cellStyle name="T_form ton kho CK 2 tuan 8_TOM TAT 2_TOM TAT" xfId="24240" xr:uid="{00000000-0005-0000-0000-00006E5E0000}"/>
    <cellStyle name="T_form ton kho CK 2 tuan 8_TOM TAT_1" xfId="24225" xr:uid="{00000000-0005-0000-0000-00006F5E0000}"/>
    <cellStyle name="T_form ton kho CK 2 tuan 8_TOM TAT_TOM TAT" xfId="24239" xr:uid="{00000000-0005-0000-0000-0000705E0000}"/>
    <cellStyle name="T_NPP Khanh Vinh Thai Nguyen - BC KTTB_CTrinh_TB__20_loc__Milk_Yomilk_CK1" xfId="1721" xr:uid="{00000000-0005-0000-0000-0000715E0000}"/>
    <cellStyle name="T_NPP Khanh Vinh Thai Nguyen - BC KTTB_CTrinh_TB__20_loc__Milk_Yomilk_CK1 2" xfId="4748" xr:uid="{00000000-0005-0000-0000-0000725E0000}"/>
    <cellStyle name="T_NPP Khanh Vinh Thai Nguyen - BC KTTB_CTrinh_TB__20_loc__Milk_Yomilk_CK1 2 2" xfId="13501" xr:uid="{00000000-0005-0000-0000-0000735E0000}"/>
    <cellStyle name="T_NPP Khanh Vinh Thai Nguyen - BC KTTB_CTrinh_TB__20_loc__Milk_Yomilk_CK1 2 2 2" xfId="31688" xr:uid="{00000000-0005-0000-0000-0000745E0000}"/>
    <cellStyle name="T_NPP Khanh Vinh Thai Nguyen - BC KTTB_CTrinh_TB__20_loc__Milk_Yomilk_CK1 2 2_TOM TAT" xfId="13502" xr:uid="{00000000-0005-0000-0000-0000755E0000}"/>
    <cellStyle name="T_NPP Khanh Vinh Thai Nguyen - BC KTTB_CTrinh_TB__20_loc__Milk_Yomilk_CK1 2 2_TOM TAT 2" xfId="13503" xr:uid="{00000000-0005-0000-0000-0000765E0000}"/>
    <cellStyle name="T_NPP Khanh Vinh Thai Nguyen - BC KTTB_CTrinh_TB__20_loc__Milk_Yomilk_CK1 2 2_TOM TAT 2_TOM TAT" xfId="24244" xr:uid="{00000000-0005-0000-0000-0000775E0000}"/>
    <cellStyle name="T_NPP Khanh Vinh Thai Nguyen - BC KTTB_CTrinh_TB__20_loc__Milk_Yomilk_CK1 2 2_TOM TAT_1" xfId="24242" xr:uid="{00000000-0005-0000-0000-0000785E0000}"/>
    <cellStyle name="T_NPP Khanh Vinh Thai Nguyen - BC KTTB_CTrinh_TB__20_loc__Milk_Yomilk_CK1 2 2_TOM TAT_TOM TAT" xfId="24243" xr:uid="{00000000-0005-0000-0000-0000795E0000}"/>
    <cellStyle name="T_NPP Khanh Vinh Thai Nguyen - BC KTTB_CTrinh_TB__20_loc__Milk_Yomilk_CK1 2_TOM TAT" xfId="13504" xr:uid="{00000000-0005-0000-0000-00007A5E0000}"/>
    <cellStyle name="T_NPP Khanh Vinh Thai Nguyen - BC KTTB_CTrinh_TB__20_loc__Milk_Yomilk_CK1 2_TOM TAT 2" xfId="13505" xr:uid="{00000000-0005-0000-0000-00007B5E0000}"/>
    <cellStyle name="T_NPP Khanh Vinh Thai Nguyen - BC KTTB_CTrinh_TB__20_loc__Milk_Yomilk_CK1 2_TOM TAT 2_TOM TAT" xfId="24246" xr:uid="{00000000-0005-0000-0000-00007C5E0000}"/>
    <cellStyle name="T_NPP Khanh Vinh Thai Nguyen - BC KTTB_CTrinh_TB__20_loc__Milk_Yomilk_CK1 2_TOM TAT_TOM TAT" xfId="24245" xr:uid="{00000000-0005-0000-0000-00007D5E0000}"/>
    <cellStyle name="T_NPP Khanh Vinh Thai Nguyen - BC KTTB_CTrinh_TB__20_loc__Milk_Yomilk_CK1 3" xfId="13506" xr:uid="{00000000-0005-0000-0000-00007E5E0000}"/>
    <cellStyle name="T_NPP Khanh Vinh Thai Nguyen - BC KTTB_CTrinh_TB__20_loc__Milk_Yomilk_CK1 3 2" xfId="31689" xr:uid="{00000000-0005-0000-0000-00007F5E0000}"/>
    <cellStyle name="T_NPP Khanh Vinh Thai Nguyen - BC KTTB_CTrinh_TB__20_loc__Milk_Yomilk_CK1 3_TOM TAT" xfId="13507" xr:uid="{00000000-0005-0000-0000-0000805E0000}"/>
    <cellStyle name="T_NPP Khanh Vinh Thai Nguyen - BC KTTB_CTrinh_TB__20_loc__Milk_Yomilk_CK1 3_TOM TAT 2" xfId="13508" xr:uid="{00000000-0005-0000-0000-0000815E0000}"/>
    <cellStyle name="T_NPP Khanh Vinh Thai Nguyen - BC KTTB_CTrinh_TB__20_loc__Milk_Yomilk_CK1 3_TOM TAT 2_TOM TAT" xfId="24249" xr:uid="{00000000-0005-0000-0000-0000825E0000}"/>
    <cellStyle name="T_NPP Khanh Vinh Thai Nguyen - BC KTTB_CTrinh_TB__20_loc__Milk_Yomilk_CK1 3_TOM TAT_1" xfId="24247" xr:uid="{00000000-0005-0000-0000-0000835E0000}"/>
    <cellStyle name="T_NPP Khanh Vinh Thai Nguyen - BC KTTB_CTrinh_TB__20_loc__Milk_Yomilk_CK1 3_TOM TAT_TOM TAT" xfId="24248" xr:uid="{00000000-0005-0000-0000-0000845E0000}"/>
    <cellStyle name="T_NPP Khanh Vinh Thai Nguyen - BC KTTB_CTrinh_TB__20_loc__Milk_Yomilk_CK1_Bang Cong tac" xfId="1722" xr:uid="{00000000-0005-0000-0000-0000855E0000}"/>
    <cellStyle name="T_NPP Khanh Vinh Thai Nguyen - BC KTTB_CTrinh_TB__20_loc__Milk_Yomilk_CK1_Bang Cong tac 2" xfId="4749" xr:uid="{00000000-0005-0000-0000-0000865E0000}"/>
    <cellStyle name="T_NPP Khanh Vinh Thai Nguyen - BC KTTB_CTrinh_TB__20_loc__Milk_Yomilk_CK1_Bang Cong tac 2 2" xfId="13509" xr:uid="{00000000-0005-0000-0000-0000875E0000}"/>
    <cellStyle name="T_NPP Khanh Vinh Thai Nguyen - BC KTTB_CTrinh_TB__20_loc__Milk_Yomilk_CK1_Bang Cong tac 2 2 2" xfId="31690" xr:uid="{00000000-0005-0000-0000-0000885E0000}"/>
    <cellStyle name="T_NPP Khanh Vinh Thai Nguyen - BC KTTB_CTrinh_TB__20_loc__Milk_Yomilk_CK1_Bang Cong tac 2 2_TOM TAT" xfId="13510" xr:uid="{00000000-0005-0000-0000-0000895E0000}"/>
    <cellStyle name="T_NPP Khanh Vinh Thai Nguyen - BC KTTB_CTrinh_TB__20_loc__Milk_Yomilk_CK1_Bang Cong tac 2 2_TOM TAT 2" xfId="13511" xr:uid="{00000000-0005-0000-0000-00008A5E0000}"/>
    <cellStyle name="T_NPP Khanh Vinh Thai Nguyen - BC KTTB_CTrinh_TB__20_loc__Milk_Yomilk_CK1_Bang Cong tac 2 2_TOM TAT 2_TOM TAT" xfId="24253" xr:uid="{00000000-0005-0000-0000-00008B5E0000}"/>
    <cellStyle name="T_NPP Khanh Vinh Thai Nguyen - BC KTTB_CTrinh_TB__20_loc__Milk_Yomilk_CK1_Bang Cong tac 2 2_TOM TAT_1" xfId="24251" xr:uid="{00000000-0005-0000-0000-00008C5E0000}"/>
    <cellStyle name="T_NPP Khanh Vinh Thai Nguyen - BC KTTB_CTrinh_TB__20_loc__Milk_Yomilk_CK1_Bang Cong tac 2 2_TOM TAT_TOM TAT" xfId="24252" xr:uid="{00000000-0005-0000-0000-00008D5E0000}"/>
    <cellStyle name="T_NPP Khanh Vinh Thai Nguyen - BC KTTB_CTrinh_TB__20_loc__Milk_Yomilk_CK1_Bang Cong tac 2_TOM TAT" xfId="13512" xr:uid="{00000000-0005-0000-0000-00008E5E0000}"/>
    <cellStyle name="T_NPP Khanh Vinh Thai Nguyen - BC KTTB_CTrinh_TB__20_loc__Milk_Yomilk_CK1_Bang Cong tac 2_TOM TAT 2" xfId="13513" xr:uid="{00000000-0005-0000-0000-00008F5E0000}"/>
    <cellStyle name="T_NPP Khanh Vinh Thai Nguyen - BC KTTB_CTrinh_TB__20_loc__Milk_Yomilk_CK1_Bang Cong tac 2_TOM TAT 2_TOM TAT" xfId="24255" xr:uid="{00000000-0005-0000-0000-0000905E0000}"/>
    <cellStyle name="T_NPP Khanh Vinh Thai Nguyen - BC KTTB_CTrinh_TB__20_loc__Milk_Yomilk_CK1_Bang Cong tac 2_TOM TAT_TOM TAT" xfId="24254" xr:uid="{00000000-0005-0000-0000-0000915E0000}"/>
    <cellStyle name="T_NPP Khanh Vinh Thai Nguyen - BC KTTB_CTrinh_TB__20_loc__Milk_Yomilk_CK1_Bang Cong tac 3" xfId="13514" xr:uid="{00000000-0005-0000-0000-0000925E0000}"/>
    <cellStyle name="T_NPP Khanh Vinh Thai Nguyen - BC KTTB_CTrinh_TB__20_loc__Milk_Yomilk_CK1_Bang Cong tac 3 2" xfId="31691" xr:uid="{00000000-0005-0000-0000-0000935E0000}"/>
    <cellStyle name="T_NPP Khanh Vinh Thai Nguyen - BC KTTB_CTrinh_TB__20_loc__Milk_Yomilk_CK1_Bang Cong tac 3_TOM TAT" xfId="13515" xr:uid="{00000000-0005-0000-0000-0000945E0000}"/>
    <cellStyle name="T_NPP Khanh Vinh Thai Nguyen - BC KTTB_CTrinh_TB__20_loc__Milk_Yomilk_CK1_Bang Cong tac 3_TOM TAT 2" xfId="13516" xr:uid="{00000000-0005-0000-0000-0000955E0000}"/>
    <cellStyle name="T_NPP Khanh Vinh Thai Nguyen - BC KTTB_CTrinh_TB__20_loc__Milk_Yomilk_CK1_Bang Cong tac 3_TOM TAT 2_TOM TAT" xfId="24258" xr:uid="{00000000-0005-0000-0000-0000965E0000}"/>
    <cellStyle name="T_NPP Khanh Vinh Thai Nguyen - BC KTTB_CTrinh_TB__20_loc__Milk_Yomilk_CK1_Bang Cong tac 3_TOM TAT_1" xfId="24256" xr:uid="{00000000-0005-0000-0000-0000975E0000}"/>
    <cellStyle name="T_NPP Khanh Vinh Thai Nguyen - BC KTTB_CTrinh_TB__20_loc__Milk_Yomilk_CK1_Bang Cong tac 3_TOM TAT_TOM TAT" xfId="24257" xr:uid="{00000000-0005-0000-0000-0000985E0000}"/>
    <cellStyle name="T_NPP Khanh Vinh Thai Nguyen - BC KTTB_CTrinh_TB__20_loc__Milk_Yomilk_CK1_Bang Cong tac_TOM TAT" xfId="13517" xr:uid="{00000000-0005-0000-0000-0000995E0000}"/>
    <cellStyle name="T_NPP Khanh Vinh Thai Nguyen - BC KTTB_CTrinh_TB__20_loc__Milk_Yomilk_CK1_Bang Cong tac_TOM TAT 2" xfId="13518" xr:uid="{00000000-0005-0000-0000-00009A5E0000}"/>
    <cellStyle name="T_NPP Khanh Vinh Thai Nguyen - BC KTTB_CTrinh_TB__20_loc__Milk_Yomilk_CK1_Bang Cong tac_TOM TAT 2_TOM TAT" xfId="24260" xr:uid="{00000000-0005-0000-0000-00009B5E0000}"/>
    <cellStyle name="T_NPP Khanh Vinh Thai Nguyen - BC KTTB_CTrinh_TB__20_loc__Milk_Yomilk_CK1_Bang Cong tac_TOM TAT_1" xfId="24250" xr:uid="{00000000-0005-0000-0000-00009C5E0000}"/>
    <cellStyle name="T_NPP Khanh Vinh Thai Nguyen - BC KTTB_CTrinh_TB__20_loc__Milk_Yomilk_CK1_Bang Cong tac_TOM TAT_TOM TAT" xfId="24259" xr:uid="{00000000-0005-0000-0000-00009D5E0000}"/>
    <cellStyle name="T_NPP Khanh Vinh Thai Nguyen - BC KTTB_CTrinh_TB__20_loc__Milk_Yomilk_CK1_TOM TAT" xfId="13519" xr:uid="{00000000-0005-0000-0000-00009E5E0000}"/>
    <cellStyle name="T_NPP Khanh Vinh Thai Nguyen - BC KTTB_CTrinh_TB__20_loc__Milk_Yomilk_CK1_TOM TAT 2" xfId="13520" xr:uid="{00000000-0005-0000-0000-00009F5E0000}"/>
    <cellStyle name="T_NPP Khanh Vinh Thai Nguyen - BC KTTB_CTrinh_TB__20_loc__Milk_Yomilk_CK1_TOM TAT 2_TOM TAT" xfId="24262" xr:uid="{00000000-0005-0000-0000-0000A05E0000}"/>
    <cellStyle name="T_NPP Khanh Vinh Thai Nguyen - BC KTTB_CTrinh_TB__20_loc__Milk_Yomilk_CK1_TOM TAT_1" xfId="24241" xr:uid="{00000000-0005-0000-0000-0000A15E0000}"/>
    <cellStyle name="T_NPP Khanh Vinh Thai Nguyen - BC KTTB_CTrinh_TB__20_loc__Milk_Yomilk_CK1_TOM TAT_TOM TAT" xfId="24261" xr:uid="{00000000-0005-0000-0000-0000A25E0000}"/>
    <cellStyle name="T_PhantiachTaichinh giai doan 1(12.04.2013)" xfId="19214" xr:uid="{00000000-0005-0000-0000-0000A35E0000}"/>
    <cellStyle name="T_PhantiachTaichinh giai doan 1(12.04.2013) 10" xfId="32065" xr:uid="{00000000-0005-0000-0000-0000A45E0000}"/>
    <cellStyle name="T_PhantiachTaichinh giai doan 1(12.04.2013) 2" xfId="19215" xr:uid="{00000000-0005-0000-0000-0000A55E0000}"/>
    <cellStyle name="T_PhantiachTaichinh giai doan 1(12.04.2013) 2 2" xfId="19216" xr:uid="{00000000-0005-0000-0000-0000A65E0000}"/>
    <cellStyle name="T_PhantiachTaichinh giai doan 1(12.04.2013) 2 2 2" xfId="32067" xr:uid="{00000000-0005-0000-0000-0000A75E0000}"/>
    <cellStyle name="T_PhantiachTaichinh giai doan 1(12.04.2013) 2 2_TOM TAT" xfId="24265" xr:uid="{00000000-0005-0000-0000-0000A85E0000}"/>
    <cellStyle name="T_PhantiachTaichinh giai doan 1(12.04.2013) 2 3" xfId="19217" xr:uid="{00000000-0005-0000-0000-0000A95E0000}"/>
    <cellStyle name="T_PhantiachTaichinh giai doan 1(12.04.2013) 2 3 2" xfId="32068" xr:uid="{00000000-0005-0000-0000-0000AA5E0000}"/>
    <cellStyle name="T_PhantiachTaichinh giai doan 1(12.04.2013) 2 3_TOM TAT" xfId="24266" xr:uid="{00000000-0005-0000-0000-0000AB5E0000}"/>
    <cellStyle name="T_PhantiachTaichinh giai doan 1(12.04.2013) 2 4" xfId="19218" xr:uid="{00000000-0005-0000-0000-0000AC5E0000}"/>
    <cellStyle name="T_PhantiachTaichinh giai doan 1(12.04.2013) 2 4 2" xfId="32069" xr:uid="{00000000-0005-0000-0000-0000AD5E0000}"/>
    <cellStyle name="T_PhantiachTaichinh giai doan 1(12.04.2013) 2 4_TOM TAT" xfId="24267" xr:uid="{00000000-0005-0000-0000-0000AE5E0000}"/>
    <cellStyle name="T_PhantiachTaichinh giai doan 1(12.04.2013) 2 5" xfId="32066" xr:uid="{00000000-0005-0000-0000-0000AF5E0000}"/>
    <cellStyle name="T_PhantiachTaichinh giai doan 1(12.04.2013) 2_TOM TAT" xfId="24264" xr:uid="{00000000-0005-0000-0000-0000B05E0000}"/>
    <cellStyle name="T_PhantiachTaichinh giai doan 1(12.04.2013) 3" xfId="19219" xr:uid="{00000000-0005-0000-0000-0000B15E0000}"/>
    <cellStyle name="T_PhantiachTaichinh giai doan 1(12.04.2013) 3 2" xfId="19220" xr:uid="{00000000-0005-0000-0000-0000B25E0000}"/>
    <cellStyle name="T_PhantiachTaichinh giai doan 1(12.04.2013) 3 2 2" xfId="32071" xr:uid="{00000000-0005-0000-0000-0000B35E0000}"/>
    <cellStyle name="T_PhantiachTaichinh giai doan 1(12.04.2013) 3 2_TOM TAT" xfId="24269" xr:uid="{00000000-0005-0000-0000-0000B45E0000}"/>
    <cellStyle name="T_PhantiachTaichinh giai doan 1(12.04.2013) 3 3" xfId="19221" xr:uid="{00000000-0005-0000-0000-0000B55E0000}"/>
    <cellStyle name="T_PhantiachTaichinh giai doan 1(12.04.2013) 3 3 2" xfId="32072" xr:uid="{00000000-0005-0000-0000-0000B65E0000}"/>
    <cellStyle name="T_PhantiachTaichinh giai doan 1(12.04.2013) 3 3_TOM TAT" xfId="24270" xr:uid="{00000000-0005-0000-0000-0000B75E0000}"/>
    <cellStyle name="T_PhantiachTaichinh giai doan 1(12.04.2013) 3 4" xfId="19222" xr:uid="{00000000-0005-0000-0000-0000B85E0000}"/>
    <cellStyle name="T_PhantiachTaichinh giai doan 1(12.04.2013) 3 4 2" xfId="32073" xr:uid="{00000000-0005-0000-0000-0000B95E0000}"/>
    <cellStyle name="T_PhantiachTaichinh giai doan 1(12.04.2013) 3 4_TOM TAT" xfId="24271" xr:uid="{00000000-0005-0000-0000-0000BA5E0000}"/>
    <cellStyle name="T_PhantiachTaichinh giai doan 1(12.04.2013) 3 5" xfId="32070" xr:uid="{00000000-0005-0000-0000-0000BB5E0000}"/>
    <cellStyle name="T_PhantiachTaichinh giai doan 1(12.04.2013) 3_TOM TAT" xfId="24268" xr:uid="{00000000-0005-0000-0000-0000BC5E0000}"/>
    <cellStyle name="T_PhantiachTaichinh giai doan 1(12.04.2013) 4" xfId="19223" xr:uid="{00000000-0005-0000-0000-0000BD5E0000}"/>
    <cellStyle name="T_PhantiachTaichinh giai doan 1(12.04.2013) 4 2" xfId="19224" xr:uid="{00000000-0005-0000-0000-0000BE5E0000}"/>
    <cellStyle name="T_PhantiachTaichinh giai doan 1(12.04.2013) 4 2 2" xfId="32075" xr:uid="{00000000-0005-0000-0000-0000BF5E0000}"/>
    <cellStyle name="T_PhantiachTaichinh giai doan 1(12.04.2013) 4 2_TOM TAT" xfId="24273" xr:uid="{00000000-0005-0000-0000-0000C05E0000}"/>
    <cellStyle name="T_PhantiachTaichinh giai doan 1(12.04.2013) 4 3" xfId="19225" xr:uid="{00000000-0005-0000-0000-0000C15E0000}"/>
    <cellStyle name="T_PhantiachTaichinh giai doan 1(12.04.2013) 4 3 2" xfId="32076" xr:uid="{00000000-0005-0000-0000-0000C25E0000}"/>
    <cellStyle name="T_PhantiachTaichinh giai doan 1(12.04.2013) 4 3_TOM TAT" xfId="24274" xr:uid="{00000000-0005-0000-0000-0000C35E0000}"/>
    <cellStyle name="T_PhantiachTaichinh giai doan 1(12.04.2013) 4 4" xfId="19226" xr:uid="{00000000-0005-0000-0000-0000C45E0000}"/>
    <cellStyle name="T_PhantiachTaichinh giai doan 1(12.04.2013) 4 4 2" xfId="32077" xr:uid="{00000000-0005-0000-0000-0000C55E0000}"/>
    <cellStyle name="T_PhantiachTaichinh giai doan 1(12.04.2013) 4 4_TOM TAT" xfId="24275" xr:uid="{00000000-0005-0000-0000-0000C65E0000}"/>
    <cellStyle name="T_PhantiachTaichinh giai doan 1(12.04.2013) 4 5" xfId="32074" xr:uid="{00000000-0005-0000-0000-0000C75E0000}"/>
    <cellStyle name="T_PhantiachTaichinh giai doan 1(12.04.2013) 4_TOM TAT" xfId="24272" xr:uid="{00000000-0005-0000-0000-0000C85E0000}"/>
    <cellStyle name="T_PhantiachTaichinh giai doan 1(12.04.2013) 5" xfId="19227" xr:uid="{00000000-0005-0000-0000-0000C95E0000}"/>
    <cellStyle name="T_PhantiachTaichinh giai doan 1(12.04.2013) 5 2" xfId="19228" xr:uid="{00000000-0005-0000-0000-0000CA5E0000}"/>
    <cellStyle name="T_PhantiachTaichinh giai doan 1(12.04.2013) 5 2 2" xfId="32079" xr:uid="{00000000-0005-0000-0000-0000CB5E0000}"/>
    <cellStyle name="T_PhantiachTaichinh giai doan 1(12.04.2013) 5 2_TOM TAT" xfId="24277" xr:uid="{00000000-0005-0000-0000-0000CC5E0000}"/>
    <cellStyle name="T_PhantiachTaichinh giai doan 1(12.04.2013) 5 3" xfId="19229" xr:uid="{00000000-0005-0000-0000-0000CD5E0000}"/>
    <cellStyle name="T_PhantiachTaichinh giai doan 1(12.04.2013) 5 3 2" xfId="32080" xr:uid="{00000000-0005-0000-0000-0000CE5E0000}"/>
    <cellStyle name="T_PhantiachTaichinh giai doan 1(12.04.2013) 5 3_TOM TAT" xfId="24278" xr:uid="{00000000-0005-0000-0000-0000CF5E0000}"/>
    <cellStyle name="T_PhantiachTaichinh giai doan 1(12.04.2013) 5 4" xfId="19230" xr:uid="{00000000-0005-0000-0000-0000D05E0000}"/>
    <cellStyle name="T_PhantiachTaichinh giai doan 1(12.04.2013) 5 4 2" xfId="32081" xr:uid="{00000000-0005-0000-0000-0000D15E0000}"/>
    <cellStyle name="T_PhantiachTaichinh giai doan 1(12.04.2013) 5 4_TOM TAT" xfId="24279" xr:uid="{00000000-0005-0000-0000-0000D25E0000}"/>
    <cellStyle name="T_PhantiachTaichinh giai doan 1(12.04.2013) 5 5" xfId="32078" xr:uid="{00000000-0005-0000-0000-0000D35E0000}"/>
    <cellStyle name="T_PhantiachTaichinh giai doan 1(12.04.2013) 5_TOM TAT" xfId="24276" xr:uid="{00000000-0005-0000-0000-0000D45E0000}"/>
    <cellStyle name="T_PhantiachTaichinh giai doan 1(12.04.2013) 6" xfId="19231" xr:uid="{00000000-0005-0000-0000-0000D55E0000}"/>
    <cellStyle name="T_PhantiachTaichinh giai doan 1(12.04.2013) 6 2" xfId="19232" xr:uid="{00000000-0005-0000-0000-0000D65E0000}"/>
    <cellStyle name="T_PhantiachTaichinh giai doan 1(12.04.2013) 6 2 2" xfId="32083" xr:uid="{00000000-0005-0000-0000-0000D75E0000}"/>
    <cellStyle name="T_PhantiachTaichinh giai doan 1(12.04.2013) 6 2_TOM TAT" xfId="24281" xr:uid="{00000000-0005-0000-0000-0000D85E0000}"/>
    <cellStyle name="T_PhantiachTaichinh giai doan 1(12.04.2013) 6 3" xfId="19233" xr:uid="{00000000-0005-0000-0000-0000D95E0000}"/>
    <cellStyle name="T_PhantiachTaichinh giai doan 1(12.04.2013) 6 3 2" xfId="32084" xr:uid="{00000000-0005-0000-0000-0000DA5E0000}"/>
    <cellStyle name="T_PhantiachTaichinh giai doan 1(12.04.2013) 6 3_TOM TAT" xfId="24282" xr:uid="{00000000-0005-0000-0000-0000DB5E0000}"/>
    <cellStyle name="T_PhantiachTaichinh giai doan 1(12.04.2013) 6 4" xfId="19234" xr:uid="{00000000-0005-0000-0000-0000DC5E0000}"/>
    <cellStyle name="T_PhantiachTaichinh giai doan 1(12.04.2013) 6 4 2" xfId="32085" xr:uid="{00000000-0005-0000-0000-0000DD5E0000}"/>
    <cellStyle name="T_PhantiachTaichinh giai doan 1(12.04.2013) 6 4_TOM TAT" xfId="24283" xr:uid="{00000000-0005-0000-0000-0000DE5E0000}"/>
    <cellStyle name="T_PhantiachTaichinh giai doan 1(12.04.2013) 6 5" xfId="32082" xr:uid="{00000000-0005-0000-0000-0000DF5E0000}"/>
    <cellStyle name="T_PhantiachTaichinh giai doan 1(12.04.2013) 6_TOM TAT" xfId="24280" xr:uid="{00000000-0005-0000-0000-0000E05E0000}"/>
    <cellStyle name="T_PhantiachTaichinh giai doan 1(12.04.2013) 7" xfId="19235" xr:uid="{00000000-0005-0000-0000-0000E15E0000}"/>
    <cellStyle name="T_PhantiachTaichinh giai doan 1(12.04.2013) 7 2" xfId="32086" xr:uid="{00000000-0005-0000-0000-0000E25E0000}"/>
    <cellStyle name="T_PhantiachTaichinh giai doan 1(12.04.2013) 7_TOM TAT" xfId="24284" xr:uid="{00000000-0005-0000-0000-0000E35E0000}"/>
    <cellStyle name="T_PhantiachTaichinh giai doan 1(12.04.2013) 8" xfId="19236" xr:uid="{00000000-0005-0000-0000-0000E45E0000}"/>
    <cellStyle name="T_PhantiachTaichinh giai doan 1(12.04.2013) 8 2" xfId="32087" xr:uid="{00000000-0005-0000-0000-0000E55E0000}"/>
    <cellStyle name="T_PhantiachTaichinh giai doan 1(12.04.2013) 8_TOM TAT" xfId="24285" xr:uid="{00000000-0005-0000-0000-0000E65E0000}"/>
    <cellStyle name="T_PhantiachTaichinh giai doan 1(12.04.2013) 9" xfId="19237" xr:uid="{00000000-0005-0000-0000-0000E75E0000}"/>
    <cellStyle name="T_PhantiachTaichinh giai doan 1(12.04.2013) 9 2" xfId="32088" xr:uid="{00000000-0005-0000-0000-0000E85E0000}"/>
    <cellStyle name="T_PhantiachTaichinh giai doan 1(12.04.2013) 9_TOM TAT" xfId="24286" xr:uid="{00000000-0005-0000-0000-0000E95E0000}"/>
    <cellStyle name="T_PhantiachTaichinh giai doan 1(12.04.2013)_TOM TAT" xfId="24263" xr:uid="{00000000-0005-0000-0000-0000EA5E0000}"/>
    <cellStyle name="T_Phuong an dau tu du an 2013 - PKT" xfId="19238" xr:uid="{00000000-0005-0000-0000-0000EB5E0000}"/>
    <cellStyle name="T_Phuong an dau tu du an 2013 - PKT 10" xfId="32089" xr:uid="{00000000-0005-0000-0000-0000EC5E0000}"/>
    <cellStyle name="T_Phuong an dau tu du an 2013 - PKT 2" xfId="19239" xr:uid="{00000000-0005-0000-0000-0000ED5E0000}"/>
    <cellStyle name="T_Phuong an dau tu du an 2013 - PKT 2 2" xfId="19240" xr:uid="{00000000-0005-0000-0000-0000EE5E0000}"/>
    <cellStyle name="T_Phuong an dau tu du an 2013 - PKT 2 2 2" xfId="32091" xr:uid="{00000000-0005-0000-0000-0000EF5E0000}"/>
    <cellStyle name="T_Phuong an dau tu du an 2013 - PKT 2 2_TOM TAT" xfId="24289" xr:uid="{00000000-0005-0000-0000-0000F05E0000}"/>
    <cellStyle name="T_Phuong an dau tu du an 2013 - PKT 2 3" xfId="19241" xr:uid="{00000000-0005-0000-0000-0000F15E0000}"/>
    <cellStyle name="T_Phuong an dau tu du an 2013 - PKT 2 3 2" xfId="32092" xr:uid="{00000000-0005-0000-0000-0000F25E0000}"/>
    <cellStyle name="T_Phuong an dau tu du an 2013 - PKT 2 3_TOM TAT" xfId="24290" xr:uid="{00000000-0005-0000-0000-0000F35E0000}"/>
    <cellStyle name="T_Phuong an dau tu du an 2013 - PKT 2 4" xfId="19242" xr:uid="{00000000-0005-0000-0000-0000F45E0000}"/>
    <cellStyle name="T_Phuong an dau tu du an 2013 - PKT 2 4 2" xfId="32093" xr:uid="{00000000-0005-0000-0000-0000F55E0000}"/>
    <cellStyle name="T_Phuong an dau tu du an 2013 - PKT 2 4_TOM TAT" xfId="24291" xr:uid="{00000000-0005-0000-0000-0000F65E0000}"/>
    <cellStyle name="T_Phuong an dau tu du an 2013 - PKT 2 5" xfId="32090" xr:uid="{00000000-0005-0000-0000-0000F75E0000}"/>
    <cellStyle name="T_Phuong an dau tu du an 2013 - PKT 2_TOM TAT" xfId="24288" xr:uid="{00000000-0005-0000-0000-0000F85E0000}"/>
    <cellStyle name="T_Phuong an dau tu du an 2013 - PKT 3" xfId="19243" xr:uid="{00000000-0005-0000-0000-0000F95E0000}"/>
    <cellStyle name="T_Phuong an dau tu du an 2013 - PKT 3 2" xfId="19244" xr:uid="{00000000-0005-0000-0000-0000FA5E0000}"/>
    <cellStyle name="T_Phuong an dau tu du an 2013 - PKT 3 2 2" xfId="32095" xr:uid="{00000000-0005-0000-0000-0000FB5E0000}"/>
    <cellStyle name="T_Phuong an dau tu du an 2013 - PKT 3 2_TOM TAT" xfId="24293" xr:uid="{00000000-0005-0000-0000-0000FC5E0000}"/>
    <cellStyle name="T_Phuong an dau tu du an 2013 - PKT 3 3" xfId="19245" xr:uid="{00000000-0005-0000-0000-0000FD5E0000}"/>
    <cellStyle name="T_Phuong an dau tu du an 2013 - PKT 3 3 2" xfId="32096" xr:uid="{00000000-0005-0000-0000-0000FE5E0000}"/>
    <cellStyle name="T_Phuong an dau tu du an 2013 - PKT 3 3_TOM TAT" xfId="24294" xr:uid="{00000000-0005-0000-0000-0000FF5E0000}"/>
    <cellStyle name="T_Phuong an dau tu du an 2013 - PKT 3 4" xfId="19246" xr:uid="{00000000-0005-0000-0000-0000005F0000}"/>
    <cellStyle name="T_Phuong an dau tu du an 2013 - PKT 3 4 2" xfId="32097" xr:uid="{00000000-0005-0000-0000-0000015F0000}"/>
    <cellStyle name="T_Phuong an dau tu du an 2013 - PKT 3 4_TOM TAT" xfId="24295" xr:uid="{00000000-0005-0000-0000-0000025F0000}"/>
    <cellStyle name="T_Phuong an dau tu du an 2013 - PKT 3 5" xfId="32094" xr:uid="{00000000-0005-0000-0000-0000035F0000}"/>
    <cellStyle name="T_Phuong an dau tu du an 2013 - PKT 3_TOM TAT" xfId="24292" xr:uid="{00000000-0005-0000-0000-0000045F0000}"/>
    <cellStyle name="T_Phuong an dau tu du an 2013 - PKT 4" xfId="19247" xr:uid="{00000000-0005-0000-0000-0000055F0000}"/>
    <cellStyle name="T_Phuong an dau tu du an 2013 - PKT 4 2" xfId="19248" xr:uid="{00000000-0005-0000-0000-0000065F0000}"/>
    <cellStyle name="T_Phuong an dau tu du an 2013 - PKT 4 2 2" xfId="32099" xr:uid="{00000000-0005-0000-0000-0000075F0000}"/>
    <cellStyle name="T_Phuong an dau tu du an 2013 - PKT 4 2_TOM TAT" xfId="24297" xr:uid="{00000000-0005-0000-0000-0000085F0000}"/>
    <cellStyle name="T_Phuong an dau tu du an 2013 - PKT 4 3" xfId="19249" xr:uid="{00000000-0005-0000-0000-0000095F0000}"/>
    <cellStyle name="T_Phuong an dau tu du an 2013 - PKT 4 3 2" xfId="32100" xr:uid="{00000000-0005-0000-0000-00000A5F0000}"/>
    <cellStyle name="T_Phuong an dau tu du an 2013 - PKT 4 3_TOM TAT" xfId="24298" xr:uid="{00000000-0005-0000-0000-00000B5F0000}"/>
    <cellStyle name="T_Phuong an dau tu du an 2013 - PKT 4 4" xfId="19250" xr:uid="{00000000-0005-0000-0000-00000C5F0000}"/>
    <cellStyle name="T_Phuong an dau tu du an 2013 - PKT 4 4 2" xfId="32101" xr:uid="{00000000-0005-0000-0000-00000D5F0000}"/>
    <cellStyle name="T_Phuong an dau tu du an 2013 - PKT 4 4_TOM TAT" xfId="24299" xr:uid="{00000000-0005-0000-0000-00000E5F0000}"/>
    <cellStyle name="T_Phuong an dau tu du an 2013 - PKT 4 5" xfId="32098" xr:uid="{00000000-0005-0000-0000-00000F5F0000}"/>
    <cellStyle name="T_Phuong an dau tu du an 2013 - PKT 4_TOM TAT" xfId="24296" xr:uid="{00000000-0005-0000-0000-0000105F0000}"/>
    <cellStyle name="T_Phuong an dau tu du an 2013 - PKT 5" xfId="19251" xr:uid="{00000000-0005-0000-0000-0000115F0000}"/>
    <cellStyle name="T_Phuong an dau tu du an 2013 - PKT 5 2" xfId="19252" xr:uid="{00000000-0005-0000-0000-0000125F0000}"/>
    <cellStyle name="T_Phuong an dau tu du an 2013 - PKT 5 2 2" xfId="32103" xr:uid="{00000000-0005-0000-0000-0000135F0000}"/>
    <cellStyle name="T_Phuong an dau tu du an 2013 - PKT 5 2_TOM TAT" xfId="24301" xr:uid="{00000000-0005-0000-0000-0000145F0000}"/>
    <cellStyle name="T_Phuong an dau tu du an 2013 - PKT 5 3" xfId="19253" xr:uid="{00000000-0005-0000-0000-0000155F0000}"/>
    <cellStyle name="T_Phuong an dau tu du an 2013 - PKT 5 3 2" xfId="32104" xr:uid="{00000000-0005-0000-0000-0000165F0000}"/>
    <cellStyle name="T_Phuong an dau tu du an 2013 - PKT 5 3_TOM TAT" xfId="24302" xr:uid="{00000000-0005-0000-0000-0000175F0000}"/>
    <cellStyle name="T_Phuong an dau tu du an 2013 - PKT 5 4" xfId="19254" xr:uid="{00000000-0005-0000-0000-0000185F0000}"/>
    <cellStyle name="T_Phuong an dau tu du an 2013 - PKT 5 4 2" xfId="32105" xr:uid="{00000000-0005-0000-0000-0000195F0000}"/>
    <cellStyle name="T_Phuong an dau tu du an 2013 - PKT 5 4_TOM TAT" xfId="24303" xr:uid="{00000000-0005-0000-0000-00001A5F0000}"/>
    <cellStyle name="T_Phuong an dau tu du an 2013 - PKT 5 5" xfId="32102" xr:uid="{00000000-0005-0000-0000-00001B5F0000}"/>
    <cellStyle name="T_Phuong an dau tu du an 2013 - PKT 5_TOM TAT" xfId="24300" xr:uid="{00000000-0005-0000-0000-00001C5F0000}"/>
    <cellStyle name="T_Phuong an dau tu du an 2013 - PKT 6" xfId="19255" xr:uid="{00000000-0005-0000-0000-00001D5F0000}"/>
    <cellStyle name="T_Phuong an dau tu du an 2013 - PKT 6 2" xfId="19256" xr:uid="{00000000-0005-0000-0000-00001E5F0000}"/>
    <cellStyle name="T_Phuong an dau tu du an 2013 - PKT 6 2 2" xfId="32107" xr:uid="{00000000-0005-0000-0000-00001F5F0000}"/>
    <cellStyle name="T_Phuong an dau tu du an 2013 - PKT 6 2_TOM TAT" xfId="24305" xr:uid="{00000000-0005-0000-0000-0000205F0000}"/>
    <cellStyle name="T_Phuong an dau tu du an 2013 - PKT 6 3" xfId="19257" xr:uid="{00000000-0005-0000-0000-0000215F0000}"/>
    <cellStyle name="T_Phuong an dau tu du an 2013 - PKT 6 3 2" xfId="32108" xr:uid="{00000000-0005-0000-0000-0000225F0000}"/>
    <cellStyle name="T_Phuong an dau tu du an 2013 - PKT 6 3_TOM TAT" xfId="24306" xr:uid="{00000000-0005-0000-0000-0000235F0000}"/>
    <cellStyle name="T_Phuong an dau tu du an 2013 - PKT 6 4" xfId="19258" xr:uid="{00000000-0005-0000-0000-0000245F0000}"/>
    <cellStyle name="T_Phuong an dau tu du an 2013 - PKT 6 4 2" xfId="32109" xr:uid="{00000000-0005-0000-0000-0000255F0000}"/>
    <cellStyle name="T_Phuong an dau tu du an 2013 - PKT 6 4_TOM TAT" xfId="24307" xr:uid="{00000000-0005-0000-0000-0000265F0000}"/>
    <cellStyle name="T_Phuong an dau tu du an 2013 - PKT 6 5" xfId="32106" xr:uid="{00000000-0005-0000-0000-0000275F0000}"/>
    <cellStyle name="T_Phuong an dau tu du an 2013 - PKT 6_TOM TAT" xfId="24304" xr:uid="{00000000-0005-0000-0000-0000285F0000}"/>
    <cellStyle name="T_Phuong an dau tu du an 2013 - PKT 7" xfId="19259" xr:uid="{00000000-0005-0000-0000-0000295F0000}"/>
    <cellStyle name="T_Phuong an dau tu du an 2013 - PKT 7 2" xfId="32110" xr:uid="{00000000-0005-0000-0000-00002A5F0000}"/>
    <cellStyle name="T_Phuong an dau tu du an 2013 - PKT 7_TOM TAT" xfId="24308" xr:uid="{00000000-0005-0000-0000-00002B5F0000}"/>
    <cellStyle name="T_Phuong an dau tu du an 2013 - PKT 8" xfId="19260" xr:uid="{00000000-0005-0000-0000-00002C5F0000}"/>
    <cellStyle name="T_Phuong an dau tu du an 2013 - PKT 8 2" xfId="32111" xr:uid="{00000000-0005-0000-0000-00002D5F0000}"/>
    <cellStyle name="T_Phuong an dau tu du an 2013 - PKT 8_TOM TAT" xfId="24309" xr:uid="{00000000-0005-0000-0000-00002E5F0000}"/>
    <cellStyle name="T_Phuong an dau tu du an 2013 - PKT 9" xfId="19261" xr:uid="{00000000-0005-0000-0000-00002F5F0000}"/>
    <cellStyle name="T_Phuong an dau tu du an 2013 - PKT 9 2" xfId="32112" xr:uid="{00000000-0005-0000-0000-0000305F0000}"/>
    <cellStyle name="T_Phuong an dau tu du an 2013 - PKT 9_TOM TAT" xfId="24310" xr:uid="{00000000-0005-0000-0000-0000315F0000}"/>
    <cellStyle name="T_Phuong an dau tu du an 2013 - PKT_TOM TAT" xfId="24287" xr:uid="{00000000-0005-0000-0000-0000325F0000}"/>
    <cellStyle name="T_Sheet1" xfId="1723" xr:uid="{00000000-0005-0000-0000-0000335F0000}"/>
    <cellStyle name="T_Sheet1 2" xfId="4750" xr:uid="{00000000-0005-0000-0000-0000345F0000}"/>
    <cellStyle name="T_Sheet1 2 2" xfId="13521" xr:uid="{00000000-0005-0000-0000-0000355F0000}"/>
    <cellStyle name="T_Sheet1 2 2_TOM TAT" xfId="24312" xr:uid="{00000000-0005-0000-0000-0000365F0000}"/>
    <cellStyle name="T_Sheet1 2_TOM TAT" xfId="13522" xr:uid="{00000000-0005-0000-0000-0000375F0000}"/>
    <cellStyle name="T_Sheet1 2_TOM TAT 2" xfId="13523" xr:uid="{00000000-0005-0000-0000-0000385F0000}"/>
    <cellStyle name="T_Sheet1 2_TOM TAT 2_TOM TAT" xfId="24314" xr:uid="{00000000-0005-0000-0000-0000395F0000}"/>
    <cellStyle name="T_Sheet1 2_TOM TAT_TOM TAT" xfId="24313" xr:uid="{00000000-0005-0000-0000-00003A5F0000}"/>
    <cellStyle name="T_Sheet1 3" xfId="18513" xr:uid="{00000000-0005-0000-0000-00003B5F0000}"/>
    <cellStyle name="T_Sheet1 3 2" xfId="31746" xr:uid="{00000000-0005-0000-0000-00003C5F0000}"/>
    <cellStyle name="T_Sheet1 3_TOM TAT" xfId="24315" xr:uid="{00000000-0005-0000-0000-00003D5F0000}"/>
    <cellStyle name="T_Sheet1 4" xfId="18850" xr:uid="{00000000-0005-0000-0000-00003E5F0000}"/>
    <cellStyle name="T_Sheet1 4 2" xfId="31821" xr:uid="{00000000-0005-0000-0000-00003F5F0000}"/>
    <cellStyle name="T_Sheet1 4_TOM TAT" xfId="24316" xr:uid="{00000000-0005-0000-0000-0000405F0000}"/>
    <cellStyle name="T_Sheet1_Bang Cong tac" xfId="1724" xr:uid="{00000000-0005-0000-0000-0000415F0000}"/>
    <cellStyle name="T_Sheet1_Bang Cong tac 2" xfId="4751" xr:uid="{00000000-0005-0000-0000-0000425F0000}"/>
    <cellStyle name="T_Sheet1_Bang Cong tac 2 2" xfId="13524" xr:uid="{00000000-0005-0000-0000-0000435F0000}"/>
    <cellStyle name="T_Sheet1_Bang Cong tac 2 2_TOM TAT" xfId="24318" xr:uid="{00000000-0005-0000-0000-0000445F0000}"/>
    <cellStyle name="T_Sheet1_Bang Cong tac 2_TOM TAT" xfId="13525" xr:uid="{00000000-0005-0000-0000-0000455F0000}"/>
    <cellStyle name="T_Sheet1_Bang Cong tac 2_TOM TAT 2" xfId="13526" xr:uid="{00000000-0005-0000-0000-0000465F0000}"/>
    <cellStyle name="T_Sheet1_Bang Cong tac 2_TOM TAT 2_TOM TAT" xfId="24320" xr:uid="{00000000-0005-0000-0000-0000475F0000}"/>
    <cellStyle name="T_Sheet1_Bang Cong tac 2_TOM TAT_TOM TAT" xfId="24319" xr:uid="{00000000-0005-0000-0000-0000485F0000}"/>
    <cellStyle name="T_Sheet1_Bang Cong tac 3" xfId="18514" xr:uid="{00000000-0005-0000-0000-0000495F0000}"/>
    <cellStyle name="T_Sheet1_Bang Cong tac 3 2" xfId="31747" xr:uid="{00000000-0005-0000-0000-00004A5F0000}"/>
    <cellStyle name="T_Sheet1_Bang Cong tac 3_TOM TAT" xfId="24321" xr:uid="{00000000-0005-0000-0000-00004B5F0000}"/>
    <cellStyle name="T_Sheet1_Bang Cong tac 4" xfId="18851" xr:uid="{00000000-0005-0000-0000-00004C5F0000}"/>
    <cellStyle name="T_Sheet1_Bang Cong tac 4 2" xfId="31822" xr:uid="{00000000-0005-0000-0000-00004D5F0000}"/>
    <cellStyle name="T_Sheet1_Bang Cong tac 4_TOM TAT" xfId="24322" xr:uid="{00000000-0005-0000-0000-00004E5F0000}"/>
    <cellStyle name="T_Sheet1_Bang Cong tac_TOM TAT" xfId="13527" xr:uid="{00000000-0005-0000-0000-00004F5F0000}"/>
    <cellStyle name="T_Sheet1_Bang Cong tac_TOM TAT 2" xfId="13528" xr:uid="{00000000-0005-0000-0000-0000505F0000}"/>
    <cellStyle name="T_Sheet1_Bang Cong tac_TOM TAT 2_TOM TAT" xfId="24324" xr:uid="{00000000-0005-0000-0000-0000515F0000}"/>
    <cellStyle name="T_Sheet1_Bang Cong tac_TOM TAT_1" xfId="24317" xr:uid="{00000000-0005-0000-0000-0000525F0000}"/>
    <cellStyle name="T_Sheet1_Bang Cong tac_TOM TAT_TOM TAT" xfId="24323" xr:uid="{00000000-0005-0000-0000-0000535F0000}"/>
    <cellStyle name="T_Sheet1_TOM TAT" xfId="13529" xr:uid="{00000000-0005-0000-0000-0000545F0000}"/>
    <cellStyle name="T_Sheet1_TOM TAT 2" xfId="13530" xr:uid="{00000000-0005-0000-0000-0000555F0000}"/>
    <cellStyle name="T_Sheet1_TOM TAT 2_TOM TAT" xfId="24326" xr:uid="{00000000-0005-0000-0000-0000565F0000}"/>
    <cellStyle name="T_Sheet1_TOM TAT_1" xfId="24311" xr:uid="{00000000-0005-0000-0000-0000575F0000}"/>
    <cellStyle name="T_Sheet1_TOM TAT_TOM TAT" xfId="24325" xr:uid="{00000000-0005-0000-0000-0000585F0000}"/>
    <cellStyle name="T_sua chua cham trung bay  mien Bac" xfId="1725" xr:uid="{00000000-0005-0000-0000-0000595F0000}"/>
    <cellStyle name="T_sua chua cham trung bay  mien Bac 2" xfId="4752" xr:uid="{00000000-0005-0000-0000-00005A5F0000}"/>
    <cellStyle name="T_sua chua cham trung bay  mien Bac 2 2" xfId="13531" xr:uid="{00000000-0005-0000-0000-00005B5F0000}"/>
    <cellStyle name="T_sua chua cham trung bay  mien Bac 2 2 2" xfId="31692" xr:uid="{00000000-0005-0000-0000-00005C5F0000}"/>
    <cellStyle name="T_sua chua cham trung bay  mien Bac 2 2_TOM TAT" xfId="13532" xr:uid="{00000000-0005-0000-0000-00005D5F0000}"/>
    <cellStyle name="T_sua chua cham trung bay  mien Bac 2 2_TOM TAT 2" xfId="13533" xr:uid="{00000000-0005-0000-0000-00005E5F0000}"/>
    <cellStyle name="T_sua chua cham trung bay  mien Bac 2 2_TOM TAT 2_TOM TAT" xfId="24330" xr:uid="{00000000-0005-0000-0000-00005F5F0000}"/>
    <cellStyle name="T_sua chua cham trung bay  mien Bac 2 2_TOM TAT_1" xfId="24328" xr:uid="{00000000-0005-0000-0000-0000605F0000}"/>
    <cellStyle name="T_sua chua cham trung bay  mien Bac 2 2_TOM TAT_TOM TAT" xfId="24329" xr:uid="{00000000-0005-0000-0000-0000615F0000}"/>
    <cellStyle name="T_sua chua cham trung bay  mien Bac 2_TOM TAT" xfId="13534" xr:uid="{00000000-0005-0000-0000-0000625F0000}"/>
    <cellStyle name="T_sua chua cham trung bay  mien Bac 2_TOM TAT 2" xfId="13535" xr:uid="{00000000-0005-0000-0000-0000635F0000}"/>
    <cellStyle name="T_sua chua cham trung bay  mien Bac 2_TOM TAT 2_TOM TAT" xfId="24332" xr:uid="{00000000-0005-0000-0000-0000645F0000}"/>
    <cellStyle name="T_sua chua cham trung bay  mien Bac 2_TOM TAT_TOM TAT" xfId="24331" xr:uid="{00000000-0005-0000-0000-0000655F0000}"/>
    <cellStyle name="T_sua chua cham trung bay  mien Bac 3" xfId="13536" xr:uid="{00000000-0005-0000-0000-0000665F0000}"/>
    <cellStyle name="T_sua chua cham trung bay  mien Bac 3 2" xfId="31693" xr:uid="{00000000-0005-0000-0000-0000675F0000}"/>
    <cellStyle name="T_sua chua cham trung bay  mien Bac 3_TOM TAT" xfId="13537" xr:uid="{00000000-0005-0000-0000-0000685F0000}"/>
    <cellStyle name="T_sua chua cham trung bay  mien Bac 3_TOM TAT 2" xfId="13538" xr:uid="{00000000-0005-0000-0000-0000695F0000}"/>
    <cellStyle name="T_sua chua cham trung bay  mien Bac 3_TOM TAT 2_TOM TAT" xfId="24335" xr:uid="{00000000-0005-0000-0000-00006A5F0000}"/>
    <cellStyle name="T_sua chua cham trung bay  mien Bac 3_TOM TAT_1" xfId="24333" xr:uid="{00000000-0005-0000-0000-00006B5F0000}"/>
    <cellStyle name="T_sua chua cham trung bay  mien Bac 3_TOM TAT_TOM TAT" xfId="24334" xr:uid="{00000000-0005-0000-0000-00006C5F0000}"/>
    <cellStyle name="T_sua chua cham trung bay  mien Bac_Bang Cong tac" xfId="1726" xr:uid="{00000000-0005-0000-0000-00006D5F0000}"/>
    <cellStyle name="T_sua chua cham trung bay  mien Bac_Bang Cong tac 2" xfId="4753" xr:uid="{00000000-0005-0000-0000-00006E5F0000}"/>
    <cellStyle name="T_sua chua cham trung bay  mien Bac_Bang Cong tac 2 2" xfId="13539" xr:uid="{00000000-0005-0000-0000-00006F5F0000}"/>
    <cellStyle name="T_sua chua cham trung bay  mien Bac_Bang Cong tac 2 2 2" xfId="31694" xr:uid="{00000000-0005-0000-0000-0000705F0000}"/>
    <cellStyle name="T_sua chua cham trung bay  mien Bac_Bang Cong tac 2 2_TOM TAT" xfId="13540" xr:uid="{00000000-0005-0000-0000-0000715F0000}"/>
    <cellStyle name="T_sua chua cham trung bay  mien Bac_Bang Cong tac 2 2_TOM TAT 2" xfId="13541" xr:uid="{00000000-0005-0000-0000-0000725F0000}"/>
    <cellStyle name="T_sua chua cham trung bay  mien Bac_Bang Cong tac 2 2_TOM TAT 2_TOM TAT" xfId="24339" xr:uid="{00000000-0005-0000-0000-0000735F0000}"/>
    <cellStyle name="T_sua chua cham trung bay  mien Bac_Bang Cong tac 2 2_TOM TAT_1" xfId="24337" xr:uid="{00000000-0005-0000-0000-0000745F0000}"/>
    <cellStyle name="T_sua chua cham trung bay  mien Bac_Bang Cong tac 2 2_TOM TAT_TOM TAT" xfId="24338" xr:uid="{00000000-0005-0000-0000-0000755F0000}"/>
    <cellStyle name="T_sua chua cham trung bay  mien Bac_Bang Cong tac 2_TOM TAT" xfId="13542" xr:uid="{00000000-0005-0000-0000-0000765F0000}"/>
    <cellStyle name="T_sua chua cham trung bay  mien Bac_Bang Cong tac 2_TOM TAT 2" xfId="13543" xr:uid="{00000000-0005-0000-0000-0000775F0000}"/>
    <cellStyle name="T_sua chua cham trung bay  mien Bac_Bang Cong tac 2_TOM TAT 2_TOM TAT" xfId="24341" xr:uid="{00000000-0005-0000-0000-0000785F0000}"/>
    <cellStyle name="T_sua chua cham trung bay  mien Bac_Bang Cong tac 2_TOM TAT_TOM TAT" xfId="24340" xr:uid="{00000000-0005-0000-0000-0000795F0000}"/>
    <cellStyle name="T_sua chua cham trung bay  mien Bac_Bang Cong tac 3" xfId="13544" xr:uid="{00000000-0005-0000-0000-00007A5F0000}"/>
    <cellStyle name="T_sua chua cham trung bay  mien Bac_Bang Cong tac 3 2" xfId="31695" xr:uid="{00000000-0005-0000-0000-00007B5F0000}"/>
    <cellStyle name="T_sua chua cham trung bay  mien Bac_Bang Cong tac 3_TOM TAT" xfId="13545" xr:uid="{00000000-0005-0000-0000-00007C5F0000}"/>
    <cellStyle name="T_sua chua cham trung bay  mien Bac_Bang Cong tac 3_TOM TAT 2" xfId="13546" xr:uid="{00000000-0005-0000-0000-00007D5F0000}"/>
    <cellStyle name="T_sua chua cham trung bay  mien Bac_Bang Cong tac 3_TOM TAT 2_TOM TAT" xfId="24344" xr:uid="{00000000-0005-0000-0000-00007E5F0000}"/>
    <cellStyle name="T_sua chua cham trung bay  mien Bac_Bang Cong tac 3_TOM TAT_1" xfId="24342" xr:uid="{00000000-0005-0000-0000-00007F5F0000}"/>
    <cellStyle name="T_sua chua cham trung bay  mien Bac_Bang Cong tac 3_TOM TAT_TOM TAT" xfId="24343" xr:uid="{00000000-0005-0000-0000-0000805F0000}"/>
    <cellStyle name="T_sua chua cham trung bay  mien Bac_Bang Cong tac_TOM TAT" xfId="13547" xr:uid="{00000000-0005-0000-0000-0000815F0000}"/>
    <cellStyle name="T_sua chua cham trung bay  mien Bac_Bang Cong tac_TOM TAT 2" xfId="13548" xr:uid="{00000000-0005-0000-0000-0000825F0000}"/>
    <cellStyle name="T_sua chua cham trung bay  mien Bac_Bang Cong tac_TOM TAT 2_TOM TAT" xfId="24346" xr:uid="{00000000-0005-0000-0000-0000835F0000}"/>
    <cellStyle name="T_sua chua cham trung bay  mien Bac_Bang Cong tac_TOM TAT_1" xfId="24336" xr:uid="{00000000-0005-0000-0000-0000845F0000}"/>
    <cellStyle name="T_sua chua cham trung bay  mien Bac_Bang Cong tac_TOM TAT_TOM TAT" xfId="24345" xr:uid="{00000000-0005-0000-0000-0000855F0000}"/>
    <cellStyle name="T_sua chua cham trung bay  mien Bac_TOM TAT" xfId="13549" xr:uid="{00000000-0005-0000-0000-0000865F0000}"/>
    <cellStyle name="T_sua chua cham trung bay  mien Bac_TOM TAT 2" xfId="13550" xr:uid="{00000000-0005-0000-0000-0000875F0000}"/>
    <cellStyle name="T_sua chua cham trung bay  mien Bac_TOM TAT 2_TOM TAT" xfId="24348" xr:uid="{00000000-0005-0000-0000-0000885F0000}"/>
    <cellStyle name="T_sua chua cham trung bay  mien Bac_TOM TAT_1" xfId="24327" xr:uid="{00000000-0005-0000-0000-0000895F0000}"/>
    <cellStyle name="T_sua chua cham trung bay  mien Bac_TOM TAT_TOM TAT" xfId="24347" xr:uid="{00000000-0005-0000-0000-00008A5F0000}"/>
    <cellStyle name="T_TOM TAT" xfId="13551" xr:uid="{00000000-0005-0000-0000-00008B5F0000}"/>
    <cellStyle name="T_TOM TAT 2" xfId="13552" xr:uid="{00000000-0005-0000-0000-00008C5F0000}"/>
    <cellStyle name="T_TOM TAT 2_TOM TAT" xfId="24350" xr:uid="{00000000-0005-0000-0000-00008D5F0000}"/>
    <cellStyle name="T_TOM TAT_1" xfId="23952" xr:uid="{00000000-0005-0000-0000-00008E5F0000}"/>
    <cellStyle name="T_TOM TAT_TOM TAT" xfId="24349" xr:uid="{00000000-0005-0000-0000-00008F5F0000}"/>
    <cellStyle name="T_XAY LAP" xfId="19021" xr:uid="{00000000-0005-0000-0000-0000905F0000}"/>
    <cellStyle name="T_XAY LAP 2" xfId="31929" xr:uid="{00000000-0005-0000-0000-0000915F0000}"/>
    <cellStyle name="T_XAY LAP_TOM TAT" xfId="24351" xr:uid="{00000000-0005-0000-0000-0000925F0000}"/>
    <cellStyle name="Table  - Style5" xfId="1727" xr:uid="{00000000-0005-0000-0000-0000935F0000}"/>
    <cellStyle name="Table  - Style5 2" xfId="4754" xr:uid="{00000000-0005-0000-0000-0000945F0000}"/>
    <cellStyle name="Table  - Style5 2 2" xfId="13553" xr:uid="{00000000-0005-0000-0000-0000955F0000}"/>
    <cellStyle name="Table  - Style5 2_TOM TAT" xfId="13554" xr:uid="{00000000-0005-0000-0000-0000965F0000}"/>
    <cellStyle name="Table  - Style5 3" xfId="13555" xr:uid="{00000000-0005-0000-0000-0000975F0000}"/>
    <cellStyle name="Table  - Style5 3 2" xfId="31696" xr:uid="{00000000-0005-0000-0000-0000985F0000}"/>
    <cellStyle name="Table  - Style5 3_TOM TAT" xfId="24352" xr:uid="{00000000-0005-0000-0000-0000995F0000}"/>
    <cellStyle name="Table  - Style5 4" xfId="13556" xr:uid="{00000000-0005-0000-0000-00009A5F0000}"/>
    <cellStyle name="Table  - Style5 4 2" xfId="31697" xr:uid="{00000000-0005-0000-0000-00009B5F0000}"/>
    <cellStyle name="Table  - Style5 4_TOM TAT" xfId="24353" xr:uid="{00000000-0005-0000-0000-00009C5F0000}"/>
    <cellStyle name="Table  - Style5 5" xfId="13557" xr:uid="{00000000-0005-0000-0000-00009D5F0000}"/>
    <cellStyle name="Table  - Style5 5 2" xfId="31698" xr:uid="{00000000-0005-0000-0000-00009E5F0000}"/>
    <cellStyle name="Table  - Style5 5_TOM TAT" xfId="24354" xr:uid="{00000000-0005-0000-0000-00009F5F0000}"/>
    <cellStyle name="Table  - Style5 6" xfId="18515" xr:uid="{00000000-0005-0000-0000-0000A05F0000}"/>
    <cellStyle name="Table  - Style5 6 2" xfId="31748" xr:uid="{00000000-0005-0000-0000-0000A15F0000}"/>
    <cellStyle name="Table  - Style5 6_TOM TAT" xfId="24355" xr:uid="{00000000-0005-0000-0000-0000A25F0000}"/>
    <cellStyle name="Table  - Style5 7" xfId="18852" xr:uid="{00000000-0005-0000-0000-0000A35F0000}"/>
    <cellStyle name="Table  - Style5 7 2" xfId="31823" xr:uid="{00000000-0005-0000-0000-0000A45F0000}"/>
    <cellStyle name="Table  - Style5 7_TOM TAT" xfId="24356" xr:uid="{00000000-0005-0000-0000-0000A55F0000}"/>
    <cellStyle name="Table  - Style5_TOM TAT" xfId="13558" xr:uid="{00000000-0005-0000-0000-0000A65F0000}"/>
    <cellStyle name="Table  - Style6" xfId="1728" xr:uid="{00000000-0005-0000-0000-0000A75F0000}"/>
    <cellStyle name="Table  - Style6 2" xfId="4755" xr:uid="{00000000-0005-0000-0000-0000A85F0000}"/>
    <cellStyle name="Table  - Style6 2 2" xfId="13559" xr:uid="{00000000-0005-0000-0000-0000A95F0000}"/>
    <cellStyle name="Table  - Style6 2_TOM TAT" xfId="13560" xr:uid="{00000000-0005-0000-0000-0000AA5F0000}"/>
    <cellStyle name="Table  - Style6 3" xfId="13561" xr:uid="{00000000-0005-0000-0000-0000AB5F0000}"/>
    <cellStyle name="Table  - Style6 3 2" xfId="31699" xr:uid="{00000000-0005-0000-0000-0000AC5F0000}"/>
    <cellStyle name="Table  - Style6 3_TOM TAT" xfId="24357" xr:uid="{00000000-0005-0000-0000-0000AD5F0000}"/>
    <cellStyle name="Table  - Style6 4" xfId="13562" xr:uid="{00000000-0005-0000-0000-0000AE5F0000}"/>
    <cellStyle name="Table  - Style6 4 2" xfId="31700" xr:uid="{00000000-0005-0000-0000-0000AF5F0000}"/>
    <cellStyle name="Table  - Style6 4_TOM TAT" xfId="24358" xr:uid="{00000000-0005-0000-0000-0000B05F0000}"/>
    <cellStyle name="Table  - Style6 5" xfId="13563" xr:uid="{00000000-0005-0000-0000-0000B15F0000}"/>
    <cellStyle name="Table  - Style6 5 2" xfId="31701" xr:uid="{00000000-0005-0000-0000-0000B25F0000}"/>
    <cellStyle name="Table  - Style6 5_TOM TAT" xfId="24359" xr:uid="{00000000-0005-0000-0000-0000B35F0000}"/>
    <cellStyle name="Table  - Style6 6" xfId="18516" xr:uid="{00000000-0005-0000-0000-0000B45F0000}"/>
    <cellStyle name="Table  - Style6 6 2" xfId="31749" xr:uid="{00000000-0005-0000-0000-0000B55F0000}"/>
    <cellStyle name="Table  - Style6 6_TOM TAT" xfId="24360" xr:uid="{00000000-0005-0000-0000-0000B65F0000}"/>
    <cellStyle name="Table  - Style6 7" xfId="18853" xr:uid="{00000000-0005-0000-0000-0000B75F0000}"/>
    <cellStyle name="Table  - Style6 7 2" xfId="31824" xr:uid="{00000000-0005-0000-0000-0000B85F0000}"/>
    <cellStyle name="Table  - Style6 7_TOM TAT" xfId="24361" xr:uid="{00000000-0005-0000-0000-0000B95F0000}"/>
    <cellStyle name="Table  - Style6_TOM TAT" xfId="13564" xr:uid="{00000000-0005-0000-0000-0000BA5F0000}"/>
    <cellStyle name="Table Head" xfId="1729" xr:uid="{00000000-0005-0000-0000-0000BB5F0000}"/>
    <cellStyle name="Table Head 2" xfId="4756" xr:uid="{00000000-0005-0000-0000-0000BC5F0000}"/>
    <cellStyle name="Table Head 2 2" xfId="13565" xr:uid="{00000000-0005-0000-0000-0000BD5F0000}"/>
    <cellStyle name="Table Head 2_TOM TAT" xfId="13566" xr:uid="{00000000-0005-0000-0000-0000BE5F0000}"/>
    <cellStyle name="Table Head 3" xfId="13567" xr:uid="{00000000-0005-0000-0000-0000BF5F0000}"/>
    <cellStyle name="Table Head 4" xfId="13568" xr:uid="{00000000-0005-0000-0000-0000C05F0000}"/>
    <cellStyle name="Table Head 5" xfId="13569" xr:uid="{00000000-0005-0000-0000-0000C15F0000}"/>
    <cellStyle name="Table Head 6" xfId="18517" xr:uid="{00000000-0005-0000-0000-0000C25F0000}"/>
    <cellStyle name="Table Head 7" xfId="18854" xr:uid="{00000000-0005-0000-0000-0000C35F0000}"/>
    <cellStyle name="Table Head Aligned" xfId="1730" xr:uid="{00000000-0005-0000-0000-0000C45F0000}"/>
    <cellStyle name="Table Head Aligned 2" xfId="4757" xr:uid="{00000000-0005-0000-0000-0000C55F0000}"/>
    <cellStyle name="Table Head Aligned 2 2" xfId="13570" xr:uid="{00000000-0005-0000-0000-0000C65F0000}"/>
    <cellStyle name="Table Head Aligned 2_TOM TAT" xfId="13571" xr:uid="{00000000-0005-0000-0000-0000C75F0000}"/>
    <cellStyle name="Table Head Aligned 3" xfId="18518" xr:uid="{00000000-0005-0000-0000-0000C85F0000}"/>
    <cellStyle name="Table Head Aligned 4" xfId="18855" xr:uid="{00000000-0005-0000-0000-0000C95F0000}"/>
    <cellStyle name="Table Head Aligned_TOM TAT" xfId="13572" xr:uid="{00000000-0005-0000-0000-0000CA5F0000}"/>
    <cellStyle name="Table Head Blue" xfId="1731" xr:uid="{00000000-0005-0000-0000-0000CB5F0000}"/>
    <cellStyle name="Table Head Blue 2" xfId="4758" xr:uid="{00000000-0005-0000-0000-0000CC5F0000}"/>
    <cellStyle name="Table Head Blue 2 2" xfId="13573" xr:uid="{00000000-0005-0000-0000-0000CD5F0000}"/>
    <cellStyle name="Table Head Blue 2_TOM TAT" xfId="13574" xr:uid="{00000000-0005-0000-0000-0000CE5F0000}"/>
    <cellStyle name="Table Head Blue 3" xfId="13575" xr:uid="{00000000-0005-0000-0000-0000CF5F0000}"/>
    <cellStyle name="Table Head Blue 4" xfId="13576" xr:uid="{00000000-0005-0000-0000-0000D05F0000}"/>
    <cellStyle name="Table Head Blue 5" xfId="13577" xr:uid="{00000000-0005-0000-0000-0000D15F0000}"/>
    <cellStyle name="Table Head Blue 6" xfId="18519" xr:uid="{00000000-0005-0000-0000-0000D25F0000}"/>
    <cellStyle name="Table Head Blue 7" xfId="18856" xr:uid="{00000000-0005-0000-0000-0000D35F0000}"/>
    <cellStyle name="Table Head Blue_TOM TAT" xfId="13578" xr:uid="{00000000-0005-0000-0000-0000D45F0000}"/>
    <cellStyle name="Table Head Green" xfId="1732" xr:uid="{00000000-0005-0000-0000-0000D55F0000}"/>
    <cellStyle name="Table Head Green 2" xfId="4759" xr:uid="{00000000-0005-0000-0000-0000D65F0000}"/>
    <cellStyle name="Table Head Green 2 2" xfId="13579" xr:uid="{00000000-0005-0000-0000-0000D75F0000}"/>
    <cellStyle name="Table Head Green 2_TOM TAT" xfId="13580" xr:uid="{00000000-0005-0000-0000-0000D85F0000}"/>
    <cellStyle name="Table Head Green 3" xfId="13581" xr:uid="{00000000-0005-0000-0000-0000D95F0000}"/>
    <cellStyle name="Table Head Green 3 2" xfId="31702" xr:uid="{00000000-0005-0000-0000-0000DA5F0000}"/>
    <cellStyle name="Table Head Green 3_TOM TAT" xfId="24362" xr:uid="{00000000-0005-0000-0000-0000DB5F0000}"/>
    <cellStyle name="Table Head Green 4" xfId="13582" xr:uid="{00000000-0005-0000-0000-0000DC5F0000}"/>
    <cellStyle name="Table Head Green 4 2" xfId="31703" xr:uid="{00000000-0005-0000-0000-0000DD5F0000}"/>
    <cellStyle name="Table Head Green 4_TOM TAT" xfId="24363" xr:uid="{00000000-0005-0000-0000-0000DE5F0000}"/>
    <cellStyle name="Table Head Green 5" xfId="13583" xr:uid="{00000000-0005-0000-0000-0000DF5F0000}"/>
    <cellStyle name="Table Head Green 5 2" xfId="31704" xr:uid="{00000000-0005-0000-0000-0000E05F0000}"/>
    <cellStyle name="Table Head Green 5_TOM TAT" xfId="24364" xr:uid="{00000000-0005-0000-0000-0000E15F0000}"/>
    <cellStyle name="Table Head Green 6" xfId="18520" xr:uid="{00000000-0005-0000-0000-0000E25F0000}"/>
    <cellStyle name="Table Head Green 7" xfId="18857" xr:uid="{00000000-0005-0000-0000-0000E35F0000}"/>
    <cellStyle name="Table Head Green_TOM TAT" xfId="13584" xr:uid="{00000000-0005-0000-0000-0000E45F0000}"/>
    <cellStyle name="Table Head_TOM TAT" xfId="13585" xr:uid="{00000000-0005-0000-0000-0000E55F0000}"/>
    <cellStyle name="Table Header" xfId="19262" xr:uid="{00000000-0005-0000-0000-0000E65F0000}"/>
    <cellStyle name="Table Title" xfId="1733" xr:uid="{00000000-0005-0000-0000-0000E75F0000}"/>
    <cellStyle name="Table Title 2" xfId="4760" xr:uid="{00000000-0005-0000-0000-0000E85F0000}"/>
    <cellStyle name="Table Title 2 2" xfId="13586" xr:uid="{00000000-0005-0000-0000-0000E95F0000}"/>
    <cellStyle name="Table Title 2_TOM TAT" xfId="13587" xr:uid="{00000000-0005-0000-0000-0000EA5F0000}"/>
    <cellStyle name="Table Title 3" xfId="13588" xr:uid="{00000000-0005-0000-0000-0000EB5F0000}"/>
    <cellStyle name="Table Title 4" xfId="13589" xr:uid="{00000000-0005-0000-0000-0000EC5F0000}"/>
    <cellStyle name="Table Title 5" xfId="13590" xr:uid="{00000000-0005-0000-0000-0000ED5F0000}"/>
    <cellStyle name="Table Title 6" xfId="18521" xr:uid="{00000000-0005-0000-0000-0000EE5F0000}"/>
    <cellStyle name="Table Title 7" xfId="18858" xr:uid="{00000000-0005-0000-0000-0000EF5F0000}"/>
    <cellStyle name="Table Title_TOM TAT" xfId="13591" xr:uid="{00000000-0005-0000-0000-0000F05F0000}"/>
    <cellStyle name="Table Units" xfId="1734" xr:uid="{00000000-0005-0000-0000-0000F15F0000}"/>
    <cellStyle name="Table Units 2" xfId="4761" xr:uid="{00000000-0005-0000-0000-0000F25F0000}"/>
    <cellStyle name="Table Units 2 2" xfId="13592" xr:uid="{00000000-0005-0000-0000-0000F35F0000}"/>
    <cellStyle name="Table Units 2_TOM TAT" xfId="13593" xr:uid="{00000000-0005-0000-0000-0000F45F0000}"/>
    <cellStyle name="Table Units 3" xfId="13594" xr:uid="{00000000-0005-0000-0000-0000F55F0000}"/>
    <cellStyle name="Table Units 4" xfId="13595" xr:uid="{00000000-0005-0000-0000-0000F65F0000}"/>
    <cellStyle name="Table Units 5" xfId="13596" xr:uid="{00000000-0005-0000-0000-0000F75F0000}"/>
    <cellStyle name="Table Units 6" xfId="18522" xr:uid="{00000000-0005-0000-0000-0000F85F0000}"/>
    <cellStyle name="Table Units 7" xfId="18859" xr:uid="{00000000-0005-0000-0000-0000F95F0000}"/>
    <cellStyle name="Table Units_TOM TAT" xfId="13597" xr:uid="{00000000-0005-0000-0000-0000FA5F0000}"/>
    <cellStyle name="TableBorder" xfId="1735" xr:uid="{00000000-0005-0000-0000-0000FB5F0000}"/>
    <cellStyle name="TableBorder 2" xfId="4762" xr:uid="{00000000-0005-0000-0000-0000FC5F0000}"/>
    <cellStyle name="TableBorder 2 2" xfId="5695" xr:uid="{00000000-0005-0000-0000-0000FD5F0000}"/>
    <cellStyle name="TableBorder 2 2 2" xfId="5696" xr:uid="{00000000-0005-0000-0000-0000FE5F0000}"/>
    <cellStyle name="TableBorder 2 2 2 2" xfId="13598" xr:uid="{00000000-0005-0000-0000-0000FF5F0000}"/>
    <cellStyle name="TableBorder 2 2 2 2 2" xfId="13599" xr:uid="{00000000-0005-0000-0000-000000600000}"/>
    <cellStyle name="TableBorder 2 2 2 2_TOM TAT" xfId="13600" xr:uid="{00000000-0005-0000-0000-000001600000}"/>
    <cellStyle name="TableBorder 2 2 2 3" xfId="13601" xr:uid="{00000000-0005-0000-0000-000002600000}"/>
    <cellStyle name="TableBorder 2 2 2 3 2" xfId="13602" xr:uid="{00000000-0005-0000-0000-000003600000}"/>
    <cellStyle name="TableBorder 2 2 2 3_TOM TAT" xfId="13603" xr:uid="{00000000-0005-0000-0000-000004600000}"/>
    <cellStyle name="TableBorder 2 2 2 4" xfId="13604" xr:uid="{00000000-0005-0000-0000-000005600000}"/>
    <cellStyle name="TableBorder 2 2 2_TOM TAT" xfId="13605" xr:uid="{00000000-0005-0000-0000-000006600000}"/>
    <cellStyle name="TableBorder 2 2 3" xfId="13606" xr:uid="{00000000-0005-0000-0000-000007600000}"/>
    <cellStyle name="TableBorder 2 2 3 2" xfId="13607" xr:uid="{00000000-0005-0000-0000-000008600000}"/>
    <cellStyle name="TableBorder 2 2 3_TOM TAT" xfId="13608" xr:uid="{00000000-0005-0000-0000-000009600000}"/>
    <cellStyle name="TableBorder 2 2 4" xfId="13609" xr:uid="{00000000-0005-0000-0000-00000A600000}"/>
    <cellStyle name="TableBorder 2 2 4 2" xfId="13610" xr:uid="{00000000-0005-0000-0000-00000B600000}"/>
    <cellStyle name="TableBorder 2 2 4_TOM TAT" xfId="13611" xr:uid="{00000000-0005-0000-0000-00000C600000}"/>
    <cellStyle name="TableBorder 2 2 5" xfId="13612" xr:uid="{00000000-0005-0000-0000-00000D600000}"/>
    <cellStyle name="TableBorder 2 2 6" xfId="18934" xr:uid="{00000000-0005-0000-0000-00000E600000}"/>
    <cellStyle name="TableBorder 2 2 6 2" xfId="31851" xr:uid="{00000000-0005-0000-0000-00000F600000}"/>
    <cellStyle name="TableBorder 2 2 6_TOM TAT" xfId="24365" xr:uid="{00000000-0005-0000-0000-000010600000}"/>
    <cellStyle name="TableBorder 2 2_TOM TAT" xfId="13613" xr:uid="{00000000-0005-0000-0000-000011600000}"/>
    <cellStyle name="TableBorder 2 3" xfId="5697" xr:uid="{00000000-0005-0000-0000-000012600000}"/>
    <cellStyle name="TableBorder 2 3 2" xfId="13614" xr:uid="{00000000-0005-0000-0000-000013600000}"/>
    <cellStyle name="TableBorder 2 3 2 2" xfId="13615" xr:uid="{00000000-0005-0000-0000-000014600000}"/>
    <cellStyle name="TableBorder 2 3 2_TOM TAT" xfId="13616" xr:uid="{00000000-0005-0000-0000-000015600000}"/>
    <cellStyle name="TableBorder 2 3 3" xfId="13617" xr:uid="{00000000-0005-0000-0000-000016600000}"/>
    <cellStyle name="TableBorder 2 3 3 2" xfId="13618" xr:uid="{00000000-0005-0000-0000-000017600000}"/>
    <cellStyle name="TableBorder 2 3 3_TOM TAT" xfId="13619" xr:uid="{00000000-0005-0000-0000-000018600000}"/>
    <cellStyle name="TableBorder 2 3 4" xfId="13620" xr:uid="{00000000-0005-0000-0000-000019600000}"/>
    <cellStyle name="TableBorder 2 3_TOM TAT" xfId="13621" xr:uid="{00000000-0005-0000-0000-00001A600000}"/>
    <cellStyle name="TableBorder 2 4" xfId="13622" xr:uid="{00000000-0005-0000-0000-00001B600000}"/>
    <cellStyle name="TableBorder 2 4 2" xfId="13623" xr:uid="{00000000-0005-0000-0000-00001C600000}"/>
    <cellStyle name="TableBorder 2 4_TOM TAT" xfId="13624" xr:uid="{00000000-0005-0000-0000-00001D600000}"/>
    <cellStyle name="TableBorder 2 5" xfId="13625" xr:uid="{00000000-0005-0000-0000-00001E600000}"/>
    <cellStyle name="TableBorder 2 5 2" xfId="13626" xr:uid="{00000000-0005-0000-0000-00001F600000}"/>
    <cellStyle name="TableBorder 2 5_TOM TAT" xfId="13627" xr:uid="{00000000-0005-0000-0000-000020600000}"/>
    <cellStyle name="TableBorder 2 6" xfId="18861" xr:uid="{00000000-0005-0000-0000-000021600000}"/>
    <cellStyle name="TableBorder 2 6 2" xfId="31826" xr:uid="{00000000-0005-0000-0000-000022600000}"/>
    <cellStyle name="TableBorder 2 6_TOM TAT" xfId="24366" xr:uid="{00000000-0005-0000-0000-000023600000}"/>
    <cellStyle name="TableBorder 2_TOM TAT" xfId="13628" xr:uid="{00000000-0005-0000-0000-000024600000}"/>
    <cellStyle name="TableBorder 3" xfId="5698" xr:uid="{00000000-0005-0000-0000-000025600000}"/>
    <cellStyle name="TableBorder 3 2" xfId="5699" xr:uid="{00000000-0005-0000-0000-000026600000}"/>
    <cellStyle name="TableBorder 3 2 2" xfId="13629" xr:uid="{00000000-0005-0000-0000-000027600000}"/>
    <cellStyle name="TableBorder 3 2 2 2" xfId="13630" xr:uid="{00000000-0005-0000-0000-000028600000}"/>
    <cellStyle name="TableBorder 3 2 2_TOM TAT" xfId="13631" xr:uid="{00000000-0005-0000-0000-000029600000}"/>
    <cellStyle name="TableBorder 3 2 3" xfId="13632" xr:uid="{00000000-0005-0000-0000-00002A600000}"/>
    <cellStyle name="TableBorder 3 2 3 2" xfId="13633" xr:uid="{00000000-0005-0000-0000-00002B600000}"/>
    <cellStyle name="TableBorder 3 2 3_TOM TAT" xfId="13634" xr:uid="{00000000-0005-0000-0000-00002C600000}"/>
    <cellStyle name="TableBorder 3 2 4" xfId="13635" xr:uid="{00000000-0005-0000-0000-00002D600000}"/>
    <cellStyle name="TableBorder 3 2_TOM TAT" xfId="13636" xr:uid="{00000000-0005-0000-0000-00002E600000}"/>
    <cellStyle name="TableBorder 3 3" xfId="13637" xr:uid="{00000000-0005-0000-0000-00002F600000}"/>
    <cellStyle name="TableBorder 3 3 2" xfId="13638" xr:uid="{00000000-0005-0000-0000-000030600000}"/>
    <cellStyle name="TableBorder 3 3_TOM TAT" xfId="13639" xr:uid="{00000000-0005-0000-0000-000031600000}"/>
    <cellStyle name="TableBorder 3 4" xfId="13640" xr:uid="{00000000-0005-0000-0000-000032600000}"/>
    <cellStyle name="TableBorder 3 4 2" xfId="13641" xr:uid="{00000000-0005-0000-0000-000033600000}"/>
    <cellStyle name="TableBorder 3 4_TOM TAT" xfId="13642" xr:uid="{00000000-0005-0000-0000-000034600000}"/>
    <cellStyle name="TableBorder 3 5" xfId="13643" xr:uid="{00000000-0005-0000-0000-000035600000}"/>
    <cellStyle name="TableBorder 3 6" xfId="18933" xr:uid="{00000000-0005-0000-0000-000036600000}"/>
    <cellStyle name="TableBorder 3 6 2" xfId="31850" xr:uid="{00000000-0005-0000-0000-000037600000}"/>
    <cellStyle name="TableBorder 3 6_TOM TAT" xfId="24367" xr:uid="{00000000-0005-0000-0000-000038600000}"/>
    <cellStyle name="TableBorder 3_TOM TAT" xfId="13644" xr:uid="{00000000-0005-0000-0000-000039600000}"/>
    <cellStyle name="TableBorder 4" xfId="5700" xr:uid="{00000000-0005-0000-0000-00003A600000}"/>
    <cellStyle name="TableBorder 4 2" xfId="13645" xr:uid="{00000000-0005-0000-0000-00003B600000}"/>
    <cellStyle name="TableBorder 4 2 2" xfId="13646" xr:uid="{00000000-0005-0000-0000-00003C600000}"/>
    <cellStyle name="TableBorder 4 2_TOM TAT" xfId="13647" xr:uid="{00000000-0005-0000-0000-00003D600000}"/>
    <cellStyle name="TableBorder 4 3" xfId="13648" xr:uid="{00000000-0005-0000-0000-00003E600000}"/>
    <cellStyle name="TableBorder 4 3 2" xfId="13649" xr:uid="{00000000-0005-0000-0000-00003F600000}"/>
    <cellStyle name="TableBorder 4 3_TOM TAT" xfId="13650" xr:uid="{00000000-0005-0000-0000-000040600000}"/>
    <cellStyle name="TableBorder 4 4" xfId="13651" xr:uid="{00000000-0005-0000-0000-000041600000}"/>
    <cellStyle name="TableBorder 4_TOM TAT" xfId="13652" xr:uid="{00000000-0005-0000-0000-000042600000}"/>
    <cellStyle name="TableBorder 5" xfId="13653" xr:uid="{00000000-0005-0000-0000-000043600000}"/>
    <cellStyle name="TableBorder 5 2" xfId="13654" xr:uid="{00000000-0005-0000-0000-000044600000}"/>
    <cellStyle name="TableBorder 5_TOM TAT" xfId="13655" xr:uid="{00000000-0005-0000-0000-000045600000}"/>
    <cellStyle name="TableBorder 6" xfId="13656" xr:uid="{00000000-0005-0000-0000-000046600000}"/>
    <cellStyle name="TableBorder 6 2" xfId="13657" xr:uid="{00000000-0005-0000-0000-000047600000}"/>
    <cellStyle name="TableBorder 6_TOM TAT" xfId="13658" xr:uid="{00000000-0005-0000-0000-000048600000}"/>
    <cellStyle name="TableBorder 7" xfId="18860" xr:uid="{00000000-0005-0000-0000-000049600000}"/>
    <cellStyle name="TableBorder 7 2" xfId="31825" xr:uid="{00000000-0005-0000-0000-00004A600000}"/>
    <cellStyle name="TableBorder 7_TOM TAT" xfId="24368" xr:uid="{00000000-0005-0000-0000-00004B600000}"/>
    <cellStyle name="TableBorder_TOM TAT" xfId="13659" xr:uid="{00000000-0005-0000-0000-00004C600000}"/>
    <cellStyle name="Tan" xfId="1736" xr:uid="{00000000-0005-0000-0000-00004D600000}"/>
    <cellStyle name="Tan 2" xfId="4763" xr:uid="{00000000-0005-0000-0000-00004E600000}"/>
    <cellStyle name="Tan 2 2" xfId="13660" xr:uid="{00000000-0005-0000-0000-00004F600000}"/>
    <cellStyle name="Tan 2_TOM TAT" xfId="13661" xr:uid="{00000000-0005-0000-0000-000050600000}"/>
    <cellStyle name="Tan 3" xfId="18523" xr:uid="{00000000-0005-0000-0000-000051600000}"/>
    <cellStyle name="Tan 4" xfId="18862" xr:uid="{00000000-0005-0000-0000-000052600000}"/>
    <cellStyle name="Tan 4 2" xfId="31827" xr:uid="{00000000-0005-0000-0000-000053600000}"/>
    <cellStyle name="Tan 4_TOM TAT" xfId="24369" xr:uid="{00000000-0005-0000-0000-000054600000}"/>
    <cellStyle name="Tan_TOM TAT" xfId="13662" xr:uid="{00000000-0005-0000-0000-000055600000}"/>
    <cellStyle name="text" xfId="1737" xr:uid="{00000000-0005-0000-0000-000056600000}"/>
    <cellStyle name="text 2" xfId="4764" xr:uid="{00000000-0005-0000-0000-000057600000}"/>
    <cellStyle name="text 2 2" xfId="13663" xr:uid="{00000000-0005-0000-0000-000058600000}"/>
    <cellStyle name="text 2_TOM TAT" xfId="13664" xr:uid="{00000000-0005-0000-0000-000059600000}"/>
    <cellStyle name="text 3" xfId="13665" xr:uid="{00000000-0005-0000-0000-00005A600000}"/>
    <cellStyle name="text 4" xfId="13666" xr:uid="{00000000-0005-0000-0000-00005B600000}"/>
    <cellStyle name="text 5" xfId="13667" xr:uid="{00000000-0005-0000-0000-00005C600000}"/>
    <cellStyle name="text 6" xfId="18524" xr:uid="{00000000-0005-0000-0000-00005D600000}"/>
    <cellStyle name="text 7" xfId="18863" xr:uid="{00000000-0005-0000-0000-00005E600000}"/>
    <cellStyle name="Text Indent A" xfId="1738" xr:uid="{00000000-0005-0000-0000-00005F600000}"/>
    <cellStyle name="Text Indent A 2" xfId="4765" xr:uid="{00000000-0005-0000-0000-000060600000}"/>
    <cellStyle name="Text Indent A 2 2" xfId="13668" xr:uid="{00000000-0005-0000-0000-000061600000}"/>
    <cellStyle name="Text Indent A 2_TOM TAT" xfId="13669" xr:uid="{00000000-0005-0000-0000-000062600000}"/>
    <cellStyle name="Text Indent A 3" xfId="18525" xr:uid="{00000000-0005-0000-0000-000063600000}"/>
    <cellStyle name="Text Indent A 4" xfId="18864" xr:uid="{00000000-0005-0000-0000-000064600000}"/>
    <cellStyle name="Text Indent A_TOM TAT" xfId="13670" xr:uid="{00000000-0005-0000-0000-000065600000}"/>
    <cellStyle name="Text Indent B" xfId="1739" xr:uid="{00000000-0005-0000-0000-000066600000}"/>
    <cellStyle name="Text Indent B 2" xfId="4766" xr:uid="{00000000-0005-0000-0000-000067600000}"/>
    <cellStyle name="Text Indent B 2 2" xfId="5701" xr:uid="{00000000-0005-0000-0000-000068600000}"/>
    <cellStyle name="Text Indent B 2_TOM TAT" xfId="13671" xr:uid="{00000000-0005-0000-0000-000069600000}"/>
    <cellStyle name="Text Indent B 3" xfId="5702" xr:uid="{00000000-0005-0000-0000-00006A600000}"/>
    <cellStyle name="Text Indent B_20141211 Tan Mai - Hanh" xfId="13672" xr:uid="{00000000-0005-0000-0000-00006B600000}"/>
    <cellStyle name="Text Indent C" xfId="1740" xr:uid="{00000000-0005-0000-0000-00006C600000}"/>
    <cellStyle name="Text Indent C 2" xfId="4767" xr:uid="{00000000-0005-0000-0000-00006D600000}"/>
    <cellStyle name="Text Indent C 2 2" xfId="5703" xr:uid="{00000000-0005-0000-0000-00006E600000}"/>
    <cellStyle name="Text Indent C 2 2 2" xfId="13673" xr:uid="{00000000-0005-0000-0000-00006F600000}"/>
    <cellStyle name="Text Indent C 2 2_TOM TAT" xfId="13674" xr:uid="{00000000-0005-0000-0000-000070600000}"/>
    <cellStyle name="Text Indent C 2 3" xfId="13675" xr:uid="{00000000-0005-0000-0000-000071600000}"/>
    <cellStyle name="Text Indent C 2 4" xfId="13676" xr:uid="{00000000-0005-0000-0000-000072600000}"/>
    <cellStyle name="Text Indent C 2 5" xfId="13677" xr:uid="{00000000-0005-0000-0000-000073600000}"/>
    <cellStyle name="Text Indent C 2_TOM TAT" xfId="13678" xr:uid="{00000000-0005-0000-0000-000074600000}"/>
    <cellStyle name="Text Indent C 3" xfId="5704" xr:uid="{00000000-0005-0000-0000-000075600000}"/>
    <cellStyle name="Text Indent C 3 2" xfId="13679" xr:uid="{00000000-0005-0000-0000-000076600000}"/>
    <cellStyle name="Text Indent C 3_TOM TAT" xfId="13680" xr:uid="{00000000-0005-0000-0000-000077600000}"/>
    <cellStyle name="Text Indent C 4" xfId="13681" xr:uid="{00000000-0005-0000-0000-000078600000}"/>
    <cellStyle name="Text Indent C 5" xfId="13682" xr:uid="{00000000-0005-0000-0000-000079600000}"/>
    <cellStyle name="Text Indent C 6" xfId="13683" xr:uid="{00000000-0005-0000-0000-00007A600000}"/>
    <cellStyle name="Text Indent C_20141211 Tan Mai - Hanh" xfId="13684" xr:uid="{00000000-0005-0000-0000-00007B600000}"/>
    <cellStyle name="text_4 ACPI COMPOSITES" xfId="1741" xr:uid="{00000000-0005-0000-0000-00007C600000}"/>
    <cellStyle name="th" xfId="1742" xr:uid="{00000000-0005-0000-0000-00007D600000}"/>
    <cellStyle name="th 2" xfId="4768" xr:uid="{00000000-0005-0000-0000-00007E600000}"/>
    <cellStyle name="th 2 2" xfId="13685" xr:uid="{00000000-0005-0000-0000-00007F600000}"/>
    <cellStyle name="th 2 2 2" xfId="31705" xr:uid="{00000000-0005-0000-0000-000080600000}"/>
    <cellStyle name="th 2 2_TOM TAT" xfId="24370" xr:uid="{00000000-0005-0000-0000-000081600000}"/>
    <cellStyle name="th 2 3" xfId="19263" xr:uid="{00000000-0005-0000-0000-000082600000}"/>
    <cellStyle name="th 2 3 2" xfId="32113" xr:uid="{00000000-0005-0000-0000-000083600000}"/>
    <cellStyle name="th 2 3_TOM TAT" xfId="24371" xr:uid="{00000000-0005-0000-0000-000084600000}"/>
    <cellStyle name="th 2 4" xfId="19264" xr:uid="{00000000-0005-0000-0000-000085600000}"/>
    <cellStyle name="th 2 4 2" xfId="32114" xr:uid="{00000000-0005-0000-0000-000086600000}"/>
    <cellStyle name="th 2 4_TOM TAT" xfId="24372" xr:uid="{00000000-0005-0000-0000-000087600000}"/>
    <cellStyle name="th 2_TOM TAT" xfId="13686" xr:uid="{00000000-0005-0000-0000-000088600000}"/>
    <cellStyle name="th 3" xfId="19265" xr:uid="{00000000-0005-0000-0000-000089600000}"/>
    <cellStyle name="th 3 2" xfId="19266" xr:uid="{00000000-0005-0000-0000-00008A600000}"/>
    <cellStyle name="th 3 2 2" xfId="32116" xr:uid="{00000000-0005-0000-0000-00008B600000}"/>
    <cellStyle name="th 3 2_TOM TAT" xfId="24374" xr:uid="{00000000-0005-0000-0000-00008C600000}"/>
    <cellStyle name="th 3 3" xfId="19267" xr:uid="{00000000-0005-0000-0000-00008D600000}"/>
    <cellStyle name="th 3 3 2" xfId="32117" xr:uid="{00000000-0005-0000-0000-00008E600000}"/>
    <cellStyle name="th 3 3_TOM TAT" xfId="24375" xr:uid="{00000000-0005-0000-0000-00008F600000}"/>
    <cellStyle name="th 3 4" xfId="19268" xr:uid="{00000000-0005-0000-0000-000090600000}"/>
    <cellStyle name="th 3 4 2" xfId="32118" xr:uid="{00000000-0005-0000-0000-000091600000}"/>
    <cellStyle name="th 3 4_TOM TAT" xfId="24376" xr:uid="{00000000-0005-0000-0000-000092600000}"/>
    <cellStyle name="th 3 5" xfId="32115" xr:uid="{00000000-0005-0000-0000-000093600000}"/>
    <cellStyle name="th 3_TOM TAT" xfId="24373" xr:uid="{00000000-0005-0000-0000-000094600000}"/>
    <cellStyle name="th 4" xfId="19269" xr:uid="{00000000-0005-0000-0000-000095600000}"/>
    <cellStyle name="th 4 2" xfId="19270" xr:uid="{00000000-0005-0000-0000-000096600000}"/>
    <cellStyle name="th 4 2 2" xfId="32120" xr:uid="{00000000-0005-0000-0000-000097600000}"/>
    <cellStyle name="th 4 2_TOM TAT" xfId="24378" xr:uid="{00000000-0005-0000-0000-000098600000}"/>
    <cellStyle name="th 4 3" xfId="19271" xr:uid="{00000000-0005-0000-0000-000099600000}"/>
    <cellStyle name="th 4 3 2" xfId="32121" xr:uid="{00000000-0005-0000-0000-00009A600000}"/>
    <cellStyle name="th 4 3_TOM TAT" xfId="24379" xr:uid="{00000000-0005-0000-0000-00009B600000}"/>
    <cellStyle name="th 4 4" xfId="19272" xr:uid="{00000000-0005-0000-0000-00009C600000}"/>
    <cellStyle name="th 4 4 2" xfId="32122" xr:uid="{00000000-0005-0000-0000-00009D600000}"/>
    <cellStyle name="th 4 4_TOM TAT" xfId="24380" xr:uid="{00000000-0005-0000-0000-00009E600000}"/>
    <cellStyle name="th 4 5" xfId="32119" xr:uid="{00000000-0005-0000-0000-00009F600000}"/>
    <cellStyle name="th 4_TOM TAT" xfId="24377" xr:uid="{00000000-0005-0000-0000-0000A0600000}"/>
    <cellStyle name="th 5" xfId="19273" xr:uid="{00000000-0005-0000-0000-0000A1600000}"/>
    <cellStyle name="th 5 2" xfId="19274" xr:uid="{00000000-0005-0000-0000-0000A2600000}"/>
    <cellStyle name="th 5 2 2" xfId="32124" xr:uid="{00000000-0005-0000-0000-0000A3600000}"/>
    <cellStyle name="th 5 2_TOM TAT" xfId="24382" xr:uid="{00000000-0005-0000-0000-0000A4600000}"/>
    <cellStyle name="th 5 3" xfId="19275" xr:uid="{00000000-0005-0000-0000-0000A5600000}"/>
    <cellStyle name="th 5 3 2" xfId="32125" xr:uid="{00000000-0005-0000-0000-0000A6600000}"/>
    <cellStyle name="th 5 3_TOM TAT" xfId="24383" xr:uid="{00000000-0005-0000-0000-0000A7600000}"/>
    <cellStyle name="th 5 4" xfId="19276" xr:uid="{00000000-0005-0000-0000-0000A8600000}"/>
    <cellStyle name="th 5 4 2" xfId="32126" xr:uid="{00000000-0005-0000-0000-0000A9600000}"/>
    <cellStyle name="th 5 4_TOM TAT" xfId="24384" xr:uid="{00000000-0005-0000-0000-0000AA600000}"/>
    <cellStyle name="th 5 5" xfId="32123" xr:uid="{00000000-0005-0000-0000-0000AB600000}"/>
    <cellStyle name="th 5_TOM TAT" xfId="24381" xr:uid="{00000000-0005-0000-0000-0000AC600000}"/>
    <cellStyle name="th 6" xfId="19277" xr:uid="{00000000-0005-0000-0000-0000AD600000}"/>
    <cellStyle name="th 6 2" xfId="19278" xr:uid="{00000000-0005-0000-0000-0000AE600000}"/>
    <cellStyle name="th 6 2 2" xfId="32128" xr:uid="{00000000-0005-0000-0000-0000AF600000}"/>
    <cellStyle name="th 6 2_TOM TAT" xfId="24386" xr:uid="{00000000-0005-0000-0000-0000B0600000}"/>
    <cellStyle name="th 6 3" xfId="19279" xr:uid="{00000000-0005-0000-0000-0000B1600000}"/>
    <cellStyle name="th 6 3 2" xfId="32129" xr:uid="{00000000-0005-0000-0000-0000B2600000}"/>
    <cellStyle name="th 6 3_TOM TAT" xfId="24387" xr:uid="{00000000-0005-0000-0000-0000B3600000}"/>
    <cellStyle name="th 6 4" xfId="19280" xr:uid="{00000000-0005-0000-0000-0000B4600000}"/>
    <cellStyle name="th 6 4 2" xfId="32130" xr:uid="{00000000-0005-0000-0000-0000B5600000}"/>
    <cellStyle name="th 6 4_TOM TAT" xfId="24388" xr:uid="{00000000-0005-0000-0000-0000B6600000}"/>
    <cellStyle name="th 6 5" xfId="32127" xr:uid="{00000000-0005-0000-0000-0000B7600000}"/>
    <cellStyle name="th 6_TOM TAT" xfId="24385" xr:uid="{00000000-0005-0000-0000-0000B8600000}"/>
    <cellStyle name="th 7" xfId="19281" xr:uid="{00000000-0005-0000-0000-0000B9600000}"/>
    <cellStyle name="th 7 2" xfId="32131" xr:uid="{00000000-0005-0000-0000-0000BA600000}"/>
    <cellStyle name="th 7_TOM TAT" xfId="24389" xr:uid="{00000000-0005-0000-0000-0000BB600000}"/>
    <cellStyle name="th 8" xfId="19282" xr:uid="{00000000-0005-0000-0000-0000BC600000}"/>
    <cellStyle name="th 8 2" xfId="32132" xr:uid="{00000000-0005-0000-0000-0000BD600000}"/>
    <cellStyle name="th 8_TOM TAT" xfId="24390" xr:uid="{00000000-0005-0000-0000-0000BE600000}"/>
    <cellStyle name="th 9" xfId="19283" xr:uid="{00000000-0005-0000-0000-0000BF600000}"/>
    <cellStyle name="th 9 2" xfId="32133" xr:uid="{00000000-0005-0000-0000-0000C0600000}"/>
    <cellStyle name="th 9_TOM TAT" xfId="24391" xr:uid="{00000000-0005-0000-0000-0000C1600000}"/>
    <cellStyle name="th_TOM TAT" xfId="13687" xr:uid="{00000000-0005-0000-0000-0000C2600000}"/>
    <cellStyle name="þ_x001d_ð%&amp;“ý•&amp;Œýx_x0001_‚_x0007_å_x000e__x0007__x0001__x0001_" xfId="1743" xr:uid="{00000000-0005-0000-0000-0000C3600000}"/>
    <cellStyle name="þ_x001d_ð%&amp;“ý•&amp;Œýx_x0001_‚_x0007_å_x000e__x0007__x0001__x0001_ 2" xfId="4769" xr:uid="{00000000-0005-0000-0000-0000C4600000}"/>
    <cellStyle name="þ_x001d_ð%&amp;“ý•&amp;Œýx_x0001_‚_x0007_å_x000e__x0007__x0001__x0001_ 2 2" xfId="13688" xr:uid="{00000000-0005-0000-0000-0000C5600000}"/>
    <cellStyle name="þ_x001d_ð%&amp;“ý•&amp;Œýx_x0001_‚_x0007_å_x000e__x0007__x0001__x0001_ 2_TOM TAT" xfId="13689" xr:uid="{00000000-0005-0000-0000-0000C6600000}"/>
    <cellStyle name="þ_x001d_ð%&amp;“ý•&amp;Œýx_x0001_‚_x0007_å_x000e__x0007__x0001__x0001_ 3" xfId="13690" xr:uid="{00000000-0005-0000-0000-0000C7600000}"/>
    <cellStyle name="þ_x001d_ð%&amp;“ý•&amp;Œýx_x0001_‚_x0007_å_x000e__x0007__x0001__x0001_ 4" xfId="13691" xr:uid="{00000000-0005-0000-0000-0000C8600000}"/>
    <cellStyle name="þ_x001d_ð%&amp;“ý•&amp;Œýx_x0001_‚_x0007_å_x000e__x0007__x0001__x0001_ 5" xfId="13692" xr:uid="{00000000-0005-0000-0000-0000C9600000}"/>
    <cellStyle name="þ_x001d_ð%&amp;“ý•&amp;Œýx_x0001_‚_x0007_å_x000e__x0007__x0001__x0001_ 6" xfId="18526" xr:uid="{00000000-0005-0000-0000-0000CA600000}"/>
    <cellStyle name="þ_x001d_ð%&amp;“ý•&amp;Œýx_x0001_‚_x0007_å_x000e__x0007__x0001__x0001_ 7" xfId="18865" xr:uid="{00000000-0005-0000-0000-0000CB600000}"/>
    <cellStyle name="þ_x001d_ð%&amp;“ý•&amp;Œýx_x0001_‚_x0007_å_x000e__x0007__x0001__x0001__TOM TAT" xfId="13693" xr:uid="{00000000-0005-0000-0000-0000CC600000}"/>
    <cellStyle name="þ_x001d_ð›_x000c_#ý_x000b__x000a__x001c_ýU_x0001_Ë3_x001e_5_x0007__x0001__x0001_" xfId="1744" xr:uid="{00000000-0005-0000-0000-0000CD600000}"/>
    <cellStyle name="þ_x001d_ð›_x000c_#ý_x000b__x000a__x001c_ýU_x0001_Ë3_x001e_5_x0007__x0001__x0001_ 2" xfId="4770" xr:uid="{00000000-0005-0000-0000-0000CE600000}"/>
    <cellStyle name="þ_x001d_ð›_x000c_#ý_x000b__x000a__x001c_ýU_x0001_Ë3_x001e_5_x0007__x0001__x0001_ 2 2" xfId="13694" xr:uid="{00000000-0005-0000-0000-0000CF600000}"/>
    <cellStyle name="þ_x001d_ð›_x000c_#ý_x000b__x000a__x001c_ýU_x0001_Ë3_x001e_5_x0007__x0001__x0001_ 2_TOM TAT" xfId="13695" xr:uid="{00000000-0005-0000-0000-0000D0600000}"/>
    <cellStyle name="þ_x001d_ð›_x000c_#ý_x000b__x000a__x001c_ýU_x0001_Ë3_x001e_5_x0007__x0001__x0001_ 3" xfId="13696" xr:uid="{00000000-0005-0000-0000-0000D1600000}"/>
    <cellStyle name="þ_x001d_ð›_x000c_#ý_x000b__x000a__x001c_ýU_x0001_Ë3_x001e_5_x0007__x0001__x0001__TOM TAT" xfId="13697" xr:uid="{00000000-0005-0000-0000-0000D2600000}"/>
    <cellStyle name="þ_x001d_ð›_x000c_#ý_x000b__x000d__x001c_ýU_x0001_Ë3_x001e_5_x0007__x0001__x0001_" xfId="1745" xr:uid="{00000000-0005-0000-0000-0000D3600000}"/>
    <cellStyle name="þ_x001d_ð›_x000c_#ý_x000b__x000d__x001c_ýU_x0001_Ë3_x001e_5_x0007__x0001__x0001_ 2" xfId="4771" xr:uid="{00000000-0005-0000-0000-0000D4600000}"/>
    <cellStyle name="þ_x001d_ð›_x000c_#ý_x000b__x000d__x001c_ýU_x0001_Ë3_x001e_5_x0007__x0001__x0001_ 2 2" xfId="13698" xr:uid="{00000000-0005-0000-0000-0000D5600000}"/>
    <cellStyle name="þ_x001d_ð›_x000c_#ý_x000b__x000d__x001c_ýU_x0001_Ë3_x001e_5_x0007__x0001__x0001_ 2_TOM TAT" xfId="13699" xr:uid="{00000000-0005-0000-0000-0000D6600000}"/>
    <cellStyle name="þ_x001d_ð›_x000c_#ý_x000b__x000d__x001c_ýU_x0001_Ë3_x001e_5_x0007__x0001__x0001_ 3" xfId="13700" xr:uid="{00000000-0005-0000-0000-0000D7600000}"/>
    <cellStyle name="þ_x001d_ð›_x000c_#ý_x000b__x000d__x001c_ýU_x0001_Ë3_x001e_5_x0007__x0001__x0001_ 4" xfId="13701" xr:uid="{00000000-0005-0000-0000-0000D8600000}"/>
    <cellStyle name="þ_x001d_ð›_x000c_#ý_x000b__x000d__x001c_ýU_x0001_Ë3_x001e_5_x0007__x0001__x0001_ 5" xfId="13702" xr:uid="{00000000-0005-0000-0000-0000D9600000}"/>
    <cellStyle name="þ_x001d_ð›_x000c_#ý_x000b__x000d__x001c_ýU_x0001_Ë3_x001e_5_x0007__x0001__x0001_ 6" xfId="18527" xr:uid="{00000000-0005-0000-0000-0000DA600000}"/>
    <cellStyle name="þ_x001d_ð›_x000c_#ý_x000b__x000d__x001c_ýU_x0001_Ë3_x001e_5_x0007__x0001__x0001_ 7" xfId="18866" xr:uid="{00000000-0005-0000-0000-0000DB600000}"/>
    <cellStyle name="þ_x001d_ð›_x000c_#ý_x000b__x000d__x001c_ýU_x0001_Ë3_x001e_5_x0007__x0001__x0001__TOM TAT" xfId="13703" xr:uid="{00000000-0005-0000-0000-0000DC600000}"/>
    <cellStyle name="þ_x001d_ð¤_x000c_¯þ_x0014__x000a_¨þU_x0001_À_x0004_ _x0015__x000f__x0001__x0001_" xfId="1746" xr:uid="{00000000-0005-0000-0000-0000DD600000}"/>
    <cellStyle name="þ_x001d_ð¤_x000c_¯þ_x0014__x000a_¨þU_x0001_À_x0004_ _x0015__x000f__x0001__x0001_ 2" xfId="4772" xr:uid="{00000000-0005-0000-0000-0000DE600000}"/>
    <cellStyle name="þ_x001d_ð¤_x000c_¯þ_x0014__x000a_¨þU_x0001_À_x0004_ _x0015__x000f__x0001__x0001_ 2 2" xfId="13704" xr:uid="{00000000-0005-0000-0000-0000DF600000}"/>
    <cellStyle name="þ_x001d_ð¤_x000c_¯þ_x0014__x000a_¨þU_x0001_À_x0004_ _x0015__x000f__x0001__x0001_ 2_TOM TAT" xfId="13705" xr:uid="{00000000-0005-0000-0000-0000E0600000}"/>
    <cellStyle name="þ_x001d_ð¤_x000c_¯þ_x0014__x000a_¨þU_x0001_À_x0004_ _x0015__x000f__x0001__x0001_ 3" xfId="13706" xr:uid="{00000000-0005-0000-0000-0000E1600000}"/>
    <cellStyle name="þ_x001d_ð¤_x000c_¯þ_x0014__x000a_¨þU_x0001_À_x0004_ _x0015__x000f__x0001__x0001__TOM TAT" xfId="13707" xr:uid="{00000000-0005-0000-0000-0000E2600000}"/>
    <cellStyle name="þ_x001d_ð¤_x000c_¯þ_x0014__x000d_¨þU_x0001_À_x0004_ _x0015__x000f__x0001__x0001_" xfId="1747" xr:uid="{00000000-0005-0000-0000-0000E3600000}"/>
    <cellStyle name="þ_x001d_ð¤_x000c_¯þ_x0014__x000d_¨þU_x0001_À_x0004_ _x0015__x000f__x0001__x0001_ 2" xfId="4773" xr:uid="{00000000-0005-0000-0000-0000E4600000}"/>
    <cellStyle name="þ_x001d_ð¤_x000c_¯þ_x0014__x000d_¨þU_x0001_À_x0004_ _x0015__x000f__x0001__x0001_ 2 2" xfId="13708" xr:uid="{00000000-0005-0000-0000-0000E5600000}"/>
    <cellStyle name="þ_x001d_ð¤_x000c_¯þ_x0014__x000d_¨þU_x0001_À_x0004_ _x0015__x000f__x0001__x0001_ 2_TOM TAT" xfId="13709" xr:uid="{00000000-0005-0000-0000-0000E6600000}"/>
    <cellStyle name="þ_x001d_ð¤_x000c_¯þ_x0014__x000d_¨þU_x0001_À_x0004_ _x0015__x000f__x0001__x0001_ 3" xfId="13710" xr:uid="{00000000-0005-0000-0000-0000E7600000}"/>
    <cellStyle name="þ_x001d_ð¤_x000c_¯þ_x0014__x000d_¨þU_x0001_À_x0004_ _x0015__x000f__x0001__x0001_ 4" xfId="13711" xr:uid="{00000000-0005-0000-0000-0000E8600000}"/>
    <cellStyle name="þ_x001d_ð¤_x000c_¯þ_x0014__x000d_¨þU_x0001_À_x0004_ _x0015__x000f__x0001__x0001_ 5" xfId="13712" xr:uid="{00000000-0005-0000-0000-0000E9600000}"/>
    <cellStyle name="þ_x001d_ð¤_x000c_¯þ_x0014__x000d_¨þU_x0001_À_x0004_ _x0015__x000f__x0001__x0001_ 6" xfId="18528" xr:uid="{00000000-0005-0000-0000-0000EA600000}"/>
    <cellStyle name="þ_x001d_ð¤_x000c_¯þ_x0014__x000d_¨þU_x0001_À_x0004_ _x0015__x000f__x0001__x0001_ 7" xfId="18867" xr:uid="{00000000-0005-0000-0000-0000EB600000}"/>
    <cellStyle name="þ_x001d_ð¤_x000c_¯þ_x0014__x000d_¨þU_x0001_À_x0004_ _x0015__x000f__x0001__x0001__TOM TAT" xfId="13713" xr:uid="{00000000-0005-0000-0000-0000EC600000}"/>
    <cellStyle name="þ_x001d_ð·_x000c_æþ'_x000d_ßþU_x0001_Ø_x0005_ü_x0014__x0007__x0001__x0001_" xfId="19022" xr:uid="{00000000-0005-0000-0000-0000ED600000}"/>
    <cellStyle name="þ_x001d_ð²_x000c_3ý&quot;_x000a_,ýU_x0001_·1î2_x0007__x0001__x0001_" xfId="1748" xr:uid="{00000000-0005-0000-0000-0000EE600000}"/>
    <cellStyle name="þ_x001d_ð²_x000c_3ý&quot;_x000a_,ýU_x0001_·1î2_x0007__x0001__x0001_ 2" xfId="4774" xr:uid="{00000000-0005-0000-0000-0000EF600000}"/>
    <cellStyle name="þ_x001d_ð²_x000c_3ý&quot;_x000a_,ýU_x0001_·1î2_x0007__x0001__x0001_ 2 2" xfId="13714" xr:uid="{00000000-0005-0000-0000-0000F0600000}"/>
    <cellStyle name="þ_x001d_ð²_x000c_3ý&quot;_x000a_,ýU_x0001_·1î2_x0007__x0001__x0001_ 2_TOM TAT" xfId="13715" xr:uid="{00000000-0005-0000-0000-0000F1600000}"/>
    <cellStyle name="þ_x001d_ð²_x000c_3ý&quot;_x000a_,ýU_x0001_·1î2_x0007__x0001__x0001_ 3" xfId="13716" xr:uid="{00000000-0005-0000-0000-0000F2600000}"/>
    <cellStyle name="þ_x001d_ð²_x000c_3ý&quot;_x000a_,ýU_x0001_·1î2_x0007__x0001__x0001__TOM TAT" xfId="13717" xr:uid="{00000000-0005-0000-0000-0000F3600000}"/>
    <cellStyle name="þ_x001d_ð²_x000c_3ý&quot;_x000d_,ýU_x0001_·1î2_x0007__x0001__x0001_" xfId="1749" xr:uid="{00000000-0005-0000-0000-0000F4600000}"/>
    <cellStyle name="þ_x001d_ð²_x000c_3ý&quot;_x000d_,ýU_x0001_·1î2_x0007__x0001__x0001_ 2" xfId="4775" xr:uid="{00000000-0005-0000-0000-0000F5600000}"/>
    <cellStyle name="þ_x001d_ð²_x000c_3ý&quot;_x000d_,ýU_x0001_·1î2_x0007__x0001__x0001_ 2 2" xfId="13718" xr:uid="{00000000-0005-0000-0000-0000F6600000}"/>
    <cellStyle name="þ_x001d_ð²_x000c_3ý&quot;_x000d_,ýU_x0001_·1î2_x0007__x0001__x0001_ 2_TOM TAT" xfId="13719" xr:uid="{00000000-0005-0000-0000-0000F7600000}"/>
    <cellStyle name="þ_x001d_ð²_x000c_3ý&quot;_x000d_,ýU_x0001_·1î2_x0007__x0001__x0001_ 3" xfId="13720" xr:uid="{00000000-0005-0000-0000-0000F8600000}"/>
    <cellStyle name="þ_x001d_ð²_x000c_3ý&quot;_x000d_,ýU_x0001_·1î2_x0007__x0001__x0001_ 4" xfId="13721" xr:uid="{00000000-0005-0000-0000-0000F9600000}"/>
    <cellStyle name="þ_x001d_ð²_x000c_3ý&quot;_x000d_,ýU_x0001_·1î2_x0007__x0001__x0001_ 5" xfId="13722" xr:uid="{00000000-0005-0000-0000-0000FA600000}"/>
    <cellStyle name="þ_x001d_ð²_x000c_3ý&quot;_x000d_,ýU_x0001_·1î2_x0007__x0001__x0001_ 6" xfId="18529" xr:uid="{00000000-0005-0000-0000-0000FB600000}"/>
    <cellStyle name="þ_x001d_ð²_x000c_3ý&quot;_x000d_,ýU_x0001_·1î2_x0007__x0001__x0001_ 7" xfId="18868" xr:uid="{00000000-0005-0000-0000-0000FC600000}"/>
    <cellStyle name="þ_x001d_ð²_x000c_3ý&quot;_x000d_,ýU_x0001_·1î2_x0007__x0001__x0001__TOM TAT" xfId="13723" xr:uid="{00000000-0005-0000-0000-0000FD600000}"/>
    <cellStyle name="þ_x001d_ðÇ%Uý—&amp;Hý9_x0008_Ÿ_x0009_s_x000a__x0007__x0001__x0001_" xfId="19023" xr:uid="{00000000-0005-0000-0000-0000FE600000}"/>
    <cellStyle name="þ_x001d_ðK_x000c_Fý_x001b__x000a_9ýU_x0001_Ð_x0008_¦)_x0007__x0001__x0001_" xfId="1750" xr:uid="{00000000-0005-0000-0000-0000FF600000}"/>
    <cellStyle name="þ_x001d_ðK_x000c_Fý_x001b__x000a_9ýU_x0001_Ð_x0008_¦)_x0007__x0001__x0001_ 2" xfId="4776" xr:uid="{00000000-0005-0000-0000-000000610000}"/>
    <cellStyle name="þ_x001d_ðK_x000c_Fý_x001b__x000a_9ýU_x0001_Ð_x0008_¦)_x0007__x0001__x0001_ 2 2" xfId="13724" xr:uid="{00000000-0005-0000-0000-000001610000}"/>
    <cellStyle name="þ_x001d_ðK_x000c_Fý_x001b__x000a_9ýU_x0001_Ð_x0008_¦)_x0007__x0001__x0001_ 2_TOM TAT" xfId="13725" xr:uid="{00000000-0005-0000-0000-000002610000}"/>
    <cellStyle name="þ_x001d_ðK_x000c_Fý_x001b__x000a_9ýU_x0001_Ð_x0008_¦)_x0007__x0001__x0001_ 3" xfId="13726" xr:uid="{00000000-0005-0000-0000-000003610000}"/>
    <cellStyle name="þ_x001d_ðK_x000c_Fý_x001b__x000a_9ýU_x0001_Ð_x0008_¦)_x0007__x0001__x0001__TOM TAT" xfId="13727" xr:uid="{00000000-0005-0000-0000-000004610000}"/>
    <cellStyle name="þ_x001d_ðK_x000c_Fý_x001b__x000d_9ýU_x0001_Ð_x0008_¦)_x0007__x0001__x0001_" xfId="1751" xr:uid="{00000000-0005-0000-0000-000005610000}"/>
    <cellStyle name="þ_x001d_ðK_x000c_Fý_x001b__x000d_9ýU_x0001_Ð_x0008_¦)_x0007__x0001__x0001_ 2" xfId="4777" xr:uid="{00000000-0005-0000-0000-000006610000}"/>
    <cellStyle name="þ_x001d_ðK_x000c_Fý_x001b__x000d_9ýU_x0001_Ð_x0008_¦)_x0007__x0001__x0001_ 2 2" xfId="13728" xr:uid="{00000000-0005-0000-0000-000007610000}"/>
    <cellStyle name="þ_x001d_ðK_x000c_Fý_x001b__x000d_9ýU_x0001_Ð_x0008_¦)_x0007__x0001__x0001_ 2_TOM TAT" xfId="13729" xr:uid="{00000000-0005-0000-0000-000008610000}"/>
    <cellStyle name="þ_x001d_ðK_x000c_Fý_x001b__x000d_9ýU_x0001_Ð_x0008_¦)_x0007__x0001__x0001_ 3" xfId="13730" xr:uid="{00000000-0005-0000-0000-000009610000}"/>
    <cellStyle name="þ_x001d_ðK_x000c_Fý_x001b__x000d_9ýU_x0001_Ð_x0008_¦)_x0007__x0001__x0001_ 4" xfId="13731" xr:uid="{00000000-0005-0000-0000-00000A610000}"/>
    <cellStyle name="þ_x001d_ðK_x000c_Fý_x001b__x000d_9ýU_x0001_Ð_x0008_¦)_x0007__x0001__x0001_ 5" xfId="13732" xr:uid="{00000000-0005-0000-0000-00000B610000}"/>
    <cellStyle name="þ_x001d_ðK_x000c_Fý_x001b__x000d_9ýU_x0001_Ð_x0008_¦)_x0007__x0001__x0001_ 6" xfId="18530" xr:uid="{00000000-0005-0000-0000-00000C610000}"/>
    <cellStyle name="þ_x001d_ðK_x000c_Fý_x001b__x000d_9ýU_x0001_Ð_x0008_¦)_x0007__x0001__x0001_ 7" xfId="18869" xr:uid="{00000000-0005-0000-0000-00000D610000}"/>
    <cellStyle name="þ_x001d_ðK_x000c_Fý_x001b__x000d_9ýU_x0001_Ð_x0008_¦)_x0007__x0001__x0001__TOM TAT" xfId="13733" xr:uid="{00000000-0005-0000-0000-00000E610000}"/>
    <cellStyle name="þ_x001d_ðÕ Xÿ_x0005__x000a_%ÿU_x0001_m)¾*_x0007__x0001__x0001_" xfId="1752" xr:uid="{00000000-0005-0000-0000-00000F610000}"/>
    <cellStyle name="þ_x001d_ðÕ Xÿ_x0005__x000a_%ÿU_x0001_m)¾*_x0007__x0001__x0001_ 2" xfId="4778" xr:uid="{00000000-0005-0000-0000-000010610000}"/>
    <cellStyle name="þ_x001d_ðÕ Xÿ_x0005__x000a_%ÿU_x0001_m)¾*_x0007__x0001__x0001_ 2 2" xfId="13734" xr:uid="{00000000-0005-0000-0000-000011610000}"/>
    <cellStyle name="þ_x001d_ðÕ Xÿ_x0005__x000a_%ÿU_x0001_m)¾*_x0007__x0001__x0001_ 2_TOM TAT" xfId="13735" xr:uid="{00000000-0005-0000-0000-000012610000}"/>
    <cellStyle name="þ_x001d_ðÕ Xÿ_x0005__x000a_%ÿU_x0001_m)¾*_x0007__x0001__x0001_ 3" xfId="13736" xr:uid="{00000000-0005-0000-0000-000013610000}"/>
    <cellStyle name="þ_x001d_ðÕ Xÿ_x0005__x000a_%ÿU_x0001_m)¾*_x0007__x0001__x0001__TOM TAT" xfId="13737" xr:uid="{00000000-0005-0000-0000-000014610000}"/>
    <cellStyle name="þ_x001d_ðÕ Xÿ_x0005__x000d_%ÿU_x0001_m)¾*_x0007__x0001__x0001_" xfId="1753" xr:uid="{00000000-0005-0000-0000-000015610000}"/>
    <cellStyle name="þ_x001d_ðÕ Xÿ_x0005__x000d_%ÿU_x0001_m)¾*_x0007__x0001__x0001_ 2" xfId="4779" xr:uid="{00000000-0005-0000-0000-000016610000}"/>
    <cellStyle name="þ_x001d_ðÕ Xÿ_x0005__x000d_%ÿU_x0001_m)¾*_x0007__x0001__x0001_ 2 2" xfId="13738" xr:uid="{00000000-0005-0000-0000-000017610000}"/>
    <cellStyle name="þ_x001d_ðÕ Xÿ_x0005__x000d_%ÿU_x0001_m)¾*_x0007__x0001__x0001_ 2_TOM TAT" xfId="13739" xr:uid="{00000000-0005-0000-0000-000018610000}"/>
    <cellStyle name="þ_x001d_ðÕ Xÿ_x0005__x000d_%ÿU_x0001_m)¾*_x0007__x0001__x0001_ 3" xfId="13740" xr:uid="{00000000-0005-0000-0000-000019610000}"/>
    <cellStyle name="þ_x001d_ðÕ Xÿ_x0005__x000d_%ÿU_x0001_m)¾*_x0007__x0001__x0001_ 4" xfId="13741" xr:uid="{00000000-0005-0000-0000-00001A610000}"/>
    <cellStyle name="þ_x001d_ðÕ Xÿ_x0005__x000d_%ÿU_x0001_m)¾*_x0007__x0001__x0001_ 5" xfId="13742" xr:uid="{00000000-0005-0000-0000-00001B610000}"/>
    <cellStyle name="þ_x001d_ðÕ Xÿ_x0005__x000d_%ÿU_x0001_m)¾*_x0007__x0001__x0001_ 6" xfId="18531" xr:uid="{00000000-0005-0000-0000-00001C610000}"/>
    <cellStyle name="þ_x001d_ðÕ Xÿ_x0005__x000d_%ÿU_x0001_m)¾*_x0007__x0001__x0001_ 7" xfId="18870" xr:uid="{00000000-0005-0000-0000-00001D610000}"/>
    <cellStyle name="þ_x001d_ðÕ Xÿ_x0005__x000d_%ÿU_x0001_m)¾*_x0007__x0001__x0001__TOM TAT" xfId="13743" xr:uid="{00000000-0005-0000-0000-00001E610000}"/>
    <cellStyle name="Times New Roman" xfId="1754" xr:uid="{00000000-0005-0000-0000-00001F610000}"/>
    <cellStyle name="Times New Roman 2" xfId="4780" xr:uid="{00000000-0005-0000-0000-000020610000}"/>
    <cellStyle name="Times New Roman 2 2" xfId="13744" xr:uid="{00000000-0005-0000-0000-000021610000}"/>
    <cellStyle name="Times New Roman 2_TOM TAT" xfId="13745" xr:uid="{00000000-0005-0000-0000-000022610000}"/>
    <cellStyle name="Times New Roman 3" xfId="18532" xr:uid="{00000000-0005-0000-0000-000023610000}"/>
    <cellStyle name="Times New Roman 4" xfId="18871" xr:uid="{00000000-0005-0000-0000-000024610000}"/>
    <cellStyle name="Times New Roman_TOM TAT" xfId="13746" xr:uid="{00000000-0005-0000-0000-000025610000}"/>
    <cellStyle name="Title" xfId="1755" builtinId="15" customBuiltin="1"/>
    <cellStyle name="Title  - Style1" xfId="1756" xr:uid="{00000000-0005-0000-0000-000027610000}"/>
    <cellStyle name="Title  - Style1 2" xfId="4782" xr:uid="{00000000-0005-0000-0000-000028610000}"/>
    <cellStyle name="Title  - Style1 2 2" xfId="13747" xr:uid="{00000000-0005-0000-0000-000029610000}"/>
    <cellStyle name="Title  - Style1 2_TOM TAT" xfId="13748" xr:uid="{00000000-0005-0000-0000-00002A610000}"/>
    <cellStyle name="Title  - Style1 3" xfId="13749" xr:uid="{00000000-0005-0000-0000-00002B610000}"/>
    <cellStyle name="Title  - Style1 4" xfId="13750" xr:uid="{00000000-0005-0000-0000-00002C610000}"/>
    <cellStyle name="Title  - Style1 5" xfId="13751" xr:uid="{00000000-0005-0000-0000-00002D610000}"/>
    <cellStyle name="Title  - Style1 6" xfId="18533" xr:uid="{00000000-0005-0000-0000-00002E610000}"/>
    <cellStyle name="Title  - Style1 7" xfId="18872" xr:uid="{00000000-0005-0000-0000-00002F610000}"/>
    <cellStyle name="Title  - Style1_TOM TAT" xfId="13752" xr:uid="{00000000-0005-0000-0000-000030610000}"/>
    <cellStyle name="Title  - Style6" xfId="1757" xr:uid="{00000000-0005-0000-0000-000031610000}"/>
    <cellStyle name="Title  - Style6 2" xfId="4783" xr:uid="{00000000-0005-0000-0000-000032610000}"/>
    <cellStyle name="Title  - Style6 2 2" xfId="13753" xr:uid="{00000000-0005-0000-0000-000033610000}"/>
    <cellStyle name="Title  - Style6 2_TOM TAT" xfId="13754" xr:uid="{00000000-0005-0000-0000-000034610000}"/>
    <cellStyle name="Title  - Style6 3" xfId="13755" xr:uid="{00000000-0005-0000-0000-000035610000}"/>
    <cellStyle name="Title  - Style6 4" xfId="13756" xr:uid="{00000000-0005-0000-0000-000036610000}"/>
    <cellStyle name="Title  - Style6 5" xfId="13757" xr:uid="{00000000-0005-0000-0000-000037610000}"/>
    <cellStyle name="Title  - Style6 6" xfId="18534" xr:uid="{00000000-0005-0000-0000-000038610000}"/>
    <cellStyle name="Title  - Style6 7" xfId="18873" xr:uid="{00000000-0005-0000-0000-000039610000}"/>
    <cellStyle name="Title  - Style6_TOM TAT" xfId="13758" xr:uid="{00000000-0005-0000-0000-00003A610000}"/>
    <cellStyle name="Title 10" xfId="19284" xr:uid="{00000000-0005-0000-0000-00003B610000}"/>
    <cellStyle name="Title 10 2" xfId="19285" xr:uid="{00000000-0005-0000-0000-00003C610000}"/>
    <cellStyle name="Title 10 3" xfId="19286" xr:uid="{00000000-0005-0000-0000-00003D610000}"/>
    <cellStyle name="Title 10 4" xfId="19287" xr:uid="{00000000-0005-0000-0000-00003E610000}"/>
    <cellStyle name="Title 10 5" xfId="19288" xr:uid="{00000000-0005-0000-0000-00003F610000}"/>
    <cellStyle name="Title 10_TOM TAT" xfId="24392" xr:uid="{00000000-0005-0000-0000-000040610000}"/>
    <cellStyle name="Title 11" xfId="19289" xr:uid="{00000000-0005-0000-0000-000041610000}"/>
    <cellStyle name="Title 11 2" xfId="19290" xr:uid="{00000000-0005-0000-0000-000042610000}"/>
    <cellStyle name="Title 11 3" xfId="19291" xr:uid="{00000000-0005-0000-0000-000043610000}"/>
    <cellStyle name="Title 11 4" xfId="19292" xr:uid="{00000000-0005-0000-0000-000044610000}"/>
    <cellStyle name="Title 11 5" xfId="19293" xr:uid="{00000000-0005-0000-0000-000045610000}"/>
    <cellStyle name="Title 11_TOM TAT" xfId="24393" xr:uid="{00000000-0005-0000-0000-000046610000}"/>
    <cellStyle name="Title 12" xfId="19294" xr:uid="{00000000-0005-0000-0000-000047610000}"/>
    <cellStyle name="Title 12 2" xfId="19295" xr:uid="{00000000-0005-0000-0000-000048610000}"/>
    <cellStyle name="Title 12 3" xfId="19296" xr:uid="{00000000-0005-0000-0000-000049610000}"/>
    <cellStyle name="Title 12 4" xfId="19297" xr:uid="{00000000-0005-0000-0000-00004A610000}"/>
    <cellStyle name="Title 12 5" xfId="19298" xr:uid="{00000000-0005-0000-0000-00004B610000}"/>
    <cellStyle name="Title 12_TOM TAT" xfId="24394" xr:uid="{00000000-0005-0000-0000-00004C610000}"/>
    <cellStyle name="Title 13" xfId="19299" xr:uid="{00000000-0005-0000-0000-00004D610000}"/>
    <cellStyle name="Title 13 2" xfId="19300" xr:uid="{00000000-0005-0000-0000-00004E610000}"/>
    <cellStyle name="Title 13 3" xfId="19301" xr:uid="{00000000-0005-0000-0000-00004F610000}"/>
    <cellStyle name="Title 13 4" xfId="19302" xr:uid="{00000000-0005-0000-0000-000050610000}"/>
    <cellStyle name="Title 13 5" xfId="19303" xr:uid="{00000000-0005-0000-0000-000051610000}"/>
    <cellStyle name="Title 13_TOM TAT" xfId="24395" xr:uid="{00000000-0005-0000-0000-000052610000}"/>
    <cellStyle name="Title 14" xfId="19304" xr:uid="{00000000-0005-0000-0000-000053610000}"/>
    <cellStyle name="Title 14 2" xfId="19305" xr:uid="{00000000-0005-0000-0000-000054610000}"/>
    <cellStyle name="Title 14 3" xfId="19306" xr:uid="{00000000-0005-0000-0000-000055610000}"/>
    <cellStyle name="Title 14 4" xfId="19307" xr:uid="{00000000-0005-0000-0000-000056610000}"/>
    <cellStyle name="Title 14 5" xfId="19308" xr:uid="{00000000-0005-0000-0000-000057610000}"/>
    <cellStyle name="Title 14_TOM TAT" xfId="24396" xr:uid="{00000000-0005-0000-0000-000058610000}"/>
    <cellStyle name="Title 15" xfId="19309" xr:uid="{00000000-0005-0000-0000-000059610000}"/>
    <cellStyle name="Title 15 2" xfId="19310" xr:uid="{00000000-0005-0000-0000-00005A610000}"/>
    <cellStyle name="Title 15 3" xfId="19311" xr:uid="{00000000-0005-0000-0000-00005B610000}"/>
    <cellStyle name="Title 15 4" xfId="19312" xr:uid="{00000000-0005-0000-0000-00005C610000}"/>
    <cellStyle name="Title 15 5" xfId="19313" xr:uid="{00000000-0005-0000-0000-00005D610000}"/>
    <cellStyle name="Title 15_TOM TAT" xfId="24397" xr:uid="{00000000-0005-0000-0000-00005E610000}"/>
    <cellStyle name="Title 16" xfId="19314" xr:uid="{00000000-0005-0000-0000-00005F610000}"/>
    <cellStyle name="Title 17" xfId="19315" xr:uid="{00000000-0005-0000-0000-000060610000}"/>
    <cellStyle name="Title 18" xfId="19316" xr:uid="{00000000-0005-0000-0000-000061610000}"/>
    <cellStyle name="Title 19" xfId="19317" xr:uid="{00000000-0005-0000-0000-000062610000}"/>
    <cellStyle name="Title 2" xfId="2350" xr:uid="{00000000-0005-0000-0000-000063610000}"/>
    <cellStyle name="Title 2 2" xfId="13759" xr:uid="{00000000-0005-0000-0000-000064610000}"/>
    <cellStyle name="Title 2 3" xfId="19318" xr:uid="{00000000-0005-0000-0000-000065610000}"/>
    <cellStyle name="Title 2 4" xfId="19319" xr:uid="{00000000-0005-0000-0000-000066610000}"/>
    <cellStyle name="Title 2 5" xfId="19320" xr:uid="{00000000-0005-0000-0000-000067610000}"/>
    <cellStyle name="Title 2 6" xfId="19321" xr:uid="{00000000-0005-0000-0000-000068610000}"/>
    <cellStyle name="Title 2 7" xfId="19322" xr:uid="{00000000-0005-0000-0000-000069610000}"/>
    <cellStyle name="Title 2_TOM TAT" xfId="13760" xr:uid="{00000000-0005-0000-0000-00006A610000}"/>
    <cellStyle name="Title 20" xfId="26998" xr:uid="{00000000-0005-0000-0000-00006B610000}"/>
    <cellStyle name="Title 21" xfId="32202" xr:uid="{00000000-0005-0000-0000-00006C610000}"/>
    <cellStyle name="Title 22" xfId="14637" xr:uid="{00000000-0005-0000-0000-00006D610000}"/>
    <cellStyle name="Title 3" xfId="2351" xr:uid="{00000000-0005-0000-0000-00006E610000}"/>
    <cellStyle name="Title 3 2" xfId="13761" xr:uid="{00000000-0005-0000-0000-00006F610000}"/>
    <cellStyle name="Title 3 3" xfId="19323" xr:uid="{00000000-0005-0000-0000-000070610000}"/>
    <cellStyle name="Title 3 4" xfId="19324" xr:uid="{00000000-0005-0000-0000-000071610000}"/>
    <cellStyle name="Title 3 5" xfId="19325" xr:uid="{00000000-0005-0000-0000-000072610000}"/>
    <cellStyle name="Title 3 6" xfId="19326" xr:uid="{00000000-0005-0000-0000-000073610000}"/>
    <cellStyle name="Title 3 7" xfId="19327" xr:uid="{00000000-0005-0000-0000-000074610000}"/>
    <cellStyle name="Title 3_TOM TAT" xfId="13762" xr:uid="{00000000-0005-0000-0000-000075610000}"/>
    <cellStyle name="Title 4" xfId="2352" xr:uid="{00000000-0005-0000-0000-000076610000}"/>
    <cellStyle name="Title 4 2" xfId="13763" xr:uid="{00000000-0005-0000-0000-000077610000}"/>
    <cellStyle name="Title 4 3" xfId="19328" xr:uid="{00000000-0005-0000-0000-000078610000}"/>
    <cellStyle name="Title 4 4" xfId="19329" xr:uid="{00000000-0005-0000-0000-000079610000}"/>
    <cellStyle name="Title 4 5" xfId="19330" xr:uid="{00000000-0005-0000-0000-00007A610000}"/>
    <cellStyle name="Title 4 6" xfId="19331" xr:uid="{00000000-0005-0000-0000-00007B610000}"/>
    <cellStyle name="Title 4 7" xfId="19332" xr:uid="{00000000-0005-0000-0000-00007C610000}"/>
    <cellStyle name="Title 4_TOM TAT" xfId="13764" xr:uid="{00000000-0005-0000-0000-00007D610000}"/>
    <cellStyle name="Title 5" xfId="4781" xr:uid="{00000000-0005-0000-0000-00007E610000}"/>
    <cellStyle name="Title 5 2" xfId="13765" xr:uid="{00000000-0005-0000-0000-00007F610000}"/>
    <cellStyle name="Title 5 3" xfId="19333" xr:uid="{00000000-0005-0000-0000-000080610000}"/>
    <cellStyle name="Title 5 4" xfId="19334" xr:uid="{00000000-0005-0000-0000-000081610000}"/>
    <cellStyle name="Title 5 5" xfId="19335" xr:uid="{00000000-0005-0000-0000-000082610000}"/>
    <cellStyle name="Title 5_TOM TAT" xfId="13766" xr:uid="{00000000-0005-0000-0000-000083610000}"/>
    <cellStyle name="Title 6" xfId="5705" xr:uid="{00000000-0005-0000-0000-000084610000}"/>
    <cellStyle name="Title 6 2" xfId="13767" xr:uid="{00000000-0005-0000-0000-000085610000}"/>
    <cellStyle name="Title 6 3" xfId="19336" xr:uid="{00000000-0005-0000-0000-000086610000}"/>
    <cellStyle name="Title 6 4" xfId="19337" xr:uid="{00000000-0005-0000-0000-000087610000}"/>
    <cellStyle name="Title 6 5" xfId="19338" xr:uid="{00000000-0005-0000-0000-000088610000}"/>
    <cellStyle name="Title 6_TOM TAT" xfId="13768" xr:uid="{00000000-0005-0000-0000-000089610000}"/>
    <cellStyle name="Title 7" xfId="13769" xr:uid="{00000000-0005-0000-0000-00008A610000}"/>
    <cellStyle name="Title 7 2" xfId="13770" xr:uid="{00000000-0005-0000-0000-00008B610000}"/>
    <cellStyle name="Title 7 3" xfId="19339" xr:uid="{00000000-0005-0000-0000-00008C610000}"/>
    <cellStyle name="Title 7 4" xfId="19340" xr:uid="{00000000-0005-0000-0000-00008D610000}"/>
    <cellStyle name="Title 7 5" xfId="19341" xr:uid="{00000000-0005-0000-0000-00008E610000}"/>
    <cellStyle name="Title 7_TOM TAT" xfId="13771" xr:uid="{00000000-0005-0000-0000-00008F610000}"/>
    <cellStyle name="Title 8" xfId="19342" xr:uid="{00000000-0005-0000-0000-000090610000}"/>
    <cellStyle name="Title 8 2" xfId="19343" xr:uid="{00000000-0005-0000-0000-000091610000}"/>
    <cellStyle name="Title 8 3" xfId="19344" xr:uid="{00000000-0005-0000-0000-000092610000}"/>
    <cellStyle name="Title 8 4" xfId="19345" xr:uid="{00000000-0005-0000-0000-000093610000}"/>
    <cellStyle name="Title 8 5" xfId="19346" xr:uid="{00000000-0005-0000-0000-000094610000}"/>
    <cellStyle name="Title 8_TOM TAT" xfId="24398" xr:uid="{00000000-0005-0000-0000-000095610000}"/>
    <cellStyle name="Title 9" xfId="19347" xr:uid="{00000000-0005-0000-0000-000096610000}"/>
    <cellStyle name="Title 9 2" xfId="19348" xr:uid="{00000000-0005-0000-0000-000097610000}"/>
    <cellStyle name="Title 9 3" xfId="19349" xr:uid="{00000000-0005-0000-0000-000098610000}"/>
    <cellStyle name="Title 9 4" xfId="19350" xr:uid="{00000000-0005-0000-0000-000099610000}"/>
    <cellStyle name="Title 9 5" xfId="19351" xr:uid="{00000000-0005-0000-0000-00009A610000}"/>
    <cellStyle name="Title 9_TOM TAT" xfId="24399" xr:uid="{00000000-0005-0000-0000-00009B610000}"/>
    <cellStyle name="Title-Background" xfId="1758" xr:uid="{00000000-0005-0000-0000-00009C610000}"/>
    <cellStyle name="Title-Background 10" xfId="14638" xr:uid="{00000000-0005-0000-0000-00009D610000}"/>
    <cellStyle name="Title-Background 2" xfId="2353" xr:uid="{00000000-0005-0000-0000-00009E610000}"/>
    <cellStyle name="Title-Background 2 2" xfId="13772" xr:uid="{00000000-0005-0000-0000-00009F610000}"/>
    <cellStyle name="Title-Background 2_TOM TAT" xfId="13773" xr:uid="{00000000-0005-0000-0000-0000A0610000}"/>
    <cellStyle name="Title-Background 3" xfId="4784" xr:uid="{00000000-0005-0000-0000-0000A1610000}"/>
    <cellStyle name="Title-Background 3 2" xfId="13774" xr:uid="{00000000-0005-0000-0000-0000A2610000}"/>
    <cellStyle name="Title-Background 3_TOM TAT" xfId="13775" xr:uid="{00000000-0005-0000-0000-0000A3610000}"/>
    <cellStyle name="Title-Background 4" xfId="13776" xr:uid="{00000000-0005-0000-0000-0000A4610000}"/>
    <cellStyle name="Title-Background 5" xfId="13777" xr:uid="{00000000-0005-0000-0000-0000A5610000}"/>
    <cellStyle name="Title-Background 6" xfId="13778" xr:uid="{00000000-0005-0000-0000-0000A6610000}"/>
    <cellStyle name="Title-Background 7" xfId="18535" xr:uid="{00000000-0005-0000-0000-0000A7610000}"/>
    <cellStyle name="Title-Background 8" xfId="18874" xr:uid="{00000000-0005-0000-0000-0000A8610000}"/>
    <cellStyle name="Title-Background 9" xfId="26999" xr:uid="{00000000-0005-0000-0000-0000A9610000}"/>
    <cellStyle name="Title-Background_TOM TAT" xfId="13779" xr:uid="{00000000-0005-0000-0000-0000AA610000}"/>
    <cellStyle name="tms rmn" xfId="1759" xr:uid="{00000000-0005-0000-0000-0000AB610000}"/>
    <cellStyle name="tms rmn 2" xfId="4785" xr:uid="{00000000-0005-0000-0000-0000AC610000}"/>
    <cellStyle name="tms rmn 2 2" xfId="13780" xr:uid="{00000000-0005-0000-0000-0000AD610000}"/>
    <cellStyle name="tms rmn 2_TOM TAT" xfId="13781" xr:uid="{00000000-0005-0000-0000-0000AE610000}"/>
    <cellStyle name="tms rmn 3" xfId="18536" xr:uid="{00000000-0005-0000-0000-0000AF610000}"/>
    <cellStyle name="tms rmn 4" xfId="18875" xr:uid="{00000000-0005-0000-0000-0000B0610000}"/>
    <cellStyle name="tms rmn_TOM TAT" xfId="13782" xr:uid="{00000000-0005-0000-0000-0000B1610000}"/>
    <cellStyle name="tnr" xfId="1760" xr:uid="{00000000-0005-0000-0000-0000B2610000}"/>
    <cellStyle name="tnr 2" xfId="4786" xr:uid="{00000000-0005-0000-0000-0000B3610000}"/>
    <cellStyle name="tnr 2 2" xfId="13783" xr:uid="{00000000-0005-0000-0000-0000B4610000}"/>
    <cellStyle name="tnr 2 3" xfId="18649" xr:uid="{00000000-0005-0000-0000-0000B5610000}"/>
    <cellStyle name="tnr 2_TOM TAT" xfId="13784" xr:uid="{00000000-0005-0000-0000-0000B6610000}"/>
    <cellStyle name="tnr 3" xfId="5706" xr:uid="{00000000-0005-0000-0000-0000B7610000}"/>
    <cellStyle name="tnr 3 2" xfId="13785" xr:uid="{00000000-0005-0000-0000-0000B8610000}"/>
    <cellStyle name="tnr 3_TOM TAT" xfId="13786" xr:uid="{00000000-0005-0000-0000-0000B9610000}"/>
    <cellStyle name="tnr 4" xfId="13787" xr:uid="{00000000-0005-0000-0000-0000BA610000}"/>
    <cellStyle name="tnr 5" xfId="13788" xr:uid="{00000000-0005-0000-0000-0000BB610000}"/>
    <cellStyle name="tnr 6" xfId="13789" xr:uid="{00000000-0005-0000-0000-0000BC610000}"/>
    <cellStyle name="tnr 7" xfId="18537" xr:uid="{00000000-0005-0000-0000-0000BD610000}"/>
    <cellStyle name="tnr_TOM TAT" xfId="13790" xr:uid="{00000000-0005-0000-0000-0000BE610000}"/>
    <cellStyle name="Total" xfId="1761" builtinId="25" customBuiltin="1"/>
    <cellStyle name="Total 2" xfId="2354" xr:uid="{00000000-0005-0000-0000-0000C0610000}"/>
    <cellStyle name="Total 2 2" xfId="2355" xr:uid="{00000000-0005-0000-0000-0000C1610000}"/>
    <cellStyle name="Total 2 2 2" xfId="2356" xr:uid="{00000000-0005-0000-0000-0000C2610000}"/>
    <cellStyle name="Total 2 2 2 2" xfId="5707" xr:uid="{00000000-0005-0000-0000-0000C3610000}"/>
    <cellStyle name="Total 2 2 2 2 2" xfId="28309" xr:uid="{00000000-0005-0000-0000-0000C4610000}"/>
    <cellStyle name="Total 2 2 2 2_TOM TAT" xfId="24400" xr:uid="{00000000-0005-0000-0000-0000C5610000}"/>
    <cellStyle name="Total 2 2 2 3" xfId="27155" xr:uid="{00000000-0005-0000-0000-0000C6610000}"/>
    <cellStyle name="Total 2 2 2_TOM TAT" xfId="13791" xr:uid="{00000000-0005-0000-0000-0000C7610000}"/>
    <cellStyle name="Total 2 2 3" xfId="5708" xr:uid="{00000000-0005-0000-0000-0000C8610000}"/>
    <cellStyle name="Total 2 2 3 2" xfId="28310" xr:uid="{00000000-0005-0000-0000-0000C9610000}"/>
    <cellStyle name="Total 2 2 3_TOM TAT" xfId="24401" xr:uid="{00000000-0005-0000-0000-0000CA610000}"/>
    <cellStyle name="Total 2 2 4" xfId="27154" xr:uid="{00000000-0005-0000-0000-0000CB610000}"/>
    <cellStyle name="Total 2 2_TOM TAT" xfId="13792" xr:uid="{00000000-0005-0000-0000-0000CC610000}"/>
    <cellStyle name="Total 2 3" xfId="2357" xr:uid="{00000000-0005-0000-0000-0000CD610000}"/>
    <cellStyle name="Total 2 3 2" xfId="5709" xr:uid="{00000000-0005-0000-0000-0000CE610000}"/>
    <cellStyle name="Total 2 3 2 2" xfId="28311" xr:uid="{00000000-0005-0000-0000-0000CF610000}"/>
    <cellStyle name="Total 2 3 2_TOM TAT" xfId="24402" xr:uid="{00000000-0005-0000-0000-0000D0610000}"/>
    <cellStyle name="Total 2 3 3" xfId="27156" xr:uid="{00000000-0005-0000-0000-0000D1610000}"/>
    <cellStyle name="Total 2 3_TOM TAT" xfId="13793" xr:uid="{00000000-0005-0000-0000-0000D2610000}"/>
    <cellStyle name="Total 2 4" xfId="2358" xr:uid="{00000000-0005-0000-0000-0000D3610000}"/>
    <cellStyle name="Total 2 4 2" xfId="5710" xr:uid="{00000000-0005-0000-0000-0000D4610000}"/>
    <cellStyle name="Total 2 4 2 2" xfId="28312" xr:uid="{00000000-0005-0000-0000-0000D5610000}"/>
    <cellStyle name="Total 2 4 2_TOM TAT" xfId="24403" xr:uid="{00000000-0005-0000-0000-0000D6610000}"/>
    <cellStyle name="Total 2 4 3" xfId="27157" xr:uid="{00000000-0005-0000-0000-0000D7610000}"/>
    <cellStyle name="Total 2 4_TOM TAT" xfId="13794" xr:uid="{00000000-0005-0000-0000-0000D8610000}"/>
    <cellStyle name="Total 2 5" xfId="5711" xr:uid="{00000000-0005-0000-0000-0000D9610000}"/>
    <cellStyle name="Total 2 5 2" xfId="28313" xr:uid="{00000000-0005-0000-0000-0000DA610000}"/>
    <cellStyle name="Total 2 5_TOM TAT" xfId="24404" xr:uid="{00000000-0005-0000-0000-0000DB610000}"/>
    <cellStyle name="Total 2 6" xfId="27153" xr:uid="{00000000-0005-0000-0000-0000DC610000}"/>
    <cellStyle name="Total 2_TOM TAT" xfId="13795" xr:uid="{00000000-0005-0000-0000-0000DD610000}"/>
    <cellStyle name="Total 3" xfId="2359" xr:uid="{00000000-0005-0000-0000-0000DE610000}"/>
    <cellStyle name="Total 3 2" xfId="2360" xr:uid="{00000000-0005-0000-0000-0000DF610000}"/>
    <cellStyle name="Total 3 2 2" xfId="5712" xr:uid="{00000000-0005-0000-0000-0000E0610000}"/>
    <cellStyle name="Total 3 2 2 2" xfId="28314" xr:uid="{00000000-0005-0000-0000-0000E1610000}"/>
    <cellStyle name="Total 3 2 2_TOM TAT" xfId="24405" xr:uid="{00000000-0005-0000-0000-0000E2610000}"/>
    <cellStyle name="Total 3 2 3" xfId="27159" xr:uid="{00000000-0005-0000-0000-0000E3610000}"/>
    <cellStyle name="Total 3 2_TOM TAT" xfId="13796" xr:uid="{00000000-0005-0000-0000-0000E4610000}"/>
    <cellStyle name="Total 3 3" xfId="5713" xr:uid="{00000000-0005-0000-0000-0000E5610000}"/>
    <cellStyle name="Total 3 3 2" xfId="28315" xr:uid="{00000000-0005-0000-0000-0000E6610000}"/>
    <cellStyle name="Total 3 3_TOM TAT" xfId="24406" xr:uid="{00000000-0005-0000-0000-0000E7610000}"/>
    <cellStyle name="Total 3 4" xfId="27158" xr:uid="{00000000-0005-0000-0000-0000E8610000}"/>
    <cellStyle name="Total 3_TOM TAT" xfId="13797" xr:uid="{00000000-0005-0000-0000-0000E9610000}"/>
    <cellStyle name="Total 4" xfId="2361" xr:uid="{00000000-0005-0000-0000-0000EA610000}"/>
    <cellStyle name="Total 4 2" xfId="5714" xr:uid="{00000000-0005-0000-0000-0000EB610000}"/>
    <cellStyle name="Total 4 2 2" xfId="28316" xr:uid="{00000000-0005-0000-0000-0000EC610000}"/>
    <cellStyle name="Total 4 2_TOM TAT" xfId="24407" xr:uid="{00000000-0005-0000-0000-0000ED610000}"/>
    <cellStyle name="Total 4 3" xfId="27160" xr:uid="{00000000-0005-0000-0000-0000EE610000}"/>
    <cellStyle name="Total 4_TOM TAT" xfId="13798" xr:uid="{00000000-0005-0000-0000-0000EF610000}"/>
    <cellStyle name="Total 5" xfId="4787" xr:uid="{00000000-0005-0000-0000-0000F0610000}"/>
    <cellStyle name="Total 5 2" xfId="13799" xr:uid="{00000000-0005-0000-0000-0000F1610000}"/>
    <cellStyle name="Total 5_TOM TAT" xfId="13800" xr:uid="{00000000-0005-0000-0000-0000F2610000}"/>
    <cellStyle name="Total 6" xfId="27000" xr:uid="{00000000-0005-0000-0000-0000F3610000}"/>
    <cellStyle name="Total 7" xfId="32203" xr:uid="{00000000-0005-0000-0000-0000F4610000}"/>
    <cellStyle name="Total 8" xfId="14639" xr:uid="{00000000-0005-0000-0000-0000F5610000}"/>
    <cellStyle name="TotCol - Style5" xfId="1762" xr:uid="{00000000-0005-0000-0000-0000F6610000}"/>
    <cellStyle name="TotCol - Style5 2" xfId="4788" xr:uid="{00000000-0005-0000-0000-0000F7610000}"/>
    <cellStyle name="TotCol - Style5 2 2" xfId="13801" xr:uid="{00000000-0005-0000-0000-0000F8610000}"/>
    <cellStyle name="TotCol - Style5 2_TOM TAT" xfId="13802" xr:uid="{00000000-0005-0000-0000-0000F9610000}"/>
    <cellStyle name="TotCol - Style5 3" xfId="13803" xr:uid="{00000000-0005-0000-0000-0000FA610000}"/>
    <cellStyle name="TotCol - Style5 4" xfId="13804" xr:uid="{00000000-0005-0000-0000-0000FB610000}"/>
    <cellStyle name="TotCol - Style5 5" xfId="13805" xr:uid="{00000000-0005-0000-0000-0000FC610000}"/>
    <cellStyle name="TotCol - Style5 6" xfId="18538" xr:uid="{00000000-0005-0000-0000-0000FD610000}"/>
    <cellStyle name="TotCol - Style5 7" xfId="18876" xr:uid="{00000000-0005-0000-0000-0000FE610000}"/>
    <cellStyle name="TotCol - Style5_TOM TAT" xfId="13806" xr:uid="{00000000-0005-0000-0000-0000FF610000}"/>
    <cellStyle name="TotCol - Style7" xfId="1763" xr:uid="{00000000-0005-0000-0000-000000620000}"/>
    <cellStyle name="TotCol - Style7 2" xfId="4789" xr:uid="{00000000-0005-0000-0000-000001620000}"/>
    <cellStyle name="TotCol - Style7 2 2" xfId="13807" xr:uid="{00000000-0005-0000-0000-000002620000}"/>
    <cellStyle name="TotCol - Style7 2_TOM TAT" xfId="13808" xr:uid="{00000000-0005-0000-0000-000003620000}"/>
    <cellStyle name="TotCol - Style7 3" xfId="13809" xr:uid="{00000000-0005-0000-0000-000004620000}"/>
    <cellStyle name="TotCol - Style7 4" xfId="13810" xr:uid="{00000000-0005-0000-0000-000005620000}"/>
    <cellStyle name="TotCol - Style7 5" xfId="13811" xr:uid="{00000000-0005-0000-0000-000006620000}"/>
    <cellStyle name="TotCol - Style7 6" xfId="18539" xr:uid="{00000000-0005-0000-0000-000007620000}"/>
    <cellStyle name="TotCol - Style7 7" xfId="18877" xr:uid="{00000000-0005-0000-0000-000008620000}"/>
    <cellStyle name="TotCol - Style7_TOM TAT" xfId="13812" xr:uid="{00000000-0005-0000-0000-000009620000}"/>
    <cellStyle name="TotRow - Style4" xfId="1764" xr:uid="{00000000-0005-0000-0000-00000A620000}"/>
    <cellStyle name="TotRow - Style4 2" xfId="4790" xr:uid="{00000000-0005-0000-0000-00000B620000}"/>
    <cellStyle name="TotRow - Style4 2 2" xfId="13813" xr:uid="{00000000-0005-0000-0000-00000C620000}"/>
    <cellStyle name="TotRow - Style4 2_TOM TAT" xfId="13814" xr:uid="{00000000-0005-0000-0000-00000D620000}"/>
    <cellStyle name="TotRow - Style4 3" xfId="13815" xr:uid="{00000000-0005-0000-0000-00000E620000}"/>
    <cellStyle name="TotRow - Style4 3 2" xfId="31706" xr:uid="{00000000-0005-0000-0000-00000F620000}"/>
    <cellStyle name="TotRow - Style4 3_TOM TAT" xfId="24408" xr:uid="{00000000-0005-0000-0000-000010620000}"/>
    <cellStyle name="TotRow - Style4 4" xfId="13816" xr:uid="{00000000-0005-0000-0000-000011620000}"/>
    <cellStyle name="TotRow - Style4 4 2" xfId="31707" xr:uid="{00000000-0005-0000-0000-000012620000}"/>
    <cellStyle name="TotRow - Style4 4_TOM TAT" xfId="24409" xr:uid="{00000000-0005-0000-0000-000013620000}"/>
    <cellStyle name="TotRow - Style4 5" xfId="13817" xr:uid="{00000000-0005-0000-0000-000014620000}"/>
    <cellStyle name="TotRow - Style4 5 2" xfId="31708" xr:uid="{00000000-0005-0000-0000-000015620000}"/>
    <cellStyle name="TotRow - Style4 5_TOM TAT" xfId="24410" xr:uid="{00000000-0005-0000-0000-000016620000}"/>
    <cellStyle name="TotRow - Style4 6" xfId="18540" xr:uid="{00000000-0005-0000-0000-000017620000}"/>
    <cellStyle name="TotRow - Style4 6 2" xfId="31750" xr:uid="{00000000-0005-0000-0000-000018620000}"/>
    <cellStyle name="TotRow - Style4 6_TOM TAT" xfId="24411" xr:uid="{00000000-0005-0000-0000-000019620000}"/>
    <cellStyle name="TotRow - Style4 7" xfId="18878" xr:uid="{00000000-0005-0000-0000-00001A620000}"/>
    <cellStyle name="TotRow - Style4 7 2" xfId="31828" xr:uid="{00000000-0005-0000-0000-00001B620000}"/>
    <cellStyle name="TotRow - Style4 7_TOM TAT" xfId="24412" xr:uid="{00000000-0005-0000-0000-00001C620000}"/>
    <cellStyle name="TotRow - Style4_TOM TAT" xfId="13818" xr:uid="{00000000-0005-0000-0000-00001D620000}"/>
    <cellStyle name="TotRow - Style8" xfId="1765" xr:uid="{00000000-0005-0000-0000-00001E620000}"/>
    <cellStyle name="TotRow - Style8 2" xfId="4791" xr:uid="{00000000-0005-0000-0000-00001F620000}"/>
    <cellStyle name="TotRow - Style8 2 2" xfId="13819" xr:uid="{00000000-0005-0000-0000-000020620000}"/>
    <cellStyle name="TotRow - Style8 2_TOM TAT" xfId="13820" xr:uid="{00000000-0005-0000-0000-000021620000}"/>
    <cellStyle name="TotRow - Style8 3" xfId="13821" xr:uid="{00000000-0005-0000-0000-000022620000}"/>
    <cellStyle name="TotRow - Style8 3 2" xfId="31709" xr:uid="{00000000-0005-0000-0000-000023620000}"/>
    <cellStyle name="TotRow - Style8 3_TOM TAT" xfId="24413" xr:uid="{00000000-0005-0000-0000-000024620000}"/>
    <cellStyle name="TotRow - Style8 4" xfId="13822" xr:uid="{00000000-0005-0000-0000-000025620000}"/>
    <cellStyle name="TotRow - Style8 4 2" xfId="31710" xr:uid="{00000000-0005-0000-0000-000026620000}"/>
    <cellStyle name="TotRow - Style8 4_TOM TAT" xfId="24414" xr:uid="{00000000-0005-0000-0000-000027620000}"/>
    <cellStyle name="TotRow - Style8 5" xfId="13823" xr:uid="{00000000-0005-0000-0000-000028620000}"/>
    <cellStyle name="TotRow - Style8 5 2" xfId="31711" xr:uid="{00000000-0005-0000-0000-000029620000}"/>
    <cellStyle name="TotRow - Style8 5_TOM TAT" xfId="24415" xr:uid="{00000000-0005-0000-0000-00002A620000}"/>
    <cellStyle name="TotRow - Style8 6" xfId="18541" xr:uid="{00000000-0005-0000-0000-00002B620000}"/>
    <cellStyle name="TotRow - Style8 6 2" xfId="31751" xr:uid="{00000000-0005-0000-0000-00002C620000}"/>
    <cellStyle name="TotRow - Style8 6_TOM TAT" xfId="24416" xr:uid="{00000000-0005-0000-0000-00002D620000}"/>
    <cellStyle name="TotRow - Style8 7" xfId="18879" xr:uid="{00000000-0005-0000-0000-00002E620000}"/>
    <cellStyle name="TotRow - Style8 7 2" xfId="31829" xr:uid="{00000000-0005-0000-0000-00002F620000}"/>
    <cellStyle name="TotRow - Style8 7_TOM TAT" xfId="24417" xr:uid="{00000000-0005-0000-0000-000030620000}"/>
    <cellStyle name="TotRow - Style8_TOM TAT" xfId="13824" xr:uid="{00000000-0005-0000-0000-000031620000}"/>
    <cellStyle name="Tusental (0)_pldt" xfId="1766" xr:uid="{00000000-0005-0000-0000-000032620000}"/>
    <cellStyle name="Tusental_pldt" xfId="1767" xr:uid="{00000000-0005-0000-0000-000033620000}"/>
    <cellStyle name="Ù?" xfId="13825" xr:uid="{00000000-0005-0000-0000-000034620000}"/>
    <cellStyle name="Ù? 2" xfId="13826" xr:uid="{00000000-0005-0000-0000-000035620000}"/>
    <cellStyle name="Ù? 2 2" xfId="13827" xr:uid="{00000000-0005-0000-0000-000036620000}"/>
    <cellStyle name="Ù? 2_TOM TAT" xfId="24419" xr:uid="{00000000-0005-0000-0000-000037620000}"/>
    <cellStyle name="Ù? 3" xfId="13828" xr:uid="{00000000-0005-0000-0000-000038620000}"/>
    <cellStyle name="Ù?_TOM TAT" xfId="24418" xr:uid="{00000000-0005-0000-0000-000039620000}"/>
    <cellStyle name="Ù+" xfId="1768" xr:uid="{00000000-0005-0000-0000-00003A620000}"/>
    <cellStyle name="Ù+ 2" xfId="4792" xr:uid="{00000000-0005-0000-0000-00003B620000}"/>
    <cellStyle name="Ù+ 2 2" xfId="13829" xr:uid="{00000000-0005-0000-0000-00003C620000}"/>
    <cellStyle name="Ù+ 2_TOM TAT" xfId="13830" xr:uid="{00000000-0005-0000-0000-00003D620000}"/>
    <cellStyle name="Ù+ 3" xfId="13831" xr:uid="{00000000-0005-0000-0000-00003E620000}"/>
    <cellStyle name="Ù+ 4" xfId="13832" xr:uid="{00000000-0005-0000-0000-00003F620000}"/>
    <cellStyle name="Ù+ 5" xfId="13833" xr:uid="{00000000-0005-0000-0000-000040620000}"/>
    <cellStyle name="Ù+ 6" xfId="18542" xr:uid="{00000000-0005-0000-0000-000041620000}"/>
    <cellStyle name="Ù+ 7" xfId="18880" xr:uid="{00000000-0005-0000-0000-000042620000}"/>
    <cellStyle name="Ù+_TOM TAT" xfId="13834" xr:uid="{00000000-0005-0000-0000-000043620000}"/>
    <cellStyle name="Ù┼" xfId="1769" xr:uid="{00000000-0005-0000-0000-000044620000}"/>
    <cellStyle name="Ù┼ 2" xfId="4793" xr:uid="{00000000-0005-0000-0000-000045620000}"/>
    <cellStyle name="Ù┼ 2 2" xfId="13835" xr:uid="{00000000-0005-0000-0000-000046620000}"/>
    <cellStyle name="Ù┼ 3" xfId="13836" xr:uid="{00000000-0005-0000-0000-000047620000}"/>
    <cellStyle name="Ù┼ 4" xfId="13837" xr:uid="{00000000-0005-0000-0000-000048620000}"/>
    <cellStyle name="Ù┼_TOM TAT" xfId="24420" xr:uid="{00000000-0005-0000-0000-000049620000}"/>
    <cellStyle name="Unit Price Column" xfId="19352" xr:uid="{00000000-0005-0000-0000-00004A620000}"/>
    <cellStyle name="User_Defined_C" xfId="1770" xr:uid="{00000000-0005-0000-0000-00004B620000}"/>
    <cellStyle name="Value" xfId="1771" xr:uid="{00000000-0005-0000-0000-00004C620000}"/>
    <cellStyle name="Value 2" xfId="4794" xr:uid="{00000000-0005-0000-0000-00004D620000}"/>
    <cellStyle name="Value 2 2" xfId="14621" xr:uid="{00000000-0005-0000-0000-00004E620000}"/>
    <cellStyle name="Value 2 2 2" xfId="19024" xr:uid="{00000000-0005-0000-0000-00004F620000}"/>
    <cellStyle name="Value 3" xfId="13838" xr:uid="{00000000-0005-0000-0000-000050620000}"/>
    <cellStyle name="Value 3 2" xfId="13839" xr:uid="{00000000-0005-0000-0000-000051620000}"/>
    <cellStyle name="Value 3 2 2" xfId="31713" xr:uid="{00000000-0005-0000-0000-000052620000}"/>
    <cellStyle name="Value 3 2_TOM TAT" xfId="24421" xr:uid="{00000000-0005-0000-0000-000053620000}"/>
    <cellStyle name="Value 3 3" xfId="31712" xr:uid="{00000000-0005-0000-0000-000054620000}"/>
    <cellStyle name="Value 3_TOM TAT" xfId="13840" xr:uid="{00000000-0005-0000-0000-000055620000}"/>
    <cellStyle name="Value 4" xfId="18544" xr:uid="{00000000-0005-0000-0000-000056620000}"/>
    <cellStyle name="Value Terms" xfId="19353" xr:uid="{00000000-0005-0000-0000-000057620000}"/>
    <cellStyle name="Value_TOM TAT" xfId="13841" xr:uid="{00000000-0005-0000-0000-000058620000}"/>
    <cellStyle name="Valuta (0)_pldt" xfId="1772" xr:uid="{00000000-0005-0000-0000-000059620000}"/>
    <cellStyle name="Valuta_pldt" xfId="1773" xr:uid="{00000000-0005-0000-0000-00005A620000}"/>
    <cellStyle name="viet" xfId="1774" xr:uid="{00000000-0005-0000-0000-00005B620000}"/>
    <cellStyle name="viet 2" xfId="4795" xr:uid="{00000000-0005-0000-0000-00005C620000}"/>
    <cellStyle name="viet 2 2" xfId="13842" xr:uid="{00000000-0005-0000-0000-00005D620000}"/>
    <cellStyle name="viet 2_TOM TAT" xfId="13843" xr:uid="{00000000-0005-0000-0000-00005E620000}"/>
    <cellStyle name="viet_TOM TAT" xfId="13844" xr:uid="{00000000-0005-0000-0000-00005F620000}"/>
    <cellStyle name="viet2" xfId="1775" xr:uid="{00000000-0005-0000-0000-000060620000}"/>
    <cellStyle name="viet2 2" xfId="4796" xr:uid="{00000000-0005-0000-0000-000061620000}"/>
    <cellStyle name="viet2 2 2" xfId="13845" xr:uid="{00000000-0005-0000-0000-000062620000}"/>
    <cellStyle name="viet2 2 2 2" xfId="31714" xr:uid="{00000000-0005-0000-0000-000063620000}"/>
    <cellStyle name="viet2 2 2_TOM TAT" xfId="24422" xr:uid="{00000000-0005-0000-0000-000064620000}"/>
    <cellStyle name="viet2 2 3" xfId="18548" xr:uid="{00000000-0005-0000-0000-000065620000}"/>
    <cellStyle name="viet2 2 4" xfId="19354" xr:uid="{00000000-0005-0000-0000-000066620000}"/>
    <cellStyle name="viet2 2_TOM TAT" xfId="13846" xr:uid="{00000000-0005-0000-0000-000067620000}"/>
    <cellStyle name="viet2 3" xfId="18547" xr:uid="{00000000-0005-0000-0000-000068620000}"/>
    <cellStyle name="viet2 3 2" xfId="19355" xr:uid="{00000000-0005-0000-0000-000069620000}"/>
    <cellStyle name="viet2 3 3" xfId="19356" xr:uid="{00000000-0005-0000-0000-00006A620000}"/>
    <cellStyle name="viet2 3 4" xfId="19357" xr:uid="{00000000-0005-0000-0000-00006B620000}"/>
    <cellStyle name="viet2 3_TOM TAT" xfId="24423" xr:uid="{00000000-0005-0000-0000-00006C620000}"/>
    <cellStyle name="viet2 4" xfId="19358" xr:uid="{00000000-0005-0000-0000-00006D620000}"/>
    <cellStyle name="viet2 4 2" xfId="19359" xr:uid="{00000000-0005-0000-0000-00006E620000}"/>
    <cellStyle name="viet2 4 3" xfId="19360" xr:uid="{00000000-0005-0000-0000-00006F620000}"/>
    <cellStyle name="viet2 4 4" xfId="19361" xr:uid="{00000000-0005-0000-0000-000070620000}"/>
    <cellStyle name="viet2 4_TOM TAT" xfId="24424" xr:uid="{00000000-0005-0000-0000-000071620000}"/>
    <cellStyle name="viet2 5" xfId="19362" xr:uid="{00000000-0005-0000-0000-000072620000}"/>
    <cellStyle name="viet2 5 2" xfId="19363" xr:uid="{00000000-0005-0000-0000-000073620000}"/>
    <cellStyle name="viet2 5 3" xfId="19364" xr:uid="{00000000-0005-0000-0000-000074620000}"/>
    <cellStyle name="viet2 5 4" xfId="19365" xr:uid="{00000000-0005-0000-0000-000075620000}"/>
    <cellStyle name="viet2 5_TOM TAT" xfId="24425" xr:uid="{00000000-0005-0000-0000-000076620000}"/>
    <cellStyle name="viet2 6" xfId="19366" xr:uid="{00000000-0005-0000-0000-000077620000}"/>
    <cellStyle name="viet2 6 2" xfId="19367" xr:uid="{00000000-0005-0000-0000-000078620000}"/>
    <cellStyle name="viet2 6 3" xfId="19368" xr:uid="{00000000-0005-0000-0000-000079620000}"/>
    <cellStyle name="viet2 6 4" xfId="19369" xr:uid="{00000000-0005-0000-0000-00007A620000}"/>
    <cellStyle name="viet2 6_TOM TAT" xfId="24426" xr:uid="{00000000-0005-0000-0000-00007B620000}"/>
    <cellStyle name="viet2 7" xfId="19370" xr:uid="{00000000-0005-0000-0000-00007C620000}"/>
    <cellStyle name="viet2 8" xfId="19371" xr:uid="{00000000-0005-0000-0000-00007D620000}"/>
    <cellStyle name="viet2 9" xfId="19372" xr:uid="{00000000-0005-0000-0000-00007E620000}"/>
    <cellStyle name="viet2_TOM TAT" xfId="13847" xr:uid="{00000000-0005-0000-0000-00007F620000}"/>
    <cellStyle name="VN new romanNormal" xfId="1776" xr:uid="{00000000-0005-0000-0000-000080620000}"/>
    <cellStyle name="VN new romanNormal 2" xfId="4797" xr:uid="{00000000-0005-0000-0000-000081620000}"/>
    <cellStyle name="VN new romanNormal 2 2" xfId="13848" xr:uid="{00000000-0005-0000-0000-000082620000}"/>
    <cellStyle name="VN new romanNormal 2_TOM TAT" xfId="13849" xr:uid="{00000000-0005-0000-0000-000083620000}"/>
    <cellStyle name="VN new romanNormal 3" xfId="13850" xr:uid="{00000000-0005-0000-0000-000084620000}"/>
    <cellStyle name="VN new romanNormal 4" xfId="13851" xr:uid="{00000000-0005-0000-0000-000085620000}"/>
    <cellStyle name="VN new romanNormal 5" xfId="13852" xr:uid="{00000000-0005-0000-0000-000086620000}"/>
    <cellStyle name="VN new romanNormal 6" xfId="18549" xr:uid="{00000000-0005-0000-0000-000087620000}"/>
    <cellStyle name="VN new romanNormal 7" xfId="18881" xr:uid="{00000000-0005-0000-0000-000088620000}"/>
    <cellStyle name="VN new romanNormal_TOM TAT" xfId="13853" xr:uid="{00000000-0005-0000-0000-000089620000}"/>
    <cellStyle name="VN time new roman" xfId="1777" xr:uid="{00000000-0005-0000-0000-00008A620000}"/>
    <cellStyle name="VN time new roman 2" xfId="4798" xr:uid="{00000000-0005-0000-0000-00008B620000}"/>
    <cellStyle name="VN time new roman 2 2" xfId="13854" xr:uid="{00000000-0005-0000-0000-00008C620000}"/>
    <cellStyle name="VN time new roman 2_TOM TAT" xfId="13855" xr:uid="{00000000-0005-0000-0000-00008D620000}"/>
    <cellStyle name="VN time new roman 3" xfId="13856" xr:uid="{00000000-0005-0000-0000-00008E620000}"/>
    <cellStyle name="VN time new roman 4" xfId="13857" xr:uid="{00000000-0005-0000-0000-00008F620000}"/>
    <cellStyle name="VN time new roman 5" xfId="13858" xr:uid="{00000000-0005-0000-0000-000090620000}"/>
    <cellStyle name="VN time new roman 6" xfId="18550" xr:uid="{00000000-0005-0000-0000-000091620000}"/>
    <cellStyle name="VN time new roman 7" xfId="18882" xr:uid="{00000000-0005-0000-0000-000092620000}"/>
    <cellStyle name="VN time new roman_TOM TAT" xfId="13859" xr:uid="{00000000-0005-0000-0000-000093620000}"/>
    <cellStyle name="vnbo" xfId="1778" xr:uid="{00000000-0005-0000-0000-000094620000}"/>
    <cellStyle name="vnbo 2" xfId="4799" xr:uid="{00000000-0005-0000-0000-000095620000}"/>
    <cellStyle name="vnbo 2 2" xfId="13860" xr:uid="{00000000-0005-0000-0000-000096620000}"/>
    <cellStyle name="vnbo 2_TOM TAT" xfId="13861" xr:uid="{00000000-0005-0000-0000-000097620000}"/>
    <cellStyle name="vnbo 3" xfId="18551" xr:uid="{00000000-0005-0000-0000-000098620000}"/>
    <cellStyle name="vnbo 4" xfId="18883" xr:uid="{00000000-0005-0000-0000-000099620000}"/>
    <cellStyle name="vnbo_TOM TAT" xfId="13862" xr:uid="{00000000-0005-0000-0000-00009A620000}"/>
    <cellStyle name="vnhead1" xfId="1779" xr:uid="{00000000-0005-0000-0000-00009B620000}"/>
    <cellStyle name="vnhead1 2" xfId="4800" xr:uid="{00000000-0005-0000-0000-00009C620000}"/>
    <cellStyle name="vnhead1 2 2" xfId="13863" xr:uid="{00000000-0005-0000-0000-00009D620000}"/>
    <cellStyle name="vnhead1 2_TOM TAT" xfId="13864" xr:uid="{00000000-0005-0000-0000-00009E620000}"/>
    <cellStyle name="vnhead1 3" xfId="13865" xr:uid="{00000000-0005-0000-0000-00009F620000}"/>
    <cellStyle name="vnhead1 3 2" xfId="31715" xr:uid="{00000000-0005-0000-0000-0000A0620000}"/>
    <cellStyle name="vnhead1 3_TOM TAT" xfId="24427" xr:uid="{00000000-0005-0000-0000-0000A1620000}"/>
    <cellStyle name="vnhead1 4" xfId="13866" xr:uid="{00000000-0005-0000-0000-0000A2620000}"/>
    <cellStyle name="vnhead1 4 2" xfId="31716" xr:uid="{00000000-0005-0000-0000-0000A3620000}"/>
    <cellStyle name="vnhead1 4_TOM TAT" xfId="24428" xr:uid="{00000000-0005-0000-0000-0000A4620000}"/>
    <cellStyle name="vnhead1 5" xfId="13867" xr:uid="{00000000-0005-0000-0000-0000A5620000}"/>
    <cellStyle name="vnhead1 5 2" xfId="31717" xr:uid="{00000000-0005-0000-0000-0000A6620000}"/>
    <cellStyle name="vnhead1 5_TOM TAT" xfId="24429" xr:uid="{00000000-0005-0000-0000-0000A7620000}"/>
    <cellStyle name="vnhead1 6" xfId="18552" xr:uid="{00000000-0005-0000-0000-0000A8620000}"/>
    <cellStyle name="vnhead1 7" xfId="18884" xr:uid="{00000000-0005-0000-0000-0000A9620000}"/>
    <cellStyle name="vnhead1 7 2" xfId="31830" xr:uid="{00000000-0005-0000-0000-0000AA620000}"/>
    <cellStyle name="vnhead1 7_TOM TAT" xfId="24430" xr:uid="{00000000-0005-0000-0000-0000AB620000}"/>
    <cellStyle name="vnhead1_TOM TAT" xfId="13868" xr:uid="{00000000-0005-0000-0000-0000AC620000}"/>
    <cellStyle name="vnhead2" xfId="1780" xr:uid="{00000000-0005-0000-0000-0000AD620000}"/>
    <cellStyle name="vnhead2 2" xfId="4801" xr:uid="{00000000-0005-0000-0000-0000AE620000}"/>
    <cellStyle name="vnhead2 2 2" xfId="13869" xr:uid="{00000000-0005-0000-0000-0000AF620000}"/>
    <cellStyle name="vnhead2 2_TOM TAT" xfId="13870" xr:uid="{00000000-0005-0000-0000-0000B0620000}"/>
    <cellStyle name="vnhead2 3" xfId="18553" xr:uid="{00000000-0005-0000-0000-0000B1620000}"/>
    <cellStyle name="vnhead2 4" xfId="18885" xr:uid="{00000000-0005-0000-0000-0000B2620000}"/>
    <cellStyle name="vnhead2_TOM TAT" xfId="13871" xr:uid="{00000000-0005-0000-0000-0000B3620000}"/>
    <cellStyle name="vnhead3" xfId="1781" xr:uid="{00000000-0005-0000-0000-0000B4620000}"/>
    <cellStyle name="vnhead3 2" xfId="4802" xr:uid="{00000000-0005-0000-0000-0000B5620000}"/>
    <cellStyle name="vnhead3 2 2" xfId="13872" xr:uid="{00000000-0005-0000-0000-0000B6620000}"/>
    <cellStyle name="vnhead3 2_TOM TAT" xfId="13873" xr:uid="{00000000-0005-0000-0000-0000B7620000}"/>
    <cellStyle name="vnhead3 3" xfId="18554" xr:uid="{00000000-0005-0000-0000-0000B8620000}"/>
    <cellStyle name="vnhead3 4" xfId="18886" xr:uid="{00000000-0005-0000-0000-0000B9620000}"/>
    <cellStyle name="vnhead3_TOM TAT" xfId="13874" xr:uid="{00000000-0005-0000-0000-0000BA620000}"/>
    <cellStyle name="vnhead4" xfId="1782" xr:uid="{00000000-0005-0000-0000-0000BB620000}"/>
    <cellStyle name="vnhead4 2" xfId="4803" xr:uid="{00000000-0005-0000-0000-0000BC620000}"/>
    <cellStyle name="vnhead4 2 2" xfId="13875" xr:uid="{00000000-0005-0000-0000-0000BD620000}"/>
    <cellStyle name="vnhead4 2_TOM TAT" xfId="13876" xr:uid="{00000000-0005-0000-0000-0000BE620000}"/>
    <cellStyle name="vnhead4 3" xfId="13877" xr:uid="{00000000-0005-0000-0000-0000BF620000}"/>
    <cellStyle name="vnhead4 4" xfId="13878" xr:uid="{00000000-0005-0000-0000-0000C0620000}"/>
    <cellStyle name="vnhead4 5" xfId="13879" xr:uid="{00000000-0005-0000-0000-0000C1620000}"/>
    <cellStyle name="vnhead4 6" xfId="18555" xr:uid="{00000000-0005-0000-0000-0000C2620000}"/>
    <cellStyle name="vnhead4 7" xfId="18887" xr:uid="{00000000-0005-0000-0000-0000C3620000}"/>
    <cellStyle name="vnhead4_TOM TAT" xfId="13880" xr:uid="{00000000-0005-0000-0000-0000C4620000}"/>
    <cellStyle name="vntxt1" xfId="1783" xr:uid="{00000000-0005-0000-0000-0000C5620000}"/>
    <cellStyle name="vntxt1 2" xfId="4804" xr:uid="{00000000-0005-0000-0000-0000C6620000}"/>
    <cellStyle name="vntxt1 2 2" xfId="13881" xr:uid="{00000000-0005-0000-0000-0000C7620000}"/>
    <cellStyle name="vntxt1 2_TOM TAT" xfId="13882" xr:uid="{00000000-0005-0000-0000-0000C8620000}"/>
    <cellStyle name="vntxt1 3" xfId="18556" xr:uid="{00000000-0005-0000-0000-0000C9620000}"/>
    <cellStyle name="vntxt1 4" xfId="18888" xr:uid="{00000000-0005-0000-0000-0000CA620000}"/>
    <cellStyle name="vntxt1_TOM TAT" xfId="13883" xr:uid="{00000000-0005-0000-0000-0000CB620000}"/>
    <cellStyle name="vntxt2" xfId="1784" xr:uid="{00000000-0005-0000-0000-0000CC620000}"/>
    <cellStyle name="vntxt2 2" xfId="4805" xr:uid="{00000000-0005-0000-0000-0000CD620000}"/>
    <cellStyle name="vntxt2 2 2" xfId="13884" xr:uid="{00000000-0005-0000-0000-0000CE620000}"/>
    <cellStyle name="vntxt2 2_TOM TAT" xfId="13885" xr:uid="{00000000-0005-0000-0000-0000CF620000}"/>
    <cellStyle name="vntxt2 3" xfId="13886" xr:uid="{00000000-0005-0000-0000-0000D0620000}"/>
    <cellStyle name="vntxt2 4" xfId="13887" xr:uid="{00000000-0005-0000-0000-0000D1620000}"/>
    <cellStyle name="vntxt2 5" xfId="13888" xr:uid="{00000000-0005-0000-0000-0000D2620000}"/>
    <cellStyle name="vntxt2 6" xfId="18557" xr:uid="{00000000-0005-0000-0000-0000D3620000}"/>
    <cellStyle name="vntxt2 7" xfId="18889" xr:uid="{00000000-0005-0000-0000-0000D4620000}"/>
    <cellStyle name="vntxt2_TOM TAT" xfId="13889" xr:uid="{00000000-0005-0000-0000-0000D5620000}"/>
    <cellStyle name="Währung [0]_68574_Materialbedarfsliste" xfId="1786" xr:uid="{00000000-0005-0000-0000-0000D6620000}"/>
    <cellStyle name="Währung_68574_Materialbedarfsliste" xfId="1787" xr:uid="{00000000-0005-0000-0000-0000D7620000}"/>
    <cellStyle name="Warning Text" xfId="1788" builtinId="11" customBuiltin="1"/>
    <cellStyle name="Warning Text 2" xfId="2362" xr:uid="{00000000-0005-0000-0000-0000D9620000}"/>
    <cellStyle name="Warning Text 2 2" xfId="13890" xr:uid="{00000000-0005-0000-0000-0000DA620000}"/>
    <cellStyle name="Warning Text 2_TOM TAT" xfId="13891" xr:uid="{00000000-0005-0000-0000-0000DB620000}"/>
    <cellStyle name="Warning Text 3" xfId="2363" xr:uid="{00000000-0005-0000-0000-0000DC620000}"/>
    <cellStyle name="Warning Text 3 2" xfId="13892" xr:uid="{00000000-0005-0000-0000-0000DD620000}"/>
    <cellStyle name="Warning Text 3_TOM TAT" xfId="13893" xr:uid="{00000000-0005-0000-0000-0000DE620000}"/>
    <cellStyle name="Warning Text 4" xfId="2364" xr:uid="{00000000-0005-0000-0000-0000DF620000}"/>
    <cellStyle name="Warning Text 4 2" xfId="13894" xr:uid="{00000000-0005-0000-0000-0000E0620000}"/>
    <cellStyle name="Warning Text 4_TOM TAT" xfId="13895" xr:uid="{00000000-0005-0000-0000-0000E1620000}"/>
    <cellStyle name="Warning Text 5" xfId="4806" xr:uid="{00000000-0005-0000-0000-0000E2620000}"/>
    <cellStyle name="Warning Text 5 2" xfId="13896" xr:uid="{00000000-0005-0000-0000-0000E3620000}"/>
    <cellStyle name="Warning Text 5_TOM TAT" xfId="13897" xr:uid="{00000000-0005-0000-0000-0000E4620000}"/>
    <cellStyle name="Warning Text 6" xfId="27001" xr:uid="{00000000-0005-0000-0000-0000E5620000}"/>
    <cellStyle name="Warning Text 7" xfId="32204" xr:uid="{00000000-0005-0000-0000-0000E6620000}"/>
    <cellStyle name="Warning Text 8" xfId="14640" xr:uid="{00000000-0005-0000-0000-0000E7620000}"/>
    <cellStyle name="x" xfId="1789" xr:uid="{00000000-0005-0000-0000-0000E8620000}"/>
    <cellStyle name="x 2" xfId="4807" xr:uid="{00000000-0005-0000-0000-0000E9620000}"/>
    <cellStyle name="x 2 2" xfId="13898" xr:uid="{00000000-0005-0000-0000-0000EA620000}"/>
    <cellStyle name="x 2_TOM TAT" xfId="13899" xr:uid="{00000000-0005-0000-0000-0000EB620000}"/>
    <cellStyle name="x 3" xfId="18558" xr:uid="{00000000-0005-0000-0000-0000EC620000}"/>
    <cellStyle name="x 4" xfId="18890" xr:uid="{00000000-0005-0000-0000-0000ED620000}"/>
    <cellStyle name="X_Bang Cong tac" xfId="1790" xr:uid="{00000000-0005-0000-0000-0000EE620000}"/>
    <cellStyle name="X_Bang Cong tac 10" xfId="18559" xr:uid="{00000000-0005-0000-0000-0000EF620000}"/>
    <cellStyle name="X_Bang Cong tac 10_TOM TAT" xfId="24433" xr:uid="{00000000-0005-0000-0000-0000F0620000}"/>
    <cellStyle name="X_Bang Cong tac 11" xfId="18891" xr:uid="{00000000-0005-0000-0000-0000F1620000}"/>
    <cellStyle name="X_Bang Cong tac 11 2" xfId="31831" xr:uid="{00000000-0005-0000-0000-0000F2620000}"/>
    <cellStyle name="X_Bang Cong tac 11_TOM TAT" xfId="24434" xr:uid="{00000000-0005-0000-0000-0000F3620000}"/>
    <cellStyle name="X_Bang Cong tac 12" xfId="27002" xr:uid="{00000000-0005-0000-0000-0000F4620000}"/>
    <cellStyle name="X_Bang Cong tac 2" xfId="4808" xr:uid="{00000000-0005-0000-0000-0000F5620000}"/>
    <cellStyle name="X_Bang Cong tac 2 2" xfId="13900" xr:uid="{00000000-0005-0000-0000-0000F6620000}"/>
    <cellStyle name="X_Bang Cong tac 2 2_TOM TAT" xfId="24435" xr:uid="{00000000-0005-0000-0000-0000F7620000}"/>
    <cellStyle name="X_Bang Cong tac 2 3" xfId="18650" xr:uid="{00000000-0005-0000-0000-0000F8620000}"/>
    <cellStyle name="X_Bang Cong tac 2 3_TOM TAT" xfId="24436" xr:uid="{00000000-0005-0000-0000-0000F9620000}"/>
    <cellStyle name="X_Bang Cong tac 2 4" xfId="18935" xr:uid="{00000000-0005-0000-0000-0000FA620000}"/>
    <cellStyle name="X_Bang Cong tac 2 4 2" xfId="31852" xr:uid="{00000000-0005-0000-0000-0000FB620000}"/>
    <cellStyle name="X_Bang Cong tac 2 4_TOM TAT" xfId="24437" xr:uid="{00000000-0005-0000-0000-0000FC620000}"/>
    <cellStyle name="X_Bang Cong tac 2_TOM TAT" xfId="13901" xr:uid="{00000000-0005-0000-0000-0000FD620000}"/>
    <cellStyle name="X_Bang Cong tac 2_TOM TAT 2" xfId="13902" xr:uid="{00000000-0005-0000-0000-0000FE620000}"/>
    <cellStyle name="X_Bang Cong tac 2_TOM TAT 2_TOM TAT" xfId="24439" xr:uid="{00000000-0005-0000-0000-0000FF620000}"/>
    <cellStyle name="X_Bang Cong tac 2_TOM TAT_TOM TAT" xfId="24438" xr:uid="{00000000-0005-0000-0000-000000630000}"/>
    <cellStyle name="X_Bang Cong tac 3" xfId="5715" xr:uid="{00000000-0005-0000-0000-000001630000}"/>
    <cellStyle name="X_Bang Cong tac 3 2" xfId="5716" xr:uid="{00000000-0005-0000-0000-000002630000}"/>
    <cellStyle name="X_Bang Cong tac 3 2 2" xfId="13903" xr:uid="{00000000-0005-0000-0000-000003630000}"/>
    <cellStyle name="X_Bang Cong tac 3 2 2 2" xfId="13904" xr:uid="{00000000-0005-0000-0000-000004630000}"/>
    <cellStyle name="X_Bang Cong tac 3 2 2 2 2" xfId="13905" xr:uid="{00000000-0005-0000-0000-000005630000}"/>
    <cellStyle name="X_Bang Cong tac 3 2 2 2 2_TOM TAT" xfId="24444" xr:uid="{00000000-0005-0000-0000-000006630000}"/>
    <cellStyle name="X_Bang Cong tac 3 2 2 2_TOM TAT" xfId="13906" xr:uid="{00000000-0005-0000-0000-000007630000}"/>
    <cellStyle name="X_Bang Cong tac 3 2 2 2_TOM TAT 2" xfId="13907" xr:uid="{00000000-0005-0000-0000-000008630000}"/>
    <cellStyle name="X_Bang Cong tac 3 2 2 2_TOM TAT 2_TOM TAT" xfId="24446" xr:uid="{00000000-0005-0000-0000-000009630000}"/>
    <cellStyle name="X_Bang Cong tac 3 2 2 2_TOM TAT_1" xfId="24443" xr:uid="{00000000-0005-0000-0000-00000A630000}"/>
    <cellStyle name="X_Bang Cong tac 3 2 2 2_TOM TAT_TOM TAT" xfId="24445" xr:uid="{00000000-0005-0000-0000-00000B630000}"/>
    <cellStyle name="X_Bang Cong tac 3 2 2 3" xfId="13908" xr:uid="{00000000-0005-0000-0000-00000C630000}"/>
    <cellStyle name="X_Bang Cong tac 3 2 2 3_TOM TAT" xfId="24447" xr:uid="{00000000-0005-0000-0000-00000D630000}"/>
    <cellStyle name="X_Bang Cong tac 3 2 2_TOM TAT" xfId="13909" xr:uid="{00000000-0005-0000-0000-00000E630000}"/>
    <cellStyle name="X_Bang Cong tac 3 2 2_TOM TAT 2" xfId="13910" xr:uid="{00000000-0005-0000-0000-00000F630000}"/>
    <cellStyle name="X_Bang Cong tac 3 2 2_TOM TAT 2_TOM TAT" xfId="24449" xr:uid="{00000000-0005-0000-0000-000010630000}"/>
    <cellStyle name="X_Bang Cong tac 3 2 2_TOM TAT_1" xfId="24442" xr:uid="{00000000-0005-0000-0000-000011630000}"/>
    <cellStyle name="X_Bang Cong tac 3 2 2_TOM TAT_TOM TAT" xfId="24448" xr:uid="{00000000-0005-0000-0000-000012630000}"/>
    <cellStyle name="X_Bang Cong tac 3 2 3" xfId="13911" xr:uid="{00000000-0005-0000-0000-000013630000}"/>
    <cellStyle name="X_Bang Cong tac 3 2 3 2" xfId="13912" xr:uid="{00000000-0005-0000-0000-000014630000}"/>
    <cellStyle name="X_Bang Cong tac 3 2 3 2 2" xfId="13913" xr:uid="{00000000-0005-0000-0000-000015630000}"/>
    <cellStyle name="X_Bang Cong tac 3 2 3 2 2_TOM TAT" xfId="24452" xr:uid="{00000000-0005-0000-0000-000016630000}"/>
    <cellStyle name="X_Bang Cong tac 3 2 3 2_TOM TAT" xfId="13914" xr:uid="{00000000-0005-0000-0000-000017630000}"/>
    <cellStyle name="X_Bang Cong tac 3 2 3 2_TOM TAT 2" xfId="13915" xr:uid="{00000000-0005-0000-0000-000018630000}"/>
    <cellStyle name="X_Bang Cong tac 3 2 3 2_TOM TAT 2_TOM TAT" xfId="24454" xr:uid="{00000000-0005-0000-0000-000019630000}"/>
    <cellStyle name="X_Bang Cong tac 3 2 3 2_TOM TAT_1" xfId="24451" xr:uid="{00000000-0005-0000-0000-00001A630000}"/>
    <cellStyle name="X_Bang Cong tac 3 2 3 2_TOM TAT_TOM TAT" xfId="24453" xr:uid="{00000000-0005-0000-0000-00001B630000}"/>
    <cellStyle name="X_Bang Cong tac 3 2 3 3" xfId="13916" xr:uid="{00000000-0005-0000-0000-00001C630000}"/>
    <cellStyle name="X_Bang Cong tac 3 2 3 3_TOM TAT" xfId="24455" xr:uid="{00000000-0005-0000-0000-00001D630000}"/>
    <cellStyle name="X_Bang Cong tac 3 2 3_TOM TAT" xfId="13917" xr:uid="{00000000-0005-0000-0000-00001E630000}"/>
    <cellStyle name="X_Bang Cong tac 3 2 3_TOM TAT 2" xfId="13918" xr:uid="{00000000-0005-0000-0000-00001F630000}"/>
    <cellStyle name="X_Bang Cong tac 3 2 3_TOM TAT 2_TOM TAT" xfId="24457" xr:uid="{00000000-0005-0000-0000-000020630000}"/>
    <cellStyle name="X_Bang Cong tac 3 2 3_TOM TAT_1" xfId="24450" xr:uid="{00000000-0005-0000-0000-000021630000}"/>
    <cellStyle name="X_Bang Cong tac 3 2 3_TOM TAT_TOM TAT" xfId="24456" xr:uid="{00000000-0005-0000-0000-000022630000}"/>
    <cellStyle name="X_Bang Cong tac 3 2 4" xfId="13919" xr:uid="{00000000-0005-0000-0000-000023630000}"/>
    <cellStyle name="X_Bang Cong tac 3 2 4 2" xfId="13920" xr:uid="{00000000-0005-0000-0000-000024630000}"/>
    <cellStyle name="X_Bang Cong tac 3 2 4 2_TOM TAT" xfId="24459" xr:uid="{00000000-0005-0000-0000-000025630000}"/>
    <cellStyle name="X_Bang Cong tac 3 2 4_TOM TAT" xfId="13921" xr:uid="{00000000-0005-0000-0000-000026630000}"/>
    <cellStyle name="X_Bang Cong tac 3 2 4_TOM TAT 2" xfId="13922" xr:uid="{00000000-0005-0000-0000-000027630000}"/>
    <cellStyle name="X_Bang Cong tac 3 2 4_TOM TAT 2_TOM TAT" xfId="24461" xr:uid="{00000000-0005-0000-0000-000028630000}"/>
    <cellStyle name="X_Bang Cong tac 3 2 4_TOM TAT_1" xfId="24458" xr:uid="{00000000-0005-0000-0000-000029630000}"/>
    <cellStyle name="X_Bang Cong tac 3 2 4_TOM TAT_TOM TAT" xfId="24460" xr:uid="{00000000-0005-0000-0000-00002A630000}"/>
    <cellStyle name="X_Bang Cong tac 3 2 5" xfId="13923" xr:uid="{00000000-0005-0000-0000-00002B630000}"/>
    <cellStyle name="X_Bang Cong tac 3 2 5_TOM TAT" xfId="24462" xr:uid="{00000000-0005-0000-0000-00002C630000}"/>
    <cellStyle name="X_Bang Cong tac 3 2 6" xfId="28318" xr:uid="{00000000-0005-0000-0000-00002D630000}"/>
    <cellStyle name="X_Bang Cong tac 3 2 7" xfId="14725" xr:uid="{00000000-0005-0000-0000-00002E630000}"/>
    <cellStyle name="X_Bang Cong tac 3 2_TOM TAT" xfId="13924" xr:uid="{00000000-0005-0000-0000-00002F630000}"/>
    <cellStyle name="X_Bang Cong tac 3 2_TOM TAT 2" xfId="13925" xr:uid="{00000000-0005-0000-0000-000030630000}"/>
    <cellStyle name="X_Bang Cong tac 3 2_TOM TAT 2_TOM TAT" xfId="24464" xr:uid="{00000000-0005-0000-0000-000031630000}"/>
    <cellStyle name="X_Bang Cong tac 3 2_TOM TAT_1" xfId="24441" xr:uid="{00000000-0005-0000-0000-000032630000}"/>
    <cellStyle name="X_Bang Cong tac 3 2_TOM TAT_TOM TAT" xfId="24463" xr:uid="{00000000-0005-0000-0000-000033630000}"/>
    <cellStyle name="X_Bang Cong tac 3 3" xfId="13926" xr:uid="{00000000-0005-0000-0000-000034630000}"/>
    <cellStyle name="X_Bang Cong tac 3 3 2" xfId="13927" xr:uid="{00000000-0005-0000-0000-000035630000}"/>
    <cellStyle name="X_Bang Cong tac 3 3 2 2" xfId="13928" xr:uid="{00000000-0005-0000-0000-000036630000}"/>
    <cellStyle name="X_Bang Cong tac 3 3 2 2_TOM TAT" xfId="24467" xr:uid="{00000000-0005-0000-0000-000037630000}"/>
    <cellStyle name="X_Bang Cong tac 3 3 2_TOM TAT" xfId="13929" xr:uid="{00000000-0005-0000-0000-000038630000}"/>
    <cellStyle name="X_Bang Cong tac 3 3 2_TOM TAT 2" xfId="13930" xr:uid="{00000000-0005-0000-0000-000039630000}"/>
    <cellStyle name="X_Bang Cong tac 3 3 2_TOM TAT 2_TOM TAT" xfId="24469" xr:uid="{00000000-0005-0000-0000-00003A630000}"/>
    <cellStyle name="X_Bang Cong tac 3 3 2_TOM TAT_1" xfId="24466" xr:uid="{00000000-0005-0000-0000-00003B630000}"/>
    <cellStyle name="X_Bang Cong tac 3 3 2_TOM TAT_TOM TAT" xfId="24468" xr:uid="{00000000-0005-0000-0000-00003C630000}"/>
    <cellStyle name="X_Bang Cong tac 3 3 3" xfId="13931" xr:uid="{00000000-0005-0000-0000-00003D630000}"/>
    <cellStyle name="X_Bang Cong tac 3 3 3_TOM TAT" xfId="24470" xr:uid="{00000000-0005-0000-0000-00003E630000}"/>
    <cellStyle name="X_Bang Cong tac 3 3_TOM TAT" xfId="13932" xr:uid="{00000000-0005-0000-0000-00003F630000}"/>
    <cellStyle name="X_Bang Cong tac 3 3_TOM TAT 2" xfId="13933" xr:uid="{00000000-0005-0000-0000-000040630000}"/>
    <cellStyle name="X_Bang Cong tac 3 3_TOM TAT 2_TOM TAT" xfId="24472" xr:uid="{00000000-0005-0000-0000-000041630000}"/>
    <cellStyle name="X_Bang Cong tac 3 3_TOM TAT_1" xfId="24465" xr:uid="{00000000-0005-0000-0000-000042630000}"/>
    <cellStyle name="X_Bang Cong tac 3 3_TOM TAT_TOM TAT" xfId="24471" xr:uid="{00000000-0005-0000-0000-000043630000}"/>
    <cellStyle name="X_Bang Cong tac 3 4" xfId="13934" xr:uid="{00000000-0005-0000-0000-000044630000}"/>
    <cellStyle name="X_Bang Cong tac 3 4 2" xfId="13935" xr:uid="{00000000-0005-0000-0000-000045630000}"/>
    <cellStyle name="X_Bang Cong tac 3 4 2 2" xfId="13936" xr:uid="{00000000-0005-0000-0000-000046630000}"/>
    <cellStyle name="X_Bang Cong tac 3 4 2 2_TOM TAT" xfId="24475" xr:uid="{00000000-0005-0000-0000-000047630000}"/>
    <cellStyle name="X_Bang Cong tac 3 4 2_TOM TAT" xfId="13937" xr:uid="{00000000-0005-0000-0000-000048630000}"/>
    <cellStyle name="X_Bang Cong tac 3 4 2_TOM TAT 2" xfId="13938" xr:uid="{00000000-0005-0000-0000-000049630000}"/>
    <cellStyle name="X_Bang Cong tac 3 4 2_TOM TAT 2_TOM TAT" xfId="24477" xr:uid="{00000000-0005-0000-0000-00004A630000}"/>
    <cellStyle name="X_Bang Cong tac 3 4 2_TOM TAT_1" xfId="24474" xr:uid="{00000000-0005-0000-0000-00004B630000}"/>
    <cellStyle name="X_Bang Cong tac 3 4 2_TOM TAT_TOM TAT" xfId="24476" xr:uid="{00000000-0005-0000-0000-00004C630000}"/>
    <cellStyle name="X_Bang Cong tac 3 4 3" xfId="13939" xr:uid="{00000000-0005-0000-0000-00004D630000}"/>
    <cellStyle name="X_Bang Cong tac 3 4 3_TOM TAT" xfId="24478" xr:uid="{00000000-0005-0000-0000-00004E630000}"/>
    <cellStyle name="X_Bang Cong tac 3 4_TOM TAT" xfId="13940" xr:uid="{00000000-0005-0000-0000-00004F630000}"/>
    <cellStyle name="X_Bang Cong tac 3 4_TOM TAT 2" xfId="13941" xr:uid="{00000000-0005-0000-0000-000050630000}"/>
    <cellStyle name="X_Bang Cong tac 3 4_TOM TAT 2_TOM TAT" xfId="24480" xr:uid="{00000000-0005-0000-0000-000051630000}"/>
    <cellStyle name="X_Bang Cong tac 3 4_TOM TAT_1" xfId="24473" xr:uid="{00000000-0005-0000-0000-000052630000}"/>
    <cellStyle name="X_Bang Cong tac 3 4_TOM TAT_TOM TAT" xfId="24479" xr:uid="{00000000-0005-0000-0000-000053630000}"/>
    <cellStyle name="X_Bang Cong tac 3 5" xfId="13942" xr:uid="{00000000-0005-0000-0000-000054630000}"/>
    <cellStyle name="X_Bang Cong tac 3 5 2" xfId="13943" xr:uid="{00000000-0005-0000-0000-000055630000}"/>
    <cellStyle name="X_Bang Cong tac 3 5 2_TOM TAT" xfId="24482" xr:uid="{00000000-0005-0000-0000-000056630000}"/>
    <cellStyle name="X_Bang Cong tac 3 5_TOM TAT" xfId="13944" xr:uid="{00000000-0005-0000-0000-000057630000}"/>
    <cellStyle name="X_Bang Cong tac 3 5_TOM TAT 2" xfId="13945" xr:uid="{00000000-0005-0000-0000-000058630000}"/>
    <cellStyle name="X_Bang Cong tac 3 5_TOM TAT 2_TOM TAT" xfId="24484" xr:uid="{00000000-0005-0000-0000-000059630000}"/>
    <cellStyle name="X_Bang Cong tac 3 5_TOM TAT_1" xfId="24481" xr:uid="{00000000-0005-0000-0000-00005A630000}"/>
    <cellStyle name="X_Bang Cong tac 3 5_TOM TAT_TOM TAT" xfId="24483" xr:uid="{00000000-0005-0000-0000-00005B630000}"/>
    <cellStyle name="X_Bang Cong tac 3 6" xfId="13946" xr:uid="{00000000-0005-0000-0000-00005C630000}"/>
    <cellStyle name="X_Bang Cong tac 3 6_TOM TAT" xfId="24485" xr:uid="{00000000-0005-0000-0000-00005D630000}"/>
    <cellStyle name="X_Bang Cong tac 3 7" xfId="28317" xr:uid="{00000000-0005-0000-0000-00005E630000}"/>
    <cellStyle name="X_Bang Cong tac 3 8" xfId="14724" xr:uid="{00000000-0005-0000-0000-00005F630000}"/>
    <cellStyle name="X_Bang Cong tac 3_TOM TAT" xfId="13947" xr:uid="{00000000-0005-0000-0000-000060630000}"/>
    <cellStyle name="X_Bang Cong tac 3_TOM TAT 2" xfId="13948" xr:uid="{00000000-0005-0000-0000-000061630000}"/>
    <cellStyle name="X_Bang Cong tac 3_TOM TAT 2_TOM TAT" xfId="24487" xr:uid="{00000000-0005-0000-0000-000062630000}"/>
    <cellStyle name="X_Bang Cong tac 3_TOM TAT_1" xfId="24440" xr:uid="{00000000-0005-0000-0000-000063630000}"/>
    <cellStyle name="X_Bang Cong tac 3_TOM TAT_TOM TAT" xfId="24486" xr:uid="{00000000-0005-0000-0000-000064630000}"/>
    <cellStyle name="X_Bang Cong tac 4" xfId="5717" xr:uid="{00000000-0005-0000-0000-000065630000}"/>
    <cellStyle name="X_Bang Cong tac 4 2" xfId="13949" xr:uid="{00000000-0005-0000-0000-000066630000}"/>
    <cellStyle name="X_Bang Cong tac 4 2 2" xfId="13950" xr:uid="{00000000-0005-0000-0000-000067630000}"/>
    <cellStyle name="X_Bang Cong tac 4 2 2 2" xfId="13951" xr:uid="{00000000-0005-0000-0000-000068630000}"/>
    <cellStyle name="X_Bang Cong tac 4 2 2 2_TOM TAT" xfId="24491" xr:uid="{00000000-0005-0000-0000-000069630000}"/>
    <cellStyle name="X_Bang Cong tac 4 2 2_TOM TAT" xfId="13952" xr:uid="{00000000-0005-0000-0000-00006A630000}"/>
    <cellStyle name="X_Bang Cong tac 4 2 2_TOM TAT 2" xfId="13953" xr:uid="{00000000-0005-0000-0000-00006B630000}"/>
    <cellStyle name="X_Bang Cong tac 4 2 2_TOM TAT 2_TOM TAT" xfId="24493" xr:uid="{00000000-0005-0000-0000-00006C630000}"/>
    <cellStyle name="X_Bang Cong tac 4 2 2_TOM TAT_1" xfId="24490" xr:uid="{00000000-0005-0000-0000-00006D630000}"/>
    <cellStyle name="X_Bang Cong tac 4 2 2_TOM TAT_TOM TAT" xfId="24492" xr:uid="{00000000-0005-0000-0000-00006E630000}"/>
    <cellStyle name="X_Bang Cong tac 4 2 3" xfId="13954" xr:uid="{00000000-0005-0000-0000-00006F630000}"/>
    <cellStyle name="X_Bang Cong tac 4 2 3_TOM TAT" xfId="24494" xr:uid="{00000000-0005-0000-0000-000070630000}"/>
    <cellStyle name="X_Bang Cong tac 4 2_TOM TAT" xfId="13955" xr:uid="{00000000-0005-0000-0000-000071630000}"/>
    <cellStyle name="X_Bang Cong tac 4 2_TOM TAT 2" xfId="13956" xr:uid="{00000000-0005-0000-0000-000072630000}"/>
    <cellStyle name="X_Bang Cong tac 4 2_TOM TAT 2_TOM TAT" xfId="24496" xr:uid="{00000000-0005-0000-0000-000073630000}"/>
    <cellStyle name="X_Bang Cong tac 4 2_TOM TAT_1" xfId="24489" xr:uid="{00000000-0005-0000-0000-000074630000}"/>
    <cellStyle name="X_Bang Cong tac 4 2_TOM TAT_TOM TAT" xfId="24495" xr:uid="{00000000-0005-0000-0000-000075630000}"/>
    <cellStyle name="X_Bang Cong tac 4 3" xfId="13957" xr:uid="{00000000-0005-0000-0000-000076630000}"/>
    <cellStyle name="X_Bang Cong tac 4 3 2" xfId="13958" xr:uid="{00000000-0005-0000-0000-000077630000}"/>
    <cellStyle name="X_Bang Cong tac 4 3 2 2" xfId="13959" xr:uid="{00000000-0005-0000-0000-000078630000}"/>
    <cellStyle name="X_Bang Cong tac 4 3 2 2_TOM TAT" xfId="24499" xr:uid="{00000000-0005-0000-0000-000079630000}"/>
    <cellStyle name="X_Bang Cong tac 4 3 2_TOM TAT" xfId="13960" xr:uid="{00000000-0005-0000-0000-00007A630000}"/>
    <cellStyle name="X_Bang Cong tac 4 3 2_TOM TAT 2" xfId="13961" xr:uid="{00000000-0005-0000-0000-00007B630000}"/>
    <cellStyle name="X_Bang Cong tac 4 3 2_TOM TAT 2_TOM TAT" xfId="24501" xr:uid="{00000000-0005-0000-0000-00007C630000}"/>
    <cellStyle name="X_Bang Cong tac 4 3 2_TOM TAT_1" xfId="24498" xr:uid="{00000000-0005-0000-0000-00007D630000}"/>
    <cellStyle name="X_Bang Cong tac 4 3 2_TOM TAT_TOM TAT" xfId="24500" xr:uid="{00000000-0005-0000-0000-00007E630000}"/>
    <cellStyle name="X_Bang Cong tac 4 3 3" xfId="13962" xr:uid="{00000000-0005-0000-0000-00007F630000}"/>
    <cellStyle name="X_Bang Cong tac 4 3 3_TOM TAT" xfId="24502" xr:uid="{00000000-0005-0000-0000-000080630000}"/>
    <cellStyle name="X_Bang Cong tac 4 3_TOM TAT" xfId="13963" xr:uid="{00000000-0005-0000-0000-000081630000}"/>
    <cellStyle name="X_Bang Cong tac 4 3_TOM TAT 2" xfId="13964" xr:uid="{00000000-0005-0000-0000-000082630000}"/>
    <cellStyle name="X_Bang Cong tac 4 3_TOM TAT 2_TOM TAT" xfId="24504" xr:uid="{00000000-0005-0000-0000-000083630000}"/>
    <cellStyle name="X_Bang Cong tac 4 3_TOM TAT_1" xfId="24497" xr:uid="{00000000-0005-0000-0000-000084630000}"/>
    <cellStyle name="X_Bang Cong tac 4 3_TOM TAT_TOM TAT" xfId="24503" xr:uid="{00000000-0005-0000-0000-000085630000}"/>
    <cellStyle name="X_Bang Cong tac 4 4" xfId="13965" xr:uid="{00000000-0005-0000-0000-000086630000}"/>
    <cellStyle name="X_Bang Cong tac 4 4 2" xfId="13966" xr:uid="{00000000-0005-0000-0000-000087630000}"/>
    <cellStyle name="X_Bang Cong tac 4 4 2_TOM TAT" xfId="24506" xr:uid="{00000000-0005-0000-0000-000088630000}"/>
    <cellStyle name="X_Bang Cong tac 4 4_TOM TAT" xfId="13967" xr:uid="{00000000-0005-0000-0000-000089630000}"/>
    <cellStyle name="X_Bang Cong tac 4 4_TOM TAT 2" xfId="13968" xr:uid="{00000000-0005-0000-0000-00008A630000}"/>
    <cellStyle name="X_Bang Cong tac 4 4_TOM TAT 2_TOM TAT" xfId="24508" xr:uid="{00000000-0005-0000-0000-00008B630000}"/>
    <cellStyle name="X_Bang Cong tac 4 4_TOM TAT_1" xfId="24505" xr:uid="{00000000-0005-0000-0000-00008C630000}"/>
    <cellStyle name="X_Bang Cong tac 4 4_TOM TAT_TOM TAT" xfId="24507" xr:uid="{00000000-0005-0000-0000-00008D630000}"/>
    <cellStyle name="X_Bang Cong tac 4 5" xfId="13969" xr:uid="{00000000-0005-0000-0000-00008E630000}"/>
    <cellStyle name="X_Bang Cong tac 4 5_TOM TAT" xfId="24509" xr:uid="{00000000-0005-0000-0000-00008F630000}"/>
    <cellStyle name="X_Bang Cong tac 4 6" xfId="28319" xr:uid="{00000000-0005-0000-0000-000090630000}"/>
    <cellStyle name="X_Bang Cong tac 4 7" xfId="14726" xr:uid="{00000000-0005-0000-0000-000091630000}"/>
    <cellStyle name="X_Bang Cong tac 4_TOM TAT" xfId="13970" xr:uid="{00000000-0005-0000-0000-000092630000}"/>
    <cellStyle name="X_Bang Cong tac 4_TOM TAT 2" xfId="13971" xr:uid="{00000000-0005-0000-0000-000093630000}"/>
    <cellStyle name="X_Bang Cong tac 4_TOM TAT 2_TOM TAT" xfId="24511" xr:uid="{00000000-0005-0000-0000-000094630000}"/>
    <cellStyle name="X_Bang Cong tac 4_TOM TAT_1" xfId="24488" xr:uid="{00000000-0005-0000-0000-000095630000}"/>
    <cellStyle name="X_Bang Cong tac 4_TOM TAT_TOM TAT" xfId="24510" xr:uid="{00000000-0005-0000-0000-000096630000}"/>
    <cellStyle name="X_Bang Cong tac 5" xfId="13972" xr:uid="{00000000-0005-0000-0000-000097630000}"/>
    <cellStyle name="X_Bang Cong tac 5 2" xfId="13973" xr:uid="{00000000-0005-0000-0000-000098630000}"/>
    <cellStyle name="X_Bang Cong tac 5 2 2" xfId="13974" xr:uid="{00000000-0005-0000-0000-000099630000}"/>
    <cellStyle name="X_Bang Cong tac 5 2 2_TOM TAT" xfId="24514" xr:uid="{00000000-0005-0000-0000-00009A630000}"/>
    <cellStyle name="X_Bang Cong tac 5 2_TOM TAT" xfId="13975" xr:uid="{00000000-0005-0000-0000-00009B630000}"/>
    <cellStyle name="X_Bang Cong tac 5 2_TOM TAT 2" xfId="13976" xr:uid="{00000000-0005-0000-0000-00009C630000}"/>
    <cellStyle name="X_Bang Cong tac 5 2_TOM TAT 2_TOM TAT" xfId="24516" xr:uid="{00000000-0005-0000-0000-00009D630000}"/>
    <cellStyle name="X_Bang Cong tac 5 2_TOM TAT_1" xfId="24513" xr:uid="{00000000-0005-0000-0000-00009E630000}"/>
    <cellStyle name="X_Bang Cong tac 5 2_TOM TAT_TOM TAT" xfId="24515" xr:uid="{00000000-0005-0000-0000-00009F630000}"/>
    <cellStyle name="X_Bang Cong tac 5 3" xfId="13977" xr:uid="{00000000-0005-0000-0000-0000A0630000}"/>
    <cellStyle name="X_Bang Cong tac 5 3_TOM TAT" xfId="24517" xr:uid="{00000000-0005-0000-0000-0000A1630000}"/>
    <cellStyle name="X_Bang Cong tac 5_TOM TAT" xfId="13978" xr:uid="{00000000-0005-0000-0000-0000A2630000}"/>
    <cellStyle name="X_Bang Cong tac 5_TOM TAT 2" xfId="13979" xr:uid="{00000000-0005-0000-0000-0000A3630000}"/>
    <cellStyle name="X_Bang Cong tac 5_TOM TAT 2_TOM TAT" xfId="24519" xr:uid="{00000000-0005-0000-0000-0000A4630000}"/>
    <cellStyle name="X_Bang Cong tac 5_TOM TAT_1" xfId="24512" xr:uid="{00000000-0005-0000-0000-0000A5630000}"/>
    <cellStyle name="X_Bang Cong tac 5_TOM TAT_TOM TAT" xfId="24518" xr:uid="{00000000-0005-0000-0000-0000A6630000}"/>
    <cellStyle name="X_Bang Cong tac 6" xfId="13980" xr:uid="{00000000-0005-0000-0000-0000A7630000}"/>
    <cellStyle name="X_Bang Cong tac 6 2" xfId="13981" xr:uid="{00000000-0005-0000-0000-0000A8630000}"/>
    <cellStyle name="X_Bang Cong tac 6 2 2" xfId="13982" xr:uid="{00000000-0005-0000-0000-0000A9630000}"/>
    <cellStyle name="X_Bang Cong tac 6 2 2_TOM TAT" xfId="24522" xr:uid="{00000000-0005-0000-0000-0000AA630000}"/>
    <cellStyle name="X_Bang Cong tac 6 2_TOM TAT" xfId="13983" xr:uid="{00000000-0005-0000-0000-0000AB630000}"/>
    <cellStyle name="X_Bang Cong tac 6 2_TOM TAT 2" xfId="13984" xr:uid="{00000000-0005-0000-0000-0000AC630000}"/>
    <cellStyle name="X_Bang Cong tac 6 2_TOM TAT 2_TOM TAT" xfId="24524" xr:uid="{00000000-0005-0000-0000-0000AD630000}"/>
    <cellStyle name="X_Bang Cong tac 6 2_TOM TAT_1" xfId="24521" xr:uid="{00000000-0005-0000-0000-0000AE630000}"/>
    <cellStyle name="X_Bang Cong tac 6 2_TOM TAT_TOM TAT" xfId="24523" xr:uid="{00000000-0005-0000-0000-0000AF630000}"/>
    <cellStyle name="X_Bang Cong tac 6 3" xfId="13985" xr:uid="{00000000-0005-0000-0000-0000B0630000}"/>
    <cellStyle name="X_Bang Cong tac 6 3_TOM TAT" xfId="24525" xr:uid="{00000000-0005-0000-0000-0000B1630000}"/>
    <cellStyle name="X_Bang Cong tac 6_TOM TAT" xfId="13986" xr:uid="{00000000-0005-0000-0000-0000B2630000}"/>
    <cellStyle name="X_Bang Cong tac 6_TOM TAT 2" xfId="13987" xr:uid="{00000000-0005-0000-0000-0000B3630000}"/>
    <cellStyle name="X_Bang Cong tac 6_TOM TAT 2_TOM TAT" xfId="24527" xr:uid="{00000000-0005-0000-0000-0000B4630000}"/>
    <cellStyle name="X_Bang Cong tac 6_TOM TAT_1" xfId="24520" xr:uid="{00000000-0005-0000-0000-0000B5630000}"/>
    <cellStyle name="X_Bang Cong tac 6_TOM TAT_TOM TAT" xfId="24526" xr:uid="{00000000-0005-0000-0000-0000B6630000}"/>
    <cellStyle name="X_Bang Cong tac 7" xfId="13988" xr:uid="{00000000-0005-0000-0000-0000B7630000}"/>
    <cellStyle name="X_Bang Cong tac 7_TOM TAT" xfId="24528" xr:uid="{00000000-0005-0000-0000-0000B8630000}"/>
    <cellStyle name="X_Bang Cong tac 8" xfId="13989" xr:uid="{00000000-0005-0000-0000-0000B9630000}"/>
    <cellStyle name="X_Bang Cong tac 8_TOM TAT" xfId="24529" xr:uid="{00000000-0005-0000-0000-0000BA630000}"/>
    <cellStyle name="X_Bang Cong tac 9" xfId="13990" xr:uid="{00000000-0005-0000-0000-0000BB630000}"/>
    <cellStyle name="X_Bang Cong tac 9_TOM TAT" xfId="24530" xr:uid="{00000000-0005-0000-0000-0000BC630000}"/>
    <cellStyle name="X_Bang Cong tac_TOM TAT" xfId="13991" xr:uid="{00000000-0005-0000-0000-0000BD630000}"/>
    <cellStyle name="X_Bang Cong tac_TOM TAT 2" xfId="13992" xr:uid="{00000000-0005-0000-0000-0000BE630000}"/>
    <cellStyle name="X_Bang Cong tac_TOM TAT 2_TOM TAT" xfId="24532" xr:uid="{00000000-0005-0000-0000-0000BF630000}"/>
    <cellStyle name="X_Bang Cong tac_TOM TAT_1" xfId="24432" xr:uid="{00000000-0005-0000-0000-0000C0630000}"/>
    <cellStyle name="X_Bang Cong tac_TOM TAT_TOM TAT" xfId="24531" xr:uid="{00000000-0005-0000-0000-0000C1630000}"/>
    <cellStyle name="x_C&amp;G OSM" xfId="1791" xr:uid="{00000000-0005-0000-0000-0000C2630000}"/>
    <cellStyle name="x_C&amp;G OSM 2" xfId="4809" xr:uid="{00000000-0005-0000-0000-0000C3630000}"/>
    <cellStyle name="x_C&amp;G OSM 2 2" xfId="13993" xr:uid="{00000000-0005-0000-0000-0000C4630000}"/>
    <cellStyle name="x_C&amp;G OSM 2 2_TOM TAT" xfId="24534" xr:uid="{00000000-0005-0000-0000-0000C5630000}"/>
    <cellStyle name="x_C&amp;G OSM 2_TOM TAT" xfId="13994" xr:uid="{00000000-0005-0000-0000-0000C6630000}"/>
    <cellStyle name="x_C&amp;G OSM 2_TOM TAT 2" xfId="13995" xr:uid="{00000000-0005-0000-0000-0000C7630000}"/>
    <cellStyle name="x_C&amp;G OSM 2_TOM TAT 2_TOM TAT" xfId="24536" xr:uid="{00000000-0005-0000-0000-0000C8630000}"/>
    <cellStyle name="x_C&amp;G OSM 2_TOM TAT_TOM TAT" xfId="24535" xr:uid="{00000000-0005-0000-0000-0000C9630000}"/>
    <cellStyle name="x_C&amp;G OSM 3" xfId="18560" xr:uid="{00000000-0005-0000-0000-0000CA630000}"/>
    <cellStyle name="x_C&amp;G OSM 3_TOM TAT" xfId="24537" xr:uid="{00000000-0005-0000-0000-0000CB630000}"/>
    <cellStyle name="x_C&amp;G OSM 4" xfId="18892" xr:uid="{00000000-0005-0000-0000-0000CC630000}"/>
    <cellStyle name="x_C&amp;G OSM 4_TOM TAT" xfId="24538" xr:uid="{00000000-0005-0000-0000-0000CD630000}"/>
    <cellStyle name="x_C&amp;G OSM_TOM TAT" xfId="13996" xr:uid="{00000000-0005-0000-0000-0000CE630000}"/>
    <cellStyle name="x_C&amp;G OSM_TOM TAT 2" xfId="13997" xr:uid="{00000000-0005-0000-0000-0000CF630000}"/>
    <cellStyle name="x_C&amp;G OSM_TOM TAT 2_TOM TAT" xfId="24540" xr:uid="{00000000-0005-0000-0000-0000D0630000}"/>
    <cellStyle name="x_C&amp;G OSM_TOM TAT_1" xfId="24533" xr:uid="{00000000-0005-0000-0000-0000D1630000}"/>
    <cellStyle name="x_C&amp;G OSM_TOM TAT_TOM TAT" xfId="24539" xr:uid="{00000000-0005-0000-0000-0000D2630000}"/>
    <cellStyle name="x_Copy 1 of F" xfId="1792" xr:uid="{00000000-0005-0000-0000-0000D3630000}"/>
    <cellStyle name="x_Copy 1 of F 2" xfId="4810" xr:uid="{00000000-0005-0000-0000-0000D4630000}"/>
    <cellStyle name="x_Copy 1 of F 2 2" xfId="13998" xr:uid="{00000000-0005-0000-0000-0000D5630000}"/>
    <cellStyle name="x_Copy 1 of F 2 2_TOM TAT" xfId="24542" xr:uid="{00000000-0005-0000-0000-0000D6630000}"/>
    <cellStyle name="x_Copy 1 of F 2_TOM TAT" xfId="13999" xr:uid="{00000000-0005-0000-0000-0000D7630000}"/>
    <cellStyle name="x_Copy 1 of F 2_TOM TAT 2" xfId="14000" xr:uid="{00000000-0005-0000-0000-0000D8630000}"/>
    <cellStyle name="x_Copy 1 of F 2_TOM TAT 2_TOM TAT" xfId="24544" xr:uid="{00000000-0005-0000-0000-0000D9630000}"/>
    <cellStyle name="x_Copy 1 of F 2_TOM TAT_TOM TAT" xfId="24543" xr:uid="{00000000-0005-0000-0000-0000DA630000}"/>
    <cellStyle name="x_Copy 1 of F 3" xfId="18561" xr:uid="{00000000-0005-0000-0000-0000DB630000}"/>
    <cellStyle name="x_Copy 1 of F 3_TOM TAT" xfId="24545" xr:uid="{00000000-0005-0000-0000-0000DC630000}"/>
    <cellStyle name="x_Copy 1 of F 4" xfId="18893" xr:uid="{00000000-0005-0000-0000-0000DD630000}"/>
    <cellStyle name="x_Copy 1 of F 4_TOM TAT" xfId="24546" xr:uid="{00000000-0005-0000-0000-0000DE630000}"/>
    <cellStyle name="x_Copy 1 of F_TOM TAT" xfId="14001" xr:uid="{00000000-0005-0000-0000-0000DF630000}"/>
    <cellStyle name="x_Copy 1 of F_TOM TAT 2" xfId="14002" xr:uid="{00000000-0005-0000-0000-0000E0630000}"/>
    <cellStyle name="x_Copy 1 of F_TOM TAT 2_TOM TAT" xfId="24548" xr:uid="{00000000-0005-0000-0000-0000E1630000}"/>
    <cellStyle name="x_Copy 1 of F_TOM TAT_1" xfId="24541" xr:uid="{00000000-0005-0000-0000-0000E2630000}"/>
    <cellStyle name="x_Copy 1 of F_TOM TAT_TOM TAT" xfId="24547" xr:uid="{00000000-0005-0000-0000-0000E3630000}"/>
    <cellStyle name="X_DA Hung vuong -26-7 - them 38m2- he so 8.0" xfId="1793" xr:uid="{00000000-0005-0000-0000-0000E4630000}"/>
    <cellStyle name="X_DA Hung vuong -26-7 - them 38m2- he so 8.0 10" xfId="18562" xr:uid="{00000000-0005-0000-0000-0000E5630000}"/>
    <cellStyle name="X_DA Hung vuong -26-7 - them 38m2- he so 8.0 10_TOM TAT" xfId="24550" xr:uid="{00000000-0005-0000-0000-0000E6630000}"/>
    <cellStyle name="X_DA Hung vuong -26-7 - them 38m2- he so 8.0 11" xfId="18894" xr:uid="{00000000-0005-0000-0000-0000E7630000}"/>
    <cellStyle name="X_DA Hung vuong -26-7 - them 38m2- he so 8.0 11 2" xfId="31832" xr:uid="{00000000-0005-0000-0000-0000E8630000}"/>
    <cellStyle name="X_DA Hung vuong -26-7 - them 38m2- he so 8.0 11_TOM TAT" xfId="24551" xr:uid="{00000000-0005-0000-0000-0000E9630000}"/>
    <cellStyle name="X_DA Hung vuong -26-7 - them 38m2- he so 8.0 12" xfId="27003" xr:uid="{00000000-0005-0000-0000-0000EA630000}"/>
    <cellStyle name="X_DA Hung vuong -26-7 - them 38m2- he so 8.0 2" xfId="4811" xr:uid="{00000000-0005-0000-0000-0000EB630000}"/>
    <cellStyle name="X_DA Hung vuong -26-7 - them 38m2- he so 8.0 2 2" xfId="14003" xr:uid="{00000000-0005-0000-0000-0000EC630000}"/>
    <cellStyle name="X_DA Hung vuong -26-7 - them 38m2- he so 8.0 2 2_TOM TAT" xfId="24552" xr:uid="{00000000-0005-0000-0000-0000ED630000}"/>
    <cellStyle name="X_DA Hung vuong -26-7 - them 38m2- he so 8.0 2 3" xfId="18651" xr:uid="{00000000-0005-0000-0000-0000EE630000}"/>
    <cellStyle name="X_DA Hung vuong -26-7 - them 38m2- he so 8.0 2 3_TOM TAT" xfId="24553" xr:uid="{00000000-0005-0000-0000-0000EF630000}"/>
    <cellStyle name="X_DA Hung vuong -26-7 - them 38m2- he so 8.0 2 4" xfId="18936" xr:uid="{00000000-0005-0000-0000-0000F0630000}"/>
    <cellStyle name="X_DA Hung vuong -26-7 - them 38m2- he so 8.0 2 4 2" xfId="31853" xr:uid="{00000000-0005-0000-0000-0000F1630000}"/>
    <cellStyle name="X_DA Hung vuong -26-7 - them 38m2- he so 8.0 2 4_TOM TAT" xfId="24554" xr:uid="{00000000-0005-0000-0000-0000F2630000}"/>
    <cellStyle name="X_DA Hung vuong -26-7 - them 38m2- he so 8.0 2_TOM TAT" xfId="14004" xr:uid="{00000000-0005-0000-0000-0000F3630000}"/>
    <cellStyle name="X_DA Hung vuong -26-7 - them 38m2- he so 8.0 2_TOM TAT 2" xfId="14005" xr:uid="{00000000-0005-0000-0000-0000F4630000}"/>
    <cellStyle name="X_DA Hung vuong -26-7 - them 38m2- he so 8.0 2_TOM TAT 2_TOM TAT" xfId="24556" xr:uid="{00000000-0005-0000-0000-0000F5630000}"/>
    <cellStyle name="X_DA Hung vuong -26-7 - them 38m2- he so 8.0 2_TOM TAT_TOM TAT" xfId="24555" xr:uid="{00000000-0005-0000-0000-0000F6630000}"/>
    <cellStyle name="X_DA Hung vuong -26-7 - them 38m2- he so 8.0 3" xfId="5718" xr:uid="{00000000-0005-0000-0000-0000F7630000}"/>
    <cellStyle name="X_DA Hung vuong -26-7 - them 38m2- he so 8.0 3 2" xfId="5719" xr:uid="{00000000-0005-0000-0000-0000F8630000}"/>
    <cellStyle name="X_DA Hung vuong -26-7 - them 38m2- he so 8.0 3 2 2" xfId="14006" xr:uid="{00000000-0005-0000-0000-0000F9630000}"/>
    <cellStyle name="X_DA Hung vuong -26-7 - them 38m2- he so 8.0 3 2 2 2" xfId="14007" xr:uid="{00000000-0005-0000-0000-0000FA630000}"/>
    <cellStyle name="X_DA Hung vuong -26-7 - them 38m2- he so 8.0 3 2 2 2 2" xfId="14008" xr:uid="{00000000-0005-0000-0000-0000FB630000}"/>
    <cellStyle name="X_DA Hung vuong -26-7 - them 38m2- he so 8.0 3 2 2 2 2_TOM TAT" xfId="24561" xr:uid="{00000000-0005-0000-0000-0000FC630000}"/>
    <cellStyle name="X_DA Hung vuong -26-7 - them 38m2- he so 8.0 3 2 2 2_TOM TAT" xfId="14009" xr:uid="{00000000-0005-0000-0000-0000FD630000}"/>
    <cellStyle name="X_DA Hung vuong -26-7 - them 38m2- he so 8.0 3 2 2 2_TOM TAT 2" xfId="14010" xr:uid="{00000000-0005-0000-0000-0000FE630000}"/>
    <cellStyle name="X_DA Hung vuong -26-7 - them 38m2- he so 8.0 3 2 2 2_TOM TAT 2_TOM TAT" xfId="24563" xr:uid="{00000000-0005-0000-0000-0000FF630000}"/>
    <cellStyle name="X_DA Hung vuong -26-7 - them 38m2- he so 8.0 3 2 2 2_TOM TAT_1" xfId="24560" xr:uid="{00000000-0005-0000-0000-000000640000}"/>
    <cellStyle name="X_DA Hung vuong -26-7 - them 38m2- he so 8.0 3 2 2 2_TOM TAT_TOM TAT" xfId="24562" xr:uid="{00000000-0005-0000-0000-000001640000}"/>
    <cellStyle name="X_DA Hung vuong -26-7 - them 38m2- he so 8.0 3 2 2 3" xfId="14011" xr:uid="{00000000-0005-0000-0000-000002640000}"/>
    <cellStyle name="X_DA Hung vuong -26-7 - them 38m2- he so 8.0 3 2 2 3_TOM TAT" xfId="24564" xr:uid="{00000000-0005-0000-0000-000003640000}"/>
    <cellStyle name="X_DA Hung vuong -26-7 - them 38m2- he so 8.0 3 2 2_TOM TAT" xfId="14012" xr:uid="{00000000-0005-0000-0000-000004640000}"/>
    <cellStyle name="X_DA Hung vuong -26-7 - them 38m2- he so 8.0 3 2 2_TOM TAT 2" xfId="14013" xr:uid="{00000000-0005-0000-0000-000005640000}"/>
    <cellStyle name="X_DA Hung vuong -26-7 - them 38m2- he so 8.0 3 2 2_TOM TAT 2_TOM TAT" xfId="24566" xr:uid="{00000000-0005-0000-0000-000006640000}"/>
    <cellStyle name="X_DA Hung vuong -26-7 - them 38m2- he so 8.0 3 2 2_TOM TAT_1" xfId="24559" xr:uid="{00000000-0005-0000-0000-000007640000}"/>
    <cellStyle name="X_DA Hung vuong -26-7 - them 38m2- he so 8.0 3 2 2_TOM TAT_TOM TAT" xfId="24565" xr:uid="{00000000-0005-0000-0000-000008640000}"/>
    <cellStyle name="X_DA Hung vuong -26-7 - them 38m2- he so 8.0 3 2 3" xfId="14014" xr:uid="{00000000-0005-0000-0000-000009640000}"/>
    <cellStyle name="X_DA Hung vuong -26-7 - them 38m2- he so 8.0 3 2 3 2" xfId="14015" xr:uid="{00000000-0005-0000-0000-00000A640000}"/>
    <cellStyle name="X_DA Hung vuong -26-7 - them 38m2- he so 8.0 3 2 3 2 2" xfId="14016" xr:uid="{00000000-0005-0000-0000-00000B640000}"/>
    <cellStyle name="X_DA Hung vuong -26-7 - them 38m2- he so 8.0 3 2 3 2 2_TOM TAT" xfId="24569" xr:uid="{00000000-0005-0000-0000-00000C640000}"/>
    <cellStyle name="X_DA Hung vuong -26-7 - them 38m2- he so 8.0 3 2 3 2_TOM TAT" xfId="14017" xr:uid="{00000000-0005-0000-0000-00000D640000}"/>
    <cellStyle name="X_DA Hung vuong -26-7 - them 38m2- he so 8.0 3 2 3 2_TOM TAT 2" xfId="14018" xr:uid="{00000000-0005-0000-0000-00000E640000}"/>
    <cellStyle name="X_DA Hung vuong -26-7 - them 38m2- he so 8.0 3 2 3 2_TOM TAT 2_TOM TAT" xfId="24571" xr:uid="{00000000-0005-0000-0000-00000F640000}"/>
    <cellStyle name="X_DA Hung vuong -26-7 - them 38m2- he so 8.0 3 2 3 2_TOM TAT_1" xfId="24568" xr:uid="{00000000-0005-0000-0000-000010640000}"/>
    <cellStyle name="X_DA Hung vuong -26-7 - them 38m2- he so 8.0 3 2 3 2_TOM TAT_TOM TAT" xfId="24570" xr:uid="{00000000-0005-0000-0000-000011640000}"/>
    <cellStyle name="X_DA Hung vuong -26-7 - them 38m2- he so 8.0 3 2 3 3" xfId="14019" xr:uid="{00000000-0005-0000-0000-000012640000}"/>
    <cellStyle name="X_DA Hung vuong -26-7 - them 38m2- he so 8.0 3 2 3 3_TOM TAT" xfId="24572" xr:uid="{00000000-0005-0000-0000-000013640000}"/>
    <cellStyle name="X_DA Hung vuong -26-7 - them 38m2- he so 8.0 3 2 3_TOM TAT" xfId="14020" xr:uid="{00000000-0005-0000-0000-000014640000}"/>
    <cellStyle name="X_DA Hung vuong -26-7 - them 38m2- he so 8.0 3 2 3_TOM TAT 2" xfId="14021" xr:uid="{00000000-0005-0000-0000-000015640000}"/>
    <cellStyle name="X_DA Hung vuong -26-7 - them 38m2- he so 8.0 3 2 3_TOM TAT 2_TOM TAT" xfId="24574" xr:uid="{00000000-0005-0000-0000-000016640000}"/>
    <cellStyle name="X_DA Hung vuong -26-7 - them 38m2- he so 8.0 3 2 3_TOM TAT_1" xfId="24567" xr:uid="{00000000-0005-0000-0000-000017640000}"/>
    <cellStyle name="X_DA Hung vuong -26-7 - them 38m2- he so 8.0 3 2 3_TOM TAT_TOM TAT" xfId="24573" xr:uid="{00000000-0005-0000-0000-000018640000}"/>
    <cellStyle name="X_DA Hung vuong -26-7 - them 38m2- he so 8.0 3 2 4" xfId="14022" xr:uid="{00000000-0005-0000-0000-000019640000}"/>
    <cellStyle name="X_DA Hung vuong -26-7 - them 38m2- he so 8.0 3 2 4 2" xfId="14023" xr:uid="{00000000-0005-0000-0000-00001A640000}"/>
    <cellStyle name="X_DA Hung vuong -26-7 - them 38m2- he so 8.0 3 2 4 2_TOM TAT" xfId="24576" xr:uid="{00000000-0005-0000-0000-00001B640000}"/>
    <cellStyle name="X_DA Hung vuong -26-7 - them 38m2- he so 8.0 3 2 4_TOM TAT" xfId="14024" xr:uid="{00000000-0005-0000-0000-00001C640000}"/>
    <cellStyle name="X_DA Hung vuong -26-7 - them 38m2- he so 8.0 3 2 4_TOM TAT 2" xfId="14025" xr:uid="{00000000-0005-0000-0000-00001D640000}"/>
    <cellStyle name="X_DA Hung vuong -26-7 - them 38m2- he so 8.0 3 2 4_TOM TAT 2_TOM TAT" xfId="24578" xr:uid="{00000000-0005-0000-0000-00001E640000}"/>
    <cellStyle name="X_DA Hung vuong -26-7 - them 38m2- he so 8.0 3 2 4_TOM TAT_1" xfId="24575" xr:uid="{00000000-0005-0000-0000-00001F640000}"/>
    <cellStyle name="X_DA Hung vuong -26-7 - them 38m2- he so 8.0 3 2 4_TOM TAT_TOM TAT" xfId="24577" xr:uid="{00000000-0005-0000-0000-000020640000}"/>
    <cellStyle name="X_DA Hung vuong -26-7 - them 38m2- he so 8.0 3 2 5" xfId="14026" xr:uid="{00000000-0005-0000-0000-000021640000}"/>
    <cellStyle name="X_DA Hung vuong -26-7 - them 38m2- he so 8.0 3 2 5_TOM TAT" xfId="24579" xr:uid="{00000000-0005-0000-0000-000022640000}"/>
    <cellStyle name="X_DA Hung vuong -26-7 - them 38m2- he so 8.0 3 2 6" xfId="28321" xr:uid="{00000000-0005-0000-0000-000023640000}"/>
    <cellStyle name="X_DA Hung vuong -26-7 - them 38m2- he so 8.0 3 2 7" xfId="14728" xr:uid="{00000000-0005-0000-0000-000024640000}"/>
    <cellStyle name="X_DA Hung vuong -26-7 - them 38m2- he so 8.0 3 2_TOM TAT" xfId="14027" xr:uid="{00000000-0005-0000-0000-000025640000}"/>
    <cellStyle name="X_DA Hung vuong -26-7 - them 38m2- he so 8.0 3 2_TOM TAT 2" xfId="14028" xr:uid="{00000000-0005-0000-0000-000026640000}"/>
    <cellStyle name="X_DA Hung vuong -26-7 - them 38m2- he so 8.0 3 2_TOM TAT 2_TOM TAT" xfId="24581" xr:uid="{00000000-0005-0000-0000-000027640000}"/>
    <cellStyle name="X_DA Hung vuong -26-7 - them 38m2- he so 8.0 3 2_TOM TAT_1" xfId="24558" xr:uid="{00000000-0005-0000-0000-000028640000}"/>
    <cellStyle name="X_DA Hung vuong -26-7 - them 38m2- he so 8.0 3 2_TOM TAT_TOM TAT" xfId="24580" xr:uid="{00000000-0005-0000-0000-000029640000}"/>
    <cellStyle name="X_DA Hung vuong -26-7 - them 38m2- he so 8.0 3 3" xfId="14029" xr:uid="{00000000-0005-0000-0000-00002A640000}"/>
    <cellStyle name="X_DA Hung vuong -26-7 - them 38m2- he so 8.0 3 3 2" xfId="14030" xr:uid="{00000000-0005-0000-0000-00002B640000}"/>
    <cellStyle name="X_DA Hung vuong -26-7 - them 38m2- he so 8.0 3 3 2 2" xfId="14031" xr:uid="{00000000-0005-0000-0000-00002C640000}"/>
    <cellStyle name="X_DA Hung vuong -26-7 - them 38m2- he so 8.0 3 3 2 2_TOM TAT" xfId="24584" xr:uid="{00000000-0005-0000-0000-00002D640000}"/>
    <cellStyle name="X_DA Hung vuong -26-7 - them 38m2- he so 8.0 3 3 2_TOM TAT" xfId="14032" xr:uid="{00000000-0005-0000-0000-00002E640000}"/>
    <cellStyle name="X_DA Hung vuong -26-7 - them 38m2- he so 8.0 3 3 2_TOM TAT 2" xfId="14033" xr:uid="{00000000-0005-0000-0000-00002F640000}"/>
    <cellStyle name="X_DA Hung vuong -26-7 - them 38m2- he so 8.0 3 3 2_TOM TAT 2_TOM TAT" xfId="24586" xr:uid="{00000000-0005-0000-0000-000030640000}"/>
    <cellStyle name="X_DA Hung vuong -26-7 - them 38m2- he so 8.0 3 3 2_TOM TAT_1" xfId="24583" xr:uid="{00000000-0005-0000-0000-000031640000}"/>
    <cellStyle name="X_DA Hung vuong -26-7 - them 38m2- he so 8.0 3 3 2_TOM TAT_TOM TAT" xfId="24585" xr:uid="{00000000-0005-0000-0000-000032640000}"/>
    <cellStyle name="X_DA Hung vuong -26-7 - them 38m2- he so 8.0 3 3 3" xfId="14034" xr:uid="{00000000-0005-0000-0000-000033640000}"/>
    <cellStyle name="X_DA Hung vuong -26-7 - them 38m2- he so 8.0 3 3 3_TOM TAT" xfId="24587" xr:uid="{00000000-0005-0000-0000-000034640000}"/>
    <cellStyle name="X_DA Hung vuong -26-7 - them 38m2- he so 8.0 3 3_TOM TAT" xfId="14035" xr:uid="{00000000-0005-0000-0000-000035640000}"/>
    <cellStyle name="X_DA Hung vuong -26-7 - them 38m2- he so 8.0 3 3_TOM TAT 2" xfId="14036" xr:uid="{00000000-0005-0000-0000-000036640000}"/>
    <cellStyle name="X_DA Hung vuong -26-7 - them 38m2- he so 8.0 3 3_TOM TAT 2_TOM TAT" xfId="24589" xr:uid="{00000000-0005-0000-0000-000037640000}"/>
    <cellStyle name="X_DA Hung vuong -26-7 - them 38m2- he so 8.0 3 3_TOM TAT_1" xfId="24582" xr:uid="{00000000-0005-0000-0000-000038640000}"/>
    <cellStyle name="X_DA Hung vuong -26-7 - them 38m2- he so 8.0 3 3_TOM TAT_TOM TAT" xfId="24588" xr:uid="{00000000-0005-0000-0000-000039640000}"/>
    <cellStyle name="X_DA Hung vuong -26-7 - them 38m2- he so 8.0 3 4" xfId="14037" xr:uid="{00000000-0005-0000-0000-00003A640000}"/>
    <cellStyle name="X_DA Hung vuong -26-7 - them 38m2- he so 8.0 3 4 2" xfId="14038" xr:uid="{00000000-0005-0000-0000-00003B640000}"/>
    <cellStyle name="X_DA Hung vuong -26-7 - them 38m2- he so 8.0 3 4 2 2" xfId="14039" xr:uid="{00000000-0005-0000-0000-00003C640000}"/>
    <cellStyle name="X_DA Hung vuong -26-7 - them 38m2- he so 8.0 3 4 2 2_TOM TAT" xfId="24592" xr:uid="{00000000-0005-0000-0000-00003D640000}"/>
    <cellStyle name="X_DA Hung vuong -26-7 - them 38m2- he so 8.0 3 4 2_TOM TAT" xfId="14040" xr:uid="{00000000-0005-0000-0000-00003E640000}"/>
    <cellStyle name="X_DA Hung vuong -26-7 - them 38m2- he so 8.0 3 4 2_TOM TAT 2" xfId="14041" xr:uid="{00000000-0005-0000-0000-00003F640000}"/>
    <cellStyle name="X_DA Hung vuong -26-7 - them 38m2- he so 8.0 3 4 2_TOM TAT 2_TOM TAT" xfId="24594" xr:uid="{00000000-0005-0000-0000-000040640000}"/>
    <cellStyle name="X_DA Hung vuong -26-7 - them 38m2- he so 8.0 3 4 2_TOM TAT_1" xfId="24591" xr:uid="{00000000-0005-0000-0000-000041640000}"/>
    <cellStyle name="X_DA Hung vuong -26-7 - them 38m2- he so 8.0 3 4 2_TOM TAT_TOM TAT" xfId="24593" xr:uid="{00000000-0005-0000-0000-000042640000}"/>
    <cellStyle name="X_DA Hung vuong -26-7 - them 38m2- he so 8.0 3 4 3" xfId="14042" xr:uid="{00000000-0005-0000-0000-000043640000}"/>
    <cellStyle name="X_DA Hung vuong -26-7 - them 38m2- he so 8.0 3 4 3_TOM TAT" xfId="24595" xr:uid="{00000000-0005-0000-0000-000044640000}"/>
    <cellStyle name="X_DA Hung vuong -26-7 - them 38m2- he so 8.0 3 4_TOM TAT" xfId="14043" xr:uid="{00000000-0005-0000-0000-000045640000}"/>
    <cellStyle name="X_DA Hung vuong -26-7 - them 38m2- he so 8.0 3 4_TOM TAT 2" xfId="14044" xr:uid="{00000000-0005-0000-0000-000046640000}"/>
    <cellStyle name="X_DA Hung vuong -26-7 - them 38m2- he so 8.0 3 4_TOM TAT 2_TOM TAT" xfId="24597" xr:uid="{00000000-0005-0000-0000-000047640000}"/>
    <cellStyle name="X_DA Hung vuong -26-7 - them 38m2- he so 8.0 3 4_TOM TAT_1" xfId="24590" xr:uid="{00000000-0005-0000-0000-000048640000}"/>
    <cellStyle name="X_DA Hung vuong -26-7 - them 38m2- he so 8.0 3 4_TOM TAT_TOM TAT" xfId="24596" xr:uid="{00000000-0005-0000-0000-000049640000}"/>
    <cellStyle name="X_DA Hung vuong -26-7 - them 38m2- he so 8.0 3 5" xfId="14045" xr:uid="{00000000-0005-0000-0000-00004A640000}"/>
    <cellStyle name="X_DA Hung vuong -26-7 - them 38m2- he so 8.0 3 5 2" xfId="14046" xr:uid="{00000000-0005-0000-0000-00004B640000}"/>
    <cellStyle name="X_DA Hung vuong -26-7 - them 38m2- he so 8.0 3 5 2_TOM TAT" xfId="24599" xr:uid="{00000000-0005-0000-0000-00004C640000}"/>
    <cellStyle name="X_DA Hung vuong -26-7 - them 38m2- he so 8.0 3 5_TOM TAT" xfId="14047" xr:uid="{00000000-0005-0000-0000-00004D640000}"/>
    <cellStyle name="X_DA Hung vuong -26-7 - them 38m2- he so 8.0 3 5_TOM TAT 2" xfId="14048" xr:uid="{00000000-0005-0000-0000-00004E640000}"/>
    <cellStyle name="X_DA Hung vuong -26-7 - them 38m2- he so 8.0 3 5_TOM TAT 2_TOM TAT" xfId="24601" xr:uid="{00000000-0005-0000-0000-00004F640000}"/>
    <cellStyle name="X_DA Hung vuong -26-7 - them 38m2- he so 8.0 3 5_TOM TAT_1" xfId="24598" xr:uid="{00000000-0005-0000-0000-000050640000}"/>
    <cellStyle name="X_DA Hung vuong -26-7 - them 38m2- he so 8.0 3 5_TOM TAT_TOM TAT" xfId="24600" xr:uid="{00000000-0005-0000-0000-000051640000}"/>
    <cellStyle name="X_DA Hung vuong -26-7 - them 38m2- he so 8.0 3 6" xfId="14049" xr:uid="{00000000-0005-0000-0000-000052640000}"/>
    <cellStyle name="X_DA Hung vuong -26-7 - them 38m2- he so 8.0 3 6_TOM TAT" xfId="24602" xr:uid="{00000000-0005-0000-0000-000053640000}"/>
    <cellStyle name="X_DA Hung vuong -26-7 - them 38m2- he so 8.0 3 7" xfId="28320" xr:uid="{00000000-0005-0000-0000-000054640000}"/>
    <cellStyle name="X_DA Hung vuong -26-7 - them 38m2- he so 8.0 3 8" xfId="14727" xr:uid="{00000000-0005-0000-0000-000055640000}"/>
    <cellStyle name="X_DA Hung vuong -26-7 - them 38m2- he so 8.0 3_TOM TAT" xfId="14050" xr:uid="{00000000-0005-0000-0000-000056640000}"/>
    <cellStyle name="X_DA Hung vuong -26-7 - them 38m2- he so 8.0 3_TOM TAT 2" xfId="14051" xr:uid="{00000000-0005-0000-0000-000057640000}"/>
    <cellStyle name="X_DA Hung vuong -26-7 - them 38m2- he so 8.0 3_TOM TAT 2_TOM TAT" xfId="24604" xr:uid="{00000000-0005-0000-0000-000058640000}"/>
    <cellStyle name="X_DA Hung vuong -26-7 - them 38m2- he so 8.0 3_TOM TAT_1" xfId="24557" xr:uid="{00000000-0005-0000-0000-000059640000}"/>
    <cellStyle name="X_DA Hung vuong -26-7 - them 38m2- he so 8.0 3_TOM TAT_TOM TAT" xfId="24603" xr:uid="{00000000-0005-0000-0000-00005A640000}"/>
    <cellStyle name="X_DA Hung vuong -26-7 - them 38m2- he so 8.0 4" xfId="5720" xr:uid="{00000000-0005-0000-0000-00005B640000}"/>
    <cellStyle name="X_DA Hung vuong -26-7 - them 38m2- he so 8.0 4 2" xfId="14052" xr:uid="{00000000-0005-0000-0000-00005C640000}"/>
    <cellStyle name="X_DA Hung vuong -26-7 - them 38m2- he so 8.0 4 2 2" xfId="14053" xr:uid="{00000000-0005-0000-0000-00005D640000}"/>
    <cellStyle name="X_DA Hung vuong -26-7 - them 38m2- he so 8.0 4 2 2 2" xfId="14054" xr:uid="{00000000-0005-0000-0000-00005E640000}"/>
    <cellStyle name="X_DA Hung vuong -26-7 - them 38m2- he so 8.0 4 2 2 2_TOM TAT" xfId="24608" xr:uid="{00000000-0005-0000-0000-00005F640000}"/>
    <cellStyle name="X_DA Hung vuong -26-7 - them 38m2- he so 8.0 4 2 2_TOM TAT" xfId="14055" xr:uid="{00000000-0005-0000-0000-000060640000}"/>
    <cellStyle name="X_DA Hung vuong -26-7 - them 38m2- he so 8.0 4 2 2_TOM TAT 2" xfId="14056" xr:uid="{00000000-0005-0000-0000-000061640000}"/>
    <cellStyle name="X_DA Hung vuong -26-7 - them 38m2- he so 8.0 4 2 2_TOM TAT 2_TOM TAT" xfId="24610" xr:uid="{00000000-0005-0000-0000-000062640000}"/>
    <cellStyle name="X_DA Hung vuong -26-7 - them 38m2- he so 8.0 4 2 2_TOM TAT_1" xfId="24607" xr:uid="{00000000-0005-0000-0000-000063640000}"/>
    <cellStyle name="X_DA Hung vuong -26-7 - them 38m2- he so 8.0 4 2 2_TOM TAT_TOM TAT" xfId="24609" xr:uid="{00000000-0005-0000-0000-000064640000}"/>
    <cellStyle name="X_DA Hung vuong -26-7 - them 38m2- he so 8.0 4 2 3" xfId="14057" xr:uid="{00000000-0005-0000-0000-000065640000}"/>
    <cellStyle name="X_DA Hung vuong -26-7 - them 38m2- he so 8.0 4 2 3_TOM TAT" xfId="24611" xr:uid="{00000000-0005-0000-0000-000066640000}"/>
    <cellStyle name="X_DA Hung vuong -26-7 - them 38m2- he so 8.0 4 2_TOM TAT" xfId="14058" xr:uid="{00000000-0005-0000-0000-000067640000}"/>
    <cellStyle name="X_DA Hung vuong -26-7 - them 38m2- he so 8.0 4 2_TOM TAT 2" xfId="14059" xr:uid="{00000000-0005-0000-0000-000068640000}"/>
    <cellStyle name="X_DA Hung vuong -26-7 - them 38m2- he so 8.0 4 2_TOM TAT 2_TOM TAT" xfId="24613" xr:uid="{00000000-0005-0000-0000-000069640000}"/>
    <cellStyle name="X_DA Hung vuong -26-7 - them 38m2- he so 8.0 4 2_TOM TAT_1" xfId="24606" xr:uid="{00000000-0005-0000-0000-00006A640000}"/>
    <cellStyle name="X_DA Hung vuong -26-7 - them 38m2- he so 8.0 4 2_TOM TAT_TOM TAT" xfId="24612" xr:uid="{00000000-0005-0000-0000-00006B640000}"/>
    <cellStyle name="X_DA Hung vuong -26-7 - them 38m2- he so 8.0 4 3" xfId="14060" xr:uid="{00000000-0005-0000-0000-00006C640000}"/>
    <cellStyle name="X_DA Hung vuong -26-7 - them 38m2- he so 8.0 4 3 2" xfId="14061" xr:uid="{00000000-0005-0000-0000-00006D640000}"/>
    <cellStyle name="X_DA Hung vuong -26-7 - them 38m2- he so 8.0 4 3 2 2" xfId="14062" xr:uid="{00000000-0005-0000-0000-00006E640000}"/>
    <cellStyle name="X_DA Hung vuong -26-7 - them 38m2- he so 8.0 4 3 2 2_TOM TAT" xfId="24616" xr:uid="{00000000-0005-0000-0000-00006F640000}"/>
    <cellStyle name="X_DA Hung vuong -26-7 - them 38m2- he so 8.0 4 3 2_TOM TAT" xfId="14063" xr:uid="{00000000-0005-0000-0000-000070640000}"/>
    <cellStyle name="X_DA Hung vuong -26-7 - them 38m2- he so 8.0 4 3 2_TOM TAT 2" xfId="14064" xr:uid="{00000000-0005-0000-0000-000071640000}"/>
    <cellStyle name="X_DA Hung vuong -26-7 - them 38m2- he so 8.0 4 3 2_TOM TAT 2_TOM TAT" xfId="24618" xr:uid="{00000000-0005-0000-0000-000072640000}"/>
    <cellStyle name="X_DA Hung vuong -26-7 - them 38m2- he so 8.0 4 3 2_TOM TAT_1" xfId="24615" xr:uid="{00000000-0005-0000-0000-000073640000}"/>
    <cellStyle name="X_DA Hung vuong -26-7 - them 38m2- he so 8.0 4 3 2_TOM TAT_TOM TAT" xfId="24617" xr:uid="{00000000-0005-0000-0000-000074640000}"/>
    <cellStyle name="X_DA Hung vuong -26-7 - them 38m2- he so 8.0 4 3 3" xfId="14065" xr:uid="{00000000-0005-0000-0000-000075640000}"/>
    <cellStyle name="X_DA Hung vuong -26-7 - them 38m2- he so 8.0 4 3 3_TOM TAT" xfId="24619" xr:uid="{00000000-0005-0000-0000-000076640000}"/>
    <cellStyle name="X_DA Hung vuong -26-7 - them 38m2- he so 8.0 4 3_TOM TAT" xfId="14066" xr:uid="{00000000-0005-0000-0000-000077640000}"/>
    <cellStyle name="X_DA Hung vuong -26-7 - them 38m2- he so 8.0 4 3_TOM TAT 2" xfId="14067" xr:uid="{00000000-0005-0000-0000-000078640000}"/>
    <cellStyle name="X_DA Hung vuong -26-7 - them 38m2- he so 8.0 4 3_TOM TAT 2_TOM TAT" xfId="24621" xr:uid="{00000000-0005-0000-0000-000079640000}"/>
    <cellStyle name="X_DA Hung vuong -26-7 - them 38m2- he so 8.0 4 3_TOM TAT_1" xfId="24614" xr:uid="{00000000-0005-0000-0000-00007A640000}"/>
    <cellStyle name="X_DA Hung vuong -26-7 - them 38m2- he so 8.0 4 3_TOM TAT_TOM TAT" xfId="24620" xr:uid="{00000000-0005-0000-0000-00007B640000}"/>
    <cellStyle name="X_DA Hung vuong -26-7 - them 38m2- he so 8.0 4 4" xfId="14068" xr:uid="{00000000-0005-0000-0000-00007C640000}"/>
    <cellStyle name="X_DA Hung vuong -26-7 - them 38m2- he so 8.0 4 4 2" xfId="14069" xr:uid="{00000000-0005-0000-0000-00007D640000}"/>
    <cellStyle name="X_DA Hung vuong -26-7 - them 38m2- he so 8.0 4 4 2_TOM TAT" xfId="24623" xr:uid="{00000000-0005-0000-0000-00007E640000}"/>
    <cellStyle name="X_DA Hung vuong -26-7 - them 38m2- he so 8.0 4 4_TOM TAT" xfId="14070" xr:uid="{00000000-0005-0000-0000-00007F640000}"/>
    <cellStyle name="X_DA Hung vuong -26-7 - them 38m2- he so 8.0 4 4_TOM TAT 2" xfId="14071" xr:uid="{00000000-0005-0000-0000-000080640000}"/>
    <cellStyle name="X_DA Hung vuong -26-7 - them 38m2- he so 8.0 4 4_TOM TAT 2_TOM TAT" xfId="24625" xr:uid="{00000000-0005-0000-0000-000081640000}"/>
    <cellStyle name="X_DA Hung vuong -26-7 - them 38m2- he so 8.0 4 4_TOM TAT_1" xfId="24622" xr:uid="{00000000-0005-0000-0000-000082640000}"/>
    <cellStyle name="X_DA Hung vuong -26-7 - them 38m2- he so 8.0 4 4_TOM TAT_TOM TAT" xfId="24624" xr:uid="{00000000-0005-0000-0000-000083640000}"/>
    <cellStyle name="X_DA Hung vuong -26-7 - them 38m2- he so 8.0 4 5" xfId="14072" xr:uid="{00000000-0005-0000-0000-000084640000}"/>
    <cellStyle name="X_DA Hung vuong -26-7 - them 38m2- he so 8.0 4 5_TOM TAT" xfId="24626" xr:uid="{00000000-0005-0000-0000-000085640000}"/>
    <cellStyle name="X_DA Hung vuong -26-7 - them 38m2- he so 8.0 4 6" xfId="28322" xr:uid="{00000000-0005-0000-0000-000086640000}"/>
    <cellStyle name="X_DA Hung vuong -26-7 - them 38m2- he so 8.0 4 7" xfId="14729" xr:uid="{00000000-0005-0000-0000-000087640000}"/>
    <cellStyle name="X_DA Hung vuong -26-7 - them 38m2- he so 8.0 4_TOM TAT" xfId="14073" xr:uid="{00000000-0005-0000-0000-000088640000}"/>
    <cellStyle name="X_DA Hung vuong -26-7 - them 38m2- he so 8.0 4_TOM TAT 2" xfId="14074" xr:uid="{00000000-0005-0000-0000-000089640000}"/>
    <cellStyle name="X_DA Hung vuong -26-7 - them 38m2- he so 8.0 4_TOM TAT 2_TOM TAT" xfId="24628" xr:uid="{00000000-0005-0000-0000-00008A640000}"/>
    <cellStyle name="X_DA Hung vuong -26-7 - them 38m2- he so 8.0 4_TOM TAT_1" xfId="24605" xr:uid="{00000000-0005-0000-0000-00008B640000}"/>
    <cellStyle name="X_DA Hung vuong -26-7 - them 38m2- he so 8.0 4_TOM TAT_TOM TAT" xfId="24627" xr:uid="{00000000-0005-0000-0000-00008C640000}"/>
    <cellStyle name="X_DA Hung vuong -26-7 - them 38m2- he so 8.0 5" xfId="14075" xr:uid="{00000000-0005-0000-0000-00008D640000}"/>
    <cellStyle name="X_DA Hung vuong -26-7 - them 38m2- he so 8.0 5 2" xfId="14076" xr:uid="{00000000-0005-0000-0000-00008E640000}"/>
    <cellStyle name="X_DA Hung vuong -26-7 - them 38m2- he so 8.0 5 2 2" xfId="14077" xr:uid="{00000000-0005-0000-0000-00008F640000}"/>
    <cellStyle name="X_DA Hung vuong -26-7 - them 38m2- he so 8.0 5 2 2_TOM TAT" xfId="24631" xr:uid="{00000000-0005-0000-0000-000090640000}"/>
    <cellStyle name="X_DA Hung vuong -26-7 - them 38m2- he so 8.0 5 2_TOM TAT" xfId="14078" xr:uid="{00000000-0005-0000-0000-000091640000}"/>
    <cellStyle name="X_DA Hung vuong -26-7 - them 38m2- he so 8.0 5 2_TOM TAT 2" xfId="14079" xr:uid="{00000000-0005-0000-0000-000092640000}"/>
    <cellStyle name="X_DA Hung vuong -26-7 - them 38m2- he so 8.0 5 2_TOM TAT 2_TOM TAT" xfId="24633" xr:uid="{00000000-0005-0000-0000-000093640000}"/>
    <cellStyle name="X_DA Hung vuong -26-7 - them 38m2- he so 8.0 5 2_TOM TAT_1" xfId="24630" xr:uid="{00000000-0005-0000-0000-000094640000}"/>
    <cellStyle name="X_DA Hung vuong -26-7 - them 38m2- he so 8.0 5 2_TOM TAT_TOM TAT" xfId="24632" xr:uid="{00000000-0005-0000-0000-000095640000}"/>
    <cellStyle name="X_DA Hung vuong -26-7 - them 38m2- he so 8.0 5 3" xfId="14080" xr:uid="{00000000-0005-0000-0000-000096640000}"/>
    <cellStyle name="X_DA Hung vuong -26-7 - them 38m2- he so 8.0 5 3_TOM TAT" xfId="24634" xr:uid="{00000000-0005-0000-0000-000097640000}"/>
    <cellStyle name="X_DA Hung vuong -26-7 - them 38m2- he so 8.0 5_TOM TAT" xfId="14081" xr:uid="{00000000-0005-0000-0000-000098640000}"/>
    <cellStyle name="X_DA Hung vuong -26-7 - them 38m2- he so 8.0 5_TOM TAT 2" xfId="14082" xr:uid="{00000000-0005-0000-0000-000099640000}"/>
    <cellStyle name="X_DA Hung vuong -26-7 - them 38m2- he so 8.0 5_TOM TAT 2_TOM TAT" xfId="24636" xr:uid="{00000000-0005-0000-0000-00009A640000}"/>
    <cellStyle name="X_DA Hung vuong -26-7 - them 38m2- he so 8.0 5_TOM TAT_1" xfId="24629" xr:uid="{00000000-0005-0000-0000-00009B640000}"/>
    <cellStyle name="X_DA Hung vuong -26-7 - them 38m2- he so 8.0 5_TOM TAT_TOM TAT" xfId="24635" xr:uid="{00000000-0005-0000-0000-00009C640000}"/>
    <cellStyle name="X_DA Hung vuong -26-7 - them 38m2- he so 8.0 6" xfId="14083" xr:uid="{00000000-0005-0000-0000-00009D640000}"/>
    <cellStyle name="X_DA Hung vuong -26-7 - them 38m2- he so 8.0 6 2" xfId="14084" xr:uid="{00000000-0005-0000-0000-00009E640000}"/>
    <cellStyle name="X_DA Hung vuong -26-7 - them 38m2- he so 8.0 6 2 2" xfId="14085" xr:uid="{00000000-0005-0000-0000-00009F640000}"/>
    <cellStyle name="X_DA Hung vuong -26-7 - them 38m2- he so 8.0 6 2 2_TOM TAT" xfId="24639" xr:uid="{00000000-0005-0000-0000-0000A0640000}"/>
    <cellStyle name="X_DA Hung vuong -26-7 - them 38m2- he so 8.0 6 2_TOM TAT" xfId="14086" xr:uid="{00000000-0005-0000-0000-0000A1640000}"/>
    <cellStyle name="X_DA Hung vuong -26-7 - them 38m2- he so 8.0 6 2_TOM TAT 2" xfId="14087" xr:uid="{00000000-0005-0000-0000-0000A2640000}"/>
    <cellStyle name="X_DA Hung vuong -26-7 - them 38m2- he so 8.0 6 2_TOM TAT 2_TOM TAT" xfId="24641" xr:uid="{00000000-0005-0000-0000-0000A3640000}"/>
    <cellStyle name="X_DA Hung vuong -26-7 - them 38m2- he so 8.0 6 2_TOM TAT_1" xfId="24638" xr:uid="{00000000-0005-0000-0000-0000A4640000}"/>
    <cellStyle name="X_DA Hung vuong -26-7 - them 38m2- he so 8.0 6 2_TOM TAT_TOM TAT" xfId="24640" xr:uid="{00000000-0005-0000-0000-0000A5640000}"/>
    <cellStyle name="X_DA Hung vuong -26-7 - them 38m2- he so 8.0 6 3" xfId="14088" xr:uid="{00000000-0005-0000-0000-0000A6640000}"/>
    <cellStyle name="X_DA Hung vuong -26-7 - them 38m2- he so 8.0 6 3_TOM TAT" xfId="24642" xr:uid="{00000000-0005-0000-0000-0000A7640000}"/>
    <cellStyle name="X_DA Hung vuong -26-7 - them 38m2- he so 8.0 6_TOM TAT" xfId="14089" xr:uid="{00000000-0005-0000-0000-0000A8640000}"/>
    <cellStyle name="X_DA Hung vuong -26-7 - them 38m2- he so 8.0 6_TOM TAT 2" xfId="14090" xr:uid="{00000000-0005-0000-0000-0000A9640000}"/>
    <cellStyle name="X_DA Hung vuong -26-7 - them 38m2- he so 8.0 6_TOM TAT 2_TOM TAT" xfId="24644" xr:uid="{00000000-0005-0000-0000-0000AA640000}"/>
    <cellStyle name="X_DA Hung vuong -26-7 - them 38m2- he so 8.0 6_TOM TAT_1" xfId="24637" xr:uid="{00000000-0005-0000-0000-0000AB640000}"/>
    <cellStyle name="X_DA Hung vuong -26-7 - them 38m2- he so 8.0 6_TOM TAT_TOM TAT" xfId="24643" xr:uid="{00000000-0005-0000-0000-0000AC640000}"/>
    <cellStyle name="X_DA Hung vuong -26-7 - them 38m2- he so 8.0 7" xfId="14091" xr:uid="{00000000-0005-0000-0000-0000AD640000}"/>
    <cellStyle name="X_DA Hung vuong -26-7 - them 38m2- he so 8.0 7_TOM TAT" xfId="24645" xr:uid="{00000000-0005-0000-0000-0000AE640000}"/>
    <cellStyle name="X_DA Hung vuong -26-7 - them 38m2- he so 8.0 8" xfId="14092" xr:uid="{00000000-0005-0000-0000-0000AF640000}"/>
    <cellStyle name="X_DA Hung vuong -26-7 - them 38m2- he so 8.0 8_TOM TAT" xfId="24646" xr:uid="{00000000-0005-0000-0000-0000B0640000}"/>
    <cellStyle name="X_DA Hung vuong -26-7 - them 38m2- he so 8.0 9" xfId="14093" xr:uid="{00000000-0005-0000-0000-0000B1640000}"/>
    <cellStyle name="X_DA Hung vuong -26-7 - them 38m2- he so 8.0 9_TOM TAT" xfId="24647" xr:uid="{00000000-0005-0000-0000-0000B2640000}"/>
    <cellStyle name="X_DA Hung vuong -26-7 - them 38m2- he so 8.0_TOM TAT" xfId="14094" xr:uid="{00000000-0005-0000-0000-0000B3640000}"/>
    <cellStyle name="X_DA Hung vuong -26-7 - them 38m2- he so 8.0_TOM TAT 2" xfId="14095" xr:uid="{00000000-0005-0000-0000-0000B4640000}"/>
    <cellStyle name="X_DA Hung vuong -26-7 - them 38m2- he so 8.0_TOM TAT 2_TOM TAT" xfId="24649" xr:uid="{00000000-0005-0000-0000-0000B5640000}"/>
    <cellStyle name="X_DA Hung vuong -26-7 - them 38m2- he so 8.0_TOM TAT_1" xfId="24549" xr:uid="{00000000-0005-0000-0000-0000B6640000}"/>
    <cellStyle name="X_DA Hung vuong -26-7 - them 38m2- he so 8.0_TOM TAT_TOM TAT" xfId="24648" xr:uid="{00000000-0005-0000-0000-0000B7640000}"/>
    <cellStyle name="X_hoanggia" xfId="1794" xr:uid="{00000000-0005-0000-0000-0000B8640000}"/>
    <cellStyle name="X_hoanggia 10" xfId="18563" xr:uid="{00000000-0005-0000-0000-0000B9640000}"/>
    <cellStyle name="X_hoanggia 10_TOM TAT" xfId="24651" xr:uid="{00000000-0005-0000-0000-0000BA640000}"/>
    <cellStyle name="X_hoanggia 11" xfId="18895" xr:uid="{00000000-0005-0000-0000-0000BB640000}"/>
    <cellStyle name="X_hoanggia 11 2" xfId="31833" xr:uid="{00000000-0005-0000-0000-0000BC640000}"/>
    <cellStyle name="X_hoanggia 11_TOM TAT" xfId="24652" xr:uid="{00000000-0005-0000-0000-0000BD640000}"/>
    <cellStyle name="X_hoanggia 12" xfId="27004" xr:uid="{00000000-0005-0000-0000-0000BE640000}"/>
    <cellStyle name="X_hoanggia 2" xfId="4812" xr:uid="{00000000-0005-0000-0000-0000BF640000}"/>
    <cellStyle name="X_hoanggia 2 2" xfId="14096" xr:uid="{00000000-0005-0000-0000-0000C0640000}"/>
    <cellStyle name="X_hoanggia 2 2_TOM TAT" xfId="24653" xr:uid="{00000000-0005-0000-0000-0000C1640000}"/>
    <cellStyle name="X_hoanggia 2 3" xfId="18652" xr:uid="{00000000-0005-0000-0000-0000C2640000}"/>
    <cellStyle name="X_hoanggia 2 3_TOM TAT" xfId="24654" xr:uid="{00000000-0005-0000-0000-0000C3640000}"/>
    <cellStyle name="X_hoanggia 2 4" xfId="18937" xr:uid="{00000000-0005-0000-0000-0000C4640000}"/>
    <cellStyle name="X_hoanggia 2 4 2" xfId="31854" xr:uid="{00000000-0005-0000-0000-0000C5640000}"/>
    <cellStyle name="X_hoanggia 2 4_TOM TAT" xfId="24655" xr:uid="{00000000-0005-0000-0000-0000C6640000}"/>
    <cellStyle name="X_hoanggia 2_TOM TAT" xfId="14097" xr:uid="{00000000-0005-0000-0000-0000C7640000}"/>
    <cellStyle name="X_hoanggia 2_TOM TAT 2" xfId="14098" xr:uid="{00000000-0005-0000-0000-0000C8640000}"/>
    <cellStyle name="X_hoanggia 2_TOM TAT 2_TOM TAT" xfId="24657" xr:uid="{00000000-0005-0000-0000-0000C9640000}"/>
    <cellStyle name="X_hoanggia 2_TOM TAT_TOM TAT" xfId="24656" xr:uid="{00000000-0005-0000-0000-0000CA640000}"/>
    <cellStyle name="X_hoanggia 3" xfId="5721" xr:uid="{00000000-0005-0000-0000-0000CB640000}"/>
    <cellStyle name="X_hoanggia 3 2" xfId="5722" xr:uid="{00000000-0005-0000-0000-0000CC640000}"/>
    <cellStyle name="X_hoanggia 3 2 2" xfId="14099" xr:uid="{00000000-0005-0000-0000-0000CD640000}"/>
    <cellStyle name="X_hoanggia 3 2 2 2" xfId="14100" xr:uid="{00000000-0005-0000-0000-0000CE640000}"/>
    <cellStyle name="X_hoanggia 3 2 2 2 2" xfId="14101" xr:uid="{00000000-0005-0000-0000-0000CF640000}"/>
    <cellStyle name="X_hoanggia 3 2 2 2 2_TOM TAT" xfId="24662" xr:uid="{00000000-0005-0000-0000-0000D0640000}"/>
    <cellStyle name="X_hoanggia 3 2 2 2_TOM TAT" xfId="14102" xr:uid="{00000000-0005-0000-0000-0000D1640000}"/>
    <cellStyle name="X_hoanggia 3 2 2 2_TOM TAT 2" xfId="14103" xr:uid="{00000000-0005-0000-0000-0000D2640000}"/>
    <cellStyle name="X_hoanggia 3 2 2 2_TOM TAT 2_TOM TAT" xfId="24664" xr:uid="{00000000-0005-0000-0000-0000D3640000}"/>
    <cellStyle name="X_hoanggia 3 2 2 2_TOM TAT_1" xfId="24661" xr:uid="{00000000-0005-0000-0000-0000D4640000}"/>
    <cellStyle name="X_hoanggia 3 2 2 2_TOM TAT_TOM TAT" xfId="24663" xr:uid="{00000000-0005-0000-0000-0000D5640000}"/>
    <cellStyle name="X_hoanggia 3 2 2 3" xfId="14104" xr:uid="{00000000-0005-0000-0000-0000D6640000}"/>
    <cellStyle name="X_hoanggia 3 2 2 3_TOM TAT" xfId="24665" xr:uid="{00000000-0005-0000-0000-0000D7640000}"/>
    <cellStyle name="X_hoanggia 3 2 2_TOM TAT" xfId="14105" xr:uid="{00000000-0005-0000-0000-0000D8640000}"/>
    <cellStyle name="X_hoanggia 3 2 2_TOM TAT 2" xfId="14106" xr:uid="{00000000-0005-0000-0000-0000D9640000}"/>
    <cellStyle name="X_hoanggia 3 2 2_TOM TAT 2_TOM TAT" xfId="24667" xr:uid="{00000000-0005-0000-0000-0000DA640000}"/>
    <cellStyle name="X_hoanggia 3 2 2_TOM TAT_1" xfId="24660" xr:uid="{00000000-0005-0000-0000-0000DB640000}"/>
    <cellStyle name="X_hoanggia 3 2 2_TOM TAT_TOM TAT" xfId="24666" xr:uid="{00000000-0005-0000-0000-0000DC640000}"/>
    <cellStyle name="X_hoanggia 3 2 3" xfId="14107" xr:uid="{00000000-0005-0000-0000-0000DD640000}"/>
    <cellStyle name="X_hoanggia 3 2 3 2" xfId="14108" xr:uid="{00000000-0005-0000-0000-0000DE640000}"/>
    <cellStyle name="X_hoanggia 3 2 3 2 2" xfId="14109" xr:uid="{00000000-0005-0000-0000-0000DF640000}"/>
    <cellStyle name="X_hoanggia 3 2 3 2 2_TOM TAT" xfId="24670" xr:uid="{00000000-0005-0000-0000-0000E0640000}"/>
    <cellStyle name="X_hoanggia 3 2 3 2_TOM TAT" xfId="14110" xr:uid="{00000000-0005-0000-0000-0000E1640000}"/>
    <cellStyle name="X_hoanggia 3 2 3 2_TOM TAT 2" xfId="14111" xr:uid="{00000000-0005-0000-0000-0000E2640000}"/>
    <cellStyle name="X_hoanggia 3 2 3 2_TOM TAT 2_TOM TAT" xfId="24672" xr:uid="{00000000-0005-0000-0000-0000E3640000}"/>
    <cellStyle name="X_hoanggia 3 2 3 2_TOM TAT_1" xfId="24669" xr:uid="{00000000-0005-0000-0000-0000E4640000}"/>
    <cellStyle name="X_hoanggia 3 2 3 2_TOM TAT_TOM TAT" xfId="24671" xr:uid="{00000000-0005-0000-0000-0000E5640000}"/>
    <cellStyle name="X_hoanggia 3 2 3 3" xfId="14112" xr:uid="{00000000-0005-0000-0000-0000E6640000}"/>
    <cellStyle name="X_hoanggia 3 2 3 3_TOM TAT" xfId="24673" xr:uid="{00000000-0005-0000-0000-0000E7640000}"/>
    <cellStyle name="X_hoanggia 3 2 3_TOM TAT" xfId="14113" xr:uid="{00000000-0005-0000-0000-0000E8640000}"/>
    <cellStyle name="X_hoanggia 3 2 3_TOM TAT 2" xfId="14114" xr:uid="{00000000-0005-0000-0000-0000E9640000}"/>
    <cellStyle name="X_hoanggia 3 2 3_TOM TAT 2_TOM TAT" xfId="24675" xr:uid="{00000000-0005-0000-0000-0000EA640000}"/>
    <cellStyle name="X_hoanggia 3 2 3_TOM TAT_1" xfId="24668" xr:uid="{00000000-0005-0000-0000-0000EB640000}"/>
    <cellStyle name="X_hoanggia 3 2 3_TOM TAT_TOM TAT" xfId="24674" xr:uid="{00000000-0005-0000-0000-0000EC640000}"/>
    <cellStyle name="X_hoanggia 3 2 4" xfId="14115" xr:uid="{00000000-0005-0000-0000-0000ED640000}"/>
    <cellStyle name="X_hoanggia 3 2 4 2" xfId="14116" xr:uid="{00000000-0005-0000-0000-0000EE640000}"/>
    <cellStyle name="X_hoanggia 3 2 4 2_TOM TAT" xfId="24677" xr:uid="{00000000-0005-0000-0000-0000EF640000}"/>
    <cellStyle name="X_hoanggia 3 2 4_TOM TAT" xfId="14117" xr:uid="{00000000-0005-0000-0000-0000F0640000}"/>
    <cellStyle name="X_hoanggia 3 2 4_TOM TAT 2" xfId="14118" xr:uid="{00000000-0005-0000-0000-0000F1640000}"/>
    <cellStyle name="X_hoanggia 3 2 4_TOM TAT 2_TOM TAT" xfId="24679" xr:uid="{00000000-0005-0000-0000-0000F2640000}"/>
    <cellStyle name="X_hoanggia 3 2 4_TOM TAT_1" xfId="24676" xr:uid="{00000000-0005-0000-0000-0000F3640000}"/>
    <cellStyle name="X_hoanggia 3 2 4_TOM TAT_TOM TAT" xfId="24678" xr:uid="{00000000-0005-0000-0000-0000F4640000}"/>
    <cellStyle name="X_hoanggia 3 2 5" xfId="14119" xr:uid="{00000000-0005-0000-0000-0000F5640000}"/>
    <cellStyle name="X_hoanggia 3 2 5_TOM TAT" xfId="24680" xr:uid="{00000000-0005-0000-0000-0000F6640000}"/>
    <cellStyle name="X_hoanggia 3 2 6" xfId="28324" xr:uid="{00000000-0005-0000-0000-0000F7640000}"/>
    <cellStyle name="X_hoanggia 3 2 7" xfId="14731" xr:uid="{00000000-0005-0000-0000-0000F8640000}"/>
    <cellStyle name="X_hoanggia 3 2_TOM TAT" xfId="14120" xr:uid="{00000000-0005-0000-0000-0000F9640000}"/>
    <cellStyle name="X_hoanggia 3 2_TOM TAT 2" xfId="14121" xr:uid="{00000000-0005-0000-0000-0000FA640000}"/>
    <cellStyle name="X_hoanggia 3 2_TOM TAT 2_TOM TAT" xfId="24682" xr:uid="{00000000-0005-0000-0000-0000FB640000}"/>
    <cellStyle name="X_hoanggia 3 2_TOM TAT_1" xfId="24659" xr:uid="{00000000-0005-0000-0000-0000FC640000}"/>
    <cellStyle name="X_hoanggia 3 2_TOM TAT_TOM TAT" xfId="24681" xr:uid="{00000000-0005-0000-0000-0000FD640000}"/>
    <cellStyle name="X_hoanggia 3 3" xfId="14122" xr:uid="{00000000-0005-0000-0000-0000FE640000}"/>
    <cellStyle name="X_hoanggia 3 3 2" xfId="14123" xr:uid="{00000000-0005-0000-0000-0000FF640000}"/>
    <cellStyle name="X_hoanggia 3 3 2 2" xfId="14124" xr:uid="{00000000-0005-0000-0000-000000650000}"/>
    <cellStyle name="X_hoanggia 3 3 2 2_TOM TAT" xfId="24685" xr:uid="{00000000-0005-0000-0000-000001650000}"/>
    <cellStyle name="X_hoanggia 3 3 2_TOM TAT" xfId="14125" xr:uid="{00000000-0005-0000-0000-000002650000}"/>
    <cellStyle name="X_hoanggia 3 3 2_TOM TAT 2" xfId="14126" xr:uid="{00000000-0005-0000-0000-000003650000}"/>
    <cellStyle name="X_hoanggia 3 3 2_TOM TAT 2_TOM TAT" xfId="24687" xr:uid="{00000000-0005-0000-0000-000004650000}"/>
    <cellStyle name="X_hoanggia 3 3 2_TOM TAT_1" xfId="24684" xr:uid="{00000000-0005-0000-0000-000005650000}"/>
    <cellStyle name="X_hoanggia 3 3 2_TOM TAT_TOM TAT" xfId="24686" xr:uid="{00000000-0005-0000-0000-000006650000}"/>
    <cellStyle name="X_hoanggia 3 3 3" xfId="14127" xr:uid="{00000000-0005-0000-0000-000007650000}"/>
    <cellStyle name="X_hoanggia 3 3 3_TOM TAT" xfId="24688" xr:uid="{00000000-0005-0000-0000-000008650000}"/>
    <cellStyle name="X_hoanggia 3 3_TOM TAT" xfId="14128" xr:uid="{00000000-0005-0000-0000-000009650000}"/>
    <cellStyle name="X_hoanggia 3 3_TOM TAT 2" xfId="14129" xr:uid="{00000000-0005-0000-0000-00000A650000}"/>
    <cellStyle name="X_hoanggia 3 3_TOM TAT 2_TOM TAT" xfId="24690" xr:uid="{00000000-0005-0000-0000-00000B650000}"/>
    <cellStyle name="X_hoanggia 3 3_TOM TAT_1" xfId="24683" xr:uid="{00000000-0005-0000-0000-00000C650000}"/>
    <cellStyle name="X_hoanggia 3 3_TOM TAT_TOM TAT" xfId="24689" xr:uid="{00000000-0005-0000-0000-00000D650000}"/>
    <cellStyle name="X_hoanggia 3 4" xfId="14130" xr:uid="{00000000-0005-0000-0000-00000E650000}"/>
    <cellStyle name="X_hoanggia 3 4 2" xfId="14131" xr:uid="{00000000-0005-0000-0000-00000F650000}"/>
    <cellStyle name="X_hoanggia 3 4 2 2" xfId="14132" xr:uid="{00000000-0005-0000-0000-000010650000}"/>
    <cellStyle name="X_hoanggia 3 4 2 2_TOM TAT" xfId="24693" xr:uid="{00000000-0005-0000-0000-000011650000}"/>
    <cellStyle name="X_hoanggia 3 4 2_TOM TAT" xfId="14133" xr:uid="{00000000-0005-0000-0000-000012650000}"/>
    <cellStyle name="X_hoanggia 3 4 2_TOM TAT 2" xfId="14134" xr:uid="{00000000-0005-0000-0000-000013650000}"/>
    <cellStyle name="X_hoanggia 3 4 2_TOM TAT 2_TOM TAT" xfId="24695" xr:uid="{00000000-0005-0000-0000-000014650000}"/>
    <cellStyle name="X_hoanggia 3 4 2_TOM TAT_1" xfId="24692" xr:uid="{00000000-0005-0000-0000-000015650000}"/>
    <cellStyle name="X_hoanggia 3 4 2_TOM TAT_TOM TAT" xfId="24694" xr:uid="{00000000-0005-0000-0000-000016650000}"/>
    <cellStyle name="X_hoanggia 3 4 3" xfId="14135" xr:uid="{00000000-0005-0000-0000-000017650000}"/>
    <cellStyle name="X_hoanggia 3 4 3_TOM TAT" xfId="24696" xr:uid="{00000000-0005-0000-0000-000018650000}"/>
    <cellStyle name="X_hoanggia 3 4_TOM TAT" xfId="14136" xr:uid="{00000000-0005-0000-0000-000019650000}"/>
    <cellStyle name="X_hoanggia 3 4_TOM TAT 2" xfId="14137" xr:uid="{00000000-0005-0000-0000-00001A650000}"/>
    <cellStyle name="X_hoanggia 3 4_TOM TAT 2_TOM TAT" xfId="24698" xr:uid="{00000000-0005-0000-0000-00001B650000}"/>
    <cellStyle name="X_hoanggia 3 4_TOM TAT_1" xfId="24691" xr:uid="{00000000-0005-0000-0000-00001C650000}"/>
    <cellStyle name="X_hoanggia 3 4_TOM TAT_TOM TAT" xfId="24697" xr:uid="{00000000-0005-0000-0000-00001D650000}"/>
    <cellStyle name="X_hoanggia 3 5" xfId="14138" xr:uid="{00000000-0005-0000-0000-00001E650000}"/>
    <cellStyle name="X_hoanggia 3 5 2" xfId="14139" xr:uid="{00000000-0005-0000-0000-00001F650000}"/>
    <cellStyle name="X_hoanggia 3 5 2_TOM TAT" xfId="24700" xr:uid="{00000000-0005-0000-0000-000020650000}"/>
    <cellStyle name="X_hoanggia 3 5_TOM TAT" xfId="14140" xr:uid="{00000000-0005-0000-0000-000021650000}"/>
    <cellStyle name="X_hoanggia 3 5_TOM TAT 2" xfId="14141" xr:uid="{00000000-0005-0000-0000-000022650000}"/>
    <cellStyle name="X_hoanggia 3 5_TOM TAT 2_TOM TAT" xfId="24702" xr:uid="{00000000-0005-0000-0000-000023650000}"/>
    <cellStyle name="X_hoanggia 3 5_TOM TAT_1" xfId="24699" xr:uid="{00000000-0005-0000-0000-000024650000}"/>
    <cellStyle name="X_hoanggia 3 5_TOM TAT_TOM TAT" xfId="24701" xr:uid="{00000000-0005-0000-0000-000025650000}"/>
    <cellStyle name="X_hoanggia 3 6" xfId="14142" xr:uid="{00000000-0005-0000-0000-000026650000}"/>
    <cellStyle name="X_hoanggia 3 6_TOM TAT" xfId="24703" xr:uid="{00000000-0005-0000-0000-000027650000}"/>
    <cellStyle name="X_hoanggia 3 7" xfId="28323" xr:uid="{00000000-0005-0000-0000-000028650000}"/>
    <cellStyle name="X_hoanggia 3 8" xfId="14730" xr:uid="{00000000-0005-0000-0000-000029650000}"/>
    <cellStyle name="X_hoanggia 3_TOM TAT" xfId="14143" xr:uid="{00000000-0005-0000-0000-00002A650000}"/>
    <cellStyle name="X_hoanggia 3_TOM TAT 2" xfId="14144" xr:uid="{00000000-0005-0000-0000-00002B650000}"/>
    <cellStyle name="X_hoanggia 3_TOM TAT 2_TOM TAT" xfId="24705" xr:uid="{00000000-0005-0000-0000-00002C650000}"/>
    <cellStyle name="X_hoanggia 3_TOM TAT_1" xfId="24658" xr:uid="{00000000-0005-0000-0000-00002D650000}"/>
    <cellStyle name="X_hoanggia 3_TOM TAT_TOM TAT" xfId="24704" xr:uid="{00000000-0005-0000-0000-00002E650000}"/>
    <cellStyle name="X_hoanggia 4" xfId="5723" xr:uid="{00000000-0005-0000-0000-00002F650000}"/>
    <cellStyle name="X_hoanggia 4 2" xfId="14145" xr:uid="{00000000-0005-0000-0000-000030650000}"/>
    <cellStyle name="X_hoanggia 4 2 2" xfId="14146" xr:uid="{00000000-0005-0000-0000-000031650000}"/>
    <cellStyle name="X_hoanggia 4 2 2 2" xfId="14147" xr:uid="{00000000-0005-0000-0000-000032650000}"/>
    <cellStyle name="X_hoanggia 4 2 2 2_TOM TAT" xfId="24709" xr:uid="{00000000-0005-0000-0000-000033650000}"/>
    <cellStyle name="X_hoanggia 4 2 2_TOM TAT" xfId="14148" xr:uid="{00000000-0005-0000-0000-000034650000}"/>
    <cellStyle name="X_hoanggia 4 2 2_TOM TAT 2" xfId="14149" xr:uid="{00000000-0005-0000-0000-000035650000}"/>
    <cellStyle name="X_hoanggia 4 2 2_TOM TAT 2_TOM TAT" xfId="24711" xr:uid="{00000000-0005-0000-0000-000036650000}"/>
    <cellStyle name="X_hoanggia 4 2 2_TOM TAT_1" xfId="24708" xr:uid="{00000000-0005-0000-0000-000037650000}"/>
    <cellStyle name="X_hoanggia 4 2 2_TOM TAT_TOM TAT" xfId="24710" xr:uid="{00000000-0005-0000-0000-000038650000}"/>
    <cellStyle name="X_hoanggia 4 2 3" xfId="14150" xr:uid="{00000000-0005-0000-0000-000039650000}"/>
    <cellStyle name="X_hoanggia 4 2 3_TOM TAT" xfId="24712" xr:uid="{00000000-0005-0000-0000-00003A650000}"/>
    <cellStyle name="X_hoanggia 4 2_TOM TAT" xfId="14151" xr:uid="{00000000-0005-0000-0000-00003B650000}"/>
    <cellStyle name="X_hoanggia 4 2_TOM TAT 2" xfId="14152" xr:uid="{00000000-0005-0000-0000-00003C650000}"/>
    <cellStyle name="X_hoanggia 4 2_TOM TAT 2_TOM TAT" xfId="24714" xr:uid="{00000000-0005-0000-0000-00003D650000}"/>
    <cellStyle name="X_hoanggia 4 2_TOM TAT_1" xfId="24707" xr:uid="{00000000-0005-0000-0000-00003E650000}"/>
    <cellStyle name="X_hoanggia 4 2_TOM TAT_TOM TAT" xfId="24713" xr:uid="{00000000-0005-0000-0000-00003F650000}"/>
    <cellStyle name="X_hoanggia 4 3" xfId="14153" xr:uid="{00000000-0005-0000-0000-000040650000}"/>
    <cellStyle name="X_hoanggia 4 3 2" xfId="14154" xr:uid="{00000000-0005-0000-0000-000041650000}"/>
    <cellStyle name="X_hoanggia 4 3 2 2" xfId="14155" xr:uid="{00000000-0005-0000-0000-000042650000}"/>
    <cellStyle name="X_hoanggia 4 3 2 2_TOM TAT" xfId="24717" xr:uid="{00000000-0005-0000-0000-000043650000}"/>
    <cellStyle name="X_hoanggia 4 3 2_TOM TAT" xfId="14156" xr:uid="{00000000-0005-0000-0000-000044650000}"/>
    <cellStyle name="X_hoanggia 4 3 2_TOM TAT 2" xfId="14157" xr:uid="{00000000-0005-0000-0000-000045650000}"/>
    <cellStyle name="X_hoanggia 4 3 2_TOM TAT 2_TOM TAT" xfId="24719" xr:uid="{00000000-0005-0000-0000-000046650000}"/>
    <cellStyle name="X_hoanggia 4 3 2_TOM TAT_1" xfId="24716" xr:uid="{00000000-0005-0000-0000-000047650000}"/>
    <cellStyle name="X_hoanggia 4 3 2_TOM TAT_TOM TAT" xfId="24718" xr:uid="{00000000-0005-0000-0000-000048650000}"/>
    <cellStyle name="X_hoanggia 4 3 3" xfId="14158" xr:uid="{00000000-0005-0000-0000-000049650000}"/>
    <cellStyle name="X_hoanggia 4 3 3_TOM TAT" xfId="24720" xr:uid="{00000000-0005-0000-0000-00004A650000}"/>
    <cellStyle name="X_hoanggia 4 3_TOM TAT" xfId="14159" xr:uid="{00000000-0005-0000-0000-00004B650000}"/>
    <cellStyle name="X_hoanggia 4 3_TOM TAT 2" xfId="14160" xr:uid="{00000000-0005-0000-0000-00004C650000}"/>
    <cellStyle name="X_hoanggia 4 3_TOM TAT 2_TOM TAT" xfId="24722" xr:uid="{00000000-0005-0000-0000-00004D650000}"/>
    <cellStyle name="X_hoanggia 4 3_TOM TAT_1" xfId="24715" xr:uid="{00000000-0005-0000-0000-00004E650000}"/>
    <cellStyle name="X_hoanggia 4 3_TOM TAT_TOM TAT" xfId="24721" xr:uid="{00000000-0005-0000-0000-00004F650000}"/>
    <cellStyle name="X_hoanggia 4 4" xfId="14161" xr:uid="{00000000-0005-0000-0000-000050650000}"/>
    <cellStyle name="X_hoanggia 4 4 2" xfId="14162" xr:uid="{00000000-0005-0000-0000-000051650000}"/>
    <cellStyle name="X_hoanggia 4 4 2_TOM TAT" xfId="24724" xr:uid="{00000000-0005-0000-0000-000052650000}"/>
    <cellStyle name="X_hoanggia 4 4_TOM TAT" xfId="14163" xr:uid="{00000000-0005-0000-0000-000053650000}"/>
    <cellStyle name="X_hoanggia 4 4_TOM TAT 2" xfId="14164" xr:uid="{00000000-0005-0000-0000-000054650000}"/>
    <cellStyle name="X_hoanggia 4 4_TOM TAT 2_TOM TAT" xfId="24726" xr:uid="{00000000-0005-0000-0000-000055650000}"/>
    <cellStyle name="X_hoanggia 4 4_TOM TAT_1" xfId="24723" xr:uid="{00000000-0005-0000-0000-000056650000}"/>
    <cellStyle name="X_hoanggia 4 4_TOM TAT_TOM TAT" xfId="24725" xr:uid="{00000000-0005-0000-0000-000057650000}"/>
    <cellStyle name="X_hoanggia 4 5" xfId="14165" xr:uid="{00000000-0005-0000-0000-000058650000}"/>
    <cellStyle name="X_hoanggia 4 5_TOM TAT" xfId="24727" xr:uid="{00000000-0005-0000-0000-000059650000}"/>
    <cellStyle name="X_hoanggia 4 6" xfId="28325" xr:uid="{00000000-0005-0000-0000-00005A650000}"/>
    <cellStyle name="X_hoanggia 4 7" xfId="14732" xr:uid="{00000000-0005-0000-0000-00005B650000}"/>
    <cellStyle name="X_hoanggia 4_TOM TAT" xfId="14166" xr:uid="{00000000-0005-0000-0000-00005C650000}"/>
    <cellStyle name="X_hoanggia 4_TOM TAT 2" xfId="14167" xr:uid="{00000000-0005-0000-0000-00005D650000}"/>
    <cellStyle name="X_hoanggia 4_TOM TAT 2_TOM TAT" xfId="24729" xr:uid="{00000000-0005-0000-0000-00005E650000}"/>
    <cellStyle name="X_hoanggia 4_TOM TAT_1" xfId="24706" xr:uid="{00000000-0005-0000-0000-00005F650000}"/>
    <cellStyle name="X_hoanggia 4_TOM TAT_TOM TAT" xfId="24728" xr:uid="{00000000-0005-0000-0000-000060650000}"/>
    <cellStyle name="X_hoanggia 5" xfId="14168" xr:uid="{00000000-0005-0000-0000-000061650000}"/>
    <cellStyle name="X_hoanggia 5 2" xfId="14169" xr:uid="{00000000-0005-0000-0000-000062650000}"/>
    <cellStyle name="X_hoanggia 5 2 2" xfId="14170" xr:uid="{00000000-0005-0000-0000-000063650000}"/>
    <cellStyle name="X_hoanggia 5 2 2_TOM TAT" xfId="24732" xr:uid="{00000000-0005-0000-0000-000064650000}"/>
    <cellStyle name="X_hoanggia 5 2_TOM TAT" xfId="14171" xr:uid="{00000000-0005-0000-0000-000065650000}"/>
    <cellStyle name="X_hoanggia 5 2_TOM TAT 2" xfId="14172" xr:uid="{00000000-0005-0000-0000-000066650000}"/>
    <cellStyle name="X_hoanggia 5 2_TOM TAT 2_TOM TAT" xfId="24734" xr:uid="{00000000-0005-0000-0000-000067650000}"/>
    <cellStyle name="X_hoanggia 5 2_TOM TAT_1" xfId="24731" xr:uid="{00000000-0005-0000-0000-000068650000}"/>
    <cellStyle name="X_hoanggia 5 2_TOM TAT_TOM TAT" xfId="24733" xr:uid="{00000000-0005-0000-0000-000069650000}"/>
    <cellStyle name="X_hoanggia 5 3" xfId="14173" xr:uid="{00000000-0005-0000-0000-00006A650000}"/>
    <cellStyle name="X_hoanggia 5 3_TOM TAT" xfId="24735" xr:uid="{00000000-0005-0000-0000-00006B650000}"/>
    <cellStyle name="X_hoanggia 5_TOM TAT" xfId="14174" xr:uid="{00000000-0005-0000-0000-00006C650000}"/>
    <cellStyle name="X_hoanggia 5_TOM TAT 2" xfId="14175" xr:uid="{00000000-0005-0000-0000-00006D650000}"/>
    <cellStyle name="X_hoanggia 5_TOM TAT 2_TOM TAT" xfId="24737" xr:uid="{00000000-0005-0000-0000-00006E650000}"/>
    <cellStyle name="X_hoanggia 5_TOM TAT_1" xfId="24730" xr:uid="{00000000-0005-0000-0000-00006F650000}"/>
    <cellStyle name="X_hoanggia 5_TOM TAT_TOM TAT" xfId="24736" xr:uid="{00000000-0005-0000-0000-000070650000}"/>
    <cellStyle name="X_hoanggia 6" xfId="14176" xr:uid="{00000000-0005-0000-0000-000071650000}"/>
    <cellStyle name="X_hoanggia 6 2" xfId="14177" xr:uid="{00000000-0005-0000-0000-000072650000}"/>
    <cellStyle name="X_hoanggia 6 2 2" xfId="14178" xr:uid="{00000000-0005-0000-0000-000073650000}"/>
    <cellStyle name="X_hoanggia 6 2 2_TOM TAT" xfId="24740" xr:uid="{00000000-0005-0000-0000-000074650000}"/>
    <cellStyle name="X_hoanggia 6 2_TOM TAT" xfId="14179" xr:uid="{00000000-0005-0000-0000-000075650000}"/>
    <cellStyle name="X_hoanggia 6 2_TOM TAT 2" xfId="14180" xr:uid="{00000000-0005-0000-0000-000076650000}"/>
    <cellStyle name="X_hoanggia 6 2_TOM TAT 2_TOM TAT" xfId="24742" xr:uid="{00000000-0005-0000-0000-000077650000}"/>
    <cellStyle name="X_hoanggia 6 2_TOM TAT_1" xfId="24739" xr:uid="{00000000-0005-0000-0000-000078650000}"/>
    <cellStyle name="X_hoanggia 6 2_TOM TAT_TOM TAT" xfId="24741" xr:uid="{00000000-0005-0000-0000-000079650000}"/>
    <cellStyle name="X_hoanggia 6 3" xfId="14181" xr:uid="{00000000-0005-0000-0000-00007A650000}"/>
    <cellStyle name="X_hoanggia 6 3_TOM TAT" xfId="24743" xr:uid="{00000000-0005-0000-0000-00007B650000}"/>
    <cellStyle name="X_hoanggia 6_TOM TAT" xfId="14182" xr:uid="{00000000-0005-0000-0000-00007C650000}"/>
    <cellStyle name="X_hoanggia 6_TOM TAT 2" xfId="14183" xr:uid="{00000000-0005-0000-0000-00007D650000}"/>
    <cellStyle name="X_hoanggia 6_TOM TAT 2_TOM TAT" xfId="24745" xr:uid="{00000000-0005-0000-0000-00007E650000}"/>
    <cellStyle name="X_hoanggia 6_TOM TAT_1" xfId="24738" xr:uid="{00000000-0005-0000-0000-00007F650000}"/>
    <cellStyle name="X_hoanggia 6_TOM TAT_TOM TAT" xfId="24744" xr:uid="{00000000-0005-0000-0000-000080650000}"/>
    <cellStyle name="X_hoanggia 7" xfId="14184" xr:uid="{00000000-0005-0000-0000-000081650000}"/>
    <cellStyle name="X_hoanggia 7_TOM TAT" xfId="24746" xr:uid="{00000000-0005-0000-0000-000082650000}"/>
    <cellStyle name="X_hoanggia 8" xfId="14185" xr:uid="{00000000-0005-0000-0000-000083650000}"/>
    <cellStyle name="X_hoanggia 8_TOM TAT" xfId="24747" xr:uid="{00000000-0005-0000-0000-000084650000}"/>
    <cellStyle name="X_hoanggia 9" xfId="14186" xr:uid="{00000000-0005-0000-0000-000085650000}"/>
    <cellStyle name="X_hoanggia 9_TOM TAT" xfId="24748" xr:uid="{00000000-0005-0000-0000-000086650000}"/>
    <cellStyle name="X_hoanggia_20141211 Tan Mai - Hanh" xfId="14187" xr:uid="{00000000-0005-0000-0000-000087650000}"/>
    <cellStyle name="X_hoanggia_20141211 Tan Mai - Hanh 2" xfId="14188" xr:uid="{00000000-0005-0000-0000-000088650000}"/>
    <cellStyle name="X_hoanggia_20141211 Tan Mai - Hanh 2 2" xfId="14189" xr:uid="{00000000-0005-0000-0000-000089650000}"/>
    <cellStyle name="X_hoanggia_20141211 Tan Mai - Hanh 2 2_TOM TAT" xfId="24751" xr:uid="{00000000-0005-0000-0000-00008A650000}"/>
    <cellStyle name="X_hoanggia_20141211 Tan Mai - Hanh 2_TOM TAT" xfId="14190" xr:uid="{00000000-0005-0000-0000-00008B650000}"/>
    <cellStyle name="X_hoanggia_20141211 Tan Mai - Hanh 2_TOM TAT 2" xfId="14191" xr:uid="{00000000-0005-0000-0000-00008C650000}"/>
    <cellStyle name="X_hoanggia_20141211 Tan Mai - Hanh 2_TOM TAT 2_TOM TAT" xfId="24753" xr:uid="{00000000-0005-0000-0000-00008D650000}"/>
    <cellStyle name="X_hoanggia_20141211 Tan Mai - Hanh 2_TOM TAT_1" xfId="24750" xr:uid="{00000000-0005-0000-0000-00008E650000}"/>
    <cellStyle name="X_hoanggia_20141211 Tan Mai - Hanh 2_TOM TAT_TOM TAT" xfId="24752" xr:uid="{00000000-0005-0000-0000-00008F650000}"/>
    <cellStyle name="X_hoanggia_20141211 Tan Mai - Hanh 3" xfId="14192" xr:uid="{00000000-0005-0000-0000-000090650000}"/>
    <cellStyle name="X_hoanggia_20141211 Tan Mai - Hanh 3_TOM TAT" xfId="24754" xr:uid="{00000000-0005-0000-0000-000091650000}"/>
    <cellStyle name="X_hoanggia_20141211 Tan Mai - Hanh_TOM TAT" xfId="14193" xr:uid="{00000000-0005-0000-0000-000092650000}"/>
    <cellStyle name="X_hoanggia_20141211 Tan Mai - Hanh_TOM TAT 2" xfId="14194" xr:uid="{00000000-0005-0000-0000-000093650000}"/>
    <cellStyle name="X_hoanggia_20141211 Tan Mai - Hanh_TOM TAT 2_TOM TAT" xfId="24756" xr:uid="{00000000-0005-0000-0000-000094650000}"/>
    <cellStyle name="X_hoanggia_20141211 Tan Mai - Hanh_TOM TAT_1" xfId="24749" xr:uid="{00000000-0005-0000-0000-000095650000}"/>
    <cellStyle name="X_hoanggia_20141211 Tan Mai - Hanh_TOM TAT_TOM TAT" xfId="24755" xr:uid="{00000000-0005-0000-0000-000096650000}"/>
    <cellStyle name="X_hoanggia_Bang Cong tac" xfId="1795" xr:uid="{00000000-0005-0000-0000-000097650000}"/>
    <cellStyle name="X_hoanggia_Bang Cong tac 10" xfId="18564" xr:uid="{00000000-0005-0000-0000-000098650000}"/>
    <cellStyle name="X_hoanggia_Bang Cong tac 10_TOM TAT" xfId="24758" xr:uid="{00000000-0005-0000-0000-000099650000}"/>
    <cellStyle name="X_hoanggia_Bang Cong tac 11" xfId="18896" xr:uid="{00000000-0005-0000-0000-00009A650000}"/>
    <cellStyle name="X_hoanggia_Bang Cong tac 11 2" xfId="31834" xr:uid="{00000000-0005-0000-0000-00009B650000}"/>
    <cellStyle name="X_hoanggia_Bang Cong tac 11_TOM TAT" xfId="24759" xr:uid="{00000000-0005-0000-0000-00009C650000}"/>
    <cellStyle name="X_hoanggia_Bang Cong tac 12" xfId="27005" xr:uid="{00000000-0005-0000-0000-00009D650000}"/>
    <cellStyle name="X_hoanggia_Bang Cong tac 2" xfId="4813" xr:uid="{00000000-0005-0000-0000-00009E650000}"/>
    <cellStyle name="X_hoanggia_Bang Cong tac 2 2" xfId="14195" xr:uid="{00000000-0005-0000-0000-00009F650000}"/>
    <cellStyle name="X_hoanggia_Bang Cong tac 2 2_TOM TAT" xfId="24760" xr:uid="{00000000-0005-0000-0000-0000A0650000}"/>
    <cellStyle name="X_hoanggia_Bang Cong tac 2 3" xfId="18653" xr:uid="{00000000-0005-0000-0000-0000A1650000}"/>
    <cellStyle name="X_hoanggia_Bang Cong tac 2 3_TOM TAT" xfId="24761" xr:uid="{00000000-0005-0000-0000-0000A2650000}"/>
    <cellStyle name="X_hoanggia_Bang Cong tac 2 4" xfId="18938" xr:uid="{00000000-0005-0000-0000-0000A3650000}"/>
    <cellStyle name="X_hoanggia_Bang Cong tac 2 4 2" xfId="31855" xr:uid="{00000000-0005-0000-0000-0000A4650000}"/>
    <cellStyle name="X_hoanggia_Bang Cong tac 2 4_TOM TAT" xfId="24762" xr:uid="{00000000-0005-0000-0000-0000A5650000}"/>
    <cellStyle name="X_hoanggia_Bang Cong tac 2_TOM TAT" xfId="14196" xr:uid="{00000000-0005-0000-0000-0000A6650000}"/>
    <cellStyle name="X_hoanggia_Bang Cong tac 2_TOM TAT 2" xfId="14197" xr:uid="{00000000-0005-0000-0000-0000A7650000}"/>
    <cellStyle name="X_hoanggia_Bang Cong tac 2_TOM TAT 2_TOM TAT" xfId="24764" xr:uid="{00000000-0005-0000-0000-0000A8650000}"/>
    <cellStyle name="X_hoanggia_Bang Cong tac 2_TOM TAT_TOM TAT" xfId="24763" xr:uid="{00000000-0005-0000-0000-0000A9650000}"/>
    <cellStyle name="X_hoanggia_Bang Cong tac 3" xfId="5724" xr:uid="{00000000-0005-0000-0000-0000AA650000}"/>
    <cellStyle name="X_hoanggia_Bang Cong tac 3 2" xfId="5725" xr:uid="{00000000-0005-0000-0000-0000AB650000}"/>
    <cellStyle name="X_hoanggia_Bang Cong tac 3 2 2" xfId="14198" xr:uid="{00000000-0005-0000-0000-0000AC650000}"/>
    <cellStyle name="X_hoanggia_Bang Cong tac 3 2 2 2" xfId="14199" xr:uid="{00000000-0005-0000-0000-0000AD650000}"/>
    <cellStyle name="X_hoanggia_Bang Cong tac 3 2 2 2 2" xfId="14200" xr:uid="{00000000-0005-0000-0000-0000AE650000}"/>
    <cellStyle name="X_hoanggia_Bang Cong tac 3 2 2 2 2_TOM TAT" xfId="24769" xr:uid="{00000000-0005-0000-0000-0000AF650000}"/>
    <cellStyle name="X_hoanggia_Bang Cong tac 3 2 2 2_TOM TAT" xfId="14201" xr:uid="{00000000-0005-0000-0000-0000B0650000}"/>
    <cellStyle name="X_hoanggia_Bang Cong tac 3 2 2 2_TOM TAT 2" xfId="14202" xr:uid="{00000000-0005-0000-0000-0000B1650000}"/>
    <cellStyle name="X_hoanggia_Bang Cong tac 3 2 2 2_TOM TAT 2_TOM TAT" xfId="24771" xr:uid="{00000000-0005-0000-0000-0000B2650000}"/>
    <cellStyle name="X_hoanggia_Bang Cong tac 3 2 2 2_TOM TAT_1" xfId="24768" xr:uid="{00000000-0005-0000-0000-0000B3650000}"/>
    <cellStyle name="X_hoanggia_Bang Cong tac 3 2 2 2_TOM TAT_TOM TAT" xfId="24770" xr:uid="{00000000-0005-0000-0000-0000B4650000}"/>
    <cellStyle name="X_hoanggia_Bang Cong tac 3 2 2 3" xfId="14203" xr:uid="{00000000-0005-0000-0000-0000B5650000}"/>
    <cellStyle name="X_hoanggia_Bang Cong tac 3 2 2 3_TOM TAT" xfId="24772" xr:uid="{00000000-0005-0000-0000-0000B6650000}"/>
    <cellStyle name="X_hoanggia_Bang Cong tac 3 2 2_TOM TAT" xfId="14204" xr:uid="{00000000-0005-0000-0000-0000B7650000}"/>
    <cellStyle name="X_hoanggia_Bang Cong tac 3 2 2_TOM TAT 2" xfId="14205" xr:uid="{00000000-0005-0000-0000-0000B8650000}"/>
    <cellStyle name="X_hoanggia_Bang Cong tac 3 2 2_TOM TAT 2_TOM TAT" xfId="24774" xr:uid="{00000000-0005-0000-0000-0000B9650000}"/>
    <cellStyle name="X_hoanggia_Bang Cong tac 3 2 2_TOM TAT_1" xfId="24767" xr:uid="{00000000-0005-0000-0000-0000BA650000}"/>
    <cellStyle name="X_hoanggia_Bang Cong tac 3 2 2_TOM TAT_TOM TAT" xfId="24773" xr:uid="{00000000-0005-0000-0000-0000BB650000}"/>
    <cellStyle name="X_hoanggia_Bang Cong tac 3 2 3" xfId="14206" xr:uid="{00000000-0005-0000-0000-0000BC650000}"/>
    <cellStyle name="X_hoanggia_Bang Cong tac 3 2 3 2" xfId="14207" xr:uid="{00000000-0005-0000-0000-0000BD650000}"/>
    <cellStyle name="X_hoanggia_Bang Cong tac 3 2 3 2 2" xfId="14208" xr:uid="{00000000-0005-0000-0000-0000BE650000}"/>
    <cellStyle name="X_hoanggia_Bang Cong tac 3 2 3 2 2_TOM TAT" xfId="24777" xr:uid="{00000000-0005-0000-0000-0000BF650000}"/>
    <cellStyle name="X_hoanggia_Bang Cong tac 3 2 3 2_TOM TAT" xfId="14209" xr:uid="{00000000-0005-0000-0000-0000C0650000}"/>
    <cellStyle name="X_hoanggia_Bang Cong tac 3 2 3 2_TOM TAT 2" xfId="14210" xr:uid="{00000000-0005-0000-0000-0000C1650000}"/>
    <cellStyle name="X_hoanggia_Bang Cong tac 3 2 3 2_TOM TAT 2_TOM TAT" xfId="24779" xr:uid="{00000000-0005-0000-0000-0000C2650000}"/>
    <cellStyle name="X_hoanggia_Bang Cong tac 3 2 3 2_TOM TAT_1" xfId="24776" xr:uid="{00000000-0005-0000-0000-0000C3650000}"/>
    <cellStyle name="X_hoanggia_Bang Cong tac 3 2 3 2_TOM TAT_TOM TAT" xfId="24778" xr:uid="{00000000-0005-0000-0000-0000C4650000}"/>
    <cellStyle name="X_hoanggia_Bang Cong tac 3 2 3 3" xfId="14211" xr:uid="{00000000-0005-0000-0000-0000C5650000}"/>
    <cellStyle name="X_hoanggia_Bang Cong tac 3 2 3 3_TOM TAT" xfId="24780" xr:uid="{00000000-0005-0000-0000-0000C6650000}"/>
    <cellStyle name="X_hoanggia_Bang Cong tac 3 2 3_TOM TAT" xfId="14212" xr:uid="{00000000-0005-0000-0000-0000C7650000}"/>
    <cellStyle name="X_hoanggia_Bang Cong tac 3 2 3_TOM TAT 2" xfId="14213" xr:uid="{00000000-0005-0000-0000-0000C8650000}"/>
    <cellStyle name="X_hoanggia_Bang Cong tac 3 2 3_TOM TAT 2_TOM TAT" xfId="24782" xr:uid="{00000000-0005-0000-0000-0000C9650000}"/>
    <cellStyle name="X_hoanggia_Bang Cong tac 3 2 3_TOM TAT_1" xfId="24775" xr:uid="{00000000-0005-0000-0000-0000CA650000}"/>
    <cellStyle name="X_hoanggia_Bang Cong tac 3 2 3_TOM TAT_TOM TAT" xfId="24781" xr:uid="{00000000-0005-0000-0000-0000CB650000}"/>
    <cellStyle name="X_hoanggia_Bang Cong tac 3 2 4" xfId="14214" xr:uid="{00000000-0005-0000-0000-0000CC650000}"/>
    <cellStyle name="X_hoanggia_Bang Cong tac 3 2 4 2" xfId="14215" xr:uid="{00000000-0005-0000-0000-0000CD650000}"/>
    <cellStyle name="X_hoanggia_Bang Cong tac 3 2 4 2_TOM TAT" xfId="24784" xr:uid="{00000000-0005-0000-0000-0000CE650000}"/>
    <cellStyle name="X_hoanggia_Bang Cong tac 3 2 4_TOM TAT" xfId="14216" xr:uid="{00000000-0005-0000-0000-0000CF650000}"/>
    <cellStyle name="X_hoanggia_Bang Cong tac 3 2 4_TOM TAT 2" xfId="14217" xr:uid="{00000000-0005-0000-0000-0000D0650000}"/>
    <cellStyle name="X_hoanggia_Bang Cong tac 3 2 4_TOM TAT 2_TOM TAT" xfId="24786" xr:uid="{00000000-0005-0000-0000-0000D1650000}"/>
    <cellStyle name="X_hoanggia_Bang Cong tac 3 2 4_TOM TAT_1" xfId="24783" xr:uid="{00000000-0005-0000-0000-0000D2650000}"/>
    <cellStyle name="X_hoanggia_Bang Cong tac 3 2 4_TOM TAT_TOM TAT" xfId="24785" xr:uid="{00000000-0005-0000-0000-0000D3650000}"/>
    <cellStyle name="X_hoanggia_Bang Cong tac 3 2 5" xfId="14218" xr:uid="{00000000-0005-0000-0000-0000D4650000}"/>
    <cellStyle name="X_hoanggia_Bang Cong tac 3 2 5_TOM TAT" xfId="24787" xr:uid="{00000000-0005-0000-0000-0000D5650000}"/>
    <cellStyle name="X_hoanggia_Bang Cong tac 3 2 6" xfId="28327" xr:uid="{00000000-0005-0000-0000-0000D6650000}"/>
    <cellStyle name="X_hoanggia_Bang Cong tac 3 2 7" xfId="14734" xr:uid="{00000000-0005-0000-0000-0000D7650000}"/>
    <cellStyle name="X_hoanggia_Bang Cong tac 3 2_TOM TAT" xfId="14219" xr:uid="{00000000-0005-0000-0000-0000D8650000}"/>
    <cellStyle name="X_hoanggia_Bang Cong tac 3 2_TOM TAT 2" xfId="14220" xr:uid="{00000000-0005-0000-0000-0000D9650000}"/>
    <cellStyle name="X_hoanggia_Bang Cong tac 3 2_TOM TAT 2_TOM TAT" xfId="24789" xr:uid="{00000000-0005-0000-0000-0000DA650000}"/>
    <cellStyle name="X_hoanggia_Bang Cong tac 3 2_TOM TAT_1" xfId="24766" xr:uid="{00000000-0005-0000-0000-0000DB650000}"/>
    <cellStyle name="X_hoanggia_Bang Cong tac 3 2_TOM TAT_TOM TAT" xfId="24788" xr:uid="{00000000-0005-0000-0000-0000DC650000}"/>
    <cellStyle name="X_hoanggia_Bang Cong tac 3 3" xfId="14221" xr:uid="{00000000-0005-0000-0000-0000DD650000}"/>
    <cellStyle name="X_hoanggia_Bang Cong tac 3 3 2" xfId="14222" xr:uid="{00000000-0005-0000-0000-0000DE650000}"/>
    <cellStyle name="X_hoanggia_Bang Cong tac 3 3 2 2" xfId="14223" xr:uid="{00000000-0005-0000-0000-0000DF650000}"/>
    <cellStyle name="X_hoanggia_Bang Cong tac 3 3 2 2_TOM TAT" xfId="24792" xr:uid="{00000000-0005-0000-0000-0000E0650000}"/>
    <cellStyle name="X_hoanggia_Bang Cong tac 3 3 2_TOM TAT" xfId="14224" xr:uid="{00000000-0005-0000-0000-0000E1650000}"/>
    <cellStyle name="X_hoanggia_Bang Cong tac 3 3 2_TOM TAT 2" xfId="14225" xr:uid="{00000000-0005-0000-0000-0000E2650000}"/>
    <cellStyle name="X_hoanggia_Bang Cong tac 3 3 2_TOM TAT 2_TOM TAT" xfId="24794" xr:uid="{00000000-0005-0000-0000-0000E3650000}"/>
    <cellStyle name="X_hoanggia_Bang Cong tac 3 3 2_TOM TAT_1" xfId="24791" xr:uid="{00000000-0005-0000-0000-0000E4650000}"/>
    <cellStyle name="X_hoanggia_Bang Cong tac 3 3 2_TOM TAT_TOM TAT" xfId="24793" xr:uid="{00000000-0005-0000-0000-0000E5650000}"/>
    <cellStyle name="X_hoanggia_Bang Cong tac 3 3 3" xfId="14226" xr:uid="{00000000-0005-0000-0000-0000E6650000}"/>
    <cellStyle name="X_hoanggia_Bang Cong tac 3 3 3_TOM TAT" xfId="24795" xr:uid="{00000000-0005-0000-0000-0000E7650000}"/>
    <cellStyle name="X_hoanggia_Bang Cong tac 3 3_TOM TAT" xfId="14227" xr:uid="{00000000-0005-0000-0000-0000E8650000}"/>
    <cellStyle name="X_hoanggia_Bang Cong tac 3 3_TOM TAT 2" xfId="14228" xr:uid="{00000000-0005-0000-0000-0000E9650000}"/>
    <cellStyle name="X_hoanggia_Bang Cong tac 3 3_TOM TAT 2_TOM TAT" xfId="24797" xr:uid="{00000000-0005-0000-0000-0000EA650000}"/>
    <cellStyle name="X_hoanggia_Bang Cong tac 3 3_TOM TAT_1" xfId="24790" xr:uid="{00000000-0005-0000-0000-0000EB650000}"/>
    <cellStyle name="X_hoanggia_Bang Cong tac 3 3_TOM TAT_TOM TAT" xfId="24796" xr:uid="{00000000-0005-0000-0000-0000EC650000}"/>
    <cellStyle name="X_hoanggia_Bang Cong tac 3 4" xfId="14229" xr:uid="{00000000-0005-0000-0000-0000ED650000}"/>
    <cellStyle name="X_hoanggia_Bang Cong tac 3 4 2" xfId="14230" xr:uid="{00000000-0005-0000-0000-0000EE650000}"/>
    <cellStyle name="X_hoanggia_Bang Cong tac 3 4 2 2" xfId="14231" xr:uid="{00000000-0005-0000-0000-0000EF650000}"/>
    <cellStyle name="X_hoanggia_Bang Cong tac 3 4 2 2_TOM TAT" xfId="24800" xr:uid="{00000000-0005-0000-0000-0000F0650000}"/>
    <cellStyle name="X_hoanggia_Bang Cong tac 3 4 2_TOM TAT" xfId="14232" xr:uid="{00000000-0005-0000-0000-0000F1650000}"/>
    <cellStyle name="X_hoanggia_Bang Cong tac 3 4 2_TOM TAT 2" xfId="14233" xr:uid="{00000000-0005-0000-0000-0000F2650000}"/>
    <cellStyle name="X_hoanggia_Bang Cong tac 3 4 2_TOM TAT 2_TOM TAT" xfId="24802" xr:uid="{00000000-0005-0000-0000-0000F3650000}"/>
    <cellStyle name="X_hoanggia_Bang Cong tac 3 4 2_TOM TAT_1" xfId="24799" xr:uid="{00000000-0005-0000-0000-0000F4650000}"/>
    <cellStyle name="X_hoanggia_Bang Cong tac 3 4 2_TOM TAT_TOM TAT" xfId="24801" xr:uid="{00000000-0005-0000-0000-0000F5650000}"/>
    <cellStyle name="X_hoanggia_Bang Cong tac 3 4 3" xfId="14234" xr:uid="{00000000-0005-0000-0000-0000F6650000}"/>
    <cellStyle name="X_hoanggia_Bang Cong tac 3 4 3_TOM TAT" xfId="24803" xr:uid="{00000000-0005-0000-0000-0000F7650000}"/>
    <cellStyle name="X_hoanggia_Bang Cong tac 3 4_TOM TAT" xfId="14235" xr:uid="{00000000-0005-0000-0000-0000F8650000}"/>
    <cellStyle name="X_hoanggia_Bang Cong tac 3 4_TOM TAT 2" xfId="14236" xr:uid="{00000000-0005-0000-0000-0000F9650000}"/>
    <cellStyle name="X_hoanggia_Bang Cong tac 3 4_TOM TAT 2_TOM TAT" xfId="24805" xr:uid="{00000000-0005-0000-0000-0000FA650000}"/>
    <cellStyle name="X_hoanggia_Bang Cong tac 3 4_TOM TAT_1" xfId="24798" xr:uid="{00000000-0005-0000-0000-0000FB650000}"/>
    <cellStyle name="X_hoanggia_Bang Cong tac 3 4_TOM TAT_TOM TAT" xfId="24804" xr:uid="{00000000-0005-0000-0000-0000FC650000}"/>
    <cellStyle name="X_hoanggia_Bang Cong tac 3 5" xfId="14237" xr:uid="{00000000-0005-0000-0000-0000FD650000}"/>
    <cellStyle name="X_hoanggia_Bang Cong tac 3 5 2" xfId="14238" xr:uid="{00000000-0005-0000-0000-0000FE650000}"/>
    <cellStyle name="X_hoanggia_Bang Cong tac 3 5 2_TOM TAT" xfId="24807" xr:uid="{00000000-0005-0000-0000-0000FF650000}"/>
    <cellStyle name="X_hoanggia_Bang Cong tac 3 5_TOM TAT" xfId="14239" xr:uid="{00000000-0005-0000-0000-000000660000}"/>
    <cellStyle name="X_hoanggia_Bang Cong tac 3 5_TOM TAT 2" xfId="14240" xr:uid="{00000000-0005-0000-0000-000001660000}"/>
    <cellStyle name="X_hoanggia_Bang Cong tac 3 5_TOM TAT 2_TOM TAT" xfId="24809" xr:uid="{00000000-0005-0000-0000-000002660000}"/>
    <cellStyle name="X_hoanggia_Bang Cong tac 3 5_TOM TAT_1" xfId="24806" xr:uid="{00000000-0005-0000-0000-000003660000}"/>
    <cellStyle name="X_hoanggia_Bang Cong tac 3 5_TOM TAT_TOM TAT" xfId="24808" xr:uid="{00000000-0005-0000-0000-000004660000}"/>
    <cellStyle name="X_hoanggia_Bang Cong tac 3 6" xfId="14241" xr:uid="{00000000-0005-0000-0000-000005660000}"/>
    <cellStyle name="X_hoanggia_Bang Cong tac 3 6_TOM TAT" xfId="24810" xr:uid="{00000000-0005-0000-0000-000006660000}"/>
    <cellStyle name="X_hoanggia_Bang Cong tac 3 7" xfId="28326" xr:uid="{00000000-0005-0000-0000-000007660000}"/>
    <cellStyle name="X_hoanggia_Bang Cong tac 3 8" xfId="14733" xr:uid="{00000000-0005-0000-0000-000008660000}"/>
    <cellStyle name="X_hoanggia_Bang Cong tac 3_TOM TAT" xfId="14242" xr:uid="{00000000-0005-0000-0000-000009660000}"/>
    <cellStyle name="X_hoanggia_Bang Cong tac 3_TOM TAT 2" xfId="14243" xr:uid="{00000000-0005-0000-0000-00000A660000}"/>
    <cellStyle name="X_hoanggia_Bang Cong tac 3_TOM TAT 2_TOM TAT" xfId="24812" xr:uid="{00000000-0005-0000-0000-00000B660000}"/>
    <cellStyle name="X_hoanggia_Bang Cong tac 3_TOM TAT_1" xfId="24765" xr:uid="{00000000-0005-0000-0000-00000C660000}"/>
    <cellStyle name="X_hoanggia_Bang Cong tac 3_TOM TAT_TOM TAT" xfId="24811" xr:uid="{00000000-0005-0000-0000-00000D660000}"/>
    <cellStyle name="X_hoanggia_Bang Cong tac 4" xfId="5726" xr:uid="{00000000-0005-0000-0000-00000E660000}"/>
    <cellStyle name="X_hoanggia_Bang Cong tac 4 2" xfId="14244" xr:uid="{00000000-0005-0000-0000-00000F660000}"/>
    <cellStyle name="X_hoanggia_Bang Cong tac 4 2 2" xfId="14245" xr:uid="{00000000-0005-0000-0000-000010660000}"/>
    <cellStyle name="X_hoanggia_Bang Cong tac 4 2 2 2" xfId="14246" xr:uid="{00000000-0005-0000-0000-000011660000}"/>
    <cellStyle name="X_hoanggia_Bang Cong tac 4 2 2 2_TOM TAT" xfId="24816" xr:uid="{00000000-0005-0000-0000-000012660000}"/>
    <cellStyle name="X_hoanggia_Bang Cong tac 4 2 2_TOM TAT" xfId="14247" xr:uid="{00000000-0005-0000-0000-000013660000}"/>
    <cellStyle name="X_hoanggia_Bang Cong tac 4 2 2_TOM TAT 2" xfId="14248" xr:uid="{00000000-0005-0000-0000-000014660000}"/>
    <cellStyle name="X_hoanggia_Bang Cong tac 4 2 2_TOM TAT 2_TOM TAT" xfId="24818" xr:uid="{00000000-0005-0000-0000-000015660000}"/>
    <cellStyle name="X_hoanggia_Bang Cong tac 4 2 2_TOM TAT_1" xfId="24815" xr:uid="{00000000-0005-0000-0000-000016660000}"/>
    <cellStyle name="X_hoanggia_Bang Cong tac 4 2 2_TOM TAT_TOM TAT" xfId="24817" xr:uid="{00000000-0005-0000-0000-000017660000}"/>
    <cellStyle name="X_hoanggia_Bang Cong tac 4 2 3" xfId="14249" xr:uid="{00000000-0005-0000-0000-000018660000}"/>
    <cellStyle name="X_hoanggia_Bang Cong tac 4 2 3_TOM TAT" xfId="24819" xr:uid="{00000000-0005-0000-0000-000019660000}"/>
    <cellStyle name="X_hoanggia_Bang Cong tac 4 2_TOM TAT" xfId="14250" xr:uid="{00000000-0005-0000-0000-00001A660000}"/>
    <cellStyle name="X_hoanggia_Bang Cong tac 4 2_TOM TAT 2" xfId="14251" xr:uid="{00000000-0005-0000-0000-00001B660000}"/>
    <cellStyle name="X_hoanggia_Bang Cong tac 4 2_TOM TAT 2_TOM TAT" xfId="24821" xr:uid="{00000000-0005-0000-0000-00001C660000}"/>
    <cellStyle name="X_hoanggia_Bang Cong tac 4 2_TOM TAT_1" xfId="24814" xr:uid="{00000000-0005-0000-0000-00001D660000}"/>
    <cellStyle name="X_hoanggia_Bang Cong tac 4 2_TOM TAT_TOM TAT" xfId="24820" xr:uid="{00000000-0005-0000-0000-00001E660000}"/>
    <cellStyle name="X_hoanggia_Bang Cong tac 4 3" xfId="14252" xr:uid="{00000000-0005-0000-0000-00001F660000}"/>
    <cellStyle name="X_hoanggia_Bang Cong tac 4 3 2" xfId="14253" xr:uid="{00000000-0005-0000-0000-000020660000}"/>
    <cellStyle name="X_hoanggia_Bang Cong tac 4 3 2 2" xfId="14254" xr:uid="{00000000-0005-0000-0000-000021660000}"/>
    <cellStyle name="X_hoanggia_Bang Cong tac 4 3 2 2_TOM TAT" xfId="24824" xr:uid="{00000000-0005-0000-0000-000022660000}"/>
    <cellStyle name="X_hoanggia_Bang Cong tac 4 3 2_TOM TAT" xfId="14255" xr:uid="{00000000-0005-0000-0000-000023660000}"/>
    <cellStyle name="X_hoanggia_Bang Cong tac 4 3 2_TOM TAT 2" xfId="14256" xr:uid="{00000000-0005-0000-0000-000024660000}"/>
    <cellStyle name="X_hoanggia_Bang Cong tac 4 3 2_TOM TAT 2_TOM TAT" xfId="24826" xr:uid="{00000000-0005-0000-0000-000025660000}"/>
    <cellStyle name="X_hoanggia_Bang Cong tac 4 3 2_TOM TAT_1" xfId="24823" xr:uid="{00000000-0005-0000-0000-000026660000}"/>
    <cellStyle name="X_hoanggia_Bang Cong tac 4 3 2_TOM TAT_TOM TAT" xfId="24825" xr:uid="{00000000-0005-0000-0000-000027660000}"/>
    <cellStyle name="X_hoanggia_Bang Cong tac 4 3 3" xfId="14257" xr:uid="{00000000-0005-0000-0000-000028660000}"/>
    <cellStyle name="X_hoanggia_Bang Cong tac 4 3 3_TOM TAT" xfId="24827" xr:uid="{00000000-0005-0000-0000-000029660000}"/>
    <cellStyle name="X_hoanggia_Bang Cong tac 4 3_TOM TAT" xfId="14258" xr:uid="{00000000-0005-0000-0000-00002A660000}"/>
    <cellStyle name="X_hoanggia_Bang Cong tac 4 3_TOM TAT 2" xfId="14259" xr:uid="{00000000-0005-0000-0000-00002B660000}"/>
    <cellStyle name="X_hoanggia_Bang Cong tac 4 3_TOM TAT 2_TOM TAT" xfId="24829" xr:uid="{00000000-0005-0000-0000-00002C660000}"/>
    <cellStyle name="X_hoanggia_Bang Cong tac 4 3_TOM TAT_1" xfId="24822" xr:uid="{00000000-0005-0000-0000-00002D660000}"/>
    <cellStyle name="X_hoanggia_Bang Cong tac 4 3_TOM TAT_TOM TAT" xfId="24828" xr:uid="{00000000-0005-0000-0000-00002E660000}"/>
    <cellStyle name="X_hoanggia_Bang Cong tac 4 4" xfId="14260" xr:uid="{00000000-0005-0000-0000-00002F660000}"/>
    <cellStyle name="X_hoanggia_Bang Cong tac 4 4 2" xfId="14261" xr:uid="{00000000-0005-0000-0000-000030660000}"/>
    <cellStyle name="X_hoanggia_Bang Cong tac 4 4 2_TOM TAT" xfId="24831" xr:uid="{00000000-0005-0000-0000-000031660000}"/>
    <cellStyle name="X_hoanggia_Bang Cong tac 4 4_TOM TAT" xfId="14262" xr:uid="{00000000-0005-0000-0000-000032660000}"/>
    <cellStyle name="X_hoanggia_Bang Cong tac 4 4_TOM TAT 2" xfId="14263" xr:uid="{00000000-0005-0000-0000-000033660000}"/>
    <cellStyle name="X_hoanggia_Bang Cong tac 4 4_TOM TAT 2_TOM TAT" xfId="24833" xr:uid="{00000000-0005-0000-0000-000034660000}"/>
    <cellStyle name="X_hoanggia_Bang Cong tac 4 4_TOM TAT_1" xfId="24830" xr:uid="{00000000-0005-0000-0000-000035660000}"/>
    <cellStyle name="X_hoanggia_Bang Cong tac 4 4_TOM TAT_TOM TAT" xfId="24832" xr:uid="{00000000-0005-0000-0000-000036660000}"/>
    <cellStyle name="X_hoanggia_Bang Cong tac 4 5" xfId="14264" xr:uid="{00000000-0005-0000-0000-000037660000}"/>
    <cellStyle name="X_hoanggia_Bang Cong tac 4 5_TOM TAT" xfId="24834" xr:uid="{00000000-0005-0000-0000-000038660000}"/>
    <cellStyle name="X_hoanggia_Bang Cong tac 4 6" xfId="28328" xr:uid="{00000000-0005-0000-0000-000039660000}"/>
    <cellStyle name="X_hoanggia_Bang Cong tac 4 7" xfId="14735" xr:uid="{00000000-0005-0000-0000-00003A660000}"/>
    <cellStyle name="X_hoanggia_Bang Cong tac 4_TOM TAT" xfId="14265" xr:uid="{00000000-0005-0000-0000-00003B660000}"/>
    <cellStyle name="X_hoanggia_Bang Cong tac 4_TOM TAT 2" xfId="14266" xr:uid="{00000000-0005-0000-0000-00003C660000}"/>
    <cellStyle name="X_hoanggia_Bang Cong tac 4_TOM TAT 2_TOM TAT" xfId="24836" xr:uid="{00000000-0005-0000-0000-00003D660000}"/>
    <cellStyle name="X_hoanggia_Bang Cong tac 4_TOM TAT_1" xfId="24813" xr:uid="{00000000-0005-0000-0000-00003E660000}"/>
    <cellStyle name="X_hoanggia_Bang Cong tac 4_TOM TAT_TOM TAT" xfId="24835" xr:uid="{00000000-0005-0000-0000-00003F660000}"/>
    <cellStyle name="X_hoanggia_Bang Cong tac 5" xfId="14267" xr:uid="{00000000-0005-0000-0000-000040660000}"/>
    <cellStyle name="X_hoanggia_Bang Cong tac 5 2" xfId="14268" xr:uid="{00000000-0005-0000-0000-000041660000}"/>
    <cellStyle name="X_hoanggia_Bang Cong tac 5 2 2" xfId="14269" xr:uid="{00000000-0005-0000-0000-000042660000}"/>
    <cellStyle name="X_hoanggia_Bang Cong tac 5 2 2_TOM TAT" xfId="24839" xr:uid="{00000000-0005-0000-0000-000043660000}"/>
    <cellStyle name="X_hoanggia_Bang Cong tac 5 2_TOM TAT" xfId="14270" xr:uid="{00000000-0005-0000-0000-000044660000}"/>
    <cellStyle name="X_hoanggia_Bang Cong tac 5 2_TOM TAT 2" xfId="14271" xr:uid="{00000000-0005-0000-0000-000045660000}"/>
    <cellStyle name="X_hoanggia_Bang Cong tac 5 2_TOM TAT 2_TOM TAT" xfId="24841" xr:uid="{00000000-0005-0000-0000-000046660000}"/>
    <cellStyle name="X_hoanggia_Bang Cong tac 5 2_TOM TAT_1" xfId="24838" xr:uid="{00000000-0005-0000-0000-000047660000}"/>
    <cellStyle name="X_hoanggia_Bang Cong tac 5 2_TOM TAT_TOM TAT" xfId="24840" xr:uid="{00000000-0005-0000-0000-000048660000}"/>
    <cellStyle name="X_hoanggia_Bang Cong tac 5 3" xfId="14272" xr:uid="{00000000-0005-0000-0000-000049660000}"/>
    <cellStyle name="X_hoanggia_Bang Cong tac 5 3_TOM TAT" xfId="24842" xr:uid="{00000000-0005-0000-0000-00004A660000}"/>
    <cellStyle name="X_hoanggia_Bang Cong tac 5_TOM TAT" xfId="14273" xr:uid="{00000000-0005-0000-0000-00004B660000}"/>
    <cellStyle name="X_hoanggia_Bang Cong tac 5_TOM TAT 2" xfId="14274" xr:uid="{00000000-0005-0000-0000-00004C660000}"/>
    <cellStyle name="X_hoanggia_Bang Cong tac 5_TOM TAT 2_TOM TAT" xfId="24844" xr:uid="{00000000-0005-0000-0000-00004D660000}"/>
    <cellStyle name="X_hoanggia_Bang Cong tac 5_TOM TAT_1" xfId="24837" xr:uid="{00000000-0005-0000-0000-00004E660000}"/>
    <cellStyle name="X_hoanggia_Bang Cong tac 5_TOM TAT_TOM TAT" xfId="24843" xr:uid="{00000000-0005-0000-0000-00004F660000}"/>
    <cellStyle name="X_hoanggia_Bang Cong tac 6" xfId="14275" xr:uid="{00000000-0005-0000-0000-000050660000}"/>
    <cellStyle name="X_hoanggia_Bang Cong tac 6 2" xfId="14276" xr:uid="{00000000-0005-0000-0000-000051660000}"/>
    <cellStyle name="X_hoanggia_Bang Cong tac 6 2 2" xfId="14277" xr:uid="{00000000-0005-0000-0000-000052660000}"/>
    <cellStyle name="X_hoanggia_Bang Cong tac 6 2 2_TOM TAT" xfId="24847" xr:uid="{00000000-0005-0000-0000-000053660000}"/>
    <cellStyle name="X_hoanggia_Bang Cong tac 6 2_TOM TAT" xfId="14278" xr:uid="{00000000-0005-0000-0000-000054660000}"/>
    <cellStyle name="X_hoanggia_Bang Cong tac 6 2_TOM TAT 2" xfId="14279" xr:uid="{00000000-0005-0000-0000-000055660000}"/>
    <cellStyle name="X_hoanggia_Bang Cong tac 6 2_TOM TAT 2_TOM TAT" xfId="24849" xr:uid="{00000000-0005-0000-0000-000056660000}"/>
    <cellStyle name="X_hoanggia_Bang Cong tac 6 2_TOM TAT_1" xfId="24846" xr:uid="{00000000-0005-0000-0000-000057660000}"/>
    <cellStyle name="X_hoanggia_Bang Cong tac 6 2_TOM TAT_TOM TAT" xfId="24848" xr:uid="{00000000-0005-0000-0000-000058660000}"/>
    <cellStyle name="X_hoanggia_Bang Cong tac 6 3" xfId="14280" xr:uid="{00000000-0005-0000-0000-000059660000}"/>
    <cellStyle name="X_hoanggia_Bang Cong tac 6 3_TOM TAT" xfId="24850" xr:uid="{00000000-0005-0000-0000-00005A660000}"/>
    <cellStyle name="X_hoanggia_Bang Cong tac 6_TOM TAT" xfId="14281" xr:uid="{00000000-0005-0000-0000-00005B660000}"/>
    <cellStyle name="X_hoanggia_Bang Cong tac 6_TOM TAT 2" xfId="14282" xr:uid="{00000000-0005-0000-0000-00005C660000}"/>
    <cellStyle name="X_hoanggia_Bang Cong tac 6_TOM TAT 2_TOM TAT" xfId="24852" xr:uid="{00000000-0005-0000-0000-00005D660000}"/>
    <cellStyle name="X_hoanggia_Bang Cong tac 6_TOM TAT_1" xfId="24845" xr:uid="{00000000-0005-0000-0000-00005E660000}"/>
    <cellStyle name="X_hoanggia_Bang Cong tac 6_TOM TAT_TOM TAT" xfId="24851" xr:uid="{00000000-0005-0000-0000-00005F660000}"/>
    <cellStyle name="X_hoanggia_Bang Cong tac 7" xfId="14283" xr:uid="{00000000-0005-0000-0000-000060660000}"/>
    <cellStyle name="X_hoanggia_Bang Cong tac 7_TOM TAT" xfId="24853" xr:uid="{00000000-0005-0000-0000-000061660000}"/>
    <cellStyle name="X_hoanggia_Bang Cong tac 8" xfId="14284" xr:uid="{00000000-0005-0000-0000-000062660000}"/>
    <cellStyle name="X_hoanggia_Bang Cong tac 8_TOM TAT" xfId="24854" xr:uid="{00000000-0005-0000-0000-000063660000}"/>
    <cellStyle name="X_hoanggia_Bang Cong tac 9" xfId="14285" xr:uid="{00000000-0005-0000-0000-000064660000}"/>
    <cellStyle name="X_hoanggia_Bang Cong tac 9_TOM TAT" xfId="24855" xr:uid="{00000000-0005-0000-0000-000065660000}"/>
    <cellStyle name="X_hoanggia_Bang Cong tac_20141211 Tan Mai - Hanh" xfId="14286" xr:uid="{00000000-0005-0000-0000-000066660000}"/>
    <cellStyle name="X_hoanggia_Bang Cong tac_20141211 Tan Mai - Hanh 2" xfId="14287" xr:uid="{00000000-0005-0000-0000-000067660000}"/>
    <cellStyle name="X_hoanggia_Bang Cong tac_20141211 Tan Mai - Hanh 2 2" xfId="14288" xr:uid="{00000000-0005-0000-0000-000068660000}"/>
    <cellStyle name="X_hoanggia_Bang Cong tac_20141211 Tan Mai - Hanh 2 2_TOM TAT" xfId="24858" xr:uid="{00000000-0005-0000-0000-000069660000}"/>
    <cellStyle name="X_hoanggia_Bang Cong tac_20141211 Tan Mai - Hanh 2_TOM TAT" xfId="14289" xr:uid="{00000000-0005-0000-0000-00006A660000}"/>
    <cellStyle name="X_hoanggia_Bang Cong tac_20141211 Tan Mai - Hanh 2_TOM TAT 2" xfId="14290" xr:uid="{00000000-0005-0000-0000-00006B660000}"/>
    <cellStyle name="X_hoanggia_Bang Cong tac_20141211 Tan Mai - Hanh 2_TOM TAT 2_TOM TAT" xfId="24860" xr:uid="{00000000-0005-0000-0000-00006C660000}"/>
    <cellStyle name="X_hoanggia_Bang Cong tac_20141211 Tan Mai - Hanh 2_TOM TAT_1" xfId="24857" xr:uid="{00000000-0005-0000-0000-00006D660000}"/>
    <cellStyle name="X_hoanggia_Bang Cong tac_20141211 Tan Mai - Hanh 2_TOM TAT_TOM TAT" xfId="24859" xr:uid="{00000000-0005-0000-0000-00006E660000}"/>
    <cellStyle name="X_hoanggia_Bang Cong tac_20141211 Tan Mai - Hanh 3" xfId="14291" xr:uid="{00000000-0005-0000-0000-00006F660000}"/>
    <cellStyle name="X_hoanggia_Bang Cong tac_20141211 Tan Mai - Hanh 3_TOM TAT" xfId="24861" xr:uid="{00000000-0005-0000-0000-000070660000}"/>
    <cellStyle name="X_hoanggia_Bang Cong tac_20141211 Tan Mai - Hanh_TOM TAT" xfId="14292" xr:uid="{00000000-0005-0000-0000-000071660000}"/>
    <cellStyle name="X_hoanggia_Bang Cong tac_20141211 Tan Mai - Hanh_TOM TAT 2" xfId="14293" xr:uid="{00000000-0005-0000-0000-000072660000}"/>
    <cellStyle name="X_hoanggia_Bang Cong tac_20141211 Tan Mai - Hanh_TOM TAT 2_TOM TAT" xfId="24863" xr:uid="{00000000-0005-0000-0000-000073660000}"/>
    <cellStyle name="X_hoanggia_Bang Cong tac_20141211 Tan Mai - Hanh_TOM TAT_1" xfId="24856" xr:uid="{00000000-0005-0000-0000-000074660000}"/>
    <cellStyle name="X_hoanggia_Bang Cong tac_20141211 Tan Mai - Hanh_TOM TAT_TOM TAT" xfId="24862" xr:uid="{00000000-0005-0000-0000-000075660000}"/>
    <cellStyle name="X_hoanggia_Bang Cong tac_TOM TAT" xfId="14294" xr:uid="{00000000-0005-0000-0000-000076660000}"/>
    <cellStyle name="X_hoanggia_Bang Cong tac_TOM TAT 2" xfId="14295" xr:uid="{00000000-0005-0000-0000-000077660000}"/>
    <cellStyle name="X_hoanggia_Bang Cong tac_TOM TAT 2_TOM TAT" xfId="24865" xr:uid="{00000000-0005-0000-0000-000078660000}"/>
    <cellStyle name="X_hoanggia_Bang Cong tac_TOM TAT_1" xfId="24757" xr:uid="{00000000-0005-0000-0000-000079660000}"/>
    <cellStyle name="X_hoanggia_Bang Cong tac_TOM TAT_TOM TAT" xfId="24864" xr:uid="{00000000-0005-0000-0000-00007A660000}"/>
    <cellStyle name="X_hoanggia_TOM TAT" xfId="14296" xr:uid="{00000000-0005-0000-0000-00007B660000}"/>
    <cellStyle name="X_hoanggia_TOM TAT 2" xfId="14297" xr:uid="{00000000-0005-0000-0000-00007C660000}"/>
    <cellStyle name="X_hoanggia_TOM TAT 2_TOM TAT" xfId="24867" xr:uid="{00000000-0005-0000-0000-00007D660000}"/>
    <cellStyle name="X_hoanggia_TOM TAT_1" xfId="24650" xr:uid="{00000000-0005-0000-0000-00007E660000}"/>
    <cellStyle name="X_hoanggia_TOM TAT_TOM TAT" xfId="24866" xr:uid="{00000000-0005-0000-0000-00007F660000}"/>
    <cellStyle name="x_Megahsewa - 310703" xfId="1796" xr:uid="{00000000-0005-0000-0000-000080660000}"/>
    <cellStyle name="x_Megahsewa - 310703 2" xfId="4814" xr:uid="{00000000-0005-0000-0000-000081660000}"/>
    <cellStyle name="x_Megahsewa - 310703 2 2" xfId="14298" xr:uid="{00000000-0005-0000-0000-000082660000}"/>
    <cellStyle name="x_Megahsewa - 310703 2 2_TOM TAT" xfId="24869" xr:uid="{00000000-0005-0000-0000-000083660000}"/>
    <cellStyle name="x_Megahsewa - 310703 2_TOM TAT" xfId="14299" xr:uid="{00000000-0005-0000-0000-000084660000}"/>
    <cellStyle name="x_Megahsewa - 310703 2_TOM TAT 2" xfId="14300" xr:uid="{00000000-0005-0000-0000-000085660000}"/>
    <cellStyle name="x_Megahsewa - 310703 2_TOM TAT 2_TOM TAT" xfId="24871" xr:uid="{00000000-0005-0000-0000-000086660000}"/>
    <cellStyle name="x_Megahsewa - 310703 2_TOM TAT_TOM TAT" xfId="24870" xr:uid="{00000000-0005-0000-0000-000087660000}"/>
    <cellStyle name="x_Megahsewa - 310703 3" xfId="18565" xr:uid="{00000000-0005-0000-0000-000088660000}"/>
    <cellStyle name="x_Megahsewa - 310703 3_TOM TAT" xfId="24872" xr:uid="{00000000-0005-0000-0000-000089660000}"/>
    <cellStyle name="x_Megahsewa - 310703 4" xfId="18897" xr:uid="{00000000-0005-0000-0000-00008A660000}"/>
    <cellStyle name="x_Megahsewa - 310703 4_TOM TAT" xfId="24873" xr:uid="{00000000-0005-0000-0000-00008B660000}"/>
    <cellStyle name="x_Megahsewa - 310703_TOM TAT" xfId="14301" xr:uid="{00000000-0005-0000-0000-00008C660000}"/>
    <cellStyle name="x_Megahsewa - 310703_TOM TAT 2" xfId="14302" xr:uid="{00000000-0005-0000-0000-00008D660000}"/>
    <cellStyle name="x_Megahsewa - 310703_TOM TAT 2_TOM TAT" xfId="24875" xr:uid="{00000000-0005-0000-0000-00008E660000}"/>
    <cellStyle name="x_Megahsewa - 310703_TOM TAT_1" xfId="24868" xr:uid="{00000000-0005-0000-0000-00008F660000}"/>
    <cellStyle name="x_Megahsewa - 310703_TOM TAT_TOM TAT" xfId="24874" xr:uid="{00000000-0005-0000-0000-000090660000}"/>
    <cellStyle name="x_MR_Acc2001-bak" xfId="1797" xr:uid="{00000000-0005-0000-0000-000091660000}"/>
    <cellStyle name="x_MR_Acc2001-bak 2" xfId="4815" xr:uid="{00000000-0005-0000-0000-000092660000}"/>
    <cellStyle name="x_MR_Acc2001-bak 2 2" xfId="14303" xr:uid="{00000000-0005-0000-0000-000093660000}"/>
    <cellStyle name="x_MR_Acc2001-bak 2 2_TOM TAT" xfId="24877" xr:uid="{00000000-0005-0000-0000-000094660000}"/>
    <cellStyle name="x_MR_Acc2001-bak 2_TOM TAT" xfId="14304" xr:uid="{00000000-0005-0000-0000-000095660000}"/>
    <cellStyle name="x_MR_Acc2001-bak 2_TOM TAT 2" xfId="14305" xr:uid="{00000000-0005-0000-0000-000096660000}"/>
    <cellStyle name="x_MR_Acc2001-bak 2_TOM TAT 2_TOM TAT" xfId="24879" xr:uid="{00000000-0005-0000-0000-000097660000}"/>
    <cellStyle name="x_MR_Acc2001-bak 2_TOM TAT_TOM TAT" xfId="24878" xr:uid="{00000000-0005-0000-0000-000098660000}"/>
    <cellStyle name="x_MR_Acc2001-bak 3" xfId="18566" xr:uid="{00000000-0005-0000-0000-000099660000}"/>
    <cellStyle name="x_MR_Acc2001-bak 3_TOM TAT" xfId="24880" xr:uid="{00000000-0005-0000-0000-00009A660000}"/>
    <cellStyle name="x_MR_Acc2001-bak 4" xfId="18898" xr:uid="{00000000-0005-0000-0000-00009B660000}"/>
    <cellStyle name="x_MR_Acc2001-bak 4_TOM TAT" xfId="24881" xr:uid="{00000000-0005-0000-0000-00009C660000}"/>
    <cellStyle name="x_MR_Acc2001-bak_TOM TAT" xfId="14306" xr:uid="{00000000-0005-0000-0000-00009D660000}"/>
    <cellStyle name="x_MR_Acc2001-bak_TOM TAT 2" xfId="14307" xr:uid="{00000000-0005-0000-0000-00009E660000}"/>
    <cellStyle name="x_MR_Acc2001-bak_TOM TAT 2_TOM TAT" xfId="24883" xr:uid="{00000000-0005-0000-0000-00009F660000}"/>
    <cellStyle name="x_MR_Acc2001-bak_TOM TAT_1" xfId="24876" xr:uid="{00000000-0005-0000-0000-0000A0660000}"/>
    <cellStyle name="x_MR_Acc2001-bak_TOM TAT_TOM TAT" xfId="24882" xr:uid="{00000000-0005-0000-0000-0000A1660000}"/>
    <cellStyle name="x_PSM_2000" xfId="1798" xr:uid="{00000000-0005-0000-0000-0000A2660000}"/>
    <cellStyle name="x_PSM_2000 2" xfId="4816" xr:uid="{00000000-0005-0000-0000-0000A3660000}"/>
    <cellStyle name="x_PSM_2000 2 2" xfId="14308" xr:uid="{00000000-0005-0000-0000-0000A4660000}"/>
    <cellStyle name="x_PSM_2000 2 2_TOM TAT" xfId="24885" xr:uid="{00000000-0005-0000-0000-0000A5660000}"/>
    <cellStyle name="x_PSM_2000 2_TOM TAT" xfId="14309" xr:uid="{00000000-0005-0000-0000-0000A6660000}"/>
    <cellStyle name="x_PSM_2000 2_TOM TAT 2" xfId="14310" xr:uid="{00000000-0005-0000-0000-0000A7660000}"/>
    <cellStyle name="x_PSM_2000 2_TOM TAT 2_TOM TAT" xfId="24887" xr:uid="{00000000-0005-0000-0000-0000A8660000}"/>
    <cellStyle name="x_PSM_2000 2_TOM TAT_TOM TAT" xfId="24886" xr:uid="{00000000-0005-0000-0000-0000A9660000}"/>
    <cellStyle name="x_PSM_2000 3" xfId="18567" xr:uid="{00000000-0005-0000-0000-0000AA660000}"/>
    <cellStyle name="x_PSM_2000 3_TOM TAT" xfId="24888" xr:uid="{00000000-0005-0000-0000-0000AB660000}"/>
    <cellStyle name="x_PSM_2000 4" xfId="18899" xr:uid="{00000000-0005-0000-0000-0000AC660000}"/>
    <cellStyle name="x_PSM_2000 4_TOM TAT" xfId="24889" xr:uid="{00000000-0005-0000-0000-0000AD660000}"/>
    <cellStyle name="x_PSM_2000_TOM TAT" xfId="14311" xr:uid="{00000000-0005-0000-0000-0000AE660000}"/>
    <cellStyle name="x_PSM_2000_TOM TAT 2" xfId="14312" xr:uid="{00000000-0005-0000-0000-0000AF660000}"/>
    <cellStyle name="x_PSM_2000_TOM TAT 2_TOM TAT" xfId="24891" xr:uid="{00000000-0005-0000-0000-0000B0660000}"/>
    <cellStyle name="x_PSM_2000_TOM TAT_1" xfId="24884" xr:uid="{00000000-0005-0000-0000-0000B1660000}"/>
    <cellStyle name="x_PSM_2000_TOM TAT_TOM TAT" xfId="24890" xr:uid="{00000000-0005-0000-0000-0000B2660000}"/>
    <cellStyle name="x_QH 10.08.2010- PA1 - he so 3.65" xfId="1799" xr:uid="{00000000-0005-0000-0000-0000B3660000}"/>
    <cellStyle name="x_QH 10.08.2010- PA1 - he so 3.65 2" xfId="4817" xr:uid="{00000000-0005-0000-0000-0000B4660000}"/>
    <cellStyle name="x_QH 10.08.2010- PA1 - he so 3.65 2 2" xfId="14313" xr:uid="{00000000-0005-0000-0000-0000B5660000}"/>
    <cellStyle name="x_QH 10.08.2010- PA1 - he so 3.65 2 2_TOM TAT" xfId="24893" xr:uid="{00000000-0005-0000-0000-0000B6660000}"/>
    <cellStyle name="x_QH 10.08.2010- PA1 - he so 3.65 2_TOM TAT" xfId="14314" xr:uid="{00000000-0005-0000-0000-0000B7660000}"/>
    <cellStyle name="x_QH 10.08.2010- PA1 - he so 3.65 2_TOM TAT 2" xfId="14315" xr:uid="{00000000-0005-0000-0000-0000B8660000}"/>
    <cellStyle name="x_QH 10.08.2010- PA1 - he so 3.65 2_TOM TAT 2_TOM TAT" xfId="24895" xr:uid="{00000000-0005-0000-0000-0000B9660000}"/>
    <cellStyle name="x_QH 10.08.2010- PA1 - he so 3.65 2_TOM TAT_TOM TAT" xfId="24894" xr:uid="{00000000-0005-0000-0000-0000BA660000}"/>
    <cellStyle name="x_QH 10.08.2010- PA1 - he so 3.65 3" xfId="18568" xr:uid="{00000000-0005-0000-0000-0000BB660000}"/>
    <cellStyle name="x_QH 10.08.2010- PA1 - he so 3.65 3_TOM TAT" xfId="24896" xr:uid="{00000000-0005-0000-0000-0000BC660000}"/>
    <cellStyle name="x_QH 10.08.2010- PA1 - he so 3.65 4" xfId="18900" xr:uid="{00000000-0005-0000-0000-0000BD660000}"/>
    <cellStyle name="x_QH 10.08.2010- PA1 - he so 3.65 4_TOM TAT" xfId="24897" xr:uid="{00000000-0005-0000-0000-0000BE660000}"/>
    <cellStyle name="x_QH 10.08.2010- PA1 - he so 3.65_TOM TAT" xfId="14316" xr:uid="{00000000-0005-0000-0000-0000BF660000}"/>
    <cellStyle name="x_QH 10.08.2010- PA1 - he so 3.65_TOM TAT 2" xfId="14317" xr:uid="{00000000-0005-0000-0000-0000C0660000}"/>
    <cellStyle name="x_QH 10.08.2010- PA1 - he so 3.65_TOM TAT 2_TOM TAT" xfId="24899" xr:uid="{00000000-0005-0000-0000-0000C1660000}"/>
    <cellStyle name="x_QH 10.08.2010- PA1 - he so 3.65_TOM TAT_1" xfId="24892" xr:uid="{00000000-0005-0000-0000-0000C2660000}"/>
    <cellStyle name="x_QH 10.08.2010- PA1 - he so 3.65_TOM TAT_TOM TAT" xfId="24898" xr:uid="{00000000-0005-0000-0000-0000C3660000}"/>
    <cellStyle name="X_sokho" xfId="1800" xr:uid="{00000000-0005-0000-0000-0000C4660000}"/>
    <cellStyle name="X_sokho 10" xfId="18569" xr:uid="{00000000-0005-0000-0000-0000C5660000}"/>
    <cellStyle name="X_sokho 10_TOM TAT" xfId="24901" xr:uid="{00000000-0005-0000-0000-0000C6660000}"/>
    <cellStyle name="X_sokho 11" xfId="18901" xr:uid="{00000000-0005-0000-0000-0000C7660000}"/>
    <cellStyle name="X_sokho 11 2" xfId="31835" xr:uid="{00000000-0005-0000-0000-0000C8660000}"/>
    <cellStyle name="X_sokho 11_TOM TAT" xfId="24902" xr:uid="{00000000-0005-0000-0000-0000C9660000}"/>
    <cellStyle name="X_sokho 12" xfId="27006" xr:uid="{00000000-0005-0000-0000-0000CA660000}"/>
    <cellStyle name="X_sokho 2" xfId="4818" xr:uid="{00000000-0005-0000-0000-0000CB660000}"/>
    <cellStyle name="X_sokho 2 2" xfId="14318" xr:uid="{00000000-0005-0000-0000-0000CC660000}"/>
    <cellStyle name="X_sokho 2 2_TOM TAT" xfId="24903" xr:uid="{00000000-0005-0000-0000-0000CD660000}"/>
    <cellStyle name="X_sokho 2 3" xfId="18654" xr:uid="{00000000-0005-0000-0000-0000CE660000}"/>
    <cellStyle name="X_sokho 2 3_TOM TAT" xfId="24904" xr:uid="{00000000-0005-0000-0000-0000CF660000}"/>
    <cellStyle name="X_sokho 2 4" xfId="18939" xr:uid="{00000000-0005-0000-0000-0000D0660000}"/>
    <cellStyle name="X_sokho 2 4 2" xfId="31856" xr:uid="{00000000-0005-0000-0000-0000D1660000}"/>
    <cellStyle name="X_sokho 2 4_TOM TAT" xfId="24905" xr:uid="{00000000-0005-0000-0000-0000D2660000}"/>
    <cellStyle name="X_sokho 2_TOM TAT" xfId="14319" xr:uid="{00000000-0005-0000-0000-0000D3660000}"/>
    <cellStyle name="X_sokho 2_TOM TAT 2" xfId="14320" xr:uid="{00000000-0005-0000-0000-0000D4660000}"/>
    <cellStyle name="X_sokho 2_TOM TAT 2_TOM TAT" xfId="24907" xr:uid="{00000000-0005-0000-0000-0000D5660000}"/>
    <cellStyle name="X_sokho 2_TOM TAT_TOM TAT" xfId="24906" xr:uid="{00000000-0005-0000-0000-0000D6660000}"/>
    <cellStyle name="X_sokho 3" xfId="5727" xr:uid="{00000000-0005-0000-0000-0000D7660000}"/>
    <cellStyle name="X_sokho 3 2" xfId="5728" xr:uid="{00000000-0005-0000-0000-0000D8660000}"/>
    <cellStyle name="X_sokho 3 2 2" xfId="14321" xr:uid="{00000000-0005-0000-0000-0000D9660000}"/>
    <cellStyle name="X_sokho 3 2 2 2" xfId="14322" xr:uid="{00000000-0005-0000-0000-0000DA660000}"/>
    <cellStyle name="X_sokho 3 2 2 2 2" xfId="14323" xr:uid="{00000000-0005-0000-0000-0000DB660000}"/>
    <cellStyle name="X_sokho 3 2 2 2 2_TOM TAT" xfId="24912" xr:uid="{00000000-0005-0000-0000-0000DC660000}"/>
    <cellStyle name="X_sokho 3 2 2 2_TOM TAT" xfId="14324" xr:uid="{00000000-0005-0000-0000-0000DD660000}"/>
    <cellStyle name="X_sokho 3 2 2 2_TOM TAT 2" xfId="14325" xr:uid="{00000000-0005-0000-0000-0000DE660000}"/>
    <cellStyle name="X_sokho 3 2 2 2_TOM TAT 2_TOM TAT" xfId="24914" xr:uid="{00000000-0005-0000-0000-0000DF660000}"/>
    <cellStyle name="X_sokho 3 2 2 2_TOM TAT_1" xfId="24911" xr:uid="{00000000-0005-0000-0000-0000E0660000}"/>
    <cellStyle name="X_sokho 3 2 2 2_TOM TAT_TOM TAT" xfId="24913" xr:uid="{00000000-0005-0000-0000-0000E1660000}"/>
    <cellStyle name="X_sokho 3 2 2 3" xfId="14326" xr:uid="{00000000-0005-0000-0000-0000E2660000}"/>
    <cellStyle name="X_sokho 3 2 2 3_TOM TAT" xfId="24915" xr:uid="{00000000-0005-0000-0000-0000E3660000}"/>
    <cellStyle name="X_sokho 3 2 2_TOM TAT" xfId="14327" xr:uid="{00000000-0005-0000-0000-0000E4660000}"/>
    <cellStyle name="X_sokho 3 2 2_TOM TAT 2" xfId="14328" xr:uid="{00000000-0005-0000-0000-0000E5660000}"/>
    <cellStyle name="X_sokho 3 2 2_TOM TAT 2_TOM TAT" xfId="24917" xr:uid="{00000000-0005-0000-0000-0000E6660000}"/>
    <cellStyle name="X_sokho 3 2 2_TOM TAT_1" xfId="24910" xr:uid="{00000000-0005-0000-0000-0000E7660000}"/>
    <cellStyle name="X_sokho 3 2 2_TOM TAT_TOM TAT" xfId="24916" xr:uid="{00000000-0005-0000-0000-0000E8660000}"/>
    <cellStyle name="X_sokho 3 2 3" xfId="14329" xr:uid="{00000000-0005-0000-0000-0000E9660000}"/>
    <cellStyle name="X_sokho 3 2 3 2" xfId="14330" xr:uid="{00000000-0005-0000-0000-0000EA660000}"/>
    <cellStyle name="X_sokho 3 2 3 2 2" xfId="14331" xr:uid="{00000000-0005-0000-0000-0000EB660000}"/>
    <cellStyle name="X_sokho 3 2 3 2 2_TOM TAT" xfId="24920" xr:uid="{00000000-0005-0000-0000-0000EC660000}"/>
    <cellStyle name="X_sokho 3 2 3 2_TOM TAT" xfId="14332" xr:uid="{00000000-0005-0000-0000-0000ED660000}"/>
    <cellStyle name="X_sokho 3 2 3 2_TOM TAT 2" xfId="14333" xr:uid="{00000000-0005-0000-0000-0000EE660000}"/>
    <cellStyle name="X_sokho 3 2 3 2_TOM TAT 2_TOM TAT" xfId="24922" xr:uid="{00000000-0005-0000-0000-0000EF660000}"/>
    <cellStyle name="X_sokho 3 2 3 2_TOM TAT_1" xfId="24919" xr:uid="{00000000-0005-0000-0000-0000F0660000}"/>
    <cellStyle name="X_sokho 3 2 3 2_TOM TAT_TOM TAT" xfId="24921" xr:uid="{00000000-0005-0000-0000-0000F1660000}"/>
    <cellStyle name="X_sokho 3 2 3 3" xfId="14334" xr:uid="{00000000-0005-0000-0000-0000F2660000}"/>
    <cellStyle name="X_sokho 3 2 3 3_TOM TAT" xfId="24923" xr:uid="{00000000-0005-0000-0000-0000F3660000}"/>
    <cellStyle name="X_sokho 3 2 3_TOM TAT" xfId="14335" xr:uid="{00000000-0005-0000-0000-0000F4660000}"/>
    <cellStyle name="X_sokho 3 2 3_TOM TAT 2" xfId="14336" xr:uid="{00000000-0005-0000-0000-0000F5660000}"/>
    <cellStyle name="X_sokho 3 2 3_TOM TAT 2_TOM TAT" xfId="24925" xr:uid="{00000000-0005-0000-0000-0000F6660000}"/>
    <cellStyle name="X_sokho 3 2 3_TOM TAT_1" xfId="24918" xr:uid="{00000000-0005-0000-0000-0000F7660000}"/>
    <cellStyle name="X_sokho 3 2 3_TOM TAT_TOM TAT" xfId="24924" xr:uid="{00000000-0005-0000-0000-0000F8660000}"/>
    <cellStyle name="X_sokho 3 2 4" xfId="14337" xr:uid="{00000000-0005-0000-0000-0000F9660000}"/>
    <cellStyle name="X_sokho 3 2 4 2" xfId="14338" xr:uid="{00000000-0005-0000-0000-0000FA660000}"/>
    <cellStyle name="X_sokho 3 2 4 2_TOM TAT" xfId="24927" xr:uid="{00000000-0005-0000-0000-0000FB660000}"/>
    <cellStyle name="X_sokho 3 2 4_TOM TAT" xfId="14339" xr:uid="{00000000-0005-0000-0000-0000FC660000}"/>
    <cellStyle name="X_sokho 3 2 4_TOM TAT 2" xfId="14340" xr:uid="{00000000-0005-0000-0000-0000FD660000}"/>
    <cellStyle name="X_sokho 3 2 4_TOM TAT 2_TOM TAT" xfId="24929" xr:uid="{00000000-0005-0000-0000-0000FE660000}"/>
    <cellStyle name="X_sokho 3 2 4_TOM TAT_1" xfId="24926" xr:uid="{00000000-0005-0000-0000-0000FF660000}"/>
    <cellStyle name="X_sokho 3 2 4_TOM TAT_TOM TAT" xfId="24928" xr:uid="{00000000-0005-0000-0000-000000670000}"/>
    <cellStyle name="X_sokho 3 2 5" xfId="14341" xr:uid="{00000000-0005-0000-0000-000001670000}"/>
    <cellStyle name="X_sokho 3 2 5_TOM TAT" xfId="24930" xr:uid="{00000000-0005-0000-0000-000002670000}"/>
    <cellStyle name="X_sokho 3 2 6" xfId="28330" xr:uid="{00000000-0005-0000-0000-000003670000}"/>
    <cellStyle name="X_sokho 3 2 7" xfId="14737" xr:uid="{00000000-0005-0000-0000-000004670000}"/>
    <cellStyle name="X_sokho 3 2_TOM TAT" xfId="14342" xr:uid="{00000000-0005-0000-0000-000005670000}"/>
    <cellStyle name="X_sokho 3 2_TOM TAT 2" xfId="14343" xr:uid="{00000000-0005-0000-0000-000006670000}"/>
    <cellStyle name="X_sokho 3 2_TOM TAT 2_TOM TAT" xfId="24932" xr:uid="{00000000-0005-0000-0000-000007670000}"/>
    <cellStyle name="X_sokho 3 2_TOM TAT_1" xfId="24909" xr:uid="{00000000-0005-0000-0000-000008670000}"/>
    <cellStyle name="X_sokho 3 2_TOM TAT_TOM TAT" xfId="24931" xr:uid="{00000000-0005-0000-0000-000009670000}"/>
    <cellStyle name="X_sokho 3 3" xfId="14344" xr:uid="{00000000-0005-0000-0000-00000A670000}"/>
    <cellStyle name="X_sokho 3 3 2" xfId="14345" xr:uid="{00000000-0005-0000-0000-00000B670000}"/>
    <cellStyle name="X_sokho 3 3 2 2" xfId="14346" xr:uid="{00000000-0005-0000-0000-00000C670000}"/>
    <cellStyle name="X_sokho 3 3 2 2_TOM TAT" xfId="24935" xr:uid="{00000000-0005-0000-0000-00000D670000}"/>
    <cellStyle name="X_sokho 3 3 2_TOM TAT" xfId="14347" xr:uid="{00000000-0005-0000-0000-00000E670000}"/>
    <cellStyle name="X_sokho 3 3 2_TOM TAT 2" xfId="14348" xr:uid="{00000000-0005-0000-0000-00000F670000}"/>
    <cellStyle name="X_sokho 3 3 2_TOM TAT 2_TOM TAT" xfId="24937" xr:uid="{00000000-0005-0000-0000-000010670000}"/>
    <cellStyle name="X_sokho 3 3 2_TOM TAT_1" xfId="24934" xr:uid="{00000000-0005-0000-0000-000011670000}"/>
    <cellStyle name="X_sokho 3 3 2_TOM TAT_TOM TAT" xfId="24936" xr:uid="{00000000-0005-0000-0000-000012670000}"/>
    <cellStyle name="X_sokho 3 3 3" xfId="14349" xr:uid="{00000000-0005-0000-0000-000013670000}"/>
    <cellStyle name="X_sokho 3 3 3_TOM TAT" xfId="24938" xr:uid="{00000000-0005-0000-0000-000014670000}"/>
    <cellStyle name="X_sokho 3 3_TOM TAT" xfId="14350" xr:uid="{00000000-0005-0000-0000-000015670000}"/>
    <cellStyle name="X_sokho 3 3_TOM TAT 2" xfId="14351" xr:uid="{00000000-0005-0000-0000-000016670000}"/>
    <cellStyle name="X_sokho 3 3_TOM TAT 2_TOM TAT" xfId="24940" xr:uid="{00000000-0005-0000-0000-000017670000}"/>
    <cellStyle name="X_sokho 3 3_TOM TAT_1" xfId="24933" xr:uid="{00000000-0005-0000-0000-000018670000}"/>
    <cellStyle name="X_sokho 3 3_TOM TAT_TOM TAT" xfId="24939" xr:uid="{00000000-0005-0000-0000-000019670000}"/>
    <cellStyle name="X_sokho 3 4" xfId="14352" xr:uid="{00000000-0005-0000-0000-00001A670000}"/>
    <cellStyle name="X_sokho 3 4 2" xfId="14353" xr:uid="{00000000-0005-0000-0000-00001B670000}"/>
    <cellStyle name="X_sokho 3 4 2 2" xfId="14354" xr:uid="{00000000-0005-0000-0000-00001C670000}"/>
    <cellStyle name="X_sokho 3 4 2 2_TOM TAT" xfId="24943" xr:uid="{00000000-0005-0000-0000-00001D670000}"/>
    <cellStyle name="X_sokho 3 4 2_TOM TAT" xfId="14355" xr:uid="{00000000-0005-0000-0000-00001E670000}"/>
    <cellStyle name="X_sokho 3 4 2_TOM TAT 2" xfId="14356" xr:uid="{00000000-0005-0000-0000-00001F670000}"/>
    <cellStyle name="X_sokho 3 4 2_TOM TAT 2_TOM TAT" xfId="24945" xr:uid="{00000000-0005-0000-0000-000020670000}"/>
    <cellStyle name="X_sokho 3 4 2_TOM TAT_1" xfId="24942" xr:uid="{00000000-0005-0000-0000-000021670000}"/>
    <cellStyle name="X_sokho 3 4 2_TOM TAT_TOM TAT" xfId="24944" xr:uid="{00000000-0005-0000-0000-000022670000}"/>
    <cellStyle name="X_sokho 3 4 3" xfId="14357" xr:uid="{00000000-0005-0000-0000-000023670000}"/>
    <cellStyle name="X_sokho 3 4 3_TOM TAT" xfId="24946" xr:uid="{00000000-0005-0000-0000-000024670000}"/>
    <cellStyle name="X_sokho 3 4_TOM TAT" xfId="14358" xr:uid="{00000000-0005-0000-0000-000025670000}"/>
    <cellStyle name="X_sokho 3 4_TOM TAT 2" xfId="14359" xr:uid="{00000000-0005-0000-0000-000026670000}"/>
    <cellStyle name="X_sokho 3 4_TOM TAT 2_TOM TAT" xfId="24948" xr:uid="{00000000-0005-0000-0000-000027670000}"/>
    <cellStyle name="X_sokho 3 4_TOM TAT_1" xfId="24941" xr:uid="{00000000-0005-0000-0000-000028670000}"/>
    <cellStyle name="X_sokho 3 4_TOM TAT_TOM TAT" xfId="24947" xr:uid="{00000000-0005-0000-0000-000029670000}"/>
    <cellStyle name="X_sokho 3 5" xfId="14360" xr:uid="{00000000-0005-0000-0000-00002A670000}"/>
    <cellStyle name="X_sokho 3 5 2" xfId="14361" xr:uid="{00000000-0005-0000-0000-00002B670000}"/>
    <cellStyle name="X_sokho 3 5 2_TOM TAT" xfId="24950" xr:uid="{00000000-0005-0000-0000-00002C670000}"/>
    <cellStyle name="X_sokho 3 5_TOM TAT" xfId="14362" xr:uid="{00000000-0005-0000-0000-00002D670000}"/>
    <cellStyle name="X_sokho 3 5_TOM TAT 2" xfId="14363" xr:uid="{00000000-0005-0000-0000-00002E670000}"/>
    <cellStyle name="X_sokho 3 5_TOM TAT 2_TOM TAT" xfId="24952" xr:uid="{00000000-0005-0000-0000-00002F670000}"/>
    <cellStyle name="X_sokho 3 5_TOM TAT_1" xfId="24949" xr:uid="{00000000-0005-0000-0000-000030670000}"/>
    <cellStyle name="X_sokho 3 5_TOM TAT_TOM TAT" xfId="24951" xr:uid="{00000000-0005-0000-0000-000031670000}"/>
    <cellStyle name="X_sokho 3 6" xfId="14364" xr:uid="{00000000-0005-0000-0000-000032670000}"/>
    <cellStyle name="X_sokho 3 6_TOM TAT" xfId="24953" xr:uid="{00000000-0005-0000-0000-000033670000}"/>
    <cellStyle name="X_sokho 3 7" xfId="28329" xr:uid="{00000000-0005-0000-0000-000034670000}"/>
    <cellStyle name="X_sokho 3 8" xfId="14736" xr:uid="{00000000-0005-0000-0000-000035670000}"/>
    <cellStyle name="X_sokho 3_TOM TAT" xfId="14365" xr:uid="{00000000-0005-0000-0000-000036670000}"/>
    <cellStyle name="X_sokho 3_TOM TAT 2" xfId="14366" xr:uid="{00000000-0005-0000-0000-000037670000}"/>
    <cellStyle name="X_sokho 3_TOM TAT 2_TOM TAT" xfId="24955" xr:uid="{00000000-0005-0000-0000-000038670000}"/>
    <cellStyle name="X_sokho 3_TOM TAT_1" xfId="24908" xr:uid="{00000000-0005-0000-0000-000039670000}"/>
    <cellStyle name="X_sokho 3_TOM TAT_TOM TAT" xfId="24954" xr:uid="{00000000-0005-0000-0000-00003A670000}"/>
    <cellStyle name="X_sokho 4" xfId="5729" xr:uid="{00000000-0005-0000-0000-00003B670000}"/>
    <cellStyle name="X_sokho 4 2" xfId="14367" xr:uid="{00000000-0005-0000-0000-00003C670000}"/>
    <cellStyle name="X_sokho 4 2 2" xfId="14368" xr:uid="{00000000-0005-0000-0000-00003D670000}"/>
    <cellStyle name="X_sokho 4 2 2 2" xfId="14369" xr:uid="{00000000-0005-0000-0000-00003E670000}"/>
    <cellStyle name="X_sokho 4 2 2 2_TOM TAT" xfId="24959" xr:uid="{00000000-0005-0000-0000-00003F670000}"/>
    <cellStyle name="X_sokho 4 2 2_TOM TAT" xfId="14370" xr:uid="{00000000-0005-0000-0000-000040670000}"/>
    <cellStyle name="X_sokho 4 2 2_TOM TAT 2" xfId="14371" xr:uid="{00000000-0005-0000-0000-000041670000}"/>
    <cellStyle name="X_sokho 4 2 2_TOM TAT 2_TOM TAT" xfId="24961" xr:uid="{00000000-0005-0000-0000-000042670000}"/>
    <cellStyle name="X_sokho 4 2 2_TOM TAT_1" xfId="24958" xr:uid="{00000000-0005-0000-0000-000043670000}"/>
    <cellStyle name="X_sokho 4 2 2_TOM TAT_TOM TAT" xfId="24960" xr:uid="{00000000-0005-0000-0000-000044670000}"/>
    <cellStyle name="X_sokho 4 2 3" xfId="14372" xr:uid="{00000000-0005-0000-0000-000045670000}"/>
    <cellStyle name="X_sokho 4 2 3_TOM TAT" xfId="24962" xr:uid="{00000000-0005-0000-0000-000046670000}"/>
    <cellStyle name="X_sokho 4 2_TOM TAT" xfId="14373" xr:uid="{00000000-0005-0000-0000-000047670000}"/>
    <cellStyle name="X_sokho 4 2_TOM TAT 2" xfId="14374" xr:uid="{00000000-0005-0000-0000-000048670000}"/>
    <cellStyle name="X_sokho 4 2_TOM TAT 2_TOM TAT" xfId="24964" xr:uid="{00000000-0005-0000-0000-000049670000}"/>
    <cellStyle name="X_sokho 4 2_TOM TAT_1" xfId="24957" xr:uid="{00000000-0005-0000-0000-00004A670000}"/>
    <cellStyle name="X_sokho 4 2_TOM TAT_TOM TAT" xfId="24963" xr:uid="{00000000-0005-0000-0000-00004B670000}"/>
    <cellStyle name="X_sokho 4 3" xfId="14375" xr:uid="{00000000-0005-0000-0000-00004C670000}"/>
    <cellStyle name="X_sokho 4 3 2" xfId="14376" xr:uid="{00000000-0005-0000-0000-00004D670000}"/>
    <cellStyle name="X_sokho 4 3 2 2" xfId="14377" xr:uid="{00000000-0005-0000-0000-00004E670000}"/>
    <cellStyle name="X_sokho 4 3 2 2_TOM TAT" xfId="24967" xr:uid="{00000000-0005-0000-0000-00004F670000}"/>
    <cellStyle name="X_sokho 4 3 2_TOM TAT" xfId="14378" xr:uid="{00000000-0005-0000-0000-000050670000}"/>
    <cellStyle name="X_sokho 4 3 2_TOM TAT 2" xfId="14379" xr:uid="{00000000-0005-0000-0000-000051670000}"/>
    <cellStyle name="X_sokho 4 3 2_TOM TAT 2_TOM TAT" xfId="24969" xr:uid="{00000000-0005-0000-0000-000052670000}"/>
    <cellStyle name="X_sokho 4 3 2_TOM TAT_1" xfId="24966" xr:uid="{00000000-0005-0000-0000-000053670000}"/>
    <cellStyle name="X_sokho 4 3 2_TOM TAT_TOM TAT" xfId="24968" xr:uid="{00000000-0005-0000-0000-000054670000}"/>
    <cellStyle name="X_sokho 4 3 3" xfId="14380" xr:uid="{00000000-0005-0000-0000-000055670000}"/>
    <cellStyle name="X_sokho 4 3 3_TOM TAT" xfId="24970" xr:uid="{00000000-0005-0000-0000-000056670000}"/>
    <cellStyle name="X_sokho 4 3_TOM TAT" xfId="14381" xr:uid="{00000000-0005-0000-0000-000057670000}"/>
    <cellStyle name="X_sokho 4 3_TOM TAT 2" xfId="14382" xr:uid="{00000000-0005-0000-0000-000058670000}"/>
    <cellStyle name="X_sokho 4 3_TOM TAT 2_TOM TAT" xfId="24972" xr:uid="{00000000-0005-0000-0000-000059670000}"/>
    <cellStyle name="X_sokho 4 3_TOM TAT_1" xfId="24965" xr:uid="{00000000-0005-0000-0000-00005A670000}"/>
    <cellStyle name="X_sokho 4 3_TOM TAT_TOM TAT" xfId="24971" xr:uid="{00000000-0005-0000-0000-00005B670000}"/>
    <cellStyle name="X_sokho 4 4" xfId="14383" xr:uid="{00000000-0005-0000-0000-00005C670000}"/>
    <cellStyle name="X_sokho 4 4 2" xfId="14384" xr:uid="{00000000-0005-0000-0000-00005D670000}"/>
    <cellStyle name="X_sokho 4 4 2_TOM TAT" xfId="24974" xr:uid="{00000000-0005-0000-0000-00005E670000}"/>
    <cellStyle name="X_sokho 4 4_TOM TAT" xfId="14385" xr:uid="{00000000-0005-0000-0000-00005F670000}"/>
    <cellStyle name="X_sokho 4 4_TOM TAT 2" xfId="14386" xr:uid="{00000000-0005-0000-0000-000060670000}"/>
    <cellStyle name="X_sokho 4 4_TOM TAT 2_TOM TAT" xfId="24976" xr:uid="{00000000-0005-0000-0000-000061670000}"/>
    <cellStyle name="X_sokho 4 4_TOM TAT_1" xfId="24973" xr:uid="{00000000-0005-0000-0000-000062670000}"/>
    <cellStyle name="X_sokho 4 4_TOM TAT_TOM TAT" xfId="24975" xr:uid="{00000000-0005-0000-0000-000063670000}"/>
    <cellStyle name="X_sokho 4 5" xfId="14387" xr:uid="{00000000-0005-0000-0000-000064670000}"/>
    <cellStyle name="X_sokho 4 5_TOM TAT" xfId="24977" xr:uid="{00000000-0005-0000-0000-000065670000}"/>
    <cellStyle name="X_sokho 4 6" xfId="28331" xr:uid="{00000000-0005-0000-0000-000066670000}"/>
    <cellStyle name="X_sokho 4 7" xfId="14738" xr:uid="{00000000-0005-0000-0000-000067670000}"/>
    <cellStyle name="X_sokho 4_TOM TAT" xfId="14388" xr:uid="{00000000-0005-0000-0000-000068670000}"/>
    <cellStyle name="X_sokho 4_TOM TAT 2" xfId="14389" xr:uid="{00000000-0005-0000-0000-000069670000}"/>
    <cellStyle name="X_sokho 4_TOM TAT 2_TOM TAT" xfId="24979" xr:uid="{00000000-0005-0000-0000-00006A670000}"/>
    <cellStyle name="X_sokho 4_TOM TAT_1" xfId="24956" xr:uid="{00000000-0005-0000-0000-00006B670000}"/>
    <cellStyle name="X_sokho 4_TOM TAT_TOM TAT" xfId="24978" xr:uid="{00000000-0005-0000-0000-00006C670000}"/>
    <cellStyle name="X_sokho 5" xfId="14390" xr:uid="{00000000-0005-0000-0000-00006D670000}"/>
    <cellStyle name="X_sokho 5 2" xfId="14391" xr:uid="{00000000-0005-0000-0000-00006E670000}"/>
    <cellStyle name="X_sokho 5 2 2" xfId="14392" xr:uid="{00000000-0005-0000-0000-00006F670000}"/>
    <cellStyle name="X_sokho 5 2 2_TOM TAT" xfId="24982" xr:uid="{00000000-0005-0000-0000-000070670000}"/>
    <cellStyle name="X_sokho 5 2_TOM TAT" xfId="14393" xr:uid="{00000000-0005-0000-0000-000071670000}"/>
    <cellStyle name="X_sokho 5 2_TOM TAT 2" xfId="14394" xr:uid="{00000000-0005-0000-0000-000072670000}"/>
    <cellStyle name="X_sokho 5 2_TOM TAT 2_TOM TAT" xfId="24984" xr:uid="{00000000-0005-0000-0000-000073670000}"/>
    <cellStyle name="X_sokho 5 2_TOM TAT_1" xfId="24981" xr:uid="{00000000-0005-0000-0000-000074670000}"/>
    <cellStyle name="X_sokho 5 2_TOM TAT_TOM TAT" xfId="24983" xr:uid="{00000000-0005-0000-0000-000075670000}"/>
    <cellStyle name="X_sokho 5 3" xfId="14395" xr:uid="{00000000-0005-0000-0000-000076670000}"/>
    <cellStyle name="X_sokho 5 3_TOM TAT" xfId="24985" xr:uid="{00000000-0005-0000-0000-000077670000}"/>
    <cellStyle name="X_sokho 5_TOM TAT" xfId="14396" xr:uid="{00000000-0005-0000-0000-000078670000}"/>
    <cellStyle name="X_sokho 5_TOM TAT 2" xfId="14397" xr:uid="{00000000-0005-0000-0000-000079670000}"/>
    <cellStyle name="X_sokho 5_TOM TAT 2_TOM TAT" xfId="24987" xr:uid="{00000000-0005-0000-0000-00007A670000}"/>
    <cellStyle name="X_sokho 5_TOM TAT_1" xfId="24980" xr:uid="{00000000-0005-0000-0000-00007B670000}"/>
    <cellStyle name="X_sokho 5_TOM TAT_TOM TAT" xfId="24986" xr:uid="{00000000-0005-0000-0000-00007C670000}"/>
    <cellStyle name="X_sokho 6" xfId="14398" xr:uid="{00000000-0005-0000-0000-00007D670000}"/>
    <cellStyle name="X_sokho 6 2" xfId="14399" xr:uid="{00000000-0005-0000-0000-00007E670000}"/>
    <cellStyle name="X_sokho 6 2 2" xfId="14400" xr:uid="{00000000-0005-0000-0000-00007F670000}"/>
    <cellStyle name="X_sokho 6 2 2_TOM TAT" xfId="24990" xr:uid="{00000000-0005-0000-0000-000080670000}"/>
    <cellStyle name="X_sokho 6 2_TOM TAT" xfId="14401" xr:uid="{00000000-0005-0000-0000-000081670000}"/>
    <cellStyle name="X_sokho 6 2_TOM TAT 2" xfId="14402" xr:uid="{00000000-0005-0000-0000-000082670000}"/>
    <cellStyle name="X_sokho 6 2_TOM TAT 2_TOM TAT" xfId="24992" xr:uid="{00000000-0005-0000-0000-000083670000}"/>
    <cellStyle name="X_sokho 6 2_TOM TAT_1" xfId="24989" xr:uid="{00000000-0005-0000-0000-000084670000}"/>
    <cellStyle name="X_sokho 6 2_TOM TAT_TOM TAT" xfId="24991" xr:uid="{00000000-0005-0000-0000-000085670000}"/>
    <cellStyle name="X_sokho 6 3" xfId="14403" xr:uid="{00000000-0005-0000-0000-000086670000}"/>
    <cellStyle name="X_sokho 6 3_TOM TAT" xfId="24993" xr:uid="{00000000-0005-0000-0000-000087670000}"/>
    <cellStyle name="X_sokho 6_TOM TAT" xfId="14404" xr:uid="{00000000-0005-0000-0000-000088670000}"/>
    <cellStyle name="X_sokho 6_TOM TAT 2" xfId="14405" xr:uid="{00000000-0005-0000-0000-000089670000}"/>
    <cellStyle name="X_sokho 6_TOM TAT 2_TOM TAT" xfId="24995" xr:uid="{00000000-0005-0000-0000-00008A670000}"/>
    <cellStyle name="X_sokho 6_TOM TAT_1" xfId="24988" xr:uid="{00000000-0005-0000-0000-00008B670000}"/>
    <cellStyle name="X_sokho 6_TOM TAT_TOM TAT" xfId="24994" xr:uid="{00000000-0005-0000-0000-00008C670000}"/>
    <cellStyle name="X_sokho 7" xfId="14406" xr:uid="{00000000-0005-0000-0000-00008D670000}"/>
    <cellStyle name="X_sokho 7_TOM TAT" xfId="24996" xr:uid="{00000000-0005-0000-0000-00008E670000}"/>
    <cellStyle name="X_sokho 8" xfId="14407" xr:uid="{00000000-0005-0000-0000-00008F670000}"/>
    <cellStyle name="X_sokho 8_TOM TAT" xfId="24997" xr:uid="{00000000-0005-0000-0000-000090670000}"/>
    <cellStyle name="X_sokho 9" xfId="14408" xr:uid="{00000000-0005-0000-0000-000091670000}"/>
    <cellStyle name="X_sokho 9_TOM TAT" xfId="24998" xr:uid="{00000000-0005-0000-0000-000092670000}"/>
    <cellStyle name="X_sokho_Bang Cong tac" xfId="1801" xr:uid="{00000000-0005-0000-0000-000093670000}"/>
    <cellStyle name="X_sokho_Bang Cong tac 10" xfId="18570" xr:uid="{00000000-0005-0000-0000-000094670000}"/>
    <cellStyle name="X_sokho_Bang Cong tac 10_TOM TAT" xfId="25000" xr:uid="{00000000-0005-0000-0000-000095670000}"/>
    <cellStyle name="X_sokho_Bang Cong tac 11" xfId="18902" xr:uid="{00000000-0005-0000-0000-000096670000}"/>
    <cellStyle name="X_sokho_Bang Cong tac 11 2" xfId="31836" xr:uid="{00000000-0005-0000-0000-000097670000}"/>
    <cellStyle name="X_sokho_Bang Cong tac 11_TOM TAT" xfId="25001" xr:uid="{00000000-0005-0000-0000-000098670000}"/>
    <cellStyle name="X_sokho_Bang Cong tac 12" xfId="27007" xr:uid="{00000000-0005-0000-0000-000099670000}"/>
    <cellStyle name="X_sokho_Bang Cong tac 2" xfId="4819" xr:uid="{00000000-0005-0000-0000-00009A670000}"/>
    <cellStyle name="X_sokho_Bang Cong tac 2 2" xfId="14409" xr:uid="{00000000-0005-0000-0000-00009B670000}"/>
    <cellStyle name="X_sokho_Bang Cong tac 2 2_TOM TAT" xfId="25002" xr:uid="{00000000-0005-0000-0000-00009C670000}"/>
    <cellStyle name="X_sokho_Bang Cong tac 2 3" xfId="18655" xr:uid="{00000000-0005-0000-0000-00009D670000}"/>
    <cellStyle name="X_sokho_Bang Cong tac 2 3_TOM TAT" xfId="25003" xr:uid="{00000000-0005-0000-0000-00009E670000}"/>
    <cellStyle name="X_sokho_Bang Cong tac 2 4" xfId="18940" xr:uid="{00000000-0005-0000-0000-00009F670000}"/>
    <cellStyle name="X_sokho_Bang Cong tac 2 4 2" xfId="31857" xr:uid="{00000000-0005-0000-0000-0000A0670000}"/>
    <cellStyle name="X_sokho_Bang Cong tac 2 4_TOM TAT" xfId="25004" xr:uid="{00000000-0005-0000-0000-0000A1670000}"/>
    <cellStyle name="X_sokho_Bang Cong tac 2_TOM TAT" xfId="14410" xr:uid="{00000000-0005-0000-0000-0000A2670000}"/>
    <cellStyle name="X_sokho_Bang Cong tac 2_TOM TAT 2" xfId="14411" xr:uid="{00000000-0005-0000-0000-0000A3670000}"/>
    <cellStyle name="X_sokho_Bang Cong tac 2_TOM TAT 2_TOM TAT" xfId="25006" xr:uid="{00000000-0005-0000-0000-0000A4670000}"/>
    <cellStyle name="X_sokho_Bang Cong tac 2_TOM TAT_TOM TAT" xfId="25005" xr:uid="{00000000-0005-0000-0000-0000A5670000}"/>
    <cellStyle name="X_sokho_Bang Cong tac 3" xfId="5730" xr:uid="{00000000-0005-0000-0000-0000A6670000}"/>
    <cellStyle name="X_sokho_Bang Cong tac 3 2" xfId="5731" xr:uid="{00000000-0005-0000-0000-0000A7670000}"/>
    <cellStyle name="X_sokho_Bang Cong tac 3 2 2" xfId="14412" xr:uid="{00000000-0005-0000-0000-0000A8670000}"/>
    <cellStyle name="X_sokho_Bang Cong tac 3 2 2 2" xfId="14413" xr:uid="{00000000-0005-0000-0000-0000A9670000}"/>
    <cellStyle name="X_sokho_Bang Cong tac 3 2 2 2 2" xfId="14414" xr:uid="{00000000-0005-0000-0000-0000AA670000}"/>
    <cellStyle name="X_sokho_Bang Cong tac 3 2 2 2 2_TOM TAT" xfId="25011" xr:uid="{00000000-0005-0000-0000-0000AB670000}"/>
    <cellStyle name="X_sokho_Bang Cong tac 3 2 2 2_TOM TAT" xfId="14415" xr:uid="{00000000-0005-0000-0000-0000AC670000}"/>
    <cellStyle name="X_sokho_Bang Cong tac 3 2 2 2_TOM TAT 2" xfId="14416" xr:uid="{00000000-0005-0000-0000-0000AD670000}"/>
    <cellStyle name="X_sokho_Bang Cong tac 3 2 2 2_TOM TAT 2_TOM TAT" xfId="25013" xr:uid="{00000000-0005-0000-0000-0000AE670000}"/>
    <cellStyle name="X_sokho_Bang Cong tac 3 2 2 2_TOM TAT_1" xfId="25010" xr:uid="{00000000-0005-0000-0000-0000AF670000}"/>
    <cellStyle name="X_sokho_Bang Cong tac 3 2 2 2_TOM TAT_TOM TAT" xfId="25012" xr:uid="{00000000-0005-0000-0000-0000B0670000}"/>
    <cellStyle name="X_sokho_Bang Cong tac 3 2 2 3" xfId="14417" xr:uid="{00000000-0005-0000-0000-0000B1670000}"/>
    <cellStyle name="X_sokho_Bang Cong tac 3 2 2 3_TOM TAT" xfId="25014" xr:uid="{00000000-0005-0000-0000-0000B2670000}"/>
    <cellStyle name="X_sokho_Bang Cong tac 3 2 2_TOM TAT" xfId="14418" xr:uid="{00000000-0005-0000-0000-0000B3670000}"/>
    <cellStyle name="X_sokho_Bang Cong tac 3 2 2_TOM TAT 2" xfId="14419" xr:uid="{00000000-0005-0000-0000-0000B4670000}"/>
    <cellStyle name="X_sokho_Bang Cong tac 3 2 2_TOM TAT 2_TOM TAT" xfId="25016" xr:uid="{00000000-0005-0000-0000-0000B5670000}"/>
    <cellStyle name="X_sokho_Bang Cong tac 3 2 2_TOM TAT_1" xfId="25009" xr:uid="{00000000-0005-0000-0000-0000B6670000}"/>
    <cellStyle name="X_sokho_Bang Cong tac 3 2 2_TOM TAT_TOM TAT" xfId="25015" xr:uid="{00000000-0005-0000-0000-0000B7670000}"/>
    <cellStyle name="X_sokho_Bang Cong tac 3 2 3" xfId="14420" xr:uid="{00000000-0005-0000-0000-0000B8670000}"/>
    <cellStyle name="X_sokho_Bang Cong tac 3 2 3 2" xfId="14421" xr:uid="{00000000-0005-0000-0000-0000B9670000}"/>
    <cellStyle name="X_sokho_Bang Cong tac 3 2 3 2 2" xfId="14422" xr:uid="{00000000-0005-0000-0000-0000BA670000}"/>
    <cellStyle name="X_sokho_Bang Cong tac 3 2 3 2 2_TOM TAT" xfId="25019" xr:uid="{00000000-0005-0000-0000-0000BB670000}"/>
    <cellStyle name="X_sokho_Bang Cong tac 3 2 3 2_TOM TAT" xfId="14423" xr:uid="{00000000-0005-0000-0000-0000BC670000}"/>
    <cellStyle name="X_sokho_Bang Cong tac 3 2 3 2_TOM TAT 2" xfId="14424" xr:uid="{00000000-0005-0000-0000-0000BD670000}"/>
    <cellStyle name="X_sokho_Bang Cong tac 3 2 3 2_TOM TAT 2_TOM TAT" xfId="25021" xr:uid="{00000000-0005-0000-0000-0000BE670000}"/>
    <cellStyle name="X_sokho_Bang Cong tac 3 2 3 2_TOM TAT_1" xfId="25018" xr:uid="{00000000-0005-0000-0000-0000BF670000}"/>
    <cellStyle name="X_sokho_Bang Cong tac 3 2 3 2_TOM TAT_TOM TAT" xfId="25020" xr:uid="{00000000-0005-0000-0000-0000C0670000}"/>
    <cellStyle name="X_sokho_Bang Cong tac 3 2 3 3" xfId="14425" xr:uid="{00000000-0005-0000-0000-0000C1670000}"/>
    <cellStyle name="X_sokho_Bang Cong tac 3 2 3 3_TOM TAT" xfId="25022" xr:uid="{00000000-0005-0000-0000-0000C2670000}"/>
    <cellStyle name="X_sokho_Bang Cong tac 3 2 3_TOM TAT" xfId="14426" xr:uid="{00000000-0005-0000-0000-0000C3670000}"/>
    <cellStyle name="X_sokho_Bang Cong tac 3 2 3_TOM TAT 2" xfId="14427" xr:uid="{00000000-0005-0000-0000-0000C4670000}"/>
    <cellStyle name="X_sokho_Bang Cong tac 3 2 3_TOM TAT 2_TOM TAT" xfId="25024" xr:uid="{00000000-0005-0000-0000-0000C5670000}"/>
    <cellStyle name="X_sokho_Bang Cong tac 3 2 3_TOM TAT_1" xfId="25017" xr:uid="{00000000-0005-0000-0000-0000C6670000}"/>
    <cellStyle name="X_sokho_Bang Cong tac 3 2 3_TOM TAT_TOM TAT" xfId="25023" xr:uid="{00000000-0005-0000-0000-0000C7670000}"/>
    <cellStyle name="X_sokho_Bang Cong tac 3 2 4" xfId="14428" xr:uid="{00000000-0005-0000-0000-0000C8670000}"/>
    <cellStyle name="X_sokho_Bang Cong tac 3 2 4 2" xfId="14429" xr:uid="{00000000-0005-0000-0000-0000C9670000}"/>
    <cellStyle name="X_sokho_Bang Cong tac 3 2 4 2_TOM TAT" xfId="25026" xr:uid="{00000000-0005-0000-0000-0000CA670000}"/>
    <cellStyle name="X_sokho_Bang Cong tac 3 2 4_TOM TAT" xfId="14430" xr:uid="{00000000-0005-0000-0000-0000CB670000}"/>
    <cellStyle name="X_sokho_Bang Cong tac 3 2 4_TOM TAT 2" xfId="14431" xr:uid="{00000000-0005-0000-0000-0000CC670000}"/>
    <cellStyle name="X_sokho_Bang Cong tac 3 2 4_TOM TAT 2_TOM TAT" xfId="25028" xr:uid="{00000000-0005-0000-0000-0000CD670000}"/>
    <cellStyle name="X_sokho_Bang Cong tac 3 2 4_TOM TAT_1" xfId="25025" xr:uid="{00000000-0005-0000-0000-0000CE670000}"/>
    <cellStyle name="X_sokho_Bang Cong tac 3 2 4_TOM TAT_TOM TAT" xfId="25027" xr:uid="{00000000-0005-0000-0000-0000CF670000}"/>
    <cellStyle name="X_sokho_Bang Cong tac 3 2 5" xfId="14432" xr:uid="{00000000-0005-0000-0000-0000D0670000}"/>
    <cellStyle name="X_sokho_Bang Cong tac 3 2 5_TOM TAT" xfId="25029" xr:uid="{00000000-0005-0000-0000-0000D1670000}"/>
    <cellStyle name="X_sokho_Bang Cong tac 3 2 6" xfId="28333" xr:uid="{00000000-0005-0000-0000-0000D2670000}"/>
    <cellStyle name="X_sokho_Bang Cong tac 3 2 7" xfId="14740" xr:uid="{00000000-0005-0000-0000-0000D3670000}"/>
    <cellStyle name="X_sokho_Bang Cong tac 3 2_TOM TAT" xfId="14433" xr:uid="{00000000-0005-0000-0000-0000D4670000}"/>
    <cellStyle name="X_sokho_Bang Cong tac 3 2_TOM TAT 2" xfId="14434" xr:uid="{00000000-0005-0000-0000-0000D5670000}"/>
    <cellStyle name="X_sokho_Bang Cong tac 3 2_TOM TAT 2_TOM TAT" xfId="25031" xr:uid="{00000000-0005-0000-0000-0000D6670000}"/>
    <cellStyle name="X_sokho_Bang Cong tac 3 2_TOM TAT_1" xfId="25008" xr:uid="{00000000-0005-0000-0000-0000D7670000}"/>
    <cellStyle name="X_sokho_Bang Cong tac 3 2_TOM TAT_TOM TAT" xfId="25030" xr:uid="{00000000-0005-0000-0000-0000D8670000}"/>
    <cellStyle name="X_sokho_Bang Cong tac 3 3" xfId="14435" xr:uid="{00000000-0005-0000-0000-0000D9670000}"/>
    <cellStyle name="X_sokho_Bang Cong tac 3 3 2" xfId="14436" xr:uid="{00000000-0005-0000-0000-0000DA670000}"/>
    <cellStyle name="X_sokho_Bang Cong tac 3 3 2 2" xfId="14437" xr:uid="{00000000-0005-0000-0000-0000DB670000}"/>
    <cellStyle name="X_sokho_Bang Cong tac 3 3 2 2_TOM TAT" xfId="25034" xr:uid="{00000000-0005-0000-0000-0000DC670000}"/>
    <cellStyle name="X_sokho_Bang Cong tac 3 3 2_TOM TAT" xfId="14438" xr:uid="{00000000-0005-0000-0000-0000DD670000}"/>
    <cellStyle name="X_sokho_Bang Cong tac 3 3 2_TOM TAT 2" xfId="14439" xr:uid="{00000000-0005-0000-0000-0000DE670000}"/>
    <cellStyle name="X_sokho_Bang Cong tac 3 3 2_TOM TAT 2_TOM TAT" xfId="25036" xr:uid="{00000000-0005-0000-0000-0000DF670000}"/>
    <cellStyle name="X_sokho_Bang Cong tac 3 3 2_TOM TAT_1" xfId="25033" xr:uid="{00000000-0005-0000-0000-0000E0670000}"/>
    <cellStyle name="X_sokho_Bang Cong tac 3 3 2_TOM TAT_TOM TAT" xfId="25035" xr:uid="{00000000-0005-0000-0000-0000E1670000}"/>
    <cellStyle name="X_sokho_Bang Cong tac 3 3 3" xfId="14440" xr:uid="{00000000-0005-0000-0000-0000E2670000}"/>
    <cellStyle name="X_sokho_Bang Cong tac 3 3 3_TOM TAT" xfId="25037" xr:uid="{00000000-0005-0000-0000-0000E3670000}"/>
    <cellStyle name="X_sokho_Bang Cong tac 3 3_TOM TAT" xfId="14441" xr:uid="{00000000-0005-0000-0000-0000E4670000}"/>
    <cellStyle name="X_sokho_Bang Cong tac 3 3_TOM TAT 2" xfId="14442" xr:uid="{00000000-0005-0000-0000-0000E5670000}"/>
    <cellStyle name="X_sokho_Bang Cong tac 3 3_TOM TAT 2_TOM TAT" xfId="25039" xr:uid="{00000000-0005-0000-0000-0000E6670000}"/>
    <cellStyle name="X_sokho_Bang Cong tac 3 3_TOM TAT_1" xfId="25032" xr:uid="{00000000-0005-0000-0000-0000E7670000}"/>
    <cellStyle name="X_sokho_Bang Cong tac 3 3_TOM TAT_TOM TAT" xfId="25038" xr:uid="{00000000-0005-0000-0000-0000E8670000}"/>
    <cellStyle name="X_sokho_Bang Cong tac 3 4" xfId="14443" xr:uid="{00000000-0005-0000-0000-0000E9670000}"/>
    <cellStyle name="X_sokho_Bang Cong tac 3 4 2" xfId="14444" xr:uid="{00000000-0005-0000-0000-0000EA670000}"/>
    <cellStyle name="X_sokho_Bang Cong tac 3 4 2 2" xfId="14445" xr:uid="{00000000-0005-0000-0000-0000EB670000}"/>
    <cellStyle name="X_sokho_Bang Cong tac 3 4 2 2_TOM TAT" xfId="25042" xr:uid="{00000000-0005-0000-0000-0000EC670000}"/>
    <cellStyle name="X_sokho_Bang Cong tac 3 4 2_TOM TAT" xfId="14446" xr:uid="{00000000-0005-0000-0000-0000ED670000}"/>
    <cellStyle name="X_sokho_Bang Cong tac 3 4 2_TOM TAT 2" xfId="14447" xr:uid="{00000000-0005-0000-0000-0000EE670000}"/>
    <cellStyle name="X_sokho_Bang Cong tac 3 4 2_TOM TAT 2_TOM TAT" xfId="25044" xr:uid="{00000000-0005-0000-0000-0000EF670000}"/>
    <cellStyle name="X_sokho_Bang Cong tac 3 4 2_TOM TAT_1" xfId="25041" xr:uid="{00000000-0005-0000-0000-0000F0670000}"/>
    <cellStyle name="X_sokho_Bang Cong tac 3 4 2_TOM TAT_TOM TAT" xfId="25043" xr:uid="{00000000-0005-0000-0000-0000F1670000}"/>
    <cellStyle name="X_sokho_Bang Cong tac 3 4 3" xfId="14448" xr:uid="{00000000-0005-0000-0000-0000F2670000}"/>
    <cellStyle name="X_sokho_Bang Cong tac 3 4 3_TOM TAT" xfId="25045" xr:uid="{00000000-0005-0000-0000-0000F3670000}"/>
    <cellStyle name="X_sokho_Bang Cong tac 3 4_TOM TAT" xfId="14449" xr:uid="{00000000-0005-0000-0000-0000F4670000}"/>
    <cellStyle name="X_sokho_Bang Cong tac 3 4_TOM TAT 2" xfId="14450" xr:uid="{00000000-0005-0000-0000-0000F5670000}"/>
    <cellStyle name="X_sokho_Bang Cong tac 3 4_TOM TAT 2_TOM TAT" xfId="25047" xr:uid="{00000000-0005-0000-0000-0000F6670000}"/>
    <cellStyle name="X_sokho_Bang Cong tac 3 4_TOM TAT_1" xfId="25040" xr:uid="{00000000-0005-0000-0000-0000F7670000}"/>
    <cellStyle name="X_sokho_Bang Cong tac 3 4_TOM TAT_TOM TAT" xfId="25046" xr:uid="{00000000-0005-0000-0000-0000F8670000}"/>
    <cellStyle name="X_sokho_Bang Cong tac 3 5" xfId="14451" xr:uid="{00000000-0005-0000-0000-0000F9670000}"/>
    <cellStyle name="X_sokho_Bang Cong tac 3 5 2" xfId="14452" xr:uid="{00000000-0005-0000-0000-0000FA670000}"/>
    <cellStyle name="X_sokho_Bang Cong tac 3 5 2_TOM TAT" xfId="25049" xr:uid="{00000000-0005-0000-0000-0000FB670000}"/>
    <cellStyle name="X_sokho_Bang Cong tac 3 5_TOM TAT" xfId="14453" xr:uid="{00000000-0005-0000-0000-0000FC670000}"/>
    <cellStyle name="X_sokho_Bang Cong tac 3 5_TOM TAT 2" xfId="14454" xr:uid="{00000000-0005-0000-0000-0000FD670000}"/>
    <cellStyle name="X_sokho_Bang Cong tac 3 5_TOM TAT 2_TOM TAT" xfId="25051" xr:uid="{00000000-0005-0000-0000-0000FE670000}"/>
    <cellStyle name="X_sokho_Bang Cong tac 3 5_TOM TAT_1" xfId="25048" xr:uid="{00000000-0005-0000-0000-0000FF670000}"/>
    <cellStyle name="X_sokho_Bang Cong tac 3 5_TOM TAT_TOM TAT" xfId="25050" xr:uid="{00000000-0005-0000-0000-000000680000}"/>
    <cellStyle name="X_sokho_Bang Cong tac 3 6" xfId="14455" xr:uid="{00000000-0005-0000-0000-000001680000}"/>
    <cellStyle name="X_sokho_Bang Cong tac 3 6_TOM TAT" xfId="25052" xr:uid="{00000000-0005-0000-0000-000002680000}"/>
    <cellStyle name="X_sokho_Bang Cong tac 3 7" xfId="28332" xr:uid="{00000000-0005-0000-0000-000003680000}"/>
    <cellStyle name="X_sokho_Bang Cong tac 3 8" xfId="14739" xr:uid="{00000000-0005-0000-0000-000004680000}"/>
    <cellStyle name="X_sokho_Bang Cong tac 3_TOM TAT" xfId="14456" xr:uid="{00000000-0005-0000-0000-000005680000}"/>
    <cellStyle name="X_sokho_Bang Cong tac 3_TOM TAT 2" xfId="14457" xr:uid="{00000000-0005-0000-0000-000006680000}"/>
    <cellStyle name="X_sokho_Bang Cong tac 3_TOM TAT 2_TOM TAT" xfId="25054" xr:uid="{00000000-0005-0000-0000-000007680000}"/>
    <cellStyle name="X_sokho_Bang Cong tac 3_TOM TAT_1" xfId="25007" xr:uid="{00000000-0005-0000-0000-000008680000}"/>
    <cellStyle name="X_sokho_Bang Cong tac 3_TOM TAT_TOM TAT" xfId="25053" xr:uid="{00000000-0005-0000-0000-000009680000}"/>
    <cellStyle name="X_sokho_Bang Cong tac 4" xfId="5732" xr:uid="{00000000-0005-0000-0000-00000A680000}"/>
    <cellStyle name="X_sokho_Bang Cong tac 4 2" xfId="14458" xr:uid="{00000000-0005-0000-0000-00000B680000}"/>
    <cellStyle name="X_sokho_Bang Cong tac 4 2 2" xfId="14459" xr:uid="{00000000-0005-0000-0000-00000C680000}"/>
    <cellStyle name="X_sokho_Bang Cong tac 4 2 2 2" xfId="14460" xr:uid="{00000000-0005-0000-0000-00000D680000}"/>
    <cellStyle name="X_sokho_Bang Cong tac 4 2 2 2_TOM TAT" xfId="25058" xr:uid="{00000000-0005-0000-0000-00000E680000}"/>
    <cellStyle name="X_sokho_Bang Cong tac 4 2 2_TOM TAT" xfId="14461" xr:uid="{00000000-0005-0000-0000-00000F680000}"/>
    <cellStyle name="X_sokho_Bang Cong tac 4 2 2_TOM TAT 2" xfId="14462" xr:uid="{00000000-0005-0000-0000-000010680000}"/>
    <cellStyle name="X_sokho_Bang Cong tac 4 2 2_TOM TAT 2_TOM TAT" xfId="25060" xr:uid="{00000000-0005-0000-0000-000011680000}"/>
    <cellStyle name="X_sokho_Bang Cong tac 4 2 2_TOM TAT_1" xfId="25057" xr:uid="{00000000-0005-0000-0000-000012680000}"/>
    <cellStyle name="X_sokho_Bang Cong tac 4 2 2_TOM TAT_TOM TAT" xfId="25059" xr:uid="{00000000-0005-0000-0000-000013680000}"/>
    <cellStyle name="X_sokho_Bang Cong tac 4 2 3" xfId="14463" xr:uid="{00000000-0005-0000-0000-000014680000}"/>
    <cellStyle name="X_sokho_Bang Cong tac 4 2 3_TOM TAT" xfId="25061" xr:uid="{00000000-0005-0000-0000-000015680000}"/>
    <cellStyle name="X_sokho_Bang Cong tac 4 2_TOM TAT" xfId="14464" xr:uid="{00000000-0005-0000-0000-000016680000}"/>
    <cellStyle name="X_sokho_Bang Cong tac 4 2_TOM TAT 2" xfId="14465" xr:uid="{00000000-0005-0000-0000-000017680000}"/>
    <cellStyle name="X_sokho_Bang Cong tac 4 2_TOM TAT 2_TOM TAT" xfId="25063" xr:uid="{00000000-0005-0000-0000-000018680000}"/>
    <cellStyle name="X_sokho_Bang Cong tac 4 2_TOM TAT_1" xfId="25056" xr:uid="{00000000-0005-0000-0000-000019680000}"/>
    <cellStyle name="X_sokho_Bang Cong tac 4 2_TOM TAT_TOM TAT" xfId="25062" xr:uid="{00000000-0005-0000-0000-00001A680000}"/>
    <cellStyle name="X_sokho_Bang Cong tac 4 3" xfId="14466" xr:uid="{00000000-0005-0000-0000-00001B680000}"/>
    <cellStyle name="X_sokho_Bang Cong tac 4 3 2" xfId="14467" xr:uid="{00000000-0005-0000-0000-00001C680000}"/>
    <cellStyle name="X_sokho_Bang Cong tac 4 3 2 2" xfId="14468" xr:uid="{00000000-0005-0000-0000-00001D680000}"/>
    <cellStyle name="X_sokho_Bang Cong tac 4 3 2 2_TOM TAT" xfId="25066" xr:uid="{00000000-0005-0000-0000-00001E680000}"/>
    <cellStyle name="X_sokho_Bang Cong tac 4 3 2_TOM TAT" xfId="14469" xr:uid="{00000000-0005-0000-0000-00001F680000}"/>
    <cellStyle name="X_sokho_Bang Cong tac 4 3 2_TOM TAT 2" xfId="14470" xr:uid="{00000000-0005-0000-0000-000020680000}"/>
    <cellStyle name="X_sokho_Bang Cong tac 4 3 2_TOM TAT 2_TOM TAT" xfId="25068" xr:uid="{00000000-0005-0000-0000-000021680000}"/>
    <cellStyle name="X_sokho_Bang Cong tac 4 3 2_TOM TAT_1" xfId="25065" xr:uid="{00000000-0005-0000-0000-000022680000}"/>
    <cellStyle name="X_sokho_Bang Cong tac 4 3 2_TOM TAT_TOM TAT" xfId="25067" xr:uid="{00000000-0005-0000-0000-000023680000}"/>
    <cellStyle name="X_sokho_Bang Cong tac 4 3 3" xfId="14471" xr:uid="{00000000-0005-0000-0000-000024680000}"/>
    <cellStyle name="X_sokho_Bang Cong tac 4 3 3_TOM TAT" xfId="25069" xr:uid="{00000000-0005-0000-0000-000025680000}"/>
    <cellStyle name="X_sokho_Bang Cong tac 4 3_TOM TAT" xfId="14472" xr:uid="{00000000-0005-0000-0000-000026680000}"/>
    <cellStyle name="X_sokho_Bang Cong tac 4 3_TOM TAT 2" xfId="14473" xr:uid="{00000000-0005-0000-0000-000027680000}"/>
    <cellStyle name="X_sokho_Bang Cong tac 4 3_TOM TAT 2_TOM TAT" xfId="25071" xr:uid="{00000000-0005-0000-0000-000028680000}"/>
    <cellStyle name="X_sokho_Bang Cong tac 4 3_TOM TAT_1" xfId="25064" xr:uid="{00000000-0005-0000-0000-000029680000}"/>
    <cellStyle name="X_sokho_Bang Cong tac 4 3_TOM TAT_TOM TAT" xfId="25070" xr:uid="{00000000-0005-0000-0000-00002A680000}"/>
    <cellStyle name="X_sokho_Bang Cong tac 4 4" xfId="14474" xr:uid="{00000000-0005-0000-0000-00002B680000}"/>
    <cellStyle name="X_sokho_Bang Cong tac 4 4 2" xfId="14475" xr:uid="{00000000-0005-0000-0000-00002C680000}"/>
    <cellStyle name="X_sokho_Bang Cong tac 4 4 2_TOM TAT" xfId="25073" xr:uid="{00000000-0005-0000-0000-00002D680000}"/>
    <cellStyle name="X_sokho_Bang Cong tac 4 4_TOM TAT" xfId="14476" xr:uid="{00000000-0005-0000-0000-00002E680000}"/>
    <cellStyle name="X_sokho_Bang Cong tac 4 4_TOM TAT 2" xfId="14477" xr:uid="{00000000-0005-0000-0000-00002F680000}"/>
    <cellStyle name="X_sokho_Bang Cong tac 4 4_TOM TAT 2_TOM TAT" xfId="25075" xr:uid="{00000000-0005-0000-0000-000030680000}"/>
    <cellStyle name="X_sokho_Bang Cong tac 4 4_TOM TAT_1" xfId="25072" xr:uid="{00000000-0005-0000-0000-000031680000}"/>
    <cellStyle name="X_sokho_Bang Cong tac 4 4_TOM TAT_TOM TAT" xfId="25074" xr:uid="{00000000-0005-0000-0000-000032680000}"/>
    <cellStyle name="X_sokho_Bang Cong tac 4 5" xfId="14478" xr:uid="{00000000-0005-0000-0000-000033680000}"/>
    <cellStyle name="X_sokho_Bang Cong tac 4 5_TOM TAT" xfId="25076" xr:uid="{00000000-0005-0000-0000-000034680000}"/>
    <cellStyle name="X_sokho_Bang Cong tac 4 6" xfId="28334" xr:uid="{00000000-0005-0000-0000-000035680000}"/>
    <cellStyle name="X_sokho_Bang Cong tac 4 7" xfId="14741" xr:uid="{00000000-0005-0000-0000-000036680000}"/>
    <cellStyle name="X_sokho_Bang Cong tac 4_TOM TAT" xfId="14479" xr:uid="{00000000-0005-0000-0000-000037680000}"/>
    <cellStyle name="X_sokho_Bang Cong tac 4_TOM TAT 2" xfId="14480" xr:uid="{00000000-0005-0000-0000-000038680000}"/>
    <cellStyle name="X_sokho_Bang Cong tac 4_TOM TAT 2_TOM TAT" xfId="25078" xr:uid="{00000000-0005-0000-0000-000039680000}"/>
    <cellStyle name="X_sokho_Bang Cong tac 4_TOM TAT_1" xfId="25055" xr:uid="{00000000-0005-0000-0000-00003A680000}"/>
    <cellStyle name="X_sokho_Bang Cong tac 4_TOM TAT_TOM TAT" xfId="25077" xr:uid="{00000000-0005-0000-0000-00003B680000}"/>
    <cellStyle name="X_sokho_Bang Cong tac 5" xfId="14481" xr:uid="{00000000-0005-0000-0000-00003C680000}"/>
    <cellStyle name="X_sokho_Bang Cong tac 5 2" xfId="14482" xr:uid="{00000000-0005-0000-0000-00003D680000}"/>
    <cellStyle name="X_sokho_Bang Cong tac 5 2 2" xfId="14483" xr:uid="{00000000-0005-0000-0000-00003E680000}"/>
    <cellStyle name="X_sokho_Bang Cong tac 5 2 2_TOM TAT" xfId="25081" xr:uid="{00000000-0005-0000-0000-00003F680000}"/>
    <cellStyle name="X_sokho_Bang Cong tac 5 2_TOM TAT" xfId="14484" xr:uid="{00000000-0005-0000-0000-000040680000}"/>
    <cellStyle name="X_sokho_Bang Cong tac 5 2_TOM TAT 2" xfId="14485" xr:uid="{00000000-0005-0000-0000-000041680000}"/>
    <cellStyle name="X_sokho_Bang Cong tac 5 2_TOM TAT 2_TOM TAT" xfId="25083" xr:uid="{00000000-0005-0000-0000-000042680000}"/>
    <cellStyle name="X_sokho_Bang Cong tac 5 2_TOM TAT_1" xfId="25080" xr:uid="{00000000-0005-0000-0000-000043680000}"/>
    <cellStyle name="X_sokho_Bang Cong tac 5 2_TOM TAT_TOM TAT" xfId="25082" xr:uid="{00000000-0005-0000-0000-000044680000}"/>
    <cellStyle name="X_sokho_Bang Cong tac 5 3" xfId="14486" xr:uid="{00000000-0005-0000-0000-000045680000}"/>
    <cellStyle name="X_sokho_Bang Cong tac 5 3_TOM TAT" xfId="25084" xr:uid="{00000000-0005-0000-0000-000046680000}"/>
    <cellStyle name="X_sokho_Bang Cong tac 5_TOM TAT" xfId="14487" xr:uid="{00000000-0005-0000-0000-000047680000}"/>
    <cellStyle name="X_sokho_Bang Cong tac 5_TOM TAT 2" xfId="14488" xr:uid="{00000000-0005-0000-0000-000048680000}"/>
    <cellStyle name="X_sokho_Bang Cong tac 5_TOM TAT 2_TOM TAT" xfId="25086" xr:uid="{00000000-0005-0000-0000-000049680000}"/>
    <cellStyle name="X_sokho_Bang Cong tac 5_TOM TAT_1" xfId="25079" xr:uid="{00000000-0005-0000-0000-00004A680000}"/>
    <cellStyle name="X_sokho_Bang Cong tac 5_TOM TAT_TOM TAT" xfId="25085" xr:uid="{00000000-0005-0000-0000-00004B680000}"/>
    <cellStyle name="X_sokho_Bang Cong tac 6" xfId="14489" xr:uid="{00000000-0005-0000-0000-00004C680000}"/>
    <cellStyle name="X_sokho_Bang Cong tac 6 2" xfId="14490" xr:uid="{00000000-0005-0000-0000-00004D680000}"/>
    <cellStyle name="X_sokho_Bang Cong tac 6 2 2" xfId="14491" xr:uid="{00000000-0005-0000-0000-00004E680000}"/>
    <cellStyle name="X_sokho_Bang Cong tac 6 2 2_TOM TAT" xfId="25089" xr:uid="{00000000-0005-0000-0000-00004F680000}"/>
    <cellStyle name="X_sokho_Bang Cong tac 6 2_TOM TAT" xfId="14492" xr:uid="{00000000-0005-0000-0000-000050680000}"/>
    <cellStyle name="X_sokho_Bang Cong tac 6 2_TOM TAT 2" xfId="14493" xr:uid="{00000000-0005-0000-0000-000051680000}"/>
    <cellStyle name="X_sokho_Bang Cong tac 6 2_TOM TAT 2_TOM TAT" xfId="25091" xr:uid="{00000000-0005-0000-0000-000052680000}"/>
    <cellStyle name="X_sokho_Bang Cong tac 6 2_TOM TAT_1" xfId="25088" xr:uid="{00000000-0005-0000-0000-000053680000}"/>
    <cellStyle name="X_sokho_Bang Cong tac 6 2_TOM TAT_TOM TAT" xfId="25090" xr:uid="{00000000-0005-0000-0000-000054680000}"/>
    <cellStyle name="X_sokho_Bang Cong tac 6 3" xfId="14494" xr:uid="{00000000-0005-0000-0000-000055680000}"/>
    <cellStyle name="X_sokho_Bang Cong tac 6 3_TOM TAT" xfId="25092" xr:uid="{00000000-0005-0000-0000-000056680000}"/>
    <cellStyle name="X_sokho_Bang Cong tac 6_TOM TAT" xfId="14495" xr:uid="{00000000-0005-0000-0000-000057680000}"/>
    <cellStyle name="X_sokho_Bang Cong tac 6_TOM TAT 2" xfId="14496" xr:uid="{00000000-0005-0000-0000-000058680000}"/>
    <cellStyle name="X_sokho_Bang Cong tac 6_TOM TAT 2_TOM TAT" xfId="25094" xr:uid="{00000000-0005-0000-0000-000059680000}"/>
    <cellStyle name="X_sokho_Bang Cong tac 6_TOM TAT_1" xfId="25087" xr:uid="{00000000-0005-0000-0000-00005A680000}"/>
    <cellStyle name="X_sokho_Bang Cong tac 6_TOM TAT_TOM TAT" xfId="25093" xr:uid="{00000000-0005-0000-0000-00005B680000}"/>
    <cellStyle name="X_sokho_Bang Cong tac 7" xfId="14497" xr:uid="{00000000-0005-0000-0000-00005C680000}"/>
    <cellStyle name="X_sokho_Bang Cong tac 7_TOM TAT" xfId="25095" xr:uid="{00000000-0005-0000-0000-00005D680000}"/>
    <cellStyle name="X_sokho_Bang Cong tac 8" xfId="14498" xr:uid="{00000000-0005-0000-0000-00005E680000}"/>
    <cellStyle name="X_sokho_Bang Cong tac 8_TOM TAT" xfId="25096" xr:uid="{00000000-0005-0000-0000-00005F680000}"/>
    <cellStyle name="X_sokho_Bang Cong tac 9" xfId="14499" xr:uid="{00000000-0005-0000-0000-000060680000}"/>
    <cellStyle name="X_sokho_Bang Cong tac 9_TOM TAT" xfId="25097" xr:uid="{00000000-0005-0000-0000-000061680000}"/>
    <cellStyle name="X_sokho_Bang Cong tac_TOM TAT" xfId="14500" xr:uid="{00000000-0005-0000-0000-000062680000}"/>
    <cellStyle name="X_sokho_Bang Cong tac_TOM TAT 2" xfId="14501" xr:uid="{00000000-0005-0000-0000-000063680000}"/>
    <cellStyle name="X_sokho_Bang Cong tac_TOM TAT 2_TOM TAT" xfId="25099" xr:uid="{00000000-0005-0000-0000-000064680000}"/>
    <cellStyle name="X_sokho_Bang Cong tac_TOM TAT_1" xfId="24999" xr:uid="{00000000-0005-0000-0000-000065680000}"/>
    <cellStyle name="X_sokho_Bang Cong tac_TOM TAT_TOM TAT" xfId="25098" xr:uid="{00000000-0005-0000-0000-000066680000}"/>
    <cellStyle name="X_sokho_TOM TAT" xfId="14502" xr:uid="{00000000-0005-0000-0000-000067680000}"/>
    <cellStyle name="X_sokho_TOM TAT 2" xfId="14503" xr:uid="{00000000-0005-0000-0000-000068680000}"/>
    <cellStyle name="X_sokho_TOM TAT 2_TOM TAT" xfId="25101" xr:uid="{00000000-0005-0000-0000-000069680000}"/>
    <cellStyle name="X_sokho_TOM TAT_1" xfId="24900" xr:uid="{00000000-0005-0000-0000-00006A680000}"/>
    <cellStyle name="X_sokho_TOM TAT_TOM TAT" xfId="25100" xr:uid="{00000000-0005-0000-0000-00006B680000}"/>
    <cellStyle name="x_TOM TAT" xfId="14504" xr:uid="{00000000-0005-0000-0000-00006C680000}"/>
    <cellStyle name="x_TOM TAT 2" xfId="14505" xr:uid="{00000000-0005-0000-0000-00006D680000}"/>
    <cellStyle name="x_TOM TAT 2_TOM TAT" xfId="25103" xr:uid="{00000000-0005-0000-0000-00006E680000}"/>
    <cellStyle name="x_TOM TAT_1" xfId="24431" xr:uid="{00000000-0005-0000-0000-00006F680000}"/>
    <cellStyle name="x_TOM TAT_TOM TAT" xfId="25102" xr:uid="{00000000-0005-0000-0000-000070680000}"/>
    <cellStyle name="x_UBP - AWP (final)" xfId="1802" xr:uid="{00000000-0005-0000-0000-000071680000}"/>
    <cellStyle name="x_UBP - AWP (final) 2" xfId="4820" xr:uid="{00000000-0005-0000-0000-000072680000}"/>
    <cellStyle name="x_UBP - AWP (final) 2 2" xfId="14506" xr:uid="{00000000-0005-0000-0000-000073680000}"/>
    <cellStyle name="x_UBP - AWP (final) 2 2_TOM TAT" xfId="25105" xr:uid="{00000000-0005-0000-0000-000074680000}"/>
    <cellStyle name="x_UBP - AWP (final) 2_TOM TAT" xfId="14507" xr:uid="{00000000-0005-0000-0000-000075680000}"/>
    <cellStyle name="x_UBP - AWP (final) 2_TOM TAT 2" xfId="14508" xr:uid="{00000000-0005-0000-0000-000076680000}"/>
    <cellStyle name="x_UBP - AWP (final) 2_TOM TAT 2_TOM TAT" xfId="25107" xr:uid="{00000000-0005-0000-0000-000077680000}"/>
    <cellStyle name="x_UBP - AWP (final) 2_TOM TAT_TOM TAT" xfId="25106" xr:uid="{00000000-0005-0000-0000-000078680000}"/>
    <cellStyle name="x_UBP - AWP (final) 3" xfId="18571" xr:uid="{00000000-0005-0000-0000-000079680000}"/>
    <cellStyle name="x_UBP - AWP (final) 3_TOM TAT" xfId="25108" xr:uid="{00000000-0005-0000-0000-00007A680000}"/>
    <cellStyle name="x_UBP - AWP (final) 4" xfId="18903" xr:uid="{00000000-0005-0000-0000-00007B680000}"/>
    <cellStyle name="x_UBP - AWP (final) 4_TOM TAT" xfId="25109" xr:uid="{00000000-0005-0000-0000-00007C680000}"/>
    <cellStyle name="x_UBP - AWP (final)_TOM TAT" xfId="14509" xr:uid="{00000000-0005-0000-0000-00007D680000}"/>
    <cellStyle name="x_UBP - AWP (final)_TOM TAT 2" xfId="14510" xr:uid="{00000000-0005-0000-0000-00007E680000}"/>
    <cellStyle name="x_UBP - AWP (final)_TOM TAT 2_TOM TAT" xfId="25111" xr:uid="{00000000-0005-0000-0000-00007F680000}"/>
    <cellStyle name="x_UBP - AWP (final)_TOM TAT_1" xfId="25104" xr:uid="{00000000-0005-0000-0000-000080680000}"/>
    <cellStyle name="x_UBP - AWP (final)_TOM TAT_TOM TAT" xfId="25110" xr:uid="{00000000-0005-0000-0000-000081680000}"/>
    <cellStyle name="x_UBP - final" xfId="1803" xr:uid="{00000000-0005-0000-0000-000082680000}"/>
    <cellStyle name="x_UBP - final 2" xfId="4821" xr:uid="{00000000-0005-0000-0000-000083680000}"/>
    <cellStyle name="x_UBP - final 2 2" xfId="14511" xr:uid="{00000000-0005-0000-0000-000084680000}"/>
    <cellStyle name="x_UBP - final 2 2_TOM TAT" xfId="25113" xr:uid="{00000000-0005-0000-0000-000085680000}"/>
    <cellStyle name="x_UBP - final 2_TOM TAT" xfId="14512" xr:uid="{00000000-0005-0000-0000-000086680000}"/>
    <cellStyle name="x_UBP - final 2_TOM TAT 2" xfId="14513" xr:uid="{00000000-0005-0000-0000-000087680000}"/>
    <cellStyle name="x_UBP - final 2_TOM TAT 2_TOM TAT" xfId="25115" xr:uid="{00000000-0005-0000-0000-000088680000}"/>
    <cellStyle name="x_UBP - final 2_TOM TAT_TOM TAT" xfId="25114" xr:uid="{00000000-0005-0000-0000-000089680000}"/>
    <cellStyle name="x_UBP - final 3" xfId="18572" xr:uid="{00000000-0005-0000-0000-00008A680000}"/>
    <cellStyle name="x_UBP - final 3_TOM TAT" xfId="25116" xr:uid="{00000000-0005-0000-0000-00008B680000}"/>
    <cellStyle name="x_UBP - final 4" xfId="18904" xr:uid="{00000000-0005-0000-0000-00008C680000}"/>
    <cellStyle name="x_UBP - final 4_TOM TAT" xfId="25117" xr:uid="{00000000-0005-0000-0000-00008D680000}"/>
    <cellStyle name="x_UBP - final_TOM TAT" xfId="14514" xr:uid="{00000000-0005-0000-0000-00008E680000}"/>
    <cellStyle name="x_UBP - final_TOM TAT 2" xfId="14515" xr:uid="{00000000-0005-0000-0000-00008F680000}"/>
    <cellStyle name="x_UBP - final_TOM TAT 2_TOM TAT" xfId="25119" xr:uid="{00000000-0005-0000-0000-000090680000}"/>
    <cellStyle name="x_UBP - final_TOM TAT_1" xfId="25112" xr:uid="{00000000-0005-0000-0000-000091680000}"/>
    <cellStyle name="x_UBP - final_TOM TAT_TOM TAT" xfId="25118" xr:uid="{00000000-0005-0000-0000-000092680000}"/>
    <cellStyle name="x_UMWE-Tech AllAWP.finalv3" xfId="1804" xr:uid="{00000000-0005-0000-0000-000093680000}"/>
    <cellStyle name="x_UMWE-Tech AllAWP.finalv3 2" xfId="4822" xr:uid="{00000000-0005-0000-0000-000094680000}"/>
    <cellStyle name="x_UMWE-Tech AllAWP.finalv3 2 2" xfId="14516" xr:uid="{00000000-0005-0000-0000-000095680000}"/>
    <cellStyle name="x_UMWE-Tech AllAWP.finalv3 2 2_TOM TAT" xfId="25121" xr:uid="{00000000-0005-0000-0000-000096680000}"/>
    <cellStyle name="x_UMWE-Tech AllAWP.finalv3 2_TOM TAT" xfId="14517" xr:uid="{00000000-0005-0000-0000-000097680000}"/>
    <cellStyle name="x_UMWE-Tech AllAWP.finalv3 2_TOM TAT 2" xfId="14518" xr:uid="{00000000-0005-0000-0000-000098680000}"/>
    <cellStyle name="x_UMWE-Tech AllAWP.finalv3 2_TOM TAT 2_TOM TAT" xfId="25123" xr:uid="{00000000-0005-0000-0000-000099680000}"/>
    <cellStyle name="x_UMWE-Tech AllAWP.finalv3 2_TOM TAT_TOM TAT" xfId="25122" xr:uid="{00000000-0005-0000-0000-00009A680000}"/>
    <cellStyle name="x_UMWE-Tech AllAWP.finalv3 3" xfId="18573" xr:uid="{00000000-0005-0000-0000-00009B680000}"/>
    <cellStyle name="x_UMWE-Tech AllAWP.finalv3 3_TOM TAT" xfId="25124" xr:uid="{00000000-0005-0000-0000-00009C680000}"/>
    <cellStyle name="x_UMWE-Tech AllAWP.finalv3 4" xfId="18905" xr:uid="{00000000-0005-0000-0000-00009D680000}"/>
    <cellStyle name="x_UMWE-Tech AllAWP.finalv3 4_TOM TAT" xfId="25125" xr:uid="{00000000-0005-0000-0000-00009E680000}"/>
    <cellStyle name="x_UMWE-Tech AllAWP.finalv3_TOM TAT" xfId="14519" xr:uid="{00000000-0005-0000-0000-00009F680000}"/>
    <cellStyle name="x_UMWE-Tech AllAWP.finalv3_TOM TAT 2" xfId="14520" xr:uid="{00000000-0005-0000-0000-0000A0680000}"/>
    <cellStyle name="x_UMWE-Tech AllAWP.finalv3_TOM TAT 2_TOM TAT" xfId="25127" xr:uid="{00000000-0005-0000-0000-0000A1680000}"/>
    <cellStyle name="x_UMWE-Tech AllAWP.finalv3_TOM TAT_1" xfId="25120" xr:uid="{00000000-0005-0000-0000-0000A2680000}"/>
    <cellStyle name="x_UMWE-Tech AllAWP.finalv3_TOM TAT_TOM TAT" xfId="25126" xr:uid="{00000000-0005-0000-0000-0000A3680000}"/>
    <cellStyle name="xuan" xfId="1805" xr:uid="{00000000-0005-0000-0000-0000A4680000}"/>
    <cellStyle name="xuan 2" xfId="4823" xr:uid="{00000000-0005-0000-0000-0000A5680000}"/>
    <cellStyle name="xuan 2 2" xfId="14521" xr:uid="{00000000-0005-0000-0000-0000A6680000}"/>
    <cellStyle name="xuan 2_TOM TAT" xfId="14522" xr:uid="{00000000-0005-0000-0000-0000A7680000}"/>
    <cellStyle name="xuan 3" xfId="14523" xr:uid="{00000000-0005-0000-0000-0000A8680000}"/>
    <cellStyle name="xuan 4" xfId="14524" xr:uid="{00000000-0005-0000-0000-0000A9680000}"/>
    <cellStyle name="xuan 5" xfId="14525" xr:uid="{00000000-0005-0000-0000-0000AA680000}"/>
    <cellStyle name="xuan 6" xfId="18574" xr:uid="{00000000-0005-0000-0000-0000AB680000}"/>
    <cellStyle name="xuan 7" xfId="18906" xr:uid="{00000000-0005-0000-0000-0000AC680000}"/>
    <cellStyle name="xuan_TOM TAT" xfId="14526" xr:uid="{00000000-0005-0000-0000-0000AD680000}"/>
    <cellStyle name="YEL" xfId="1806" xr:uid="{00000000-0005-0000-0000-0000AE680000}"/>
    <cellStyle name="YEL 2" xfId="4824" xr:uid="{00000000-0005-0000-0000-0000AF680000}"/>
    <cellStyle name="YEL 2 2" xfId="14527" xr:uid="{00000000-0005-0000-0000-0000B0680000}"/>
    <cellStyle name="YEL 2 2 2" xfId="14528" xr:uid="{00000000-0005-0000-0000-0000B1680000}"/>
    <cellStyle name="YEL 2 2 2 2" xfId="31719" xr:uid="{00000000-0005-0000-0000-0000B2680000}"/>
    <cellStyle name="YEL 2 2 2_TOM TAT" xfId="25128" xr:uid="{00000000-0005-0000-0000-0000B3680000}"/>
    <cellStyle name="YEL 2 2 3" xfId="31718" xr:uid="{00000000-0005-0000-0000-0000B4680000}"/>
    <cellStyle name="YEL 2 2_TOM TAT" xfId="14529" xr:uid="{00000000-0005-0000-0000-0000B5680000}"/>
    <cellStyle name="YEL 2 3" xfId="14530" xr:uid="{00000000-0005-0000-0000-0000B6680000}"/>
    <cellStyle name="YEL 2 3 2" xfId="31720" xr:uid="{00000000-0005-0000-0000-0000B7680000}"/>
    <cellStyle name="YEL 2 3_TOM TAT" xfId="25129" xr:uid="{00000000-0005-0000-0000-0000B8680000}"/>
    <cellStyle name="YEL 2 4" xfId="14531" xr:uid="{00000000-0005-0000-0000-0000B9680000}"/>
    <cellStyle name="YEL 2 4 2" xfId="31721" xr:uid="{00000000-0005-0000-0000-0000BA680000}"/>
    <cellStyle name="YEL 2 4_TOM TAT" xfId="25130" xr:uid="{00000000-0005-0000-0000-0000BB680000}"/>
    <cellStyle name="YEL 2 5" xfId="14532" xr:uid="{00000000-0005-0000-0000-0000BC680000}"/>
    <cellStyle name="YEL 2 5 2" xfId="31722" xr:uid="{00000000-0005-0000-0000-0000BD680000}"/>
    <cellStyle name="YEL 2 5_TOM TAT" xfId="25131" xr:uid="{00000000-0005-0000-0000-0000BE680000}"/>
    <cellStyle name="YEL 2 6" xfId="18576" xr:uid="{00000000-0005-0000-0000-0000BF680000}"/>
    <cellStyle name="YEL 2 7" xfId="18908" xr:uid="{00000000-0005-0000-0000-0000C0680000}"/>
    <cellStyle name="YEL 2_TOM TAT" xfId="14533" xr:uid="{00000000-0005-0000-0000-0000C1680000}"/>
    <cellStyle name="YEL 3" xfId="14534" xr:uid="{00000000-0005-0000-0000-0000C2680000}"/>
    <cellStyle name="YEL 3 2" xfId="14535" xr:uid="{00000000-0005-0000-0000-0000C3680000}"/>
    <cellStyle name="YEL 3 2 2" xfId="31724" xr:uid="{00000000-0005-0000-0000-0000C4680000}"/>
    <cellStyle name="YEL 3 2_TOM TAT" xfId="25132" xr:uid="{00000000-0005-0000-0000-0000C5680000}"/>
    <cellStyle name="YEL 3 3" xfId="31723" xr:uid="{00000000-0005-0000-0000-0000C6680000}"/>
    <cellStyle name="YEL 3_TOM TAT" xfId="14536" xr:uid="{00000000-0005-0000-0000-0000C7680000}"/>
    <cellStyle name="YEL 4" xfId="14537" xr:uid="{00000000-0005-0000-0000-0000C8680000}"/>
    <cellStyle name="YEL 4 2" xfId="31725" xr:uid="{00000000-0005-0000-0000-0000C9680000}"/>
    <cellStyle name="YEL 4_TOM TAT" xfId="25133" xr:uid="{00000000-0005-0000-0000-0000CA680000}"/>
    <cellStyle name="YEL 5" xfId="14538" xr:uid="{00000000-0005-0000-0000-0000CB680000}"/>
    <cellStyle name="YEL 5 2" xfId="31726" xr:uid="{00000000-0005-0000-0000-0000CC680000}"/>
    <cellStyle name="YEL 5_TOM TAT" xfId="25134" xr:uid="{00000000-0005-0000-0000-0000CD680000}"/>
    <cellStyle name="YEL 6" xfId="14539" xr:uid="{00000000-0005-0000-0000-0000CE680000}"/>
    <cellStyle name="YEL 6 2" xfId="31727" xr:uid="{00000000-0005-0000-0000-0000CF680000}"/>
    <cellStyle name="YEL 6_TOM TAT" xfId="25135" xr:uid="{00000000-0005-0000-0000-0000D0680000}"/>
    <cellStyle name="YEL 7" xfId="18575" xr:uid="{00000000-0005-0000-0000-0000D1680000}"/>
    <cellStyle name="YEL 8" xfId="18907" xr:uid="{00000000-0005-0000-0000-0000D2680000}"/>
    <cellStyle name="YEL_TOM TAT" xfId="14540" xr:uid="{00000000-0005-0000-0000-0000D3680000}"/>
    <cellStyle name="YY.MM" xfId="1807" xr:uid="{00000000-0005-0000-0000-0000D4680000}"/>
    <cellStyle name="YY.MM 2" xfId="4825" xr:uid="{00000000-0005-0000-0000-0000D5680000}"/>
    <cellStyle name="YY.MM 2 2" xfId="14541" xr:uid="{00000000-0005-0000-0000-0000D6680000}"/>
    <cellStyle name="YY.MM 2_TOM TAT" xfId="14542" xr:uid="{00000000-0005-0000-0000-0000D7680000}"/>
    <cellStyle name="YY.MM 3" xfId="18577" xr:uid="{00000000-0005-0000-0000-0000D8680000}"/>
    <cellStyle name="YY.MM 4" xfId="18909" xr:uid="{00000000-0005-0000-0000-0000D9680000}"/>
    <cellStyle name="YY.MM_TOM TAT" xfId="14543" xr:uid="{00000000-0005-0000-0000-0000DA680000}"/>
    <cellStyle name="Акцент1" xfId="2365" xr:uid="{00000000-0005-0000-0000-0000DB680000}"/>
    <cellStyle name="Акцент1 2" xfId="14544" xr:uid="{00000000-0005-0000-0000-0000DC680000}"/>
    <cellStyle name="Акцент1_TOM TAT" xfId="25136" xr:uid="{00000000-0005-0000-0000-0000DD680000}"/>
    <cellStyle name="Акцент2" xfId="2366" xr:uid="{00000000-0005-0000-0000-0000DE680000}"/>
    <cellStyle name="Акцент2 2" xfId="14545" xr:uid="{00000000-0005-0000-0000-0000DF680000}"/>
    <cellStyle name="Акцент2_TOM TAT" xfId="25137" xr:uid="{00000000-0005-0000-0000-0000E0680000}"/>
    <cellStyle name="Акцент3" xfId="2367" xr:uid="{00000000-0005-0000-0000-0000E1680000}"/>
    <cellStyle name="Акцент3 2" xfId="14546" xr:uid="{00000000-0005-0000-0000-0000E2680000}"/>
    <cellStyle name="Акцент3_TOM TAT" xfId="25138" xr:uid="{00000000-0005-0000-0000-0000E3680000}"/>
    <cellStyle name="Акцент4" xfId="2368" xr:uid="{00000000-0005-0000-0000-0000E4680000}"/>
    <cellStyle name="Акцент4 2" xfId="14547" xr:uid="{00000000-0005-0000-0000-0000E5680000}"/>
    <cellStyle name="Акцент4_TOM TAT" xfId="25139" xr:uid="{00000000-0005-0000-0000-0000E6680000}"/>
    <cellStyle name="Акцент5" xfId="2369" xr:uid="{00000000-0005-0000-0000-0000E7680000}"/>
    <cellStyle name="Акцент5 2" xfId="14548" xr:uid="{00000000-0005-0000-0000-0000E8680000}"/>
    <cellStyle name="Акцент5_TOM TAT" xfId="25140" xr:uid="{00000000-0005-0000-0000-0000E9680000}"/>
    <cellStyle name="Акцент6" xfId="2370" xr:uid="{00000000-0005-0000-0000-0000EA680000}"/>
    <cellStyle name="Акцент6 2" xfId="14549" xr:uid="{00000000-0005-0000-0000-0000EB680000}"/>
    <cellStyle name="Акцент6_TOM TAT" xfId="25141" xr:uid="{00000000-0005-0000-0000-0000EC680000}"/>
    <cellStyle name="Ввод " xfId="2371" xr:uid="{00000000-0005-0000-0000-0000ED680000}"/>
    <cellStyle name="Ввод  10" xfId="2372" xr:uid="{00000000-0005-0000-0000-0000EE680000}"/>
    <cellStyle name="Ввод  10 2" xfId="2373" xr:uid="{00000000-0005-0000-0000-0000EF680000}"/>
    <cellStyle name="Ввод  10 2 2" xfId="5733" xr:uid="{00000000-0005-0000-0000-0000F0680000}"/>
    <cellStyle name="Ввод  10 2 2 2" xfId="28335" xr:uid="{00000000-0005-0000-0000-0000F1680000}"/>
    <cellStyle name="Ввод  10 2 2_TOM TAT" xfId="25145" xr:uid="{00000000-0005-0000-0000-0000F2680000}"/>
    <cellStyle name="Ввод  10 2 3" xfId="27163" xr:uid="{00000000-0005-0000-0000-0000F3680000}"/>
    <cellStyle name="Ввод  10 2_TOM TAT" xfId="25144" xr:uid="{00000000-0005-0000-0000-0000F4680000}"/>
    <cellStyle name="Ввод  10 3" xfId="5734" xr:uid="{00000000-0005-0000-0000-0000F5680000}"/>
    <cellStyle name="Ввод  10 3 2" xfId="28336" xr:uid="{00000000-0005-0000-0000-0000F6680000}"/>
    <cellStyle name="Ввод  10 3_TOM TAT" xfId="25146" xr:uid="{00000000-0005-0000-0000-0000F7680000}"/>
    <cellStyle name="Ввод  10 4" xfId="27162" xr:uid="{00000000-0005-0000-0000-0000F8680000}"/>
    <cellStyle name="Ввод  10_TOM TAT" xfId="25143" xr:uid="{00000000-0005-0000-0000-0000F9680000}"/>
    <cellStyle name="Ввод  11" xfId="2374" xr:uid="{00000000-0005-0000-0000-0000FA680000}"/>
    <cellStyle name="Ввод  11 2" xfId="5735" xr:uid="{00000000-0005-0000-0000-0000FB680000}"/>
    <cellStyle name="Ввод  11 2 2" xfId="28337" xr:uid="{00000000-0005-0000-0000-0000FC680000}"/>
    <cellStyle name="Ввод  11 2_TOM TAT" xfId="25148" xr:uid="{00000000-0005-0000-0000-0000FD680000}"/>
    <cellStyle name="Ввод  11 3" xfId="27164" xr:uid="{00000000-0005-0000-0000-0000FE680000}"/>
    <cellStyle name="Ввод  11_TOM TAT" xfId="25147" xr:uid="{00000000-0005-0000-0000-0000FF680000}"/>
    <cellStyle name="Ввод  12" xfId="2375" xr:uid="{00000000-0005-0000-0000-000000690000}"/>
    <cellStyle name="Ввод  12 2" xfId="5736" xr:uid="{00000000-0005-0000-0000-000001690000}"/>
    <cellStyle name="Ввод  12 2 2" xfId="28338" xr:uid="{00000000-0005-0000-0000-000002690000}"/>
    <cellStyle name="Ввод  12 2_TOM TAT" xfId="25150" xr:uid="{00000000-0005-0000-0000-000003690000}"/>
    <cellStyle name="Ввод  12 3" xfId="27165" xr:uid="{00000000-0005-0000-0000-000004690000}"/>
    <cellStyle name="Ввод  12_TOM TAT" xfId="25149" xr:uid="{00000000-0005-0000-0000-000005690000}"/>
    <cellStyle name="Ввод  13" xfId="5737" xr:uid="{00000000-0005-0000-0000-000006690000}"/>
    <cellStyle name="Ввод  13 2" xfId="28339" xr:uid="{00000000-0005-0000-0000-000007690000}"/>
    <cellStyle name="Ввод  13_TOM TAT" xfId="25151" xr:uid="{00000000-0005-0000-0000-000008690000}"/>
    <cellStyle name="Ввод  14" xfId="27161" xr:uid="{00000000-0005-0000-0000-000009690000}"/>
    <cellStyle name="Ввод  2" xfId="2376" xr:uid="{00000000-0005-0000-0000-00000A690000}"/>
    <cellStyle name="Ввод  2 10" xfId="2377" xr:uid="{00000000-0005-0000-0000-00000B690000}"/>
    <cellStyle name="Ввод  2 10 2" xfId="5738" xr:uid="{00000000-0005-0000-0000-00000C690000}"/>
    <cellStyle name="Ввод  2 10 2 2" xfId="28340" xr:uid="{00000000-0005-0000-0000-00000D690000}"/>
    <cellStyle name="Ввод  2 10 2_TOM TAT" xfId="25154" xr:uid="{00000000-0005-0000-0000-00000E690000}"/>
    <cellStyle name="Ввод  2 10 3" xfId="27167" xr:uid="{00000000-0005-0000-0000-00000F690000}"/>
    <cellStyle name="Ввод  2 10_TOM TAT" xfId="25153" xr:uid="{00000000-0005-0000-0000-000010690000}"/>
    <cellStyle name="Ввод  2 11" xfId="5739" xr:uid="{00000000-0005-0000-0000-000011690000}"/>
    <cellStyle name="Ввод  2 11 2" xfId="28341" xr:uid="{00000000-0005-0000-0000-000012690000}"/>
    <cellStyle name="Ввод  2 11_TOM TAT" xfId="25155" xr:uid="{00000000-0005-0000-0000-000013690000}"/>
    <cellStyle name="Ввод  2 12" xfId="27166" xr:uid="{00000000-0005-0000-0000-000014690000}"/>
    <cellStyle name="Ввод  2 2" xfId="2378" xr:uid="{00000000-0005-0000-0000-000015690000}"/>
    <cellStyle name="Ввод  2 2 10" xfId="27168" xr:uid="{00000000-0005-0000-0000-000016690000}"/>
    <cellStyle name="Ввод  2 2 2" xfId="2379" xr:uid="{00000000-0005-0000-0000-000017690000}"/>
    <cellStyle name="Ввод  2 2 2 2" xfId="2380" xr:uid="{00000000-0005-0000-0000-000018690000}"/>
    <cellStyle name="Ввод  2 2 2 2 2" xfId="2381" xr:uid="{00000000-0005-0000-0000-000019690000}"/>
    <cellStyle name="Ввод  2 2 2 2 2 2" xfId="2382" xr:uid="{00000000-0005-0000-0000-00001A690000}"/>
    <cellStyle name="Ввод  2 2 2 2 2 2 2" xfId="5740" xr:uid="{00000000-0005-0000-0000-00001B690000}"/>
    <cellStyle name="Ввод  2 2 2 2 2 2 2 2" xfId="28342" xr:uid="{00000000-0005-0000-0000-00001C690000}"/>
    <cellStyle name="Ввод  2 2 2 2 2 2 2_TOM TAT" xfId="25161" xr:uid="{00000000-0005-0000-0000-00001D690000}"/>
    <cellStyle name="Ввод  2 2 2 2 2 2 3" xfId="27172" xr:uid="{00000000-0005-0000-0000-00001E690000}"/>
    <cellStyle name="Ввод  2 2 2 2 2 2_TOM TAT" xfId="25160" xr:uid="{00000000-0005-0000-0000-00001F690000}"/>
    <cellStyle name="Ввод  2 2 2 2 2 3" xfId="5741" xr:uid="{00000000-0005-0000-0000-000020690000}"/>
    <cellStyle name="Ввод  2 2 2 2 2 3 2" xfId="28343" xr:uid="{00000000-0005-0000-0000-000021690000}"/>
    <cellStyle name="Ввод  2 2 2 2 2 3_TOM TAT" xfId="25162" xr:uid="{00000000-0005-0000-0000-000022690000}"/>
    <cellStyle name="Ввод  2 2 2 2 2 4" xfId="27171" xr:uid="{00000000-0005-0000-0000-000023690000}"/>
    <cellStyle name="Ввод  2 2 2 2 2_TOM TAT" xfId="25159" xr:uid="{00000000-0005-0000-0000-000024690000}"/>
    <cellStyle name="Ввод  2 2 2 2 3" xfId="2383" xr:uid="{00000000-0005-0000-0000-000025690000}"/>
    <cellStyle name="Ввод  2 2 2 2 3 2" xfId="5742" xr:uid="{00000000-0005-0000-0000-000026690000}"/>
    <cellStyle name="Ввод  2 2 2 2 3 2 2" xfId="28344" xr:uid="{00000000-0005-0000-0000-000027690000}"/>
    <cellStyle name="Ввод  2 2 2 2 3 2_TOM TAT" xfId="25164" xr:uid="{00000000-0005-0000-0000-000028690000}"/>
    <cellStyle name="Ввод  2 2 2 2 3 3" xfId="27173" xr:uid="{00000000-0005-0000-0000-000029690000}"/>
    <cellStyle name="Ввод  2 2 2 2 3_TOM TAT" xfId="25163" xr:uid="{00000000-0005-0000-0000-00002A690000}"/>
    <cellStyle name="Ввод  2 2 2 2 4" xfId="2384" xr:uid="{00000000-0005-0000-0000-00002B690000}"/>
    <cellStyle name="Ввод  2 2 2 2 4 2" xfId="5743" xr:uid="{00000000-0005-0000-0000-00002C690000}"/>
    <cellStyle name="Ввод  2 2 2 2 4 2 2" xfId="28345" xr:uid="{00000000-0005-0000-0000-00002D690000}"/>
    <cellStyle name="Ввод  2 2 2 2 4 2_TOM TAT" xfId="25166" xr:uid="{00000000-0005-0000-0000-00002E690000}"/>
    <cellStyle name="Ввод  2 2 2 2 4 3" xfId="27174" xr:uid="{00000000-0005-0000-0000-00002F690000}"/>
    <cellStyle name="Ввод  2 2 2 2 4_TOM TAT" xfId="25165" xr:uid="{00000000-0005-0000-0000-000030690000}"/>
    <cellStyle name="Ввод  2 2 2 2 5" xfId="5744" xr:uid="{00000000-0005-0000-0000-000031690000}"/>
    <cellStyle name="Ввод  2 2 2 2 5 2" xfId="28346" xr:uid="{00000000-0005-0000-0000-000032690000}"/>
    <cellStyle name="Ввод  2 2 2 2 5_TOM TAT" xfId="25167" xr:uid="{00000000-0005-0000-0000-000033690000}"/>
    <cellStyle name="Ввод  2 2 2 2 6" xfId="27170" xr:uid="{00000000-0005-0000-0000-000034690000}"/>
    <cellStyle name="Ввод  2 2 2 2_TOM TAT" xfId="25158" xr:uid="{00000000-0005-0000-0000-000035690000}"/>
    <cellStyle name="Ввод  2 2 2 3" xfId="2385" xr:uid="{00000000-0005-0000-0000-000036690000}"/>
    <cellStyle name="Ввод  2 2 2 3 2" xfId="2386" xr:uid="{00000000-0005-0000-0000-000037690000}"/>
    <cellStyle name="Ввод  2 2 2 3 2 2" xfId="5745" xr:uid="{00000000-0005-0000-0000-000038690000}"/>
    <cellStyle name="Ввод  2 2 2 3 2 2 2" xfId="28347" xr:uid="{00000000-0005-0000-0000-000039690000}"/>
    <cellStyle name="Ввод  2 2 2 3 2 2_TOM TAT" xfId="25170" xr:uid="{00000000-0005-0000-0000-00003A690000}"/>
    <cellStyle name="Ввод  2 2 2 3 2 3" xfId="27176" xr:uid="{00000000-0005-0000-0000-00003B690000}"/>
    <cellStyle name="Ввод  2 2 2 3 2_TOM TAT" xfId="25169" xr:uid="{00000000-0005-0000-0000-00003C690000}"/>
    <cellStyle name="Ввод  2 2 2 3 3" xfId="5746" xr:uid="{00000000-0005-0000-0000-00003D690000}"/>
    <cellStyle name="Ввод  2 2 2 3 3 2" xfId="28348" xr:uid="{00000000-0005-0000-0000-00003E690000}"/>
    <cellStyle name="Ввод  2 2 2 3 3_TOM TAT" xfId="25171" xr:uid="{00000000-0005-0000-0000-00003F690000}"/>
    <cellStyle name="Ввод  2 2 2 3 4" xfId="27175" xr:uid="{00000000-0005-0000-0000-000040690000}"/>
    <cellStyle name="Ввод  2 2 2 3_TOM TAT" xfId="25168" xr:uid="{00000000-0005-0000-0000-000041690000}"/>
    <cellStyle name="Ввод  2 2 2 4" xfId="2387" xr:uid="{00000000-0005-0000-0000-000042690000}"/>
    <cellStyle name="Ввод  2 2 2 4 2" xfId="2388" xr:uid="{00000000-0005-0000-0000-000043690000}"/>
    <cellStyle name="Ввод  2 2 2 4 2 2" xfId="5747" xr:uid="{00000000-0005-0000-0000-000044690000}"/>
    <cellStyle name="Ввод  2 2 2 4 2 2 2" xfId="28349" xr:uid="{00000000-0005-0000-0000-000045690000}"/>
    <cellStyle name="Ввод  2 2 2 4 2 2_TOM TAT" xfId="25174" xr:uid="{00000000-0005-0000-0000-000046690000}"/>
    <cellStyle name="Ввод  2 2 2 4 2 3" xfId="27178" xr:uid="{00000000-0005-0000-0000-000047690000}"/>
    <cellStyle name="Ввод  2 2 2 4 2_TOM TAT" xfId="25173" xr:uid="{00000000-0005-0000-0000-000048690000}"/>
    <cellStyle name="Ввод  2 2 2 4 3" xfId="5748" xr:uid="{00000000-0005-0000-0000-000049690000}"/>
    <cellStyle name="Ввод  2 2 2 4 3 2" xfId="28350" xr:uid="{00000000-0005-0000-0000-00004A690000}"/>
    <cellStyle name="Ввод  2 2 2 4 3_TOM TAT" xfId="25175" xr:uid="{00000000-0005-0000-0000-00004B690000}"/>
    <cellStyle name="Ввод  2 2 2 4 4" xfId="27177" xr:uid="{00000000-0005-0000-0000-00004C690000}"/>
    <cellStyle name="Ввод  2 2 2 4_TOM TAT" xfId="25172" xr:uid="{00000000-0005-0000-0000-00004D690000}"/>
    <cellStyle name="Ввод  2 2 2 5" xfId="2389" xr:uid="{00000000-0005-0000-0000-00004E690000}"/>
    <cellStyle name="Ввод  2 2 2 5 2" xfId="5749" xr:uid="{00000000-0005-0000-0000-00004F690000}"/>
    <cellStyle name="Ввод  2 2 2 5 2 2" xfId="28351" xr:uid="{00000000-0005-0000-0000-000050690000}"/>
    <cellStyle name="Ввод  2 2 2 5 2_TOM TAT" xfId="25177" xr:uid="{00000000-0005-0000-0000-000051690000}"/>
    <cellStyle name="Ввод  2 2 2 5 3" xfId="27179" xr:uid="{00000000-0005-0000-0000-000052690000}"/>
    <cellStyle name="Ввод  2 2 2 5_TOM TAT" xfId="25176" xr:uid="{00000000-0005-0000-0000-000053690000}"/>
    <cellStyle name="Ввод  2 2 2 6" xfId="2390" xr:uid="{00000000-0005-0000-0000-000054690000}"/>
    <cellStyle name="Ввод  2 2 2 6 2" xfId="5750" xr:uid="{00000000-0005-0000-0000-000055690000}"/>
    <cellStyle name="Ввод  2 2 2 6 2 2" xfId="28352" xr:uid="{00000000-0005-0000-0000-000056690000}"/>
    <cellStyle name="Ввод  2 2 2 6 2_TOM TAT" xfId="25179" xr:uid="{00000000-0005-0000-0000-000057690000}"/>
    <cellStyle name="Ввод  2 2 2 6 3" xfId="27180" xr:uid="{00000000-0005-0000-0000-000058690000}"/>
    <cellStyle name="Ввод  2 2 2 6_TOM TAT" xfId="25178" xr:uid="{00000000-0005-0000-0000-000059690000}"/>
    <cellStyle name="Ввод  2 2 2 7" xfId="5751" xr:uid="{00000000-0005-0000-0000-00005A690000}"/>
    <cellStyle name="Ввод  2 2 2 7 2" xfId="28353" xr:uid="{00000000-0005-0000-0000-00005B690000}"/>
    <cellStyle name="Ввод  2 2 2 7_TOM TAT" xfId="25180" xr:uid="{00000000-0005-0000-0000-00005C690000}"/>
    <cellStyle name="Ввод  2 2 2 8" xfId="27169" xr:uid="{00000000-0005-0000-0000-00005D690000}"/>
    <cellStyle name="Ввод  2 2 2_TOM TAT" xfId="25157" xr:uid="{00000000-0005-0000-0000-00005E690000}"/>
    <cellStyle name="Ввод  2 2 3" xfId="2391" xr:uid="{00000000-0005-0000-0000-00005F690000}"/>
    <cellStyle name="Ввод  2 2 3 2" xfId="2392" xr:uid="{00000000-0005-0000-0000-000060690000}"/>
    <cellStyle name="Ввод  2 2 3 2 2" xfId="2393" xr:uid="{00000000-0005-0000-0000-000061690000}"/>
    <cellStyle name="Ввод  2 2 3 2 2 2" xfId="2394" xr:uid="{00000000-0005-0000-0000-000062690000}"/>
    <cellStyle name="Ввод  2 2 3 2 2 2 2" xfId="5752" xr:uid="{00000000-0005-0000-0000-000063690000}"/>
    <cellStyle name="Ввод  2 2 3 2 2 2 2 2" xfId="28354" xr:uid="{00000000-0005-0000-0000-000064690000}"/>
    <cellStyle name="Ввод  2 2 3 2 2 2 2_TOM TAT" xfId="25185" xr:uid="{00000000-0005-0000-0000-000065690000}"/>
    <cellStyle name="Ввод  2 2 3 2 2 2 3" xfId="27184" xr:uid="{00000000-0005-0000-0000-000066690000}"/>
    <cellStyle name="Ввод  2 2 3 2 2 2_TOM TAT" xfId="25184" xr:uid="{00000000-0005-0000-0000-000067690000}"/>
    <cellStyle name="Ввод  2 2 3 2 2 3" xfId="5753" xr:uid="{00000000-0005-0000-0000-000068690000}"/>
    <cellStyle name="Ввод  2 2 3 2 2 3 2" xfId="28355" xr:uid="{00000000-0005-0000-0000-000069690000}"/>
    <cellStyle name="Ввод  2 2 3 2 2 3_TOM TAT" xfId="25186" xr:uid="{00000000-0005-0000-0000-00006A690000}"/>
    <cellStyle name="Ввод  2 2 3 2 2 4" xfId="27183" xr:uid="{00000000-0005-0000-0000-00006B690000}"/>
    <cellStyle name="Ввод  2 2 3 2 2_TOM TAT" xfId="25183" xr:uid="{00000000-0005-0000-0000-00006C690000}"/>
    <cellStyle name="Ввод  2 2 3 2 3" xfId="2395" xr:uid="{00000000-0005-0000-0000-00006D690000}"/>
    <cellStyle name="Ввод  2 2 3 2 3 2" xfId="5754" xr:uid="{00000000-0005-0000-0000-00006E690000}"/>
    <cellStyle name="Ввод  2 2 3 2 3 2 2" xfId="28356" xr:uid="{00000000-0005-0000-0000-00006F690000}"/>
    <cellStyle name="Ввод  2 2 3 2 3 2_TOM TAT" xfId="25188" xr:uid="{00000000-0005-0000-0000-000070690000}"/>
    <cellStyle name="Ввод  2 2 3 2 3 3" xfId="27185" xr:uid="{00000000-0005-0000-0000-000071690000}"/>
    <cellStyle name="Ввод  2 2 3 2 3_TOM TAT" xfId="25187" xr:uid="{00000000-0005-0000-0000-000072690000}"/>
    <cellStyle name="Ввод  2 2 3 2 4" xfId="2396" xr:uid="{00000000-0005-0000-0000-000073690000}"/>
    <cellStyle name="Ввод  2 2 3 2 4 2" xfId="5755" xr:uid="{00000000-0005-0000-0000-000074690000}"/>
    <cellStyle name="Ввод  2 2 3 2 4 2 2" xfId="28357" xr:uid="{00000000-0005-0000-0000-000075690000}"/>
    <cellStyle name="Ввод  2 2 3 2 4 2_TOM TAT" xfId="25190" xr:uid="{00000000-0005-0000-0000-000076690000}"/>
    <cellStyle name="Ввод  2 2 3 2 4 3" xfId="27186" xr:uid="{00000000-0005-0000-0000-000077690000}"/>
    <cellStyle name="Ввод  2 2 3 2 4_TOM TAT" xfId="25189" xr:uid="{00000000-0005-0000-0000-000078690000}"/>
    <cellStyle name="Ввод  2 2 3 2 5" xfId="5756" xr:uid="{00000000-0005-0000-0000-000079690000}"/>
    <cellStyle name="Ввод  2 2 3 2 5 2" xfId="28358" xr:uid="{00000000-0005-0000-0000-00007A690000}"/>
    <cellStyle name="Ввод  2 2 3 2 5_TOM TAT" xfId="25191" xr:uid="{00000000-0005-0000-0000-00007B690000}"/>
    <cellStyle name="Ввод  2 2 3 2 6" xfId="27182" xr:uid="{00000000-0005-0000-0000-00007C690000}"/>
    <cellStyle name="Ввод  2 2 3 2_TOM TAT" xfId="25182" xr:uid="{00000000-0005-0000-0000-00007D690000}"/>
    <cellStyle name="Ввод  2 2 3 3" xfId="2397" xr:uid="{00000000-0005-0000-0000-00007E690000}"/>
    <cellStyle name="Ввод  2 2 3 3 2" xfId="2398" xr:uid="{00000000-0005-0000-0000-00007F690000}"/>
    <cellStyle name="Ввод  2 2 3 3 2 2" xfId="5757" xr:uid="{00000000-0005-0000-0000-000080690000}"/>
    <cellStyle name="Ввод  2 2 3 3 2 2 2" xfId="28359" xr:uid="{00000000-0005-0000-0000-000081690000}"/>
    <cellStyle name="Ввод  2 2 3 3 2 2_TOM TAT" xfId="25194" xr:uid="{00000000-0005-0000-0000-000082690000}"/>
    <cellStyle name="Ввод  2 2 3 3 2 3" xfId="27188" xr:uid="{00000000-0005-0000-0000-000083690000}"/>
    <cellStyle name="Ввод  2 2 3 3 2_TOM TAT" xfId="25193" xr:uid="{00000000-0005-0000-0000-000084690000}"/>
    <cellStyle name="Ввод  2 2 3 3 3" xfId="5758" xr:uid="{00000000-0005-0000-0000-000085690000}"/>
    <cellStyle name="Ввод  2 2 3 3 3 2" xfId="28360" xr:uid="{00000000-0005-0000-0000-000086690000}"/>
    <cellStyle name="Ввод  2 2 3 3 3_TOM TAT" xfId="25195" xr:uid="{00000000-0005-0000-0000-000087690000}"/>
    <cellStyle name="Ввод  2 2 3 3 4" xfId="27187" xr:uid="{00000000-0005-0000-0000-000088690000}"/>
    <cellStyle name="Ввод  2 2 3 3_TOM TAT" xfId="25192" xr:uid="{00000000-0005-0000-0000-000089690000}"/>
    <cellStyle name="Ввод  2 2 3 4" xfId="2399" xr:uid="{00000000-0005-0000-0000-00008A690000}"/>
    <cellStyle name="Ввод  2 2 3 4 2" xfId="2400" xr:uid="{00000000-0005-0000-0000-00008B690000}"/>
    <cellStyle name="Ввод  2 2 3 4 2 2" xfId="5759" xr:uid="{00000000-0005-0000-0000-00008C690000}"/>
    <cellStyle name="Ввод  2 2 3 4 2 2 2" xfId="28361" xr:uid="{00000000-0005-0000-0000-00008D690000}"/>
    <cellStyle name="Ввод  2 2 3 4 2 2_TOM TAT" xfId="25198" xr:uid="{00000000-0005-0000-0000-00008E690000}"/>
    <cellStyle name="Ввод  2 2 3 4 2 3" xfId="27190" xr:uid="{00000000-0005-0000-0000-00008F690000}"/>
    <cellStyle name="Ввод  2 2 3 4 2_TOM TAT" xfId="25197" xr:uid="{00000000-0005-0000-0000-000090690000}"/>
    <cellStyle name="Ввод  2 2 3 4 3" xfId="5760" xr:uid="{00000000-0005-0000-0000-000091690000}"/>
    <cellStyle name="Ввод  2 2 3 4 3 2" xfId="28362" xr:uid="{00000000-0005-0000-0000-000092690000}"/>
    <cellStyle name="Ввод  2 2 3 4 3_TOM TAT" xfId="25199" xr:uid="{00000000-0005-0000-0000-000093690000}"/>
    <cellStyle name="Ввод  2 2 3 4 4" xfId="27189" xr:uid="{00000000-0005-0000-0000-000094690000}"/>
    <cellStyle name="Ввод  2 2 3 4_TOM TAT" xfId="25196" xr:uid="{00000000-0005-0000-0000-000095690000}"/>
    <cellStyle name="Ввод  2 2 3 5" xfId="2401" xr:uid="{00000000-0005-0000-0000-000096690000}"/>
    <cellStyle name="Ввод  2 2 3 5 2" xfId="5761" xr:uid="{00000000-0005-0000-0000-000097690000}"/>
    <cellStyle name="Ввод  2 2 3 5 2 2" xfId="28363" xr:uid="{00000000-0005-0000-0000-000098690000}"/>
    <cellStyle name="Ввод  2 2 3 5 2_TOM TAT" xfId="25201" xr:uid="{00000000-0005-0000-0000-000099690000}"/>
    <cellStyle name="Ввод  2 2 3 5 3" xfId="27191" xr:uid="{00000000-0005-0000-0000-00009A690000}"/>
    <cellStyle name="Ввод  2 2 3 5_TOM TAT" xfId="25200" xr:uid="{00000000-0005-0000-0000-00009B690000}"/>
    <cellStyle name="Ввод  2 2 3 6" xfId="2402" xr:uid="{00000000-0005-0000-0000-00009C690000}"/>
    <cellStyle name="Ввод  2 2 3 6 2" xfId="5762" xr:uid="{00000000-0005-0000-0000-00009D690000}"/>
    <cellStyle name="Ввод  2 2 3 6 2 2" xfId="28364" xr:uid="{00000000-0005-0000-0000-00009E690000}"/>
    <cellStyle name="Ввод  2 2 3 6 2_TOM TAT" xfId="25203" xr:uid="{00000000-0005-0000-0000-00009F690000}"/>
    <cellStyle name="Ввод  2 2 3 6 3" xfId="27192" xr:uid="{00000000-0005-0000-0000-0000A0690000}"/>
    <cellStyle name="Ввод  2 2 3 6_TOM TAT" xfId="25202" xr:uid="{00000000-0005-0000-0000-0000A1690000}"/>
    <cellStyle name="Ввод  2 2 3 7" xfId="5763" xr:uid="{00000000-0005-0000-0000-0000A2690000}"/>
    <cellStyle name="Ввод  2 2 3 7 2" xfId="28365" xr:uid="{00000000-0005-0000-0000-0000A3690000}"/>
    <cellStyle name="Ввод  2 2 3 7_TOM TAT" xfId="25204" xr:uid="{00000000-0005-0000-0000-0000A4690000}"/>
    <cellStyle name="Ввод  2 2 3 8" xfId="27181" xr:uid="{00000000-0005-0000-0000-0000A5690000}"/>
    <cellStyle name="Ввод  2 2 3_TOM TAT" xfId="25181" xr:uid="{00000000-0005-0000-0000-0000A6690000}"/>
    <cellStyle name="Ввод  2 2 4" xfId="2403" xr:uid="{00000000-0005-0000-0000-0000A7690000}"/>
    <cellStyle name="Ввод  2 2 4 2" xfId="2404" xr:uid="{00000000-0005-0000-0000-0000A8690000}"/>
    <cellStyle name="Ввод  2 2 4 2 2" xfId="2405" xr:uid="{00000000-0005-0000-0000-0000A9690000}"/>
    <cellStyle name="Ввод  2 2 4 2 2 2" xfId="5764" xr:uid="{00000000-0005-0000-0000-0000AA690000}"/>
    <cellStyle name="Ввод  2 2 4 2 2 2 2" xfId="28366" xr:uid="{00000000-0005-0000-0000-0000AB690000}"/>
    <cellStyle name="Ввод  2 2 4 2 2 2_TOM TAT" xfId="25208" xr:uid="{00000000-0005-0000-0000-0000AC690000}"/>
    <cellStyle name="Ввод  2 2 4 2 2 3" xfId="27195" xr:uid="{00000000-0005-0000-0000-0000AD690000}"/>
    <cellStyle name="Ввод  2 2 4 2 2_TOM TAT" xfId="25207" xr:uid="{00000000-0005-0000-0000-0000AE690000}"/>
    <cellStyle name="Ввод  2 2 4 2 3" xfId="5765" xr:uid="{00000000-0005-0000-0000-0000AF690000}"/>
    <cellStyle name="Ввод  2 2 4 2 3 2" xfId="28367" xr:uid="{00000000-0005-0000-0000-0000B0690000}"/>
    <cellStyle name="Ввод  2 2 4 2 3_TOM TAT" xfId="25209" xr:uid="{00000000-0005-0000-0000-0000B1690000}"/>
    <cellStyle name="Ввод  2 2 4 2 4" xfId="27194" xr:uid="{00000000-0005-0000-0000-0000B2690000}"/>
    <cellStyle name="Ввод  2 2 4 2_TOM TAT" xfId="25206" xr:uid="{00000000-0005-0000-0000-0000B3690000}"/>
    <cellStyle name="Ввод  2 2 4 3" xfId="2406" xr:uid="{00000000-0005-0000-0000-0000B4690000}"/>
    <cellStyle name="Ввод  2 2 4 3 2" xfId="5766" xr:uid="{00000000-0005-0000-0000-0000B5690000}"/>
    <cellStyle name="Ввод  2 2 4 3 2 2" xfId="28368" xr:uid="{00000000-0005-0000-0000-0000B6690000}"/>
    <cellStyle name="Ввод  2 2 4 3 2_TOM TAT" xfId="25211" xr:uid="{00000000-0005-0000-0000-0000B7690000}"/>
    <cellStyle name="Ввод  2 2 4 3 3" xfId="27196" xr:uid="{00000000-0005-0000-0000-0000B8690000}"/>
    <cellStyle name="Ввод  2 2 4 3_TOM TAT" xfId="25210" xr:uid="{00000000-0005-0000-0000-0000B9690000}"/>
    <cellStyle name="Ввод  2 2 4 4" xfId="2407" xr:uid="{00000000-0005-0000-0000-0000BA690000}"/>
    <cellStyle name="Ввод  2 2 4 4 2" xfId="5767" xr:uid="{00000000-0005-0000-0000-0000BB690000}"/>
    <cellStyle name="Ввод  2 2 4 4 2 2" xfId="28369" xr:uid="{00000000-0005-0000-0000-0000BC690000}"/>
    <cellStyle name="Ввод  2 2 4 4 2_TOM TAT" xfId="25213" xr:uid="{00000000-0005-0000-0000-0000BD690000}"/>
    <cellStyle name="Ввод  2 2 4 4 3" xfId="27197" xr:uid="{00000000-0005-0000-0000-0000BE690000}"/>
    <cellStyle name="Ввод  2 2 4 4_TOM TAT" xfId="25212" xr:uid="{00000000-0005-0000-0000-0000BF690000}"/>
    <cellStyle name="Ввод  2 2 4 5" xfId="5768" xr:uid="{00000000-0005-0000-0000-0000C0690000}"/>
    <cellStyle name="Ввод  2 2 4 5 2" xfId="28370" xr:uid="{00000000-0005-0000-0000-0000C1690000}"/>
    <cellStyle name="Ввод  2 2 4 5_TOM TAT" xfId="25214" xr:uid="{00000000-0005-0000-0000-0000C2690000}"/>
    <cellStyle name="Ввод  2 2 4 6" xfId="27193" xr:uid="{00000000-0005-0000-0000-0000C3690000}"/>
    <cellStyle name="Ввод  2 2 4_TOM TAT" xfId="25205" xr:uid="{00000000-0005-0000-0000-0000C4690000}"/>
    <cellStyle name="Ввод  2 2 5" xfId="2408" xr:uid="{00000000-0005-0000-0000-0000C5690000}"/>
    <cellStyle name="Ввод  2 2 5 2" xfId="2409" xr:uid="{00000000-0005-0000-0000-0000C6690000}"/>
    <cellStyle name="Ввод  2 2 5 2 2" xfId="5769" xr:uid="{00000000-0005-0000-0000-0000C7690000}"/>
    <cellStyle name="Ввод  2 2 5 2 2 2" xfId="28371" xr:uid="{00000000-0005-0000-0000-0000C8690000}"/>
    <cellStyle name="Ввод  2 2 5 2 2_TOM TAT" xfId="25217" xr:uid="{00000000-0005-0000-0000-0000C9690000}"/>
    <cellStyle name="Ввод  2 2 5 2 3" xfId="27199" xr:uid="{00000000-0005-0000-0000-0000CA690000}"/>
    <cellStyle name="Ввод  2 2 5 2_TOM TAT" xfId="25216" xr:uid="{00000000-0005-0000-0000-0000CB690000}"/>
    <cellStyle name="Ввод  2 2 5 3" xfId="5770" xr:uid="{00000000-0005-0000-0000-0000CC690000}"/>
    <cellStyle name="Ввод  2 2 5 3 2" xfId="28372" xr:uid="{00000000-0005-0000-0000-0000CD690000}"/>
    <cellStyle name="Ввод  2 2 5 3_TOM TAT" xfId="25218" xr:uid="{00000000-0005-0000-0000-0000CE690000}"/>
    <cellStyle name="Ввод  2 2 5 4" xfId="27198" xr:uid="{00000000-0005-0000-0000-0000CF690000}"/>
    <cellStyle name="Ввод  2 2 5_TOM TAT" xfId="25215" xr:uid="{00000000-0005-0000-0000-0000D0690000}"/>
    <cellStyle name="Ввод  2 2 6" xfId="2410" xr:uid="{00000000-0005-0000-0000-0000D1690000}"/>
    <cellStyle name="Ввод  2 2 6 2" xfId="2411" xr:uid="{00000000-0005-0000-0000-0000D2690000}"/>
    <cellStyle name="Ввод  2 2 6 2 2" xfId="5771" xr:uid="{00000000-0005-0000-0000-0000D3690000}"/>
    <cellStyle name="Ввод  2 2 6 2 2 2" xfId="28373" xr:uid="{00000000-0005-0000-0000-0000D4690000}"/>
    <cellStyle name="Ввод  2 2 6 2 2_TOM TAT" xfId="25221" xr:uid="{00000000-0005-0000-0000-0000D5690000}"/>
    <cellStyle name="Ввод  2 2 6 2 3" xfId="27201" xr:uid="{00000000-0005-0000-0000-0000D6690000}"/>
    <cellStyle name="Ввод  2 2 6 2_TOM TAT" xfId="25220" xr:uid="{00000000-0005-0000-0000-0000D7690000}"/>
    <cellStyle name="Ввод  2 2 6 3" xfId="5772" xr:uid="{00000000-0005-0000-0000-0000D8690000}"/>
    <cellStyle name="Ввод  2 2 6 3 2" xfId="28374" xr:uid="{00000000-0005-0000-0000-0000D9690000}"/>
    <cellStyle name="Ввод  2 2 6 3_TOM TAT" xfId="25222" xr:uid="{00000000-0005-0000-0000-0000DA690000}"/>
    <cellStyle name="Ввод  2 2 6 4" xfId="27200" xr:uid="{00000000-0005-0000-0000-0000DB690000}"/>
    <cellStyle name="Ввод  2 2 6_TOM TAT" xfId="25219" xr:uid="{00000000-0005-0000-0000-0000DC690000}"/>
    <cellStyle name="Ввод  2 2 7" xfId="2412" xr:uid="{00000000-0005-0000-0000-0000DD690000}"/>
    <cellStyle name="Ввод  2 2 7 2" xfId="5773" xr:uid="{00000000-0005-0000-0000-0000DE690000}"/>
    <cellStyle name="Ввод  2 2 7 2 2" xfId="28375" xr:uid="{00000000-0005-0000-0000-0000DF690000}"/>
    <cellStyle name="Ввод  2 2 7 2_TOM TAT" xfId="25224" xr:uid="{00000000-0005-0000-0000-0000E0690000}"/>
    <cellStyle name="Ввод  2 2 7 3" xfId="27202" xr:uid="{00000000-0005-0000-0000-0000E1690000}"/>
    <cellStyle name="Ввод  2 2 7_TOM TAT" xfId="25223" xr:uid="{00000000-0005-0000-0000-0000E2690000}"/>
    <cellStyle name="Ввод  2 2 8" xfId="2413" xr:uid="{00000000-0005-0000-0000-0000E3690000}"/>
    <cellStyle name="Ввод  2 2 8 2" xfId="5774" xr:uid="{00000000-0005-0000-0000-0000E4690000}"/>
    <cellStyle name="Ввод  2 2 8 2 2" xfId="28376" xr:uid="{00000000-0005-0000-0000-0000E5690000}"/>
    <cellStyle name="Ввод  2 2 8 2_TOM TAT" xfId="25226" xr:uid="{00000000-0005-0000-0000-0000E6690000}"/>
    <cellStyle name="Ввод  2 2 8 3" xfId="27203" xr:uid="{00000000-0005-0000-0000-0000E7690000}"/>
    <cellStyle name="Ввод  2 2 8_TOM TAT" xfId="25225" xr:uid="{00000000-0005-0000-0000-0000E8690000}"/>
    <cellStyle name="Ввод  2 2 9" xfId="5775" xr:uid="{00000000-0005-0000-0000-0000E9690000}"/>
    <cellStyle name="Ввод  2 2 9 2" xfId="28377" xr:uid="{00000000-0005-0000-0000-0000EA690000}"/>
    <cellStyle name="Ввод  2 2 9_TOM TAT" xfId="25227" xr:uid="{00000000-0005-0000-0000-0000EB690000}"/>
    <cellStyle name="Ввод  2 2_TOM TAT" xfId="25156" xr:uid="{00000000-0005-0000-0000-0000EC690000}"/>
    <cellStyle name="Ввод  2 3" xfId="2414" xr:uid="{00000000-0005-0000-0000-0000ED690000}"/>
    <cellStyle name="Ввод  2 3 2" xfId="2415" xr:uid="{00000000-0005-0000-0000-0000EE690000}"/>
    <cellStyle name="Ввод  2 3 2 2" xfId="2416" xr:uid="{00000000-0005-0000-0000-0000EF690000}"/>
    <cellStyle name="Ввод  2 3 2 2 2" xfId="2417" xr:uid="{00000000-0005-0000-0000-0000F0690000}"/>
    <cellStyle name="Ввод  2 3 2 2 2 2" xfId="2418" xr:uid="{00000000-0005-0000-0000-0000F1690000}"/>
    <cellStyle name="Ввод  2 3 2 2 2 2 2" xfId="5776" xr:uid="{00000000-0005-0000-0000-0000F2690000}"/>
    <cellStyle name="Ввод  2 3 2 2 2 2 2 2" xfId="28378" xr:uid="{00000000-0005-0000-0000-0000F3690000}"/>
    <cellStyle name="Ввод  2 3 2 2 2 2 2_TOM TAT" xfId="25233" xr:uid="{00000000-0005-0000-0000-0000F4690000}"/>
    <cellStyle name="Ввод  2 3 2 2 2 2 3" xfId="27208" xr:uid="{00000000-0005-0000-0000-0000F5690000}"/>
    <cellStyle name="Ввод  2 3 2 2 2 2_TOM TAT" xfId="25232" xr:uid="{00000000-0005-0000-0000-0000F6690000}"/>
    <cellStyle name="Ввод  2 3 2 2 2 3" xfId="5777" xr:uid="{00000000-0005-0000-0000-0000F7690000}"/>
    <cellStyle name="Ввод  2 3 2 2 2 3 2" xfId="28379" xr:uid="{00000000-0005-0000-0000-0000F8690000}"/>
    <cellStyle name="Ввод  2 3 2 2 2 3_TOM TAT" xfId="25234" xr:uid="{00000000-0005-0000-0000-0000F9690000}"/>
    <cellStyle name="Ввод  2 3 2 2 2 4" xfId="27207" xr:uid="{00000000-0005-0000-0000-0000FA690000}"/>
    <cellStyle name="Ввод  2 3 2 2 2_TOM TAT" xfId="25231" xr:uid="{00000000-0005-0000-0000-0000FB690000}"/>
    <cellStyle name="Ввод  2 3 2 2 3" xfId="2419" xr:uid="{00000000-0005-0000-0000-0000FC690000}"/>
    <cellStyle name="Ввод  2 3 2 2 3 2" xfId="5778" xr:uid="{00000000-0005-0000-0000-0000FD690000}"/>
    <cellStyle name="Ввод  2 3 2 2 3 2 2" xfId="28380" xr:uid="{00000000-0005-0000-0000-0000FE690000}"/>
    <cellStyle name="Ввод  2 3 2 2 3 2_TOM TAT" xfId="25236" xr:uid="{00000000-0005-0000-0000-0000FF690000}"/>
    <cellStyle name="Ввод  2 3 2 2 3 3" xfId="27209" xr:uid="{00000000-0005-0000-0000-0000006A0000}"/>
    <cellStyle name="Ввод  2 3 2 2 3_TOM TAT" xfId="25235" xr:uid="{00000000-0005-0000-0000-0000016A0000}"/>
    <cellStyle name="Ввод  2 3 2 2 4" xfId="2420" xr:uid="{00000000-0005-0000-0000-0000026A0000}"/>
    <cellStyle name="Ввод  2 3 2 2 4 2" xfId="5779" xr:uid="{00000000-0005-0000-0000-0000036A0000}"/>
    <cellStyle name="Ввод  2 3 2 2 4 2 2" xfId="28381" xr:uid="{00000000-0005-0000-0000-0000046A0000}"/>
    <cellStyle name="Ввод  2 3 2 2 4 2_TOM TAT" xfId="25238" xr:uid="{00000000-0005-0000-0000-0000056A0000}"/>
    <cellStyle name="Ввод  2 3 2 2 4 3" xfId="27210" xr:uid="{00000000-0005-0000-0000-0000066A0000}"/>
    <cellStyle name="Ввод  2 3 2 2 4_TOM TAT" xfId="25237" xr:uid="{00000000-0005-0000-0000-0000076A0000}"/>
    <cellStyle name="Ввод  2 3 2 2 5" xfId="5780" xr:uid="{00000000-0005-0000-0000-0000086A0000}"/>
    <cellStyle name="Ввод  2 3 2 2 5 2" xfId="28382" xr:uid="{00000000-0005-0000-0000-0000096A0000}"/>
    <cellStyle name="Ввод  2 3 2 2 5_TOM TAT" xfId="25239" xr:uid="{00000000-0005-0000-0000-00000A6A0000}"/>
    <cellStyle name="Ввод  2 3 2 2 6" xfId="27206" xr:uid="{00000000-0005-0000-0000-00000B6A0000}"/>
    <cellStyle name="Ввод  2 3 2 2_TOM TAT" xfId="25230" xr:uid="{00000000-0005-0000-0000-00000C6A0000}"/>
    <cellStyle name="Ввод  2 3 2 3" xfId="2421" xr:uid="{00000000-0005-0000-0000-00000D6A0000}"/>
    <cellStyle name="Ввод  2 3 2 3 2" xfId="2422" xr:uid="{00000000-0005-0000-0000-00000E6A0000}"/>
    <cellStyle name="Ввод  2 3 2 3 2 2" xfId="5781" xr:uid="{00000000-0005-0000-0000-00000F6A0000}"/>
    <cellStyle name="Ввод  2 3 2 3 2 2 2" xfId="28383" xr:uid="{00000000-0005-0000-0000-0000106A0000}"/>
    <cellStyle name="Ввод  2 3 2 3 2 2_TOM TAT" xfId="25242" xr:uid="{00000000-0005-0000-0000-0000116A0000}"/>
    <cellStyle name="Ввод  2 3 2 3 2 3" xfId="27212" xr:uid="{00000000-0005-0000-0000-0000126A0000}"/>
    <cellStyle name="Ввод  2 3 2 3 2_TOM TAT" xfId="25241" xr:uid="{00000000-0005-0000-0000-0000136A0000}"/>
    <cellStyle name="Ввод  2 3 2 3 3" xfId="5782" xr:uid="{00000000-0005-0000-0000-0000146A0000}"/>
    <cellStyle name="Ввод  2 3 2 3 3 2" xfId="28384" xr:uid="{00000000-0005-0000-0000-0000156A0000}"/>
    <cellStyle name="Ввод  2 3 2 3 3_TOM TAT" xfId="25243" xr:uid="{00000000-0005-0000-0000-0000166A0000}"/>
    <cellStyle name="Ввод  2 3 2 3 4" xfId="27211" xr:uid="{00000000-0005-0000-0000-0000176A0000}"/>
    <cellStyle name="Ввод  2 3 2 3_TOM TAT" xfId="25240" xr:uid="{00000000-0005-0000-0000-0000186A0000}"/>
    <cellStyle name="Ввод  2 3 2 4" xfId="2423" xr:uid="{00000000-0005-0000-0000-0000196A0000}"/>
    <cellStyle name="Ввод  2 3 2 4 2" xfId="2424" xr:uid="{00000000-0005-0000-0000-00001A6A0000}"/>
    <cellStyle name="Ввод  2 3 2 4 2 2" xfId="5783" xr:uid="{00000000-0005-0000-0000-00001B6A0000}"/>
    <cellStyle name="Ввод  2 3 2 4 2 2 2" xfId="28385" xr:uid="{00000000-0005-0000-0000-00001C6A0000}"/>
    <cellStyle name="Ввод  2 3 2 4 2 2_TOM TAT" xfId="25246" xr:uid="{00000000-0005-0000-0000-00001D6A0000}"/>
    <cellStyle name="Ввод  2 3 2 4 2 3" xfId="27214" xr:uid="{00000000-0005-0000-0000-00001E6A0000}"/>
    <cellStyle name="Ввод  2 3 2 4 2_TOM TAT" xfId="25245" xr:uid="{00000000-0005-0000-0000-00001F6A0000}"/>
    <cellStyle name="Ввод  2 3 2 4 3" xfId="5784" xr:uid="{00000000-0005-0000-0000-0000206A0000}"/>
    <cellStyle name="Ввод  2 3 2 4 3 2" xfId="28386" xr:uid="{00000000-0005-0000-0000-0000216A0000}"/>
    <cellStyle name="Ввод  2 3 2 4 3_TOM TAT" xfId="25247" xr:uid="{00000000-0005-0000-0000-0000226A0000}"/>
    <cellStyle name="Ввод  2 3 2 4 4" xfId="27213" xr:uid="{00000000-0005-0000-0000-0000236A0000}"/>
    <cellStyle name="Ввод  2 3 2 4_TOM TAT" xfId="25244" xr:uid="{00000000-0005-0000-0000-0000246A0000}"/>
    <cellStyle name="Ввод  2 3 2 5" xfId="2425" xr:uid="{00000000-0005-0000-0000-0000256A0000}"/>
    <cellStyle name="Ввод  2 3 2 5 2" xfId="5785" xr:uid="{00000000-0005-0000-0000-0000266A0000}"/>
    <cellStyle name="Ввод  2 3 2 5 2 2" xfId="28387" xr:uid="{00000000-0005-0000-0000-0000276A0000}"/>
    <cellStyle name="Ввод  2 3 2 5 2_TOM TAT" xfId="25249" xr:uid="{00000000-0005-0000-0000-0000286A0000}"/>
    <cellStyle name="Ввод  2 3 2 5 3" xfId="27215" xr:uid="{00000000-0005-0000-0000-0000296A0000}"/>
    <cellStyle name="Ввод  2 3 2 5_TOM TAT" xfId="25248" xr:uid="{00000000-0005-0000-0000-00002A6A0000}"/>
    <cellStyle name="Ввод  2 3 2 6" xfId="2426" xr:uid="{00000000-0005-0000-0000-00002B6A0000}"/>
    <cellStyle name="Ввод  2 3 2 6 2" xfId="5786" xr:uid="{00000000-0005-0000-0000-00002C6A0000}"/>
    <cellStyle name="Ввод  2 3 2 6 2 2" xfId="28388" xr:uid="{00000000-0005-0000-0000-00002D6A0000}"/>
    <cellStyle name="Ввод  2 3 2 6 2_TOM TAT" xfId="25251" xr:uid="{00000000-0005-0000-0000-00002E6A0000}"/>
    <cellStyle name="Ввод  2 3 2 6 3" xfId="27216" xr:uid="{00000000-0005-0000-0000-00002F6A0000}"/>
    <cellStyle name="Ввод  2 3 2 6_TOM TAT" xfId="25250" xr:uid="{00000000-0005-0000-0000-0000306A0000}"/>
    <cellStyle name="Ввод  2 3 2 7" xfId="5787" xr:uid="{00000000-0005-0000-0000-0000316A0000}"/>
    <cellStyle name="Ввод  2 3 2 7 2" xfId="28389" xr:uid="{00000000-0005-0000-0000-0000326A0000}"/>
    <cellStyle name="Ввод  2 3 2 7_TOM TAT" xfId="25252" xr:uid="{00000000-0005-0000-0000-0000336A0000}"/>
    <cellStyle name="Ввод  2 3 2 8" xfId="27205" xr:uid="{00000000-0005-0000-0000-0000346A0000}"/>
    <cellStyle name="Ввод  2 3 2_TOM TAT" xfId="25229" xr:uid="{00000000-0005-0000-0000-0000356A0000}"/>
    <cellStyle name="Ввод  2 3 3" xfId="2427" xr:uid="{00000000-0005-0000-0000-0000366A0000}"/>
    <cellStyle name="Ввод  2 3 3 2" xfId="2428" xr:uid="{00000000-0005-0000-0000-0000376A0000}"/>
    <cellStyle name="Ввод  2 3 3 2 2" xfId="2429" xr:uid="{00000000-0005-0000-0000-0000386A0000}"/>
    <cellStyle name="Ввод  2 3 3 2 2 2" xfId="5788" xr:uid="{00000000-0005-0000-0000-0000396A0000}"/>
    <cellStyle name="Ввод  2 3 3 2 2 2 2" xfId="28390" xr:uid="{00000000-0005-0000-0000-00003A6A0000}"/>
    <cellStyle name="Ввод  2 3 3 2 2 2_TOM TAT" xfId="25256" xr:uid="{00000000-0005-0000-0000-00003B6A0000}"/>
    <cellStyle name="Ввод  2 3 3 2 2 3" xfId="27219" xr:uid="{00000000-0005-0000-0000-00003C6A0000}"/>
    <cellStyle name="Ввод  2 3 3 2 2_TOM TAT" xfId="25255" xr:uid="{00000000-0005-0000-0000-00003D6A0000}"/>
    <cellStyle name="Ввод  2 3 3 2 3" xfId="5789" xr:uid="{00000000-0005-0000-0000-00003E6A0000}"/>
    <cellStyle name="Ввод  2 3 3 2 3 2" xfId="28391" xr:uid="{00000000-0005-0000-0000-00003F6A0000}"/>
    <cellStyle name="Ввод  2 3 3 2 3_TOM TAT" xfId="25257" xr:uid="{00000000-0005-0000-0000-0000406A0000}"/>
    <cellStyle name="Ввод  2 3 3 2 4" xfId="27218" xr:uid="{00000000-0005-0000-0000-0000416A0000}"/>
    <cellStyle name="Ввод  2 3 3 2_TOM TAT" xfId="25254" xr:uid="{00000000-0005-0000-0000-0000426A0000}"/>
    <cellStyle name="Ввод  2 3 3 3" xfId="2430" xr:uid="{00000000-0005-0000-0000-0000436A0000}"/>
    <cellStyle name="Ввод  2 3 3 3 2" xfId="5790" xr:uid="{00000000-0005-0000-0000-0000446A0000}"/>
    <cellStyle name="Ввод  2 3 3 3 2 2" xfId="28392" xr:uid="{00000000-0005-0000-0000-0000456A0000}"/>
    <cellStyle name="Ввод  2 3 3 3 2_TOM TAT" xfId="25259" xr:uid="{00000000-0005-0000-0000-0000466A0000}"/>
    <cellStyle name="Ввод  2 3 3 3 3" xfId="27220" xr:uid="{00000000-0005-0000-0000-0000476A0000}"/>
    <cellStyle name="Ввод  2 3 3 3_TOM TAT" xfId="25258" xr:uid="{00000000-0005-0000-0000-0000486A0000}"/>
    <cellStyle name="Ввод  2 3 3 4" xfId="2431" xr:uid="{00000000-0005-0000-0000-0000496A0000}"/>
    <cellStyle name="Ввод  2 3 3 4 2" xfId="5791" xr:uid="{00000000-0005-0000-0000-00004A6A0000}"/>
    <cellStyle name="Ввод  2 3 3 4 2 2" xfId="28393" xr:uid="{00000000-0005-0000-0000-00004B6A0000}"/>
    <cellStyle name="Ввод  2 3 3 4 2_TOM TAT" xfId="25261" xr:uid="{00000000-0005-0000-0000-00004C6A0000}"/>
    <cellStyle name="Ввод  2 3 3 4 3" xfId="27221" xr:uid="{00000000-0005-0000-0000-00004D6A0000}"/>
    <cellStyle name="Ввод  2 3 3 4_TOM TAT" xfId="25260" xr:uid="{00000000-0005-0000-0000-00004E6A0000}"/>
    <cellStyle name="Ввод  2 3 3 5" xfId="5792" xr:uid="{00000000-0005-0000-0000-00004F6A0000}"/>
    <cellStyle name="Ввод  2 3 3 5 2" xfId="28394" xr:uid="{00000000-0005-0000-0000-0000506A0000}"/>
    <cellStyle name="Ввод  2 3 3 5_TOM TAT" xfId="25262" xr:uid="{00000000-0005-0000-0000-0000516A0000}"/>
    <cellStyle name="Ввод  2 3 3 6" xfId="27217" xr:uid="{00000000-0005-0000-0000-0000526A0000}"/>
    <cellStyle name="Ввод  2 3 3_TOM TAT" xfId="25253" xr:uid="{00000000-0005-0000-0000-0000536A0000}"/>
    <cellStyle name="Ввод  2 3 4" xfId="2432" xr:uid="{00000000-0005-0000-0000-0000546A0000}"/>
    <cellStyle name="Ввод  2 3 4 2" xfId="2433" xr:uid="{00000000-0005-0000-0000-0000556A0000}"/>
    <cellStyle name="Ввод  2 3 4 2 2" xfId="5793" xr:uid="{00000000-0005-0000-0000-0000566A0000}"/>
    <cellStyle name="Ввод  2 3 4 2 2 2" xfId="28395" xr:uid="{00000000-0005-0000-0000-0000576A0000}"/>
    <cellStyle name="Ввод  2 3 4 2 2_TOM TAT" xfId="25265" xr:uid="{00000000-0005-0000-0000-0000586A0000}"/>
    <cellStyle name="Ввод  2 3 4 2 3" xfId="27223" xr:uid="{00000000-0005-0000-0000-0000596A0000}"/>
    <cellStyle name="Ввод  2 3 4 2_TOM TAT" xfId="25264" xr:uid="{00000000-0005-0000-0000-00005A6A0000}"/>
    <cellStyle name="Ввод  2 3 4 3" xfId="5794" xr:uid="{00000000-0005-0000-0000-00005B6A0000}"/>
    <cellStyle name="Ввод  2 3 4 3 2" xfId="28396" xr:uid="{00000000-0005-0000-0000-00005C6A0000}"/>
    <cellStyle name="Ввод  2 3 4 3_TOM TAT" xfId="25266" xr:uid="{00000000-0005-0000-0000-00005D6A0000}"/>
    <cellStyle name="Ввод  2 3 4 4" xfId="27222" xr:uid="{00000000-0005-0000-0000-00005E6A0000}"/>
    <cellStyle name="Ввод  2 3 4_TOM TAT" xfId="25263" xr:uid="{00000000-0005-0000-0000-00005F6A0000}"/>
    <cellStyle name="Ввод  2 3 5" xfId="2434" xr:uid="{00000000-0005-0000-0000-0000606A0000}"/>
    <cellStyle name="Ввод  2 3 5 2" xfId="2435" xr:uid="{00000000-0005-0000-0000-0000616A0000}"/>
    <cellStyle name="Ввод  2 3 5 2 2" xfId="5795" xr:uid="{00000000-0005-0000-0000-0000626A0000}"/>
    <cellStyle name="Ввод  2 3 5 2 2 2" xfId="28397" xr:uid="{00000000-0005-0000-0000-0000636A0000}"/>
    <cellStyle name="Ввод  2 3 5 2 2_TOM TAT" xfId="25269" xr:uid="{00000000-0005-0000-0000-0000646A0000}"/>
    <cellStyle name="Ввод  2 3 5 2 3" xfId="27225" xr:uid="{00000000-0005-0000-0000-0000656A0000}"/>
    <cellStyle name="Ввод  2 3 5 2_TOM TAT" xfId="25268" xr:uid="{00000000-0005-0000-0000-0000666A0000}"/>
    <cellStyle name="Ввод  2 3 5 3" xfId="5796" xr:uid="{00000000-0005-0000-0000-0000676A0000}"/>
    <cellStyle name="Ввод  2 3 5 3 2" xfId="28398" xr:uid="{00000000-0005-0000-0000-0000686A0000}"/>
    <cellStyle name="Ввод  2 3 5 3_TOM TAT" xfId="25270" xr:uid="{00000000-0005-0000-0000-0000696A0000}"/>
    <cellStyle name="Ввод  2 3 5 4" xfId="27224" xr:uid="{00000000-0005-0000-0000-00006A6A0000}"/>
    <cellStyle name="Ввод  2 3 5_TOM TAT" xfId="25267" xr:uid="{00000000-0005-0000-0000-00006B6A0000}"/>
    <cellStyle name="Ввод  2 3 6" xfId="2436" xr:uid="{00000000-0005-0000-0000-00006C6A0000}"/>
    <cellStyle name="Ввод  2 3 6 2" xfId="5797" xr:uid="{00000000-0005-0000-0000-00006D6A0000}"/>
    <cellStyle name="Ввод  2 3 6 2 2" xfId="28399" xr:uid="{00000000-0005-0000-0000-00006E6A0000}"/>
    <cellStyle name="Ввод  2 3 6 2_TOM TAT" xfId="25272" xr:uid="{00000000-0005-0000-0000-00006F6A0000}"/>
    <cellStyle name="Ввод  2 3 6 3" xfId="27226" xr:uid="{00000000-0005-0000-0000-0000706A0000}"/>
    <cellStyle name="Ввод  2 3 6_TOM TAT" xfId="25271" xr:uid="{00000000-0005-0000-0000-0000716A0000}"/>
    <cellStyle name="Ввод  2 3 7" xfId="2437" xr:uid="{00000000-0005-0000-0000-0000726A0000}"/>
    <cellStyle name="Ввод  2 3 7 2" xfId="5798" xr:uid="{00000000-0005-0000-0000-0000736A0000}"/>
    <cellStyle name="Ввод  2 3 7 2 2" xfId="28400" xr:uid="{00000000-0005-0000-0000-0000746A0000}"/>
    <cellStyle name="Ввод  2 3 7 2_TOM TAT" xfId="25274" xr:uid="{00000000-0005-0000-0000-0000756A0000}"/>
    <cellStyle name="Ввод  2 3 7 3" xfId="27227" xr:uid="{00000000-0005-0000-0000-0000766A0000}"/>
    <cellStyle name="Ввод  2 3 7_TOM TAT" xfId="25273" xr:uid="{00000000-0005-0000-0000-0000776A0000}"/>
    <cellStyle name="Ввод  2 3 8" xfId="5799" xr:uid="{00000000-0005-0000-0000-0000786A0000}"/>
    <cellStyle name="Ввод  2 3 8 2" xfId="28401" xr:uid="{00000000-0005-0000-0000-0000796A0000}"/>
    <cellStyle name="Ввод  2 3 8_TOM TAT" xfId="25275" xr:uid="{00000000-0005-0000-0000-00007A6A0000}"/>
    <cellStyle name="Ввод  2 3 9" xfId="27204" xr:uid="{00000000-0005-0000-0000-00007B6A0000}"/>
    <cellStyle name="Ввод  2 3_TOM TAT" xfId="25228" xr:uid="{00000000-0005-0000-0000-00007C6A0000}"/>
    <cellStyle name="Ввод  2 4" xfId="2438" xr:uid="{00000000-0005-0000-0000-00007D6A0000}"/>
    <cellStyle name="Ввод  2 4 2" xfId="2439" xr:uid="{00000000-0005-0000-0000-00007E6A0000}"/>
    <cellStyle name="Ввод  2 4 2 2" xfId="2440" xr:uid="{00000000-0005-0000-0000-00007F6A0000}"/>
    <cellStyle name="Ввод  2 4 2 2 2" xfId="2441" xr:uid="{00000000-0005-0000-0000-0000806A0000}"/>
    <cellStyle name="Ввод  2 4 2 2 2 2" xfId="5800" xr:uid="{00000000-0005-0000-0000-0000816A0000}"/>
    <cellStyle name="Ввод  2 4 2 2 2 2 2" xfId="28402" xr:uid="{00000000-0005-0000-0000-0000826A0000}"/>
    <cellStyle name="Ввод  2 4 2 2 2 2_TOM TAT" xfId="25280" xr:uid="{00000000-0005-0000-0000-0000836A0000}"/>
    <cellStyle name="Ввод  2 4 2 2 2 3" xfId="27231" xr:uid="{00000000-0005-0000-0000-0000846A0000}"/>
    <cellStyle name="Ввод  2 4 2 2 2_TOM TAT" xfId="25279" xr:uid="{00000000-0005-0000-0000-0000856A0000}"/>
    <cellStyle name="Ввод  2 4 2 2 3" xfId="5801" xr:uid="{00000000-0005-0000-0000-0000866A0000}"/>
    <cellStyle name="Ввод  2 4 2 2 3 2" xfId="28403" xr:uid="{00000000-0005-0000-0000-0000876A0000}"/>
    <cellStyle name="Ввод  2 4 2 2 3_TOM TAT" xfId="25281" xr:uid="{00000000-0005-0000-0000-0000886A0000}"/>
    <cellStyle name="Ввод  2 4 2 2 4" xfId="27230" xr:uid="{00000000-0005-0000-0000-0000896A0000}"/>
    <cellStyle name="Ввод  2 4 2 2_TOM TAT" xfId="25278" xr:uid="{00000000-0005-0000-0000-00008A6A0000}"/>
    <cellStyle name="Ввод  2 4 2 3" xfId="2442" xr:uid="{00000000-0005-0000-0000-00008B6A0000}"/>
    <cellStyle name="Ввод  2 4 2 3 2" xfId="5802" xr:uid="{00000000-0005-0000-0000-00008C6A0000}"/>
    <cellStyle name="Ввод  2 4 2 3 2 2" xfId="28404" xr:uid="{00000000-0005-0000-0000-00008D6A0000}"/>
    <cellStyle name="Ввод  2 4 2 3 2_TOM TAT" xfId="25283" xr:uid="{00000000-0005-0000-0000-00008E6A0000}"/>
    <cellStyle name="Ввод  2 4 2 3 3" xfId="27232" xr:uid="{00000000-0005-0000-0000-00008F6A0000}"/>
    <cellStyle name="Ввод  2 4 2 3_TOM TAT" xfId="25282" xr:uid="{00000000-0005-0000-0000-0000906A0000}"/>
    <cellStyle name="Ввод  2 4 2 4" xfId="2443" xr:uid="{00000000-0005-0000-0000-0000916A0000}"/>
    <cellStyle name="Ввод  2 4 2 4 2" xfId="5803" xr:uid="{00000000-0005-0000-0000-0000926A0000}"/>
    <cellStyle name="Ввод  2 4 2 4 2 2" xfId="28405" xr:uid="{00000000-0005-0000-0000-0000936A0000}"/>
    <cellStyle name="Ввод  2 4 2 4 2_TOM TAT" xfId="25285" xr:uid="{00000000-0005-0000-0000-0000946A0000}"/>
    <cellStyle name="Ввод  2 4 2 4 3" xfId="27233" xr:uid="{00000000-0005-0000-0000-0000956A0000}"/>
    <cellStyle name="Ввод  2 4 2 4_TOM TAT" xfId="25284" xr:uid="{00000000-0005-0000-0000-0000966A0000}"/>
    <cellStyle name="Ввод  2 4 2 5" xfId="5804" xr:uid="{00000000-0005-0000-0000-0000976A0000}"/>
    <cellStyle name="Ввод  2 4 2 5 2" xfId="28406" xr:uid="{00000000-0005-0000-0000-0000986A0000}"/>
    <cellStyle name="Ввод  2 4 2 5_TOM TAT" xfId="25286" xr:uid="{00000000-0005-0000-0000-0000996A0000}"/>
    <cellStyle name="Ввод  2 4 2 6" xfId="27229" xr:uid="{00000000-0005-0000-0000-00009A6A0000}"/>
    <cellStyle name="Ввод  2 4 2_TOM TAT" xfId="25277" xr:uid="{00000000-0005-0000-0000-00009B6A0000}"/>
    <cellStyle name="Ввод  2 4 3" xfId="2444" xr:uid="{00000000-0005-0000-0000-00009C6A0000}"/>
    <cellStyle name="Ввод  2 4 3 2" xfId="2445" xr:uid="{00000000-0005-0000-0000-00009D6A0000}"/>
    <cellStyle name="Ввод  2 4 3 2 2" xfId="5805" xr:uid="{00000000-0005-0000-0000-00009E6A0000}"/>
    <cellStyle name="Ввод  2 4 3 2 2 2" xfId="28407" xr:uid="{00000000-0005-0000-0000-00009F6A0000}"/>
    <cellStyle name="Ввод  2 4 3 2 2_TOM TAT" xfId="25289" xr:uid="{00000000-0005-0000-0000-0000A06A0000}"/>
    <cellStyle name="Ввод  2 4 3 2 3" xfId="27235" xr:uid="{00000000-0005-0000-0000-0000A16A0000}"/>
    <cellStyle name="Ввод  2 4 3 2_TOM TAT" xfId="25288" xr:uid="{00000000-0005-0000-0000-0000A26A0000}"/>
    <cellStyle name="Ввод  2 4 3 3" xfId="5806" xr:uid="{00000000-0005-0000-0000-0000A36A0000}"/>
    <cellStyle name="Ввод  2 4 3 3 2" xfId="28408" xr:uid="{00000000-0005-0000-0000-0000A46A0000}"/>
    <cellStyle name="Ввод  2 4 3 3_TOM TAT" xfId="25290" xr:uid="{00000000-0005-0000-0000-0000A56A0000}"/>
    <cellStyle name="Ввод  2 4 3 4" xfId="27234" xr:uid="{00000000-0005-0000-0000-0000A66A0000}"/>
    <cellStyle name="Ввод  2 4 3_TOM TAT" xfId="25287" xr:uid="{00000000-0005-0000-0000-0000A76A0000}"/>
    <cellStyle name="Ввод  2 4 4" xfId="2446" xr:uid="{00000000-0005-0000-0000-0000A86A0000}"/>
    <cellStyle name="Ввод  2 4 4 2" xfId="2447" xr:uid="{00000000-0005-0000-0000-0000A96A0000}"/>
    <cellStyle name="Ввод  2 4 4 2 2" xfId="5807" xr:uid="{00000000-0005-0000-0000-0000AA6A0000}"/>
    <cellStyle name="Ввод  2 4 4 2 2 2" xfId="28409" xr:uid="{00000000-0005-0000-0000-0000AB6A0000}"/>
    <cellStyle name="Ввод  2 4 4 2 2_TOM TAT" xfId="25293" xr:uid="{00000000-0005-0000-0000-0000AC6A0000}"/>
    <cellStyle name="Ввод  2 4 4 2 3" xfId="27237" xr:uid="{00000000-0005-0000-0000-0000AD6A0000}"/>
    <cellStyle name="Ввод  2 4 4 2_TOM TAT" xfId="25292" xr:uid="{00000000-0005-0000-0000-0000AE6A0000}"/>
    <cellStyle name="Ввод  2 4 4 3" xfId="5808" xr:uid="{00000000-0005-0000-0000-0000AF6A0000}"/>
    <cellStyle name="Ввод  2 4 4 3 2" xfId="28410" xr:uid="{00000000-0005-0000-0000-0000B06A0000}"/>
    <cellStyle name="Ввод  2 4 4 3_TOM TAT" xfId="25294" xr:uid="{00000000-0005-0000-0000-0000B16A0000}"/>
    <cellStyle name="Ввод  2 4 4 4" xfId="27236" xr:uid="{00000000-0005-0000-0000-0000B26A0000}"/>
    <cellStyle name="Ввод  2 4 4_TOM TAT" xfId="25291" xr:uid="{00000000-0005-0000-0000-0000B36A0000}"/>
    <cellStyle name="Ввод  2 4 5" xfId="2448" xr:uid="{00000000-0005-0000-0000-0000B46A0000}"/>
    <cellStyle name="Ввод  2 4 5 2" xfId="5809" xr:uid="{00000000-0005-0000-0000-0000B56A0000}"/>
    <cellStyle name="Ввод  2 4 5 2 2" xfId="28411" xr:uid="{00000000-0005-0000-0000-0000B66A0000}"/>
    <cellStyle name="Ввод  2 4 5 2_TOM TAT" xfId="25296" xr:uid="{00000000-0005-0000-0000-0000B76A0000}"/>
    <cellStyle name="Ввод  2 4 5 3" xfId="27238" xr:uid="{00000000-0005-0000-0000-0000B86A0000}"/>
    <cellStyle name="Ввод  2 4 5_TOM TAT" xfId="25295" xr:uid="{00000000-0005-0000-0000-0000B96A0000}"/>
    <cellStyle name="Ввод  2 4 6" xfId="2449" xr:uid="{00000000-0005-0000-0000-0000BA6A0000}"/>
    <cellStyle name="Ввод  2 4 6 2" xfId="5810" xr:uid="{00000000-0005-0000-0000-0000BB6A0000}"/>
    <cellStyle name="Ввод  2 4 6 2 2" xfId="28412" xr:uid="{00000000-0005-0000-0000-0000BC6A0000}"/>
    <cellStyle name="Ввод  2 4 6 2_TOM TAT" xfId="25298" xr:uid="{00000000-0005-0000-0000-0000BD6A0000}"/>
    <cellStyle name="Ввод  2 4 6 3" xfId="27239" xr:uid="{00000000-0005-0000-0000-0000BE6A0000}"/>
    <cellStyle name="Ввод  2 4 6_TOM TAT" xfId="25297" xr:uid="{00000000-0005-0000-0000-0000BF6A0000}"/>
    <cellStyle name="Ввод  2 4 7" xfId="5811" xr:uid="{00000000-0005-0000-0000-0000C06A0000}"/>
    <cellStyle name="Ввод  2 4 7 2" xfId="28413" xr:uid="{00000000-0005-0000-0000-0000C16A0000}"/>
    <cellStyle name="Ввод  2 4 7_TOM TAT" xfId="25299" xr:uid="{00000000-0005-0000-0000-0000C26A0000}"/>
    <cellStyle name="Ввод  2 4 8" xfId="27228" xr:uid="{00000000-0005-0000-0000-0000C36A0000}"/>
    <cellStyle name="Ввод  2 4_TOM TAT" xfId="25276" xr:uid="{00000000-0005-0000-0000-0000C46A0000}"/>
    <cellStyle name="Ввод  2 5" xfId="2450" xr:uid="{00000000-0005-0000-0000-0000C56A0000}"/>
    <cellStyle name="Ввод  2 5 2" xfId="2451" xr:uid="{00000000-0005-0000-0000-0000C66A0000}"/>
    <cellStyle name="Ввод  2 5 2 2" xfId="2452" xr:uid="{00000000-0005-0000-0000-0000C76A0000}"/>
    <cellStyle name="Ввод  2 5 2 2 2" xfId="2453" xr:uid="{00000000-0005-0000-0000-0000C86A0000}"/>
    <cellStyle name="Ввод  2 5 2 2 2 2" xfId="5812" xr:uid="{00000000-0005-0000-0000-0000C96A0000}"/>
    <cellStyle name="Ввод  2 5 2 2 2 2 2" xfId="28414" xr:uid="{00000000-0005-0000-0000-0000CA6A0000}"/>
    <cellStyle name="Ввод  2 5 2 2 2 2_TOM TAT" xfId="25304" xr:uid="{00000000-0005-0000-0000-0000CB6A0000}"/>
    <cellStyle name="Ввод  2 5 2 2 2 3" xfId="27243" xr:uid="{00000000-0005-0000-0000-0000CC6A0000}"/>
    <cellStyle name="Ввод  2 5 2 2 2_TOM TAT" xfId="25303" xr:uid="{00000000-0005-0000-0000-0000CD6A0000}"/>
    <cellStyle name="Ввод  2 5 2 2 3" xfId="5813" xr:uid="{00000000-0005-0000-0000-0000CE6A0000}"/>
    <cellStyle name="Ввод  2 5 2 2 3 2" xfId="28415" xr:uid="{00000000-0005-0000-0000-0000CF6A0000}"/>
    <cellStyle name="Ввод  2 5 2 2 3_TOM TAT" xfId="25305" xr:uid="{00000000-0005-0000-0000-0000D06A0000}"/>
    <cellStyle name="Ввод  2 5 2 2 4" xfId="27242" xr:uid="{00000000-0005-0000-0000-0000D16A0000}"/>
    <cellStyle name="Ввод  2 5 2 2_TOM TAT" xfId="25302" xr:uid="{00000000-0005-0000-0000-0000D26A0000}"/>
    <cellStyle name="Ввод  2 5 2 3" xfId="2454" xr:uid="{00000000-0005-0000-0000-0000D36A0000}"/>
    <cellStyle name="Ввод  2 5 2 3 2" xfId="5814" xr:uid="{00000000-0005-0000-0000-0000D46A0000}"/>
    <cellStyle name="Ввод  2 5 2 3 2 2" xfId="28416" xr:uid="{00000000-0005-0000-0000-0000D56A0000}"/>
    <cellStyle name="Ввод  2 5 2 3 2_TOM TAT" xfId="25307" xr:uid="{00000000-0005-0000-0000-0000D66A0000}"/>
    <cellStyle name="Ввод  2 5 2 3 3" xfId="27244" xr:uid="{00000000-0005-0000-0000-0000D76A0000}"/>
    <cellStyle name="Ввод  2 5 2 3_TOM TAT" xfId="25306" xr:uid="{00000000-0005-0000-0000-0000D86A0000}"/>
    <cellStyle name="Ввод  2 5 2 4" xfId="2455" xr:uid="{00000000-0005-0000-0000-0000D96A0000}"/>
    <cellStyle name="Ввод  2 5 2 4 2" xfId="5815" xr:uid="{00000000-0005-0000-0000-0000DA6A0000}"/>
    <cellStyle name="Ввод  2 5 2 4 2 2" xfId="28417" xr:uid="{00000000-0005-0000-0000-0000DB6A0000}"/>
    <cellStyle name="Ввод  2 5 2 4 2_TOM TAT" xfId="25309" xr:uid="{00000000-0005-0000-0000-0000DC6A0000}"/>
    <cellStyle name="Ввод  2 5 2 4 3" xfId="27245" xr:uid="{00000000-0005-0000-0000-0000DD6A0000}"/>
    <cellStyle name="Ввод  2 5 2 4_TOM TAT" xfId="25308" xr:uid="{00000000-0005-0000-0000-0000DE6A0000}"/>
    <cellStyle name="Ввод  2 5 2 5" xfId="5816" xr:uid="{00000000-0005-0000-0000-0000DF6A0000}"/>
    <cellStyle name="Ввод  2 5 2 5 2" xfId="28418" xr:uid="{00000000-0005-0000-0000-0000E06A0000}"/>
    <cellStyle name="Ввод  2 5 2 5_TOM TAT" xfId="25310" xr:uid="{00000000-0005-0000-0000-0000E16A0000}"/>
    <cellStyle name="Ввод  2 5 2 6" xfId="27241" xr:uid="{00000000-0005-0000-0000-0000E26A0000}"/>
    <cellStyle name="Ввод  2 5 2_TOM TAT" xfId="25301" xr:uid="{00000000-0005-0000-0000-0000E36A0000}"/>
    <cellStyle name="Ввод  2 5 3" xfId="2456" xr:uid="{00000000-0005-0000-0000-0000E46A0000}"/>
    <cellStyle name="Ввод  2 5 3 2" xfId="2457" xr:uid="{00000000-0005-0000-0000-0000E56A0000}"/>
    <cellStyle name="Ввод  2 5 3 2 2" xfId="5817" xr:uid="{00000000-0005-0000-0000-0000E66A0000}"/>
    <cellStyle name="Ввод  2 5 3 2 2 2" xfId="28419" xr:uid="{00000000-0005-0000-0000-0000E76A0000}"/>
    <cellStyle name="Ввод  2 5 3 2 2_TOM TAT" xfId="25313" xr:uid="{00000000-0005-0000-0000-0000E86A0000}"/>
    <cellStyle name="Ввод  2 5 3 2 3" xfId="27247" xr:uid="{00000000-0005-0000-0000-0000E96A0000}"/>
    <cellStyle name="Ввод  2 5 3 2_TOM TAT" xfId="25312" xr:uid="{00000000-0005-0000-0000-0000EA6A0000}"/>
    <cellStyle name="Ввод  2 5 3 3" xfId="5818" xr:uid="{00000000-0005-0000-0000-0000EB6A0000}"/>
    <cellStyle name="Ввод  2 5 3 3 2" xfId="28420" xr:uid="{00000000-0005-0000-0000-0000EC6A0000}"/>
    <cellStyle name="Ввод  2 5 3 3_TOM TAT" xfId="25314" xr:uid="{00000000-0005-0000-0000-0000ED6A0000}"/>
    <cellStyle name="Ввод  2 5 3 4" xfId="27246" xr:uid="{00000000-0005-0000-0000-0000EE6A0000}"/>
    <cellStyle name="Ввод  2 5 3_TOM TAT" xfId="25311" xr:uid="{00000000-0005-0000-0000-0000EF6A0000}"/>
    <cellStyle name="Ввод  2 5 4" xfId="2458" xr:uid="{00000000-0005-0000-0000-0000F06A0000}"/>
    <cellStyle name="Ввод  2 5 4 2" xfId="2459" xr:uid="{00000000-0005-0000-0000-0000F16A0000}"/>
    <cellStyle name="Ввод  2 5 4 2 2" xfId="5819" xr:uid="{00000000-0005-0000-0000-0000F26A0000}"/>
    <cellStyle name="Ввод  2 5 4 2 2 2" xfId="28421" xr:uid="{00000000-0005-0000-0000-0000F36A0000}"/>
    <cellStyle name="Ввод  2 5 4 2 2_TOM TAT" xfId="25317" xr:uid="{00000000-0005-0000-0000-0000F46A0000}"/>
    <cellStyle name="Ввод  2 5 4 2 3" xfId="27249" xr:uid="{00000000-0005-0000-0000-0000F56A0000}"/>
    <cellStyle name="Ввод  2 5 4 2_TOM TAT" xfId="25316" xr:uid="{00000000-0005-0000-0000-0000F66A0000}"/>
    <cellStyle name="Ввод  2 5 4 3" xfId="5820" xr:uid="{00000000-0005-0000-0000-0000F76A0000}"/>
    <cellStyle name="Ввод  2 5 4 3 2" xfId="28422" xr:uid="{00000000-0005-0000-0000-0000F86A0000}"/>
    <cellStyle name="Ввод  2 5 4 3_TOM TAT" xfId="25318" xr:uid="{00000000-0005-0000-0000-0000F96A0000}"/>
    <cellStyle name="Ввод  2 5 4 4" xfId="27248" xr:uid="{00000000-0005-0000-0000-0000FA6A0000}"/>
    <cellStyle name="Ввод  2 5 4_TOM TAT" xfId="25315" xr:uid="{00000000-0005-0000-0000-0000FB6A0000}"/>
    <cellStyle name="Ввод  2 5 5" xfId="2460" xr:uid="{00000000-0005-0000-0000-0000FC6A0000}"/>
    <cellStyle name="Ввод  2 5 5 2" xfId="5821" xr:uid="{00000000-0005-0000-0000-0000FD6A0000}"/>
    <cellStyle name="Ввод  2 5 5 2 2" xfId="28423" xr:uid="{00000000-0005-0000-0000-0000FE6A0000}"/>
    <cellStyle name="Ввод  2 5 5 2_TOM TAT" xfId="25320" xr:uid="{00000000-0005-0000-0000-0000FF6A0000}"/>
    <cellStyle name="Ввод  2 5 5 3" xfId="27250" xr:uid="{00000000-0005-0000-0000-0000006B0000}"/>
    <cellStyle name="Ввод  2 5 5_TOM TAT" xfId="25319" xr:uid="{00000000-0005-0000-0000-0000016B0000}"/>
    <cellStyle name="Ввод  2 5 6" xfId="2461" xr:uid="{00000000-0005-0000-0000-0000026B0000}"/>
    <cellStyle name="Ввод  2 5 6 2" xfId="5822" xr:uid="{00000000-0005-0000-0000-0000036B0000}"/>
    <cellStyle name="Ввод  2 5 6 2 2" xfId="28424" xr:uid="{00000000-0005-0000-0000-0000046B0000}"/>
    <cellStyle name="Ввод  2 5 6 2_TOM TAT" xfId="25322" xr:uid="{00000000-0005-0000-0000-0000056B0000}"/>
    <cellStyle name="Ввод  2 5 6 3" xfId="27251" xr:uid="{00000000-0005-0000-0000-0000066B0000}"/>
    <cellStyle name="Ввод  2 5 6_TOM TAT" xfId="25321" xr:uid="{00000000-0005-0000-0000-0000076B0000}"/>
    <cellStyle name="Ввод  2 5 7" xfId="5823" xr:uid="{00000000-0005-0000-0000-0000086B0000}"/>
    <cellStyle name="Ввод  2 5 7 2" xfId="28425" xr:uid="{00000000-0005-0000-0000-0000096B0000}"/>
    <cellStyle name="Ввод  2 5 7_TOM TAT" xfId="25323" xr:uid="{00000000-0005-0000-0000-00000A6B0000}"/>
    <cellStyle name="Ввод  2 5 8" xfId="27240" xr:uid="{00000000-0005-0000-0000-00000B6B0000}"/>
    <cellStyle name="Ввод  2 5_TOM TAT" xfId="25300" xr:uid="{00000000-0005-0000-0000-00000C6B0000}"/>
    <cellStyle name="Ввод  2 6" xfId="2462" xr:uid="{00000000-0005-0000-0000-00000D6B0000}"/>
    <cellStyle name="Ввод  2 6 2" xfId="2463" xr:uid="{00000000-0005-0000-0000-00000E6B0000}"/>
    <cellStyle name="Ввод  2 6 2 2" xfId="2464" xr:uid="{00000000-0005-0000-0000-00000F6B0000}"/>
    <cellStyle name="Ввод  2 6 2 2 2" xfId="5824" xr:uid="{00000000-0005-0000-0000-0000106B0000}"/>
    <cellStyle name="Ввод  2 6 2 2 2 2" xfId="28426" xr:uid="{00000000-0005-0000-0000-0000116B0000}"/>
    <cellStyle name="Ввод  2 6 2 2 2_TOM TAT" xfId="25327" xr:uid="{00000000-0005-0000-0000-0000126B0000}"/>
    <cellStyle name="Ввод  2 6 2 2 3" xfId="27254" xr:uid="{00000000-0005-0000-0000-0000136B0000}"/>
    <cellStyle name="Ввод  2 6 2 2_TOM TAT" xfId="25326" xr:uid="{00000000-0005-0000-0000-0000146B0000}"/>
    <cellStyle name="Ввод  2 6 2 3" xfId="5825" xr:uid="{00000000-0005-0000-0000-0000156B0000}"/>
    <cellStyle name="Ввод  2 6 2 3 2" xfId="28427" xr:uid="{00000000-0005-0000-0000-0000166B0000}"/>
    <cellStyle name="Ввод  2 6 2 3_TOM TAT" xfId="25328" xr:uid="{00000000-0005-0000-0000-0000176B0000}"/>
    <cellStyle name="Ввод  2 6 2 4" xfId="27253" xr:uid="{00000000-0005-0000-0000-0000186B0000}"/>
    <cellStyle name="Ввод  2 6 2_TOM TAT" xfId="25325" xr:uid="{00000000-0005-0000-0000-0000196B0000}"/>
    <cellStyle name="Ввод  2 6 3" xfId="2465" xr:uid="{00000000-0005-0000-0000-00001A6B0000}"/>
    <cellStyle name="Ввод  2 6 3 2" xfId="5826" xr:uid="{00000000-0005-0000-0000-00001B6B0000}"/>
    <cellStyle name="Ввод  2 6 3 2 2" xfId="28428" xr:uid="{00000000-0005-0000-0000-00001C6B0000}"/>
    <cellStyle name="Ввод  2 6 3 2_TOM TAT" xfId="25330" xr:uid="{00000000-0005-0000-0000-00001D6B0000}"/>
    <cellStyle name="Ввод  2 6 3 3" xfId="27255" xr:uid="{00000000-0005-0000-0000-00001E6B0000}"/>
    <cellStyle name="Ввод  2 6 3_TOM TAT" xfId="25329" xr:uid="{00000000-0005-0000-0000-00001F6B0000}"/>
    <cellStyle name="Ввод  2 6 4" xfId="2466" xr:uid="{00000000-0005-0000-0000-0000206B0000}"/>
    <cellStyle name="Ввод  2 6 4 2" xfId="5827" xr:uid="{00000000-0005-0000-0000-0000216B0000}"/>
    <cellStyle name="Ввод  2 6 4 2 2" xfId="28429" xr:uid="{00000000-0005-0000-0000-0000226B0000}"/>
    <cellStyle name="Ввод  2 6 4 2_TOM TAT" xfId="25332" xr:uid="{00000000-0005-0000-0000-0000236B0000}"/>
    <cellStyle name="Ввод  2 6 4 3" xfId="27256" xr:uid="{00000000-0005-0000-0000-0000246B0000}"/>
    <cellStyle name="Ввод  2 6 4_TOM TAT" xfId="25331" xr:uid="{00000000-0005-0000-0000-0000256B0000}"/>
    <cellStyle name="Ввод  2 6 5" xfId="5828" xr:uid="{00000000-0005-0000-0000-0000266B0000}"/>
    <cellStyle name="Ввод  2 6 5 2" xfId="28430" xr:uid="{00000000-0005-0000-0000-0000276B0000}"/>
    <cellStyle name="Ввод  2 6 5_TOM TAT" xfId="25333" xr:uid="{00000000-0005-0000-0000-0000286B0000}"/>
    <cellStyle name="Ввод  2 6 6" xfId="27252" xr:uid="{00000000-0005-0000-0000-0000296B0000}"/>
    <cellStyle name="Ввод  2 6_TOM TAT" xfId="25324" xr:uid="{00000000-0005-0000-0000-00002A6B0000}"/>
    <cellStyle name="Ввод  2 7" xfId="2467" xr:uid="{00000000-0005-0000-0000-00002B6B0000}"/>
    <cellStyle name="Ввод  2 7 2" xfId="2468" xr:uid="{00000000-0005-0000-0000-00002C6B0000}"/>
    <cellStyle name="Ввод  2 7 2 2" xfId="5829" xr:uid="{00000000-0005-0000-0000-00002D6B0000}"/>
    <cellStyle name="Ввод  2 7 2 2 2" xfId="28431" xr:uid="{00000000-0005-0000-0000-00002E6B0000}"/>
    <cellStyle name="Ввод  2 7 2 2_TOM TAT" xfId="25336" xr:uid="{00000000-0005-0000-0000-00002F6B0000}"/>
    <cellStyle name="Ввод  2 7 2 3" xfId="27258" xr:uid="{00000000-0005-0000-0000-0000306B0000}"/>
    <cellStyle name="Ввод  2 7 2_TOM TAT" xfId="25335" xr:uid="{00000000-0005-0000-0000-0000316B0000}"/>
    <cellStyle name="Ввод  2 7 3" xfId="5830" xr:uid="{00000000-0005-0000-0000-0000326B0000}"/>
    <cellStyle name="Ввод  2 7 3 2" xfId="28432" xr:uid="{00000000-0005-0000-0000-0000336B0000}"/>
    <cellStyle name="Ввод  2 7 3_TOM TAT" xfId="25337" xr:uid="{00000000-0005-0000-0000-0000346B0000}"/>
    <cellStyle name="Ввод  2 7 4" xfId="27257" xr:uid="{00000000-0005-0000-0000-0000356B0000}"/>
    <cellStyle name="Ввод  2 7_TOM TAT" xfId="25334" xr:uid="{00000000-0005-0000-0000-0000366B0000}"/>
    <cellStyle name="Ввод  2 8" xfId="2469" xr:uid="{00000000-0005-0000-0000-0000376B0000}"/>
    <cellStyle name="Ввод  2 8 2" xfId="2470" xr:uid="{00000000-0005-0000-0000-0000386B0000}"/>
    <cellStyle name="Ввод  2 8 2 2" xfId="5831" xr:uid="{00000000-0005-0000-0000-0000396B0000}"/>
    <cellStyle name="Ввод  2 8 2 2 2" xfId="28433" xr:uid="{00000000-0005-0000-0000-00003A6B0000}"/>
    <cellStyle name="Ввод  2 8 2 2_TOM TAT" xfId="25340" xr:uid="{00000000-0005-0000-0000-00003B6B0000}"/>
    <cellStyle name="Ввод  2 8 2 3" xfId="27260" xr:uid="{00000000-0005-0000-0000-00003C6B0000}"/>
    <cellStyle name="Ввод  2 8 2_TOM TAT" xfId="25339" xr:uid="{00000000-0005-0000-0000-00003D6B0000}"/>
    <cellStyle name="Ввод  2 8 3" xfId="5832" xr:uid="{00000000-0005-0000-0000-00003E6B0000}"/>
    <cellStyle name="Ввод  2 8 3 2" xfId="28434" xr:uid="{00000000-0005-0000-0000-00003F6B0000}"/>
    <cellStyle name="Ввод  2 8 3_TOM TAT" xfId="25341" xr:uid="{00000000-0005-0000-0000-0000406B0000}"/>
    <cellStyle name="Ввод  2 8 4" xfId="27259" xr:uid="{00000000-0005-0000-0000-0000416B0000}"/>
    <cellStyle name="Ввод  2 8_TOM TAT" xfId="25338" xr:uid="{00000000-0005-0000-0000-0000426B0000}"/>
    <cellStyle name="Ввод  2 9" xfId="2471" xr:uid="{00000000-0005-0000-0000-0000436B0000}"/>
    <cellStyle name="Ввод  2 9 2" xfId="5833" xr:uid="{00000000-0005-0000-0000-0000446B0000}"/>
    <cellStyle name="Ввод  2 9 2 2" xfId="28435" xr:uid="{00000000-0005-0000-0000-0000456B0000}"/>
    <cellStyle name="Ввод  2 9 2_TOM TAT" xfId="25343" xr:uid="{00000000-0005-0000-0000-0000466B0000}"/>
    <cellStyle name="Ввод  2 9 3" xfId="27261" xr:uid="{00000000-0005-0000-0000-0000476B0000}"/>
    <cellStyle name="Ввод  2 9_TOM TAT" xfId="25342" xr:uid="{00000000-0005-0000-0000-0000486B0000}"/>
    <cellStyle name="Ввод  2_TOM TAT" xfId="25152" xr:uid="{00000000-0005-0000-0000-0000496B0000}"/>
    <cellStyle name="Ввод  3" xfId="2472" xr:uid="{00000000-0005-0000-0000-00004A6B0000}"/>
    <cellStyle name="Ввод  3 10" xfId="2473" xr:uid="{00000000-0005-0000-0000-00004B6B0000}"/>
    <cellStyle name="Ввод  3 10 2" xfId="5834" xr:uid="{00000000-0005-0000-0000-00004C6B0000}"/>
    <cellStyle name="Ввод  3 10 2 2" xfId="28436" xr:uid="{00000000-0005-0000-0000-00004D6B0000}"/>
    <cellStyle name="Ввод  3 10 2_TOM TAT" xfId="25346" xr:uid="{00000000-0005-0000-0000-00004E6B0000}"/>
    <cellStyle name="Ввод  3 10 3" xfId="27263" xr:uid="{00000000-0005-0000-0000-00004F6B0000}"/>
    <cellStyle name="Ввод  3 10_TOM TAT" xfId="25345" xr:uid="{00000000-0005-0000-0000-0000506B0000}"/>
    <cellStyle name="Ввод  3 11" xfId="5835" xr:uid="{00000000-0005-0000-0000-0000516B0000}"/>
    <cellStyle name="Ввод  3 11 2" xfId="28437" xr:uid="{00000000-0005-0000-0000-0000526B0000}"/>
    <cellStyle name="Ввод  3 11_TOM TAT" xfId="25347" xr:uid="{00000000-0005-0000-0000-0000536B0000}"/>
    <cellStyle name="Ввод  3 12" xfId="27262" xr:uid="{00000000-0005-0000-0000-0000546B0000}"/>
    <cellStyle name="Ввод  3 2" xfId="2474" xr:uid="{00000000-0005-0000-0000-0000556B0000}"/>
    <cellStyle name="Ввод  3 2 10" xfId="27264" xr:uid="{00000000-0005-0000-0000-0000566B0000}"/>
    <cellStyle name="Ввод  3 2 2" xfId="2475" xr:uid="{00000000-0005-0000-0000-0000576B0000}"/>
    <cellStyle name="Ввод  3 2 2 2" xfId="2476" xr:uid="{00000000-0005-0000-0000-0000586B0000}"/>
    <cellStyle name="Ввод  3 2 2 2 2" xfId="2477" xr:uid="{00000000-0005-0000-0000-0000596B0000}"/>
    <cellStyle name="Ввод  3 2 2 2 2 2" xfId="2478" xr:uid="{00000000-0005-0000-0000-00005A6B0000}"/>
    <cellStyle name="Ввод  3 2 2 2 2 2 2" xfId="5836" xr:uid="{00000000-0005-0000-0000-00005B6B0000}"/>
    <cellStyle name="Ввод  3 2 2 2 2 2 2 2" xfId="28438" xr:uid="{00000000-0005-0000-0000-00005C6B0000}"/>
    <cellStyle name="Ввод  3 2 2 2 2 2 2_TOM TAT" xfId="25353" xr:uid="{00000000-0005-0000-0000-00005D6B0000}"/>
    <cellStyle name="Ввод  3 2 2 2 2 2 3" xfId="27268" xr:uid="{00000000-0005-0000-0000-00005E6B0000}"/>
    <cellStyle name="Ввод  3 2 2 2 2 2_TOM TAT" xfId="25352" xr:uid="{00000000-0005-0000-0000-00005F6B0000}"/>
    <cellStyle name="Ввод  3 2 2 2 2 3" xfId="5837" xr:uid="{00000000-0005-0000-0000-0000606B0000}"/>
    <cellStyle name="Ввод  3 2 2 2 2 3 2" xfId="28439" xr:uid="{00000000-0005-0000-0000-0000616B0000}"/>
    <cellStyle name="Ввод  3 2 2 2 2 3_TOM TAT" xfId="25354" xr:uid="{00000000-0005-0000-0000-0000626B0000}"/>
    <cellStyle name="Ввод  3 2 2 2 2 4" xfId="27267" xr:uid="{00000000-0005-0000-0000-0000636B0000}"/>
    <cellStyle name="Ввод  3 2 2 2 2_TOM TAT" xfId="25351" xr:uid="{00000000-0005-0000-0000-0000646B0000}"/>
    <cellStyle name="Ввод  3 2 2 2 3" xfId="2479" xr:uid="{00000000-0005-0000-0000-0000656B0000}"/>
    <cellStyle name="Ввод  3 2 2 2 3 2" xfId="5838" xr:uid="{00000000-0005-0000-0000-0000666B0000}"/>
    <cellStyle name="Ввод  3 2 2 2 3 2 2" xfId="28440" xr:uid="{00000000-0005-0000-0000-0000676B0000}"/>
    <cellStyle name="Ввод  3 2 2 2 3 2_TOM TAT" xfId="25356" xr:uid="{00000000-0005-0000-0000-0000686B0000}"/>
    <cellStyle name="Ввод  3 2 2 2 3 3" xfId="27269" xr:uid="{00000000-0005-0000-0000-0000696B0000}"/>
    <cellStyle name="Ввод  3 2 2 2 3_TOM TAT" xfId="25355" xr:uid="{00000000-0005-0000-0000-00006A6B0000}"/>
    <cellStyle name="Ввод  3 2 2 2 4" xfId="2480" xr:uid="{00000000-0005-0000-0000-00006B6B0000}"/>
    <cellStyle name="Ввод  3 2 2 2 4 2" xfId="5839" xr:uid="{00000000-0005-0000-0000-00006C6B0000}"/>
    <cellStyle name="Ввод  3 2 2 2 4 2 2" xfId="28441" xr:uid="{00000000-0005-0000-0000-00006D6B0000}"/>
    <cellStyle name="Ввод  3 2 2 2 4 2_TOM TAT" xfId="25358" xr:uid="{00000000-0005-0000-0000-00006E6B0000}"/>
    <cellStyle name="Ввод  3 2 2 2 4 3" xfId="27270" xr:uid="{00000000-0005-0000-0000-00006F6B0000}"/>
    <cellStyle name="Ввод  3 2 2 2 4_TOM TAT" xfId="25357" xr:uid="{00000000-0005-0000-0000-0000706B0000}"/>
    <cellStyle name="Ввод  3 2 2 2 5" xfId="5840" xr:uid="{00000000-0005-0000-0000-0000716B0000}"/>
    <cellStyle name="Ввод  3 2 2 2 5 2" xfId="28442" xr:uid="{00000000-0005-0000-0000-0000726B0000}"/>
    <cellStyle name="Ввод  3 2 2 2 5_TOM TAT" xfId="25359" xr:uid="{00000000-0005-0000-0000-0000736B0000}"/>
    <cellStyle name="Ввод  3 2 2 2 6" xfId="27266" xr:uid="{00000000-0005-0000-0000-0000746B0000}"/>
    <cellStyle name="Ввод  3 2 2 2_TOM TAT" xfId="25350" xr:uid="{00000000-0005-0000-0000-0000756B0000}"/>
    <cellStyle name="Ввод  3 2 2 3" xfId="2481" xr:uid="{00000000-0005-0000-0000-0000766B0000}"/>
    <cellStyle name="Ввод  3 2 2 3 2" xfId="2482" xr:uid="{00000000-0005-0000-0000-0000776B0000}"/>
    <cellStyle name="Ввод  3 2 2 3 2 2" xfId="5841" xr:uid="{00000000-0005-0000-0000-0000786B0000}"/>
    <cellStyle name="Ввод  3 2 2 3 2 2 2" xfId="28443" xr:uid="{00000000-0005-0000-0000-0000796B0000}"/>
    <cellStyle name="Ввод  3 2 2 3 2 2_TOM TAT" xfId="25362" xr:uid="{00000000-0005-0000-0000-00007A6B0000}"/>
    <cellStyle name="Ввод  3 2 2 3 2 3" xfId="27272" xr:uid="{00000000-0005-0000-0000-00007B6B0000}"/>
    <cellStyle name="Ввод  3 2 2 3 2_TOM TAT" xfId="25361" xr:uid="{00000000-0005-0000-0000-00007C6B0000}"/>
    <cellStyle name="Ввод  3 2 2 3 3" xfId="5842" xr:uid="{00000000-0005-0000-0000-00007D6B0000}"/>
    <cellStyle name="Ввод  3 2 2 3 3 2" xfId="28444" xr:uid="{00000000-0005-0000-0000-00007E6B0000}"/>
    <cellStyle name="Ввод  3 2 2 3 3_TOM TAT" xfId="25363" xr:uid="{00000000-0005-0000-0000-00007F6B0000}"/>
    <cellStyle name="Ввод  3 2 2 3 4" xfId="27271" xr:uid="{00000000-0005-0000-0000-0000806B0000}"/>
    <cellStyle name="Ввод  3 2 2 3_TOM TAT" xfId="25360" xr:uid="{00000000-0005-0000-0000-0000816B0000}"/>
    <cellStyle name="Ввод  3 2 2 4" xfId="2483" xr:uid="{00000000-0005-0000-0000-0000826B0000}"/>
    <cellStyle name="Ввод  3 2 2 4 2" xfId="2484" xr:uid="{00000000-0005-0000-0000-0000836B0000}"/>
    <cellStyle name="Ввод  3 2 2 4 2 2" xfId="5843" xr:uid="{00000000-0005-0000-0000-0000846B0000}"/>
    <cellStyle name="Ввод  3 2 2 4 2 2 2" xfId="28445" xr:uid="{00000000-0005-0000-0000-0000856B0000}"/>
    <cellStyle name="Ввод  3 2 2 4 2 2_TOM TAT" xfId="25366" xr:uid="{00000000-0005-0000-0000-0000866B0000}"/>
    <cellStyle name="Ввод  3 2 2 4 2 3" xfId="27274" xr:uid="{00000000-0005-0000-0000-0000876B0000}"/>
    <cellStyle name="Ввод  3 2 2 4 2_TOM TAT" xfId="25365" xr:uid="{00000000-0005-0000-0000-0000886B0000}"/>
    <cellStyle name="Ввод  3 2 2 4 3" xfId="5844" xr:uid="{00000000-0005-0000-0000-0000896B0000}"/>
    <cellStyle name="Ввод  3 2 2 4 3 2" xfId="28446" xr:uid="{00000000-0005-0000-0000-00008A6B0000}"/>
    <cellStyle name="Ввод  3 2 2 4 3_TOM TAT" xfId="25367" xr:uid="{00000000-0005-0000-0000-00008B6B0000}"/>
    <cellStyle name="Ввод  3 2 2 4 4" xfId="27273" xr:uid="{00000000-0005-0000-0000-00008C6B0000}"/>
    <cellStyle name="Ввод  3 2 2 4_TOM TAT" xfId="25364" xr:uid="{00000000-0005-0000-0000-00008D6B0000}"/>
    <cellStyle name="Ввод  3 2 2 5" xfId="2485" xr:uid="{00000000-0005-0000-0000-00008E6B0000}"/>
    <cellStyle name="Ввод  3 2 2 5 2" xfId="5845" xr:uid="{00000000-0005-0000-0000-00008F6B0000}"/>
    <cellStyle name="Ввод  3 2 2 5 2 2" xfId="28447" xr:uid="{00000000-0005-0000-0000-0000906B0000}"/>
    <cellStyle name="Ввод  3 2 2 5 2_TOM TAT" xfId="25369" xr:uid="{00000000-0005-0000-0000-0000916B0000}"/>
    <cellStyle name="Ввод  3 2 2 5 3" xfId="27275" xr:uid="{00000000-0005-0000-0000-0000926B0000}"/>
    <cellStyle name="Ввод  3 2 2 5_TOM TAT" xfId="25368" xr:uid="{00000000-0005-0000-0000-0000936B0000}"/>
    <cellStyle name="Ввод  3 2 2 6" xfId="2486" xr:uid="{00000000-0005-0000-0000-0000946B0000}"/>
    <cellStyle name="Ввод  3 2 2 6 2" xfId="5846" xr:uid="{00000000-0005-0000-0000-0000956B0000}"/>
    <cellStyle name="Ввод  3 2 2 6 2 2" xfId="28448" xr:uid="{00000000-0005-0000-0000-0000966B0000}"/>
    <cellStyle name="Ввод  3 2 2 6 2_TOM TAT" xfId="25371" xr:uid="{00000000-0005-0000-0000-0000976B0000}"/>
    <cellStyle name="Ввод  3 2 2 6 3" xfId="27276" xr:uid="{00000000-0005-0000-0000-0000986B0000}"/>
    <cellStyle name="Ввод  3 2 2 6_TOM TAT" xfId="25370" xr:uid="{00000000-0005-0000-0000-0000996B0000}"/>
    <cellStyle name="Ввод  3 2 2 7" xfId="5847" xr:uid="{00000000-0005-0000-0000-00009A6B0000}"/>
    <cellStyle name="Ввод  3 2 2 7 2" xfId="28449" xr:uid="{00000000-0005-0000-0000-00009B6B0000}"/>
    <cellStyle name="Ввод  3 2 2 7_TOM TAT" xfId="25372" xr:uid="{00000000-0005-0000-0000-00009C6B0000}"/>
    <cellStyle name="Ввод  3 2 2 8" xfId="27265" xr:uid="{00000000-0005-0000-0000-00009D6B0000}"/>
    <cellStyle name="Ввод  3 2 2_TOM TAT" xfId="25349" xr:uid="{00000000-0005-0000-0000-00009E6B0000}"/>
    <cellStyle name="Ввод  3 2 3" xfId="2487" xr:uid="{00000000-0005-0000-0000-00009F6B0000}"/>
    <cellStyle name="Ввод  3 2 3 2" xfId="2488" xr:uid="{00000000-0005-0000-0000-0000A06B0000}"/>
    <cellStyle name="Ввод  3 2 3 2 2" xfId="2489" xr:uid="{00000000-0005-0000-0000-0000A16B0000}"/>
    <cellStyle name="Ввод  3 2 3 2 2 2" xfId="2490" xr:uid="{00000000-0005-0000-0000-0000A26B0000}"/>
    <cellStyle name="Ввод  3 2 3 2 2 2 2" xfId="5848" xr:uid="{00000000-0005-0000-0000-0000A36B0000}"/>
    <cellStyle name="Ввод  3 2 3 2 2 2 2 2" xfId="28450" xr:uid="{00000000-0005-0000-0000-0000A46B0000}"/>
    <cellStyle name="Ввод  3 2 3 2 2 2 2_TOM TAT" xfId="25377" xr:uid="{00000000-0005-0000-0000-0000A56B0000}"/>
    <cellStyle name="Ввод  3 2 3 2 2 2 3" xfId="27280" xr:uid="{00000000-0005-0000-0000-0000A66B0000}"/>
    <cellStyle name="Ввод  3 2 3 2 2 2_TOM TAT" xfId="25376" xr:uid="{00000000-0005-0000-0000-0000A76B0000}"/>
    <cellStyle name="Ввод  3 2 3 2 2 3" xfId="5849" xr:uid="{00000000-0005-0000-0000-0000A86B0000}"/>
    <cellStyle name="Ввод  3 2 3 2 2 3 2" xfId="28451" xr:uid="{00000000-0005-0000-0000-0000A96B0000}"/>
    <cellStyle name="Ввод  3 2 3 2 2 3_TOM TAT" xfId="25378" xr:uid="{00000000-0005-0000-0000-0000AA6B0000}"/>
    <cellStyle name="Ввод  3 2 3 2 2 4" xfId="27279" xr:uid="{00000000-0005-0000-0000-0000AB6B0000}"/>
    <cellStyle name="Ввод  3 2 3 2 2_TOM TAT" xfId="25375" xr:uid="{00000000-0005-0000-0000-0000AC6B0000}"/>
    <cellStyle name="Ввод  3 2 3 2 3" xfId="2491" xr:uid="{00000000-0005-0000-0000-0000AD6B0000}"/>
    <cellStyle name="Ввод  3 2 3 2 3 2" xfId="5850" xr:uid="{00000000-0005-0000-0000-0000AE6B0000}"/>
    <cellStyle name="Ввод  3 2 3 2 3 2 2" xfId="28452" xr:uid="{00000000-0005-0000-0000-0000AF6B0000}"/>
    <cellStyle name="Ввод  3 2 3 2 3 2_TOM TAT" xfId="25380" xr:uid="{00000000-0005-0000-0000-0000B06B0000}"/>
    <cellStyle name="Ввод  3 2 3 2 3 3" xfId="27281" xr:uid="{00000000-0005-0000-0000-0000B16B0000}"/>
    <cellStyle name="Ввод  3 2 3 2 3_TOM TAT" xfId="25379" xr:uid="{00000000-0005-0000-0000-0000B26B0000}"/>
    <cellStyle name="Ввод  3 2 3 2 4" xfId="2492" xr:uid="{00000000-0005-0000-0000-0000B36B0000}"/>
    <cellStyle name="Ввод  3 2 3 2 4 2" xfId="5851" xr:uid="{00000000-0005-0000-0000-0000B46B0000}"/>
    <cellStyle name="Ввод  3 2 3 2 4 2 2" xfId="28453" xr:uid="{00000000-0005-0000-0000-0000B56B0000}"/>
    <cellStyle name="Ввод  3 2 3 2 4 2_TOM TAT" xfId="25382" xr:uid="{00000000-0005-0000-0000-0000B66B0000}"/>
    <cellStyle name="Ввод  3 2 3 2 4 3" xfId="27282" xr:uid="{00000000-0005-0000-0000-0000B76B0000}"/>
    <cellStyle name="Ввод  3 2 3 2 4_TOM TAT" xfId="25381" xr:uid="{00000000-0005-0000-0000-0000B86B0000}"/>
    <cellStyle name="Ввод  3 2 3 2 5" xfId="5852" xr:uid="{00000000-0005-0000-0000-0000B96B0000}"/>
    <cellStyle name="Ввод  3 2 3 2 5 2" xfId="28454" xr:uid="{00000000-0005-0000-0000-0000BA6B0000}"/>
    <cellStyle name="Ввод  3 2 3 2 5_TOM TAT" xfId="25383" xr:uid="{00000000-0005-0000-0000-0000BB6B0000}"/>
    <cellStyle name="Ввод  3 2 3 2 6" xfId="27278" xr:uid="{00000000-0005-0000-0000-0000BC6B0000}"/>
    <cellStyle name="Ввод  3 2 3 2_TOM TAT" xfId="25374" xr:uid="{00000000-0005-0000-0000-0000BD6B0000}"/>
    <cellStyle name="Ввод  3 2 3 3" xfId="2493" xr:uid="{00000000-0005-0000-0000-0000BE6B0000}"/>
    <cellStyle name="Ввод  3 2 3 3 2" xfId="2494" xr:uid="{00000000-0005-0000-0000-0000BF6B0000}"/>
    <cellStyle name="Ввод  3 2 3 3 2 2" xfId="5853" xr:uid="{00000000-0005-0000-0000-0000C06B0000}"/>
    <cellStyle name="Ввод  3 2 3 3 2 2 2" xfId="28455" xr:uid="{00000000-0005-0000-0000-0000C16B0000}"/>
    <cellStyle name="Ввод  3 2 3 3 2 2_TOM TAT" xfId="25386" xr:uid="{00000000-0005-0000-0000-0000C26B0000}"/>
    <cellStyle name="Ввод  3 2 3 3 2 3" xfId="27284" xr:uid="{00000000-0005-0000-0000-0000C36B0000}"/>
    <cellStyle name="Ввод  3 2 3 3 2_TOM TAT" xfId="25385" xr:uid="{00000000-0005-0000-0000-0000C46B0000}"/>
    <cellStyle name="Ввод  3 2 3 3 3" xfId="5854" xr:uid="{00000000-0005-0000-0000-0000C56B0000}"/>
    <cellStyle name="Ввод  3 2 3 3 3 2" xfId="28456" xr:uid="{00000000-0005-0000-0000-0000C66B0000}"/>
    <cellStyle name="Ввод  3 2 3 3 3_TOM TAT" xfId="25387" xr:uid="{00000000-0005-0000-0000-0000C76B0000}"/>
    <cellStyle name="Ввод  3 2 3 3 4" xfId="27283" xr:uid="{00000000-0005-0000-0000-0000C86B0000}"/>
    <cellStyle name="Ввод  3 2 3 3_TOM TAT" xfId="25384" xr:uid="{00000000-0005-0000-0000-0000C96B0000}"/>
    <cellStyle name="Ввод  3 2 3 4" xfId="2495" xr:uid="{00000000-0005-0000-0000-0000CA6B0000}"/>
    <cellStyle name="Ввод  3 2 3 4 2" xfId="2496" xr:uid="{00000000-0005-0000-0000-0000CB6B0000}"/>
    <cellStyle name="Ввод  3 2 3 4 2 2" xfId="5855" xr:uid="{00000000-0005-0000-0000-0000CC6B0000}"/>
    <cellStyle name="Ввод  3 2 3 4 2 2 2" xfId="28457" xr:uid="{00000000-0005-0000-0000-0000CD6B0000}"/>
    <cellStyle name="Ввод  3 2 3 4 2 2_TOM TAT" xfId="25390" xr:uid="{00000000-0005-0000-0000-0000CE6B0000}"/>
    <cellStyle name="Ввод  3 2 3 4 2 3" xfId="27286" xr:uid="{00000000-0005-0000-0000-0000CF6B0000}"/>
    <cellStyle name="Ввод  3 2 3 4 2_TOM TAT" xfId="25389" xr:uid="{00000000-0005-0000-0000-0000D06B0000}"/>
    <cellStyle name="Ввод  3 2 3 4 3" xfId="5856" xr:uid="{00000000-0005-0000-0000-0000D16B0000}"/>
    <cellStyle name="Ввод  3 2 3 4 3 2" xfId="28458" xr:uid="{00000000-0005-0000-0000-0000D26B0000}"/>
    <cellStyle name="Ввод  3 2 3 4 3_TOM TAT" xfId="25391" xr:uid="{00000000-0005-0000-0000-0000D36B0000}"/>
    <cellStyle name="Ввод  3 2 3 4 4" xfId="27285" xr:uid="{00000000-0005-0000-0000-0000D46B0000}"/>
    <cellStyle name="Ввод  3 2 3 4_TOM TAT" xfId="25388" xr:uid="{00000000-0005-0000-0000-0000D56B0000}"/>
    <cellStyle name="Ввод  3 2 3 5" xfId="2497" xr:uid="{00000000-0005-0000-0000-0000D66B0000}"/>
    <cellStyle name="Ввод  3 2 3 5 2" xfId="5857" xr:uid="{00000000-0005-0000-0000-0000D76B0000}"/>
    <cellStyle name="Ввод  3 2 3 5 2 2" xfId="28459" xr:uid="{00000000-0005-0000-0000-0000D86B0000}"/>
    <cellStyle name="Ввод  3 2 3 5 2_TOM TAT" xfId="25393" xr:uid="{00000000-0005-0000-0000-0000D96B0000}"/>
    <cellStyle name="Ввод  3 2 3 5 3" xfId="27287" xr:uid="{00000000-0005-0000-0000-0000DA6B0000}"/>
    <cellStyle name="Ввод  3 2 3 5_TOM TAT" xfId="25392" xr:uid="{00000000-0005-0000-0000-0000DB6B0000}"/>
    <cellStyle name="Ввод  3 2 3 6" xfId="2498" xr:uid="{00000000-0005-0000-0000-0000DC6B0000}"/>
    <cellStyle name="Ввод  3 2 3 6 2" xfId="5858" xr:uid="{00000000-0005-0000-0000-0000DD6B0000}"/>
    <cellStyle name="Ввод  3 2 3 6 2 2" xfId="28460" xr:uid="{00000000-0005-0000-0000-0000DE6B0000}"/>
    <cellStyle name="Ввод  3 2 3 6 2_TOM TAT" xfId="25395" xr:uid="{00000000-0005-0000-0000-0000DF6B0000}"/>
    <cellStyle name="Ввод  3 2 3 6 3" xfId="27288" xr:uid="{00000000-0005-0000-0000-0000E06B0000}"/>
    <cellStyle name="Ввод  3 2 3 6_TOM TAT" xfId="25394" xr:uid="{00000000-0005-0000-0000-0000E16B0000}"/>
    <cellStyle name="Ввод  3 2 3 7" xfId="5859" xr:uid="{00000000-0005-0000-0000-0000E26B0000}"/>
    <cellStyle name="Ввод  3 2 3 7 2" xfId="28461" xr:uid="{00000000-0005-0000-0000-0000E36B0000}"/>
    <cellStyle name="Ввод  3 2 3 7_TOM TAT" xfId="25396" xr:uid="{00000000-0005-0000-0000-0000E46B0000}"/>
    <cellStyle name="Ввод  3 2 3 8" xfId="27277" xr:uid="{00000000-0005-0000-0000-0000E56B0000}"/>
    <cellStyle name="Ввод  3 2 3_TOM TAT" xfId="25373" xr:uid="{00000000-0005-0000-0000-0000E66B0000}"/>
    <cellStyle name="Ввод  3 2 4" xfId="2499" xr:uid="{00000000-0005-0000-0000-0000E76B0000}"/>
    <cellStyle name="Ввод  3 2 4 2" xfId="2500" xr:uid="{00000000-0005-0000-0000-0000E86B0000}"/>
    <cellStyle name="Ввод  3 2 4 2 2" xfId="2501" xr:uid="{00000000-0005-0000-0000-0000E96B0000}"/>
    <cellStyle name="Ввод  3 2 4 2 2 2" xfId="5860" xr:uid="{00000000-0005-0000-0000-0000EA6B0000}"/>
    <cellStyle name="Ввод  3 2 4 2 2 2 2" xfId="28462" xr:uid="{00000000-0005-0000-0000-0000EB6B0000}"/>
    <cellStyle name="Ввод  3 2 4 2 2 2_TOM TAT" xfId="25400" xr:uid="{00000000-0005-0000-0000-0000EC6B0000}"/>
    <cellStyle name="Ввод  3 2 4 2 2 3" xfId="27291" xr:uid="{00000000-0005-0000-0000-0000ED6B0000}"/>
    <cellStyle name="Ввод  3 2 4 2 2_TOM TAT" xfId="25399" xr:uid="{00000000-0005-0000-0000-0000EE6B0000}"/>
    <cellStyle name="Ввод  3 2 4 2 3" xfId="5861" xr:uid="{00000000-0005-0000-0000-0000EF6B0000}"/>
    <cellStyle name="Ввод  3 2 4 2 3 2" xfId="28463" xr:uid="{00000000-0005-0000-0000-0000F06B0000}"/>
    <cellStyle name="Ввод  3 2 4 2 3_TOM TAT" xfId="25401" xr:uid="{00000000-0005-0000-0000-0000F16B0000}"/>
    <cellStyle name="Ввод  3 2 4 2 4" xfId="27290" xr:uid="{00000000-0005-0000-0000-0000F26B0000}"/>
    <cellStyle name="Ввод  3 2 4 2_TOM TAT" xfId="25398" xr:uid="{00000000-0005-0000-0000-0000F36B0000}"/>
    <cellStyle name="Ввод  3 2 4 3" xfId="2502" xr:uid="{00000000-0005-0000-0000-0000F46B0000}"/>
    <cellStyle name="Ввод  3 2 4 3 2" xfId="5862" xr:uid="{00000000-0005-0000-0000-0000F56B0000}"/>
    <cellStyle name="Ввод  3 2 4 3 2 2" xfId="28464" xr:uid="{00000000-0005-0000-0000-0000F66B0000}"/>
    <cellStyle name="Ввод  3 2 4 3 2_TOM TAT" xfId="25403" xr:uid="{00000000-0005-0000-0000-0000F76B0000}"/>
    <cellStyle name="Ввод  3 2 4 3 3" xfId="27292" xr:uid="{00000000-0005-0000-0000-0000F86B0000}"/>
    <cellStyle name="Ввод  3 2 4 3_TOM TAT" xfId="25402" xr:uid="{00000000-0005-0000-0000-0000F96B0000}"/>
    <cellStyle name="Ввод  3 2 4 4" xfId="2503" xr:uid="{00000000-0005-0000-0000-0000FA6B0000}"/>
    <cellStyle name="Ввод  3 2 4 4 2" xfId="5863" xr:uid="{00000000-0005-0000-0000-0000FB6B0000}"/>
    <cellStyle name="Ввод  3 2 4 4 2 2" xfId="28465" xr:uid="{00000000-0005-0000-0000-0000FC6B0000}"/>
    <cellStyle name="Ввод  3 2 4 4 2_TOM TAT" xfId="25405" xr:uid="{00000000-0005-0000-0000-0000FD6B0000}"/>
    <cellStyle name="Ввод  3 2 4 4 3" xfId="27293" xr:uid="{00000000-0005-0000-0000-0000FE6B0000}"/>
    <cellStyle name="Ввод  3 2 4 4_TOM TAT" xfId="25404" xr:uid="{00000000-0005-0000-0000-0000FF6B0000}"/>
    <cellStyle name="Ввод  3 2 4 5" xfId="5864" xr:uid="{00000000-0005-0000-0000-0000006C0000}"/>
    <cellStyle name="Ввод  3 2 4 5 2" xfId="28466" xr:uid="{00000000-0005-0000-0000-0000016C0000}"/>
    <cellStyle name="Ввод  3 2 4 5_TOM TAT" xfId="25406" xr:uid="{00000000-0005-0000-0000-0000026C0000}"/>
    <cellStyle name="Ввод  3 2 4 6" xfId="27289" xr:uid="{00000000-0005-0000-0000-0000036C0000}"/>
    <cellStyle name="Ввод  3 2 4_TOM TAT" xfId="25397" xr:uid="{00000000-0005-0000-0000-0000046C0000}"/>
    <cellStyle name="Ввод  3 2 5" xfId="2504" xr:uid="{00000000-0005-0000-0000-0000056C0000}"/>
    <cellStyle name="Ввод  3 2 5 2" xfId="2505" xr:uid="{00000000-0005-0000-0000-0000066C0000}"/>
    <cellStyle name="Ввод  3 2 5 2 2" xfId="5865" xr:uid="{00000000-0005-0000-0000-0000076C0000}"/>
    <cellStyle name="Ввод  3 2 5 2 2 2" xfId="28467" xr:uid="{00000000-0005-0000-0000-0000086C0000}"/>
    <cellStyle name="Ввод  3 2 5 2 2_TOM TAT" xfId="25409" xr:uid="{00000000-0005-0000-0000-0000096C0000}"/>
    <cellStyle name="Ввод  3 2 5 2 3" xfId="27295" xr:uid="{00000000-0005-0000-0000-00000A6C0000}"/>
    <cellStyle name="Ввод  3 2 5 2_TOM TAT" xfId="25408" xr:uid="{00000000-0005-0000-0000-00000B6C0000}"/>
    <cellStyle name="Ввод  3 2 5 3" xfId="5866" xr:uid="{00000000-0005-0000-0000-00000C6C0000}"/>
    <cellStyle name="Ввод  3 2 5 3 2" xfId="28468" xr:uid="{00000000-0005-0000-0000-00000D6C0000}"/>
    <cellStyle name="Ввод  3 2 5 3_TOM TAT" xfId="25410" xr:uid="{00000000-0005-0000-0000-00000E6C0000}"/>
    <cellStyle name="Ввод  3 2 5 4" xfId="27294" xr:uid="{00000000-0005-0000-0000-00000F6C0000}"/>
    <cellStyle name="Ввод  3 2 5_TOM TAT" xfId="25407" xr:uid="{00000000-0005-0000-0000-0000106C0000}"/>
    <cellStyle name="Ввод  3 2 6" xfId="2506" xr:uid="{00000000-0005-0000-0000-0000116C0000}"/>
    <cellStyle name="Ввод  3 2 6 2" xfId="2507" xr:uid="{00000000-0005-0000-0000-0000126C0000}"/>
    <cellStyle name="Ввод  3 2 6 2 2" xfId="5867" xr:uid="{00000000-0005-0000-0000-0000136C0000}"/>
    <cellStyle name="Ввод  3 2 6 2 2 2" xfId="28469" xr:uid="{00000000-0005-0000-0000-0000146C0000}"/>
    <cellStyle name="Ввод  3 2 6 2 2_TOM TAT" xfId="25413" xr:uid="{00000000-0005-0000-0000-0000156C0000}"/>
    <cellStyle name="Ввод  3 2 6 2 3" xfId="27297" xr:uid="{00000000-0005-0000-0000-0000166C0000}"/>
    <cellStyle name="Ввод  3 2 6 2_TOM TAT" xfId="25412" xr:uid="{00000000-0005-0000-0000-0000176C0000}"/>
    <cellStyle name="Ввод  3 2 6 3" xfId="5868" xr:uid="{00000000-0005-0000-0000-0000186C0000}"/>
    <cellStyle name="Ввод  3 2 6 3 2" xfId="28470" xr:uid="{00000000-0005-0000-0000-0000196C0000}"/>
    <cellStyle name="Ввод  3 2 6 3_TOM TAT" xfId="25414" xr:uid="{00000000-0005-0000-0000-00001A6C0000}"/>
    <cellStyle name="Ввод  3 2 6 4" xfId="27296" xr:uid="{00000000-0005-0000-0000-00001B6C0000}"/>
    <cellStyle name="Ввод  3 2 6_TOM TAT" xfId="25411" xr:uid="{00000000-0005-0000-0000-00001C6C0000}"/>
    <cellStyle name="Ввод  3 2 7" xfId="2508" xr:uid="{00000000-0005-0000-0000-00001D6C0000}"/>
    <cellStyle name="Ввод  3 2 7 2" xfId="5869" xr:uid="{00000000-0005-0000-0000-00001E6C0000}"/>
    <cellStyle name="Ввод  3 2 7 2 2" xfId="28471" xr:uid="{00000000-0005-0000-0000-00001F6C0000}"/>
    <cellStyle name="Ввод  3 2 7 2_TOM TAT" xfId="25416" xr:uid="{00000000-0005-0000-0000-0000206C0000}"/>
    <cellStyle name="Ввод  3 2 7 3" xfId="27298" xr:uid="{00000000-0005-0000-0000-0000216C0000}"/>
    <cellStyle name="Ввод  3 2 7_TOM TAT" xfId="25415" xr:uid="{00000000-0005-0000-0000-0000226C0000}"/>
    <cellStyle name="Ввод  3 2 8" xfId="2509" xr:uid="{00000000-0005-0000-0000-0000236C0000}"/>
    <cellStyle name="Ввод  3 2 8 2" xfId="5870" xr:uid="{00000000-0005-0000-0000-0000246C0000}"/>
    <cellStyle name="Ввод  3 2 8 2 2" xfId="28472" xr:uid="{00000000-0005-0000-0000-0000256C0000}"/>
    <cellStyle name="Ввод  3 2 8 2_TOM TAT" xfId="25418" xr:uid="{00000000-0005-0000-0000-0000266C0000}"/>
    <cellStyle name="Ввод  3 2 8 3" xfId="27299" xr:uid="{00000000-0005-0000-0000-0000276C0000}"/>
    <cellStyle name="Ввод  3 2 8_TOM TAT" xfId="25417" xr:uid="{00000000-0005-0000-0000-0000286C0000}"/>
    <cellStyle name="Ввод  3 2 9" xfId="5871" xr:uid="{00000000-0005-0000-0000-0000296C0000}"/>
    <cellStyle name="Ввод  3 2 9 2" xfId="28473" xr:uid="{00000000-0005-0000-0000-00002A6C0000}"/>
    <cellStyle name="Ввод  3 2 9_TOM TAT" xfId="25419" xr:uid="{00000000-0005-0000-0000-00002B6C0000}"/>
    <cellStyle name="Ввод  3 2_TOM TAT" xfId="25348" xr:uid="{00000000-0005-0000-0000-00002C6C0000}"/>
    <cellStyle name="Ввод  3 3" xfId="2510" xr:uid="{00000000-0005-0000-0000-00002D6C0000}"/>
    <cellStyle name="Ввод  3 3 2" xfId="2511" xr:uid="{00000000-0005-0000-0000-00002E6C0000}"/>
    <cellStyle name="Ввод  3 3 2 2" xfId="2512" xr:uid="{00000000-0005-0000-0000-00002F6C0000}"/>
    <cellStyle name="Ввод  3 3 2 2 2" xfId="2513" xr:uid="{00000000-0005-0000-0000-0000306C0000}"/>
    <cellStyle name="Ввод  3 3 2 2 2 2" xfId="2514" xr:uid="{00000000-0005-0000-0000-0000316C0000}"/>
    <cellStyle name="Ввод  3 3 2 2 2 2 2" xfId="5872" xr:uid="{00000000-0005-0000-0000-0000326C0000}"/>
    <cellStyle name="Ввод  3 3 2 2 2 2 2 2" xfId="28474" xr:uid="{00000000-0005-0000-0000-0000336C0000}"/>
    <cellStyle name="Ввод  3 3 2 2 2 2 2_TOM TAT" xfId="25425" xr:uid="{00000000-0005-0000-0000-0000346C0000}"/>
    <cellStyle name="Ввод  3 3 2 2 2 2 3" xfId="27304" xr:uid="{00000000-0005-0000-0000-0000356C0000}"/>
    <cellStyle name="Ввод  3 3 2 2 2 2_TOM TAT" xfId="25424" xr:uid="{00000000-0005-0000-0000-0000366C0000}"/>
    <cellStyle name="Ввод  3 3 2 2 2 3" xfId="5873" xr:uid="{00000000-0005-0000-0000-0000376C0000}"/>
    <cellStyle name="Ввод  3 3 2 2 2 3 2" xfId="28475" xr:uid="{00000000-0005-0000-0000-0000386C0000}"/>
    <cellStyle name="Ввод  3 3 2 2 2 3_TOM TAT" xfId="25426" xr:uid="{00000000-0005-0000-0000-0000396C0000}"/>
    <cellStyle name="Ввод  3 3 2 2 2 4" xfId="27303" xr:uid="{00000000-0005-0000-0000-00003A6C0000}"/>
    <cellStyle name="Ввод  3 3 2 2 2_TOM TAT" xfId="25423" xr:uid="{00000000-0005-0000-0000-00003B6C0000}"/>
    <cellStyle name="Ввод  3 3 2 2 3" xfId="2515" xr:uid="{00000000-0005-0000-0000-00003C6C0000}"/>
    <cellStyle name="Ввод  3 3 2 2 3 2" xfId="5874" xr:uid="{00000000-0005-0000-0000-00003D6C0000}"/>
    <cellStyle name="Ввод  3 3 2 2 3 2 2" xfId="28476" xr:uid="{00000000-0005-0000-0000-00003E6C0000}"/>
    <cellStyle name="Ввод  3 3 2 2 3 2_TOM TAT" xfId="25428" xr:uid="{00000000-0005-0000-0000-00003F6C0000}"/>
    <cellStyle name="Ввод  3 3 2 2 3 3" xfId="27305" xr:uid="{00000000-0005-0000-0000-0000406C0000}"/>
    <cellStyle name="Ввод  3 3 2 2 3_TOM TAT" xfId="25427" xr:uid="{00000000-0005-0000-0000-0000416C0000}"/>
    <cellStyle name="Ввод  3 3 2 2 4" xfId="2516" xr:uid="{00000000-0005-0000-0000-0000426C0000}"/>
    <cellStyle name="Ввод  3 3 2 2 4 2" xfId="5875" xr:uid="{00000000-0005-0000-0000-0000436C0000}"/>
    <cellStyle name="Ввод  3 3 2 2 4 2 2" xfId="28477" xr:uid="{00000000-0005-0000-0000-0000446C0000}"/>
    <cellStyle name="Ввод  3 3 2 2 4 2_TOM TAT" xfId="25430" xr:uid="{00000000-0005-0000-0000-0000456C0000}"/>
    <cellStyle name="Ввод  3 3 2 2 4 3" xfId="27306" xr:uid="{00000000-0005-0000-0000-0000466C0000}"/>
    <cellStyle name="Ввод  3 3 2 2 4_TOM TAT" xfId="25429" xr:uid="{00000000-0005-0000-0000-0000476C0000}"/>
    <cellStyle name="Ввод  3 3 2 2 5" xfId="5876" xr:uid="{00000000-0005-0000-0000-0000486C0000}"/>
    <cellStyle name="Ввод  3 3 2 2 5 2" xfId="28478" xr:uid="{00000000-0005-0000-0000-0000496C0000}"/>
    <cellStyle name="Ввод  3 3 2 2 5_TOM TAT" xfId="25431" xr:uid="{00000000-0005-0000-0000-00004A6C0000}"/>
    <cellStyle name="Ввод  3 3 2 2 6" xfId="27302" xr:uid="{00000000-0005-0000-0000-00004B6C0000}"/>
    <cellStyle name="Ввод  3 3 2 2_TOM TAT" xfId="25422" xr:uid="{00000000-0005-0000-0000-00004C6C0000}"/>
    <cellStyle name="Ввод  3 3 2 3" xfId="2517" xr:uid="{00000000-0005-0000-0000-00004D6C0000}"/>
    <cellStyle name="Ввод  3 3 2 3 2" xfId="2518" xr:uid="{00000000-0005-0000-0000-00004E6C0000}"/>
    <cellStyle name="Ввод  3 3 2 3 2 2" xfId="5877" xr:uid="{00000000-0005-0000-0000-00004F6C0000}"/>
    <cellStyle name="Ввод  3 3 2 3 2 2 2" xfId="28479" xr:uid="{00000000-0005-0000-0000-0000506C0000}"/>
    <cellStyle name="Ввод  3 3 2 3 2 2_TOM TAT" xfId="25434" xr:uid="{00000000-0005-0000-0000-0000516C0000}"/>
    <cellStyle name="Ввод  3 3 2 3 2 3" xfId="27308" xr:uid="{00000000-0005-0000-0000-0000526C0000}"/>
    <cellStyle name="Ввод  3 3 2 3 2_TOM TAT" xfId="25433" xr:uid="{00000000-0005-0000-0000-0000536C0000}"/>
    <cellStyle name="Ввод  3 3 2 3 3" xfId="5878" xr:uid="{00000000-0005-0000-0000-0000546C0000}"/>
    <cellStyle name="Ввод  3 3 2 3 3 2" xfId="28480" xr:uid="{00000000-0005-0000-0000-0000556C0000}"/>
    <cellStyle name="Ввод  3 3 2 3 3_TOM TAT" xfId="25435" xr:uid="{00000000-0005-0000-0000-0000566C0000}"/>
    <cellStyle name="Ввод  3 3 2 3 4" xfId="27307" xr:uid="{00000000-0005-0000-0000-0000576C0000}"/>
    <cellStyle name="Ввод  3 3 2 3_TOM TAT" xfId="25432" xr:uid="{00000000-0005-0000-0000-0000586C0000}"/>
    <cellStyle name="Ввод  3 3 2 4" xfId="2519" xr:uid="{00000000-0005-0000-0000-0000596C0000}"/>
    <cellStyle name="Ввод  3 3 2 4 2" xfId="2520" xr:uid="{00000000-0005-0000-0000-00005A6C0000}"/>
    <cellStyle name="Ввод  3 3 2 4 2 2" xfId="5879" xr:uid="{00000000-0005-0000-0000-00005B6C0000}"/>
    <cellStyle name="Ввод  3 3 2 4 2 2 2" xfId="28481" xr:uid="{00000000-0005-0000-0000-00005C6C0000}"/>
    <cellStyle name="Ввод  3 3 2 4 2 2_TOM TAT" xfId="25438" xr:uid="{00000000-0005-0000-0000-00005D6C0000}"/>
    <cellStyle name="Ввод  3 3 2 4 2 3" xfId="27310" xr:uid="{00000000-0005-0000-0000-00005E6C0000}"/>
    <cellStyle name="Ввод  3 3 2 4 2_TOM TAT" xfId="25437" xr:uid="{00000000-0005-0000-0000-00005F6C0000}"/>
    <cellStyle name="Ввод  3 3 2 4 3" xfId="5880" xr:uid="{00000000-0005-0000-0000-0000606C0000}"/>
    <cellStyle name="Ввод  3 3 2 4 3 2" xfId="28482" xr:uid="{00000000-0005-0000-0000-0000616C0000}"/>
    <cellStyle name="Ввод  3 3 2 4 3_TOM TAT" xfId="25439" xr:uid="{00000000-0005-0000-0000-0000626C0000}"/>
    <cellStyle name="Ввод  3 3 2 4 4" xfId="27309" xr:uid="{00000000-0005-0000-0000-0000636C0000}"/>
    <cellStyle name="Ввод  3 3 2 4_TOM TAT" xfId="25436" xr:uid="{00000000-0005-0000-0000-0000646C0000}"/>
    <cellStyle name="Ввод  3 3 2 5" xfId="2521" xr:uid="{00000000-0005-0000-0000-0000656C0000}"/>
    <cellStyle name="Ввод  3 3 2 5 2" xfId="5881" xr:uid="{00000000-0005-0000-0000-0000666C0000}"/>
    <cellStyle name="Ввод  3 3 2 5 2 2" xfId="28483" xr:uid="{00000000-0005-0000-0000-0000676C0000}"/>
    <cellStyle name="Ввод  3 3 2 5 2_TOM TAT" xfId="25441" xr:uid="{00000000-0005-0000-0000-0000686C0000}"/>
    <cellStyle name="Ввод  3 3 2 5 3" xfId="27311" xr:uid="{00000000-0005-0000-0000-0000696C0000}"/>
    <cellStyle name="Ввод  3 3 2 5_TOM TAT" xfId="25440" xr:uid="{00000000-0005-0000-0000-00006A6C0000}"/>
    <cellStyle name="Ввод  3 3 2 6" xfId="2522" xr:uid="{00000000-0005-0000-0000-00006B6C0000}"/>
    <cellStyle name="Ввод  3 3 2 6 2" xfId="5882" xr:uid="{00000000-0005-0000-0000-00006C6C0000}"/>
    <cellStyle name="Ввод  3 3 2 6 2 2" xfId="28484" xr:uid="{00000000-0005-0000-0000-00006D6C0000}"/>
    <cellStyle name="Ввод  3 3 2 6 2_TOM TAT" xfId="25443" xr:uid="{00000000-0005-0000-0000-00006E6C0000}"/>
    <cellStyle name="Ввод  3 3 2 6 3" xfId="27312" xr:uid="{00000000-0005-0000-0000-00006F6C0000}"/>
    <cellStyle name="Ввод  3 3 2 6_TOM TAT" xfId="25442" xr:uid="{00000000-0005-0000-0000-0000706C0000}"/>
    <cellStyle name="Ввод  3 3 2 7" xfId="5883" xr:uid="{00000000-0005-0000-0000-0000716C0000}"/>
    <cellStyle name="Ввод  3 3 2 7 2" xfId="28485" xr:uid="{00000000-0005-0000-0000-0000726C0000}"/>
    <cellStyle name="Ввод  3 3 2 7_TOM TAT" xfId="25444" xr:uid="{00000000-0005-0000-0000-0000736C0000}"/>
    <cellStyle name="Ввод  3 3 2 8" xfId="27301" xr:uid="{00000000-0005-0000-0000-0000746C0000}"/>
    <cellStyle name="Ввод  3 3 2_TOM TAT" xfId="25421" xr:uid="{00000000-0005-0000-0000-0000756C0000}"/>
    <cellStyle name="Ввод  3 3 3" xfId="2523" xr:uid="{00000000-0005-0000-0000-0000766C0000}"/>
    <cellStyle name="Ввод  3 3 3 2" xfId="2524" xr:uid="{00000000-0005-0000-0000-0000776C0000}"/>
    <cellStyle name="Ввод  3 3 3 2 2" xfId="2525" xr:uid="{00000000-0005-0000-0000-0000786C0000}"/>
    <cellStyle name="Ввод  3 3 3 2 2 2" xfId="5884" xr:uid="{00000000-0005-0000-0000-0000796C0000}"/>
    <cellStyle name="Ввод  3 3 3 2 2 2 2" xfId="28486" xr:uid="{00000000-0005-0000-0000-00007A6C0000}"/>
    <cellStyle name="Ввод  3 3 3 2 2 2_TOM TAT" xfId="25448" xr:uid="{00000000-0005-0000-0000-00007B6C0000}"/>
    <cellStyle name="Ввод  3 3 3 2 2 3" xfId="27315" xr:uid="{00000000-0005-0000-0000-00007C6C0000}"/>
    <cellStyle name="Ввод  3 3 3 2 2_TOM TAT" xfId="25447" xr:uid="{00000000-0005-0000-0000-00007D6C0000}"/>
    <cellStyle name="Ввод  3 3 3 2 3" xfId="5885" xr:uid="{00000000-0005-0000-0000-00007E6C0000}"/>
    <cellStyle name="Ввод  3 3 3 2 3 2" xfId="28487" xr:uid="{00000000-0005-0000-0000-00007F6C0000}"/>
    <cellStyle name="Ввод  3 3 3 2 3_TOM TAT" xfId="25449" xr:uid="{00000000-0005-0000-0000-0000806C0000}"/>
    <cellStyle name="Ввод  3 3 3 2 4" xfId="27314" xr:uid="{00000000-0005-0000-0000-0000816C0000}"/>
    <cellStyle name="Ввод  3 3 3 2_TOM TAT" xfId="25446" xr:uid="{00000000-0005-0000-0000-0000826C0000}"/>
    <cellStyle name="Ввод  3 3 3 3" xfId="2526" xr:uid="{00000000-0005-0000-0000-0000836C0000}"/>
    <cellStyle name="Ввод  3 3 3 3 2" xfId="5886" xr:uid="{00000000-0005-0000-0000-0000846C0000}"/>
    <cellStyle name="Ввод  3 3 3 3 2 2" xfId="28488" xr:uid="{00000000-0005-0000-0000-0000856C0000}"/>
    <cellStyle name="Ввод  3 3 3 3 2_TOM TAT" xfId="25451" xr:uid="{00000000-0005-0000-0000-0000866C0000}"/>
    <cellStyle name="Ввод  3 3 3 3 3" xfId="27316" xr:uid="{00000000-0005-0000-0000-0000876C0000}"/>
    <cellStyle name="Ввод  3 3 3 3_TOM TAT" xfId="25450" xr:uid="{00000000-0005-0000-0000-0000886C0000}"/>
    <cellStyle name="Ввод  3 3 3 4" xfId="2527" xr:uid="{00000000-0005-0000-0000-0000896C0000}"/>
    <cellStyle name="Ввод  3 3 3 4 2" xfId="5887" xr:uid="{00000000-0005-0000-0000-00008A6C0000}"/>
    <cellStyle name="Ввод  3 3 3 4 2 2" xfId="28489" xr:uid="{00000000-0005-0000-0000-00008B6C0000}"/>
    <cellStyle name="Ввод  3 3 3 4 2_TOM TAT" xfId="25453" xr:uid="{00000000-0005-0000-0000-00008C6C0000}"/>
    <cellStyle name="Ввод  3 3 3 4 3" xfId="27317" xr:uid="{00000000-0005-0000-0000-00008D6C0000}"/>
    <cellStyle name="Ввод  3 3 3 4_TOM TAT" xfId="25452" xr:uid="{00000000-0005-0000-0000-00008E6C0000}"/>
    <cellStyle name="Ввод  3 3 3 5" xfId="5888" xr:uid="{00000000-0005-0000-0000-00008F6C0000}"/>
    <cellStyle name="Ввод  3 3 3 5 2" xfId="28490" xr:uid="{00000000-0005-0000-0000-0000906C0000}"/>
    <cellStyle name="Ввод  3 3 3 5_TOM TAT" xfId="25454" xr:uid="{00000000-0005-0000-0000-0000916C0000}"/>
    <cellStyle name="Ввод  3 3 3 6" xfId="27313" xr:uid="{00000000-0005-0000-0000-0000926C0000}"/>
    <cellStyle name="Ввод  3 3 3_TOM TAT" xfId="25445" xr:uid="{00000000-0005-0000-0000-0000936C0000}"/>
    <cellStyle name="Ввод  3 3 4" xfId="2528" xr:uid="{00000000-0005-0000-0000-0000946C0000}"/>
    <cellStyle name="Ввод  3 3 4 2" xfId="2529" xr:uid="{00000000-0005-0000-0000-0000956C0000}"/>
    <cellStyle name="Ввод  3 3 4 2 2" xfId="5889" xr:uid="{00000000-0005-0000-0000-0000966C0000}"/>
    <cellStyle name="Ввод  3 3 4 2 2 2" xfId="28491" xr:uid="{00000000-0005-0000-0000-0000976C0000}"/>
    <cellStyle name="Ввод  3 3 4 2 2_TOM TAT" xfId="25457" xr:uid="{00000000-0005-0000-0000-0000986C0000}"/>
    <cellStyle name="Ввод  3 3 4 2 3" xfId="27319" xr:uid="{00000000-0005-0000-0000-0000996C0000}"/>
    <cellStyle name="Ввод  3 3 4 2_TOM TAT" xfId="25456" xr:uid="{00000000-0005-0000-0000-00009A6C0000}"/>
    <cellStyle name="Ввод  3 3 4 3" xfId="5890" xr:uid="{00000000-0005-0000-0000-00009B6C0000}"/>
    <cellStyle name="Ввод  3 3 4 3 2" xfId="28492" xr:uid="{00000000-0005-0000-0000-00009C6C0000}"/>
    <cellStyle name="Ввод  3 3 4 3_TOM TAT" xfId="25458" xr:uid="{00000000-0005-0000-0000-00009D6C0000}"/>
    <cellStyle name="Ввод  3 3 4 4" xfId="27318" xr:uid="{00000000-0005-0000-0000-00009E6C0000}"/>
    <cellStyle name="Ввод  3 3 4_TOM TAT" xfId="25455" xr:uid="{00000000-0005-0000-0000-00009F6C0000}"/>
    <cellStyle name="Ввод  3 3 5" xfId="2530" xr:uid="{00000000-0005-0000-0000-0000A06C0000}"/>
    <cellStyle name="Ввод  3 3 5 2" xfId="2531" xr:uid="{00000000-0005-0000-0000-0000A16C0000}"/>
    <cellStyle name="Ввод  3 3 5 2 2" xfId="5891" xr:uid="{00000000-0005-0000-0000-0000A26C0000}"/>
    <cellStyle name="Ввод  3 3 5 2 2 2" xfId="28493" xr:uid="{00000000-0005-0000-0000-0000A36C0000}"/>
    <cellStyle name="Ввод  3 3 5 2 2_TOM TAT" xfId="25461" xr:uid="{00000000-0005-0000-0000-0000A46C0000}"/>
    <cellStyle name="Ввод  3 3 5 2 3" xfId="27321" xr:uid="{00000000-0005-0000-0000-0000A56C0000}"/>
    <cellStyle name="Ввод  3 3 5 2_TOM TAT" xfId="25460" xr:uid="{00000000-0005-0000-0000-0000A66C0000}"/>
    <cellStyle name="Ввод  3 3 5 3" xfId="5892" xr:uid="{00000000-0005-0000-0000-0000A76C0000}"/>
    <cellStyle name="Ввод  3 3 5 3 2" xfId="28494" xr:uid="{00000000-0005-0000-0000-0000A86C0000}"/>
    <cellStyle name="Ввод  3 3 5 3_TOM TAT" xfId="25462" xr:uid="{00000000-0005-0000-0000-0000A96C0000}"/>
    <cellStyle name="Ввод  3 3 5 4" xfId="27320" xr:uid="{00000000-0005-0000-0000-0000AA6C0000}"/>
    <cellStyle name="Ввод  3 3 5_TOM TAT" xfId="25459" xr:uid="{00000000-0005-0000-0000-0000AB6C0000}"/>
    <cellStyle name="Ввод  3 3 6" xfId="2532" xr:uid="{00000000-0005-0000-0000-0000AC6C0000}"/>
    <cellStyle name="Ввод  3 3 6 2" xfId="5893" xr:uid="{00000000-0005-0000-0000-0000AD6C0000}"/>
    <cellStyle name="Ввод  3 3 6 2 2" xfId="28495" xr:uid="{00000000-0005-0000-0000-0000AE6C0000}"/>
    <cellStyle name="Ввод  3 3 6 2_TOM TAT" xfId="25464" xr:uid="{00000000-0005-0000-0000-0000AF6C0000}"/>
    <cellStyle name="Ввод  3 3 6 3" xfId="27322" xr:uid="{00000000-0005-0000-0000-0000B06C0000}"/>
    <cellStyle name="Ввод  3 3 6_TOM TAT" xfId="25463" xr:uid="{00000000-0005-0000-0000-0000B16C0000}"/>
    <cellStyle name="Ввод  3 3 7" xfId="2533" xr:uid="{00000000-0005-0000-0000-0000B26C0000}"/>
    <cellStyle name="Ввод  3 3 7 2" xfId="5894" xr:uid="{00000000-0005-0000-0000-0000B36C0000}"/>
    <cellStyle name="Ввод  3 3 7 2 2" xfId="28496" xr:uid="{00000000-0005-0000-0000-0000B46C0000}"/>
    <cellStyle name="Ввод  3 3 7 2_TOM TAT" xfId="25466" xr:uid="{00000000-0005-0000-0000-0000B56C0000}"/>
    <cellStyle name="Ввод  3 3 7 3" xfId="27323" xr:uid="{00000000-0005-0000-0000-0000B66C0000}"/>
    <cellStyle name="Ввод  3 3 7_TOM TAT" xfId="25465" xr:uid="{00000000-0005-0000-0000-0000B76C0000}"/>
    <cellStyle name="Ввод  3 3 8" xfId="5895" xr:uid="{00000000-0005-0000-0000-0000B86C0000}"/>
    <cellStyle name="Ввод  3 3 8 2" xfId="28497" xr:uid="{00000000-0005-0000-0000-0000B96C0000}"/>
    <cellStyle name="Ввод  3 3 8_TOM TAT" xfId="25467" xr:uid="{00000000-0005-0000-0000-0000BA6C0000}"/>
    <cellStyle name="Ввод  3 3 9" xfId="27300" xr:uid="{00000000-0005-0000-0000-0000BB6C0000}"/>
    <cellStyle name="Ввод  3 3_TOM TAT" xfId="25420" xr:uid="{00000000-0005-0000-0000-0000BC6C0000}"/>
    <cellStyle name="Ввод  3 4" xfId="2534" xr:uid="{00000000-0005-0000-0000-0000BD6C0000}"/>
    <cellStyle name="Ввод  3 4 2" xfId="2535" xr:uid="{00000000-0005-0000-0000-0000BE6C0000}"/>
    <cellStyle name="Ввод  3 4 2 2" xfId="2536" xr:uid="{00000000-0005-0000-0000-0000BF6C0000}"/>
    <cellStyle name="Ввод  3 4 2 2 2" xfId="2537" xr:uid="{00000000-0005-0000-0000-0000C06C0000}"/>
    <cellStyle name="Ввод  3 4 2 2 2 2" xfId="5896" xr:uid="{00000000-0005-0000-0000-0000C16C0000}"/>
    <cellStyle name="Ввод  3 4 2 2 2 2 2" xfId="28498" xr:uid="{00000000-0005-0000-0000-0000C26C0000}"/>
    <cellStyle name="Ввод  3 4 2 2 2 2_TOM TAT" xfId="25472" xr:uid="{00000000-0005-0000-0000-0000C36C0000}"/>
    <cellStyle name="Ввод  3 4 2 2 2 3" xfId="27327" xr:uid="{00000000-0005-0000-0000-0000C46C0000}"/>
    <cellStyle name="Ввод  3 4 2 2 2_TOM TAT" xfId="25471" xr:uid="{00000000-0005-0000-0000-0000C56C0000}"/>
    <cellStyle name="Ввод  3 4 2 2 3" xfId="5897" xr:uid="{00000000-0005-0000-0000-0000C66C0000}"/>
    <cellStyle name="Ввод  3 4 2 2 3 2" xfId="28499" xr:uid="{00000000-0005-0000-0000-0000C76C0000}"/>
    <cellStyle name="Ввод  3 4 2 2 3_TOM TAT" xfId="25473" xr:uid="{00000000-0005-0000-0000-0000C86C0000}"/>
    <cellStyle name="Ввод  3 4 2 2 4" xfId="27326" xr:uid="{00000000-0005-0000-0000-0000C96C0000}"/>
    <cellStyle name="Ввод  3 4 2 2_TOM TAT" xfId="25470" xr:uid="{00000000-0005-0000-0000-0000CA6C0000}"/>
    <cellStyle name="Ввод  3 4 2 3" xfId="2538" xr:uid="{00000000-0005-0000-0000-0000CB6C0000}"/>
    <cellStyle name="Ввод  3 4 2 3 2" xfId="5898" xr:uid="{00000000-0005-0000-0000-0000CC6C0000}"/>
    <cellStyle name="Ввод  3 4 2 3 2 2" xfId="28500" xr:uid="{00000000-0005-0000-0000-0000CD6C0000}"/>
    <cellStyle name="Ввод  3 4 2 3 2_TOM TAT" xfId="25475" xr:uid="{00000000-0005-0000-0000-0000CE6C0000}"/>
    <cellStyle name="Ввод  3 4 2 3 3" xfId="27328" xr:uid="{00000000-0005-0000-0000-0000CF6C0000}"/>
    <cellStyle name="Ввод  3 4 2 3_TOM TAT" xfId="25474" xr:uid="{00000000-0005-0000-0000-0000D06C0000}"/>
    <cellStyle name="Ввод  3 4 2 4" xfId="2539" xr:uid="{00000000-0005-0000-0000-0000D16C0000}"/>
    <cellStyle name="Ввод  3 4 2 4 2" xfId="5899" xr:uid="{00000000-0005-0000-0000-0000D26C0000}"/>
    <cellStyle name="Ввод  3 4 2 4 2 2" xfId="28501" xr:uid="{00000000-0005-0000-0000-0000D36C0000}"/>
    <cellStyle name="Ввод  3 4 2 4 2_TOM TAT" xfId="25477" xr:uid="{00000000-0005-0000-0000-0000D46C0000}"/>
    <cellStyle name="Ввод  3 4 2 4 3" xfId="27329" xr:uid="{00000000-0005-0000-0000-0000D56C0000}"/>
    <cellStyle name="Ввод  3 4 2 4_TOM TAT" xfId="25476" xr:uid="{00000000-0005-0000-0000-0000D66C0000}"/>
    <cellStyle name="Ввод  3 4 2 5" xfId="5900" xr:uid="{00000000-0005-0000-0000-0000D76C0000}"/>
    <cellStyle name="Ввод  3 4 2 5 2" xfId="28502" xr:uid="{00000000-0005-0000-0000-0000D86C0000}"/>
    <cellStyle name="Ввод  3 4 2 5_TOM TAT" xfId="25478" xr:uid="{00000000-0005-0000-0000-0000D96C0000}"/>
    <cellStyle name="Ввод  3 4 2 6" xfId="27325" xr:uid="{00000000-0005-0000-0000-0000DA6C0000}"/>
    <cellStyle name="Ввод  3 4 2_TOM TAT" xfId="25469" xr:uid="{00000000-0005-0000-0000-0000DB6C0000}"/>
    <cellStyle name="Ввод  3 4 3" xfId="2540" xr:uid="{00000000-0005-0000-0000-0000DC6C0000}"/>
    <cellStyle name="Ввод  3 4 3 2" xfId="2541" xr:uid="{00000000-0005-0000-0000-0000DD6C0000}"/>
    <cellStyle name="Ввод  3 4 3 2 2" xfId="5901" xr:uid="{00000000-0005-0000-0000-0000DE6C0000}"/>
    <cellStyle name="Ввод  3 4 3 2 2 2" xfId="28503" xr:uid="{00000000-0005-0000-0000-0000DF6C0000}"/>
    <cellStyle name="Ввод  3 4 3 2 2_TOM TAT" xfId="25481" xr:uid="{00000000-0005-0000-0000-0000E06C0000}"/>
    <cellStyle name="Ввод  3 4 3 2 3" xfId="27331" xr:uid="{00000000-0005-0000-0000-0000E16C0000}"/>
    <cellStyle name="Ввод  3 4 3 2_TOM TAT" xfId="25480" xr:uid="{00000000-0005-0000-0000-0000E26C0000}"/>
    <cellStyle name="Ввод  3 4 3 3" xfId="5902" xr:uid="{00000000-0005-0000-0000-0000E36C0000}"/>
    <cellStyle name="Ввод  3 4 3 3 2" xfId="28504" xr:uid="{00000000-0005-0000-0000-0000E46C0000}"/>
    <cellStyle name="Ввод  3 4 3 3_TOM TAT" xfId="25482" xr:uid="{00000000-0005-0000-0000-0000E56C0000}"/>
    <cellStyle name="Ввод  3 4 3 4" xfId="27330" xr:uid="{00000000-0005-0000-0000-0000E66C0000}"/>
    <cellStyle name="Ввод  3 4 3_TOM TAT" xfId="25479" xr:uid="{00000000-0005-0000-0000-0000E76C0000}"/>
    <cellStyle name="Ввод  3 4 4" xfId="2542" xr:uid="{00000000-0005-0000-0000-0000E86C0000}"/>
    <cellStyle name="Ввод  3 4 4 2" xfId="2543" xr:uid="{00000000-0005-0000-0000-0000E96C0000}"/>
    <cellStyle name="Ввод  3 4 4 2 2" xfId="5903" xr:uid="{00000000-0005-0000-0000-0000EA6C0000}"/>
    <cellStyle name="Ввод  3 4 4 2 2 2" xfId="28505" xr:uid="{00000000-0005-0000-0000-0000EB6C0000}"/>
    <cellStyle name="Ввод  3 4 4 2 2_TOM TAT" xfId="25485" xr:uid="{00000000-0005-0000-0000-0000EC6C0000}"/>
    <cellStyle name="Ввод  3 4 4 2 3" xfId="27333" xr:uid="{00000000-0005-0000-0000-0000ED6C0000}"/>
    <cellStyle name="Ввод  3 4 4 2_TOM TAT" xfId="25484" xr:uid="{00000000-0005-0000-0000-0000EE6C0000}"/>
    <cellStyle name="Ввод  3 4 4 3" xfId="5904" xr:uid="{00000000-0005-0000-0000-0000EF6C0000}"/>
    <cellStyle name="Ввод  3 4 4 3 2" xfId="28506" xr:uid="{00000000-0005-0000-0000-0000F06C0000}"/>
    <cellStyle name="Ввод  3 4 4 3_TOM TAT" xfId="25486" xr:uid="{00000000-0005-0000-0000-0000F16C0000}"/>
    <cellStyle name="Ввод  3 4 4 4" xfId="27332" xr:uid="{00000000-0005-0000-0000-0000F26C0000}"/>
    <cellStyle name="Ввод  3 4 4_TOM TAT" xfId="25483" xr:uid="{00000000-0005-0000-0000-0000F36C0000}"/>
    <cellStyle name="Ввод  3 4 5" xfId="2544" xr:uid="{00000000-0005-0000-0000-0000F46C0000}"/>
    <cellStyle name="Ввод  3 4 5 2" xfId="5905" xr:uid="{00000000-0005-0000-0000-0000F56C0000}"/>
    <cellStyle name="Ввод  3 4 5 2 2" xfId="28507" xr:uid="{00000000-0005-0000-0000-0000F66C0000}"/>
    <cellStyle name="Ввод  3 4 5 2_TOM TAT" xfId="25488" xr:uid="{00000000-0005-0000-0000-0000F76C0000}"/>
    <cellStyle name="Ввод  3 4 5 3" xfId="27334" xr:uid="{00000000-0005-0000-0000-0000F86C0000}"/>
    <cellStyle name="Ввод  3 4 5_TOM TAT" xfId="25487" xr:uid="{00000000-0005-0000-0000-0000F96C0000}"/>
    <cellStyle name="Ввод  3 4 6" xfId="2545" xr:uid="{00000000-0005-0000-0000-0000FA6C0000}"/>
    <cellStyle name="Ввод  3 4 6 2" xfId="5906" xr:uid="{00000000-0005-0000-0000-0000FB6C0000}"/>
    <cellStyle name="Ввод  3 4 6 2 2" xfId="28508" xr:uid="{00000000-0005-0000-0000-0000FC6C0000}"/>
    <cellStyle name="Ввод  3 4 6 2_TOM TAT" xfId="25490" xr:uid="{00000000-0005-0000-0000-0000FD6C0000}"/>
    <cellStyle name="Ввод  3 4 6 3" xfId="27335" xr:uid="{00000000-0005-0000-0000-0000FE6C0000}"/>
    <cellStyle name="Ввод  3 4 6_TOM TAT" xfId="25489" xr:uid="{00000000-0005-0000-0000-0000FF6C0000}"/>
    <cellStyle name="Ввод  3 4 7" xfId="5907" xr:uid="{00000000-0005-0000-0000-0000006D0000}"/>
    <cellStyle name="Ввод  3 4 7 2" xfId="28509" xr:uid="{00000000-0005-0000-0000-0000016D0000}"/>
    <cellStyle name="Ввод  3 4 7_TOM TAT" xfId="25491" xr:uid="{00000000-0005-0000-0000-0000026D0000}"/>
    <cellStyle name="Ввод  3 4 8" xfId="27324" xr:uid="{00000000-0005-0000-0000-0000036D0000}"/>
    <cellStyle name="Ввод  3 4_TOM TAT" xfId="25468" xr:uid="{00000000-0005-0000-0000-0000046D0000}"/>
    <cellStyle name="Ввод  3 5" xfId="2546" xr:uid="{00000000-0005-0000-0000-0000056D0000}"/>
    <cellStyle name="Ввод  3 5 2" xfId="2547" xr:uid="{00000000-0005-0000-0000-0000066D0000}"/>
    <cellStyle name="Ввод  3 5 2 2" xfId="2548" xr:uid="{00000000-0005-0000-0000-0000076D0000}"/>
    <cellStyle name="Ввод  3 5 2 2 2" xfId="2549" xr:uid="{00000000-0005-0000-0000-0000086D0000}"/>
    <cellStyle name="Ввод  3 5 2 2 2 2" xfId="5908" xr:uid="{00000000-0005-0000-0000-0000096D0000}"/>
    <cellStyle name="Ввод  3 5 2 2 2 2 2" xfId="28510" xr:uid="{00000000-0005-0000-0000-00000A6D0000}"/>
    <cellStyle name="Ввод  3 5 2 2 2 2_TOM TAT" xfId="25496" xr:uid="{00000000-0005-0000-0000-00000B6D0000}"/>
    <cellStyle name="Ввод  3 5 2 2 2 3" xfId="27339" xr:uid="{00000000-0005-0000-0000-00000C6D0000}"/>
    <cellStyle name="Ввод  3 5 2 2 2_TOM TAT" xfId="25495" xr:uid="{00000000-0005-0000-0000-00000D6D0000}"/>
    <cellStyle name="Ввод  3 5 2 2 3" xfId="5909" xr:uid="{00000000-0005-0000-0000-00000E6D0000}"/>
    <cellStyle name="Ввод  3 5 2 2 3 2" xfId="28511" xr:uid="{00000000-0005-0000-0000-00000F6D0000}"/>
    <cellStyle name="Ввод  3 5 2 2 3_TOM TAT" xfId="25497" xr:uid="{00000000-0005-0000-0000-0000106D0000}"/>
    <cellStyle name="Ввод  3 5 2 2 4" xfId="27338" xr:uid="{00000000-0005-0000-0000-0000116D0000}"/>
    <cellStyle name="Ввод  3 5 2 2_TOM TAT" xfId="25494" xr:uid="{00000000-0005-0000-0000-0000126D0000}"/>
    <cellStyle name="Ввод  3 5 2 3" xfId="2550" xr:uid="{00000000-0005-0000-0000-0000136D0000}"/>
    <cellStyle name="Ввод  3 5 2 3 2" xfId="5910" xr:uid="{00000000-0005-0000-0000-0000146D0000}"/>
    <cellStyle name="Ввод  3 5 2 3 2 2" xfId="28512" xr:uid="{00000000-0005-0000-0000-0000156D0000}"/>
    <cellStyle name="Ввод  3 5 2 3 2_TOM TAT" xfId="25499" xr:uid="{00000000-0005-0000-0000-0000166D0000}"/>
    <cellStyle name="Ввод  3 5 2 3 3" xfId="27340" xr:uid="{00000000-0005-0000-0000-0000176D0000}"/>
    <cellStyle name="Ввод  3 5 2 3_TOM TAT" xfId="25498" xr:uid="{00000000-0005-0000-0000-0000186D0000}"/>
    <cellStyle name="Ввод  3 5 2 4" xfId="2551" xr:uid="{00000000-0005-0000-0000-0000196D0000}"/>
    <cellStyle name="Ввод  3 5 2 4 2" xfId="5911" xr:uid="{00000000-0005-0000-0000-00001A6D0000}"/>
    <cellStyle name="Ввод  3 5 2 4 2 2" xfId="28513" xr:uid="{00000000-0005-0000-0000-00001B6D0000}"/>
    <cellStyle name="Ввод  3 5 2 4 2_TOM TAT" xfId="25501" xr:uid="{00000000-0005-0000-0000-00001C6D0000}"/>
    <cellStyle name="Ввод  3 5 2 4 3" xfId="27341" xr:uid="{00000000-0005-0000-0000-00001D6D0000}"/>
    <cellStyle name="Ввод  3 5 2 4_TOM TAT" xfId="25500" xr:uid="{00000000-0005-0000-0000-00001E6D0000}"/>
    <cellStyle name="Ввод  3 5 2 5" xfId="5912" xr:uid="{00000000-0005-0000-0000-00001F6D0000}"/>
    <cellStyle name="Ввод  3 5 2 5 2" xfId="28514" xr:uid="{00000000-0005-0000-0000-0000206D0000}"/>
    <cellStyle name="Ввод  3 5 2 5_TOM TAT" xfId="25502" xr:uid="{00000000-0005-0000-0000-0000216D0000}"/>
    <cellStyle name="Ввод  3 5 2 6" xfId="27337" xr:uid="{00000000-0005-0000-0000-0000226D0000}"/>
    <cellStyle name="Ввод  3 5 2_TOM TAT" xfId="25493" xr:uid="{00000000-0005-0000-0000-0000236D0000}"/>
    <cellStyle name="Ввод  3 5 3" xfId="2552" xr:uid="{00000000-0005-0000-0000-0000246D0000}"/>
    <cellStyle name="Ввод  3 5 3 2" xfId="2553" xr:uid="{00000000-0005-0000-0000-0000256D0000}"/>
    <cellStyle name="Ввод  3 5 3 2 2" xfId="5913" xr:uid="{00000000-0005-0000-0000-0000266D0000}"/>
    <cellStyle name="Ввод  3 5 3 2 2 2" xfId="28515" xr:uid="{00000000-0005-0000-0000-0000276D0000}"/>
    <cellStyle name="Ввод  3 5 3 2 2_TOM TAT" xfId="25505" xr:uid="{00000000-0005-0000-0000-0000286D0000}"/>
    <cellStyle name="Ввод  3 5 3 2 3" xfId="27343" xr:uid="{00000000-0005-0000-0000-0000296D0000}"/>
    <cellStyle name="Ввод  3 5 3 2_TOM TAT" xfId="25504" xr:uid="{00000000-0005-0000-0000-00002A6D0000}"/>
    <cellStyle name="Ввод  3 5 3 3" xfId="5914" xr:uid="{00000000-0005-0000-0000-00002B6D0000}"/>
    <cellStyle name="Ввод  3 5 3 3 2" xfId="28516" xr:uid="{00000000-0005-0000-0000-00002C6D0000}"/>
    <cellStyle name="Ввод  3 5 3 3_TOM TAT" xfId="25506" xr:uid="{00000000-0005-0000-0000-00002D6D0000}"/>
    <cellStyle name="Ввод  3 5 3 4" xfId="27342" xr:uid="{00000000-0005-0000-0000-00002E6D0000}"/>
    <cellStyle name="Ввод  3 5 3_TOM TAT" xfId="25503" xr:uid="{00000000-0005-0000-0000-00002F6D0000}"/>
    <cellStyle name="Ввод  3 5 4" xfId="2554" xr:uid="{00000000-0005-0000-0000-0000306D0000}"/>
    <cellStyle name="Ввод  3 5 4 2" xfId="2555" xr:uid="{00000000-0005-0000-0000-0000316D0000}"/>
    <cellStyle name="Ввод  3 5 4 2 2" xfId="5915" xr:uid="{00000000-0005-0000-0000-0000326D0000}"/>
    <cellStyle name="Ввод  3 5 4 2 2 2" xfId="28517" xr:uid="{00000000-0005-0000-0000-0000336D0000}"/>
    <cellStyle name="Ввод  3 5 4 2 2_TOM TAT" xfId="25509" xr:uid="{00000000-0005-0000-0000-0000346D0000}"/>
    <cellStyle name="Ввод  3 5 4 2 3" xfId="27345" xr:uid="{00000000-0005-0000-0000-0000356D0000}"/>
    <cellStyle name="Ввод  3 5 4 2_TOM TAT" xfId="25508" xr:uid="{00000000-0005-0000-0000-0000366D0000}"/>
    <cellStyle name="Ввод  3 5 4 3" xfId="5916" xr:uid="{00000000-0005-0000-0000-0000376D0000}"/>
    <cellStyle name="Ввод  3 5 4 3 2" xfId="28518" xr:uid="{00000000-0005-0000-0000-0000386D0000}"/>
    <cellStyle name="Ввод  3 5 4 3_TOM TAT" xfId="25510" xr:uid="{00000000-0005-0000-0000-0000396D0000}"/>
    <cellStyle name="Ввод  3 5 4 4" xfId="27344" xr:uid="{00000000-0005-0000-0000-00003A6D0000}"/>
    <cellStyle name="Ввод  3 5 4_TOM TAT" xfId="25507" xr:uid="{00000000-0005-0000-0000-00003B6D0000}"/>
    <cellStyle name="Ввод  3 5 5" xfId="2556" xr:uid="{00000000-0005-0000-0000-00003C6D0000}"/>
    <cellStyle name="Ввод  3 5 5 2" xfId="5917" xr:uid="{00000000-0005-0000-0000-00003D6D0000}"/>
    <cellStyle name="Ввод  3 5 5 2 2" xfId="28519" xr:uid="{00000000-0005-0000-0000-00003E6D0000}"/>
    <cellStyle name="Ввод  3 5 5 2_TOM TAT" xfId="25512" xr:uid="{00000000-0005-0000-0000-00003F6D0000}"/>
    <cellStyle name="Ввод  3 5 5 3" xfId="27346" xr:uid="{00000000-0005-0000-0000-0000406D0000}"/>
    <cellStyle name="Ввод  3 5 5_TOM TAT" xfId="25511" xr:uid="{00000000-0005-0000-0000-0000416D0000}"/>
    <cellStyle name="Ввод  3 5 6" xfId="2557" xr:uid="{00000000-0005-0000-0000-0000426D0000}"/>
    <cellStyle name="Ввод  3 5 6 2" xfId="5918" xr:uid="{00000000-0005-0000-0000-0000436D0000}"/>
    <cellStyle name="Ввод  3 5 6 2 2" xfId="28520" xr:uid="{00000000-0005-0000-0000-0000446D0000}"/>
    <cellStyle name="Ввод  3 5 6 2_TOM TAT" xfId="25514" xr:uid="{00000000-0005-0000-0000-0000456D0000}"/>
    <cellStyle name="Ввод  3 5 6 3" xfId="27347" xr:uid="{00000000-0005-0000-0000-0000466D0000}"/>
    <cellStyle name="Ввод  3 5 6_TOM TAT" xfId="25513" xr:uid="{00000000-0005-0000-0000-0000476D0000}"/>
    <cellStyle name="Ввод  3 5 7" xfId="5919" xr:uid="{00000000-0005-0000-0000-0000486D0000}"/>
    <cellStyle name="Ввод  3 5 7 2" xfId="28521" xr:uid="{00000000-0005-0000-0000-0000496D0000}"/>
    <cellStyle name="Ввод  3 5 7_TOM TAT" xfId="25515" xr:uid="{00000000-0005-0000-0000-00004A6D0000}"/>
    <cellStyle name="Ввод  3 5 8" xfId="27336" xr:uid="{00000000-0005-0000-0000-00004B6D0000}"/>
    <cellStyle name="Ввод  3 5_TOM TAT" xfId="25492" xr:uid="{00000000-0005-0000-0000-00004C6D0000}"/>
    <cellStyle name="Ввод  3 6" xfId="2558" xr:uid="{00000000-0005-0000-0000-00004D6D0000}"/>
    <cellStyle name="Ввод  3 6 2" xfId="2559" xr:uid="{00000000-0005-0000-0000-00004E6D0000}"/>
    <cellStyle name="Ввод  3 6 2 2" xfId="2560" xr:uid="{00000000-0005-0000-0000-00004F6D0000}"/>
    <cellStyle name="Ввод  3 6 2 2 2" xfId="5920" xr:uid="{00000000-0005-0000-0000-0000506D0000}"/>
    <cellStyle name="Ввод  3 6 2 2 2 2" xfId="28522" xr:uid="{00000000-0005-0000-0000-0000516D0000}"/>
    <cellStyle name="Ввод  3 6 2 2 2_TOM TAT" xfId="25519" xr:uid="{00000000-0005-0000-0000-0000526D0000}"/>
    <cellStyle name="Ввод  3 6 2 2 3" xfId="27350" xr:uid="{00000000-0005-0000-0000-0000536D0000}"/>
    <cellStyle name="Ввод  3 6 2 2_TOM TAT" xfId="25518" xr:uid="{00000000-0005-0000-0000-0000546D0000}"/>
    <cellStyle name="Ввод  3 6 2 3" xfId="5921" xr:uid="{00000000-0005-0000-0000-0000556D0000}"/>
    <cellStyle name="Ввод  3 6 2 3 2" xfId="28523" xr:uid="{00000000-0005-0000-0000-0000566D0000}"/>
    <cellStyle name="Ввод  3 6 2 3_TOM TAT" xfId="25520" xr:uid="{00000000-0005-0000-0000-0000576D0000}"/>
    <cellStyle name="Ввод  3 6 2 4" xfId="27349" xr:uid="{00000000-0005-0000-0000-0000586D0000}"/>
    <cellStyle name="Ввод  3 6 2_TOM TAT" xfId="25517" xr:uid="{00000000-0005-0000-0000-0000596D0000}"/>
    <cellStyle name="Ввод  3 6 3" xfId="2561" xr:uid="{00000000-0005-0000-0000-00005A6D0000}"/>
    <cellStyle name="Ввод  3 6 3 2" xfId="5922" xr:uid="{00000000-0005-0000-0000-00005B6D0000}"/>
    <cellStyle name="Ввод  3 6 3 2 2" xfId="28524" xr:uid="{00000000-0005-0000-0000-00005C6D0000}"/>
    <cellStyle name="Ввод  3 6 3 2_TOM TAT" xfId="25522" xr:uid="{00000000-0005-0000-0000-00005D6D0000}"/>
    <cellStyle name="Ввод  3 6 3 3" xfId="27351" xr:uid="{00000000-0005-0000-0000-00005E6D0000}"/>
    <cellStyle name="Ввод  3 6 3_TOM TAT" xfId="25521" xr:uid="{00000000-0005-0000-0000-00005F6D0000}"/>
    <cellStyle name="Ввод  3 6 4" xfId="2562" xr:uid="{00000000-0005-0000-0000-0000606D0000}"/>
    <cellStyle name="Ввод  3 6 4 2" xfId="5923" xr:uid="{00000000-0005-0000-0000-0000616D0000}"/>
    <cellStyle name="Ввод  3 6 4 2 2" xfId="28525" xr:uid="{00000000-0005-0000-0000-0000626D0000}"/>
    <cellStyle name="Ввод  3 6 4 2_TOM TAT" xfId="25524" xr:uid="{00000000-0005-0000-0000-0000636D0000}"/>
    <cellStyle name="Ввод  3 6 4 3" xfId="27352" xr:uid="{00000000-0005-0000-0000-0000646D0000}"/>
    <cellStyle name="Ввод  3 6 4_TOM TAT" xfId="25523" xr:uid="{00000000-0005-0000-0000-0000656D0000}"/>
    <cellStyle name="Ввод  3 6 5" xfId="5924" xr:uid="{00000000-0005-0000-0000-0000666D0000}"/>
    <cellStyle name="Ввод  3 6 5 2" xfId="28526" xr:uid="{00000000-0005-0000-0000-0000676D0000}"/>
    <cellStyle name="Ввод  3 6 5_TOM TAT" xfId="25525" xr:uid="{00000000-0005-0000-0000-0000686D0000}"/>
    <cellStyle name="Ввод  3 6 6" xfId="27348" xr:uid="{00000000-0005-0000-0000-0000696D0000}"/>
    <cellStyle name="Ввод  3 6_TOM TAT" xfId="25516" xr:uid="{00000000-0005-0000-0000-00006A6D0000}"/>
    <cellStyle name="Ввод  3 7" xfId="2563" xr:uid="{00000000-0005-0000-0000-00006B6D0000}"/>
    <cellStyle name="Ввод  3 7 2" xfId="2564" xr:uid="{00000000-0005-0000-0000-00006C6D0000}"/>
    <cellStyle name="Ввод  3 7 2 2" xfId="5925" xr:uid="{00000000-0005-0000-0000-00006D6D0000}"/>
    <cellStyle name="Ввод  3 7 2 2 2" xfId="28527" xr:uid="{00000000-0005-0000-0000-00006E6D0000}"/>
    <cellStyle name="Ввод  3 7 2 2_TOM TAT" xfId="25528" xr:uid="{00000000-0005-0000-0000-00006F6D0000}"/>
    <cellStyle name="Ввод  3 7 2 3" xfId="27354" xr:uid="{00000000-0005-0000-0000-0000706D0000}"/>
    <cellStyle name="Ввод  3 7 2_TOM TAT" xfId="25527" xr:uid="{00000000-0005-0000-0000-0000716D0000}"/>
    <cellStyle name="Ввод  3 7 3" xfId="5926" xr:uid="{00000000-0005-0000-0000-0000726D0000}"/>
    <cellStyle name="Ввод  3 7 3 2" xfId="28528" xr:uid="{00000000-0005-0000-0000-0000736D0000}"/>
    <cellStyle name="Ввод  3 7 3_TOM TAT" xfId="25529" xr:uid="{00000000-0005-0000-0000-0000746D0000}"/>
    <cellStyle name="Ввод  3 7 4" xfId="27353" xr:uid="{00000000-0005-0000-0000-0000756D0000}"/>
    <cellStyle name="Ввод  3 7_TOM TAT" xfId="25526" xr:uid="{00000000-0005-0000-0000-0000766D0000}"/>
    <cellStyle name="Ввод  3 8" xfId="2565" xr:uid="{00000000-0005-0000-0000-0000776D0000}"/>
    <cellStyle name="Ввод  3 8 2" xfId="2566" xr:uid="{00000000-0005-0000-0000-0000786D0000}"/>
    <cellStyle name="Ввод  3 8 2 2" xfId="5927" xr:uid="{00000000-0005-0000-0000-0000796D0000}"/>
    <cellStyle name="Ввод  3 8 2 2 2" xfId="28529" xr:uid="{00000000-0005-0000-0000-00007A6D0000}"/>
    <cellStyle name="Ввод  3 8 2 2_TOM TAT" xfId="25532" xr:uid="{00000000-0005-0000-0000-00007B6D0000}"/>
    <cellStyle name="Ввод  3 8 2 3" xfId="27356" xr:uid="{00000000-0005-0000-0000-00007C6D0000}"/>
    <cellStyle name="Ввод  3 8 2_TOM TAT" xfId="25531" xr:uid="{00000000-0005-0000-0000-00007D6D0000}"/>
    <cellStyle name="Ввод  3 8 3" xfId="5928" xr:uid="{00000000-0005-0000-0000-00007E6D0000}"/>
    <cellStyle name="Ввод  3 8 3 2" xfId="28530" xr:uid="{00000000-0005-0000-0000-00007F6D0000}"/>
    <cellStyle name="Ввод  3 8 3_TOM TAT" xfId="25533" xr:uid="{00000000-0005-0000-0000-0000806D0000}"/>
    <cellStyle name="Ввод  3 8 4" xfId="27355" xr:uid="{00000000-0005-0000-0000-0000816D0000}"/>
    <cellStyle name="Ввод  3 8_TOM TAT" xfId="25530" xr:uid="{00000000-0005-0000-0000-0000826D0000}"/>
    <cellStyle name="Ввод  3 9" xfId="2567" xr:uid="{00000000-0005-0000-0000-0000836D0000}"/>
    <cellStyle name="Ввод  3 9 2" xfId="5929" xr:uid="{00000000-0005-0000-0000-0000846D0000}"/>
    <cellStyle name="Ввод  3 9 2 2" xfId="28531" xr:uid="{00000000-0005-0000-0000-0000856D0000}"/>
    <cellStyle name="Ввод  3 9 2_TOM TAT" xfId="25535" xr:uid="{00000000-0005-0000-0000-0000866D0000}"/>
    <cellStyle name="Ввод  3 9 3" xfId="27357" xr:uid="{00000000-0005-0000-0000-0000876D0000}"/>
    <cellStyle name="Ввод  3 9_TOM TAT" xfId="25534" xr:uid="{00000000-0005-0000-0000-0000886D0000}"/>
    <cellStyle name="Ввод  3_TOM TAT" xfId="25344" xr:uid="{00000000-0005-0000-0000-0000896D0000}"/>
    <cellStyle name="Ввод  4" xfId="2568" xr:uid="{00000000-0005-0000-0000-00008A6D0000}"/>
    <cellStyle name="Ввод  4 10" xfId="27358" xr:uid="{00000000-0005-0000-0000-00008B6D0000}"/>
    <cellStyle name="Ввод  4 2" xfId="2569" xr:uid="{00000000-0005-0000-0000-00008C6D0000}"/>
    <cellStyle name="Ввод  4 2 2" xfId="2570" xr:uid="{00000000-0005-0000-0000-00008D6D0000}"/>
    <cellStyle name="Ввод  4 2 2 2" xfId="2571" xr:uid="{00000000-0005-0000-0000-00008E6D0000}"/>
    <cellStyle name="Ввод  4 2 2 2 2" xfId="2572" xr:uid="{00000000-0005-0000-0000-00008F6D0000}"/>
    <cellStyle name="Ввод  4 2 2 2 2 2" xfId="5930" xr:uid="{00000000-0005-0000-0000-0000906D0000}"/>
    <cellStyle name="Ввод  4 2 2 2 2 2 2" xfId="28532" xr:uid="{00000000-0005-0000-0000-0000916D0000}"/>
    <cellStyle name="Ввод  4 2 2 2 2 2_TOM TAT" xfId="25541" xr:uid="{00000000-0005-0000-0000-0000926D0000}"/>
    <cellStyle name="Ввод  4 2 2 2 2 3" xfId="27362" xr:uid="{00000000-0005-0000-0000-0000936D0000}"/>
    <cellStyle name="Ввод  4 2 2 2 2_TOM TAT" xfId="25540" xr:uid="{00000000-0005-0000-0000-0000946D0000}"/>
    <cellStyle name="Ввод  4 2 2 2 3" xfId="5931" xr:uid="{00000000-0005-0000-0000-0000956D0000}"/>
    <cellStyle name="Ввод  4 2 2 2 3 2" xfId="28533" xr:uid="{00000000-0005-0000-0000-0000966D0000}"/>
    <cellStyle name="Ввод  4 2 2 2 3_TOM TAT" xfId="25542" xr:uid="{00000000-0005-0000-0000-0000976D0000}"/>
    <cellStyle name="Ввод  4 2 2 2 4" xfId="27361" xr:uid="{00000000-0005-0000-0000-0000986D0000}"/>
    <cellStyle name="Ввод  4 2 2 2_TOM TAT" xfId="25539" xr:uid="{00000000-0005-0000-0000-0000996D0000}"/>
    <cellStyle name="Ввод  4 2 2 3" xfId="2573" xr:uid="{00000000-0005-0000-0000-00009A6D0000}"/>
    <cellStyle name="Ввод  4 2 2 3 2" xfId="5932" xr:uid="{00000000-0005-0000-0000-00009B6D0000}"/>
    <cellStyle name="Ввод  4 2 2 3 2 2" xfId="28534" xr:uid="{00000000-0005-0000-0000-00009C6D0000}"/>
    <cellStyle name="Ввод  4 2 2 3 2_TOM TAT" xfId="25544" xr:uid="{00000000-0005-0000-0000-00009D6D0000}"/>
    <cellStyle name="Ввод  4 2 2 3 3" xfId="27363" xr:uid="{00000000-0005-0000-0000-00009E6D0000}"/>
    <cellStyle name="Ввод  4 2 2 3_TOM TAT" xfId="25543" xr:uid="{00000000-0005-0000-0000-00009F6D0000}"/>
    <cellStyle name="Ввод  4 2 2 4" xfId="2574" xr:uid="{00000000-0005-0000-0000-0000A06D0000}"/>
    <cellStyle name="Ввод  4 2 2 4 2" xfId="5933" xr:uid="{00000000-0005-0000-0000-0000A16D0000}"/>
    <cellStyle name="Ввод  4 2 2 4 2 2" xfId="28535" xr:uid="{00000000-0005-0000-0000-0000A26D0000}"/>
    <cellStyle name="Ввод  4 2 2 4 2_TOM TAT" xfId="25546" xr:uid="{00000000-0005-0000-0000-0000A36D0000}"/>
    <cellStyle name="Ввод  4 2 2 4 3" xfId="27364" xr:uid="{00000000-0005-0000-0000-0000A46D0000}"/>
    <cellStyle name="Ввод  4 2 2 4_TOM TAT" xfId="25545" xr:uid="{00000000-0005-0000-0000-0000A56D0000}"/>
    <cellStyle name="Ввод  4 2 2 5" xfId="5934" xr:uid="{00000000-0005-0000-0000-0000A66D0000}"/>
    <cellStyle name="Ввод  4 2 2 5 2" xfId="28536" xr:uid="{00000000-0005-0000-0000-0000A76D0000}"/>
    <cellStyle name="Ввод  4 2 2 5_TOM TAT" xfId="25547" xr:uid="{00000000-0005-0000-0000-0000A86D0000}"/>
    <cellStyle name="Ввод  4 2 2 6" xfId="27360" xr:uid="{00000000-0005-0000-0000-0000A96D0000}"/>
    <cellStyle name="Ввод  4 2 2_TOM TAT" xfId="25538" xr:uid="{00000000-0005-0000-0000-0000AA6D0000}"/>
    <cellStyle name="Ввод  4 2 3" xfId="2575" xr:uid="{00000000-0005-0000-0000-0000AB6D0000}"/>
    <cellStyle name="Ввод  4 2 3 2" xfId="2576" xr:uid="{00000000-0005-0000-0000-0000AC6D0000}"/>
    <cellStyle name="Ввод  4 2 3 2 2" xfId="5935" xr:uid="{00000000-0005-0000-0000-0000AD6D0000}"/>
    <cellStyle name="Ввод  4 2 3 2 2 2" xfId="28537" xr:uid="{00000000-0005-0000-0000-0000AE6D0000}"/>
    <cellStyle name="Ввод  4 2 3 2 2_TOM TAT" xfId="25550" xr:uid="{00000000-0005-0000-0000-0000AF6D0000}"/>
    <cellStyle name="Ввод  4 2 3 2 3" xfId="27366" xr:uid="{00000000-0005-0000-0000-0000B06D0000}"/>
    <cellStyle name="Ввод  4 2 3 2_TOM TAT" xfId="25549" xr:uid="{00000000-0005-0000-0000-0000B16D0000}"/>
    <cellStyle name="Ввод  4 2 3 3" xfId="5936" xr:uid="{00000000-0005-0000-0000-0000B26D0000}"/>
    <cellStyle name="Ввод  4 2 3 3 2" xfId="28538" xr:uid="{00000000-0005-0000-0000-0000B36D0000}"/>
    <cellStyle name="Ввод  4 2 3 3_TOM TAT" xfId="25551" xr:uid="{00000000-0005-0000-0000-0000B46D0000}"/>
    <cellStyle name="Ввод  4 2 3 4" xfId="27365" xr:uid="{00000000-0005-0000-0000-0000B56D0000}"/>
    <cellStyle name="Ввод  4 2 3_TOM TAT" xfId="25548" xr:uid="{00000000-0005-0000-0000-0000B66D0000}"/>
    <cellStyle name="Ввод  4 2 4" xfId="2577" xr:uid="{00000000-0005-0000-0000-0000B76D0000}"/>
    <cellStyle name="Ввод  4 2 4 2" xfId="2578" xr:uid="{00000000-0005-0000-0000-0000B86D0000}"/>
    <cellStyle name="Ввод  4 2 4 2 2" xfId="5937" xr:uid="{00000000-0005-0000-0000-0000B96D0000}"/>
    <cellStyle name="Ввод  4 2 4 2 2 2" xfId="28539" xr:uid="{00000000-0005-0000-0000-0000BA6D0000}"/>
    <cellStyle name="Ввод  4 2 4 2 2_TOM TAT" xfId="25554" xr:uid="{00000000-0005-0000-0000-0000BB6D0000}"/>
    <cellStyle name="Ввод  4 2 4 2 3" xfId="27368" xr:uid="{00000000-0005-0000-0000-0000BC6D0000}"/>
    <cellStyle name="Ввод  4 2 4 2_TOM TAT" xfId="25553" xr:uid="{00000000-0005-0000-0000-0000BD6D0000}"/>
    <cellStyle name="Ввод  4 2 4 3" xfId="5938" xr:uid="{00000000-0005-0000-0000-0000BE6D0000}"/>
    <cellStyle name="Ввод  4 2 4 3 2" xfId="28540" xr:uid="{00000000-0005-0000-0000-0000BF6D0000}"/>
    <cellStyle name="Ввод  4 2 4 3_TOM TAT" xfId="25555" xr:uid="{00000000-0005-0000-0000-0000C06D0000}"/>
    <cellStyle name="Ввод  4 2 4 4" xfId="27367" xr:uid="{00000000-0005-0000-0000-0000C16D0000}"/>
    <cellStyle name="Ввод  4 2 4_TOM TAT" xfId="25552" xr:uid="{00000000-0005-0000-0000-0000C26D0000}"/>
    <cellStyle name="Ввод  4 2 5" xfId="2579" xr:uid="{00000000-0005-0000-0000-0000C36D0000}"/>
    <cellStyle name="Ввод  4 2 5 2" xfId="5939" xr:uid="{00000000-0005-0000-0000-0000C46D0000}"/>
    <cellStyle name="Ввод  4 2 5 2 2" xfId="28541" xr:uid="{00000000-0005-0000-0000-0000C56D0000}"/>
    <cellStyle name="Ввод  4 2 5 2_TOM TAT" xfId="25557" xr:uid="{00000000-0005-0000-0000-0000C66D0000}"/>
    <cellStyle name="Ввод  4 2 5 3" xfId="27369" xr:uid="{00000000-0005-0000-0000-0000C76D0000}"/>
    <cellStyle name="Ввод  4 2 5_TOM TAT" xfId="25556" xr:uid="{00000000-0005-0000-0000-0000C86D0000}"/>
    <cellStyle name="Ввод  4 2 6" xfId="2580" xr:uid="{00000000-0005-0000-0000-0000C96D0000}"/>
    <cellStyle name="Ввод  4 2 6 2" xfId="5940" xr:uid="{00000000-0005-0000-0000-0000CA6D0000}"/>
    <cellStyle name="Ввод  4 2 6 2 2" xfId="28542" xr:uid="{00000000-0005-0000-0000-0000CB6D0000}"/>
    <cellStyle name="Ввод  4 2 6 2_TOM TAT" xfId="25559" xr:uid="{00000000-0005-0000-0000-0000CC6D0000}"/>
    <cellStyle name="Ввод  4 2 6 3" xfId="27370" xr:uid="{00000000-0005-0000-0000-0000CD6D0000}"/>
    <cellStyle name="Ввод  4 2 6_TOM TAT" xfId="25558" xr:uid="{00000000-0005-0000-0000-0000CE6D0000}"/>
    <cellStyle name="Ввод  4 2 7" xfId="5941" xr:uid="{00000000-0005-0000-0000-0000CF6D0000}"/>
    <cellStyle name="Ввод  4 2 7 2" xfId="28543" xr:uid="{00000000-0005-0000-0000-0000D06D0000}"/>
    <cellStyle name="Ввод  4 2 7_TOM TAT" xfId="25560" xr:uid="{00000000-0005-0000-0000-0000D16D0000}"/>
    <cellStyle name="Ввод  4 2 8" xfId="27359" xr:uid="{00000000-0005-0000-0000-0000D26D0000}"/>
    <cellStyle name="Ввод  4 2_TOM TAT" xfId="25537" xr:uid="{00000000-0005-0000-0000-0000D36D0000}"/>
    <cellStyle name="Ввод  4 3" xfId="2581" xr:uid="{00000000-0005-0000-0000-0000D46D0000}"/>
    <cellStyle name="Ввод  4 3 2" xfId="2582" xr:uid="{00000000-0005-0000-0000-0000D56D0000}"/>
    <cellStyle name="Ввод  4 3 2 2" xfId="2583" xr:uid="{00000000-0005-0000-0000-0000D66D0000}"/>
    <cellStyle name="Ввод  4 3 2 2 2" xfId="2584" xr:uid="{00000000-0005-0000-0000-0000D76D0000}"/>
    <cellStyle name="Ввод  4 3 2 2 2 2" xfId="5942" xr:uid="{00000000-0005-0000-0000-0000D86D0000}"/>
    <cellStyle name="Ввод  4 3 2 2 2 2 2" xfId="28544" xr:uid="{00000000-0005-0000-0000-0000D96D0000}"/>
    <cellStyle name="Ввод  4 3 2 2 2 2_TOM TAT" xfId="25565" xr:uid="{00000000-0005-0000-0000-0000DA6D0000}"/>
    <cellStyle name="Ввод  4 3 2 2 2 3" xfId="27374" xr:uid="{00000000-0005-0000-0000-0000DB6D0000}"/>
    <cellStyle name="Ввод  4 3 2 2 2_TOM TAT" xfId="25564" xr:uid="{00000000-0005-0000-0000-0000DC6D0000}"/>
    <cellStyle name="Ввод  4 3 2 2 3" xfId="5943" xr:uid="{00000000-0005-0000-0000-0000DD6D0000}"/>
    <cellStyle name="Ввод  4 3 2 2 3 2" xfId="28545" xr:uid="{00000000-0005-0000-0000-0000DE6D0000}"/>
    <cellStyle name="Ввод  4 3 2 2 3_TOM TAT" xfId="25566" xr:uid="{00000000-0005-0000-0000-0000DF6D0000}"/>
    <cellStyle name="Ввод  4 3 2 2 4" xfId="27373" xr:uid="{00000000-0005-0000-0000-0000E06D0000}"/>
    <cellStyle name="Ввод  4 3 2 2_TOM TAT" xfId="25563" xr:uid="{00000000-0005-0000-0000-0000E16D0000}"/>
    <cellStyle name="Ввод  4 3 2 3" xfId="2585" xr:uid="{00000000-0005-0000-0000-0000E26D0000}"/>
    <cellStyle name="Ввод  4 3 2 3 2" xfId="5944" xr:uid="{00000000-0005-0000-0000-0000E36D0000}"/>
    <cellStyle name="Ввод  4 3 2 3 2 2" xfId="28546" xr:uid="{00000000-0005-0000-0000-0000E46D0000}"/>
    <cellStyle name="Ввод  4 3 2 3 2_TOM TAT" xfId="25568" xr:uid="{00000000-0005-0000-0000-0000E56D0000}"/>
    <cellStyle name="Ввод  4 3 2 3 3" xfId="27375" xr:uid="{00000000-0005-0000-0000-0000E66D0000}"/>
    <cellStyle name="Ввод  4 3 2 3_TOM TAT" xfId="25567" xr:uid="{00000000-0005-0000-0000-0000E76D0000}"/>
    <cellStyle name="Ввод  4 3 2 4" xfId="2586" xr:uid="{00000000-0005-0000-0000-0000E86D0000}"/>
    <cellStyle name="Ввод  4 3 2 4 2" xfId="5945" xr:uid="{00000000-0005-0000-0000-0000E96D0000}"/>
    <cellStyle name="Ввод  4 3 2 4 2 2" xfId="28547" xr:uid="{00000000-0005-0000-0000-0000EA6D0000}"/>
    <cellStyle name="Ввод  4 3 2 4 2_TOM TAT" xfId="25570" xr:uid="{00000000-0005-0000-0000-0000EB6D0000}"/>
    <cellStyle name="Ввод  4 3 2 4 3" xfId="27376" xr:uid="{00000000-0005-0000-0000-0000EC6D0000}"/>
    <cellStyle name="Ввод  4 3 2 4_TOM TAT" xfId="25569" xr:uid="{00000000-0005-0000-0000-0000ED6D0000}"/>
    <cellStyle name="Ввод  4 3 2 5" xfId="5946" xr:uid="{00000000-0005-0000-0000-0000EE6D0000}"/>
    <cellStyle name="Ввод  4 3 2 5 2" xfId="28548" xr:uid="{00000000-0005-0000-0000-0000EF6D0000}"/>
    <cellStyle name="Ввод  4 3 2 5_TOM TAT" xfId="25571" xr:uid="{00000000-0005-0000-0000-0000F06D0000}"/>
    <cellStyle name="Ввод  4 3 2 6" xfId="27372" xr:uid="{00000000-0005-0000-0000-0000F16D0000}"/>
    <cellStyle name="Ввод  4 3 2_TOM TAT" xfId="25562" xr:uid="{00000000-0005-0000-0000-0000F26D0000}"/>
    <cellStyle name="Ввод  4 3 3" xfId="2587" xr:uid="{00000000-0005-0000-0000-0000F36D0000}"/>
    <cellStyle name="Ввод  4 3 3 2" xfId="2588" xr:uid="{00000000-0005-0000-0000-0000F46D0000}"/>
    <cellStyle name="Ввод  4 3 3 2 2" xfId="5947" xr:uid="{00000000-0005-0000-0000-0000F56D0000}"/>
    <cellStyle name="Ввод  4 3 3 2 2 2" xfId="28549" xr:uid="{00000000-0005-0000-0000-0000F66D0000}"/>
    <cellStyle name="Ввод  4 3 3 2 2_TOM TAT" xfId="25574" xr:uid="{00000000-0005-0000-0000-0000F76D0000}"/>
    <cellStyle name="Ввод  4 3 3 2 3" xfId="27378" xr:uid="{00000000-0005-0000-0000-0000F86D0000}"/>
    <cellStyle name="Ввод  4 3 3 2_TOM TAT" xfId="25573" xr:uid="{00000000-0005-0000-0000-0000F96D0000}"/>
    <cellStyle name="Ввод  4 3 3 3" xfId="5948" xr:uid="{00000000-0005-0000-0000-0000FA6D0000}"/>
    <cellStyle name="Ввод  4 3 3 3 2" xfId="28550" xr:uid="{00000000-0005-0000-0000-0000FB6D0000}"/>
    <cellStyle name="Ввод  4 3 3 3_TOM TAT" xfId="25575" xr:uid="{00000000-0005-0000-0000-0000FC6D0000}"/>
    <cellStyle name="Ввод  4 3 3 4" xfId="27377" xr:uid="{00000000-0005-0000-0000-0000FD6D0000}"/>
    <cellStyle name="Ввод  4 3 3_TOM TAT" xfId="25572" xr:uid="{00000000-0005-0000-0000-0000FE6D0000}"/>
    <cellStyle name="Ввод  4 3 4" xfId="2589" xr:uid="{00000000-0005-0000-0000-0000FF6D0000}"/>
    <cellStyle name="Ввод  4 3 4 2" xfId="2590" xr:uid="{00000000-0005-0000-0000-0000006E0000}"/>
    <cellStyle name="Ввод  4 3 4 2 2" xfId="5949" xr:uid="{00000000-0005-0000-0000-0000016E0000}"/>
    <cellStyle name="Ввод  4 3 4 2 2 2" xfId="28551" xr:uid="{00000000-0005-0000-0000-0000026E0000}"/>
    <cellStyle name="Ввод  4 3 4 2 2_TOM TAT" xfId="25578" xr:uid="{00000000-0005-0000-0000-0000036E0000}"/>
    <cellStyle name="Ввод  4 3 4 2 3" xfId="27380" xr:uid="{00000000-0005-0000-0000-0000046E0000}"/>
    <cellStyle name="Ввод  4 3 4 2_TOM TAT" xfId="25577" xr:uid="{00000000-0005-0000-0000-0000056E0000}"/>
    <cellStyle name="Ввод  4 3 4 3" xfId="5950" xr:uid="{00000000-0005-0000-0000-0000066E0000}"/>
    <cellStyle name="Ввод  4 3 4 3 2" xfId="28552" xr:uid="{00000000-0005-0000-0000-0000076E0000}"/>
    <cellStyle name="Ввод  4 3 4 3_TOM TAT" xfId="25579" xr:uid="{00000000-0005-0000-0000-0000086E0000}"/>
    <cellStyle name="Ввод  4 3 4 4" xfId="27379" xr:uid="{00000000-0005-0000-0000-0000096E0000}"/>
    <cellStyle name="Ввод  4 3 4_TOM TAT" xfId="25576" xr:uid="{00000000-0005-0000-0000-00000A6E0000}"/>
    <cellStyle name="Ввод  4 3 5" xfId="2591" xr:uid="{00000000-0005-0000-0000-00000B6E0000}"/>
    <cellStyle name="Ввод  4 3 5 2" xfId="5951" xr:uid="{00000000-0005-0000-0000-00000C6E0000}"/>
    <cellStyle name="Ввод  4 3 5 2 2" xfId="28553" xr:uid="{00000000-0005-0000-0000-00000D6E0000}"/>
    <cellStyle name="Ввод  4 3 5 2_TOM TAT" xfId="25581" xr:uid="{00000000-0005-0000-0000-00000E6E0000}"/>
    <cellStyle name="Ввод  4 3 5 3" xfId="27381" xr:uid="{00000000-0005-0000-0000-00000F6E0000}"/>
    <cellStyle name="Ввод  4 3 5_TOM TAT" xfId="25580" xr:uid="{00000000-0005-0000-0000-0000106E0000}"/>
    <cellStyle name="Ввод  4 3 6" xfId="2592" xr:uid="{00000000-0005-0000-0000-0000116E0000}"/>
    <cellStyle name="Ввод  4 3 6 2" xfId="5952" xr:uid="{00000000-0005-0000-0000-0000126E0000}"/>
    <cellStyle name="Ввод  4 3 6 2 2" xfId="28554" xr:uid="{00000000-0005-0000-0000-0000136E0000}"/>
    <cellStyle name="Ввод  4 3 6 2_TOM TAT" xfId="25583" xr:uid="{00000000-0005-0000-0000-0000146E0000}"/>
    <cellStyle name="Ввод  4 3 6 3" xfId="27382" xr:uid="{00000000-0005-0000-0000-0000156E0000}"/>
    <cellStyle name="Ввод  4 3 6_TOM TAT" xfId="25582" xr:uid="{00000000-0005-0000-0000-0000166E0000}"/>
    <cellStyle name="Ввод  4 3 7" xfId="5953" xr:uid="{00000000-0005-0000-0000-0000176E0000}"/>
    <cellStyle name="Ввод  4 3 7 2" xfId="28555" xr:uid="{00000000-0005-0000-0000-0000186E0000}"/>
    <cellStyle name="Ввод  4 3 7_TOM TAT" xfId="25584" xr:uid="{00000000-0005-0000-0000-0000196E0000}"/>
    <cellStyle name="Ввод  4 3 8" xfId="27371" xr:uid="{00000000-0005-0000-0000-00001A6E0000}"/>
    <cellStyle name="Ввод  4 3_TOM TAT" xfId="25561" xr:uid="{00000000-0005-0000-0000-00001B6E0000}"/>
    <cellStyle name="Ввод  4 4" xfId="2593" xr:uid="{00000000-0005-0000-0000-00001C6E0000}"/>
    <cellStyle name="Ввод  4 4 2" xfId="2594" xr:uid="{00000000-0005-0000-0000-00001D6E0000}"/>
    <cellStyle name="Ввод  4 4 2 2" xfId="2595" xr:uid="{00000000-0005-0000-0000-00001E6E0000}"/>
    <cellStyle name="Ввод  4 4 2 2 2" xfId="5954" xr:uid="{00000000-0005-0000-0000-00001F6E0000}"/>
    <cellStyle name="Ввод  4 4 2 2 2 2" xfId="28556" xr:uid="{00000000-0005-0000-0000-0000206E0000}"/>
    <cellStyle name="Ввод  4 4 2 2 2_TOM TAT" xfId="25588" xr:uid="{00000000-0005-0000-0000-0000216E0000}"/>
    <cellStyle name="Ввод  4 4 2 2 3" xfId="27385" xr:uid="{00000000-0005-0000-0000-0000226E0000}"/>
    <cellStyle name="Ввод  4 4 2 2_TOM TAT" xfId="25587" xr:uid="{00000000-0005-0000-0000-0000236E0000}"/>
    <cellStyle name="Ввод  4 4 2 3" xfId="5955" xr:uid="{00000000-0005-0000-0000-0000246E0000}"/>
    <cellStyle name="Ввод  4 4 2 3 2" xfId="28557" xr:uid="{00000000-0005-0000-0000-0000256E0000}"/>
    <cellStyle name="Ввод  4 4 2 3_TOM TAT" xfId="25589" xr:uid="{00000000-0005-0000-0000-0000266E0000}"/>
    <cellStyle name="Ввод  4 4 2 4" xfId="27384" xr:uid="{00000000-0005-0000-0000-0000276E0000}"/>
    <cellStyle name="Ввод  4 4 2_TOM TAT" xfId="25586" xr:uid="{00000000-0005-0000-0000-0000286E0000}"/>
    <cellStyle name="Ввод  4 4 3" xfId="2596" xr:uid="{00000000-0005-0000-0000-0000296E0000}"/>
    <cellStyle name="Ввод  4 4 3 2" xfId="5956" xr:uid="{00000000-0005-0000-0000-00002A6E0000}"/>
    <cellStyle name="Ввод  4 4 3 2 2" xfId="28558" xr:uid="{00000000-0005-0000-0000-00002B6E0000}"/>
    <cellStyle name="Ввод  4 4 3 2_TOM TAT" xfId="25591" xr:uid="{00000000-0005-0000-0000-00002C6E0000}"/>
    <cellStyle name="Ввод  4 4 3 3" xfId="27386" xr:uid="{00000000-0005-0000-0000-00002D6E0000}"/>
    <cellStyle name="Ввод  4 4 3_TOM TAT" xfId="25590" xr:uid="{00000000-0005-0000-0000-00002E6E0000}"/>
    <cellStyle name="Ввод  4 4 4" xfId="2597" xr:uid="{00000000-0005-0000-0000-00002F6E0000}"/>
    <cellStyle name="Ввод  4 4 4 2" xfId="5957" xr:uid="{00000000-0005-0000-0000-0000306E0000}"/>
    <cellStyle name="Ввод  4 4 4 2 2" xfId="28559" xr:uid="{00000000-0005-0000-0000-0000316E0000}"/>
    <cellStyle name="Ввод  4 4 4 2_TOM TAT" xfId="25593" xr:uid="{00000000-0005-0000-0000-0000326E0000}"/>
    <cellStyle name="Ввод  4 4 4 3" xfId="27387" xr:uid="{00000000-0005-0000-0000-0000336E0000}"/>
    <cellStyle name="Ввод  4 4 4_TOM TAT" xfId="25592" xr:uid="{00000000-0005-0000-0000-0000346E0000}"/>
    <cellStyle name="Ввод  4 4 5" xfId="5958" xr:uid="{00000000-0005-0000-0000-0000356E0000}"/>
    <cellStyle name="Ввод  4 4 5 2" xfId="28560" xr:uid="{00000000-0005-0000-0000-0000366E0000}"/>
    <cellStyle name="Ввод  4 4 5_TOM TAT" xfId="25594" xr:uid="{00000000-0005-0000-0000-0000376E0000}"/>
    <cellStyle name="Ввод  4 4 6" xfId="27383" xr:uid="{00000000-0005-0000-0000-0000386E0000}"/>
    <cellStyle name="Ввод  4 4_TOM TAT" xfId="25585" xr:uid="{00000000-0005-0000-0000-0000396E0000}"/>
    <cellStyle name="Ввод  4 5" xfId="2598" xr:uid="{00000000-0005-0000-0000-00003A6E0000}"/>
    <cellStyle name="Ввод  4 5 2" xfId="2599" xr:uid="{00000000-0005-0000-0000-00003B6E0000}"/>
    <cellStyle name="Ввод  4 5 2 2" xfId="5959" xr:uid="{00000000-0005-0000-0000-00003C6E0000}"/>
    <cellStyle name="Ввод  4 5 2 2 2" xfId="28561" xr:uid="{00000000-0005-0000-0000-00003D6E0000}"/>
    <cellStyle name="Ввод  4 5 2 2_TOM TAT" xfId="25597" xr:uid="{00000000-0005-0000-0000-00003E6E0000}"/>
    <cellStyle name="Ввод  4 5 2 3" xfId="27389" xr:uid="{00000000-0005-0000-0000-00003F6E0000}"/>
    <cellStyle name="Ввод  4 5 2_TOM TAT" xfId="25596" xr:uid="{00000000-0005-0000-0000-0000406E0000}"/>
    <cellStyle name="Ввод  4 5 3" xfId="5960" xr:uid="{00000000-0005-0000-0000-0000416E0000}"/>
    <cellStyle name="Ввод  4 5 3 2" xfId="28562" xr:uid="{00000000-0005-0000-0000-0000426E0000}"/>
    <cellStyle name="Ввод  4 5 3_TOM TAT" xfId="25598" xr:uid="{00000000-0005-0000-0000-0000436E0000}"/>
    <cellStyle name="Ввод  4 5 4" xfId="27388" xr:uid="{00000000-0005-0000-0000-0000446E0000}"/>
    <cellStyle name="Ввод  4 5_TOM TAT" xfId="25595" xr:uid="{00000000-0005-0000-0000-0000456E0000}"/>
    <cellStyle name="Ввод  4 6" xfId="2600" xr:uid="{00000000-0005-0000-0000-0000466E0000}"/>
    <cellStyle name="Ввод  4 6 2" xfId="2601" xr:uid="{00000000-0005-0000-0000-0000476E0000}"/>
    <cellStyle name="Ввод  4 6 2 2" xfId="5961" xr:uid="{00000000-0005-0000-0000-0000486E0000}"/>
    <cellStyle name="Ввод  4 6 2 2 2" xfId="28563" xr:uid="{00000000-0005-0000-0000-0000496E0000}"/>
    <cellStyle name="Ввод  4 6 2 2_TOM TAT" xfId="25601" xr:uid="{00000000-0005-0000-0000-00004A6E0000}"/>
    <cellStyle name="Ввод  4 6 2 3" xfId="27391" xr:uid="{00000000-0005-0000-0000-00004B6E0000}"/>
    <cellStyle name="Ввод  4 6 2_TOM TAT" xfId="25600" xr:uid="{00000000-0005-0000-0000-00004C6E0000}"/>
    <cellStyle name="Ввод  4 6 3" xfId="5962" xr:uid="{00000000-0005-0000-0000-00004D6E0000}"/>
    <cellStyle name="Ввод  4 6 3 2" xfId="28564" xr:uid="{00000000-0005-0000-0000-00004E6E0000}"/>
    <cellStyle name="Ввод  4 6 3_TOM TAT" xfId="25602" xr:uid="{00000000-0005-0000-0000-00004F6E0000}"/>
    <cellStyle name="Ввод  4 6 4" xfId="27390" xr:uid="{00000000-0005-0000-0000-0000506E0000}"/>
    <cellStyle name="Ввод  4 6_TOM TAT" xfId="25599" xr:uid="{00000000-0005-0000-0000-0000516E0000}"/>
    <cellStyle name="Ввод  4 7" xfId="2602" xr:uid="{00000000-0005-0000-0000-0000526E0000}"/>
    <cellStyle name="Ввод  4 7 2" xfId="5963" xr:uid="{00000000-0005-0000-0000-0000536E0000}"/>
    <cellStyle name="Ввод  4 7 2 2" xfId="28565" xr:uid="{00000000-0005-0000-0000-0000546E0000}"/>
    <cellStyle name="Ввод  4 7 2_TOM TAT" xfId="25604" xr:uid="{00000000-0005-0000-0000-0000556E0000}"/>
    <cellStyle name="Ввод  4 7 3" xfId="27392" xr:uid="{00000000-0005-0000-0000-0000566E0000}"/>
    <cellStyle name="Ввод  4 7_TOM TAT" xfId="25603" xr:uid="{00000000-0005-0000-0000-0000576E0000}"/>
    <cellStyle name="Ввод  4 8" xfId="2603" xr:uid="{00000000-0005-0000-0000-0000586E0000}"/>
    <cellStyle name="Ввод  4 8 2" xfId="5964" xr:uid="{00000000-0005-0000-0000-0000596E0000}"/>
    <cellStyle name="Ввод  4 8 2 2" xfId="28566" xr:uid="{00000000-0005-0000-0000-00005A6E0000}"/>
    <cellStyle name="Ввод  4 8 2_TOM TAT" xfId="25606" xr:uid="{00000000-0005-0000-0000-00005B6E0000}"/>
    <cellStyle name="Ввод  4 8 3" xfId="27393" xr:uid="{00000000-0005-0000-0000-00005C6E0000}"/>
    <cellStyle name="Ввод  4 8_TOM TAT" xfId="25605" xr:uid="{00000000-0005-0000-0000-00005D6E0000}"/>
    <cellStyle name="Ввод  4 9" xfId="5965" xr:uid="{00000000-0005-0000-0000-00005E6E0000}"/>
    <cellStyle name="Ввод  4 9 2" xfId="28567" xr:uid="{00000000-0005-0000-0000-00005F6E0000}"/>
    <cellStyle name="Ввод  4 9_TOM TAT" xfId="25607" xr:uid="{00000000-0005-0000-0000-0000606E0000}"/>
    <cellStyle name="Ввод  4_TOM TAT" xfId="25536" xr:uid="{00000000-0005-0000-0000-0000616E0000}"/>
    <cellStyle name="Ввод  5" xfId="2604" xr:uid="{00000000-0005-0000-0000-0000626E0000}"/>
    <cellStyle name="Ввод  5 10" xfId="27394" xr:uid="{00000000-0005-0000-0000-0000636E0000}"/>
    <cellStyle name="Ввод  5 2" xfId="2605" xr:uid="{00000000-0005-0000-0000-0000646E0000}"/>
    <cellStyle name="Ввод  5 2 2" xfId="2606" xr:uid="{00000000-0005-0000-0000-0000656E0000}"/>
    <cellStyle name="Ввод  5 2 2 2" xfId="2607" xr:uid="{00000000-0005-0000-0000-0000666E0000}"/>
    <cellStyle name="Ввод  5 2 2 2 2" xfId="2608" xr:uid="{00000000-0005-0000-0000-0000676E0000}"/>
    <cellStyle name="Ввод  5 2 2 2 2 2" xfId="5966" xr:uid="{00000000-0005-0000-0000-0000686E0000}"/>
    <cellStyle name="Ввод  5 2 2 2 2 2 2" xfId="28568" xr:uid="{00000000-0005-0000-0000-0000696E0000}"/>
    <cellStyle name="Ввод  5 2 2 2 2 2_TOM TAT" xfId="25613" xr:uid="{00000000-0005-0000-0000-00006A6E0000}"/>
    <cellStyle name="Ввод  5 2 2 2 2 3" xfId="27398" xr:uid="{00000000-0005-0000-0000-00006B6E0000}"/>
    <cellStyle name="Ввод  5 2 2 2 2_TOM TAT" xfId="25612" xr:uid="{00000000-0005-0000-0000-00006C6E0000}"/>
    <cellStyle name="Ввод  5 2 2 2 3" xfId="5967" xr:uid="{00000000-0005-0000-0000-00006D6E0000}"/>
    <cellStyle name="Ввод  5 2 2 2 3 2" xfId="28569" xr:uid="{00000000-0005-0000-0000-00006E6E0000}"/>
    <cellStyle name="Ввод  5 2 2 2 3_TOM TAT" xfId="25614" xr:uid="{00000000-0005-0000-0000-00006F6E0000}"/>
    <cellStyle name="Ввод  5 2 2 2 4" xfId="27397" xr:uid="{00000000-0005-0000-0000-0000706E0000}"/>
    <cellStyle name="Ввод  5 2 2 2_TOM TAT" xfId="25611" xr:uid="{00000000-0005-0000-0000-0000716E0000}"/>
    <cellStyle name="Ввод  5 2 2 3" xfId="2609" xr:uid="{00000000-0005-0000-0000-0000726E0000}"/>
    <cellStyle name="Ввод  5 2 2 3 2" xfId="5968" xr:uid="{00000000-0005-0000-0000-0000736E0000}"/>
    <cellStyle name="Ввод  5 2 2 3 2 2" xfId="28570" xr:uid="{00000000-0005-0000-0000-0000746E0000}"/>
    <cellStyle name="Ввод  5 2 2 3 2_TOM TAT" xfId="25616" xr:uid="{00000000-0005-0000-0000-0000756E0000}"/>
    <cellStyle name="Ввод  5 2 2 3 3" xfId="27399" xr:uid="{00000000-0005-0000-0000-0000766E0000}"/>
    <cellStyle name="Ввод  5 2 2 3_TOM TAT" xfId="25615" xr:uid="{00000000-0005-0000-0000-0000776E0000}"/>
    <cellStyle name="Ввод  5 2 2 4" xfId="2610" xr:uid="{00000000-0005-0000-0000-0000786E0000}"/>
    <cellStyle name="Ввод  5 2 2 4 2" xfId="5969" xr:uid="{00000000-0005-0000-0000-0000796E0000}"/>
    <cellStyle name="Ввод  5 2 2 4 2 2" xfId="28571" xr:uid="{00000000-0005-0000-0000-00007A6E0000}"/>
    <cellStyle name="Ввод  5 2 2 4 2_TOM TAT" xfId="25618" xr:uid="{00000000-0005-0000-0000-00007B6E0000}"/>
    <cellStyle name="Ввод  5 2 2 4 3" xfId="27400" xr:uid="{00000000-0005-0000-0000-00007C6E0000}"/>
    <cellStyle name="Ввод  5 2 2 4_TOM TAT" xfId="25617" xr:uid="{00000000-0005-0000-0000-00007D6E0000}"/>
    <cellStyle name="Ввод  5 2 2 5" xfId="5970" xr:uid="{00000000-0005-0000-0000-00007E6E0000}"/>
    <cellStyle name="Ввод  5 2 2 5 2" xfId="28572" xr:uid="{00000000-0005-0000-0000-00007F6E0000}"/>
    <cellStyle name="Ввод  5 2 2 5_TOM TAT" xfId="25619" xr:uid="{00000000-0005-0000-0000-0000806E0000}"/>
    <cellStyle name="Ввод  5 2 2 6" xfId="27396" xr:uid="{00000000-0005-0000-0000-0000816E0000}"/>
    <cellStyle name="Ввод  5 2 2_TOM TAT" xfId="25610" xr:uid="{00000000-0005-0000-0000-0000826E0000}"/>
    <cellStyle name="Ввод  5 2 3" xfId="2611" xr:uid="{00000000-0005-0000-0000-0000836E0000}"/>
    <cellStyle name="Ввод  5 2 3 2" xfId="2612" xr:uid="{00000000-0005-0000-0000-0000846E0000}"/>
    <cellStyle name="Ввод  5 2 3 2 2" xfId="5971" xr:uid="{00000000-0005-0000-0000-0000856E0000}"/>
    <cellStyle name="Ввод  5 2 3 2 2 2" xfId="28573" xr:uid="{00000000-0005-0000-0000-0000866E0000}"/>
    <cellStyle name="Ввод  5 2 3 2 2_TOM TAT" xfId="25622" xr:uid="{00000000-0005-0000-0000-0000876E0000}"/>
    <cellStyle name="Ввод  5 2 3 2 3" xfId="27402" xr:uid="{00000000-0005-0000-0000-0000886E0000}"/>
    <cellStyle name="Ввод  5 2 3 2_TOM TAT" xfId="25621" xr:uid="{00000000-0005-0000-0000-0000896E0000}"/>
    <cellStyle name="Ввод  5 2 3 3" xfId="5972" xr:uid="{00000000-0005-0000-0000-00008A6E0000}"/>
    <cellStyle name="Ввод  5 2 3 3 2" xfId="28574" xr:uid="{00000000-0005-0000-0000-00008B6E0000}"/>
    <cellStyle name="Ввод  5 2 3 3_TOM TAT" xfId="25623" xr:uid="{00000000-0005-0000-0000-00008C6E0000}"/>
    <cellStyle name="Ввод  5 2 3 4" xfId="27401" xr:uid="{00000000-0005-0000-0000-00008D6E0000}"/>
    <cellStyle name="Ввод  5 2 3_TOM TAT" xfId="25620" xr:uid="{00000000-0005-0000-0000-00008E6E0000}"/>
    <cellStyle name="Ввод  5 2 4" xfId="2613" xr:uid="{00000000-0005-0000-0000-00008F6E0000}"/>
    <cellStyle name="Ввод  5 2 4 2" xfId="2614" xr:uid="{00000000-0005-0000-0000-0000906E0000}"/>
    <cellStyle name="Ввод  5 2 4 2 2" xfId="5973" xr:uid="{00000000-0005-0000-0000-0000916E0000}"/>
    <cellStyle name="Ввод  5 2 4 2 2 2" xfId="28575" xr:uid="{00000000-0005-0000-0000-0000926E0000}"/>
    <cellStyle name="Ввод  5 2 4 2 2_TOM TAT" xfId="25626" xr:uid="{00000000-0005-0000-0000-0000936E0000}"/>
    <cellStyle name="Ввод  5 2 4 2 3" xfId="27404" xr:uid="{00000000-0005-0000-0000-0000946E0000}"/>
    <cellStyle name="Ввод  5 2 4 2_TOM TAT" xfId="25625" xr:uid="{00000000-0005-0000-0000-0000956E0000}"/>
    <cellStyle name="Ввод  5 2 4 3" xfId="5974" xr:uid="{00000000-0005-0000-0000-0000966E0000}"/>
    <cellStyle name="Ввод  5 2 4 3 2" xfId="28576" xr:uid="{00000000-0005-0000-0000-0000976E0000}"/>
    <cellStyle name="Ввод  5 2 4 3_TOM TAT" xfId="25627" xr:uid="{00000000-0005-0000-0000-0000986E0000}"/>
    <cellStyle name="Ввод  5 2 4 4" xfId="27403" xr:uid="{00000000-0005-0000-0000-0000996E0000}"/>
    <cellStyle name="Ввод  5 2 4_TOM TAT" xfId="25624" xr:uid="{00000000-0005-0000-0000-00009A6E0000}"/>
    <cellStyle name="Ввод  5 2 5" xfId="2615" xr:uid="{00000000-0005-0000-0000-00009B6E0000}"/>
    <cellStyle name="Ввод  5 2 5 2" xfId="5975" xr:uid="{00000000-0005-0000-0000-00009C6E0000}"/>
    <cellStyle name="Ввод  5 2 5 2 2" xfId="28577" xr:uid="{00000000-0005-0000-0000-00009D6E0000}"/>
    <cellStyle name="Ввод  5 2 5 2_TOM TAT" xfId="25629" xr:uid="{00000000-0005-0000-0000-00009E6E0000}"/>
    <cellStyle name="Ввод  5 2 5 3" xfId="27405" xr:uid="{00000000-0005-0000-0000-00009F6E0000}"/>
    <cellStyle name="Ввод  5 2 5_TOM TAT" xfId="25628" xr:uid="{00000000-0005-0000-0000-0000A06E0000}"/>
    <cellStyle name="Ввод  5 2 6" xfId="2616" xr:uid="{00000000-0005-0000-0000-0000A16E0000}"/>
    <cellStyle name="Ввод  5 2 6 2" xfId="5976" xr:uid="{00000000-0005-0000-0000-0000A26E0000}"/>
    <cellStyle name="Ввод  5 2 6 2 2" xfId="28578" xr:uid="{00000000-0005-0000-0000-0000A36E0000}"/>
    <cellStyle name="Ввод  5 2 6 2_TOM TAT" xfId="25631" xr:uid="{00000000-0005-0000-0000-0000A46E0000}"/>
    <cellStyle name="Ввод  5 2 6 3" xfId="27406" xr:uid="{00000000-0005-0000-0000-0000A56E0000}"/>
    <cellStyle name="Ввод  5 2 6_TOM TAT" xfId="25630" xr:uid="{00000000-0005-0000-0000-0000A66E0000}"/>
    <cellStyle name="Ввод  5 2 7" xfId="5977" xr:uid="{00000000-0005-0000-0000-0000A76E0000}"/>
    <cellStyle name="Ввод  5 2 7 2" xfId="28579" xr:uid="{00000000-0005-0000-0000-0000A86E0000}"/>
    <cellStyle name="Ввод  5 2 7_TOM TAT" xfId="25632" xr:uid="{00000000-0005-0000-0000-0000A96E0000}"/>
    <cellStyle name="Ввод  5 2 8" xfId="27395" xr:uid="{00000000-0005-0000-0000-0000AA6E0000}"/>
    <cellStyle name="Ввод  5 2_TOM TAT" xfId="25609" xr:uid="{00000000-0005-0000-0000-0000AB6E0000}"/>
    <cellStyle name="Ввод  5 3" xfId="2617" xr:uid="{00000000-0005-0000-0000-0000AC6E0000}"/>
    <cellStyle name="Ввод  5 3 2" xfId="2618" xr:uid="{00000000-0005-0000-0000-0000AD6E0000}"/>
    <cellStyle name="Ввод  5 3 2 2" xfId="2619" xr:uid="{00000000-0005-0000-0000-0000AE6E0000}"/>
    <cellStyle name="Ввод  5 3 2 2 2" xfId="2620" xr:uid="{00000000-0005-0000-0000-0000AF6E0000}"/>
    <cellStyle name="Ввод  5 3 2 2 2 2" xfId="5978" xr:uid="{00000000-0005-0000-0000-0000B06E0000}"/>
    <cellStyle name="Ввод  5 3 2 2 2 2 2" xfId="28580" xr:uid="{00000000-0005-0000-0000-0000B16E0000}"/>
    <cellStyle name="Ввод  5 3 2 2 2 2_TOM TAT" xfId="25637" xr:uid="{00000000-0005-0000-0000-0000B26E0000}"/>
    <cellStyle name="Ввод  5 3 2 2 2 3" xfId="27410" xr:uid="{00000000-0005-0000-0000-0000B36E0000}"/>
    <cellStyle name="Ввод  5 3 2 2 2_TOM TAT" xfId="25636" xr:uid="{00000000-0005-0000-0000-0000B46E0000}"/>
    <cellStyle name="Ввод  5 3 2 2 3" xfId="5979" xr:uid="{00000000-0005-0000-0000-0000B56E0000}"/>
    <cellStyle name="Ввод  5 3 2 2 3 2" xfId="28581" xr:uid="{00000000-0005-0000-0000-0000B66E0000}"/>
    <cellStyle name="Ввод  5 3 2 2 3_TOM TAT" xfId="25638" xr:uid="{00000000-0005-0000-0000-0000B76E0000}"/>
    <cellStyle name="Ввод  5 3 2 2 4" xfId="27409" xr:uid="{00000000-0005-0000-0000-0000B86E0000}"/>
    <cellStyle name="Ввод  5 3 2 2_TOM TAT" xfId="25635" xr:uid="{00000000-0005-0000-0000-0000B96E0000}"/>
    <cellStyle name="Ввод  5 3 2 3" xfId="2621" xr:uid="{00000000-0005-0000-0000-0000BA6E0000}"/>
    <cellStyle name="Ввод  5 3 2 3 2" xfId="5980" xr:uid="{00000000-0005-0000-0000-0000BB6E0000}"/>
    <cellStyle name="Ввод  5 3 2 3 2 2" xfId="28582" xr:uid="{00000000-0005-0000-0000-0000BC6E0000}"/>
    <cellStyle name="Ввод  5 3 2 3 2_TOM TAT" xfId="25640" xr:uid="{00000000-0005-0000-0000-0000BD6E0000}"/>
    <cellStyle name="Ввод  5 3 2 3 3" xfId="27411" xr:uid="{00000000-0005-0000-0000-0000BE6E0000}"/>
    <cellStyle name="Ввод  5 3 2 3_TOM TAT" xfId="25639" xr:uid="{00000000-0005-0000-0000-0000BF6E0000}"/>
    <cellStyle name="Ввод  5 3 2 4" xfId="2622" xr:uid="{00000000-0005-0000-0000-0000C06E0000}"/>
    <cellStyle name="Ввод  5 3 2 4 2" xfId="5981" xr:uid="{00000000-0005-0000-0000-0000C16E0000}"/>
    <cellStyle name="Ввод  5 3 2 4 2 2" xfId="28583" xr:uid="{00000000-0005-0000-0000-0000C26E0000}"/>
    <cellStyle name="Ввод  5 3 2 4 2_TOM TAT" xfId="25642" xr:uid="{00000000-0005-0000-0000-0000C36E0000}"/>
    <cellStyle name="Ввод  5 3 2 4 3" xfId="27412" xr:uid="{00000000-0005-0000-0000-0000C46E0000}"/>
    <cellStyle name="Ввод  5 3 2 4_TOM TAT" xfId="25641" xr:uid="{00000000-0005-0000-0000-0000C56E0000}"/>
    <cellStyle name="Ввод  5 3 2 5" xfId="5982" xr:uid="{00000000-0005-0000-0000-0000C66E0000}"/>
    <cellStyle name="Ввод  5 3 2 5 2" xfId="28584" xr:uid="{00000000-0005-0000-0000-0000C76E0000}"/>
    <cellStyle name="Ввод  5 3 2 5_TOM TAT" xfId="25643" xr:uid="{00000000-0005-0000-0000-0000C86E0000}"/>
    <cellStyle name="Ввод  5 3 2 6" xfId="27408" xr:uid="{00000000-0005-0000-0000-0000C96E0000}"/>
    <cellStyle name="Ввод  5 3 2_TOM TAT" xfId="25634" xr:uid="{00000000-0005-0000-0000-0000CA6E0000}"/>
    <cellStyle name="Ввод  5 3 3" xfId="2623" xr:uid="{00000000-0005-0000-0000-0000CB6E0000}"/>
    <cellStyle name="Ввод  5 3 3 2" xfId="2624" xr:uid="{00000000-0005-0000-0000-0000CC6E0000}"/>
    <cellStyle name="Ввод  5 3 3 2 2" xfId="5983" xr:uid="{00000000-0005-0000-0000-0000CD6E0000}"/>
    <cellStyle name="Ввод  5 3 3 2 2 2" xfId="28585" xr:uid="{00000000-0005-0000-0000-0000CE6E0000}"/>
    <cellStyle name="Ввод  5 3 3 2 2_TOM TAT" xfId="25646" xr:uid="{00000000-0005-0000-0000-0000CF6E0000}"/>
    <cellStyle name="Ввод  5 3 3 2 3" xfId="27414" xr:uid="{00000000-0005-0000-0000-0000D06E0000}"/>
    <cellStyle name="Ввод  5 3 3 2_TOM TAT" xfId="25645" xr:uid="{00000000-0005-0000-0000-0000D16E0000}"/>
    <cellStyle name="Ввод  5 3 3 3" xfId="5984" xr:uid="{00000000-0005-0000-0000-0000D26E0000}"/>
    <cellStyle name="Ввод  5 3 3 3 2" xfId="28586" xr:uid="{00000000-0005-0000-0000-0000D36E0000}"/>
    <cellStyle name="Ввод  5 3 3 3_TOM TAT" xfId="25647" xr:uid="{00000000-0005-0000-0000-0000D46E0000}"/>
    <cellStyle name="Ввод  5 3 3 4" xfId="27413" xr:uid="{00000000-0005-0000-0000-0000D56E0000}"/>
    <cellStyle name="Ввод  5 3 3_TOM TAT" xfId="25644" xr:uid="{00000000-0005-0000-0000-0000D66E0000}"/>
    <cellStyle name="Ввод  5 3 4" xfId="2625" xr:uid="{00000000-0005-0000-0000-0000D76E0000}"/>
    <cellStyle name="Ввод  5 3 4 2" xfId="2626" xr:uid="{00000000-0005-0000-0000-0000D86E0000}"/>
    <cellStyle name="Ввод  5 3 4 2 2" xfId="5985" xr:uid="{00000000-0005-0000-0000-0000D96E0000}"/>
    <cellStyle name="Ввод  5 3 4 2 2 2" xfId="28587" xr:uid="{00000000-0005-0000-0000-0000DA6E0000}"/>
    <cellStyle name="Ввод  5 3 4 2 2_TOM TAT" xfId="25650" xr:uid="{00000000-0005-0000-0000-0000DB6E0000}"/>
    <cellStyle name="Ввод  5 3 4 2 3" xfId="27416" xr:uid="{00000000-0005-0000-0000-0000DC6E0000}"/>
    <cellStyle name="Ввод  5 3 4 2_TOM TAT" xfId="25649" xr:uid="{00000000-0005-0000-0000-0000DD6E0000}"/>
    <cellStyle name="Ввод  5 3 4 3" xfId="5986" xr:uid="{00000000-0005-0000-0000-0000DE6E0000}"/>
    <cellStyle name="Ввод  5 3 4 3 2" xfId="28588" xr:uid="{00000000-0005-0000-0000-0000DF6E0000}"/>
    <cellStyle name="Ввод  5 3 4 3_TOM TAT" xfId="25651" xr:uid="{00000000-0005-0000-0000-0000E06E0000}"/>
    <cellStyle name="Ввод  5 3 4 4" xfId="27415" xr:uid="{00000000-0005-0000-0000-0000E16E0000}"/>
    <cellStyle name="Ввод  5 3 4_TOM TAT" xfId="25648" xr:uid="{00000000-0005-0000-0000-0000E26E0000}"/>
    <cellStyle name="Ввод  5 3 5" xfId="2627" xr:uid="{00000000-0005-0000-0000-0000E36E0000}"/>
    <cellStyle name="Ввод  5 3 5 2" xfId="5987" xr:uid="{00000000-0005-0000-0000-0000E46E0000}"/>
    <cellStyle name="Ввод  5 3 5 2 2" xfId="28589" xr:uid="{00000000-0005-0000-0000-0000E56E0000}"/>
    <cellStyle name="Ввод  5 3 5 2_TOM TAT" xfId="25653" xr:uid="{00000000-0005-0000-0000-0000E66E0000}"/>
    <cellStyle name="Ввод  5 3 5 3" xfId="27417" xr:uid="{00000000-0005-0000-0000-0000E76E0000}"/>
    <cellStyle name="Ввод  5 3 5_TOM TAT" xfId="25652" xr:uid="{00000000-0005-0000-0000-0000E86E0000}"/>
    <cellStyle name="Ввод  5 3 6" xfId="2628" xr:uid="{00000000-0005-0000-0000-0000E96E0000}"/>
    <cellStyle name="Ввод  5 3 6 2" xfId="5988" xr:uid="{00000000-0005-0000-0000-0000EA6E0000}"/>
    <cellStyle name="Ввод  5 3 6 2 2" xfId="28590" xr:uid="{00000000-0005-0000-0000-0000EB6E0000}"/>
    <cellStyle name="Ввод  5 3 6 2_TOM TAT" xfId="25655" xr:uid="{00000000-0005-0000-0000-0000EC6E0000}"/>
    <cellStyle name="Ввод  5 3 6 3" xfId="27418" xr:uid="{00000000-0005-0000-0000-0000ED6E0000}"/>
    <cellStyle name="Ввод  5 3 6_TOM TAT" xfId="25654" xr:uid="{00000000-0005-0000-0000-0000EE6E0000}"/>
    <cellStyle name="Ввод  5 3 7" xfId="5989" xr:uid="{00000000-0005-0000-0000-0000EF6E0000}"/>
    <cellStyle name="Ввод  5 3 7 2" xfId="28591" xr:uid="{00000000-0005-0000-0000-0000F06E0000}"/>
    <cellStyle name="Ввод  5 3 7_TOM TAT" xfId="25656" xr:uid="{00000000-0005-0000-0000-0000F16E0000}"/>
    <cellStyle name="Ввод  5 3 8" xfId="27407" xr:uid="{00000000-0005-0000-0000-0000F26E0000}"/>
    <cellStyle name="Ввод  5 3_TOM TAT" xfId="25633" xr:uid="{00000000-0005-0000-0000-0000F36E0000}"/>
    <cellStyle name="Ввод  5 4" xfId="2629" xr:uid="{00000000-0005-0000-0000-0000F46E0000}"/>
    <cellStyle name="Ввод  5 4 2" xfId="2630" xr:uid="{00000000-0005-0000-0000-0000F56E0000}"/>
    <cellStyle name="Ввод  5 4 2 2" xfId="2631" xr:uid="{00000000-0005-0000-0000-0000F66E0000}"/>
    <cellStyle name="Ввод  5 4 2 2 2" xfId="5990" xr:uid="{00000000-0005-0000-0000-0000F76E0000}"/>
    <cellStyle name="Ввод  5 4 2 2 2 2" xfId="28592" xr:uid="{00000000-0005-0000-0000-0000F86E0000}"/>
    <cellStyle name="Ввод  5 4 2 2 2_TOM TAT" xfId="25660" xr:uid="{00000000-0005-0000-0000-0000F96E0000}"/>
    <cellStyle name="Ввод  5 4 2 2 3" xfId="27421" xr:uid="{00000000-0005-0000-0000-0000FA6E0000}"/>
    <cellStyle name="Ввод  5 4 2 2_TOM TAT" xfId="25659" xr:uid="{00000000-0005-0000-0000-0000FB6E0000}"/>
    <cellStyle name="Ввод  5 4 2 3" xfId="5991" xr:uid="{00000000-0005-0000-0000-0000FC6E0000}"/>
    <cellStyle name="Ввод  5 4 2 3 2" xfId="28593" xr:uid="{00000000-0005-0000-0000-0000FD6E0000}"/>
    <cellStyle name="Ввод  5 4 2 3_TOM TAT" xfId="25661" xr:uid="{00000000-0005-0000-0000-0000FE6E0000}"/>
    <cellStyle name="Ввод  5 4 2 4" xfId="27420" xr:uid="{00000000-0005-0000-0000-0000FF6E0000}"/>
    <cellStyle name="Ввод  5 4 2_TOM TAT" xfId="25658" xr:uid="{00000000-0005-0000-0000-0000006F0000}"/>
    <cellStyle name="Ввод  5 4 3" xfId="2632" xr:uid="{00000000-0005-0000-0000-0000016F0000}"/>
    <cellStyle name="Ввод  5 4 3 2" xfId="5992" xr:uid="{00000000-0005-0000-0000-0000026F0000}"/>
    <cellStyle name="Ввод  5 4 3 2 2" xfId="28594" xr:uid="{00000000-0005-0000-0000-0000036F0000}"/>
    <cellStyle name="Ввод  5 4 3 2_TOM TAT" xfId="25663" xr:uid="{00000000-0005-0000-0000-0000046F0000}"/>
    <cellStyle name="Ввод  5 4 3 3" xfId="27422" xr:uid="{00000000-0005-0000-0000-0000056F0000}"/>
    <cellStyle name="Ввод  5 4 3_TOM TAT" xfId="25662" xr:uid="{00000000-0005-0000-0000-0000066F0000}"/>
    <cellStyle name="Ввод  5 4 4" xfId="2633" xr:uid="{00000000-0005-0000-0000-0000076F0000}"/>
    <cellStyle name="Ввод  5 4 4 2" xfId="5993" xr:uid="{00000000-0005-0000-0000-0000086F0000}"/>
    <cellStyle name="Ввод  5 4 4 2 2" xfId="28595" xr:uid="{00000000-0005-0000-0000-0000096F0000}"/>
    <cellStyle name="Ввод  5 4 4 2_TOM TAT" xfId="25665" xr:uid="{00000000-0005-0000-0000-00000A6F0000}"/>
    <cellStyle name="Ввод  5 4 4 3" xfId="27423" xr:uid="{00000000-0005-0000-0000-00000B6F0000}"/>
    <cellStyle name="Ввод  5 4 4_TOM TAT" xfId="25664" xr:uid="{00000000-0005-0000-0000-00000C6F0000}"/>
    <cellStyle name="Ввод  5 4 5" xfId="5994" xr:uid="{00000000-0005-0000-0000-00000D6F0000}"/>
    <cellStyle name="Ввод  5 4 5 2" xfId="28596" xr:uid="{00000000-0005-0000-0000-00000E6F0000}"/>
    <cellStyle name="Ввод  5 4 5_TOM TAT" xfId="25666" xr:uid="{00000000-0005-0000-0000-00000F6F0000}"/>
    <cellStyle name="Ввод  5 4 6" xfId="27419" xr:uid="{00000000-0005-0000-0000-0000106F0000}"/>
    <cellStyle name="Ввод  5 4_TOM TAT" xfId="25657" xr:uid="{00000000-0005-0000-0000-0000116F0000}"/>
    <cellStyle name="Ввод  5 5" xfId="2634" xr:uid="{00000000-0005-0000-0000-0000126F0000}"/>
    <cellStyle name="Ввод  5 5 2" xfId="2635" xr:uid="{00000000-0005-0000-0000-0000136F0000}"/>
    <cellStyle name="Ввод  5 5 2 2" xfId="5995" xr:uid="{00000000-0005-0000-0000-0000146F0000}"/>
    <cellStyle name="Ввод  5 5 2 2 2" xfId="28597" xr:uid="{00000000-0005-0000-0000-0000156F0000}"/>
    <cellStyle name="Ввод  5 5 2 2_TOM TAT" xfId="25669" xr:uid="{00000000-0005-0000-0000-0000166F0000}"/>
    <cellStyle name="Ввод  5 5 2 3" xfId="27425" xr:uid="{00000000-0005-0000-0000-0000176F0000}"/>
    <cellStyle name="Ввод  5 5 2_TOM TAT" xfId="25668" xr:uid="{00000000-0005-0000-0000-0000186F0000}"/>
    <cellStyle name="Ввод  5 5 3" xfId="5996" xr:uid="{00000000-0005-0000-0000-0000196F0000}"/>
    <cellStyle name="Ввод  5 5 3 2" xfId="28598" xr:uid="{00000000-0005-0000-0000-00001A6F0000}"/>
    <cellStyle name="Ввод  5 5 3_TOM TAT" xfId="25670" xr:uid="{00000000-0005-0000-0000-00001B6F0000}"/>
    <cellStyle name="Ввод  5 5 4" xfId="27424" xr:uid="{00000000-0005-0000-0000-00001C6F0000}"/>
    <cellStyle name="Ввод  5 5_TOM TAT" xfId="25667" xr:uid="{00000000-0005-0000-0000-00001D6F0000}"/>
    <cellStyle name="Ввод  5 6" xfId="2636" xr:uid="{00000000-0005-0000-0000-00001E6F0000}"/>
    <cellStyle name="Ввод  5 6 2" xfId="2637" xr:uid="{00000000-0005-0000-0000-00001F6F0000}"/>
    <cellStyle name="Ввод  5 6 2 2" xfId="5997" xr:uid="{00000000-0005-0000-0000-0000206F0000}"/>
    <cellStyle name="Ввод  5 6 2 2 2" xfId="28599" xr:uid="{00000000-0005-0000-0000-0000216F0000}"/>
    <cellStyle name="Ввод  5 6 2 2_TOM TAT" xfId="25673" xr:uid="{00000000-0005-0000-0000-0000226F0000}"/>
    <cellStyle name="Ввод  5 6 2 3" xfId="27427" xr:uid="{00000000-0005-0000-0000-0000236F0000}"/>
    <cellStyle name="Ввод  5 6 2_TOM TAT" xfId="25672" xr:uid="{00000000-0005-0000-0000-0000246F0000}"/>
    <cellStyle name="Ввод  5 6 3" xfId="5998" xr:uid="{00000000-0005-0000-0000-0000256F0000}"/>
    <cellStyle name="Ввод  5 6 3 2" xfId="28600" xr:uid="{00000000-0005-0000-0000-0000266F0000}"/>
    <cellStyle name="Ввод  5 6 3_TOM TAT" xfId="25674" xr:uid="{00000000-0005-0000-0000-0000276F0000}"/>
    <cellStyle name="Ввод  5 6 4" xfId="27426" xr:uid="{00000000-0005-0000-0000-0000286F0000}"/>
    <cellStyle name="Ввод  5 6_TOM TAT" xfId="25671" xr:uid="{00000000-0005-0000-0000-0000296F0000}"/>
    <cellStyle name="Ввод  5 7" xfId="2638" xr:uid="{00000000-0005-0000-0000-00002A6F0000}"/>
    <cellStyle name="Ввод  5 7 2" xfId="5999" xr:uid="{00000000-0005-0000-0000-00002B6F0000}"/>
    <cellStyle name="Ввод  5 7 2 2" xfId="28601" xr:uid="{00000000-0005-0000-0000-00002C6F0000}"/>
    <cellStyle name="Ввод  5 7 2_TOM TAT" xfId="25676" xr:uid="{00000000-0005-0000-0000-00002D6F0000}"/>
    <cellStyle name="Ввод  5 7 3" xfId="27428" xr:uid="{00000000-0005-0000-0000-00002E6F0000}"/>
    <cellStyle name="Ввод  5 7_TOM TAT" xfId="25675" xr:uid="{00000000-0005-0000-0000-00002F6F0000}"/>
    <cellStyle name="Ввод  5 8" xfId="2639" xr:uid="{00000000-0005-0000-0000-0000306F0000}"/>
    <cellStyle name="Ввод  5 8 2" xfId="6000" xr:uid="{00000000-0005-0000-0000-0000316F0000}"/>
    <cellStyle name="Ввод  5 8 2 2" xfId="28602" xr:uid="{00000000-0005-0000-0000-0000326F0000}"/>
    <cellStyle name="Ввод  5 8 2_TOM TAT" xfId="25678" xr:uid="{00000000-0005-0000-0000-0000336F0000}"/>
    <cellStyle name="Ввод  5 8 3" xfId="27429" xr:uid="{00000000-0005-0000-0000-0000346F0000}"/>
    <cellStyle name="Ввод  5 8_TOM TAT" xfId="25677" xr:uid="{00000000-0005-0000-0000-0000356F0000}"/>
    <cellStyle name="Ввод  5 9" xfId="6001" xr:uid="{00000000-0005-0000-0000-0000366F0000}"/>
    <cellStyle name="Ввод  5 9 2" xfId="28603" xr:uid="{00000000-0005-0000-0000-0000376F0000}"/>
    <cellStyle name="Ввод  5 9_TOM TAT" xfId="25679" xr:uid="{00000000-0005-0000-0000-0000386F0000}"/>
    <cellStyle name="Ввод  5_TOM TAT" xfId="25608" xr:uid="{00000000-0005-0000-0000-0000396F0000}"/>
    <cellStyle name="Ввод  6" xfId="2640" xr:uid="{00000000-0005-0000-0000-00003A6F0000}"/>
    <cellStyle name="Ввод  6 2" xfId="2641" xr:uid="{00000000-0005-0000-0000-00003B6F0000}"/>
    <cellStyle name="Ввод  6 2 2" xfId="2642" xr:uid="{00000000-0005-0000-0000-00003C6F0000}"/>
    <cellStyle name="Ввод  6 2 2 2" xfId="2643" xr:uid="{00000000-0005-0000-0000-00003D6F0000}"/>
    <cellStyle name="Ввод  6 2 2 2 2" xfId="6002" xr:uid="{00000000-0005-0000-0000-00003E6F0000}"/>
    <cellStyle name="Ввод  6 2 2 2 2 2" xfId="28604" xr:uid="{00000000-0005-0000-0000-00003F6F0000}"/>
    <cellStyle name="Ввод  6 2 2 2 2_TOM TAT" xfId="25684" xr:uid="{00000000-0005-0000-0000-0000406F0000}"/>
    <cellStyle name="Ввод  6 2 2 2 3" xfId="27433" xr:uid="{00000000-0005-0000-0000-0000416F0000}"/>
    <cellStyle name="Ввод  6 2 2 2_TOM TAT" xfId="25683" xr:uid="{00000000-0005-0000-0000-0000426F0000}"/>
    <cellStyle name="Ввод  6 2 2 3" xfId="6003" xr:uid="{00000000-0005-0000-0000-0000436F0000}"/>
    <cellStyle name="Ввод  6 2 2 3 2" xfId="28605" xr:uid="{00000000-0005-0000-0000-0000446F0000}"/>
    <cellStyle name="Ввод  6 2 2 3_TOM TAT" xfId="25685" xr:uid="{00000000-0005-0000-0000-0000456F0000}"/>
    <cellStyle name="Ввод  6 2 2 4" xfId="27432" xr:uid="{00000000-0005-0000-0000-0000466F0000}"/>
    <cellStyle name="Ввод  6 2 2_TOM TAT" xfId="25682" xr:uid="{00000000-0005-0000-0000-0000476F0000}"/>
    <cellStyle name="Ввод  6 2 3" xfId="2644" xr:uid="{00000000-0005-0000-0000-0000486F0000}"/>
    <cellStyle name="Ввод  6 2 3 2" xfId="6004" xr:uid="{00000000-0005-0000-0000-0000496F0000}"/>
    <cellStyle name="Ввод  6 2 3 2 2" xfId="28606" xr:uid="{00000000-0005-0000-0000-00004A6F0000}"/>
    <cellStyle name="Ввод  6 2 3 2_TOM TAT" xfId="25687" xr:uid="{00000000-0005-0000-0000-00004B6F0000}"/>
    <cellStyle name="Ввод  6 2 3 3" xfId="27434" xr:uid="{00000000-0005-0000-0000-00004C6F0000}"/>
    <cellStyle name="Ввод  6 2 3_TOM TAT" xfId="25686" xr:uid="{00000000-0005-0000-0000-00004D6F0000}"/>
    <cellStyle name="Ввод  6 2 4" xfId="2645" xr:uid="{00000000-0005-0000-0000-00004E6F0000}"/>
    <cellStyle name="Ввод  6 2 4 2" xfId="6005" xr:uid="{00000000-0005-0000-0000-00004F6F0000}"/>
    <cellStyle name="Ввод  6 2 4 2 2" xfId="28607" xr:uid="{00000000-0005-0000-0000-0000506F0000}"/>
    <cellStyle name="Ввод  6 2 4 2_TOM TAT" xfId="25689" xr:uid="{00000000-0005-0000-0000-0000516F0000}"/>
    <cellStyle name="Ввод  6 2 4 3" xfId="27435" xr:uid="{00000000-0005-0000-0000-0000526F0000}"/>
    <cellStyle name="Ввод  6 2 4_TOM TAT" xfId="25688" xr:uid="{00000000-0005-0000-0000-0000536F0000}"/>
    <cellStyle name="Ввод  6 2 5" xfId="6006" xr:uid="{00000000-0005-0000-0000-0000546F0000}"/>
    <cellStyle name="Ввод  6 2 5 2" xfId="28608" xr:uid="{00000000-0005-0000-0000-0000556F0000}"/>
    <cellStyle name="Ввод  6 2 5_TOM TAT" xfId="25690" xr:uid="{00000000-0005-0000-0000-0000566F0000}"/>
    <cellStyle name="Ввод  6 2 6" xfId="27431" xr:uid="{00000000-0005-0000-0000-0000576F0000}"/>
    <cellStyle name="Ввод  6 2_TOM TAT" xfId="25681" xr:uid="{00000000-0005-0000-0000-0000586F0000}"/>
    <cellStyle name="Ввод  6 3" xfId="2646" xr:uid="{00000000-0005-0000-0000-0000596F0000}"/>
    <cellStyle name="Ввод  6 3 2" xfId="2647" xr:uid="{00000000-0005-0000-0000-00005A6F0000}"/>
    <cellStyle name="Ввод  6 3 2 2" xfId="6007" xr:uid="{00000000-0005-0000-0000-00005B6F0000}"/>
    <cellStyle name="Ввод  6 3 2 2 2" xfId="28609" xr:uid="{00000000-0005-0000-0000-00005C6F0000}"/>
    <cellStyle name="Ввод  6 3 2 2_TOM TAT" xfId="25693" xr:uid="{00000000-0005-0000-0000-00005D6F0000}"/>
    <cellStyle name="Ввод  6 3 2 3" xfId="27437" xr:uid="{00000000-0005-0000-0000-00005E6F0000}"/>
    <cellStyle name="Ввод  6 3 2_TOM TAT" xfId="25692" xr:uid="{00000000-0005-0000-0000-00005F6F0000}"/>
    <cellStyle name="Ввод  6 3 3" xfId="6008" xr:uid="{00000000-0005-0000-0000-0000606F0000}"/>
    <cellStyle name="Ввод  6 3 3 2" xfId="28610" xr:uid="{00000000-0005-0000-0000-0000616F0000}"/>
    <cellStyle name="Ввод  6 3 3_TOM TAT" xfId="25694" xr:uid="{00000000-0005-0000-0000-0000626F0000}"/>
    <cellStyle name="Ввод  6 3 4" xfId="27436" xr:uid="{00000000-0005-0000-0000-0000636F0000}"/>
    <cellStyle name="Ввод  6 3_TOM TAT" xfId="25691" xr:uid="{00000000-0005-0000-0000-0000646F0000}"/>
    <cellStyle name="Ввод  6 4" xfId="2648" xr:uid="{00000000-0005-0000-0000-0000656F0000}"/>
    <cellStyle name="Ввод  6 4 2" xfId="2649" xr:uid="{00000000-0005-0000-0000-0000666F0000}"/>
    <cellStyle name="Ввод  6 4 2 2" xfId="6009" xr:uid="{00000000-0005-0000-0000-0000676F0000}"/>
    <cellStyle name="Ввод  6 4 2 2 2" xfId="28611" xr:uid="{00000000-0005-0000-0000-0000686F0000}"/>
    <cellStyle name="Ввод  6 4 2 2_TOM TAT" xfId="25697" xr:uid="{00000000-0005-0000-0000-0000696F0000}"/>
    <cellStyle name="Ввод  6 4 2 3" xfId="27439" xr:uid="{00000000-0005-0000-0000-00006A6F0000}"/>
    <cellStyle name="Ввод  6 4 2_TOM TAT" xfId="25696" xr:uid="{00000000-0005-0000-0000-00006B6F0000}"/>
    <cellStyle name="Ввод  6 4 3" xfId="6010" xr:uid="{00000000-0005-0000-0000-00006C6F0000}"/>
    <cellStyle name="Ввод  6 4 3 2" xfId="28612" xr:uid="{00000000-0005-0000-0000-00006D6F0000}"/>
    <cellStyle name="Ввод  6 4 3_TOM TAT" xfId="25698" xr:uid="{00000000-0005-0000-0000-00006E6F0000}"/>
    <cellStyle name="Ввод  6 4 4" xfId="27438" xr:uid="{00000000-0005-0000-0000-00006F6F0000}"/>
    <cellStyle name="Ввод  6 4_TOM TAT" xfId="25695" xr:uid="{00000000-0005-0000-0000-0000706F0000}"/>
    <cellStyle name="Ввод  6 5" xfId="2650" xr:uid="{00000000-0005-0000-0000-0000716F0000}"/>
    <cellStyle name="Ввод  6 5 2" xfId="6011" xr:uid="{00000000-0005-0000-0000-0000726F0000}"/>
    <cellStyle name="Ввод  6 5 2 2" xfId="28613" xr:uid="{00000000-0005-0000-0000-0000736F0000}"/>
    <cellStyle name="Ввод  6 5 2_TOM TAT" xfId="25700" xr:uid="{00000000-0005-0000-0000-0000746F0000}"/>
    <cellStyle name="Ввод  6 5 3" xfId="27440" xr:uid="{00000000-0005-0000-0000-0000756F0000}"/>
    <cellStyle name="Ввод  6 5_TOM TAT" xfId="25699" xr:uid="{00000000-0005-0000-0000-0000766F0000}"/>
    <cellStyle name="Ввод  6 6" xfId="2651" xr:uid="{00000000-0005-0000-0000-0000776F0000}"/>
    <cellStyle name="Ввод  6 6 2" xfId="6012" xr:uid="{00000000-0005-0000-0000-0000786F0000}"/>
    <cellStyle name="Ввод  6 6 2 2" xfId="28614" xr:uid="{00000000-0005-0000-0000-0000796F0000}"/>
    <cellStyle name="Ввод  6 6 2_TOM TAT" xfId="25702" xr:uid="{00000000-0005-0000-0000-00007A6F0000}"/>
    <cellStyle name="Ввод  6 6 3" xfId="27441" xr:uid="{00000000-0005-0000-0000-00007B6F0000}"/>
    <cellStyle name="Ввод  6 6_TOM TAT" xfId="25701" xr:uid="{00000000-0005-0000-0000-00007C6F0000}"/>
    <cellStyle name="Ввод  6 7" xfId="6013" xr:uid="{00000000-0005-0000-0000-00007D6F0000}"/>
    <cellStyle name="Ввод  6 7 2" xfId="28615" xr:uid="{00000000-0005-0000-0000-00007E6F0000}"/>
    <cellStyle name="Ввод  6 7_TOM TAT" xfId="25703" xr:uid="{00000000-0005-0000-0000-00007F6F0000}"/>
    <cellStyle name="Ввод  6 8" xfId="27430" xr:uid="{00000000-0005-0000-0000-0000806F0000}"/>
    <cellStyle name="Ввод  6_TOM TAT" xfId="25680" xr:uid="{00000000-0005-0000-0000-0000816F0000}"/>
    <cellStyle name="Ввод  7" xfId="2652" xr:uid="{00000000-0005-0000-0000-0000826F0000}"/>
    <cellStyle name="Ввод  7 2" xfId="2653" xr:uid="{00000000-0005-0000-0000-0000836F0000}"/>
    <cellStyle name="Ввод  7 2 2" xfId="2654" xr:uid="{00000000-0005-0000-0000-0000846F0000}"/>
    <cellStyle name="Ввод  7 2 2 2" xfId="2655" xr:uid="{00000000-0005-0000-0000-0000856F0000}"/>
    <cellStyle name="Ввод  7 2 2 2 2" xfId="6014" xr:uid="{00000000-0005-0000-0000-0000866F0000}"/>
    <cellStyle name="Ввод  7 2 2 2 2 2" xfId="28616" xr:uid="{00000000-0005-0000-0000-0000876F0000}"/>
    <cellStyle name="Ввод  7 2 2 2 2_TOM TAT" xfId="25708" xr:uid="{00000000-0005-0000-0000-0000886F0000}"/>
    <cellStyle name="Ввод  7 2 2 2 3" xfId="27445" xr:uid="{00000000-0005-0000-0000-0000896F0000}"/>
    <cellStyle name="Ввод  7 2 2 2_TOM TAT" xfId="25707" xr:uid="{00000000-0005-0000-0000-00008A6F0000}"/>
    <cellStyle name="Ввод  7 2 2 3" xfId="6015" xr:uid="{00000000-0005-0000-0000-00008B6F0000}"/>
    <cellStyle name="Ввод  7 2 2 3 2" xfId="28617" xr:uid="{00000000-0005-0000-0000-00008C6F0000}"/>
    <cellStyle name="Ввод  7 2 2 3_TOM TAT" xfId="25709" xr:uid="{00000000-0005-0000-0000-00008D6F0000}"/>
    <cellStyle name="Ввод  7 2 2 4" xfId="27444" xr:uid="{00000000-0005-0000-0000-00008E6F0000}"/>
    <cellStyle name="Ввод  7 2 2_TOM TAT" xfId="25706" xr:uid="{00000000-0005-0000-0000-00008F6F0000}"/>
    <cellStyle name="Ввод  7 2 3" xfId="2656" xr:uid="{00000000-0005-0000-0000-0000906F0000}"/>
    <cellStyle name="Ввод  7 2 3 2" xfId="6016" xr:uid="{00000000-0005-0000-0000-0000916F0000}"/>
    <cellStyle name="Ввод  7 2 3 2 2" xfId="28618" xr:uid="{00000000-0005-0000-0000-0000926F0000}"/>
    <cellStyle name="Ввод  7 2 3 2_TOM TAT" xfId="25711" xr:uid="{00000000-0005-0000-0000-0000936F0000}"/>
    <cellStyle name="Ввод  7 2 3 3" xfId="27446" xr:uid="{00000000-0005-0000-0000-0000946F0000}"/>
    <cellStyle name="Ввод  7 2 3_TOM TAT" xfId="25710" xr:uid="{00000000-0005-0000-0000-0000956F0000}"/>
    <cellStyle name="Ввод  7 2 4" xfId="2657" xr:uid="{00000000-0005-0000-0000-0000966F0000}"/>
    <cellStyle name="Ввод  7 2 4 2" xfId="6017" xr:uid="{00000000-0005-0000-0000-0000976F0000}"/>
    <cellStyle name="Ввод  7 2 4 2 2" xfId="28619" xr:uid="{00000000-0005-0000-0000-0000986F0000}"/>
    <cellStyle name="Ввод  7 2 4 2_TOM TAT" xfId="25713" xr:uid="{00000000-0005-0000-0000-0000996F0000}"/>
    <cellStyle name="Ввод  7 2 4 3" xfId="27447" xr:uid="{00000000-0005-0000-0000-00009A6F0000}"/>
    <cellStyle name="Ввод  7 2 4_TOM TAT" xfId="25712" xr:uid="{00000000-0005-0000-0000-00009B6F0000}"/>
    <cellStyle name="Ввод  7 2 5" xfId="6018" xr:uid="{00000000-0005-0000-0000-00009C6F0000}"/>
    <cellStyle name="Ввод  7 2 5 2" xfId="28620" xr:uid="{00000000-0005-0000-0000-00009D6F0000}"/>
    <cellStyle name="Ввод  7 2 5_TOM TAT" xfId="25714" xr:uid="{00000000-0005-0000-0000-00009E6F0000}"/>
    <cellStyle name="Ввод  7 2 6" xfId="27443" xr:uid="{00000000-0005-0000-0000-00009F6F0000}"/>
    <cellStyle name="Ввод  7 2_TOM TAT" xfId="25705" xr:uid="{00000000-0005-0000-0000-0000A06F0000}"/>
    <cellStyle name="Ввод  7 3" xfId="2658" xr:uid="{00000000-0005-0000-0000-0000A16F0000}"/>
    <cellStyle name="Ввод  7 3 2" xfId="2659" xr:uid="{00000000-0005-0000-0000-0000A26F0000}"/>
    <cellStyle name="Ввод  7 3 2 2" xfId="6019" xr:uid="{00000000-0005-0000-0000-0000A36F0000}"/>
    <cellStyle name="Ввод  7 3 2 2 2" xfId="28621" xr:uid="{00000000-0005-0000-0000-0000A46F0000}"/>
    <cellStyle name="Ввод  7 3 2 2_TOM TAT" xfId="25717" xr:uid="{00000000-0005-0000-0000-0000A56F0000}"/>
    <cellStyle name="Ввод  7 3 2 3" xfId="27449" xr:uid="{00000000-0005-0000-0000-0000A66F0000}"/>
    <cellStyle name="Ввод  7 3 2_TOM TAT" xfId="25716" xr:uid="{00000000-0005-0000-0000-0000A76F0000}"/>
    <cellStyle name="Ввод  7 3 3" xfId="6020" xr:uid="{00000000-0005-0000-0000-0000A86F0000}"/>
    <cellStyle name="Ввод  7 3 3 2" xfId="28622" xr:uid="{00000000-0005-0000-0000-0000A96F0000}"/>
    <cellStyle name="Ввод  7 3 3_TOM TAT" xfId="25718" xr:uid="{00000000-0005-0000-0000-0000AA6F0000}"/>
    <cellStyle name="Ввод  7 3 4" xfId="27448" xr:uid="{00000000-0005-0000-0000-0000AB6F0000}"/>
    <cellStyle name="Ввод  7 3_TOM TAT" xfId="25715" xr:uid="{00000000-0005-0000-0000-0000AC6F0000}"/>
    <cellStyle name="Ввод  7 4" xfId="2660" xr:uid="{00000000-0005-0000-0000-0000AD6F0000}"/>
    <cellStyle name="Ввод  7 4 2" xfId="2661" xr:uid="{00000000-0005-0000-0000-0000AE6F0000}"/>
    <cellStyle name="Ввод  7 4 2 2" xfId="6021" xr:uid="{00000000-0005-0000-0000-0000AF6F0000}"/>
    <cellStyle name="Ввод  7 4 2 2 2" xfId="28623" xr:uid="{00000000-0005-0000-0000-0000B06F0000}"/>
    <cellStyle name="Ввод  7 4 2 2_TOM TAT" xfId="25721" xr:uid="{00000000-0005-0000-0000-0000B16F0000}"/>
    <cellStyle name="Ввод  7 4 2 3" xfId="27451" xr:uid="{00000000-0005-0000-0000-0000B26F0000}"/>
    <cellStyle name="Ввод  7 4 2_TOM TAT" xfId="25720" xr:uid="{00000000-0005-0000-0000-0000B36F0000}"/>
    <cellStyle name="Ввод  7 4 3" xfId="6022" xr:uid="{00000000-0005-0000-0000-0000B46F0000}"/>
    <cellStyle name="Ввод  7 4 3 2" xfId="28624" xr:uid="{00000000-0005-0000-0000-0000B56F0000}"/>
    <cellStyle name="Ввод  7 4 3_TOM TAT" xfId="25722" xr:uid="{00000000-0005-0000-0000-0000B66F0000}"/>
    <cellStyle name="Ввод  7 4 4" xfId="27450" xr:uid="{00000000-0005-0000-0000-0000B76F0000}"/>
    <cellStyle name="Ввод  7 4_TOM TAT" xfId="25719" xr:uid="{00000000-0005-0000-0000-0000B86F0000}"/>
    <cellStyle name="Ввод  7 5" xfId="2662" xr:uid="{00000000-0005-0000-0000-0000B96F0000}"/>
    <cellStyle name="Ввод  7 5 2" xfId="6023" xr:uid="{00000000-0005-0000-0000-0000BA6F0000}"/>
    <cellStyle name="Ввод  7 5 2 2" xfId="28625" xr:uid="{00000000-0005-0000-0000-0000BB6F0000}"/>
    <cellStyle name="Ввод  7 5 2_TOM TAT" xfId="25724" xr:uid="{00000000-0005-0000-0000-0000BC6F0000}"/>
    <cellStyle name="Ввод  7 5 3" xfId="27452" xr:uid="{00000000-0005-0000-0000-0000BD6F0000}"/>
    <cellStyle name="Ввод  7 5_TOM TAT" xfId="25723" xr:uid="{00000000-0005-0000-0000-0000BE6F0000}"/>
    <cellStyle name="Ввод  7 6" xfId="2663" xr:uid="{00000000-0005-0000-0000-0000BF6F0000}"/>
    <cellStyle name="Ввод  7 6 2" xfId="6024" xr:uid="{00000000-0005-0000-0000-0000C06F0000}"/>
    <cellStyle name="Ввод  7 6 2 2" xfId="28626" xr:uid="{00000000-0005-0000-0000-0000C16F0000}"/>
    <cellStyle name="Ввод  7 6 2_TOM TAT" xfId="25726" xr:uid="{00000000-0005-0000-0000-0000C26F0000}"/>
    <cellStyle name="Ввод  7 6 3" xfId="27453" xr:uid="{00000000-0005-0000-0000-0000C36F0000}"/>
    <cellStyle name="Ввод  7 6_TOM TAT" xfId="25725" xr:uid="{00000000-0005-0000-0000-0000C46F0000}"/>
    <cellStyle name="Ввод  7 7" xfId="6025" xr:uid="{00000000-0005-0000-0000-0000C56F0000}"/>
    <cellStyle name="Ввод  7 7 2" xfId="28627" xr:uid="{00000000-0005-0000-0000-0000C66F0000}"/>
    <cellStyle name="Ввод  7 7_TOM TAT" xfId="25727" xr:uid="{00000000-0005-0000-0000-0000C76F0000}"/>
    <cellStyle name="Ввод  7 8" xfId="27442" xr:uid="{00000000-0005-0000-0000-0000C86F0000}"/>
    <cellStyle name="Ввод  7_TOM TAT" xfId="25704" xr:uid="{00000000-0005-0000-0000-0000C96F0000}"/>
    <cellStyle name="Ввод  8" xfId="2664" xr:uid="{00000000-0005-0000-0000-0000CA6F0000}"/>
    <cellStyle name="Ввод  8 2" xfId="2665" xr:uid="{00000000-0005-0000-0000-0000CB6F0000}"/>
    <cellStyle name="Ввод  8 2 2" xfId="2666" xr:uid="{00000000-0005-0000-0000-0000CC6F0000}"/>
    <cellStyle name="Ввод  8 2 2 2" xfId="6026" xr:uid="{00000000-0005-0000-0000-0000CD6F0000}"/>
    <cellStyle name="Ввод  8 2 2 2 2" xfId="28628" xr:uid="{00000000-0005-0000-0000-0000CE6F0000}"/>
    <cellStyle name="Ввод  8 2 2 2_TOM TAT" xfId="25731" xr:uid="{00000000-0005-0000-0000-0000CF6F0000}"/>
    <cellStyle name="Ввод  8 2 2 3" xfId="27456" xr:uid="{00000000-0005-0000-0000-0000D06F0000}"/>
    <cellStyle name="Ввод  8 2 2_TOM TAT" xfId="25730" xr:uid="{00000000-0005-0000-0000-0000D16F0000}"/>
    <cellStyle name="Ввод  8 2 3" xfId="6027" xr:uid="{00000000-0005-0000-0000-0000D26F0000}"/>
    <cellStyle name="Ввод  8 2 3 2" xfId="28629" xr:uid="{00000000-0005-0000-0000-0000D36F0000}"/>
    <cellStyle name="Ввод  8 2 3_TOM TAT" xfId="25732" xr:uid="{00000000-0005-0000-0000-0000D46F0000}"/>
    <cellStyle name="Ввод  8 2 4" xfId="27455" xr:uid="{00000000-0005-0000-0000-0000D56F0000}"/>
    <cellStyle name="Ввод  8 2_TOM TAT" xfId="25729" xr:uid="{00000000-0005-0000-0000-0000D66F0000}"/>
    <cellStyle name="Ввод  8 3" xfId="2667" xr:uid="{00000000-0005-0000-0000-0000D76F0000}"/>
    <cellStyle name="Ввод  8 3 2" xfId="6028" xr:uid="{00000000-0005-0000-0000-0000D86F0000}"/>
    <cellStyle name="Ввод  8 3 2 2" xfId="28630" xr:uid="{00000000-0005-0000-0000-0000D96F0000}"/>
    <cellStyle name="Ввод  8 3 2_TOM TAT" xfId="25734" xr:uid="{00000000-0005-0000-0000-0000DA6F0000}"/>
    <cellStyle name="Ввод  8 3 3" xfId="27457" xr:uid="{00000000-0005-0000-0000-0000DB6F0000}"/>
    <cellStyle name="Ввод  8 3_TOM TAT" xfId="25733" xr:uid="{00000000-0005-0000-0000-0000DC6F0000}"/>
    <cellStyle name="Ввод  8 4" xfId="2668" xr:uid="{00000000-0005-0000-0000-0000DD6F0000}"/>
    <cellStyle name="Ввод  8 4 2" xfId="6029" xr:uid="{00000000-0005-0000-0000-0000DE6F0000}"/>
    <cellStyle name="Ввод  8 4 2 2" xfId="28631" xr:uid="{00000000-0005-0000-0000-0000DF6F0000}"/>
    <cellStyle name="Ввод  8 4 2_TOM TAT" xfId="25736" xr:uid="{00000000-0005-0000-0000-0000E06F0000}"/>
    <cellStyle name="Ввод  8 4 3" xfId="27458" xr:uid="{00000000-0005-0000-0000-0000E16F0000}"/>
    <cellStyle name="Ввод  8 4_TOM TAT" xfId="25735" xr:uid="{00000000-0005-0000-0000-0000E26F0000}"/>
    <cellStyle name="Ввод  8 5" xfId="6030" xr:uid="{00000000-0005-0000-0000-0000E36F0000}"/>
    <cellStyle name="Ввод  8 5 2" xfId="28632" xr:uid="{00000000-0005-0000-0000-0000E46F0000}"/>
    <cellStyle name="Ввод  8 5_TOM TAT" xfId="25737" xr:uid="{00000000-0005-0000-0000-0000E56F0000}"/>
    <cellStyle name="Ввод  8 6" xfId="27454" xr:uid="{00000000-0005-0000-0000-0000E66F0000}"/>
    <cellStyle name="Ввод  8_TOM TAT" xfId="25728" xr:uid="{00000000-0005-0000-0000-0000E76F0000}"/>
    <cellStyle name="Ввод  9" xfId="2669" xr:uid="{00000000-0005-0000-0000-0000E86F0000}"/>
    <cellStyle name="Ввод  9 2" xfId="2670" xr:uid="{00000000-0005-0000-0000-0000E96F0000}"/>
    <cellStyle name="Ввод  9 2 2" xfId="6031" xr:uid="{00000000-0005-0000-0000-0000EA6F0000}"/>
    <cellStyle name="Ввод  9 2 2 2" xfId="28633" xr:uid="{00000000-0005-0000-0000-0000EB6F0000}"/>
    <cellStyle name="Ввод  9 2 2_TOM TAT" xfId="25740" xr:uid="{00000000-0005-0000-0000-0000EC6F0000}"/>
    <cellStyle name="Ввод  9 2 3" xfId="27460" xr:uid="{00000000-0005-0000-0000-0000ED6F0000}"/>
    <cellStyle name="Ввод  9 2_TOM TAT" xfId="25739" xr:uid="{00000000-0005-0000-0000-0000EE6F0000}"/>
    <cellStyle name="Ввод  9 3" xfId="6032" xr:uid="{00000000-0005-0000-0000-0000EF6F0000}"/>
    <cellStyle name="Ввод  9 3 2" xfId="28634" xr:uid="{00000000-0005-0000-0000-0000F06F0000}"/>
    <cellStyle name="Ввод  9 3_TOM TAT" xfId="25741" xr:uid="{00000000-0005-0000-0000-0000F16F0000}"/>
    <cellStyle name="Ввод  9 4" xfId="27459" xr:uid="{00000000-0005-0000-0000-0000F26F0000}"/>
    <cellStyle name="Ввод  9_TOM TAT" xfId="25738" xr:uid="{00000000-0005-0000-0000-0000F36F0000}"/>
    <cellStyle name="Ввод _TOM TAT" xfId="25142" xr:uid="{00000000-0005-0000-0000-0000F46F0000}"/>
    <cellStyle name="Вывод" xfId="2671" xr:uid="{00000000-0005-0000-0000-0000F56F0000}"/>
    <cellStyle name="Вывод 10" xfId="6033" xr:uid="{00000000-0005-0000-0000-0000F66F0000}"/>
    <cellStyle name="Вывод 10 2" xfId="28635" xr:uid="{00000000-0005-0000-0000-0000F76F0000}"/>
    <cellStyle name="Вывод 10_TOM TAT" xfId="25743" xr:uid="{00000000-0005-0000-0000-0000F86F0000}"/>
    <cellStyle name="Вывод 11" xfId="27461" xr:uid="{00000000-0005-0000-0000-0000F96F0000}"/>
    <cellStyle name="Вывод 2" xfId="2672" xr:uid="{00000000-0005-0000-0000-0000FA6F0000}"/>
    <cellStyle name="Вывод 2 10" xfId="6034" xr:uid="{00000000-0005-0000-0000-0000FB6F0000}"/>
    <cellStyle name="Вывод 2 10 2" xfId="28636" xr:uid="{00000000-0005-0000-0000-0000FC6F0000}"/>
    <cellStyle name="Вывод 2 10_TOM TAT" xfId="25745" xr:uid="{00000000-0005-0000-0000-0000FD6F0000}"/>
    <cellStyle name="Вывод 2 11" xfId="27462" xr:uid="{00000000-0005-0000-0000-0000FE6F0000}"/>
    <cellStyle name="Вывод 2 2" xfId="2673" xr:uid="{00000000-0005-0000-0000-0000FF6F0000}"/>
    <cellStyle name="Вывод 2 2 2" xfId="2674" xr:uid="{00000000-0005-0000-0000-000000700000}"/>
    <cellStyle name="Вывод 2 2 2 2" xfId="2675" xr:uid="{00000000-0005-0000-0000-000001700000}"/>
    <cellStyle name="Вывод 2 2 2 2 2" xfId="2676" xr:uid="{00000000-0005-0000-0000-000002700000}"/>
    <cellStyle name="Вывод 2 2 2 2 2 2" xfId="6035" xr:uid="{00000000-0005-0000-0000-000003700000}"/>
    <cellStyle name="Вывод 2 2 2 2 2 2 2" xfId="28637" xr:uid="{00000000-0005-0000-0000-000004700000}"/>
    <cellStyle name="Вывод 2 2 2 2 2 2_TOM TAT" xfId="25750" xr:uid="{00000000-0005-0000-0000-000005700000}"/>
    <cellStyle name="Вывод 2 2 2 2 2 3" xfId="27466" xr:uid="{00000000-0005-0000-0000-000006700000}"/>
    <cellStyle name="Вывод 2 2 2 2 2_TOM TAT" xfId="25749" xr:uid="{00000000-0005-0000-0000-000007700000}"/>
    <cellStyle name="Вывод 2 2 2 2 3" xfId="6036" xr:uid="{00000000-0005-0000-0000-000008700000}"/>
    <cellStyle name="Вывод 2 2 2 2 3 2" xfId="28638" xr:uid="{00000000-0005-0000-0000-000009700000}"/>
    <cellStyle name="Вывод 2 2 2 2 3_TOM TAT" xfId="25751" xr:uid="{00000000-0005-0000-0000-00000A700000}"/>
    <cellStyle name="Вывод 2 2 2 2 4" xfId="27465" xr:uid="{00000000-0005-0000-0000-00000B700000}"/>
    <cellStyle name="Вывод 2 2 2 2_TOM TAT" xfId="25748" xr:uid="{00000000-0005-0000-0000-00000C700000}"/>
    <cellStyle name="Вывод 2 2 2 3" xfId="2677" xr:uid="{00000000-0005-0000-0000-00000D700000}"/>
    <cellStyle name="Вывод 2 2 2 3 2" xfId="6037" xr:uid="{00000000-0005-0000-0000-00000E700000}"/>
    <cellStyle name="Вывод 2 2 2 3 2 2" xfId="28639" xr:uid="{00000000-0005-0000-0000-00000F700000}"/>
    <cellStyle name="Вывод 2 2 2 3 2_TOM TAT" xfId="25753" xr:uid="{00000000-0005-0000-0000-000010700000}"/>
    <cellStyle name="Вывод 2 2 2 3 3" xfId="27467" xr:uid="{00000000-0005-0000-0000-000011700000}"/>
    <cellStyle name="Вывод 2 2 2 3_TOM TAT" xfId="25752" xr:uid="{00000000-0005-0000-0000-000012700000}"/>
    <cellStyle name="Вывод 2 2 2 4" xfId="2678" xr:uid="{00000000-0005-0000-0000-000013700000}"/>
    <cellStyle name="Вывод 2 2 2 4 2" xfId="6038" xr:uid="{00000000-0005-0000-0000-000014700000}"/>
    <cellStyle name="Вывод 2 2 2 4 2 2" xfId="28640" xr:uid="{00000000-0005-0000-0000-000015700000}"/>
    <cellStyle name="Вывод 2 2 2 4 2_TOM TAT" xfId="25755" xr:uid="{00000000-0005-0000-0000-000016700000}"/>
    <cellStyle name="Вывод 2 2 2 4 3" xfId="27468" xr:uid="{00000000-0005-0000-0000-000017700000}"/>
    <cellStyle name="Вывод 2 2 2 4_TOM TAT" xfId="25754" xr:uid="{00000000-0005-0000-0000-000018700000}"/>
    <cellStyle name="Вывод 2 2 2 5" xfId="6039" xr:uid="{00000000-0005-0000-0000-000019700000}"/>
    <cellStyle name="Вывод 2 2 2 5 2" xfId="28641" xr:uid="{00000000-0005-0000-0000-00001A700000}"/>
    <cellStyle name="Вывод 2 2 2 5_TOM TAT" xfId="25756" xr:uid="{00000000-0005-0000-0000-00001B700000}"/>
    <cellStyle name="Вывод 2 2 2 6" xfId="27464" xr:uid="{00000000-0005-0000-0000-00001C700000}"/>
    <cellStyle name="Вывод 2 2 2_TOM TAT" xfId="25747" xr:uid="{00000000-0005-0000-0000-00001D700000}"/>
    <cellStyle name="Вывод 2 2 3" xfId="2679" xr:uid="{00000000-0005-0000-0000-00001E700000}"/>
    <cellStyle name="Вывод 2 2 3 2" xfId="2680" xr:uid="{00000000-0005-0000-0000-00001F700000}"/>
    <cellStyle name="Вывод 2 2 3 2 2" xfId="6040" xr:uid="{00000000-0005-0000-0000-000020700000}"/>
    <cellStyle name="Вывод 2 2 3 2 2 2" xfId="28642" xr:uid="{00000000-0005-0000-0000-000021700000}"/>
    <cellStyle name="Вывод 2 2 3 2 2_TOM TAT" xfId="25759" xr:uid="{00000000-0005-0000-0000-000022700000}"/>
    <cellStyle name="Вывод 2 2 3 2 3" xfId="27470" xr:uid="{00000000-0005-0000-0000-000023700000}"/>
    <cellStyle name="Вывод 2 2 3 2_TOM TAT" xfId="25758" xr:uid="{00000000-0005-0000-0000-000024700000}"/>
    <cellStyle name="Вывод 2 2 3 3" xfId="6041" xr:uid="{00000000-0005-0000-0000-000025700000}"/>
    <cellStyle name="Вывод 2 2 3 3 2" xfId="28643" xr:uid="{00000000-0005-0000-0000-000026700000}"/>
    <cellStyle name="Вывод 2 2 3 3_TOM TAT" xfId="25760" xr:uid="{00000000-0005-0000-0000-000027700000}"/>
    <cellStyle name="Вывод 2 2 3 4" xfId="27469" xr:uid="{00000000-0005-0000-0000-000028700000}"/>
    <cellStyle name="Вывод 2 2 3_TOM TAT" xfId="25757" xr:uid="{00000000-0005-0000-0000-000029700000}"/>
    <cellStyle name="Вывод 2 2 4" xfId="2681" xr:uid="{00000000-0005-0000-0000-00002A700000}"/>
    <cellStyle name="Вывод 2 2 4 2" xfId="6042" xr:uid="{00000000-0005-0000-0000-00002B700000}"/>
    <cellStyle name="Вывод 2 2 4 2 2" xfId="28644" xr:uid="{00000000-0005-0000-0000-00002C700000}"/>
    <cellStyle name="Вывод 2 2 4 2_TOM TAT" xfId="25762" xr:uid="{00000000-0005-0000-0000-00002D700000}"/>
    <cellStyle name="Вывод 2 2 4 3" xfId="27471" xr:uid="{00000000-0005-0000-0000-00002E700000}"/>
    <cellStyle name="Вывод 2 2 4_TOM TAT" xfId="25761" xr:uid="{00000000-0005-0000-0000-00002F700000}"/>
    <cellStyle name="Вывод 2 2 5" xfId="2682" xr:uid="{00000000-0005-0000-0000-000030700000}"/>
    <cellStyle name="Вывод 2 2 5 2" xfId="6043" xr:uid="{00000000-0005-0000-0000-000031700000}"/>
    <cellStyle name="Вывод 2 2 5 2 2" xfId="28645" xr:uid="{00000000-0005-0000-0000-000032700000}"/>
    <cellStyle name="Вывод 2 2 5 2_TOM TAT" xfId="25764" xr:uid="{00000000-0005-0000-0000-000033700000}"/>
    <cellStyle name="Вывод 2 2 5 3" xfId="27472" xr:uid="{00000000-0005-0000-0000-000034700000}"/>
    <cellStyle name="Вывод 2 2 5_TOM TAT" xfId="25763" xr:uid="{00000000-0005-0000-0000-000035700000}"/>
    <cellStyle name="Вывод 2 2 6" xfId="2683" xr:uid="{00000000-0005-0000-0000-000036700000}"/>
    <cellStyle name="Вывод 2 2 6 2" xfId="6044" xr:uid="{00000000-0005-0000-0000-000037700000}"/>
    <cellStyle name="Вывод 2 2 6 2 2" xfId="28646" xr:uid="{00000000-0005-0000-0000-000038700000}"/>
    <cellStyle name="Вывод 2 2 6 2_TOM TAT" xfId="25766" xr:uid="{00000000-0005-0000-0000-000039700000}"/>
    <cellStyle name="Вывод 2 2 6 3" xfId="27473" xr:uid="{00000000-0005-0000-0000-00003A700000}"/>
    <cellStyle name="Вывод 2 2 6_TOM TAT" xfId="25765" xr:uid="{00000000-0005-0000-0000-00003B700000}"/>
    <cellStyle name="Вывод 2 2 7" xfId="2684" xr:uid="{00000000-0005-0000-0000-00003C700000}"/>
    <cellStyle name="Вывод 2 2 7 2" xfId="6045" xr:uid="{00000000-0005-0000-0000-00003D700000}"/>
    <cellStyle name="Вывод 2 2 7 2 2" xfId="28647" xr:uid="{00000000-0005-0000-0000-00003E700000}"/>
    <cellStyle name="Вывод 2 2 7 2_TOM TAT" xfId="25768" xr:uid="{00000000-0005-0000-0000-00003F700000}"/>
    <cellStyle name="Вывод 2 2 7 3" xfId="27474" xr:uid="{00000000-0005-0000-0000-000040700000}"/>
    <cellStyle name="Вывод 2 2 7_TOM TAT" xfId="25767" xr:uid="{00000000-0005-0000-0000-000041700000}"/>
    <cellStyle name="Вывод 2 2 8" xfId="6046" xr:uid="{00000000-0005-0000-0000-000042700000}"/>
    <cellStyle name="Вывод 2 2 8 2" xfId="28648" xr:uid="{00000000-0005-0000-0000-000043700000}"/>
    <cellStyle name="Вывод 2 2 8_TOM TAT" xfId="25769" xr:uid="{00000000-0005-0000-0000-000044700000}"/>
    <cellStyle name="Вывод 2 2 9" xfId="27463" xr:uid="{00000000-0005-0000-0000-000045700000}"/>
    <cellStyle name="Вывод 2 2_TOM TAT" xfId="25746" xr:uid="{00000000-0005-0000-0000-000046700000}"/>
    <cellStyle name="Вывод 2 3" xfId="2685" xr:uid="{00000000-0005-0000-0000-000047700000}"/>
    <cellStyle name="Вывод 2 3 2" xfId="2686" xr:uid="{00000000-0005-0000-0000-000048700000}"/>
    <cellStyle name="Вывод 2 3 2 2" xfId="2687" xr:uid="{00000000-0005-0000-0000-000049700000}"/>
    <cellStyle name="Вывод 2 3 2 2 2" xfId="2688" xr:uid="{00000000-0005-0000-0000-00004A700000}"/>
    <cellStyle name="Вывод 2 3 2 2 2 2" xfId="6047" xr:uid="{00000000-0005-0000-0000-00004B700000}"/>
    <cellStyle name="Вывод 2 3 2 2 2 2 2" xfId="28649" xr:uid="{00000000-0005-0000-0000-00004C700000}"/>
    <cellStyle name="Вывод 2 3 2 2 2 2_TOM TAT" xfId="25774" xr:uid="{00000000-0005-0000-0000-00004D700000}"/>
    <cellStyle name="Вывод 2 3 2 2 2 3" xfId="27478" xr:uid="{00000000-0005-0000-0000-00004E700000}"/>
    <cellStyle name="Вывод 2 3 2 2 2_TOM TAT" xfId="25773" xr:uid="{00000000-0005-0000-0000-00004F700000}"/>
    <cellStyle name="Вывод 2 3 2 2 3" xfId="6048" xr:uid="{00000000-0005-0000-0000-000050700000}"/>
    <cellStyle name="Вывод 2 3 2 2 3 2" xfId="28650" xr:uid="{00000000-0005-0000-0000-000051700000}"/>
    <cellStyle name="Вывод 2 3 2 2 3_TOM TAT" xfId="25775" xr:uid="{00000000-0005-0000-0000-000052700000}"/>
    <cellStyle name="Вывод 2 3 2 2 4" xfId="27477" xr:uid="{00000000-0005-0000-0000-000053700000}"/>
    <cellStyle name="Вывод 2 3 2 2_TOM TAT" xfId="25772" xr:uid="{00000000-0005-0000-0000-000054700000}"/>
    <cellStyle name="Вывод 2 3 2 3" xfId="2689" xr:uid="{00000000-0005-0000-0000-000055700000}"/>
    <cellStyle name="Вывод 2 3 2 3 2" xfId="6049" xr:uid="{00000000-0005-0000-0000-000056700000}"/>
    <cellStyle name="Вывод 2 3 2 3 2 2" xfId="28651" xr:uid="{00000000-0005-0000-0000-000057700000}"/>
    <cellStyle name="Вывод 2 3 2 3 2_TOM TAT" xfId="25777" xr:uid="{00000000-0005-0000-0000-000058700000}"/>
    <cellStyle name="Вывод 2 3 2 3 3" xfId="27479" xr:uid="{00000000-0005-0000-0000-000059700000}"/>
    <cellStyle name="Вывод 2 3 2 3_TOM TAT" xfId="25776" xr:uid="{00000000-0005-0000-0000-00005A700000}"/>
    <cellStyle name="Вывод 2 3 2 4" xfId="2690" xr:uid="{00000000-0005-0000-0000-00005B700000}"/>
    <cellStyle name="Вывод 2 3 2 4 2" xfId="6050" xr:uid="{00000000-0005-0000-0000-00005C700000}"/>
    <cellStyle name="Вывод 2 3 2 4 2 2" xfId="28652" xr:uid="{00000000-0005-0000-0000-00005D700000}"/>
    <cellStyle name="Вывод 2 3 2 4 2_TOM TAT" xfId="25779" xr:uid="{00000000-0005-0000-0000-00005E700000}"/>
    <cellStyle name="Вывод 2 3 2 4 3" xfId="27480" xr:uid="{00000000-0005-0000-0000-00005F700000}"/>
    <cellStyle name="Вывод 2 3 2 4_TOM TAT" xfId="25778" xr:uid="{00000000-0005-0000-0000-000060700000}"/>
    <cellStyle name="Вывод 2 3 2 5" xfId="6051" xr:uid="{00000000-0005-0000-0000-000061700000}"/>
    <cellStyle name="Вывод 2 3 2 5 2" xfId="28653" xr:uid="{00000000-0005-0000-0000-000062700000}"/>
    <cellStyle name="Вывод 2 3 2 5_TOM TAT" xfId="25780" xr:uid="{00000000-0005-0000-0000-000063700000}"/>
    <cellStyle name="Вывод 2 3 2 6" xfId="27476" xr:uid="{00000000-0005-0000-0000-000064700000}"/>
    <cellStyle name="Вывод 2 3 2_TOM TAT" xfId="25771" xr:uid="{00000000-0005-0000-0000-000065700000}"/>
    <cellStyle name="Вывод 2 3 3" xfId="2691" xr:uid="{00000000-0005-0000-0000-000066700000}"/>
    <cellStyle name="Вывод 2 3 3 2" xfId="2692" xr:uid="{00000000-0005-0000-0000-000067700000}"/>
    <cellStyle name="Вывод 2 3 3 2 2" xfId="6052" xr:uid="{00000000-0005-0000-0000-000068700000}"/>
    <cellStyle name="Вывод 2 3 3 2 2 2" xfId="28654" xr:uid="{00000000-0005-0000-0000-000069700000}"/>
    <cellStyle name="Вывод 2 3 3 2 2_TOM TAT" xfId="25783" xr:uid="{00000000-0005-0000-0000-00006A700000}"/>
    <cellStyle name="Вывод 2 3 3 2 3" xfId="27482" xr:uid="{00000000-0005-0000-0000-00006B700000}"/>
    <cellStyle name="Вывод 2 3 3 2_TOM TAT" xfId="25782" xr:uid="{00000000-0005-0000-0000-00006C700000}"/>
    <cellStyle name="Вывод 2 3 3 3" xfId="6053" xr:uid="{00000000-0005-0000-0000-00006D700000}"/>
    <cellStyle name="Вывод 2 3 3 3 2" xfId="28655" xr:uid="{00000000-0005-0000-0000-00006E700000}"/>
    <cellStyle name="Вывод 2 3 3 3_TOM TAT" xfId="25784" xr:uid="{00000000-0005-0000-0000-00006F700000}"/>
    <cellStyle name="Вывод 2 3 3 4" xfId="27481" xr:uid="{00000000-0005-0000-0000-000070700000}"/>
    <cellStyle name="Вывод 2 3 3_TOM TAT" xfId="25781" xr:uid="{00000000-0005-0000-0000-000071700000}"/>
    <cellStyle name="Вывод 2 3 4" xfId="2693" xr:uid="{00000000-0005-0000-0000-000072700000}"/>
    <cellStyle name="Вывод 2 3 4 2" xfId="6054" xr:uid="{00000000-0005-0000-0000-000073700000}"/>
    <cellStyle name="Вывод 2 3 4 2 2" xfId="28656" xr:uid="{00000000-0005-0000-0000-000074700000}"/>
    <cellStyle name="Вывод 2 3 4 2_TOM TAT" xfId="25786" xr:uid="{00000000-0005-0000-0000-000075700000}"/>
    <cellStyle name="Вывод 2 3 4 3" xfId="27483" xr:uid="{00000000-0005-0000-0000-000076700000}"/>
    <cellStyle name="Вывод 2 3 4_TOM TAT" xfId="25785" xr:uid="{00000000-0005-0000-0000-000077700000}"/>
    <cellStyle name="Вывод 2 3 5" xfId="2694" xr:uid="{00000000-0005-0000-0000-000078700000}"/>
    <cellStyle name="Вывод 2 3 5 2" xfId="6055" xr:uid="{00000000-0005-0000-0000-000079700000}"/>
    <cellStyle name="Вывод 2 3 5 2 2" xfId="28657" xr:uid="{00000000-0005-0000-0000-00007A700000}"/>
    <cellStyle name="Вывод 2 3 5 2_TOM TAT" xfId="25788" xr:uid="{00000000-0005-0000-0000-00007B700000}"/>
    <cellStyle name="Вывод 2 3 5 3" xfId="27484" xr:uid="{00000000-0005-0000-0000-00007C700000}"/>
    <cellStyle name="Вывод 2 3 5_TOM TAT" xfId="25787" xr:uid="{00000000-0005-0000-0000-00007D700000}"/>
    <cellStyle name="Вывод 2 3 6" xfId="2695" xr:uid="{00000000-0005-0000-0000-00007E700000}"/>
    <cellStyle name="Вывод 2 3 6 2" xfId="6056" xr:uid="{00000000-0005-0000-0000-00007F700000}"/>
    <cellStyle name="Вывод 2 3 6 2 2" xfId="28658" xr:uid="{00000000-0005-0000-0000-000080700000}"/>
    <cellStyle name="Вывод 2 3 6 2_TOM TAT" xfId="25790" xr:uid="{00000000-0005-0000-0000-000081700000}"/>
    <cellStyle name="Вывод 2 3 6 3" xfId="27485" xr:uid="{00000000-0005-0000-0000-000082700000}"/>
    <cellStyle name="Вывод 2 3 6_TOM TAT" xfId="25789" xr:uid="{00000000-0005-0000-0000-000083700000}"/>
    <cellStyle name="Вывод 2 3 7" xfId="2696" xr:uid="{00000000-0005-0000-0000-000084700000}"/>
    <cellStyle name="Вывод 2 3 7 2" xfId="6057" xr:uid="{00000000-0005-0000-0000-000085700000}"/>
    <cellStyle name="Вывод 2 3 7 2 2" xfId="28659" xr:uid="{00000000-0005-0000-0000-000086700000}"/>
    <cellStyle name="Вывод 2 3 7 2_TOM TAT" xfId="25792" xr:uid="{00000000-0005-0000-0000-000087700000}"/>
    <cellStyle name="Вывод 2 3 7 3" xfId="27486" xr:uid="{00000000-0005-0000-0000-000088700000}"/>
    <cellStyle name="Вывод 2 3 7_TOM TAT" xfId="25791" xr:uid="{00000000-0005-0000-0000-000089700000}"/>
    <cellStyle name="Вывод 2 3 8" xfId="6058" xr:uid="{00000000-0005-0000-0000-00008A700000}"/>
    <cellStyle name="Вывод 2 3 8 2" xfId="28660" xr:uid="{00000000-0005-0000-0000-00008B700000}"/>
    <cellStyle name="Вывод 2 3 8_TOM TAT" xfId="25793" xr:uid="{00000000-0005-0000-0000-00008C700000}"/>
    <cellStyle name="Вывод 2 3 9" xfId="27475" xr:uid="{00000000-0005-0000-0000-00008D700000}"/>
    <cellStyle name="Вывод 2 3_TOM TAT" xfId="25770" xr:uid="{00000000-0005-0000-0000-00008E700000}"/>
    <cellStyle name="Вывод 2 4" xfId="2697" xr:uid="{00000000-0005-0000-0000-00008F700000}"/>
    <cellStyle name="Вывод 2 4 2" xfId="2698" xr:uid="{00000000-0005-0000-0000-000090700000}"/>
    <cellStyle name="Вывод 2 4 2 2" xfId="2699" xr:uid="{00000000-0005-0000-0000-000091700000}"/>
    <cellStyle name="Вывод 2 4 2 2 2" xfId="6059" xr:uid="{00000000-0005-0000-0000-000092700000}"/>
    <cellStyle name="Вывод 2 4 2 2 2 2" xfId="28661" xr:uid="{00000000-0005-0000-0000-000093700000}"/>
    <cellStyle name="Вывод 2 4 2 2 2_TOM TAT" xfId="25797" xr:uid="{00000000-0005-0000-0000-000094700000}"/>
    <cellStyle name="Вывод 2 4 2 2 3" xfId="27489" xr:uid="{00000000-0005-0000-0000-000095700000}"/>
    <cellStyle name="Вывод 2 4 2 2_TOM TAT" xfId="25796" xr:uid="{00000000-0005-0000-0000-000096700000}"/>
    <cellStyle name="Вывод 2 4 2 3" xfId="6060" xr:uid="{00000000-0005-0000-0000-000097700000}"/>
    <cellStyle name="Вывод 2 4 2 3 2" xfId="28662" xr:uid="{00000000-0005-0000-0000-000098700000}"/>
    <cellStyle name="Вывод 2 4 2 3_TOM TAT" xfId="25798" xr:uid="{00000000-0005-0000-0000-000099700000}"/>
    <cellStyle name="Вывод 2 4 2 4" xfId="27488" xr:uid="{00000000-0005-0000-0000-00009A700000}"/>
    <cellStyle name="Вывод 2 4 2_TOM TAT" xfId="25795" xr:uid="{00000000-0005-0000-0000-00009B700000}"/>
    <cellStyle name="Вывод 2 4 3" xfId="2700" xr:uid="{00000000-0005-0000-0000-00009C700000}"/>
    <cellStyle name="Вывод 2 4 3 2" xfId="6061" xr:uid="{00000000-0005-0000-0000-00009D700000}"/>
    <cellStyle name="Вывод 2 4 3 2 2" xfId="28663" xr:uid="{00000000-0005-0000-0000-00009E700000}"/>
    <cellStyle name="Вывод 2 4 3 2_TOM TAT" xfId="25800" xr:uid="{00000000-0005-0000-0000-00009F700000}"/>
    <cellStyle name="Вывод 2 4 3 3" xfId="27490" xr:uid="{00000000-0005-0000-0000-0000A0700000}"/>
    <cellStyle name="Вывод 2 4 3_TOM TAT" xfId="25799" xr:uid="{00000000-0005-0000-0000-0000A1700000}"/>
    <cellStyle name="Вывод 2 4 4" xfId="2701" xr:uid="{00000000-0005-0000-0000-0000A2700000}"/>
    <cellStyle name="Вывод 2 4 4 2" xfId="6062" xr:uid="{00000000-0005-0000-0000-0000A3700000}"/>
    <cellStyle name="Вывод 2 4 4 2 2" xfId="28664" xr:uid="{00000000-0005-0000-0000-0000A4700000}"/>
    <cellStyle name="Вывод 2 4 4 2_TOM TAT" xfId="25802" xr:uid="{00000000-0005-0000-0000-0000A5700000}"/>
    <cellStyle name="Вывод 2 4 4 3" xfId="27491" xr:uid="{00000000-0005-0000-0000-0000A6700000}"/>
    <cellStyle name="Вывод 2 4 4_TOM TAT" xfId="25801" xr:uid="{00000000-0005-0000-0000-0000A7700000}"/>
    <cellStyle name="Вывод 2 4 5" xfId="6063" xr:uid="{00000000-0005-0000-0000-0000A8700000}"/>
    <cellStyle name="Вывод 2 4 5 2" xfId="28665" xr:uid="{00000000-0005-0000-0000-0000A9700000}"/>
    <cellStyle name="Вывод 2 4 5_TOM TAT" xfId="25803" xr:uid="{00000000-0005-0000-0000-0000AA700000}"/>
    <cellStyle name="Вывод 2 4 6" xfId="27487" xr:uid="{00000000-0005-0000-0000-0000AB700000}"/>
    <cellStyle name="Вывод 2 4_TOM TAT" xfId="25794" xr:uid="{00000000-0005-0000-0000-0000AC700000}"/>
    <cellStyle name="Вывод 2 5" xfId="2702" xr:uid="{00000000-0005-0000-0000-0000AD700000}"/>
    <cellStyle name="Вывод 2 5 2" xfId="2703" xr:uid="{00000000-0005-0000-0000-0000AE700000}"/>
    <cellStyle name="Вывод 2 5 2 2" xfId="6064" xr:uid="{00000000-0005-0000-0000-0000AF700000}"/>
    <cellStyle name="Вывод 2 5 2 2 2" xfId="28666" xr:uid="{00000000-0005-0000-0000-0000B0700000}"/>
    <cellStyle name="Вывод 2 5 2 2_TOM TAT" xfId="25806" xr:uid="{00000000-0005-0000-0000-0000B1700000}"/>
    <cellStyle name="Вывод 2 5 2 3" xfId="27493" xr:uid="{00000000-0005-0000-0000-0000B2700000}"/>
    <cellStyle name="Вывод 2 5 2_TOM TAT" xfId="25805" xr:uid="{00000000-0005-0000-0000-0000B3700000}"/>
    <cellStyle name="Вывод 2 5 3" xfId="6065" xr:uid="{00000000-0005-0000-0000-0000B4700000}"/>
    <cellStyle name="Вывод 2 5 3 2" xfId="28667" xr:uid="{00000000-0005-0000-0000-0000B5700000}"/>
    <cellStyle name="Вывод 2 5 3_TOM TAT" xfId="25807" xr:uid="{00000000-0005-0000-0000-0000B6700000}"/>
    <cellStyle name="Вывод 2 5 4" xfId="27492" xr:uid="{00000000-0005-0000-0000-0000B7700000}"/>
    <cellStyle name="Вывод 2 5_TOM TAT" xfId="25804" xr:uid="{00000000-0005-0000-0000-0000B8700000}"/>
    <cellStyle name="Вывод 2 6" xfId="2704" xr:uid="{00000000-0005-0000-0000-0000B9700000}"/>
    <cellStyle name="Вывод 2 6 2" xfId="6066" xr:uid="{00000000-0005-0000-0000-0000BA700000}"/>
    <cellStyle name="Вывод 2 6 2 2" xfId="28668" xr:uid="{00000000-0005-0000-0000-0000BB700000}"/>
    <cellStyle name="Вывод 2 6 2_TOM TAT" xfId="25809" xr:uid="{00000000-0005-0000-0000-0000BC700000}"/>
    <cellStyle name="Вывод 2 6 3" xfId="27494" xr:uid="{00000000-0005-0000-0000-0000BD700000}"/>
    <cellStyle name="Вывод 2 6_TOM TAT" xfId="25808" xr:uid="{00000000-0005-0000-0000-0000BE700000}"/>
    <cellStyle name="Вывод 2 7" xfId="2705" xr:uid="{00000000-0005-0000-0000-0000BF700000}"/>
    <cellStyle name="Вывод 2 7 2" xfId="6067" xr:uid="{00000000-0005-0000-0000-0000C0700000}"/>
    <cellStyle name="Вывод 2 7 2 2" xfId="28669" xr:uid="{00000000-0005-0000-0000-0000C1700000}"/>
    <cellStyle name="Вывод 2 7 2_TOM TAT" xfId="25811" xr:uid="{00000000-0005-0000-0000-0000C2700000}"/>
    <cellStyle name="Вывод 2 7 3" xfId="27495" xr:uid="{00000000-0005-0000-0000-0000C3700000}"/>
    <cellStyle name="Вывод 2 7_TOM TAT" xfId="25810" xr:uid="{00000000-0005-0000-0000-0000C4700000}"/>
    <cellStyle name="Вывод 2 8" xfId="2706" xr:uid="{00000000-0005-0000-0000-0000C5700000}"/>
    <cellStyle name="Вывод 2 8 2" xfId="6068" xr:uid="{00000000-0005-0000-0000-0000C6700000}"/>
    <cellStyle name="Вывод 2 8 2 2" xfId="28670" xr:uid="{00000000-0005-0000-0000-0000C7700000}"/>
    <cellStyle name="Вывод 2 8 2_TOM TAT" xfId="25813" xr:uid="{00000000-0005-0000-0000-0000C8700000}"/>
    <cellStyle name="Вывод 2 8 3" xfId="27496" xr:uid="{00000000-0005-0000-0000-0000C9700000}"/>
    <cellStyle name="Вывод 2 8_TOM TAT" xfId="25812" xr:uid="{00000000-0005-0000-0000-0000CA700000}"/>
    <cellStyle name="Вывод 2 9" xfId="2707" xr:uid="{00000000-0005-0000-0000-0000CB700000}"/>
    <cellStyle name="Вывод 2 9 2" xfId="6069" xr:uid="{00000000-0005-0000-0000-0000CC700000}"/>
    <cellStyle name="Вывод 2 9 2 2" xfId="28671" xr:uid="{00000000-0005-0000-0000-0000CD700000}"/>
    <cellStyle name="Вывод 2 9 2_TOM TAT" xfId="25815" xr:uid="{00000000-0005-0000-0000-0000CE700000}"/>
    <cellStyle name="Вывод 2 9 3" xfId="27497" xr:uid="{00000000-0005-0000-0000-0000CF700000}"/>
    <cellStyle name="Вывод 2 9_TOM TAT" xfId="25814" xr:uid="{00000000-0005-0000-0000-0000D0700000}"/>
    <cellStyle name="Вывод 2_TOM TAT" xfId="25744" xr:uid="{00000000-0005-0000-0000-0000D1700000}"/>
    <cellStyle name="Вывод 3" xfId="2708" xr:uid="{00000000-0005-0000-0000-0000D2700000}"/>
    <cellStyle name="Вывод 3 2" xfId="2709" xr:uid="{00000000-0005-0000-0000-0000D3700000}"/>
    <cellStyle name="Вывод 3 2 2" xfId="2710" xr:uid="{00000000-0005-0000-0000-0000D4700000}"/>
    <cellStyle name="Вывод 3 2 2 2" xfId="2711" xr:uid="{00000000-0005-0000-0000-0000D5700000}"/>
    <cellStyle name="Вывод 3 2 2 2 2" xfId="6070" xr:uid="{00000000-0005-0000-0000-0000D6700000}"/>
    <cellStyle name="Вывод 3 2 2 2 2 2" xfId="28672" xr:uid="{00000000-0005-0000-0000-0000D7700000}"/>
    <cellStyle name="Вывод 3 2 2 2 2_TOM TAT" xfId="25820" xr:uid="{00000000-0005-0000-0000-0000D8700000}"/>
    <cellStyle name="Вывод 3 2 2 2 3" xfId="27501" xr:uid="{00000000-0005-0000-0000-0000D9700000}"/>
    <cellStyle name="Вывод 3 2 2 2_TOM TAT" xfId="25819" xr:uid="{00000000-0005-0000-0000-0000DA700000}"/>
    <cellStyle name="Вывод 3 2 2 3" xfId="6071" xr:uid="{00000000-0005-0000-0000-0000DB700000}"/>
    <cellStyle name="Вывод 3 2 2 3 2" xfId="28673" xr:uid="{00000000-0005-0000-0000-0000DC700000}"/>
    <cellStyle name="Вывод 3 2 2 3_TOM TAT" xfId="25821" xr:uid="{00000000-0005-0000-0000-0000DD700000}"/>
    <cellStyle name="Вывод 3 2 2 4" xfId="27500" xr:uid="{00000000-0005-0000-0000-0000DE700000}"/>
    <cellStyle name="Вывод 3 2 2_TOM TAT" xfId="25818" xr:uid="{00000000-0005-0000-0000-0000DF700000}"/>
    <cellStyle name="Вывод 3 2 3" xfId="2712" xr:uid="{00000000-0005-0000-0000-0000E0700000}"/>
    <cellStyle name="Вывод 3 2 3 2" xfId="6072" xr:uid="{00000000-0005-0000-0000-0000E1700000}"/>
    <cellStyle name="Вывод 3 2 3 2 2" xfId="28674" xr:uid="{00000000-0005-0000-0000-0000E2700000}"/>
    <cellStyle name="Вывод 3 2 3 2_TOM TAT" xfId="25823" xr:uid="{00000000-0005-0000-0000-0000E3700000}"/>
    <cellStyle name="Вывод 3 2 3 3" xfId="27502" xr:uid="{00000000-0005-0000-0000-0000E4700000}"/>
    <cellStyle name="Вывод 3 2 3_TOM TAT" xfId="25822" xr:uid="{00000000-0005-0000-0000-0000E5700000}"/>
    <cellStyle name="Вывод 3 2 4" xfId="2713" xr:uid="{00000000-0005-0000-0000-0000E6700000}"/>
    <cellStyle name="Вывод 3 2 4 2" xfId="6073" xr:uid="{00000000-0005-0000-0000-0000E7700000}"/>
    <cellStyle name="Вывод 3 2 4 2 2" xfId="28675" xr:uid="{00000000-0005-0000-0000-0000E8700000}"/>
    <cellStyle name="Вывод 3 2 4 2_TOM TAT" xfId="25825" xr:uid="{00000000-0005-0000-0000-0000E9700000}"/>
    <cellStyle name="Вывод 3 2 4 3" xfId="27503" xr:uid="{00000000-0005-0000-0000-0000EA700000}"/>
    <cellStyle name="Вывод 3 2 4_TOM TAT" xfId="25824" xr:uid="{00000000-0005-0000-0000-0000EB700000}"/>
    <cellStyle name="Вывод 3 2 5" xfId="6074" xr:uid="{00000000-0005-0000-0000-0000EC700000}"/>
    <cellStyle name="Вывод 3 2 5 2" xfId="28676" xr:uid="{00000000-0005-0000-0000-0000ED700000}"/>
    <cellStyle name="Вывод 3 2 5_TOM TAT" xfId="25826" xr:uid="{00000000-0005-0000-0000-0000EE700000}"/>
    <cellStyle name="Вывод 3 2 6" xfId="27499" xr:uid="{00000000-0005-0000-0000-0000EF700000}"/>
    <cellStyle name="Вывод 3 2_TOM TAT" xfId="25817" xr:uid="{00000000-0005-0000-0000-0000F0700000}"/>
    <cellStyle name="Вывод 3 3" xfId="2714" xr:uid="{00000000-0005-0000-0000-0000F1700000}"/>
    <cellStyle name="Вывод 3 3 2" xfId="2715" xr:uid="{00000000-0005-0000-0000-0000F2700000}"/>
    <cellStyle name="Вывод 3 3 2 2" xfId="6075" xr:uid="{00000000-0005-0000-0000-0000F3700000}"/>
    <cellStyle name="Вывод 3 3 2 2 2" xfId="28677" xr:uid="{00000000-0005-0000-0000-0000F4700000}"/>
    <cellStyle name="Вывод 3 3 2 2_TOM TAT" xfId="25829" xr:uid="{00000000-0005-0000-0000-0000F5700000}"/>
    <cellStyle name="Вывод 3 3 2 3" xfId="27505" xr:uid="{00000000-0005-0000-0000-0000F6700000}"/>
    <cellStyle name="Вывод 3 3 2_TOM TAT" xfId="25828" xr:uid="{00000000-0005-0000-0000-0000F7700000}"/>
    <cellStyle name="Вывод 3 3 3" xfId="6076" xr:uid="{00000000-0005-0000-0000-0000F8700000}"/>
    <cellStyle name="Вывод 3 3 3 2" xfId="28678" xr:uid="{00000000-0005-0000-0000-0000F9700000}"/>
    <cellStyle name="Вывод 3 3 3_TOM TAT" xfId="25830" xr:uid="{00000000-0005-0000-0000-0000FA700000}"/>
    <cellStyle name="Вывод 3 3 4" xfId="27504" xr:uid="{00000000-0005-0000-0000-0000FB700000}"/>
    <cellStyle name="Вывод 3 3_TOM TAT" xfId="25827" xr:uid="{00000000-0005-0000-0000-0000FC700000}"/>
    <cellStyle name="Вывод 3 4" xfId="2716" xr:uid="{00000000-0005-0000-0000-0000FD700000}"/>
    <cellStyle name="Вывод 3 4 2" xfId="6077" xr:uid="{00000000-0005-0000-0000-0000FE700000}"/>
    <cellStyle name="Вывод 3 4 2 2" xfId="28679" xr:uid="{00000000-0005-0000-0000-0000FF700000}"/>
    <cellStyle name="Вывод 3 4 2_TOM TAT" xfId="25832" xr:uid="{00000000-0005-0000-0000-000000710000}"/>
    <cellStyle name="Вывод 3 4 3" xfId="27506" xr:uid="{00000000-0005-0000-0000-000001710000}"/>
    <cellStyle name="Вывод 3 4_TOM TAT" xfId="25831" xr:uid="{00000000-0005-0000-0000-000002710000}"/>
    <cellStyle name="Вывод 3 5" xfId="2717" xr:uid="{00000000-0005-0000-0000-000003710000}"/>
    <cellStyle name="Вывод 3 5 2" xfId="6078" xr:uid="{00000000-0005-0000-0000-000004710000}"/>
    <cellStyle name="Вывод 3 5 2 2" xfId="28680" xr:uid="{00000000-0005-0000-0000-000005710000}"/>
    <cellStyle name="Вывод 3 5 2_TOM TAT" xfId="25834" xr:uid="{00000000-0005-0000-0000-000006710000}"/>
    <cellStyle name="Вывод 3 5 3" xfId="27507" xr:uid="{00000000-0005-0000-0000-000007710000}"/>
    <cellStyle name="Вывод 3 5_TOM TAT" xfId="25833" xr:uid="{00000000-0005-0000-0000-000008710000}"/>
    <cellStyle name="Вывод 3 6" xfId="2718" xr:uid="{00000000-0005-0000-0000-000009710000}"/>
    <cellStyle name="Вывод 3 6 2" xfId="6079" xr:uid="{00000000-0005-0000-0000-00000A710000}"/>
    <cellStyle name="Вывод 3 6 2 2" xfId="28681" xr:uid="{00000000-0005-0000-0000-00000B710000}"/>
    <cellStyle name="Вывод 3 6 2_TOM TAT" xfId="25836" xr:uid="{00000000-0005-0000-0000-00000C710000}"/>
    <cellStyle name="Вывод 3 6 3" xfId="27508" xr:uid="{00000000-0005-0000-0000-00000D710000}"/>
    <cellStyle name="Вывод 3 6_TOM TAT" xfId="25835" xr:uid="{00000000-0005-0000-0000-00000E710000}"/>
    <cellStyle name="Вывод 3 7" xfId="2719" xr:uid="{00000000-0005-0000-0000-00000F710000}"/>
    <cellStyle name="Вывод 3 7 2" xfId="6080" xr:uid="{00000000-0005-0000-0000-000010710000}"/>
    <cellStyle name="Вывод 3 7 2 2" xfId="28682" xr:uid="{00000000-0005-0000-0000-000011710000}"/>
    <cellStyle name="Вывод 3 7 2_TOM TAT" xfId="25838" xr:uid="{00000000-0005-0000-0000-000012710000}"/>
    <cellStyle name="Вывод 3 7 3" xfId="27509" xr:uid="{00000000-0005-0000-0000-000013710000}"/>
    <cellStyle name="Вывод 3 7_TOM TAT" xfId="25837" xr:uid="{00000000-0005-0000-0000-000014710000}"/>
    <cellStyle name="Вывод 3 8" xfId="6081" xr:uid="{00000000-0005-0000-0000-000015710000}"/>
    <cellStyle name="Вывод 3 8 2" xfId="28683" xr:uid="{00000000-0005-0000-0000-000016710000}"/>
    <cellStyle name="Вывод 3 8_TOM TAT" xfId="25839" xr:uid="{00000000-0005-0000-0000-000017710000}"/>
    <cellStyle name="Вывод 3 9" xfId="27498" xr:uid="{00000000-0005-0000-0000-000018710000}"/>
    <cellStyle name="Вывод 3_TOM TAT" xfId="25816" xr:uid="{00000000-0005-0000-0000-000019710000}"/>
    <cellStyle name="Вывод 4" xfId="2720" xr:uid="{00000000-0005-0000-0000-00001A710000}"/>
    <cellStyle name="Вывод 4 2" xfId="2721" xr:uid="{00000000-0005-0000-0000-00001B710000}"/>
    <cellStyle name="Вывод 4 2 2" xfId="2722" xr:uid="{00000000-0005-0000-0000-00001C710000}"/>
    <cellStyle name="Вывод 4 2 2 2" xfId="6082" xr:uid="{00000000-0005-0000-0000-00001D710000}"/>
    <cellStyle name="Вывод 4 2 2 2 2" xfId="28684" xr:uid="{00000000-0005-0000-0000-00001E710000}"/>
    <cellStyle name="Вывод 4 2 2 2_TOM TAT" xfId="25843" xr:uid="{00000000-0005-0000-0000-00001F710000}"/>
    <cellStyle name="Вывод 4 2 2 3" xfId="27512" xr:uid="{00000000-0005-0000-0000-000020710000}"/>
    <cellStyle name="Вывод 4 2 2_TOM TAT" xfId="25842" xr:uid="{00000000-0005-0000-0000-000021710000}"/>
    <cellStyle name="Вывод 4 2 3" xfId="6083" xr:uid="{00000000-0005-0000-0000-000022710000}"/>
    <cellStyle name="Вывод 4 2 3 2" xfId="28685" xr:uid="{00000000-0005-0000-0000-000023710000}"/>
    <cellStyle name="Вывод 4 2 3_TOM TAT" xfId="25844" xr:uid="{00000000-0005-0000-0000-000024710000}"/>
    <cellStyle name="Вывод 4 2 4" xfId="27511" xr:uid="{00000000-0005-0000-0000-000025710000}"/>
    <cellStyle name="Вывод 4 2_TOM TAT" xfId="25841" xr:uid="{00000000-0005-0000-0000-000026710000}"/>
    <cellStyle name="Вывод 4 3" xfId="2723" xr:uid="{00000000-0005-0000-0000-000027710000}"/>
    <cellStyle name="Вывод 4 3 2" xfId="6084" xr:uid="{00000000-0005-0000-0000-000028710000}"/>
    <cellStyle name="Вывод 4 3 2 2" xfId="28686" xr:uid="{00000000-0005-0000-0000-000029710000}"/>
    <cellStyle name="Вывод 4 3 2_TOM TAT" xfId="25846" xr:uid="{00000000-0005-0000-0000-00002A710000}"/>
    <cellStyle name="Вывод 4 3 3" xfId="27513" xr:uid="{00000000-0005-0000-0000-00002B710000}"/>
    <cellStyle name="Вывод 4 3_TOM TAT" xfId="25845" xr:uid="{00000000-0005-0000-0000-00002C710000}"/>
    <cellStyle name="Вывод 4 4" xfId="2724" xr:uid="{00000000-0005-0000-0000-00002D710000}"/>
    <cellStyle name="Вывод 4 4 2" xfId="6085" xr:uid="{00000000-0005-0000-0000-00002E710000}"/>
    <cellStyle name="Вывод 4 4 2 2" xfId="28687" xr:uid="{00000000-0005-0000-0000-00002F710000}"/>
    <cellStyle name="Вывод 4 4 2_TOM TAT" xfId="25848" xr:uid="{00000000-0005-0000-0000-000030710000}"/>
    <cellStyle name="Вывод 4 4 3" xfId="27514" xr:uid="{00000000-0005-0000-0000-000031710000}"/>
    <cellStyle name="Вывод 4 4_TOM TAT" xfId="25847" xr:uid="{00000000-0005-0000-0000-000032710000}"/>
    <cellStyle name="Вывод 4 5" xfId="6086" xr:uid="{00000000-0005-0000-0000-000033710000}"/>
    <cellStyle name="Вывод 4 5 2" xfId="28688" xr:uid="{00000000-0005-0000-0000-000034710000}"/>
    <cellStyle name="Вывод 4 5_TOM TAT" xfId="25849" xr:uid="{00000000-0005-0000-0000-000035710000}"/>
    <cellStyle name="Вывод 4 6" xfId="27510" xr:uid="{00000000-0005-0000-0000-000036710000}"/>
    <cellStyle name="Вывод 4_TOM TAT" xfId="25840" xr:uid="{00000000-0005-0000-0000-000037710000}"/>
    <cellStyle name="Вывод 5" xfId="2725" xr:uid="{00000000-0005-0000-0000-000038710000}"/>
    <cellStyle name="Вывод 5 2" xfId="2726" xr:uid="{00000000-0005-0000-0000-000039710000}"/>
    <cellStyle name="Вывод 5 2 2" xfId="6087" xr:uid="{00000000-0005-0000-0000-00003A710000}"/>
    <cellStyle name="Вывод 5 2 2 2" xfId="28689" xr:uid="{00000000-0005-0000-0000-00003B710000}"/>
    <cellStyle name="Вывод 5 2 2_TOM TAT" xfId="25852" xr:uid="{00000000-0005-0000-0000-00003C710000}"/>
    <cellStyle name="Вывод 5 2 3" xfId="27516" xr:uid="{00000000-0005-0000-0000-00003D710000}"/>
    <cellStyle name="Вывод 5 2_TOM TAT" xfId="25851" xr:uid="{00000000-0005-0000-0000-00003E710000}"/>
    <cellStyle name="Вывод 5 3" xfId="6088" xr:uid="{00000000-0005-0000-0000-00003F710000}"/>
    <cellStyle name="Вывод 5 3 2" xfId="28690" xr:uid="{00000000-0005-0000-0000-000040710000}"/>
    <cellStyle name="Вывод 5 3_TOM TAT" xfId="25853" xr:uid="{00000000-0005-0000-0000-000041710000}"/>
    <cellStyle name="Вывод 5 4" xfId="27515" xr:uid="{00000000-0005-0000-0000-000042710000}"/>
    <cellStyle name="Вывод 5_TOM TAT" xfId="25850" xr:uid="{00000000-0005-0000-0000-000043710000}"/>
    <cellStyle name="Вывод 6" xfId="2727" xr:uid="{00000000-0005-0000-0000-000044710000}"/>
    <cellStyle name="Вывод 6 2" xfId="6089" xr:uid="{00000000-0005-0000-0000-000045710000}"/>
    <cellStyle name="Вывод 6 2 2" xfId="28691" xr:uid="{00000000-0005-0000-0000-000046710000}"/>
    <cellStyle name="Вывод 6 2_TOM TAT" xfId="25855" xr:uid="{00000000-0005-0000-0000-000047710000}"/>
    <cellStyle name="Вывод 6 3" xfId="27517" xr:uid="{00000000-0005-0000-0000-000048710000}"/>
    <cellStyle name="Вывод 6_TOM TAT" xfId="25854" xr:uid="{00000000-0005-0000-0000-000049710000}"/>
    <cellStyle name="Вывод 7" xfId="2728" xr:uid="{00000000-0005-0000-0000-00004A710000}"/>
    <cellStyle name="Вывод 7 2" xfId="6090" xr:uid="{00000000-0005-0000-0000-00004B710000}"/>
    <cellStyle name="Вывод 7 2 2" xfId="28692" xr:uid="{00000000-0005-0000-0000-00004C710000}"/>
    <cellStyle name="Вывод 7 2_TOM TAT" xfId="25857" xr:uid="{00000000-0005-0000-0000-00004D710000}"/>
    <cellStyle name="Вывод 7 3" xfId="27518" xr:uid="{00000000-0005-0000-0000-00004E710000}"/>
    <cellStyle name="Вывод 7_TOM TAT" xfId="25856" xr:uid="{00000000-0005-0000-0000-00004F710000}"/>
    <cellStyle name="Вывод 8" xfId="2729" xr:uid="{00000000-0005-0000-0000-000050710000}"/>
    <cellStyle name="Вывод 8 2" xfId="6091" xr:uid="{00000000-0005-0000-0000-000051710000}"/>
    <cellStyle name="Вывод 8 2 2" xfId="28693" xr:uid="{00000000-0005-0000-0000-000052710000}"/>
    <cellStyle name="Вывод 8 2_TOM TAT" xfId="25859" xr:uid="{00000000-0005-0000-0000-000053710000}"/>
    <cellStyle name="Вывод 8 3" xfId="27519" xr:uid="{00000000-0005-0000-0000-000054710000}"/>
    <cellStyle name="Вывод 8_TOM TAT" xfId="25858" xr:uid="{00000000-0005-0000-0000-000055710000}"/>
    <cellStyle name="Вывод 9" xfId="2730" xr:uid="{00000000-0005-0000-0000-000056710000}"/>
    <cellStyle name="Вывод 9 2" xfId="6092" xr:uid="{00000000-0005-0000-0000-000057710000}"/>
    <cellStyle name="Вывод 9 2 2" xfId="28694" xr:uid="{00000000-0005-0000-0000-000058710000}"/>
    <cellStyle name="Вывод 9 2_TOM TAT" xfId="25861" xr:uid="{00000000-0005-0000-0000-000059710000}"/>
    <cellStyle name="Вывод 9 3" xfId="27520" xr:uid="{00000000-0005-0000-0000-00005A710000}"/>
    <cellStyle name="Вывод 9_TOM TAT" xfId="25860" xr:uid="{00000000-0005-0000-0000-00005B710000}"/>
    <cellStyle name="Вывод_TOM TAT" xfId="25742" xr:uid="{00000000-0005-0000-0000-00005C710000}"/>
    <cellStyle name="Вычисление" xfId="2731" xr:uid="{00000000-0005-0000-0000-00005D710000}"/>
    <cellStyle name="Вычисление 10" xfId="2732" xr:uid="{00000000-0005-0000-0000-00005E710000}"/>
    <cellStyle name="Вычисление 10 2" xfId="2733" xr:uid="{00000000-0005-0000-0000-00005F710000}"/>
    <cellStyle name="Вычисление 10 2 2" xfId="6093" xr:uid="{00000000-0005-0000-0000-000060710000}"/>
    <cellStyle name="Вычисление 10 2 2 2" xfId="28695" xr:uid="{00000000-0005-0000-0000-000061710000}"/>
    <cellStyle name="Вычисление 10 2 2_TOM TAT" xfId="25865" xr:uid="{00000000-0005-0000-0000-000062710000}"/>
    <cellStyle name="Вычисление 10 2 3" xfId="27523" xr:uid="{00000000-0005-0000-0000-000063710000}"/>
    <cellStyle name="Вычисление 10 2_TOM TAT" xfId="25864" xr:uid="{00000000-0005-0000-0000-000064710000}"/>
    <cellStyle name="Вычисление 10 3" xfId="6094" xr:uid="{00000000-0005-0000-0000-000065710000}"/>
    <cellStyle name="Вычисление 10 3 2" xfId="28696" xr:uid="{00000000-0005-0000-0000-000066710000}"/>
    <cellStyle name="Вычисление 10 3_TOM TAT" xfId="25866" xr:uid="{00000000-0005-0000-0000-000067710000}"/>
    <cellStyle name="Вычисление 10 4" xfId="27522" xr:uid="{00000000-0005-0000-0000-000068710000}"/>
    <cellStyle name="Вычисление 10_TOM TAT" xfId="25863" xr:uid="{00000000-0005-0000-0000-000069710000}"/>
    <cellStyle name="Вычисление 11" xfId="2734" xr:uid="{00000000-0005-0000-0000-00006A710000}"/>
    <cellStyle name="Вычисление 11 2" xfId="6095" xr:uid="{00000000-0005-0000-0000-00006B710000}"/>
    <cellStyle name="Вычисление 11 2 2" xfId="28697" xr:uid="{00000000-0005-0000-0000-00006C710000}"/>
    <cellStyle name="Вычисление 11 2_TOM TAT" xfId="25868" xr:uid="{00000000-0005-0000-0000-00006D710000}"/>
    <cellStyle name="Вычисление 11 3" xfId="27524" xr:uid="{00000000-0005-0000-0000-00006E710000}"/>
    <cellStyle name="Вычисление 11_TOM TAT" xfId="25867" xr:uid="{00000000-0005-0000-0000-00006F710000}"/>
    <cellStyle name="Вычисление 12" xfId="2735" xr:uid="{00000000-0005-0000-0000-000070710000}"/>
    <cellStyle name="Вычисление 12 2" xfId="6096" xr:uid="{00000000-0005-0000-0000-000071710000}"/>
    <cellStyle name="Вычисление 12 2 2" xfId="28698" xr:uid="{00000000-0005-0000-0000-000072710000}"/>
    <cellStyle name="Вычисление 12 2_TOM TAT" xfId="25870" xr:uid="{00000000-0005-0000-0000-000073710000}"/>
    <cellStyle name="Вычисление 12 3" xfId="27525" xr:uid="{00000000-0005-0000-0000-000074710000}"/>
    <cellStyle name="Вычисление 12_TOM TAT" xfId="25869" xr:uid="{00000000-0005-0000-0000-000075710000}"/>
    <cellStyle name="Вычисление 13" xfId="6097" xr:uid="{00000000-0005-0000-0000-000076710000}"/>
    <cellStyle name="Вычисление 13 2" xfId="28699" xr:uid="{00000000-0005-0000-0000-000077710000}"/>
    <cellStyle name="Вычисление 13_TOM TAT" xfId="25871" xr:uid="{00000000-0005-0000-0000-000078710000}"/>
    <cellStyle name="Вычисление 14" xfId="27521" xr:uid="{00000000-0005-0000-0000-000079710000}"/>
    <cellStyle name="Вычисление 2" xfId="2736" xr:uid="{00000000-0005-0000-0000-00007A710000}"/>
    <cellStyle name="Вычисление 2 10" xfId="2737" xr:uid="{00000000-0005-0000-0000-00007B710000}"/>
    <cellStyle name="Вычисление 2 10 2" xfId="6098" xr:uid="{00000000-0005-0000-0000-00007C710000}"/>
    <cellStyle name="Вычисление 2 10 2 2" xfId="28700" xr:uid="{00000000-0005-0000-0000-00007D710000}"/>
    <cellStyle name="Вычисление 2 10 2_TOM TAT" xfId="25874" xr:uid="{00000000-0005-0000-0000-00007E710000}"/>
    <cellStyle name="Вычисление 2 10 3" xfId="27527" xr:uid="{00000000-0005-0000-0000-00007F710000}"/>
    <cellStyle name="Вычисление 2 10_TOM TAT" xfId="25873" xr:uid="{00000000-0005-0000-0000-000080710000}"/>
    <cellStyle name="Вычисление 2 11" xfId="6099" xr:uid="{00000000-0005-0000-0000-000081710000}"/>
    <cellStyle name="Вычисление 2 11 2" xfId="28701" xr:uid="{00000000-0005-0000-0000-000082710000}"/>
    <cellStyle name="Вычисление 2 11_TOM TAT" xfId="25875" xr:uid="{00000000-0005-0000-0000-000083710000}"/>
    <cellStyle name="Вычисление 2 12" xfId="27526" xr:uid="{00000000-0005-0000-0000-000084710000}"/>
    <cellStyle name="Вычисление 2 2" xfId="2738" xr:uid="{00000000-0005-0000-0000-000085710000}"/>
    <cellStyle name="Вычисление 2 2 10" xfId="27528" xr:uid="{00000000-0005-0000-0000-000086710000}"/>
    <cellStyle name="Вычисление 2 2 2" xfId="2739" xr:uid="{00000000-0005-0000-0000-000087710000}"/>
    <cellStyle name="Вычисление 2 2 2 2" xfId="2740" xr:uid="{00000000-0005-0000-0000-000088710000}"/>
    <cellStyle name="Вычисление 2 2 2 2 2" xfId="2741" xr:uid="{00000000-0005-0000-0000-000089710000}"/>
    <cellStyle name="Вычисление 2 2 2 2 2 2" xfId="2742" xr:uid="{00000000-0005-0000-0000-00008A710000}"/>
    <cellStyle name="Вычисление 2 2 2 2 2 2 2" xfId="6100" xr:uid="{00000000-0005-0000-0000-00008B710000}"/>
    <cellStyle name="Вычисление 2 2 2 2 2 2 2 2" xfId="28702" xr:uid="{00000000-0005-0000-0000-00008C710000}"/>
    <cellStyle name="Вычисление 2 2 2 2 2 2 2_TOM TAT" xfId="25881" xr:uid="{00000000-0005-0000-0000-00008D710000}"/>
    <cellStyle name="Вычисление 2 2 2 2 2 2 3" xfId="27532" xr:uid="{00000000-0005-0000-0000-00008E710000}"/>
    <cellStyle name="Вычисление 2 2 2 2 2 2_TOM TAT" xfId="25880" xr:uid="{00000000-0005-0000-0000-00008F710000}"/>
    <cellStyle name="Вычисление 2 2 2 2 2 3" xfId="6101" xr:uid="{00000000-0005-0000-0000-000090710000}"/>
    <cellStyle name="Вычисление 2 2 2 2 2 3 2" xfId="28703" xr:uid="{00000000-0005-0000-0000-000091710000}"/>
    <cellStyle name="Вычисление 2 2 2 2 2 3_TOM TAT" xfId="25882" xr:uid="{00000000-0005-0000-0000-000092710000}"/>
    <cellStyle name="Вычисление 2 2 2 2 2 4" xfId="27531" xr:uid="{00000000-0005-0000-0000-000093710000}"/>
    <cellStyle name="Вычисление 2 2 2 2 2_TOM TAT" xfId="25879" xr:uid="{00000000-0005-0000-0000-000094710000}"/>
    <cellStyle name="Вычисление 2 2 2 2 3" xfId="2743" xr:uid="{00000000-0005-0000-0000-000095710000}"/>
    <cellStyle name="Вычисление 2 2 2 2 3 2" xfId="6102" xr:uid="{00000000-0005-0000-0000-000096710000}"/>
    <cellStyle name="Вычисление 2 2 2 2 3 2 2" xfId="28704" xr:uid="{00000000-0005-0000-0000-000097710000}"/>
    <cellStyle name="Вычисление 2 2 2 2 3 2_TOM TAT" xfId="25884" xr:uid="{00000000-0005-0000-0000-000098710000}"/>
    <cellStyle name="Вычисление 2 2 2 2 3 3" xfId="27533" xr:uid="{00000000-0005-0000-0000-000099710000}"/>
    <cellStyle name="Вычисление 2 2 2 2 3_TOM TAT" xfId="25883" xr:uid="{00000000-0005-0000-0000-00009A710000}"/>
    <cellStyle name="Вычисление 2 2 2 2 4" xfId="2744" xr:uid="{00000000-0005-0000-0000-00009B710000}"/>
    <cellStyle name="Вычисление 2 2 2 2 4 2" xfId="6103" xr:uid="{00000000-0005-0000-0000-00009C710000}"/>
    <cellStyle name="Вычисление 2 2 2 2 4 2 2" xfId="28705" xr:uid="{00000000-0005-0000-0000-00009D710000}"/>
    <cellStyle name="Вычисление 2 2 2 2 4 2_TOM TAT" xfId="25886" xr:uid="{00000000-0005-0000-0000-00009E710000}"/>
    <cellStyle name="Вычисление 2 2 2 2 4 3" xfId="27534" xr:uid="{00000000-0005-0000-0000-00009F710000}"/>
    <cellStyle name="Вычисление 2 2 2 2 4_TOM TAT" xfId="25885" xr:uid="{00000000-0005-0000-0000-0000A0710000}"/>
    <cellStyle name="Вычисление 2 2 2 2 5" xfId="6104" xr:uid="{00000000-0005-0000-0000-0000A1710000}"/>
    <cellStyle name="Вычисление 2 2 2 2 5 2" xfId="28706" xr:uid="{00000000-0005-0000-0000-0000A2710000}"/>
    <cellStyle name="Вычисление 2 2 2 2 5_TOM TAT" xfId="25887" xr:uid="{00000000-0005-0000-0000-0000A3710000}"/>
    <cellStyle name="Вычисление 2 2 2 2 6" xfId="27530" xr:uid="{00000000-0005-0000-0000-0000A4710000}"/>
    <cellStyle name="Вычисление 2 2 2 2_TOM TAT" xfId="25878" xr:uid="{00000000-0005-0000-0000-0000A5710000}"/>
    <cellStyle name="Вычисление 2 2 2 3" xfId="2745" xr:uid="{00000000-0005-0000-0000-0000A6710000}"/>
    <cellStyle name="Вычисление 2 2 2 3 2" xfId="2746" xr:uid="{00000000-0005-0000-0000-0000A7710000}"/>
    <cellStyle name="Вычисление 2 2 2 3 2 2" xfId="6105" xr:uid="{00000000-0005-0000-0000-0000A8710000}"/>
    <cellStyle name="Вычисление 2 2 2 3 2 2 2" xfId="28707" xr:uid="{00000000-0005-0000-0000-0000A9710000}"/>
    <cellStyle name="Вычисление 2 2 2 3 2 2_TOM TAT" xfId="25890" xr:uid="{00000000-0005-0000-0000-0000AA710000}"/>
    <cellStyle name="Вычисление 2 2 2 3 2 3" xfId="27536" xr:uid="{00000000-0005-0000-0000-0000AB710000}"/>
    <cellStyle name="Вычисление 2 2 2 3 2_TOM TAT" xfId="25889" xr:uid="{00000000-0005-0000-0000-0000AC710000}"/>
    <cellStyle name="Вычисление 2 2 2 3 3" xfId="6106" xr:uid="{00000000-0005-0000-0000-0000AD710000}"/>
    <cellStyle name="Вычисление 2 2 2 3 3 2" xfId="28708" xr:uid="{00000000-0005-0000-0000-0000AE710000}"/>
    <cellStyle name="Вычисление 2 2 2 3 3_TOM TAT" xfId="25891" xr:uid="{00000000-0005-0000-0000-0000AF710000}"/>
    <cellStyle name="Вычисление 2 2 2 3 4" xfId="27535" xr:uid="{00000000-0005-0000-0000-0000B0710000}"/>
    <cellStyle name="Вычисление 2 2 2 3_TOM TAT" xfId="25888" xr:uid="{00000000-0005-0000-0000-0000B1710000}"/>
    <cellStyle name="Вычисление 2 2 2 4" xfId="2747" xr:uid="{00000000-0005-0000-0000-0000B2710000}"/>
    <cellStyle name="Вычисление 2 2 2 4 2" xfId="2748" xr:uid="{00000000-0005-0000-0000-0000B3710000}"/>
    <cellStyle name="Вычисление 2 2 2 4 2 2" xfId="6107" xr:uid="{00000000-0005-0000-0000-0000B4710000}"/>
    <cellStyle name="Вычисление 2 2 2 4 2 2 2" xfId="28709" xr:uid="{00000000-0005-0000-0000-0000B5710000}"/>
    <cellStyle name="Вычисление 2 2 2 4 2 2_TOM TAT" xfId="25894" xr:uid="{00000000-0005-0000-0000-0000B6710000}"/>
    <cellStyle name="Вычисление 2 2 2 4 2 3" xfId="27538" xr:uid="{00000000-0005-0000-0000-0000B7710000}"/>
    <cellStyle name="Вычисление 2 2 2 4 2_TOM TAT" xfId="25893" xr:uid="{00000000-0005-0000-0000-0000B8710000}"/>
    <cellStyle name="Вычисление 2 2 2 4 3" xfId="6108" xr:uid="{00000000-0005-0000-0000-0000B9710000}"/>
    <cellStyle name="Вычисление 2 2 2 4 3 2" xfId="28710" xr:uid="{00000000-0005-0000-0000-0000BA710000}"/>
    <cellStyle name="Вычисление 2 2 2 4 3_TOM TAT" xfId="25895" xr:uid="{00000000-0005-0000-0000-0000BB710000}"/>
    <cellStyle name="Вычисление 2 2 2 4 4" xfId="27537" xr:uid="{00000000-0005-0000-0000-0000BC710000}"/>
    <cellStyle name="Вычисление 2 2 2 4_TOM TAT" xfId="25892" xr:uid="{00000000-0005-0000-0000-0000BD710000}"/>
    <cellStyle name="Вычисление 2 2 2 5" xfId="2749" xr:uid="{00000000-0005-0000-0000-0000BE710000}"/>
    <cellStyle name="Вычисление 2 2 2 5 2" xfId="6109" xr:uid="{00000000-0005-0000-0000-0000BF710000}"/>
    <cellStyle name="Вычисление 2 2 2 5 2 2" xfId="28711" xr:uid="{00000000-0005-0000-0000-0000C0710000}"/>
    <cellStyle name="Вычисление 2 2 2 5 2_TOM TAT" xfId="25897" xr:uid="{00000000-0005-0000-0000-0000C1710000}"/>
    <cellStyle name="Вычисление 2 2 2 5 3" xfId="27539" xr:uid="{00000000-0005-0000-0000-0000C2710000}"/>
    <cellStyle name="Вычисление 2 2 2 5_TOM TAT" xfId="25896" xr:uid="{00000000-0005-0000-0000-0000C3710000}"/>
    <cellStyle name="Вычисление 2 2 2 6" xfId="2750" xr:uid="{00000000-0005-0000-0000-0000C4710000}"/>
    <cellStyle name="Вычисление 2 2 2 6 2" xfId="6110" xr:uid="{00000000-0005-0000-0000-0000C5710000}"/>
    <cellStyle name="Вычисление 2 2 2 6 2 2" xfId="28712" xr:uid="{00000000-0005-0000-0000-0000C6710000}"/>
    <cellStyle name="Вычисление 2 2 2 6 2_TOM TAT" xfId="25899" xr:uid="{00000000-0005-0000-0000-0000C7710000}"/>
    <cellStyle name="Вычисление 2 2 2 6 3" xfId="27540" xr:uid="{00000000-0005-0000-0000-0000C8710000}"/>
    <cellStyle name="Вычисление 2 2 2 6_TOM TAT" xfId="25898" xr:uid="{00000000-0005-0000-0000-0000C9710000}"/>
    <cellStyle name="Вычисление 2 2 2 7" xfId="6111" xr:uid="{00000000-0005-0000-0000-0000CA710000}"/>
    <cellStyle name="Вычисление 2 2 2 7 2" xfId="28713" xr:uid="{00000000-0005-0000-0000-0000CB710000}"/>
    <cellStyle name="Вычисление 2 2 2 7_TOM TAT" xfId="25900" xr:uid="{00000000-0005-0000-0000-0000CC710000}"/>
    <cellStyle name="Вычисление 2 2 2 8" xfId="27529" xr:uid="{00000000-0005-0000-0000-0000CD710000}"/>
    <cellStyle name="Вычисление 2 2 2_TOM TAT" xfId="25877" xr:uid="{00000000-0005-0000-0000-0000CE710000}"/>
    <cellStyle name="Вычисление 2 2 3" xfId="2751" xr:uid="{00000000-0005-0000-0000-0000CF710000}"/>
    <cellStyle name="Вычисление 2 2 3 2" xfId="2752" xr:uid="{00000000-0005-0000-0000-0000D0710000}"/>
    <cellStyle name="Вычисление 2 2 3 2 2" xfId="2753" xr:uid="{00000000-0005-0000-0000-0000D1710000}"/>
    <cellStyle name="Вычисление 2 2 3 2 2 2" xfId="2754" xr:uid="{00000000-0005-0000-0000-0000D2710000}"/>
    <cellStyle name="Вычисление 2 2 3 2 2 2 2" xfId="6112" xr:uid="{00000000-0005-0000-0000-0000D3710000}"/>
    <cellStyle name="Вычисление 2 2 3 2 2 2 2 2" xfId="28714" xr:uid="{00000000-0005-0000-0000-0000D4710000}"/>
    <cellStyle name="Вычисление 2 2 3 2 2 2 2_TOM TAT" xfId="25905" xr:uid="{00000000-0005-0000-0000-0000D5710000}"/>
    <cellStyle name="Вычисление 2 2 3 2 2 2 3" xfId="27544" xr:uid="{00000000-0005-0000-0000-0000D6710000}"/>
    <cellStyle name="Вычисление 2 2 3 2 2 2_TOM TAT" xfId="25904" xr:uid="{00000000-0005-0000-0000-0000D7710000}"/>
    <cellStyle name="Вычисление 2 2 3 2 2 3" xfId="6113" xr:uid="{00000000-0005-0000-0000-0000D8710000}"/>
    <cellStyle name="Вычисление 2 2 3 2 2 3 2" xfId="28715" xr:uid="{00000000-0005-0000-0000-0000D9710000}"/>
    <cellStyle name="Вычисление 2 2 3 2 2 3_TOM TAT" xfId="25906" xr:uid="{00000000-0005-0000-0000-0000DA710000}"/>
    <cellStyle name="Вычисление 2 2 3 2 2 4" xfId="27543" xr:uid="{00000000-0005-0000-0000-0000DB710000}"/>
    <cellStyle name="Вычисление 2 2 3 2 2_TOM TAT" xfId="25903" xr:uid="{00000000-0005-0000-0000-0000DC710000}"/>
    <cellStyle name="Вычисление 2 2 3 2 3" xfId="2755" xr:uid="{00000000-0005-0000-0000-0000DD710000}"/>
    <cellStyle name="Вычисление 2 2 3 2 3 2" xfId="6114" xr:uid="{00000000-0005-0000-0000-0000DE710000}"/>
    <cellStyle name="Вычисление 2 2 3 2 3 2 2" xfId="28716" xr:uid="{00000000-0005-0000-0000-0000DF710000}"/>
    <cellStyle name="Вычисление 2 2 3 2 3 2_TOM TAT" xfId="25908" xr:uid="{00000000-0005-0000-0000-0000E0710000}"/>
    <cellStyle name="Вычисление 2 2 3 2 3 3" xfId="27545" xr:uid="{00000000-0005-0000-0000-0000E1710000}"/>
    <cellStyle name="Вычисление 2 2 3 2 3_TOM TAT" xfId="25907" xr:uid="{00000000-0005-0000-0000-0000E2710000}"/>
    <cellStyle name="Вычисление 2 2 3 2 4" xfId="2756" xr:uid="{00000000-0005-0000-0000-0000E3710000}"/>
    <cellStyle name="Вычисление 2 2 3 2 4 2" xfId="6115" xr:uid="{00000000-0005-0000-0000-0000E4710000}"/>
    <cellStyle name="Вычисление 2 2 3 2 4 2 2" xfId="28717" xr:uid="{00000000-0005-0000-0000-0000E5710000}"/>
    <cellStyle name="Вычисление 2 2 3 2 4 2_TOM TAT" xfId="25910" xr:uid="{00000000-0005-0000-0000-0000E6710000}"/>
    <cellStyle name="Вычисление 2 2 3 2 4 3" xfId="27546" xr:uid="{00000000-0005-0000-0000-0000E7710000}"/>
    <cellStyle name="Вычисление 2 2 3 2 4_TOM TAT" xfId="25909" xr:uid="{00000000-0005-0000-0000-0000E8710000}"/>
    <cellStyle name="Вычисление 2 2 3 2 5" xfId="6116" xr:uid="{00000000-0005-0000-0000-0000E9710000}"/>
    <cellStyle name="Вычисление 2 2 3 2 5 2" xfId="28718" xr:uid="{00000000-0005-0000-0000-0000EA710000}"/>
    <cellStyle name="Вычисление 2 2 3 2 5_TOM TAT" xfId="25911" xr:uid="{00000000-0005-0000-0000-0000EB710000}"/>
    <cellStyle name="Вычисление 2 2 3 2 6" xfId="27542" xr:uid="{00000000-0005-0000-0000-0000EC710000}"/>
    <cellStyle name="Вычисление 2 2 3 2_TOM TAT" xfId="25902" xr:uid="{00000000-0005-0000-0000-0000ED710000}"/>
    <cellStyle name="Вычисление 2 2 3 3" xfId="2757" xr:uid="{00000000-0005-0000-0000-0000EE710000}"/>
    <cellStyle name="Вычисление 2 2 3 3 2" xfId="2758" xr:uid="{00000000-0005-0000-0000-0000EF710000}"/>
    <cellStyle name="Вычисление 2 2 3 3 2 2" xfId="6117" xr:uid="{00000000-0005-0000-0000-0000F0710000}"/>
    <cellStyle name="Вычисление 2 2 3 3 2 2 2" xfId="28719" xr:uid="{00000000-0005-0000-0000-0000F1710000}"/>
    <cellStyle name="Вычисление 2 2 3 3 2 2_TOM TAT" xfId="25914" xr:uid="{00000000-0005-0000-0000-0000F2710000}"/>
    <cellStyle name="Вычисление 2 2 3 3 2 3" xfId="27548" xr:uid="{00000000-0005-0000-0000-0000F3710000}"/>
    <cellStyle name="Вычисление 2 2 3 3 2_TOM TAT" xfId="25913" xr:uid="{00000000-0005-0000-0000-0000F4710000}"/>
    <cellStyle name="Вычисление 2 2 3 3 3" xfId="6118" xr:uid="{00000000-0005-0000-0000-0000F5710000}"/>
    <cellStyle name="Вычисление 2 2 3 3 3 2" xfId="28720" xr:uid="{00000000-0005-0000-0000-0000F6710000}"/>
    <cellStyle name="Вычисление 2 2 3 3 3_TOM TAT" xfId="25915" xr:uid="{00000000-0005-0000-0000-0000F7710000}"/>
    <cellStyle name="Вычисление 2 2 3 3 4" xfId="27547" xr:uid="{00000000-0005-0000-0000-0000F8710000}"/>
    <cellStyle name="Вычисление 2 2 3 3_TOM TAT" xfId="25912" xr:uid="{00000000-0005-0000-0000-0000F9710000}"/>
    <cellStyle name="Вычисление 2 2 3 4" xfId="2759" xr:uid="{00000000-0005-0000-0000-0000FA710000}"/>
    <cellStyle name="Вычисление 2 2 3 4 2" xfId="2760" xr:uid="{00000000-0005-0000-0000-0000FB710000}"/>
    <cellStyle name="Вычисление 2 2 3 4 2 2" xfId="6119" xr:uid="{00000000-0005-0000-0000-0000FC710000}"/>
    <cellStyle name="Вычисление 2 2 3 4 2 2 2" xfId="28721" xr:uid="{00000000-0005-0000-0000-0000FD710000}"/>
    <cellStyle name="Вычисление 2 2 3 4 2 2_TOM TAT" xfId="25918" xr:uid="{00000000-0005-0000-0000-0000FE710000}"/>
    <cellStyle name="Вычисление 2 2 3 4 2 3" xfId="27550" xr:uid="{00000000-0005-0000-0000-0000FF710000}"/>
    <cellStyle name="Вычисление 2 2 3 4 2_TOM TAT" xfId="25917" xr:uid="{00000000-0005-0000-0000-000000720000}"/>
    <cellStyle name="Вычисление 2 2 3 4 3" xfId="6120" xr:uid="{00000000-0005-0000-0000-000001720000}"/>
    <cellStyle name="Вычисление 2 2 3 4 3 2" xfId="28722" xr:uid="{00000000-0005-0000-0000-000002720000}"/>
    <cellStyle name="Вычисление 2 2 3 4 3_TOM TAT" xfId="25919" xr:uid="{00000000-0005-0000-0000-000003720000}"/>
    <cellStyle name="Вычисление 2 2 3 4 4" xfId="27549" xr:uid="{00000000-0005-0000-0000-000004720000}"/>
    <cellStyle name="Вычисление 2 2 3 4_TOM TAT" xfId="25916" xr:uid="{00000000-0005-0000-0000-000005720000}"/>
    <cellStyle name="Вычисление 2 2 3 5" xfId="2761" xr:uid="{00000000-0005-0000-0000-000006720000}"/>
    <cellStyle name="Вычисление 2 2 3 5 2" xfId="6121" xr:uid="{00000000-0005-0000-0000-000007720000}"/>
    <cellStyle name="Вычисление 2 2 3 5 2 2" xfId="28723" xr:uid="{00000000-0005-0000-0000-000008720000}"/>
    <cellStyle name="Вычисление 2 2 3 5 2_TOM TAT" xfId="25921" xr:uid="{00000000-0005-0000-0000-000009720000}"/>
    <cellStyle name="Вычисление 2 2 3 5 3" xfId="27551" xr:uid="{00000000-0005-0000-0000-00000A720000}"/>
    <cellStyle name="Вычисление 2 2 3 5_TOM TAT" xfId="25920" xr:uid="{00000000-0005-0000-0000-00000B720000}"/>
    <cellStyle name="Вычисление 2 2 3 6" xfId="2762" xr:uid="{00000000-0005-0000-0000-00000C720000}"/>
    <cellStyle name="Вычисление 2 2 3 6 2" xfId="6122" xr:uid="{00000000-0005-0000-0000-00000D720000}"/>
    <cellStyle name="Вычисление 2 2 3 6 2 2" xfId="28724" xr:uid="{00000000-0005-0000-0000-00000E720000}"/>
    <cellStyle name="Вычисление 2 2 3 6 2_TOM TAT" xfId="25923" xr:uid="{00000000-0005-0000-0000-00000F720000}"/>
    <cellStyle name="Вычисление 2 2 3 6 3" xfId="27552" xr:uid="{00000000-0005-0000-0000-000010720000}"/>
    <cellStyle name="Вычисление 2 2 3 6_TOM TAT" xfId="25922" xr:uid="{00000000-0005-0000-0000-000011720000}"/>
    <cellStyle name="Вычисление 2 2 3 7" xfId="6123" xr:uid="{00000000-0005-0000-0000-000012720000}"/>
    <cellStyle name="Вычисление 2 2 3 7 2" xfId="28725" xr:uid="{00000000-0005-0000-0000-000013720000}"/>
    <cellStyle name="Вычисление 2 2 3 7_TOM TAT" xfId="25924" xr:uid="{00000000-0005-0000-0000-000014720000}"/>
    <cellStyle name="Вычисление 2 2 3 8" xfId="27541" xr:uid="{00000000-0005-0000-0000-000015720000}"/>
    <cellStyle name="Вычисление 2 2 3_TOM TAT" xfId="25901" xr:uid="{00000000-0005-0000-0000-000016720000}"/>
    <cellStyle name="Вычисление 2 2 4" xfId="2763" xr:uid="{00000000-0005-0000-0000-000017720000}"/>
    <cellStyle name="Вычисление 2 2 4 2" xfId="2764" xr:uid="{00000000-0005-0000-0000-000018720000}"/>
    <cellStyle name="Вычисление 2 2 4 2 2" xfId="2765" xr:uid="{00000000-0005-0000-0000-000019720000}"/>
    <cellStyle name="Вычисление 2 2 4 2 2 2" xfId="6124" xr:uid="{00000000-0005-0000-0000-00001A720000}"/>
    <cellStyle name="Вычисление 2 2 4 2 2 2 2" xfId="28726" xr:uid="{00000000-0005-0000-0000-00001B720000}"/>
    <cellStyle name="Вычисление 2 2 4 2 2 2_TOM TAT" xfId="25928" xr:uid="{00000000-0005-0000-0000-00001C720000}"/>
    <cellStyle name="Вычисление 2 2 4 2 2 3" xfId="27555" xr:uid="{00000000-0005-0000-0000-00001D720000}"/>
    <cellStyle name="Вычисление 2 2 4 2 2_TOM TAT" xfId="25927" xr:uid="{00000000-0005-0000-0000-00001E720000}"/>
    <cellStyle name="Вычисление 2 2 4 2 3" xfId="6125" xr:uid="{00000000-0005-0000-0000-00001F720000}"/>
    <cellStyle name="Вычисление 2 2 4 2 3 2" xfId="28727" xr:uid="{00000000-0005-0000-0000-000020720000}"/>
    <cellStyle name="Вычисление 2 2 4 2 3_TOM TAT" xfId="25929" xr:uid="{00000000-0005-0000-0000-000021720000}"/>
    <cellStyle name="Вычисление 2 2 4 2 4" xfId="27554" xr:uid="{00000000-0005-0000-0000-000022720000}"/>
    <cellStyle name="Вычисление 2 2 4 2_TOM TAT" xfId="25926" xr:uid="{00000000-0005-0000-0000-000023720000}"/>
    <cellStyle name="Вычисление 2 2 4 3" xfId="2766" xr:uid="{00000000-0005-0000-0000-000024720000}"/>
    <cellStyle name="Вычисление 2 2 4 3 2" xfId="6126" xr:uid="{00000000-0005-0000-0000-000025720000}"/>
    <cellStyle name="Вычисление 2 2 4 3 2 2" xfId="28728" xr:uid="{00000000-0005-0000-0000-000026720000}"/>
    <cellStyle name="Вычисление 2 2 4 3 2_TOM TAT" xfId="25931" xr:uid="{00000000-0005-0000-0000-000027720000}"/>
    <cellStyle name="Вычисление 2 2 4 3 3" xfId="27556" xr:uid="{00000000-0005-0000-0000-000028720000}"/>
    <cellStyle name="Вычисление 2 2 4 3_TOM TAT" xfId="25930" xr:uid="{00000000-0005-0000-0000-000029720000}"/>
    <cellStyle name="Вычисление 2 2 4 4" xfId="2767" xr:uid="{00000000-0005-0000-0000-00002A720000}"/>
    <cellStyle name="Вычисление 2 2 4 4 2" xfId="6127" xr:uid="{00000000-0005-0000-0000-00002B720000}"/>
    <cellStyle name="Вычисление 2 2 4 4 2 2" xfId="28729" xr:uid="{00000000-0005-0000-0000-00002C720000}"/>
    <cellStyle name="Вычисление 2 2 4 4 2_TOM TAT" xfId="25933" xr:uid="{00000000-0005-0000-0000-00002D720000}"/>
    <cellStyle name="Вычисление 2 2 4 4 3" xfId="27557" xr:uid="{00000000-0005-0000-0000-00002E720000}"/>
    <cellStyle name="Вычисление 2 2 4 4_TOM TAT" xfId="25932" xr:uid="{00000000-0005-0000-0000-00002F720000}"/>
    <cellStyle name="Вычисление 2 2 4 5" xfId="6128" xr:uid="{00000000-0005-0000-0000-000030720000}"/>
    <cellStyle name="Вычисление 2 2 4 5 2" xfId="28730" xr:uid="{00000000-0005-0000-0000-000031720000}"/>
    <cellStyle name="Вычисление 2 2 4 5_TOM TAT" xfId="25934" xr:uid="{00000000-0005-0000-0000-000032720000}"/>
    <cellStyle name="Вычисление 2 2 4 6" xfId="27553" xr:uid="{00000000-0005-0000-0000-000033720000}"/>
    <cellStyle name="Вычисление 2 2 4_TOM TAT" xfId="25925" xr:uid="{00000000-0005-0000-0000-000034720000}"/>
    <cellStyle name="Вычисление 2 2 5" xfId="2768" xr:uid="{00000000-0005-0000-0000-000035720000}"/>
    <cellStyle name="Вычисление 2 2 5 2" xfId="2769" xr:uid="{00000000-0005-0000-0000-000036720000}"/>
    <cellStyle name="Вычисление 2 2 5 2 2" xfId="6129" xr:uid="{00000000-0005-0000-0000-000037720000}"/>
    <cellStyle name="Вычисление 2 2 5 2 2 2" xfId="28731" xr:uid="{00000000-0005-0000-0000-000038720000}"/>
    <cellStyle name="Вычисление 2 2 5 2 2_TOM TAT" xfId="25937" xr:uid="{00000000-0005-0000-0000-000039720000}"/>
    <cellStyle name="Вычисление 2 2 5 2 3" xfId="27559" xr:uid="{00000000-0005-0000-0000-00003A720000}"/>
    <cellStyle name="Вычисление 2 2 5 2_TOM TAT" xfId="25936" xr:uid="{00000000-0005-0000-0000-00003B720000}"/>
    <cellStyle name="Вычисление 2 2 5 3" xfId="6130" xr:uid="{00000000-0005-0000-0000-00003C720000}"/>
    <cellStyle name="Вычисление 2 2 5 3 2" xfId="28732" xr:uid="{00000000-0005-0000-0000-00003D720000}"/>
    <cellStyle name="Вычисление 2 2 5 3_TOM TAT" xfId="25938" xr:uid="{00000000-0005-0000-0000-00003E720000}"/>
    <cellStyle name="Вычисление 2 2 5 4" xfId="27558" xr:uid="{00000000-0005-0000-0000-00003F720000}"/>
    <cellStyle name="Вычисление 2 2 5_TOM TAT" xfId="25935" xr:uid="{00000000-0005-0000-0000-000040720000}"/>
    <cellStyle name="Вычисление 2 2 6" xfId="2770" xr:uid="{00000000-0005-0000-0000-000041720000}"/>
    <cellStyle name="Вычисление 2 2 6 2" xfId="2771" xr:uid="{00000000-0005-0000-0000-000042720000}"/>
    <cellStyle name="Вычисление 2 2 6 2 2" xfId="6131" xr:uid="{00000000-0005-0000-0000-000043720000}"/>
    <cellStyle name="Вычисление 2 2 6 2 2 2" xfId="28733" xr:uid="{00000000-0005-0000-0000-000044720000}"/>
    <cellStyle name="Вычисление 2 2 6 2 2_TOM TAT" xfId="25941" xr:uid="{00000000-0005-0000-0000-000045720000}"/>
    <cellStyle name="Вычисление 2 2 6 2 3" xfId="27561" xr:uid="{00000000-0005-0000-0000-000046720000}"/>
    <cellStyle name="Вычисление 2 2 6 2_TOM TAT" xfId="25940" xr:uid="{00000000-0005-0000-0000-000047720000}"/>
    <cellStyle name="Вычисление 2 2 6 3" xfId="6132" xr:uid="{00000000-0005-0000-0000-000048720000}"/>
    <cellStyle name="Вычисление 2 2 6 3 2" xfId="28734" xr:uid="{00000000-0005-0000-0000-000049720000}"/>
    <cellStyle name="Вычисление 2 2 6 3_TOM TAT" xfId="25942" xr:uid="{00000000-0005-0000-0000-00004A720000}"/>
    <cellStyle name="Вычисление 2 2 6 4" xfId="27560" xr:uid="{00000000-0005-0000-0000-00004B720000}"/>
    <cellStyle name="Вычисление 2 2 6_TOM TAT" xfId="25939" xr:uid="{00000000-0005-0000-0000-00004C720000}"/>
    <cellStyle name="Вычисление 2 2 7" xfId="2772" xr:uid="{00000000-0005-0000-0000-00004D720000}"/>
    <cellStyle name="Вычисление 2 2 7 2" xfId="6133" xr:uid="{00000000-0005-0000-0000-00004E720000}"/>
    <cellStyle name="Вычисление 2 2 7 2 2" xfId="28735" xr:uid="{00000000-0005-0000-0000-00004F720000}"/>
    <cellStyle name="Вычисление 2 2 7 2_TOM TAT" xfId="25944" xr:uid="{00000000-0005-0000-0000-000050720000}"/>
    <cellStyle name="Вычисление 2 2 7 3" xfId="27562" xr:uid="{00000000-0005-0000-0000-000051720000}"/>
    <cellStyle name="Вычисление 2 2 7_TOM TAT" xfId="25943" xr:uid="{00000000-0005-0000-0000-000052720000}"/>
    <cellStyle name="Вычисление 2 2 8" xfId="2773" xr:uid="{00000000-0005-0000-0000-000053720000}"/>
    <cellStyle name="Вычисление 2 2 8 2" xfId="6134" xr:uid="{00000000-0005-0000-0000-000054720000}"/>
    <cellStyle name="Вычисление 2 2 8 2 2" xfId="28736" xr:uid="{00000000-0005-0000-0000-000055720000}"/>
    <cellStyle name="Вычисление 2 2 8 2_TOM TAT" xfId="25946" xr:uid="{00000000-0005-0000-0000-000056720000}"/>
    <cellStyle name="Вычисление 2 2 8 3" xfId="27563" xr:uid="{00000000-0005-0000-0000-000057720000}"/>
    <cellStyle name="Вычисление 2 2 8_TOM TAT" xfId="25945" xr:uid="{00000000-0005-0000-0000-000058720000}"/>
    <cellStyle name="Вычисление 2 2 9" xfId="6135" xr:uid="{00000000-0005-0000-0000-000059720000}"/>
    <cellStyle name="Вычисление 2 2 9 2" xfId="28737" xr:uid="{00000000-0005-0000-0000-00005A720000}"/>
    <cellStyle name="Вычисление 2 2 9_TOM TAT" xfId="25947" xr:uid="{00000000-0005-0000-0000-00005B720000}"/>
    <cellStyle name="Вычисление 2 2_TOM TAT" xfId="25876" xr:uid="{00000000-0005-0000-0000-00005C720000}"/>
    <cellStyle name="Вычисление 2 3" xfId="2774" xr:uid="{00000000-0005-0000-0000-00005D720000}"/>
    <cellStyle name="Вычисление 2 3 2" xfId="2775" xr:uid="{00000000-0005-0000-0000-00005E720000}"/>
    <cellStyle name="Вычисление 2 3 2 2" xfId="2776" xr:uid="{00000000-0005-0000-0000-00005F720000}"/>
    <cellStyle name="Вычисление 2 3 2 2 2" xfId="2777" xr:uid="{00000000-0005-0000-0000-000060720000}"/>
    <cellStyle name="Вычисление 2 3 2 2 2 2" xfId="2778" xr:uid="{00000000-0005-0000-0000-000061720000}"/>
    <cellStyle name="Вычисление 2 3 2 2 2 2 2" xfId="6136" xr:uid="{00000000-0005-0000-0000-000062720000}"/>
    <cellStyle name="Вычисление 2 3 2 2 2 2 2 2" xfId="28738" xr:uid="{00000000-0005-0000-0000-000063720000}"/>
    <cellStyle name="Вычисление 2 3 2 2 2 2 2_TOM TAT" xfId="25953" xr:uid="{00000000-0005-0000-0000-000064720000}"/>
    <cellStyle name="Вычисление 2 3 2 2 2 2 3" xfId="27568" xr:uid="{00000000-0005-0000-0000-000065720000}"/>
    <cellStyle name="Вычисление 2 3 2 2 2 2_TOM TAT" xfId="25952" xr:uid="{00000000-0005-0000-0000-000066720000}"/>
    <cellStyle name="Вычисление 2 3 2 2 2 3" xfId="6137" xr:uid="{00000000-0005-0000-0000-000067720000}"/>
    <cellStyle name="Вычисление 2 3 2 2 2 3 2" xfId="28739" xr:uid="{00000000-0005-0000-0000-000068720000}"/>
    <cellStyle name="Вычисление 2 3 2 2 2 3_TOM TAT" xfId="25954" xr:uid="{00000000-0005-0000-0000-000069720000}"/>
    <cellStyle name="Вычисление 2 3 2 2 2 4" xfId="27567" xr:uid="{00000000-0005-0000-0000-00006A720000}"/>
    <cellStyle name="Вычисление 2 3 2 2 2_TOM TAT" xfId="25951" xr:uid="{00000000-0005-0000-0000-00006B720000}"/>
    <cellStyle name="Вычисление 2 3 2 2 3" xfId="2779" xr:uid="{00000000-0005-0000-0000-00006C720000}"/>
    <cellStyle name="Вычисление 2 3 2 2 3 2" xfId="6138" xr:uid="{00000000-0005-0000-0000-00006D720000}"/>
    <cellStyle name="Вычисление 2 3 2 2 3 2 2" xfId="28740" xr:uid="{00000000-0005-0000-0000-00006E720000}"/>
    <cellStyle name="Вычисление 2 3 2 2 3 2_TOM TAT" xfId="25956" xr:uid="{00000000-0005-0000-0000-00006F720000}"/>
    <cellStyle name="Вычисление 2 3 2 2 3 3" xfId="27569" xr:uid="{00000000-0005-0000-0000-000070720000}"/>
    <cellStyle name="Вычисление 2 3 2 2 3_TOM TAT" xfId="25955" xr:uid="{00000000-0005-0000-0000-000071720000}"/>
    <cellStyle name="Вычисление 2 3 2 2 4" xfId="2780" xr:uid="{00000000-0005-0000-0000-000072720000}"/>
    <cellStyle name="Вычисление 2 3 2 2 4 2" xfId="6139" xr:uid="{00000000-0005-0000-0000-000073720000}"/>
    <cellStyle name="Вычисление 2 3 2 2 4 2 2" xfId="28741" xr:uid="{00000000-0005-0000-0000-000074720000}"/>
    <cellStyle name="Вычисление 2 3 2 2 4 2_TOM TAT" xfId="25958" xr:uid="{00000000-0005-0000-0000-000075720000}"/>
    <cellStyle name="Вычисление 2 3 2 2 4 3" xfId="27570" xr:uid="{00000000-0005-0000-0000-000076720000}"/>
    <cellStyle name="Вычисление 2 3 2 2 4_TOM TAT" xfId="25957" xr:uid="{00000000-0005-0000-0000-000077720000}"/>
    <cellStyle name="Вычисление 2 3 2 2 5" xfId="6140" xr:uid="{00000000-0005-0000-0000-000078720000}"/>
    <cellStyle name="Вычисление 2 3 2 2 5 2" xfId="28742" xr:uid="{00000000-0005-0000-0000-000079720000}"/>
    <cellStyle name="Вычисление 2 3 2 2 5_TOM TAT" xfId="25959" xr:uid="{00000000-0005-0000-0000-00007A720000}"/>
    <cellStyle name="Вычисление 2 3 2 2 6" xfId="27566" xr:uid="{00000000-0005-0000-0000-00007B720000}"/>
    <cellStyle name="Вычисление 2 3 2 2_TOM TAT" xfId="25950" xr:uid="{00000000-0005-0000-0000-00007C720000}"/>
    <cellStyle name="Вычисление 2 3 2 3" xfId="2781" xr:uid="{00000000-0005-0000-0000-00007D720000}"/>
    <cellStyle name="Вычисление 2 3 2 3 2" xfId="2782" xr:uid="{00000000-0005-0000-0000-00007E720000}"/>
    <cellStyle name="Вычисление 2 3 2 3 2 2" xfId="6141" xr:uid="{00000000-0005-0000-0000-00007F720000}"/>
    <cellStyle name="Вычисление 2 3 2 3 2 2 2" xfId="28743" xr:uid="{00000000-0005-0000-0000-000080720000}"/>
    <cellStyle name="Вычисление 2 3 2 3 2 2_TOM TAT" xfId="25962" xr:uid="{00000000-0005-0000-0000-000081720000}"/>
    <cellStyle name="Вычисление 2 3 2 3 2 3" xfId="27572" xr:uid="{00000000-0005-0000-0000-000082720000}"/>
    <cellStyle name="Вычисление 2 3 2 3 2_TOM TAT" xfId="25961" xr:uid="{00000000-0005-0000-0000-000083720000}"/>
    <cellStyle name="Вычисление 2 3 2 3 3" xfId="6142" xr:uid="{00000000-0005-0000-0000-000084720000}"/>
    <cellStyle name="Вычисление 2 3 2 3 3 2" xfId="28744" xr:uid="{00000000-0005-0000-0000-000085720000}"/>
    <cellStyle name="Вычисление 2 3 2 3 3_TOM TAT" xfId="25963" xr:uid="{00000000-0005-0000-0000-000086720000}"/>
    <cellStyle name="Вычисление 2 3 2 3 4" xfId="27571" xr:uid="{00000000-0005-0000-0000-000087720000}"/>
    <cellStyle name="Вычисление 2 3 2 3_TOM TAT" xfId="25960" xr:uid="{00000000-0005-0000-0000-000088720000}"/>
    <cellStyle name="Вычисление 2 3 2 4" xfId="2783" xr:uid="{00000000-0005-0000-0000-000089720000}"/>
    <cellStyle name="Вычисление 2 3 2 4 2" xfId="2784" xr:uid="{00000000-0005-0000-0000-00008A720000}"/>
    <cellStyle name="Вычисление 2 3 2 4 2 2" xfId="6143" xr:uid="{00000000-0005-0000-0000-00008B720000}"/>
    <cellStyle name="Вычисление 2 3 2 4 2 2 2" xfId="28745" xr:uid="{00000000-0005-0000-0000-00008C720000}"/>
    <cellStyle name="Вычисление 2 3 2 4 2 2_TOM TAT" xfId="25966" xr:uid="{00000000-0005-0000-0000-00008D720000}"/>
    <cellStyle name="Вычисление 2 3 2 4 2 3" xfId="27574" xr:uid="{00000000-0005-0000-0000-00008E720000}"/>
    <cellStyle name="Вычисление 2 3 2 4 2_TOM TAT" xfId="25965" xr:uid="{00000000-0005-0000-0000-00008F720000}"/>
    <cellStyle name="Вычисление 2 3 2 4 3" xfId="6144" xr:uid="{00000000-0005-0000-0000-000090720000}"/>
    <cellStyle name="Вычисление 2 3 2 4 3 2" xfId="28746" xr:uid="{00000000-0005-0000-0000-000091720000}"/>
    <cellStyle name="Вычисление 2 3 2 4 3_TOM TAT" xfId="25967" xr:uid="{00000000-0005-0000-0000-000092720000}"/>
    <cellStyle name="Вычисление 2 3 2 4 4" xfId="27573" xr:uid="{00000000-0005-0000-0000-000093720000}"/>
    <cellStyle name="Вычисление 2 3 2 4_TOM TAT" xfId="25964" xr:uid="{00000000-0005-0000-0000-000094720000}"/>
    <cellStyle name="Вычисление 2 3 2 5" xfId="2785" xr:uid="{00000000-0005-0000-0000-000095720000}"/>
    <cellStyle name="Вычисление 2 3 2 5 2" xfId="6145" xr:uid="{00000000-0005-0000-0000-000096720000}"/>
    <cellStyle name="Вычисление 2 3 2 5 2 2" xfId="28747" xr:uid="{00000000-0005-0000-0000-000097720000}"/>
    <cellStyle name="Вычисление 2 3 2 5 2_TOM TAT" xfId="25969" xr:uid="{00000000-0005-0000-0000-000098720000}"/>
    <cellStyle name="Вычисление 2 3 2 5 3" xfId="27575" xr:uid="{00000000-0005-0000-0000-000099720000}"/>
    <cellStyle name="Вычисление 2 3 2 5_TOM TAT" xfId="25968" xr:uid="{00000000-0005-0000-0000-00009A720000}"/>
    <cellStyle name="Вычисление 2 3 2 6" xfId="2786" xr:uid="{00000000-0005-0000-0000-00009B720000}"/>
    <cellStyle name="Вычисление 2 3 2 6 2" xfId="6146" xr:uid="{00000000-0005-0000-0000-00009C720000}"/>
    <cellStyle name="Вычисление 2 3 2 6 2 2" xfId="28748" xr:uid="{00000000-0005-0000-0000-00009D720000}"/>
    <cellStyle name="Вычисление 2 3 2 6 2_TOM TAT" xfId="25971" xr:uid="{00000000-0005-0000-0000-00009E720000}"/>
    <cellStyle name="Вычисление 2 3 2 6 3" xfId="27576" xr:uid="{00000000-0005-0000-0000-00009F720000}"/>
    <cellStyle name="Вычисление 2 3 2 6_TOM TAT" xfId="25970" xr:uid="{00000000-0005-0000-0000-0000A0720000}"/>
    <cellStyle name="Вычисление 2 3 2 7" xfId="6147" xr:uid="{00000000-0005-0000-0000-0000A1720000}"/>
    <cellStyle name="Вычисление 2 3 2 7 2" xfId="28749" xr:uid="{00000000-0005-0000-0000-0000A2720000}"/>
    <cellStyle name="Вычисление 2 3 2 7_TOM TAT" xfId="25972" xr:uid="{00000000-0005-0000-0000-0000A3720000}"/>
    <cellStyle name="Вычисление 2 3 2 8" xfId="27565" xr:uid="{00000000-0005-0000-0000-0000A4720000}"/>
    <cellStyle name="Вычисление 2 3 2_TOM TAT" xfId="25949" xr:uid="{00000000-0005-0000-0000-0000A5720000}"/>
    <cellStyle name="Вычисление 2 3 3" xfId="2787" xr:uid="{00000000-0005-0000-0000-0000A6720000}"/>
    <cellStyle name="Вычисление 2 3 3 2" xfId="2788" xr:uid="{00000000-0005-0000-0000-0000A7720000}"/>
    <cellStyle name="Вычисление 2 3 3 2 2" xfId="2789" xr:uid="{00000000-0005-0000-0000-0000A8720000}"/>
    <cellStyle name="Вычисление 2 3 3 2 2 2" xfId="6148" xr:uid="{00000000-0005-0000-0000-0000A9720000}"/>
    <cellStyle name="Вычисление 2 3 3 2 2 2 2" xfId="28750" xr:uid="{00000000-0005-0000-0000-0000AA720000}"/>
    <cellStyle name="Вычисление 2 3 3 2 2 2_TOM TAT" xfId="25976" xr:uid="{00000000-0005-0000-0000-0000AB720000}"/>
    <cellStyle name="Вычисление 2 3 3 2 2 3" xfId="27579" xr:uid="{00000000-0005-0000-0000-0000AC720000}"/>
    <cellStyle name="Вычисление 2 3 3 2 2_TOM TAT" xfId="25975" xr:uid="{00000000-0005-0000-0000-0000AD720000}"/>
    <cellStyle name="Вычисление 2 3 3 2 3" xfId="6149" xr:uid="{00000000-0005-0000-0000-0000AE720000}"/>
    <cellStyle name="Вычисление 2 3 3 2 3 2" xfId="28751" xr:uid="{00000000-0005-0000-0000-0000AF720000}"/>
    <cellStyle name="Вычисление 2 3 3 2 3_TOM TAT" xfId="25977" xr:uid="{00000000-0005-0000-0000-0000B0720000}"/>
    <cellStyle name="Вычисление 2 3 3 2 4" xfId="27578" xr:uid="{00000000-0005-0000-0000-0000B1720000}"/>
    <cellStyle name="Вычисление 2 3 3 2_TOM TAT" xfId="25974" xr:uid="{00000000-0005-0000-0000-0000B2720000}"/>
    <cellStyle name="Вычисление 2 3 3 3" xfId="2790" xr:uid="{00000000-0005-0000-0000-0000B3720000}"/>
    <cellStyle name="Вычисление 2 3 3 3 2" xfId="6150" xr:uid="{00000000-0005-0000-0000-0000B4720000}"/>
    <cellStyle name="Вычисление 2 3 3 3 2 2" xfId="28752" xr:uid="{00000000-0005-0000-0000-0000B5720000}"/>
    <cellStyle name="Вычисление 2 3 3 3 2_TOM TAT" xfId="25979" xr:uid="{00000000-0005-0000-0000-0000B6720000}"/>
    <cellStyle name="Вычисление 2 3 3 3 3" xfId="27580" xr:uid="{00000000-0005-0000-0000-0000B7720000}"/>
    <cellStyle name="Вычисление 2 3 3 3_TOM TAT" xfId="25978" xr:uid="{00000000-0005-0000-0000-0000B8720000}"/>
    <cellStyle name="Вычисление 2 3 3 4" xfId="2791" xr:uid="{00000000-0005-0000-0000-0000B9720000}"/>
    <cellStyle name="Вычисление 2 3 3 4 2" xfId="6151" xr:uid="{00000000-0005-0000-0000-0000BA720000}"/>
    <cellStyle name="Вычисление 2 3 3 4 2 2" xfId="28753" xr:uid="{00000000-0005-0000-0000-0000BB720000}"/>
    <cellStyle name="Вычисление 2 3 3 4 2_TOM TAT" xfId="25981" xr:uid="{00000000-0005-0000-0000-0000BC720000}"/>
    <cellStyle name="Вычисление 2 3 3 4 3" xfId="27581" xr:uid="{00000000-0005-0000-0000-0000BD720000}"/>
    <cellStyle name="Вычисление 2 3 3 4_TOM TAT" xfId="25980" xr:uid="{00000000-0005-0000-0000-0000BE720000}"/>
    <cellStyle name="Вычисление 2 3 3 5" xfId="6152" xr:uid="{00000000-0005-0000-0000-0000BF720000}"/>
    <cellStyle name="Вычисление 2 3 3 5 2" xfId="28754" xr:uid="{00000000-0005-0000-0000-0000C0720000}"/>
    <cellStyle name="Вычисление 2 3 3 5_TOM TAT" xfId="25982" xr:uid="{00000000-0005-0000-0000-0000C1720000}"/>
    <cellStyle name="Вычисление 2 3 3 6" xfId="27577" xr:uid="{00000000-0005-0000-0000-0000C2720000}"/>
    <cellStyle name="Вычисление 2 3 3_TOM TAT" xfId="25973" xr:uid="{00000000-0005-0000-0000-0000C3720000}"/>
    <cellStyle name="Вычисление 2 3 4" xfId="2792" xr:uid="{00000000-0005-0000-0000-0000C4720000}"/>
    <cellStyle name="Вычисление 2 3 4 2" xfId="2793" xr:uid="{00000000-0005-0000-0000-0000C5720000}"/>
    <cellStyle name="Вычисление 2 3 4 2 2" xfId="6153" xr:uid="{00000000-0005-0000-0000-0000C6720000}"/>
    <cellStyle name="Вычисление 2 3 4 2 2 2" xfId="28755" xr:uid="{00000000-0005-0000-0000-0000C7720000}"/>
    <cellStyle name="Вычисление 2 3 4 2 2_TOM TAT" xfId="25985" xr:uid="{00000000-0005-0000-0000-0000C8720000}"/>
    <cellStyle name="Вычисление 2 3 4 2 3" xfId="27583" xr:uid="{00000000-0005-0000-0000-0000C9720000}"/>
    <cellStyle name="Вычисление 2 3 4 2_TOM TAT" xfId="25984" xr:uid="{00000000-0005-0000-0000-0000CA720000}"/>
    <cellStyle name="Вычисление 2 3 4 3" xfId="6154" xr:uid="{00000000-0005-0000-0000-0000CB720000}"/>
    <cellStyle name="Вычисление 2 3 4 3 2" xfId="28756" xr:uid="{00000000-0005-0000-0000-0000CC720000}"/>
    <cellStyle name="Вычисление 2 3 4 3_TOM TAT" xfId="25986" xr:uid="{00000000-0005-0000-0000-0000CD720000}"/>
    <cellStyle name="Вычисление 2 3 4 4" xfId="27582" xr:uid="{00000000-0005-0000-0000-0000CE720000}"/>
    <cellStyle name="Вычисление 2 3 4_TOM TAT" xfId="25983" xr:uid="{00000000-0005-0000-0000-0000CF720000}"/>
    <cellStyle name="Вычисление 2 3 5" xfId="2794" xr:uid="{00000000-0005-0000-0000-0000D0720000}"/>
    <cellStyle name="Вычисление 2 3 5 2" xfId="2795" xr:uid="{00000000-0005-0000-0000-0000D1720000}"/>
    <cellStyle name="Вычисление 2 3 5 2 2" xfId="6155" xr:uid="{00000000-0005-0000-0000-0000D2720000}"/>
    <cellStyle name="Вычисление 2 3 5 2 2 2" xfId="28757" xr:uid="{00000000-0005-0000-0000-0000D3720000}"/>
    <cellStyle name="Вычисление 2 3 5 2 2_TOM TAT" xfId="25989" xr:uid="{00000000-0005-0000-0000-0000D4720000}"/>
    <cellStyle name="Вычисление 2 3 5 2 3" xfId="27585" xr:uid="{00000000-0005-0000-0000-0000D5720000}"/>
    <cellStyle name="Вычисление 2 3 5 2_TOM TAT" xfId="25988" xr:uid="{00000000-0005-0000-0000-0000D6720000}"/>
    <cellStyle name="Вычисление 2 3 5 3" xfId="6156" xr:uid="{00000000-0005-0000-0000-0000D7720000}"/>
    <cellStyle name="Вычисление 2 3 5 3 2" xfId="28758" xr:uid="{00000000-0005-0000-0000-0000D8720000}"/>
    <cellStyle name="Вычисление 2 3 5 3_TOM TAT" xfId="25990" xr:uid="{00000000-0005-0000-0000-0000D9720000}"/>
    <cellStyle name="Вычисление 2 3 5 4" xfId="27584" xr:uid="{00000000-0005-0000-0000-0000DA720000}"/>
    <cellStyle name="Вычисление 2 3 5_TOM TAT" xfId="25987" xr:uid="{00000000-0005-0000-0000-0000DB720000}"/>
    <cellStyle name="Вычисление 2 3 6" xfId="2796" xr:uid="{00000000-0005-0000-0000-0000DC720000}"/>
    <cellStyle name="Вычисление 2 3 6 2" xfId="6157" xr:uid="{00000000-0005-0000-0000-0000DD720000}"/>
    <cellStyle name="Вычисление 2 3 6 2 2" xfId="28759" xr:uid="{00000000-0005-0000-0000-0000DE720000}"/>
    <cellStyle name="Вычисление 2 3 6 2_TOM TAT" xfId="25992" xr:uid="{00000000-0005-0000-0000-0000DF720000}"/>
    <cellStyle name="Вычисление 2 3 6 3" xfId="27586" xr:uid="{00000000-0005-0000-0000-0000E0720000}"/>
    <cellStyle name="Вычисление 2 3 6_TOM TAT" xfId="25991" xr:uid="{00000000-0005-0000-0000-0000E1720000}"/>
    <cellStyle name="Вычисление 2 3 7" xfId="2797" xr:uid="{00000000-0005-0000-0000-0000E2720000}"/>
    <cellStyle name="Вычисление 2 3 7 2" xfId="6158" xr:uid="{00000000-0005-0000-0000-0000E3720000}"/>
    <cellStyle name="Вычисление 2 3 7 2 2" xfId="28760" xr:uid="{00000000-0005-0000-0000-0000E4720000}"/>
    <cellStyle name="Вычисление 2 3 7 2_TOM TAT" xfId="25994" xr:uid="{00000000-0005-0000-0000-0000E5720000}"/>
    <cellStyle name="Вычисление 2 3 7 3" xfId="27587" xr:uid="{00000000-0005-0000-0000-0000E6720000}"/>
    <cellStyle name="Вычисление 2 3 7_TOM TAT" xfId="25993" xr:uid="{00000000-0005-0000-0000-0000E7720000}"/>
    <cellStyle name="Вычисление 2 3 8" xfId="6159" xr:uid="{00000000-0005-0000-0000-0000E8720000}"/>
    <cellStyle name="Вычисление 2 3 8 2" xfId="28761" xr:uid="{00000000-0005-0000-0000-0000E9720000}"/>
    <cellStyle name="Вычисление 2 3 8_TOM TAT" xfId="25995" xr:uid="{00000000-0005-0000-0000-0000EA720000}"/>
    <cellStyle name="Вычисление 2 3 9" xfId="27564" xr:uid="{00000000-0005-0000-0000-0000EB720000}"/>
    <cellStyle name="Вычисление 2 3_TOM TAT" xfId="25948" xr:uid="{00000000-0005-0000-0000-0000EC720000}"/>
    <cellStyle name="Вычисление 2 4" xfId="2798" xr:uid="{00000000-0005-0000-0000-0000ED720000}"/>
    <cellStyle name="Вычисление 2 4 2" xfId="2799" xr:uid="{00000000-0005-0000-0000-0000EE720000}"/>
    <cellStyle name="Вычисление 2 4 2 2" xfId="2800" xr:uid="{00000000-0005-0000-0000-0000EF720000}"/>
    <cellStyle name="Вычисление 2 4 2 2 2" xfId="2801" xr:uid="{00000000-0005-0000-0000-0000F0720000}"/>
    <cellStyle name="Вычисление 2 4 2 2 2 2" xfId="6160" xr:uid="{00000000-0005-0000-0000-0000F1720000}"/>
    <cellStyle name="Вычисление 2 4 2 2 2 2 2" xfId="28762" xr:uid="{00000000-0005-0000-0000-0000F2720000}"/>
    <cellStyle name="Вычисление 2 4 2 2 2 2_TOM TAT" xfId="26000" xr:uid="{00000000-0005-0000-0000-0000F3720000}"/>
    <cellStyle name="Вычисление 2 4 2 2 2 3" xfId="27591" xr:uid="{00000000-0005-0000-0000-0000F4720000}"/>
    <cellStyle name="Вычисление 2 4 2 2 2_TOM TAT" xfId="25999" xr:uid="{00000000-0005-0000-0000-0000F5720000}"/>
    <cellStyle name="Вычисление 2 4 2 2 3" xfId="6161" xr:uid="{00000000-0005-0000-0000-0000F6720000}"/>
    <cellStyle name="Вычисление 2 4 2 2 3 2" xfId="28763" xr:uid="{00000000-0005-0000-0000-0000F7720000}"/>
    <cellStyle name="Вычисление 2 4 2 2 3_TOM TAT" xfId="26001" xr:uid="{00000000-0005-0000-0000-0000F8720000}"/>
    <cellStyle name="Вычисление 2 4 2 2 4" xfId="27590" xr:uid="{00000000-0005-0000-0000-0000F9720000}"/>
    <cellStyle name="Вычисление 2 4 2 2_TOM TAT" xfId="25998" xr:uid="{00000000-0005-0000-0000-0000FA720000}"/>
    <cellStyle name="Вычисление 2 4 2 3" xfId="2802" xr:uid="{00000000-0005-0000-0000-0000FB720000}"/>
    <cellStyle name="Вычисление 2 4 2 3 2" xfId="6162" xr:uid="{00000000-0005-0000-0000-0000FC720000}"/>
    <cellStyle name="Вычисление 2 4 2 3 2 2" xfId="28764" xr:uid="{00000000-0005-0000-0000-0000FD720000}"/>
    <cellStyle name="Вычисление 2 4 2 3 2_TOM TAT" xfId="26003" xr:uid="{00000000-0005-0000-0000-0000FE720000}"/>
    <cellStyle name="Вычисление 2 4 2 3 3" xfId="27592" xr:uid="{00000000-0005-0000-0000-0000FF720000}"/>
    <cellStyle name="Вычисление 2 4 2 3_TOM TAT" xfId="26002" xr:uid="{00000000-0005-0000-0000-000000730000}"/>
    <cellStyle name="Вычисление 2 4 2 4" xfId="2803" xr:uid="{00000000-0005-0000-0000-000001730000}"/>
    <cellStyle name="Вычисление 2 4 2 4 2" xfId="6163" xr:uid="{00000000-0005-0000-0000-000002730000}"/>
    <cellStyle name="Вычисление 2 4 2 4 2 2" xfId="28765" xr:uid="{00000000-0005-0000-0000-000003730000}"/>
    <cellStyle name="Вычисление 2 4 2 4 2_TOM TAT" xfId="26005" xr:uid="{00000000-0005-0000-0000-000004730000}"/>
    <cellStyle name="Вычисление 2 4 2 4 3" xfId="27593" xr:uid="{00000000-0005-0000-0000-000005730000}"/>
    <cellStyle name="Вычисление 2 4 2 4_TOM TAT" xfId="26004" xr:uid="{00000000-0005-0000-0000-000006730000}"/>
    <cellStyle name="Вычисление 2 4 2 5" xfId="6164" xr:uid="{00000000-0005-0000-0000-000007730000}"/>
    <cellStyle name="Вычисление 2 4 2 5 2" xfId="28766" xr:uid="{00000000-0005-0000-0000-000008730000}"/>
    <cellStyle name="Вычисление 2 4 2 5_TOM TAT" xfId="26006" xr:uid="{00000000-0005-0000-0000-000009730000}"/>
    <cellStyle name="Вычисление 2 4 2 6" xfId="27589" xr:uid="{00000000-0005-0000-0000-00000A730000}"/>
    <cellStyle name="Вычисление 2 4 2_TOM TAT" xfId="25997" xr:uid="{00000000-0005-0000-0000-00000B730000}"/>
    <cellStyle name="Вычисление 2 4 3" xfId="2804" xr:uid="{00000000-0005-0000-0000-00000C730000}"/>
    <cellStyle name="Вычисление 2 4 3 2" xfId="2805" xr:uid="{00000000-0005-0000-0000-00000D730000}"/>
    <cellStyle name="Вычисление 2 4 3 2 2" xfId="6165" xr:uid="{00000000-0005-0000-0000-00000E730000}"/>
    <cellStyle name="Вычисление 2 4 3 2 2 2" xfId="28767" xr:uid="{00000000-0005-0000-0000-00000F730000}"/>
    <cellStyle name="Вычисление 2 4 3 2 2_TOM TAT" xfId="26009" xr:uid="{00000000-0005-0000-0000-000010730000}"/>
    <cellStyle name="Вычисление 2 4 3 2 3" xfId="27595" xr:uid="{00000000-0005-0000-0000-000011730000}"/>
    <cellStyle name="Вычисление 2 4 3 2_TOM TAT" xfId="26008" xr:uid="{00000000-0005-0000-0000-000012730000}"/>
    <cellStyle name="Вычисление 2 4 3 3" xfId="6166" xr:uid="{00000000-0005-0000-0000-000013730000}"/>
    <cellStyle name="Вычисление 2 4 3 3 2" xfId="28768" xr:uid="{00000000-0005-0000-0000-000014730000}"/>
    <cellStyle name="Вычисление 2 4 3 3_TOM TAT" xfId="26010" xr:uid="{00000000-0005-0000-0000-000015730000}"/>
    <cellStyle name="Вычисление 2 4 3 4" xfId="27594" xr:uid="{00000000-0005-0000-0000-000016730000}"/>
    <cellStyle name="Вычисление 2 4 3_TOM TAT" xfId="26007" xr:uid="{00000000-0005-0000-0000-000017730000}"/>
    <cellStyle name="Вычисление 2 4 4" xfId="2806" xr:uid="{00000000-0005-0000-0000-000018730000}"/>
    <cellStyle name="Вычисление 2 4 4 2" xfId="2807" xr:uid="{00000000-0005-0000-0000-000019730000}"/>
    <cellStyle name="Вычисление 2 4 4 2 2" xfId="6167" xr:uid="{00000000-0005-0000-0000-00001A730000}"/>
    <cellStyle name="Вычисление 2 4 4 2 2 2" xfId="28769" xr:uid="{00000000-0005-0000-0000-00001B730000}"/>
    <cellStyle name="Вычисление 2 4 4 2 2_TOM TAT" xfId="26013" xr:uid="{00000000-0005-0000-0000-00001C730000}"/>
    <cellStyle name="Вычисление 2 4 4 2 3" xfId="27597" xr:uid="{00000000-0005-0000-0000-00001D730000}"/>
    <cellStyle name="Вычисление 2 4 4 2_TOM TAT" xfId="26012" xr:uid="{00000000-0005-0000-0000-00001E730000}"/>
    <cellStyle name="Вычисление 2 4 4 3" xfId="6168" xr:uid="{00000000-0005-0000-0000-00001F730000}"/>
    <cellStyle name="Вычисление 2 4 4 3 2" xfId="28770" xr:uid="{00000000-0005-0000-0000-000020730000}"/>
    <cellStyle name="Вычисление 2 4 4 3_TOM TAT" xfId="26014" xr:uid="{00000000-0005-0000-0000-000021730000}"/>
    <cellStyle name="Вычисление 2 4 4 4" xfId="27596" xr:uid="{00000000-0005-0000-0000-000022730000}"/>
    <cellStyle name="Вычисление 2 4 4_TOM TAT" xfId="26011" xr:uid="{00000000-0005-0000-0000-000023730000}"/>
    <cellStyle name="Вычисление 2 4 5" xfId="2808" xr:uid="{00000000-0005-0000-0000-000024730000}"/>
    <cellStyle name="Вычисление 2 4 5 2" xfId="6169" xr:uid="{00000000-0005-0000-0000-000025730000}"/>
    <cellStyle name="Вычисление 2 4 5 2 2" xfId="28771" xr:uid="{00000000-0005-0000-0000-000026730000}"/>
    <cellStyle name="Вычисление 2 4 5 2_TOM TAT" xfId="26016" xr:uid="{00000000-0005-0000-0000-000027730000}"/>
    <cellStyle name="Вычисление 2 4 5 3" xfId="27598" xr:uid="{00000000-0005-0000-0000-000028730000}"/>
    <cellStyle name="Вычисление 2 4 5_TOM TAT" xfId="26015" xr:uid="{00000000-0005-0000-0000-000029730000}"/>
    <cellStyle name="Вычисление 2 4 6" xfId="2809" xr:uid="{00000000-0005-0000-0000-00002A730000}"/>
    <cellStyle name="Вычисление 2 4 6 2" xfId="6170" xr:uid="{00000000-0005-0000-0000-00002B730000}"/>
    <cellStyle name="Вычисление 2 4 6 2 2" xfId="28772" xr:uid="{00000000-0005-0000-0000-00002C730000}"/>
    <cellStyle name="Вычисление 2 4 6 2_TOM TAT" xfId="26018" xr:uid="{00000000-0005-0000-0000-00002D730000}"/>
    <cellStyle name="Вычисление 2 4 6 3" xfId="27599" xr:uid="{00000000-0005-0000-0000-00002E730000}"/>
    <cellStyle name="Вычисление 2 4 6_TOM TAT" xfId="26017" xr:uid="{00000000-0005-0000-0000-00002F730000}"/>
    <cellStyle name="Вычисление 2 4 7" xfId="6171" xr:uid="{00000000-0005-0000-0000-000030730000}"/>
    <cellStyle name="Вычисление 2 4 7 2" xfId="28773" xr:uid="{00000000-0005-0000-0000-000031730000}"/>
    <cellStyle name="Вычисление 2 4 7_TOM TAT" xfId="26019" xr:uid="{00000000-0005-0000-0000-000032730000}"/>
    <cellStyle name="Вычисление 2 4 8" xfId="27588" xr:uid="{00000000-0005-0000-0000-000033730000}"/>
    <cellStyle name="Вычисление 2 4_TOM TAT" xfId="25996" xr:uid="{00000000-0005-0000-0000-000034730000}"/>
    <cellStyle name="Вычисление 2 5" xfId="2810" xr:uid="{00000000-0005-0000-0000-000035730000}"/>
    <cellStyle name="Вычисление 2 5 2" xfId="2811" xr:uid="{00000000-0005-0000-0000-000036730000}"/>
    <cellStyle name="Вычисление 2 5 2 2" xfId="2812" xr:uid="{00000000-0005-0000-0000-000037730000}"/>
    <cellStyle name="Вычисление 2 5 2 2 2" xfId="2813" xr:uid="{00000000-0005-0000-0000-000038730000}"/>
    <cellStyle name="Вычисление 2 5 2 2 2 2" xfId="6172" xr:uid="{00000000-0005-0000-0000-000039730000}"/>
    <cellStyle name="Вычисление 2 5 2 2 2 2 2" xfId="28774" xr:uid="{00000000-0005-0000-0000-00003A730000}"/>
    <cellStyle name="Вычисление 2 5 2 2 2 2_TOM TAT" xfId="26024" xr:uid="{00000000-0005-0000-0000-00003B730000}"/>
    <cellStyle name="Вычисление 2 5 2 2 2 3" xfId="27603" xr:uid="{00000000-0005-0000-0000-00003C730000}"/>
    <cellStyle name="Вычисление 2 5 2 2 2_TOM TAT" xfId="26023" xr:uid="{00000000-0005-0000-0000-00003D730000}"/>
    <cellStyle name="Вычисление 2 5 2 2 3" xfId="6173" xr:uid="{00000000-0005-0000-0000-00003E730000}"/>
    <cellStyle name="Вычисление 2 5 2 2 3 2" xfId="28775" xr:uid="{00000000-0005-0000-0000-00003F730000}"/>
    <cellStyle name="Вычисление 2 5 2 2 3_TOM TAT" xfId="26025" xr:uid="{00000000-0005-0000-0000-000040730000}"/>
    <cellStyle name="Вычисление 2 5 2 2 4" xfId="27602" xr:uid="{00000000-0005-0000-0000-000041730000}"/>
    <cellStyle name="Вычисление 2 5 2 2_TOM TAT" xfId="26022" xr:uid="{00000000-0005-0000-0000-000042730000}"/>
    <cellStyle name="Вычисление 2 5 2 3" xfId="2814" xr:uid="{00000000-0005-0000-0000-000043730000}"/>
    <cellStyle name="Вычисление 2 5 2 3 2" xfId="6174" xr:uid="{00000000-0005-0000-0000-000044730000}"/>
    <cellStyle name="Вычисление 2 5 2 3 2 2" xfId="28776" xr:uid="{00000000-0005-0000-0000-000045730000}"/>
    <cellStyle name="Вычисление 2 5 2 3 2_TOM TAT" xfId="26027" xr:uid="{00000000-0005-0000-0000-000046730000}"/>
    <cellStyle name="Вычисление 2 5 2 3 3" xfId="27604" xr:uid="{00000000-0005-0000-0000-000047730000}"/>
    <cellStyle name="Вычисление 2 5 2 3_TOM TAT" xfId="26026" xr:uid="{00000000-0005-0000-0000-000048730000}"/>
    <cellStyle name="Вычисление 2 5 2 4" xfId="2815" xr:uid="{00000000-0005-0000-0000-000049730000}"/>
    <cellStyle name="Вычисление 2 5 2 4 2" xfId="6175" xr:uid="{00000000-0005-0000-0000-00004A730000}"/>
    <cellStyle name="Вычисление 2 5 2 4 2 2" xfId="28777" xr:uid="{00000000-0005-0000-0000-00004B730000}"/>
    <cellStyle name="Вычисление 2 5 2 4 2_TOM TAT" xfId="26029" xr:uid="{00000000-0005-0000-0000-00004C730000}"/>
    <cellStyle name="Вычисление 2 5 2 4 3" xfId="27605" xr:uid="{00000000-0005-0000-0000-00004D730000}"/>
    <cellStyle name="Вычисление 2 5 2 4_TOM TAT" xfId="26028" xr:uid="{00000000-0005-0000-0000-00004E730000}"/>
    <cellStyle name="Вычисление 2 5 2 5" xfId="6176" xr:uid="{00000000-0005-0000-0000-00004F730000}"/>
    <cellStyle name="Вычисление 2 5 2 5 2" xfId="28778" xr:uid="{00000000-0005-0000-0000-000050730000}"/>
    <cellStyle name="Вычисление 2 5 2 5_TOM TAT" xfId="26030" xr:uid="{00000000-0005-0000-0000-000051730000}"/>
    <cellStyle name="Вычисление 2 5 2 6" xfId="27601" xr:uid="{00000000-0005-0000-0000-000052730000}"/>
    <cellStyle name="Вычисление 2 5 2_TOM TAT" xfId="26021" xr:uid="{00000000-0005-0000-0000-000053730000}"/>
    <cellStyle name="Вычисление 2 5 3" xfId="2816" xr:uid="{00000000-0005-0000-0000-000054730000}"/>
    <cellStyle name="Вычисление 2 5 3 2" xfId="2817" xr:uid="{00000000-0005-0000-0000-000055730000}"/>
    <cellStyle name="Вычисление 2 5 3 2 2" xfId="6177" xr:uid="{00000000-0005-0000-0000-000056730000}"/>
    <cellStyle name="Вычисление 2 5 3 2 2 2" xfId="28779" xr:uid="{00000000-0005-0000-0000-000057730000}"/>
    <cellStyle name="Вычисление 2 5 3 2 2_TOM TAT" xfId="26033" xr:uid="{00000000-0005-0000-0000-000058730000}"/>
    <cellStyle name="Вычисление 2 5 3 2 3" xfId="27607" xr:uid="{00000000-0005-0000-0000-000059730000}"/>
    <cellStyle name="Вычисление 2 5 3 2_TOM TAT" xfId="26032" xr:uid="{00000000-0005-0000-0000-00005A730000}"/>
    <cellStyle name="Вычисление 2 5 3 3" xfId="6178" xr:uid="{00000000-0005-0000-0000-00005B730000}"/>
    <cellStyle name="Вычисление 2 5 3 3 2" xfId="28780" xr:uid="{00000000-0005-0000-0000-00005C730000}"/>
    <cellStyle name="Вычисление 2 5 3 3_TOM TAT" xfId="26034" xr:uid="{00000000-0005-0000-0000-00005D730000}"/>
    <cellStyle name="Вычисление 2 5 3 4" xfId="27606" xr:uid="{00000000-0005-0000-0000-00005E730000}"/>
    <cellStyle name="Вычисление 2 5 3_TOM TAT" xfId="26031" xr:uid="{00000000-0005-0000-0000-00005F730000}"/>
    <cellStyle name="Вычисление 2 5 4" xfId="2818" xr:uid="{00000000-0005-0000-0000-000060730000}"/>
    <cellStyle name="Вычисление 2 5 4 2" xfId="2819" xr:uid="{00000000-0005-0000-0000-000061730000}"/>
    <cellStyle name="Вычисление 2 5 4 2 2" xfId="6179" xr:uid="{00000000-0005-0000-0000-000062730000}"/>
    <cellStyle name="Вычисление 2 5 4 2 2 2" xfId="28781" xr:uid="{00000000-0005-0000-0000-000063730000}"/>
    <cellStyle name="Вычисление 2 5 4 2 2_TOM TAT" xfId="26037" xr:uid="{00000000-0005-0000-0000-000064730000}"/>
    <cellStyle name="Вычисление 2 5 4 2 3" xfId="27609" xr:uid="{00000000-0005-0000-0000-000065730000}"/>
    <cellStyle name="Вычисление 2 5 4 2_TOM TAT" xfId="26036" xr:uid="{00000000-0005-0000-0000-000066730000}"/>
    <cellStyle name="Вычисление 2 5 4 3" xfId="6180" xr:uid="{00000000-0005-0000-0000-000067730000}"/>
    <cellStyle name="Вычисление 2 5 4 3 2" xfId="28782" xr:uid="{00000000-0005-0000-0000-000068730000}"/>
    <cellStyle name="Вычисление 2 5 4 3_TOM TAT" xfId="26038" xr:uid="{00000000-0005-0000-0000-000069730000}"/>
    <cellStyle name="Вычисление 2 5 4 4" xfId="27608" xr:uid="{00000000-0005-0000-0000-00006A730000}"/>
    <cellStyle name="Вычисление 2 5 4_TOM TAT" xfId="26035" xr:uid="{00000000-0005-0000-0000-00006B730000}"/>
    <cellStyle name="Вычисление 2 5 5" xfId="2820" xr:uid="{00000000-0005-0000-0000-00006C730000}"/>
    <cellStyle name="Вычисление 2 5 5 2" xfId="6181" xr:uid="{00000000-0005-0000-0000-00006D730000}"/>
    <cellStyle name="Вычисление 2 5 5 2 2" xfId="28783" xr:uid="{00000000-0005-0000-0000-00006E730000}"/>
    <cellStyle name="Вычисление 2 5 5 2_TOM TAT" xfId="26040" xr:uid="{00000000-0005-0000-0000-00006F730000}"/>
    <cellStyle name="Вычисление 2 5 5 3" xfId="27610" xr:uid="{00000000-0005-0000-0000-000070730000}"/>
    <cellStyle name="Вычисление 2 5 5_TOM TAT" xfId="26039" xr:uid="{00000000-0005-0000-0000-000071730000}"/>
    <cellStyle name="Вычисление 2 5 6" xfId="2821" xr:uid="{00000000-0005-0000-0000-000072730000}"/>
    <cellStyle name="Вычисление 2 5 6 2" xfId="6182" xr:uid="{00000000-0005-0000-0000-000073730000}"/>
    <cellStyle name="Вычисление 2 5 6 2 2" xfId="28784" xr:uid="{00000000-0005-0000-0000-000074730000}"/>
    <cellStyle name="Вычисление 2 5 6 2_TOM TAT" xfId="26042" xr:uid="{00000000-0005-0000-0000-000075730000}"/>
    <cellStyle name="Вычисление 2 5 6 3" xfId="27611" xr:uid="{00000000-0005-0000-0000-000076730000}"/>
    <cellStyle name="Вычисление 2 5 6_TOM TAT" xfId="26041" xr:uid="{00000000-0005-0000-0000-000077730000}"/>
    <cellStyle name="Вычисление 2 5 7" xfId="6183" xr:uid="{00000000-0005-0000-0000-000078730000}"/>
    <cellStyle name="Вычисление 2 5 7 2" xfId="28785" xr:uid="{00000000-0005-0000-0000-000079730000}"/>
    <cellStyle name="Вычисление 2 5 7_TOM TAT" xfId="26043" xr:uid="{00000000-0005-0000-0000-00007A730000}"/>
    <cellStyle name="Вычисление 2 5 8" xfId="27600" xr:uid="{00000000-0005-0000-0000-00007B730000}"/>
    <cellStyle name="Вычисление 2 5_TOM TAT" xfId="26020" xr:uid="{00000000-0005-0000-0000-00007C730000}"/>
    <cellStyle name="Вычисление 2 6" xfId="2822" xr:uid="{00000000-0005-0000-0000-00007D730000}"/>
    <cellStyle name="Вычисление 2 6 2" xfId="2823" xr:uid="{00000000-0005-0000-0000-00007E730000}"/>
    <cellStyle name="Вычисление 2 6 2 2" xfId="2824" xr:uid="{00000000-0005-0000-0000-00007F730000}"/>
    <cellStyle name="Вычисление 2 6 2 2 2" xfId="6184" xr:uid="{00000000-0005-0000-0000-000080730000}"/>
    <cellStyle name="Вычисление 2 6 2 2 2 2" xfId="28786" xr:uid="{00000000-0005-0000-0000-000081730000}"/>
    <cellStyle name="Вычисление 2 6 2 2 2_TOM TAT" xfId="26047" xr:uid="{00000000-0005-0000-0000-000082730000}"/>
    <cellStyle name="Вычисление 2 6 2 2 3" xfId="27614" xr:uid="{00000000-0005-0000-0000-000083730000}"/>
    <cellStyle name="Вычисление 2 6 2 2_TOM TAT" xfId="26046" xr:uid="{00000000-0005-0000-0000-000084730000}"/>
    <cellStyle name="Вычисление 2 6 2 3" xfId="6185" xr:uid="{00000000-0005-0000-0000-000085730000}"/>
    <cellStyle name="Вычисление 2 6 2 3 2" xfId="28787" xr:uid="{00000000-0005-0000-0000-000086730000}"/>
    <cellStyle name="Вычисление 2 6 2 3_TOM TAT" xfId="26048" xr:uid="{00000000-0005-0000-0000-000087730000}"/>
    <cellStyle name="Вычисление 2 6 2 4" xfId="27613" xr:uid="{00000000-0005-0000-0000-000088730000}"/>
    <cellStyle name="Вычисление 2 6 2_TOM TAT" xfId="26045" xr:uid="{00000000-0005-0000-0000-000089730000}"/>
    <cellStyle name="Вычисление 2 6 3" xfId="2825" xr:uid="{00000000-0005-0000-0000-00008A730000}"/>
    <cellStyle name="Вычисление 2 6 3 2" xfId="6186" xr:uid="{00000000-0005-0000-0000-00008B730000}"/>
    <cellStyle name="Вычисление 2 6 3 2 2" xfId="28788" xr:uid="{00000000-0005-0000-0000-00008C730000}"/>
    <cellStyle name="Вычисление 2 6 3 2_TOM TAT" xfId="26050" xr:uid="{00000000-0005-0000-0000-00008D730000}"/>
    <cellStyle name="Вычисление 2 6 3 3" xfId="27615" xr:uid="{00000000-0005-0000-0000-00008E730000}"/>
    <cellStyle name="Вычисление 2 6 3_TOM TAT" xfId="26049" xr:uid="{00000000-0005-0000-0000-00008F730000}"/>
    <cellStyle name="Вычисление 2 6 4" xfId="2826" xr:uid="{00000000-0005-0000-0000-000090730000}"/>
    <cellStyle name="Вычисление 2 6 4 2" xfId="6187" xr:uid="{00000000-0005-0000-0000-000091730000}"/>
    <cellStyle name="Вычисление 2 6 4 2 2" xfId="28789" xr:uid="{00000000-0005-0000-0000-000092730000}"/>
    <cellStyle name="Вычисление 2 6 4 2_TOM TAT" xfId="26052" xr:uid="{00000000-0005-0000-0000-000093730000}"/>
    <cellStyle name="Вычисление 2 6 4 3" xfId="27616" xr:uid="{00000000-0005-0000-0000-000094730000}"/>
    <cellStyle name="Вычисление 2 6 4_TOM TAT" xfId="26051" xr:uid="{00000000-0005-0000-0000-000095730000}"/>
    <cellStyle name="Вычисление 2 6 5" xfId="6188" xr:uid="{00000000-0005-0000-0000-000096730000}"/>
    <cellStyle name="Вычисление 2 6 5 2" xfId="28790" xr:uid="{00000000-0005-0000-0000-000097730000}"/>
    <cellStyle name="Вычисление 2 6 5_TOM TAT" xfId="26053" xr:uid="{00000000-0005-0000-0000-000098730000}"/>
    <cellStyle name="Вычисление 2 6 6" xfId="27612" xr:uid="{00000000-0005-0000-0000-000099730000}"/>
    <cellStyle name="Вычисление 2 6_TOM TAT" xfId="26044" xr:uid="{00000000-0005-0000-0000-00009A730000}"/>
    <cellStyle name="Вычисление 2 7" xfId="2827" xr:uid="{00000000-0005-0000-0000-00009B730000}"/>
    <cellStyle name="Вычисление 2 7 2" xfId="2828" xr:uid="{00000000-0005-0000-0000-00009C730000}"/>
    <cellStyle name="Вычисление 2 7 2 2" xfId="6189" xr:uid="{00000000-0005-0000-0000-00009D730000}"/>
    <cellStyle name="Вычисление 2 7 2 2 2" xfId="28791" xr:uid="{00000000-0005-0000-0000-00009E730000}"/>
    <cellStyle name="Вычисление 2 7 2 2_TOM TAT" xfId="26056" xr:uid="{00000000-0005-0000-0000-00009F730000}"/>
    <cellStyle name="Вычисление 2 7 2 3" xfId="27618" xr:uid="{00000000-0005-0000-0000-0000A0730000}"/>
    <cellStyle name="Вычисление 2 7 2_TOM TAT" xfId="26055" xr:uid="{00000000-0005-0000-0000-0000A1730000}"/>
    <cellStyle name="Вычисление 2 7 3" xfId="6190" xr:uid="{00000000-0005-0000-0000-0000A2730000}"/>
    <cellStyle name="Вычисление 2 7 3 2" xfId="28792" xr:uid="{00000000-0005-0000-0000-0000A3730000}"/>
    <cellStyle name="Вычисление 2 7 3_TOM TAT" xfId="26057" xr:uid="{00000000-0005-0000-0000-0000A4730000}"/>
    <cellStyle name="Вычисление 2 7 4" xfId="27617" xr:uid="{00000000-0005-0000-0000-0000A5730000}"/>
    <cellStyle name="Вычисление 2 7_TOM TAT" xfId="26054" xr:uid="{00000000-0005-0000-0000-0000A6730000}"/>
    <cellStyle name="Вычисление 2 8" xfId="2829" xr:uid="{00000000-0005-0000-0000-0000A7730000}"/>
    <cellStyle name="Вычисление 2 8 2" xfId="2830" xr:uid="{00000000-0005-0000-0000-0000A8730000}"/>
    <cellStyle name="Вычисление 2 8 2 2" xfId="6191" xr:uid="{00000000-0005-0000-0000-0000A9730000}"/>
    <cellStyle name="Вычисление 2 8 2 2 2" xfId="28793" xr:uid="{00000000-0005-0000-0000-0000AA730000}"/>
    <cellStyle name="Вычисление 2 8 2 2_TOM TAT" xfId="26060" xr:uid="{00000000-0005-0000-0000-0000AB730000}"/>
    <cellStyle name="Вычисление 2 8 2 3" xfId="27620" xr:uid="{00000000-0005-0000-0000-0000AC730000}"/>
    <cellStyle name="Вычисление 2 8 2_TOM TAT" xfId="26059" xr:uid="{00000000-0005-0000-0000-0000AD730000}"/>
    <cellStyle name="Вычисление 2 8 3" xfId="6192" xr:uid="{00000000-0005-0000-0000-0000AE730000}"/>
    <cellStyle name="Вычисление 2 8 3 2" xfId="28794" xr:uid="{00000000-0005-0000-0000-0000AF730000}"/>
    <cellStyle name="Вычисление 2 8 3_TOM TAT" xfId="26061" xr:uid="{00000000-0005-0000-0000-0000B0730000}"/>
    <cellStyle name="Вычисление 2 8 4" xfId="27619" xr:uid="{00000000-0005-0000-0000-0000B1730000}"/>
    <cellStyle name="Вычисление 2 8_TOM TAT" xfId="26058" xr:uid="{00000000-0005-0000-0000-0000B2730000}"/>
    <cellStyle name="Вычисление 2 9" xfId="2831" xr:uid="{00000000-0005-0000-0000-0000B3730000}"/>
    <cellStyle name="Вычисление 2 9 2" xfId="6193" xr:uid="{00000000-0005-0000-0000-0000B4730000}"/>
    <cellStyle name="Вычисление 2 9 2 2" xfId="28795" xr:uid="{00000000-0005-0000-0000-0000B5730000}"/>
    <cellStyle name="Вычисление 2 9 2_TOM TAT" xfId="26063" xr:uid="{00000000-0005-0000-0000-0000B6730000}"/>
    <cellStyle name="Вычисление 2 9 3" xfId="27621" xr:uid="{00000000-0005-0000-0000-0000B7730000}"/>
    <cellStyle name="Вычисление 2 9_TOM TAT" xfId="26062" xr:uid="{00000000-0005-0000-0000-0000B8730000}"/>
    <cellStyle name="Вычисление 2_TOM TAT" xfId="25872" xr:uid="{00000000-0005-0000-0000-0000B9730000}"/>
    <cellStyle name="Вычисление 3" xfId="2832" xr:uid="{00000000-0005-0000-0000-0000BA730000}"/>
    <cellStyle name="Вычисление 3 10" xfId="2833" xr:uid="{00000000-0005-0000-0000-0000BB730000}"/>
    <cellStyle name="Вычисление 3 10 2" xfId="6194" xr:uid="{00000000-0005-0000-0000-0000BC730000}"/>
    <cellStyle name="Вычисление 3 10 2 2" xfId="28796" xr:uid="{00000000-0005-0000-0000-0000BD730000}"/>
    <cellStyle name="Вычисление 3 10 2_TOM TAT" xfId="26066" xr:uid="{00000000-0005-0000-0000-0000BE730000}"/>
    <cellStyle name="Вычисление 3 10 3" xfId="27623" xr:uid="{00000000-0005-0000-0000-0000BF730000}"/>
    <cellStyle name="Вычисление 3 10_TOM TAT" xfId="26065" xr:uid="{00000000-0005-0000-0000-0000C0730000}"/>
    <cellStyle name="Вычисление 3 11" xfId="6195" xr:uid="{00000000-0005-0000-0000-0000C1730000}"/>
    <cellStyle name="Вычисление 3 11 2" xfId="28797" xr:uid="{00000000-0005-0000-0000-0000C2730000}"/>
    <cellStyle name="Вычисление 3 11_TOM TAT" xfId="26067" xr:uid="{00000000-0005-0000-0000-0000C3730000}"/>
    <cellStyle name="Вычисление 3 12" xfId="27622" xr:uid="{00000000-0005-0000-0000-0000C4730000}"/>
    <cellStyle name="Вычисление 3 2" xfId="2834" xr:uid="{00000000-0005-0000-0000-0000C5730000}"/>
    <cellStyle name="Вычисление 3 2 10" xfId="27624" xr:uid="{00000000-0005-0000-0000-0000C6730000}"/>
    <cellStyle name="Вычисление 3 2 2" xfId="2835" xr:uid="{00000000-0005-0000-0000-0000C7730000}"/>
    <cellStyle name="Вычисление 3 2 2 2" xfId="2836" xr:uid="{00000000-0005-0000-0000-0000C8730000}"/>
    <cellStyle name="Вычисление 3 2 2 2 2" xfId="2837" xr:uid="{00000000-0005-0000-0000-0000C9730000}"/>
    <cellStyle name="Вычисление 3 2 2 2 2 2" xfId="2838" xr:uid="{00000000-0005-0000-0000-0000CA730000}"/>
    <cellStyle name="Вычисление 3 2 2 2 2 2 2" xfId="6196" xr:uid="{00000000-0005-0000-0000-0000CB730000}"/>
    <cellStyle name="Вычисление 3 2 2 2 2 2 2 2" xfId="28798" xr:uid="{00000000-0005-0000-0000-0000CC730000}"/>
    <cellStyle name="Вычисление 3 2 2 2 2 2 2_TOM TAT" xfId="26073" xr:uid="{00000000-0005-0000-0000-0000CD730000}"/>
    <cellStyle name="Вычисление 3 2 2 2 2 2 3" xfId="27628" xr:uid="{00000000-0005-0000-0000-0000CE730000}"/>
    <cellStyle name="Вычисление 3 2 2 2 2 2_TOM TAT" xfId="26072" xr:uid="{00000000-0005-0000-0000-0000CF730000}"/>
    <cellStyle name="Вычисление 3 2 2 2 2 3" xfId="6197" xr:uid="{00000000-0005-0000-0000-0000D0730000}"/>
    <cellStyle name="Вычисление 3 2 2 2 2 3 2" xfId="28799" xr:uid="{00000000-0005-0000-0000-0000D1730000}"/>
    <cellStyle name="Вычисление 3 2 2 2 2 3_TOM TAT" xfId="26074" xr:uid="{00000000-0005-0000-0000-0000D2730000}"/>
    <cellStyle name="Вычисление 3 2 2 2 2 4" xfId="27627" xr:uid="{00000000-0005-0000-0000-0000D3730000}"/>
    <cellStyle name="Вычисление 3 2 2 2 2_TOM TAT" xfId="26071" xr:uid="{00000000-0005-0000-0000-0000D4730000}"/>
    <cellStyle name="Вычисление 3 2 2 2 3" xfId="2839" xr:uid="{00000000-0005-0000-0000-0000D5730000}"/>
    <cellStyle name="Вычисление 3 2 2 2 3 2" xfId="6198" xr:uid="{00000000-0005-0000-0000-0000D6730000}"/>
    <cellStyle name="Вычисление 3 2 2 2 3 2 2" xfId="28800" xr:uid="{00000000-0005-0000-0000-0000D7730000}"/>
    <cellStyle name="Вычисление 3 2 2 2 3 2_TOM TAT" xfId="26076" xr:uid="{00000000-0005-0000-0000-0000D8730000}"/>
    <cellStyle name="Вычисление 3 2 2 2 3 3" xfId="27629" xr:uid="{00000000-0005-0000-0000-0000D9730000}"/>
    <cellStyle name="Вычисление 3 2 2 2 3_TOM TAT" xfId="26075" xr:uid="{00000000-0005-0000-0000-0000DA730000}"/>
    <cellStyle name="Вычисление 3 2 2 2 4" xfId="2840" xr:uid="{00000000-0005-0000-0000-0000DB730000}"/>
    <cellStyle name="Вычисление 3 2 2 2 4 2" xfId="6199" xr:uid="{00000000-0005-0000-0000-0000DC730000}"/>
    <cellStyle name="Вычисление 3 2 2 2 4 2 2" xfId="28801" xr:uid="{00000000-0005-0000-0000-0000DD730000}"/>
    <cellStyle name="Вычисление 3 2 2 2 4 2_TOM TAT" xfId="26078" xr:uid="{00000000-0005-0000-0000-0000DE730000}"/>
    <cellStyle name="Вычисление 3 2 2 2 4 3" xfId="27630" xr:uid="{00000000-0005-0000-0000-0000DF730000}"/>
    <cellStyle name="Вычисление 3 2 2 2 4_TOM TAT" xfId="26077" xr:uid="{00000000-0005-0000-0000-0000E0730000}"/>
    <cellStyle name="Вычисление 3 2 2 2 5" xfId="6200" xr:uid="{00000000-0005-0000-0000-0000E1730000}"/>
    <cellStyle name="Вычисление 3 2 2 2 5 2" xfId="28802" xr:uid="{00000000-0005-0000-0000-0000E2730000}"/>
    <cellStyle name="Вычисление 3 2 2 2 5_TOM TAT" xfId="26079" xr:uid="{00000000-0005-0000-0000-0000E3730000}"/>
    <cellStyle name="Вычисление 3 2 2 2 6" xfId="27626" xr:uid="{00000000-0005-0000-0000-0000E4730000}"/>
    <cellStyle name="Вычисление 3 2 2 2_TOM TAT" xfId="26070" xr:uid="{00000000-0005-0000-0000-0000E5730000}"/>
    <cellStyle name="Вычисление 3 2 2 3" xfId="2841" xr:uid="{00000000-0005-0000-0000-0000E6730000}"/>
    <cellStyle name="Вычисление 3 2 2 3 2" xfId="2842" xr:uid="{00000000-0005-0000-0000-0000E7730000}"/>
    <cellStyle name="Вычисление 3 2 2 3 2 2" xfId="6201" xr:uid="{00000000-0005-0000-0000-0000E8730000}"/>
    <cellStyle name="Вычисление 3 2 2 3 2 2 2" xfId="28803" xr:uid="{00000000-0005-0000-0000-0000E9730000}"/>
    <cellStyle name="Вычисление 3 2 2 3 2 2_TOM TAT" xfId="26082" xr:uid="{00000000-0005-0000-0000-0000EA730000}"/>
    <cellStyle name="Вычисление 3 2 2 3 2 3" xfId="27632" xr:uid="{00000000-0005-0000-0000-0000EB730000}"/>
    <cellStyle name="Вычисление 3 2 2 3 2_TOM TAT" xfId="26081" xr:uid="{00000000-0005-0000-0000-0000EC730000}"/>
    <cellStyle name="Вычисление 3 2 2 3 3" xfId="6202" xr:uid="{00000000-0005-0000-0000-0000ED730000}"/>
    <cellStyle name="Вычисление 3 2 2 3 3 2" xfId="28804" xr:uid="{00000000-0005-0000-0000-0000EE730000}"/>
    <cellStyle name="Вычисление 3 2 2 3 3_TOM TAT" xfId="26083" xr:uid="{00000000-0005-0000-0000-0000EF730000}"/>
    <cellStyle name="Вычисление 3 2 2 3 4" xfId="27631" xr:uid="{00000000-0005-0000-0000-0000F0730000}"/>
    <cellStyle name="Вычисление 3 2 2 3_TOM TAT" xfId="26080" xr:uid="{00000000-0005-0000-0000-0000F1730000}"/>
    <cellStyle name="Вычисление 3 2 2 4" xfId="2843" xr:uid="{00000000-0005-0000-0000-0000F2730000}"/>
    <cellStyle name="Вычисление 3 2 2 4 2" xfId="2844" xr:uid="{00000000-0005-0000-0000-0000F3730000}"/>
    <cellStyle name="Вычисление 3 2 2 4 2 2" xfId="6203" xr:uid="{00000000-0005-0000-0000-0000F4730000}"/>
    <cellStyle name="Вычисление 3 2 2 4 2 2 2" xfId="28805" xr:uid="{00000000-0005-0000-0000-0000F5730000}"/>
    <cellStyle name="Вычисление 3 2 2 4 2 2_TOM TAT" xfId="26086" xr:uid="{00000000-0005-0000-0000-0000F6730000}"/>
    <cellStyle name="Вычисление 3 2 2 4 2 3" xfId="27634" xr:uid="{00000000-0005-0000-0000-0000F7730000}"/>
    <cellStyle name="Вычисление 3 2 2 4 2_TOM TAT" xfId="26085" xr:uid="{00000000-0005-0000-0000-0000F8730000}"/>
    <cellStyle name="Вычисление 3 2 2 4 3" xfId="6204" xr:uid="{00000000-0005-0000-0000-0000F9730000}"/>
    <cellStyle name="Вычисление 3 2 2 4 3 2" xfId="28806" xr:uid="{00000000-0005-0000-0000-0000FA730000}"/>
    <cellStyle name="Вычисление 3 2 2 4 3_TOM TAT" xfId="26087" xr:uid="{00000000-0005-0000-0000-0000FB730000}"/>
    <cellStyle name="Вычисление 3 2 2 4 4" xfId="27633" xr:uid="{00000000-0005-0000-0000-0000FC730000}"/>
    <cellStyle name="Вычисление 3 2 2 4_TOM TAT" xfId="26084" xr:uid="{00000000-0005-0000-0000-0000FD730000}"/>
    <cellStyle name="Вычисление 3 2 2 5" xfId="2845" xr:uid="{00000000-0005-0000-0000-0000FE730000}"/>
    <cellStyle name="Вычисление 3 2 2 5 2" xfId="6205" xr:uid="{00000000-0005-0000-0000-0000FF730000}"/>
    <cellStyle name="Вычисление 3 2 2 5 2 2" xfId="28807" xr:uid="{00000000-0005-0000-0000-000000740000}"/>
    <cellStyle name="Вычисление 3 2 2 5 2_TOM TAT" xfId="26089" xr:uid="{00000000-0005-0000-0000-000001740000}"/>
    <cellStyle name="Вычисление 3 2 2 5 3" xfId="27635" xr:uid="{00000000-0005-0000-0000-000002740000}"/>
    <cellStyle name="Вычисление 3 2 2 5_TOM TAT" xfId="26088" xr:uid="{00000000-0005-0000-0000-000003740000}"/>
    <cellStyle name="Вычисление 3 2 2 6" xfId="2846" xr:uid="{00000000-0005-0000-0000-000004740000}"/>
    <cellStyle name="Вычисление 3 2 2 6 2" xfId="6206" xr:uid="{00000000-0005-0000-0000-000005740000}"/>
    <cellStyle name="Вычисление 3 2 2 6 2 2" xfId="28808" xr:uid="{00000000-0005-0000-0000-000006740000}"/>
    <cellStyle name="Вычисление 3 2 2 6 2_TOM TAT" xfId="26091" xr:uid="{00000000-0005-0000-0000-000007740000}"/>
    <cellStyle name="Вычисление 3 2 2 6 3" xfId="27636" xr:uid="{00000000-0005-0000-0000-000008740000}"/>
    <cellStyle name="Вычисление 3 2 2 6_TOM TAT" xfId="26090" xr:uid="{00000000-0005-0000-0000-000009740000}"/>
    <cellStyle name="Вычисление 3 2 2 7" xfId="6207" xr:uid="{00000000-0005-0000-0000-00000A740000}"/>
    <cellStyle name="Вычисление 3 2 2 7 2" xfId="28809" xr:uid="{00000000-0005-0000-0000-00000B740000}"/>
    <cellStyle name="Вычисление 3 2 2 7_TOM TAT" xfId="26092" xr:uid="{00000000-0005-0000-0000-00000C740000}"/>
    <cellStyle name="Вычисление 3 2 2 8" xfId="27625" xr:uid="{00000000-0005-0000-0000-00000D740000}"/>
    <cellStyle name="Вычисление 3 2 2_TOM TAT" xfId="26069" xr:uid="{00000000-0005-0000-0000-00000E740000}"/>
    <cellStyle name="Вычисление 3 2 3" xfId="2847" xr:uid="{00000000-0005-0000-0000-00000F740000}"/>
    <cellStyle name="Вычисление 3 2 3 2" xfId="2848" xr:uid="{00000000-0005-0000-0000-000010740000}"/>
    <cellStyle name="Вычисление 3 2 3 2 2" xfId="2849" xr:uid="{00000000-0005-0000-0000-000011740000}"/>
    <cellStyle name="Вычисление 3 2 3 2 2 2" xfId="2850" xr:uid="{00000000-0005-0000-0000-000012740000}"/>
    <cellStyle name="Вычисление 3 2 3 2 2 2 2" xfId="6208" xr:uid="{00000000-0005-0000-0000-000013740000}"/>
    <cellStyle name="Вычисление 3 2 3 2 2 2 2 2" xfId="28810" xr:uid="{00000000-0005-0000-0000-000014740000}"/>
    <cellStyle name="Вычисление 3 2 3 2 2 2 2_TOM TAT" xfId="26097" xr:uid="{00000000-0005-0000-0000-000015740000}"/>
    <cellStyle name="Вычисление 3 2 3 2 2 2 3" xfId="27640" xr:uid="{00000000-0005-0000-0000-000016740000}"/>
    <cellStyle name="Вычисление 3 2 3 2 2 2_TOM TAT" xfId="26096" xr:uid="{00000000-0005-0000-0000-000017740000}"/>
    <cellStyle name="Вычисление 3 2 3 2 2 3" xfId="6209" xr:uid="{00000000-0005-0000-0000-000018740000}"/>
    <cellStyle name="Вычисление 3 2 3 2 2 3 2" xfId="28811" xr:uid="{00000000-0005-0000-0000-000019740000}"/>
    <cellStyle name="Вычисление 3 2 3 2 2 3_TOM TAT" xfId="26098" xr:uid="{00000000-0005-0000-0000-00001A740000}"/>
    <cellStyle name="Вычисление 3 2 3 2 2 4" xfId="27639" xr:uid="{00000000-0005-0000-0000-00001B740000}"/>
    <cellStyle name="Вычисление 3 2 3 2 2_TOM TAT" xfId="26095" xr:uid="{00000000-0005-0000-0000-00001C740000}"/>
    <cellStyle name="Вычисление 3 2 3 2 3" xfId="2851" xr:uid="{00000000-0005-0000-0000-00001D740000}"/>
    <cellStyle name="Вычисление 3 2 3 2 3 2" xfId="6210" xr:uid="{00000000-0005-0000-0000-00001E740000}"/>
    <cellStyle name="Вычисление 3 2 3 2 3 2 2" xfId="28812" xr:uid="{00000000-0005-0000-0000-00001F740000}"/>
    <cellStyle name="Вычисление 3 2 3 2 3 2_TOM TAT" xfId="26100" xr:uid="{00000000-0005-0000-0000-000020740000}"/>
    <cellStyle name="Вычисление 3 2 3 2 3 3" xfId="27641" xr:uid="{00000000-0005-0000-0000-000021740000}"/>
    <cellStyle name="Вычисление 3 2 3 2 3_TOM TAT" xfId="26099" xr:uid="{00000000-0005-0000-0000-000022740000}"/>
    <cellStyle name="Вычисление 3 2 3 2 4" xfId="2852" xr:uid="{00000000-0005-0000-0000-000023740000}"/>
    <cellStyle name="Вычисление 3 2 3 2 4 2" xfId="6211" xr:uid="{00000000-0005-0000-0000-000024740000}"/>
    <cellStyle name="Вычисление 3 2 3 2 4 2 2" xfId="28813" xr:uid="{00000000-0005-0000-0000-000025740000}"/>
    <cellStyle name="Вычисление 3 2 3 2 4 2_TOM TAT" xfId="26102" xr:uid="{00000000-0005-0000-0000-000026740000}"/>
    <cellStyle name="Вычисление 3 2 3 2 4 3" xfId="27642" xr:uid="{00000000-0005-0000-0000-000027740000}"/>
    <cellStyle name="Вычисление 3 2 3 2 4_TOM TAT" xfId="26101" xr:uid="{00000000-0005-0000-0000-000028740000}"/>
    <cellStyle name="Вычисление 3 2 3 2 5" xfId="6212" xr:uid="{00000000-0005-0000-0000-000029740000}"/>
    <cellStyle name="Вычисление 3 2 3 2 5 2" xfId="28814" xr:uid="{00000000-0005-0000-0000-00002A740000}"/>
    <cellStyle name="Вычисление 3 2 3 2 5_TOM TAT" xfId="26103" xr:uid="{00000000-0005-0000-0000-00002B740000}"/>
    <cellStyle name="Вычисление 3 2 3 2 6" xfId="27638" xr:uid="{00000000-0005-0000-0000-00002C740000}"/>
    <cellStyle name="Вычисление 3 2 3 2_TOM TAT" xfId="26094" xr:uid="{00000000-0005-0000-0000-00002D740000}"/>
    <cellStyle name="Вычисление 3 2 3 3" xfId="2853" xr:uid="{00000000-0005-0000-0000-00002E740000}"/>
    <cellStyle name="Вычисление 3 2 3 3 2" xfId="2854" xr:uid="{00000000-0005-0000-0000-00002F740000}"/>
    <cellStyle name="Вычисление 3 2 3 3 2 2" xfId="6213" xr:uid="{00000000-0005-0000-0000-000030740000}"/>
    <cellStyle name="Вычисление 3 2 3 3 2 2 2" xfId="28815" xr:uid="{00000000-0005-0000-0000-000031740000}"/>
    <cellStyle name="Вычисление 3 2 3 3 2 2_TOM TAT" xfId="26106" xr:uid="{00000000-0005-0000-0000-000032740000}"/>
    <cellStyle name="Вычисление 3 2 3 3 2 3" xfId="27644" xr:uid="{00000000-0005-0000-0000-000033740000}"/>
    <cellStyle name="Вычисление 3 2 3 3 2_TOM TAT" xfId="26105" xr:uid="{00000000-0005-0000-0000-000034740000}"/>
    <cellStyle name="Вычисление 3 2 3 3 3" xfId="6214" xr:uid="{00000000-0005-0000-0000-000035740000}"/>
    <cellStyle name="Вычисление 3 2 3 3 3 2" xfId="28816" xr:uid="{00000000-0005-0000-0000-000036740000}"/>
    <cellStyle name="Вычисление 3 2 3 3 3_TOM TAT" xfId="26107" xr:uid="{00000000-0005-0000-0000-000037740000}"/>
    <cellStyle name="Вычисление 3 2 3 3 4" xfId="27643" xr:uid="{00000000-0005-0000-0000-000038740000}"/>
    <cellStyle name="Вычисление 3 2 3 3_TOM TAT" xfId="26104" xr:uid="{00000000-0005-0000-0000-000039740000}"/>
    <cellStyle name="Вычисление 3 2 3 4" xfId="2855" xr:uid="{00000000-0005-0000-0000-00003A740000}"/>
    <cellStyle name="Вычисление 3 2 3 4 2" xfId="2856" xr:uid="{00000000-0005-0000-0000-00003B740000}"/>
    <cellStyle name="Вычисление 3 2 3 4 2 2" xfId="6215" xr:uid="{00000000-0005-0000-0000-00003C740000}"/>
    <cellStyle name="Вычисление 3 2 3 4 2 2 2" xfId="28817" xr:uid="{00000000-0005-0000-0000-00003D740000}"/>
    <cellStyle name="Вычисление 3 2 3 4 2 2_TOM TAT" xfId="26110" xr:uid="{00000000-0005-0000-0000-00003E740000}"/>
    <cellStyle name="Вычисление 3 2 3 4 2 3" xfId="27646" xr:uid="{00000000-0005-0000-0000-00003F740000}"/>
    <cellStyle name="Вычисление 3 2 3 4 2_TOM TAT" xfId="26109" xr:uid="{00000000-0005-0000-0000-000040740000}"/>
    <cellStyle name="Вычисление 3 2 3 4 3" xfId="6216" xr:uid="{00000000-0005-0000-0000-000041740000}"/>
    <cellStyle name="Вычисление 3 2 3 4 3 2" xfId="28818" xr:uid="{00000000-0005-0000-0000-000042740000}"/>
    <cellStyle name="Вычисление 3 2 3 4 3_TOM TAT" xfId="26111" xr:uid="{00000000-0005-0000-0000-000043740000}"/>
    <cellStyle name="Вычисление 3 2 3 4 4" xfId="27645" xr:uid="{00000000-0005-0000-0000-000044740000}"/>
    <cellStyle name="Вычисление 3 2 3 4_TOM TAT" xfId="26108" xr:uid="{00000000-0005-0000-0000-000045740000}"/>
    <cellStyle name="Вычисление 3 2 3 5" xfId="2857" xr:uid="{00000000-0005-0000-0000-000046740000}"/>
    <cellStyle name="Вычисление 3 2 3 5 2" xfId="6217" xr:uid="{00000000-0005-0000-0000-000047740000}"/>
    <cellStyle name="Вычисление 3 2 3 5 2 2" xfId="28819" xr:uid="{00000000-0005-0000-0000-000048740000}"/>
    <cellStyle name="Вычисление 3 2 3 5 2_TOM TAT" xfId="26113" xr:uid="{00000000-0005-0000-0000-000049740000}"/>
    <cellStyle name="Вычисление 3 2 3 5 3" xfId="27647" xr:uid="{00000000-0005-0000-0000-00004A740000}"/>
    <cellStyle name="Вычисление 3 2 3 5_TOM TAT" xfId="26112" xr:uid="{00000000-0005-0000-0000-00004B740000}"/>
    <cellStyle name="Вычисление 3 2 3 6" xfId="2858" xr:uid="{00000000-0005-0000-0000-00004C740000}"/>
    <cellStyle name="Вычисление 3 2 3 6 2" xfId="6218" xr:uid="{00000000-0005-0000-0000-00004D740000}"/>
    <cellStyle name="Вычисление 3 2 3 6 2 2" xfId="28820" xr:uid="{00000000-0005-0000-0000-00004E740000}"/>
    <cellStyle name="Вычисление 3 2 3 6 2_TOM TAT" xfId="26115" xr:uid="{00000000-0005-0000-0000-00004F740000}"/>
    <cellStyle name="Вычисление 3 2 3 6 3" xfId="27648" xr:uid="{00000000-0005-0000-0000-000050740000}"/>
    <cellStyle name="Вычисление 3 2 3 6_TOM TAT" xfId="26114" xr:uid="{00000000-0005-0000-0000-000051740000}"/>
    <cellStyle name="Вычисление 3 2 3 7" xfId="6219" xr:uid="{00000000-0005-0000-0000-000052740000}"/>
    <cellStyle name="Вычисление 3 2 3 7 2" xfId="28821" xr:uid="{00000000-0005-0000-0000-000053740000}"/>
    <cellStyle name="Вычисление 3 2 3 7_TOM TAT" xfId="26116" xr:uid="{00000000-0005-0000-0000-000054740000}"/>
    <cellStyle name="Вычисление 3 2 3 8" xfId="27637" xr:uid="{00000000-0005-0000-0000-000055740000}"/>
    <cellStyle name="Вычисление 3 2 3_TOM TAT" xfId="26093" xr:uid="{00000000-0005-0000-0000-000056740000}"/>
    <cellStyle name="Вычисление 3 2 4" xfId="2859" xr:uid="{00000000-0005-0000-0000-000057740000}"/>
    <cellStyle name="Вычисление 3 2 4 2" xfId="2860" xr:uid="{00000000-0005-0000-0000-000058740000}"/>
    <cellStyle name="Вычисление 3 2 4 2 2" xfId="2861" xr:uid="{00000000-0005-0000-0000-000059740000}"/>
    <cellStyle name="Вычисление 3 2 4 2 2 2" xfId="6220" xr:uid="{00000000-0005-0000-0000-00005A740000}"/>
    <cellStyle name="Вычисление 3 2 4 2 2 2 2" xfId="28822" xr:uid="{00000000-0005-0000-0000-00005B740000}"/>
    <cellStyle name="Вычисление 3 2 4 2 2 2_TOM TAT" xfId="26120" xr:uid="{00000000-0005-0000-0000-00005C740000}"/>
    <cellStyle name="Вычисление 3 2 4 2 2 3" xfId="27651" xr:uid="{00000000-0005-0000-0000-00005D740000}"/>
    <cellStyle name="Вычисление 3 2 4 2 2_TOM TAT" xfId="26119" xr:uid="{00000000-0005-0000-0000-00005E740000}"/>
    <cellStyle name="Вычисление 3 2 4 2 3" xfId="6221" xr:uid="{00000000-0005-0000-0000-00005F740000}"/>
    <cellStyle name="Вычисление 3 2 4 2 3 2" xfId="28823" xr:uid="{00000000-0005-0000-0000-000060740000}"/>
    <cellStyle name="Вычисление 3 2 4 2 3_TOM TAT" xfId="26121" xr:uid="{00000000-0005-0000-0000-000061740000}"/>
    <cellStyle name="Вычисление 3 2 4 2 4" xfId="27650" xr:uid="{00000000-0005-0000-0000-000062740000}"/>
    <cellStyle name="Вычисление 3 2 4 2_TOM TAT" xfId="26118" xr:uid="{00000000-0005-0000-0000-000063740000}"/>
    <cellStyle name="Вычисление 3 2 4 3" xfId="2862" xr:uid="{00000000-0005-0000-0000-000064740000}"/>
    <cellStyle name="Вычисление 3 2 4 3 2" xfId="6222" xr:uid="{00000000-0005-0000-0000-000065740000}"/>
    <cellStyle name="Вычисление 3 2 4 3 2 2" xfId="28824" xr:uid="{00000000-0005-0000-0000-000066740000}"/>
    <cellStyle name="Вычисление 3 2 4 3 2_TOM TAT" xfId="26123" xr:uid="{00000000-0005-0000-0000-000067740000}"/>
    <cellStyle name="Вычисление 3 2 4 3 3" xfId="27652" xr:uid="{00000000-0005-0000-0000-000068740000}"/>
    <cellStyle name="Вычисление 3 2 4 3_TOM TAT" xfId="26122" xr:uid="{00000000-0005-0000-0000-000069740000}"/>
    <cellStyle name="Вычисление 3 2 4 4" xfId="2863" xr:uid="{00000000-0005-0000-0000-00006A740000}"/>
    <cellStyle name="Вычисление 3 2 4 4 2" xfId="6223" xr:uid="{00000000-0005-0000-0000-00006B740000}"/>
    <cellStyle name="Вычисление 3 2 4 4 2 2" xfId="28825" xr:uid="{00000000-0005-0000-0000-00006C740000}"/>
    <cellStyle name="Вычисление 3 2 4 4 2_TOM TAT" xfId="26125" xr:uid="{00000000-0005-0000-0000-00006D740000}"/>
    <cellStyle name="Вычисление 3 2 4 4 3" xfId="27653" xr:uid="{00000000-0005-0000-0000-00006E740000}"/>
    <cellStyle name="Вычисление 3 2 4 4_TOM TAT" xfId="26124" xr:uid="{00000000-0005-0000-0000-00006F740000}"/>
    <cellStyle name="Вычисление 3 2 4 5" xfId="6224" xr:uid="{00000000-0005-0000-0000-000070740000}"/>
    <cellStyle name="Вычисление 3 2 4 5 2" xfId="28826" xr:uid="{00000000-0005-0000-0000-000071740000}"/>
    <cellStyle name="Вычисление 3 2 4 5_TOM TAT" xfId="26126" xr:uid="{00000000-0005-0000-0000-000072740000}"/>
    <cellStyle name="Вычисление 3 2 4 6" xfId="27649" xr:uid="{00000000-0005-0000-0000-000073740000}"/>
    <cellStyle name="Вычисление 3 2 4_TOM TAT" xfId="26117" xr:uid="{00000000-0005-0000-0000-000074740000}"/>
    <cellStyle name="Вычисление 3 2 5" xfId="2864" xr:uid="{00000000-0005-0000-0000-000075740000}"/>
    <cellStyle name="Вычисление 3 2 5 2" xfId="2865" xr:uid="{00000000-0005-0000-0000-000076740000}"/>
    <cellStyle name="Вычисление 3 2 5 2 2" xfId="6225" xr:uid="{00000000-0005-0000-0000-000077740000}"/>
    <cellStyle name="Вычисление 3 2 5 2 2 2" xfId="28827" xr:uid="{00000000-0005-0000-0000-000078740000}"/>
    <cellStyle name="Вычисление 3 2 5 2 2_TOM TAT" xfId="26129" xr:uid="{00000000-0005-0000-0000-000079740000}"/>
    <cellStyle name="Вычисление 3 2 5 2 3" xfId="27655" xr:uid="{00000000-0005-0000-0000-00007A740000}"/>
    <cellStyle name="Вычисление 3 2 5 2_TOM TAT" xfId="26128" xr:uid="{00000000-0005-0000-0000-00007B740000}"/>
    <cellStyle name="Вычисление 3 2 5 3" xfId="6226" xr:uid="{00000000-0005-0000-0000-00007C740000}"/>
    <cellStyle name="Вычисление 3 2 5 3 2" xfId="28828" xr:uid="{00000000-0005-0000-0000-00007D740000}"/>
    <cellStyle name="Вычисление 3 2 5 3_TOM TAT" xfId="26130" xr:uid="{00000000-0005-0000-0000-00007E740000}"/>
    <cellStyle name="Вычисление 3 2 5 4" xfId="27654" xr:uid="{00000000-0005-0000-0000-00007F740000}"/>
    <cellStyle name="Вычисление 3 2 5_TOM TAT" xfId="26127" xr:uid="{00000000-0005-0000-0000-000080740000}"/>
    <cellStyle name="Вычисление 3 2 6" xfId="2866" xr:uid="{00000000-0005-0000-0000-000081740000}"/>
    <cellStyle name="Вычисление 3 2 6 2" xfId="2867" xr:uid="{00000000-0005-0000-0000-000082740000}"/>
    <cellStyle name="Вычисление 3 2 6 2 2" xfId="6227" xr:uid="{00000000-0005-0000-0000-000083740000}"/>
    <cellStyle name="Вычисление 3 2 6 2 2 2" xfId="28829" xr:uid="{00000000-0005-0000-0000-000084740000}"/>
    <cellStyle name="Вычисление 3 2 6 2 2_TOM TAT" xfId="26133" xr:uid="{00000000-0005-0000-0000-000085740000}"/>
    <cellStyle name="Вычисление 3 2 6 2 3" xfId="27657" xr:uid="{00000000-0005-0000-0000-000086740000}"/>
    <cellStyle name="Вычисление 3 2 6 2_TOM TAT" xfId="26132" xr:uid="{00000000-0005-0000-0000-000087740000}"/>
    <cellStyle name="Вычисление 3 2 6 3" xfId="6228" xr:uid="{00000000-0005-0000-0000-000088740000}"/>
    <cellStyle name="Вычисление 3 2 6 3 2" xfId="28830" xr:uid="{00000000-0005-0000-0000-000089740000}"/>
    <cellStyle name="Вычисление 3 2 6 3_TOM TAT" xfId="26134" xr:uid="{00000000-0005-0000-0000-00008A740000}"/>
    <cellStyle name="Вычисление 3 2 6 4" xfId="27656" xr:uid="{00000000-0005-0000-0000-00008B740000}"/>
    <cellStyle name="Вычисление 3 2 6_TOM TAT" xfId="26131" xr:uid="{00000000-0005-0000-0000-00008C740000}"/>
    <cellStyle name="Вычисление 3 2 7" xfId="2868" xr:uid="{00000000-0005-0000-0000-00008D740000}"/>
    <cellStyle name="Вычисление 3 2 7 2" xfId="6229" xr:uid="{00000000-0005-0000-0000-00008E740000}"/>
    <cellStyle name="Вычисление 3 2 7 2 2" xfId="28831" xr:uid="{00000000-0005-0000-0000-00008F740000}"/>
    <cellStyle name="Вычисление 3 2 7 2_TOM TAT" xfId="26136" xr:uid="{00000000-0005-0000-0000-000090740000}"/>
    <cellStyle name="Вычисление 3 2 7 3" xfId="27658" xr:uid="{00000000-0005-0000-0000-000091740000}"/>
    <cellStyle name="Вычисление 3 2 7_TOM TAT" xfId="26135" xr:uid="{00000000-0005-0000-0000-000092740000}"/>
    <cellStyle name="Вычисление 3 2 8" xfId="2869" xr:uid="{00000000-0005-0000-0000-000093740000}"/>
    <cellStyle name="Вычисление 3 2 8 2" xfId="6230" xr:uid="{00000000-0005-0000-0000-000094740000}"/>
    <cellStyle name="Вычисление 3 2 8 2 2" xfId="28832" xr:uid="{00000000-0005-0000-0000-000095740000}"/>
    <cellStyle name="Вычисление 3 2 8 2_TOM TAT" xfId="26138" xr:uid="{00000000-0005-0000-0000-000096740000}"/>
    <cellStyle name="Вычисление 3 2 8 3" xfId="27659" xr:uid="{00000000-0005-0000-0000-000097740000}"/>
    <cellStyle name="Вычисление 3 2 8_TOM TAT" xfId="26137" xr:uid="{00000000-0005-0000-0000-000098740000}"/>
    <cellStyle name="Вычисление 3 2 9" xfId="6231" xr:uid="{00000000-0005-0000-0000-000099740000}"/>
    <cellStyle name="Вычисление 3 2 9 2" xfId="28833" xr:uid="{00000000-0005-0000-0000-00009A740000}"/>
    <cellStyle name="Вычисление 3 2 9_TOM TAT" xfId="26139" xr:uid="{00000000-0005-0000-0000-00009B740000}"/>
    <cellStyle name="Вычисление 3 2_TOM TAT" xfId="26068" xr:uid="{00000000-0005-0000-0000-00009C740000}"/>
    <cellStyle name="Вычисление 3 3" xfId="2870" xr:uid="{00000000-0005-0000-0000-00009D740000}"/>
    <cellStyle name="Вычисление 3 3 2" xfId="2871" xr:uid="{00000000-0005-0000-0000-00009E740000}"/>
    <cellStyle name="Вычисление 3 3 2 2" xfId="2872" xr:uid="{00000000-0005-0000-0000-00009F740000}"/>
    <cellStyle name="Вычисление 3 3 2 2 2" xfId="2873" xr:uid="{00000000-0005-0000-0000-0000A0740000}"/>
    <cellStyle name="Вычисление 3 3 2 2 2 2" xfId="2874" xr:uid="{00000000-0005-0000-0000-0000A1740000}"/>
    <cellStyle name="Вычисление 3 3 2 2 2 2 2" xfId="6232" xr:uid="{00000000-0005-0000-0000-0000A2740000}"/>
    <cellStyle name="Вычисление 3 3 2 2 2 2 2 2" xfId="28834" xr:uid="{00000000-0005-0000-0000-0000A3740000}"/>
    <cellStyle name="Вычисление 3 3 2 2 2 2 2_TOM TAT" xfId="26145" xr:uid="{00000000-0005-0000-0000-0000A4740000}"/>
    <cellStyle name="Вычисление 3 3 2 2 2 2 3" xfId="27664" xr:uid="{00000000-0005-0000-0000-0000A5740000}"/>
    <cellStyle name="Вычисление 3 3 2 2 2 2_TOM TAT" xfId="26144" xr:uid="{00000000-0005-0000-0000-0000A6740000}"/>
    <cellStyle name="Вычисление 3 3 2 2 2 3" xfId="6233" xr:uid="{00000000-0005-0000-0000-0000A7740000}"/>
    <cellStyle name="Вычисление 3 3 2 2 2 3 2" xfId="28835" xr:uid="{00000000-0005-0000-0000-0000A8740000}"/>
    <cellStyle name="Вычисление 3 3 2 2 2 3_TOM TAT" xfId="26146" xr:uid="{00000000-0005-0000-0000-0000A9740000}"/>
    <cellStyle name="Вычисление 3 3 2 2 2 4" xfId="27663" xr:uid="{00000000-0005-0000-0000-0000AA740000}"/>
    <cellStyle name="Вычисление 3 3 2 2 2_TOM TAT" xfId="26143" xr:uid="{00000000-0005-0000-0000-0000AB740000}"/>
    <cellStyle name="Вычисление 3 3 2 2 3" xfId="2875" xr:uid="{00000000-0005-0000-0000-0000AC740000}"/>
    <cellStyle name="Вычисление 3 3 2 2 3 2" xfId="6234" xr:uid="{00000000-0005-0000-0000-0000AD740000}"/>
    <cellStyle name="Вычисление 3 3 2 2 3 2 2" xfId="28836" xr:uid="{00000000-0005-0000-0000-0000AE740000}"/>
    <cellStyle name="Вычисление 3 3 2 2 3 2_TOM TAT" xfId="26148" xr:uid="{00000000-0005-0000-0000-0000AF740000}"/>
    <cellStyle name="Вычисление 3 3 2 2 3 3" xfId="27665" xr:uid="{00000000-0005-0000-0000-0000B0740000}"/>
    <cellStyle name="Вычисление 3 3 2 2 3_TOM TAT" xfId="26147" xr:uid="{00000000-0005-0000-0000-0000B1740000}"/>
    <cellStyle name="Вычисление 3 3 2 2 4" xfId="2876" xr:uid="{00000000-0005-0000-0000-0000B2740000}"/>
    <cellStyle name="Вычисление 3 3 2 2 4 2" xfId="6235" xr:uid="{00000000-0005-0000-0000-0000B3740000}"/>
    <cellStyle name="Вычисление 3 3 2 2 4 2 2" xfId="28837" xr:uid="{00000000-0005-0000-0000-0000B4740000}"/>
    <cellStyle name="Вычисление 3 3 2 2 4 2_TOM TAT" xfId="26150" xr:uid="{00000000-0005-0000-0000-0000B5740000}"/>
    <cellStyle name="Вычисление 3 3 2 2 4 3" xfId="27666" xr:uid="{00000000-0005-0000-0000-0000B6740000}"/>
    <cellStyle name="Вычисление 3 3 2 2 4_TOM TAT" xfId="26149" xr:uid="{00000000-0005-0000-0000-0000B7740000}"/>
    <cellStyle name="Вычисление 3 3 2 2 5" xfId="6236" xr:uid="{00000000-0005-0000-0000-0000B8740000}"/>
    <cellStyle name="Вычисление 3 3 2 2 5 2" xfId="28838" xr:uid="{00000000-0005-0000-0000-0000B9740000}"/>
    <cellStyle name="Вычисление 3 3 2 2 5_TOM TAT" xfId="26151" xr:uid="{00000000-0005-0000-0000-0000BA740000}"/>
    <cellStyle name="Вычисление 3 3 2 2 6" xfId="27662" xr:uid="{00000000-0005-0000-0000-0000BB740000}"/>
    <cellStyle name="Вычисление 3 3 2 2_TOM TAT" xfId="26142" xr:uid="{00000000-0005-0000-0000-0000BC740000}"/>
    <cellStyle name="Вычисление 3 3 2 3" xfId="2877" xr:uid="{00000000-0005-0000-0000-0000BD740000}"/>
    <cellStyle name="Вычисление 3 3 2 3 2" xfId="2878" xr:uid="{00000000-0005-0000-0000-0000BE740000}"/>
    <cellStyle name="Вычисление 3 3 2 3 2 2" xfId="6237" xr:uid="{00000000-0005-0000-0000-0000BF740000}"/>
    <cellStyle name="Вычисление 3 3 2 3 2 2 2" xfId="28839" xr:uid="{00000000-0005-0000-0000-0000C0740000}"/>
    <cellStyle name="Вычисление 3 3 2 3 2 2_TOM TAT" xfId="26154" xr:uid="{00000000-0005-0000-0000-0000C1740000}"/>
    <cellStyle name="Вычисление 3 3 2 3 2 3" xfId="27668" xr:uid="{00000000-0005-0000-0000-0000C2740000}"/>
    <cellStyle name="Вычисление 3 3 2 3 2_TOM TAT" xfId="26153" xr:uid="{00000000-0005-0000-0000-0000C3740000}"/>
    <cellStyle name="Вычисление 3 3 2 3 3" xfId="6238" xr:uid="{00000000-0005-0000-0000-0000C4740000}"/>
    <cellStyle name="Вычисление 3 3 2 3 3 2" xfId="28840" xr:uid="{00000000-0005-0000-0000-0000C5740000}"/>
    <cellStyle name="Вычисление 3 3 2 3 3_TOM TAT" xfId="26155" xr:uid="{00000000-0005-0000-0000-0000C6740000}"/>
    <cellStyle name="Вычисление 3 3 2 3 4" xfId="27667" xr:uid="{00000000-0005-0000-0000-0000C7740000}"/>
    <cellStyle name="Вычисление 3 3 2 3_TOM TAT" xfId="26152" xr:uid="{00000000-0005-0000-0000-0000C8740000}"/>
    <cellStyle name="Вычисление 3 3 2 4" xfId="2879" xr:uid="{00000000-0005-0000-0000-0000C9740000}"/>
    <cellStyle name="Вычисление 3 3 2 4 2" xfId="2880" xr:uid="{00000000-0005-0000-0000-0000CA740000}"/>
    <cellStyle name="Вычисление 3 3 2 4 2 2" xfId="6239" xr:uid="{00000000-0005-0000-0000-0000CB740000}"/>
    <cellStyle name="Вычисление 3 3 2 4 2 2 2" xfId="28841" xr:uid="{00000000-0005-0000-0000-0000CC740000}"/>
    <cellStyle name="Вычисление 3 3 2 4 2 2_TOM TAT" xfId="26158" xr:uid="{00000000-0005-0000-0000-0000CD740000}"/>
    <cellStyle name="Вычисление 3 3 2 4 2 3" xfId="27670" xr:uid="{00000000-0005-0000-0000-0000CE740000}"/>
    <cellStyle name="Вычисление 3 3 2 4 2_TOM TAT" xfId="26157" xr:uid="{00000000-0005-0000-0000-0000CF740000}"/>
    <cellStyle name="Вычисление 3 3 2 4 3" xfId="6240" xr:uid="{00000000-0005-0000-0000-0000D0740000}"/>
    <cellStyle name="Вычисление 3 3 2 4 3 2" xfId="28842" xr:uid="{00000000-0005-0000-0000-0000D1740000}"/>
    <cellStyle name="Вычисление 3 3 2 4 3_TOM TAT" xfId="26159" xr:uid="{00000000-0005-0000-0000-0000D2740000}"/>
    <cellStyle name="Вычисление 3 3 2 4 4" xfId="27669" xr:uid="{00000000-0005-0000-0000-0000D3740000}"/>
    <cellStyle name="Вычисление 3 3 2 4_TOM TAT" xfId="26156" xr:uid="{00000000-0005-0000-0000-0000D4740000}"/>
    <cellStyle name="Вычисление 3 3 2 5" xfId="2881" xr:uid="{00000000-0005-0000-0000-0000D5740000}"/>
    <cellStyle name="Вычисление 3 3 2 5 2" xfId="6241" xr:uid="{00000000-0005-0000-0000-0000D6740000}"/>
    <cellStyle name="Вычисление 3 3 2 5 2 2" xfId="28843" xr:uid="{00000000-0005-0000-0000-0000D7740000}"/>
    <cellStyle name="Вычисление 3 3 2 5 2_TOM TAT" xfId="26161" xr:uid="{00000000-0005-0000-0000-0000D8740000}"/>
    <cellStyle name="Вычисление 3 3 2 5 3" xfId="27671" xr:uid="{00000000-0005-0000-0000-0000D9740000}"/>
    <cellStyle name="Вычисление 3 3 2 5_TOM TAT" xfId="26160" xr:uid="{00000000-0005-0000-0000-0000DA740000}"/>
    <cellStyle name="Вычисление 3 3 2 6" xfId="2882" xr:uid="{00000000-0005-0000-0000-0000DB740000}"/>
    <cellStyle name="Вычисление 3 3 2 6 2" xfId="6242" xr:uid="{00000000-0005-0000-0000-0000DC740000}"/>
    <cellStyle name="Вычисление 3 3 2 6 2 2" xfId="28844" xr:uid="{00000000-0005-0000-0000-0000DD740000}"/>
    <cellStyle name="Вычисление 3 3 2 6 2_TOM TAT" xfId="26163" xr:uid="{00000000-0005-0000-0000-0000DE740000}"/>
    <cellStyle name="Вычисление 3 3 2 6 3" xfId="27672" xr:uid="{00000000-0005-0000-0000-0000DF740000}"/>
    <cellStyle name="Вычисление 3 3 2 6_TOM TAT" xfId="26162" xr:uid="{00000000-0005-0000-0000-0000E0740000}"/>
    <cellStyle name="Вычисление 3 3 2 7" xfId="6243" xr:uid="{00000000-0005-0000-0000-0000E1740000}"/>
    <cellStyle name="Вычисление 3 3 2 7 2" xfId="28845" xr:uid="{00000000-0005-0000-0000-0000E2740000}"/>
    <cellStyle name="Вычисление 3 3 2 7_TOM TAT" xfId="26164" xr:uid="{00000000-0005-0000-0000-0000E3740000}"/>
    <cellStyle name="Вычисление 3 3 2 8" xfId="27661" xr:uid="{00000000-0005-0000-0000-0000E4740000}"/>
    <cellStyle name="Вычисление 3 3 2_TOM TAT" xfId="26141" xr:uid="{00000000-0005-0000-0000-0000E5740000}"/>
    <cellStyle name="Вычисление 3 3 3" xfId="2883" xr:uid="{00000000-0005-0000-0000-0000E6740000}"/>
    <cellStyle name="Вычисление 3 3 3 2" xfId="2884" xr:uid="{00000000-0005-0000-0000-0000E7740000}"/>
    <cellStyle name="Вычисление 3 3 3 2 2" xfId="2885" xr:uid="{00000000-0005-0000-0000-0000E8740000}"/>
    <cellStyle name="Вычисление 3 3 3 2 2 2" xfId="6244" xr:uid="{00000000-0005-0000-0000-0000E9740000}"/>
    <cellStyle name="Вычисление 3 3 3 2 2 2 2" xfId="28846" xr:uid="{00000000-0005-0000-0000-0000EA740000}"/>
    <cellStyle name="Вычисление 3 3 3 2 2 2_TOM TAT" xfId="26168" xr:uid="{00000000-0005-0000-0000-0000EB740000}"/>
    <cellStyle name="Вычисление 3 3 3 2 2 3" xfId="27675" xr:uid="{00000000-0005-0000-0000-0000EC740000}"/>
    <cellStyle name="Вычисление 3 3 3 2 2_TOM TAT" xfId="26167" xr:uid="{00000000-0005-0000-0000-0000ED740000}"/>
    <cellStyle name="Вычисление 3 3 3 2 3" xfId="6245" xr:uid="{00000000-0005-0000-0000-0000EE740000}"/>
    <cellStyle name="Вычисление 3 3 3 2 3 2" xfId="28847" xr:uid="{00000000-0005-0000-0000-0000EF740000}"/>
    <cellStyle name="Вычисление 3 3 3 2 3_TOM TAT" xfId="26169" xr:uid="{00000000-0005-0000-0000-0000F0740000}"/>
    <cellStyle name="Вычисление 3 3 3 2 4" xfId="27674" xr:uid="{00000000-0005-0000-0000-0000F1740000}"/>
    <cellStyle name="Вычисление 3 3 3 2_TOM TAT" xfId="26166" xr:uid="{00000000-0005-0000-0000-0000F2740000}"/>
    <cellStyle name="Вычисление 3 3 3 3" xfId="2886" xr:uid="{00000000-0005-0000-0000-0000F3740000}"/>
    <cellStyle name="Вычисление 3 3 3 3 2" xfId="6246" xr:uid="{00000000-0005-0000-0000-0000F4740000}"/>
    <cellStyle name="Вычисление 3 3 3 3 2 2" xfId="28848" xr:uid="{00000000-0005-0000-0000-0000F5740000}"/>
    <cellStyle name="Вычисление 3 3 3 3 2_TOM TAT" xfId="26171" xr:uid="{00000000-0005-0000-0000-0000F6740000}"/>
    <cellStyle name="Вычисление 3 3 3 3 3" xfId="27676" xr:uid="{00000000-0005-0000-0000-0000F7740000}"/>
    <cellStyle name="Вычисление 3 3 3 3_TOM TAT" xfId="26170" xr:uid="{00000000-0005-0000-0000-0000F8740000}"/>
    <cellStyle name="Вычисление 3 3 3 4" xfId="2887" xr:uid="{00000000-0005-0000-0000-0000F9740000}"/>
    <cellStyle name="Вычисление 3 3 3 4 2" xfId="6247" xr:uid="{00000000-0005-0000-0000-0000FA740000}"/>
    <cellStyle name="Вычисление 3 3 3 4 2 2" xfId="28849" xr:uid="{00000000-0005-0000-0000-0000FB740000}"/>
    <cellStyle name="Вычисление 3 3 3 4 2_TOM TAT" xfId="26173" xr:uid="{00000000-0005-0000-0000-0000FC740000}"/>
    <cellStyle name="Вычисление 3 3 3 4 3" xfId="27677" xr:uid="{00000000-0005-0000-0000-0000FD740000}"/>
    <cellStyle name="Вычисление 3 3 3 4_TOM TAT" xfId="26172" xr:uid="{00000000-0005-0000-0000-0000FE740000}"/>
    <cellStyle name="Вычисление 3 3 3 5" xfId="6248" xr:uid="{00000000-0005-0000-0000-0000FF740000}"/>
    <cellStyle name="Вычисление 3 3 3 5 2" xfId="28850" xr:uid="{00000000-0005-0000-0000-000000750000}"/>
    <cellStyle name="Вычисление 3 3 3 5_TOM TAT" xfId="26174" xr:uid="{00000000-0005-0000-0000-000001750000}"/>
    <cellStyle name="Вычисление 3 3 3 6" xfId="27673" xr:uid="{00000000-0005-0000-0000-000002750000}"/>
    <cellStyle name="Вычисление 3 3 3_TOM TAT" xfId="26165" xr:uid="{00000000-0005-0000-0000-000003750000}"/>
    <cellStyle name="Вычисление 3 3 4" xfId="2888" xr:uid="{00000000-0005-0000-0000-000004750000}"/>
    <cellStyle name="Вычисление 3 3 4 2" xfId="2889" xr:uid="{00000000-0005-0000-0000-000005750000}"/>
    <cellStyle name="Вычисление 3 3 4 2 2" xfId="6249" xr:uid="{00000000-0005-0000-0000-000006750000}"/>
    <cellStyle name="Вычисление 3 3 4 2 2 2" xfId="28851" xr:uid="{00000000-0005-0000-0000-000007750000}"/>
    <cellStyle name="Вычисление 3 3 4 2 2_TOM TAT" xfId="26177" xr:uid="{00000000-0005-0000-0000-000008750000}"/>
    <cellStyle name="Вычисление 3 3 4 2 3" xfId="27679" xr:uid="{00000000-0005-0000-0000-000009750000}"/>
    <cellStyle name="Вычисление 3 3 4 2_TOM TAT" xfId="26176" xr:uid="{00000000-0005-0000-0000-00000A750000}"/>
    <cellStyle name="Вычисление 3 3 4 3" xfId="6250" xr:uid="{00000000-0005-0000-0000-00000B750000}"/>
    <cellStyle name="Вычисление 3 3 4 3 2" xfId="28852" xr:uid="{00000000-0005-0000-0000-00000C750000}"/>
    <cellStyle name="Вычисление 3 3 4 3_TOM TAT" xfId="26178" xr:uid="{00000000-0005-0000-0000-00000D750000}"/>
    <cellStyle name="Вычисление 3 3 4 4" xfId="27678" xr:uid="{00000000-0005-0000-0000-00000E750000}"/>
    <cellStyle name="Вычисление 3 3 4_TOM TAT" xfId="26175" xr:uid="{00000000-0005-0000-0000-00000F750000}"/>
    <cellStyle name="Вычисление 3 3 5" xfId="2890" xr:uid="{00000000-0005-0000-0000-000010750000}"/>
    <cellStyle name="Вычисление 3 3 5 2" xfId="2891" xr:uid="{00000000-0005-0000-0000-000011750000}"/>
    <cellStyle name="Вычисление 3 3 5 2 2" xfId="6251" xr:uid="{00000000-0005-0000-0000-000012750000}"/>
    <cellStyle name="Вычисление 3 3 5 2 2 2" xfId="28853" xr:uid="{00000000-0005-0000-0000-000013750000}"/>
    <cellStyle name="Вычисление 3 3 5 2 2_TOM TAT" xfId="26181" xr:uid="{00000000-0005-0000-0000-000014750000}"/>
    <cellStyle name="Вычисление 3 3 5 2 3" xfId="27681" xr:uid="{00000000-0005-0000-0000-000015750000}"/>
    <cellStyle name="Вычисление 3 3 5 2_TOM TAT" xfId="26180" xr:uid="{00000000-0005-0000-0000-000016750000}"/>
    <cellStyle name="Вычисление 3 3 5 3" xfId="6252" xr:uid="{00000000-0005-0000-0000-000017750000}"/>
    <cellStyle name="Вычисление 3 3 5 3 2" xfId="28854" xr:uid="{00000000-0005-0000-0000-000018750000}"/>
    <cellStyle name="Вычисление 3 3 5 3_TOM TAT" xfId="26182" xr:uid="{00000000-0005-0000-0000-000019750000}"/>
    <cellStyle name="Вычисление 3 3 5 4" xfId="27680" xr:uid="{00000000-0005-0000-0000-00001A750000}"/>
    <cellStyle name="Вычисление 3 3 5_TOM TAT" xfId="26179" xr:uid="{00000000-0005-0000-0000-00001B750000}"/>
    <cellStyle name="Вычисление 3 3 6" xfId="2892" xr:uid="{00000000-0005-0000-0000-00001C750000}"/>
    <cellStyle name="Вычисление 3 3 6 2" xfId="6253" xr:uid="{00000000-0005-0000-0000-00001D750000}"/>
    <cellStyle name="Вычисление 3 3 6 2 2" xfId="28855" xr:uid="{00000000-0005-0000-0000-00001E750000}"/>
    <cellStyle name="Вычисление 3 3 6 2_TOM TAT" xfId="26184" xr:uid="{00000000-0005-0000-0000-00001F750000}"/>
    <cellStyle name="Вычисление 3 3 6 3" xfId="27682" xr:uid="{00000000-0005-0000-0000-000020750000}"/>
    <cellStyle name="Вычисление 3 3 6_TOM TAT" xfId="26183" xr:uid="{00000000-0005-0000-0000-000021750000}"/>
    <cellStyle name="Вычисление 3 3 7" xfId="2893" xr:uid="{00000000-0005-0000-0000-000022750000}"/>
    <cellStyle name="Вычисление 3 3 7 2" xfId="6254" xr:uid="{00000000-0005-0000-0000-000023750000}"/>
    <cellStyle name="Вычисление 3 3 7 2 2" xfId="28856" xr:uid="{00000000-0005-0000-0000-000024750000}"/>
    <cellStyle name="Вычисление 3 3 7 2_TOM TAT" xfId="26186" xr:uid="{00000000-0005-0000-0000-000025750000}"/>
    <cellStyle name="Вычисление 3 3 7 3" xfId="27683" xr:uid="{00000000-0005-0000-0000-000026750000}"/>
    <cellStyle name="Вычисление 3 3 7_TOM TAT" xfId="26185" xr:uid="{00000000-0005-0000-0000-000027750000}"/>
    <cellStyle name="Вычисление 3 3 8" xfId="6255" xr:uid="{00000000-0005-0000-0000-000028750000}"/>
    <cellStyle name="Вычисление 3 3 8 2" xfId="28857" xr:uid="{00000000-0005-0000-0000-000029750000}"/>
    <cellStyle name="Вычисление 3 3 8_TOM TAT" xfId="26187" xr:uid="{00000000-0005-0000-0000-00002A750000}"/>
    <cellStyle name="Вычисление 3 3 9" xfId="27660" xr:uid="{00000000-0005-0000-0000-00002B750000}"/>
    <cellStyle name="Вычисление 3 3_TOM TAT" xfId="26140" xr:uid="{00000000-0005-0000-0000-00002C750000}"/>
    <cellStyle name="Вычисление 3 4" xfId="2894" xr:uid="{00000000-0005-0000-0000-00002D750000}"/>
    <cellStyle name="Вычисление 3 4 2" xfId="2895" xr:uid="{00000000-0005-0000-0000-00002E750000}"/>
    <cellStyle name="Вычисление 3 4 2 2" xfId="2896" xr:uid="{00000000-0005-0000-0000-00002F750000}"/>
    <cellStyle name="Вычисление 3 4 2 2 2" xfId="2897" xr:uid="{00000000-0005-0000-0000-000030750000}"/>
    <cellStyle name="Вычисление 3 4 2 2 2 2" xfId="6256" xr:uid="{00000000-0005-0000-0000-000031750000}"/>
    <cellStyle name="Вычисление 3 4 2 2 2 2 2" xfId="28858" xr:uid="{00000000-0005-0000-0000-000032750000}"/>
    <cellStyle name="Вычисление 3 4 2 2 2 2_TOM TAT" xfId="26192" xr:uid="{00000000-0005-0000-0000-000033750000}"/>
    <cellStyle name="Вычисление 3 4 2 2 2 3" xfId="27687" xr:uid="{00000000-0005-0000-0000-000034750000}"/>
    <cellStyle name="Вычисление 3 4 2 2 2_TOM TAT" xfId="26191" xr:uid="{00000000-0005-0000-0000-000035750000}"/>
    <cellStyle name="Вычисление 3 4 2 2 3" xfId="6257" xr:uid="{00000000-0005-0000-0000-000036750000}"/>
    <cellStyle name="Вычисление 3 4 2 2 3 2" xfId="28859" xr:uid="{00000000-0005-0000-0000-000037750000}"/>
    <cellStyle name="Вычисление 3 4 2 2 3_TOM TAT" xfId="26193" xr:uid="{00000000-0005-0000-0000-000038750000}"/>
    <cellStyle name="Вычисление 3 4 2 2 4" xfId="27686" xr:uid="{00000000-0005-0000-0000-000039750000}"/>
    <cellStyle name="Вычисление 3 4 2 2_TOM TAT" xfId="26190" xr:uid="{00000000-0005-0000-0000-00003A750000}"/>
    <cellStyle name="Вычисление 3 4 2 3" xfId="2898" xr:uid="{00000000-0005-0000-0000-00003B750000}"/>
    <cellStyle name="Вычисление 3 4 2 3 2" xfId="6258" xr:uid="{00000000-0005-0000-0000-00003C750000}"/>
    <cellStyle name="Вычисление 3 4 2 3 2 2" xfId="28860" xr:uid="{00000000-0005-0000-0000-00003D750000}"/>
    <cellStyle name="Вычисление 3 4 2 3 2_TOM TAT" xfId="26195" xr:uid="{00000000-0005-0000-0000-00003E750000}"/>
    <cellStyle name="Вычисление 3 4 2 3 3" xfId="27688" xr:uid="{00000000-0005-0000-0000-00003F750000}"/>
    <cellStyle name="Вычисление 3 4 2 3_TOM TAT" xfId="26194" xr:uid="{00000000-0005-0000-0000-000040750000}"/>
    <cellStyle name="Вычисление 3 4 2 4" xfId="2899" xr:uid="{00000000-0005-0000-0000-000041750000}"/>
    <cellStyle name="Вычисление 3 4 2 4 2" xfId="6259" xr:uid="{00000000-0005-0000-0000-000042750000}"/>
    <cellStyle name="Вычисление 3 4 2 4 2 2" xfId="28861" xr:uid="{00000000-0005-0000-0000-000043750000}"/>
    <cellStyle name="Вычисление 3 4 2 4 2_TOM TAT" xfId="26197" xr:uid="{00000000-0005-0000-0000-000044750000}"/>
    <cellStyle name="Вычисление 3 4 2 4 3" xfId="27689" xr:uid="{00000000-0005-0000-0000-000045750000}"/>
    <cellStyle name="Вычисление 3 4 2 4_TOM TAT" xfId="26196" xr:uid="{00000000-0005-0000-0000-000046750000}"/>
    <cellStyle name="Вычисление 3 4 2 5" xfId="6260" xr:uid="{00000000-0005-0000-0000-000047750000}"/>
    <cellStyle name="Вычисление 3 4 2 5 2" xfId="28862" xr:uid="{00000000-0005-0000-0000-000048750000}"/>
    <cellStyle name="Вычисление 3 4 2 5_TOM TAT" xfId="26198" xr:uid="{00000000-0005-0000-0000-000049750000}"/>
    <cellStyle name="Вычисление 3 4 2 6" xfId="27685" xr:uid="{00000000-0005-0000-0000-00004A750000}"/>
    <cellStyle name="Вычисление 3 4 2_TOM TAT" xfId="26189" xr:uid="{00000000-0005-0000-0000-00004B750000}"/>
    <cellStyle name="Вычисление 3 4 3" xfId="2900" xr:uid="{00000000-0005-0000-0000-00004C750000}"/>
    <cellStyle name="Вычисление 3 4 3 2" xfId="2901" xr:uid="{00000000-0005-0000-0000-00004D750000}"/>
    <cellStyle name="Вычисление 3 4 3 2 2" xfId="6261" xr:uid="{00000000-0005-0000-0000-00004E750000}"/>
    <cellStyle name="Вычисление 3 4 3 2 2 2" xfId="28863" xr:uid="{00000000-0005-0000-0000-00004F750000}"/>
    <cellStyle name="Вычисление 3 4 3 2 2_TOM TAT" xfId="26201" xr:uid="{00000000-0005-0000-0000-000050750000}"/>
    <cellStyle name="Вычисление 3 4 3 2 3" xfId="27691" xr:uid="{00000000-0005-0000-0000-000051750000}"/>
    <cellStyle name="Вычисление 3 4 3 2_TOM TAT" xfId="26200" xr:uid="{00000000-0005-0000-0000-000052750000}"/>
    <cellStyle name="Вычисление 3 4 3 3" xfId="6262" xr:uid="{00000000-0005-0000-0000-000053750000}"/>
    <cellStyle name="Вычисление 3 4 3 3 2" xfId="28864" xr:uid="{00000000-0005-0000-0000-000054750000}"/>
    <cellStyle name="Вычисление 3 4 3 3_TOM TAT" xfId="26202" xr:uid="{00000000-0005-0000-0000-000055750000}"/>
    <cellStyle name="Вычисление 3 4 3 4" xfId="27690" xr:uid="{00000000-0005-0000-0000-000056750000}"/>
    <cellStyle name="Вычисление 3 4 3_TOM TAT" xfId="26199" xr:uid="{00000000-0005-0000-0000-000057750000}"/>
    <cellStyle name="Вычисление 3 4 4" xfId="2902" xr:uid="{00000000-0005-0000-0000-000058750000}"/>
    <cellStyle name="Вычисление 3 4 4 2" xfId="2903" xr:uid="{00000000-0005-0000-0000-000059750000}"/>
    <cellStyle name="Вычисление 3 4 4 2 2" xfId="6263" xr:uid="{00000000-0005-0000-0000-00005A750000}"/>
    <cellStyle name="Вычисление 3 4 4 2 2 2" xfId="28865" xr:uid="{00000000-0005-0000-0000-00005B750000}"/>
    <cellStyle name="Вычисление 3 4 4 2 2_TOM TAT" xfId="26205" xr:uid="{00000000-0005-0000-0000-00005C750000}"/>
    <cellStyle name="Вычисление 3 4 4 2 3" xfId="27693" xr:uid="{00000000-0005-0000-0000-00005D750000}"/>
    <cellStyle name="Вычисление 3 4 4 2_TOM TAT" xfId="26204" xr:uid="{00000000-0005-0000-0000-00005E750000}"/>
    <cellStyle name="Вычисление 3 4 4 3" xfId="6264" xr:uid="{00000000-0005-0000-0000-00005F750000}"/>
    <cellStyle name="Вычисление 3 4 4 3 2" xfId="28866" xr:uid="{00000000-0005-0000-0000-000060750000}"/>
    <cellStyle name="Вычисление 3 4 4 3_TOM TAT" xfId="26206" xr:uid="{00000000-0005-0000-0000-000061750000}"/>
    <cellStyle name="Вычисление 3 4 4 4" xfId="27692" xr:uid="{00000000-0005-0000-0000-000062750000}"/>
    <cellStyle name="Вычисление 3 4 4_TOM TAT" xfId="26203" xr:uid="{00000000-0005-0000-0000-000063750000}"/>
    <cellStyle name="Вычисление 3 4 5" xfId="2904" xr:uid="{00000000-0005-0000-0000-000064750000}"/>
    <cellStyle name="Вычисление 3 4 5 2" xfId="6265" xr:uid="{00000000-0005-0000-0000-000065750000}"/>
    <cellStyle name="Вычисление 3 4 5 2 2" xfId="28867" xr:uid="{00000000-0005-0000-0000-000066750000}"/>
    <cellStyle name="Вычисление 3 4 5 2_TOM TAT" xfId="26208" xr:uid="{00000000-0005-0000-0000-000067750000}"/>
    <cellStyle name="Вычисление 3 4 5 3" xfId="27694" xr:uid="{00000000-0005-0000-0000-000068750000}"/>
    <cellStyle name="Вычисление 3 4 5_TOM TAT" xfId="26207" xr:uid="{00000000-0005-0000-0000-000069750000}"/>
    <cellStyle name="Вычисление 3 4 6" xfId="2905" xr:uid="{00000000-0005-0000-0000-00006A750000}"/>
    <cellStyle name="Вычисление 3 4 6 2" xfId="6266" xr:uid="{00000000-0005-0000-0000-00006B750000}"/>
    <cellStyle name="Вычисление 3 4 6 2 2" xfId="28868" xr:uid="{00000000-0005-0000-0000-00006C750000}"/>
    <cellStyle name="Вычисление 3 4 6 2_TOM TAT" xfId="26210" xr:uid="{00000000-0005-0000-0000-00006D750000}"/>
    <cellStyle name="Вычисление 3 4 6 3" xfId="27695" xr:uid="{00000000-0005-0000-0000-00006E750000}"/>
    <cellStyle name="Вычисление 3 4 6_TOM TAT" xfId="26209" xr:uid="{00000000-0005-0000-0000-00006F750000}"/>
    <cellStyle name="Вычисление 3 4 7" xfId="6267" xr:uid="{00000000-0005-0000-0000-000070750000}"/>
    <cellStyle name="Вычисление 3 4 7 2" xfId="28869" xr:uid="{00000000-0005-0000-0000-000071750000}"/>
    <cellStyle name="Вычисление 3 4 7_TOM TAT" xfId="26211" xr:uid="{00000000-0005-0000-0000-000072750000}"/>
    <cellStyle name="Вычисление 3 4 8" xfId="27684" xr:uid="{00000000-0005-0000-0000-000073750000}"/>
    <cellStyle name="Вычисление 3 4_TOM TAT" xfId="26188" xr:uid="{00000000-0005-0000-0000-000074750000}"/>
    <cellStyle name="Вычисление 3 5" xfId="2906" xr:uid="{00000000-0005-0000-0000-000075750000}"/>
    <cellStyle name="Вычисление 3 5 2" xfId="2907" xr:uid="{00000000-0005-0000-0000-000076750000}"/>
    <cellStyle name="Вычисление 3 5 2 2" xfId="2908" xr:uid="{00000000-0005-0000-0000-000077750000}"/>
    <cellStyle name="Вычисление 3 5 2 2 2" xfId="2909" xr:uid="{00000000-0005-0000-0000-000078750000}"/>
    <cellStyle name="Вычисление 3 5 2 2 2 2" xfId="6268" xr:uid="{00000000-0005-0000-0000-000079750000}"/>
    <cellStyle name="Вычисление 3 5 2 2 2 2 2" xfId="28870" xr:uid="{00000000-0005-0000-0000-00007A750000}"/>
    <cellStyle name="Вычисление 3 5 2 2 2 2_TOM TAT" xfId="26216" xr:uid="{00000000-0005-0000-0000-00007B750000}"/>
    <cellStyle name="Вычисление 3 5 2 2 2 3" xfId="27699" xr:uid="{00000000-0005-0000-0000-00007C750000}"/>
    <cellStyle name="Вычисление 3 5 2 2 2_TOM TAT" xfId="26215" xr:uid="{00000000-0005-0000-0000-00007D750000}"/>
    <cellStyle name="Вычисление 3 5 2 2 3" xfId="6269" xr:uid="{00000000-0005-0000-0000-00007E750000}"/>
    <cellStyle name="Вычисление 3 5 2 2 3 2" xfId="28871" xr:uid="{00000000-0005-0000-0000-00007F750000}"/>
    <cellStyle name="Вычисление 3 5 2 2 3_TOM TAT" xfId="26217" xr:uid="{00000000-0005-0000-0000-000080750000}"/>
    <cellStyle name="Вычисление 3 5 2 2 4" xfId="27698" xr:uid="{00000000-0005-0000-0000-000081750000}"/>
    <cellStyle name="Вычисление 3 5 2 2_TOM TAT" xfId="26214" xr:uid="{00000000-0005-0000-0000-000082750000}"/>
    <cellStyle name="Вычисление 3 5 2 3" xfId="2910" xr:uid="{00000000-0005-0000-0000-000083750000}"/>
    <cellStyle name="Вычисление 3 5 2 3 2" xfId="6270" xr:uid="{00000000-0005-0000-0000-000084750000}"/>
    <cellStyle name="Вычисление 3 5 2 3 2 2" xfId="28872" xr:uid="{00000000-0005-0000-0000-000085750000}"/>
    <cellStyle name="Вычисление 3 5 2 3 2_TOM TAT" xfId="26219" xr:uid="{00000000-0005-0000-0000-000086750000}"/>
    <cellStyle name="Вычисление 3 5 2 3 3" xfId="27700" xr:uid="{00000000-0005-0000-0000-000087750000}"/>
    <cellStyle name="Вычисление 3 5 2 3_TOM TAT" xfId="26218" xr:uid="{00000000-0005-0000-0000-000088750000}"/>
    <cellStyle name="Вычисление 3 5 2 4" xfId="2911" xr:uid="{00000000-0005-0000-0000-000089750000}"/>
    <cellStyle name="Вычисление 3 5 2 4 2" xfId="6271" xr:uid="{00000000-0005-0000-0000-00008A750000}"/>
    <cellStyle name="Вычисление 3 5 2 4 2 2" xfId="28873" xr:uid="{00000000-0005-0000-0000-00008B750000}"/>
    <cellStyle name="Вычисление 3 5 2 4 2_TOM TAT" xfId="26221" xr:uid="{00000000-0005-0000-0000-00008C750000}"/>
    <cellStyle name="Вычисление 3 5 2 4 3" xfId="27701" xr:uid="{00000000-0005-0000-0000-00008D750000}"/>
    <cellStyle name="Вычисление 3 5 2 4_TOM TAT" xfId="26220" xr:uid="{00000000-0005-0000-0000-00008E750000}"/>
    <cellStyle name="Вычисление 3 5 2 5" xfId="6272" xr:uid="{00000000-0005-0000-0000-00008F750000}"/>
    <cellStyle name="Вычисление 3 5 2 5 2" xfId="28874" xr:uid="{00000000-0005-0000-0000-000090750000}"/>
    <cellStyle name="Вычисление 3 5 2 5_TOM TAT" xfId="26222" xr:uid="{00000000-0005-0000-0000-000091750000}"/>
    <cellStyle name="Вычисление 3 5 2 6" xfId="27697" xr:uid="{00000000-0005-0000-0000-000092750000}"/>
    <cellStyle name="Вычисление 3 5 2_TOM TAT" xfId="26213" xr:uid="{00000000-0005-0000-0000-000093750000}"/>
    <cellStyle name="Вычисление 3 5 3" xfId="2912" xr:uid="{00000000-0005-0000-0000-000094750000}"/>
    <cellStyle name="Вычисление 3 5 3 2" xfId="2913" xr:uid="{00000000-0005-0000-0000-000095750000}"/>
    <cellStyle name="Вычисление 3 5 3 2 2" xfId="6273" xr:uid="{00000000-0005-0000-0000-000096750000}"/>
    <cellStyle name="Вычисление 3 5 3 2 2 2" xfId="28875" xr:uid="{00000000-0005-0000-0000-000097750000}"/>
    <cellStyle name="Вычисление 3 5 3 2 2_TOM TAT" xfId="26225" xr:uid="{00000000-0005-0000-0000-000098750000}"/>
    <cellStyle name="Вычисление 3 5 3 2 3" xfId="27703" xr:uid="{00000000-0005-0000-0000-000099750000}"/>
    <cellStyle name="Вычисление 3 5 3 2_TOM TAT" xfId="26224" xr:uid="{00000000-0005-0000-0000-00009A750000}"/>
    <cellStyle name="Вычисление 3 5 3 3" xfId="6274" xr:uid="{00000000-0005-0000-0000-00009B750000}"/>
    <cellStyle name="Вычисление 3 5 3 3 2" xfId="28876" xr:uid="{00000000-0005-0000-0000-00009C750000}"/>
    <cellStyle name="Вычисление 3 5 3 3_TOM TAT" xfId="26226" xr:uid="{00000000-0005-0000-0000-00009D750000}"/>
    <cellStyle name="Вычисление 3 5 3 4" xfId="27702" xr:uid="{00000000-0005-0000-0000-00009E750000}"/>
    <cellStyle name="Вычисление 3 5 3_TOM TAT" xfId="26223" xr:uid="{00000000-0005-0000-0000-00009F750000}"/>
    <cellStyle name="Вычисление 3 5 4" xfId="2914" xr:uid="{00000000-0005-0000-0000-0000A0750000}"/>
    <cellStyle name="Вычисление 3 5 4 2" xfId="2915" xr:uid="{00000000-0005-0000-0000-0000A1750000}"/>
    <cellStyle name="Вычисление 3 5 4 2 2" xfId="6275" xr:uid="{00000000-0005-0000-0000-0000A2750000}"/>
    <cellStyle name="Вычисление 3 5 4 2 2 2" xfId="28877" xr:uid="{00000000-0005-0000-0000-0000A3750000}"/>
    <cellStyle name="Вычисление 3 5 4 2 2_TOM TAT" xfId="26229" xr:uid="{00000000-0005-0000-0000-0000A4750000}"/>
    <cellStyle name="Вычисление 3 5 4 2 3" xfId="27705" xr:uid="{00000000-0005-0000-0000-0000A5750000}"/>
    <cellStyle name="Вычисление 3 5 4 2_TOM TAT" xfId="26228" xr:uid="{00000000-0005-0000-0000-0000A6750000}"/>
    <cellStyle name="Вычисление 3 5 4 3" xfId="6276" xr:uid="{00000000-0005-0000-0000-0000A7750000}"/>
    <cellStyle name="Вычисление 3 5 4 3 2" xfId="28878" xr:uid="{00000000-0005-0000-0000-0000A8750000}"/>
    <cellStyle name="Вычисление 3 5 4 3_TOM TAT" xfId="26230" xr:uid="{00000000-0005-0000-0000-0000A9750000}"/>
    <cellStyle name="Вычисление 3 5 4 4" xfId="27704" xr:uid="{00000000-0005-0000-0000-0000AA750000}"/>
    <cellStyle name="Вычисление 3 5 4_TOM TAT" xfId="26227" xr:uid="{00000000-0005-0000-0000-0000AB750000}"/>
    <cellStyle name="Вычисление 3 5 5" xfId="2916" xr:uid="{00000000-0005-0000-0000-0000AC750000}"/>
    <cellStyle name="Вычисление 3 5 5 2" xfId="6277" xr:uid="{00000000-0005-0000-0000-0000AD750000}"/>
    <cellStyle name="Вычисление 3 5 5 2 2" xfId="28879" xr:uid="{00000000-0005-0000-0000-0000AE750000}"/>
    <cellStyle name="Вычисление 3 5 5 2_TOM TAT" xfId="26232" xr:uid="{00000000-0005-0000-0000-0000AF750000}"/>
    <cellStyle name="Вычисление 3 5 5 3" xfId="27706" xr:uid="{00000000-0005-0000-0000-0000B0750000}"/>
    <cellStyle name="Вычисление 3 5 5_TOM TAT" xfId="26231" xr:uid="{00000000-0005-0000-0000-0000B1750000}"/>
    <cellStyle name="Вычисление 3 5 6" xfId="2917" xr:uid="{00000000-0005-0000-0000-0000B2750000}"/>
    <cellStyle name="Вычисление 3 5 6 2" xfId="6278" xr:uid="{00000000-0005-0000-0000-0000B3750000}"/>
    <cellStyle name="Вычисление 3 5 6 2 2" xfId="28880" xr:uid="{00000000-0005-0000-0000-0000B4750000}"/>
    <cellStyle name="Вычисление 3 5 6 2_TOM TAT" xfId="26234" xr:uid="{00000000-0005-0000-0000-0000B5750000}"/>
    <cellStyle name="Вычисление 3 5 6 3" xfId="27707" xr:uid="{00000000-0005-0000-0000-0000B6750000}"/>
    <cellStyle name="Вычисление 3 5 6_TOM TAT" xfId="26233" xr:uid="{00000000-0005-0000-0000-0000B7750000}"/>
    <cellStyle name="Вычисление 3 5 7" xfId="6279" xr:uid="{00000000-0005-0000-0000-0000B8750000}"/>
    <cellStyle name="Вычисление 3 5 7 2" xfId="28881" xr:uid="{00000000-0005-0000-0000-0000B9750000}"/>
    <cellStyle name="Вычисление 3 5 7_TOM TAT" xfId="26235" xr:uid="{00000000-0005-0000-0000-0000BA750000}"/>
    <cellStyle name="Вычисление 3 5 8" xfId="27696" xr:uid="{00000000-0005-0000-0000-0000BB750000}"/>
    <cellStyle name="Вычисление 3 5_TOM TAT" xfId="26212" xr:uid="{00000000-0005-0000-0000-0000BC750000}"/>
    <cellStyle name="Вычисление 3 6" xfId="2918" xr:uid="{00000000-0005-0000-0000-0000BD750000}"/>
    <cellStyle name="Вычисление 3 6 2" xfId="2919" xr:uid="{00000000-0005-0000-0000-0000BE750000}"/>
    <cellStyle name="Вычисление 3 6 2 2" xfId="2920" xr:uid="{00000000-0005-0000-0000-0000BF750000}"/>
    <cellStyle name="Вычисление 3 6 2 2 2" xfId="6280" xr:uid="{00000000-0005-0000-0000-0000C0750000}"/>
    <cellStyle name="Вычисление 3 6 2 2 2 2" xfId="28882" xr:uid="{00000000-0005-0000-0000-0000C1750000}"/>
    <cellStyle name="Вычисление 3 6 2 2 2_TOM TAT" xfId="26239" xr:uid="{00000000-0005-0000-0000-0000C2750000}"/>
    <cellStyle name="Вычисление 3 6 2 2 3" xfId="27710" xr:uid="{00000000-0005-0000-0000-0000C3750000}"/>
    <cellStyle name="Вычисление 3 6 2 2_TOM TAT" xfId="26238" xr:uid="{00000000-0005-0000-0000-0000C4750000}"/>
    <cellStyle name="Вычисление 3 6 2 3" xfId="6281" xr:uid="{00000000-0005-0000-0000-0000C5750000}"/>
    <cellStyle name="Вычисление 3 6 2 3 2" xfId="28883" xr:uid="{00000000-0005-0000-0000-0000C6750000}"/>
    <cellStyle name="Вычисление 3 6 2 3_TOM TAT" xfId="26240" xr:uid="{00000000-0005-0000-0000-0000C7750000}"/>
    <cellStyle name="Вычисление 3 6 2 4" xfId="27709" xr:uid="{00000000-0005-0000-0000-0000C8750000}"/>
    <cellStyle name="Вычисление 3 6 2_TOM TAT" xfId="26237" xr:uid="{00000000-0005-0000-0000-0000C9750000}"/>
    <cellStyle name="Вычисление 3 6 3" xfId="2921" xr:uid="{00000000-0005-0000-0000-0000CA750000}"/>
    <cellStyle name="Вычисление 3 6 3 2" xfId="6282" xr:uid="{00000000-0005-0000-0000-0000CB750000}"/>
    <cellStyle name="Вычисление 3 6 3 2 2" xfId="28884" xr:uid="{00000000-0005-0000-0000-0000CC750000}"/>
    <cellStyle name="Вычисление 3 6 3 2_TOM TAT" xfId="26242" xr:uid="{00000000-0005-0000-0000-0000CD750000}"/>
    <cellStyle name="Вычисление 3 6 3 3" xfId="27711" xr:uid="{00000000-0005-0000-0000-0000CE750000}"/>
    <cellStyle name="Вычисление 3 6 3_TOM TAT" xfId="26241" xr:uid="{00000000-0005-0000-0000-0000CF750000}"/>
    <cellStyle name="Вычисление 3 6 4" xfId="2922" xr:uid="{00000000-0005-0000-0000-0000D0750000}"/>
    <cellStyle name="Вычисление 3 6 4 2" xfId="6283" xr:uid="{00000000-0005-0000-0000-0000D1750000}"/>
    <cellStyle name="Вычисление 3 6 4 2 2" xfId="28885" xr:uid="{00000000-0005-0000-0000-0000D2750000}"/>
    <cellStyle name="Вычисление 3 6 4 2_TOM TAT" xfId="26244" xr:uid="{00000000-0005-0000-0000-0000D3750000}"/>
    <cellStyle name="Вычисление 3 6 4 3" xfId="27712" xr:uid="{00000000-0005-0000-0000-0000D4750000}"/>
    <cellStyle name="Вычисление 3 6 4_TOM TAT" xfId="26243" xr:uid="{00000000-0005-0000-0000-0000D5750000}"/>
    <cellStyle name="Вычисление 3 6 5" xfId="6284" xr:uid="{00000000-0005-0000-0000-0000D6750000}"/>
    <cellStyle name="Вычисление 3 6 5 2" xfId="28886" xr:uid="{00000000-0005-0000-0000-0000D7750000}"/>
    <cellStyle name="Вычисление 3 6 5_TOM TAT" xfId="26245" xr:uid="{00000000-0005-0000-0000-0000D8750000}"/>
    <cellStyle name="Вычисление 3 6 6" xfId="27708" xr:uid="{00000000-0005-0000-0000-0000D9750000}"/>
    <cellStyle name="Вычисление 3 6_TOM TAT" xfId="26236" xr:uid="{00000000-0005-0000-0000-0000DA750000}"/>
    <cellStyle name="Вычисление 3 7" xfId="2923" xr:uid="{00000000-0005-0000-0000-0000DB750000}"/>
    <cellStyle name="Вычисление 3 7 2" xfId="2924" xr:uid="{00000000-0005-0000-0000-0000DC750000}"/>
    <cellStyle name="Вычисление 3 7 2 2" xfId="6285" xr:uid="{00000000-0005-0000-0000-0000DD750000}"/>
    <cellStyle name="Вычисление 3 7 2 2 2" xfId="28887" xr:uid="{00000000-0005-0000-0000-0000DE750000}"/>
    <cellStyle name="Вычисление 3 7 2 2_TOM TAT" xfId="26248" xr:uid="{00000000-0005-0000-0000-0000DF750000}"/>
    <cellStyle name="Вычисление 3 7 2 3" xfId="27714" xr:uid="{00000000-0005-0000-0000-0000E0750000}"/>
    <cellStyle name="Вычисление 3 7 2_TOM TAT" xfId="26247" xr:uid="{00000000-0005-0000-0000-0000E1750000}"/>
    <cellStyle name="Вычисление 3 7 3" xfId="6286" xr:uid="{00000000-0005-0000-0000-0000E2750000}"/>
    <cellStyle name="Вычисление 3 7 3 2" xfId="28888" xr:uid="{00000000-0005-0000-0000-0000E3750000}"/>
    <cellStyle name="Вычисление 3 7 3_TOM TAT" xfId="26249" xr:uid="{00000000-0005-0000-0000-0000E4750000}"/>
    <cellStyle name="Вычисление 3 7 4" xfId="27713" xr:uid="{00000000-0005-0000-0000-0000E5750000}"/>
    <cellStyle name="Вычисление 3 7_TOM TAT" xfId="26246" xr:uid="{00000000-0005-0000-0000-0000E6750000}"/>
    <cellStyle name="Вычисление 3 8" xfId="2925" xr:uid="{00000000-0005-0000-0000-0000E7750000}"/>
    <cellStyle name="Вычисление 3 8 2" xfId="2926" xr:uid="{00000000-0005-0000-0000-0000E8750000}"/>
    <cellStyle name="Вычисление 3 8 2 2" xfId="6287" xr:uid="{00000000-0005-0000-0000-0000E9750000}"/>
    <cellStyle name="Вычисление 3 8 2 2 2" xfId="28889" xr:uid="{00000000-0005-0000-0000-0000EA750000}"/>
    <cellStyle name="Вычисление 3 8 2 2_TOM TAT" xfId="26252" xr:uid="{00000000-0005-0000-0000-0000EB750000}"/>
    <cellStyle name="Вычисление 3 8 2 3" xfId="27716" xr:uid="{00000000-0005-0000-0000-0000EC750000}"/>
    <cellStyle name="Вычисление 3 8 2_TOM TAT" xfId="26251" xr:uid="{00000000-0005-0000-0000-0000ED750000}"/>
    <cellStyle name="Вычисление 3 8 3" xfId="6288" xr:uid="{00000000-0005-0000-0000-0000EE750000}"/>
    <cellStyle name="Вычисление 3 8 3 2" xfId="28890" xr:uid="{00000000-0005-0000-0000-0000EF750000}"/>
    <cellStyle name="Вычисление 3 8 3_TOM TAT" xfId="26253" xr:uid="{00000000-0005-0000-0000-0000F0750000}"/>
    <cellStyle name="Вычисление 3 8 4" xfId="27715" xr:uid="{00000000-0005-0000-0000-0000F1750000}"/>
    <cellStyle name="Вычисление 3 8_TOM TAT" xfId="26250" xr:uid="{00000000-0005-0000-0000-0000F2750000}"/>
    <cellStyle name="Вычисление 3 9" xfId="2927" xr:uid="{00000000-0005-0000-0000-0000F3750000}"/>
    <cellStyle name="Вычисление 3 9 2" xfId="6289" xr:uid="{00000000-0005-0000-0000-0000F4750000}"/>
    <cellStyle name="Вычисление 3 9 2 2" xfId="28891" xr:uid="{00000000-0005-0000-0000-0000F5750000}"/>
    <cellStyle name="Вычисление 3 9 2_TOM TAT" xfId="26255" xr:uid="{00000000-0005-0000-0000-0000F6750000}"/>
    <cellStyle name="Вычисление 3 9 3" xfId="27717" xr:uid="{00000000-0005-0000-0000-0000F7750000}"/>
    <cellStyle name="Вычисление 3 9_TOM TAT" xfId="26254" xr:uid="{00000000-0005-0000-0000-0000F8750000}"/>
    <cellStyle name="Вычисление 3_TOM TAT" xfId="26064" xr:uid="{00000000-0005-0000-0000-0000F9750000}"/>
    <cellStyle name="Вычисление 4" xfId="2928" xr:uid="{00000000-0005-0000-0000-0000FA750000}"/>
    <cellStyle name="Вычисление 4 10" xfId="27718" xr:uid="{00000000-0005-0000-0000-0000FB750000}"/>
    <cellStyle name="Вычисление 4 2" xfId="2929" xr:uid="{00000000-0005-0000-0000-0000FC750000}"/>
    <cellStyle name="Вычисление 4 2 2" xfId="2930" xr:uid="{00000000-0005-0000-0000-0000FD750000}"/>
    <cellStyle name="Вычисление 4 2 2 2" xfId="2931" xr:uid="{00000000-0005-0000-0000-0000FE750000}"/>
    <cellStyle name="Вычисление 4 2 2 2 2" xfId="2932" xr:uid="{00000000-0005-0000-0000-0000FF750000}"/>
    <cellStyle name="Вычисление 4 2 2 2 2 2" xfId="6290" xr:uid="{00000000-0005-0000-0000-000000760000}"/>
    <cellStyle name="Вычисление 4 2 2 2 2 2 2" xfId="28892" xr:uid="{00000000-0005-0000-0000-000001760000}"/>
    <cellStyle name="Вычисление 4 2 2 2 2 2_TOM TAT" xfId="26261" xr:uid="{00000000-0005-0000-0000-000002760000}"/>
    <cellStyle name="Вычисление 4 2 2 2 2 3" xfId="27722" xr:uid="{00000000-0005-0000-0000-000003760000}"/>
    <cellStyle name="Вычисление 4 2 2 2 2_TOM TAT" xfId="26260" xr:uid="{00000000-0005-0000-0000-000004760000}"/>
    <cellStyle name="Вычисление 4 2 2 2 3" xfId="6291" xr:uid="{00000000-0005-0000-0000-000005760000}"/>
    <cellStyle name="Вычисление 4 2 2 2 3 2" xfId="28893" xr:uid="{00000000-0005-0000-0000-000006760000}"/>
    <cellStyle name="Вычисление 4 2 2 2 3_TOM TAT" xfId="26262" xr:uid="{00000000-0005-0000-0000-000007760000}"/>
    <cellStyle name="Вычисление 4 2 2 2 4" xfId="27721" xr:uid="{00000000-0005-0000-0000-000008760000}"/>
    <cellStyle name="Вычисление 4 2 2 2_TOM TAT" xfId="26259" xr:uid="{00000000-0005-0000-0000-000009760000}"/>
    <cellStyle name="Вычисление 4 2 2 3" xfId="2933" xr:uid="{00000000-0005-0000-0000-00000A760000}"/>
    <cellStyle name="Вычисление 4 2 2 3 2" xfId="6292" xr:uid="{00000000-0005-0000-0000-00000B760000}"/>
    <cellStyle name="Вычисление 4 2 2 3 2 2" xfId="28894" xr:uid="{00000000-0005-0000-0000-00000C760000}"/>
    <cellStyle name="Вычисление 4 2 2 3 2_TOM TAT" xfId="26264" xr:uid="{00000000-0005-0000-0000-00000D760000}"/>
    <cellStyle name="Вычисление 4 2 2 3 3" xfId="27723" xr:uid="{00000000-0005-0000-0000-00000E760000}"/>
    <cellStyle name="Вычисление 4 2 2 3_TOM TAT" xfId="26263" xr:uid="{00000000-0005-0000-0000-00000F760000}"/>
    <cellStyle name="Вычисление 4 2 2 4" xfId="2934" xr:uid="{00000000-0005-0000-0000-000010760000}"/>
    <cellStyle name="Вычисление 4 2 2 4 2" xfId="6293" xr:uid="{00000000-0005-0000-0000-000011760000}"/>
    <cellStyle name="Вычисление 4 2 2 4 2 2" xfId="28895" xr:uid="{00000000-0005-0000-0000-000012760000}"/>
    <cellStyle name="Вычисление 4 2 2 4 2_TOM TAT" xfId="26266" xr:uid="{00000000-0005-0000-0000-000013760000}"/>
    <cellStyle name="Вычисление 4 2 2 4 3" xfId="27724" xr:uid="{00000000-0005-0000-0000-000014760000}"/>
    <cellStyle name="Вычисление 4 2 2 4_TOM TAT" xfId="26265" xr:uid="{00000000-0005-0000-0000-000015760000}"/>
    <cellStyle name="Вычисление 4 2 2 5" xfId="6294" xr:uid="{00000000-0005-0000-0000-000016760000}"/>
    <cellStyle name="Вычисление 4 2 2 5 2" xfId="28896" xr:uid="{00000000-0005-0000-0000-000017760000}"/>
    <cellStyle name="Вычисление 4 2 2 5_TOM TAT" xfId="26267" xr:uid="{00000000-0005-0000-0000-000018760000}"/>
    <cellStyle name="Вычисление 4 2 2 6" xfId="27720" xr:uid="{00000000-0005-0000-0000-000019760000}"/>
    <cellStyle name="Вычисление 4 2 2_TOM TAT" xfId="26258" xr:uid="{00000000-0005-0000-0000-00001A760000}"/>
    <cellStyle name="Вычисление 4 2 3" xfId="2935" xr:uid="{00000000-0005-0000-0000-00001B760000}"/>
    <cellStyle name="Вычисление 4 2 3 2" xfId="2936" xr:uid="{00000000-0005-0000-0000-00001C760000}"/>
    <cellStyle name="Вычисление 4 2 3 2 2" xfId="6295" xr:uid="{00000000-0005-0000-0000-00001D760000}"/>
    <cellStyle name="Вычисление 4 2 3 2 2 2" xfId="28897" xr:uid="{00000000-0005-0000-0000-00001E760000}"/>
    <cellStyle name="Вычисление 4 2 3 2 2_TOM TAT" xfId="26270" xr:uid="{00000000-0005-0000-0000-00001F760000}"/>
    <cellStyle name="Вычисление 4 2 3 2 3" xfId="27726" xr:uid="{00000000-0005-0000-0000-000020760000}"/>
    <cellStyle name="Вычисление 4 2 3 2_TOM TAT" xfId="26269" xr:uid="{00000000-0005-0000-0000-000021760000}"/>
    <cellStyle name="Вычисление 4 2 3 3" xfId="6296" xr:uid="{00000000-0005-0000-0000-000022760000}"/>
    <cellStyle name="Вычисление 4 2 3 3 2" xfId="28898" xr:uid="{00000000-0005-0000-0000-000023760000}"/>
    <cellStyle name="Вычисление 4 2 3 3_TOM TAT" xfId="26271" xr:uid="{00000000-0005-0000-0000-000024760000}"/>
    <cellStyle name="Вычисление 4 2 3 4" xfId="27725" xr:uid="{00000000-0005-0000-0000-000025760000}"/>
    <cellStyle name="Вычисление 4 2 3_TOM TAT" xfId="26268" xr:uid="{00000000-0005-0000-0000-000026760000}"/>
    <cellStyle name="Вычисление 4 2 4" xfId="2937" xr:uid="{00000000-0005-0000-0000-000027760000}"/>
    <cellStyle name="Вычисление 4 2 4 2" xfId="2938" xr:uid="{00000000-0005-0000-0000-000028760000}"/>
    <cellStyle name="Вычисление 4 2 4 2 2" xfId="6297" xr:uid="{00000000-0005-0000-0000-000029760000}"/>
    <cellStyle name="Вычисление 4 2 4 2 2 2" xfId="28899" xr:uid="{00000000-0005-0000-0000-00002A760000}"/>
    <cellStyle name="Вычисление 4 2 4 2 2_TOM TAT" xfId="26274" xr:uid="{00000000-0005-0000-0000-00002B760000}"/>
    <cellStyle name="Вычисление 4 2 4 2 3" xfId="27728" xr:uid="{00000000-0005-0000-0000-00002C760000}"/>
    <cellStyle name="Вычисление 4 2 4 2_TOM TAT" xfId="26273" xr:uid="{00000000-0005-0000-0000-00002D760000}"/>
    <cellStyle name="Вычисление 4 2 4 3" xfId="6298" xr:uid="{00000000-0005-0000-0000-00002E760000}"/>
    <cellStyle name="Вычисление 4 2 4 3 2" xfId="28900" xr:uid="{00000000-0005-0000-0000-00002F760000}"/>
    <cellStyle name="Вычисление 4 2 4 3_TOM TAT" xfId="26275" xr:uid="{00000000-0005-0000-0000-000030760000}"/>
    <cellStyle name="Вычисление 4 2 4 4" xfId="27727" xr:uid="{00000000-0005-0000-0000-000031760000}"/>
    <cellStyle name="Вычисление 4 2 4_TOM TAT" xfId="26272" xr:uid="{00000000-0005-0000-0000-000032760000}"/>
    <cellStyle name="Вычисление 4 2 5" xfId="2939" xr:uid="{00000000-0005-0000-0000-000033760000}"/>
    <cellStyle name="Вычисление 4 2 5 2" xfId="6299" xr:uid="{00000000-0005-0000-0000-000034760000}"/>
    <cellStyle name="Вычисление 4 2 5 2 2" xfId="28901" xr:uid="{00000000-0005-0000-0000-000035760000}"/>
    <cellStyle name="Вычисление 4 2 5 2_TOM TAT" xfId="26277" xr:uid="{00000000-0005-0000-0000-000036760000}"/>
    <cellStyle name="Вычисление 4 2 5 3" xfId="27729" xr:uid="{00000000-0005-0000-0000-000037760000}"/>
    <cellStyle name="Вычисление 4 2 5_TOM TAT" xfId="26276" xr:uid="{00000000-0005-0000-0000-000038760000}"/>
    <cellStyle name="Вычисление 4 2 6" xfId="2940" xr:uid="{00000000-0005-0000-0000-000039760000}"/>
    <cellStyle name="Вычисление 4 2 6 2" xfId="6300" xr:uid="{00000000-0005-0000-0000-00003A760000}"/>
    <cellStyle name="Вычисление 4 2 6 2 2" xfId="28902" xr:uid="{00000000-0005-0000-0000-00003B760000}"/>
    <cellStyle name="Вычисление 4 2 6 2_TOM TAT" xfId="26279" xr:uid="{00000000-0005-0000-0000-00003C760000}"/>
    <cellStyle name="Вычисление 4 2 6 3" xfId="27730" xr:uid="{00000000-0005-0000-0000-00003D760000}"/>
    <cellStyle name="Вычисление 4 2 6_TOM TAT" xfId="26278" xr:uid="{00000000-0005-0000-0000-00003E760000}"/>
    <cellStyle name="Вычисление 4 2 7" xfId="6301" xr:uid="{00000000-0005-0000-0000-00003F760000}"/>
    <cellStyle name="Вычисление 4 2 7 2" xfId="28903" xr:uid="{00000000-0005-0000-0000-000040760000}"/>
    <cellStyle name="Вычисление 4 2 7_TOM TAT" xfId="26280" xr:uid="{00000000-0005-0000-0000-000041760000}"/>
    <cellStyle name="Вычисление 4 2 8" xfId="27719" xr:uid="{00000000-0005-0000-0000-000042760000}"/>
    <cellStyle name="Вычисление 4 2_TOM TAT" xfId="26257" xr:uid="{00000000-0005-0000-0000-000043760000}"/>
    <cellStyle name="Вычисление 4 3" xfId="2941" xr:uid="{00000000-0005-0000-0000-000044760000}"/>
    <cellStyle name="Вычисление 4 3 2" xfId="2942" xr:uid="{00000000-0005-0000-0000-000045760000}"/>
    <cellStyle name="Вычисление 4 3 2 2" xfId="2943" xr:uid="{00000000-0005-0000-0000-000046760000}"/>
    <cellStyle name="Вычисление 4 3 2 2 2" xfId="2944" xr:uid="{00000000-0005-0000-0000-000047760000}"/>
    <cellStyle name="Вычисление 4 3 2 2 2 2" xfId="6302" xr:uid="{00000000-0005-0000-0000-000048760000}"/>
    <cellStyle name="Вычисление 4 3 2 2 2 2 2" xfId="28904" xr:uid="{00000000-0005-0000-0000-000049760000}"/>
    <cellStyle name="Вычисление 4 3 2 2 2 2_TOM TAT" xfId="26285" xr:uid="{00000000-0005-0000-0000-00004A760000}"/>
    <cellStyle name="Вычисление 4 3 2 2 2 3" xfId="27734" xr:uid="{00000000-0005-0000-0000-00004B760000}"/>
    <cellStyle name="Вычисление 4 3 2 2 2_TOM TAT" xfId="26284" xr:uid="{00000000-0005-0000-0000-00004C760000}"/>
    <cellStyle name="Вычисление 4 3 2 2 3" xfId="6303" xr:uid="{00000000-0005-0000-0000-00004D760000}"/>
    <cellStyle name="Вычисление 4 3 2 2 3 2" xfId="28905" xr:uid="{00000000-0005-0000-0000-00004E760000}"/>
    <cellStyle name="Вычисление 4 3 2 2 3_TOM TAT" xfId="26286" xr:uid="{00000000-0005-0000-0000-00004F760000}"/>
    <cellStyle name="Вычисление 4 3 2 2 4" xfId="27733" xr:uid="{00000000-0005-0000-0000-000050760000}"/>
    <cellStyle name="Вычисление 4 3 2 2_TOM TAT" xfId="26283" xr:uid="{00000000-0005-0000-0000-000051760000}"/>
    <cellStyle name="Вычисление 4 3 2 3" xfId="2945" xr:uid="{00000000-0005-0000-0000-000052760000}"/>
    <cellStyle name="Вычисление 4 3 2 3 2" xfId="6304" xr:uid="{00000000-0005-0000-0000-000053760000}"/>
    <cellStyle name="Вычисление 4 3 2 3 2 2" xfId="28906" xr:uid="{00000000-0005-0000-0000-000054760000}"/>
    <cellStyle name="Вычисление 4 3 2 3 2_TOM TAT" xfId="26288" xr:uid="{00000000-0005-0000-0000-000055760000}"/>
    <cellStyle name="Вычисление 4 3 2 3 3" xfId="27735" xr:uid="{00000000-0005-0000-0000-000056760000}"/>
    <cellStyle name="Вычисление 4 3 2 3_TOM TAT" xfId="26287" xr:uid="{00000000-0005-0000-0000-000057760000}"/>
    <cellStyle name="Вычисление 4 3 2 4" xfId="2946" xr:uid="{00000000-0005-0000-0000-000058760000}"/>
    <cellStyle name="Вычисление 4 3 2 4 2" xfId="6305" xr:uid="{00000000-0005-0000-0000-000059760000}"/>
    <cellStyle name="Вычисление 4 3 2 4 2 2" xfId="28907" xr:uid="{00000000-0005-0000-0000-00005A760000}"/>
    <cellStyle name="Вычисление 4 3 2 4 2_TOM TAT" xfId="26290" xr:uid="{00000000-0005-0000-0000-00005B760000}"/>
    <cellStyle name="Вычисление 4 3 2 4 3" xfId="27736" xr:uid="{00000000-0005-0000-0000-00005C760000}"/>
    <cellStyle name="Вычисление 4 3 2 4_TOM TAT" xfId="26289" xr:uid="{00000000-0005-0000-0000-00005D760000}"/>
    <cellStyle name="Вычисление 4 3 2 5" xfId="6306" xr:uid="{00000000-0005-0000-0000-00005E760000}"/>
    <cellStyle name="Вычисление 4 3 2 5 2" xfId="28908" xr:uid="{00000000-0005-0000-0000-00005F760000}"/>
    <cellStyle name="Вычисление 4 3 2 5_TOM TAT" xfId="26291" xr:uid="{00000000-0005-0000-0000-000060760000}"/>
    <cellStyle name="Вычисление 4 3 2 6" xfId="27732" xr:uid="{00000000-0005-0000-0000-000061760000}"/>
    <cellStyle name="Вычисление 4 3 2_TOM TAT" xfId="26282" xr:uid="{00000000-0005-0000-0000-000062760000}"/>
    <cellStyle name="Вычисление 4 3 3" xfId="2947" xr:uid="{00000000-0005-0000-0000-000063760000}"/>
    <cellStyle name="Вычисление 4 3 3 2" xfId="2948" xr:uid="{00000000-0005-0000-0000-000064760000}"/>
    <cellStyle name="Вычисление 4 3 3 2 2" xfId="6307" xr:uid="{00000000-0005-0000-0000-000065760000}"/>
    <cellStyle name="Вычисление 4 3 3 2 2 2" xfId="28909" xr:uid="{00000000-0005-0000-0000-000066760000}"/>
    <cellStyle name="Вычисление 4 3 3 2 2_TOM TAT" xfId="26294" xr:uid="{00000000-0005-0000-0000-000067760000}"/>
    <cellStyle name="Вычисление 4 3 3 2 3" xfId="27738" xr:uid="{00000000-0005-0000-0000-000068760000}"/>
    <cellStyle name="Вычисление 4 3 3 2_TOM TAT" xfId="26293" xr:uid="{00000000-0005-0000-0000-000069760000}"/>
    <cellStyle name="Вычисление 4 3 3 3" xfId="6308" xr:uid="{00000000-0005-0000-0000-00006A760000}"/>
    <cellStyle name="Вычисление 4 3 3 3 2" xfId="28910" xr:uid="{00000000-0005-0000-0000-00006B760000}"/>
    <cellStyle name="Вычисление 4 3 3 3_TOM TAT" xfId="26295" xr:uid="{00000000-0005-0000-0000-00006C760000}"/>
    <cellStyle name="Вычисление 4 3 3 4" xfId="27737" xr:uid="{00000000-0005-0000-0000-00006D760000}"/>
    <cellStyle name="Вычисление 4 3 3_TOM TAT" xfId="26292" xr:uid="{00000000-0005-0000-0000-00006E760000}"/>
    <cellStyle name="Вычисление 4 3 4" xfId="2949" xr:uid="{00000000-0005-0000-0000-00006F760000}"/>
    <cellStyle name="Вычисление 4 3 4 2" xfId="2950" xr:uid="{00000000-0005-0000-0000-000070760000}"/>
    <cellStyle name="Вычисление 4 3 4 2 2" xfId="6309" xr:uid="{00000000-0005-0000-0000-000071760000}"/>
    <cellStyle name="Вычисление 4 3 4 2 2 2" xfId="28911" xr:uid="{00000000-0005-0000-0000-000072760000}"/>
    <cellStyle name="Вычисление 4 3 4 2 2_TOM TAT" xfId="26298" xr:uid="{00000000-0005-0000-0000-000073760000}"/>
    <cellStyle name="Вычисление 4 3 4 2 3" xfId="27740" xr:uid="{00000000-0005-0000-0000-000074760000}"/>
    <cellStyle name="Вычисление 4 3 4 2_TOM TAT" xfId="26297" xr:uid="{00000000-0005-0000-0000-000075760000}"/>
    <cellStyle name="Вычисление 4 3 4 3" xfId="6310" xr:uid="{00000000-0005-0000-0000-000076760000}"/>
    <cellStyle name="Вычисление 4 3 4 3 2" xfId="28912" xr:uid="{00000000-0005-0000-0000-000077760000}"/>
    <cellStyle name="Вычисление 4 3 4 3_TOM TAT" xfId="26299" xr:uid="{00000000-0005-0000-0000-000078760000}"/>
    <cellStyle name="Вычисление 4 3 4 4" xfId="27739" xr:uid="{00000000-0005-0000-0000-000079760000}"/>
    <cellStyle name="Вычисление 4 3 4_TOM TAT" xfId="26296" xr:uid="{00000000-0005-0000-0000-00007A760000}"/>
    <cellStyle name="Вычисление 4 3 5" xfId="2951" xr:uid="{00000000-0005-0000-0000-00007B760000}"/>
    <cellStyle name="Вычисление 4 3 5 2" xfId="6311" xr:uid="{00000000-0005-0000-0000-00007C760000}"/>
    <cellStyle name="Вычисление 4 3 5 2 2" xfId="28913" xr:uid="{00000000-0005-0000-0000-00007D760000}"/>
    <cellStyle name="Вычисление 4 3 5 2_TOM TAT" xfId="26301" xr:uid="{00000000-0005-0000-0000-00007E760000}"/>
    <cellStyle name="Вычисление 4 3 5 3" xfId="27741" xr:uid="{00000000-0005-0000-0000-00007F760000}"/>
    <cellStyle name="Вычисление 4 3 5_TOM TAT" xfId="26300" xr:uid="{00000000-0005-0000-0000-000080760000}"/>
    <cellStyle name="Вычисление 4 3 6" xfId="2952" xr:uid="{00000000-0005-0000-0000-000081760000}"/>
    <cellStyle name="Вычисление 4 3 6 2" xfId="6312" xr:uid="{00000000-0005-0000-0000-000082760000}"/>
    <cellStyle name="Вычисление 4 3 6 2 2" xfId="28914" xr:uid="{00000000-0005-0000-0000-000083760000}"/>
    <cellStyle name="Вычисление 4 3 6 2_TOM TAT" xfId="26303" xr:uid="{00000000-0005-0000-0000-000084760000}"/>
    <cellStyle name="Вычисление 4 3 6 3" xfId="27742" xr:uid="{00000000-0005-0000-0000-000085760000}"/>
    <cellStyle name="Вычисление 4 3 6_TOM TAT" xfId="26302" xr:uid="{00000000-0005-0000-0000-000086760000}"/>
    <cellStyle name="Вычисление 4 3 7" xfId="6313" xr:uid="{00000000-0005-0000-0000-000087760000}"/>
    <cellStyle name="Вычисление 4 3 7 2" xfId="28915" xr:uid="{00000000-0005-0000-0000-000088760000}"/>
    <cellStyle name="Вычисление 4 3 7_TOM TAT" xfId="26304" xr:uid="{00000000-0005-0000-0000-000089760000}"/>
    <cellStyle name="Вычисление 4 3 8" xfId="27731" xr:uid="{00000000-0005-0000-0000-00008A760000}"/>
    <cellStyle name="Вычисление 4 3_TOM TAT" xfId="26281" xr:uid="{00000000-0005-0000-0000-00008B760000}"/>
    <cellStyle name="Вычисление 4 4" xfId="2953" xr:uid="{00000000-0005-0000-0000-00008C760000}"/>
    <cellStyle name="Вычисление 4 4 2" xfId="2954" xr:uid="{00000000-0005-0000-0000-00008D760000}"/>
    <cellStyle name="Вычисление 4 4 2 2" xfId="2955" xr:uid="{00000000-0005-0000-0000-00008E760000}"/>
    <cellStyle name="Вычисление 4 4 2 2 2" xfId="6314" xr:uid="{00000000-0005-0000-0000-00008F760000}"/>
    <cellStyle name="Вычисление 4 4 2 2 2 2" xfId="28916" xr:uid="{00000000-0005-0000-0000-000090760000}"/>
    <cellStyle name="Вычисление 4 4 2 2 2_TOM TAT" xfId="26308" xr:uid="{00000000-0005-0000-0000-000091760000}"/>
    <cellStyle name="Вычисление 4 4 2 2 3" xfId="27745" xr:uid="{00000000-0005-0000-0000-000092760000}"/>
    <cellStyle name="Вычисление 4 4 2 2_TOM TAT" xfId="26307" xr:uid="{00000000-0005-0000-0000-000093760000}"/>
    <cellStyle name="Вычисление 4 4 2 3" xfId="6315" xr:uid="{00000000-0005-0000-0000-000094760000}"/>
    <cellStyle name="Вычисление 4 4 2 3 2" xfId="28917" xr:uid="{00000000-0005-0000-0000-000095760000}"/>
    <cellStyle name="Вычисление 4 4 2 3_TOM TAT" xfId="26309" xr:uid="{00000000-0005-0000-0000-000096760000}"/>
    <cellStyle name="Вычисление 4 4 2 4" xfId="27744" xr:uid="{00000000-0005-0000-0000-000097760000}"/>
    <cellStyle name="Вычисление 4 4 2_TOM TAT" xfId="26306" xr:uid="{00000000-0005-0000-0000-000098760000}"/>
    <cellStyle name="Вычисление 4 4 3" xfId="2956" xr:uid="{00000000-0005-0000-0000-000099760000}"/>
    <cellStyle name="Вычисление 4 4 3 2" xfId="6316" xr:uid="{00000000-0005-0000-0000-00009A760000}"/>
    <cellStyle name="Вычисление 4 4 3 2 2" xfId="28918" xr:uid="{00000000-0005-0000-0000-00009B760000}"/>
    <cellStyle name="Вычисление 4 4 3 2_TOM TAT" xfId="26311" xr:uid="{00000000-0005-0000-0000-00009C760000}"/>
    <cellStyle name="Вычисление 4 4 3 3" xfId="27746" xr:uid="{00000000-0005-0000-0000-00009D760000}"/>
    <cellStyle name="Вычисление 4 4 3_TOM TAT" xfId="26310" xr:uid="{00000000-0005-0000-0000-00009E760000}"/>
    <cellStyle name="Вычисление 4 4 4" xfId="2957" xr:uid="{00000000-0005-0000-0000-00009F760000}"/>
    <cellStyle name="Вычисление 4 4 4 2" xfId="6317" xr:uid="{00000000-0005-0000-0000-0000A0760000}"/>
    <cellStyle name="Вычисление 4 4 4 2 2" xfId="28919" xr:uid="{00000000-0005-0000-0000-0000A1760000}"/>
    <cellStyle name="Вычисление 4 4 4 2_TOM TAT" xfId="26313" xr:uid="{00000000-0005-0000-0000-0000A2760000}"/>
    <cellStyle name="Вычисление 4 4 4 3" xfId="27747" xr:uid="{00000000-0005-0000-0000-0000A3760000}"/>
    <cellStyle name="Вычисление 4 4 4_TOM TAT" xfId="26312" xr:uid="{00000000-0005-0000-0000-0000A4760000}"/>
    <cellStyle name="Вычисление 4 4 5" xfId="6318" xr:uid="{00000000-0005-0000-0000-0000A5760000}"/>
    <cellStyle name="Вычисление 4 4 5 2" xfId="28920" xr:uid="{00000000-0005-0000-0000-0000A6760000}"/>
    <cellStyle name="Вычисление 4 4 5_TOM TAT" xfId="26314" xr:uid="{00000000-0005-0000-0000-0000A7760000}"/>
    <cellStyle name="Вычисление 4 4 6" xfId="27743" xr:uid="{00000000-0005-0000-0000-0000A8760000}"/>
    <cellStyle name="Вычисление 4 4_TOM TAT" xfId="26305" xr:uid="{00000000-0005-0000-0000-0000A9760000}"/>
    <cellStyle name="Вычисление 4 5" xfId="2958" xr:uid="{00000000-0005-0000-0000-0000AA760000}"/>
    <cellStyle name="Вычисление 4 5 2" xfId="2959" xr:uid="{00000000-0005-0000-0000-0000AB760000}"/>
    <cellStyle name="Вычисление 4 5 2 2" xfId="6319" xr:uid="{00000000-0005-0000-0000-0000AC760000}"/>
    <cellStyle name="Вычисление 4 5 2 2 2" xfId="28921" xr:uid="{00000000-0005-0000-0000-0000AD760000}"/>
    <cellStyle name="Вычисление 4 5 2 2_TOM TAT" xfId="26317" xr:uid="{00000000-0005-0000-0000-0000AE760000}"/>
    <cellStyle name="Вычисление 4 5 2 3" xfId="27749" xr:uid="{00000000-0005-0000-0000-0000AF760000}"/>
    <cellStyle name="Вычисление 4 5 2_TOM TAT" xfId="26316" xr:uid="{00000000-0005-0000-0000-0000B0760000}"/>
    <cellStyle name="Вычисление 4 5 3" xfId="6320" xr:uid="{00000000-0005-0000-0000-0000B1760000}"/>
    <cellStyle name="Вычисление 4 5 3 2" xfId="28922" xr:uid="{00000000-0005-0000-0000-0000B2760000}"/>
    <cellStyle name="Вычисление 4 5 3_TOM TAT" xfId="26318" xr:uid="{00000000-0005-0000-0000-0000B3760000}"/>
    <cellStyle name="Вычисление 4 5 4" xfId="27748" xr:uid="{00000000-0005-0000-0000-0000B4760000}"/>
    <cellStyle name="Вычисление 4 5_TOM TAT" xfId="26315" xr:uid="{00000000-0005-0000-0000-0000B5760000}"/>
    <cellStyle name="Вычисление 4 6" xfId="2960" xr:uid="{00000000-0005-0000-0000-0000B6760000}"/>
    <cellStyle name="Вычисление 4 6 2" xfId="2961" xr:uid="{00000000-0005-0000-0000-0000B7760000}"/>
    <cellStyle name="Вычисление 4 6 2 2" xfId="6321" xr:uid="{00000000-0005-0000-0000-0000B8760000}"/>
    <cellStyle name="Вычисление 4 6 2 2 2" xfId="28923" xr:uid="{00000000-0005-0000-0000-0000B9760000}"/>
    <cellStyle name="Вычисление 4 6 2 2_TOM TAT" xfId="26321" xr:uid="{00000000-0005-0000-0000-0000BA760000}"/>
    <cellStyle name="Вычисление 4 6 2 3" xfId="27751" xr:uid="{00000000-0005-0000-0000-0000BB760000}"/>
    <cellStyle name="Вычисление 4 6 2_TOM TAT" xfId="26320" xr:uid="{00000000-0005-0000-0000-0000BC760000}"/>
    <cellStyle name="Вычисление 4 6 3" xfId="6322" xr:uid="{00000000-0005-0000-0000-0000BD760000}"/>
    <cellStyle name="Вычисление 4 6 3 2" xfId="28924" xr:uid="{00000000-0005-0000-0000-0000BE760000}"/>
    <cellStyle name="Вычисление 4 6 3_TOM TAT" xfId="26322" xr:uid="{00000000-0005-0000-0000-0000BF760000}"/>
    <cellStyle name="Вычисление 4 6 4" xfId="27750" xr:uid="{00000000-0005-0000-0000-0000C0760000}"/>
    <cellStyle name="Вычисление 4 6_TOM TAT" xfId="26319" xr:uid="{00000000-0005-0000-0000-0000C1760000}"/>
    <cellStyle name="Вычисление 4 7" xfId="2962" xr:uid="{00000000-0005-0000-0000-0000C2760000}"/>
    <cellStyle name="Вычисление 4 7 2" xfId="6323" xr:uid="{00000000-0005-0000-0000-0000C3760000}"/>
    <cellStyle name="Вычисление 4 7 2 2" xfId="28925" xr:uid="{00000000-0005-0000-0000-0000C4760000}"/>
    <cellStyle name="Вычисление 4 7 2_TOM TAT" xfId="26324" xr:uid="{00000000-0005-0000-0000-0000C5760000}"/>
    <cellStyle name="Вычисление 4 7 3" xfId="27752" xr:uid="{00000000-0005-0000-0000-0000C6760000}"/>
    <cellStyle name="Вычисление 4 7_TOM TAT" xfId="26323" xr:uid="{00000000-0005-0000-0000-0000C7760000}"/>
    <cellStyle name="Вычисление 4 8" xfId="2963" xr:uid="{00000000-0005-0000-0000-0000C8760000}"/>
    <cellStyle name="Вычисление 4 8 2" xfId="6324" xr:uid="{00000000-0005-0000-0000-0000C9760000}"/>
    <cellStyle name="Вычисление 4 8 2 2" xfId="28926" xr:uid="{00000000-0005-0000-0000-0000CA760000}"/>
    <cellStyle name="Вычисление 4 8 2_TOM TAT" xfId="26326" xr:uid="{00000000-0005-0000-0000-0000CB760000}"/>
    <cellStyle name="Вычисление 4 8 3" xfId="27753" xr:uid="{00000000-0005-0000-0000-0000CC760000}"/>
    <cellStyle name="Вычисление 4 8_TOM TAT" xfId="26325" xr:uid="{00000000-0005-0000-0000-0000CD760000}"/>
    <cellStyle name="Вычисление 4 9" xfId="6325" xr:uid="{00000000-0005-0000-0000-0000CE760000}"/>
    <cellStyle name="Вычисление 4 9 2" xfId="28927" xr:uid="{00000000-0005-0000-0000-0000CF760000}"/>
    <cellStyle name="Вычисление 4 9_TOM TAT" xfId="26327" xr:uid="{00000000-0005-0000-0000-0000D0760000}"/>
    <cellStyle name="Вычисление 4_TOM TAT" xfId="26256" xr:uid="{00000000-0005-0000-0000-0000D1760000}"/>
    <cellStyle name="Вычисление 5" xfId="2964" xr:uid="{00000000-0005-0000-0000-0000D2760000}"/>
    <cellStyle name="Вычисление 5 10" xfId="27754" xr:uid="{00000000-0005-0000-0000-0000D3760000}"/>
    <cellStyle name="Вычисление 5 2" xfId="2965" xr:uid="{00000000-0005-0000-0000-0000D4760000}"/>
    <cellStyle name="Вычисление 5 2 2" xfId="2966" xr:uid="{00000000-0005-0000-0000-0000D5760000}"/>
    <cellStyle name="Вычисление 5 2 2 2" xfId="2967" xr:uid="{00000000-0005-0000-0000-0000D6760000}"/>
    <cellStyle name="Вычисление 5 2 2 2 2" xfId="2968" xr:uid="{00000000-0005-0000-0000-0000D7760000}"/>
    <cellStyle name="Вычисление 5 2 2 2 2 2" xfId="6326" xr:uid="{00000000-0005-0000-0000-0000D8760000}"/>
    <cellStyle name="Вычисление 5 2 2 2 2 2 2" xfId="28928" xr:uid="{00000000-0005-0000-0000-0000D9760000}"/>
    <cellStyle name="Вычисление 5 2 2 2 2 2_TOM TAT" xfId="26333" xr:uid="{00000000-0005-0000-0000-0000DA760000}"/>
    <cellStyle name="Вычисление 5 2 2 2 2 3" xfId="27758" xr:uid="{00000000-0005-0000-0000-0000DB760000}"/>
    <cellStyle name="Вычисление 5 2 2 2 2_TOM TAT" xfId="26332" xr:uid="{00000000-0005-0000-0000-0000DC760000}"/>
    <cellStyle name="Вычисление 5 2 2 2 3" xfId="6327" xr:uid="{00000000-0005-0000-0000-0000DD760000}"/>
    <cellStyle name="Вычисление 5 2 2 2 3 2" xfId="28929" xr:uid="{00000000-0005-0000-0000-0000DE760000}"/>
    <cellStyle name="Вычисление 5 2 2 2 3_TOM TAT" xfId="26334" xr:uid="{00000000-0005-0000-0000-0000DF760000}"/>
    <cellStyle name="Вычисление 5 2 2 2 4" xfId="27757" xr:uid="{00000000-0005-0000-0000-0000E0760000}"/>
    <cellStyle name="Вычисление 5 2 2 2_TOM TAT" xfId="26331" xr:uid="{00000000-0005-0000-0000-0000E1760000}"/>
    <cellStyle name="Вычисление 5 2 2 3" xfId="2969" xr:uid="{00000000-0005-0000-0000-0000E2760000}"/>
    <cellStyle name="Вычисление 5 2 2 3 2" xfId="6328" xr:uid="{00000000-0005-0000-0000-0000E3760000}"/>
    <cellStyle name="Вычисление 5 2 2 3 2 2" xfId="28930" xr:uid="{00000000-0005-0000-0000-0000E4760000}"/>
    <cellStyle name="Вычисление 5 2 2 3 2_TOM TAT" xfId="26336" xr:uid="{00000000-0005-0000-0000-0000E5760000}"/>
    <cellStyle name="Вычисление 5 2 2 3 3" xfId="27759" xr:uid="{00000000-0005-0000-0000-0000E6760000}"/>
    <cellStyle name="Вычисление 5 2 2 3_TOM TAT" xfId="26335" xr:uid="{00000000-0005-0000-0000-0000E7760000}"/>
    <cellStyle name="Вычисление 5 2 2 4" xfId="2970" xr:uid="{00000000-0005-0000-0000-0000E8760000}"/>
    <cellStyle name="Вычисление 5 2 2 4 2" xfId="6329" xr:uid="{00000000-0005-0000-0000-0000E9760000}"/>
    <cellStyle name="Вычисление 5 2 2 4 2 2" xfId="28931" xr:uid="{00000000-0005-0000-0000-0000EA760000}"/>
    <cellStyle name="Вычисление 5 2 2 4 2_TOM TAT" xfId="26338" xr:uid="{00000000-0005-0000-0000-0000EB760000}"/>
    <cellStyle name="Вычисление 5 2 2 4 3" xfId="27760" xr:uid="{00000000-0005-0000-0000-0000EC760000}"/>
    <cellStyle name="Вычисление 5 2 2 4_TOM TAT" xfId="26337" xr:uid="{00000000-0005-0000-0000-0000ED760000}"/>
    <cellStyle name="Вычисление 5 2 2 5" xfId="6330" xr:uid="{00000000-0005-0000-0000-0000EE760000}"/>
    <cellStyle name="Вычисление 5 2 2 5 2" xfId="28932" xr:uid="{00000000-0005-0000-0000-0000EF760000}"/>
    <cellStyle name="Вычисление 5 2 2 5_TOM TAT" xfId="26339" xr:uid="{00000000-0005-0000-0000-0000F0760000}"/>
    <cellStyle name="Вычисление 5 2 2 6" xfId="27756" xr:uid="{00000000-0005-0000-0000-0000F1760000}"/>
    <cellStyle name="Вычисление 5 2 2_TOM TAT" xfId="26330" xr:uid="{00000000-0005-0000-0000-0000F2760000}"/>
    <cellStyle name="Вычисление 5 2 3" xfId="2971" xr:uid="{00000000-0005-0000-0000-0000F3760000}"/>
    <cellStyle name="Вычисление 5 2 3 2" xfId="2972" xr:uid="{00000000-0005-0000-0000-0000F4760000}"/>
    <cellStyle name="Вычисление 5 2 3 2 2" xfId="6331" xr:uid="{00000000-0005-0000-0000-0000F5760000}"/>
    <cellStyle name="Вычисление 5 2 3 2 2 2" xfId="28933" xr:uid="{00000000-0005-0000-0000-0000F6760000}"/>
    <cellStyle name="Вычисление 5 2 3 2 2_TOM TAT" xfId="26342" xr:uid="{00000000-0005-0000-0000-0000F7760000}"/>
    <cellStyle name="Вычисление 5 2 3 2 3" xfId="27762" xr:uid="{00000000-0005-0000-0000-0000F8760000}"/>
    <cellStyle name="Вычисление 5 2 3 2_TOM TAT" xfId="26341" xr:uid="{00000000-0005-0000-0000-0000F9760000}"/>
    <cellStyle name="Вычисление 5 2 3 3" xfId="6332" xr:uid="{00000000-0005-0000-0000-0000FA760000}"/>
    <cellStyle name="Вычисление 5 2 3 3 2" xfId="28934" xr:uid="{00000000-0005-0000-0000-0000FB760000}"/>
    <cellStyle name="Вычисление 5 2 3 3_TOM TAT" xfId="26343" xr:uid="{00000000-0005-0000-0000-0000FC760000}"/>
    <cellStyle name="Вычисление 5 2 3 4" xfId="27761" xr:uid="{00000000-0005-0000-0000-0000FD760000}"/>
    <cellStyle name="Вычисление 5 2 3_TOM TAT" xfId="26340" xr:uid="{00000000-0005-0000-0000-0000FE760000}"/>
    <cellStyle name="Вычисление 5 2 4" xfId="2973" xr:uid="{00000000-0005-0000-0000-0000FF760000}"/>
    <cellStyle name="Вычисление 5 2 4 2" xfId="2974" xr:uid="{00000000-0005-0000-0000-000000770000}"/>
    <cellStyle name="Вычисление 5 2 4 2 2" xfId="6333" xr:uid="{00000000-0005-0000-0000-000001770000}"/>
    <cellStyle name="Вычисление 5 2 4 2 2 2" xfId="28935" xr:uid="{00000000-0005-0000-0000-000002770000}"/>
    <cellStyle name="Вычисление 5 2 4 2 2_TOM TAT" xfId="26346" xr:uid="{00000000-0005-0000-0000-000003770000}"/>
    <cellStyle name="Вычисление 5 2 4 2 3" xfId="27764" xr:uid="{00000000-0005-0000-0000-000004770000}"/>
    <cellStyle name="Вычисление 5 2 4 2_TOM TAT" xfId="26345" xr:uid="{00000000-0005-0000-0000-000005770000}"/>
    <cellStyle name="Вычисление 5 2 4 3" xfId="6334" xr:uid="{00000000-0005-0000-0000-000006770000}"/>
    <cellStyle name="Вычисление 5 2 4 3 2" xfId="28936" xr:uid="{00000000-0005-0000-0000-000007770000}"/>
    <cellStyle name="Вычисление 5 2 4 3_TOM TAT" xfId="26347" xr:uid="{00000000-0005-0000-0000-000008770000}"/>
    <cellStyle name="Вычисление 5 2 4 4" xfId="27763" xr:uid="{00000000-0005-0000-0000-000009770000}"/>
    <cellStyle name="Вычисление 5 2 4_TOM TAT" xfId="26344" xr:uid="{00000000-0005-0000-0000-00000A770000}"/>
    <cellStyle name="Вычисление 5 2 5" xfId="2975" xr:uid="{00000000-0005-0000-0000-00000B770000}"/>
    <cellStyle name="Вычисление 5 2 5 2" xfId="6335" xr:uid="{00000000-0005-0000-0000-00000C770000}"/>
    <cellStyle name="Вычисление 5 2 5 2 2" xfId="28937" xr:uid="{00000000-0005-0000-0000-00000D770000}"/>
    <cellStyle name="Вычисление 5 2 5 2_TOM TAT" xfId="26349" xr:uid="{00000000-0005-0000-0000-00000E770000}"/>
    <cellStyle name="Вычисление 5 2 5 3" xfId="27765" xr:uid="{00000000-0005-0000-0000-00000F770000}"/>
    <cellStyle name="Вычисление 5 2 5_TOM TAT" xfId="26348" xr:uid="{00000000-0005-0000-0000-000010770000}"/>
    <cellStyle name="Вычисление 5 2 6" xfId="2976" xr:uid="{00000000-0005-0000-0000-000011770000}"/>
    <cellStyle name="Вычисление 5 2 6 2" xfId="6336" xr:uid="{00000000-0005-0000-0000-000012770000}"/>
    <cellStyle name="Вычисление 5 2 6 2 2" xfId="28938" xr:uid="{00000000-0005-0000-0000-000013770000}"/>
    <cellStyle name="Вычисление 5 2 6 2_TOM TAT" xfId="26351" xr:uid="{00000000-0005-0000-0000-000014770000}"/>
    <cellStyle name="Вычисление 5 2 6 3" xfId="27766" xr:uid="{00000000-0005-0000-0000-000015770000}"/>
    <cellStyle name="Вычисление 5 2 6_TOM TAT" xfId="26350" xr:uid="{00000000-0005-0000-0000-000016770000}"/>
    <cellStyle name="Вычисление 5 2 7" xfId="6337" xr:uid="{00000000-0005-0000-0000-000017770000}"/>
    <cellStyle name="Вычисление 5 2 7 2" xfId="28939" xr:uid="{00000000-0005-0000-0000-000018770000}"/>
    <cellStyle name="Вычисление 5 2 7_TOM TAT" xfId="26352" xr:uid="{00000000-0005-0000-0000-000019770000}"/>
    <cellStyle name="Вычисление 5 2 8" xfId="27755" xr:uid="{00000000-0005-0000-0000-00001A770000}"/>
    <cellStyle name="Вычисление 5 2_TOM TAT" xfId="26329" xr:uid="{00000000-0005-0000-0000-00001B770000}"/>
    <cellStyle name="Вычисление 5 3" xfId="2977" xr:uid="{00000000-0005-0000-0000-00001C770000}"/>
    <cellStyle name="Вычисление 5 3 2" xfId="2978" xr:uid="{00000000-0005-0000-0000-00001D770000}"/>
    <cellStyle name="Вычисление 5 3 2 2" xfId="2979" xr:uid="{00000000-0005-0000-0000-00001E770000}"/>
    <cellStyle name="Вычисление 5 3 2 2 2" xfId="2980" xr:uid="{00000000-0005-0000-0000-00001F770000}"/>
    <cellStyle name="Вычисление 5 3 2 2 2 2" xfId="6338" xr:uid="{00000000-0005-0000-0000-000020770000}"/>
    <cellStyle name="Вычисление 5 3 2 2 2 2 2" xfId="28940" xr:uid="{00000000-0005-0000-0000-000021770000}"/>
    <cellStyle name="Вычисление 5 3 2 2 2 2_TOM TAT" xfId="26357" xr:uid="{00000000-0005-0000-0000-000022770000}"/>
    <cellStyle name="Вычисление 5 3 2 2 2 3" xfId="27770" xr:uid="{00000000-0005-0000-0000-000023770000}"/>
    <cellStyle name="Вычисление 5 3 2 2 2_TOM TAT" xfId="26356" xr:uid="{00000000-0005-0000-0000-000024770000}"/>
    <cellStyle name="Вычисление 5 3 2 2 3" xfId="6339" xr:uid="{00000000-0005-0000-0000-000025770000}"/>
    <cellStyle name="Вычисление 5 3 2 2 3 2" xfId="28941" xr:uid="{00000000-0005-0000-0000-000026770000}"/>
    <cellStyle name="Вычисление 5 3 2 2 3_TOM TAT" xfId="26358" xr:uid="{00000000-0005-0000-0000-000027770000}"/>
    <cellStyle name="Вычисление 5 3 2 2 4" xfId="27769" xr:uid="{00000000-0005-0000-0000-000028770000}"/>
    <cellStyle name="Вычисление 5 3 2 2_TOM TAT" xfId="26355" xr:uid="{00000000-0005-0000-0000-000029770000}"/>
    <cellStyle name="Вычисление 5 3 2 3" xfId="2981" xr:uid="{00000000-0005-0000-0000-00002A770000}"/>
    <cellStyle name="Вычисление 5 3 2 3 2" xfId="6340" xr:uid="{00000000-0005-0000-0000-00002B770000}"/>
    <cellStyle name="Вычисление 5 3 2 3 2 2" xfId="28942" xr:uid="{00000000-0005-0000-0000-00002C770000}"/>
    <cellStyle name="Вычисление 5 3 2 3 2_TOM TAT" xfId="26360" xr:uid="{00000000-0005-0000-0000-00002D770000}"/>
    <cellStyle name="Вычисление 5 3 2 3 3" xfId="27771" xr:uid="{00000000-0005-0000-0000-00002E770000}"/>
    <cellStyle name="Вычисление 5 3 2 3_TOM TAT" xfId="26359" xr:uid="{00000000-0005-0000-0000-00002F770000}"/>
    <cellStyle name="Вычисление 5 3 2 4" xfId="2982" xr:uid="{00000000-0005-0000-0000-000030770000}"/>
    <cellStyle name="Вычисление 5 3 2 4 2" xfId="6341" xr:uid="{00000000-0005-0000-0000-000031770000}"/>
    <cellStyle name="Вычисление 5 3 2 4 2 2" xfId="28943" xr:uid="{00000000-0005-0000-0000-000032770000}"/>
    <cellStyle name="Вычисление 5 3 2 4 2_TOM TAT" xfId="26362" xr:uid="{00000000-0005-0000-0000-000033770000}"/>
    <cellStyle name="Вычисление 5 3 2 4 3" xfId="27772" xr:uid="{00000000-0005-0000-0000-000034770000}"/>
    <cellStyle name="Вычисление 5 3 2 4_TOM TAT" xfId="26361" xr:uid="{00000000-0005-0000-0000-000035770000}"/>
    <cellStyle name="Вычисление 5 3 2 5" xfId="6342" xr:uid="{00000000-0005-0000-0000-000036770000}"/>
    <cellStyle name="Вычисление 5 3 2 5 2" xfId="28944" xr:uid="{00000000-0005-0000-0000-000037770000}"/>
    <cellStyle name="Вычисление 5 3 2 5_TOM TAT" xfId="26363" xr:uid="{00000000-0005-0000-0000-000038770000}"/>
    <cellStyle name="Вычисление 5 3 2 6" xfId="27768" xr:uid="{00000000-0005-0000-0000-000039770000}"/>
    <cellStyle name="Вычисление 5 3 2_TOM TAT" xfId="26354" xr:uid="{00000000-0005-0000-0000-00003A770000}"/>
    <cellStyle name="Вычисление 5 3 3" xfId="2983" xr:uid="{00000000-0005-0000-0000-00003B770000}"/>
    <cellStyle name="Вычисление 5 3 3 2" xfId="2984" xr:uid="{00000000-0005-0000-0000-00003C770000}"/>
    <cellStyle name="Вычисление 5 3 3 2 2" xfId="6343" xr:uid="{00000000-0005-0000-0000-00003D770000}"/>
    <cellStyle name="Вычисление 5 3 3 2 2 2" xfId="28945" xr:uid="{00000000-0005-0000-0000-00003E770000}"/>
    <cellStyle name="Вычисление 5 3 3 2 2_TOM TAT" xfId="26366" xr:uid="{00000000-0005-0000-0000-00003F770000}"/>
    <cellStyle name="Вычисление 5 3 3 2 3" xfId="27774" xr:uid="{00000000-0005-0000-0000-000040770000}"/>
    <cellStyle name="Вычисление 5 3 3 2_TOM TAT" xfId="26365" xr:uid="{00000000-0005-0000-0000-000041770000}"/>
    <cellStyle name="Вычисление 5 3 3 3" xfId="6344" xr:uid="{00000000-0005-0000-0000-000042770000}"/>
    <cellStyle name="Вычисление 5 3 3 3 2" xfId="28946" xr:uid="{00000000-0005-0000-0000-000043770000}"/>
    <cellStyle name="Вычисление 5 3 3 3_TOM TAT" xfId="26367" xr:uid="{00000000-0005-0000-0000-000044770000}"/>
    <cellStyle name="Вычисление 5 3 3 4" xfId="27773" xr:uid="{00000000-0005-0000-0000-000045770000}"/>
    <cellStyle name="Вычисление 5 3 3_TOM TAT" xfId="26364" xr:uid="{00000000-0005-0000-0000-000046770000}"/>
    <cellStyle name="Вычисление 5 3 4" xfId="2985" xr:uid="{00000000-0005-0000-0000-000047770000}"/>
    <cellStyle name="Вычисление 5 3 4 2" xfId="2986" xr:uid="{00000000-0005-0000-0000-000048770000}"/>
    <cellStyle name="Вычисление 5 3 4 2 2" xfId="6345" xr:uid="{00000000-0005-0000-0000-000049770000}"/>
    <cellStyle name="Вычисление 5 3 4 2 2 2" xfId="28947" xr:uid="{00000000-0005-0000-0000-00004A770000}"/>
    <cellStyle name="Вычисление 5 3 4 2 2_TOM TAT" xfId="26370" xr:uid="{00000000-0005-0000-0000-00004B770000}"/>
    <cellStyle name="Вычисление 5 3 4 2 3" xfId="27776" xr:uid="{00000000-0005-0000-0000-00004C770000}"/>
    <cellStyle name="Вычисление 5 3 4 2_TOM TAT" xfId="26369" xr:uid="{00000000-0005-0000-0000-00004D770000}"/>
    <cellStyle name="Вычисление 5 3 4 3" xfId="6346" xr:uid="{00000000-0005-0000-0000-00004E770000}"/>
    <cellStyle name="Вычисление 5 3 4 3 2" xfId="28948" xr:uid="{00000000-0005-0000-0000-00004F770000}"/>
    <cellStyle name="Вычисление 5 3 4 3_TOM TAT" xfId="26371" xr:uid="{00000000-0005-0000-0000-000050770000}"/>
    <cellStyle name="Вычисление 5 3 4 4" xfId="27775" xr:uid="{00000000-0005-0000-0000-000051770000}"/>
    <cellStyle name="Вычисление 5 3 4_TOM TAT" xfId="26368" xr:uid="{00000000-0005-0000-0000-000052770000}"/>
    <cellStyle name="Вычисление 5 3 5" xfId="2987" xr:uid="{00000000-0005-0000-0000-000053770000}"/>
    <cellStyle name="Вычисление 5 3 5 2" xfId="6347" xr:uid="{00000000-0005-0000-0000-000054770000}"/>
    <cellStyle name="Вычисление 5 3 5 2 2" xfId="28949" xr:uid="{00000000-0005-0000-0000-000055770000}"/>
    <cellStyle name="Вычисление 5 3 5 2_TOM TAT" xfId="26373" xr:uid="{00000000-0005-0000-0000-000056770000}"/>
    <cellStyle name="Вычисление 5 3 5 3" xfId="27777" xr:uid="{00000000-0005-0000-0000-000057770000}"/>
    <cellStyle name="Вычисление 5 3 5_TOM TAT" xfId="26372" xr:uid="{00000000-0005-0000-0000-000058770000}"/>
    <cellStyle name="Вычисление 5 3 6" xfId="2988" xr:uid="{00000000-0005-0000-0000-000059770000}"/>
    <cellStyle name="Вычисление 5 3 6 2" xfId="6348" xr:uid="{00000000-0005-0000-0000-00005A770000}"/>
    <cellStyle name="Вычисление 5 3 6 2 2" xfId="28950" xr:uid="{00000000-0005-0000-0000-00005B770000}"/>
    <cellStyle name="Вычисление 5 3 6 2_TOM TAT" xfId="26375" xr:uid="{00000000-0005-0000-0000-00005C770000}"/>
    <cellStyle name="Вычисление 5 3 6 3" xfId="27778" xr:uid="{00000000-0005-0000-0000-00005D770000}"/>
    <cellStyle name="Вычисление 5 3 6_TOM TAT" xfId="26374" xr:uid="{00000000-0005-0000-0000-00005E770000}"/>
    <cellStyle name="Вычисление 5 3 7" xfId="6349" xr:uid="{00000000-0005-0000-0000-00005F770000}"/>
    <cellStyle name="Вычисление 5 3 7 2" xfId="28951" xr:uid="{00000000-0005-0000-0000-000060770000}"/>
    <cellStyle name="Вычисление 5 3 7_TOM TAT" xfId="26376" xr:uid="{00000000-0005-0000-0000-000061770000}"/>
    <cellStyle name="Вычисление 5 3 8" xfId="27767" xr:uid="{00000000-0005-0000-0000-000062770000}"/>
    <cellStyle name="Вычисление 5 3_TOM TAT" xfId="26353" xr:uid="{00000000-0005-0000-0000-000063770000}"/>
    <cellStyle name="Вычисление 5 4" xfId="2989" xr:uid="{00000000-0005-0000-0000-000064770000}"/>
    <cellStyle name="Вычисление 5 4 2" xfId="2990" xr:uid="{00000000-0005-0000-0000-000065770000}"/>
    <cellStyle name="Вычисление 5 4 2 2" xfId="2991" xr:uid="{00000000-0005-0000-0000-000066770000}"/>
    <cellStyle name="Вычисление 5 4 2 2 2" xfId="6350" xr:uid="{00000000-0005-0000-0000-000067770000}"/>
    <cellStyle name="Вычисление 5 4 2 2 2 2" xfId="28952" xr:uid="{00000000-0005-0000-0000-000068770000}"/>
    <cellStyle name="Вычисление 5 4 2 2 2_TOM TAT" xfId="26380" xr:uid="{00000000-0005-0000-0000-000069770000}"/>
    <cellStyle name="Вычисление 5 4 2 2 3" xfId="27781" xr:uid="{00000000-0005-0000-0000-00006A770000}"/>
    <cellStyle name="Вычисление 5 4 2 2_TOM TAT" xfId="26379" xr:uid="{00000000-0005-0000-0000-00006B770000}"/>
    <cellStyle name="Вычисление 5 4 2 3" xfId="6351" xr:uid="{00000000-0005-0000-0000-00006C770000}"/>
    <cellStyle name="Вычисление 5 4 2 3 2" xfId="28953" xr:uid="{00000000-0005-0000-0000-00006D770000}"/>
    <cellStyle name="Вычисление 5 4 2 3_TOM TAT" xfId="26381" xr:uid="{00000000-0005-0000-0000-00006E770000}"/>
    <cellStyle name="Вычисление 5 4 2 4" xfId="27780" xr:uid="{00000000-0005-0000-0000-00006F770000}"/>
    <cellStyle name="Вычисление 5 4 2_TOM TAT" xfId="26378" xr:uid="{00000000-0005-0000-0000-000070770000}"/>
    <cellStyle name="Вычисление 5 4 3" xfId="2992" xr:uid="{00000000-0005-0000-0000-000071770000}"/>
    <cellStyle name="Вычисление 5 4 3 2" xfId="6352" xr:uid="{00000000-0005-0000-0000-000072770000}"/>
    <cellStyle name="Вычисление 5 4 3 2 2" xfId="28954" xr:uid="{00000000-0005-0000-0000-000073770000}"/>
    <cellStyle name="Вычисление 5 4 3 2_TOM TAT" xfId="26383" xr:uid="{00000000-0005-0000-0000-000074770000}"/>
    <cellStyle name="Вычисление 5 4 3 3" xfId="27782" xr:uid="{00000000-0005-0000-0000-000075770000}"/>
    <cellStyle name="Вычисление 5 4 3_TOM TAT" xfId="26382" xr:uid="{00000000-0005-0000-0000-000076770000}"/>
    <cellStyle name="Вычисление 5 4 4" xfId="2993" xr:uid="{00000000-0005-0000-0000-000077770000}"/>
    <cellStyle name="Вычисление 5 4 4 2" xfId="6353" xr:uid="{00000000-0005-0000-0000-000078770000}"/>
    <cellStyle name="Вычисление 5 4 4 2 2" xfId="28955" xr:uid="{00000000-0005-0000-0000-000079770000}"/>
    <cellStyle name="Вычисление 5 4 4 2_TOM TAT" xfId="26385" xr:uid="{00000000-0005-0000-0000-00007A770000}"/>
    <cellStyle name="Вычисление 5 4 4 3" xfId="27783" xr:uid="{00000000-0005-0000-0000-00007B770000}"/>
    <cellStyle name="Вычисление 5 4 4_TOM TAT" xfId="26384" xr:uid="{00000000-0005-0000-0000-00007C770000}"/>
    <cellStyle name="Вычисление 5 4 5" xfId="6354" xr:uid="{00000000-0005-0000-0000-00007D770000}"/>
    <cellStyle name="Вычисление 5 4 5 2" xfId="28956" xr:uid="{00000000-0005-0000-0000-00007E770000}"/>
    <cellStyle name="Вычисление 5 4 5_TOM TAT" xfId="26386" xr:uid="{00000000-0005-0000-0000-00007F770000}"/>
    <cellStyle name="Вычисление 5 4 6" xfId="27779" xr:uid="{00000000-0005-0000-0000-000080770000}"/>
    <cellStyle name="Вычисление 5 4_TOM TAT" xfId="26377" xr:uid="{00000000-0005-0000-0000-000081770000}"/>
    <cellStyle name="Вычисление 5 5" xfId="2994" xr:uid="{00000000-0005-0000-0000-000082770000}"/>
    <cellStyle name="Вычисление 5 5 2" xfId="2995" xr:uid="{00000000-0005-0000-0000-000083770000}"/>
    <cellStyle name="Вычисление 5 5 2 2" xfId="6355" xr:uid="{00000000-0005-0000-0000-000084770000}"/>
    <cellStyle name="Вычисление 5 5 2 2 2" xfId="28957" xr:uid="{00000000-0005-0000-0000-000085770000}"/>
    <cellStyle name="Вычисление 5 5 2 2_TOM TAT" xfId="26389" xr:uid="{00000000-0005-0000-0000-000086770000}"/>
    <cellStyle name="Вычисление 5 5 2 3" xfId="27785" xr:uid="{00000000-0005-0000-0000-000087770000}"/>
    <cellStyle name="Вычисление 5 5 2_TOM TAT" xfId="26388" xr:uid="{00000000-0005-0000-0000-000088770000}"/>
    <cellStyle name="Вычисление 5 5 3" xfId="6356" xr:uid="{00000000-0005-0000-0000-000089770000}"/>
    <cellStyle name="Вычисление 5 5 3 2" xfId="28958" xr:uid="{00000000-0005-0000-0000-00008A770000}"/>
    <cellStyle name="Вычисление 5 5 3_TOM TAT" xfId="26390" xr:uid="{00000000-0005-0000-0000-00008B770000}"/>
    <cellStyle name="Вычисление 5 5 4" xfId="27784" xr:uid="{00000000-0005-0000-0000-00008C770000}"/>
    <cellStyle name="Вычисление 5 5_TOM TAT" xfId="26387" xr:uid="{00000000-0005-0000-0000-00008D770000}"/>
    <cellStyle name="Вычисление 5 6" xfId="2996" xr:uid="{00000000-0005-0000-0000-00008E770000}"/>
    <cellStyle name="Вычисление 5 6 2" xfId="2997" xr:uid="{00000000-0005-0000-0000-00008F770000}"/>
    <cellStyle name="Вычисление 5 6 2 2" xfId="6357" xr:uid="{00000000-0005-0000-0000-000090770000}"/>
    <cellStyle name="Вычисление 5 6 2 2 2" xfId="28959" xr:uid="{00000000-0005-0000-0000-000091770000}"/>
    <cellStyle name="Вычисление 5 6 2 2_TOM TAT" xfId="26393" xr:uid="{00000000-0005-0000-0000-000092770000}"/>
    <cellStyle name="Вычисление 5 6 2 3" xfId="27787" xr:uid="{00000000-0005-0000-0000-000093770000}"/>
    <cellStyle name="Вычисление 5 6 2_TOM TAT" xfId="26392" xr:uid="{00000000-0005-0000-0000-000094770000}"/>
    <cellStyle name="Вычисление 5 6 3" xfId="6358" xr:uid="{00000000-0005-0000-0000-000095770000}"/>
    <cellStyle name="Вычисление 5 6 3 2" xfId="28960" xr:uid="{00000000-0005-0000-0000-000096770000}"/>
    <cellStyle name="Вычисление 5 6 3_TOM TAT" xfId="26394" xr:uid="{00000000-0005-0000-0000-000097770000}"/>
    <cellStyle name="Вычисление 5 6 4" xfId="27786" xr:uid="{00000000-0005-0000-0000-000098770000}"/>
    <cellStyle name="Вычисление 5 6_TOM TAT" xfId="26391" xr:uid="{00000000-0005-0000-0000-000099770000}"/>
    <cellStyle name="Вычисление 5 7" xfId="2998" xr:uid="{00000000-0005-0000-0000-00009A770000}"/>
    <cellStyle name="Вычисление 5 7 2" xfId="6359" xr:uid="{00000000-0005-0000-0000-00009B770000}"/>
    <cellStyle name="Вычисление 5 7 2 2" xfId="28961" xr:uid="{00000000-0005-0000-0000-00009C770000}"/>
    <cellStyle name="Вычисление 5 7 2_TOM TAT" xfId="26396" xr:uid="{00000000-0005-0000-0000-00009D770000}"/>
    <cellStyle name="Вычисление 5 7 3" xfId="27788" xr:uid="{00000000-0005-0000-0000-00009E770000}"/>
    <cellStyle name="Вычисление 5 7_TOM TAT" xfId="26395" xr:uid="{00000000-0005-0000-0000-00009F770000}"/>
    <cellStyle name="Вычисление 5 8" xfId="2999" xr:uid="{00000000-0005-0000-0000-0000A0770000}"/>
    <cellStyle name="Вычисление 5 8 2" xfId="6360" xr:uid="{00000000-0005-0000-0000-0000A1770000}"/>
    <cellStyle name="Вычисление 5 8 2 2" xfId="28962" xr:uid="{00000000-0005-0000-0000-0000A2770000}"/>
    <cellStyle name="Вычисление 5 8 2_TOM TAT" xfId="26398" xr:uid="{00000000-0005-0000-0000-0000A3770000}"/>
    <cellStyle name="Вычисление 5 8 3" xfId="27789" xr:uid="{00000000-0005-0000-0000-0000A4770000}"/>
    <cellStyle name="Вычисление 5 8_TOM TAT" xfId="26397" xr:uid="{00000000-0005-0000-0000-0000A5770000}"/>
    <cellStyle name="Вычисление 5 9" xfId="6361" xr:uid="{00000000-0005-0000-0000-0000A6770000}"/>
    <cellStyle name="Вычисление 5 9 2" xfId="28963" xr:uid="{00000000-0005-0000-0000-0000A7770000}"/>
    <cellStyle name="Вычисление 5 9_TOM TAT" xfId="26399" xr:uid="{00000000-0005-0000-0000-0000A8770000}"/>
    <cellStyle name="Вычисление 5_TOM TAT" xfId="26328" xr:uid="{00000000-0005-0000-0000-0000A9770000}"/>
    <cellStyle name="Вычисление 6" xfId="3000" xr:uid="{00000000-0005-0000-0000-0000AA770000}"/>
    <cellStyle name="Вычисление 6 2" xfId="3001" xr:uid="{00000000-0005-0000-0000-0000AB770000}"/>
    <cellStyle name="Вычисление 6 2 2" xfId="3002" xr:uid="{00000000-0005-0000-0000-0000AC770000}"/>
    <cellStyle name="Вычисление 6 2 2 2" xfId="3003" xr:uid="{00000000-0005-0000-0000-0000AD770000}"/>
    <cellStyle name="Вычисление 6 2 2 2 2" xfId="6362" xr:uid="{00000000-0005-0000-0000-0000AE770000}"/>
    <cellStyle name="Вычисление 6 2 2 2 2 2" xfId="28964" xr:uid="{00000000-0005-0000-0000-0000AF770000}"/>
    <cellStyle name="Вычисление 6 2 2 2 2_TOM TAT" xfId="26404" xr:uid="{00000000-0005-0000-0000-0000B0770000}"/>
    <cellStyle name="Вычисление 6 2 2 2 3" xfId="27793" xr:uid="{00000000-0005-0000-0000-0000B1770000}"/>
    <cellStyle name="Вычисление 6 2 2 2_TOM TAT" xfId="26403" xr:uid="{00000000-0005-0000-0000-0000B2770000}"/>
    <cellStyle name="Вычисление 6 2 2 3" xfId="6363" xr:uid="{00000000-0005-0000-0000-0000B3770000}"/>
    <cellStyle name="Вычисление 6 2 2 3 2" xfId="28965" xr:uid="{00000000-0005-0000-0000-0000B4770000}"/>
    <cellStyle name="Вычисление 6 2 2 3_TOM TAT" xfId="26405" xr:uid="{00000000-0005-0000-0000-0000B5770000}"/>
    <cellStyle name="Вычисление 6 2 2 4" xfId="27792" xr:uid="{00000000-0005-0000-0000-0000B6770000}"/>
    <cellStyle name="Вычисление 6 2 2_TOM TAT" xfId="26402" xr:uid="{00000000-0005-0000-0000-0000B7770000}"/>
    <cellStyle name="Вычисление 6 2 3" xfId="3004" xr:uid="{00000000-0005-0000-0000-0000B8770000}"/>
    <cellStyle name="Вычисление 6 2 3 2" xfId="6364" xr:uid="{00000000-0005-0000-0000-0000B9770000}"/>
    <cellStyle name="Вычисление 6 2 3 2 2" xfId="28966" xr:uid="{00000000-0005-0000-0000-0000BA770000}"/>
    <cellStyle name="Вычисление 6 2 3 2_TOM TAT" xfId="26407" xr:uid="{00000000-0005-0000-0000-0000BB770000}"/>
    <cellStyle name="Вычисление 6 2 3 3" xfId="27794" xr:uid="{00000000-0005-0000-0000-0000BC770000}"/>
    <cellStyle name="Вычисление 6 2 3_TOM TAT" xfId="26406" xr:uid="{00000000-0005-0000-0000-0000BD770000}"/>
    <cellStyle name="Вычисление 6 2 4" xfId="3005" xr:uid="{00000000-0005-0000-0000-0000BE770000}"/>
    <cellStyle name="Вычисление 6 2 4 2" xfId="6365" xr:uid="{00000000-0005-0000-0000-0000BF770000}"/>
    <cellStyle name="Вычисление 6 2 4 2 2" xfId="28967" xr:uid="{00000000-0005-0000-0000-0000C0770000}"/>
    <cellStyle name="Вычисление 6 2 4 2_TOM TAT" xfId="26409" xr:uid="{00000000-0005-0000-0000-0000C1770000}"/>
    <cellStyle name="Вычисление 6 2 4 3" xfId="27795" xr:uid="{00000000-0005-0000-0000-0000C2770000}"/>
    <cellStyle name="Вычисление 6 2 4_TOM TAT" xfId="26408" xr:uid="{00000000-0005-0000-0000-0000C3770000}"/>
    <cellStyle name="Вычисление 6 2 5" xfId="6366" xr:uid="{00000000-0005-0000-0000-0000C4770000}"/>
    <cellStyle name="Вычисление 6 2 5 2" xfId="28968" xr:uid="{00000000-0005-0000-0000-0000C5770000}"/>
    <cellStyle name="Вычисление 6 2 5_TOM TAT" xfId="26410" xr:uid="{00000000-0005-0000-0000-0000C6770000}"/>
    <cellStyle name="Вычисление 6 2 6" xfId="27791" xr:uid="{00000000-0005-0000-0000-0000C7770000}"/>
    <cellStyle name="Вычисление 6 2_TOM TAT" xfId="26401" xr:uid="{00000000-0005-0000-0000-0000C8770000}"/>
    <cellStyle name="Вычисление 6 3" xfId="3006" xr:uid="{00000000-0005-0000-0000-0000C9770000}"/>
    <cellStyle name="Вычисление 6 3 2" xfId="3007" xr:uid="{00000000-0005-0000-0000-0000CA770000}"/>
    <cellStyle name="Вычисление 6 3 2 2" xfId="6367" xr:uid="{00000000-0005-0000-0000-0000CB770000}"/>
    <cellStyle name="Вычисление 6 3 2 2 2" xfId="28969" xr:uid="{00000000-0005-0000-0000-0000CC770000}"/>
    <cellStyle name="Вычисление 6 3 2 2_TOM TAT" xfId="26413" xr:uid="{00000000-0005-0000-0000-0000CD770000}"/>
    <cellStyle name="Вычисление 6 3 2 3" xfId="27797" xr:uid="{00000000-0005-0000-0000-0000CE770000}"/>
    <cellStyle name="Вычисление 6 3 2_TOM TAT" xfId="26412" xr:uid="{00000000-0005-0000-0000-0000CF770000}"/>
    <cellStyle name="Вычисление 6 3 3" xfId="6368" xr:uid="{00000000-0005-0000-0000-0000D0770000}"/>
    <cellStyle name="Вычисление 6 3 3 2" xfId="28970" xr:uid="{00000000-0005-0000-0000-0000D1770000}"/>
    <cellStyle name="Вычисление 6 3 3_TOM TAT" xfId="26414" xr:uid="{00000000-0005-0000-0000-0000D2770000}"/>
    <cellStyle name="Вычисление 6 3 4" xfId="27796" xr:uid="{00000000-0005-0000-0000-0000D3770000}"/>
    <cellStyle name="Вычисление 6 3_TOM TAT" xfId="26411" xr:uid="{00000000-0005-0000-0000-0000D4770000}"/>
    <cellStyle name="Вычисление 6 4" xfId="3008" xr:uid="{00000000-0005-0000-0000-0000D5770000}"/>
    <cellStyle name="Вычисление 6 4 2" xfId="3009" xr:uid="{00000000-0005-0000-0000-0000D6770000}"/>
    <cellStyle name="Вычисление 6 4 2 2" xfId="6369" xr:uid="{00000000-0005-0000-0000-0000D7770000}"/>
    <cellStyle name="Вычисление 6 4 2 2 2" xfId="28971" xr:uid="{00000000-0005-0000-0000-0000D8770000}"/>
    <cellStyle name="Вычисление 6 4 2 2_TOM TAT" xfId="26417" xr:uid="{00000000-0005-0000-0000-0000D9770000}"/>
    <cellStyle name="Вычисление 6 4 2 3" xfId="27799" xr:uid="{00000000-0005-0000-0000-0000DA770000}"/>
    <cellStyle name="Вычисление 6 4 2_TOM TAT" xfId="26416" xr:uid="{00000000-0005-0000-0000-0000DB770000}"/>
    <cellStyle name="Вычисление 6 4 3" xfId="6370" xr:uid="{00000000-0005-0000-0000-0000DC770000}"/>
    <cellStyle name="Вычисление 6 4 3 2" xfId="28972" xr:uid="{00000000-0005-0000-0000-0000DD770000}"/>
    <cellStyle name="Вычисление 6 4 3_TOM TAT" xfId="26418" xr:uid="{00000000-0005-0000-0000-0000DE770000}"/>
    <cellStyle name="Вычисление 6 4 4" xfId="27798" xr:uid="{00000000-0005-0000-0000-0000DF770000}"/>
    <cellStyle name="Вычисление 6 4_TOM TAT" xfId="26415" xr:uid="{00000000-0005-0000-0000-0000E0770000}"/>
    <cellStyle name="Вычисление 6 5" xfId="3010" xr:uid="{00000000-0005-0000-0000-0000E1770000}"/>
    <cellStyle name="Вычисление 6 5 2" xfId="6371" xr:uid="{00000000-0005-0000-0000-0000E2770000}"/>
    <cellStyle name="Вычисление 6 5 2 2" xfId="28973" xr:uid="{00000000-0005-0000-0000-0000E3770000}"/>
    <cellStyle name="Вычисление 6 5 2_TOM TAT" xfId="26420" xr:uid="{00000000-0005-0000-0000-0000E4770000}"/>
    <cellStyle name="Вычисление 6 5 3" xfId="27800" xr:uid="{00000000-0005-0000-0000-0000E5770000}"/>
    <cellStyle name="Вычисление 6 5_TOM TAT" xfId="26419" xr:uid="{00000000-0005-0000-0000-0000E6770000}"/>
    <cellStyle name="Вычисление 6 6" xfId="3011" xr:uid="{00000000-0005-0000-0000-0000E7770000}"/>
    <cellStyle name="Вычисление 6 6 2" xfId="6372" xr:uid="{00000000-0005-0000-0000-0000E8770000}"/>
    <cellStyle name="Вычисление 6 6 2 2" xfId="28974" xr:uid="{00000000-0005-0000-0000-0000E9770000}"/>
    <cellStyle name="Вычисление 6 6 2_TOM TAT" xfId="26422" xr:uid="{00000000-0005-0000-0000-0000EA770000}"/>
    <cellStyle name="Вычисление 6 6 3" xfId="27801" xr:uid="{00000000-0005-0000-0000-0000EB770000}"/>
    <cellStyle name="Вычисление 6 6_TOM TAT" xfId="26421" xr:uid="{00000000-0005-0000-0000-0000EC770000}"/>
    <cellStyle name="Вычисление 6 7" xfId="6373" xr:uid="{00000000-0005-0000-0000-0000ED770000}"/>
    <cellStyle name="Вычисление 6 7 2" xfId="28975" xr:uid="{00000000-0005-0000-0000-0000EE770000}"/>
    <cellStyle name="Вычисление 6 7_TOM TAT" xfId="26423" xr:uid="{00000000-0005-0000-0000-0000EF770000}"/>
    <cellStyle name="Вычисление 6 8" xfId="27790" xr:uid="{00000000-0005-0000-0000-0000F0770000}"/>
    <cellStyle name="Вычисление 6_TOM TAT" xfId="26400" xr:uid="{00000000-0005-0000-0000-0000F1770000}"/>
    <cellStyle name="Вычисление 7" xfId="3012" xr:uid="{00000000-0005-0000-0000-0000F2770000}"/>
    <cellStyle name="Вычисление 7 2" xfId="3013" xr:uid="{00000000-0005-0000-0000-0000F3770000}"/>
    <cellStyle name="Вычисление 7 2 2" xfId="3014" xr:uid="{00000000-0005-0000-0000-0000F4770000}"/>
    <cellStyle name="Вычисление 7 2 2 2" xfId="3015" xr:uid="{00000000-0005-0000-0000-0000F5770000}"/>
    <cellStyle name="Вычисление 7 2 2 2 2" xfId="6374" xr:uid="{00000000-0005-0000-0000-0000F6770000}"/>
    <cellStyle name="Вычисление 7 2 2 2 2 2" xfId="28976" xr:uid="{00000000-0005-0000-0000-0000F7770000}"/>
    <cellStyle name="Вычисление 7 2 2 2 2_TOM TAT" xfId="26428" xr:uid="{00000000-0005-0000-0000-0000F8770000}"/>
    <cellStyle name="Вычисление 7 2 2 2 3" xfId="27805" xr:uid="{00000000-0005-0000-0000-0000F9770000}"/>
    <cellStyle name="Вычисление 7 2 2 2_TOM TAT" xfId="26427" xr:uid="{00000000-0005-0000-0000-0000FA770000}"/>
    <cellStyle name="Вычисление 7 2 2 3" xfId="6375" xr:uid="{00000000-0005-0000-0000-0000FB770000}"/>
    <cellStyle name="Вычисление 7 2 2 3 2" xfId="28977" xr:uid="{00000000-0005-0000-0000-0000FC770000}"/>
    <cellStyle name="Вычисление 7 2 2 3_TOM TAT" xfId="26429" xr:uid="{00000000-0005-0000-0000-0000FD770000}"/>
    <cellStyle name="Вычисление 7 2 2 4" xfId="27804" xr:uid="{00000000-0005-0000-0000-0000FE770000}"/>
    <cellStyle name="Вычисление 7 2 2_TOM TAT" xfId="26426" xr:uid="{00000000-0005-0000-0000-0000FF770000}"/>
    <cellStyle name="Вычисление 7 2 3" xfId="3016" xr:uid="{00000000-0005-0000-0000-000000780000}"/>
    <cellStyle name="Вычисление 7 2 3 2" xfId="6376" xr:uid="{00000000-0005-0000-0000-000001780000}"/>
    <cellStyle name="Вычисление 7 2 3 2 2" xfId="28978" xr:uid="{00000000-0005-0000-0000-000002780000}"/>
    <cellStyle name="Вычисление 7 2 3 2_TOM TAT" xfId="26431" xr:uid="{00000000-0005-0000-0000-000003780000}"/>
    <cellStyle name="Вычисление 7 2 3 3" xfId="27806" xr:uid="{00000000-0005-0000-0000-000004780000}"/>
    <cellStyle name="Вычисление 7 2 3_TOM TAT" xfId="26430" xr:uid="{00000000-0005-0000-0000-000005780000}"/>
    <cellStyle name="Вычисление 7 2 4" xfId="3017" xr:uid="{00000000-0005-0000-0000-000006780000}"/>
    <cellStyle name="Вычисление 7 2 4 2" xfId="6377" xr:uid="{00000000-0005-0000-0000-000007780000}"/>
    <cellStyle name="Вычисление 7 2 4 2 2" xfId="28979" xr:uid="{00000000-0005-0000-0000-000008780000}"/>
    <cellStyle name="Вычисление 7 2 4 2_TOM TAT" xfId="26433" xr:uid="{00000000-0005-0000-0000-000009780000}"/>
    <cellStyle name="Вычисление 7 2 4 3" xfId="27807" xr:uid="{00000000-0005-0000-0000-00000A780000}"/>
    <cellStyle name="Вычисление 7 2 4_TOM TAT" xfId="26432" xr:uid="{00000000-0005-0000-0000-00000B780000}"/>
    <cellStyle name="Вычисление 7 2 5" xfId="6378" xr:uid="{00000000-0005-0000-0000-00000C780000}"/>
    <cellStyle name="Вычисление 7 2 5 2" xfId="28980" xr:uid="{00000000-0005-0000-0000-00000D780000}"/>
    <cellStyle name="Вычисление 7 2 5_TOM TAT" xfId="26434" xr:uid="{00000000-0005-0000-0000-00000E780000}"/>
    <cellStyle name="Вычисление 7 2 6" xfId="27803" xr:uid="{00000000-0005-0000-0000-00000F780000}"/>
    <cellStyle name="Вычисление 7 2_TOM TAT" xfId="26425" xr:uid="{00000000-0005-0000-0000-000010780000}"/>
    <cellStyle name="Вычисление 7 3" xfId="3018" xr:uid="{00000000-0005-0000-0000-000011780000}"/>
    <cellStyle name="Вычисление 7 3 2" xfId="3019" xr:uid="{00000000-0005-0000-0000-000012780000}"/>
    <cellStyle name="Вычисление 7 3 2 2" xfId="6379" xr:uid="{00000000-0005-0000-0000-000013780000}"/>
    <cellStyle name="Вычисление 7 3 2 2 2" xfId="28981" xr:uid="{00000000-0005-0000-0000-000014780000}"/>
    <cellStyle name="Вычисление 7 3 2 2_TOM TAT" xfId="26437" xr:uid="{00000000-0005-0000-0000-000015780000}"/>
    <cellStyle name="Вычисление 7 3 2 3" xfId="27809" xr:uid="{00000000-0005-0000-0000-000016780000}"/>
    <cellStyle name="Вычисление 7 3 2_TOM TAT" xfId="26436" xr:uid="{00000000-0005-0000-0000-000017780000}"/>
    <cellStyle name="Вычисление 7 3 3" xfId="6380" xr:uid="{00000000-0005-0000-0000-000018780000}"/>
    <cellStyle name="Вычисление 7 3 3 2" xfId="28982" xr:uid="{00000000-0005-0000-0000-000019780000}"/>
    <cellStyle name="Вычисление 7 3 3_TOM TAT" xfId="26438" xr:uid="{00000000-0005-0000-0000-00001A780000}"/>
    <cellStyle name="Вычисление 7 3 4" xfId="27808" xr:uid="{00000000-0005-0000-0000-00001B780000}"/>
    <cellStyle name="Вычисление 7 3_TOM TAT" xfId="26435" xr:uid="{00000000-0005-0000-0000-00001C780000}"/>
    <cellStyle name="Вычисление 7 4" xfId="3020" xr:uid="{00000000-0005-0000-0000-00001D780000}"/>
    <cellStyle name="Вычисление 7 4 2" xfId="3021" xr:uid="{00000000-0005-0000-0000-00001E780000}"/>
    <cellStyle name="Вычисление 7 4 2 2" xfId="6381" xr:uid="{00000000-0005-0000-0000-00001F780000}"/>
    <cellStyle name="Вычисление 7 4 2 2 2" xfId="28983" xr:uid="{00000000-0005-0000-0000-000020780000}"/>
    <cellStyle name="Вычисление 7 4 2 2_TOM TAT" xfId="26441" xr:uid="{00000000-0005-0000-0000-000021780000}"/>
    <cellStyle name="Вычисление 7 4 2 3" xfId="27811" xr:uid="{00000000-0005-0000-0000-000022780000}"/>
    <cellStyle name="Вычисление 7 4 2_TOM TAT" xfId="26440" xr:uid="{00000000-0005-0000-0000-000023780000}"/>
    <cellStyle name="Вычисление 7 4 3" xfId="6382" xr:uid="{00000000-0005-0000-0000-000024780000}"/>
    <cellStyle name="Вычисление 7 4 3 2" xfId="28984" xr:uid="{00000000-0005-0000-0000-000025780000}"/>
    <cellStyle name="Вычисление 7 4 3_TOM TAT" xfId="26442" xr:uid="{00000000-0005-0000-0000-000026780000}"/>
    <cellStyle name="Вычисление 7 4 4" xfId="27810" xr:uid="{00000000-0005-0000-0000-000027780000}"/>
    <cellStyle name="Вычисление 7 4_TOM TAT" xfId="26439" xr:uid="{00000000-0005-0000-0000-000028780000}"/>
    <cellStyle name="Вычисление 7 5" xfId="3022" xr:uid="{00000000-0005-0000-0000-000029780000}"/>
    <cellStyle name="Вычисление 7 5 2" xfId="6383" xr:uid="{00000000-0005-0000-0000-00002A780000}"/>
    <cellStyle name="Вычисление 7 5 2 2" xfId="28985" xr:uid="{00000000-0005-0000-0000-00002B780000}"/>
    <cellStyle name="Вычисление 7 5 2_TOM TAT" xfId="26444" xr:uid="{00000000-0005-0000-0000-00002C780000}"/>
    <cellStyle name="Вычисление 7 5 3" xfId="27812" xr:uid="{00000000-0005-0000-0000-00002D780000}"/>
    <cellStyle name="Вычисление 7 5_TOM TAT" xfId="26443" xr:uid="{00000000-0005-0000-0000-00002E780000}"/>
    <cellStyle name="Вычисление 7 6" xfId="3023" xr:uid="{00000000-0005-0000-0000-00002F780000}"/>
    <cellStyle name="Вычисление 7 6 2" xfId="6384" xr:uid="{00000000-0005-0000-0000-000030780000}"/>
    <cellStyle name="Вычисление 7 6 2 2" xfId="28986" xr:uid="{00000000-0005-0000-0000-000031780000}"/>
    <cellStyle name="Вычисление 7 6 2_TOM TAT" xfId="26446" xr:uid="{00000000-0005-0000-0000-000032780000}"/>
    <cellStyle name="Вычисление 7 6 3" xfId="27813" xr:uid="{00000000-0005-0000-0000-000033780000}"/>
    <cellStyle name="Вычисление 7 6_TOM TAT" xfId="26445" xr:uid="{00000000-0005-0000-0000-000034780000}"/>
    <cellStyle name="Вычисление 7 7" xfId="6385" xr:uid="{00000000-0005-0000-0000-000035780000}"/>
    <cellStyle name="Вычисление 7 7 2" xfId="28987" xr:uid="{00000000-0005-0000-0000-000036780000}"/>
    <cellStyle name="Вычисление 7 7_TOM TAT" xfId="26447" xr:uid="{00000000-0005-0000-0000-000037780000}"/>
    <cellStyle name="Вычисление 7 8" xfId="27802" xr:uid="{00000000-0005-0000-0000-000038780000}"/>
    <cellStyle name="Вычисление 7_TOM TAT" xfId="26424" xr:uid="{00000000-0005-0000-0000-000039780000}"/>
    <cellStyle name="Вычисление 8" xfId="3024" xr:uid="{00000000-0005-0000-0000-00003A780000}"/>
    <cellStyle name="Вычисление 8 2" xfId="3025" xr:uid="{00000000-0005-0000-0000-00003B780000}"/>
    <cellStyle name="Вычисление 8 2 2" xfId="3026" xr:uid="{00000000-0005-0000-0000-00003C780000}"/>
    <cellStyle name="Вычисление 8 2 2 2" xfId="6386" xr:uid="{00000000-0005-0000-0000-00003D780000}"/>
    <cellStyle name="Вычисление 8 2 2 2 2" xfId="28988" xr:uid="{00000000-0005-0000-0000-00003E780000}"/>
    <cellStyle name="Вычисление 8 2 2 2_TOM TAT" xfId="26451" xr:uid="{00000000-0005-0000-0000-00003F780000}"/>
    <cellStyle name="Вычисление 8 2 2 3" xfId="27816" xr:uid="{00000000-0005-0000-0000-000040780000}"/>
    <cellStyle name="Вычисление 8 2 2_TOM TAT" xfId="26450" xr:uid="{00000000-0005-0000-0000-000041780000}"/>
    <cellStyle name="Вычисление 8 2 3" xfId="6387" xr:uid="{00000000-0005-0000-0000-000042780000}"/>
    <cellStyle name="Вычисление 8 2 3 2" xfId="28989" xr:uid="{00000000-0005-0000-0000-000043780000}"/>
    <cellStyle name="Вычисление 8 2 3_TOM TAT" xfId="26452" xr:uid="{00000000-0005-0000-0000-000044780000}"/>
    <cellStyle name="Вычисление 8 2 4" xfId="27815" xr:uid="{00000000-0005-0000-0000-000045780000}"/>
    <cellStyle name="Вычисление 8 2_TOM TAT" xfId="26449" xr:uid="{00000000-0005-0000-0000-000046780000}"/>
    <cellStyle name="Вычисление 8 3" xfId="3027" xr:uid="{00000000-0005-0000-0000-000047780000}"/>
    <cellStyle name="Вычисление 8 3 2" xfId="6388" xr:uid="{00000000-0005-0000-0000-000048780000}"/>
    <cellStyle name="Вычисление 8 3 2 2" xfId="28990" xr:uid="{00000000-0005-0000-0000-000049780000}"/>
    <cellStyle name="Вычисление 8 3 2_TOM TAT" xfId="26454" xr:uid="{00000000-0005-0000-0000-00004A780000}"/>
    <cellStyle name="Вычисление 8 3 3" xfId="27817" xr:uid="{00000000-0005-0000-0000-00004B780000}"/>
    <cellStyle name="Вычисление 8 3_TOM TAT" xfId="26453" xr:uid="{00000000-0005-0000-0000-00004C780000}"/>
    <cellStyle name="Вычисление 8 4" xfId="3028" xr:uid="{00000000-0005-0000-0000-00004D780000}"/>
    <cellStyle name="Вычисление 8 4 2" xfId="6389" xr:uid="{00000000-0005-0000-0000-00004E780000}"/>
    <cellStyle name="Вычисление 8 4 2 2" xfId="28991" xr:uid="{00000000-0005-0000-0000-00004F780000}"/>
    <cellStyle name="Вычисление 8 4 2_TOM TAT" xfId="26456" xr:uid="{00000000-0005-0000-0000-000050780000}"/>
    <cellStyle name="Вычисление 8 4 3" xfId="27818" xr:uid="{00000000-0005-0000-0000-000051780000}"/>
    <cellStyle name="Вычисление 8 4_TOM TAT" xfId="26455" xr:uid="{00000000-0005-0000-0000-000052780000}"/>
    <cellStyle name="Вычисление 8 5" xfId="6390" xr:uid="{00000000-0005-0000-0000-000053780000}"/>
    <cellStyle name="Вычисление 8 5 2" xfId="28992" xr:uid="{00000000-0005-0000-0000-000054780000}"/>
    <cellStyle name="Вычисление 8 5_TOM TAT" xfId="26457" xr:uid="{00000000-0005-0000-0000-000055780000}"/>
    <cellStyle name="Вычисление 8 6" xfId="27814" xr:uid="{00000000-0005-0000-0000-000056780000}"/>
    <cellStyle name="Вычисление 8_TOM TAT" xfId="26448" xr:uid="{00000000-0005-0000-0000-000057780000}"/>
    <cellStyle name="Вычисление 9" xfId="3029" xr:uid="{00000000-0005-0000-0000-000058780000}"/>
    <cellStyle name="Вычисление 9 2" xfId="3030" xr:uid="{00000000-0005-0000-0000-000059780000}"/>
    <cellStyle name="Вычисление 9 2 2" xfId="6391" xr:uid="{00000000-0005-0000-0000-00005A780000}"/>
    <cellStyle name="Вычисление 9 2 2 2" xfId="28993" xr:uid="{00000000-0005-0000-0000-00005B780000}"/>
    <cellStyle name="Вычисление 9 2 2_TOM TAT" xfId="26460" xr:uid="{00000000-0005-0000-0000-00005C780000}"/>
    <cellStyle name="Вычисление 9 2 3" xfId="27820" xr:uid="{00000000-0005-0000-0000-00005D780000}"/>
    <cellStyle name="Вычисление 9 2_TOM TAT" xfId="26459" xr:uid="{00000000-0005-0000-0000-00005E780000}"/>
    <cellStyle name="Вычисление 9 3" xfId="6392" xr:uid="{00000000-0005-0000-0000-00005F780000}"/>
    <cellStyle name="Вычисление 9 3 2" xfId="28994" xr:uid="{00000000-0005-0000-0000-000060780000}"/>
    <cellStyle name="Вычисление 9 3_TOM TAT" xfId="26461" xr:uid="{00000000-0005-0000-0000-000061780000}"/>
    <cellStyle name="Вычисление 9 4" xfId="27819" xr:uid="{00000000-0005-0000-0000-000062780000}"/>
    <cellStyle name="Вычисление 9_TOM TAT" xfId="26458" xr:uid="{00000000-0005-0000-0000-000063780000}"/>
    <cellStyle name="Вычисление_TOM TAT" xfId="25862" xr:uid="{00000000-0005-0000-0000-000064780000}"/>
    <cellStyle name="Заголовок 1" xfId="3031" xr:uid="{00000000-0005-0000-0000-000065780000}"/>
    <cellStyle name="Заголовок 1 2" xfId="14550" xr:uid="{00000000-0005-0000-0000-000066780000}"/>
    <cellStyle name="Заголовок 1_TOM TAT" xfId="26462" xr:uid="{00000000-0005-0000-0000-000067780000}"/>
    <cellStyle name="Заголовок 2" xfId="3032" xr:uid="{00000000-0005-0000-0000-000068780000}"/>
    <cellStyle name="Заголовок 2 2" xfId="14551" xr:uid="{00000000-0005-0000-0000-000069780000}"/>
    <cellStyle name="Заголовок 2_TOM TAT" xfId="26463" xr:uid="{00000000-0005-0000-0000-00006A780000}"/>
    <cellStyle name="Заголовок 3" xfId="3033" xr:uid="{00000000-0005-0000-0000-00006B780000}"/>
    <cellStyle name="Заголовок 3 2" xfId="14552" xr:uid="{00000000-0005-0000-0000-00006C780000}"/>
    <cellStyle name="Заголовок 3_TOM TAT" xfId="26464" xr:uid="{00000000-0005-0000-0000-00006D780000}"/>
    <cellStyle name="Заголовок 4" xfId="3034" xr:uid="{00000000-0005-0000-0000-00006E780000}"/>
    <cellStyle name="Заголовок 4 2" xfId="14553" xr:uid="{00000000-0005-0000-0000-00006F780000}"/>
    <cellStyle name="Заголовок 4_TOM TAT" xfId="26465" xr:uid="{00000000-0005-0000-0000-000070780000}"/>
    <cellStyle name="Итог" xfId="3035" xr:uid="{00000000-0005-0000-0000-000071780000}"/>
    <cellStyle name="Итог 10" xfId="6393" xr:uid="{00000000-0005-0000-0000-000072780000}"/>
    <cellStyle name="Итог 10 2" xfId="28995" xr:uid="{00000000-0005-0000-0000-000073780000}"/>
    <cellStyle name="Итог 10_TOM TAT" xfId="26467" xr:uid="{00000000-0005-0000-0000-000074780000}"/>
    <cellStyle name="Итог 11" xfId="27821" xr:uid="{00000000-0005-0000-0000-000075780000}"/>
    <cellStyle name="Итог 2" xfId="3036" xr:uid="{00000000-0005-0000-0000-000076780000}"/>
    <cellStyle name="Итог 2 10" xfId="6394" xr:uid="{00000000-0005-0000-0000-000077780000}"/>
    <cellStyle name="Итог 2 10 2" xfId="28996" xr:uid="{00000000-0005-0000-0000-000078780000}"/>
    <cellStyle name="Итог 2 10_TOM TAT" xfId="26469" xr:uid="{00000000-0005-0000-0000-000079780000}"/>
    <cellStyle name="Итог 2 11" xfId="27822" xr:uid="{00000000-0005-0000-0000-00007A780000}"/>
    <cellStyle name="Итог 2 2" xfId="3037" xr:uid="{00000000-0005-0000-0000-00007B780000}"/>
    <cellStyle name="Итог 2 2 2" xfId="3038" xr:uid="{00000000-0005-0000-0000-00007C780000}"/>
    <cellStyle name="Итог 2 2 2 2" xfId="3039" xr:uid="{00000000-0005-0000-0000-00007D780000}"/>
    <cellStyle name="Итог 2 2 2 2 2" xfId="3040" xr:uid="{00000000-0005-0000-0000-00007E780000}"/>
    <cellStyle name="Итог 2 2 2 2 2 2" xfId="6395" xr:uid="{00000000-0005-0000-0000-00007F780000}"/>
    <cellStyle name="Итог 2 2 2 2 2 2 2" xfId="28997" xr:uid="{00000000-0005-0000-0000-000080780000}"/>
    <cellStyle name="Итог 2 2 2 2 2 2_TOM TAT" xfId="26474" xr:uid="{00000000-0005-0000-0000-000081780000}"/>
    <cellStyle name="Итог 2 2 2 2 2 3" xfId="27826" xr:uid="{00000000-0005-0000-0000-000082780000}"/>
    <cellStyle name="Итог 2 2 2 2 2_TOM TAT" xfId="26473" xr:uid="{00000000-0005-0000-0000-000083780000}"/>
    <cellStyle name="Итог 2 2 2 2 3" xfId="6396" xr:uid="{00000000-0005-0000-0000-000084780000}"/>
    <cellStyle name="Итог 2 2 2 2 3 2" xfId="28998" xr:uid="{00000000-0005-0000-0000-000085780000}"/>
    <cellStyle name="Итог 2 2 2 2 3_TOM TAT" xfId="26475" xr:uid="{00000000-0005-0000-0000-000086780000}"/>
    <cellStyle name="Итог 2 2 2 2 4" xfId="27825" xr:uid="{00000000-0005-0000-0000-000087780000}"/>
    <cellStyle name="Итог 2 2 2 2_TOM TAT" xfId="26472" xr:uid="{00000000-0005-0000-0000-000088780000}"/>
    <cellStyle name="Итог 2 2 2 3" xfId="3041" xr:uid="{00000000-0005-0000-0000-000089780000}"/>
    <cellStyle name="Итог 2 2 2 3 2" xfId="6397" xr:uid="{00000000-0005-0000-0000-00008A780000}"/>
    <cellStyle name="Итог 2 2 2 3 2 2" xfId="28999" xr:uid="{00000000-0005-0000-0000-00008B780000}"/>
    <cellStyle name="Итог 2 2 2 3 2_TOM TAT" xfId="26477" xr:uid="{00000000-0005-0000-0000-00008C780000}"/>
    <cellStyle name="Итог 2 2 2 3 3" xfId="27827" xr:uid="{00000000-0005-0000-0000-00008D780000}"/>
    <cellStyle name="Итог 2 2 2 3_TOM TAT" xfId="26476" xr:uid="{00000000-0005-0000-0000-00008E780000}"/>
    <cellStyle name="Итог 2 2 2 4" xfId="3042" xr:uid="{00000000-0005-0000-0000-00008F780000}"/>
    <cellStyle name="Итог 2 2 2 4 2" xfId="6398" xr:uid="{00000000-0005-0000-0000-000090780000}"/>
    <cellStyle name="Итог 2 2 2 4 2 2" xfId="29000" xr:uid="{00000000-0005-0000-0000-000091780000}"/>
    <cellStyle name="Итог 2 2 2 4 2_TOM TAT" xfId="26479" xr:uid="{00000000-0005-0000-0000-000092780000}"/>
    <cellStyle name="Итог 2 2 2 4 3" xfId="27828" xr:uid="{00000000-0005-0000-0000-000093780000}"/>
    <cellStyle name="Итог 2 2 2 4_TOM TAT" xfId="26478" xr:uid="{00000000-0005-0000-0000-000094780000}"/>
    <cellStyle name="Итог 2 2 2 5" xfId="6399" xr:uid="{00000000-0005-0000-0000-000095780000}"/>
    <cellStyle name="Итог 2 2 2 5 2" xfId="29001" xr:uid="{00000000-0005-0000-0000-000096780000}"/>
    <cellStyle name="Итог 2 2 2 5_TOM TAT" xfId="26480" xr:uid="{00000000-0005-0000-0000-000097780000}"/>
    <cellStyle name="Итог 2 2 2 6" xfId="27824" xr:uid="{00000000-0005-0000-0000-000098780000}"/>
    <cellStyle name="Итог 2 2 2_TOM TAT" xfId="26471" xr:uid="{00000000-0005-0000-0000-000099780000}"/>
    <cellStyle name="Итог 2 2 3" xfId="3043" xr:uid="{00000000-0005-0000-0000-00009A780000}"/>
    <cellStyle name="Итог 2 2 3 2" xfId="3044" xr:uid="{00000000-0005-0000-0000-00009B780000}"/>
    <cellStyle name="Итог 2 2 3 2 2" xfId="6400" xr:uid="{00000000-0005-0000-0000-00009C780000}"/>
    <cellStyle name="Итог 2 2 3 2 2 2" xfId="29002" xr:uid="{00000000-0005-0000-0000-00009D780000}"/>
    <cellStyle name="Итог 2 2 3 2 2_TOM TAT" xfId="26483" xr:uid="{00000000-0005-0000-0000-00009E780000}"/>
    <cellStyle name="Итог 2 2 3 2 3" xfId="27830" xr:uid="{00000000-0005-0000-0000-00009F780000}"/>
    <cellStyle name="Итог 2 2 3 2_TOM TAT" xfId="26482" xr:uid="{00000000-0005-0000-0000-0000A0780000}"/>
    <cellStyle name="Итог 2 2 3 3" xfId="6401" xr:uid="{00000000-0005-0000-0000-0000A1780000}"/>
    <cellStyle name="Итог 2 2 3 3 2" xfId="29003" xr:uid="{00000000-0005-0000-0000-0000A2780000}"/>
    <cellStyle name="Итог 2 2 3 3_TOM TAT" xfId="26484" xr:uid="{00000000-0005-0000-0000-0000A3780000}"/>
    <cellStyle name="Итог 2 2 3 4" xfId="27829" xr:uid="{00000000-0005-0000-0000-0000A4780000}"/>
    <cellStyle name="Итог 2 2 3_TOM TAT" xfId="26481" xr:uid="{00000000-0005-0000-0000-0000A5780000}"/>
    <cellStyle name="Итог 2 2 4" xfId="3045" xr:uid="{00000000-0005-0000-0000-0000A6780000}"/>
    <cellStyle name="Итог 2 2 4 2" xfId="6402" xr:uid="{00000000-0005-0000-0000-0000A7780000}"/>
    <cellStyle name="Итог 2 2 4 2 2" xfId="29004" xr:uid="{00000000-0005-0000-0000-0000A8780000}"/>
    <cellStyle name="Итог 2 2 4 2_TOM TAT" xfId="26486" xr:uid="{00000000-0005-0000-0000-0000A9780000}"/>
    <cellStyle name="Итог 2 2 4 3" xfId="27831" xr:uid="{00000000-0005-0000-0000-0000AA780000}"/>
    <cellStyle name="Итог 2 2 4_TOM TAT" xfId="26485" xr:uid="{00000000-0005-0000-0000-0000AB780000}"/>
    <cellStyle name="Итог 2 2 5" xfId="3046" xr:uid="{00000000-0005-0000-0000-0000AC780000}"/>
    <cellStyle name="Итог 2 2 5 2" xfId="6403" xr:uid="{00000000-0005-0000-0000-0000AD780000}"/>
    <cellStyle name="Итог 2 2 5 2 2" xfId="29005" xr:uid="{00000000-0005-0000-0000-0000AE780000}"/>
    <cellStyle name="Итог 2 2 5 2_TOM TAT" xfId="26488" xr:uid="{00000000-0005-0000-0000-0000AF780000}"/>
    <cellStyle name="Итог 2 2 5 3" xfId="27832" xr:uid="{00000000-0005-0000-0000-0000B0780000}"/>
    <cellStyle name="Итог 2 2 5_TOM TAT" xfId="26487" xr:uid="{00000000-0005-0000-0000-0000B1780000}"/>
    <cellStyle name="Итог 2 2 6" xfId="3047" xr:uid="{00000000-0005-0000-0000-0000B2780000}"/>
    <cellStyle name="Итог 2 2 6 2" xfId="6404" xr:uid="{00000000-0005-0000-0000-0000B3780000}"/>
    <cellStyle name="Итог 2 2 6 2 2" xfId="29006" xr:uid="{00000000-0005-0000-0000-0000B4780000}"/>
    <cellStyle name="Итог 2 2 6 2_TOM TAT" xfId="26490" xr:uid="{00000000-0005-0000-0000-0000B5780000}"/>
    <cellStyle name="Итог 2 2 6 3" xfId="27833" xr:uid="{00000000-0005-0000-0000-0000B6780000}"/>
    <cellStyle name="Итог 2 2 6_TOM TAT" xfId="26489" xr:uid="{00000000-0005-0000-0000-0000B7780000}"/>
    <cellStyle name="Итог 2 2 7" xfId="3048" xr:uid="{00000000-0005-0000-0000-0000B8780000}"/>
    <cellStyle name="Итог 2 2 7 2" xfId="6405" xr:uid="{00000000-0005-0000-0000-0000B9780000}"/>
    <cellStyle name="Итог 2 2 7 2 2" xfId="29007" xr:uid="{00000000-0005-0000-0000-0000BA780000}"/>
    <cellStyle name="Итог 2 2 7 2_TOM TAT" xfId="26492" xr:uid="{00000000-0005-0000-0000-0000BB780000}"/>
    <cellStyle name="Итог 2 2 7 3" xfId="27834" xr:uid="{00000000-0005-0000-0000-0000BC780000}"/>
    <cellStyle name="Итог 2 2 7_TOM TAT" xfId="26491" xr:uid="{00000000-0005-0000-0000-0000BD780000}"/>
    <cellStyle name="Итог 2 2 8" xfId="6406" xr:uid="{00000000-0005-0000-0000-0000BE780000}"/>
    <cellStyle name="Итог 2 2 8 2" xfId="29008" xr:uid="{00000000-0005-0000-0000-0000BF780000}"/>
    <cellStyle name="Итог 2 2 8_TOM TAT" xfId="26493" xr:uid="{00000000-0005-0000-0000-0000C0780000}"/>
    <cellStyle name="Итог 2 2 9" xfId="27823" xr:uid="{00000000-0005-0000-0000-0000C1780000}"/>
    <cellStyle name="Итог 2 2_TOM TAT" xfId="26470" xr:uid="{00000000-0005-0000-0000-0000C2780000}"/>
    <cellStyle name="Итог 2 3" xfId="3049" xr:uid="{00000000-0005-0000-0000-0000C3780000}"/>
    <cellStyle name="Итог 2 3 2" xfId="3050" xr:uid="{00000000-0005-0000-0000-0000C4780000}"/>
    <cellStyle name="Итог 2 3 2 2" xfId="3051" xr:uid="{00000000-0005-0000-0000-0000C5780000}"/>
    <cellStyle name="Итог 2 3 2 2 2" xfId="3052" xr:uid="{00000000-0005-0000-0000-0000C6780000}"/>
    <cellStyle name="Итог 2 3 2 2 2 2" xfId="6407" xr:uid="{00000000-0005-0000-0000-0000C7780000}"/>
    <cellStyle name="Итог 2 3 2 2 2 2 2" xfId="29009" xr:uid="{00000000-0005-0000-0000-0000C8780000}"/>
    <cellStyle name="Итог 2 3 2 2 2 2_TOM TAT" xfId="26498" xr:uid="{00000000-0005-0000-0000-0000C9780000}"/>
    <cellStyle name="Итог 2 3 2 2 2 3" xfId="27838" xr:uid="{00000000-0005-0000-0000-0000CA780000}"/>
    <cellStyle name="Итог 2 3 2 2 2_TOM TAT" xfId="26497" xr:uid="{00000000-0005-0000-0000-0000CB780000}"/>
    <cellStyle name="Итог 2 3 2 2 3" xfId="6408" xr:uid="{00000000-0005-0000-0000-0000CC780000}"/>
    <cellStyle name="Итог 2 3 2 2 3 2" xfId="29010" xr:uid="{00000000-0005-0000-0000-0000CD780000}"/>
    <cellStyle name="Итог 2 3 2 2 3_TOM TAT" xfId="26499" xr:uid="{00000000-0005-0000-0000-0000CE780000}"/>
    <cellStyle name="Итог 2 3 2 2 4" xfId="27837" xr:uid="{00000000-0005-0000-0000-0000CF780000}"/>
    <cellStyle name="Итог 2 3 2 2_TOM TAT" xfId="26496" xr:uid="{00000000-0005-0000-0000-0000D0780000}"/>
    <cellStyle name="Итог 2 3 2 3" xfId="3053" xr:uid="{00000000-0005-0000-0000-0000D1780000}"/>
    <cellStyle name="Итог 2 3 2 3 2" xfId="6409" xr:uid="{00000000-0005-0000-0000-0000D2780000}"/>
    <cellStyle name="Итог 2 3 2 3 2 2" xfId="29011" xr:uid="{00000000-0005-0000-0000-0000D3780000}"/>
    <cellStyle name="Итог 2 3 2 3 2_TOM TAT" xfId="26501" xr:uid="{00000000-0005-0000-0000-0000D4780000}"/>
    <cellStyle name="Итог 2 3 2 3 3" xfId="27839" xr:uid="{00000000-0005-0000-0000-0000D5780000}"/>
    <cellStyle name="Итог 2 3 2 3_TOM TAT" xfId="26500" xr:uid="{00000000-0005-0000-0000-0000D6780000}"/>
    <cellStyle name="Итог 2 3 2 4" xfId="3054" xr:uid="{00000000-0005-0000-0000-0000D7780000}"/>
    <cellStyle name="Итог 2 3 2 4 2" xfId="6410" xr:uid="{00000000-0005-0000-0000-0000D8780000}"/>
    <cellStyle name="Итог 2 3 2 4 2 2" xfId="29012" xr:uid="{00000000-0005-0000-0000-0000D9780000}"/>
    <cellStyle name="Итог 2 3 2 4 2_TOM TAT" xfId="26503" xr:uid="{00000000-0005-0000-0000-0000DA780000}"/>
    <cellStyle name="Итог 2 3 2 4 3" xfId="27840" xr:uid="{00000000-0005-0000-0000-0000DB780000}"/>
    <cellStyle name="Итог 2 3 2 4_TOM TAT" xfId="26502" xr:uid="{00000000-0005-0000-0000-0000DC780000}"/>
    <cellStyle name="Итог 2 3 2 5" xfId="6411" xr:uid="{00000000-0005-0000-0000-0000DD780000}"/>
    <cellStyle name="Итог 2 3 2 5 2" xfId="29013" xr:uid="{00000000-0005-0000-0000-0000DE780000}"/>
    <cellStyle name="Итог 2 3 2 5_TOM TAT" xfId="26504" xr:uid="{00000000-0005-0000-0000-0000DF780000}"/>
    <cellStyle name="Итог 2 3 2 6" xfId="27836" xr:uid="{00000000-0005-0000-0000-0000E0780000}"/>
    <cellStyle name="Итог 2 3 2_TOM TAT" xfId="26495" xr:uid="{00000000-0005-0000-0000-0000E1780000}"/>
    <cellStyle name="Итог 2 3 3" xfId="3055" xr:uid="{00000000-0005-0000-0000-0000E2780000}"/>
    <cellStyle name="Итог 2 3 3 2" xfId="3056" xr:uid="{00000000-0005-0000-0000-0000E3780000}"/>
    <cellStyle name="Итог 2 3 3 2 2" xfId="6412" xr:uid="{00000000-0005-0000-0000-0000E4780000}"/>
    <cellStyle name="Итог 2 3 3 2 2 2" xfId="29014" xr:uid="{00000000-0005-0000-0000-0000E5780000}"/>
    <cellStyle name="Итог 2 3 3 2 2_TOM TAT" xfId="26507" xr:uid="{00000000-0005-0000-0000-0000E6780000}"/>
    <cellStyle name="Итог 2 3 3 2 3" xfId="27842" xr:uid="{00000000-0005-0000-0000-0000E7780000}"/>
    <cellStyle name="Итог 2 3 3 2_TOM TAT" xfId="26506" xr:uid="{00000000-0005-0000-0000-0000E8780000}"/>
    <cellStyle name="Итог 2 3 3 3" xfId="6413" xr:uid="{00000000-0005-0000-0000-0000E9780000}"/>
    <cellStyle name="Итог 2 3 3 3 2" xfId="29015" xr:uid="{00000000-0005-0000-0000-0000EA780000}"/>
    <cellStyle name="Итог 2 3 3 3_TOM TAT" xfId="26508" xr:uid="{00000000-0005-0000-0000-0000EB780000}"/>
    <cellStyle name="Итог 2 3 3 4" xfId="27841" xr:uid="{00000000-0005-0000-0000-0000EC780000}"/>
    <cellStyle name="Итог 2 3 3_TOM TAT" xfId="26505" xr:uid="{00000000-0005-0000-0000-0000ED780000}"/>
    <cellStyle name="Итог 2 3 4" xfId="3057" xr:uid="{00000000-0005-0000-0000-0000EE780000}"/>
    <cellStyle name="Итог 2 3 4 2" xfId="6414" xr:uid="{00000000-0005-0000-0000-0000EF780000}"/>
    <cellStyle name="Итог 2 3 4 2 2" xfId="29016" xr:uid="{00000000-0005-0000-0000-0000F0780000}"/>
    <cellStyle name="Итог 2 3 4 2_TOM TAT" xfId="26510" xr:uid="{00000000-0005-0000-0000-0000F1780000}"/>
    <cellStyle name="Итог 2 3 4 3" xfId="27843" xr:uid="{00000000-0005-0000-0000-0000F2780000}"/>
    <cellStyle name="Итог 2 3 4_TOM TAT" xfId="26509" xr:uid="{00000000-0005-0000-0000-0000F3780000}"/>
    <cellStyle name="Итог 2 3 5" xfId="3058" xr:uid="{00000000-0005-0000-0000-0000F4780000}"/>
    <cellStyle name="Итог 2 3 5 2" xfId="6415" xr:uid="{00000000-0005-0000-0000-0000F5780000}"/>
    <cellStyle name="Итог 2 3 5 2 2" xfId="29017" xr:uid="{00000000-0005-0000-0000-0000F6780000}"/>
    <cellStyle name="Итог 2 3 5 2_TOM TAT" xfId="26512" xr:uid="{00000000-0005-0000-0000-0000F7780000}"/>
    <cellStyle name="Итог 2 3 5 3" xfId="27844" xr:uid="{00000000-0005-0000-0000-0000F8780000}"/>
    <cellStyle name="Итог 2 3 5_TOM TAT" xfId="26511" xr:uid="{00000000-0005-0000-0000-0000F9780000}"/>
    <cellStyle name="Итог 2 3 6" xfId="3059" xr:uid="{00000000-0005-0000-0000-0000FA780000}"/>
    <cellStyle name="Итог 2 3 6 2" xfId="6416" xr:uid="{00000000-0005-0000-0000-0000FB780000}"/>
    <cellStyle name="Итог 2 3 6 2 2" xfId="29018" xr:uid="{00000000-0005-0000-0000-0000FC780000}"/>
    <cellStyle name="Итог 2 3 6 2_TOM TAT" xfId="26514" xr:uid="{00000000-0005-0000-0000-0000FD780000}"/>
    <cellStyle name="Итог 2 3 6 3" xfId="27845" xr:uid="{00000000-0005-0000-0000-0000FE780000}"/>
    <cellStyle name="Итог 2 3 6_TOM TAT" xfId="26513" xr:uid="{00000000-0005-0000-0000-0000FF780000}"/>
    <cellStyle name="Итог 2 3 7" xfId="3060" xr:uid="{00000000-0005-0000-0000-000000790000}"/>
    <cellStyle name="Итог 2 3 7 2" xfId="6417" xr:uid="{00000000-0005-0000-0000-000001790000}"/>
    <cellStyle name="Итог 2 3 7 2 2" xfId="29019" xr:uid="{00000000-0005-0000-0000-000002790000}"/>
    <cellStyle name="Итог 2 3 7 2_TOM TAT" xfId="26516" xr:uid="{00000000-0005-0000-0000-000003790000}"/>
    <cellStyle name="Итог 2 3 7 3" xfId="27846" xr:uid="{00000000-0005-0000-0000-000004790000}"/>
    <cellStyle name="Итог 2 3 7_TOM TAT" xfId="26515" xr:uid="{00000000-0005-0000-0000-000005790000}"/>
    <cellStyle name="Итог 2 3 8" xfId="6418" xr:uid="{00000000-0005-0000-0000-000006790000}"/>
    <cellStyle name="Итог 2 3 8 2" xfId="29020" xr:uid="{00000000-0005-0000-0000-000007790000}"/>
    <cellStyle name="Итог 2 3 8_TOM TAT" xfId="26517" xr:uid="{00000000-0005-0000-0000-000008790000}"/>
    <cellStyle name="Итог 2 3 9" xfId="27835" xr:uid="{00000000-0005-0000-0000-000009790000}"/>
    <cellStyle name="Итог 2 3_TOM TAT" xfId="26494" xr:uid="{00000000-0005-0000-0000-00000A790000}"/>
    <cellStyle name="Итог 2 4" xfId="3061" xr:uid="{00000000-0005-0000-0000-00000B790000}"/>
    <cellStyle name="Итог 2 4 2" xfId="3062" xr:uid="{00000000-0005-0000-0000-00000C790000}"/>
    <cellStyle name="Итог 2 4 2 2" xfId="3063" xr:uid="{00000000-0005-0000-0000-00000D790000}"/>
    <cellStyle name="Итог 2 4 2 2 2" xfId="6419" xr:uid="{00000000-0005-0000-0000-00000E790000}"/>
    <cellStyle name="Итог 2 4 2 2 2 2" xfId="29021" xr:uid="{00000000-0005-0000-0000-00000F790000}"/>
    <cellStyle name="Итог 2 4 2 2 2_TOM TAT" xfId="26521" xr:uid="{00000000-0005-0000-0000-000010790000}"/>
    <cellStyle name="Итог 2 4 2 2 3" xfId="27849" xr:uid="{00000000-0005-0000-0000-000011790000}"/>
    <cellStyle name="Итог 2 4 2 2_TOM TAT" xfId="26520" xr:uid="{00000000-0005-0000-0000-000012790000}"/>
    <cellStyle name="Итог 2 4 2 3" xfId="6420" xr:uid="{00000000-0005-0000-0000-000013790000}"/>
    <cellStyle name="Итог 2 4 2 3 2" xfId="29022" xr:uid="{00000000-0005-0000-0000-000014790000}"/>
    <cellStyle name="Итог 2 4 2 3_TOM TAT" xfId="26522" xr:uid="{00000000-0005-0000-0000-000015790000}"/>
    <cellStyle name="Итог 2 4 2 4" xfId="27848" xr:uid="{00000000-0005-0000-0000-000016790000}"/>
    <cellStyle name="Итог 2 4 2_TOM TAT" xfId="26519" xr:uid="{00000000-0005-0000-0000-000017790000}"/>
    <cellStyle name="Итог 2 4 3" xfId="3064" xr:uid="{00000000-0005-0000-0000-000018790000}"/>
    <cellStyle name="Итог 2 4 3 2" xfId="6421" xr:uid="{00000000-0005-0000-0000-000019790000}"/>
    <cellStyle name="Итог 2 4 3 2 2" xfId="29023" xr:uid="{00000000-0005-0000-0000-00001A790000}"/>
    <cellStyle name="Итог 2 4 3 2_TOM TAT" xfId="26524" xr:uid="{00000000-0005-0000-0000-00001B790000}"/>
    <cellStyle name="Итог 2 4 3 3" xfId="27850" xr:uid="{00000000-0005-0000-0000-00001C790000}"/>
    <cellStyle name="Итог 2 4 3_TOM TAT" xfId="26523" xr:uid="{00000000-0005-0000-0000-00001D790000}"/>
    <cellStyle name="Итог 2 4 4" xfId="3065" xr:uid="{00000000-0005-0000-0000-00001E790000}"/>
    <cellStyle name="Итог 2 4 4 2" xfId="6422" xr:uid="{00000000-0005-0000-0000-00001F790000}"/>
    <cellStyle name="Итог 2 4 4 2 2" xfId="29024" xr:uid="{00000000-0005-0000-0000-000020790000}"/>
    <cellStyle name="Итог 2 4 4 2_TOM TAT" xfId="26526" xr:uid="{00000000-0005-0000-0000-000021790000}"/>
    <cellStyle name="Итог 2 4 4 3" xfId="27851" xr:uid="{00000000-0005-0000-0000-000022790000}"/>
    <cellStyle name="Итог 2 4 4_TOM TAT" xfId="26525" xr:uid="{00000000-0005-0000-0000-000023790000}"/>
    <cellStyle name="Итог 2 4 5" xfId="6423" xr:uid="{00000000-0005-0000-0000-000024790000}"/>
    <cellStyle name="Итог 2 4 5 2" xfId="29025" xr:uid="{00000000-0005-0000-0000-000025790000}"/>
    <cellStyle name="Итог 2 4 5_TOM TAT" xfId="26527" xr:uid="{00000000-0005-0000-0000-000026790000}"/>
    <cellStyle name="Итог 2 4 6" xfId="27847" xr:uid="{00000000-0005-0000-0000-000027790000}"/>
    <cellStyle name="Итог 2 4_TOM TAT" xfId="26518" xr:uid="{00000000-0005-0000-0000-000028790000}"/>
    <cellStyle name="Итог 2 5" xfId="3066" xr:uid="{00000000-0005-0000-0000-000029790000}"/>
    <cellStyle name="Итог 2 5 2" xfId="3067" xr:uid="{00000000-0005-0000-0000-00002A790000}"/>
    <cellStyle name="Итог 2 5 2 2" xfId="6424" xr:uid="{00000000-0005-0000-0000-00002B790000}"/>
    <cellStyle name="Итог 2 5 2 2 2" xfId="29026" xr:uid="{00000000-0005-0000-0000-00002C790000}"/>
    <cellStyle name="Итог 2 5 2 2_TOM TAT" xfId="26530" xr:uid="{00000000-0005-0000-0000-00002D790000}"/>
    <cellStyle name="Итог 2 5 2 3" xfId="27853" xr:uid="{00000000-0005-0000-0000-00002E790000}"/>
    <cellStyle name="Итог 2 5 2_TOM TAT" xfId="26529" xr:uid="{00000000-0005-0000-0000-00002F790000}"/>
    <cellStyle name="Итог 2 5 3" xfId="6425" xr:uid="{00000000-0005-0000-0000-000030790000}"/>
    <cellStyle name="Итог 2 5 3 2" xfId="29027" xr:uid="{00000000-0005-0000-0000-000031790000}"/>
    <cellStyle name="Итог 2 5 3_TOM TAT" xfId="26531" xr:uid="{00000000-0005-0000-0000-000032790000}"/>
    <cellStyle name="Итог 2 5 4" xfId="27852" xr:uid="{00000000-0005-0000-0000-000033790000}"/>
    <cellStyle name="Итог 2 5_TOM TAT" xfId="26528" xr:uid="{00000000-0005-0000-0000-000034790000}"/>
    <cellStyle name="Итог 2 6" xfId="3068" xr:uid="{00000000-0005-0000-0000-000035790000}"/>
    <cellStyle name="Итог 2 6 2" xfId="6426" xr:uid="{00000000-0005-0000-0000-000036790000}"/>
    <cellStyle name="Итог 2 6 2 2" xfId="29028" xr:uid="{00000000-0005-0000-0000-000037790000}"/>
    <cellStyle name="Итог 2 6 2_TOM TAT" xfId="26533" xr:uid="{00000000-0005-0000-0000-000038790000}"/>
    <cellStyle name="Итог 2 6 3" xfId="27854" xr:uid="{00000000-0005-0000-0000-000039790000}"/>
    <cellStyle name="Итог 2 6_TOM TAT" xfId="26532" xr:uid="{00000000-0005-0000-0000-00003A790000}"/>
    <cellStyle name="Итог 2 7" xfId="3069" xr:uid="{00000000-0005-0000-0000-00003B790000}"/>
    <cellStyle name="Итог 2 7 2" xfId="6427" xr:uid="{00000000-0005-0000-0000-00003C790000}"/>
    <cellStyle name="Итог 2 7 2 2" xfId="29029" xr:uid="{00000000-0005-0000-0000-00003D790000}"/>
    <cellStyle name="Итог 2 7 2_TOM TAT" xfId="26535" xr:uid="{00000000-0005-0000-0000-00003E790000}"/>
    <cellStyle name="Итог 2 7 3" xfId="27855" xr:uid="{00000000-0005-0000-0000-00003F790000}"/>
    <cellStyle name="Итог 2 7_TOM TAT" xfId="26534" xr:uid="{00000000-0005-0000-0000-000040790000}"/>
    <cellStyle name="Итог 2 8" xfId="3070" xr:uid="{00000000-0005-0000-0000-000041790000}"/>
    <cellStyle name="Итог 2 8 2" xfId="6428" xr:uid="{00000000-0005-0000-0000-000042790000}"/>
    <cellStyle name="Итог 2 8 2 2" xfId="29030" xr:uid="{00000000-0005-0000-0000-000043790000}"/>
    <cellStyle name="Итог 2 8 2_TOM TAT" xfId="26537" xr:uid="{00000000-0005-0000-0000-000044790000}"/>
    <cellStyle name="Итог 2 8 3" xfId="27856" xr:uid="{00000000-0005-0000-0000-000045790000}"/>
    <cellStyle name="Итог 2 8_TOM TAT" xfId="26536" xr:uid="{00000000-0005-0000-0000-000046790000}"/>
    <cellStyle name="Итог 2 9" xfId="3071" xr:uid="{00000000-0005-0000-0000-000047790000}"/>
    <cellStyle name="Итог 2 9 2" xfId="6429" xr:uid="{00000000-0005-0000-0000-000048790000}"/>
    <cellStyle name="Итог 2 9 2 2" xfId="29031" xr:uid="{00000000-0005-0000-0000-000049790000}"/>
    <cellStyle name="Итог 2 9 2_TOM TAT" xfId="26539" xr:uid="{00000000-0005-0000-0000-00004A790000}"/>
    <cellStyle name="Итог 2 9 3" xfId="27857" xr:uid="{00000000-0005-0000-0000-00004B790000}"/>
    <cellStyle name="Итог 2 9_TOM TAT" xfId="26538" xr:uid="{00000000-0005-0000-0000-00004C790000}"/>
    <cellStyle name="Итог 2_TOM TAT" xfId="26468" xr:uid="{00000000-0005-0000-0000-00004D790000}"/>
    <cellStyle name="Итог 3" xfId="3072" xr:uid="{00000000-0005-0000-0000-00004E790000}"/>
    <cellStyle name="Итог 3 2" xfId="3073" xr:uid="{00000000-0005-0000-0000-00004F790000}"/>
    <cellStyle name="Итог 3 2 2" xfId="3074" xr:uid="{00000000-0005-0000-0000-000050790000}"/>
    <cellStyle name="Итог 3 2 2 2" xfId="3075" xr:uid="{00000000-0005-0000-0000-000051790000}"/>
    <cellStyle name="Итог 3 2 2 2 2" xfId="6430" xr:uid="{00000000-0005-0000-0000-000052790000}"/>
    <cellStyle name="Итог 3 2 2 2 2 2" xfId="29032" xr:uid="{00000000-0005-0000-0000-000053790000}"/>
    <cellStyle name="Итог 3 2 2 2 2_TOM TAT" xfId="26544" xr:uid="{00000000-0005-0000-0000-000054790000}"/>
    <cellStyle name="Итог 3 2 2 2 3" xfId="27861" xr:uid="{00000000-0005-0000-0000-000055790000}"/>
    <cellStyle name="Итог 3 2 2 2_TOM TAT" xfId="26543" xr:uid="{00000000-0005-0000-0000-000056790000}"/>
    <cellStyle name="Итог 3 2 2 3" xfId="6431" xr:uid="{00000000-0005-0000-0000-000057790000}"/>
    <cellStyle name="Итог 3 2 2 3 2" xfId="29033" xr:uid="{00000000-0005-0000-0000-000058790000}"/>
    <cellStyle name="Итог 3 2 2 3_TOM TAT" xfId="26545" xr:uid="{00000000-0005-0000-0000-000059790000}"/>
    <cellStyle name="Итог 3 2 2 4" xfId="27860" xr:uid="{00000000-0005-0000-0000-00005A790000}"/>
    <cellStyle name="Итог 3 2 2_TOM TAT" xfId="26542" xr:uid="{00000000-0005-0000-0000-00005B790000}"/>
    <cellStyle name="Итог 3 2 3" xfId="3076" xr:uid="{00000000-0005-0000-0000-00005C790000}"/>
    <cellStyle name="Итог 3 2 3 2" xfId="6432" xr:uid="{00000000-0005-0000-0000-00005D790000}"/>
    <cellStyle name="Итог 3 2 3 2 2" xfId="29034" xr:uid="{00000000-0005-0000-0000-00005E790000}"/>
    <cellStyle name="Итог 3 2 3 2_TOM TAT" xfId="26547" xr:uid="{00000000-0005-0000-0000-00005F790000}"/>
    <cellStyle name="Итог 3 2 3 3" xfId="27862" xr:uid="{00000000-0005-0000-0000-000060790000}"/>
    <cellStyle name="Итог 3 2 3_TOM TAT" xfId="26546" xr:uid="{00000000-0005-0000-0000-000061790000}"/>
    <cellStyle name="Итог 3 2 4" xfId="3077" xr:uid="{00000000-0005-0000-0000-000062790000}"/>
    <cellStyle name="Итог 3 2 4 2" xfId="6433" xr:uid="{00000000-0005-0000-0000-000063790000}"/>
    <cellStyle name="Итог 3 2 4 2 2" xfId="29035" xr:uid="{00000000-0005-0000-0000-000064790000}"/>
    <cellStyle name="Итог 3 2 4 2_TOM TAT" xfId="26549" xr:uid="{00000000-0005-0000-0000-000065790000}"/>
    <cellStyle name="Итог 3 2 4 3" xfId="27863" xr:uid="{00000000-0005-0000-0000-000066790000}"/>
    <cellStyle name="Итог 3 2 4_TOM TAT" xfId="26548" xr:uid="{00000000-0005-0000-0000-000067790000}"/>
    <cellStyle name="Итог 3 2 5" xfId="6434" xr:uid="{00000000-0005-0000-0000-000068790000}"/>
    <cellStyle name="Итог 3 2 5 2" xfId="29036" xr:uid="{00000000-0005-0000-0000-000069790000}"/>
    <cellStyle name="Итог 3 2 5_TOM TAT" xfId="26550" xr:uid="{00000000-0005-0000-0000-00006A790000}"/>
    <cellStyle name="Итог 3 2 6" xfId="27859" xr:uid="{00000000-0005-0000-0000-00006B790000}"/>
    <cellStyle name="Итог 3 2_TOM TAT" xfId="26541" xr:uid="{00000000-0005-0000-0000-00006C790000}"/>
    <cellStyle name="Итог 3 3" xfId="3078" xr:uid="{00000000-0005-0000-0000-00006D790000}"/>
    <cellStyle name="Итог 3 3 2" xfId="3079" xr:uid="{00000000-0005-0000-0000-00006E790000}"/>
    <cellStyle name="Итог 3 3 2 2" xfId="6435" xr:uid="{00000000-0005-0000-0000-00006F790000}"/>
    <cellStyle name="Итог 3 3 2 2 2" xfId="29037" xr:uid="{00000000-0005-0000-0000-000070790000}"/>
    <cellStyle name="Итог 3 3 2 2_TOM TAT" xfId="26553" xr:uid="{00000000-0005-0000-0000-000071790000}"/>
    <cellStyle name="Итог 3 3 2 3" xfId="27865" xr:uid="{00000000-0005-0000-0000-000072790000}"/>
    <cellStyle name="Итог 3 3 2_TOM TAT" xfId="26552" xr:uid="{00000000-0005-0000-0000-000073790000}"/>
    <cellStyle name="Итог 3 3 3" xfId="6436" xr:uid="{00000000-0005-0000-0000-000074790000}"/>
    <cellStyle name="Итог 3 3 3 2" xfId="29038" xr:uid="{00000000-0005-0000-0000-000075790000}"/>
    <cellStyle name="Итог 3 3 3_TOM TAT" xfId="26554" xr:uid="{00000000-0005-0000-0000-000076790000}"/>
    <cellStyle name="Итог 3 3 4" xfId="27864" xr:uid="{00000000-0005-0000-0000-000077790000}"/>
    <cellStyle name="Итог 3 3_TOM TAT" xfId="26551" xr:uid="{00000000-0005-0000-0000-000078790000}"/>
    <cellStyle name="Итог 3 4" xfId="3080" xr:uid="{00000000-0005-0000-0000-000079790000}"/>
    <cellStyle name="Итог 3 4 2" xfId="6437" xr:uid="{00000000-0005-0000-0000-00007A790000}"/>
    <cellStyle name="Итог 3 4 2 2" xfId="29039" xr:uid="{00000000-0005-0000-0000-00007B790000}"/>
    <cellStyle name="Итог 3 4 2_TOM TAT" xfId="26556" xr:uid="{00000000-0005-0000-0000-00007C790000}"/>
    <cellStyle name="Итог 3 4 3" xfId="27866" xr:uid="{00000000-0005-0000-0000-00007D790000}"/>
    <cellStyle name="Итог 3 4_TOM TAT" xfId="26555" xr:uid="{00000000-0005-0000-0000-00007E790000}"/>
    <cellStyle name="Итог 3 5" xfId="3081" xr:uid="{00000000-0005-0000-0000-00007F790000}"/>
    <cellStyle name="Итог 3 5 2" xfId="6438" xr:uid="{00000000-0005-0000-0000-000080790000}"/>
    <cellStyle name="Итог 3 5 2 2" xfId="29040" xr:uid="{00000000-0005-0000-0000-000081790000}"/>
    <cellStyle name="Итог 3 5 2_TOM TAT" xfId="26558" xr:uid="{00000000-0005-0000-0000-000082790000}"/>
    <cellStyle name="Итог 3 5 3" xfId="27867" xr:uid="{00000000-0005-0000-0000-000083790000}"/>
    <cellStyle name="Итог 3 5_TOM TAT" xfId="26557" xr:uid="{00000000-0005-0000-0000-000084790000}"/>
    <cellStyle name="Итог 3 6" xfId="3082" xr:uid="{00000000-0005-0000-0000-000085790000}"/>
    <cellStyle name="Итог 3 6 2" xfId="6439" xr:uid="{00000000-0005-0000-0000-000086790000}"/>
    <cellStyle name="Итог 3 6 2 2" xfId="29041" xr:uid="{00000000-0005-0000-0000-000087790000}"/>
    <cellStyle name="Итог 3 6 2_TOM TAT" xfId="26560" xr:uid="{00000000-0005-0000-0000-000088790000}"/>
    <cellStyle name="Итог 3 6 3" xfId="27868" xr:uid="{00000000-0005-0000-0000-000089790000}"/>
    <cellStyle name="Итог 3 6_TOM TAT" xfId="26559" xr:uid="{00000000-0005-0000-0000-00008A790000}"/>
    <cellStyle name="Итог 3 7" xfId="3083" xr:uid="{00000000-0005-0000-0000-00008B790000}"/>
    <cellStyle name="Итог 3 7 2" xfId="6440" xr:uid="{00000000-0005-0000-0000-00008C790000}"/>
    <cellStyle name="Итог 3 7 2 2" xfId="29042" xr:uid="{00000000-0005-0000-0000-00008D790000}"/>
    <cellStyle name="Итог 3 7 2_TOM TAT" xfId="26562" xr:uid="{00000000-0005-0000-0000-00008E790000}"/>
    <cellStyle name="Итог 3 7 3" xfId="27869" xr:uid="{00000000-0005-0000-0000-00008F790000}"/>
    <cellStyle name="Итог 3 7_TOM TAT" xfId="26561" xr:uid="{00000000-0005-0000-0000-000090790000}"/>
    <cellStyle name="Итог 3 8" xfId="6441" xr:uid="{00000000-0005-0000-0000-000091790000}"/>
    <cellStyle name="Итог 3 8 2" xfId="29043" xr:uid="{00000000-0005-0000-0000-000092790000}"/>
    <cellStyle name="Итог 3 8_TOM TAT" xfId="26563" xr:uid="{00000000-0005-0000-0000-000093790000}"/>
    <cellStyle name="Итог 3 9" xfId="27858" xr:uid="{00000000-0005-0000-0000-000094790000}"/>
    <cellStyle name="Итог 3_TOM TAT" xfId="26540" xr:uid="{00000000-0005-0000-0000-000095790000}"/>
    <cellStyle name="Итог 4" xfId="3084" xr:uid="{00000000-0005-0000-0000-000096790000}"/>
    <cellStyle name="Итог 4 2" xfId="3085" xr:uid="{00000000-0005-0000-0000-000097790000}"/>
    <cellStyle name="Итог 4 2 2" xfId="3086" xr:uid="{00000000-0005-0000-0000-000098790000}"/>
    <cellStyle name="Итог 4 2 2 2" xfId="6442" xr:uid="{00000000-0005-0000-0000-000099790000}"/>
    <cellStyle name="Итог 4 2 2 2 2" xfId="29044" xr:uid="{00000000-0005-0000-0000-00009A790000}"/>
    <cellStyle name="Итог 4 2 2 2_TOM TAT" xfId="26567" xr:uid="{00000000-0005-0000-0000-00009B790000}"/>
    <cellStyle name="Итог 4 2 2 3" xfId="27872" xr:uid="{00000000-0005-0000-0000-00009C790000}"/>
    <cellStyle name="Итог 4 2 2_TOM TAT" xfId="26566" xr:uid="{00000000-0005-0000-0000-00009D790000}"/>
    <cellStyle name="Итог 4 2 3" xfId="6443" xr:uid="{00000000-0005-0000-0000-00009E790000}"/>
    <cellStyle name="Итог 4 2 3 2" xfId="29045" xr:uid="{00000000-0005-0000-0000-00009F790000}"/>
    <cellStyle name="Итог 4 2 3_TOM TAT" xfId="26568" xr:uid="{00000000-0005-0000-0000-0000A0790000}"/>
    <cellStyle name="Итог 4 2 4" xfId="27871" xr:uid="{00000000-0005-0000-0000-0000A1790000}"/>
    <cellStyle name="Итог 4 2_TOM TAT" xfId="26565" xr:uid="{00000000-0005-0000-0000-0000A2790000}"/>
    <cellStyle name="Итог 4 3" xfId="3087" xr:uid="{00000000-0005-0000-0000-0000A3790000}"/>
    <cellStyle name="Итог 4 3 2" xfId="6444" xr:uid="{00000000-0005-0000-0000-0000A4790000}"/>
    <cellStyle name="Итог 4 3 2 2" xfId="29046" xr:uid="{00000000-0005-0000-0000-0000A5790000}"/>
    <cellStyle name="Итог 4 3 2_TOM TAT" xfId="26570" xr:uid="{00000000-0005-0000-0000-0000A6790000}"/>
    <cellStyle name="Итог 4 3 3" xfId="27873" xr:uid="{00000000-0005-0000-0000-0000A7790000}"/>
    <cellStyle name="Итог 4 3_TOM TAT" xfId="26569" xr:uid="{00000000-0005-0000-0000-0000A8790000}"/>
    <cellStyle name="Итог 4 4" xfId="3088" xr:uid="{00000000-0005-0000-0000-0000A9790000}"/>
    <cellStyle name="Итог 4 4 2" xfId="6445" xr:uid="{00000000-0005-0000-0000-0000AA790000}"/>
    <cellStyle name="Итог 4 4 2 2" xfId="29047" xr:uid="{00000000-0005-0000-0000-0000AB790000}"/>
    <cellStyle name="Итог 4 4 2_TOM TAT" xfId="26572" xr:uid="{00000000-0005-0000-0000-0000AC790000}"/>
    <cellStyle name="Итог 4 4 3" xfId="27874" xr:uid="{00000000-0005-0000-0000-0000AD790000}"/>
    <cellStyle name="Итог 4 4_TOM TAT" xfId="26571" xr:uid="{00000000-0005-0000-0000-0000AE790000}"/>
    <cellStyle name="Итог 4 5" xfId="6446" xr:uid="{00000000-0005-0000-0000-0000AF790000}"/>
    <cellStyle name="Итог 4 5 2" xfId="29048" xr:uid="{00000000-0005-0000-0000-0000B0790000}"/>
    <cellStyle name="Итог 4 5_TOM TAT" xfId="26573" xr:uid="{00000000-0005-0000-0000-0000B1790000}"/>
    <cellStyle name="Итог 4 6" xfId="27870" xr:uid="{00000000-0005-0000-0000-0000B2790000}"/>
    <cellStyle name="Итог 4_TOM TAT" xfId="26564" xr:uid="{00000000-0005-0000-0000-0000B3790000}"/>
    <cellStyle name="Итог 5" xfId="3089" xr:uid="{00000000-0005-0000-0000-0000B4790000}"/>
    <cellStyle name="Итог 5 2" xfId="3090" xr:uid="{00000000-0005-0000-0000-0000B5790000}"/>
    <cellStyle name="Итог 5 2 2" xfId="6447" xr:uid="{00000000-0005-0000-0000-0000B6790000}"/>
    <cellStyle name="Итог 5 2 2 2" xfId="29049" xr:uid="{00000000-0005-0000-0000-0000B7790000}"/>
    <cellStyle name="Итог 5 2 2_TOM TAT" xfId="26576" xr:uid="{00000000-0005-0000-0000-0000B8790000}"/>
    <cellStyle name="Итог 5 2 3" xfId="27876" xr:uid="{00000000-0005-0000-0000-0000B9790000}"/>
    <cellStyle name="Итог 5 2_TOM TAT" xfId="26575" xr:uid="{00000000-0005-0000-0000-0000BA790000}"/>
    <cellStyle name="Итог 5 3" xfId="6448" xr:uid="{00000000-0005-0000-0000-0000BB790000}"/>
    <cellStyle name="Итог 5 3 2" xfId="29050" xr:uid="{00000000-0005-0000-0000-0000BC790000}"/>
    <cellStyle name="Итог 5 3_TOM TAT" xfId="26577" xr:uid="{00000000-0005-0000-0000-0000BD790000}"/>
    <cellStyle name="Итог 5 4" xfId="27875" xr:uid="{00000000-0005-0000-0000-0000BE790000}"/>
    <cellStyle name="Итог 5_TOM TAT" xfId="26574" xr:uid="{00000000-0005-0000-0000-0000BF790000}"/>
    <cellStyle name="Итог 6" xfId="3091" xr:uid="{00000000-0005-0000-0000-0000C0790000}"/>
    <cellStyle name="Итог 6 2" xfId="6449" xr:uid="{00000000-0005-0000-0000-0000C1790000}"/>
    <cellStyle name="Итог 6 2 2" xfId="29051" xr:uid="{00000000-0005-0000-0000-0000C2790000}"/>
    <cellStyle name="Итог 6 2_TOM TAT" xfId="26579" xr:uid="{00000000-0005-0000-0000-0000C3790000}"/>
    <cellStyle name="Итог 6 3" xfId="27877" xr:uid="{00000000-0005-0000-0000-0000C4790000}"/>
    <cellStyle name="Итог 6_TOM TAT" xfId="26578" xr:uid="{00000000-0005-0000-0000-0000C5790000}"/>
    <cellStyle name="Итог 7" xfId="3092" xr:uid="{00000000-0005-0000-0000-0000C6790000}"/>
    <cellStyle name="Итог 7 2" xfId="6450" xr:uid="{00000000-0005-0000-0000-0000C7790000}"/>
    <cellStyle name="Итог 7 2 2" xfId="29052" xr:uid="{00000000-0005-0000-0000-0000C8790000}"/>
    <cellStyle name="Итог 7 2_TOM TAT" xfId="26581" xr:uid="{00000000-0005-0000-0000-0000C9790000}"/>
    <cellStyle name="Итог 7 3" xfId="27878" xr:uid="{00000000-0005-0000-0000-0000CA790000}"/>
    <cellStyle name="Итог 7_TOM TAT" xfId="26580" xr:uid="{00000000-0005-0000-0000-0000CB790000}"/>
    <cellStyle name="Итог 8" xfId="3093" xr:uid="{00000000-0005-0000-0000-0000CC790000}"/>
    <cellStyle name="Итог 8 2" xfId="6451" xr:uid="{00000000-0005-0000-0000-0000CD790000}"/>
    <cellStyle name="Итог 8 2 2" xfId="29053" xr:uid="{00000000-0005-0000-0000-0000CE790000}"/>
    <cellStyle name="Итог 8 2_TOM TAT" xfId="26583" xr:uid="{00000000-0005-0000-0000-0000CF790000}"/>
    <cellStyle name="Итог 8 3" xfId="27879" xr:uid="{00000000-0005-0000-0000-0000D0790000}"/>
    <cellStyle name="Итог 8_TOM TAT" xfId="26582" xr:uid="{00000000-0005-0000-0000-0000D1790000}"/>
    <cellStyle name="Итог 9" xfId="3094" xr:uid="{00000000-0005-0000-0000-0000D2790000}"/>
    <cellStyle name="Итог 9 2" xfId="6452" xr:uid="{00000000-0005-0000-0000-0000D3790000}"/>
    <cellStyle name="Итог 9 2 2" xfId="29054" xr:uid="{00000000-0005-0000-0000-0000D4790000}"/>
    <cellStyle name="Итог 9 2_TOM TAT" xfId="26585" xr:uid="{00000000-0005-0000-0000-0000D5790000}"/>
    <cellStyle name="Итог 9 3" xfId="27880" xr:uid="{00000000-0005-0000-0000-0000D6790000}"/>
    <cellStyle name="Итог 9_TOM TAT" xfId="26584" xr:uid="{00000000-0005-0000-0000-0000D7790000}"/>
    <cellStyle name="Итог_TOM TAT" xfId="26466" xr:uid="{00000000-0005-0000-0000-0000D8790000}"/>
    <cellStyle name="Контрольная ячейка" xfId="3095" xr:uid="{00000000-0005-0000-0000-0000D9790000}"/>
    <cellStyle name="Контрольная ячейка 2" xfId="14554" xr:uid="{00000000-0005-0000-0000-0000DA790000}"/>
    <cellStyle name="Контрольная ячейка_TOM TAT" xfId="26586" xr:uid="{00000000-0005-0000-0000-0000DB790000}"/>
    <cellStyle name="Название" xfId="3096" xr:uid="{00000000-0005-0000-0000-0000DC790000}"/>
    <cellStyle name="Название 2" xfId="14555" xr:uid="{00000000-0005-0000-0000-0000DD790000}"/>
    <cellStyle name="Название_TOM TAT" xfId="26587" xr:uid="{00000000-0005-0000-0000-0000DE790000}"/>
    <cellStyle name="Нейтральный" xfId="3097" xr:uid="{00000000-0005-0000-0000-0000DF790000}"/>
    <cellStyle name="Нейтральный 2" xfId="14556" xr:uid="{00000000-0005-0000-0000-0000E0790000}"/>
    <cellStyle name="Нейтральный_TOM TAT" xfId="26588" xr:uid="{00000000-0005-0000-0000-0000E1790000}"/>
    <cellStyle name="Плохой" xfId="3098" xr:uid="{00000000-0005-0000-0000-0000E2790000}"/>
    <cellStyle name="Плохой 2" xfId="14557" xr:uid="{00000000-0005-0000-0000-0000E3790000}"/>
    <cellStyle name="Плохой_TOM TAT" xfId="26589" xr:uid="{00000000-0005-0000-0000-0000E4790000}"/>
    <cellStyle name="Пояснение" xfId="3099" xr:uid="{00000000-0005-0000-0000-0000E5790000}"/>
    <cellStyle name="Пояснение 2" xfId="14558" xr:uid="{00000000-0005-0000-0000-0000E6790000}"/>
    <cellStyle name="Пояснение_TOM TAT" xfId="26590" xr:uid="{00000000-0005-0000-0000-0000E7790000}"/>
    <cellStyle name="Примечание" xfId="3100" xr:uid="{00000000-0005-0000-0000-0000E8790000}"/>
    <cellStyle name="Примечание 10" xfId="3101" xr:uid="{00000000-0005-0000-0000-0000E9790000}"/>
    <cellStyle name="Примечание 10 2" xfId="6453" xr:uid="{00000000-0005-0000-0000-0000EA790000}"/>
    <cellStyle name="Примечание 10 2 2" xfId="29055" xr:uid="{00000000-0005-0000-0000-0000EB790000}"/>
    <cellStyle name="Примечание 10 2_TOM TAT" xfId="26593" xr:uid="{00000000-0005-0000-0000-0000EC790000}"/>
    <cellStyle name="Примечание 10 3" xfId="27882" xr:uid="{00000000-0005-0000-0000-0000ED790000}"/>
    <cellStyle name="Примечание 10_TOM TAT" xfId="26592" xr:uid="{00000000-0005-0000-0000-0000EE790000}"/>
    <cellStyle name="Примечание 11" xfId="6454" xr:uid="{00000000-0005-0000-0000-0000EF790000}"/>
    <cellStyle name="Примечание 11 2" xfId="29056" xr:uid="{00000000-0005-0000-0000-0000F0790000}"/>
    <cellStyle name="Примечание 11_TOM TAT" xfId="26594" xr:uid="{00000000-0005-0000-0000-0000F1790000}"/>
    <cellStyle name="Примечание 12" xfId="27881" xr:uid="{00000000-0005-0000-0000-0000F2790000}"/>
    <cellStyle name="Примечание 2" xfId="3102" xr:uid="{00000000-0005-0000-0000-0000F3790000}"/>
    <cellStyle name="Примечание 2 10" xfId="6455" xr:uid="{00000000-0005-0000-0000-0000F4790000}"/>
    <cellStyle name="Примечание 2 10 2" xfId="29057" xr:uid="{00000000-0005-0000-0000-0000F5790000}"/>
    <cellStyle name="Примечание 2 10_TOM TAT" xfId="26596" xr:uid="{00000000-0005-0000-0000-0000F6790000}"/>
    <cellStyle name="Примечание 2 11" xfId="27883" xr:uid="{00000000-0005-0000-0000-0000F7790000}"/>
    <cellStyle name="Примечание 2 2" xfId="3103" xr:uid="{00000000-0005-0000-0000-0000F8790000}"/>
    <cellStyle name="Примечание 2 2 2" xfId="3104" xr:uid="{00000000-0005-0000-0000-0000F9790000}"/>
    <cellStyle name="Примечание 2 2 2 2" xfId="3105" xr:uid="{00000000-0005-0000-0000-0000FA790000}"/>
    <cellStyle name="Примечание 2 2 2 2 2" xfId="3106" xr:uid="{00000000-0005-0000-0000-0000FB790000}"/>
    <cellStyle name="Примечание 2 2 2 2 2 2" xfId="3107" xr:uid="{00000000-0005-0000-0000-0000FC790000}"/>
    <cellStyle name="Примечание 2 2 2 2 2 2 2" xfId="6456" xr:uid="{00000000-0005-0000-0000-0000FD790000}"/>
    <cellStyle name="Примечание 2 2 2 2 2 2 2 2" xfId="29058" xr:uid="{00000000-0005-0000-0000-0000FE790000}"/>
    <cellStyle name="Примечание 2 2 2 2 2 2 2_TOM TAT" xfId="26602" xr:uid="{00000000-0005-0000-0000-0000FF790000}"/>
    <cellStyle name="Примечание 2 2 2 2 2 2 3" xfId="27888" xr:uid="{00000000-0005-0000-0000-0000007A0000}"/>
    <cellStyle name="Примечание 2 2 2 2 2 2_TOM TAT" xfId="26601" xr:uid="{00000000-0005-0000-0000-0000017A0000}"/>
    <cellStyle name="Примечание 2 2 2 2 2 3" xfId="6457" xr:uid="{00000000-0005-0000-0000-0000027A0000}"/>
    <cellStyle name="Примечание 2 2 2 2 2 3 2" xfId="29059" xr:uid="{00000000-0005-0000-0000-0000037A0000}"/>
    <cellStyle name="Примечание 2 2 2 2 2 3_TOM TAT" xfId="26603" xr:uid="{00000000-0005-0000-0000-0000047A0000}"/>
    <cellStyle name="Примечание 2 2 2 2 2 4" xfId="27887" xr:uid="{00000000-0005-0000-0000-0000057A0000}"/>
    <cellStyle name="Примечание 2 2 2 2 2_TOM TAT" xfId="26600" xr:uid="{00000000-0005-0000-0000-0000067A0000}"/>
    <cellStyle name="Примечание 2 2 2 2 3" xfId="3108" xr:uid="{00000000-0005-0000-0000-0000077A0000}"/>
    <cellStyle name="Примечание 2 2 2 2 3 2" xfId="6458" xr:uid="{00000000-0005-0000-0000-0000087A0000}"/>
    <cellStyle name="Примечание 2 2 2 2 3 2 2" xfId="29060" xr:uid="{00000000-0005-0000-0000-0000097A0000}"/>
    <cellStyle name="Примечание 2 2 2 2 3 2_TOM TAT" xfId="26605" xr:uid="{00000000-0005-0000-0000-00000A7A0000}"/>
    <cellStyle name="Примечание 2 2 2 2 3 3" xfId="27889" xr:uid="{00000000-0005-0000-0000-00000B7A0000}"/>
    <cellStyle name="Примечание 2 2 2 2 3_TOM TAT" xfId="26604" xr:uid="{00000000-0005-0000-0000-00000C7A0000}"/>
    <cellStyle name="Примечание 2 2 2 2 4" xfId="6459" xr:uid="{00000000-0005-0000-0000-00000D7A0000}"/>
    <cellStyle name="Примечание 2 2 2 2 4 2" xfId="29061" xr:uid="{00000000-0005-0000-0000-00000E7A0000}"/>
    <cellStyle name="Примечание 2 2 2 2 4_TOM TAT" xfId="26606" xr:uid="{00000000-0005-0000-0000-00000F7A0000}"/>
    <cellStyle name="Примечание 2 2 2 2 5" xfId="27886" xr:uid="{00000000-0005-0000-0000-0000107A0000}"/>
    <cellStyle name="Примечание 2 2 2 2_TOM TAT" xfId="26599" xr:uid="{00000000-0005-0000-0000-0000117A0000}"/>
    <cellStyle name="Примечание 2 2 2 3" xfId="3109" xr:uid="{00000000-0005-0000-0000-0000127A0000}"/>
    <cellStyle name="Примечание 2 2 2 3 2" xfId="3110" xr:uid="{00000000-0005-0000-0000-0000137A0000}"/>
    <cellStyle name="Примечание 2 2 2 3 2 2" xfId="6460" xr:uid="{00000000-0005-0000-0000-0000147A0000}"/>
    <cellStyle name="Примечание 2 2 2 3 2 2 2" xfId="29062" xr:uid="{00000000-0005-0000-0000-0000157A0000}"/>
    <cellStyle name="Примечание 2 2 2 3 2 2_TOM TAT" xfId="26609" xr:uid="{00000000-0005-0000-0000-0000167A0000}"/>
    <cellStyle name="Примечание 2 2 2 3 2 3" xfId="27891" xr:uid="{00000000-0005-0000-0000-0000177A0000}"/>
    <cellStyle name="Примечание 2 2 2 3 2_TOM TAT" xfId="26608" xr:uid="{00000000-0005-0000-0000-0000187A0000}"/>
    <cellStyle name="Примечание 2 2 2 3 3" xfId="6461" xr:uid="{00000000-0005-0000-0000-0000197A0000}"/>
    <cellStyle name="Примечание 2 2 2 3 3 2" xfId="29063" xr:uid="{00000000-0005-0000-0000-00001A7A0000}"/>
    <cellStyle name="Примечание 2 2 2 3 3_TOM TAT" xfId="26610" xr:uid="{00000000-0005-0000-0000-00001B7A0000}"/>
    <cellStyle name="Примечание 2 2 2 3 4" xfId="27890" xr:uid="{00000000-0005-0000-0000-00001C7A0000}"/>
    <cellStyle name="Примечание 2 2 2 3_TOM TAT" xfId="26607" xr:uid="{00000000-0005-0000-0000-00001D7A0000}"/>
    <cellStyle name="Примечание 2 2 2 4" xfId="3111" xr:uid="{00000000-0005-0000-0000-00001E7A0000}"/>
    <cellStyle name="Примечание 2 2 2 4 2" xfId="3112" xr:uid="{00000000-0005-0000-0000-00001F7A0000}"/>
    <cellStyle name="Примечание 2 2 2 4 2 2" xfId="6462" xr:uid="{00000000-0005-0000-0000-0000207A0000}"/>
    <cellStyle name="Примечание 2 2 2 4 2 2 2" xfId="29064" xr:uid="{00000000-0005-0000-0000-0000217A0000}"/>
    <cellStyle name="Примечание 2 2 2 4 2 2_TOM TAT" xfId="26613" xr:uid="{00000000-0005-0000-0000-0000227A0000}"/>
    <cellStyle name="Примечание 2 2 2 4 2 3" xfId="27893" xr:uid="{00000000-0005-0000-0000-0000237A0000}"/>
    <cellStyle name="Примечание 2 2 2 4 2_TOM TAT" xfId="26612" xr:uid="{00000000-0005-0000-0000-0000247A0000}"/>
    <cellStyle name="Примечание 2 2 2 4 3" xfId="6463" xr:uid="{00000000-0005-0000-0000-0000257A0000}"/>
    <cellStyle name="Примечание 2 2 2 4 3 2" xfId="29065" xr:uid="{00000000-0005-0000-0000-0000267A0000}"/>
    <cellStyle name="Примечание 2 2 2 4 3_TOM TAT" xfId="26614" xr:uid="{00000000-0005-0000-0000-0000277A0000}"/>
    <cellStyle name="Примечание 2 2 2 4 4" xfId="27892" xr:uid="{00000000-0005-0000-0000-0000287A0000}"/>
    <cellStyle name="Примечание 2 2 2 4_TOM TAT" xfId="26611" xr:uid="{00000000-0005-0000-0000-0000297A0000}"/>
    <cellStyle name="Примечание 2 2 2 5" xfId="3113" xr:uid="{00000000-0005-0000-0000-00002A7A0000}"/>
    <cellStyle name="Примечание 2 2 2 5 2" xfId="6464" xr:uid="{00000000-0005-0000-0000-00002B7A0000}"/>
    <cellStyle name="Примечание 2 2 2 5 2 2" xfId="29066" xr:uid="{00000000-0005-0000-0000-00002C7A0000}"/>
    <cellStyle name="Примечание 2 2 2 5 2_TOM TAT" xfId="26616" xr:uid="{00000000-0005-0000-0000-00002D7A0000}"/>
    <cellStyle name="Примечание 2 2 2 5 3" xfId="27894" xr:uid="{00000000-0005-0000-0000-00002E7A0000}"/>
    <cellStyle name="Примечание 2 2 2 5_TOM TAT" xfId="26615" xr:uid="{00000000-0005-0000-0000-00002F7A0000}"/>
    <cellStyle name="Примечание 2 2 2 6" xfId="6465" xr:uid="{00000000-0005-0000-0000-0000307A0000}"/>
    <cellStyle name="Примечание 2 2 2 6 2" xfId="29067" xr:uid="{00000000-0005-0000-0000-0000317A0000}"/>
    <cellStyle name="Примечание 2 2 2 6_TOM TAT" xfId="26617" xr:uid="{00000000-0005-0000-0000-0000327A0000}"/>
    <cellStyle name="Примечание 2 2 2 7" xfId="27885" xr:uid="{00000000-0005-0000-0000-0000337A0000}"/>
    <cellStyle name="Примечание 2 2 2_TOM TAT" xfId="26598" xr:uid="{00000000-0005-0000-0000-0000347A0000}"/>
    <cellStyle name="Примечание 2 2 3" xfId="3114" xr:uid="{00000000-0005-0000-0000-0000357A0000}"/>
    <cellStyle name="Примечание 2 2 3 2" xfId="3115" xr:uid="{00000000-0005-0000-0000-0000367A0000}"/>
    <cellStyle name="Примечание 2 2 3 2 2" xfId="3116" xr:uid="{00000000-0005-0000-0000-0000377A0000}"/>
    <cellStyle name="Примечание 2 2 3 2 2 2" xfId="3117" xr:uid="{00000000-0005-0000-0000-0000387A0000}"/>
    <cellStyle name="Примечание 2 2 3 2 2 2 2" xfId="6466" xr:uid="{00000000-0005-0000-0000-0000397A0000}"/>
    <cellStyle name="Примечание 2 2 3 2 2 2 2 2" xfId="29068" xr:uid="{00000000-0005-0000-0000-00003A7A0000}"/>
    <cellStyle name="Примечание 2 2 3 2 2 2 2_TOM TAT" xfId="26622" xr:uid="{00000000-0005-0000-0000-00003B7A0000}"/>
    <cellStyle name="Примечание 2 2 3 2 2 2 3" xfId="27898" xr:uid="{00000000-0005-0000-0000-00003C7A0000}"/>
    <cellStyle name="Примечание 2 2 3 2 2 2_TOM TAT" xfId="26621" xr:uid="{00000000-0005-0000-0000-00003D7A0000}"/>
    <cellStyle name="Примечание 2 2 3 2 2 3" xfId="6467" xr:uid="{00000000-0005-0000-0000-00003E7A0000}"/>
    <cellStyle name="Примечание 2 2 3 2 2 3 2" xfId="29069" xr:uid="{00000000-0005-0000-0000-00003F7A0000}"/>
    <cellStyle name="Примечание 2 2 3 2 2 3_TOM TAT" xfId="26623" xr:uid="{00000000-0005-0000-0000-0000407A0000}"/>
    <cellStyle name="Примечание 2 2 3 2 2 4" xfId="27897" xr:uid="{00000000-0005-0000-0000-0000417A0000}"/>
    <cellStyle name="Примечание 2 2 3 2 2_TOM TAT" xfId="26620" xr:uid="{00000000-0005-0000-0000-0000427A0000}"/>
    <cellStyle name="Примечание 2 2 3 2 3" xfId="3118" xr:uid="{00000000-0005-0000-0000-0000437A0000}"/>
    <cellStyle name="Примечание 2 2 3 2 3 2" xfId="6468" xr:uid="{00000000-0005-0000-0000-0000447A0000}"/>
    <cellStyle name="Примечание 2 2 3 2 3 2 2" xfId="29070" xr:uid="{00000000-0005-0000-0000-0000457A0000}"/>
    <cellStyle name="Примечание 2 2 3 2 3 2_TOM TAT" xfId="26625" xr:uid="{00000000-0005-0000-0000-0000467A0000}"/>
    <cellStyle name="Примечание 2 2 3 2 3 3" xfId="27899" xr:uid="{00000000-0005-0000-0000-0000477A0000}"/>
    <cellStyle name="Примечание 2 2 3 2 3_TOM TAT" xfId="26624" xr:uid="{00000000-0005-0000-0000-0000487A0000}"/>
    <cellStyle name="Примечание 2 2 3 2 4" xfId="6469" xr:uid="{00000000-0005-0000-0000-0000497A0000}"/>
    <cellStyle name="Примечание 2 2 3 2 4 2" xfId="29071" xr:uid="{00000000-0005-0000-0000-00004A7A0000}"/>
    <cellStyle name="Примечание 2 2 3 2 4_TOM TAT" xfId="26626" xr:uid="{00000000-0005-0000-0000-00004B7A0000}"/>
    <cellStyle name="Примечание 2 2 3 2 5" xfId="27896" xr:uid="{00000000-0005-0000-0000-00004C7A0000}"/>
    <cellStyle name="Примечание 2 2 3 2_TOM TAT" xfId="26619" xr:uid="{00000000-0005-0000-0000-00004D7A0000}"/>
    <cellStyle name="Примечание 2 2 3 3" xfId="3119" xr:uid="{00000000-0005-0000-0000-00004E7A0000}"/>
    <cellStyle name="Примечание 2 2 3 3 2" xfId="3120" xr:uid="{00000000-0005-0000-0000-00004F7A0000}"/>
    <cellStyle name="Примечание 2 2 3 3 2 2" xfId="6470" xr:uid="{00000000-0005-0000-0000-0000507A0000}"/>
    <cellStyle name="Примечание 2 2 3 3 2 2 2" xfId="29072" xr:uid="{00000000-0005-0000-0000-0000517A0000}"/>
    <cellStyle name="Примечание 2 2 3 3 2 2_TOM TAT" xfId="26629" xr:uid="{00000000-0005-0000-0000-0000527A0000}"/>
    <cellStyle name="Примечание 2 2 3 3 2 3" xfId="27901" xr:uid="{00000000-0005-0000-0000-0000537A0000}"/>
    <cellStyle name="Примечание 2 2 3 3 2_TOM TAT" xfId="26628" xr:uid="{00000000-0005-0000-0000-0000547A0000}"/>
    <cellStyle name="Примечание 2 2 3 3 3" xfId="6471" xr:uid="{00000000-0005-0000-0000-0000557A0000}"/>
    <cellStyle name="Примечание 2 2 3 3 3 2" xfId="29073" xr:uid="{00000000-0005-0000-0000-0000567A0000}"/>
    <cellStyle name="Примечание 2 2 3 3 3_TOM TAT" xfId="26630" xr:uid="{00000000-0005-0000-0000-0000577A0000}"/>
    <cellStyle name="Примечание 2 2 3 3 4" xfId="27900" xr:uid="{00000000-0005-0000-0000-0000587A0000}"/>
    <cellStyle name="Примечание 2 2 3 3_TOM TAT" xfId="26627" xr:uid="{00000000-0005-0000-0000-0000597A0000}"/>
    <cellStyle name="Примечание 2 2 3 4" xfId="3121" xr:uid="{00000000-0005-0000-0000-00005A7A0000}"/>
    <cellStyle name="Примечание 2 2 3 4 2" xfId="3122" xr:uid="{00000000-0005-0000-0000-00005B7A0000}"/>
    <cellStyle name="Примечание 2 2 3 4 2 2" xfId="6472" xr:uid="{00000000-0005-0000-0000-00005C7A0000}"/>
    <cellStyle name="Примечание 2 2 3 4 2 2 2" xfId="29074" xr:uid="{00000000-0005-0000-0000-00005D7A0000}"/>
    <cellStyle name="Примечание 2 2 3 4 2 2_TOM TAT" xfId="26633" xr:uid="{00000000-0005-0000-0000-00005E7A0000}"/>
    <cellStyle name="Примечание 2 2 3 4 2 3" xfId="27903" xr:uid="{00000000-0005-0000-0000-00005F7A0000}"/>
    <cellStyle name="Примечание 2 2 3 4 2_TOM TAT" xfId="26632" xr:uid="{00000000-0005-0000-0000-0000607A0000}"/>
    <cellStyle name="Примечание 2 2 3 4 3" xfId="6473" xr:uid="{00000000-0005-0000-0000-0000617A0000}"/>
    <cellStyle name="Примечание 2 2 3 4 3 2" xfId="29075" xr:uid="{00000000-0005-0000-0000-0000627A0000}"/>
    <cellStyle name="Примечание 2 2 3 4 3_TOM TAT" xfId="26634" xr:uid="{00000000-0005-0000-0000-0000637A0000}"/>
    <cellStyle name="Примечание 2 2 3 4 4" xfId="27902" xr:uid="{00000000-0005-0000-0000-0000647A0000}"/>
    <cellStyle name="Примечание 2 2 3 4_TOM TAT" xfId="26631" xr:uid="{00000000-0005-0000-0000-0000657A0000}"/>
    <cellStyle name="Примечание 2 2 3 5" xfId="3123" xr:uid="{00000000-0005-0000-0000-0000667A0000}"/>
    <cellStyle name="Примечание 2 2 3 5 2" xfId="6474" xr:uid="{00000000-0005-0000-0000-0000677A0000}"/>
    <cellStyle name="Примечание 2 2 3 5 2 2" xfId="29076" xr:uid="{00000000-0005-0000-0000-0000687A0000}"/>
    <cellStyle name="Примечание 2 2 3 5 2_TOM TAT" xfId="26636" xr:uid="{00000000-0005-0000-0000-0000697A0000}"/>
    <cellStyle name="Примечание 2 2 3 5 3" xfId="27904" xr:uid="{00000000-0005-0000-0000-00006A7A0000}"/>
    <cellStyle name="Примечание 2 2 3 5_TOM TAT" xfId="26635" xr:uid="{00000000-0005-0000-0000-00006B7A0000}"/>
    <cellStyle name="Примечание 2 2 3 6" xfId="6475" xr:uid="{00000000-0005-0000-0000-00006C7A0000}"/>
    <cellStyle name="Примечание 2 2 3 6 2" xfId="29077" xr:uid="{00000000-0005-0000-0000-00006D7A0000}"/>
    <cellStyle name="Примечание 2 2 3 6_TOM TAT" xfId="26637" xr:uid="{00000000-0005-0000-0000-00006E7A0000}"/>
    <cellStyle name="Примечание 2 2 3 7" xfId="27895" xr:uid="{00000000-0005-0000-0000-00006F7A0000}"/>
    <cellStyle name="Примечание 2 2 3_TOM TAT" xfId="26618" xr:uid="{00000000-0005-0000-0000-0000707A0000}"/>
    <cellStyle name="Примечание 2 2 4" xfId="3124" xr:uid="{00000000-0005-0000-0000-0000717A0000}"/>
    <cellStyle name="Примечание 2 2 4 2" xfId="3125" xr:uid="{00000000-0005-0000-0000-0000727A0000}"/>
    <cellStyle name="Примечание 2 2 4 2 2" xfId="3126" xr:uid="{00000000-0005-0000-0000-0000737A0000}"/>
    <cellStyle name="Примечание 2 2 4 2 2 2" xfId="6476" xr:uid="{00000000-0005-0000-0000-0000747A0000}"/>
    <cellStyle name="Примечание 2 2 4 2 2 2 2" xfId="29078" xr:uid="{00000000-0005-0000-0000-0000757A0000}"/>
    <cellStyle name="Примечание 2 2 4 2 2 2_TOM TAT" xfId="26641" xr:uid="{00000000-0005-0000-0000-0000767A0000}"/>
    <cellStyle name="Примечание 2 2 4 2 2 3" xfId="27907" xr:uid="{00000000-0005-0000-0000-0000777A0000}"/>
    <cellStyle name="Примечание 2 2 4 2 2_TOM TAT" xfId="26640" xr:uid="{00000000-0005-0000-0000-0000787A0000}"/>
    <cellStyle name="Примечание 2 2 4 2 3" xfId="6477" xr:uid="{00000000-0005-0000-0000-0000797A0000}"/>
    <cellStyle name="Примечание 2 2 4 2 3 2" xfId="29079" xr:uid="{00000000-0005-0000-0000-00007A7A0000}"/>
    <cellStyle name="Примечание 2 2 4 2 3_TOM TAT" xfId="26642" xr:uid="{00000000-0005-0000-0000-00007B7A0000}"/>
    <cellStyle name="Примечание 2 2 4 2 4" xfId="27906" xr:uid="{00000000-0005-0000-0000-00007C7A0000}"/>
    <cellStyle name="Примечание 2 2 4 2_TOM TAT" xfId="26639" xr:uid="{00000000-0005-0000-0000-00007D7A0000}"/>
    <cellStyle name="Примечание 2 2 4 3" xfId="3127" xr:uid="{00000000-0005-0000-0000-00007E7A0000}"/>
    <cellStyle name="Примечание 2 2 4 3 2" xfId="6478" xr:uid="{00000000-0005-0000-0000-00007F7A0000}"/>
    <cellStyle name="Примечание 2 2 4 3 2 2" xfId="29080" xr:uid="{00000000-0005-0000-0000-0000807A0000}"/>
    <cellStyle name="Примечание 2 2 4 3 2_TOM TAT" xfId="26644" xr:uid="{00000000-0005-0000-0000-0000817A0000}"/>
    <cellStyle name="Примечание 2 2 4 3 3" xfId="27908" xr:uid="{00000000-0005-0000-0000-0000827A0000}"/>
    <cellStyle name="Примечание 2 2 4 3_TOM TAT" xfId="26643" xr:uid="{00000000-0005-0000-0000-0000837A0000}"/>
    <cellStyle name="Примечание 2 2 4 4" xfId="6479" xr:uid="{00000000-0005-0000-0000-0000847A0000}"/>
    <cellStyle name="Примечание 2 2 4 4 2" xfId="29081" xr:uid="{00000000-0005-0000-0000-0000857A0000}"/>
    <cellStyle name="Примечание 2 2 4 4_TOM TAT" xfId="26645" xr:uid="{00000000-0005-0000-0000-0000867A0000}"/>
    <cellStyle name="Примечание 2 2 4 5" xfId="27905" xr:uid="{00000000-0005-0000-0000-0000877A0000}"/>
    <cellStyle name="Примечание 2 2 4_TOM TAT" xfId="26638" xr:uid="{00000000-0005-0000-0000-0000887A0000}"/>
    <cellStyle name="Примечание 2 2 5" xfId="3128" xr:uid="{00000000-0005-0000-0000-0000897A0000}"/>
    <cellStyle name="Примечание 2 2 5 2" xfId="3129" xr:uid="{00000000-0005-0000-0000-00008A7A0000}"/>
    <cellStyle name="Примечание 2 2 5 2 2" xfId="6480" xr:uid="{00000000-0005-0000-0000-00008B7A0000}"/>
    <cellStyle name="Примечание 2 2 5 2 2 2" xfId="29082" xr:uid="{00000000-0005-0000-0000-00008C7A0000}"/>
    <cellStyle name="Примечание 2 2 5 2 2_TOM TAT" xfId="26648" xr:uid="{00000000-0005-0000-0000-00008D7A0000}"/>
    <cellStyle name="Примечание 2 2 5 2 3" xfId="27910" xr:uid="{00000000-0005-0000-0000-00008E7A0000}"/>
    <cellStyle name="Примечание 2 2 5 2_TOM TAT" xfId="26647" xr:uid="{00000000-0005-0000-0000-00008F7A0000}"/>
    <cellStyle name="Примечание 2 2 5 3" xfId="6481" xr:uid="{00000000-0005-0000-0000-0000907A0000}"/>
    <cellStyle name="Примечание 2 2 5 3 2" xfId="29083" xr:uid="{00000000-0005-0000-0000-0000917A0000}"/>
    <cellStyle name="Примечание 2 2 5 3_TOM TAT" xfId="26649" xr:uid="{00000000-0005-0000-0000-0000927A0000}"/>
    <cellStyle name="Примечание 2 2 5 4" xfId="27909" xr:uid="{00000000-0005-0000-0000-0000937A0000}"/>
    <cellStyle name="Примечание 2 2 5_TOM TAT" xfId="26646" xr:uid="{00000000-0005-0000-0000-0000947A0000}"/>
    <cellStyle name="Примечание 2 2 6" xfId="3130" xr:uid="{00000000-0005-0000-0000-0000957A0000}"/>
    <cellStyle name="Примечание 2 2 6 2" xfId="3131" xr:uid="{00000000-0005-0000-0000-0000967A0000}"/>
    <cellStyle name="Примечание 2 2 6 2 2" xfId="6482" xr:uid="{00000000-0005-0000-0000-0000977A0000}"/>
    <cellStyle name="Примечание 2 2 6 2 2 2" xfId="29084" xr:uid="{00000000-0005-0000-0000-0000987A0000}"/>
    <cellStyle name="Примечание 2 2 6 2 2_TOM TAT" xfId="26652" xr:uid="{00000000-0005-0000-0000-0000997A0000}"/>
    <cellStyle name="Примечание 2 2 6 2 3" xfId="27912" xr:uid="{00000000-0005-0000-0000-00009A7A0000}"/>
    <cellStyle name="Примечание 2 2 6 2_TOM TAT" xfId="26651" xr:uid="{00000000-0005-0000-0000-00009B7A0000}"/>
    <cellStyle name="Примечание 2 2 6 3" xfId="6483" xr:uid="{00000000-0005-0000-0000-00009C7A0000}"/>
    <cellStyle name="Примечание 2 2 6 3 2" xfId="29085" xr:uid="{00000000-0005-0000-0000-00009D7A0000}"/>
    <cellStyle name="Примечание 2 2 6 3_TOM TAT" xfId="26653" xr:uid="{00000000-0005-0000-0000-00009E7A0000}"/>
    <cellStyle name="Примечание 2 2 6 4" xfId="27911" xr:uid="{00000000-0005-0000-0000-00009F7A0000}"/>
    <cellStyle name="Примечание 2 2 6_TOM TAT" xfId="26650" xr:uid="{00000000-0005-0000-0000-0000A07A0000}"/>
    <cellStyle name="Примечание 2 2 7" xfId="3132" xr:uid="{00000000-0005-0000-0000-0000A17A0000}"/>
    <cellStyle name="Примечание 2 2 7 2" xfId="6484" xr:uid="{00000000-0005-0000-0000-0000A27A0000}"/>
    <cellStyle name="Примечание 2 2 7 2 2" xfId="29086" xr:uid="{00000000-0005-0000-0000-0000A37A0000}"/>
    <cellStyle name="Примечание 2 2 7 2_TOM TAT" xfId="26655" xr:uid="{00000000-0005-0000-0000-0000A47A0000}"/>
    <cellStyle name="Примечание 2 2 7 3" xfId="27913" xr:uid="{00000000-0005-0000-0000-0000A57A0000}"/>
    <cellStyle name="Примечание 2 2 7_TOM TAT" xfId="26654" xr:uid="{00000000-0005-0000-0000-0000A67A0000}"/>
    <cellStyle name="Примечание 2 2 8" xfId="6485" xr:uid="{00000000-0005-0000-0000-0000A77A0000}"/>
    <cellStyle name="Примечание 2 2 8 2" xfId="29087" xr:uid="{00000000-0005-0000-0000-0000A87A0000}"/>
    <cellStyle name="Примечание 2 2 8_TOM TAT" xfId="26656" xr:uid="{00000000-0005-0000-0000-0000A97A0000}"/>
    <cellStyle name="Примечание 2 2 9" xfId="27884" xr:uid="{00000000-0005-0000-0000-0000AA7A0000}"/>
    <cellStyle name="Примечание 2 2_TOM TAT" xfId="26597" xr:uid="{00000000-0005-0000-0000-0000AB7A0000}"/>
    <cellStyle name="Примечание 2 3" xfId="3133" xr:uid="{00000000-0005-0000-0000-0000AC7A0000}"/>
    <cellStyle name="Примечание 2 3 2" xfId="3134" xr:uid="{00000000-0005-0000-0000-0000AD7A0000}"/>
    <cellStyle name="Примечание 2 3 2 2" xfId="3135" xr:uid="{00000000-0005-0000-0000-0000AE7A0000}"/>
    <cellStyle name="Примечание 2 3 2 2 2" xfId="3136" xr:uid="{00000000-0005-0000-0000-0000AF7A0000}"/>
    <cellStyle name="Примечание 2 3 2 2 2 2" xfId="3137" xr:uid="{00000000-0005-0000-0000-0000B07A0000}"/>
    <cellStyle name="Примечание 2 3 2 2 2 2 2" xfId="6486" xr:uid="{00000000-0005-0000-0000-0000B17A0000}"/>
    <cellStyle name="Примечание 2 3 2 2 2 2 2 2" xfId="29088" xr:uid="{00000000-0005-0000-0000-0000B27A0000}"/>
    <cellStyle name="Примечание 2 3 2 2 2 2 2_TOM TAT" xfId="26662" xr:uid="{00000000-0005-0000-0000-0000B37A0000}"/>
    <cellStyle name="Примечание 2 3 2 2 2 2 3" xfId="27918" xr:uid="{00000000-0005-0000-0000-0000B47A0000}"/>
    <cellStyle name="Примечание 2 3 2 2 2 2_TOM TAT" xfId="26661" xr:uid="{00000000-0005-0000-0000-0000B57A0000}"/>
    <cellStyle name="Примечание 2 3 2 2 2 3" xfId="6487" xr:uid="{00000000-0005-0000-0000-0000B67A0000}"/>
    <cellStyle name="Примечание 2 3 2 2 2 3 2" xfId="29089" xr:uid="{00000000-0005-0000-0000-0000B77A0000}"/>
    <cellStyle name="Примечание 2 3 2 2 2 3_TOM TAT" xfId="26663" xr:uid="{00000000-0005-0000-0000-0000B87A0000}"/>
    <cellStyle name="Примечание 2 3 2 2 2 4" xfId="27917" xr:uid="{00000000-0005-0000-0000-0000B97A0000}"/>
    <cellStyle name="Примечание 2 3 2 2 2_TOM TAT" xfId="26660" xr:uid="{00000000-0005-0000-0000-0000BA7A0000}"/>
    <cellStyle name="Примечание 2 3 2 2 3" xfId="3138" xr:uid="{00000000-0005-0000-0000-0000BB7A0000}"/>
    <cellStyle name="Примечание 2 3 2 2 3 2" xfId="6488" xr:uid="{00000000-0005-0000-0000-0000BC7A0000}"/>
    <cellStyle name="Примечание 2 3 2 2 3 2 2" xfId="29090" xr:uid="{00000000-0005-0000-0000-0000BD7A0000}"/>
    <cellStyle name="Примечание 2 3 2 2 3 2_TOM TAT" xfId="26665" xr:uid="{00000000-0005-0000-0000-0000BE7A0000}"/>
    <cellStyle name="Примечание 2 3 2 2 3 3" xfId="27919" xr:uid="{00000000-0005-0000-0000-0000BF7A0000}"/>
    <cellStyle name="Примечание 2 3 2 2 3_TOM TAT" xfId="26664" xr:uid="{00000000-0005-0000-0000-0000C07A0000}"/>
    <cellStyle name="Примечание 2 3 2 2 4" xfId="6489" xr:uid="{00000000-0005-0000-0000-0000C17A0000}"/>
    <cellStyle name="Примечание 2 3 2 2 4 2" xfId="29091" xr:uid="{00000000-0005-0000-0000-0000C27A0000}"/>
    <cellStyle name="Примечание 2 3 2 2 4_TOM TAT" xfId="26666" xr:uid="{00000000-0005-0000-0000-0000C37A0000}"/>
    <cellStyle name="Примечание 2 3 2 2 5" xfId="27916" xr:uid="{00000000-0005-0000-0000-0000C47A0000}"/>
    <cellStyle name="Примечание 2 3 2 2_TOM TAT" xfId="26659" xr:uid="{00000000-0005-0000-0000-0000C57A0000}"/>
    <cellStyle name="Примечание 2 3 2 3" xfId="3139" xr:uid="{00000000-0005-0000-0000-0000C67A0000}"/>
    <cellStyle name="Примечание 2 3 2 3 2" xfId="3140" xr:uid="{00000000-0005-0000-0000-0000C77A0000}"/>
    <cellStyle name="Примечание 2 3 2 3 2 2" xfId="6490" xr:uid="{00000000-0005-0000-0000-0000C87A0000}"/>
    <cellStyle name="Примечание 2 3 2 3 2 2 2" xfId="29092" xr:uid="{00000000-0005-0000-0000-0000C97A0000}"/>
    <cellStyle name="Примечание 2 3 2 3 2 2_TOM TAT" xfId="26669" xr:uid="{00000000-0005-0000-0000-0000CA7A0000}"/>
    <cellStyle name="Примечание 2 3 2 3 2 3" xfId="27921" xr:uid="{00000000-0005-0000-0000-0000CB7A0000}"/>
    <cellStyle name="Примечание 2 3 2 3 2_TOM TAT" xfId="26668" xr:uid="{00000000-0005-0000-0000-0000CC7A0000}"/>
    <cellStyle name="Примечание 2 3 2 3 3" xfId="6491" xr:uid="{00000000-0005-0000-0000-0000CD7A0000}"/>
    <cellStyle name="Примечание 2 3 2 3 3 2" xfId="29093" xr:uid="{00000000-0005-0000-0000-0000CE7A0000}"/>
    <cellStyle name="Примечание 2 3 2 3 3_TOM TAT" xfId="26670" xr:uid="{00000000-0005-0000-0000-0000CF7A0000}"/>
    <cellStyle name="Примечание 2 3 2 3 4" xfId="27920" xr:uid="{00000000-0005-0000-0000-0000D07A0000}"/>
    <cellStyle name="Примечание 2 3 2 3_TOM TAT" xfId="26667" xr:uid="{00000000-0005-0000-0000-0000D17A0000}"/>
    <cellStyle name="Примечание 2 3 2 4" xfId="3141" xr:uid="{00000000-0005-0000-0000-0000D27A0000}"/>
    <cellStyle name="Примечание 2 3 2 4 2" xfId="3142" xr:uid="{00000000-0005-0000-0000-0000D37A0000}"/>
    <cellStyle name="Примечание 2 3 2 4 2 2" xfId="6492" xr:uid="{00000000-0005-0000-0000-0000D47A0000}"/>
    <cellStyle name="Примечание 2 3 2 4 2 2 2" xfId="29094" xr:uid="{00000000-0005-0000-0000-0000D57A0000}"/>
    <cellStyle name="Примечание 2 3 2 4 2 2_TOM TAT" xfId="26673" xr:uid="{00000000-0005-0000-0000-0000D67A0000}"/>
    <cellStyle name="Примечание 2 3 2 4 2 3" xfId="27923" xr:uid="{00000000-0005-0000-0000-0000D77A0000}"/>
    <cellStyle name="Примечание 2 3 2 4 2_TOM TAT" xfId="26672" xr:uid="{00000000-0005-0000-0000-0000D87A0000}"/>
    <cellStyle name="Примечание 2 3 2 4 3" xfId="6493" xr:uid="{00000000-0005-0000-0000-0000D97A0000}"/>
    <cellStyle name="Примечание 2 3 2 4 3 2" xfId="29095" xr:uid="{00000000-0005-0000-0000-0000DA7A0000}"/>
    <cellStyle name="Примечание 2 3 2 4 3_TOM TAT" xfId="26674" xr:uid="{00000000-0005-0000-0000-0000DB7A0000}"/>
    <cellStyle name="Примечание 2 3 2 4 4" xfId="27922" xr:uid="{00000000-0005-0000-0000-0000DC7A0000}"/>
    <cellStyle name="Примечание 2 3 2 4_TOM TAT" xfId="26671" xr:uid="{00000000-0005-0000-0000-0000DD7A0000}"/>
    <cellStyle name="Примечание 2 3 2 5" xfId="3143" xr:uid="{00000000-0005-0000-0000-0000DE7A0000}"/>
    <cellStyle name="Примечание 2 3 2 5 2" xfId="6494" xr:uid="{00000000-0005-0000-0000-0000DF7A0000}"/>
    <cellStyle name="Примечание 2 3 2 5 2 2" xfId="29096" xr:uid="{00000000-0005-0000-0000-0000E07A0000}"/>
    <cellStyle name="Примечание 2 3 2 5 2_TOM TAT" xfId="26676" xr:uid="{00000000-0005-0000-0000-0000E17A0000}"/>
    <cellStyle name="Примечание 2 3 2 5 3" xfId="27924" xr:uid="{00000000-0005-0000-0000-0000E27A0000}"/>
    <cellStyle name="Примечание 2 3 2 5_TOM TAT" xfId="26675" xr:uid="{00000000-0005-0000-0000-0000E37A0000}"/>
    <cellStyle name="Примечание 2 3 2 6" xfId="6495" xr:uid="{00000000-0005-0000-0000-0000E47A0000}"/>
    <cellStyle name="Примечание 2 3 2 6 2" xfId="29097" xr:uid="{00000000-0005-0000-0000-0000E57A0000}"/>
    <cellStyle name="Примечание 2 3 2 6_TOM TAT" xfId="26677" xr:uid="{00000000-0005-0000-0000-0000E67A0000}"/>
    <cellStyle name="Примечание 2 3 2 7" xfId="27915" xr:uid="{00000000-0005-0000-0000-0000E77A0000}"/>
    <cellStyle name="Примечание 2 3 2_TOM TAT" xfId="26658" xr:uid="{00000000-0005-0000-0000-0000E87A0000}"/>
    <cellStyle name="Примечание 2 3 3" xfId="3144" xr:uid="{00000000-0005-0000-0000-0000E97A0000}"/>
    <cellStyle name="Примечание 2 3 3 2" xfId="3145" xr:uid="{00000000-0005-0000-0000-0000EA7A0000}"/>
    <cellStyle name="Примечание 2 3 3 2 2" xfId="3146" xr:uid="{00000000-0005-0000-0000-0000EB7A0000}"/>
    <cellStyle name="Примечание 2 3 3 2 2 2" xfId="6496" xr:uid="{00000000-0005-0000-0000-0000EC7A0000}"/>
    <cellStyle name="Примечание 2 3 3 2 2 2 2" xfId="29098" xr:uid="{00000000-0005-0000-0000-0000ED7A0000}"/>
    <cellStyle name="Примечание 2 3 3 2 2 2_TOM TAT" xfId="26681" xr:uid="{00000000-0005-0000-0000-0000EE7A0000}"/>
    <cellStyle name="Примечание 2 3 3 2 2 3" xfId="27927" xr:uid="{00000000-0005-0000-0000-0000EF7A0000}"/>
    <cellStyle name="Примечание 2 3 3 2 2_TOM TAT" xfId="26680" xr:uid="{00000000-0005-0000-0000-0000F07A0000}"/>
    <cellStyle name="Примечание 2 3 3 2 3" xfId="6497" xr:uid="{00000000-0005-0000-0000-0000F17A0000}"/>
    <cellStyle name="Примечание 2 3 3 2 3 2" xfId="29099" xr:uid="{00000000-0005-0000-0000-0000F27A0000}"/>
    <cellStyle name="Примечание 2 3 3 2 3_TOM TAT" xfId="26682" xr:uid="{00000000-0005-0000-0000-0000F37A0000}"/>
    <cellStyle name="Примечание 2 3 3 2 4" xfId="27926" xr:uid="{00000000-0005-0000-0000-0000F47A0000}"/>
    <cellStyle name="Примечание 2 3 3 2_TOM TAT" xfId="26679" xr:uid="{00000000-0005-0000-0000-0000F57A0000}"/>
    <cellStyle name="Примечание 2 3 3 3" xfId="3147" xr:uid="{00000000-0005-0000-0000-0000F67A0000}"/>
    <cellStyle name="Примечание 2 3 3 3 2" xfId="6498" xr:uid="{00000000-0005-0000-0000-0000F77A0000}"/>
    <cellStyle name="Примечание 2 3 3 3 2 2" xfId="29100" xr:uid="{00000000-0005-0000-0000-0000F87A0000}"/>
    <cellStyle name="Примечание 2 3 3 3 2_TOM TAT" xfId="26684" xr:uid="{00000000-0005-0000-0000-0000F97A0000}"/>
    <cellStyle name="Примечание 2 3 3 3 3" xfId="27928" xr:uid="{00000000-0005-0000-0000-0000FA7A0000}"/>
    <cellStyle name="Примечание 2 3 3 3_TOM TAT" xfId="26683" xr:uid="{00000000-0005-0000-0000-0000FB7A0000}"/>
    <cellStyle name="Примечание 2 3 3 4" xfId="6499" xr:uid="{00000000-0005-0000-0000-0000FC7A0000}"/>
    <cellStyle name="Примечание 2 3 3 4 2" xfId="29101" xr:uid="{00000000-0005-0000-0000-0000FD7A0000}"/>
    <cellStyle name="Примечание 2 3 3 4_TOM TAT" xfId="26685" xr:uid="{00000000-0005-0000-0000-0000FE7A0000}"/>
    <cellStyle name="Примечание 2 3 3 5" xfId="27925" xr:uid="{00000000-0005-0000-0000-0000FF7A0000}"/>
    <cellStyle name="Примечание 2 3 3_TOM TAT" xfId="26678" xr:uid="{00000000-0005-0000-0000-0000007B0000}"/>
    <cellStyle name="Примечание 2 3 4" xfId="3148" xr:uid="{00000000-0005-0000-0000-0000017B0000}"/>
    <cellStyle name="Примечание 2 3 4 2" xfId="3149" xr:uid="{00000000-0005-0000-0000-0000027B0000}"/>
    <cellStyle name="Примечание 2 3 4 2 2" xfId="6500" xr:uid="{00000000-0005-0000-0000-0000037B0000}"/>
    <cellStyle name="Примечание 2 3 4 2 2 2" xfId="29102" xr:uid="{00000000-0005-0000-0000-0000047B0000}"/>
    <cellStyle name="Примечание 2 3 4 2 2_TOM TAT" xfId="26688" xr:uid="{00000000-0005-0000-0000-0000057B0000}"/>
    <cellStyle name="Примечание 2 3 4 2 3" xfId="27930" xr:uid="{00000000-0005-0000-0000-0000067B0000}"/>
    <cellStyle name="Примечание 2 3 4 2_TOM TAT" xfId="26687" xr:uid="{00000000-0005-0000-0000-0000077B0000}"/>
    <cellStyle name="Примечание 2 3 4 3" xfId="6501" xr:uid="{00000000-0005-0000-0000-0000087B0000}"/>
    <cellStyle name="Примечание 2 3 4 3 2" xfId="29103" xr:uid="{00000000-0005-0000-0000-0000097B0000}"/>
    <cellStyle name="Примечание 2 3 4 3_TOM TAT" xfId="26689" xr:uid="{00000000-0005-0000-0000-00000A7B0000}"/>
    <cellStyle name="Примечание 2 3 4 4" xfId="27929" xr:uid="{00000000-0005-0000-0000-00000B7B0000}"/>
    <cellStyle name="Примечание 2 3 4_TOM TAT" xfId="26686" xr:uid="{00000000-0005-0000-0000-00000C7B0000}"/>
    <cellStyle name="Примечание 2 3 5" xfId="3150" xr:uid="{00000000-0005-0000-0000-00000D7B0000}"/>
    <cellStyle name="Примечание 2 3 5 2" xfId="3151" xr:uid="{00000000-0005-0000-0000-00000E7B0000}"/>
    <cellStyle name="Примечание 2 3 5 2 2" xfId="6502" xr:uid="{00000000-0005-0000-0000-00000F7B0000}"/>
    <cellStyle name="Примечание 2 3 5 2 2 2" xfId="29104" xr:uid="{00000000-0005-0000-0000-0000107B0000}"/>
    <cellStyle name="Примечание 2 3 5 2 2_TOM TAT" xfId="26692" xr:uid="{00000000-0005-0000-0000-0000117B0000}"/>
    <cellStyle name="Примечание 2 3 5 2 3" xfId="27932" xr:uid="{00000000-0005-0000-0000-0000127B0000}"/>
    <cellStyle name="Примечание 2 3 5 2_TOM TAT" xfId="26691" xr:uid="{00000000-0005-0000-0000-0000137B0000}"/>
    <cellStyle name="Примечание 2 3 5 3" xfId="6503" xr:uid="{00000000-0005-0000-0000-0000147B0000}"/>
    <cellStyle name="Примечание 2 3 5 3 2" xfId="29105" xr:uid="{00000000-0005-0000-0000-0000157B0000}"/>
    <cellStyle name="Примечание 2 3 5 3_TOM TAT" xfId="26693" xr:uid="{00000000-0005-0000-0000-0000167B0000}"/>
    <cellStyle name="Примечание 2 3 5 4" xfId="27931" xr:uid="{00000000-0005-0000-0000-0000177B0000}"/>
    <cellStyle name="Примечание 2 3 5_TOM TAT" xfId="26690" xr:uid="{00000000-0005-0000-0000-0000187B0000}"/>
    <cellStyle name="Примечание 2 3 6" xfId="3152" xr:uid="{00000000-0005-0000-0000-0000197B0000}"/>
    <cellStyle name="Примечание 2 3 6 2" xfId="6504" xr:uid="{00000000-0005-0000-0000-00001A7B0000}"/>
    <cellStyle name="Примечание 2 3 6 2 2" xfId="29106" xr:uid="{00000000-0005-0000-0000-00001B7B0000}"/>
    <cellStyle name="Примечание 2 3 6 2_TOM TAT" xfId="26695" xr:uid="{00000000-0005-0000-0000-00001C7B0000}"/>
    <cellStyle name="Примечание 2 3 6 3" xfId="27933" xr:uid="{00000000-0005-0000-0000-00001D7B0000}"/>
    <cellStyle name="Примечание 2 3 6_TOM TAT" xfId="26694" xr:uid="{00000000-0005-0000-0000-00001E7B0000}"/>
    <cellStyle name="Примечание 2 3 7" xfId="6505" xr:uid="{00000000-0005-0000-0000-00001F7B0000}"/>
    <cellStyle name="Примечание 2 3 7 2" xfId="29107" xr:uid="{00000000-0005-0000-0000-0000207B0000}"/>
    <cellStyle name="Примечание 2 3 7_TOM TAT" xfId="26696" xr:uid="{00000000-0005-0000-0000-0000217B0000}"/>
    <cellStyle name="Примечание 2 3 8" xfId="27914" xr:uid="{00000000-0005-0000-0000-0000227B0000}"/>
    <cellStyle name="Примечание 2 3_TOM TAT" xfId="26657" xr:uid="{00000000-0005-0000-0000-0000237B0000}"/>
    <cellStyle name="Примечание 2 4" xfId="3153" xr:uid="{00000000-0005-0000-0000-0000247B0000}"/>
    <cellStyle name="Примечание 2 4 2" xfId="3154" xr:uid="{00000000-0005-0000-0000-0000257B0000}"/>
    <cellStyle name="Примечание 2 4 2 2" xfId="3155" xr:uid="{00000000-0005-0000-0000-0000267B0000}"/>
    <cellStyle name="Примечание 2 4 2 2 2" xfId="3156" xr:uid="{00000000-0005-0000-0000-0000277B0000}"/>
    <cellStyle name="Примечание 2 4 2 2 2 2" xfId="6506" xr:uid="{00000000-0005-0000-0000-0000287B0000}"/>
    <cellStyle name="Примечание 2 4 2 2 2 2 2" xfId="29108" xr:uid="{00000000-0005-0000-0000-0000297B0000}"/>
    <cellStyle name="Примечание 2 4 2 2 2 2_TOM TAT" xfId="26701" xr:uid="{00000000-0005-0000-0000-00002A7B0000}"/>
    <cellStyle name="Примечание 2 4 2 2 2 3" xfId="27937" xr:uid="{00000000-0005-0000-0000-00002B7B0000}"/>
    <cellStyle name="Примечание 2 4 2 2 2_TOM TAT" xfId="26700" xr:uid="{00000000-0005-0000-0000-00002C7B0000}"/>
    <cellStyle name="Примечание 2 4 2 2 3" xfId="6507" xr:uid="{00000000-0005-0000-0000-00002D7B0000}"/>
    <cellStyle name="Примечание 2 4 2 2 3 2" xfId="29109" xr:uid="{00000000-0005-0000-0000-00002E7B0000}"/>
    <cellStyle name="Примечание 2 4 2 2 3_TOM TAT" xfId="26702" xr:uid="{00000000-0005-0000-0000-00002F7B0000}"/>
    <cellStyle name="Примечание 2 4 2 2 4" xfId="27936" xr:uid="{00000000-0005-0000-0000-0000307B0000}"/>
    <cellStyle name="Примечание 2 4 2 2_TOM TAT" xfId="26699" xr:uid="{00000000-0005-0000-0000-0000317B0000}"/>
    <cellStyle name="Примечание 2 4 2 3" xfId="3157" xr:uid="{00000000-0005-0000-0000-0000327B0000}"/>
    <cellStyle name="Примечание 2 4 2 3 2" xfId="6508" xr:uid="{00000000-0005-0000-0000-0000337B0000}"/>
    <cellStyle name="Примечание 2 4 2 3 2 2" xfId="29110" xr:uid="{00000000-0005-0000-0000-0000347B0000}"/>
    <cellStyle name="Примечание 2 4 2 3 2_TOM TAT" xfId="26704" xr:uid="{00000000-0005-0000-0000-0000357B0000}"/>
    <cellStyle name="Примечание 2 4 2 3 3" xfId="27938" xr:uid="{00000000-0005-0000-0000-0000367B0000}"/>
    <cellStyle name="Примечание 2 4 2 3_TOM TAT" xfId="26703" xr:uid="{00000000-0005-0000-0000-0000377B0000}"/>
    <cellStyle name="Примечание 2 4 2 4" xfId="6509" xr:uid="{00000000-0005-0000-0000-0000387B0000}"/>
    <cellStyle name="Примечание 2 4 2 4 2" xfId="29111" xr:uid="{00000000-0005-0000-0000-0000397B0000}"/>
    <cellStyle name="Примечание 2 4 2 4_TOM TAT" xfId="26705" xr:uid="{00000000-0005-0000-0000-00003A7B0000}"/>
    <cellStyle name="Примечание 2 4 2 5" xfId="27935" xr:uid="{00000000-0005-0000-0000-00003B7B0000}"/>
    <cellStyle name="Примечание 2 4 2_TOM TAT" xfId="26698" xr:uid="{00000000-0005-0000-0000-00003C7B0000}"/>
    <cellStyle name="Примечание 2 4 3" xfId="3158" xr:uid="{00000000-0005-0000-0000-00003D7B0000}"/>
    <cellStyle name="Примечание 2 4 3 2" xfId="3159" xr:uid="{00000000-0005-0000-0000-00003E7B0000}"/>
    <cellStyle name="Примечание 2 4 3 2 2" xfId="6510" xr:uid="{00000000-0005-0000-0000-00003F7B0000}"/>
    <cellStyle name="Примечание 2 4 3 2 2 2" xfId="29112" xr:uid="{00000000-0005-0000-0000-0000407B0000}"/>
    <cellStyle name="Примечание 2 4 3 2 2_TOM TAT" xfId="26708" xr:uid="{00000000-0005-0000-0000-0000417B0000}"/>
    <cellStyle name="Примечание 2 4 3 2 3" xfId="27940" xr:uid="{00000000-0005-0000-0000-0000427B0000}"/>
    <cellStyle name="Примечание 2 4 3 2_TOM TAT" xfId="26707" xr:uid="{00000000-0005-0000-0000-0000437B0000}"/>
    <cellStyle name="Примечание 2 4 3 3" xfId="6511" xr:uid="{00000000-0005-0000-0000-0000447B0000}"/>
    <cellStyle name="Примечание 2 4 3 3 2" xfId="29113" xr:uid="{00000000-0005-0000-0000-0000457B0000}"/>
    <cellStyle name="Примечание 2 4 3 3_TOM TAT" xfId="26709" xr:uid="{00000000-0005-0000-0000-0000467B0000}"/>
    <cellStyle name="Примечание 2 4 3 4" xfId="27939" xr:uid="{00000000-0005-0000-0000-0000477B0000}"/>
    <cellStyle name="Примечание 2 4 3_TOM TAT" xfId="26706" xr:uid="{00000000-0005-0000-0000-0000487B0000}"/>
    <cellStyle name="Примечание 2 4 4" xfId="3160" xr:uid="{00000000-0005-0000-0000-0000497B0000}"/>
    <cellStyle name="Примечание 2 4 4 2" xfId="3161" xr:uid="{00000000-0005-0000-0000-00004A7B0000}"/>
    <cellStyle name="Примечание 2 4 4 2 2" xfId="6512" xr:uid="{00000000-0005-0000-0000-00004B7B0000}"/>
    <cellStyle name="Примечание 2 4 4 2 2 2" xfId="29114" xr:uid="{00000000-0005-0000-0000-00004C7B0000}"/>
    <cellStyle name="Примечание 2 4 4 2 2_TOM TAT" xfId="26712" xr:uid="{00000000-0005-0000-0000-00004D7B0000}"/>
    <cellStyle name="Примечание 2 4 4 2 3" xfId="27942" xr:uid="{00000000-0005-0000-0000-00004E7B0000}"/>
    <cellStyle name="Примечание 2 4 4 2_TOM TAT" xfId="26711" xr:uid="{00000000-0005-0000-0000-00004F7B0000}"/>
    <cellStyle name="Примечание 2 4 4 3" xfId="6513" xr:uid="{00000000-0005-0000-0000-0000507B0000}"/>
    <cellStyle name="Примечание 2 4 4 3 2" xfId="29115" xr:uid="{00000000-0005-0000-0000-0000517B0000}"/>
    <cellStyle name="Примечание 2 4 4 3_TOM TAT" xfId="26713" xr:uid="{00000000-0005-0000-0000-0000527B0000}"/>
    <cellStyle name="Примечание 2 4 4 4" xfId="27941" xr:uid="{00000000-0005-0000-0000-0000537B0000}"/>
    <cellStyle name="Примечание 2 4 4_TOM TAT" xfId="26710" xr:uid="{00000000-0005-0000-0000-0000547B0000}"/>
    <cellStyle name="Примечание 2 4 5" xfId="3162" xr:uid="{00000000-0005-0000-0000-0000557B0000}"/>
    <cellStyle name="Примечание 2 4 5 2" xfId="6514" xr:uid="{00000000-0005-0000-0000-0000567B0000}"/>
    <cellStyle name="Примечание 2 4 5 2 2" xfId="29116" xr:uid="{00000000-0005-0000-0000-0000577B0000}"/>
    <cellStyle name="Примечание 2 4 5 2_TOM TAT" xfId="26715" xr:uid="{00000000-0005-0000-0000-0000587B0000}"/>
    <cellStyle name="Примечание 2 4 5 3" xfId="27943" xr:uid="{00000000-0005-0000-0000-0000597B0000}"/>
    <cellStyle name="Примечание 2 4 5_TOM TAT" xfId="26714" xr:uid="{00000000-0005-0000-0000-00005A7B0000}"/>
    <cellStyle name="Примечание 2 4 6" xfId="6515" xr:uid="{00000000-0005-0000-0000-00005B7B0000}"/>
    <cellStyle name="Примечание 2 4 6 2" xfId="29117" xr:uid="{00000000-0005-0000-0000-00005C7B0000}"/>
    <cellStyle name="Примечание 2 4 6_TOM TAT" xfId="26716" xr:uid="{00000000-0005-0000-0000-00005D7B0000}"/>
    <cellStyle name="Примечание 2 4 7" xfId="27934" xr:uid="{00000000-0005-0000-0000-00005E7B0000}"/>
    <cellStyle name="Примечание 2 4_TOM TAT" xfId="26697" xr:uid="{00000000-0005-0000-0000-00005F7B0000}"/>
    <cellStyle name="Примечание 2 5" xfId="3163" xr:uid="{00000000-0005-0000-0000-0000607B0000}"/>
    <cellStyle name="Примечание 2 5 2" xfId="3164" xr:uid="{00000000-0005-0000-0000-0000617B0000}"/>
    <cellStyle name="Примечание 2 5 2 2" xfId="3165" xr:uid="{00000000-0005-0000-0000-0000627B0000}"/>
    <cellStyle name="Примечание 2 5 2 2 2" xfId="3166" xr:uid="{00000000-0005-0000-0000-0000637B0000}"/>
    <cellStyle name="Примечание 2 5 2 2 2 2" xfId="6516" xr:uid="{00000000-0005-0000-0000-0000647B0000}"/>
    <cellStyle name="Примечание 2 5 2 2 2 2 2" xfId="29118" xr:uid="{00000000-0005-0000-0000-0000657B0000}"/>
    <cellStyle name="Примечание 2 5 2 2 2 2_TOM TAT" xfId="26721" xr:uid="{00000000-0005-0000-0000-0000667B0000}"/>
    <cellStyle name="Примечание 2 5 2 2 2 3" xfId="27947" xr:uid="{00000000-0005-0000-0000-0000677B0000}"/>
    <cellStyle name="Примечание 2 5 2 2 2_TOM TAT" xfId="26720" xr:uid="{00000000-0005-0000-0000-0000687B0000}"/>
    <cellStyle name="Примечание 2 5 2 2 3" xfId="6517" xr:uid="{00000000-0005-0000-0000-0000697B0000}"/>
    <cellStyle name="Примечание 2 5 2 2 3 2" xfId="29119" xr:uid="{00000000-0005-0000-0000-00006A7B0000}"/>
    <cellStyle name="Примечание 2 5 2 2 3_TOM TAT" xfId="26722" xr:uid="{00000000-0005-0000-0000-00006B7B0000}"/>
    <cellStyle name="Примечание 2 5 2 2 4" xfId="27946" xr:uid="{00000000-0005-0000-0000-00006C7B0000}"/>
    <cellStyle name="Примечание 2 5 2 2_TOM TAT" xfId="26719" xr:uid="{00000000-0005-0000-0000-00006D7B0000}"/>
    <cellStyle name="Примечание 2 5 2 3" xfId="3167" xr:uid="{00000000-0005-0000-0000-00006E7B0000}"/>
    <cellStyle name="Примечание 2 5 2 3 2" xfId="6518" xr:uid="{00000000-0005-0000-0000-00006F7B0000}"/>
    <cellStyle name="Примечание 2 5 2 3 2 2" xfId="29120" xr:uid="{00000000-0005-0000-0000-0000707B0000}"/>
    <cellStyle name="Примечание 2 5 2 3 2_TOM TAT" xfId="26724" xr:uid="{00000000-0005-0000-0000-0000717B0000}"/>
    <cellStyle name="Примечание 2 5 2 3 3" xfId="27948" xr:uid="{00000000-0005-0000-0000-0000727B0000}"/>
    <cellStyle name="Примечание 2 5 2 3_TOM TAT" xfId="26723" xr:uid="{00000000-0005-0000-0000-0000737B0000}"/>
    <cellStyle name="Примечание 2 5 2 4" xfId="6519" xr:uid="{00000000-0005-0000-0000-0000747B0000}"/>
    <cellStyle name="Примечание 2 5 2 4 2" xfId="29121" xr:uid="{00000000-0005-0000-0000-0000757B0000}"/>
    <cellStyle name="Примечание 2 5 2 4_TOM TAT" xfId="26725" xr:uid="{00000000-0005-0000-0000-0000767B0000}"/>
    <cellStyle name="Примечание 2 5 2 5" xfId="27945" xr:uid="{00000000-0005-0000-0000-0000777B0000}"/>
    <cellStyle name="Примечание 2 5 2_TOM TAT" xfId="26718" xr:uid="{00000000-0005-0000-0000-0000787B0000}"/>
    <cellStyle name="Примечание 2 5 3" xfId="3168" xr:uid="{00000000-0005-0000-0000-0000797B0000}"/>
    <cellStyle name="Примечание 2 5 3 2" xfId="3169" xr:uid="{00000000-0005-0000-0000-00007A7B0000}"/>
    <cellStyle name="Примечание 2 5 3 2 2" xfId="6520" xr:uid="{00000000-0005-0000-0000-00007B7B0000}"/>
    <cellStyle name="Примечание 2 5 3 2 2 2" xfId="29122" xr:uid="{00000000-0005-0000-0000-00007C7B0000}"/>
    <cellStyle name="Примечание 2 5 3 2 2_TOM TAT" xfId="26728" xr:uid="{00000000-0005-0000-0000-00007D7B0000}"/>
    <cellStyle name="Примечание 2 5 3 2 3" xfId="27950" xr:uid="{00000000-0005-0000-0000-00007E7B0000}"/>
    <cellStyle name="Примечание 2 5 3 2_TOM TAT" xfId="26727" xr:uid="{00000000-0005-0000-0000-00007F7B0000}"/>
    <cellStyle name="Примечание 2 5 3 3" xfId="6521" xr:uid="{00000000-0005-0000-0000-0000807B0000}"/>
    <cellStyle name="Примечание 2 5 3 3 2" xfId="29123" xr:uid="{00000000-0005-0000-0000-0000817B0000}"/>
    <cellStyle name="Примечание 2 5 3 3_TOM TAT" xfId="26729" xr:uid="{00000000-0005-0000-0000-0000827B0000}"/>
    <cellStyle name="Примечание 2 5 3 4" xfId="27949" xr:uid="{00000000-0005-0000-0000-0000837B0000}"/>
    <cellStyle name="Примечание 2 5 3_TOM TAT" xfId="26726" xr:uid="{00000000-0005-0000-0000-0000847B0000}"/>
    <cellStyle name="Примечание 2 5 4" xfId="3170" xr:uid="{00000000-0005-0000-0000-0000857B0000}"/>
    <cellStyle name="Примечание 2 5 4 2" xfId="3171" xr:uid="{00000000-0005-0000-0000-0000867B0000}"/>
    <cellStyle name="Примечание 2 5 4 2 2" xfId="6522" xr:uid="{00000000-0005-0000-0000-0000877B0000}"/>
    <cellStyle name="Примечание 2 5 4 2 2 2" xfId="29124" xr:uid="{00000000-0005-0000-0000-0000887B0000}"/>
    <cellStyle name="Примечание 2 5 4 2 2_TOM TAT" xfId="26732" xr:uid="{00000000-0005-0000-0000-0000897B0000}"/>
    <cellStyle name="Примечание 2 5 4 2 3" xfId="27952" xr:uid="{00000000-0005-0000-0000-00008A7B0000}"/>
    <cellStyle name="Примечание 2 5 4 2_TOM TAT" xfId="26731" xr:uid="{00000000-0005-0000-0000-00008B7B0000}"/>
    <cellStyle name="Примечание 2 5 4 3" xfId="6523" xr:uid="{00000000-0005-0000-0000-00008C7B0000}"/>
    <cellStyle name="Примечание 2 5 4 3 2" xfId="29125" xr:uid="{00000000-0005-0000-0000-00008D7B0000}"/>
    <cellStyle name="Примечание 2 5 4 3_TOM TAT" xfId="26733" xr:uid="{00000000-0005-0000-0000-00008E7B0000}"/>
    <cellStyle name="Примечание 2 5 4 4" xfId="27951" xr:uid="{00000000-0005-0000-0000-00008F7B0000}"/>
    <cellStyle name="Примечание 2 5 4_TOM TAT" xfId="26730" xr:uid="{00000000-0005-0000-0000-0000907B0000}"/>
    <cellStyle name="Примечание 2 5 5" xfId="3172" xr:uid="{00000000-0005-0000-0000-0000917B0000}"/>
    <cellStyle name="Примечание 2 5 5 2" xfId="6524" xr:uid="{00000000-0005-0000-0000-0000927B0000}"/>
    <cellStyle name="Примечание 2 5 5 2 2" xfId="29126" xr:uid="{00000000-0005-0000-0000-0000937B0000}"/>
    <cellStyle name="Примечание 2 5 5 2_TOM TAT" xfId="26735" xr:uid="{00000000-0005-0000-0000-0000947B0000}"/>
    <cellStyle name="Примечание 2 5 5 3" xfId="27953" xr:uid="{00000000-0005-0000-0000-0000957B0000}"/>
    <cellStyle name="Примечание 2 5 5_TOM TAT" xfId="26734" xr:uid="{00000000-0005-0000-0000-0000967B0000}"/>
    <cellStyle name="Примечание 2 5 6" xfId="6525" xr:uid="{00000000-0005-0000-0000-0000977B0000}"/>
    <cellStyle name="Примечание 2 5 6 2" xfId="29127" xr:uid="{00000000-0005-0000-0000-0000987B0000}"/>
    <cellStyle name="Примечание 2 5 6_TOM TAT" xfId="26736" xr:uid="{00000000-0005-0000-0000-0000997B0000}"/>
    <cellStyle name="Примечание 2 5 7" xfId="27944" xr:uid="{00000000-0005-0000-0000-00009A7B0000}"/>
    <cellStyle name="Примечание 2 5_TOM TAT" xfId="26717" xr:uid="{00000000-0005-0000-0000-00009B7B0000}"/>
    <cellStyle name="Примечание 2 6" xfId="3173" xr:uid="{00000000-0005-0000-0000-00009C7B0000}"/>
    <cellStyle name="Примечание 2 6 2" xfId="3174" xr:uid="{00000000-0005-0000-0000-00009D7B0000}"/>
    <cellStyle name="Примечание 2 6 2 2" xfId="3175" xr:uid="{00000000-0005-0000-0000-00009E7B0000}"/>
    <cellStyle name="Примечание 2 6 2 2 2" xfId="6526" xr:uid="{00000000-0005-0000-0000-00009F7B0000}"/>
    <cellStyle name="Примечание 2 6 2 2 2 2" xfId="29128" xr:uid="{00000000-0005-0000-0000-0000A07B0000}"/>
    <cellStyle name="Примечание 2 6 2 2 2_TOM TAT" xfId="26740" xr:uid="{00000000-0005-0000-0000-0000A17B0000}"/>
    <cellStyle name="Примечание 2 6 2 2 3" xfId="27956" xr:uid="{00000000-0005-0000-0000-0000A27B0000}"/>
    <cellStyle name="Примечание 2 6 2 2_TOM TAT" xfId="26739" xr:uid="{00000000-0005-0000-0000-0000A37B0000}"/>
    <cellStyle name="Примечание 2 6 2 3" xfId="6527" xr:uid="{00000000-0005-0000-0000-0000A47B0000}"/>
    <cellStyle name="Примечание 2 6 2 3 2" xfId="29129" xr:uid="{00000000-0005-0000-0000-0000A57B0000}"/>
    <cellStyle name="Примечание 2 6 2 3_TOM TAT" xfId="26741" xr:uid="{00000000-0005-0000-0000-0000A67B0000}"/>
    <cellStyle name="Примечание 2 6 2 4" xfId="27955" xr:uid="{00000000-0005-0000-0000-0000A77B0000}"/>
    <cellStyle name="Примечание 2 6 2_TOM TAT" xfId="26738" xr:uid="{00000000-0005-0000-0000-0000A87B0000}"/>
    <cellStyle name="Примечание 2 6 3" xfId="3176" xr:uid="{00000000-0005-0000-0000-0000A97B0000}"/>
    <cellStyle name="Примечание 2 6 3 2" xfId="6528" xr:uid="{00000000-0005-0000-0000-0000AA7B0000}"/>
    <cellStyle name="Примечание 2 6 3 2 2" xfId="29130" xr:uid="{00000000-0005-0000-0000-0000AB7B0000}"/>
    <cellStyle name="Примечание 2 6 3 2_TOM TAT" xfId="26743" xr:uid="{00000000-0005-0000-0000-0000AC7B0000}"/>
    <cellStyle name="Примечание 2 6 3 3" xfId="27957" xr:uid="{00000000-0005-0000-0000-0000AD7B0000}"/>
    <cellStyle name="Примечание 2 6 3_TOM TAT" xfId="26742" xr:uid="{00000000-0005-0000-0000-0000AE7B0000}"/>
    <cellStyle name="Примечание 2 6 4" xfId="6529" xr:uid="{00000000-0005-0000-0000-0000AF7B0000}"/>
    <cellStyle name="Примечание 2 6 4 2" xfId="29131" xr:uid="{00000000-0005-0000-0000-0000B07B0000}"/>
    <cellStyle name="Примечание 2 6 4_TOM TAT" xfId="26744" xr:uid="{00000000-0005-0000-0000-0000B17B0000}"/>
    <cellStyle name="Примечание 2 6 5" xfId="27954" xr:uid="{00000000-0005-0000-0000-0000B27B0000}"/>
    <cellStyle name="Примечание 2 6_TOM TAT" xfId="26737" xr:uid="{00000000-0005-0000-0000-0000B37B0000}"/>
    <cellStyle name="Примечание 2 7" xfId="3177" xr:uid="{00000000-0005-0000-0000-0000B47B0000}"/>
    <cellStyle name="Примечание 2 7 2" xfId="3178" xr:uid="{00000000-0005-0000-0000-0000B57B0000}"/>
    <cellStyle name="Примечание 2 7 2 2" xfId="6530" xr:uid="{00000000-0005-0000-0000-0000B67B0000}"/>
    <cellStyle name="Примечание 2 7 2 2 2" xfId="29132" xr:uid="{00000000-0005-0000-0000-0000B77B0000}"/>
    <cellStyle name="Примечание 2 7 2 2_TOM TAT" xfId="26747" xr:uid="{00000000-0005-0000-0000-0000B87B0000}"/>
    <cellStyle name="Примечание 2 7 2 3" xfId="27959" xr:uid="{00000000-0005-0000-0000-0000B97B0000}"/>
    <cellStyle name="Примечание 2 7 2_TOM TAT" xfId="26746" xr:uid="{00000000-0005-0000-0000-0000BA7B0000}"/>
    <cellStyle name="Примечание 2 7 3" xfId="6531" xr:uid="{00000000-0005-0000-0000-0000BB7B0000}"/>
    <cellStyle name="Примечание 2 7 3 2" xfId="29133" xr:uid="{00000000-0005-0000-0000-0000BC7B0000}"/>
    <cellStyle name="Примечание 2 7 3_TOM TAT" xfId="26748" xr:uid="{00000000-0005-0000-0000-0000BD7B0000}"/>
    <cellStyle name="Примечание 2 7 4" xfId="27958" xr:uid="{00000000-0005-0000-0000-0000BE7B0000}"/>
    <cellStyle name="Примечание 2 7_TOM TAT" xfId="26745" xr:uid="{00000000-0005-0000-0000-0000BF7B0000}"/>
    <cellStyle name="Примечание 2 8" xfId="3179" xr:uid="{00000000-0005-0000-0000-0000C07B0000}"/>
    <cellStyle name="Примечание 2 8 2" xfId="3180" xr:uid="{00000000-0005-0000-0000-0000C17B0000}"/>
    <cellStyle name="Примечание 2 8 2 2" xfId="6532" xr:uid="{00000000-0005-0000-0000-0000C27B0000}"/>
    <cellStyle name="Примечание 2 8 2 2 2" xfId="29134" xr:uid="{00000000-0005-0000-0000-0000C37B0000}"/>
    <cellStyle name="Примечание 2 8 2 2_TOM TAT" xfId="26751" xr:uid="{00000000-0005-0000-0000-0000C47B0000}"/>
    <cellStyle name="Примечание 2 8 2 3" xfId="27961" xr:uid="{00000000-0005-0000-0000-0000C57B0000}"/>
    <cellStyle name="Примечание 2 8 2_TOM TAT" xfId="26750" xr:uid="{00000000-0005-0000-0000-0000C67B0000}"/>
    <cellStyle name="Примечание 2 8 3" xfId="6533" xr:uid="{00000000-0005-0000-0000-0000C77B0000}"/>
    <cellStyle name="Примечание 2 8 3 2" xfId="29135" xr:uid="{00000000-0005-0000-0000-0000C87B0000}"/>
    <cellStyle name="Примечание 2 8 3_TOM TAT" xfId="26752" xr:uid="{00000000-0005-0000-0000-0000C97B0000}"/>
    <cellStyle name="Примечание 2 8 4" xfId="27960" xr:uid="{00000000-0005-0000-0000-0000CA7B0000}"/>
    <cellStyle name="Примечание 2 8_TOM TAT" xfId="26749" xr:uid="{00000000-0005-0000-0000-0000CB7B0000}"/>
    <cellStyle name="Примечание 2 9" xfId="3181" xr:uid="{00000000-0005-0000-0000-0000CC7B0000}"/>
    <cellStyle name="Примечание 2 9 2" xfId="6534" xr:uid="{00000000-0005-0000-0000-0000CD7B0000}"/>
    <cellStyle name="Примечание 2 9 2 2" xfId="29136" xr:uid="{00000000-0005-0000-0000-0000CE7B0000}"/>
    <cellStyle name="Примечание 2 9 2_TOM TAT" xfId="26754" xr:uid="{00000000-0005-0000-0000-0000CF7B0000}"/>
    <cellStyle name="Примечание 2 9 3" xfId="27962" xr:uid="{00000000-0005-0000-0000-0000D07B0000}"/>
    <cellStyle name="Примечание 2 9_TOM TAT" xfId="26753" xr:uid="{00000000-0005-0000-0000-0000D17B0000}"/>
    <cellStyle name="Примечание 2_TOM TAT" xfId="26595" xr:uid="{00000000-0005-0000-0000-0000D27B0000}"/>
    <cellStyle name="Примечание 3" xfId="3182" xr:uid="{00000000-0005-0000-0000-0000D37B0000}"/>
    <cellStyle name="Примечание 3 2" xfId="3183" xr:uid="{00000000-0005-0000-0000-0000D47B0000}"/>
    <cellStyle name="Примечание 3 2 2" xfId="3184" xr:uid="{00000000-0005-0000-0000-0000D57B0000}"/>
    <cellStyle name="Примечание 3 2 2 2" xfId="3185" xr:uid="{00000000-0005-0000-0000-0000D67B0000}"/>
    <cellStyle name="Примечание 3 2 2 2 2" xfId="3186" xr:uid="{00000000-0005-0000-0000-0000D77B0000}"/>
    <cellStyle name="Примечание 3 2 2 2 2 2" xfId="6535" xr:uid="{00000000-0005-0000-0000-0000D87B0000}"/>
    <cellStyle name="Примечание 3 2 2 2 2 2 2" xfId="29137" xr:uid="{00000000-0005-0000-0000-0000D97B0000}"/>
    <cellStyle name="Примечание 3 2 2 2 2 2_TOM TAT" xfId="26760" xr:uid="{00000000-0005-0000-0000-0000DA7B0000}"/>
    <cellStyle name="Примечание 3 2 2 2 2 3" xfId="27967" xr:uid="{00000000-0005-0000-0000-0000DB7B0000}"/>
    <cellStyle name="Примечание 3 2 2 2 2_TOM TAT" xfId="26759" xr:uid="{00000000-0005-0000-0000-0000DC7B0000}"/>
    <cellStyle name="Примечание 3 2 2 2 3" xfId="6536" xr:uid="{00000000-0005-0000-0000-0000DD7B0000}"/>
    <cellStyle name="Примечание 3 2 2 2 3 2" xfId="29138" xr:uid="{00000000-0005-0000-0000-0000DE7B0000}"/>
    <cellStyle name="Примечание 3 2 2 2 3_TOM TAT" xfId="26761" xr:uid="{00000000-0005-0000-0000-0000DF7B0000}"/>
    <cellStyle name="Примечание 3 2 2 2 4" xfId="27966" xr:uid="{00000000-0005-0000-0000-0000E07B0000}"/>
    <cellStyle name="Примечание 3 2 2 2_TOM TAT" xfId="26758" xr:uid="{00000000-0005-0000-0000-0000E17B0000}"/>
    <cellStyle name="Примечание 3 2 2 3" xfId="3187" xr:uid="{00000000-0005-0000-0000-0000E27B0000}"/>
    <cellStyle name="Примечание 3 2 2 3 2" xfId="6537" xr:uid="{00000000-0005-0000-0000-0000E37B0000}"/>
    <cellStyle name="Примечание 3 2 2 3 2 2" xfId="29139" xr:uid="{00000000-0005-0000-0000-0000E47B0000}"/>
    <cellStyle name="Примечание 3 2 2 3 2_TOM TAT" xfId="26763" xr:uid="{00000000-0005-0000-0000-0000E57B0000}"/>
    <cellStyle name="Примечание 3 2 2 3 3" xfId="27968" xr:uid="{00000000-0005-0000-0000-0000E67B0000}"/>
    <cellStyle name="Примечание 3 2 2 3_TOM TAT" xfId="26762" xr:uid="{00000000-0005-0000-0000-0000E77B0000}"/>
    <cellStyle name="Примечание 3 2 2 4" xfId="6538" xr:uid="{00000000-0005-0000-0000-0000E87B0000}"/>
    <cellStyle name="Примечание 3 2 2 4 2" xfId="29140" xr:uid="{00000000-0005-0000-0000-0000E97B0000}"/>
    <cellStyle name="Примечание 3 2 2 4_TOM TAT" xfId="26764" xr:uid="{00000000-0005-0000-0000-0000EA7B0000}"/>
    <cellStyle name="Примечание 3 2 2 5" xfId="27965" xr:uid="{00000000-0005-0000-0000-0000EB7B0000}"/>
    <cellStyle name="Примечание 3 2 2_TOM TAT" xfId="26757" xr:uid="{00000000-0005-0000-0000-0000EC7B0000}"/>
    <cellStyle name="Примечание 3 2 3" xfId="3188" xr:uid="{00000000-0005-0000-0000-0000ED7B0000}"/>
    <cellStyle name="Примечание 3 2 3 2" xfId="3189" xr:uid="{00000000-0005-0000-0000-0000EE7B0000}"/>
    <cellStyle name="Примечание 3 2 3 2 2" xfId="6539" xr:uid="{00000000-0005-0000-0000-0000EF7B0000}"/>
    <cellStyle name="Примечание 3 2 3 2 2 2" xfId="29141" xr:uid="{00000000-0005-0000-0000-0000F07B0000}"/>
    <cellStyle name="Примечание 3 2 3 2 2_TOM TAT" xfId="26767" xr:uid="{00000000-0005-0000-0000-0000F17B0000}"/>
    <cellStyle name="Примечание 3 2 3 2 3" xfId="27970" xr:uid="{00000000-0005-0000-0000-0000F27B0000}"/>
    <cellStyle name="Примечание 3 2 3 2_TOM TAT" xfId="26766" xr:uid="{00000000-0005-0000-0000-0000F37B0000}"/>
    <cellStyle name="Примечание 3 2 3 3" xfId="6540" xr:uid="{00000000-0005-0000-0000-0000F47B0000}"/>
    <cellStyle name="Примечание 3 2 3 3 2" xfId="29142" xr:uid="{00000000-0005-0000-0000-0000F57B0000}"/>
    <cellStyle name="Примечание 3 2 3 3_TOM TAT" xfId="26768" xr:uid="{00000000-0005-0000-0000-0000F67B0000}"/>
    <cellStyle name="Примечание 3 2 3 4" xfId="27969" xr:uid="{00000000-0005-0000-0000-0000F77B0000}"/>
    <cellStyle name="Примечание 3 2 3_TOM TAT" xfId="26765" xr:uid="{00000000-0005-0000-0000-0000F87B0000}"/>
    <cellStyle name="Примечание 3 2 4" xfId="3190" xr:uid="{00000000-0005-0000-0000-0000F97B0000}"/>
    <cellStyle name="Примечание 3 2 4 2" xfId="3191" xr:uid="{00000000-0005-0000-0000-0000FA7B0000}"/>
    <cellStyle name="Примечание 3 2 4 2 2" xfId="6541" xr:uid="{00000000-0005-0000-0000-0000FB7B0000}"/>
    <cellStyle name="Примечание 3 2 4 2 2 2" xfId="29143" xr:uid="{00000000-0005-0000-0000-0000FC7B0000}"/>
    <cellStyle name="Примечание 3 2 4 2 2_TOM TAT" xfId="26771" xr:uid="{00000000-0005-0000-0000-0000FD7B0000}"/>
    <cellStyle name="Примечание 3 2 4 2 3" xfId="27972" xr:uid="{00000000-0005-0000-0000-0000FE7B0000}"/>
    <cellStyle name="Примечание 3 2 4 2_TOM TAT" xfId="26770" xr:uid="{00000000-0005-0000-0000-0000FF7B0000}"/>
    <cellStyle name="Примечание 3 2 4 3" xfId="6542" xr:uid="{00000000-0005-0000-0000-0000007C0000}"/>
    <cellStyle name="Примечание 3 2 4 3 2" xfId="29144" xr:uid="{00000000-0005-0000-0000-0000017C0000}"/>
    <cellStyle name="Примечание 3 2 4 3_TOM TAT" xfId="26772" xr:uid="{00000000-0005-0000-0000-0000027C0000}"/>
    <cellStyle name="Примечание 3 2 4 4" xfId="27971" xr:uid="{00000000-0005-0000-0000-0000037C0000}"/>
    <cellStyle name="Примечание 3 2 4_TOM TAT" xfId="26769" xr:uid="{00000000-0005-0000-0000-0000047C0000}"/>
    <cellStyle name="Примечание 3 2 5" xfId="3192" xr:uid="{00000000-0005-0000-0000-0000057C0000}"/>
    <cellStyle name="Примечание 3 2 5 2" xfId="6543" xr:uid="{00000000-0005-0000-0000-0000067C0000}"/>
    <cellStyle name="Примечание 3 2 5 2 2" xfId="29145" xr:uid="{00000000-0005-0000-0000-0000077C0000}"/>
    <cellStyle name="Примечание 3 2 5 2_TOM TAT" xfId="26774" xr:uid="{00000000-0005-0000-0000-0000087C0000}"/>
    <cellStyle name="Примечание 3 2 5 3" xfId="27973" xr:uid="{00000000-0005-0000-0000-0000097C0000}"/>
    <cellStyle name="Примечание 3 2 5_TOM TAT" xfId="26773" xr:uid="{00000000-0005-0000-0000-00000A7C0000}"/>
    <cellStyle name="Примечание 3 2 6" xfId="6544" xr:uid="{00000000-0005-0000-0000-00000B7C0000}"/>
    <cellStyle name="Примечание 3 2 6 2" xfId="29146" xr:uid="{00000000-0005-0000-0000-00000C7C0000}"/>
    <cellStyle name="Примечание 3 2 6_TOM TAT" xfId="26775" xr:uid="{00000000-0005-0000-0000-00000D7C0000}"/>
    <cellStyle name="Примечание 3 2 7" xfId="27964" xr:uid="{00000000-0005-0000-0000-00000E7C0000}"/>
    <cellStyle name="Примечание 3 2_TOM TAT" xfId="26756" xr:uid="{00000000-0005-0000-0000-00000F7C0000}"/>
    <cellStyle name="Примечание 3 3" xfId="3193" xr:uid="{00000000-0005-0000-0000-0000107C0000}"/>
    <cellStyle name="Примечание 3 3 2" xfId="3194" xr:uid="{00000000-0005-0000-0000-0000117C0000}"/>
    <cellStyle name="Примечание 3 3 2 2" xfId="3195" xr:uid="{00000000-0005-0000-0000-0000127C0000}"/>
    <cellStyle name="Примечание 3 3 2 2 2" xfId="3196" xr:uid="{00000000-0005-0000-0000-0000137C0000}"/>
    <cellStyle name="Примечание 3 3 2 2 2 2" xfId="6545" xr:uid="{00000000-0005-0000-0000-0000147C0000}"/>
    <cellStyle name="Примечание 3 3 2 2 2 2 2" xfId="29147" xr:uid="{00000000-0005-0000-0000-0000157C0000}"/>
    <cellStyle name="Примечание 3 3 2 2 2 2_TOM TAT" xfId="26780" xr:uid="{00000000-0005-0000-0000-0000167C0000}"/>
    <cellStyle name="Примечание 3 3 2 2 2 3" xfId="27977" xr:uid="{00000000-0005-0000-0000-0000177C0000}"/>
    <cellStyle name="Примечание 3 3 2 2 2_TOM TAT" xfId="26779" xr:uid="{00000000-0005-0000-0000-0000187C0000}"/>
    <cellStyle name="Примечание 3 3 2 2 3" xfId="6546" xr:uid="{00000000-0005-0000-0000-0000197C0000}"/>
    <cellStyle name="Примечание 3 3 2 2 3 2" xfId="29148" xr:uid="{00000000-0005-0000-0000-00001A7C0000}"/>
    <cellStyle name="Примечание 3 3 2 2 3_TOM TAT" xfId="26781" xr:uid="{00000000-0005-0000-0000-00001B7C0000}"/>
    <cellStyle name="Примечание 3 3 2 2 4" xfId="27976" xr:uid="{00000000-0005-0000-0000-00001C7C0000}"/>
    <cellStyle name="Примечание 3 3 2 2_TOM TAT" xfId="26778" xr:uid="{00000000-0005-0000-0000-00001D7C0000}"/>
    <cellStyle name="Примечание 3 3 2 3" xfId="3197" xr:uid="{00000000-0005-0000-0000-00001E7C0000}"/>
    <cellStyle name="Примечание 3 3 2 3 2" xfId="6547" xr:uid="{00000000-0005-0000-0000-00001F7C0000}"/>
    <cellStyle name="Примечание 3 3 2 3 2 2" xfId="29149" xr:uid="{00000000-0005-0000-0000-0000207C0000}"/>
    <cellStyle name="Примечание 3 3 2 3 2_TOM TAT" xfId="26783" xr:uid="{00000000-0005-0000-0000-0000217C0000}"/>
    <cellStyle name="Примечание 3 3 2 3 3" xfId="27978" xr:uid="{00000000-0005-0000-0000-0000227C0000}"/>
    <cellStyle name="Примечание 3 3 2 3_TOM TAT" xfId="26782" xr:uid="{00000000-0005-0000-0000-0000237C0000}"/>
    <cellStyle name="Примечание 3 3 2 4" xfId="6548" xr:uid="{00000000-0005-0000-0000-0000247C0000}"/>
    <cellStyle name="Примечание 3 3 2 4 2" xfId="29150" xr:uid="{00000000-0005-0000-0000-0000257C0000}"/>
    <cellStyle name="Примечание 3 3 2 4_TOM TAT" xfId="26784" xr:uid="{00000000-0005-0000-0000-0000267C0000}"/>
    <cellStyle name="Примечание 3 3 2 5" xfId="27975" xr:uid="{00000000-0005-0000-0000-0000277C0000}"/>
    <cellStyle name="Примечание 3 3 2_TOM TAT" xfId="26777" xr:uid="{00000000-0005-0000-0000-0000287C0000}"/>
    <cellStyle name="Примечание 3 3 3" xfId="3198" xr:uid="{00000000-0005-0000-0000-0000297C0000}"/>
    <cellStyle name="Примечание 3 3 3 2" xfId="3199" xr:uid="{00000000-0005-0000-0000-00002A7C0000}"/>
    <cellStyle name="Примечание 3 3 3 2 2" xfId="6549" xr:uid="{00000000-0005-0000-0000-00002B7C0000}"/>
    <cellStyle name="Примечание 3 3 3 2 2 2" xfId="29151" xr:uid="{00000000-0005-0000-0000-00002C7C0000}"/>
    <cellStyle name="Примечание 3 3 3 2 2_TOM TAT" xfId="26787" xr:uid="{00000000-0005-0000-0000-00002D7C0000}"/>
    <cellStyle name="Примечание 3 3 3 2 3" xfId="27980" xr:uid="{00000000-0005-0000-0000-00002E7C0000}"/>
    <cellStyle name="Примечание 3 3 3 2_TOM TAT" xfId="26786" xr:uid="{00000000-0005-0000-0000-00002F7C0000}"/>
    <cellStyle name="Примечание 3 3 3 3" xfId="6550" xr:uid="{00000000-0005-0000-0000-0000307C0000}"/>
    <cellStyle name="Примечание 3 3 3 3 2" xfId="29152" xr:uid="{00000000-0005-0000-0000-0000317C0000}"/>
    <cellStyle name="Примечание 3 3 3 3_TOM TAT" xfId="26788" xr:uid="{00000000-0005-0000-0000-0000327C0000}"/>
    <cellStyle name="Примечание 3 3 3 4" xfId="27979" xr:uid="{00000000-0005-0000-0000-0000337C0000}"/>
    <cellStyle name="Примечание 3 3 3_TOM TAT" xfId="26785" xr:uid="{00000000-0005-0000-0000-0000347C0000}"/>
    <cellStyle name="Примечание 3 3 4" xfId="3200" xr:uid="{00000000-0005-0000-0000-0000357C0000}"/>
    <cellStyle name="Примечание 3 3 4 2" xfId="3201" xr:uid="{00000000-0005-0000-0000-0000367C0000}"/>
    <cellStyle name="Примечание 3 3 4 2 2" xfId="6551" xr:uid="{00000000-0005-0000-0000-0000377C0000}"/>
    <cellStyle name="Примечание 3 3 4 2 2 2" xfId="29153" xr:uid="{00000000-0005-0000-0000-0000387C0000}"/>
    <cellStyle name="Примечание 3 3 4 2 2_TOM TAT" xfId="26791" xr:uid="{00000000-0005-0000-0000-0000397C0000}"/>
    <cellStyle name="Примечание 3 3 4 2 3" xfId="27982" xr:uid="{00000000-0005-0000-0000-00003A7C0000}"/>
    <cellStyle name="Примечание 3 3 4 2_TOM TAT" xfId="26790" xr:uid="{00000000-0005-0000-0000-00003B7C0000}"/>
    <cellStyle name="Примечание 3 3 4 3" xfId="6552" xr:uid="{00000000-0005-0000-0000-00003C7C0000}"/>
    <cellStyle name="Примечание 3 3 4 3 2" xfId="29154" xr:uid="{00000000-0005-0000-0000-00003D7C0000}"/>
    <cellStyle name="Примечание 3 3 4 3_TOM TAT" xfId="26792" xr:uid="{00000000-0005-0000-0000-00003E7C0000}"/>
    <cellStyle name="Примечание 3 3 4 4" xfId="27981" xr:uid="{00000000-0005-0000-0000-00003F7C0000}"/>
    <cellStyle name="Примечание 3 3 4_TOM TAT" xfId="26789" xr:uid="{00000000-0005-0000-0000-0000407C0000}"/>
    <cellStyle name="Примечание 3 3 5" xfId="3202" xr:uid="{00000000-0005-0000-0000-0000417C0000}"/>
    <cellStyle name="Примечание 3 3 5 2" xfId="6553" xr:uid="{00000000-0005-0000-0000-0000427C0000}"/>
    <cellStyle name="Примечание 3 3 5 2 2" xfId="29155" xr:uid="{00000000-0005-0000-0000-0000437C0000}"/>
    <cellStyle name="Примечание 3 3 5 2_TOM TAT" xfId="26794" xr:uid="{00000000-0005-0000-0000-0000447C0000}"/>
    <cellStyle name="Примечание 3 3 5 3" xfId="27983" xr:uid="{00000000-0005-0000-0000-0000457C0000}"/>
    <cellStyle name="Примечание 3 3 5_TOM TAT" xfId="26793" xr:uid="{00000000-0005-0000-0000-0000467C0000}"/>
    <cellStyle name="Примечание 3 3 6" xfId="6554" xr:uid="{00000000-0005-0000-0000-0000477C0000}"/>
    <cellStyle name="Примечание 3 3 6 2" xfId="29156" xr:uid="{00000000-0005-0000-0000-0000487C0000}"/>
    <cellStyle name="Примечание 3 3 6_TOM TAT" xfId="26795" xr:uid="{00000000-0005-0000-0000-0000497C0000}"/>
    <cellStyle name="Примечание 3 3 7" xfId="27974" xr:uid="{00000000-0005-0000-0000-00004A7C0000}"/>
    <cellStyle name="Примечание 3 3_TOM TAT" xfId="26776" xr:uid="{00000000-0005-0000-0000-00004B7C0000}"/>
    <cellStyle name="Примечание 3 4" xfId="3203" xr:uid="{00000000-0005-0000-0000-00004C7C0000}"/>
    <cellStyle name="Примечание 3 4 2" xfId="3204" xr:uid="{00000000-0005-0000-0000-00004D7C0000}"/>
    <cellStyle name="Примечание 3 4 2 2" xfId="3205" xr:uid="{00000000-0005-0000-0000-00004E7C0000}"/>
    <cellStyle name="Примечание 3 4 2 2 2" xfId="6555" xr:uid="{00000000-0005-0000-0000-00004F7C0000}"/>
    <cellStyle name="Примечание 3 4 2 2 2 2" xfId="29157" xr:uid="{00000000-0005-0000-0000-0000507C0000}"/>
    <cellStyle name="Примечание 3 4 2 2 2_TOM TAT" xfId="26799" xr:uid="{00000000-0005-0000-0000-0000517C0000}"/>
    <cellStyle name="Примечание 3 4 2 2 3" xfId="27986" xr:uid="{00000000-0005-0000-0000-0000527C0000}"/>
    <cellStyle name="Примечание 3 4 2 2_TOM TAT" xfId="26798" xr:uid="{00000000-0005-0000-0000-0000537C0000}"/>
    <cellStyle name="Примечание 3 4 2 3" xfId="6556" xr:uid="{00000000-0005-0000-0000-0000547C0000}"/>
    <cellStyle name="Примечание 3 4 2 3 2" xfId="29158" xr:uid="{00000000-0005-0000-0000-0000557C0000}"/>
    <cellStyle name="Примечание 3 4 2 3_TOM TAT" xfId="26800" xr:uid="{00000000-0005-0000-0000-0000567C0000}"/>
    <cellStyle name="Примечание 3 4 2 4" xfId="27985" xr:uid="{00000000-0005-0000-0000-0000577C0000}"/>
    <cellStyle name="Примечание 3 4 2_TOM TAT" xfId="26797" xr:uid="{00000000-0005-0000-0000-0000587C0000}"/>
    <cellStyle name="Примечание 3 4 3" xfId="3206" xr:uid="{00000000-0005-0000-0000-0000597C0000}"/>
    <cellStyle name="Примечание 3 4 3 2" xfId="6557" xr:uid="{00000000-0005-0000-0000-00005A7C0000}"/>
    <cellStyle name="Примечание 3 4 3 2 2" xfId="29159" xr:uid="{00000000-0005-0000-0000-00005B7C0000}"/>
    <cellStyle name="Примечание 3 4 3 2_TOM TAT" xfId="26802" xr:uid="{00000000-0005-0000-0000-00005C7C0000}"/>
    <cellStyle name="Примечание 3 4 3 3" xfId="27987" xr:uid="{00000000-0005-0000-0000-00005D7C0000}"/>
    <cellStyle name="Примечание 3 4 3_TOM TAT" xfId="26801" xr:uid="{00000000-0005-0000-0000-00005E7C0000}"/>
    <cellStyle name="Примечание 3 4 4" xfId="6558" xr:uid="{00000000-0005-0000-0000-00005F7C0000}"/>
    <cellStyle name="Примечание 3 4 4 2" xfId="29160" xr:uid="{00000000-0005-0000-0000-0000607C0000}"/>
    <cellStyle name="Примечание 3 4 4_TOM TAT" xfId="26803" xr:uid="{00000000-0005-0000-0000-0000617C0000}"/>
    <cellStyle name="Примечание 3 4 5" xfId="27984" xr:uid="{00000000-0005-0000-0000-0000627C0000}"/>
    <cellStyle name="Примечание 3 4_TOM TAT" xfId="26796" xr:uid="{00000000-0005-0000-0000-0000637C0000}"/>
    <cellStyle name="Примечание 3 5" xfId="3207" xr:uid="{00000000-0005-0000-0000-0000647C0000}"/>
    <cellStyle name="Примечание 3 5 2" xfId="3208" xr:uid="{00000000-0005-0000-0000-0000657C0000}"/>
    <cellStyle name="Примечание 3 5 2 2" xfId="6559" xr:uid="{00000000-0005-0000-0000-0000667C0000}"/>
    <cellStyle name="Примечание 3 5 2 2 2" xfId="29161" xr:uid="{00000000-0005-0000-0000-0000677C0000}"/>
    <cellStyle name="Примечание 3 5 2 2_TOM TAT" xfId="26806" xr:uid="{00000000-0005-0000-0000-0000687C0000}"/>
    <cellStyle name="Примечание 3 5 2 3" xfId="27989" xr:uid="{00000000-0005-0000-0000-0000697C0000}"/>
    <cellStyle name="Примечание 3 5 2_TOM TAT" xfId="26805" xr:uid="{00000000-0005-0000-0000-00006A7C0000}"/>
    <cellStyle name="Примечание 3 5 3" xfId="6560" xr:uid="{00000000-0005-0000-0000-00006B7C0000}"/>
    <cellStyle name="Примечание 3 5 3 2" xfId="29162" xr:uid="{00000000-0005-0000-0000-00006C7C0000}"/>
    <cellStyle name="Примечание 3 5 3_TOM TAT" xfId="26807" xr:uid="{00000000-0005-0000-0000-00006D7C0000}"/>
    <cellStyle name="Примечание 3 5 4" xfId="27988" xr:uid="{00000000-0005-0000-0000-00006E7C0000}"/>
    <cellStyle name="Примечание 3 5_TOM TAT" xfId="26804" xr:uid="{00000000-0005-0000-0000-00006F7C0000}"/>
    <cellStyle name="Примечание 3 6" xfId="3209" xr:uid="{00000000-0005-0000-0000-0000707C0000}"/>
    <cellStyle name="Примечание 3 6 2" xfId="3210" xr:uid="{00000000-0005-0000-0000-0000717C0000}"/>
    <cellStyle name="Примечание 3 6 2 2" xfId="6561" xr:uid="{00000000-0005-0000-0000-0000727C0000}"/>
    <cellStyle name="Примечание 3 6 2 2 2" xfId="29163" xr:uid="{00000000-0005-0000-0000-0000737C0000}"/>
    <cellStyle name="Примечание 3 6 2 2_TOM TAT" xfId="26810" xr:uid="{00000000-0005-0000-0000-0000747C0000}"/>
    <cellStyle name="Примечание 3 6 2 3" xfId="27991" xr:uid="{00000000-0005-0000-0000-0000757C0000}"/>
    <cellStyle name="Примечание 3 6 2_TOM TAT" xfId="26809" xr:uid="{00000000-0005-0000-0000-0000767C0000}"/>
    <cellStyle name="Примечание 3 6 3" xfId="6562" xr:uid="{00000000-0005-0000-0000-0000777C0000}"/>
    <cellStyle name="Примечание 3 6 3 2" xfId="29164" xr:uid="{00000000-0005-0000-0000-0000787C0000}"/>
    <cellStyle name="Примечание 3 6 3_TOM TAT" xfId="26811" xr:uid="{00000000-0005-0000-0000-0000797C0000}"/>
    <cellStyle name="Примечание 3 6 4" xfId="27990" xr:uid="{00000000-0005-0000-0000-00007A7C0000}"/>
    <cellStyle name="Примечание 3 6_TOM TAT" xfId="26808" xr:uid="{00000000-0005-0000-0000-00007B7C0000}"/>
    <cellStyle name="Примечание 3 7" xfId="3211" xr:uid="{00000000-0005-0000-0000-00007C7C0000}"/>
    <cellStyle name="Примечание 3 7 2" xfId="6563" xr:uid="{00000000-0005-0000-0000-00007D7C0000}"/>
    <cellStyle name="Примечание 3 7 2 2" xfId="29165" xr:uid="{00000000-0005-0000-0000-00007E7C0000}"/>
    <cellStyle name="Примечание 3 7 2_TOM TAT" xfId="26813" xr:uid="{00000000-0005-0000-0000-00007F7C0000}"/>
    <cellStyle name="Примечание 3 7 3" xfId="27992" xr:uid="{00000000-0005-0000-0000-0000807C0000}"/>
    <cellStyle name="Примечание 3 7_TOM TAT" xfId="26812" xr:uid="{00000000-0005-0000-0000-0000817C0000}"/>
    <cellStyle name="Примечание 3 8" xfId="6564" xr:uid="{00000000-0005-0000-0000-0000827C0000}"/>
    <cellStyle name="Примечание 3 8 2" xfId="29166" xr:uid="{00000000-0005-0000-0000-0000837C0000}"/>
    <cellStyle name="Примечание 3 8_TOM TAT" xfId="26814" xr:uid="{00000000-0005-0000-0000-0000847C0000}"/>
    <cellStyle name="Примечание 3 9" xfId="27963" xr:uid="{00000000-0005-0000-0000-0000857C0000}"/>
    <cellStyle name="Примечание 3_TOM TAT" xfId="26755" xr:uid="{00000000-0005-0000-0000-0000867C0000}"/>
    <cellStyle name="Примечание 4" xfId="3212" xr:uid="{00000000-0005-0000-0000-0000877C0000}"/>
    <cellStyle name="Примечание 4 2" xfId="3213" xr:uid="{00000000-0005-0000-0000-0000887C0000}"/>
    <cellStyle name="Примечание 4 2 2" xfId="3214" xr:uid="{00000000-0005-0000-0000-0000897C0000}"/>
    <cellStyle name="Примечание 4 2 2 2" xfId="3215" xr:uid="{00000000-0005-0000-0000-00008A7C0000}"/>
    <cellStyle name="Примечание 4 2 2 2 2" xfId="3216" xr:uid="{00000000-0005-0000-0000-00008B7C0000}"/>
    <cellStyle name="Примечание 4 2 2 2 2 2" xfId="6565" xr:uid="{00000000-0005-0000-0000-00008C7C0000}"/>
    <cellStyle name="Примечание 4 2 2 2 2 2 2" xfId="29167" xr:uid="{00000000-0005-0000-0000-00008D7C0000}"/>
    <cellStyle name="Примечание 4 2 2 2 2 2_TOM TAT" xfId="26820" xr:uid="{00000000-0005-0000-0000-00008E7C0000}"/>
    <cellStyle name="Примечание 4 2 2 2 2 3" xfId="27997" xr:uid="{00000000-0005-0000-0000-00008F7C0000}"/>
    <cellStyle name="Примечание 4 2 2 2 2_TOM TAT" xfId="26819" xr:uid="{00000000-0005-0000-0000-0000907C0000}"/>
    <cellStyle name="Примечание 4 2 2 2 3" xfId="6566" xr:uid="{00000000-0005-0000-0000-0000917C0000}"/>
    <cellStyle name="Примечание 4 2 2 2 3 2" xfId="29168" xr:uid="{00000000-0005-0000-0000-0000927C0000}"/>
    <cellStyle name="Примечание 4 2 2 2 3_TOM TAT" xfId="26821" xr:uid="{00000000-0005-0000-0000-0000937C0000}"/>
    <cellStyle name="Примечание 4 2 2 2 4" xfId="27996" xr:uid="{00000000-0005-0000-0000-0000947C0000}"/>
    <cellStyle name="Примечание 4 2 2 2_TOM TAT" xfId="26818" xr:uid="{00000000-0005-0000-0000-0000957C0000}"/>
    <cellStyle name="Примечание 4 2 2 3" xfId="3217" xr:uid="{00000000-0005-0000-0000-0000967C0000}"/>
    <cellStyle name="Примечание 4 2 2 3 2" xfId="6567" xr:uid="{00000000-0005-0000-0000-0000977C0000}"/>
    <cellStyle name="Примечание 4 2 2 3 2 2" xfId="29169" xr:uid="{00000000-0005-0000-0000-0000987C0000}"/>
    <cellStyle name="Примечание 4 2 2 3 2_TOM TAT" xfId="26823" xr:uid="{00000000-0005-0000-0000-0000997C0000}"/>
    <cellStyle name="Примечание 4 2 2 3 3" xfId="27998" xr:uid="{00000000-0005-0000-0000-00009A7C0000}"/>
    <cellStyle name="Примечание 4 2 2 3_TOM TAT" xfId="26822" xr:uid="{00000000-0005-0000-0000-00009B7C0000}"/>
    <cellStyle name="Примечание 4 2 2 4" xfId="6568" xr:uid="{00000000-0005-0000-0000-00009C7C0000}"/>
    <cellStyle name="Примечание 4 2 2 4 2" xfId="29170" xr:uid="{00000000-0005-0000-0000-00009D7C0000}"/>
    <cellStyle name="Примечание 4 2 2 4_TOM TAT" xfId="26824" xr:uid="{00000000-0005-0000-0000-00009E7C0000}"/>
    <cellStyle name="Примечание 4 2 2 5" xfId="27995" xr:uid="{00000000-0005-0000-0000-00009F7C0000}"/>
    <cellStyle name="Примечание 4 2 2_TOM TAT" xfId="26817" xr:uid="{00000000-0005-0000-0000-0000A07C0000}"/>
    <cellStyle name="Примечание 4 2 3" xfId="3218" xr:uid="{00000000-0005-0000-0000-0000A17C0000}"/>
    <cellStyle name="Примечание 4 2 3 2" xfId="3219" xr:uid="{00000000-0005-0000-0000-0000A27C0000}"/>
    <cellStyle name="Примечание 4 2 3 2 2" xfId="6569" xr:uid="{00000000-0005-0000-0000-0000A37C0000}"/>
    <cellStyle name="Примечание 4 2 3 2 2 2" xfId="29171" xr:uid="{00000000-0005-0000-0000-0000A47C0000}"/>
    <cellStyle name="Примечание 4 2 3 2 2_TOM TAT" xfId="26827" xr:uid="{00000000-0005-0000-0000-0000A57C0000}"/>
    <cellStyle name="Примечание 4 2 3 2 3" xfId="28000" xr:uid="{00000000-0005-0000-0000-0000A67C0000}"/>
    <cellStyle name="Примечание 4 2 3 2_TOM TAT" xfId="26826" xr:uid="{00000000-0005-0000-0000-0000A77C0000}"/>
    <cellStyle name="Примечание 4 2 3 3" xfId="6570" xr:uid="{00000000-0005-0000-0000-0000A87C0000}"/>
    <cellStyle name="Примечание 4 2 3 3 2" xfId="29172" xr:uid="{00000000-0005-0000-0000-0000A97C0000}"/>
    <cellStyle name="Примечание 4 2 3 3_TOM TAT" xfId="26828" xr:uid="{00000000-0005-0000-0000-0000AA7C0000}"/>
    <cellStyle name="Примечание 4 2 3 4" xfId="27999" xr:uid="{00000000-0005-0000-0000-0000AB7C0000}"/>
    <cellStyle name="Примечание 4 2 3_TOM TAT" xfId="26825" xr:uid="{00000000-0005-0000-0000-0000AC7C0000}"/>
    <cellStyle name="Примечание 4 2 4" xfId="3220" xr:uid="{00000000-0005-0000-0000-0000AD7C0000}"/>
    <cellStyle name="Примечание 4 2 4 2" xfId="3221" xr:uid="{00000000-0005-0000-0000-0000AE7C0000}"/>
    <cellStyle name="Примечание 4 2 4 2 2" xfId="6571" xr:uid="{00000000-0005-0000-0000-0000AF7C0000}"/>
    <cellStyle name="Примечание 4 2 4 2 2 2" xfId="29173" xr:uid="{00000000-0005-0000-0000-0000B07C0000}"/>
    <cellStyle name="Примечание 4 2 4 2 2_TOM TAT" xfId="26831" xr:uid="{00000000-0005-0000-0000-0000B17C0000}"/>
    <cellStyle name="Примечание 4 2 4 2 3" xfId="28002" xr:uid="{00000000-0005-0000-0000-0000B27C0000}"/>
    <cellStyle name="Примечание 4 2 4 2_TOM TAT" xfId="26830" xr:uid="{00000000-0005-0000-0000-0000B37C0000}"/>
    <cellStyle name="Примечание 4 2 4 3" xfId="6572" xr:uid="{00000000-0005-0000-0000-0000B47C0000}"/>
    <cellStyle name="Примечание 4 2 4 3 2" xfId="29174" xr:uid="{00000000-0005-0000-0000-0000B57C0000}"/>
    <cellStyle name="Примечание 4 2 4 3_TOM TAT" xfId="26832" xr:uid="{00000000-0005-0000-0000-0000B67C0000}"/>
    <cellStyle name="Примечание 4 2 4 4" xfId="28001" xr:uid="{00000000-0005-0000-0000-0000B77C0000}"/>
    <cellStyle name="Примечание 4 2 4_TOM TAT" xfId="26829" xr:uid="{00000000-0005-0000-0000-0000B87C0000}"/>
    <cellStyle name="Примечание 4 2 5" xfId="3222" xr:uid="{00000000-0005-0000-0000-0000B97C0000}"/>
    <cellStyle name="Примечание 4 2 5 2" xfId="6573" xr:uid="{00000000-0005-0000-0000-0000BA7C0000}"/>
    <cellStyle name="Примечание 4 2 5 2 2" xfId="29175" xr:uid="{00000000-0005-0000-0000-0000BB7C0000}"/>
    <cellStyle name="Примечание 4 2 5 2_TOM TAT" xfId="26834" xr:uid="{00000000-0005-0000-0000-0000BC7C0000}"/>
    <cellStyle name="Примечание 4 2 5 3" xfId="28003" xr:uid="{00000000-0005-0000-0000-0000BD7C0000}"/>
    <cellStyle name="Примечание 4 2 5_TOM TAT" xfId="26833" xr:uid="{00000000-0005-0000-0000-0000BE7C0000}"/>
    <cellStyle name="Примечание 4 2 6" xfId="6574" xr:uid="{00000000-0005-0000-0000-0000BF7C0000}"/>
    <cellStyle name="Примечание 4 2 6 2" xfId="29176" xr:uid="{00000000-0005-0000-0000-0000C07C0000}"/>
    <cellStyle name="Примечание 4 2 6_TOM TAT" xfId="26835" xr:uid="{00000000-0005-0000-0000-0000C17C0000}"/>
    <cellStyle name="Примечание 4 2 7" xfId="27994" xr:uid="{00000000-0005-0000-0000-0000C27C0000}"/>
    <cellStyle name="Примечание 4 2_TOM TAT" xfId="26816" xr:uid="{00000000-0005-0000-0000-0000C37C0000}"/>
    <cellStyle name="Примечание 4 3" xfId="3223" xr:uid="{00000000-0005-0000-0000-0000C47C0000}"/>
    <cellStyle name="Примечание 4 3 2" xfId="3224" xr:uid="{00000000-0005-0000-0000-0000C57C0000}"/>
    <cellStyle name="Примечание 4 3 2 2" xfId="3225" xr:uid="{00000000-0005-0000-0000-0000C67C0000}"/>
    <cellStyle name="Примечание 4 3 2 2 2" xfId="3226" xr:uid="{00000000-0005-0000-0000-0000C77C0000}"/>
    <cellStyle name="Примечание 4 3 2 2 2 2" xfId="6575" xr:uid="{00000000-0005-0000-0000-0000C87C0000}"/>
    <cellStyle name="Примечание 4 3 2 2 2 2 2" xfId="29177" xr:uid="{00000000-0005-0000-0000-0000C97C0000}"/>
    <cellStyle name="Примечание 4 3 2 2 2 2_TOM TAT" xfId="26840" xr:uid="{00000000-0005-0000-0000-0000CA7C0000}"/>
    <cellStyle name="Примечание 4 3 2 2 2 3" xfId="28007" xr:uid="{00000000-0005-0000-0000-0000CB7C0000}"/>
    <cellStyle name="Примечание 4 3 2 2 2_TOM TAT" xfId="26839" xr:uid="{00000000-0005-0000-0000-0000CC7C0000}"/>
    <cellStyle name="Примечание 4 3 2 2 3" xfId="6576" xr:uid="{00000000-0005-0000-0000-0000CD7C0000}"/>
    <cellStyle name="Примечание 4 3 2 2 3 2" xfId="29178" xr:uid="{00000000-0005-0000-0000-0000CE7C0000}"/>
    <cellStyle name="Примечание 4 3 2 2 3_TOM TAT" xfId="26841" xr:uid="{00000000-0005-0000-0000-0000CF7C0000}"/>
    <cellStyle name="Примечание 4 3 2 2 4" xfId="28006" xr:uid="{00000000-0005-0000-0000-0000D07C0000}"/>
    <cellStyle name="Примечание 4 3 2 2_TOM TAT" xfId="26838" xr:uid="{00000000-0005-0000-0000-0000D17C0000}"/>
    <cellStyle name="Примечание 4 3 2 3" xfId="3227" xr:uid="{00000000-0005-0000-0000-0000D27C0000}"/>
    <cellStyle name="Примечание 4 3 2 3 2" xfId="6577" xr:uid="{00000000-0005-0000-0000-0000D37C0000}"/>
    <cellStyle name="Примечание 4 3 2 3 2 2" xfId="29179" xr:uid="{00000000-0005-0000-0000-0000D47C0000}"/>
    <cellStyle name="Примечание 4 3 2 3 2_TOM TAT" xfId="26843" xr:uid="{00000000-0005-0000-0000-0000D57C0000}"/>
    <cellStyle name="Примечание 4 3 2 3 3" xfId="28008" xr:uid="{00000000-0005-0000-0000-0000D67C0000}"/>
    <cellStyle name="Примечание 4 3 2 3_TOM TAT" xfId="26842" xr:uid="{00000000-0005-0000-0000-0000D77C0000}"/>
    <cellStyle name="Примечание 4 3 2 4" xfId="6578" xr:uid="{00000000-0005-0000-0000-0000D87C0000}"/>
    <cellStyle name="Примечание 4 3 2 4 2" xfId="29180" xr:uid="{00000000-0005-0000-0000-0000D97C0000}"/>
    <cellStyle name="Примечание 4 3 2 4_TOM TAT" xfId="26844" xr:uid="{00000000-0005-0000-0000-0000DA7C0000}"/>
    <cellStyle name="Примечание 4 3 2 5" xfId="28005" xr:uid="{00000000-0005-0000-0000-0000DB7C0000}"/>
    <cellStyle name="Примечание 4 3 2_TOM TAT" xfId="26837" xr:uid="{00000000-0005-0000-0000-0000DC7C0000}"/>
    <cellStyle name="Примечание 4 3 3" xfId="3228" xr:uid="{00000000-0005-0000-0000-0000DD7C0000}"/>
    <cellStyle name="Примечание 4 3 3 2" xfId="3229" xr:uid="{00000000-0005-0000-0000-0000DE7C0000}"/>
    <cellStyle name="Примечание 4 3 3 2 2" xfId="6579" xr:uid="{00000000-0005-0000-0000-0000DF7C0000}"/>
    <cellStyle name="Примечание 4 3 3 2 2 2" xfId="29181" xr:uid="{00000000-0005-0000-0000-0000E07C0000}"/>
    <cellStyle name="Примечание 4 3 3 2 2_TOM TAT" xfId="26847" xr:uid="{00000000-0005-0000-0000-0000E17C0000}"/>
    <cellStyle name="Примечание 4 3 3 2 3" xfId="28010" xr:uid="{00000000-0005-0000-0000-0000E27C0000}"/>
    <cellStyle name="Примечание 4 3 3 2_TOM TAT" xfId="26846" xr:uid="{00000000-0005-0000-0000-0000E37C0000}"/>
    <cellStyle name="Примечание 4 3 3 3" xfId="6580" xr:uid="{00000000-0005-0000-0000-0000E47C0000}"/>
    <cellStyle name="Примечание 4 3 3 3 2" xfId="29182" xr:uid="{00000000-0005-0000-0000-0000E57C0000}"/>
    <cellStyle name="Примечание 4 3 3 3_TOM TAT" xfId="26848" xr:uid="{00000000-0005-0000-0000-0000E67C0000}"/>
    <cellStyle name="Примечание 4 3 3 4" xfId="28009" xr:uid="{00000000-0005-0000-0000-0000E77C0000}"/>
    <cellStyle name="Примечание 4 3 3_TOM TAT" xfId="26845" xr:uid="{00000000-0005-0000-0000-0000E87C0000}"/>
    <cellStyle name="Примечание 4 3 4" xfId="3230" xr:uid="{00000000-0005-0000-0000-0000E97C0000}"/>
    <cellStyle name="Примечание 4 3 4 2" xfId="3231" xr:uid="{00000000-0005-0000-0000-0000EA7C0000}"/>
    <cellStyle name="Примечание 4 3 4 2 2" xfId="6581" xr:uid="{00000000-0005-0000-0000-0000EB7C0000}"/>
    <cellStyle name="Примечание 4 3 4 2 2 2" xfId="29183" xr:uid="{00000000-0005-0000-0000-0000EC7C0000}"/>
    <cellStyle name="Примечание 4 3 4 2 2_TOM TAT" xfId="26851" xr:uid="{00000000-0005-0000-0000-0000ED7C0000}"/>
    <cellStyle name="Примечание 4 3 4 2 3" xfId="28012" xr:uid="{00000000-0005-0000-0000-0000EE7C0000}"/>
    <cellStyle name="Примечание 4 3 4 2_TOM TAT" xfId="26850" xr:uid="{00000000-0005-0000-0000-0000EF7C0000}"/>
    <cellStyle name="Примечание 4 3 4 3" xfId="6582" xr:uid="{00000000-0005-0000-0000-0000F07C0000}"/>
    <cellStyle name="Примечание 4 3 4 3 2" xfId="29184" xr:uid="{00000000-0005-0000-0000-0000F17C0000}"/>
    <cellStyle name="Примечание 4 3 4 3_TOM TAT" xfId="26852" xr:uid="{00000000-0005-0000-0000-0000F27C0000}"/>
    <cellStyle name="Примечание 4 3 4 4" xfId="28011" xr:uid="{00000000-0005-0000-0000-0000F37C0000}"/>
    <cellStyle name="Примечание 4 3 4_TOM TAT" xfId="26849" xr:uid="{00000000-0005-0000-0000-0000F47C0000}"/>
    <cellStyle name="Примечание 4 3 5" xfId="3232" xr:uid="{00000000-0005-0000-0000-0000F57C0000}"/>
    <cellStyle name="Примечание 4 3 5 2" xfId="6583" xr:uid="{00000000-0005-0000-0000-0000F67C0000}"/>
    <cellStyle name="Примечание 4 3 5 2 2" xfId="29185" xr:uid="{00000000-0005-0000-0000-0000F77C0000}"/>
    <cellStyle name="Примечание 4 3 5 2_TOM TAT" xfId="26854" xr:uid="{00000000-0005-0000-0000-0000F87C0000}"/>
    <cellStyle name="Примечание 4 3 5 3" xfId="28013" xr:uid="{00000000-0005-0000-0000-0000F97C0000}"/>
    <cellStyle name="Примечание 4 3 5_TOM TAT" xfId="26853" xr:uid="{00000000-0005-0000-0000-0000FA7C0000}"/>
    <cellStyle name="Примечание 4 3 6" xfId="6584" xr:uid="{00000000-0005-0000-0000-0000FB7C0000}"/>
    <cellStyle name="Примечание 4 3 6 2" xfId="29186" xr:uid="{00000000-0005-0000-0000-0000FC7C0000}"/>
    <cellStyle name="Примечание 4 3 6_TOM TAT" xfId="26855" xr:uid="{00000000-0005-0000-0000-0000FD7C0000}"/>
    <cellStyle name="Примечание 4 3 7" xfId="28004" xr:uid="{00000000-0005-0000-0000-0000FE7C0000}"/>
    <cellStyle name="Примечание 4 3_TOM TAT" xfId="26836" xr:uid="{00000000-0005-0000-0000-0000FF7C0000}"/>
    <cellStyle name="Примечание 4 4" xfId="3233" xr:uid="{00000000-0005-0000-0000-0000007D0000}"/>
    <cellStyle name="Примечание 4 4 2" xfId="3234" xr:uid="{00000000-0005-0000-0000-0000017D0000}"/>
    <cellStyle name="Примечание 4 4 2 2" xfId="3235" xr:uid="{00000000-0005-0000-0000-0000027D0000}"/>
    <cellStyle name="Примечание 4 4 2 2 2" xfId="6585" xr:uid="{00000000-0005-0000-0000-0000037D0000}"/>
    <cellStyle name="Примечание 4 4 2 2 2 2" xfId="29187" xr:uid="{00000000-0005-0000-0000-0000047D0000}"/>
    <cellStyle name="Примечание 4 4 2 2 2_TOM TAT" xfId="26859" xr:uid="{00000000-0005-0000-0000-0000057D0000}"/>
    <cellStyle name="Примечание 4 4 2 2 3" xfId="28016" xr:uid="{00000000-0005-0000-0000-0000067D0000}"/>
    <cellStyle name="Примечание 4 4 2 2_TOM TAT" xfId="26858" xr:uid="{00000000-0005-0000-0000-0000077D0000}"/>
    <cellStyle name="Примечание 4 4 2 3" xfId="6586" xr:uid="{00000000-0005-0000-0000-0000087D0000}"/>
    <cellStyle name="Примечание 4 4 2 3 2" xfId="29188" xr:uid="{00000000-0005-0000-0000-0000097D0000}"/>
    <cellStyle name="Примечание 4 4 2 3_TOM TAT" xfId="26860" xr:uid="{00000000-0005-0000-0000-00000A7D0000}"/>
    <cellStyle name="Примечание 4 4 2 4" xfId="28015" xr:uid="{00000000-0005-0000-0000-00000B7D0000}"/>
    <cellStyle name="Примечание 4 4 2_TOM TAT" xfId="26857" xr:uid="{00000000-0005-0000-0000-00000C7D0000}"/>
    <cellStyle name="Примечание 4 4 3" xfId="3236" xr:uid="{00000000-0005-0000-0000-00000D7D0000}"/>
    <cellStyle name="Примечание 4 4 3 2" xfId="6587" xr:uid="{00000000-0005-0000-0000-00000E7D0000}"/>
    <cellStyle name="Примечание 4 4 3 2 2" xfId="29189" xr:uid="{00000000-0005-0000-0000-00000F7D0000}"/>
    <cellStyle name="Примечание 4 4 3 2_TOM TAT" xfId="26862" xr:uid="{00000000-0005-0000-0000-0000107D0000}"/>
    <cellStyle name="Примечание 4 4 3 3" xfId="28017" xr:uid="{00000000-0005-0000-0000-0000117D0000}"/>
    <cellStyle name="Примечание 4 4 3_TOM TAT" xfId="26861" xr:uid="{00000000-0005-0000-0000-0000127D0000}"/>
    <cellStyle name="Примечание 4 4 4" xfId="6588" xr:uid="{00000000-0005-0000-0000-0000137D0000}"/>
    <cellStyle name="Примечание 4 4 4 2" xfId="29190" xr:uid="{00000000-0005-0000-0000-0000147D0000}"/>
    <cellStyle name="Примечание 4 4 4_TOM TAT" xfId="26863" xr:uid="{00000000-0005-0000-0000-0000157D0000}"/>
    <cellStyle name="Примечание 4 4 5" xfId="28014" xr:uid="{00000000-0005-0000-0000-0000167D0000}"/>
    <cellStyle name="Примечание 4 4_TOM TAT" xfId="26856" xr:uid="{00000000-0005-0000-0000-0000177D0000}"/>
    <cellStyle name="Примечание 4 5" xfId="3237" xr:uid="{00000000-0005-0000-0000-0000187D0000}"/>
    <cellStyle name="Примечание 4 5 2" xfId="3238" xr:uid="{00000000-0005-0000-0000-0000197D0000}"/>
    <cellStyle name="Примечание 4 5 2 2" xfId="6589" xr:uid="{00000000-0005-0000-0000-00001A7D0000}"/>
    <cellStyle name="Примечание 4 5 2 2 2" xfId="29191" xr:uid="{00000000-0005-0000-0000-00001B7D0000}"/>
    <cellStyle name="Примечание 4 5 2 2_TOM TAT" xfId="26866" xr:uid="{00000000-0005-0000-0000-00001C7D0000}"/>
    <cellStyle name="Примечание 4 5 2 3" xfId="28019" xr:uid="{00000000-0005-0000-0000-00001D7D0000}"/>
    <cellStyle name="Примечание 4 5 2_TOM TAT" xfId="26865" xr:uid="{00000000-0005-0000-0000-00001E7D0000}"/>
    <cellStyle name="Примечание 4 5 3" xfId="6590" xr:uid="{00000000-0005-0000-0000-00001F7D0000}"/>
    <cellStyle name="Примечание 4 5 3 2" xfId="29192" xr:uid="{00000000-0005-0000-0000-0000207D0000}"/>
    <cellStyle name="Примечание 4 5 3_TOM TAT" xfId="26867" xr:uid="{00000000-0005-0000-0000-0000217D0000}"/>
    <cellStyle name="Примечание 4 5 4" xfId="28018" xr:uid="{00000000-0005-0000-0000-0000227D0000}"/>
    <cellStyle name="Примечание 4 5_TOM TAT" xfId="26864" xr:uid="{00000000-0005-0000-0000-0000237D0000}"/>
    <cellStyle name="Примечание 4 6" xfId="3239" xr:uid="{00000000-0005-0000-0000-0000247D0000}"/>
    <cellStyle name="Примечание 4 6 2" xfId="3240" xr:uid="{00000000-0005-0000-0000-0000257D0000}"/>
    <cellStyle name="Примечание 4 6 2 2" xfId="6591" xr:uid="{00000000-0005-0000-0000-0000267D0000}"/>
    <cellStyle name="Примечание 4 6 2 2 2" xfId="29193" xr:uid="{00000000-0005-0000-0000-0000277D0000}"/>
    <cellStyle name="Примечание 4 6 2 2_TOM TAT" xfId="26870" xr:uid="{00000000-0005-0000-0000-0000287D0000}"/>
    <cellStyle name="Примечание 4 6 2 3" xfId="28021" xr:uid="{00000000-0005-0000-0000-0000297D0000}"/>
    <cellStyle name="Примечание 4 6 2_TOM TAT" xfId="26869" xr:uid="{00000000-0005-0000-0000-00002A7D0000}"/>
    <cellStyle name="Примечание 4 6 3" xfId="6592" xr:uid="{00000000-0005-0000-0000-00002B7D0000}"/>
    <cellStyle name="Примечание 4 6 3 2" xfId="29194" xr:uid="{00000000-0005-0000-0000-00002C7D0000}"/>
    <cellStyle name="Примечание 4 6 3_TOM TAT" xfId="26871" xr:uid="{00000000-0005-0000-0000-00002D7D0000}"/>
    <cellStyle name="Примечание 4 6 4" xfId="28020" xr:uid="{00000000-0005-0000-0000-00002E7D0000}"/>
    <cellStyle name="Примечание 4 6_TOM TAT" xfId="26868" xr:uid="{00000000-0005-0000-0000-00002F7D0000}"/>
    <cellStyle name="Примечание 4 7" xfId="3241" xr:uid="{00000000-0005-0000-0000-0000307D0000}"/>
    <cellStyle name="Примечание 4 7 2" xfId="6593" xr:uid="{00000000-0005-0000-0000-0000317D0000}"/>
    <cellStyle name="Примечание 4 7 2 2" xfId="29195" xr:uid="{00000000-0005-0000-0000-0000327D0000}"/>
    <cellStyle name="Примечание 4 7 2_TOM TAT" xfId="26873" xr:uid="{00000000-0005-0000-0000-0000337D0000}"/>
    <cellStyle name="Примечание 4 7 3" xfId="28022" xr:uid="{00000000-0005-0000-0000-0000347D0000}"/>
    <cellStyle name="Примечание 4 7_TOM TAT" xfId="26872" xr:uid="{00000000-0005-0000-0000-0000357D0000}"/>
    <cellStyle name="Примечание 4 8" xfId="6594" xr:uid="{00000000-0005-0000-0000-0000367D0000}"/>
    <cellStyle name="Примечание 4 8 2" xfId="29196" xr:uid="{00000000-0005-0000-0000-0000377D0000}"/>
    <cellStyle name="Примечание 4 8_TOM TAT" xfId="26874" xr:uid="{00000000-0005-0000-0000-0000387D0000}"/>
    <cellStyle name="Примечание 4 9" xfId="27993" xr:uid="{00000000-0005-0000-0000-0000397D0000}"/>
    <cellStyle name="Примечание 4_TOM TAT" xfId="26815" xr:uid="{00000000-0005-0000-0000-00003A7D0000}"/>
    <cellStyle name="Примечание 5" xfId="3242" xr:uid="{00000000-0005-0000-0000-00003B7D0000}"/>
    <cellStyle name="Примечание 5 2" xfId="3243" xr:uid="{00000000-0005-0000-0000-00003C7D0000}"/>
    <cellStyle name="Примечание 5 2 2" xfId="3244" xr:uid="{00000000-0005-0000-0000-00003D7D0000}"/>
    <cellStyle name="Примечание 5 2 2 2" xfId="3245" xr:uid="{00000000-0005-0000-0000-00003E7D0000}"/>
    <cellStyle name="Примечание 5 2 2 2 2" xfId="6595" xr:uid="{00000000-0005-0000-0000-00003F7D0000}"/>
    <cellStyle name="Примечание 5 2 2 2 2 2" xfId="29197" xr:uid="{00000000-0005-0000-0000-0000407D0000}"/>
    <cellStyle name="Примечание 5 2 2 2 2_TOM TAT" xfId="26879" xr:uid="{00000000-0005-0000-0000-0000417D0000}"/>
    <cellStyle name="Примечание 5 2 2 2 3" xfId="28026" xr:uid="{00000000-0005-0000-0000-0000427D0000}"/>
    <cellStyle name="Примечание 5 2 2 2_TOM TAT" xfId="26878" xr:uid="{00000000-0005-0000-0000-0000437D0000}"/>
    <cellStyle name="Примечание 5 2 2 3" xfId="6596" xr:uid="{00000000-0005-0000-0000-0000447D0000}"/>
    <cellStyle name="Примечание 5 2 2 3 2" xfId="29198" xr:uid="{00000000-0005-0000-0000-0000457D0000}"/>
    <cellStyle name="Примечание 5 2 2 3_TOM TAT" xfId="26880" xr:uid="{00000000-0005-0000-0000-0000467D0000}"/>
    <cellStyle name="Примечание 5 2 2 4" xfId="28025" xr:uid="{00000000-0005-0000-0000-0000477D0000}"/>
    <cellStyle name="Примечание 5 2 2_TOM TAT" xfId="26877" xr:uid="{00000000-0005-0000-0000-0000487D0000}"/>
    <cellStyle name="Примечание 5 2 3" xfId="3246" xr:uid="{00000000-0005-0000-0000-0000497D0000}"/>
    <cellStyle name="Примечание 5 2 3 2" xfId="6597" xr:uid="{00000000-0005-0000-0000-00004A7D0000}"/>
    <cellStyle name="Примечание 5 2 3 2 2" xfId="29199" xr:uid="{00000000-0005-0000-0000-00004B7D0000}"/>
    <cellStyle name="Примечание 5 2 3 2_TOM TAT" xfId="26882" xr:uid="{00000000-0005-0000-0000-00004C7D0000}"/>
    <cellStyle name="Примечание 5 2 3 3" xfId="28027" xr:uid="{00000000-0005-0000-0000-00004D7D0000}"/>
    <cellStyle name="Примечание 5 2 3_TOM TAT" xfId="26881" xr:uid="{00000000-0005-0000-0000-00004E7D0000}"/>
    <cellStyle name="Примечание 5 2 4" xfId="6598" xr:uid="{00000000-0005-0000-0000-00004F7D0000}"/>
    <cellStyle name="Примечание 5 2 4 2" xfId="29200" xr:uid="{00000000-0005-0000-0000-0000507D0000}"/>
    <cellStyle name="Примечание 5 2 4_TOM TAT" xfId="26883" xr:uid="{00000000-0005-0000-0000-0000517D0000}"/>
    <cellStyle name="Примечание 5 2 5" xfId="28024" xr:uid="{00000000-0005-0000-0000-0000527D0000}"/>
    <cellStyle name="Примечание 5 2_TOM TAT" xfId="26876" xr:uid="{00000000-0005-0000-0000-0000537D0000}"/>
    <cellStyle name="Примечание 5 3" xfId="3247" xr:uid="{00000000-0005-0000-0000-0000547D0000}"/>
    <cellStyle name="Примечание 5 3 2" xfId="3248" xr:uid="{00000000-0005-0000-0000-0000557D0000}"/>
    <cellStyle name="Примечание 5 3 2 2" xfId="6599" xr:uid="{00000000-0005-0000-0000-0000567D0000}"/>
    <cellStyle name="Примечание 5 3 2 2 2" xfId="29201" xr:uid="{00000000-0005-0000-0000-0000577D0000}"/>
    <cellStyle name="Примечание 5 3 2 2_TOM TAT" xfId="26886" xr:uid="{00000000-0005-0000-0000-0000587D0000}"/>
    <cellStyle name="Примечание 5 3 2 3" xfId="28029" xr:uid="{00000000-0005-0000-0000-0000597D0000}"/>
    <cellStyle name="Примечание 5 3 2_TOM TAT" xfId="26885" xr:uid="{00000000-0005-0000-0000-00005A7D0000}"/>
    <cellStyle name="Примечание 5 3 3" xfId="6600" xr:uid="{00000000-0005-0000-0000-00005B7D0000}"/>
    <cellStyle name="Примечание 5 3 3 2" xfId="29202" xr:uid="{00000000-0005-0000-0000-00005C7D0000}"/>
    <cellStyle name="Примечание 5 3 3_TOM TAT" xfId="26887" xr:uid="{00000000-0005-0000-0000-00005D7D0000}"/>
    <cellStyle name="Примечание 5 3 4" xfId="28028" xr:uid="{00000000-0005-0000-0000-00005E7D0000}"/>
    <cellStyle name="Примечание 5 3_TOM TAT" xfId="26884" xr:uid="{00000000-0005-0000-0000-00005F7D0000}"/>
    <cellStyle name="Примечание 5 4" xfId="3249" xr:uid="{00000000-0005-0000-0000-0000607D0000}"/>
    <cellStyle name="Примечание 5 4 2" xfId="3250" xr:uid="{00000000-0005-0000-0000-0000617D0000}"/>
    <cellStyle name="Примечание 5 4 2 2" xfId="6601" xr:uid="{00000000-0005-0000-0000-0000627D0000}"/>
    <cellStyle name="Примечание 5 4 2 2 2" xfId="29203" xr:uid="{00000000-0005-0000-0000-0000637D0000}"/>
    <cellStyle name="Примечание 5 4 2 2_TOM TAT" xfId="26890" xr:uid="{00000000-0005-0000-0000-0000647D0000}"/>
    <cellStyle name="Примечание 5 4 2 3" xfId="28031" xr:uid="{00000000-0005-0000-0000-0000657D0000}"/>
    <cellStyle name="Примечание 5 4 2_TOM TAT" xfId="26889" xr:uid="{00000000-0005-0000-0000-0000667D0000}"/>
    <cellStyle name="Примечание 5 4 3" xfId="6602" xr:uid="{00000000-0005-0000-0000-0000677D0000}"/>
    <cellStyle name="Примечание 5 4 3 2" xfId="29204" xr:uid="{00000000-0005-0000-0000-0000687D0000}"/>
    <cellStyle name="Примечание 5 4 3_TOM TAT" xfId="26891" xr:uid="{00000000-0005-0000-0000-0000697D0000}"/>
    <cellStyle name="Примечание 5 4 4" xfId="28030" xr:uid="{00000000-0005-0000-0000-00006A7D0000}"/>
    <cellStyle name="Примечание 5 4_TOM TAT" xfId="26888" xr:uid="{00000000-0005-0000-0000-00006B7D0000}"/>
    <cellStyle name="Примечание 5 5" xfId="3251" xr:uid="{00000000-0005-0000-0000-00006C7D0000}"/>
    <cellStyle name="Примечание 5 5 2" xfId="6603" xr:uid="{00000000-0005-0000-0000-00006D7D0000}"/>
    <cellStyle name="Примечание 5 5 2 2" xfId="29205" xr:uid="{00000000-0005-0000-0000-00006E7D0000}"/>
    <cellStyle name="Примечание 5 5 2_TOM TAT" xfId="26893" xr:uid="{00000000-0005-0000-0000-00006F7D0000}"/>
    <cellStyle name="Примечание 5 5 3" xfId="28032" xr:uid="{00000000-0005-0000-0000-0000707D0000}"/>
    <cellStyle name="Примечание 5 5_TOM TAT" xfId="26892" xr:uid="{00000000-0005-0000-0000-0000717D0000}"/>
    <cellStyle name="Примечание 5 6" xfId="6604" xr:uid="{00000000-0005-0000-0000-0000727D0000}"/>
    <cellStyle name="Примечание 5 6 2" xfId="29206" xr:uid="{00000000-0005-0000-0000-0000737D0000}"/>
    <cellStyle name="Примечание 5 6_TOM TAT" xfId="26894" xr:uid="{00000000-0005-0000-0000-0000747D0000}"/>
    <cellStyle name="Примечание 5 7" xfId="28023" xr:uid="{00000000-0005-0000-0000-0000757D0000}"/>
    <cellStyle name="Примечание 5_TOM TAT" xfId="26875" xr:uid="{00000000-0005-0000-0000-0000767D0000}"/>
    <cellStyle name="Примечание 6" xfId="3252" xr:uid="{00000000-0005-0000-0000-0000777D0000}"/>
    <cellStyle name="Примечание 6 2" xfId="3253" xr:uid="{00000000-0005-0000-0000-0000787D0000}"/>
    <cellStyle name="Примечание 6 2 2" xfId="3254" xr:uid="{00000000-0005-0000-0000-0000797D0000}"/>
    <cellStyle name="Примечание 6 2 2 2" xfId="3255" xr:uid="{00000000-0005-0000-0000-00007A7D0000}"/>
    <cellStyle name="Примечание 6 2 2 2 2" xfId="6605" xr:uid="{00000000-0005-0000-0000-00007B7D0000}"/>
    <cellStyle name="Примечание 6 2 2 2 2 2" xfId="29207" xr:uid="{00000000-0005-0000-0000-00007C7D0000}"/>
    <cellStyle name="Примечание 6 2 2 2 2_TOM TAT" xfId="26899" xr:uid="{00000000-0005-0000-0000-00007D7D0000}"/>
    <cellStyle name="Примечание 6 2 2 2 3" xfId="28036" xr:uid="{00000000-0005-0000-0000-00007E7D0000}"/>
    <cellStyle name="Примечание 6 2 2 2_TOM TAT" xfId="26898" xr:uid="{00000000-0005-0000-0000-00007F7D0000}"/>
    <cellStyle name="Примечание 6 2 2 3" xfId="6606" xr:uid="{00000000-0005-0000-0000-0000807D0000}"/>
    <cellStyle name="Примечание 6 2 2 3 2" xfId="29208" xr:uid="{00000000-0005-0000-0000-0000817D0000}"/>
    <cellStyle name="Примечание 6 2 2 3_TOM TAT" xfId="26900" xr:uid="{00000000-0005-0000-0000-0000827D0000}"/>
    <cellStyle name="Примечание 6 2 2 4" xfId="28035" xr:uid="{00000000-0005-0000-0000-0000837D0000}"/>
    <cellStyle name="Примечание 6 2 2_TOM TAT" xfId="26897" xr:uid="{00000000-0005-0000-0000-0000847D0000}"/>
    <cellStyle name="Примечание 6 2 3" xfId="3256" xr:uid="{00000000-0005-0000-0000-0000857D0000}"/>
    <cellStyle name="Примечание 6 2 3 2" xfId="6607" xr:uid="{00000000-0005-0000-0000-0000867D0000}"/>
    <cellStyle name="Примечание 6 2 3 2 2" xfId="29209" xr:uid="{00000000-0005-0000-0000-0000877D0000}"/>
    <cellStyle name="Примечание 6 2 3 2_TOM TAT" xfId="26902" xr:uid="{00000000-0005-0000-0000-0000887D0000}"/>
    <cellStyle name="Примечание 6 2 3 3" xfId="28037" xr:uid="{00000000-0005-0000-0000-0000897D0000}"/>
    <cellStyle name="Примечание 6 2 3_TOM TAT" xfId="26901" xr:uid="{00000000-0005-0000-0000-00008A7D0000}"/>
    <cellStyle name="Примечание 6 2 4" xfId="6608" xr:uid="{00000000-0005-0000-0000-00008B7D0000}"/>
    <cellStyle name="Примечание 6 2 4 2" xfId="29210" xr:uid="{00000000-0005-0000-0000-00008C7D0000}"/>
    <cellStyle name="Примечание 6 2 4_TOM TAT" xfId="26903" xr:uid="{00000000-0005-0000-0000-00008D7D0000}"/>
    <cellStyle name="Примечание 6 2 5" xfId="28034" xr:uid="{00000000-0005-0000-0000-00008E7D0000}"/>
    <cellStyle name="Примечание 6 2_TOM TAT" xfId="26896" xr:uid="{00000000-0005-0000-0000-00008F7D0000}"/>
    <cellStyle name="Примечание 6 3" xfId="3257" xr:uid="{00000000-0005-0000-0000-0000907D0000}"/>
    <cellStyle name="Примечание 6 3 2" xfId="3258" xr:uid="{00000000-0005-0000-0000-0000917D0000}"/>
    <cellStyle name="Примечание 6 3 2 2" xfId="6609" xr:uid="{00000000-0005-0000-0000-0000927D0000}"/>
    <cellStyle name="Примечание 6 3 2 2 2" xfId="29211" xr:uid="{00000000-0005-0000-0000-0000937D0000}"/>
    <cellStyle name="Примечание 6 3 2 2_TOM TAT" xfId="26906" xr:uid="{00000000-0005-0000-0000-0000947D0000}"/>
    <cellStyle name="Примечание 6 3 2 3" xfId="28039" xr:uid="{00000000-0005-0000-0000-0000957D0000}"/>
    <cellStyle name="Примечание 6 3 2_TOM TAT" xfId="26905" xr:uid="{00000000-0005-0000-0000-0000967D0000}"/>
    <cellStyle name="Примечание 6 3 3" xfId="6610" xr:uid="{00000000-0005-0000-0000-0000977D0000}"/>
    <cellStyle name="Примечание 6 3 3 2" xfId="29212" xr:uid="{00000000-0005-0000-0000-0000987D0000}"/>
    <cellStyle name="Примечание 6 3 3_TOM TAT" xfId="26907" xr:uid="{00000000-0005-0000-0000-0000997D0000}"/>
    <cellStyle name="Примечание 6 3 4" xfId="28038" xr:uid="{00000000-0005-0000-0000-00009A7D0000}"/>
    <cellStyle name="Примечание 6 3_TOM TAT" xfId="26904" xr:uid="{00000000-0005-0000-0000-00009B7D0000}"/>
    <cellStyle name="Примечание 6 4" xfId="3259" xr:uid="{00000000-0005-0000-0000-00009C7D0000}"/>
    <cellStyle name="Примечание 6 4 2" xfId="3260" xr:uid="{00000000-0005-0000-0000-00009D7D0000}"/>
    <cellStyle name="Примечание 6 4 2 2" xfId="6611" xr:uid="{00000000-0005-0000-0000-00009E7D0000}"/>
    <cellStyle name="Примечание 6 4 2 2 2" xfId="29213" xr:uid="{00000000-0005-0000-0000-00009F7D0000}"/>
    <cellStyle name="Примечание 6 4 2 2_TOM TAT" xfId="26910" xr:uid="{00000000-0005-0000-0000-0000A07D0000}"/>
    <cellStyle name="Примечание 6 4 2 3" xfId="28041" xr:uid="{00000000-0005-0000-0000-0000A17D0000}"/>
    <cellStyle name="Примечание 6 4 2_TOM TAT" xfId="26909" xr:uid="{00000000-0005-0000-0000-0000A27D0000}"/>
    <cellStyle name="Примечание 6 4 3" xfId="6612" xr:uid="{00000000-0005-0000-0000-0000A37D0000}"/>
    <cellStyle name="Примечание 6 4 3 2" xfId="29214" xr:uid="{00000000-0005-0000-0000-0000A47D0000}"/>
    <cellStyle name="Примечание 6 4 3_TOM TAT" xfId="26911" xr:uid="{00000000-0005-0000-0000-0000A57D0000}"/>
    <cellStyle name="Примечание 6 4 4" xfId="28040" xr:uid="{00000000-0005-0000-0000-0000A67D0000}"/>
    <cellStyle name="Примечание 6 4_TOM TAT" xfId="26908" xr:uid="{00000000-0005-0000-0000-0000A77D0000}"/>
    <cellStyle name="Примечание 6 5" xfId="3261" xr:uid="{00000000-0005-0000-0000-0000A87D0000}"/>
    <cellStyle name="Примечание 6 5 2" xfId="6613" xr:uid="{00000000-0005-0000-0000-0000A97D0000}"/>
    <cellStyle name="Примечание 6 5 2 2" xfId="29215" xr:uid="{00000000-0005-0000-0000-0000AA7D0000}"/>
    <cellStyle name="Примечание 6 5 2_TOM TAT" xfId="26913" xr:uid="{00000000-0005-0000-0000-0000AB7D0000}"/>
    <cellStyle name="Примечание 6 5 3" xfId="28042" xr:uid="{00000000-0005-0000-0000-0000AC7D0000}"/>
    <cellStyle name="Примечание 6 5_TOM TAT" xfId="26912" xr:uid="{00000000-0005-0000-0000-0000AD7D0000}"/>
    <cellStyle name="Примечание 6 6" xfId="6614" xr:uid="{00000000-0005-0000-0000-0000AE7D0000}"/>
    <cellStyle name="Примечание 6 6 2" xfId="29216" xr:uid="{00000000-0005-0000-0000-0000AF7D0000}"/>
    <cellStyle name="Примечание 6 6_TOM TAT" xfId="26914" xr:uid="{00000000-0005-0000-0000-0000B07D0000}"/>
    <cellStyle name="Примечание 6 7" xfId="28033" xr:uid="{00000000-0005-0000-0000-0000B17D0000}"/>
    <cellStyle name="Примечание 6_TOM TAT" xfId="26895" xr:uid="{00000000-0005-0000-0000-0000B27D0000}"/>
    <cellStyle name="Примечание 7" xfId="3262" xr:uid="{00000000-0005-0000-0000-0000B37D0000}"/>
    <cellStyle name="Примечание 7 2" xfId="3263" xr:uid="{00000000-0005-0000-0000-0000B47D0000}"/>
    <cellStyle name="Примечание 7 2 2" xfId="3264" xr:uid="{00000000-0005-0000-0000-0000B57D0000}"/>
    <cellStyle name="Примечание 7 2 2 2" xfId="6615" xr:uid="{00000000-0005-0000-0000-0000B67D0000}"/>
    <cellStyle name="Примечание 7 2 2 2 2" xfId="29217" xr:uid="{00000000-0005-0000-0000-0000B77D0000}"/>
    <cellStyle name="Примечание 7 2 2 2_TOM TAT" xfId="26918" xr:uid="{00000000-0005-0000-0000-0000B87D0000}"/>
    <cellStyle name="Примечание 7 2 2 3" xfId="28045" xr:uid="{00000000-0005-0000-0000-0000B97D0000}"/>
    <cellStyle name="Примечание 7 2 2_TOM TAT" xfId="26917" xr:uid="{00000000-0005-0000-0000-0000BA7D0000}"/>
    <cellStyle name="Примечание 7 2 3" xfId="6616" xr:uid="{00000000-0005-0000-0000-0000BB7D0000}"/>
    <cellStyle name="Примечание 7 2 3 2" xfId="29218" xr:uid="{00000000-0005-0000-0000-0000BC7D0000}"/>
    <cellStyle name="Примечание 7 2 3_TOM TAT" xfId="26919" xr:uid="{00000000-0005-0000-0000-0000BD7D0000}"/>
    <cellStyle name="Примечание 7 2 4" xfId="28044" xr:uid="{00000000-0005-0000-0000-0000BE7D0000}"/>
    <cellStyle name="Примечание 7 2_TOM TAT" xfId="26916" xr:uid="{00000000-0005-0000-0000-0000BF7D0000}"/>
    <cellStyle name="Примечание 7 3" xfId="3265" xr:uid="{00000000-0005-0000-0000-0000C07D0000}"/>
    <cellStyle name="Примечание 7 3 2" xfId="6617" xr:uid="{00000000-0005-0000-0000-0000C17D0000}"/>
    <cellStyle name="Примечание 7 3 2 2" xfId="29219" xr:uid="{00000000-0005-0000-0000-0000C27D0000}"/>
    <cellStyle name="Примечание 7 3 2_TOM TAT" xfId="26921" xr:uid="{00000000-0005-0000-0000-0000C37D0000}"/>
    <cellStyle name="Примечание 7 3 3" xfId="28046" xr:uid="{00000000-0005-0000-0000-0000C47D0000}"/>
    <cellStyle name="Примечание 7 3_TOM TAT" xfId="26920" xr:uid="{00000000-0005-0000-0000-0000C57D0000}"/>
    <cellStyle name="Примечание 7 4" xfId="6618" xr:uid="{00000000-0005-0000-0000-0000C67D0000}"/>
    <cellStyle name="Примечание 7 4 2" xfId="29220" xr:uid="{00000000-0005-0000-0000-0000C77D0000}"/>
    <cellStyle name="Примечание 7 4_TOM TAT" xfId="26922" xr:uid="{00000000-0005-0000-0000-0000C87D0000}"/>
    <cellStyle name="Примечание 7 5" xfId="28043" xr:uid="{00000000-0005-0000-0000-0000C97D0000}"/>
    <cellStyle name="Примечание 7_TOM TAT" xfId="26915" xr:uid="{00000000-0005-0000-0000-0000CA7D0000}"/>
    <cellStyle name="Примечание 8" xfId="3266" xr:uid="{00000000-0005-0000-0000-0000CB7D0000}"/>
    <cellStyle name="Примечание 8 2" xfId="3267" xr:uid="{00000000-0005-0000-0000-0000CC7D0000}"/>
    <cellStyle name="Примечание 8 2 2" xfId="6619" xr:uid="{00000000-0005-0000-0000-0000CD7D0000}"/>
    <cellStyle name="Примечание 8 2 2 2" xfId="29221" xr:uid="{00000000-0005-0000-0000-0000CE7D0000}"/>
    <cellStyle name="Примечание 8 2 2_TOM TAT" xfId="26925" xr:uid="{00000000-0005-0000-0000-0000CF7D0000}"/>
    <cellStyle name="Примечание 8 2 3" xfId="28048" xr:uid="{00000000-0005-0000-0000-0000D07D0000}"/>
    <cellStyle name="Примечание 8 2_TOM TAT" xfId="26924" xr:uid="{00000000-0005-0000-0000-0000D17D0000}"/>
    <cellStyle name="Примечание 8 3" xfId="6620" xr:uid="{00000000-0005-0000-0000-0000D27D0000}"/>
    <cellStyle name="Примечание 8 3 2" xfId="29222" xr:uid="{00000000-0005-0000-0000-0000D37D0000}"/>
    <cellStyle name="Примечание 8 3_TOM TAT" xfId="26926" xr:uid="{00000000-0005-0000-0000-0000D47D0000}"/>
    <cellStyle name="Примечание 8 4" xfId="28047" xr:uid="{00000000-0005-0000-0000-0000D57D0000}"/>
    <cellStyle name="Примечание 8_TOM TAT" xfId="26923" xr:uid="{00000000-0005-0000-0000-0000D67D0000}"/>
    <cellStyle name="Примечание 9" xfId="3268" xr:uid="{00000000-0005-0000-0000-0000D77D0000}"/>
    <cellStyle name="Примечание 9 2" xfId="3269" xr:uid="{00000000-0005-0000-0000-0000D87D0000}"/>
    <cellStyle name="Примечание 9 2 2" xfId="6621" xr:uid="{00000000-0005-0000-0000-0000D97D0000}"/>
    <cellStyle name="Примечание 9 2 2 2" xfId="29223" xr:uid="{00000000-0005-0000-0000-0000DA7D0000}"/>
    <cellStyle name="Примечание 9 2 2_TOM TAT" xfId="26929" xr:uid="{00000000-0005-0000-0000-0000DB7D0000}"/>
    <cellStyle name="Примечание 9 2 3" xfId="28050" xr:uid="{00000000-0005-0000-0000-0000DC7D0000}"/>
    <cellStyle name="Примечание 9 2_TOM TAT" xfId="26928" xr:uid="{00000000-0005-0000-0000-0000DD7D0000}"/>
    <cellStyle name="Примечание 9 3" xfId="6622" xr:uid="{00000000-0005-0000-0000-0000DE7D0000}"/>
    <cellStyle name="Примечание 9 3 2" xfId="29224" xr:uid="{00000000-0005-0000-0000-0000DF7D0000}"/>
    <cellStyle name="Примечание 9 3_TOM TAT" xfId="26930" xr:uid="{00000000-0005-0000-0000-0000E07D0000}"/>
    <cellStyle name="Примечание 9 4" xfId="28049" xr:uid="{00000000-0005-0000-0000-0000E17D0000}"/>
    <cellStyle name="Примечание 9_TOM TAT" xfId="26927" xr:uid="{00000000-0005-0000-0000-0000E27D0000}"/>
    <cellStyle name="Примечание_TOM TAT" xfId="26591" xr:uid="{00000000-0005-0000-0000-0000E37D0000}"/>
    <cellStyle name="Связанная ячейка" xfId="3270" xr:uid="{00000000-0005-0000-0000-0000E47D0000}"/>
    <cellStyle name="Связанная ячейка 2" xfId="14559" xr:uid="{00000000-0005-0000-0000-0000E57D0000}"/>
    <cellStyle name="Связанная ячейка_TOM TAT" xfId="26931" xr:uid="{00000000-0005-0000-0000-0000E67D0000}"/>
    <cellStyle name="Текст предупреждения" xfId="3271" xr:uid="{00000000-0005-0000-0000-0000E77D0000}"/>
    <cellStyle name="Текст предупреждения 2" xfId="14560" xr:uid="{00000000-0005-0000-0000-0000E87D0000}"/>
    <cellStyle name="Текст предупреждения_TOM TAT" xfId="26932" xr:uid="{00000000-0005-0000-0000-0000E97D0000}"/>
    <cellStyle name="Хороший" xfId="3272" xr:uid="{00000000-0005-0000-0000-0000EA7D0000}"/>
    <cellStyle name="Хороший 2" xfId="14561" xr:uid="{00000000-0005-0000-0000-0000EB7D0000}"/>
    <cellStyle name="Хороший_TOM TAT" xfId="26933" xr:uid="{00000000-0005-0000-0000-0000EC7D0000}"/>
    <cellStyle name="เครื่องหมายสกุลเงิน [0]_FTC_OFFER" xfId="1808" xr:uid="{00000000-0005-0000-0000-0000ED7D0000}"/>
    <cellStyle name="เครื่องหมายสกุลเงิน_FTC_OFFER" xfId="1809" xr:uid="{00000000-0005-0000-0000-0000EE7D0000}"/>
    <cellStyle name="ปกติ_FTC_OFFER" xfId="1810" xr:uid="{00000000-0005-0000-0000-0000EF7D0000}"/>
    <cellStyle name=" [0.00]_ Att. 1- Cover" xfId="1843" xr:uid="{00000000-0005-0000-0000-0000F07D0000}"/>
    <cellStyle name="_ Att. 1- Cover" xfId="1844" xr:uid="{00000000-0005-0000-0000-0000F17D0000}"/>
    <cellStyle name="?_ Att. 1- Cover" xfId="1845" xr:uid="{00000000-0005-0000-0000-0000F27D0000}"/>
    <cellStyle name="?_ Att. 1- Cover 2" xfId="1846" xr:uid="{00000000-0005-0000-0000-0000F37D0000}"/>
    <cellStyle name="똿뗦먛귟 [0.00]_PRODUCT DETAIL Q1" xfId="1811" xr:uid="{00000000-0005-0000-0000-0000F47D0000}"/>
    <cellStyle name="똿뗦먛귟_PRODUCT DETAIL Q1" xfId="1812" xr:uid="{00000000-0005-0000-0000-0000F57D0000}"/>
    <cellStyle name="믅됞 [0.00]_PRODUCT DETAIL Q1" xfId="1813" xr:uid="{00000000-0005-0000-0000-0000F67D0000}"/>
    <cellStyle name="믅됞_PRODUCT DETAIL Q1" xfId="1814" xr:uid="{00000000-0005-0000-0000-0000F77D0000}"/>
    <cellStyle name="백분율_95" xfId="1815" xr:uid="{00000000-0005-0000-0000-0000F87D0000}"/>
    <cellStyle name="뷭?_BOOKSHIP" xfId="1816" xr:uid="{00000000-0005-0000-0000-0000F97D0000}"/>
    <cellStyle name="콤마 [ - 유형1" xfId="1821" xr:uid="{00000000-0005-0000-0000-0000FA7D0000}"/>
    <cellStyle name="콤마 [ - 유형1 2" xfId="4826" xr:uid="{00000000-0005-0000-0000-0000FB7D0000}"/>
    <cellStyle name="콤마 [ - 유형1 2 2" xfId="14562" xr:uid="{00000000-0005-0000-0000-0000FC7D0000}"/>
    <cellStyle name="콤마 [ - 유형1 3" xfId="14563" xr:uid="{00000000-0005-0000-0000-0000FD7D0000}"/>
    <cellStyle name="콤마 [ - 유형1 4" xfId="14564" xr:uid="{00000000-0005-0000-0000-0000FE7D0000}"/>
    <cellStyle name="콤마 [ - 유형1_TOM TAT" xfId="26934" xr:uid="{00000000-0005-0000-0000-0000FF7D0000}"/>
    <cellStyle name="콤마 [ - 유형2" xfId="1822" xr:uid="{00000000-0005-0000-0000-0000007E0000}"/>
    <cellStyle name="콤마 [ - 유형2 2" xfId="4827" xr:uid="{00000000-0005-0000-0000-0000017E0000}"/>
    <cellStyle name="콤마 [ - 유형2 2 2" xfId="14565" xr:uid="{00000000-0005-0000-0000-0000027E0000}"/>
    <cellStyle name="콤마 [ - 유형2 3" xfId="14566" xr:uid="{00000000-0005-0000-0000-0000037E0000}"/>
    <cellStyle name="콤마 [ - 유형2 4" xfId="14567" xr:uid="{00000000-0005-0000-0000-0000047E0000}"/>
    <cellStyle name="콤마 [ - 유형2_TOM TAT" xfId="26935" xr:uid="{00000000-0005-0000-0000-0000057E0000}"/>
    <cellStyle name="콤마 [ - 유형3" xfId="1823" xr:uid="{00000000-0005-0000-0000-0000067E0000}"/>
    <cellStyle name="콤마 [ - 유형3 2" xfId="4828" xr:uid="{00000000-0005-0000-0000-0000077E0000}"/>
    <cellStyle name="콤마 [ - 유형3 2 2" xfId="14568" xr:uid="{00000000-0005-0000-0000-0000087E0000}"/>
    <cellStyle name="콤마 [ - 유형3 3" xfId="14569" xr:uid="{00000000-0005-0000-0000-0000097E0000}"/>
    <cellStyle name="콤마 [ - 유형3 4" xfId="14570" xr:uid="{00000000-0005-0000-0000-00000A7E0000}"/>
    <cellStyle name="콤마 [ - 유형3_TOM TAT" xfId="26936" xr:uid="{00000000-0005-0000-0000-00000B7E0000}"/>
    <cellStyle name="콤마 [ - 유형4" xfId="1824" xr:uid="{00000000-0005-0000-0000-00000C7E0000}"/>
    <cellStyle name="콤마 [ - 유형4 2" xfId="4829" xr:uid="{00000000-0005-0000-0000-00000D7E0000}"/>
    <cellStyle name="콤마 [ - 유형4 2 2" xfId="14571" xr:uid="{00000000-0005-0000-0000-00000E7E0000}"/>
    <cellStyle name="콤마 [ - 유형4 3" xfId="14572" xr:uid="{00000000-0005-0000-0000-00000F7E0000}"/>
    <cellStyle name="콤마 [ - 유형4 4" xfId="14573" xr:uid="{00000000-0005-0000-0000-0000107E0000}"/>
    <cellStyle name="콤마 [ - 유형4_TOM TAT" xfId="26937" xr:uid="{00000000-0005-0000-0000-0000117E0000}"/>
    <cellStyle name="콤마 [ - 유형5" xfId="1825" xr:uid="{00000000-0005-0000-0000-0000127E0000}"/>
    <cellStyle name="콤마 [ - 유형5 2" xfId="4830" xr:uid="{00000000-0005-0000-0000-0000137E0000}"/>
    <cellStyle name="콤마 [ - 유형5 2 2" xfId="14574" xr:uid="{00000000-0005-0000-0000-0000147E0000}"/>
    <cellStyle name="콤마 [ - 유형5 3" xfId="14575" xr:uid="{00000000-0005-0000-0000-0000157E0000}"/>
    <cellStyle name="콤마 [ - 유형5 4" xfId="14576" xr:uid="{00000000-0005-0000-0000-0000167E0000}"/>
    <cellStyle name="콤마 [ - 유형5_TOM TAT" xfId="26938" xr:uid="{00000000-0005-0000-0000-0000177E0000}"/>
    <cellStyle name="콤마 [ - 유형6" xfId="1826" xr:uid="{00000000-0005-0000-0000-0000187E0000}"/>
    <cellStyle name="콤마 [ - 유형6 2" xfId="4831" xr:uid="{00000000-0005-0000-0000-0000197E0000}"/>
    <cellStyle name="콤마 [ - 유형6 2 2" xfId="14577" xr:uid="{00000000-0005-0000-0000-00001A7E0000}"/>
    <cellStyle name="콤마 [ - 유형6 3" xfId="14578" xr:uid="{00000000-0005-0000-0000-00001B7E0000}"/>
    <cellStyle name="콤마 [ - 유형6 4" xfId="14579" xr:uid="{00000000-0005-0000-0000-00001C7E0000}"/>
    <cellStyle name="콤마 [ - 유형6_TOM TAT" xfId="26939" xr:uid="{00000000-0005-0000-0000-00001D7E0000}"/>
    <cellStyle name="콤마 [ - 유형7" xfId="1827" xr:uid="{00000000-0005-0000-0000-00001E7E0000}"/>
    <cellStyle name="콤마 [ - 유형7 2" xfId="4832" xr:uid="{00000000-0005-0000-0000-00001F7E0000}"/>
    <cellStyle name="콤마 [ - 유형7 2 2" xfId="14580" xr:uid="{00000000-0005-0000-0000-0000207E0000}"/>
    <cellStyle name="콤마 [ - 유형7 3" xfId="14581" xr:uid="{00000000-0005-0000-0000-0000217E0000}"/>
    <cellStyle name="콤마 [ - 유형7 4" xfId="14582" xr:uid="{00000000-0005-0000-0000-0000227E0000}"/>
    <cellStyle name="콤마 [ - 유형7_TOM TAT" xfId="26940" xr:uid="{00000000-0005-0000-0000-0000237E0000}"/>
    <cellStyle name="콤마 [ - 유형8" xfId="1828" xr:uid="{00000000-0005-0000-0000-0000247E0000}"/>
    <cellStyle name="콤마 [ - 유형8 2" xfId="4833" xr:uid="{00000000-0005-0000-0000-0000257E0000}"/>
    <cellStyle name="콤마 [ - 유형8 2 2" xfId="14583" xr:uid="{00000000-0005-0000-0000-0000267E0000}"/>
    <cellStyle name="콤마 [ - 유형8 3" xfId="14584" xr:uid="{00000000-0005-0000-0000-0000277E0000}"/>
    <cellStyle name="콤마 [ - 유형8 4" xfId="14585" xr:uid="{00000000-0005-0000-0000-0000287E0000}"/>
    <cellStyle name="콤마 [ - 유형8_TOM TAT" xfId="26941" xr:uid="{00000000-0005-0000-0000-0000297E0000}"/>
    <cellStyle name="콤마 [0]_ 비목별 월별기술 " xfId="1829" xr:uid="{00000000-0005-0000-0000-00002A7E0000}"/>
    <cellStyle name="콤마_ 비목별 월별기술 " xfId="1830" xr:uid="{00000000-0005-0000-0000-00002B7E0000}"/>
    <cellStyle name="통화 [0]_1" xfId="1831" xr:uid="{00000000-0005-0000-0000-00002C7E0000}"/>
    <cellStyle name="통화_1" xfId="1832" xr:uid="{00000000-0005-0000-0000-00002D7E0000}"/>
    <cellStyle name="표준_ 97년 경영분석(안)" xfId="1833" xr:uid="{00000000-0005-0000-0000-00002E7E0000}"/>
    <cellStyle name="一般_00Q3902REV.1" xfId="1817" xr:uid="{00000000-0005-0000-0000-00002F7E0000}"/>
    <cellStyle name="千位分隔_Zhuzhou Debier yr2001 BEp" xfId="1818" xr:uid="{00000000-0005-0000-0000-0000307E0000}"/>
    <cellStyle name="千分位[0]_00Q3902REV.1" xfId="1819" xr:uid="{00000000-0005-0000-0000-0000317E0000}"/>
    <cellStyle name="千分位_00Q3902REV.1" xfId="1820" xr:uid="{00000000-0005-0000-0000-0000327E0000}"/>
    <cellStyle name="常规_Zhuzhou Debier yr2001 BEp" xfId="1834" xr:uid="{00000000-0005-0000-0000-0000337E0000}"/>
    <cellStyle name="桁区切り [0.00]_AUG98" xfId="1835" xr:uid="{00000000-0005-0000-0000-0000347E0000}"/>
    <cellStyle name="桁区切り_eve" xfId="1836" xr:uid="{00000000-0005-0000-0000-0000357E0000}"/>
    <cellStyle name="標準_eve" xfId="1837" xr:uid="{00000000-0005-0000-0000-0000367E0000}"/>
    <cellStyle name="貨幣 [0]_00Q3902REV.1" xfId="1838" xr:uid="{00000000-0005-0000-0000-0000377E0000}"/>
    <cellStyle name="貨幣[0]_BRE" xfId="1839" xr:uid="{00000000-0005-0000-0000-0000387E0000}"/>
    <cellStyle name="貨幣_00Q3902REV.1" xfId="1840" xr:uid="{00000000-0005-0000-0000-0000397E0000}"/>
    <cellStyle name="通貨 [0.00]_eve" xfId="1841" xr:uid="{00000000-0005-0000-0000-00003A7E0000}"/>
    <cellStyle name="通貨_List-dwgis" xfId="1842" xr:uid="{00000000-0005-0000-0000-00003B7E0000}"/>
  </cellStyles>
  <dxfs count="1287">
    <dxf>
      <font>
        <color rgb="FF9C0006"/>
      </font>
      <fill>
        <patternFill>
          <bgColor rgb="FFFFC7CE"/>
        </patternFill>
      </fill>
    </dxf>
    <dxf>
      <fill>
        <patternFill>
          <bgColor rgb="FF92D050"/>
        </patternFill>
      </fill>
    </dxf>
    <dxf>
      <fill>
        <patternFill>
          <bgColor rgb="FF92D050"/>
        </patternFill>
      </fill>
    </dxf>
    <dxf>
      <fill>
        <patternFill>
          <bgColor rgb="FFFFC000"/>
        </patternFill>
      </fill>
    </dxf>
    <dxf>
      <fill>
        <patternFill>
          <bgColor rgb="FF92D050"/>
        </patternFill>
      </fill>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lor theme="0"/>
      </font>
      <fill>
        <patternFill>
          <bgColor rgb="FF00B0F0"/>
        </patternFill>
      </fill>
    </dxf>
    <dxf>
      <font>
        <b val="0"/>
        <condense val="0"/>
        <extend val="0"/>
        <color indexed="9"/>
      </font>
    </dxf>
    <dxf>
      <font>
        <color theme="0"/>
      </font>
      <fill>
        <patternFill>
          <bgColor rgb="FF00B0F0"/>
        </patternFill>
      </fill>
    </dxf>
    <dxf>
      <font>
        <b val="0"/>
        <condense val="0"/>
        <extend val="0"/>
        <color indexed="9"/>
      </font>
    </dxf>
    <dxf>
      <font>
        <color theme="0"/>
      </font>
      <fill>
        <patternFill>
          <bgColor rgb="FF00B0F0"/>
        </patternFill>
      </fill>
    </dxf>
    <dxf>
      <font>
        <b val="0"/>
        <condense val="0"/>
        <extend val="0"/>
        <color indexed="9"/>
      </font>
    </dxf>
    <dxf>
      <font>
        <color theme="0"/>
      </font>
      <fill>
        <patternFill>
          <bgColor rgb="FF00B0F0"/>
        </patternFill>
      </fill>
    </dxf>
    <dxf>
      <font>
        <b val="0"/>
        <condense val="0"/>
        <extend val="0"/>
        <color indexed="9"/>
      </font>
    </dxf>
    <dxf>
      <font>
        <color theme="0"/>
      </font>
      <fill>
        <patternFill>
          <bgColor rgb="FF00B0F0"/>
        </patternFill>
      </fill>
    </dxf>
    <dxf>
      <font>
        <b val="0"/>
        <condense val="0"/>
        <extend val="0"/>
        <color indexed="9"/>
      </font>
    </dxf>
    <dxf>
      <font>
        <color theme="0"/>
      </font>
      <fill>
        <patternFill>
          <bgColor rgb="FF00B0F0"/>
        </patternFill>
      </fill>
    </dxf>
    <dxf>
      <font>
        <b val="0"/>
        <condense val="0"/>
        <extend val="0"/>
        <color indexed="9"/>
      </font>
    </dxf>
    <dxf>
      <font>
        <color theme="0"/>
      </font>
      <fill>
        <patternFill>
          <bgColor rgb="FF00B0F0"/>
        </patternFill>
      </fill>
    </dxf>
    <dxf>
      <font>
        <b val="0"/>
        <condense val="0"/>
        <extend val="0"/>
        <color indexed="9"/>
      </font>
    </dxf>
    <dxf>
      <font>
        <color theme="0"/>
      </font>
      <fill>
        <patternFill>
          <bgColor rgb="FF00B0F0"/>
        </patternFill>
      </fill>
    </dxf>
    <dxf>
      <font>
        <b val="0"/>
        <condense val="0"/>
        <extend val="0"/>
        <color indexed="9"/>
      </font>
    </dxf>
    <dxf>
      <font>
        <color theme="0"/>
      </font>
      <fill>
        <patternFill>
          <bgColor rgb="FF00B0F0"/>
        </patternFill>
      </fill>
    </dxf>
    <dxf>
      <font>
        <b val="0"/>
        <condense val="0"/>
        <extend val="0"/>
        <color indexed="9"/>
      </font>
    </dxf>
    <dxf>
      <font>
        <color theme="0"/>
      </font>
      <fill>
        <patternFill>
          <bgColor rgb="FF00B0F0"/>
        </patternFill>
      </fill>
    </dxf>
    <dxf>
      <font>
        <b val="0"/>
        <condense val="0"/>
        <extend val="0"/>
        <color indexed="9"/>
      </font>
    </dxf>
    <dxf>
      <font>
        <color theme="0"/>
      </font>
      <fill>
        <patternFill>
          <bgColor rgb="FF00B0F0"/>
        </patternFill>
      </fill>
    </dxf>
    <dxf>
      <font>
        <b val="0"/>
        <condense val="0"/>
        <extend val="0"/>
        <color indexed="9"/>
      </font>
    </dxf>
    <dxf>
      <font>
        <color theme="0"/>
      </font>
      <fill>
        <patternFill>
          <bgColor rgb="FF00B0F0"/>
        </patternFill>
      </fill>
    </dxf>
    <dxf>
      <font>
        <b val="0"/>
        <condense val="0"/>
        <extend val="0"/>
        <color indexed="9"/>
      </font>
    </dxf>
    <dxf>
      <font>
        <color theme="0"/>
      </font>
      <fill>
        <patternFill>
          <bgColor rgb="FF00B0F0"/>
        </patternFill>
      </fill>
    </dxf>
    <dxf>
      <font>
        <b val="0"/>
        <condense val="0"/>
        <extend val="0"/>
        <color indexed="9"/>
      </font>
    </dxf>
    <dxf>
      <font>
        <color theme="0"/>
      </font>
      <fill>
        <patternFill>
          <bgColor rgb="FF00B0F0"/>
        </patternFill>
      </fill>
    </dxf>
    <dxf>
      <font>
        <b val="0"/>
        <condense val="0"/>
        <extend val="0"/>
        <color indexed="9"/>
      </font>
    </dxf>
    <dxf>
      <font>
        <color theme="0"/>
      </font>
      <fill>
        <patternFill>
          <bgColor rgb="FF00B0F0"/>
        </patternFill>
      </fill>
    </dxf>
    <dxf>
      <font>
        <b val="0"/>
        <condense val="0"/>
        <extend val="0"/>
        <color indexed="9"/>
      </font>
    </dxf>
    <dxf>
      <font>
        <color theme="0"/>
      </font>
      <fill>
        <patternFill>
          <bgColor rgb="FF00B0F0"/>
        </patternFill>
      </fill>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condense val="0"/>
        <extend val="0"/>
        <color indexed="9"/>
      </font>
    </dxf>
    <dxf>
      <font>
        <b val="0"/>
        <condense val="0"/>
        <extend val="0"/>
        <color indexed="9"/>
      </font>
    </dxf>
    <dxf>
      <font>
        <condense val="0"/>
        <extend val="0"/>
        <color indexed="9"/>
      </font>
    </dxf>
    <dxf>
      <font>
        <b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b val="0"/>
        <i val="0"/>
        <condense val="0"/>
        <extend val="0"/>
        <color indexed="9"/>
      </font>
    </dxf>
    <dxf>
      <font>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i val="0"/>
        <condense val="0"/>
        <extend val="0"/>
        <color indexed="9"/>
      </font>
    </dxf>
    <dxf>
      <font>
        <b val="0"/>
        <condense val="0"/>
        <extend val="0"/>
        <color indexed="9"/>
      </font>
    </dxf>
    <dxf>
      <font>
        <b val="0"/>
        <i val="0"/>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i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i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i val="0"/>
        <condense val="0"/>
        <extend val="0"/>
        <color indexed="9"/>
      </font>
    </dxf>
    <dxf>
      <font>
        <b val="0"/>
        <condense val="0"/>
        <extend val="0"/>
        <color indexed="9"/>
      </font>
    </dxf>
    <dxf>
      <font>
        <color rgb="FF9C0006"/>
      </font>
      <fill>
        <patternFill>
          <bgColor rgb="FFFFC7CE"/>
        </patternFill>
      </fill>
    </dxf>
    <dxf>
      <font>
        <b val="0"/>
        <condense val="0"/>
        <extend val="0"/>
        <color indexed="9"/>
      </font>
    </dxf>
    <dxf>
      <font>
        <condense val="0"/>
        <extend val="0"/>
        <color indexed="9"/>
      </font>
    </dxf>
    <dxf>
      <font>
        <b val="0"/>
        <i val="0"/>
        <condense val="0"/>
        <extend val="0"/>
        <color indexed="9"/>
      </font>
    </dxf>
    <dxf>
      <font>
        <b val="0"/>
        <i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i val="0"/>
        <condense val="0"/>
        <extend val="0"/>
        <color indexed="9"/>
      </font>
    </dxf>
    <dxf>
      <font>
        <b val="0"/>
        <condense val="0"/>
        <extend val="0"/>
        <color indexed="9"/>
      </font>
    </dxf>
    <dxf>
      <font>
        <b val="0"/>
        <i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i val="0"/>
        <condense val="0"/>
        <extend val="0"/>
        <color indexed="9"/>
      </font>
    </dxf>
    <dxf>
      <font>
        <b val="0"/>
        <condense val="0"/>
        <extend val="0"/>
        <color indexed="9"/>
      </font>
    </dxf>
    <dxf>
      <font>
        <b val="0"/>
        <i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condense val="0"/>
        <extend val="0"/>
        <color indexed="9"/>
      </font>
    </dxf>
    <dxf>
      <font>
        <b val="0"/>
        <i val="0"/>
        <condense val="0"/>
        <extend val="0"/>
        <color indexed="9"/>
      </font>
    </dxf>
    <dxf>
      <font>
        <b val="0"/>
        <i val="0"/>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i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i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b val="0"/>
        <i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i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i val="0"/>
        <condense val="0"/>
        <extend val="0"/>
        <color indexed="9"/>
      </font>
    </dxf>
    <dxf>
      <font>
        <b val="0"/>
        <condense val="0"/>
        <extend val="0"/>
        <color indexed="9"/>
      </font>
    </dxf>
    <dxf>
      <font>
        <b val="0"/>
        <i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condense val="0"/>
        <extend val="0"/>
        <color indexed="9"/>
      </font>
    </dxf>
    <dxf>
      <font>
        <condense val="0"/>
        <extend val="0"/>
        <color indexed="9"/>
      </font>
    </dxf>
    <dxf>
      <font>
        <condense val="0"/>
        <extend val="0"/>
        <color indexed="9"/>
      </font>
    </dxf>
    <dxf>
      <font>
        <b val="0"/>
        <i val="0"/>
        <condense val="0"/>
        <extend val="0"/>
        <color indexed="9"/>
      </font>
    </dxf>
    <dxf>
      <font>
        <b val="0"/>
        <condense val="0"/>
        <extend val="0"/>
        <color indexed="9"/>
      </font>
    </dxf>
    <dxf>
      <font>
        <condense val="0"/>
        <extend val="0"/>
        <color indexed="9"/>
      </font>
    </dxf>
    <dxf>
      <font>
        <b val="0"/>
        <condense val="0"/>
        <extend val="0"/>
        <color indexed="9"/>
      </font>
    </dxf>
    <dxf>
      <font>
        <b val="0"/>
        <i val="0"/>
        <condense val="0"/>
        <extend val="0"/>
        <color indexed="9"/>
      </font>
    </dxf>
    <dxf>
      <font>
        <b val="0"/>
        <condense val="0"/>
        <extend val="0"/>
        <color indexed="9"/>
      </font>
    </dxf>
    <dxf>
      <font>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lor rgb="FF9C0006"/>
      </font>
      <fill>
        <patternFill>
          <bgColor rgb="FFFFC7CE"/>
        </patternFill>
      </fill>
    </dxf>
    <dxf>
      <font>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i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condense val="0"/>
        <extend val="0"/>
        <color indexed="9"/>
      </font>
    </dxf>
    <dxf>
      <font>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lor rgb="FF9C0006"/>
      </font>
      <fill>
        <patternFill>
          <bgColor rgb="FFFFC7CE"/>
        </patternFill>
      </fill>
    </dxf>
    <dxf>
      <font>
        <b val="0"/>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b val="0"/>
        <i val="0"/>
        <condense val="0"/>
        <extend val="0"/>
        <color indexed="9"/>
      </font>
    </dxf>
    <dxf>
      <font>
        <b val="0"/>
        <condense val="0"/>
        <extend val="0"/>
        <color indexed="9"/>
      </font>
    </dxf>
    <dxf>
      <font>
        <condense val="0"/>
        <extend val="0"/>
        <color indexed="9"/>
      </font>
    </dxf>
    <dxf>
      <font>
        <b val="0"/>
        <condense val="0"/>
        <extend val="0"/>
        <color indexed="9"/>
      </font>
    </dxf>
    <dxf>
      <font>
        <b val="0"/>
        <i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i val="0"/>
        <condense val="0"/>
        <extend val="0"/>
        <color indexed="9"/>
      </font>
    </dxf>
    <dxf>
      <font>
        <b val="0"/>
        <condense val="0"/>
        <extend val="0"/>
        <color indexed="9"/>
      </font>
    </dxf>
    <dxf>
      <font>
        <condense val="0"/>
        <extend val="0"/>
        <color indexed="9"/>
      </font>
    </dxf>
    <dxf>
      <font>
        <b val="0"/>
        <i val="0"/>
        <condense val="0"/>
        <extend val="0"/>
        <color indexed="9"/>
      </font>
    </dxf>
    <dxf>
      <font>
        <b val="0"/>
        <condense val="0"/>
        <extend val="0"/>
        <color indexed="9"/>
      </font>
    </dxf>
    <dxf>
      <font>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i val="0"/>
        <condense val="0"/>
        <extend val="0"/>
        <color indexed="9"/>
      </font>
    </dxf>
    <dxf>
      <font>
        <b val="0"/>
        <i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i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i val="0"/>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i val="0"/>
        <condense val="0"/>
        <extend val="0"/>
        <color indexed="9"/>
      </font>
    </dxf>
    <dxf>
      <font>
        <b val="0"/>
        <condense val="0"/>
        <extend val="0"/>
        <color indexed="9"/>
      </font>
    </dxf>
    <dxf>
      <font>
        <b val="0"/>
        <i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i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b val="0"/>
        <condense val="0"/>
        <extend val="0"/>
        <color indexed="9"/>
      </font>
    </dxf>
    <dxf>
      <font>
        <condense val="0"/>
        <extend val="0"/>
        <color indexed="9"/>
      </font>
    </dxf>
    <dxf>
      <font>
        <condense val="0"/>
        <extend val="0"/>
        <color indexed="9"/>
      </font>
    </dxf>
    <dxf>
      <font>
        <condense val="0"/>
        <extend val="0"/>
        <color indexed="9"/>
      </font>
    </dxf>
    <dxf>
      <font>
        <b val="0"/>
        <condense val="0"/>
        <extend val="0"/>
        <color indexed="9"/>
      </font>
    </dxf>
    <dxf>
      <font>
        <condense val="0"/>
        <extend val="0"/>
        <color indexed="9"/>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ont>
        <b val="0"/>
        <condense val="0"/>
        <extend val="0"/>
        <color indexed="9"/>
      </font>
    </dxf>
    <dxf>
      <fill>
        <patternFill>
          <bgColor rgb="FFFF0000"/>
        </patternFill>
      </fill>
    </dxf>
    <dxf>
      <font>
        <color theme="0"/>
      </font>
      <fill>
        <patternFill>
          <bgColor rgb="FFFF0000"/>
        </patternFill>
      </fill>
    </dxf>
    <dxf>
      <fill>
        <patternFill>
          <bgColor rgb="FFFF0000"/>
        </patternFill>
      </fill>
    </dxf>
    <dxf>
      <font>
        <color rgb="FF00B0F0"/>
      </font>
    </dxf>
    <dxf>
      <font>
        <color rgb="FF00B0F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FFA0A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EFEF"/>
      <rgbColor rgb="003FFFFF"/>
      <rgbColor rgb="00800080"/>
      <rgbColor rgb="00800000"/>
      <rgbColor rgb="00008080"/>
      <rgbColor rgb="000000FF"/>
      <rgbColor rgb="0000CCFF"/>
      <rgbColor rgb="00DFFFFF"/>
      <rgbColor rgb="00CCFFCC"/>
      <rgbColor rgb="00FFFF99"/>
      <rgbColor rgb="0099CCFF"/>
      <rgbColor rgb="00FF99CC"/>
      <rgbColor rgb="00CC99FF"/>
      <rgbColor rgb="00FFCC99"/>
      <rgbColor rgb="003366FF"/>
      <rgbColor rgb="0033CCCC"/>
      <rgbColor rgb="007FFF7F"/>
      <rgbColor rgb="00FFCC00"/>
      <rgbColor rgb="00FF9900"/>
      <rgbColor rgb="00FF6600"/>
      <rgbColor rgb="00B1B1B1"/>
      <rgbColor rgb="00969696"/>
      <rgbColor rgb="00003366"/>
      <rgbColor rgb="00339966"/>
      <rgbColor rgb="00003300"/>
      <rgbColor rgb="00333300"/>
      <rgbColor rgb="00993300"/>
      <rgbColor rgb="00D0D0D0"/>
      <rgbColor rgb="00333399"/>
      <rgbColor rgb="00333333"/>
    </indexedColors>
    <mruColors>
      <color rgb="FF0000FF"/>
      <color rgb="FF006600"/>
      <color rgb="FFFFFFCC"/>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139135</xdr:colOff>
          <xdr:row>114</xdr:row>
          <xdr:rowOff>127264</xdr:rowOff>
        </xdr:from>
        <xdr:to>
          <xdr:col>9</xdr:col>
          <xdr:colOff>1136276</xdr:colOff>
          <xdr:row>130</xdr:row>
          <xdr:rowOff>54429</xdr:rowOff>
        </xdr:to>
        <xdr:pic>
          <xdr:nvPicPr>
            <xdr:cNvPr id="4" name="Picture 3">
              <a:extLst>
                <a:ext uri="{FF2B5EF4-FFF2-40B4-BE49-F238E27FC236}">
                  <a16:creationId xmlns:a16="http://schemas.microsoft.com/office/drawing/2014/main" id="{86459C17-2AB9-69AD-A79A-02355DFD3727}"/>
                </a:ext>
              </a:extLst>
            </xdr:cNvPr>
            <xdr:cNvPicPr>
              <a:picLocks noChangeAspect="1" noChangeArrowheads="1"/>
              <a:extLst>
                <a:ext uri="{84589F7E-364E-4C9E-8A38-B11213B215E9}">
                  <a14:cameraTool cellRange="'8.ĐO NHAY'!$B$93:$L$106" spid="_x0000_s172590"/>
                </a:ext>
              </a:extLst>
            </xdr:cNvPicPr>
          </xdr:nvPicPr>
          <xdr:blipFill>
            <a:blip xmlns:r="http://schemas.openxmlformats.org/officeDocument/2006/relationships" r:embed="rId1"/>
            <a:srcRect/>
            <a:stretch>
              <a:fillRect/>
            </a:stretch>
          </xdr:blipFill>
          <xdr:spPr bwMode="auto">
            <a:xfrm>
              <a:off x="139135" y="25817550"/>
              <a:ext cx="11447427" cy="302959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138704</xdr:colOff>
          <xdr:row>130</xdr:row>
          <xdr:rowOff>91418</xdr:rowOff>
        </xdr:from>
        <xdr:to>
          <xdr:col>9</xdr:col>
          <xdr:colOff>1136706</xdr:colOff>
          <xdr:row>146</xdr:row>
          <xdr:rowOff>88409</xdr:rowOff>
        </xdr:to>
        <xdr:pic>
          <xdr:nvPicPr>
            <xdr:cNvPr id="5" name="Picture 4">
              <a:extLst>
                <a:ext uri="{FF2B5EF4-FFF2-40B4-BE49-F238E27FC236}">
                  <a16:creationId xmlns:a16="http://schemas.microsoft.com/office/drawing/2014/main" id="{9F9AAF91-FFEA-7BCA-A123-EACF7317B614}"/>
                </a:ext>
              </a:extLst>
            </xdr:cNvPr>
            <xdr:cNvPicPr>
              <a:picLocks noChangeAspect="1" noChangeArrowheads="1"/>
              <a:extLst>
                <a:ext uri="{84589F7E-364E-4C9E-8A38-B11213B215E9}">
                  <a14:cameraTool cellRange="'8.ĐO NHAY'!$B$63:$L$76" spid="_x0000_s172591"/>
                </a:ext>
              </a:extLst>
            </xdr:cNvPicPr>
          </xdr:nvPicPr>
          <xdr:blipFill>
            <a:blip xmlns:r="http://schemas.openxmlformats.org/officeDocument/2006/relationships" r:embed="rId2"/>
            <a:srcRect/>
            <a:stretch>
              <a:fillRect/>
            </a:stretch>
          </xdr:blipFill>
          <xdr:spPr bwMode="auto">
            <a:xfrm>
              <a:off x="138704" y="28884132"/>
              <a:ext cx="11448288" cy="30449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12</xdr:col>
      <xdr:colOff>321804</xdr:colOff>
      <xdr:row>70</xdr:row>
      <xdr:rowOff>13642</xdr:rowOff>
    </xdr:from>
    <xdr:to>
      <xdr:col>17</xdr:col>
      <xdr:colOff>728585</xdr:colOff>
      <xdr:row>87</xdr:row>
      <xdr:rowOff>97544</xdr:rowOff>
    </xdr:to>
    <xdr:pic>
      <xdr:nvPicPr>
        <xdr:cNvPr id="2" name="Picture 1">
          <a:extLst>
            <a:ext uri="{FF2B5EF4-FFF2-40B4-BE49-F238E27FC236}">
              <a16:creationId xmlns:a16="http://schemas.microsoft.com/office/drawing/2014/main" id="{7EDBBEB8-2CFD-2109-1356-6D11F52BDDE1}"/>
            </a:ext>
          </a:extLst>
        </xdr:cNvPr>
        <xdr:cNvPicPr>
          <a:picLocks noChangeAspect="1"/>
        </xdr:cNvPicPr>
      </xdr:nvPicPr>
      <xdr:blipFill>
        <a:blip xmlns:r="http://schemas.openxmlformats.org/officeDocument/2006/relationships" r:embed="rId1"/>
        <a:stretch>
          <a:fillRect/>
        </a:stretch>
      </xdr:blipFill>
      <xdr:spPr>
        <a:xfrm>
          <a:off x="19616733" y="20846178"/>
          <a:ext cx="6365909" cy="4003561"/>
        </a:xfrm>
        <a:prstGeom prst="rect">
          <a:avLst/>
        </a:prstGeom>
        <a:ln>
          <a:solidFill>
            <a:sysClr val="windowText" lastClr="000000"/>
          </a:solidFill>
        </a:ln>
      </xdr:spPr>
    </xdr:pic>
    <xdr:clientData/>
  </xdr:twoCellAnchor>
</xdr:wsDr>
</file>

<file path=xl/persons/person.xml><?xml version="1.0" encoding="utf-8"?>
<personList xmlns="http://schemas.microsoft.com/office/spreadsheetml/2018/threadedcomments" xmlns:x="http://schemas.openxmlformats.org/spreadsheetml/2006/main">
  <person displayName="Khoa L - INVT" id="{786B09E2-ABA9-486E-9DC2-90CF19026E36}" userId="S::khoa.le@nkpros.vn::393da350-ddea-4672-bf01-4726be27960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37" dT="2026-04-08T04:14:17.91" personId="{786B09E2-ABA9-486E-9DC2-90CF19026E36}" id="{C8696F0D-DC92-400E-8BE9-759196065C0E}">
    <text>Tham chieu theo sheet ‘3.Du toan’ do tien do duoc phan chi tiet theo tung hang muc, de lam tong tien do can lay chi phi tung nam chia cho tong chi phi</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5">
    <tabColor rgb="FFFF0000"/>
    <pageSetUpPr fitToPage="1"/>
  </sheetPr>
  <dimension ref="B1:T128"/>
  <sheetViews>
    <sheetView showGridLines="0" tabSelected="1" topLeftCell="A71" zoomScale="70" zoomScaleNormal="70" zoomScaleSheetLayoutView="70" workbookViewId="0">
      <selection activeCell="I93" sqref="I93"/>
    </sheetView>
  </sheetViews>
  <sheetFormatPr defaultColWidth="9.140625" defaultRowHeight="15" outlineLevelRow="1"/>
  <cols>
    <col min="1" max="1" width="4.28515625" style="1648" customWidth="1"/>
    <col min="2" max="2" width="3.7109375" style="1753" customWidth="1"/>
    <col min="3" max="3" width="7" style="1715" customWidth="1"/>
    <col min="4" max="4" width="66.28515625" style="1715" customWidth="1"/>
    <col min="5" max="5" width="14.85546875" style="1715" customWidth="1"/>
    <col min="6" max="6" width="12.7109375" style="1715" customWidth="1"/>
    <col min="7" max="7" width="16" style="1715" customWidth="1"/>
    <col min="8" max="8" width="14" style="1732" customWidth="1"/>
    <col min="9" max="9" width="17.85546875" style="1715" customWidth="1"/>
    <col min="10" max="10" width="18" style="1715" customWidth="1"/>
    <col min="11" max="11" width="18.28515625" style="1715" customWidth="1"/>
    <col min="12" max="12" width="21.28515625" style="1715" customWidth="1"/>
    <col min="13" max="13" width="16.28515625" style="1715" customWidth="1"/>
    <col min="14" max="14" width="15.85546875" style="1715" customWidth="1"/>
    <col min="15" max="15" width="16.42578125" style="1715" bestFit="1" customWidth="1"/>
    <col min="16" max="19" width="16.42578125" style="1715" customWidth="1"/>
    <col min="20" max="20" width="16.42578125" style="1648" customWidth="1"/>
    <col min="21" max="16384" width="9.140625" style="1648"/>
  </cols>
  <sheetData>
    <row r="1" spans="2:19" ht="15.75">
      <c r="B1" s="2287"/>
      <c r="C1" s="2287"/>
      <c r="D1" s="2287"/>
      <c r="E1" s="2287"/>
      <c r="F1" s="2287"/>
      <c r="G1" s="2287"/>
      <c r="H1" s="2287"/>
      <c r="I1" s="2287"/>
      <c r="J1" s="2287"/>
    </row>
    <row r="2" spans="2:19" s="1649" customFormat="1" ht="40.15" customHeight="1">
      <c r="B2" s="1818" t="inlineStr">
        <is>
          <t>Dự án An Bình</t>
        </is>
      </c>
      <c r="C2" s="1716"/>
      <c r="D2" s="1716"/>
      <c r="E2" s="1716"/>
      <c r="F2" s="1716"/>
      <c r="G2" s="1716"/>
      <c r="H2" s="1716"/>
      <c r="I2" s="1716"/>
      <c r="J2" s="1716"/>
      <c r="K2" s="1717"/>
      <c r="L2" s="1717"/>
      <c r="M2" s="1717"/>
      <c r="N2" s="1717"/>
      <c r="O2" s="1717"/>
      <c r="P2" s="1717"/>
      <c r="Q2" s="1717"/>
      <c r="R2" s="1717"/>
      <c r="S2" s="1717"/>
    </row>
    <row r="3" spans="2:19" s="1651" customFormat="1" ht="19.899999999999999" customHeight="1" thickBot="1">
      <c r="B3" s="1650" t="s">
        <v>744</v>
      </c>
      <c r="C3" s="1718"/>
      <c r="D3" s="1718"/>
      <c r="E3" s="1718"/>
      <c r="F3" s="1718"/>
      <c r="G3" s="1718"/>
      <c r="H3" s="1718"/>
      <c r="I3" s="1718"/>
      <c r="J3" s="1718"/>
      <c r="K3" s="1719"/>
      <c r="L3" s="1719"/>
      <c r="M3" s="1719"/>
      <c r="N3" s="1719"/>
      <c r="O3" s="1719"/>
      <c r="P3" s="1719"/>
      <c r="Q3" s="1719"/>
      <c r="R3" s="1719"/>
      <c r="S3" s="1719"/>
    </row>
    <row r="4" spans="2:19" ht="19.899999999999999" customHeight="1" thickTop="1">
      <c r="B4" s="197" t="s">
        <v>458</v>
      </c>
      <c r="C4" s="1714"/>
      <c r="D4" s="1710" t="inlineStr">
        <is>
          <t>[Cập nhật vị trí dự án An Bình]</t>
        </is>
      </c>
      <c r="E4" s="1714"/>
      <c r="F4" s="1714"/>
      <c r="G4" s="1714"/>
      <c r="H4" s="1714"/>
      <c r="I4" s="1714"/>
      <c r="J4" s="1714"/>
    </row>
    <row r="5" spans="2:19" ht="19.899999999999999" hidden="1" customHeight="1">
      <c r="B5" s="1749" t="s">
        <v>459</v>
      </c>
      <c r="C5" s="1714"/>
      <c r="D5" s="1713" t="s">
        <v>460</v>
      </c>
      <c r="E5" s="1714"/>
      <c r="F5" s="1714"/>
      <c r="G5" s="1714"/>
      <c r="H5" s="1714"/>
      <c r="I5" s="1714"/>
      <c r="J5" s="1714"/>
    </row>
    <row r="6" spans="2:19" ht="15.75">
      <c r="B6" s="197" t="s">
        <v>715</v>
      </c>
      <c r="C6" s="1714"/>
      <c r="D6" s="1713"/>
      <c r="E6" s="1714"/>
      <c r="F6" s="1714"/>
      <c r="G6" s="1714"/>
      <c r="H6" s="1714"/>
      <c r="I6" s="1714"/>
      <c r="J6" s="1714"/>
    </row>
    <row r="7" spans="2:19" s="1652" customFormat="1" ht="21" thickBot="1">
      <c r="B7" s="1751" t="s">
        <v>176</v>
      </c>
      <c r="C7" s="1711" t="s">
        <v>464</v>
      </c>
      <c r="D7" s="1711"/>
      <c r="E7" s="1711"/>
      <c r="F7" s="1711"/>
      <c r="G7" s="1711"/>
      <c r="H7" s="1711"/>
      <c r="I7" s="1711"/>
      <c r="J7" s="1711"/>
      <c r="K7" s="1712"/>
      <c r="L7" s="1712"/>
      <c r="M7" s="1712"/>
      <c r="N7" s="1710"/>
      <c r="O7" s="1710"/>
      <c r="P7" s="1710"/>
      <c r="Q7" s="1710"/>
      <c r="R7" s="1710"/>
      <c r="S7" s="1710"/>
    </row>
    <row r="8" spans="2:19" s="1653" customFormat="1" ht="7.15" customHeight="1" thickTop="1">
      <c r="B8" s="1750"/>
      <c r="C8" s="197"/>
      <c r="D8" s="197"/>
      <c r="E8" s="197"/>
      <c r="F8" s="197"/>
      <c r="G8" s="197"/>
      <c r="H8" s="197"/>
      <c r="I8" s="197"/>
      <c r="J8" s="197"/>
      <c r="K8" s="1710"/>
      <c r="L8" s="1710"/>
      <c r="M8" s="1710"/>
      <c r="N8" s="1710"/>
      <c r="O8" s="1710"/>
      <c r="P8" s="1710"/>
      <c r="Q8" s="1710"/>
      <c r="R8" s="1710"/>
      <c r="S8" s="1710"/>
    </row>
    <row r="9" spans="2:19" s="1654" customFormat="1" ht="69.75" customHeight="1">
      <c r="B9" s="1750"/>
      <c r="C9" s="1665" t="s">
        <v>0</v>
      </c>
      <c r="D9" s="1665" t="s">
        <v>465</v>
      </c>
      <c r="E9" s="1665" t="s">
        <v>469</v>
      </c>
      <c r="F9" s="1665" t="s">
        <v>470</v>
      </c>
      <c r="G9" s="1665" t="s">
        <v>466</v>
      </c>
      <c r="H9" s="1665" t="s">
        <v>467</v>
      </c>
      <c r="I9" s="1665" t="s">
        <v>5</v>
      </c>
      <c r="J9" s="1665" t="s">
        <v>468</v>
      </c>
      <c r="K9" s="1665" t="s">
        <v>593</v>
      </c>
      <c r="L9" s="1665" t="s">
        <v>119</v>
      </c>
      <c r="M9" s="1665" t="s">
        <v>740</v>
      </c>
      <c r="N9" s="1665" t="s">
        <v>471</v>
      </c>
      <c r="O9" s="1710"/>
      <c r="P9" s="1710"/>
      <c r="Q9" s="1710"/>
      <c r="R9" s="1710"/>
      <c r="S9" s="1710"/>
    </row>
    <row r="10" spans="2:19" s="1653" customFormat="1" ht="15.75">
      <c r="B10" s="1750"/>
      <c r="C10" s="1667" t="s">
        <v>2</v>
      </c>
      <c r="D10" s="1667" t="s">
        <v>615</v>
      </c>
      <c r="E10" s="1668">
        <f>+E11+E19+E20+E21</f>
        <v>26556</v>
      </c>
      <c r="F10" s="1669">
        <f>+E10/$E$23</f>
        <v>0.94081949218137773</v>
      </c>
      <c r="G10" s="1670"/>
      <c r="H10" s="1671"/>
      <c r="I10" s="1670"/>
      <c r="J10" s="1672"/>
      <c r="K10" s="1667"/>
      <c r="L10" s="1666"/>
      <c r="M10" s="1667"/>
      <c r="N10" s="1667"/>
      <c r="O10" s="1710"/>
      <c r="P10" s="1710"/>
      <c r="Q10" s="1710"/>
      <c r="R10" s="1710"/>
      <c r="S10" s="1710"/>
    </row>
    <row r="11" spans="2:19" s="1653" customFormat="1" ht="15.75">
      <c r="B11" s="1750"/>
      <c r="C11" s="1813">
        <v>1</v>
      </c>
      <c r="D11" s="1674" t="str">
        <f>+'1. thong tin quy hoach'!C10</f>
        <v>Đất ở</v>
      </c>
      <c r="E11" s="1675">
        <f>+'1. thong tin quy hoach'!D10</f>
        <v>21178.41</v>
      </c>
      <c r="F11" s="1676">
        <f>+E11/$E$23</f>
        <v>0.75030354501464869</v>
      </c>
      <c r="G11" s="1677">
        <v>10.21</v>
      </c>
      <c r="H11" s="1678"/>
      <c r="I11" s="1677"/>
      <c r="J11" s="1679">
        <f>+J12+J17</f>
        <v>172561.10118529413</v>
      </c>
      <c r="K11" s="1680">
        <f>+K12+K17</f>
        <v>97820.304990333316</v>
      </c>
      <c r="L11" s="1681">
        <f>+L12+L17</f>
        <v>1521.3544339622642</v>
      </c>
      <c r="M11" s="1680"/>
      <c r="N11" s="1680">
        <f>+N12+N17</f>
        <v>2700</v>
      </c>
      <c r="O11" s="1710"/>
      <c r="P11" s="1710"/>
      <c r="Q11" s="1710"/>
      <c r="R11" s="1710"/>
      <c r="S11" s="1710"/>
    </row>
    <row r="12" spans="2:19" s="1653" customFormat="1" ht="15.75">
      <c r="B12" s="1750"/>
      <c r="C12" s="1813">
        <v>1.1000000000000001</v>
      </c>
      <c r="D12" s="1674" t="s">
        <v>707</v>
      </c>
      <c r="E12" s="1675">
        <f>+'1. thong tin quy hoach'!D12</f>
        <v>14605.800000000001</v>
      </c>
      <c r="F12" s="1676">
        <f>+E12/$E$23</f>
        <v>0.51745072069975773</v>
      </c>
      <c r="G12" s="1677">
        <v>10.21</v>
      </c>
      <c r="H12" s="1676">
        <v>0.4</v>
      </c>
      <c r="I12" s="1890">
        <f>+'1. thong tin quy hoach'!G12</f>
        <v>30</v>
      </c>
      <c r="J12" s="1679">
        <f>+'1. thong tin quy hoach'!I12</f>
        <v>146585.35473529412</v>
      </c>
      <c r="K12" s="1891">
        <f>SUM(K13:K16)</f>
        <v>91247.694990333315</v>
      </c>
      <c r="L12" s="1891">
        <f>SUM(L13:L16)</f>
        <v>1448.3254339622642</v>
      </c>
      <c r="M12" s="1891"/>
      <c r="N12" s="1891">
        <f>+'1. thong tin quy hoach'!M12</f>
        <v>2407.884</v>
      </c>
      <c r="O12" s="1710"/>
      <c r="P12" s="1710"/>
      <c r="Q12" s="1710"/>
      <c r="R12" s="1710"/>
      <c r="S12" s="1710"/>
    </row>
    <row r="13" spans="2:19" s="1653" customFormat="1" ht="15.75">
      <c r="B13" s="1750"/>
      <c r="C13" s="1814"/>
      <c r="D13" s="1686" t="str">
        <f>+'1. thong tin quy hoach'!C13</f>
        <v>Căn hộ khối tháp</v>
      </c>
      <c r="E13" s="1687"/>
      <c r="F13" s="1688"/>
      <c r="G13" s="1689"/>
      <c r="H13" s="1690"/>
      <c r="I13" s="1691"/>
      <c r="J13" s="1692">
        <f>+'1. thong tin quy hoach'!I13</f>
        <v>103768.59999999999</v>
      </c>
      <c r="K13" s="1693">
        <f>+'1. thong tin quy hoach'!K13</f>
        <v>81145.097504564808</v>
      </c>
      <c r="L13" s="1693">
        <f>+'1. thong tin quy hoach'!L13</f>
        <v>1275</v>
      </c>
      <c r="M13" s="1693">
        <f>+'1. thong tin quy hoach'!N13</f>
        <v>63.643213729070439</v>
      </c>
      <c r="N13" s="1693"/>
      <c r="O13" s="1710"/>
      <c r="P13" s="1710"/>
      <c r="Q13" s="1710"/>
      <c r="R13" s="1710"/>
      <c r="S13" s="1710"/>
    </row>
    <row r="14" spans="2:19" s="1653" customFormat="1" ht="15.75">
      <c r="B14" s="1750"/>
      <c r="C14" s="1815"/>
      <c r="D14" s="1694" t="str">
        <f>+'1. thong tin quy hoach'!C14</f>
        <v>Căn shop TM khối đế</v>
      </c>
      <c r="E14" s="1695"/>
      <c r="F14" s="1696"/>
      <c r="G14" s="1697"/>
      <c r="H14" s="1698"/>
      <c r="I14" s="1697"/>
      <c r="J14" s="1699">
        <f>+'1. thong tin quy hoach'!I14</f>
        <v>2321.0467352941173</v>
      </c>
      <c r="K14" s="1700">
        <f>+'1. thong tin quy hoach'!K14</f>
        <v>2246.1742599620488</v>
      </c>
      <c r="L14" s="1700">
        <f>+'1. thong tin quy hoach'!L14</f>
        <v>18</v>
      </c>
      <c r="M14" s="1700">
        <f>+'1. thong tin quy hoach'!N14</f>
        <v>124.78745888678048</v>
      </c>
      <c r="N14" s="1700"/>
      <c r="O14" s="1710"/>
      <c r="P14" s="1710"/>
      <c r="Q14" s="1710"/>
      <c r="R14" s="1710"/>
      <c r="S14" s="1710"/>
    </row>
    <row r="15" spans="2:19" s="1653" customFormat="1" ht="15.75">
      <c r="B15" s="1750"/>
      <c r="C15" s="1816"/>
      <c r="D15" s="2196" t="s">
        <v>760</v>
      </c>
      <c r="E15" s="1801"/>
      <c r="F15" s="1802"/>
      <c r="G15" s="1803"/>
      <c r="H15" s="1804"/>
      <c r="I15" s="1803"/>
      <c r="J15" s="1699">
        <f>+'1. thong tin quy hoach'!I15</f>
        <v>8219.2480000000014</v>
      </c>
      <c r="K15" s="1700">
        <f>+'1. thong tin quy hoach'!K15</f>
        <v>6156.4232258064512</v>
      </c>
      <c r="L15" s="1700">
        <f>+'1. thong tin quy hoach'!L15</f>
        <v>154.32543396226416</v>
      </c>
      <c r="M15" s="1700">
        <f>+'1. thong tin quy hoach'!N15</f>
        <v>39.892473118279568</v>
      </c>
      <c r="N15" s="1806"/>
      <c r="O15" s="1710"/>
      <c r="P15" s="1710"/>
      <c r="Q15" s="1710"/>
      <c r="R15" s="1710"/>
      <c r="S15" s="1710"/>
    </row>
    <row r="16" spans="2:19" s="1653" customFormat="1" ht="15.75">
      <c r="B16" s="1750"/>
      <c r="C16" s="1816"/>
      <c r="D16" s="1694" t="str">
        <f>+'1. thong tin quy hoach'!C16</f>
        <v>Nhà trẻ</v>
      </c>
      <c r="E16" s="1801"/>
      <c r="F16" s="1802"/>
      <c r="G16" s="1803"/>
      <c r="H16" s="1804"/>
      <c r="I16" s="1803"/>
      <c r="J16" s="1805">
        <f>+'1. thong tin quy hoach'!I16</f>
        <v>2000</v>
      </c>
      <c r="K16" s="1806">
        <f>+'1. thong tin quy hoach'!K16</f>
        <v>1700</v>
      </c>
      <c r="L16" s="1806">
        <f>+'1. thong tin quy hoach'!L16</f>
        <v>1</v>
      </c>
      <c r="M16" s="1806"/>
      <c r="N16" s="1806"/>
      <c r="O16" s="1710"/>
      <c r="P16" s="1710"/>
      <c r="Q16" s="1710"/>
      <c r="R16" s="1710"/>
      <c r="S16" s="1710"/>
    </row>
    <row r="17" spans="2:20" s="1653" customFormat="1" ht="15.75">
      <c r="B17" s="1750"/>
      <c r="C17" s="1813">
        <v>1.2</v>
      </c>
      <c r="D17" s="1674" t="s">
        <v>710</v>
      </c>
      <c r="E17" s="2107">
        <f>+'1. thong tin quy hoach'!D37</f>
        <v>6572.61</v>
      </c>
      <c r="F17" s="2108">
        <f>+E17/$E$23</f>
        <v>0.23285282431489096</v>
      </c>
      <c r="G17" s="2109">
        <v>0</v>
      </c>
      <c r="H17" s="2108">
        <f>+'1. thong tin quy hoach'!F37</f>
        <v>0.75</v>
      </c>
      <c r="I17" s="2109">
        <f>+'1. thong tin quy hoach'!G37</f>
        <v>3</v>
      </c>
      <c r="J17" s="2110">
        <f>+'1. thong tin quy hoach'!I37</f>
        <v>25975.746449999999</v>
      </c>
      <c r="K17" s="2111">
        <f>SUM(K18:K18)</f>
        <v>6572.61</v>
      </c>
      <c r="L17" s="2112">
        <f>+SUM(L18:L18)</f>
        <v>73.028999999999996</v>
      </c>
      <c r="M17" s="2112">
        <f>+M18</f>
        <v>90</v>
      </c>
      <c r="N17" s="2112">
        <f>+N18</f>
        <v>292.11599999999999</v>
      </c>
      <c r="O17" s="1132"/>
      <c r="P17" s="1710"/>
      <c r="Q17" s="1720"/>
      <c r="R17" s="1710"/>
      <c r="S17" s="1710"/>
    </row>
    <row r="18" spans="2:20" s="1653" customFormat="1" ht="15.75">
      <c r="B18" s="1750"/>
      <c r="C18" s="1817"/>
      <c r="D18" s="1807" t="str">
        <f>'1. thong tin quy hoach'!C38</f>
        <v>Nhà ở liên kế khu A</v>
      </c>
      <c r="E18" s="1808">
        <f>+'1. thong tin quy hoach'!D38</f>
        <v>6572.61</v>
      </c>
      <c r="F18" s="1809"/>
      <c r="G18" s="1810"/>
      <c r="H18" s="1809">
        <f>+'1. thong tin quy hoach'!F38</f>
        <v>0.75</v>
      </c>
      <c r="I18" s="1810">
        <f>+'1. thong tin quy hoach'!G38</f>
        <v>3</v>
      </c>
      <c r="J18" s="1811">
        <f>+'1. thong tin quy hoach'!I38</f>
        <v>25975.746449999999</v>
      </c>
      <c r="K18" s="1812">
        <f>+'1. thong tin quy hoach'!J38</f>
        <v>6572.61</v>
      </c>
      <c r="L18" s="1812">
        <f>+'1. thong tin quy hoach'!L38</f>
        <v>73.028999999999996</v>
      </c>
      <c r="M18" s="1812">
        <f>+'1. thong tin quy hoach'!N38</f>
        <v>90</v>
      </c>
      <c r="N18" s="1812">
        <f>+'1. thong tin quy hoach'!M37</f>
        <v>292.11599999999999</v>
      </c>
      <c r="O18" s="1721"/>
      <c r="P18" s="1710"/>
      <c r="Q18" s="1710"/>
      <c r="R18" s="1710"/>
      <c r="S18" s="1710"/>
    </row>
    <row r="19" spans="2:20" s="1653" customFormat="1" ht="15.75">
      <c r="B19" s="1750"/>
      <c r="C19" s="1813">
        <v>2</v>
      </c>
      <c r="D19" s="1674" t="s">
        <v>714</v>
      </c>
      <c r="E19" s="2107">
        <f>+'1. thong tin quy hoach'!D43</f>
        <v>0</v>
      </c>
      <c r="F19" s="2108"/>
      <c r="G19" s="2109"/>
      <c r="H19" s="2108"/>
      <c r="I19" s="2109"/>
      <c r="J19" s="2110"/>
      <c r="K19" s="2112"/>
      <c r="L19" s="2112"/>
      <c r="M19" s="2112"/>
      <c r="N19" s="2112"/>
      <c r="O19" s="1710"/>
      <c r="P19" s="1710"/>
      <c r="Q19" s="1710"/>
      <c r="R19" s="1710"/>
      <c r="S19" s="1710"/>
    </row>
    <row r="20" spans="2:20" s="1653" customFormat="1" ht="15.75">
      <c r="B20" s="1750"/>
      <c r="C20" s="2113">
        <v>3</v>
      </c>
      <c r="D20" s="1702" t="s">
        <v>677</v>
      </c>
      <c r="E20" s="1675">
        <f>+'1. thong tin quy hoach'!D47</f>
        <v>0</v>
      </c>
      <c r="F20" s="1676"/>
      <c r="G20" s="1677"/>
      <c r="H20" s="1676"/>
      <c r="I20" s="1677"/>
      <c r="J20" s="1679"/>
      <c r="K20" s="1891"/>
      <c r="L20" s="1891"/>
      <c r="M20" s="1891"/>
      <c r="N20" s="1891"/>
      <c r="O20" s="1710"/>
      <c r="P20" s="1710"/>
      <c r="Q20" s="1710"/>
      <c r="R20" s="1710"/>
      <c r="S20" s="1710"/>
    </row>
    <row r="21" spans="2:20" s="1653" customFormat="1" ht="15.75">
      <c r="B21" s="1750"/>
      <c r="C21" s="2113">
        <v>4</v>
      </c>
      <c r="D21" s="1702" t="s">
        <v>612</v>
      </c>
      <c r="E21" s="1675">
        <f>+'1. thong tin quy hoach'!D48</f>
        <v>5377.5899999999992</v>
      </c>
      <c r="F21" s="1676"/>
      <c r="G21" s="1677"/>
      <c r="H21" s="1676"/>
      <c r="I21" s="1677"/>
      <c r="J21" s="1679"/>
      <c r="K21" s="1891"/>
      <c r="L21" s="1891"/>
      <c r="M21" s="1891"/>
      <c r="N21" s="1891"/>
      <c r="O21" s="1710"/>
      <c r="P21" s="1710"/>
      <c r="Q21" s="1710"/>
      <c r="R21" s="1710"/>
      <c r="S21" s="1710"/>
    </row>
    <row r="22" spans="2:20" s="1653" customFormat="1" ht="15.75">
      <c r="B22" s="1750"/>
      <c r="C22" s="1884" t="s">
        <v>6</v>
      </c>
      <c r="D22" s="1702" t="s">
        <v>713</v>
      </c>
      <c r="E22" s="1675">
        <f>+'1. thong tin quy hoach'!D53</f>
        <v>1670.4559999999999</v>
      </c>
      <c r="F22" s="1682"/>
      <c r="G22" s="1683"/>
      <c r="H22" s="1682"/>
      <c r="I22" s="1683"/>
      <c r="J22" s="1684"/>
      <c r="K22" s="1685"/>
      <c r="L22" s="1685"/>
      <c r="M22" s="1685"/>
      <c r="N22" s="1685"/>
      <c r="O22" s="1710"/>
      <c r="P22" s="1710"/>
      <c r="Q22" s="1710"/>
      <c r="R22" s="1710"/>
      <c r="S22" s="1710"/>
    </row>
    <row r="23" spans="2:20" s="1654" customFormat="1" ht="16.5">
      <c r="B23" s="1750"/>
      <c r="C23" s="1667" t="s">
        <v>91</v>
      </c>
      <c r="D23" s="1703" t="s">
        <v>473</v>
      </c>
      <c r="E23" s="1704">
        <f>+E10+E22</f>
        <v>28226.455999999998</v>
      </c>
      <c r="F23" s="1705"/>
      <c r="G23" s="1706"/>
      <c r="H23" s="1707"/>
      <c r="I23" s="1706"/>
      <c r="J23" s="1708"/>
      <c r="K23" s="1703"/>
      <c r="L23" s="1709"/>
      <c r="M23" s="1703"/>
      <c r="N23" s="1703"/>
      <c r="O23" s="1710"/>
      <c r="P23" s="1710"/>
      <c r="Q23" s="1710"/>
      <c r="R23" s="1710"/>
      <c r="S23" s="1710"/>
    </row>
    <row r="24" spans="2:20" s="1654" customFormat="1" ht="16.5">
      <c r="B24" s="1750"/>
      <c r="C24" s="197"/>
      <c r="D24" s="197"/>
      <c r="E24" s="197"/>
      <c r="F24" s="197"/>
      <c r="G24" s="197"/>
      <c r="H24" s="197"/>
      <c r="I24" s="197"/>
      <c r="J24" s="197"/>
      <c r="K24" s="1710"/>
      <c r="L24" s="1710"/>
      <c r="M24" s="1710"/>
      <c r="N24" s="1710"/>
      <c r="O24" s="1710"/>
      <c r="P24" s="1710"/>
      <c r="Q24" s="1710"/>
      <c r="R24" s="1710"/>
      <c r="S24" s="1710"/>
    </row>
    <row r="25" spans="2:20" s="1652" customFormat="1" ht="21" thickBot="1">
      <c r="B25" s="1751" t="s">
        <v>462</v>
      </c>
      <c r="C25" s="1711" t="s">
        <v>474</v>
      </c>
      <c r="D25" s="1711"/>
      <c r="E25" s="1711"/>
      <c r="F25" s="1711"/>
      <c r="G25" s="1711"/>
      <c r="H25" s="1711"/>
      <c r="I25" s="1711"/>
      <c r="J25" s="1711"/>
      <c r="K25" s="1712"/>
      <c r="L25" s="1712"/>
      <c r="M25" s="1712"/>
      <c r="N25" s="1712"/>
      <c r="O25" s="1710"/>
      <c r="P25" s="1710"/>
      <c r="Q25" s="1710"/>
      <c r="R25" s="1710"/>
      <c r="S25" s="1710"/>
    </row>
    <row r="26" spans="2:20" s="1654" customFormat="1" ht="4.5" customHeight="1" thickTop="1">
      <c r="B26" s="1750"/>
      <c r="C26" s="197"/>
      <c r="D26" s="197"/>
      <c r="E26" s="197"/>
      <c r="F26" s="197"/>
      <c r="G26" s="197"/>
      <c r="H26" s="197"/>
      <c r="I26" s="197"/>
      <c r="J26" s="197"/>
      <c r="K26" s="1710"/>
      <c r="L26" s="1710"/>
      <c r="M26" s="1710"/>
      <c r="N26" s="1710"/>
      <c r="O26" s="1710"/>
      <c r="P26" s="1710"/>
      <c r="Q26" s="1710"/>
      <c r="R26" s="1710"/>
      <c r="S26" s="1710"/>
    </row>
    <row r="27" spans="2:20" s="1654" customFormat="1" ht="17.25" thickTop="1">
      <c r="B27" s="1750"/>
      <c r="C27" s="197" t="s">
        <v>488</v>
      </c>
      <c r="D27" s="197"/>
      <c r="E27" s="1713" t="s">
        <v>735</v>
      </c>
      <c r="F27" s="197"/>
      <c r="G27" s="197"/>
      <c r="H27" s="197"/>
      <c r="I27" s="197"/>
      <c r="J27" s="197"/>
      <c r="K27" s="1710"/>
      <c r="L27" s="1710"/>
      <c r="M27" s="1710"/>
      <c r="N27" s="1710"/>
      <c r="O27" s="1710"/>
      <c r="P27" s="1710"/>
      <c r="Q27" s="1710"/>
      <c r="R27" s="1710"/>
      <c r="S27" s="1710"/>
    </row>
    <row r="28" spans="2:20" s="1654" customFormat="1" ht="11.25" customHeight="1">
      <c r="B28" s="1750"/>
      <c r="C28" s="197"/>
      <c r="D28" s="197"/>
      <c r="E28" s="197"/>
      <c r="F28" s="197"/>
      <c r="G28" s="197"/>
      <c r="H28" s="197"/>
      <c r="I28" s="197"/>
      <c r="J28" s="197"/>
      <c r="K28" s="1710"/>
      <c r="L28" s="1710"/>
      <c r="M28" s="1710"/>
      <c r="N28" s="1710"/>
      <c r="O28" s="1710"/>
      <c r="P28" s="1710"/>
      <c r="Q28" s="1710"/>
      <c r="R28" s="1710"/>
      <c r="S28" s="1710"/>
    </row>
    <row r="29" spans="2:20" s="1654" customFormat="1" ht="66">
      <c r="B29" s="1750"/>
      <c r="C29" s="1663" t="s">
        <v>0</v>
      </c>
      <c r="D29" s="1663" t="s">
        <v>9</v>
      </c>
      <c r="E29" s="1663" t="s">
        <v>469</v>
      </c>
      <c r="F29" s="1663" t="s">
        <v>711</v>
      </c>
      <c r="G29" s="2288" t="s">
        <v>475</v>
      </c>
      <c r="H29" s="2288"/>
      <c r="I29" s="1664" t="s">
        <v>476</v>
      </c>
      <c r="J29" s="1722"/>
      <c r="L29" s="1938" t="s">
        <v>9</v>
      </c>
      <c r="M29" s="1939"/>
      <c r="N29" s="1937" t="s">
        <v>18</v>
      </c>
      <c r="O29" s="1937">
        <v>2026</v>
      </c>
      <c r="P29" s="1937">
        <v>2027</v>
      </c>
      <c r="Q29" s="1937">
        <v>2028</v>
      </c>
      <c r="R29" s="1937">
        <v>2029</v>
      </c>
      <c r="S29" s="1937">
        <v>2030</v>
      </c>
      <c r="T29" s="1937">
        <v>2031</v>
      </c>
    </row>
    <row r="30" spans="2:20" s="1654" customFormat="1" ht="16.5">
      <c r="B30" s="1750"/>
      <c r="C30" s="1758" t="s">
        <v>2</v>
      </c>
      <c r="D30" s="1758" t="s">
        <v>485</v>
      </c>
      <c r="E30" s="1759">
        <f>+E23</f>
        <v>28226.455999999998</v>
      </c>
      <c r="F30" s="1760">
        <f t="shared" ref="F30:F36" si="0">+G30/E30</f>
        <v>38.616496726202456</v>
      </c>
      <c r="G30" s="2279">
        <f>SUM(G31:H33)</f>
        <v>1090006.8457162976</v>
      </c>
      <c r="H30" s="2279"/>
      <c r="I30" s="1761">
        <f>+G30/$G$45</f>
        <v>0.3023788229935207</v>
      </c>
      <c r="J30" s="197"/>
      <c r="L30" s="1661" t="s">
        <v>157</v>
      </c>
      <c r="M30" s="1723"/>
      <c r="N30" s="1724">
        <f>SUM(O30:T30)</f>
        <v>0</v>
      </c>
      <c r="O30" s="1724"/>
      <c r="P30" s="1724"/>
      <c r="Q30" s="1724"/>
      <c r="R30" s="1724"/>
      <c r="S30" s="1724"/>
      <c r="T30" s="1724"/>
    </row>
    <row r="31" spans="2:20" s="1654" customFormat="1" ht="16.5">
      <c r="B31" s="1750"/>
      <c r="C31" s="197"/>
      <c r="D31" s="1762" t="s">
        <v>128</v>
      </c>
      <c r="E31" s="1763">
        <f>+E30</f>
        <v>28226.455999999998</v>
      </c>
      <c r="F31" s="1764">
        <f t="shared" si="0"/>
        <v>18.422433195297348</v>
      </c>
      <c r="G31" s="2286">
        <f>+'3.Du toan'!F12</f>
        <v>520000</v>
      </c>
      <c r="H31" s="2286"/>
      <c r="I31" s="1765"/>
      <c r="J31" s="2081"/>
      <c r="L31" s="1940" t="s">
        <v>708</v>
      </c>
      <c r="M31" s="1940"/>
      <c r="N31" s="1941">
        <f t="shared" ref="N31:N35" si="1">SUM(O31:T31)</f>
        <v>1</v>
      </c>
      <c r="O31" s="1942">
        <f>SUMIF('2.Tien do'!$E$7:$AN$7,Summary!O$29,'2.Tien do'!$E10:$AN10)</f>
        <v>1</v>
      </c>
      <c r="P31" s="1942">
        <f>SUMIF('2.Tien do'!$E$7:$AN$7,Summary!P$29,'2.Tien do'!$E10:$AN10)</f>
        <v>0</v>
      </c>
      <c r="Q31" s="1942">
        <f>SUMIF('2.Tien do'!$E$7:$AN$7,Summary!Q$29,'2.Tien do'!$E10:$AN10)</f>
        <v>0</v>
      </c>
      <c r="R31" s="1942">
        <f>SUMIF('2.Tien do'!$E$7:$AN$7,Summary!R$29,'2.Tien do'!$E10:$AN10)</f>
        <v>0</v>
      </c>
      <c r="S31" s="1942">
        <f>SUMIF('2.Tien do'!$E$7:$AN$7,Summary!S$29,'2.Tien do'!$E10:$AN10)</f>
        <v>0</v>
      </c>
      <c r="T31" s="1942">
        <f>SUMIF('2.Tien do'!$E$7:$AN$7,Summary!T$29,'2.Tien do'!$E10:$AN10)</f>
        <v>0</v>
      </c>
    </row>
    <row r="32" spans="2:20" s="1654" customFormat="1" ht="16.5">
      <c r="B32" s="1750"/>
      <c r="C32" s="197"/>
      <c r="D32" s="1766" t="s">
        <v>667</v>
      </c>
      <c r="E32" s="1767">
        <f>+E11</f>
        <v>21178.41</v>
      </c>
      <c r="F32" s="1768">
        <f t="shared" si="0"/>
        <v>22.888306527361195</v>
      </c>
      <c r="G32" s="2289">
        <f>+'3.Du toan'!F13</f>
        <v>484737.93984213157</v>
      </c>
      <c r="H32" s="2289"/>
      <c r="I32" s="1769"/>
      <c r="J32" s="197"/>
      <c r="L32" s="1822" t="s">
        <v>666</v>
      </c>
      <c r="M32" s="1822"/>
      <c r="N32" s="1796">
        <f t="shared" si="1"/>
        <v>1</v>
      </c>
      <c r="O32" s="1823">
        <f>SUMIF('2.Tien do'!$E$7:$AN$7,Summary!O$29,'2.Tien do'!$E11:$AN11)</f>
        <v>0</v>
      </c>
      <c r="P32" s="1823">
        <f>SUMIF('2.Tien do'!$E$7:$AN$7,Summary!P$29,'2.Tien do'!$E11:$AN11)</f>
        <v>1</v>
      </c>
      <c r="Q32" s="1823">
        <f>SUMIF('2.Tien do'!$E$7:$AN$7,Summary!Q$29,'2.Tien do'!$E11:$AN11)</f>
        <v>0</v>
      </c>
      <c r="R32" s="1823">
        <f>SUMIF('2.Tien do'!$E$7:$AN$7,Summary!R$29,'2.Tien do'!$E11:$AN11)</f>
        <v>0</v>
      </c>
      <c r="S32" s="1823">
        <f>SUMIF('2.Tien do'!$E$7:$AN$7,Summary!S$29,'2.Tien do'!$E11:$AN11)</f>
        <v>0</v>
      </c>
      <c r="T32" s="1823">
        <f>SUMIF('2.Tien do'!$E$7:$AN$7,Summary!T$29,'2.Tien do'!$E11:$AN11)</f>
        <v>0</v>
      </c>
    </row>
    <row r="33" spans="2:20" s="1654" customFormat="1" ht="16.5">
      <c r="B33" s="1750"/>
      <c r="C33" s="1885"/>
      <c r="D33" s="1770" t="s">
        <v>101</v>
      </c>
      <c r="E33" s="1771">
        <f>+E10</f>
        <v>26556</v>
      </c>
      <c r="F33" s="1772">
        <f t="shared" si="0"/>
        <v>3.2109092436423472</v>
      </c>
      <c r="G33" s="2284">
        <f>+'3.Du toan'!F15</f>
        <v>85268.905874166172</v>
      </c>
      <c r="H33" s="2284"/>
      <c r="I33" s="1773"/>
      <c r="J33" s="197"/>
      <c r="L33" s="1824" t="s">
        <v>101</v>
      </c>
      <c r="M33" s="1824"/>
      <c r="N33" s="1825">
        <f t="shared" si="1"/>
        <v>1</v>
      </c>
      <c r="O33" s="1826">
        <f>SUMIF('2.Tien do'!$E$7:$AN$7,Summary!O$29,'2.Tien do'!$E13:$AN13)</f>
        <v>0.05</v>
      </c>
      <c r="P33" s="1826">
        <f>SUMIF('2.Tien do'!$E$7:$AN$7,Summary!P$29,'2.Tien do'!$E13:$AN13)</f>
        <v>0.2</v>
      </c>
      <c r="Q33" s="1826">
        <f>SUMIF('2.Tien do'!$E$7:$AN$7,Summary!Q$29,'2.Tien do'!$E13:$AN13)</f>
        <v>0.2</v>
      </c>
      <c r="R33" s="1826">
        <f>SUMIF('2.Tien do'!$E$7:$AN$7,Summary!R$29,'2.Tien do'!$E13:$AN13)</f>
        <v>0.1</v>
      </c>
      <c r="S33" s="1826">
        <f>SUMIF('2.Tien do'!$E$7:$AN$7,Summary!S$29,'2.Tien do'!$E13:$AN13)</f>
        <v>0.45</v>
      </c>
      <c r="T33" s="1826">
        <f>SUMIF('2.Tien do'!$E$7:$AN$7,Summary!T$29,'2.Tien do'!$E13:$AN13)</f>
        <v>0</v>
      </c>
    </row>
    <row r="34" spans="2:20" s="1654" customFormat="1" ht="16.5">
      <c r="B34" s="1750"/>
      <c r="C34" s="1758" t="s">
        <v>6</v>
      </c>
      <c r="D34" s="1758" t="s">
        <v>454</v>
      </c>
      <c r="E34" s="1759">
        <f>+J11</f>
        <v>172561.10118529413</v>
      </c>
      <c r="F34" s="1760">
        <f t="shared" si="0"/>
        <v>13.942993401166119</v>
      </c>
      <c r="G34" s="2279">
        <f>SUM(G35:H36)</f>
        <v>2406018.295124515</v>
      </c>
      <c r="H34" s="2279"/>
      <c r="I34" s="1761">
        <f>+G34/$G$45</f>
        <v>0.66745358805754362</v>
      </c>
      <c r="J34" s="197"/>
      <c r="L34" s="1662" t="s">
        <v>454</v>
      </c>
      <c r="M34" s="1725"/>
      <c r="N34" s="1726">
        <f t="shared" si="1"/>
        <v>0</v>
      </c>
      <c r="O34" s="1726"/>
      <c r="P34" s="1726"/>
      <c r="Q34" s="1726"/>
      <c r="R34" s="1726"/>
      <c r="S34" s="1726"/>
      <c r="T34" s="1726"/>
    </row>
    <row r="35" spans="2:20" s="1654" customFormat="1" ht="16.5">
      <c r="B35" s="1750"/>
      <c r="C35" s="197"/>
      <c r="D35" s="1762" t="s">
        <v>674</v>
      </c>
      <c r="E35" s="1763">
        <f>+'3.Du toan'!D17</f>
        <v>28226.455999999998</v>
      </c>
      <c r="F35" s="1764">
        <f t="shared" si="0"/>
        <v>0</v>
      </c>
      <c r="G35" s="2286">
        <f>+'3.Du toan'!F17</f>
        <v>0</v>
      </c>
      <c r="H35" s="2286"/>
      <c r="I35" s="1765"/>
      <c r="J35" s="197"/>
      <c r="L35" s="1940" t="s">
        <v>581</v>
      </c>
      <c r="M35" s="1940"/>
      <c r="N35" s="1941">
        <f t="shared" si="1"/>
        <v>1</v>
      </c>
      <c r="O35" s="1942">
        <f>SUMIF('2.Tien do'!$E$7:$AN$7,Summary!O$29,'2.Tien do'!$E16:$AN16)</f>
        <v>0</v>
      </c>
      <c r="P35" s="1942">
        <f>SUMIF('2.Tien do'!$E$7:$AN$7,Summary!P$29,'2.Tien do'!$E16:$AN16)</f>
        <v>0</v>
      </c>
      <c r="Q35" s="1942">
        <f>SUMIF('2.Tien do'!$E$7:$AN$7,Summary!Q$29,'2.Tien do'!$E16:$AN16)</f>
        <v>1</v>
      </c>
      <c r="R35" s="1942">
        <f>SUMIF('2.Tien do'!$E$7:$AN$7,Summary!R$29,'2.Tien do'!$E16:$AN16)</f>
        <v>0</v>
      </c>
      <c r="S35" s="1942">
        <f>SUMIF('2.Tien do'!$E$7:$AN$7,Summary!S$29,'2.Tien do'!$E16:$AN16)</f>
        <v>0</v>
      </c>
      <c r="T35" s="1942">
        <f>SUMIF('2.Tien do'!$E$7:$AN$7,Summary!T$29,'2.Tien do'!$E16:$AN16)</f>
        <v>0</v>
      </c>
    </row>
    <row r="36" spans="2:20" s="1654" customFormat="1" ht="16.5">
      <c r="B36" s="1750"/>
      <c r="C36" s="197"/>
      <c r="D36" s="1774" t="s">
        <v>734</v>
      </c>
      <c r="E36" s="1775">
        <f>+J11</f>
        <v>172561.10118529413</v>
      </c>
      <c r="F36" s="1776">
        <f t="shared" si="0"/>
        <v>13.942993401166119</v>
      </c>
      <c r="G36" s="2285">
        <f>+H37+H43</f>
        <v>2406018.295124515</v>
      </c>
      <c r="H36" s="2285"/>
      <c r="I36" s="1777"/>
      <c r="J36" s="197"/>
      <c r="L36" s="1822" t="s">
        <v>575</v>
      </c>
      <c r="M36" s="1822"/>
      <c r="N36" s="1796"/>
      <c r="O36" s="1823"/>
      <c r="P36" s="1823"/>
      <c r="Q36" s="1823"/>
      <c r="R36" s="1823"/>
      <c r="S36" s="1823"/>
      <c r="T36" s="1823"/>
    </row>
    <row r="37" spans="2:20" s="1654" customFormat="1" ht="16.5">
      <c r="B37" s="1750"/>
      <c r="C37" s="197"/>
      <c r="D37" s="2201" t="s">
        <v>707</v>
      </c>
      <c r="E37" s="2197">
        <f>+J12</f>
        <v>146585.35473529412</v>
      </c>
      <c r="F37" s="2198">
        <f t="shared" ref="F37:F38" si="2">+H37/E37</f>
        <v>15.086500000000001</v>
      </c>
      <c r="G37" s="2197"/>
      <c r="H37" s="2197">
        <f>+'3.Du toan'!F19</f>
        <v>2211459.954214015</v>
      </c>
      <c r="I37" s="2202"/>
      <c r="J37" s="197"/>
      <c r="L37" s="2221" t="s">
        <v>707</v>
      </c>
      <c r="M37" s="2220"/>
      <c r="N37" s="2222">
        <f>SUM(O37:T37)</f>
        <v>1.0000000000000002</v>
      </c>
      <c r="O37" s="2223">
        <f>SUMIF('3.Du toan'!$AU$8:$CG$8,Summary!O$29,'3.Du toan'!$AU19:$CG19)/'3.Du toan'!$F$19</f>
        <v>0</v>
      </c>
      <c r="P37" s="2223">
        <f>SUMIF('3.Du toan'!$AU$8:$CG$8,Summary!P$29,'3.Du toan'!$AU19:$CG19)/'3.Du toan'!$F$19</f>
        <v>2.2906513537668052E-2</v>
      </c>
      <c r="Q37" s="2223">
        <f>SUMIF('3.Du toan'!$AU$8:$CG$8,Summary!Q$29,'3.Du toan'!$AU19:$CG19)/'3.Du toan'!$F$19</f>
        <v>0.31035501166698515</v>
      </c>
      <c r="R37" s="2223">
        <f>SUMIF('3.Du toan'!$AU$8:$CG$8,Summary!R$29,'3.Du toan'!$AU19:$CG19)/'3.Du toan'!$F$19</f>
        <v>0.54648858250753996</v>
      </c>
      <c r="S37" s="2223">
        <f>SUMIF('3.Du toan'!$AU$8:$CG$8,Summary!S$29,'3.Du toan'!$AU19:$CG19)/'3.Du toan'!$F$19</f>
        <v>0.120249892287807</v>
      </c>
      <c r="T37" s="2223">
        <f>SUMIF('3.Du toan'!$AU$8:$CG$8,Summary!T$29,'3.Du toan'!$AU19:$CG19)/'3.Du toan'!$F$19</f>
        <v>0</v>
      </c>
    </row>
    <row r="38" spans="2:20" s="1654" customFormat="1" ht="16.5">
      <c r="B38" s="1750"/>
      <c r="C38" s="197"/>
      <c r="D38" s="1778" t="s">
        <v>335</v>
      </c>
      <c r="E38" s="1779">
        <f>+J12</f>
        <v>146585.35473529412</v>
      </c>
      <c r="F38" s="1780">
        <f t="shared" si="2"/>
        <v>13.000000000000002</v>
      </c>
      <c r="G38" s="1779"/>
      <c r="H38" s="1779">
        <f>+'3.Du toan'!F20</f>
        <v>1905609.6115588238</v>
      </c>
      <c r="I38" s="1777"/>
      <c r="J38" s="197"/>
      <c r="L38" s="2130" t="s">
        <v>775</v>
      </c>
      <c r="M38" s="2224"/>
      <c r="N38" s="2103">
        <f>SUM(O38:T38)</f>
        <v>1</v>
      </c>
      <c r="O38" s="2104">
        <f>IFERROR(SUMIF('3.Du toan'!$AU$8:$CG$8,Summary!O$29,'3.Du toan'!$AU61:$CG61)/'3.Du toan'!$F$61,0)</f>
        <v>0</v>
      </c>
      <c r="P38" s="2104">
        <f>IFERROR(SUMIF('3.Du toan'!$AU$8:$CG$8,Summary!P$29,'3.Du toan'!$AU61:$CG61)/'3.Du toan'!$F$61,0)</f>
        <v>0</v>
      </c>
      <c r="Q38" s="2104">
        <f>IFERROR(SUMIF('3.Du toan'!$AU$8:$CG$8,Summary!Q$29,'3.Du toan'!$AU61:$CG61)/'3.Du toan'!$F$61,0)</f>
        <v>0.75</v>
      </c>
      <c r="R38" s="2104">
        <f>IFERROR(SUMIF('3.Du toan'!$AU$8:$CG$8,Summary!R$29,'3.Du toan'!$AU61:$CG61)/'3.Du toan'!$F$61,0)</f>
        <v>0.25</v>
      </c>
      <c r="S38" s="2104">
        <f>IFERROR(SUMIF('3.Du toan'!$AU$8:$CG$8,Summary!S$29,'3.Du toan'!$AU61:$CG61)/'3.Du toan'!$F$61,0)</f>
        <v>0</v>
      </c>
      <c r="T38" s="2104">
        <f>IFERROR(SUMIF('3.Du toan'!$AU$8:$CG$8,Summary!T$29,'3.Du toan'!$AU61:$CG61)/'3.Du toan'!$F$61,0)</f>
        <v>0</v>
      </c>
    </row>
    <row r="39" spans="2:20" s="1654" customFormat="1" ht="16.5" outlineLevel="1">
      <c r="B39" s="1750"/>
      <c r="C39" s="197"/>
      <c r="D39" s="1943" t="s">
        <v>88</v>
      </c>
      <c r="E39" s="2105"/>
      <c r="F39" s="2106">
        <f>+G39/$E$34</f>
        <v>0.11043100666775429</v>
      </c>
      <c r="G39" s="2269">
        <f>+'3.Du toan'!F28</f>
        <v>19056.09611558824</v>
      </c>
      <c r="H39" s="2269"/>
      <c r="I39" s="1796">
        <f>+'3.Du toan'!E28</f>
        <v>0.01</v>
      </c>
      <c r="J39" s="197"/>
      <c r="K39" s="1710"/>
      <c r="L39" s="1710"/>
      <c r="M39" s="1710"/>
      <c r="N39" s="1710"/>
      <c r="O39" s="1710"/>
      <c r="P39" s="1710"/>
      <c r="Q39" s="1710"/>
      <c r="R39" s="1710"/>
      <c r="S39" s="1710"/>
    </row>
    <row r="40" spans="2:20" s="1654" customFormat="1" ht="16.5" outlineLevel="1">
      <c r="B40" s="1750"/>
      <c r="C40" s="197"/>
      <c r="D40" s="1943" t="s">
        <v>478</v>
      </c>
      <c r="E40" s="2105"/>
      <c r="F40" s="2106">
        <f>+G40/$E$34</f>
        <v>0.44172402667101718</v>
      </c>
      <c r="G40" s="2269">
        <f>+'3.Du toan'!F29</f>
        <v>76224.384462352959</v>
      </c>
      <c r="H40" s="2269"/>
      <c r="I40" s="1796">
        <f>+'3.Du toan'!E29</f>
        <v>0.04</v>
      </c>
      <c r="J40" s="197"/>
      <c r="K40" s="1710"/>
      <c r="L40" s="1710"/>
      <c r="M40" s="1710"/>
      <c r="N40" s="1710"/>
      <c r="O40" s="1710"/>
      <c r="P40" s="1710"/>
      <c r="Q40" s="1710"/>
      <c r="R40" s="1710"/>
      <c r="S40" s="1710"/>
    </row>
    <row r="41" spans="2:20" s="1654" customFormat="1" ht="16.5" outlineLevel="1">
      <c r="B41" s="1750"/>
      <c r="C41" s="197"/>
      <c r="D41" s="1943" t="s">
        <v>70</v>
      </c>
      <c r="E41" s="2105"/>
      <c r="F41" s="2106">
        <f>+G41/$E$34</f>
        <v>5.5215503333877147E-2</v>
      </c>
      <c r="G41" s="2269">
        <f>+'3.Du toan'!F30</f>
        <v>9528.0480577941198</v>
      </c>
      <c r="H41" s="2269"/>
      <c r="I41" s="1796">
        <f>+'3.Du toan'!E30</f>
        <v>5.0000000000000001E-3</v>
      </c>
      <c r="J41" s="197"/>
      <c r="K41" s="1710"/>
      <c r="L41" s="1710"/>
      <c r="M41" s="1710"/>
      <c r="N41" s="1710"/>
      <c r="O41" s="1710"/>
      <c r="P41" s="1710"/>
      <c r="Q41" s="1710"/>
      <c r="R41" s="1710"/>
      <c r="S41" s="1710"/>
    </row>
    <row r="42" spans="2:20" s="1654" customFormat="1" ht="16.5" outlineLevel="1">
      <c r="B42" s="1750"/>
      <c r="C42" s="197"/>
      <c r="D42" s="1943" t="s">
        <v>712</v>
      </c>
      <c r="E42" s="2105"/>
      <c r="F42" s="2106">
        <f>+G42/$E$34</f>
        <v>1.1650471203448078</v>
      </c>
      <c r="G42" s="2269">
        <f>+'3.Du toan'!F31</f>
        <v>201041.81401945592</v>
      </c>
      <c r="H42" s="2269"/>
      <c r="I42" s="1796">
        <f>+'3.Du toan'!E31</f>
        <v>0.1</v>
      </c>
      <c r="J42" s="197"/>
      <c r="K42" s="1710"/>
      <c r="L42" s="1710"/>
      <c r="M42" s="1710"/>
      <c r="N42" s="1710"/>
      <c r="O42" s="1710"/>
      <c r="P42" s="1710"/>
      <c r="Q42" s="1710"/>
      <c r="R42" s="1710"/>
      <c r="S42" s="1710"/>
    </row>
    <row r="43" spans="2:20" s="1654" customFormat="1" ht="16.5" outlineLevel="1">
      <c r="B43" s="1750"/>
      <c r="C43" s="197"/>
      <c r="D43" s="2201" t="s">
        <v>710</v>
      </c>
      <c r="E43" s="2199">
        <f>+J17</f>
        <v>25975.746449999999</v>
      </c>
      <c r="F43" s="2200">
        <f>IFERROR(H43/E43,0)</f>
        <v>7.49</v>
      </c>
      <c r="G43" s="2199"/>
      <c r="H43" s="2199">
        <f>+'3.Du toan'!F61</f>
        <v>194558.3409105</v>
      </c>
      <c r="I43" s="2203"/>
      <c r="J43" s="197"/>
      <c r="K43" s="1710"/>
      <c r="L43" s="1710"/>
      <c r="M43" s="1710"/>
      <c r="N43" s="1710"/>
      <c r="O43" s="1710"/>
      <c r="P43" s="1710"/>
      <c r="Q43" s="1710"/>
      <c r="R43" s="1710"/>
      <c r="S43" s="1710"/>
    </row>
    <row r="44" spans="2:20" s="1654" customFormat="1" ht="16.5">
      <c r="B44" s="1750"/>
      <c r="C44" s="1758" t="s">
        <v>91</v>
      </c>
      <c r="D44" s="1758" t="s">
        <v>650</v>
      </c>
      <c r="E44" s="1759"/>
      <c r="F44" s="1759"/>
      <c r="G44" s="2279">
        <f>+'3.Du toan'!F78</f>
        <v>108747.2930397637</v>
      </c>
      <c r="H44" s="2279"/>
      <c r="I44" s="1761">
        <f>+G44/$G$45</f>
        <v>3.0167588948935693E-2</v>
      </c>
      <c r="J44" s="197"/>
      <c r="K44" s="1710"/>
      <c r="L44" s="1710"/>
      <c r="M44" s="1710"/>
      <c r="N44" s="1710"/>
      <c r="O44" s="1710"/>
      <c r="P44" s="1710"/>
      <c r="Q44" s="1710"/>
      <c r="R44" s="1710"/>
      <c r="S44" s="1710"/>
    </row>
    <row r="45" spans="2:20" s="1654" customFormat="1" ht="16.5">
      <c r="B45" s="1750"/>
      <c r="C45" s="1781"/>
      <c r="D45" s="1782" t="s">
        <v>53</v>
      </c>
      <c r="E45" s="1783"/>
      <c r="F45" s="1783"/>
      <c r="G45" s="2280">
        <f>+G30+G34+G44</f>
        <v>3604772.4338805764</v>
      </c>
      <c r="H45" s="2280"/>
      <c r="I45" s="1784" t="b">
        <f>+G45='3.Du toan'!F79</f>
        <v>1</v>
      </c>
      <c r="J45" s="197"/>
      <c r="K45" s="1710"/>
      <c r="L45" s="1710"/>
      <c r="M45" s="1710"/>
      <c r="N45" s="1710"/>
      <c r="O45" s="1710"/>
      <c r="P45" s="1710"/>
      <c r="Q45" s="1710"/>
      <c r="R45" s="1710"/>
      <c r="S45" s="1710"/>
    </row>
    <row r="46" spans="2:20" s="1654" customFormat="1" ht="8.25" customHeight="1">
      <c r="B46" s="1750"/>
      <c r="C46" s="197"/>
      <c r="D46" s="197"/>
      <c r="E46" s="197"/>
      <c r="F46" s="197"/>
      <c r="G46" s="197"/>
      <c r="H46" s="197"/>
      <c r="I46" s="197"/>
      <c r="J46" s="197"/>
      <c r="K46" s="1710"/>
      <c r="L46" s="1710"/>
      <c r="M46" s="1710"/>
      <c r="N46" s="1710"/>
      <c r="O46" s="1710"/>
      <c r="P46" s="1710"/>
      <c r="Q46" s="1710"/>
      <c r="R46" s="1710"/>
      <c r="S46" s="1710"/>
    </row>
    <row r="47" spans="2:20" s="1652" customFormat="1" ht="21" thickBot="1">
      <c r="B47" s="1751" t="s">
        <v>480</v>
      </c>
      <c r="C47" s="1711" t="s">
        <v>461</v>
      </c>
      <c r="D47" s="1711"/>
      <c r="E47" s="1711"/>
      <c r="F47" s="1711"/>
      <c r="G47" s="1711"/>
      <c r="H47" s="1711"/>
      <c r="I47" s="1711"/>
      <c r="J47" s="1711"/>
      <c r="K47" s="1712"/>
      <c r="L47" s="1712"/>
      <c r="M47" s="1712"/>
      <c r="N47" s="1710"/>
      <c r="O47" s="1710"/>
      <c r="P47" s="1710"/>
      <c r="Q47" s="1710"/>
      <c r="R47" s="1710"/>
      <c r="S47" s="1710"/>
    </row>
    <row r="48" spans="2:20" s="1655" customFormat="1" ht="7.15" customHeight="1" thickTop="1">
      <c r="B48" s="1752"/>
      <c r="C48" s="1714"/>
      <c r="D48" s="1714"/>
      <c r="E48" s="1714"/>
      <c r="F48" s="1714"/>
      <c r="G48" s="1714"/>
      <c r="H48" s="1714"/>
      <c r="I48" s="1714"/>
      <c r="J48" s="1714"/>
      <c r="K48" s="1727"/>
      <c r="L48" s="1715"/>
      <c r="M48" s="1715"/>
      <c r="N48" s="1715"/>
      <c r="O48" s="1715"/>
      <c r="P48" s="1715"/>
      <c r="Q48" s="1715"/>
      <c r="R48" s="1715"/>
      <c r="S48" s="1715"/>
    </row>
    <row r="49" spans="2:20" s="1656" customFormat="1" ht="40.15" customHeight="1">
      <c r="B49" s="1752"/>
      <c r="C49" s="1793" t="s">
        <v>0</v>
      </c>
      <c r="D49" s="1794" t="s">
        <v>489</v>
      </c>
      <c r="E49" s="2273" t="s">
        <v>479</v>
      </c>
      <c r="F49" s="2273"/>
      <c r="G49" s="1795" t="s">
        <v>20</v>
      </c>
      <c r="H49" s="1785"/>
      <c r="I49" s="1729"/>
      <c r="J49" s="1728"/>
      <c r="K49" s="1728"/>
      <c r="L49" s="1728"/>
      <c r="M49" s="1728"/>
      <c r="N49" s="1728"/>
      <c r="O49" s="1728"/>
      <c r="P49" s="1728"/>
      <c r="Q49" s="1728"/>
      <c r="R49" s="1728"/>
      <c r="S49" s="1728"/>
    </row>
    <row r="50" spans="2:20" s="1655" customFormat="1" ht="17.45" customHeight="1">
      <c r="B50" s="1753"/>
      <c r="C50" s="1689">
        <v>1</v>
      </c>
      <c r="D50" s="1786" t="s">
        <v>97</v>
      </c>
      <c r="E50" s="2274">
        <f>+'6.Vay von'!C17</f>
        <v>813975.15434106963</v>
      </c>
      <c r="F50" s="2274"/>
      <c r="G50" s="1787">
        <f>E50/$E$53</f>
        <v>0.16955614288901616</v>
      </c>
      <c r="H50" s="1742"/>
      <c r="I50" s="1731"/>
      <c r="J50" s="1715"/>
      <c r="K50" s="1715"/>
      <c r="L50" s="1715"/>
      <c r="M50" s="1715"/>
      <c r="N50" s="1715"/>
      <c r="O50" s="1715"/>
      <c r="P50" s="1715"/>
      <c r="Q50" s="1715"/>
      <c r="R50" s="1715"/>
      <c r="S50" s="1715"/>
    </row>
    <row r="51" spans="2:20" s="1655" customFormat="1" ht="18">
      <c r="B51" s="1753"/>
      <c r="C51" s="1697">
        <v>2</v>
      </c>
      <c r="D51" s="1788" t="s">
        <v>336</v>
      </c>
      <c r="E51" s="2275">
        <f>+'6.Vay von'!C18</f>
        <v>655683.48823870323</v>
      </c>
      <c r="F51" s="2275"/>
      <c r="G51" s="1789">
        <f t="shared" ref="G51:G53" si="3">E51/$E$53</f>
        <v>0.13658299350889747</v>
      </c>
      <c r="H51" s="1742"/>
      <c r="I51" s="1731"/>
      <c r="J51" s="1715"/>
      <c r="K51" s="1715"/>
      <c r="L51" s="1715"/>
      <c r="M51" s="1715"/>
      <c r="N51" s="1715"/>
      <c r="O51" s="1715"/>
      <c r="P51" s="1715"/>
      <c r="Q51" s="1715"/>
      <c r="R51" s="1715"/>
      <c r="S51" s="1715"/>
    </row>
    <row r="52" spans="2:20" s="1655" customFormat="1" ht="17.45" customHeight="1">
      <c r="B52" s="1753"/>
      <c r="C52" s="1701">
        <v>3</v>
      </c>
      <c r="D52" s="1790" t="s">
        <v>98</v>
      </c>
      <c r="E52" s="2276">
        <f>+'6.Vay von'!C19</f>
        <v>3330964.563822493</v>
      </c>
      <c r="F52" s="2276"/>
      <c r="G52" s="1791">
        <f t="shared" si="3"/>
        <v>0.69386086360208621</v>
      </c>
      <c r="H52" s="1742"/>
      <c r="I52" s="1731"/>
      <c r="J52" s="1715"/>
      <c r="K52" s="1715"/>
      <c r="L52" s="1715"/>
      <c r="M52" s="1715"/>
      <c r="N52" s="1715"/>
      <c r="O52" s="1715"/>
      <c r="P52" s="1715"/>
      <c r="Q52" s="1715"/>
      <c r="R52" s="1715"/>
      <c r="S52" s="1715"/>
    </row>
    <row r="53" spans="2:20" s="1654" customFormat="1" ht="16.5">
      <c r="B53" s="1750"/>
      <c r="C53" s="2272" t="s">
        <v>53</v>
      </c>
      <c r="D53" s="2272"/>
      <c r="E53" s="2277">
        <f>SUM(E50:E52)</f>
        <v>4800623.2064022664</v>
      </c>
      <c r="F53" s="2277"/>
      <c r="G53" s="1792">
        <f t="shared" si="3"/>
        <v>1</v>
      </c>
      <c r="H53" s="197"/>
      <c r="I53" s="197"/>
      <c r="J53" s="197"/>
      <c r="K53" s="1710"/>
      <c r="L53" s="1710"/>
      <c r="M53" s="1710"/>
      <c r="N53" s="1710"/>
      <c r="O53" s="1710"/>
      <c r="P53" s="1710"/>
      <c r="Q53" s="1710"/>
      <c r="R53" s="1710"/>
      <c r="S53" s="1710"/>
    </row>
    <row r="54" spans="2:20" s="1654" customFormat="1" ht="16.5">
      <c r="B54" s="1750"/>
      <c r="C54" s="197"/>
      <c r="D54" s="197"/>
      <c r="E54" s="197"/>
      <c r="F54" s="197"/>
      <c r="G54" s="197"/>
      <c r="H54" s="197"/>
      <c r="I54" s="197"/>
      <c r="J54" s="197"/>
      <c r="K54" s="1710"/>
      <c r="L54" s="1710"/>
      <c r="M54" s="1710"/>
      <c r="N54" s="1710"/>
      <c r="O54" s="1710"/>
      <c r="P54" s="1710"/>
      <c r="Q54" s="1710"/>
      <c r="R54" s="1710"/>
      <c r="S54" s="1710"/>
    </row>
    <row r="55" spans="2:20" s="1652" customFormat="1" ht="21" thickBot="1">
      <c r="B55" s="1751" t="s">
        <v>481</v>
      </c>
      <c r="C55" s="1711" t="s">
        <v>482</v>
      </c>
      <c r="D55" s="1711"/>
      <c r="E55" s="1711"/>
      <c r="F55" s="1711"/>
      <c r="G55" s="1711"/>
      <c r="H55" s="1711"/>
      <c r="I55" s="1711"/>
      <c r="J55" s="1711"/>
      <c r="K55" s="1712"/>
      <c r="L55" s="1712"/>
      <c r="M55" s="1712"/>
      <c r="N55" s="1710"/>
      <c r="O55" s="1710"/>
      <c r="P55" s="1710"/>
      <c r="Q55" s="1710"/>
      <c r="R55" s="1710"/>
      <c r="S55" s="1710"/>
    </row>
    <row r="56" spans="2:20" s="1654" customFormat="1" ht="5.25" customHeight="1" thickTop="1">
      <c r="B56" s="1750"/>
      <c r="C56" s="197"/>
      <c r="D56" s="197"/>
      <c r="E56" s="197"/>
      <c r="F56" s="197"/>
      <c r="G56" s="197"/>
      <c r="H56" s="197"/>
      <c r="I56" s="197"/>
      <c r="J56" s="197"/>
      <c r="K56" s="1710"/>
      <c r="L56" s="1710"/>
      <c r="M56" s="1710"/>
      <c r="N56" s="1710"/>
      <c r="O56" s="1710"/>
      <c r="P56" s="1710"/>
      <c r="Q56" s="1710"/>
      <c r="R56" s="1710"/>
      <c r="S56" s="1710"/>
    </row>
    <row r="57" spans="2:20" s="1654" customFormat="1" ht="16.5">
      <c r="B57" s="1750"/>
      <c r="C57" s="1713" t="s">
        <v>717</v>
      </c>
      <c r="D57" s="197"/>
      <c r="E57" s="197"/>
      <c r="F57" s="197"/>
      <c r="G57" s="197"/>
      <c r="H57" s="197"/>
      <c r="I57" s="197"/>
      <c r="J57" s="197"/>
      <c r="K57" s="1710"/>
      <c r="L57" s="1710" t="s">
        <v>716</v>
      </c>
      <c r="M57" s="1710"/>
      <c r="N57" s="1710"/>
      <c r="O57" s="1710"/>
      <c r="P57" s="1710"/>
      <c r="Q57" s="1710"/>
      <c r="R57" s="1710"/>
      <c r="S57" s="1710"/>
    </row>
    <row r="58" spans="2:20" s="1654" customFormat="1" ht="10.9" customHeight="1">
      <c r="B58" s="1750"/>
      <c r="C58" s="197"/>
      <c r="D58" s="197"/>
      <c r="E58" s="197"/>
      <c r="F58" s="197"/>
      <c r="G58" s="197"/>
      <c r="H58" s="197"/>
      <c r="I58" s="197"/>
      <c r="J58" s="197"/>
      <c r="K58" s="1710"/>
      <c r="L58" s="1710"/>
      <c r="M58" s="1710"/>
      <c r="N58" s="1710"/>
      <c r="O58" s="1710"/>
      <c r="P58" s="1710"/>
      <c r="Q58" s="1710"/>
      <c r="R58" s="1710"/>
      <c r="S58" s="1710"/>
    </row>
    <row r="59" spans="2:20" s="1654" customFormat="1" ht="64.5" customHeight="1">
      <c r="B59" s="1750"/>
      <c r="C59" s="1757" t="s">
        <v>0</v>
      </c>
      <c r="D59" s="1757" t="s">
        <v>483</v>
      </c>
      <c r="E59" s="1757" t="s">
        <v>484</v>
      </c>
      <c r="F59" s="1757" t="s">
        <v>486</v>
      </c>
      <c r="G59" s="2281" t="s">
        <v>709</v>
      </c>
      <c r="H59" s="2282"/>
      <c r="I59" s="1757" t="s">
        <v>119</v>
      </c>
      <c r="J59" s="1757" t="s">
        <v>487</v>
      </c>
      <c r="K59" s="1710"/>
      <c r="L59" s="1938" t="s">
        <v>9</v>
      </c>
      <c r="M59" s="1939"/>
      <c r="N59" s="1937" t="s">
        <v>18</v>
      </c>
      <c r="O59" s="1937">
        <v>2026</v>
      </c>
      <c r="P59" s="1937">
        <v>2027</v>
      </c>
      <c r="Q59" s="1937">
        <v>2028</v>
      </c>
      <c r="R59" s="1937">
        <v>2029</v>
      </c>
      <c r="S59" s="1937">
        <v>2030</v>
      </c>
      <c r="T59" s="1937">
        <v>2031</v>
      </c>
    </row>
    <row r="60" spans="2:20" s="1654" customFormat="1" ht="16.5">
      <c r="B60" s="1750"/>
      <c r="C60" s="2131">
        <v>1</v>
      </c>
      <c r="D60" s="2132" t="str">
        <f>+'2.Tien do'!C65</f>
        <v>Căn hộ khối tháp</v>
      </c>
      <c r="E60" s="2133">
        <f>+K13</f>
        <v>81145.097504564808</v>
      </c>
      <c r="F60" s="2134">
        <f>+'5.Doanh thu'!E13</f>
        <v>51.754460817322105</v>
      </c>
      <c r="G60" s="2278">
        <f t="shared" ref="G60" si="4">+E60*F60</f>
        <v>4199620.7693177816</v>
      </c>
      <c r="H60" s="2278"/>
      <c r="I60" s="2135">
        <f>L13</f>
        <v>1275</v>
      </c>
      <c r="J60" s="2136">
        <f>+G60/I60</f>
        <v>3293.8202112296326</v>
      </c>
      <c r="K60" s="1710"/>
      <c r="L60" s="1819" t="str">
        <f>+'2.Tien do'!C65</f>
        <v>Căn hộ khối tháp</v>
      </c>
      <c r="M60" s="1819"/>
      <c r="N60" s="1820">
        <f>+SUM(O60:T60)</f>
        <v>0.99999999999999989</v>
      </c>
      <c r="O60" s="1821">
        <f>SUMIF('2.Tien do'!$E$7:$AN$7,Summary!O$59,'2.Tien do'!$E65:$AN65)</f>
        <v>0</v>
      </c>
      <c r="P60" s="1821">
        <f>SUMIF('2.Tien do'!$E$7:$AN$7,Summary!P$59,'2.Tien do'!$E65:$AN65)</f>
        <v>0</v>
      </c>
      <c r="Q60" s="1821">
        <f>SUMIF('2.Tien do'!$E$7:$AN$7,Summary!Q$59,'2.Tien do'!$E65:$AN65)</f>
        <v>0.85286041189931294</v>
      </c>
      <c r="R60" s="1821">
        <f>SUMIF('2.Tien do'!$E$7:$AN$7,Summary!R$59,'2.Tien do'!$E65:$AN65)</f>
        <v>0.14713958810068697</v>
      </c>
      <c r="S60" s="1821">
        <f>SUMIF('2.Tien do'!$E$7:$AN$7,Summary!S$59,'2.Tien do'!$E65:$AN65)</f>
        <v>0</v>
      </c>
      <c r="T60" s="1821">
        <f>SUMIF('2.Tien do'!$E$7:$AN$7,Summary!T$59,'2.Tien do'!$E65:$AN65)</f>
        <v>0</v>
      </c>
    </row>
    <row r="61" spans="2:20" s="1654" customFormat="1" ht="16.5">
      <c r="B61" s="1750"/>
      <c r="C61" s="2137">
        <f>+C60+1</f>
        <v>2</v>
      </c>
      <c r="D61" s="2138" t="str">
        <f>+'2.Tien do'!C66</f>
        <v>Căn hộ shop TM</v>
      </c>
      <c r="E61" s="2139">
        <f>+K14</f>
        <v>2246.1742599620488</v>
      </c>
      <c r="F61" s="2140">
        <f>+'5.Doanh thu'!E19</f>
        <v>54.504460817322105</v>
      </c>
      <c r="G61" s="2141"/>
      <c r="H61" s="2141">
        <f>+E61*F61</f>
        <v>122426.51694097897</v>
      </c>
      <c r="I61" s="2142">
        <f>L14</f>
        <v>18</v>
      </c>
      <c r="J61" s="2143">
        <f>+H61/I61</f>
        <v>6801.47316338772</v>
      </c>
      <c r="K61" s="1710"/>
      <c r="L61" s="1819" t="str">
        <f>+'2.Tien do'!C66</f>
        <v>Căn hộ shop TM</v>
      </c>
      <c r="M61" s="2220"/>
      <c r="N61" s="1820">
        <f>+SUM(O61:T61)</f>
        <v>1</v>
      </c>
      <c r="O61" s="1821">
        <f>SUMIF('2.Tien do'!$E$7:$AN$7,Summary!O$59,'2.Tien do'!$E66:$AN66)</f>
        <v>0</v>
      </c>
      <c r="P61" s="1821">
        <f>SUMIF('2.Tien do'!$E$7:$AN$7,Summary!P$59,'2.Tien do'!$E66:$AN66)</f>
        <v>0</v>
      </c>
      <c r="Q61" s="1821">
        <f>SUMIF('2.Tien do'!$E$7:$AN$7,Summary!Q$59,'2.Tien do'!$E66:$AN66)</f>
        <v>0</v>
      </c>
      <c r="R61" s="1821">
        <f>SUMIF('2.Tien do'!$E$7:$AN$7,Summary!R$59,'2.Tien do'!$E66:$AN66)</f>
        <v>1</v>
      </c>
      <c r="S61" s="1821">
        <f>SUMIF('2.Tien do'!$E$7:$AN$7,Summary!S$59,'2.Tien do'!$E66:$AN66)</f>
        <v>0</v>
      </c>
      <c r="T61" s="1821">
        <f>SUMIF('2.Tien do'!$E$7:$AN$7,Summary!T$59,'2.Tien do'!$E66:$AN66)</f>
        <v>0</v>
      </c>
    </row>
    <row r="62" spans="2:20" s="1654" customFormat="1" ht="16.5">
      <c r="B62" s="1750"/>
      <c r="C62" s="2137">
        <f>+C61+1</f>
        <v>3</v>
      </c>
      <c r="D62" s="2138" t="str">
        <f>+'2.Tien do'!C68</f>
        <v>Căn officetel</v>
      </c>
      <c r="E62" s="2204">
        <f>+K15</f>
        <v>6156.4232258064512</v>
      </c>
      <c r="F62" s="2205">
        <f>+'5.Doanh thu'!E31</f>
        <v>49.141960817322101</v>
      </c>
      <c r="G62" s="2206"/>
      <c r="H62" s="2141">
        <f>+E62*F62</f>
        <v>302538.70893743238</v>
      </c>
      <c r="I62" s="2142">
        <f>L15</f>
        <v>154.32543396226416</v>
      </c>
      <c r="J62" s="2143">
        <f t="shared" ref="J62:J63" si="5">+H62/I62</f>
        <v>1960.3943508845698</v>
      </c>
      <c r="K62" s="1710"/>
      <c r="L62" s="1819" t="str">
        <f>+'2.Tien do'!C68</f>
        <v>Căn officetel</v>
      </c>
      <c r="M62" s="2220"/>
      <c r="N62" s="1820">
        <f t="shared" ref="N62:N63" si="6">+SUM(O62:T62)</f>
        <v>0.99999999999999989</v>
      </c>
      <c r="O62" s="1821">
        <f>SUMIF('2.Tien do'!$E$7:$AN$7,Summary!O$59,'2.Tien do'!$E68:$AN68)</f>
        <v>0</v>
      </c>
      <c r="P62" s="1821">
        <f>SUMIF('2.Tien do'!$E$7:$AN$7,Summary!P$59,'2.Tien do'!$E68:$AN68)</f>
        <v>0</v>
      </c>
      <c r="Q62" s="1821">
        <f>SUMIF('2.Tien do'!$E$7:$AN$7,Summary!Q$59,'2.Tien do'!$E68:$AN68)</f>
        <v>0.85286041189931294</v>
      </c>
      <c r="R62" s="1821">
        <f>SUMIF('2.Tien do'!$E$7:$AN$7,Summary!R$59,'2.Tien do'!$E68:$AN68)</f>
        <v>0.14713958810068697</v>
      </c>
      <c r="S62" s="1821">
        <f>SUMIF('2.Tien do'!$E$7:$AN$7,Summary!S$59,'2.Tien do'!$E68:$AN68)</f>
        <v>0</v>
      </c>
      <c r="T62" s="1821">
        <f>SUMIF('2.Tien do'!$E$7:$AN$7,Summary!T$59,'2.Tien do'!$E68:$AN68)</f>
        <v>0</v>
      </c>
    </row>
    <row r="63" spans="2:20" s="1654" customFormat="1" ht="16.5">
      <c r="B63" s="1750"/>
      <c r="C63" s="2137">
        <f>+C62+1</f>
        <v>4</v>
      </c>
      <c r="D63" s="2138" t="str">
        <f>+'2.Tien do'!C71</f>
        <v>Nhà phố liên kế</v>
      </c>
      <c r="E63" s="2204">
        <f>+K18</f>
        <v>6572.61</v>
      </c>
      <c r="F63" s="2205">
        <f>+'5.Doanh thu'!E98</f>
        <v>87.504460817322098</v>
      </c>
      <c r="G63" s="2206"/>
      <c r="H63" s="2141">
        <f>+E63*F63</f>
        <v>575132.69421253935</v>
      </c>
      <c r="I63" s="1775">
        <f>+L18</f>
        <v>73.028999999999996</v>
      </c>
      <c r="J63" s="2143">
        <f>IFERROR(H63/I63,0)</f>
        <v>7875.401473558989</v>
      </c>
      <c r="K63" s="1710"/>
      <c r="L63" s="1710" t="str">
        <f>+'2.Tien do'!C71</f>
        <v>Nhà phố liên kế</v>
      </c>
      <c r="M63" s="2220"/>
      <c r="N63" s="1820">
        <f t="shared" si="6"/>
        <v>1</v>
      </c>
      <c r="O63" s="1821">
        <f>SUMIF('2.Tien do'!$E$7:$AN$7,Summary!O$59,'2.Tien do'!$E71:$AN71)</f>
        <v>0</v>
      </c>
      <c r="P63" s="1821">
        <f>SUMIF('2.Tien do'!$E$7:$AN$7,Summary!P$59,'2.Tien do'!$E71:$AN71)</f>
        <v>0</v>
      </c>
      <c r="Q63" s="1821">
        <f>SUMIF('2.Tien do'!$E$7:$AN$7,Summary!Q$59,'2.Tien do'!$E71:$AN71)</f>
        <v>0.66666666666666663</v>
      </c>
      <c r="R63" s="1821">
        <f>SUMIF('2.Tien do'!$E$7:$AN$7,Summary!R$59,'2.Tien do'!$E71:$AN71)</f>
        <v>0.33333333333333331</v>
      </c>
      <c r="S63" s="1821">
        <f>SUMIF('2.Tien do'!$E$7:$AN$7,Summary!S$59,'2.Tien do'!$E71:$AN71)</f>
        <v>0</v>
      </c>
      <c r="T63" s="1821">
        <f>SUMIF('2.Tien do'!$E$7:$AN$7,Summary!T$59,'2.Tien do'!$E71:$AN71)</f>
        <v>0</v>
      </c>
    </row>
    <row r="64" spans="2:20" s="1654" customFormat="1" ht="16.5">
      <c r="B64" s="1750"/>
      <c r="C64" s="1797">
        <f>+C61+1</f>
        <v>3</v>
      </c>
      <c r="D64" s="1766" t="str">
        <f>+'2.Tien do'!C70</f>
        <v>Nhà trẻ</v>
      </c>
      <c r="E64" s="1798">
        <f>+K16</f>
        <v>1700</v>
      </c>
      <c r="F64" s="1799">
        <f>+'5.Doanh thu'!E112</f>
        <v>18.063862911852532</v>
      </c>
      <c r="G64" s="2283">
        <f>+E64*F64</f>
        <v>30708.566950149303</v>
      </c>
      <c r="H64" s="2283"/>
      <c r="I64" s="1775">
        <f>+L16</f>
        <v>1</v>
      </c>
      <c r="J64" s="1800"/>
      <c r="K64" s="1710"/>
      <c r="L64" s="2102" t="str">
        <f>+'2.Tien do'!C70</f>
        <v>Nhà trẻ</v>
      </c>
      <c r="M64" s="2102"/>
      <c r="N64" s="2103">
        <f>+SUM(O64:T64)</f>
        <v>1</v>
      </c>
      <c r="O64" s="2104">
        <f>SUMIF('2.Tien do'!$E$7:$AN$7,Summary!O$59,'2.Tien do'!$E70:$AN70)</f>
        <v>0</v>
      </c>
      <c r="P64" s="2104">
        <f>SUMIF('2.Tien do'!$E$7:$AN$7,Summary!P$59,'2.Tien do'!$E70:$AN70)</f>
        <v>0</v>
      </c>
      <c r="Q64" s="2104">
        <f>SUMIF('2.Tien do'!$E$7:$AN$7,Summary!Q$59,'2.Tien do'!$E70:$AN70)</f>
        <v>0</v>
      </c>
      <c r="R64" s="2104">
        <f>SUMIF('2.Tien do'!$E$7:$AN$7,Summary!R$59,'2.Tien do'!$E70:$AN70)</f>
        <v>0</v>
      </c>
      <c r="S64" s="2104">
        <f>SUMIF('2.Tien do'!$E$7:$AN$7,Summary!S$59,'2.Tien do'!$E70:$AN70)</f>
        <v>1</v>
      </c>
      <c r="T64" s="2104">
        <f>SUMIF('2.Tien do'!$E$7:$AN$7,Summary!T$59,'2.Tien do'!$E70:$AN70)</f>
        <v>0</v>
      </c>
    </row>
    <row r="65" spans="2:19" s="1654" customFormat="1" ht="16.5">
      <c r="B65" s="1750"/>
      <c r="C65" s="2270" t="s">
        <v>53</v>
      </c>
      <c r="D65" s="2270"/>
      <c r="E65" s="2270"/>
      <c r="F65" s="2270"/>
      <c r="G65" s="2271">
        <f>SUM(G60:H64)</f>
        <v>5230427.2563588815</v>
      </c>
      <c r="H65" s="2270"/>
      <c r="I65" s="1954"/>
      <c r="J65" s="1954"/>
      <c r="K65" s="1710"/>
    </row>
    <row r="66" spans="2:19" s="1654" customFormat="1" ht="16.5">
      <c r="B66" s="1750"/>
      <c r="C66" s="197"/>
      <c r="D66" s="197"/>
      <c r="E66" s="197"/>
      <c r="F66" s="197"/>
      <c r="G66" s="197"/>
      <c r="H66" s="2075">
        <f>+G65-'5.Doanh thu'!G116</f>
        <v>0</v>
      </c>
      <c r="I66" s="197"/>
      <c r="J66" s="197"/>
      <c r="K66" s="1710"/>
      <c r="L66" s="1710"/>
      <c r="M66" s="1710"/>
      <c r="N66" s="1710"/>
      <c r="O66" s="1710"/>
      <c r="P66" s="1710"/>
      <c r="Q66" s="1710"/>
      <c r="R66" s="1710"/>
      <c r="S66" s="1710"/>
    </row>
    <row r="67" spans="2:19" s="1654" customFormat="1" ht="16.5">
      <c r="B67" s="1750"/>
      <c r="C67" s="1713" t="s">
        <v>777</v>
      </c>
      <c r="D67" s="197"/>
      <c r="E67" s="197"/>
      <c r="F67" s="197"/>
      <c r="G67" s="197"/>
      <c r="H67" s="2144"/>
      <c r="I67" s="197"/>
      <c r="J67" s="197"/>
      <c r="K67" s="1710"/>
      <c r="L67" s="1710"/>
      <c r="M67" s="1710"/>
      <c r="N67" s="1710"/>
      <c r="O67" s="1710"/>
      <c r="P67" s="1710"/>
      <c r="Q67" s="1710"/>
      <c r="R67" s="1710"/>
      <c r="S67" s="1710"/>
    </row>
    <row r="68" spans="2:19" s="1652" customFormat="1" ht="20.25">
      <c r="B68" s="1749" t="s">
        <v>723</v>
      </c>
      <c r="C68" s="197" t="s">
        <v>493</v>
      </c>
      <c r="D68" s="197"/>
      <c r="E68" s="197"/>
      <c r="F68" s="197"/>
      <c r="G68" s="197"/>
      <c r="H68" s="197"/>
      <c r="I68" s="197"/>
      <c r="J68" s="197"/>
      <c r="K68" s="1710"/>
      <c r="L68" s="1710"/>
      <c r="M68" s="1710"/>
      <c r="N68" s="1710"/>
      <c r="O68" s="1710"/>
      <c r="P68" s="1710"/>
      <c r="Q68" s="1710"/>
      <c r="R68" s="1710"/>
      <c r="S68" s="1710"/>
    </row>
    <row r="69" spans="2:19" ht="7.15" customHeight="1"/>
    <row r="70" spans="2:19" s="1657" customFormat="1" ht="47.25">
      <c r="B70" s="1753"/>
      <c r="C70" s="1665" t="s">
        <v>0</v>
      </c>
      <c r="D70" s="1665" t="s">
        <v>96</v>
      </c>
      <c r="E70" s="1665" t="s">
        <v>177</v>
      </c>
      <c r="F70" s="1665" t="s">
        <v>178</v>
      </c>
      <c r="G70" s="1665" t="s">
        <v>371</v>
      </c>
      <c r="H70" s="1665" t="s">
        <v>179</v>
      </c>
      <c r="I70" s="1665" t="s">
        <v>183</v>
      </c>
      <c r="J70" s="2281" t="s">
        <v>87</v>
      </c>
      <c r="K70" s="2290"/>
      <c r="L70" s="2282"/>
      <c r="M70" s="1715"/>
      <c r="N70"/>
      <c r="O70" s="1715"/>
      <c r="P70" s="1715"/>
      <c r="Q70" s="1715"/>
      <c r="R70" s="1715"/>
      <c r="S70" s="1715"/>
    </row>
    <row r="71" spans="2:19" s="1656" customFormat="1" ht="16.5" customHeight="1" outlineLevel="1">
      <c r="B71" s="1752"/>
      <c r="C71" s="1733" t="s">
        <v>2</v>
      </c>
      <c r="D71" s="1827" t="s">
        <v>334</v>
      </c>
      <c r="E71" s="1828">
        <f>SUM(E72:E76)</f>
        <v>97820.304990333316</v>
      </c>
      <c r="F71" s="1829"/>
      <c r="G71" s="1830">
        <f>I71/E71</f>
        <v>49.059353835909612</v>
      </c>
      <c r="H71" s="1829"/>
      <c r="I71" s="1831">
        <f>SUM(I72:I76)</f>
        <v>4799000.9548573568</v>
      </c>
      <c r="J71" s="2291"/>
      <c r="K71" s="2291"/>
      <c r="L71" s="2291"/>
      <c r="M71" s="1728"/>
      <c r="N71" s="1728"/>
      <c r="O71" s="1728"/>
      <c r="P71" s="1728"/>
      <c r="Q71" s="1728"/>
      <c r="R71" s="1728"/>
      <c r="S71" s="1728"/>
    </row>
    <row r="72" spans="2:19" s="1655" customFormat="1" ht="16.5" customHeight="1" outlineLevel="1">
      <c r="B72" s="1753"/>
      <c r="C72" s="1850"/>
      <c r="D72" s="1786" t="str">
        <f>+'4.Chi phi hoat dong'!C70</f>
        <v>Căn hộ khối tháp</v>
      </c>
      <c r="E72" s="1851">
        <f>'5.Doanh thu'!E12</f>
        <v>81145.097504564808</v>
      </c>
      <c r="F72" s="1852"/>
      <c r="G72" s="1853">
        <f>+'8.ĐO NHAY'!C8</f>
        <v>47.5</v>
      </c>
      <c r="H72" s="1854">
        <f>I72/$I$71</f>
        <v>0.80316552710112854</v>
      </c>
      <c r="I72" s="1855">
        <f>+E72*G72</f>
        <v>3854392.1314668283</v>
      </c>
      <c r="J72" s="2292"/>
      <c r="K72" s="2292"/>
      <c r="L72" s="2292"/>
      <c r="M72" s="1715"/>
      <c r="N72" s="1715"/>
      <c r="O72" s="1715"/>
      <c r="P72" s="1715"/>
      <c r="Q72" s="1715"/>
      <c r="R72" s="1715"/>
      <c r="S72" s="1715"/>
    </row>
    <row r="73" spans="2:19" s="1655" customFormat="1" ht="16.5" customHeight="1" outlineLevel="1">
      <c r="B73" s="1753"/>
      <c r="C73" s="1856"/>
      <c r="D73" s="1788" t="str">
        <f>+'4.Chi phi hoat dong'!C71</f>
        <v>Căn hộ shop TM</v>
      </c>
      <c r="E73" s="1857">
        <f>+'5.Doanh thu'!E18</f>
        <v>2246.1742599620488</v>
      </c>
      <c r="F73" s="1858"/>
      <c r="G73" s="1859">
        <f>+'8.ĐO NHAY'!C9</f>
        <v>50</v>
      </c>
      <c r="H73" s="1860">
        <f>I73/$I$71</f>
        <v>2.3402519410717779E-2</v>
      </c>
      <c r="I73" s="1861">
        <f>+E73*G73</f>
        <v>112308.71299810245</v>
      </c>
      <c r="J73" s="2261"/>
      <c r="K73" s="2261"/>
      <c r="L73" s="2261"/>
      <c r="M73" s="1735"/>
      <c r="N73" s="1715"/>
      <c r="O73" s="1715"/>
      <c r="P73" s="1715"/>
      <c r="Q73" s="1715"/>
      <c r="R73" s="1715"/>
      <c r="S73" s="1715"/>
    </row>
    <row r="74" spans="2:19" s="1655" customFormat="1" ht="16.5" customHeight="1" outlineLevel="1">
      <c r="B74" s="1753"/>
      <c r="C74" s="1892"/>
      <c r="D74" s="2187" t="str">
        <f>+'4.Chi phi hoat dong'!C36</f>
        <v>Căn officetel</v>
      </c>
      <c r="E74" s="2188">
        <f>+'5.Doanh thu'!E30</f>
        <v>6156.4232258064512</v>
      </c>
      <c r="F74" s="1893"/>
      <c r="G74" s="1859">
        <f>+'8.ĐO NHAY'!C11</f>
        <v>45.125</v>
      </c>
      <c r="H74" s="1894">
        <f t="shared" ref="H74:H76" si="7">I74/$I$71</f>
        <v>5.7888839922677932E-2</v>
      </c>
      <c r="I74" s="1861">
        <f t="shared" ref="I74:I75" si="8">+E74*G74</f>
        <v>277808.59806451609</v>
      </c>
      <c r="J74" s="2189"/>
      <c r="K74" s="2189"/>
      <c r="L74" s="2189"/>
      <c r="M74" s="1735"/>
      <c r="N74" s="1715"/>
      <c r="O74" s="1715"/>
      <c r="P74" s="1715"/>
      <c r="Q74" s="1715"/>
      <c r="R74" s="1715"/>
      <c r="S74" s="1715"/>
    </row>
    <row r="75" spans="2:19" s="1655" customFormat="1" ht="16.5" customHeight="1" outlineLevel="1">
      <c r="B75" s="1753"/>
      <c r="C75" s="1892"/>
      <c r="D75" s="2187" t="str">
        <f>+'4.Chi phi hoat dong'!C39</f>
        <v>Nhà phố liên kế</v>
      </c>
      <c r="E75" s="2188">
        <f>+'5.Doanh thu'!E97</f>
        <v>6572.61</v>
      </c>
      <c r="F75" s="1893"/>
      <c r="G75" s="1859">
        <f>+'8.ĐO NHAY'!C12</f>
        <v>80</v>
      </c>
      <c r="H75" s="1894">
        <f t="shared" si="7"/>
        <v>0.10956630451756783</v>
      </c>
      <c r="I75" s="1861">
        <f t="shared" si="8"/>
        <v>525808.79999999993</v>
      </c>
      <c r="J75" s="2189"/>
      <c r="K75" s="2189"/>
      <c r="L75" s="2189"/>
      <c r="M75" s="1735"/>
      <c r="N75" s="1715"/>
      <c r="O75" s="1715"/>
      <c r="P75" s="1715"/>
      <c r="Q75" s="1715"/>
      <c r="R75" s="1715"/>
      <c r="S75" s="1715"/>
    </row>
    <row r="76" spans="2:19" s="1655" customFormat="1" ht="16.5" customHeight="1" outlineLevel="1">
      <c r="B76" s="1753"/>
      <c r="C76" s="1892"/>
      <c r="D76" s="1788" t="str">
        <f>+'4.Chi phi hoat dong'!C75</f>
        <v>Nhà trẻ</v>
      </c>
      <c r="E76" s="1857">
        <f>+K16</f>
        <v>1700</v>
      </c>
      <c r="F76" s="1893"/>
      <c r="G76" s="1859">
        <f t="shared" ref="G76" si="9">+IFERROR(I76/E76,0)</f>
        <v>16.872183722300395</v>
      </c>
      <c r="H76" s="1894">
        <f t="shared" si="7"/>
        <v>5.9768090479080183E-3</v>
      </c>
      <c r="I76" s="1861">
        <f>'4.Chi phi hoat dong'!D75</f>
        <v>28682.712327910671</v>
      </c>
      <c r="J76" s="2261" t="str">
        <f>+"Giá cho thuê: "&amp;ROUND(QĐGB!H3,0)&amp;"$/m2/tháng"</f>
        <v>Giá cho thuê: 4$/m2/tháng</v>
      </c>
      <c r="K76" s="2261"/>
      <c r="L76" s="2261"/>
      <c r="M76" s="1735"/>
      <c r="N76" s="1715"/>
      <c r="O76" s="1715"/>
      <c r="P76" s="1715"/>
      <c r="Q76" s="1715"/>
      <c r="R76" s="1715"/>
      <c r="S76" s="1715"/>
    </row>
    <row r="77" spans="2:19" s="1656" customFormat="1" ht="16.5" customHeight="1" outlineLevel="1">
      <c r="B77" s="1752"/>
      <c r="C77" s="1733" t="s">
        <v>6</v>
      </c>
      <c r="D77" s="1827" t="s">
        <v>333</v>
      </c>
      <c r="E77" s="1828"/>
      <c r="F77" s="1829"/>
      <c r="G77" s="1830">
        <f t="shared" ref="G77:G102" si="10">I77/$E$71</f>
        <v>44.558702744203501</v>
      </c>
      <c r="H77" s="1829"/>
      <c r="I77" s="1832">
        <f>I78+I93+I104</f>
        <v>4358745.8924115887</v>
      </c>
      <c r="J77" s="2291"/>
      <c r="K77" s="2291"/>
      <c r="L77" s="2291"/>
      <c r="M77" s="1728"/>
      <c r="N77" s="1728"/>
      <c r="O77" s="1728"/>
      <c r="P77" s="1728"/>
      <c r="Q77" s="1728"/>
      <c r="R77" s="1728"/>
      <c r="S77" s="1728"/>
    </row>
    <row r="78" spans="2:19" s="1656" customFormat="1" ht="16.5" customHeight="1" outlineLevel="1">
      <c r="B78" s="1752"/>
      <c r="C78" s="1733">
        <v>1</v>
      </c>
      <c r="D78" s="1827" t="s">
        <v>99</v>
      </c>
      <c r="E78" s="1828"/>
      <c r="F78" s="1829"/>
      <c r="G78" s="1830">
        <f t="shared" si="10"/>
        <v>34.614934990182029</v>
      </c>
      <c r="H78" s="1833"/>
      <c r="I78" s="1832">
        <f>SUM(I79,I83:I84,I92)</f>
        <v>3386043.4979601661</v>
      </c>
      <c r="J78" s="2291"/>
      <c r="K78" s="2291"/>
      <c r="L78" s="2291"/>
      <c r="M78" s="1728"/>
      <c r="N78" s="1728"/>
      <c r="O78" s="1728"/>
      <c r="P78" s="1728"/>
      <c r="Q78" s="1728"/>
      <c r="R78" s="1728"/>
      <c r="S78" s="1728"/>
    </row>
    <row r="79" spans="2:19" s="1656" customFormat="1" ht="16.5" customHeight="1" outlineLevel="1">
      <c r="B79" s="1752"/>
      <c r="C79" s="1862"/>
      <c r="D79" s="1667" t="s">
        <v>477</v>
      </c>
      <c r="E79" s="1834">
        <f>'1. thong tin quy hoach'!D9</f>
        <v>26556</v>
      </c>
      <c r="F79" s="1835">
        <f>I79/E79</f>
        <v>41.045595937501794</v>
      </c>
      <c r="G79" s="1836">
        <f t="shared" si="10"/>
        <v>11.142950799673065</v>
      </c>
      <c r="H79" s="1837">
        <f t="shared" ref="H79:H92" si="11">I79/$I$78</f>
        <v>0.32191164891205443</v>
      </c>
      <c r="I79" s="1838">
        <f>SUM(I80:I82)</f>
        <v>1090006.8457162976</v>
      </c>
      <c r="J79" s="2293"/>
      <c r="K79" s="2293"/>
      <c r="L79" s="2293"/>
      <c r="M79" s="1728"/>
      <c r="N79" s="1728"/>
      <c r="O79" s="1728"/>
      <c r="P79" s="1728"/>
      <c r="Q79" s="1728"/>
      <c r="R79" s="1728"/>
      <c r="S79" s="1728"/>
    </row>
    <row r="80" spans="2:19" s="1658" customFormat="1" ht="16.5" customHeight="1" outlineLevel="1">
      <c r="B80" s="1754"/>
      <c r="C80" s="1863"/>
      <c r="D80" s="1864" t="s">
        <v>347</v>
      </c>
      <c r="E80" s="1865">
        <f>+E23</f>
        <v>28226.455999999998</v>
      </c>
      <c r="F80" s="1866">
        <f>I80/E80</f>
        <v>18.422433195297348</v>
      </c>
      <c r="G80" s="1867"/>
      <c r="H80" s="1868">
        <f t="shared" si="11"/>
        <v>0.15357156525403778</v>
      </c>
      <c r="I80" s="1869">
        <f>'3.Du toan'!F12</f>
        <v>520000</v>
      </c>
      <c r="J80" s="2292"/>
      <c r="K80" s="2292"/>
      <c r="L80" s="2292"/>
      <c r="M80" s="1132"/>
      <c r="N80" s="1736"/>
      <c r="O80" s="1736"/>
      <c r="P80" s="1736"/>
      <c r="Q80" s="1736"/>
      <c r="R80" s="1736"/>
      <c r="S80" s="1736"/>
    </row>
    <row r="81" spans="2:19" s="1658" customFormat="1" ht="16.5" customHeight="1" outlineLevel="1">
      <c r="B81" s="1754"/>
      <c r="C81" s="1870"/>
      <c r="D81" s="1871" t="s">
        <v>666</v>
      </c>
      <c r="E81" s="1872">
        <f>+E11</f>
        <v>21178.41</v>
      </c>
      <c r="F81" s="1873">
        <f>+I81/E81</f>
        <v>22.888306527361195</v>
      </c>
      <c r="G81" s="1874"/>
      <c r="H81" s="1875">
        <f t="shared" si="11"/>
        <v>0.14315762338379567</v>
      </c>
      <c r="I81" s="1876">
        <f>'3.Du toan'!F13</f>
        <v>484737.93984213157</v>
      </c>
      <c r="J81" s="2261"/>
      <c r="K81" s="2261"/>
      <c r="L81" s="2261"/>
      <c r="M81" s="1736"/>
      <c r="N81" s="1736"/>
      <c r="O81" s="1736"/>
      <c r="P81" s="1736"/>
      <c r="Q81" s="1736"/>
      <c r="R81" s="1736"/>
      <c r="S81" s="1736"/>
    </row>
    <row r="82" spans="2:19" s="1659" customFormat="1" ht="16.5" customHeight="1" outlineLevel="1">
      <c r="B82" s="1755"/>
      <c r="C82" s="1877"/>
      <c r="D82" s="1878" t="s">
        <v>101</v>
      </c>
      <c r="E82" s="1879"/>
      <c r="F82" s="1880"/>
      <c r="G82" s="1881"/>
      <c r="H82" s="1882">
        <f t="shared" si="11"/>
        <v>2.5182460274220993E-2</v>
      </c>
      <c r="I82" s="1883">
        <f>'3.Du toan'!F15</f>
        <v>85268.905874166172</v>
      </c>
      <c r="J82" s="2263"/>
      <c r="K82" s="2263"/>
      <c r="L82" s="2263"/>
      <c r="M82" s="1737"/>
      <c r="N82" s="1737"/>
      <c r="O82" s="1737"/>
      <c r="P82" s="1737"/>
      <c r="Q82" s="1737"/>
      <c r="R82" s="1737"/>
      <c r="S82" s="1737"/>
    </row>
    <row r="83" spans="2:19" s="1659" customFormat="1" ht="16.5" customHeight="1" outlineLevel="1">
      <c r="B83" s="1755"/>
      <c r="C83" s="1841"/>
      <c r="D83" s="1667" t="s">
        <v>671</v>
      </c>
      <c r="E83" s="1834">
        <f>'1. thong tin quy hoach'!D9</f>
        <v>26556</v>
      </c>
      <c r="F83" s="1835"/>
      <c r="G83" s="1839"/>
      <c r="H83" s="1840"/>
      <c r="I83" s="1838">
        <f>+'3.Du toan'!F17/1.1</f>
        <v>0</v>
      </c>
      <c r="J83" s="1734"/>
      <c r="K83" s="1734"/>
      <c r="L83" s="1734"/>
      <c r="M83" s="1737"/>
      <c r="N83" s="1737"/>
      <c r="O83" s="1737"/>
      <c r="P83" s="1737"/>
      <c r="Q83" s="1737"/>
      <c r="R83" s="1737"/>
      <c r="S83" s="1737"/>
    </row>
    <row r="84" spans="2:19" s="1659" customFormat="1" ht="16.5" customHeight="1" outlineLevel="1">
      <c r="B84" s="1755"/>
      <c r="C84" s="1842"/>
      <c r="D84" s="1667" t="s">
        <v>733</v>
      </c>
      <c r="E84" s="1834">
        <f>+E85+E91</f>
        <v>172561.10118529413</v>
      </c>
      <c r="F84" s="1835">
        <f>I84/E84</f>
        <v>12.675448546514653</v>
      </c>
      <c r="G84" s="1836">
        <f t="shared" si="10"/>
        <v>22.360279488192706</v>
      </c>
      <c r="H84" s="1837">
        <f t="shared" si="11"/>
        <v>0.64597202030091472</v>
      </c>
      <c r="I84" s="1838">
        <f>+I85+I91</f>
        <v>2187289.3592041046</v>
      </c>
      <c r="J84" s="2293"/>
      <c r="K84" s="2293"/>
      <c r="L84" s="2293"/>
      <c r="M84" s="1737"/>
      <c r="N84" s="1737"/>
      <c r="O84" s="1737"/>
      <c r="P84" s="1737"/>
      <c r="Q84" s="1737"/>
      <c r="R84" s="1737"/>
      <c r="S84" s="1737"/>
    </row>
    <row r="85" spans="2:19" s="1659" customFormat="1" ht="16.5" customHeight="1" outlineLevel="1">
      <c r="B85" s="1755"/>
      <c r="C85" s="2207"/>
      <c r="D85" s="2209" t="s">
        <v>707</v>
      </c>
      <c r="E85" s="2216">
        <f>+J12</f>
        <v>146585.35473529412</v>
      </c>
      <c r="F85" s="2217">
        <f>+I85/E85</f>
        <v>13.715</v>
      </c>
      <c r="G85" s="2218">
        <f>I85/SUM($E$72:$E$74)</f>
        <v>22.450808369903701</v>
      </c>
      <c r="H85" s="2219"/>
      <c r="I85" s="2210">
        <f>+'3.Du toan'!F19/1.1</f>
        <v>2010418.140194559</v>
      </c>
      <c r="J85" s="2208"/>
      <c r="K85" s="2208"/>
      <c r="L85" s="2208"/>
      <c r="M85" s="1737"/>
      <c r="N85" s="1737"/>
      <c r="O85" s="1737"/>
      <c r="P85" s="1737"/>
      <c r="Q85" s="1737"/>
      <c r="R85" s="1737"/>
      <c r="S85" s="1737"/>
    </row>
    <row r="86" spans="2:19" s="1659" customFormat="1" ht="16.5" customHeight="1" outlineLevel="1">
      <c r="B86" s="1755"/>
      <c r="C86" s="1886"/>
      <c r="D86" s="2093" t="s">
        <v>732</v>
      </c>
      <c r="E86" s="1851">
        <f>+E85</f>
        <v>146585.35473529412</v>
      </c>
      <c r="F86" s="1887">
        <f>IFERROR(I86/E86,0)</f>
        <v>11.818181818181818</v>
      </c>
      <c r="G86" s="2215">
        <f t="shared" si="10"/>
        <v>17.709742106361041</v>
      </c>
      <c r="H86" s="1888">
        <f>+I86/$I$78</f>
        <v>0.51162141750039769</v>
      </c>
      <c r="I86" s="1889">
        <f>+'3.Du toan'!F20/1.1</f>
        <v>1732372.3741443851</v>
      </c>
      <c r="J86" s="2292"/>
      <c r="K86" s="2292"/>
      <c r="L86" s="2292"/>
      <c r="M86" s="1738"/>
      <c r="N86" s="1737"/>
      <c r="O86" s="1737"/>
      <c r="P86" s="1737"/>
      <c r="Q86" s="1737"/>
      <c r="R86" s="1737"/>
      <c r="S86" s="1737"/>
    </row>
    <row r="87" spans="2:19" s="1656" customFormat="1" ht="16.5" customHeight="1" outlineLevel="1">
      <c r="B87" s="1752"/>
      <c r="C87" s="1913"/>
      <c r="D87" s="2094" t="s">
        <v>88</v>
      </c>
      <c r="E87" s="1857"/>
      <c r="F87" s="1922"/>
      <c r="G87" s="1917">
        <f t="shared" si="10"/>
        <v>0.17709742106361046</v>
      </c>
      <c r="H87" s="1918">
        <f t="shared" si="11"/>
        <v>5.1162141750039775E-3</v>
      </c>
      <c r="I87" s="1919">
        <f>('3.Du toan'!F28+'3.Du toan'!F42+'3.Du toan'!F56)/1.1</f>
        <v>17323.723741443853</v>
      </c>
      <c r="J87" s="2261"/>
      <c r="K87" s="2261"/>
      <c r="L87" s="2261"/>
      <c r="M87" s="1728"/>
      <c r="N87" s="1728"/>
      <c r="O87" s="1728"/>
      <c r="P87" s="1728"/>
      <c r="Q87" s="1728"/>
      <c r="R87" s="1728"/>
      <c r="S87" s="1728"/>
    </row>
    <row r="88" spans="2:19" s="1659" customFormat="1" ht="16.5" customHeight="1" outlineLevel="1">
      <c r="B88" s="1755"/>
      <c r="C88" s="1913"/>
      <c r="D88" s="2094" t="s">
        <v>721</v>
      </c>
      <c r="E88" s="1915"/>
      <c r="F88" s="1916"/>
      <c r="G88" s="1917">
        <f t="shared" si="10"/>
        <v>0.70838968425444182</v>
      </c>
      <c r="H88" s="1918">
        <f t="shared" si="11"/>
        <v>2.046485670001591E-2</v>
      </c>
      <c r="I88" s="1919">
        <f>+('3.Du toan'!F29+'3.Du toan'!F43+'3.Du toan'!F57)/1.1</f>
        <v>69294.894965775413</v>
      </c>
      <c r="J88" s="2261"/>
      <c r="K88" s="2261"/>
      <c r="L88" s="2261"/>
      <c r="M88" s="1737"/>
      <c r="N88" s="1737"/>
      <c r="O88" s="1737"/>
      <c r="P88" s="1737"/>
      <c r="Q88" s="1737"/>
      <c r="R88" s="1737"/>
      <c r="S88" s="1737"/>
    </row>
    <row r="89" spans="2:19" s="1659" customFormat="1" ht="16.5" customHeight="1" outlineLevel="1">
      <c r="B89" s="1755"/>
      <c r="C89" s="1913"/>
      <c r="D89" s="2094" t="s">
        <v>70</v>
      </c>
      <c r="E89" s="1915"/>
      <c r="F89" s="1916"/>
      <c r="G89" s="1917">
        <f t="shared" si="10"/>
        <v>8.8548710531805228E-2</v>
      </c>
      <c r="H89" s="1918">
        <f t="shared" si="11"/>
        <v>2.5581070875019887E-3</v>
      </c>
      <c r="I89" s="1919">
        <f>+('3.Du toan'!F30+'3.Du toan'!F44+'3.Du toan'!F58)/1.1</f>
        <v>8661.8618707219266</v>
      </c>
      <c r="J89" s="2261"/>
      <c r="K89" s="2261"/>
      <c r="L89" s="2261"/>
      <c r="M89" s="1737"/>
      <c r="N89" s="1737"/>
      <c r="O89" s="1737"/>
      <c r="P89" s="1737"/>
      <c r="Q89" s="1737"/>
      <c r="R89" s="1737"/>
      <c r="S89" s="1737"/>
    </row>
    <row r="90" spans="2:19" s="1659" customFormat="1" ht="16.5" customHeight="1" outlineLevel="1">
      <c r="B90" s="1755"/>
      <c r="C90" s="1920"/>
      <c r="D90" s="2095" t="s">
        <v>16</v>
      </c>
      <c r="E90" s="2096"/>
      <c r="F90" s="2097"/>
      <c r="G90" s="2098">
        <f t="shared" si="10"/>
        <v>1.86837779222109</v>
      </c>
      <c r="H90" s="1921">
        <f t="shared" si="11"/>
        <v>5.3976059546291963E-2</v>
      </c>
      <c r="I90" s="2099">
        <f>('3.Du toan'!F31+'3.Du toan'!F45+'3.Du toan'!F59)/1.1</f>
        <v>182765.28547223264</v>
      </c>
      <c r="J90" s="2262"/>
      <c r="K90" s="2262"/>
      <c r="L90" s="2262"/>
      <c r="M90" s="1737"/>
      <c r="N90" s="1737"/>
      <c r="O90" s="1737"/>
      <c r="P90" s="1737"/>
      <c r="Q90" s="1737"/>
      <c r="R90" s="1737"/>
      <c r="S90" s="1737"/>
    </row>
    <row r="91" spans="2:19" s="1659" customFormat="1" ht="16.5" customHeight="1" outlineLevel="1">
      <c r="B91" s="1755"/>
      <c r="C91" s="1842"/>
      <c r="D91" s="2211" t="s">
        <v>710</v>
      </c>
      <c r="E91" s="2100">
        <f>+J17</f>
        <v>25975.746449999999</v>
      </c>
      <c r="F91" s="2101">
        <f>IFERROR(I91/E91,0)</f>
        <v>6.8090909090909095</v>
      </c>
      <c r="G91" s="2212">
        <f>IFERROR(I91/E75,0)</f>
        <v>26.910347488980097</v>
      </c>
      <c r="H91" s="2213"/>
      <c r="I91" s="2214">
        <f>+'3.Du toan'!F61/1.1</f>
        <v>176871.21900954546</v>
      </c>
      <c r="J91" s="1734"/>
      <c r="K91" s="1734"/>
      <c r="L91" s="1734"/>
      <c r="M91" s="1737"/>
      <c r="N91" s="1737"/>
      <c r="O91" s="1737"/>
      <c r="P91" s="1737"/>
      <c r="Q91" s="1737"/>
      <c r="R91" s="1737"/>
      <c r="S91" s="1737"/>
    </row>
    <row r="92" spans="2:19" s="1659" customFormat="1" ht="16.5" customHeight="1" outlineLevel="1">
      <c r="B92" s="1755"/>
      <c r="C92" s="1842"/>
      <c r="D92" s="1667" t="s">
        <v>116</v>
      </c>
      <c r="E92" s="2100"/>
      <c r="F92" s="2101"/>
      <c r="G92" s="1836">
        <f t="shared" si="10"/>
        <v>1.1117047023162543</v>
      </c>
      <c r="H92" s="1837">
        <f t="shared" si="11"/>
        <v>3.2116330787030842E-2</v>
      </c>
      <c r="I92" s="1838">
        <f>'3.Du toan'!F78</f>
        <v>108747.2930397637</v>
      </c>
      <c r="J92" s="2265" t="str">
        <f>"Lãi suất "&amp;'6.Vay von'!C11*100&amp;"%/năm"</f>
        <v>Lãi suất 12%/năm</v>
      </c>
      <c r="K92" s="2265"/>
      <c r="L92" s="2265"/>
      <c r="M92" s="1737"/>
      <c r="N92" s="1737"/>
      <c r="O92" s="1737"/>
      <c r="P92" s="1737"/>
      <c r="Q92" s="1737"/>
      <c r="R92" s="1737"/>
      <c r="S92" s="1737"/>
    </row>
    <row r="93" spans="2:19" s="1656" customFormat="1" ht="16.5" customHeight="1">
      <c r="B93" s="1752"/>
      <c r="C93" s="1733">
        <v>2</v>
      </c>
      <c r="D93" s="1827" t="s">
        <v>172</v>
      </c>
      <c r="E93" s="1828"/>
      <c r="F93" s="1829"/>
      <c r="G93" s="1843">
        <f>I93/$E$71</f>
        <v>8.952153589563645</v>
      </c>
      <c r="H93" s="1829"/>
      <c r="I93" s="1832">
        <f>SUM(I94,I101:I103)</f>
        <v>875702.39445142285</v>
      </c>
      <c r="J93" s="2266" t="str">
        <f>ROUND(I93/I71,3)*100&amp; "% /Doanh thu"</f>
        <v>18.2% /Doanh thu</v>
      </c>
      <c r="K93" s="2266"/>
      <c r="L93" s="2266"/>
      <c r="M93" s="1728"/>
      <c r="N93" s="1728"/>
      <c r="O93" s="1728"/>
      <c r="P93" s="1728"/>
      <c r="Q93" s="1728"/>
      <c r="R93" s="1728"/>
      <c r="S93" s="1728"/>
    </row>
    <row r="94" spans="2:19" s="1656" customFormat="1" ht="16.5" customHeight="1">
      <c r="B94" s="1752"/>
      <c r="C94" s="1673"/>
      <c r="D94" s="1844" t="s">
        <v>102</v>
      </c>
      <c r="E94" s="1845"/>
      <c r="F94" s="1844"/>
      <c r="G94" s="1846">
        <f>I94/$E$71</f>
        <v>8.457464163845307</v>
      </c>
      <c r="H94" s="1844"/>
      <c r="I94" s="1838">
        <f>SUM(I95:I100)</f>
        <v>827311.72395216231</v>
      </c>
      <c r="J94" s="2267" t="str">
        <f>ROUND('4.Chi phi hoat dong'!D10,3)*100 &amp; "% /Doanh thu bán (không bao gồm cho thuê)"</f>
        <v>17.5% /Doanh thu bán (không bao gồm cho thuê)</v>
      </c>
      <c r="K94" s="2267"/>
      <c r="L94" s="2267"/>
      <c r="M94" s="1728"/>
      <c r="N94" s="1728"/>
      <c r="O94" s="1728"/>
      <c r="P94" s="1728"/>
      <c r="Q94" s="1728"/>
      <c r="R94" s="1728"/>
      <c r="S94" s="1728"/>
    </row>
    <row r="95" spans="2:19" s="1660" customFormat="1" ht="16.5" customHeight="1">
      <c r="B95" s="1756"/>
      <c r="C95" s="1895"/>
      <c r="D95" s="1896" t="s">
        <v>346</v>
      </c>
      <c r="E95" s="1897"/>
      <c r="F95" s="1898"/>
      <c r="G95" s="1899">
        <f>I95/$E$71</f>
        <v>3.3826431982471239</v>
      </c>
      <c r="H95" s="1900"/>
      <c r="I95" s="1889">
        <f>+'4.Chi phi hoat dong'!E11/1.1</f>
        <v>330891.18932601018</v>
      </c>
      <c r="J95" s="2268" t="str">
        <f>ROUND('4.Chi phi hoat dong'!D11,3)*100 &amp; "% /Doanh thu"</f>
        <v>7% /Doanh thu</v>
      </c>
      <c r="K95" s="2268"/>
      <c r="L95" s="2268"/>
      <c r="M95" s="1740"/>
      <c r="N95" s="1740"/>
      <c r="O95" s="1740"/>
      <c r="P95" s="1740"/>
      <c r="Q95" s="1740"/>
      <c r="R95" s="1740"/>
      <c r="S95" s="1740"/>
    </row>
    <row r="96" spans="2:19" s="1660" customFormat="1" ht="16.5" customHeight="1">
      <c r="B96" s="1756"/>
      <c r="C96" s="1901"/>
      <c r="D96" s="1902" t="s">
        <v>351</v>
      </c>
      <c r="E96" s="1903"/>
      <c r="F96" s="1904"/>
      <c r="G96" s="1905">
        <f t="shared" ref="G96:G100" si="12">I96/$E$71</f>
        <v>0.96646948521346387</v>
      </c>
      <c r="H96" s="1906"/>
      <c r="I96" s="1876">
        <f>+'4.Chi phi hoat dong'!E12/1.1</f>
        <v>94540.339807431475</v>
      </c>
      <c r="J96" s="2264" t="str">
        <f>ROUND('4.Chi phi hoat dong'!D12,3)*100 &amp; "% /Doanh thu"</f>
        <v>2% /Doanh thu</v>
      </c>
      <c r="K96" s="2264"/>
      <c r="L96" s="2264"/>
      <c r="M96" s="1740"/>
      <c r="N96" s="1740"/>
      <c r="O96" s="1740"/>
      <c r="P96" s="1740"/>
      <c r="Q96" s="1740"/>
      <c r="R96" s="1740"/>
      <c r="S96" s="1740"/>
    </row>
    <row r="97" spans="2:20" s="1660" customFormat="1" ht="16.5" customHeight="1">
      <c r="B97" s="1756"/>
      <c r="C97" s="1901"/>
      <c r="D97" s="1902" t="s">
        <v>490</v>
      </c>
      <c r="E97" s="1903"/>
      <c r="F97" s="1904"/>
      <c r="G97" s="1905">
        <f t="shared" si="12"/>
        <v>3.2376727754651049</v>
      </c>
      <c r="H97" s="1906"/>
      <c r="I97" s="1876">
        <f>+'4.Chi phi hoat dong'!E13/1.1</f>
        <v>316710.13835489552</v>
      </c>
      <c r="J97" s="2264" t="str">
        <f>ROUND('4.Chi phi hoat dong'!D13,3)*100 &amp; "% /Doanh thu (gồm hỗ trợ lãi suất)"</f>
        <v>6.7% /Doanh thu (gồm hỗ trợ lãi suất)</v>
      </c>
      <c r="K97" s="2264"/>
      <c r="L97" s="2264"/>
      <c r="M97" s="1740"/>
      <c r="N97" s="1740"/>
      <c r="O97" s="1740"/>
      <c r="P97" s="1740"/>
      <c r="Q97" s="1740"/>
      <c r="R97" s="1740"/>
      <c r="S97" s="1740"/>
    </row>
    <row r="98" spans="2:20" s="1660" customFormat="1" ht="16.5" customHeight="1">
      <c r="B98" s="1756"/>
      <c r="C98" s="1901"/>
      <c r="D98" s="1902" t="s">
        <v>491</v>
      </c>
      <c r="E98" s="1903"/>
      <c r="F98" s="1904"/>
      <c r="G98" s="1905">
        <f t="shared" si="12"/>
        <v>0.48323474260673194</v>
      </c>
      <c r="H98" s="1906"/>
      <c r="I98" s="1876">
        <f>+'4.Chi phi hoat dong'!E14/1.1</f>
        <v>47270.169903715738</v>
      </c>
      <c r="J98" s="2264" t="str">
        <f>ROUND('4.Chi phi hoat dong'!D14,3)*100 &amp; "% /Doanh thu"</f>
        <v>1% /Doanh thu</v>
      </c>
      <c r="K98" s="2264"/>
      <c r="L98" s="2264"/>
      <c r="M98" s="1740"/>
      <c r="N98" s="1740"/>
      <c r="O98" s="1740"/>
      <c r="P98" s="1740"/>
      <c r="Q98" s="1740"/>
      <c r="R98" s="1740"/>
      <c r="S98" s="1740"/>
    </row>
    <row r="99" spans="2:20" s="1660" customFormat="1" ht="16.5" customHeight="1">
      <c r="B99" s="1756"/>
      <c r="C99" s="1901"/>
      <c r="D99" s="1902" t="s">
        <v>492</v>
      </c>
      <c r="E99" s="1903"/>
      <c r="F99" s="1904"/>
      <c r="G99" s="1905">
        <f t="shared" si="12"/>
        <v>0.24161737130336597</v>
      </c>
      <c r="H99" s="1906"/>
      <c r="I99" s="1876">
        <f>+'4.Chi phi hoat dong'!E15/1.1</f>
        <v>23635.084951857869</v>
      </c>
      <c r="J99" s="2264" t="str">
        <f>ROUND('4.Chi phi hoat dong'!D15,3)*100 &amp; "% /Doanh thu"</f>
        <v>0.5% /Doanh thu</v>
      </c>
      <c r="K99" s="2264"/>
      <c r="L99" s="2264"/>
      <c r="M99" s="1740"/>
      <c r="N99" s="1740"/>
      <c r="O99" s="1740"/>
      <c r="P99" s="1740"/>
      <c r="Q99" s="1740"/>
      <c r="R99" s="1740"/>
      <c r="S99" s="1740"/>
    </row>
    <row r="100" spans="2:20" s="1660" customFormat="1" ht="16.5" customHeight="1">
      <c r="B100" s="1756"/>
      <c r="C100" s="1907"/>
      <c r="D100" s="1908" t="s">
        <v>367</v>
      </c>
      <c r="E100" s="1909"/>
      <c r="F100" s="1910"/>
      <c r="G100" s="1911">
        <f t="shared" si="12"/>
        <v>0.14582659100951637</v>
      </c>
      <c r="H100" s="1912"/>
      <c r="I100" s="1883">
        <f>+'4.Chi phi hoat dong'!E17/1.1</f>
        <v>14264.80160825149</v>
      </c>
      <c r="J100" s="2295" t="str">
        <f>ROUND('4.Chi phi hoat dong'!D17,3)*100 &amp; "% /Doanh thu"</f>
        <v>0.3% /Doanh thu</v>
      </c>
      <c r="K100" s="2295"/>
      <c r="L100" s="2295"/>
      <c r="M100" s="1740"/>
      <c r="N100" s="1740"/>
      <c r="O100" s="1740"/>
      <c r="P100" s="1740"/>
      <c r="Q100" s="1740"/>
      <c r="R100" s="1740"/>
      <c r="S100" s="1740"/>
    </row>
    <row r="101" spans="2:20" s="1656" customFormat="1" ht="16.5" customHeight="1">
      <c r="B101" s="1752"/>
      <c r="C101" s="1673"/>
      <c r="D101" s="1739" t="s">
        <v>100</v>
      </c>
      <c r="E101" s="1847"/>
      <c r="F101" s="1739"/>
      <c r="G101" s="1846">
        <f t="shared" si="10"/>
        <v>0.48041995526005593</v>
      </c>
      <c r="H101" s="1848"/>
      <c r="I101" s="1838">
        <f>'4.Chi phi hoat dong'!E20</f>
        <v>46994.826546980956</v>
      </c>
      <c r="J101" s="2294"/>
      <c r="K101" s="2294"/>
      <c r="L101" s="2294"/>
      <c r="M101" s="1728"/>
      <c r="N101" s="1728"/>
      <c r="O101" s="1728"/>
      <c r="P101" s="1728"/>
      <c r="Q101" s="1728"/>
      <c r="R101" s="1728"/>
      <c r="S101" s="1728"/>
    </row>
    <row r="102" spans="2:20" s="1656" customFormat="1" ht="16.5" customHeight="1">
      <c r="B102" s="1752"/>
      <c r="C102" s="1673"/>
      <c r="D102" s="1739" t="s">
        <v>356</v>
      </c>
      <c r="E102" s="1847"/>
      <c r="F102" s="1739"/>
      <c r="G102" s="1846">
        <f t="shared" si="10"/>
        <v>1.4269470458280132E-2</v>
      </c>
      <c r="H102" s="1848"/>
      <c r="I102" s="1838">
        <f>'4.Chi phi hoat dong'!E18/1.1</f>
        <v>1395.8439522795138</v>
      </c>
      <c r="J102" s="2294"/>
      <c r="K102" s="2294"/>
      <c r="L102" s="2294"/>
      <c r="M102" s="1728"/>
      <c r="N102" s="1728"/>
      <c r="O102" s="1728"/>
      <c r="P102" s="1728"/>
      <c r="Q102" s="1728"/>
      <c r="R102" s="1728"/>
      <c r="S102" s="1728"/>
    </row>
    <row r="103" spans="2:20" s="1656" customFormat="1" ht="33" hidden="1" customHeight="1">
      <c r="B103" s="1752"/>
      <c r="C103" s="1673"/>
      <c r="D103" s="1739" t="s">
        <v>595</v>
      </c>
      <c r="E103" s="1847"/>
      <c r="F103" s="1739"/>
      <c r="G103" s="1846"/>
      <c r="H103" s="1739"/>
      <c r="I103" s="1849">
        <f>+'4.Chi phi hoat dong'!D28</f>
        <v>0</v>
      </c>
      <c r="J103" s="2294" t="s">
        <v>596</v>
      </c>
      <c r="K103" s="2294"/>
      <c r="L103" s="2294"/>
      <c r="M103" s="1728"/>
      <c r="N103" s="1728"/>
      <c r="O103" s="1728"/>
      <c r="P103" s="1728"/>
      <c r="Q103" s="1728"/>
      <c r="R103" s="1728"/>
      <c r="S103" s="1728"/>
    </row>
    <row r="104" spans="2:20" s="1655" customFormat="1" ht="19.149999999999999" customHeight="1">
      <c r="B104" s="1753"/>
      <c r="C104" s="2162"/>
      <c r="D104" s="2162" t="s">
        <v>787</v>
      </c>
      <c r="E104" s="2162"/>
      <c r="F104" s="2162"/>
      <c r="G104" s="2163"/>
      <c r="H104" s="2162"/>
      <c r="I104" s="1838">
        <f>+'7.CF'!D34/0.8</f>
        <v>97000</v>
      </c>
      <c r="J104" s="2162"/>
      <c r="K104" s="2164"/>
      <c r="L104" s="2164"/>
      <c r="M104" s="1715"/>
      <c r="N104" s="1715"/>
      <c r="O104" s="1715"/>
      <c r="P104" s="1715"/>
      <c r="Q104" s="1715"/>
      <c r="R104" s="1715"/>
      <c r="S104" s="1715"/>
    </row>
    <row r="105" spans="2:20" s="1655" customFormat="1" ht="21.6" customHeight="1" thickBot="1">
      <c r="B105" s="1751" t="s">
        <v>724</v>
      </c>
      <c r="C105" s="1711" t="s">
        <v>706</v>
      </c>
      <c r="D105" s="1711"/>
      <c r="E105" s="1711"/>
      <c r="F105" s="1711"/>
      <c r="G105" s="1711"/>
      <c r="H105" s="1711"/>
      <c r="I105" s="1711"/>
      <c r="J105" s="1711"/>
      <c r="K105" s="1712"/>
      <c r="L105" s="1712"/>
      <c r="M105" s="1712"/>
      <c r="N105" s="1715"/>
      <c r="O105" s="1715"/>
      <c r="P105" s="1715"/>
      <c r="Q105" s="1715"/>
      <c r="R105" s="1715"/>
      <c r="S105" s="1715"/>
    </row>
    <row r="106" spans="2:20" s="1655" customFormat="1" ht="13.15" customHeight="1" thickTop="1">
      <c r="B106" s="1753"/>
      <c r="C106" s="1727"/>
      <c r="D106" s="1727"/>
      <c r="E106" s="1727"/>
      <c r="F106" s="1727"/>
      <c r="G106" s="1742"/>
      <c r="H106" s="1743"/>
      <c r="I106" s="1727"/>
      <c r="J106" s="1727"/>
      <c r="K106" s="1715"/>
      <c r="L106" s="1715"/>
      <c r="M106" s="1715"/>
      <c r="N106" s="1715"/>
      <c r="O106" s="1715"/>
      <c r="P106" s="1715"/>
      <c r="Q106" s="1715"/>
      <c r="R106" s="1715"/>
      <c r="S106" s="1715"/>
    </row>
    <row r="107" spans="2:20" s="1655" customFormat="1" ht="28.15" customHeight="1">
      <c r="B107" s="1753"/>
      <c r="C107" s="1665" t="s">
        <v>0</v>
      </c>
      <c r="D107" s="1665" t="s">
        <v>9</v>
      </c>
      <c r="E107" s="1665" t="s">
        <v>83</v>
      </c>
      <c r="F107" s="1665" t="s">
        <v>133</v>
      </c>
      <c r="G107" s="1730"/>
      <c r="H107" s="1743"/>
      <c r="I107" s="1727"/>
      <c r="J107" s="1727"/>
      <c r="K107" s="1938" t="s">
        <v>9</v>
      </c>
      <c r="L107" s="1944"/>
      <c r="M107" s="1939"/>
      <c r="N107" s="1937" t="s">
        <v>18</v>
      </c>
      <c r="O107" s="1937">
        <v>2026</v>
      </c>
      <c r="P107" s="1937">
        <v>2027</v>
      </c>
      <c r="Q107" s="1937">
        <v>2028</v>
      </c>
      <c r="R107" s="1937">
        <v>2029</v>
      </c>
      <c r="S107" s="1937">
        <v>2030</v>
      </c>
      <c r="T107" s="1937">
        <v>2031</v>
      </c>
    </row>
    <row r="108" spans="2:20" s="1655" customFormat="1" ht="16.5" customHeight="1">
      <c r="B108" s="1753"/>
      <c r="C108" s="1926">
        <v>1</v>
      </c>
      <c r="D108" s="1927" t="s">
        <v>754</v>
      </c>
      <c r="E108" s="1925">
        <f>+I71-I77</f>
        <v>440255.06244576816</v>
      </c>
      <c r="F108" s="1927"/>
      <c r="G108" s="2225">
        <f>+E108-'7.CF'!D44</f>
        <v>-1.9208528101444244E-9</v>
      </c>
      <c r="H108" s="1928"/>
      <c r="I108" s="1715"/>
      <c r="J108" s="1715"/>
      <c r="K108" s="2298" t="str">
        <f>+'7.CF'!C9</f>
        <v>Dòng tiền từ hoạt động đầu tư - kinh doanh</v>
      </c>
      <c r="L108" s="2298"/>
      <c r="M108" s="2298"/>
      <c r="N108" s="1948">
        <f>SUM(O108:T108)</f>
        <v>460951.34299637959</v>
      </c>
      <c r="O108" s="1948">
        <f>+SUM(O109:O110,O113:O115)</f>
        <v>-524263.4452937083</v>
      </c>
      <c r="P108" s="1948">
        <f t="shared" ref="P108:T108" si="13">+SUM(P109:P110,P113:P115)</f>
        <v>-552448.55839617888</v>
      </c>
      <c r="Q108" s="1948">
        <f t="shared" si="13"/>
        <v>-253806.29225490976</v>
      </c>
      <c r="R108" s="1948">
        <f t="shared" si="13"/>
        <v>899225.08235431917</v>
      </c>
      <c r="S108" s="1948">
        <f t="shared" si="13"/>
        <v>892244.5565868573</v>
      </c>
      <c r="T108" s="1948">
        <f t="shared" si="13"/>
        <v>0</v>
      </c>
    </row>
    <row r="109" spans="2:20" s="1655" customFormat="1" ht="16.5" customHeight="1">
      <c r="B109" s="1753"/>
      <c r="C109" s="1929">
        <v>2</v>
      </c>
      <c r="D109" s="1930" t="s">
        <v>753</v>
      </c>
      <c r="E109" s="1931">
        <f>E108*0.8</f>
        <v>352204.04995661456</v>
      </c>
      <c r="F109" s="1930"/>
      <c r="G109" s="1923"/>
      <c r="H109" s="1932"/>
      <c r="I109" s="1715"/>
      <c r="J109" s="1715"/>
      <c r="K109" s="2299" t="str">
        <f>+'7.CF'!C11</f>
        <v>+ Doanh thu</v>
      </c>
      <c r="L109" s="2299"/>
      <c r="M109" s="2299"/>
      <c r="N109" s="1945">
        <f>SUM(O109:T109)</f>
        <v>5230427.2563588815</v>
      </c>
      <c r="O109" s="1945">
        <f>SUMIF('7.CF'!$F$7:$CH$7,Summary!O$107,'7.CF'!$F11:$CH11)</f>
        <v>0</v>
      </c>
      <c r="P109" s="1945">
        <f>SUMIF('7.CF'!$F$7:$CH$7,Summary!P$107,'7.CF'!$F11:$CH11)</f>
        <v>0</v>
      </c>
      <c r="Q109" s="1945">
        <f>SUMIF('7.CF'!$F$7:$CH$7,Summary!Q$107,'7.CF'!$F11:$CH11)</f>
        <v>1343624.9741891874</v>
      </c>
      <c r="R109" s="1945">
        <f>SUMIF('7.CF'!$F$7:$CH$7,Summary!R$107,'7.CF'!$F11:$CH11)</f>
        <v>2439961.2819500598</v>
      </c>
      <c r="S109" s="1945">
        <f>SUMIF('7.CF'!$F$7:$CH$7,Summary!S$107,'7.CF'!$F11:$CH11)</f>
        <v>1446841.0002196343</v>
      </c>
      <c r="T109" s="1945">
        <f>SUMIF('7.CF'!$F$7:$CH$7,Summary!T$107,'7.CF'!$F11:$CH11)</f>
        <v>0</v>
      </c>
    </row>
    <row r="110" spans="2:20" s="1655" customFormat="1" ht="17.100000000000001" customHeight="1">
      <c r="B110" s="1753"/>
      <c r="C110" s="1929">
        <v>3</v>
      </c>
      <c r="D110" s="1930" t="s">
        <v>551</v>
      </c>
      <c r="E110" s="1931">
        <f>'7.CF'!D45</f>
        <v>10965.209523939237</v>
      </c>
      <c r="F110" s="1930"/>
      <c r="G110" s="1785"/>
      <c r="H110" s="1928"/>
      <c r="I110" s="1715"/>
      <c r="J110" s="1715"/>
      <c r="K110" s="2300" t="str">
        <f>+'7.CF'!C13</f>
        <v>+ Chi phí đầu tư &amp; xây dựng (không gồm lãi vay)</v>
      </c>
      <c r="L110" s="2300"/>
      <c r="M110" s="2300"/>
      <c r="N110" s="1946">
        <f t="shared" ref="N110:N114" si="14">SUM(O110:T110)</f>
        <v>-3496025.1408408131</v>
      </c>
      <c r="O110" s="1946">
        <f>-SUMIF('7.CF'!$F$7:$CH$7,Summary!O$107,'7.CF'!$F13:$CH13)</f>
        <v>-524263.4452937083</v>
      </c>
      <c r="P110" s="1946">
        <f>-SUMIF('7.CF'!$F$7:$CH$7,Summary!P$107,'7.CF'!$F13:$CH13)</f>
        <v>-552448.55839617888</v>
      </c>
      <c r="Q110" s="1946">
        <f>-SUMIF('7.CF'!$F$7:$CH$7,Summary!Q$107,'7.CF'!$F13:$CH13)</f>
        <v>-849310.21674886916</v>
      </c>
      <c r="R110" s="1946">
        <f>-SUMIF('7.CF'!$F$7:$CH$7,Summary!R$107,'7.CF'!$F13:$CH13)</f>
        <v>-1265704.0914656478</v>
      </c>
      <c r="S110" s="1946">
        <f>-SUMIF('7.CF'!$F$7:$CH$7,Summary!S$107,'7.CF'!$F13:$CH13)</f>
        <v>-304298.82893640868</v>
      </c>
      <c r="T110" s="1946">
        <f>-SUMIF('7.CF'!$F$7:$CH$7,Summary!T$107,'7.CF'!$F13:$CH13)</f>
        <v>0</v>
      </c>
    </row>
    <row r="111" spans="2:20" s="1655" customFormat="1" ht="17.100000000000001" customHeight="1">
      <c r="B111" s="1753"/>
      <c r="C111" s="1933">
        <v>4</v>
      </c>
      <c r="D111" s="1914" t="s">
        <v>528</v>
      </c>
      <c r="E111" s="1934">
        <f>'7.CF'!D46</f>
        <v>0.11468720521467524</v>
      </c>
      <c r="F111" s="1914"/>
      <c r="G111" s="1742"/>
      <c r="H111" s="1841"/>
      <c r="I111" s="1715" t="s">
        <v>756</v>
      </c>
      <c r="J111" s="1715"/>
      <c r="K111" s="2304" t="str">
        <f>+'7.CF'!C14</f>
        <v>- Giá chuyển nhượng đến hiện trạng</v>
      </c>
      <c r="L111" s="2304"/>
      <c r="M111" s="2304"/>
      <c r="N111" s="1946">
        <f t="shared" si="14"/>
        <v>-520000</v>
      </c>
      <c r="O111" s="1946">
        <f>-SUMIF('7.CF'!$F$7:$CH$7,Summary!O$107,'7.CF'!$F14:$CH14)</f>
        <v>-520000</v>
      </c>
      <c r="P111" s="1946">
        <f>-SUMIF('7.CF'!$F$7:$CH$7,Summary!P$107,'7.CF'!$F14:$CH14)</f>
        <v>0</v>
      </c>
      <c r="Q111" s="1946">
        <f>-SUMIF('7.CF'!$F$7:$CH$7,Summary!Q$107,'7.CF'!$F14:$CH14)</f>
        <v>0</v>
      </c>
      <c r="R111" s="1946">
        <f>-SUMIF('7.CF'!$F$7:$CH$7,Summary!R$107,'7.CF'!$F14:$CH14)</f>
        <v>0</v>
      </c>
      <c r="S111" s="1946">
        <f>-SUMIF('7.CF'!$F$7:$CH$7,Summary!S$107,'7.CF'!$F14:$CH14)</f>
        <v>0</v>
      </c>
      <c r="T111" s="1946">
        <f>-SUMIF('7.CF'!$F$7:$CH$7,Summary!T$107,'7.CF'!$F14:$CH14)</f>
        <v>0</v>
      </c>
    </row>
    <row r="112" spans="2:20" s="1655" customFormat="1" ht="17.100000000000001" customHeight="1">
      <c r="B112" s="1753"/>
      <c r="C112" s="1935">
        <v>5</v>
      </c>
      <c r="D112" s="1936" t="s">
        <v>722</v>
      </c>
      <c r="E112" s="2156">
        <f>+'7.CF'!D49</f>
        <v>0.12213116653575566</v>
      </c>
      <c r="F112" s="1936"/>
      <c r="G112" s="1924"/>
      <c r="H112" s="1841"/>
      <c r="I112" s="1715"/>
      <c r="J112" s="1715"/>
      <c r="K112" s="2304" t="str">
        <f>+'7.CF'!C15</f>
        <v>- Chi phí xây dựng và pháp lý khác</v>
      </c>
      <c r="L112" s="2304"/>
      <c r="M112" s="2304"/>
      <c r="N112" s="1946">
        <f t="shared" si="14"/>
        <v>-2976025.1408408131</v>
      </c>
      <c r="O112" s="1946">
        <f>-SUMIF('7.CF'!$F$7:$CH$7,Summary!O$107,'7.CF'!$F15:$CH15)</f>
        <v>-4263.4452937083088</v>
      </c>
      <c r="P112" s="1946">
        <f>-SUMIF('7.CF'!$F$7:$CH$7,Summary!P$107,'7.CF'!$F15:$CH15)</f>
        <v>-552448.55839617888</v>
      </c>
      <c r="Q112" s="1946">
        <f>-SUMIF('7.CF'!$F$7:$CH$7,Summary!Q$107,'7.CF'!$F15:$CH15)</f>
        <v>-849310.21674886916</v>
      </c>
      <c r="R112" s="1946">
        <f>-SUMIF('7.CF'!$F$7:$CH$7,Summary!R$107,'7.CF'!$F15:$CH15)</f>
        <v>-1265704.0914656478</v>
      </c>
      <c r="S112" s="1946">
        <f>-SUMIF('7.CF'!$F$7:$CH$7,Summary!S$107,'7.CF'!$F15:$CH15)</f>
        <v>-304298.82893640868</v>
      </c>
      <c r="T112" s="1946">
        <f>-SUMIF('7.CF'!$F$7:$CH$7,Summary!T$107,'7.CF'!$F15:$CH15)</f>
        <v>0</v>
      </c>
    </row>
    <row r="113" spans="2:20" s="1655" customFormat="1" ht="24" customHeight="1">
      <c r="B113" s="1753"/>
      <c r="C113" s="2238" t="s">
        <v>786</v>
      </c>
      <c r="D113" s="1745"/>
      <c r="E113" s="1746"/>
      <c r="F113" s="1747"/>
      <c r="G113" s="1744"/>
      <c r="H113" s="1741"/>
      <c r="I113" s="1744"/>
      <c r="J113" s="1748"/>
      <c r="K113" s="2301" t="str">
        <f>+'7.CF'!C16</f>
        <v>+ Chi phí hoạt động, thuế VAT và phí khác</v>
      </c>
      <c r="L113" s="2301"/>
      <c r="M113" s="2301"/>
      <c r="N113" s="1946">
        <f t="shared" si="14"/>
        <v>-1088399.7600325351</v>
      </c>
      <c r="O113" s="1946">
        <f>-SUMIF('7.CF'!$F$7:$CH$7,Summary!O$107,'7.CF'!$F16:$CH16)</f>
        <v>0</v>
      </c>
      <c r="P113" s="1946">
        <f>-SUMIF('7.CF'!$F$7:$CH$7,Summary!P$107,'7.CF'!$F16:$CH16)</f>
        <v>-1.0748573748225514E-12</v>
      </c>
      <c r="Q113" s="1946">
        <f>-SUMIF('7.CF'!$F$7:$CH$7,Summary!Q$107,'7.CF'!$F16:$CH16)</f>
        <v>-734684.79995333613</v>
      </c>
      <c r="R113" s="1946">
        <f>-SUMIF('7.CF'!$F$7:$CH$7,Summary!R$107,'7.CF'!$F16:$CH16)</f>
        <v>-250632.4953105922</v>
      </c>
      <c r="S113" s="1946">
        <f>-SUMIF('7.CF'!$F$7:$CH$7,Summary!S$107,'7.CF'!$F16:$CH16)</f>
        <v>-103082.46476860669</v>
      </c>
      <c r="T113" s="1946">
        <f>-SUMIF('7.CF'!$F$7:$CH$7,Summary!T$107,'7.CF'!$F16:$CH16)</f>
        <v>0</v>
      </c>
    </row>
    <row r="114" spans="2:20">
      <c r="K114" s="2297" t="str">
        <f>+'7.CF'!C17</f>
        <v>+ Chi phí thuế TNDN</v>
      </c>
      <c r="L114" s="2297"/>
      <c r="M114" s="2297"/>
      <c r="N114" s="2170">
        <f t="shared" si="14"/>
        <v>-107451.012489154</v>
      </c>
      <c r="O114" s="2170">
        <f>-SUMIF('7.CF'!$F$7:$CH$7,Summary!O$107,'7.CF'!$F17:$CH17)</f>
        <v>0</v>
      </c>
      <c r="P114" s="2170">
        <f>-SUMIF('7.CF'!$F$7:$CH$7,Summary!P$107,'7.CF'!$F17:$CH17)</f>
        <v>0</v>
      </c>
      <c r="Q114" s="2170">
        <f>-SUMIF('7.CF'!$F$7:$CH$7,Summary!Q$107,'7.CF'!$F17:$CH17)</f>
        <v>-13436.249741891876</v>
      </c>
      <c r="R114" s="2170">
        <f>-SUMIF('7.CF'!$F$7:$CH$7,Summary!R$107,'7.CF'!$F17:$CH17)</f>
        <v>-24399.612819500599</v>
      </c>
      <c r="S114" s="2170">
        <f>-SUMIF('7.CF'!$F$7:$CH$7,Summary!S$107,'7.CF'!$F17:$CH17)</f>
        <v>-69615.149927761537</v>
      </c>
      <c r="T114" s="2170">
        <f>-SUMIF('7.CF'!$F$7:$CH$7,Summary!T$107,'7.CF'!$F17:$CH17)</f>
        <v>0</v>
      </c>
    </row>
    <row r="115" spans="2:20">
      <c r="K115" s="2297" t="str">
        <f>+'7.CF'!C18</f>
        <v>+ Tác động thuế TNDN do chênh giá vốn</v>
      </c>
      <c r="L115" s="2297"/>
      <c r="M115" s="2297"/>
      <c r="N115" s="2169">
        <f t="shared" ref="N115" si="15">SUM(O115:T115)</f>
        <v>-77600</v>
      </c>
      <c r="O115" s="2169">
        <f>-SUMIF('7.CF'!$F$7:$CH$7,Summary!O$107,'7.CF'!$F18:$CH18)</f>
        <v>0</v>
      </c>
      <c r="P115" s="2169">
        <f>-SUMIF('7.CF'!$F$7:$CH$7,Summary!P$107,'7.CF'!$F18:$CH18)</f>
        <v>0</v>
      </c>
      <c r="Q115" s="2169">
        <f>-SUMIF('7.CF'!$F$7:$CH$7,Summary!Q$107,'7.CF'!$F18:$CH18)</f>
        <v>0</v>
      </c>
      <c r="R115" s="2250">
        <f>-SUMIF('7.CF'!$F$7:$CH$7,Summary!R$107,'7.CF'!$F18:$CH18)</f>
        <v>0</v>
      </c>
      <c r="S115" s="2169">
        <f>-SUMIF('7.CF'!$F$7:$CH$7,Summary!S$107,'7.CF'!$F18:$CH18)</f>
        <v>-77600</v>
      </c>
      <c r="T115" s="2169">
        <f>-SUMIF('7.CF'!$F$7:$CH$7,Summary!T$107,'7.CF'!$F18:$CH18)</f>
        <v>0</v>
      </c>
    </row>
    <row r="116" spans="2:20" ht="15.75" customHeight="1">
      <c r="K116" s="2298" t="str">
        <f>+'7.CF'!C19</f>
        <v>Dòng tiền từ hoạt động tài chính</v>
      </c>
      <c r="L116" s="2298"/>
      <c r="M116" s="2298"/>
      <c r="N116" s="1948">
        <f>SUM(O116:T116)</f>
        <v>705227.86130130594</v>
      </c>
      <c r="O116" s="1952">
        <f>+O117+O120</f>
        <v>524263.4452937083</v>
      </c>
      <c r="P116" s="1952">
        <f t="shared" ref="P116:T116" si="16">+P117+P120</f>
        <v>552448.55839617888</v>
      </c>
      <c r="Q116" s="1952">
        <f t="shared" si="16"/>
        <v>253806.29225490967</v>
      </c>
      <c r="R116" s="1952">
        <f t="shared" si="16"/>
        <v>-625290.43464349094</v>
      </c>
      <c r="S116" s="1952">
        <f t="shared" si="16"/>
        <v>0</v>
      </c>
      <c r="T116" s="1952">
        <f t="shared" si="16"/>
        <v>0</v>
      </c>
    </row>
    <row r="117" spans="2:20" ht="15.75">
      <c r="K117" s="2305" t="s">
        <v>161</v>
      </c>
      <c r="L117" s="2305"/>
      <c r="M117" s="2305"/>
      <c r="N117" s="1949">
        <f t="shared" ref="N117:N120" si="17">SUM(O117:T117)</f>
        <v>1469658.642579773</v>
      </c>
      <c r="O117" s="1950">
        <f>SUM(O118:O119)</f>
        <v>524263.4452937083</v>
      </c>
      <c r="P117" s="1950">
        <f t="shared" ref="P117:T117" si="18">SUM(P118:P119)</f>
        <v>572837.5652209305</v>
      </c>
      <c r="Q117" s="1950">
        <f t="shared" si="18"/>
        <v>372557.63206513401</v>
      </c>
      <c r="R117" s="1950">
        <f t="shared" si="18"/>
        <v>0</v>
      </c>
      <c r="S117" s="1950">
        <f t="shared" si="18"/>
        <v>0</v>
      </c>
      <c r="T117" s="1950">
        <f t="shared" si="18"/>
        <v>0</v>
      </c>
    </row>
    <row r="118" spans="2:20">
      <c r="K118" s="2301" t="str">
        <f>+'7.CF'!C21</f>
        <v>+ Vay</v>
      </c>
      <c r="L118" s="2301"/>
      <c r="M118" s="2301"/>
      <c r="N118" s="1946">
        <f t="shared" si="17"/>
        <v>655683.48823870323</v>
      </c>
      <c r="O118" s="1945">
        <f>SUMIF('7.CF'!$F$7:$CH$7,Summary!O$107,'7.CF'!$F21:$CH21)</f>
        <v>0</v>
      </c>
      <c r="P118" s="1945">
        <f>SUMIF('7.CF'!$F$7:$CH$7,Summary!P$107,'7.CF'!$F21:$CH21)</f>
        <v>374776.34405494196</v>
      </c>
      <c r="Q118" s="1945">
        <f>SUMIF('7.CF'!$F$7:$CH$7,Summary!Q$107,'7.CF'!$F21:$CH21)</f>
        <v>280907.14418376121</v>
      </c>
      <c r="R118" s="1945">
        <f>SUMIF('7.CF'!$F$7:$CH$7,Summary!R$107,'7.CF'!$F21:$CH21)</f>
        <v>0</v>
      </c>
      <c r="S118" s="1945">
        <f>SUMIF('7.CF'!$F$7:$CH$7,Summary!S$107,'7.CF'!$F21:$CH21)</f>
        <v>0</v>
      </c>
      <c r="T118" s="1945">
        <f>SUMIF('7.CF'!$F$7:$CH$7,Summary!T$107,'7.CF'!$F21:$CH21)</f>
        <v>0</v>
      </c>
    </row>
    <row r="119" spans="2:20" ht="15" customHeight="1">
      <c r="K119" s="2301" t="str">
        <f>+'7.CF'!C22</f>
        <v>+ Vốn chủ sở hữu</v>
      </c>
      <c r="L119" s="2301"/>
      <c r="M119" s="2301"/>
      <c r="N119" s="1946">
        <f t="shared" si="17"/>
        <v>813975.15434106963</v>
      </c>
      <c r="O119" s="1945">
        <f>SUMIF('7.CF'!$F$7:$CH$7,Summary!O$107,'7.CF'!$F22:$CH22)</f>
        <v>524263.4452937083</v>
      </c>
      <c r="P119" s="1945">
        <f>SUMIF('7.CF'!$F$7:$CH$7,Summary!P$107,'7.CF'!$F22:$CH22)</f>
        <v>198061.22116598851</v>
      </c>
      <c r="Q119" s="1945">
        <f>SUMIF('7.CF'!$F$7:$CH$7,Summary!Q$107,'7.CF'!$F22:$CH22)</f>
        <v>91650.487881372799</v>
      </c>
      <c r="R119" s="1945">
        <f>SUMIF('7.CF'!$F$7:$CH$7,Summary!R$107,'7.CF'!$F22:$CH22)</f>
        <v>0</v>
      </c>
      <c r="S119" s="1945">
        <f>SUMIF('7.CF'!$F$7:$CH$7,Summary!S$107,'7.CF'!$F22:$CH22)</f>
        <v>0</v>
      </c>
      <c r="T119" s="1945">
        <f>SUMIF('7.CF'!$F$7:$CH$7,Summary!T$107,'7.CF'!$F22:$CH22)</f>
        <v>0</v>
      </c>
    </row>
    <row r="120" spans="2:20" ht="15.75">
      <c r="K120" s="2306" t="s">
        <v>156</v>
      </c>
      <c r="L120" s="2306"/>
      <c r="M120" s="2306"/>
      <c r="N120" s="1946">
        <f t="shared" si="17"/>
        <v>-764430.78127846681</v>
      </c>
      <c r="O120" s="1951">
        <f>+SUM(O121:O123)</f>
        <v>0</v>
      </c>
      <c r="P120" s="1951">
        <f t="shared" ref="P120:T120" si="19">+SUM(P121:P123)</f>
        <v>-20389.006824751574</v>
      </c>
      <c r="Q120" s="1951">
        <f t="shared" si="19"/>
        <v>-118751.33981022434</v>
      </c>
      <c r="R120" s="1951">
        <f t="shared" si="19"/>
        <v>-625290.43464349094</v>
      </c>
      <c r="S120" s="1951">
        <f t="shared" si="19"/>
        <v>0</v>
      </c>
      <c r="T120" s="1951">
        <f t="shared" si="19"/>
        <v>0</v>
      </c>
    </row>
    <row r="121" spans="2:20">
      <c r="K121" s="2301" t="str">
        <f>+'7.CF'!C24</f>
        <v>+ Trả nợ gốc:</v>
      </c>
      <c r="L121" s="2301"/>
      <c r="M121" s="2301"/>
      <c r="N121" s="1946">
        <f t="shared" ref="N121:N123" si="20">SUM(O121:T121)</f>
        <v>-655683.48823870323</v>
      </c>
      <c r="O121" s="1945">
        <f>-SUMIF('7.CF'!$F$7:$CH$7,Summary!O$107,'7.CF'!$F24:$CH24)</f>
        <v>0</v>
      </c>
      <c r="P121" s="1945">
        <f>-SUMIF('7.CF'!$F$7:$CH$7,Summary!P$107,'7.CF'!$F24:$CH24)</f>
        <v>0</v>
      </c>
      <c r="Q121" s="1945">
        <f>-SUMIF('7.CF'!$F$7:$CH$7,Summary!Q$107,'7.CF'!$F24:$CH24)</f>
        <v>-54471.51690453905</v>
      </c>
      <c r="R121" s="1945">
        <f>-SUMIF('7.CF'!$F$7:$CH$7,Summary!R$107,'7.CF'!$F24:$CH24)</f>
        <v>-601211.97133416415</v>
      </c>
      <c r="S121" s="1945">
        <f>-SUMIF('7.CF'!$F$7:$CH$7,Summary!S$107,'7.CF'!$F24:$CH24)</f>
        <v>0</v>
      </c>
      <c r="T121" s="1945">
        <f>-SUMIF('7.CF'!$F$7:$CH$7,Summary!T$107,'7.CF'!$F24:$CH24)</f>
        <v>0</v>
      </c>
    </row>
    <row r="122" spans="2:20">
      <c r="K122" s="2301" t="str">
        <f>+'7.CF'!C25</f>
        <v>+ Trả lãi vay:</v>
      </c>
      <c r="L122" s="2301"/>
      <c r="M122" s="2301"/>
      <c r="N122" s="1946">
        <f t="shared" si="20"/>
        <v>-108747.2930397637</v>
      </c>
      <c r="O122" s="1945">
        <f>-SUMIF('7.CF'!$F$7:$CH$7,Summary!O$107,'7.CF'!$F25:$CH25)</f>
        <v>0</v>
      </c>
      <c r="P122" s="1945">
        <f>-SUMIF('7.CF'!$F$7:$CH$7,Summary!P$107,'7.CF'!$F25:$CH25)</f>
        <v>-20389.006824751574</v>
      </c>
      <c r="Q122" s="1945">
        <f>-SUMIF('7.CF'!$F$7:$CH$7,Summary!Q$107,'7.CF'!$F25:$CH25)</f>
        <v>-64279.822905685287</v>
      </c>
      <c r="R122" s="1945">
        <f>-SUMIF('7.CF'!$F$7:$CH$7,Summary!R$107,'7.CF'!$F25:$CH25)</f>
        <v>-24078.463309326835</v>
      </c>
      <c r="S122" s="1945">
        <f>-SUMIF('7.CF'!$F$7:$CH$7,Summary!S$107,'7.CF'!$F25:$CH25)</f>
        <v>0</v>
      </c>
      <c r="T122" s="1945">
        <f>-SUMIF('7.CF'!$F$7:$CH$7,Summary!T$107,'7.CF'!$F25:$CH25)</f>
        <v>0</v>
      </c>
    </row>
    <row r="123" spans="2:20">
      <c r="K123" s="2307" t="str">
        <f>+'7.CF'!C26</f>
        <v>+ LNCP</v>
      </c>
      <c r="L123" s="2307"/>
      <c r="M123" s="2307"/>
      <c r="N123" s="1947">
        <f t="shared" si="20"/>
        <v>0</v>
      </c>
      <c r="O123" s="1945">
        <f>-SUMIF('7.CF'!$F$7:$CH$7,Summary!O$107,'7.CF'!$F26:$CH26)</f>
        <v>0</v>
      </c>
      <c r="P123" s="1945">
        <f>-SUMIF('7.CF'!$F$7:$CH$7,Summary!P$107,'7.CF'!$F26:$CH26)</f>
        <v>0</v>
      </c>
      <c r="Q123" s="1945">
        <f>-SUMIF('7.CF'!$F$7:$CH$7,Summary!Q$107,'7.CF'!$F26:$CH26)</f>
        <v>0</v>
      </c>
      <c r="R123" s="1945">
        <f>-SUMIF('7.CF'!$F$7:$CH$7,Summary!R$107,'7.CF'!$F26:$CH26)</f>
        <v>0</v>
      </c>
      <c r="S123" s="1945">
        <f>-SUMIF('7.CF'!$F$7:$CH$7,Summary!S$107,'7.CF'!$F26:$CH26)</f>
        <v>0</v>
      </c>
      <c r="T123" s="1945">
        <f>-SUMIF('7.CF'!$F$7:$CH$7,Summary!T$107,'7.CF'!$F26:$CH26)</f>
        <v>0</v>
      </c>
    </row>
    <row r="124" spans="2:20" ht="15.75" customHeight="1">
      <c r="K124" s="2298" t="str">
        <f>+'7.CF'!C27</f>
        <v>Chênh lệch dòng tiền (Net cash flow)</v>
      </c>
      <c r="L124" s="2298"/>
      <c r="M124" s="2298"/>
      <c r="N124" s="1948">
        <f>SUM(O124:T124)</f>
        <v>1166179.2042976855</v>
      </c>
      <c r="O124" s="1952">
        <f t="shared" ref="O124:T124" si="21">+O108+O116</f>
        <v>0</v>
      </c>
      <c r="P124" s="1952">
        <f t="shared" si="21"/>
        <v>0</v>
      </c>
      <c r="Q124" s="1952">
        <f t="shared" si="21"/>
        <v>0</v>
      </c>
      <c r="R124" s="1952">
        <f t="shared" si="21"/>
        <v>273934.64771082823</v>
      </c>
      <c r="S124" s="1952">
        <f t="shared" si="21"/>
        <v>892244.5565868573</v>
      </c>
      <c r="T124" s="1952">
        <f t="shared" si="21"/>
        <v>0</v>
      </c>
    </row>
    <row r="125" spans="2:20">
      <c r="K125" s="2296" t="str">
        <f>+'7.CF'!C28</f>
        <v>FCFE</v>
      </c>
      <c r="L125" s="2296"/>
      <c r="M125" s="2296"/>
      <c r="N125" s="1953">
        <f>SUM(O125:T125)</f>
        <v>352204.0499566159</v>
      </c>
      <c r="O125" s="1953">
        <f>SUMIF('7.CF'!$F$7:$CH$7,Summary!O$107,'7.CF'!$F28:$CH28)</f>
        <v>-524263.4452937083</v>
      </c>
      <c r="P125" s="1953">
        <f>SUMIF('7.CF'!$F$7:$CH$7,Summary!P$107,'7.CF'!$F28:$CH28)</f>
        <v>-198061.22116598851</v>
      </c>
      <c r="Q125" s="1953">
        <f>SUMIF('7.CF'!$F$7:$CH$7,Summary!Q$107,'7.CF'!$F28:$CH28)</f>
        <v>-91650.487881372712</v>
      </c>
      <c r="R125" s="1953">
        <f>SUMIF('7.CF'!$F$7:$CH$7,Summary!R$107,'7.CF'!$F28:$CH28)</f>
        <v>273934.64771082811</v>
      </c>
      <c r="S125" s="1953">
        <f>SUMIF('7.CF'!$F$7:$CH$7,Summary!S$107,'7.CF'!$F28:$CH28)</f>
        <v>892244.5565868573</v>
      </c>
      <c r="T125" s="1953">
        <f>SUMIF('7.CF'!$F$7:$CH$7,Summary!T$107,'7.CF'!$F28:$CH28)</f>
        <v>0</v>
      </c>
    </row>
    <row r="126" spans="2:20">
      <c r="K126" s="2302"/>
      <c r="L126" s="2302"/>
      <c r="M126" s="2302"/>
    </row>
    <row r="127" spans="2:20">
      <c r="K127" s="2303"/>
      <c r="L127" s="2303"/>
      <c r="M127" s="2303"/>
    </row>
    <row r="128" spans="2:20">
      <c r="K128" s="2303"/>
      <c r="L128" s="2303"/>
      <c r="M128" s="2303"/>
    </row>
  </sheetData>
  <mergeCells count="77">
    <mergeCell ref="K126:M126"/>
    <mergeCell ref="K127:M127"/>
    <mergeCell ref="K128:M128"/>
    <mergeCell ref="K111:M111"/>
    <mergeCell ref="K112:M112"/>
    <mergeCell ref="K117:M117"/>
    <mergeCell ref="K120:M120"/>
    <mergeCell ref="K119:M119"/>
    <mergeCell ref="K121:M121"/>
    <mergeCell ref="K122:M122"/>
    <mergeCell ref="K123:M123"/>
    <mergeCell ref="K124:M124"/>
    <mergeCell ref="K114:M114"/>
    <mergeCell ref="K116:M116"/>
    <mergeCell ref="K118:M118"/>
    <mergeCell ref="J102:L102"/>
    <mergeCell ref="J99:L99"/>
    <mergeCell ref="J100:L100"/>
    <mergeCell ref="K125:M125"/>
    <mergeCell ref="K115:M115"/>
    <mergeCell ref="J101:L101"/>
    <mergeCell ref="K108:M108"/>
    <mergeCell ref="K109:M109"/>
    <mergeCell ref="J103:L103"/>
    <mergeCell ref="K110:M110"/>
    <mergeCell ref="K113:M113"/>
    <mergeCell ref="J78:L78"/>
    <mergeCell ref="J79:L79"/>
    <mergeCell ref="J80:L80"/>
    <mergeCell ref="J81:L81"/>
    <mergeCell ref="J88:L88"/>
    <mergeCell ref="J84:L84"/>
    <mergeCell ref="J86:L86"/>
    <mergeCell ref="J87:L87"/>
    <mergeCell ref="J70:L70"/>
    <mergeCell ref="J71:L71"/>
    <mergeCell ref="J72:L72"/>
    <mergeCell ref="J73:L73"/>
    <mergeCell ref="J77:L77"/>
    <mergeCell ref="J76:L76"/>
    <mergeCell ref="B1:J1"/>
    <mergeCell ref="G29:H29"/>
    <mergeCell ref="G30:H30"/>
    <mergeCell ref="G31:H31"/>
    <mergeCell ref="G32:H32"/>
    <mergeCell ref="G33:H33"/>
    <mergeCell ref="G34:H34"/>
    <mergeCell ref="G36:H36"/>
    <mergeCell ref="G39:H39"/>
    <mergeCell ref="G40:H40"/>
    <mergeCell ref="G35:H35"/>
    <mergeCell ref="G41:H41"/>
    <mergeCell ref="G42:H42"/>
    <mergeCell ref="E65:F65"/>
    <mergeCell ref="G65:H65"/>
    <mergeCell ref="C65:D65"/>
    <mergeCell ref="C53:D53"/>
    <mergeCell ref="E49:F49"/>
    <mergeCell ref="E50:F50"/>
    <mergeCell ref="E51:F51"/>
    <mergeCell ref="E52:F52"/>
    <mergeCell ref="E53:F53"/>
    <mergeCell ref="G60:H60"/>
    <mergeCell ref="G44:H44"/>
    <mergeCell ref="G45:H45"/>
    <mergeCell ref="G59:H59"/>
    <mergeCell ref="G64:H64"/>
    <mergeCell ref="J89:L89"/>
    <mergeCell ref="J90:L90"/>
    <mergeCell ref="J82:L82"/>
    <mergeCell ref="J97:L97"/>
    <mergeCell ref="J98:L98"/>
    <mergeCell ref="J92:L92"/>
    <mergeCell ref="J93:L93"/>
    <mergeCell ref="J94:L94"/>
    <mergeCell ref="J95:L95"/>
    <mergeCell ref="J96:L96"/>
  </mergeCells>
  <conditionalFormatting sqref="J72:J76">
    <cfRule type="top10" dxfId="1286" priority="13541" stopIfTrue="1" rank="1"/>
  </conditionalFormatting>
  <conditionalFormatting sqref="J79:J92">
    <cfRule type="top10" dxfId="1285" priority="13542" stopIfTrue="1" rank="1"/>
  </conditionalFormatting>
  <conditionalFormatting sqref="O31:T31">
    <cfRule type="expression" dxfId="1284" priority="5">
      <formula>"""&gt; 0"""</formula>
    </cfRule>
  </conditionalFormatting>
  <conditionalFormatting sqref="O31:T33 O35:T38 O60:T64">
    <cfRule type="cellIs" dxfId="1283" priority="3" operator="greaterThan">
      <formula>0</formula>
    </cfRule>
  </conditionalFormatting>
  <conditionalFormatting sqref="O32:T33">
    <cfRule type="expression" dxfId="1282" priority="7">
      <formula>"&gt;0"</formula>
    </cfRule>
  </conditionalFormatting>
  <pageMargins left="0.25" right="0.25" top="0.25" bottom="0.25" header="0.3" footer="0.3"/>
  <pageSetup paperSize="8" scale="60" fitToHeight="0" orientation="landscape" r:id="rId1"/>
  <headerFooter>
    <oddFooter>&amp;L_x000D_&amp;1#&amp;"Calibri"&amp;10&amp;K000000 Internal Use</oddFooter>
  </headerFooter>
  <rowBreaks count="1" manualBreakCount="1">
    <brk id="67" max="19"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tabColor theme="3" tint="0.79998168889431442"/>
    <pageSetUpPr fitToPage="1"/>
  </sheetPr>
  <dimension ref="A1:P117"/>
  <sheetViews>
    <sheetView topLeftCell="D1" zoomScale="70" zoomScaleNormal="70" zoomScaleSheetLayoutView="55" workbookViewId="0">
      <selection activeCell="Q27" sqref="Q27"/>
    </sheetView>
  </sheetViews>
  <sheetFormatPr defaultRowHeight="17.25"/>
  <cols>
    <col min="1" max="1" width="7.5703125" style="199" customWidth="1"/>
    <col min="2" max="2" width="6.140625" style="200" customWidth="1"/>
    <col min="3" max="3" width="66.5703125" style="200" customWidth="1"/>
    <col min="4" max="4" width="20" style="200" customWidth="1"/>
    <col min="5" max="5" width="15.140625" style="274" customWidth="1"/>
    <col min="6" max="6" width="17.140625" style="202" bestFit="1" customWidth="1"/>
    <col min="7" max="7" width="15.7109375" style="200" customWidth="1"/>
    <col min="8" max="8" width="18.28515625" style="200" customWidth="1"/>
    <col min="9" max="9" width="18.42578125" style="200" customWidth="1"/>
    <col min="10" max="11" width="18" style="200" customWidth="1"/>
    <col min="12" max="12" width="17.7109375" style="200" customWidth="1"/>
    <col min="13" max="13" width="18.5703125" style="200" customWidth="1"/>
    <col min="14" max="14" width="24.5703125" style="200" customWidth="1"/>
    <col min="15" max="15" width="18.28515625" style="200" customWidth="1"/>
    <col min="16" max="16" width="18" style="200" customWidth="1"/>
    <col min="17" max="249" width="9.140625" style="200"/>
    <col min="250" max="250" width="58.42578125" style="200" bestFit="1" customWidth="1"/>
    <col min="251" max="251" width="8.28515625" style="200" bestFit="1" customWidth="1"/>
    <col min="252" max="252" width="12" style="200" customWidth="1"/>
    <col min="253" max="253" width="12.5703125" style="200" customWidth="1"/>
    <col min="254" max="254" width="11.7109375" style="200" customWidth="1"/>
    <col min="255" max="255" width="10.7109375" style="200" customWidth="1"/>
    <col min="256" max="256" width="9.140625" style="200" customWidth="1"/>
    <col min="257" max="257" width="10.5703125" style="200" customWidth="1"/>
    <col min="258" max="258" width="10.42578125" style="200" customWidth="1"/>
    <col min="259" max="505" width="9.140625" style="200"/>
    <col min="506" max="506" width="58.42578125" style="200" bestFit="1" customWidth="1"/>
    <col min="507" max="507" width="8.28515625" style="200" bestFit="1" customWidth="1"/>
    <col min="508" max="508" width="12" style="200" customWidth="1"/>
    <col min="509" max="509" width="12.5703125" style="200" customWidth="1"/>
    <col min="510" max="510" width="11.7109375" style="200" customWidth="1"/>
    <col min="511" max="511" width="10.7109375" style="200" customWidth="1"/>
    <col min="512" max="512" width="9.140625" style="200" customWidth="1"/>
    <col min="513" max="513" width="10.5703125" style="200" customWidth="1"/>
    <col min="514" max="514" width="10.42578125" style="200" customWidth="1"/>
    <col min="515" max="761" width="9.140625" style="200"/>
    <col min="762" max="762" width="58.42578125" style="200" bestFit="1" customWidth="1"/>
    <col min="763" max="763" width="8.28515625" style="200" bestFit="1" customWidth="1"/>
    <col min="764" max="764" width="12" style="200" customWidth="1"/>
    <col min="765" max="765" width="12.5703125" style="200" customWidth="1"/>
    <col min="766" max="766" width="11.7109375" style="200" customWidth="1"/>
    <col min="767" max="767" width="10.7109375" style="200" customWidth="1"/>
    <col min="768" max="768" width="9.140625" style="200" customWidth="1"/>
    <col min="769" max="769" width="10.5703125" style="200" customWidth="1"/>
    <col min="770" max="770" width="10.42578125" style="200" customWidth="1"/>
    <col min="771" max="1017" width="9.140625" style="200"/>
    <col min="1018" max="1018" width="58.42578125" style="200" bestFit="1" customWidth="1"/>
    <col min="1019" max="1019" width="8.28515625" style="200" bestFit="1" customWidth="1"/>
    <col min="1020" max="1020" width="12" style="200" customWidth="1"/>
    <col min="1021" max="1021" width="12.5703125" style="200" customWidth="1"/>
    <col min="1022" max="1022" width="11.7109375" style="200" customWidth="1"/>
    <col min="1023" max="1023" width="10.7109375" style="200" customWidth="1"/>
    <col min="1024" max="1024" width="9.140625" style="200" customWidth="1"/>
    <col min="1025" max="1025" width="10.5703125" style="200" customWidth="1"/>
    <col min="1026" max="1026" width="10.42578125" style="200" customWidth="1"/>
    <col min="1027" max="1273" width="9.140625" style="200"/>
    <col min="1274" max="1274" width="58.42578125" style="200" bestFit="1" customWidth="1"/>
    <col min="1275" max="1275" width="8.28515625" style="200" bestFit="1" customWidth="1"/>
    <col min="1276" max="1276" width="12" style="200" customWidth="1"/>
    <col min="1277" max="1277" width="12.5703125" style="200" customWidth="1"/>
    <col min="1278" max="1278" width="11.7109375" style="200" customWidth="1"/>
    <col min="1279" max="1279" width="10.7109375" style="200" customWidth="1"/>
    <col min="1280" max="1280" width="9.140625" style="200" customWidth="1"/>
    <col min="1281" max="1281" width="10.5703125" style="200" customWidth="1"/>
    <col min="1282" max="1282" width="10.42578125" style="200" customWidth="1"/>
    <col min="1283" max="1529" width="9.140625" style="200"/>
    <col min="1530" max="1530" width="58.42578125" style="200" bestFit="1" customWidth="1"/>
    <col min="1531" max="1531" width="8.28515625" style="200" bestFit="1" customWidth="1"/>
    <col min="1532" max="1532" width="12" style="200" customWidth="1"/>
    <col min="1533" max="1533" width="12.5703125" style="200" customWidth="1"/>
    <col min="1534" max="1534" width="11.7109375" style="200" customWidth="1"/>
    <col min="1535" max="1535" width="10.7109375" style="200" customWidth="1"/>
    <col min="1536" max="1536" width="9.140625" style="200" customWidth="1"/>
    <col min="1537" max="1537" width="10.5703125" style="200" customWidth="1"/>
    <col min="1538" max="1538" width="10.42578125" style="200" customWidth="1"/>
    <col min="1539" max="1785" width="9.140625" style="200"/>
    <col min="1786" max="1786" width="58.42578125" style="200" bestFit="1" customWidth="1"/>
    <col min="1787" max="1787" width="8.28515625" style="200" bestFit="1" customWidth="1"/>
    <col min="1788" max="1788" width="12" style="200" customWidth="1"/>
    <col min="1789" max="1789" width="12.5703125" style="200" customWidth="1"/>
    <col min="1790" max="1790" width="11.7109375" style="200" customWidth="1"/>
    <col min="1791" max="1791" width="10.7109375" style="200" customWidth="1"/>
    <col min="1792" max="1792" width="9.140625" style="200" customWidth="1"/>
    <col min="1793" max="1793" width="10.5703125" style="200" customWidth="1"/>
    <col min="1794" max="1794" width="10.42578125" style="200" customWidth="1"/>
    <col min="1795" max="2041" width="9.140625" style="200"/>
    <col min="2042" max="2042" width="58.42578125" style="200" bestFit="1" customWidth="1"/>
    <col min="2043" max="2043" width="8.28515625" style="200" bestFit="1" customWidth="1"/>
    <col min="2044" max="2044" width="12" style="200" customWidth="1"/>
    <col min="2045" max="2045" width="12.5703125" style="200" customWidth="1"/>
    <col min="2046" max="2046" width="11.7109375" style="200" customWidth="1"/>
    <col min="2047" max="2047" width="10.7109375" style="200" customWidth="1"/>
    <col min="2048" max="2048" width="9.140625" style="200" customWidth="1"/>
    <col min="2049" max="2049" width="10.5703125" style="200" customWidth="1"/>
    <col min="2050" max="2050" width="10.42578125" style="200" customWidth="1"/>
    <col min="2051" max="2297" width="9.140625" style="200"/>
    <col min="2298" max="2298" width="58.42578125" style="200" bestFit="1" customWidth="1"/>
    <col min="2299" max="2299" width="8.28515625" style="200" bestFit="1" customWidth="1"/>
    <col min="2300" max="2300" width="12" style="200" customWidth="1"/>
    <col min="2301" max="2301" width="12.5703125" style="200" customWidth="1"/>
    <col min="2302" max="2302" width="11.7109375" style="200" customWidth="1"/>
    <col min="2303" max="2303" width="10.7109375" style="200" customWidth="1"/>
    <col min="2304" max="2304" width="9.140625" style="200" customWidth="1"/>
    <col min="2305" max="2305" width="10.5703125" style="200" customWidth="1"/>
    <col min="2306" max="2306" width="10.42578125" style="200" customWidth="1"/>
    <col min="2307" max="2553" width="9.140625" style="200"/>
    <col min="2554" max="2554" width="58.42578125" style="200" bestFit="1" customWidth="1"/>
    <col min="2555" max="2555" width="8.28515625" style="200" bestFit="1" customWidth="1"/>
    <col min="2556" max="2556" width="12" style="200" customWidth="1"/>
    <col min="2557" max="2557" width="12.5703125" style="200" customWidth="1"/>
    <col min="2558" max="2558" width="11.7109375" style="200" customWidth="1"/>
    <col min="2559" max="2559" width="10.7109375" style="200" customWidth="1"/>
    <col min="2560" max="2560" width="9.140625" style="200" customWidth="1"/>
    <col min="2561" max="2561" width="10.5703125" style="200" customWidth="1"/>
    <col min="2562" max="2562" width="10.42578125" style="200" customWidth="1"/>
    <col min="2563" max="2809" width="9.140625" style="200"/>
    <col min="2810" max="2810" width="58.42578125" style="200" bestFit="1" customWidth="1"/>
    <col min="2811" max="2811" width="8.28515625" style="200" bestFit="1" customWidth="1"/>
    <col min="2812" max="2812" width="12" style="200" customWidth="1"/>
    <col min="2813" max="2813" width="12.5703125" style="200" customWidth="1"/>
    <col min="2814" max="2814" width="11.7109375" style="200" customWidth="1"/>
    <col min="2815" max="2815" width="10.7109375" style="200" customWidth="1"/>
    <col min="2816" max="2816" width="9.140625" style="200" customWidth="1"/>
    <col min="2817" max="2817" width="10.5703125" style="200" customWidth="1"/>
    <col min="2818" max="2818" width="10.42578125" style="200" customWidth="1"/>
    <col min="2819" max="3065" width="9.140625" style="200"/>
    <col min="3066" max="3066" width="58.42578125" style="200" bestFit="1" customWidth="1"/>
    <col min="3067" max="3067" width="8.28515625" style="200" bestFit="1" customWidth="1"/>
    <col min="3068" max="3068" width="12" style="200" customWidth="1"/>
    <col min="3069" max="3069" width="12.5703125" style="200" customWidth="1"/>
    <col min="3070" max="3070" width="11.7109375" style="200" customWidth="1"/>
    <col min="3071" max="3071" width="10.7109375" style="200" customWidth="1"/>
    <col min="3072" max="3072" width="9.140625" style="200" customWidth="1"/>
    <col min="3073" max="3073" width="10.5703125" style="200" customWidth="1"/>
    <col min="3074" max="3074" width="10.42578125" style="200" customWidth="1"/>
    <col min="3075" max="3321" width="9.140625" style="200"/>
    <col min="3322" max="3322" width="58.42578125" style="200" bestFit="1" customWidth="1"/>
    <col min="3323" max="3323" width="8.28515625" style="200" bestFit="1" customWidth="1"/>
    <col min="3324" max="3324" width="12" style="200" customWidth="1"/>
    <col min="3325" max="3325" width="12.5703125" style="200" customWidth="1"/>
    <col min="3326" max="3326" width="11.7109375" style="200" customWidth="1"/>
    <col min="3327" max="3327" width="10.7109375" style="200" customWidth="1"/>
    <col min="3328" max="3328" width="9.140625" style="200" customWidth="1"/>
    <col min="3329" max="3329" width="10.5703125" style="200" customWidth="1"/>
    <col min="3330" max="3330" width="10.42578125" style="200" customWidth="1"/>
    <col min="3331" max="3577" width="9.140625" style="200"/>
    <col min="3578" max="3578" width="58.42578125" style="200" bestFit="1" customWidth="1"/>
    <col min="3579" max="3579" width="8.28515625" style="200" bestFit="1" customWidth="1"/>
    <col min="3580" max="3580" width="12" style="200" customWidth="1"/>
    <col min="3581" max="3581" width="12.5703125" style="200" customWidth="1"/>
    <col min="3582" max="3582" width="11.7109375" style="200" customWidth="1"/>
    <col min="3583" max="3583" width="10.7109375" style="200" customWidth="1"/>
    <col min="3584" max="3584" width="9.140625" style="200" customWidth="1"/>
    <col min="3585" max="3585" width="10.5703125" style="200" customWidth="1"/>
    <col min="3586" max="3586" width="10.42578125" style="200" customWidth="1"/>
    <col min="3587" max="3833" width="9.140625" style="200"/>
    <col min="3834" max="3834" width="58.42578125" style="200" bestFit="1" customWidth="1"/>
    <col min="3835" max="3835" width="8.28515625" style="200" bestFit="1" customWidth="1"/>
    <col min="3836" max="3836" width="12" style="200" customWidth="1"/>
    <col min="3837" max="3837" width="12.5703125" style="200" customWidth="1"/>
    <col min="3838" max="3838" width="11.7109375" style="200" customWidth="1"/>
    <col min="3839" max="3839" width="10.7109375" style="200" customWidth="1"/>
    <col min="3840" max="3840" width="9.140625" style="200" customWidth="1"/>
    <col min="3841" max="3841" width="10.5703125" style="200" customWidth="1"/>
    <col min="3842" max="3842" width="10.42578125" style="200" customWidth="1"/>
    <col min="3843" max="4089" width="9.140625" style="200"/>
    <col min="4090" max="4090" width="58.42578125" style="200" bestFit="1" customWidth="1"/>
    <col min="4091" max="4091" width="8.28515625" style="200" bestFit="1" customWidth="1"/>
    <col min="4092" max="4092" width="12" style="200" customWidth="1"/>
    <col min="4093" max="4093" width="12.5703125" style="200" customWidth="1"/>
    <col min="4094" max="4094" width="11.7109375" style="200" customWidth="1"/>
    <col min="4095" max="4095" width="10.7109375" style="200" customWidth="1"/>
    <col min="4096" max="4096" width="9.140625" style="200" customWidth="1"/>
    <col min="4097" max="4097" width="10.5703125" style="200" customWidth="1"/>
    <col min="4098" max="4098" width="10.42578125" style="200" customWidth="1"/>
    <col min="4099" max="4345" width="9.140625" style="200"/>
    <col min="4346" max="4346" width="58.42578125" style="200" bestFit="1" customWidth="1"/>
    <col min="4347" max="4347" width="8.28515625" style="200" bestFit="1" customWidth="1"/>
    <col min="4348" max="4348" width="12" style="200" customWidth="1"/>
    <col min="4349" max="4349" width="12.5703125" style="200" customWidth="1"/>
    <col min="4350" max="4350" width="11.7109375" style="200" customWidth="1"/>
    <col min="4351" max="4351" width="10.7109375" style="200" customWidth="1"/>
    <col min="4352" max="4352" width="9.140625" style="200" customWidth="1"/>
    <col min="4353" max="4353" width="10.5703125" style="200" customWidth="1"/>
    <col min="4354" max="4354" width="10.42578125" style="200" customWidth="1"/>
    <col min="4355" max="4601" width="9.140625" style="200"/>
    <col min="4602" max="4602" width="58.42578125" style="200" bestFit="1" customWidth="1"/>
    <col min="4603" max="4603" width="8.28515625" style="200" bestFit="1" customWidth="1"/>
    <col min="4604" max="4604" width="12" style="200" customWidth="1"/>
    <col min="4605" max="4605" width="12.5703125" style="200" customWidth="1"/>
    <col min="4606" max="4606" width="11.7109375" style="200" customWidth="1"/>
    <col min="4607" max="4607" width="10.7109375" style="200" customWidth="1"/>
    <col min="4608" max="4608" width="9.140625" style="200" customWidth="1"/>
    <col min="4609" max="4609" width="10.5703125" style="200" customWidth="1"/>
    <col min="4610" max="4610" width="10.42578125" style="200" customWidth="1"/>
    <col min="4611" max="4857" width="9.140625" style="200"/>
    <col min="4858" max="4858" width="58.42578125" style="200" bestFit="1" customWidth="1"/>
    <col min="4859" max="4859" width="8.28515625" style="200" bestFit="1" customWidth="1"/>
    <col min="4860" max="4860" width="12" style="200" customWidth="1"/>
    <col min="4861" max="4861" width="12.5703125" style="200" customWidth="1"/>
    <col min="4862" max="4862" width="11.7109375" style="200" customWidth="1"/>
    <col min="4863" max="4863" width="10.7109375" style="200" customWidth="1"/>
    <col min="4864" max="4864" width="9.140625" style="200" customWidth="1"/>
    <col min="4865" max="4865" width="10.5703125" style="200" customWidth="1"/>
    <col min="4866" max="4866" width="10.42578125" style="200" customWidth="1"/>
    <col min="4867" max="5113" width="9.140625" style="200"/>
    <col min="5114" max="5114" width="58.42578125" style="200" bestFit="1" customWidth="1"/>
    <col min="5115" max="5115" width="8.28515625" style="200" bestFit="1" customWidth="1"/>
    <col min="5116" max="5116" width="12" style="200" customWidth="1"/>
    <col min="5117" max="5117" width="12.5703125" style="200" customWidth="1"/>
    <col min="5118" max="5118" width="11.7109375" style="200" customWidth="1"/>
    <col min="5119" max="5119" width="10.7109375" style="200" customWidth="1"/>
    <col min="5120" max="5120" width="9.140625" style="200" customWidth="1"/>
    <col min="5121" max="5121" width="10.5703125" style="200" customWidth="1"/>
    <col min="5122" max="5122" width="10.42578125" style="200" customWidth="1"/>
    <col min="5123" max="5369" width="9.140625" style="200"/>
    <col min="5370" max="5370" width="58.42578125" style="200" bestFit="1" customWidth="1"/>
    <col min="5371" max="5371" width="8.28515625" style="200" bestFit="1" customWidth="1"/>
    <col min="5372" max="5372" width="12" style="200" customWidth="1"/>
    <col min="5373" max="5373" width="12.5703125" style="200" customWidth="1"/>
    <col min="5374" max="5374" width="11.7109375" style="200" customWidth="1"/>
    <col min="5375" max="5375" width="10.7109375" style="200" customWidth="1"/>
    <col min="5376" max="5376" width="9.140625" style="200" customWidth="1"/>
    <col min="5377" max="5377" width="10.5703125" style="200" customWidth="1"/>
    <col min="5378" max="5378" width="10.42578125" style="200" customWidth="1"/>
    <col min="5379" max="5625" width="9.140625" style="200"/>
    <col min="5626" max="5626" width="58.42578125" style="200" bestFit="1" customWidth="1"/>
    <col min="5627" max="5627" width="8.28515625" style="200" bestFit="1" customWidth="1"/>
    <col min="5628" max="5628" width="12" style="200" customWidth="1"/>
    <col min="5629" max="5629" width="12.5703125" style="200" customWidth="1"/>
    <col min="5630" max="5630" width="11.7109375" style="200" customWidth="1"/>
    <col min="5631" max="5631" width="10.7109375" style="200" customWidth="1"/>
    <col min="5632" max="5632" width="9.140625" style="200" customWidth="1"/>
    <col min="5633" max="5633" width="10.5703125" style="200" customWidth="1"/>
    <col min="5634" max="5634" width="10.42578125" style="200" customWidth="1"/>
    <col min="5635" max="5881" width="9.140625" style="200"/>
    <col min="5882" max="5882" width="58.42578125" style="200" bestFit="1" customWidth="1"/>
    <col min="5883" max="5883" width="8.28515625" style="200" bestFit="1" customWidth="1"/>
    <col min="5884" max="5884" width="12" style="200" customWidth="1"/>
    <col min="5885" max="5885" width="12.5703125" style="200" customWidth="1"/>
    <col min="5886" max="5886" width="11.7109375" style="200" customWidth="1"/>
    <col min="5887" max="5887" width="10.7109375" style="200" customWidth="1"/>
    <col min="5888" max="5888" width="9.140625" style="200" customWidth="1"/>
    <col min="5889" max="5889" width="10.5703125" style="200" customWidth="1"/>
    <col min="5890" max="5890" width="10.42578125" style="200" customWidth="1"/>
    <col min="5891" max="6137" width="9.140625" style="200"/>
    <col min="6138" max="6138" width="58.42578125" style="200" bestFit="1" customWidth="1"/>
    <col min="6139" max="6139" width="8.28515625" style="200" bestFit="1" customWidth="1"/>
    <col min="6140" max="6140" width="12" style="200" customWidth="1"/>
    <col min="6141" max="6141" width="12.5703125" style="200" customWidth="1"/>
    <col min="6142" max="6142" width="11.7109375" style="200" customWidth="1"/>
    <col min="6143" max="6143" width="10.7109375" style="200" customWidth="1"/>
    <col min="6144" max="6144" width="9.140625" style="200" customWidth="1"/>
    <col min="6145" max="6145" width="10.5703125" style="200" customWidth="1"/>
    <col min="6146" max="6146" width="10.42578125" style="200" customWidth="1"/>
    <col min="6147" max="6393" width="9.140625" style="200"/>
    <col min="6394" max="6394" width="58.42578125" style="200" bestFit="1" customWidth="1"/>
    <col min="6395" max="6395" width="8.28515625" style="200" bestFit="1" customWidth="1"/>
    <col min="6396" max="6396" width="12" style="200" customWidth="1"/>
    <col min="6397" max="6397" width="12.5703125" style="200" customWidth="1"/>
    <col min="6398" max="6398" width="11.7109375" style="200" customWidth="1"/>
    <col min="6399" max="6399" width="10.7109375" style="200" customWidth="1"/>
    <col min="6400" max="6400" width="9.140625" style="200" customWidth="1"/>
    <col min="6401" max="6401" width="10.5703125" style="200" customWidth="1"/>
    <col min="6402" max="6402" width="10.42578125" style="200" customWidth="1"/>
    <col min="6403" max="6649" width="9.140625" style="200"/>
    <col min="6650" max="6650" width="58.42578125" style="200" bestFit="1" customWidth="1"/>
    <col min="6651" max="6651" width="8.28515625" style="200" bestFit="1" customWidth="1"/>
    <col min="6652" max="6652" width="12" style="200" customWidth="1"/>
    <col min="6653" max="6653" width="12.5703125" style="200" customWidth="1"/>
    <col min="6654" max="6654" width="11.7109375" style="200" customWidth="1"/>
    <col min="6655" max="6655" width="10.7109375" style="200" customWidth="1"/>
    <col min="6656" max="6656" width="9.140625" style="200" customWidth="1"/>
    <col min="6657" max="6657" width="10.5703125" style="200" customWidth="1"/>
    <col min="6658" max="6658" width="10.42578125" style="200" customWidth="1"/>
    <col min="6659" max="6905" width="9.140625" style="200"/>
    <col min="6906" max="6906" width="58.42578125" style="200" bestFit="1" customWidth="1"/>
    <col min="6907" max="6907" width="8.28515625" style="200" bestFit="1" customWidth="1"/>
    <col min="6908" max="6908" width="12" style="200" customWidth="1"/>
    <col min="6909" max="6909" width="12.5703125" style="200" customWidth="1"/>
    <col min="6910" max="6910" width="11.7109375" style="200" customWidth="1"/>
    <col min="6911" max="6911" width="10.7109375" style="200" customWidth="1"/>
    <col min="6912" max="6912" width="9.140625" style="200" customWidth="1"/>
    <col min="6913" max="6913" width="10.5703125" style="200" customWidth="1"/>
    <col min="6914" max="6914" width="10.42578125" style="200" customWidth="1"/>
    <col min="6915" max="7161" width="9.140625" style="200"/>
    <col min="7162" max="7162" width="58.42578125" style="200" bestFit="1" customWidth="1"/>
    <col min="7163" max="7163" width="8.28515625" style="200" bestFit="1" customWidth="1"/>
    <col min="7164" max="7164" width="12" style="200" customWidth="1"/>
    <col min="7165" max="7165" width="12.5703125" style="200" customWidth="1"/>
    <col min="7166" max="7166" width="11.7109375" style="200" customWidth="1"/>
    <col min="7167" max="7167" width="10.7109375" style="200" customWidth="1"/>
    <col min="7168" max="7168" width="9.140625" style="200" customWidth="1"/>
    <col min="7169" max="7169" width="10.5703125" style="200" customWidth="1"/>
    <col min="7170" max="7170" width="10.42578125" style="200" customWidth="1"/>
    <col min="7171" max="7417" width="9.140625" style="200"/>
    <col min="7418" max="7418" width="58.42578125" style="200" bestFit="1" customWidth="1"/>
    <col min="7419" max="7419" width="8.28515625" style="200" bestFit="1" customWidth="1"/>
    <col min="7420" max="7420" width="12" style="200" customWidth="1"/>
    <col min="7421" max="7421" width="12.5703125" style="200" customWidth="1"/>
    <col min="7422" max="7422" width="11.7109375" style="200" customWidth="1"/>
    <col min="7423" max="7423" width="10.7109375" style="200" customWidth="1"/>
    <col min="7424" max="7424" width="9.140625" style="200" customWidth="1"/>
    <col min="7425" max="7425" width="10.5703125" style="200" customWidth="1"/>
    <col min="7426" max="7426" width="10.42578125" style="200" customWidth="1"/>
    <col min="7427" max="7673" width="9.140625" style="200"/>
    <col min="7674" max="7674" width="58.42578125" style="200" bestFit="1" customWidth="1"/>
    <col min="7675" max="7675" width="8.28515625" style="200" bestFit="1" customWidth="1"/>
    <col min="7676" max="7676" width="12" style="200" customWidth="1"/>
    <col min="7677" max="7677" width="12.5703125" style="200" customWidth="1"/>
    <col min="7678" max="7678" width="11.7109375" style="200" customWidth="1"/>
    <col min="7679" max="7679" width="10.7109375" style="200" customWidth="1"/>
    <col min="7680" max="7680" width="9.140625" style="200" customWidth="1"/>
    <col min="7681" max="7681" width="10.5703125" style="200" customWidth="1"/>
    <col min="7682" max="7682" width="10.42578125" style="200" customWidth="1"/>
    <col min="7683" max="7929" width="9.140625" style="200"/>
    <col min="7930" max="7930" width="58.42578125" style="200" bestFit="1" customWidth="1"/>
    <col min="7931" max="7931" width="8.28515625" style="200" bestFit="1" customWidth="1"/>
    <col min="7932" max="7932" width="12" style="200" customWidth="1"/>
    <col min="7933" max="7933" width="12.5703125" style="200" customWidth="1"/>
    <col min="7934" max="7934" width="11.7109375" style="200" customWidth="1"/>
    <col min="7935" max="7935" width="10.7109375" style="200" customWidth="1"/>
    <col min="7936" max="7936" width="9.140625" style="200" customWidth="1"/>
    <col min="7937" max="7937" width="10.5703125" style="200" customWidth="1"/>
    <col min="7938" max="7938" width="10.42578125" style="200" customWidth="1"/>
    <col min="7939" max="8185" width="9.140625" style="200"/>
    <col min="8186" max="8186" width="58.42578125" style="200" bestFit="1" customWidth="1"/>
    <col min="8187" max="8187" width="8.28515625" style="200" bestFit="1" customWidth="1"/>
    <col min="8188" max="8188" width="12" style="200" customWidth="1"/>
    <col min="8189" max="8189" width="12.5703125" style="200" customWidth="1"/>
    <col min="8190" max="8190" width="11.7109375" style="200" customWidth="1"/>
    <col min="8191" max="8191" width="10.7109375" style="200" customWidth="1"/>
    <col min="8192" max="8192" width="9.140625" style="200" customWidth="1"/>
    <col min="8193" max="8193" width="10.5703125" style="200" customWidth="1"/>
    <col min="8194" max="8194" width="10.42578125" style="200" customWidth="1"/>
    <col min="8195" max="8441" width="9.140625" style="200"/>
    <col min="8442" max="8442" width="58.42578125" style="200" bestFit="1" customWidth="1"/>
    <col min="8443" max="8443" width="8.28515625" style="200" bestFit="1" customWidth="1"/>
    <col min="8444" max="8444" width="12" style="200" customWidth="1"/>
    <col min="8445" max="8445" width="12.5703125" style="200" customWidth="1"/>
    <col min="8446" max="8446" width="11.7109375" style="200" customWidth="1"/>
    <col min="8447" max="8447" width="10.7109375" style="200" customWidth="1"/>
    <col min="8448" max="8448" width="9.140625" style="200" customWidth="1"/>
    <col min="8449" max="8449" width="10.5703125" style="200" customWidth="1"/>
    <col min="8450" max="8450" width="10.42578125" style="200" customWidth="1"/>
    <col min="8451" max="8697" width="9.140625" style="200"/>
    <col min="8698" max="8698" width="58.42578125" style="200" bestFit="1" customWidth="1"/>
    <col min="8699" max="8699" width="8.28515625" style="200" bestFit="1" customWidth="1"/>
    <col min="8700" max="8700" width="12" style="200" customWidth="1"/>
    <col min="8701" max="8701" width="12.5703125" style="200" customWidth="1"/>
    <col min="8702" max="8702" width="11.7109375" style="200" customWidth="1"/>
    <col min="8703" max="8703" width="10.7109375" style="200" customWidth="1"/>
    <col min="8704" max="8704" width="9.140625" style="200" customWidth="1"/>
    <col min="8705" max="8705" width="10.5703125" style="200" customWidth="1"/>
    <col min="8706" max="8706" width="10.42578125" style="200" customWidth="1"/>
    <col min="8707" max="8953" width="9.140625" style="200"/>
    <col min="8954" max="8954" width="58.42578125" style="200" bestFit="1" customWidth="1"/>
    <col min="8955" max="8955" width="8.28515625" style="200" bestFit="1" customWidth="1"/>
    <col min="8956" max="8956" width="12" style="200" customWidth="1"/>
    <col min="8957" max="8957" width="12.5703125" style="200" customWidth="1"/>
    <col min="8958" max="8958" width="11.7109375" style="200" customWidth="1"/>
    <col min="8959" max="8959" width="10.7109375" style="200" customWidth="1"/>
    <col min="8960" max="8960" width="9.140625" style="200" customWidth="1"/>
    <col min="8961" max="8961" width="10.5703125" style="200" customWidth="1"/>
    <col min="8962" max="8962" width="10.42578125" style="200" customWidth="1"/>
    <col min="8963" max="9209" width="9.140625" style="200"/>
    <col min="9210" max="9210" width="58.42578125" style="200" bestFit="1" customWidth="1"/>
    <col min="9211" max="9211" width="8.28515625" style="200" bestFit="1" customWidth="1"/>
    <col min="9212" max="9212" width="12" style="200" customWidth="1"/>
    <col min="9213" max="9213" width="12.5703125" style="200" customWidth="1"/>
    <col min="9214" max="9214" width="11.7109375" style="200" customWidth="1"/>
    <col min="9215" max="9215" width="10.7109375" style="200" customWidth="1"/>
    <col min="9216" max="9216" width="9.140625" style="200" customWidth="1"/>
    <col min="9217" max="9217" width="10.5703125" style="200" customWidth="1"/>
    <col min="9218" max="9218" width="10.42578125" style="200" customWidth="1"/>
    <col min="9219" max="9465" width="9.140625" style="200"/>
    <col min="9466" max="9466" width="58.42578125" style="200" bestFit="1" customWidth="1"/>
    <col min="9467" max="9467" width="8.28515625" style="200" bestFit="1" customWidth="1"/>
    <col min="9468" max="9468" width="12" style="200" customWidth="1"/>
    <col min="9469" max="9469" width="12.5703125" style="200" customWidth="1"/>
    <col min="9470" max="9470" width="11.7109375" style="200" customWidth="1"/>
    <col min="9471" max="9471" width="10.7109375" style="200" customWidth="1"/>
    <col min="9472" max="9472" width="9.140625" style="200" customWidth="1"/>
    <col min="9473" max="9473" width="10.5703125" style="200" customWidth="1"/>
    <col min="9474" max="9474" width="10.42578125" style="200" customWidth="1"/>
    <col min="9475" max="9721" width="9.140625" style="200"/>
    <col min="9722" max="9722" width="58.42578125" style="200" bestFit="1" customWidth="1"/>
    <col min="9723" max="9723" width="8.28515625" style="200" bestFit="1" customWidth="1"/>
    <col min="9724" max="9724" width="12" style="200" customWidth="1"/>
    <col min="9725" max="9725" width="12.5703125" style="200" customWidth="1"/>
    <col min="9726" max="9726" width="11.7109375" style="200" customWidth="1"/>
    <col min="9727" max="9727" width="10.7109375" style="200" customWidth="1"/>
    <col min="9728" max="9728" width="9.140625" style="200" customWidth="1"/>
    <col min="9729" max="9729" width="10.5703125" style="200" customWidth="1"/>
    <col min="9730" max="9730" width="10.42578125" style="200" customWidth="1"/>
    <col min="9731" max="9977" width="9.140625" style="200"/>
    <col min="9978" max="9978" width="58.42578125" style="200" bestFit="1" customWidth="1"/>
    <col min="9979" max="9979" width="8.28515625" style="200" bestFit="1" customWidth="1"/>
    <col min="9980" max="9980" width="12" style="200" customWidth="1"/>
    <col min="9981" max="9981" width="12.5703125" style="200" customWidth="1"/>
    <col min="9982" max="9982" width="11.7109375" style="200" customWidth="1"/>
    <col min="9983" max="9983" width="10.7109375" style="200" customWidth="1"/>
    <col min="9984" max="9984" width="9.140625" style="200" customWidth="1"/>
    <col min="9985" max="9985" width="10.5703125" style="200" customWidth="1"/>
    <col min="9986" max="9986" width="10.42578125" style="200" customWidth="1"/>
    <col min="9987" max="10233" width="9.140625" style="200"/>
    <col min="10234" max="10234" width="58.42578125" style="200" bestFit="1" customWidth="1"/>
    <col min="10235" max="10235" width="8.28515625" style="200" bestFit="1" customWidth="1"/>
    <col min="10236" max="10236" width="12" style="200" customWidth="1"/>
    <col min="10237" max="10237" width="12.5703125" style="200" customWidth="1"/>
    <col min="10238" max="10238" width="11.7109375" style="200" customWidth="1"/>
    <col min="10239" max="10239" width="10.7109375" style="200" customWidth="1"/>
    <col min="10240" max="10240" width="9.140625" style="200" customWidth="1"/>
    <col min="10241" max="10241" width="10.5703125" style="200" customWidth="1"/>
    <col min="10242" max="10242" width="10.42578125" style="200" customWidth="1"/>
    <col min="10243" max="10489" width="9.140625" style="200"/>
    <col min="10490" max="10490" width="58.42578125" style="200" bestFit="1" customWidth="1"/>
    <col min="10491" max="10491" width="8.28515625" style="200" bestFit="1" customWidth="1"/>
    <col min="10492" max="10492" width="12" style="200" customWidth="1"/>
    <col min="10493" max="10493" width="12.5703125" style="200" customWidth="1"/>
    <col min="10494" max="10494" width="11.7109375" style="200" customWidth="1"/>
    <col min="10495" max="10495" width="10.7109375" style="200" customWidth="1"/>
    <col min="10496" max="10496" width="9.140625" style="200" customWidth="1"/>
    <col min="10497" max="10497" width="10.5703125" style="200" customWidth="1"/>
    <col min="10498" max="10498" width="10.42578125" style="200" customWidth="1"/>
    <col min="10499" max="10745" width="9.140625" style="200"/>
    <col min="10746" max="10746" width="58.42578125" style="200" bestFit="1" customWidth="1"/>
    <col min="10747" max="10747" width="8.28515625" style="200" bestFit="1" customWidth="1"/>
    <col min="10748" max="10748" width="12" style="200" customWidth="1"/>
    <col min="10749" max="10749" width="12.5703125" style="200" customWidth="1"/>
    <col min="10750" max="10750" width="11.7109375" style="200" customWidth="1"/>
    <col min="10751" max="10751" width="10.7109375" style="200" customWidth="1"/>
    <col min="10752" max="10752" width="9.140625" style="200" customWidth="1"/>
    <col min="10753" max="10753" width="10.5703125" style="200" customWidth="1"/>
    <col min="10754" max="10754" width="10.42578125" style="200" customWidth="1"/>
    <col min="10755" max="11001" width="9.140625" style="200"/>
    <col min="11002" max="11002" width="58.42578125" style="200" bestFit="1" customWidth="1"/>
    <col min="11003" max="11003" width="8.28515625" style="200" bestFit="1" customWidth="1"/>
    <col min="11004" max="11004" width="12" style="200" customWidth="1"/>
    <col min="11005" max="11005" width="12.5703125" style="200" customWidth="1"/>
    <col min="11006" max="11006" width="11.7109375" style="200" customWidth="1"/>
    <col min="11007" max="11007" width="10.7109375" style="200" customWidth="1"/>
    <col min="11008" max="11008" width="9.140625" style="200" customWidth="1"/>
    <col min="11009" max="11009" width="10.5703125" style="200" customWidth="1"/>
    <col min="11010" max="11010" width="10.42578125" style="200" customWidth="1"/>
    <col min="11011" max="11257" width="9.140625" style="200"/>
    <col min="11258" max="11258" width="58.42578125" style="200" bestFit="1" customWidth="1"/>
    <col min="11259" max="11259" width="8.28515625" style="200" bestFit="1" customWidth="1"/>
    <col min="11260" max="11260" width="12" style="200" customWidth="1"/>
    <col min="11261" max="11261" width="12.5703125" style="200" customWidth="1"/>
    <col min="11262" max="11262" width="11.7109375" style="200" customWidth="1"/>
    <col min="11263" max="11263" width="10.7109375" style="200" customWidth="1"/>
    <col min="11264" max="11264" width="9.140625" style="200" customWidth="1"/>
    <col min="11265" max="11265" width="10.5703125" style="200" customWidth="1"/>
    <col min="11266" max="11266" width="10.42578125" style="200" customWidth="1"/>
    <col min="11267" max="11513" width="9.140625" style="200"/>
    <col min="11514" max="11514" width="58.42578125" style="200" bestFit="1" customWidth="1"/>
    <col min="11515" max="11515" width="8.28515625" style="200" bestFit="1" customWidth="1"/>
    <col min="11516" max="11516" width="12" style="200" customWidth="1"/>
    <col min="11517" max="11517" width="12.5703125" style="200" customWidth="1"/>
    <col min="11518" max="11518" width="11.7109375" style="200" customWidth="1"/>
    <col min="11519" max="11519" width="10.7109375" style="200" customWidth="1"/>
    <col min="11520" max="11520" width="9.140625" style="200" customWidth="1"/>
    <col min="11521" max="11521" width="10.5703125" style="200" customWidth="1"/>
    <col min="11522" max="11522" width="10.42578125" style="200" customWidth="1"/>
    <col min="11523" max="11769" width="9.140625" style="200"/>
    <col min="11770" max="11770" width="58.42578125" style="200" bestFit="1" customWidth="1"/>
    <col min="11771" max="11771" width="8.28515625" style="200" bestFit="1" customWidth="1"/>
    <col min="11772" max="11772" width="12" style="200" customWidth="1"/>
    <col min="11773" max="11773" width="12.5703125" style="200" customWidth="1"/>
    <col min="11774" max="11774" width="11.7109375" style="200" customWidth="1"/>
    <col min="11775" max="11775" width="10.7109375" style="200" customWidth="1"/>
    <col min="11776" max="11776" width="9.140625" style="200" customWidth="1"/>
    <col min="11777" max="11777" width="10.5703125" style="200" customWidth="1"/>
    <col min="11778" max="11778" width="10.42578125" style="200" customWidth="1"/>
    <col min="11779" max="12025" width="9.140625" style="200"/>
    <col min="12026" max="12026" width="58.42578125" style="200" bestFit="1" customWidth="1"/>
    <col min="12027" max="12027" width="8.28515625" style="200" bestFit="1" customWidth="1"/>
    <col min="12028" max="12028" width="12" style="200" customWidth="1"/>
    <col min="12029" max="12029" width="12.5703125" style="200" customWidth="1"/>
    <col min="12030" max="12030" width="11.7109375" style="200" customWidth="1"/>
    <col min="12031" max="12031" width="10.7109375" style="200" customWidth="1"/>
    <col min="12032" max="12032" width="9.140625" style="200" customWidth="1"/>
    <col min="12033" max="12033" width="10.5703125" style="200" customWidth="1"/>
    <col min="12034" max="12034" width="10.42578125" style="200" customWidth="1"/>
    <col min="12035" max="12281" width="9.140625" style="200"/>
    <col min="12282" max="12282" width="58.42578125" style="200" bestFit="1" customWidth="1"/>
    <col min="12283" max="12283" width="8.28515625" style="200" bestFit="1" customWidth="1"/>
    <col min="12284" max="12284" width="12" style="200" customWidth="1"/>
    <col min="12285" max="12285" width="12.5703125" style="200" customWidth="1"/>
    <col min="12286" max="12286" width="11.7109375" style="200" customWidth="1"/>
    <col min="12287" max="12287" width="10.7109375" style="200" customWidth="1"/>
    <col min="12288" max="12288" width="9.140625" style="200" customWidth="1"/>
    <col min="12289" max="12289" width="10.5703125" style="200" customWidth="1"/>
    <col min="12290" max="12290" width="10.42578125" style="200" customWidth="1"/>
    <col min="12291" max="12537" width="9.140625" style="200"/>
    <col min="12538" max="12538" width="58.42578125" style="200" bestFit="1" customWidth="1"/>
    <col min="12539" max="12539" width="8.28515625" style="200" bestFit="1" customWidth="1"/>
    <col min="12540" max="12540" width="12" style="200" customWidth="1"/>
    <col min="12541" max="12541" width="12.5703125" style="200" customWidth="1"/>
    <col min="12542" max="12542" width="11.7109375" style="200" customWidth="1"/>
    <col min="12543" max="12543" width="10.7109375" style="200" customWidth="1"/>
    <col min="12544" max="12544" width="9.140625" style="200" customWidth="1"/>
    <col min="12545" max="12545" width="10.5703125" style="200" customWidth="1"/>
    <col min="12546" max="12546" width="10.42578125" style="200" customWidth="1"/>
    <col min="12547" max="12793" width="9.140625" style="200"/>
    <col min="12794" max="12794" width="58.42578125" style="200" bestFit="1" customWidth="1"/>
    <col min="12795" max="12795" width="8.28515625" style="200" bestFit="1" customWidth="1"/>
    <col min="12796" max="12796" width="12" style="200" customWidth="1"/>
    <col min="12797" max="12797" width="12.5703125" style="200" customWidth="1"/>
    <col min="12798" max="12798" width="11.7109375" style="200" customWidth="1"/>
    <col min="12799" max="12799" width="10.7109375" style="200" customWidth="1"/>
    <col min="12800" max="12800" width="9.140625" style="200" customWidth="1"/>
    <col min="12801" max="12801" width="10.5703125" style="200" customWidth="1"/>
    <col min="12802" max="12802" width="10.42578125" style="200" customWidth="1"/>
    <col min="12803" max="13049" width="9.140625" style="200"/>
    <col min="13050" max="13050" width="58.42578125" style="200" bestFit="1" customWidth="1"/>
    <col min="13051" max="13051" width="8.28515625" style="200" bestFit="1" customWidth="1"/>
    <col min="13052" max="13052" width="12" style="200" customWidth="1"/>
    <col min="13053" max="13053" width="12.5703125" style="200" customWidth="1"/>
    <col min="13054" max="13054" width="11.7109375" style="200" customWidth="1"/>
    <col min="13055" max="13055" width="10.7109375" style="200" customWidth="1"/>
    <col min="13056" max="13056" width="9.140625" style="200" customWidth="1"/>
    <col min="13057" max="13057" width="10.5703125" style="200" customWidth="1"/>
    <col min="13058" max="13058" width="10.42578125" style="200" customWidth="1"/>
    <col min="13059" max="13305" width="9.140625" style="200"/>
    <col min="13306" max="13306" width="58.42578125" style="200" bestFit="1" customWidth="1"/>
    <col min="13307" max="13307" width="8.28515625" style="200" bestFit="1" customWidth="1"/>
    <col min="13308" max="13308" width="12" style="200" customWidth="1"/>
    <col min="13309" max="13309" width="12.5703125" style="200" customWidth="1"/>
    <col min="13310" max="13310" width="11.7109375" style="200" customWidth="1"/>
    <col min="13311" max="13311" width="10.7109375" style="200" customWidth="1"/>
    <col min="13312" max="13312" width="9.140625" style="200" customWidth="1"/>
    <col min="13313" max="13313" width="10.5703125" style="200" customWidth="1"/>
    <col min="13314" max="13314" width="10.42578125" style="200" customWidth="1"/>
    <col min="13315" max="13561" width="9.140625" style="200"/>
    <col min="13562" max="13562" width="58.42578125" style="200" bestFit="1" customWidth="1"/>
    <col min="13563" max="13563" width="8.28515625" style="200" bestFit="1" customWidth="1"/>
    <col min="13564" max="13564" width="12" style="200" customWidth="1"/>
    <col min="13565" max="13565" width="12.5703125" style="200" customWidth="1"/>
    <col min="13566" max="13566" width="11.7109375" style="200" customWidth="1"/>
    <col min="13567" max="13567" width="10.7109375" style="200" customWidth="1"/>
    <col min="13568" max="13568" width="9.140625" style="200" customWidth="1"/>
    <col min="13569" max="13569" width="10.5703125" style="200" customWidth="1"/>
    <col min="13570" max="13570" width="10.42578125" style="200" customWidth="1"/>
    <col min="13571" max="13817" width="9.140625" style="200"/>
    <col min="13818" max="13818" width="58.42578125" style="200" bestFit="1" customWidth="1"/>
    <col min="13819" max="13819" width="8.28515625" style="200" bestFit="1" customWidth="1"/>
    <col min="13820" max="13820" width="12" style="200" customWidth="1"/>
    <col min="13821" max="13821" width="12.5703125" style="200" customWidth="1"/>
    <col min="13822" max="13822" width="11.7109375" style="200" customWidth="1"/>
    <col min="13823" max="13823" width="10.7109375" style="200" customWidth="1"/>
    <col min="13824" max="13824" width="9.140625" style="200" customWidth="1"/>
    <col min="13825" max="13825" width="10.5703125" style="200" customWidth="1"/>
    <col min="13826" max="13826" width="10.42578125" style="200" customWidth="1"/>
    <col min="13827" max="14073" width="9.140625" style="200"/>
    <col min="14074" max="14074" width="58.42578125" style="200" bestFit="1" customWidth="1"/>
    <col min="14075" max="14075" width="8.28515625" style="200" bestFit="1" customWidth="1"/>
    <col min="14076" max="14076" width="12" style="200" customWidth="1"/>
    <col min="14077" max="14077" width="12.5703125" style="200" customWidth="1"/>
    <col min="14078" max="14078" width="11.7109375" style="200" customWidth="1"/>
    <col min="14079" max="14079" width="10.7109375" style="200" customWidth="1"/>
    <col min="14080" max="14080" width="9.140625" style="200" customWidth="1"/>
    <col min="14081" max="14081" width="10.5703125" style="200" customWidth="1"/>
    <col min="14082" max="14082" width="10.42578125" style="200" customWidth="1"/>
    <col min="14083" max="14329" width="9.140625" style="200"/>
    <col min="14330" max="14330" width="58.42578125" style="200" bestFit="1" customWidth="1"/>
    <col min="14331" max="14331" width="8.28515625" style="200" bestFit="1" customWidth="1"/>
    <col min="14332" max="14332" width="12" style="200" customWidth="1"/>
    <col min="14333" max="14333" width="12.5703125" style="200" customWidth="1"/>
    <col min="14334" max="14334" width="11.7109375" style="200" customWidth="1"/>
    <col min="14335" max="14335" width="10.7109375" style="200" customWidth="1"/>
    <col min="14336" max="14336" width="9.140625" style="200" customWidth="1"/>
    <col min="14337" max="14337" width="10.5703125" style="200" customWidth="1"/>
    <col min="14338" max="14338" width="10.42578125" style="200" customWidth="1"/>
    <col min="14339" max="14585" width="9.140625" style="200"/>
    <col min="14586" max="14586" width="58.42578125" style="200" bestFit="1" customWidth="1"/>
    <col min="14587" max="14587" width="8.28515625" style="200" bestFit="1" customWidth="1"/>
    <col min="14588" max="14588" width="12" style="200" customWidth="1"/>
    <col min="14589" max="14589" width="12.5703125" style="200" customWidth="1"/>
    <col min="14590" max="14590" width="11.7109375" style="200" customWidth="1"/>
    <col min="14591" max="14591" width="10.7109375" style="200" customWidth="1"/>
    <col min="14592" max="14592" width="9.140625" style="200" customWidth="1"/>
    <col min="14593" max="14593" width="10.5703125" style="200" customWidth="1"/>
    <col min="14594" max="14594" width="10.42578125" style="200" customWidth="1"/>
    <col min="14595" max="14841" width="9.140625" style="200"/>
    <col min="14842" max="14842" width="58.42578125" style="200" bestFit="1" customWidth="1"/>
    <col min="14843" max="14843" width="8.28515625" style="200" bestFit="1" customWidth="1"/>
    <col min="14844" max="14844" width="12" style="200" customWidth="1"/>
    <col min="14845" max="14845" width="12.5703125" style="200" customWidth="1"/>
    <col min="14846" max="14846" width="11.7109375" style="200" customWidth="1"/>
    <col min="14847" max="14847" width="10.7109375" style="200" customWidth="1"/>
    <col min="14848" max="14848" width="9.140625" style="200" customWidth="1"/>
    <col min="14849" max="14849" width="10.5703125" style="200" customWidth="1"/>
    <col min="14850" max="14850" width="10.42578125" style="200" customWidth="1"/>
    <col min="14851" max="15097" width="9.140625" style="200"/>
    <col min="15098" max="15098" width="58.42578125" style="200" bestFit="1" customWidth="1"/>
    <col min="15099" max="15099" width="8.28515625" style="200" bestFit="1" customWidth="1"/>
    <col min="15100" max="15100" width="12" style="200" customWidth="1"/>
    <col min="15101" max="15101" width="12.5703125" style="200" customWidth="1"/>
    <col min="15102" max="15102" width="11.7109375" style="200" customWidth="1"/>
    <col min="15103" max="15103" width="10.7109375" style="200" customWidth="1"/>
    <col min="15104" max="15104" width="9.140625" style="200" customWidth="1"/>
    <col min="15105" max="15105" width="10.5703125" style="200" customWidth="1"/>
    <col min="15106" max="15106" width="10.42578125" style="200" customWidth="1"/>
    <col min="15107" max="15353" width="9.140625" style="200"/>
    <col min="15354" max="15354" width="58.42578125" style="200" bestFit="1" customWidth="1"/>
    <col min="15355" max="15355" width="8.28515625" style="200" bestFit="1" customWidth="1"/>
    <col min="15356" max="15356" width="12" style="200" customWidth="1"/>
    <col min="15357" max="15357" width="12.5703125" style="200" customWidth="1"/>
    <col min="15358" max="15358" width="11.7109375" style="200" customWidth="1"/>
    <col min="15359" max="15359" width="10.7109375" style="200" customWidth="1"/>
    <col min="15360" max="15360" width="9.140625" style="200" customWidth="1"/>
    <col min="15361" max="15361" width="10.5703125" style="200" customWidth="1"/>
    <col min="15362" max="15362" width="10.42578125" style="200" customWidth="1"/>
    <col min="15363" max="15609" width="9.140625" style="200"/>
    <col min="15610" max="15610" width="58.42578125" style="200" bestFit="1" customWidth="1"/>
    <col min="15611" max="15611" width="8.28515625" style="200" bestFit="1" customWidth="1"/>
    <col min="15612" max="15612" width="12" style="200" customWidth="1"/>
    <col min="15613" max="15613" width="12.5703125" style="200" customWidth="1"/>
    <col min="15614" max="15614" width="11.7109375" style="200" customWidth="1"/>
    <col min="15615" max="15615" width="10.7109375" style="200" customWidth="1"/>
    <col min="15616" max="15616" width="9.140625" style="200" customWidth="1"/>
    <col min="15617" max="15617" width="10.5703125" style="200" customWidth="1"/>
    <col min="15618" max="15618" width="10.42578125" style="200" customWidth="1"/>
    <col min="15619" max="15865" width="9.140625" style="200"/>
    <col min="15866" max="15866" width="58.42578125" style="200" bestFit="1" customWidth="1"/>
    <col min="15867" max="15867" width="8.28515625" style="200" bestFit="1" customWidth="1"/>
    <col min="15868" max="15868" width="12" style="200" customWidth="1"/>
    <col min="15869" max="15869" width="12.5703125" style="200" customWidth="1"/>
    <col min="15870" max="15870" width="11.7109375" style="200" customWidth="1"/>
    <col min="15871" max="15871" width="10.7109375" style="200" customWidth="1"/>
    <col min="15872" max="15872" width="9.140625" style="200" customWidth="1"/>
    <col min="15873" max="15873" width="10.5703125" style="200" customWidth="1"/>
    <col min="15874" max="15874" width="10.42578125" style="200" customWidth="1"/>
    <col min="15875" max="16121" width="9.140625" style="200"/>
    <col min="16122" max="16122" width="58.42578125" style="200" bestFit="1" customWidth="1"/>
    <col min="16123" max="16123" width="8.28515625" style="200" bestFit="1" customWidth="1"/>
    <col min="16124" max="16124" width="12" style="200" customWidth="1"/>
    <col min="16125" max="16125" width="12.5703125" style="200" customWidth="1"/>
    <col min="16126" max="16126" width="11.7109375" style="200" customWidth="1"/>
    <col min="16127" max="16127" width="10.7109375" style="200" customWidth="1"/>
    <col min="16128" max="16128" width="9.140625" style="200" customWidth="1"/>
    <col min="16129" max="16129" width="10.5703125" style="200" customWidth="1"/>
    <col min="16130" max="16130" width="10.42578125" style="200" customWidth="1"/>
    <col min="16131" max="16377" width="9.140625" style="200"/>
    <col min="16378" max="16384" width="9.140625" style="200" customWidth="1"/>
  </cols>
  <sheetData>
    <row r="1" spans="1:15">
      <c r="C1" s="201"/>
      <c r="E1" s="200"/>
    </row>
    <row r="2" spans="1:15" s="384" customFormat="1" ht="34.9" customHeight="1">
      <c r="B2" s="2309" t="str">
        <f>+Summary!B2</f>
        <v>Dự án Trần Đức 1</v>
      </c>
      <c r="C2" s="2309"/>
      <c r="D2" s="2309"/>
      <c r="E2" s="2309"/>
      <c r="F2" s="2309"/>
      <c r="G2" s="2309"/>
      <c r="H2" s="2309"/>
      <c r="I2" s="1"/>
      <c r="J2" s="1"/>
      <c r="K2" s="1"/>
    </row>
    <row r="3" spans="1:15" s="382" customFormat="1" ht="19.899999999999999" customHeight="1" thickBot="1">
      <c r="B3" s="1445" t="s">
        <v>605</v>
      </c>
      <c r="C3" s="1142"/>
      <c r="D3" s="1142"/>
      <c r="E3" s="1142"/>
      <c r="F3" s="1142"/>
      <c r="G3" s="386"/>
      <c r="H3" s="386"/>
      <c r="I3" s="386"/>
      <c r="J3" s="386"/>
      <c r="K3" s="386"/>
    </row>
    <row r="4" spans="1:15" ht="18" thickTop="1">
      <c r="E4" s="200"/>
    </row>
    <row r="5" spans="1:15">
      <c r="D5" s="1437"/>
      <c r="E5" s="200"/>
    </row>
    <row r="6" spans="1:15">
      <c r="B6" s="2308" t="s">
        <v>495</v>
      </c>
      <c r="C6" s="2308"/>
      <c r="D6" s="2308"/>
      <c r="E6" s="2308"/>
    </row>
    <row r="7" spans="1:15">
      <c r="B7" s="203"/>
      <c r="C7" s="203"/>
      <c r="D7" s="203"/>
      <c r="E7" s="203"/>
      <c r="J7" s="1471"/>
    </row>
    <row r="8" spans="1:15" s="1147" customFormat="1" ht="40.9" customHeight="1" thickBot="1">
      <c r="A8" s="1146"/>
      <c r="B8" s="1164" t="s">
        <v>0</v>
      </c>
      <c r="C8" s="1165" t="s">
        <v>560</v>
      </c>
      <c r="D8" s="1165" t="s">
        <v>469</v>
      </c>
      <c r="E8" s="1166" t="s">
        <v>568</v>
      </c>
      <c r="F8" s="1167" t="s">
        <v>467</v>
      </c>
      <c r="G8" s="1167" t="s">
        <v>5</v>
      </c>
      <c r="H8" s="1167" t="s">
        <v>571</v>
      </c>
      <c r="I8" s="1167" t="s">
        <v>572</v>
      </c>
      <c r="J8" s="1167" t="s">
        <v>573</v>
      </c>
      <c r="K8" s="1167" t="s">
        <v>639</v>
      </c>
      <c r="L8" s="1167" t="s">
        <v>569</v>
      </c>
      <c r="M8" s="1167" t="s">
        <v>570</v>
      </c>
      <c r="N8" s="1167" t="s">
        <v>585</v>
      </c>
    </row>
    <row r="9" spans="1:15">
      <c r="B9" s="1159" t="s">
        <v>176</v>
      </c>
      <c r="C9" s="1160" t="s">
        <v>676</v>
      </c>
      <c r="D9" s="1160">
        <f>D10+D43+D47+D48+D52</f>
        <v>26556</v>
      </c>
      <c r="E9" s="1161">
        <f>+D9/D54</f>
        <v>0.94081949218137773</v>
      </c>
      <c r="F9" s="1162"/>
      <c r="G9" s="1163"/>
      <c r="H9" s="1163"/>
      <c r="I9" s="1163"/>
      <c r="J9" s="1163"/>
      <c r="K9" s="1163"/>
      <c r="L9" s="1163"/>
      <c r="M9" s="1163"/>
    </row>
    <row r="10" spans="1:15" s="227" customFormat="1">
      <c r="A10" s="222"/>
      <c r="B10" s="1171">
        <v>1</v>
      </c>
      <c r="C10" s="1149" t="s">
        <v>561</v>
      </c>
      <c r="D10" s="1149">
        <f>+D12+D37+D21+D29</f>
        <v>21178.41</v>
      </c>
      <c r="E10" s="1172">
        <f>+D10/$D$54</f>
        <v>0.75030354501464869</v>
      </c>
      <c r="F10" s="1172"/>
      <c r="G10" s="1210"/>
      <c r="H10" s="1209">
        <f t="shared" ref="H10:M10" si="0">+H11+H37</f>
        <v>12232.3575</v>
      </c>
      <c r="I10" s="1209">
        <f t="shared" si="0"/>
        <v>172561.10118529413</v>
      </c>
      <c r="J10" s="1209">
        <f t="shared" si="0"/>
        <v>91551.966341009989</v>
      </c>
      <c r="K10" s="1209">
        <f t="shared" si="0"/>
        <v>97820.304990333316</v>
      </c>
      <c r="L10" s="1209">
        <f t="shared" si="0"/>
        <v>1521.3544339622642</v>
      </c>
      <c r="M10" s="1209">
        <f t="shared" si="0"/>
        <v>2700</v>
      </c>
    </row>
    <row r="11" spans="1:15">
      <c r="B11" s="1171">
        <v>1.1000000000000001</v>
      </c>
      <c r="C11" s="1149" t="s">
        <v>606</v>
      </c>
      <c r="D11" s="1149">
        <f>+D12+D21+D29</f>
        <v>14605.800000000001</v>
      </c>
      <c r="E11" s="1172">
        <f>+D11/$D$54</f>
        <v>0.51745072069975773</v>
      </c>
      <c r="F11" s="1213"/>
      <c r="G11" s="1488">
        <f>MAX(G12,G21,G29)</f>
        <v>30</v>
      </c>
      <c r="H11" s="1209">
        <f t="shared" ref="H11:M11" si="1">+H12+H21+H29</f>
        <v>7302.9000000000005</v>
      </c>
      <c r="I11" s="1209">
        <f t="shared" si="1"/>
        <v>146585.35473529412</v>
      </c>
      <c r="J11" s="1209">
        <f t="shared" si="1"/>
        <v>84979.356341009989</v>
      </c>
      <c r="K11" s="1209">
        <f t="shared" si="1"/>
        <v>91247.694990333315</v>
      </c>
      <c r="L11" s="1209">
        <f t="shared" si="1"/>
        <v>1448.3254339622642</v>
      </c>
      <c r="M11" s="1209">
        <f t="shared" si="1"/>
        <v>2407.884</v>
      </c>
    </row>
    <row r="12" spans="1:15">
      <c r="B12" s="1446" t="s">
        <v>138</v>
      </c>
      <c r="C12" s="1447" t="s">
        <v>654</v>
      </c>
      <c r="D12" s="1550">
        <v>15626</v>
      </c>
      <c r="E12" s="1449">
        <f>+D12/$D$54</f>
        <v>0.51745072069975773</v>
      </c>
      <c r="F12" s="1450">
        <v>0.386</v>
      </c>
      <c r="G12" s="1451">
        <v>40</v>
      </c>
      <c r="H12" s="1452">
        <f>+D12*F12</f>
        <v>7302.9000000000005</v>
      </c>
      <c r="I12" s="1452">
        <f>+SUM(I13:I20)</f>
        <v>146585.35473529412</v>
      </c>
      <c r="J12" s="1452">
        <f>SUM(J13:J20)</f>
        <v>84979.356341009989</v>
      </c>
      <c r="K12" s="1452">
        <f>SUM(K13:K20)</f>
        <v>91247.694990333315</v>
      </c>
      <c r="L12" s="1452">
        <f>SUM(L13:L20)</f>
        <v>1448.3254339622642</v>
      </c>
      <c r="M12" s="1452">
        <f>SUM(M13:M20)</f>
        <v>2407.884</v>
      </c>
    </row>
    <row r="13" spans="1:15">
      <c r="B13" s="1179"/>
      <c r="C13" s="1453" t="s">
        <v>739</v>
      </c>
      <c r="D13" s="1181"/>
      <c r="E13" s="1182"/>
      <c r="F13" s="1183"/>
      <c r="G13" s="1184"/>
      <c r="H13" s="1185">
        <f>+D61*D64</f>
        <v>0</v>
      </c>
      <c r="I13" s="1204">
        <v>145652.1</v>
      </c>
      <c r="J13" s="1204">
        <v>106326.0</v>
      </c>
      <c r="K13" s="1536">
        <f>+J13/O13</f>
        <v>81145.097504564808</v>
      </c>
      <c r="L13" s="1553">
        <v>1855</v>
      </c>
      <c r="M13" s="2186">
        <v>3938</v>
      </c>
      <c r="N13" s="1437">
        <f>+K13/L13</f>
        <v>63.643213729070439</v>
      </c>
      <c r="O13" s="1437">
        <v>0.93</v>
      </c>
    </row>
    <row r="14" spans="1:15">
      <c r="B14" s="1188"/>
      <c r="C14" s="1454" t="s">
        <v>759</v>
      </c>
      <c r="D14" s="1190"/>
      <c r="E14" s="1191"/>
      <c r="F14" s="1192"/>
      <c r="G14" s="1193"/>
      <c r="H14" s="1194"/>
      <c r="I14" s="1205">
        <v>13997.7</v>
      </c>
      <c r="J14" s="1205">
        <v>7109.4</v>
      </c>
      <c r="K14" s="1486">
        <f t="shared" ref="K14:K15" si="2">+J14/O14</f>
        <v>2246.1742599620488</v>
      </c>
      <c r="L14" s="1205">
        <v>23</v>
      </c>
      <c r="M14" s="1458"/>
      <c r="N14" s="1437">
        <f>+K14/L14</f>
        <v>124.78745888678048</v>
      </c>
      <c r="O14" s="1437">
        <v>0.93</v>
      </c>
    </row>
    <row r="15" spans="1:15">
      <c r="B15" s="1480"/>
      <c r="C15" s="1481" t="s">
        <v>760</v>
      </c>
      <c r="D15" s="1482"/>
      <c r="E15" s="1483"/>
      <c r="F15" s="1484"/>
      <c r="G15" s="1485"/>
      <c r="H15" s="1486"/>
      <c r="I15" s="1552">
        <v>6282.0</v>
      </c>
      <c r="J15" s="1205">
        <v>3190.6</v>
      </c>
      <c r="K15" s="1486">
        <f t="shared" si="2"/>
        <v>6156.4232258064512</v>
      </c>
      <c r="L15" s="1205">
        <v>86</v>
      </c>
      <c r="M15" s="1568"/>
      <c r="N15" s="1437">
        <f>+K15/L15</f>
        <v>39.892473118279568</v>
      </c>
      <c r="O15" s="1437">
        <v>0.93</v>
      </c>
    </row>
    <row r="16" spans="1:15">
      <c r="B16" s="1188"/>
      <c r="C16" s="1454" t="s">
        <v>153</v>
      </c>
      <c r="D16" s="1190"/>
      <c r="E16" s="1191"/>
      <c r="F16" s="1192"/>
      <c r="G16" s="1193"/>
      <c r="H16" s="1194"/>
      <c r="I16" s="1205">
        <v>2362.8</v>
      </c>
      <c r="J16" s="1552">
        <v>2008.4</v>
      </c>
      <c r="K16" s="1486">
        <f>+J16</f>
        <v>1700</v>
      </c>
      <c r="L16" s="1205">
        <v>1</v>
      </c>
      <c r="M16" s="1458"/>
    </row>
    <row r="17" spans="2:14">
      <c r="B17" s="1472"/>
      <c r="C17" s="1473" t="s">
        <v>472</v>
      </c>
      <c r="D17" s="1474"/>
      <c r="E17" s="1475"/>
      <c r="F17" s="1476"/>
      <c r="G17" s="1477"/>
      <c r="H17" s="1478"/>
      <c r="I17" s="1551">
        <v>1484.0</v>
      </c>
      <c r="J17" s="1552"/>
      <c r="K17" s="1478"/>
      <c r="L17" s="1479"/>
      <c r="M17" s="1479"/>
    </row>
    <row r="18" spans="2:14">
      <c r="B18" s="1480"/>
      <c r="C18" s="1481" t="s">
        <v>617</v>
      </c>
      <c r="D18" s="1482"/>
      <c r="E18" s="1483"/>
      <c r="F18" s="1484"/>
      <c r="G18" s="1485"/>
      <c r="H18" s="1486"/>
      <c r="I18" s="1552"/>
      <c r="J18" s="1486"/>
      <c r="K18" s="1486"/>
      <c r="L18" s="1487"/>
      <c r="M18" s="1487"/>
    </row>
    <row r="19" spans="2:14">
      <c r="B19" s="1188"/>
      <c r="C19" s="1454" t="s">
        <v>642</v>
      </c>
      <c r="D19" s="1190"/>
      <c r="E19" s="1191"/>
      <c r="F19" s="1192"/>
      <c r="G19" s="1193"/>
      <c r="H19" s="1194"/>
      <c r="I19" s="1205">
        <v>31000</v>
      </c>
      <c r="J19" s="1194"/>
      <c r="K19" s="1486"/>
      <c r="L19" s="1195"/>
      <c r="M19" s="1195"/>
    </row>
    <row r="20" spans="2:14">
      <c r="B20" s="1157"/>
      <c r="C20" s="1468" t="s">
        <v>643</v>
      </c>
      <c r="D20" s="1148"/>
      <c r="E20" s="1469"/>
      <c r="F20" s="1136"/>
      <c r="G20" s="1470"/>
      <c r="H20" s="1471"/>
      <c r="I20" s="278">
        <v>1181.4</v>
      </c>
      <c r="J20" s="1471"/>
      <c r="K20" s="1471"/>
    </row>
    <row r="21" spans="2:14">
      <c r="B21" s="1446" t="s">
        <v>139</v>
      </c>
      <c r="C21" s="1447" t="s">
        <v>655</v>
      </c>
      <c r="D21" s="1550">
        <v>0</v>
      </c>
      <c r="E21" s="1170">
        <f>+D21/$D$54</f>
        <v>0</v>
      </c>
      <c r="F21" s="1450">
        <v>0.4</v>
      </c>
      <c r="G21" s="1451">
        <v>0</v>
      </c>
      <c r="H21" s="1452">
        <f>+D21*F21</f>
        <v>0</v>
      </c>
      <c r="I21" s="1452">
        <f>SUM(I22:I28)</f>
        <v>0</v>
      </c>
      <c r="J21" s="1452">
        <f t="shared" ref="J21:M21" si="3">SUM(J22:J28)</f>
        <v>0</v>
      </c>
      <c r="K21" s="1452">
        <f t="shared" si="3"/>
        <v>0</v>
      </c>
      <c r="L21" s="1452">
        <f t="shared" si="3"/>
        <v>0</v>
      </c>
      <c r="M21" s="1452">
        <f t="shared" si="3"/>
        <v>0</v>
      </c>
    </row>
    <row r="22" spans="2:14">
      <c r="B22" s="1179"/>
      <c r="C22" s="1453" t="s">
        <v>607</v>
      </c>
      <c r="D22" s="1181"/>
      <c r="E22" s="1182"/>
      <c r="F22" s="1183"/>
      <c r="G22" s="1184"/>
      <c r="H22" s="1185">
        <f>+D66*D69</f>
        <v>0</v>
      </c>
      <c r="I22" s="1204"/>
      <c r="J22" s="1204"/>
      <c r="K22" s="1536">
        <f>+J22/0.93</f>
        <v>0</v>
      </c>
      <c r="L22" s="1553"/>
      <c r="M22" s="1203"/>
      <c r="N22" s="1437" t="e">
        <f>+J22/L22</f>
        <v>#DIV/0!</v>
      </c>
    </row>
    <row r="23" spans="2:14">
      <c r="B23" s="1188"/>
      <c r="C23" s="1454" t="s">
        <v>641</v>
      </c>
      <c r="D23" s="1190"/>
      <c r="E23" s="1191"/>
      <c r="F23" s="1192"/>
      <c r="G23" s="1193"/>
      <c r="H23" s="1194"/>
      <c r="I23" s="1205"/>
      <c r="J23" s="1205"/>
      <c r="K23" s="1486">
        <f>+J23/0.93</f>
        <v>0</v>
      </c>
      <c r="L23" s="1554"/>
      <c r="M23" s="1195"/>
      <c r="N23" s="1471" t="e">
        <f>+J23/L23</f>
        <v>#DIV/0!</v>
      </c>
    </row>
    <row r="24" spans="2:14">
      <c r="B24" s="1472"/>
      <c r="C24" s="1473" t="s">
        <v>153</v>
      </c>
      <c r="D24" s="1474"/>
      <c r="E24" s="1475"/>
      <c r="F24" s="1476"/>
      <c r="G24" s="1477"/>
      <c r="H24" s="1478"/>
      <c r="I24" s="1551"/>
      <c r="J24" s="1551"/>
      <c r="K24" s="1486">
        <f>+J24/0.93</f>
        <v>0</v>
      </c>
      <c r="L24" s="1479"/>
      <c r="M24" s="1479"/>
    </row>
    <row r="25" spans="2:14">
      <c r="B25" s="1472"/>
      <c r="C25" s="1473" t="s">
        <v>472</v>
      </c>
      <c r="D25" s="1474"/>
      <c r="E25" s="1475"/>
      <c r="F25" s="1476"/>
      <c r="G25" s="1477"/>
      <c r="H25" s="1478"/>
      <c r="I25" s="1551"/>
      <c r="J25" s="1478"/>
      <c r="K25" s="1478"/>
      <c r="L25" s="1479"/>
      <c r="M25" s="1479"/>
    </row>
    <row r="26" spans="2:14">
      <c r="B26" s="1472"/>
      <c r="C26" s="1481" t="s">
        <v>617</v>
      </c>
      <c r="D26" s="1474"/>
      <c r="E26" s="1475"/>
      <c r="F26" s="1476"/>
      <c r="G26" s="1477"/>
      <c r="H26" s="1478"/>
      <c r="I26" s="1551"/>
      <c r="J26" s="1478"/>
      <c r="K26" s="1478"/>
      <c r="L26" s="1479"/>
      <c r="M26" s="1479"/>
    </row>
    <row r="27" spans="2:14">
      <c r="B27" s="1480"/>
      <c r="C27" s="1454" t="s">
        <v>642</v>
      </c>
      <c r="D27" s="1482"/>
      <c r="E27" s="1483"/>
      <c r="F27" s="1484"/>
      <c r="G27" s="1485"/>
      <c r="H27" s="1486"/>
      <c r="I27" s="1552"/>
      <c r="J27" s="1486"/>
      <c r="K27" s="1486"/>
      <c r="L27" s="1487"/>
      <c r="M27" s="1487"/>
    </row>
    <row r="28" spans="2:14">
      <c r="B28" s="1157"/>
      <c r="C28" s="1468" t="s">
        <v>643</v>
      </c>
      <c r="D28" s="1148"/>
      <c r="E28" s="1469"/>
      <c r="F28" s="1136"/>
      <c r="G28" s="1470"/>
      <c r="H28" s="1471"/>
      <c r="I28" s="278"/>
      <c r="J28" s="1471"/>
      <c r="K28" s="1471"/>
    </row>
    <row r="29" spans="2:14">
      <c r="B29" s="1446" t="s">
        <v>180</v>
      </c>
      <c r="C29" s="1447" t="s">
        <v>640</v>
      </c>
      <c r="D29" s="1448">
        <v>0</v>
      </c>
      <c r="E29" s="1170">
        <f>+D29/D54</f>
        <v>0</v>
      </c>
      <c r="F29" s="1450">
        <v>0.55000000000000004</v>
      </c>
      <c r="G29" s="1451">
        <v>0</v>
      </c>
      <c r="H29" s="1452">
        <f>+F29*D29</f>
        <v>0</v>
      </c>
      <c r="I29" s="1452">
        <f>SUM(I30:I36)</f>
        <v>0</v>
      </c>
      <c r="J29" s="1452">
        <f>SUM(J30:J36)</f>
        <v>0</v>
      </c>
      <c r="K29" s="1452">
        <f>SUM(K30:K36)</f>
        <v>0</v>
      </c>
      <c r="L29" s="1452">
        <f>SUM(L30:L36)</f>
        <v>0</v>
      </c>
      <c r="M29" s="1452">
        <f>SUM(M30:M36)</f>
        <v>0</v>
      </c>
    </row>
    <row r="30" spans="2:14">
      <c r="B30" s="1179"/>
      <c r="C30" s="1453" t="s">
        <v>607</v>
      </c>
      <c r="D30" s="1181"/>
      <c r="E30" s="1182"/>
      <c r="F30" s="1183"/>
      <c r="G30" s="1184"/>
      <c r="H30" s="1185">
        <f>+D71*D74</f>
        <v>0</v>
      </c>
      <c r="I30" s="1185"/>
      <c r="J30" s="1185"/>
      <c r="K30" s="1536">
        <f>+J30/0.93</f>
        <v>0</v>
      </c>
      <c r="L30" s="1186"/>
      <c r="M30" s="1187"/>
      <c r="N30" s="1437">
        <f>+IFERROR(J30/L30,0)</f>
        <v>0</v>
      </c>
    </row>
    <row r="31" spans="2:14">
      <c r="B31" s="1188"/>
      <c r="C31" s="1454" t="s">
        <v>78</v>
      </c>
      <c r="D31" s="1190"/>
      <c r="E31" s="1191"/>
      <c r="F31" s="1192"/>
      <c r="G31" s="1193"/>
      <c r="H31" s="1194"/>
      <c r="I31" s="1194"/>
      <c r="J31" s="1194"/>
      <c r="K31" s="1486">
        <f>+J31/0.93</f>
        <v>0</v>
      </c>
      <c r="L31" s="1195"/>
      <c r="M31" s="1195"/>
      <c r="N31" s="1437">
        <f>+IFERROR(J31/L31,0)</f>
        <v>0</v>
      </c>
    </row>
    <row r="32" spans="2:14">
      <c r="B32" s="1188"/>
      <c r="C32" s="1454" t="s">
        <v>153</v>
      </c>
      <c r="D32" s="1190"/>
      <c r="E32" s="1191"/>
      <c r="F32" s="1192"/>
      <c r="G32" s="1193"/>
      <c r="H32" s="1194"/>
      <c r="I32" s="1194"/>
      <c r="J32" s="1194"/>
      <c r="K32" s="1486">
        <f>+J32/0.93</f>
        <v>0</v>
      </c>
      <c r="L32" s="1195"/>
      <c r="M32" s="1195"/>
    </row>
    <row r="33" spans="2:16">
      <c r="B33" s="1188"/>
      <c r="C33" s="1454" t="s">
        <v>472</v>
      </c>
      <c r="D33" s="1190"/>
      <c r="E33" s="1191"/>
      <c r="F33" s="1192"/>
      <c r="G33" s="1193"/>
      <c r="H33" s="1194"/>
      <c r="I33" s="1194"/>
      <c r="J33" s="1194"/>
      <c r="K33" s="1486"/>
      <c r="L33" s="1195"/>
      <c r="M33" s="1195"/>
    </row>
    <row r="34" spans="2:16">
      <c r="B34" s="1188"/>
      <c r="C34" s="1481" t="s">
        <v>617</v>
      </c>
      <c r="D34" s="1190"/>
      <c r="E34" s="1191"/>
      <c r="F34" s="1192"/>
      <c r="G34" s="1193"/>
      <c r="H34" s="1194"/>
      <c r="I34" s="1194"/>
      <c r="J34" s="1194"/>
      <c r="K34" s="1486"/>
      <c r="L34" s="1195"/>
      <c r="M34" s="1195"/>
    </row>
    <row r="35" spans="2:16">
      <c r="B35" s="1188"/>
      <c r="C35" s="1454" t="s">
        <v>619</v>
      </c>
      <c r="D35" s="1190"/>
      <c r="E35" s="1191"/>
      <c r="F35" s="1192"/>
      <c r="G35" s="1193"/>
      <c r="H35" s="1194"/>
      <c r="I35" s="1194"/>
      <c r="J35" s="1194"/>
      <c r="K35" s="1486"/>
      <c r="L35" s="1195"/>
      <c r="M35" s="1195"/>
    </row>
    <row r="36" spans="2:16">
      <c r="B36" s="1188"/>
      <c r="C36" s="1468" t="s">
        <v>618</v>
      </c>
      <c r="D36" s="1190"/>
      <c r="E36" s="1191"/>
      <c r="F36" s="1192"/>
      <c r="G36" s="1193"/>
      <c r="H36" s="1194"/>
      <c r="I36" s="1194"/>
      <c r="J36" s="1194"/>
      <c r="K36" s="1486"/>
      <c r="L36" s="1195"/>
      <c r="M36" s="1195"/>
    </row>
    <row r="37" spans="2:16">
      <c r="B37" s="1171">
        <v>1.2</v>
      </c>
      <c r="C37" s="1149" t="s">
        <v>562</v>
      </c>
      <c r="D37" s="1149">
        <f>+SUM(D38:D42)</f>
        <v>6572.61</v>
      </c>
      <c r="E37" s="1172">
        <f>+D37/D54</f>
        <v>0.23285282431489096</v>
      </c>
      <c r="F37" s="1569">
        <f>+F38</f>
        <v>0.75</v>
      </c>
      <c r="G37" s="1210">
        <f>+G38</f>
        <v>3</v>
      </c>
      <c r="H37" s="1209">
        <f>SUM(H38:H42)</f>
        <v>4929.4574999999995</v>
      </c>
      <c r="I37" s="1209">
        <f>+SUM(I38:I42)</f>
        <v>25975.746449999999</v>
      </c>
      <c r="J37" s="1209">
        <f>+SUM(J38:J42)</f>
        <v>6572.61</v>
      </c>
      <c r="K37" s="1209">
        <f>+J37</f>
        <v>6572.61</v>
      </c>
      <c r="L37" s="1209">
        <f>+SUM(L38:L42)</f>
        <v>73.028999999999996</v>
      </c>
      <c r="M37" s="1209">
        <f>+SUM(M38:M42)</f>
        <v>292.11599999999999</v>
      </c>
    </row>
    <row r="38" spans="2:16">
      <c r="B38" s="1179"/>
      <c r="C38" s="1180" t="s">
        <v>620</v>
      </c>
      <c r="D38" s="1181">
        <v>0</v>
      </c>
      <c r="E38" s="1182"/>
      <c r="F38" s="1202">
        <v>0</v>
      </c>
      <c r="G38" s="1203">
        <v>0</v>
      </c>
      <c r="H38" s="1185">
        <f>+D38*F38</f>
        <v>4929.4574999999995</v>
      </c>
      <c r="I38" s="1204">
        <v>0</v>
      </c>
      <c r="J38" s="1185">
        <f>+D38</f>
        <v>6572.61</v>
      </c>
      <c r="K38" s="1536"/>
      <c r="L38" s="2186">
        <v>0</v>
      </c>
      <c r="M38" s="2186">
        <v>0</v>
      </c>
      <c r="N38" s="1437">
        <f>+IFERROR(J38/L38,0)</f>
        <v>90</v>
      </c>
      <c r="O38" s="1571"/>
      <c r="P38" s="1437"/>
    </row>
    <row r="39" spans="2:16">
      <c r="B39" s="1501"/>
      <c r="C39" s="1502" t="s">
        <v>621</v>
      </c>
      <c r="D39" s="1503"/>
      <c r="E39" s="1504"/>
      <c r="F39" s="1505"/>
      <c r="G39" s="1506"/>
      <c r="H39" s="1507"/>
      <c r="I39" s="1508"/>
      <c r="J39" s="1507"/>
      <c r="K39" s="1507"/>
      <c r="L39" s="1506"/>
      <c r="M39" s="1506"/>
      <c r="N39" s="1437"/>
      <c r="O39" s="1437"/>
      <c r="P39" s="1437"/>
    </row>
    <row r="40" spans="2:16">
      <c r="B40" s="1501"/>
      <c r="C40" s="1502" t="s">
        <v>622</v>
      </c>
      <c r="D40" s="1503"/>
      <c r="E40" s="1504"/>
      <c r="F40" s="1505"/>
      <c r="G40" s="1506"/>
      <c r="H40" s="1507"/>
      <c r="I40" s="1508"/>
      <c r="J40" s="1507"/>
      <c r="K40" s="1507"/>
      <c r="L40" s="1506"/>
      <c r="M40" s="1506"/>
      <c r="N40" s="1437"/>
      <c r="O40" s="1437"/>
      <c r="P40" s="1437"/>
    </row>
    <row r="41" spans="2:16">
      <c r="B41" s="1188"/>
      <c r="C41" s="1189" t="s">
        <v>608</v>
      </c>
      <c r="D41" s="1190"/>
      <c r="E41" s="1191"/>
      <c r="F41" s="1457"/>
      <c r="G41" s="1458"/>
      <c r="H41" s="1194"/>
      <c r="I41" s="1205"/>
      <c r="J41" s="1194"/>
      <c r="K41" s="1486"/>
      <c r="L41" s="1195"/>
      <c r="M41" s="1455"/>
      <c r="N41" s="1437"/>
      <c r="O41" s="1437"/>
      <c r="P41" s="1437"/>
    </row>
    <row r="42" spans="2:16">
      <c r="B42" s="1196"/>
      <c r="C42" s="1197"/>
      <c r="D42" s="1198"/>
      <c r="E42" s="1199"/>
      <c r="F42" s="1206"/>
      <c r="G42" s="1201"/>
      <c r="H42" s="1201"/>
      <c r="I42" s="1207"/>
      <c r="J42" s="1200"/>
      <c r="K42" s="1537"/>
      <c r="L42" s="1201"/>
      <c r="M42" s="1456"/>
      <c r="N42" s="1030"/>
      <c r="O42" s="1437"/>
      <c r="P42" s="1437"/>
    </row>
    <row r="43" spans="2:16">
      <c r="B43" s="1171">
        <v>2</v>
      </c>
      <c r="C43" s="1149" t="s">
        <v>563</v>
      </c>
      <c r="D43" s="1149">
        <f>+SUM(D44:D46)</f>
        <v>0</v>
      </c>
      <c r="E43" s="1172">
        <f>+D43/$D$54</f>
        <v>0</v>
      </c>
      <c r="F43" s="1213">
        <f>+F44</f>
        <v>0.4</v>
      </c>
      <c r="G43" s="1151"/>
      <c r="H43" s="1212">
        <f>+SUM(H44:H46)</f>
        <v>0</v>
      </c>
      <c r="I43" s="1212">
        <f>+SUM(I44:I46)</f>
        <v>0</v>
      </c>
      <c r="J43" s="1151"/>
      <c r="K43" s="1151"/>
      <c r="L43" s="1151"/>
      <c r="M43" s="1151"/>
    </row>
    <row r="44" spans="2:16">
      <c r="B44" s="1157">
        <v>2.1</v>
      </c>
      <c r="C44" s="1144" t="s">
        <v>609</v>
      </c>
      <c r="D44" s="1148">
        <v>0</v>
      </c>
      <c r="E44" s="1145"/>
      <c r="F44" s="1136">
        <v>0.4</v>
      </c>
      <c r="G44" s="1541">
        <v>0</v>
      </c>
      <c r="H44" s="1211">
        <f>+D44*F44</f>
        <v>0</v>
      </c>
      <c r="I44" s="1211">
        <f>+H44*G44</f>
        <v>0</v>
      </c>
    </row>
    <row r="45" spans="2:16">
      <c r="B45" s="1157">
        <v>2.2000000000000002</v>
      </c>
      <c r="C45" s="1144" t="s">
        <v>610</v>
      </c>
      <c r="D45" s="1148"/>
      <c r="E45" s="1145"/>
      <c r="F45" s="1136">
        <v>0.4</v>
      </c>
      <c r="G45" s="1541">
        <v>0</v>
      </c>
      <c r="H45" s="1211">
        <f>+D45*F45</f>
        <v>0</v>
      </c>
      <c r="I45" s="1211">
        <f>+H45*G45</f>
        <v>0</v>
      </c>
    </row>
    <row r="46" spans="2:16">
      <c r="B46" s="1157">
        <v>2.2999999999999998</v>
      </c>
      <c r="C46" s="1144" t="s">
        <v>611</v>
      </c>
      <c r="D46" s="1148"/>
      <c r="E46" s="1145"/>
      <c r="F46" s="1136">
        <v>0.4</v>
      </c>
      <c r="G46" s="1541">
        <v>0</v>
      </c>
      <c r="H46" s="1211">
        <f>+D46*F46</f>
        <v>0</v>
      </c>
      <c r="I46" s="1211">
        <f>+H46*G46</f>
        <v>0</v>
      </c>
    </row>
    <row r="47" spans="2:16">
      <c r="B47" s="1171">
        <v>3</v>
      </c>
      <c r="C47" s="1149" t="s">
        <v>677</v>
      </c>
      <c r="D47" s="1173">
        <v>0</v>
      </c>
      <c r="E47" s="1172">
        <f>+D47/$D$54</f>
        <v>0</v>
      </c>
      <c r="F47" s="1150"/>
      <c r="G47" s="1151"/>
      <c r="H47" s="1151"/>
      <c r="I47" s="1151"/>
      <c r="J47" s="1151"/>
      <c r="K47" s="1151"/>
      <c r="L47" s="1151"/>
      <c r="M47" s="1151"/>
    </row>
    <row r="48" spans="2:16">
      <c r="B48" s="1171">
        <v>4</v>
      </c>
      <c r="C48" s="1149" t="s">
        <v>564</v>
      </c>
      <c r="D48" s="1149">
        <f>SUM(D49:D51)</f>
        <v>5377.5899999999992</v>
      </c>
      <c r="E48" s="1172">
        <f>+D48/$D$54</f>
        <v>0.19051594716672896</v>
      </c>
      <c r="F48" s="1150"/>
      <c r="G48" s="1151"/>
      <c r="H48" s="1151"/>
      <c r="I48" s="1151"/>
      <c r="J48" s="1151"/>
      <c r="K48" s="1151"/>
      <c r="L48" s="1151"/>
      <c r="M48" s="1151"/>
    </row>
    <row r="49" spans="1:13">
      <c r="B49" s="1179"/>
      <c r="C49" s="1180" t="s">
        <v>612</v>
      </c>
      <c r="D49" s="1181">
        <v>0</v>
      </c>
      <c r="E49" s="1182"/>
      <c r="F49" s="1208"/>
      <c r="G49" s="1187"/>
      <c r="H49" s="1187"/>
      <c r="I49" s="1187"/>
      <c r="J49" s="1187"/>
      <c r="K49" s="1538"/>
      <c r="L49" s="1187"/>
      <c r="M49" s="1187"/>
    </row>
    <row r="50" spans="1:13">
      <c r="B50" s="1459"/>
      <c r="C50" s="1403" t="s">
        <v>613</v>
      </c>
      <c r="D50" s="1460"/>
      <c r="E50" s="1461"/>
      <c r="F50" s="1489"/>
      <c r="G50" s="1462"/>
      <c r="H50" s="1462"/>
      <c r="I50" s="1462"/>
      <c r="J50" s="1462"/>
      <c r="K50" s="1487"/>
      <c r="L50" s="1462"/>
      <c r="M50" s="1462"/>
    </row>
    <row r="51" spans="1:13">
      <c r="B51" s="1463"/>
      <c r="C51" s="1404" t="s">
        <v>614</v>
      </c>
      <c r="D51" s="1464"/>
      <c r="E51" s="1465"/>
      <c r="F51" s="1466"/>
      <c r="G51" s="1467"/>
      <c r="H51" s="1467"/>
      <c r="I51" s="1467"/>
      <c r="J51" s="1467"/>
      <c r="K51" s="1467"/>
      <c r="L51" s="1467"/>
      <c r="M51" s="1467"/>
    </row>
    <row r="52" spans="1:13">
      <c r="B52" s="1171">
        <v>5</v>
      </c>
      <c r="C52" s="1149" t="s">
        <v>565</v>
      </c>
      <c r="D52" s="1173"/>
      <c r="E52" s="1172">
        <f>+D52/$D$54</f>
        <v>0</v>
      </c>
      <c r="F52" s="1150"/>
      <c r="G52" s="1151"/>
      <c r="H52" s="1151"/>
      <c r="I52" s="1151"/>
      <c r="J52" s="1151"/>
      <c r="K52" s="1151"/>
      <c r="L52" s="1151"/>
      <c r="M52" s="1151"/>
    </row>
    <row r="53" spans="1:13" ht="18" thickBot="1">
      <c r="B53" s="1174" t="s">
        <v>566</v>
      </c>
      <c r="C53" s="1175" t="s">
        <v>675</v>
      </c>
      <c r="D53" s="1540">
        <v>4993</v>
      </c>
      <c r="E53" s="1176">
        <f>+D53/$D$54</f>
        <v>5.9180507818622358E-2</v>
      </c>
      <c r="F53" s="1177"/>
      <c r="G53" s="1178"/>
      <c r="H53" s="1178"/>
      <c r="I53" s="1178"/>
      <c r="J53" s="1178"/>
      <c r="K53" s="1178"/>
      <c r="L53" s="1178"/>
      <c r="M53" s="1178"/>
    </row>
    <row r="54" spans="1:13" ht="18.75">
      <c r="B54" s="1158"/>
      <c r="C54" s="1152" t="s">
        <v>567</v>
      </c>
      <c r="D54" s="1153">
        <f>+D53+D9</f>
        <v>28226.455999999998</v>
      </c>
      <c r="E54" s="1154"/>
      <c r="F54" s="1155"/>
      <c r="G54" s="1156"/>
      <c r="H54" s="1156"/>
      <c r="I54" s="1156"/>
      <c r="J54" s="1156"/>
      <c r="K54" s="1156"/>
      <c r="L54" s="1156"/>
      <c r="M54" s="1156"/>
    </row>
    <row r="55" spans="1:13">
      <c r="B55" s="1143"/>
      <c r="C55" s="203"/>
      <c r="D55" s="203"/>
      <c r="E55" s="203"/>
    </row>
    <row r="56" spans="1:13">
      <c r="B56" s="1143"/>
      <c r="C56" s="203"/>
      <c r="D56" s="203"/>
      <c r="E56" s="203"/>
    </row>
    <row r="57" spans="1:13">
      <c r="B57" s="203"/>
      <c r="C57" s="203"/>
      <c r="D57" s="203"/>
      <c r="E57" s="203"/>
    </row>
    <row r="58" spans="1:13" ht="19.149999999999999" customHeight="1">
      <c r="B58" s="204" t="s">
        <v>0</v>
      </c>
      <c r="C58" s="204" t="s">
        <v>1</v>
      </c>
      <c r="D58" s="205" t="s">
        <v>90</v>
      </c>
      <c r="E58" s="205" t="s">
        <v>87</v>
      </c>
    </row>
    <row r="59" spans="1:13">
      <c r="B59" s="206">
        <v>1</v>
      </c>
      <c r="C59" s="207" t="s">
        <v>115</v>
      </c>
      <c r="D59" s="208">
        <f>D60</f>
        <v>14605.800000000001</v>
      </c>
      <c r="E59" s="209"/>
    </row>
    <row r="60" spans="1:13">
      <c r="B60" s="210"/>
      <c r="C60" s="211" t="s">
        <v>117</v>
      </c>
      <c r="D60" s="212">
        <f>D117-D116</f>
        <v>14605.800000000001</v>
      </c>
      <c r="E60" s="213"/>
      <c r="F60" s="214"/>
    </row>
    <row r="61" spans="1:13" s="221" customFormat="1">
      <c r="A61" s="215"/>
      <c r="B61" s="216"/>
      <c r="C61" s="217" t="s">
        <v>123</v>
      </c>
      <c r="D61" s="218">
        <f>+D11</f>
        <v>14605.800000000001</v>
      </c>
      <c r="E61" s="219"/>
      <c r="F61" s="220"/>
    </row>
    <row r="62" spans="1:13" s="221" customFormat="1">
      <c r="A62" s="215"/>
      <c r="B62" s="216"/>
      <c r="C62" s="217" t="s">
        <v>124</v>
      </c>
      <c r="D62" s="218">
        <f>D59-D61</f>
        <v>0</v>
      </c>
      <c r="E62" s="219"/>
      <c r="F62" s="220"/>
    </row>
    <row r="63" spans="1:13" s="227" customFormat="1">
      <c r="A63" s="222"/>
      <c r="B63" s="223">
        <v>2</v>
      </c>
      <c r="C63" s="224" t="s">
        <v>186</v>
      </c>
      <c r="D63" s="225"/>
      <c r="E63" s="226"/>
      <c r="F63" s="202"/>
      <c r="G63" s="200"/>
      <c r="H63" s="200"/>
      <c r="I63" s="200"/>
    </row>
    <row r="64" spans="1:13">
      <c r="B64" s="210"/>
      <c r="C64" s="211" t="s">
        <v>125</v>
      </c>
      <c r="D64" s="228">
        <f>+F13</f>
        <v>0</v>
      </c>
      <c r="E64" s="229"/>
    </row>
    <row r="65" spans="1:9">
      <c r="B65" s="210"/>
      <c r="C65" s="211" t="s">
        <v>126</v>
      </c>
      <c r="D65" s="228">
        <f>+D64</f>
        <v>0</v>
      </c>
      <c r="E65" s="229"/>
    </row>
    <row r="66" spans="1:9" s="227" customFormat="1">
      <c r="A66" s="222"/>
      <c r="B66" s="223">
        <v>3</v>
      </c>
      <c r="C66" s="224" t="s">
        <v>5</v>
      </c>
      <c r="D66" s="230"/>
      <c r="E66" s="231"/>
      <c r="F66" s="202"/>
      <c r="G66" s="200"/>
      <c r="H66" s="200"/>
      <c r="I66" s="200"/>
    </row>
    <row r="67" spans="1:9">
      <c r="B67" s="210"/>
      <c r="C67" s="211" t="s">
        <v>118</v>
      </c>
      <c r="D67" s="232"/>
      <c r="E67" s="233"/>
    </row>
    <row r="68" spans="1:9" s="239" customFormat="1">
      <c r="A68" s="234"/>
      <c r="B68" s="235"/>
      <c r="C68" s="236" t="s">
        <v>120</v>
      </c>
      <c r="D68" s="240" t="e">
        <f>(D83+D84+D85+D91)/(D65*D59)+(D86+D87+D88+D89+D90)/(D64*D59)</f>
        <v>#DIV/0!</v>
      </c>
      <c r="E68" s="237"/>
      <c r="F68" s="238"/>
    </row>
    <row r="69" spans="1:9">
      <c r="B69" s="210"/>
      <c r="C69" s="217" t="s">
        <v>121</v>
      </c>
      <c r="D69" s="240">
        <f>D94/(1*D60)</f>
        <v>0.899537914691943</v>
      </c>
      <c r="E69" s="237"/>
    </row>
    <row r="70" spans="1:9">
      <c r="B70" s="223">
        <v>4</v>
      </c>
      <c r="C70" s="224" t="s">
        <v>143</v>
      </c>
      <c r="D70" s="241">
        <f>+SUM(D71:D72)</f>
        <v>6</v>
      </c>
      <c r="E70" s="231"/>
      <c r="F70" s="287">
        <f>D70*D59</f>
        <v>87634.8</v>
      </c>
    </row>
    <row r="71" spans="1:9">
      <c r="B71" s="242"/>
      <c r="C71" s="211" t="s">
        <v>135</v>
      </c>
      <c r="D71" s="1134">
        <v>8.8568</v>
      </c>
      <c r="E71" s="233"/>
    </row>
    <row r="72" spans="1:9">
      <c r="B72" s="210"/>
      <c r="C72" s="211" t="s">
        <v>142</v>
      </c>
      <c r="D72" s="1134">
        <v>1.3564</v>
      </c>
      <c r="E72" s="233"/>
    </row>
    <row r="73" spans="1:9">
      <c r="B73" s="210"/>
      <c r="C73" s="211"/>
      <c r="D73" s="243"/>
      <c r="E73" s="233"/>
    </row>
    <row r="74" spans="1:9" s="227" customFormat="1">
      <c r="A74" s="222"/>
      <c r="B74" s="223">
        <v>5</v>
      </c>
      <c r="C74" s="244" t="s">
        <v>372</v>
      </c>
      <c r="D74" s="241"/>
      <c r="E74" s="231"/>
      <c r="F74" s="245"/>
    </row>
    <row r="75" spans="1:9">
      <c r="B75" s="210"/>
      <c r="C75" s="211" t="s">
        <v>373</v>
      </c>
      <c r="D75" s="246">
        <f>$D$97/D79</f>
        <v>0.64556705827106786</v>
      </c>
      <c r="E75" s="233"/>
    </row>
    <row r="76" spans="1:9">
      <c r="B76" s="210"/>
      <c r="C76" s="211" t="s">
        <v>374</v>
      </c>
      <c r="D76" s="246">
        <f t="shared" ref="D76:D77" si="4">$D$97/D80</f>
        <v>0.68604635587588292</v>
      </c>
      <c r="E76" s="233"/>
    </row>
    <row r="77" spans="1:9">
      <c r="B77" s="210"/>
      <c r="C77" s="211" t="s">
        <v>375</v>
      </c>
      <c r="D77" s="246">
        <f t="shared" si="4"/>
        <v>0.78890047393364937</v>
      </c>
      <c r="E77" s="233"/>
    </row>
    <row r="78" spans="1:9">
      <c r="B78" s="247">
        <v>6</v>
      </c>
      <c r="C78" s="224" t="s">
        <v>86</v>
      </c>
      <c r="D78" s="248"/>
      <c r="E78" s="249"/>
    </row>
    <row r="79" spans="1:9">
      <c r="B79" s="250"/>
      <c r="C79" s="251" t="s">
        <v>363</v>
      </c>
      <c r="D79" s="252">
        <f>D80+D92+D93</f>
        <v>107092.10509940758</v>
      </c>
      <c r="E79" s="253"/>
      <c r="F79" s="292">
        <f>'3.Du toan'!$F$20/'1. thong tin quy hoach'!D79</f>
        <v>17.794118528064732</v>
      </c>
    </row>
    <row r="80" spans="1:9">
      <c r="B80" s="250"/>
      <c r="C80" s="251" t="s">
        <v>362</v>
      </c>
      <c r="D80" s="252">
        <f>D81+D91+D94</f>
        <v>100773.27087440758</v>
      </c>
      <c r="E80" s="253"/>
      <c r="F80" s="254">
        <f>'3.Du toan'!$F$20/'1. thong tin quy hoach'!D80</f>
        <v>18.909871586224092</v>
      </c>
    </row>
    <row r="81" spans="1:12">
      <c r="B81" s="250"/>
      <c r="C81" s="251" t="s">
        <v>361</v>
      </c>
      <c r="D81" s="252">
        <f>D70*D59+D90</f>
        <v>87634.8</v>
      </c>
      <c r="E81" s="255"/>
    </row>
    <row r="82" spans="1:12">
      <c r="B82" s="282"/>
      <c r="C82" s="283" t="s">
        <v>452</v>
      </c>
      <c r="D82" s="284">
        <f>SUM(D83:D89)</f>
        <v>87634.799999999988</v>
      </c>
      <c r="E82" s="1139">
        <f>D82-D59*D70</f>
        <v>0</v>
      </c>
      <c r="G82" s="289" t="s">
        <v>453</v>
      </c>
    </row>
    <row r="83" spans="1:12">
      <c r="B83" s="250"/>
      <c r="C83" s="211" t="s">
        <v>135</v>
      </c>
      <c r="D83" s="256">
        <f>+D71*D61*G85</f>
        <v>77874.526066350707</v>
      </c>
      <c r="E83" s="257"/>
      <c r="F83" s="290"/>
      <c r="G83" s="285"/>
    </row>
    <row r="84" spans="1:12">
      <c r="B84" s="210"/>
      <c r="C84" s="211" t="s">
        <v>134</v>
      </c>
      <c r="D84" s="256">
        <v>0</v>
      </c>
      <c r="E84" s="213"/>
      <c r="F84" s="290" t="s">
        <v>559</v>
      </c>
      <c r="I84" s="200" t="s">
        <v>558</v>
      </c>
    </row>
    <row r="85" spans="1:12">
      <c r="B85" s="210"/>
      <c r="C85" s="211" t="s">
        <v>447</v>
      </c>
      <c r="D85" s="286">
        <v>0</v>
      </c>
      <c r="E85" s="213"/>
      <c r="F85" s="200" t="s">
        <v>127</v>
      </c>
      <c r="G85" s="1141">
        <v>0.98736176935229059</v>
      </c>
      <c r="I85" s="200" t="s">
        <v>226</v>
      </c>
      <c r="L85" s="1136">
        <v>0</v>
      </c>
    </row>
    <row r="86" spans="1:12" s="221" customFormat="1">
      <c r="A86" s="215"/>
      <c r="B86" s="216">
        <f>D86/(D83+D86)</f>
        <v>0.10115052732502397</v>
      </c>
      <c r="C86" s="211" t="s">
        <v>448</v>
      </c>
      <c r="D86" s="256">
        <f>+$D$61*$D$72*L86</f>
        <v>8763.48</v>
      </c>
      <c r="E86" s="219"/>
      <c r="F86" s="200" t="s">
        <v>472</v>
      </c>
      <c r="G86" s="1140">
        <f>+D89/($D$61*$D$71)</f>
        <v>1.2638230647709319E-2</v>
      </c>
      <c r="I86" s="221" t="s">
        <v>357</v>
      </c>
      <c r="L86" s="1138">
        <v>1</v>
      </c>
    </row>
    <row r="87" spans="1:12" s="221" customFormat="1">
      <c r="A87" s="215"/>
      <c r="B87" s="216"/>
      <c r="C87" s="217" t="s">
        <v>142</v>
      </c>
      <c r="D87" s="256">
        <f>+$D$61*$D$72*L87</f>
        <v>0</v>
      </c>
      <c r="E87" s="219"/>
      <c r="F87" s="1136" t="s">
        <v>153</v>
      </c>
      <c r="G87" s="1140">
        <v>0</v>
      </c>
      <c r="I87" s="221" t="s">
        <v>557</v>
      </c>
      <c r="L87" s="1138">
        <v>0</v>
      </c>
    </row>
    <row r="88" spans="1:12" s="221" customFormat="1">
      <c r="A88" s="215"/>
      <c r="B88" s="216"/>
      <c r="C88" s="211" t="s">
        <v>359</v>
      </c>
      <c r="D88" s="212">
        <v>0</v>
      </c>
      <c r="E88" s="219"/>
      <c r="F88" s="259"/>
      <c r="G88" s="1137">
        <f>SUM(G85:G87)</f>
        <v>0.99999999999999989</v>
      </c>
      <c r="L88" s="1137">
        <f>SUM(L85:L87)</f>
        <v>1</v>
      </c>
    </row>
    <row r="89" spans="1:12" s="221" customFormat="1">
      <c r="A89" s="215"/>
      <c r="B89" s="216"/>
      <c r="C89" s="211" t="s">
        <v>364</v>
      </c>
      <c r="D89" s="212">
        <f>+D105*0.8</f>
        <v>996.7939336492891</v>
      </c>
      <c r="E89" s="219">
        <f>E99/60</f>
        <v>0</v>
      </c>
      <c r="F89" s="220"/>
    </row>
    <row r="90" spans="1:12" s="221" customFormat="1">
      <c r="A90" s="215"/>
      <c r="B90" s="216"/>
      <c r="C90" s="211" t="s">
        <v>169</v>
      </c>
      <c r="D90" s="218">
        <f>+D112-D95-D114*0.3</f>
        <v>9.0949470177292824E-13</v>
      </c>
      <c r="E90" s="219"/>
      <c r="F90" s="220"/>
    </row>
    <row r="91" spans="1:12" s="221" customFormat="1">
      <c r="A91" s="215"/>
      <c r="B91" s="1129"/>
      <c r="C91" s="1130" t="s">
        <v>556</v>
      </c>
      <c r="D91" s="1169">
        <f>+D61*D64*0.3</f>
        <v>0</v>
      </c>
      <c r="E91" s="1131"/>
      <c r="F91" s="220"/>
    </row>
    <row r="92" spans="1:12" s="221" customFormat="1">
      <c r="A92" s="215"/>
      <c r="B92" s="216"/>
      <c r="C92" s="211" t="s">
        <v>603</v>
      </c>
      <c r="D92" s="218">
        <f>+D117*0.4+D114*0.3</f>
        <v>6318.8342250000005</v>
      </c>
      <c r="E92" s="219"/>
      <c r="F92" s="220"/>
    </row>
    <row r="93" spans="1:12" s="221" customFormat="1">
      <c r="A93" s="215"/>
      <c r="B93" s="216"/>
      <c r="C93" s="211" t="s">
        <v>429</v>
      </c>
      <c r="D93" s="218">
        <v>0</v>
      </c>
      <c r="E93" s="219"/>
      <c r="F93" s="220"/>
    </row>
    <row r="94" spans="1:12" s="221" customFormat="1">
      <c r="A94" s="215"/>
      <c r="B94" s="216"/>
      <c r="C94" s="260" t="s">
        <v>366</v>
      </c>
      <c r="D94" s="291">
        <f>+D95/0.95</f>
        <v>13138.470874407582</v>
      </c>
      <c r="E94" s="219"/>
      <c r="F94" s="220"/>
    </row>
    <row r="95" spans="1:12">
      <c r="B95" s="210"/>
      <c r="C95" s="217" t="s">
        <v>340</v>
      </c>
      <c r="D95" s="256">
        <f>D113*100%+D114*0.7</f>
        <v>12481.547330687203</v>
      </c>
      <c r="E95" s="213">
        <v>5290</v>
      </c>
      <c r="F95" s="261"/>
    </row>
    <row r="96" spans="1:12">
      <c r="B96" s="210"/>
      <c r="C96" s="217" t="s">
        <v>365</v>
      </c>
      <c r="D96" s="286">
        <f>+D94-D95</f>
        <v>656.9235437203788</v>
      </c>
      <c r="E96" s="213"/>
    </row>
    <row r="97" spans="1:9" s="227" customFormat="1">
      <c r="A97" s="222"/>
      <c r="B97" s="247">
        <v>7</v>
      </c>
      <c r="C97" s="224" t="s">
        <v>103</v>
      </c>
      <c r="D97" s="248">
        <f>SUM(D98:D103)</f>
        <v>69135.135253080574</v>
      </c>
      <c r="E97" s="249"/>
      <c r="F97" s="200" t="s">
        <v>449</v>
      </c>
      <c r="G97" s="200" t="s">
        <v>450</v>
      </c>
      <c r="H97" s="200"/>
      <c r="I97" s="200"/>
    </row>
    <row r="98" spans="1:9">
      <c r="B98" s="250"/>
      <c r="C98" s="211" t="s">
        <v>135</v>
      </c>
      <c r="D98" s="256">
        <f>+D83*F98</f>
        <v>62299.620853080567</v>
      </c>
      <c r="E98" s="262"/>
      <c r="F98" s="275">
        <v>0.8</v>
      </c>
      <c r="G98" s="276">
        <v>0.73</v>
      </c>
    </row>
    <row r="99" spans="1:9" s="221" customFormat="1">
      <c r="A99" s="215"/>
      <c r="B99" s="216"/>
      <c r="C99" s="211" t="s">
        <v>134</v>
      </c>
      <c r="D99" s="258">
        <v>0</v>
      </c>
      <c r="E99" s="263"/>
      <c r="F99" s="277"/>
      <c r="G99" s="277"/>
    </row>
    <row r="100" spans="1:9" s="221" customFormat="1">
      <c r="A100" s="215"/>
      <c r="B100" s="216"/>
      <c r="C100" s="211" t="s">
        <v>447</v>
      </c>
      <c r="D100" s="286">
        <v>0</v>
      </c>
      <c r="E100" s="263"/>
      <c r="F100" s="1128" t="e">
        <f>+D100/D85</f>
        <v>#DIV/0!</v>
      </c>
      <c r="G100" s="276">
        <v>0.7447124669775661</v>
      </c>
    </row>
    <row r="101" spans="1:9" s="221" customFormat="1">
      <c r="A101" s="215"/>
      <c r="B101" s="216"/>
      <c r="C101" s="211" t="s">
        <v>144</v>
      </c>
      <c r="D101" s="256">
        <f>+D86*F101</f>
        <v>6835.5144</v>
      </c>
      <c r="E101" s="262"/>
      <c r="F101" s="275">
        <v>0.78</v>
      </c>
      <c r="G101" s="276">
        <v>0.72499999999999998</v>
      </c>
    </row>
    <row r="102" spans="1:9">
      <c r="A102" s="1435"/>
      <c r="B102" s="210"/>
      <c r="C102" s="211" t="s">
        <v>187</v>
      </c>
      <c r="D102" s="256">
        <f>+D87*F102</f>
        <v>0</v>
      </c>
      <c r="E102" s="1355">
        <f>+D102/$D$97</f>
        <v>0</v>
      </c>
      <c r="F102" s="275">
        <v>0.78</v>
      </c>
      <c r="G102" s="276">
        <v>0.72499999999999998</v>
      </c>
    </row>
    <row r="103" spans="1:9" s="221" customFormat="1">
      <c r="A103" s="215"/>
      <c r="B103" s="216"/>
      <c r="C103" s="211" t="s">
        <v>145</v>
      </c>
      <c r="D103" s="1135">
        <v>0</v>
      </c>
      <c r="E103" s="1355">
        <f>+D103/$D$97</f>
        <v>0</v>
      </c>
      <c r="F103" s="1356">
        <v>0.94033905672679841</v>
      </c>
      <c r="H103" s="1436"/>
    </row>
    <row r="104" spans="1:9" s="227" customFormat="1">
      <c r="A104" s="222"/>
      <c r="B104" s="223">
        <v>8</v>
      </c>
      <c r="C104" s="224" t="s">
        <v>119</v>
      </c>
      <c r="D104" s="264">
        <f>SUM(D105:D107)</f>
        <v>1303.9550370616114</v>
      </c>
      <c r="E104" s="265"/>
      <c r="F104" s="200" t="s">
        <v>451</v>
      </c>
      <c r="G104" s="200"/>
      <c r="H104" s="200"/>
      <c r="I104" s="200"/>
    </row>
    <row r="105" spans="1:9" s="227" customFormat="1">
      <c r="A105" s="222"/>
      <c r="B105" s="242"/>
      <c r="C105" s="211" t="s">
        <v>360</v>
      </c>
      <c r="D105" s="266">
        <f>D98/F105</f>
        <v>1245.9924170616114</v>
      </c>
      <c r="E105" s="267"/>
      <c r="F105" s="278">
        <v>50</v>
      </c>
      <c r="G105" s="200"/>
      <c r="H105" s="200"/>
      <c r="I105" s="200"/>
    </row>
    <row r="106" spans="1:9" s="227" customFormat="1">
      <c r="A106" s="222"/>
      <c r="B106" s="279"/>
      <c r="C106" s="211" t="s">
        <v>574</v>
      </c>
      <c r="D106" s="280">
        <v>1</v>
      </c>
      <c r="E106" s="267"/>
      <c r="F106" s="278">
        <v>0</v>
      </c>
      <c r="G106" s="200"/>
      <c r="H106" s="200"/>
      <c r="I106" s="200"/>
    </row>
    <row r="107" spans="1:9">
      <c r="B107" s="268"/>
      <c r="C107" s="211" t="s">
        <v>358</v>
      </c>
      <c r="D107" s="269">
        <f>D101/F107</f>
        <v>56.962620000000001</v>
      </c>
      <c r="E107" s="267"/>
      <c r="F107" s="281">
        <v>120</v>
      </c>
    </row>
    <row r="108" spans="1:9" s="227" customFormat="1">
      <c r="A108" s="222"/>
      <c r="B108" s="247">
        <v>9</v>
      </c>
      <c r="C108" s="224" t="s">
        <v>341</v>
      </c>
      <c r="D108" s="248">
        <f>+D109</f>
        <v>1894.9468009478671</v>
      </c>
      <c r="E108" s="265"/>
      <c r="F108" s="200"/>
      <c r="G108" s="200"/>
      <c r="H108" s="200"/>
      <c r="I108" s="200"/>
    </row>
    <row r="109" spans="1:9" s="227" customFormat="1">
      <c r="A109" s="222"/>
      <c r="B109" s="250"/>
      <c r="C109" s="251" t="s">
        <v>112</v>
      </c>
      <c r="D109" s="390">
        <f>+(D98/F98*G98)/30</f>
        <v>1894.9468009478671</v>
      </c>
      <c r="E109" s="391"/>
      <c r="F109" s="288"/>
      <c r="G109" s="200"/>
      <c r="H109" s="200"/>
      <c r="I109" s="200"/>
    </row>
    <row r="110" spans="1:9">
      <c r="B110" s="268"/>
      <c r="C110" s="272" t="s">
        <v>104</v>
      </c>
      <c r="D110" s="252">
        <f>D108-D109</f>
        <v>0</v>
      </c>
      <c r="E110" s="273"/>
    </row>
    <row r="111" spans="1:9" s="227" customFormat="1">
      <c r="A111" s="222"/>
      <c r="B111" s="247">
        <v>10</v>
      </c>
      <c r="C111" s="224" t="s">
        <v>107</v>
      </c>
      <c r="D111" s="248">
        <f>D95+D114*0.3</f>
        <v>12958.061555687204</v>
      </c>
      <c r="E111" s="270"/>
      <c r="F111" s="202"/>
      <c r="G111" s="200"/>
      <c r="H111" s="200"/>
      <c r="I111" s="200"/>
    </row>
    <row r="112" spans="1:9" s="227" customFormat="1">
      <c r="A112" s="222"/>
      <c r="B112" s="250"/>
      <c r="C112" s="251" t="s">
        <v>108</v>
      </c>
      <c r="D112" s="390">
        <f>+D113+D114</f>
        <v>12958.061555687204</v>
      </c>
      <c r="E112" s="271"/>
      <c r="F112" s="202"/>
      <c r="G112" s="200"/>
      <c r="H112" s="200"/>
      <c r="I112" s="200"/>
    </row>
    <row r="113" spans="1:9" s="227" customFormat="1">
      <c r="A113" s="222"/>
      <c r="B113" s="1431"/>
      <c r="C113" s="1434" t="s">
        <v>601</v>
      </c>
      <c r="D113" s="1432">
        <f>+(D98/F98*G98)/100*20</f>
        <v>11369.680805687203</v>
      </c>
      <c r="E113" s="1433"/>
      <c r="F113" s="202"/>
      <c r="G113" s="200"/>
      <c r="H113" s="200"/>
      <c r="I113" s="200"/>
    </row>
    <row r="114" spans="1:9" s="227" customFormat="1">
      <c r="A114" s="222"/>
      <c r="B114" s="1431"/>
      <c r="C114" s="1434" t="s">
        <v>602</v>
      </c>
      <c r="D114" s="1432">
        <f>+(D101/F101*G101)/100*25</f>
        <v>1588.3807499999998</v>
      </c>
      <c r="E114" s="1433"/>
      <c r="F114" s="202"/>
      <c r="G114" s="200"/>
      <c r="H114" s="200"/>
      <c r="I114" s="200"/>
    </row>
    <row r="115" spans="1:9">
      <c r="B115" s="268"/>
      <c r="C115" s="272" t="s">
        <v>104</v>
      </c>
      <c r="D115" s="252">
        <f>D111-D112</f>
        <v>0</v>
      </c>
      <c r="E115" s="273"/>
    </row>
    <row r="116" spans="1:9">
      <c r="B116" s="247">
        <v>11</v>
      </c>
      <c r="C116" s="224" t="s">
        <v>338</v>
      </c>
      <c r="D116" s="1133">
        <v>0</v>
      </c>
      <c r="E116" s="270"/>
    </row>
    <row r="117" spans="1:9">
      <c r="B117" s="387">
        <v>12</v>
      </c>
      <c r="C117" s="388" t="s">
        <v>339</v>
      </c>
      <c r="D117" s="1168">
        <f>+D11</f>
        <v>14605.800000000001</v>
      </c>
      <c r="E117" s="389"/>
    </row>
  </sheetData>
  <mergeCells count="2">
    <mergeCell ref="B6:E6"/>
    <mergeCell ref="B2:H2"/>
  </mergeCells>
  <pageMargins left="0.5" right="0.5" top="0.5" bottom="0.5" header="0.5" footer="0.5"/>
  <pageSetup paperSize="9" scale="69" orientation="portrait" r:id="rId1"/>
  <headerFooter alignWithMargins="0">
    <oddFooter>&amp;L_x000D_&amp;1#&amp;"Calibri"&amp;10&amp;K000000 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3">
    <tabColor theme="3" tint="0.79998168889431442"/>
    <pageSetUpPr fitToPage="1"/>
  </sheetPr>
  <dimension ref="A1:AS90"/>
  <sheetViews>
    <sheetView showGridLines="0" topLeftCell="A2" zoomScale="70" zoomScaleNormal="70" zoomScaleSheetLayoutView="115" workbookViewId="0">
      <pane ySplit="8" topLeftCell="A21" activePane="bottomLeft" state="frozen"/>
      <selection activeCell="A2" sqref="A2"/>
      <selection pane="bottomLeft" activeCell="K72" sqref="K72"/>
    </sheetView>
  </sheetViews>
  <sheetFormatPr defaultColWidth="9.140625" defaultRowHeight="12.75" outlineLevelRow="1"/>
  <cols>
    <col min="1" max="1" width="7.28515625" customWidth="1"/>
    <col min="2" max="2" width="5.7109375" customWidth="1"/>
    <col min="3" max="3" width="38.140625" customWidth="1"/>
    <col min="4" max="4" width="10" customWidth="1"/>
    <col min="5" max="8" width="9.7109375" customWidth="1"/>
    <col min="9" max="9" width="11.140625" customWidth="1"/>
    <col min="10" max="10" width="12.7109375" customWidth="1"/>
    <col min="11" max="11" width="11.7109375" customWidth="1"/>
    <col min="12" max="12" width="9.7109375" customWidth="1"/>
    <col min="13" max="13" width="11.85546875" customWidth="1"/>
    <col min="14" max="14" width="10.85546875" customWidth="1"/>
    <col min="15" max="16" width="12" customWidth="1"/>
    <col min="17" max="17" width="11.5703125" customWidth="1"/>
    <col min="18" max="19" width="11.140625" customWidth="1"/>
    <col min="20" max="20" width="11.28515625" customWidth="1"/>
    <col min="21" max="41" width="9.7109375" customWidth="1"/>
  </cols>
  <sheetData>
    <row r="1" spans="1:45" s="6" customFormat="1" ht="25.5">
      <c r="B1" s="3"/>
      <c r="C1" s="3"/>
      <c r="D1" s="3"/>
      <c r="E1" s="3"/>
      <c r="F1" s="3"/>
      <c r="G1" s="3"/>
      <c r="H1" s="3"/>
      <c r="I1" s="3"/>
      <c r="J1" s="3"/>
      <c r="K1" s="3"/>
      <c r="L1" s="3"/>
      <c r="M1" s="3"/>
      <c r="N1" s="3"/>
      <c r="O1" s="3"/>
      <c r="P1" s="3"/>
      <c r="Q1" s="3"/>
      <c r="R1" s="3"/>
      <c r="S1" s="3"/>
      <c r="T1" s="3"/>
      <c r="U1" s="4"/>
      <c r="V1" s="4"/>
      <c r="W1" s="4"/>
      <c r="X1" s="4"/>
      <c r="Y1" s="4"/>
      <c r="Z1" s="4"/>
      <c r="AA1" s="4"/>
      <c r="AB1" s="4"/>
      <c r="AC1" s="4"/>
      <c r="AD1" s="4"/>
      <c r="AE1" s="5"/>
      <c r="AF1" s="5"/>
      <c r="AG1" s="171"/>
      <c r="AO1" s="181"/>
      <c r="AP1" s="181"/>
      <c r="AQ1" s="181"/>
      <c r="AR1" s="181"/>
    </row>
    <row r="2" spans="1:45" s="384" customFormat="1" ht="40.15" customHeight="1">
      <c r="B2" s="1" t="str">
        <f>+Summary!B2</f>
        <v>Dự án Trần Đức 1</v>
      </c>
      <c r="C2" s="1"/>
      <c r="D2" s="1"/>
      <c r="E2" s="1"/>
      <c r="F2" s="1"/>
      <c r="G2" s="1"/>
      <c r="H2" s="1"/>
      <c r="I2" s="1"/>
      <c r="J2" s="1"/>
    </row>
    <row r="3" spans="1:45" s="382" customFormat="1" ht="19.899999999999999" customHeight="1" thickBot="1">
      <c r="B3" s="1444" t="s">
        <v>605</v>
      </c>
      <c r="C3" s="386"/>
      <c r="D3" s="386"/>
      <c r="E3" s="386"/>
      <c r="F3" s="386"/>
      <c r="G3" s="386"/>
      <c r="H3" s="386"/>
      <c r="I3" s="386"/>
      <c r="J3" s="386"/>
    </row>
    <row r="4" spans="1:45" s="383" customFormat="1" ht="6.75" customHeight="1" thickTop="1">
      <c r="B4" s="392"/>
      <c r="C4" s="393"/>
      <c r="D4" s="393"/>
      <c r="E4" s="393"/>
      <c r="F4" s="393"/>
      <c r="G4" s="393"/>
      <c r="H4" s="393"/>
      <c r="I4" s="393"/>
      <c r="J4" s="393"/>
    </row>
    <row r="5" spans="1:45" s="383" customFormat="1" ht="19.899999999999999" customHeight="1">
      <c r="B5" s="2312" t="s">
        <v>496</v>
      </c>
      <c r="C5" s="2312"/>
      <c r="D5" s="393"/>
      <c r="E5" s="393"/>
      <c r="F5" s="393"/>
      <c r="G5" s="393"/>
      <c r="H5" s="393"/>
      <c r="I5" s="393"/>
      <c r="J5" s="393"/>
    </row>
    <row r="6" spans="1:45" s="383" customFormat="1" ht="19.899999999999999" customHeight="1">
      <c r="B6" s="392"/>
      <c r="C6" s="393"/>
      <c r="D6" s="393"/>
      <c r="E6" s="393"/>
      <c r="F6" s="393"/>
      <c r="G6" s="393"/>
      <c r="H6" s="393"/>
      <c r="I6" s="393"/>
      <c r="J6" s="393"/>
    </row>
    <row r="7" spans="1:45" s="394" customFormat="1" ht="17.25">
      <c r="A7" s="428"/>
      <c r="B7" s="2310" t="s">
        <v>1</v>
      </c>
      <c r="C7" s="2310"/>
      <c r="D7" s="2311" t="s">
        <v>17</v>
      </c>
      <c r="E7" s="395">
        <v>2026</v>
      </c>
      <c r="F7" s="395">
        <v>2026</v>
      </c>
      <c r="G7" s="395">
        <v>2026</v>
      </c>
      <c r="H7" s="395">
        <v>2026</v>
      </c>
      <c r="I7" s="395">
        <f>H7+1</f>
        <v>2027</v>
      </c>
      <c r="J7" s="395">
        <f>I7</f>
        <v>2027</v>
      </c>
      <c r="K7" s="395">
        <f>J7</f>
        <v>2027</v>
      </c>
      <c r="L7" s="395">
        <f>K7</f>
        <v>2027</v>
      </c>
      <c r="M7" s="395">
        <f>L7+1</f>
        <v>2028</v>
      </c>
      <c r="N7" s="395">
        <f>M7</f>
        <v>2028</v>
      </c>
      <c r="O7" s="395">
        <f>N7</f>
        <v>2028</v>
      </c>
      <c r="P7" s="395">
        <f t="shared" ref="P7:AF7" si="0">L7+1</f>
        <v>2028</v>
      </c>
      <c r="Q7" s="395">
        <f t="shared" si="0"/>
        <v>2029</v>
      </c>
      <c r="R7" s="395">
        <f t="shared" si="0"/>
        <v>2029</v>
      </c>
      <c r="S7" s="395">
        <f t="shared" si="0"/>
        <v>2029</v>
      </c>
      <c r="T7" s="395">
        <f t="shared" si="0"/>
        <v>2029</v>
      </c>
      <c r="U7" s="395">
        <f t="shared" si="0"/>
        <v>2030</v>
      </c>
      <c r="V7" s="395">
        <f t="shared" si="0"/>
        <v>2030</v>
      </c>
      <c r="W7" s="395">
        <f t="shared" si="0"/>
        <v>2030</v>
      </c>
      <c r="X7" s="395">
        <f t="shared" si="0"/>
        <v>2030</v>
      </c>
      <c r="Y7" s="395">
        <f t="shared" si="0"/>
        <v>2031</v>
      </c>
      <c r="Z7" s="395">
        <f t="shared" si="0"/>
        <v>2031</v>
      </c>
      <c r="AA7" s="395">
        <f t="shared" si="0"/>
        <v>2031</v>
      </c>
      <c r="AB7" s="395">
        <f t="shared" si="0"/>
        <v>2031</v>
      </c>
      <c r="AC7" s="395">
        <f t="shared" si="0"/>
        <v>2032</v>
      </c>
      <c r="AD7" s="395">
        <f t="shared" si="0"/>
        <v>2032</v>
      </c>
      <c r="AE7" s="395">
        <f t="shared" si="0"/>
        <v>2032</v>
      </c>
      <c r="AF7" s="395">
        <f t="shared" si="0"/>
        <v>2032</v>
      </c>
      <c r="AG7" s="395">
        <f t="shared" ref="AG7:AN7" si="1">AC7+1</f>
        <v>2033</v>
      </c>
      <c r="AH7" s="395">
        <f t="shared" si="1"/>
        <v>2033</v>
      </c>
      <c r="AI7" s="395">
        <f t="shared" si="1"/>
        <v>2033</v>
      </c>
      <c r="AJ7" s="395">
        <f t="shared" si="1"/>
        <v>2033</v>
      </c>
      <c r="AK7" s="395">
        <f t="shared" si="1"/>
        <v>2034</v>
      </c>
      <c r="AL7" s="395">
        <f t="shared" si="1"/>
        <v>2034</v>
      </c>
      <c r="AM7" s="395">
        <f t="shared" si="1"/>
        <v>2034</v>
      </c>
      <c r="AN7" s="396">
        <f t="shared" si="1"/>
        <v>2034</v>
      </c>
      <c r="AO7" s="397">
        <f>AN7+1</f>
        <v>2035</v>
      </c>
      <c r="AP7" s="397">
        <f>AO7+1</f>
        <v>2036</v>
      </c>
      <c r="AQ7" s="397">
        <f>AP7+1</f>
        <v>2037</v>
      </c>
      <c r="AR7" s="397">
        <f>AQ7+1</f>
        <v>2038</v>
      </c>
      <c r="AS7" s="398"/>
    </row>
    <row r="8" spans="1:45" s="394" customFormat="1" ht="17.25">
      <c r="A8" s="428"/>
      <c r="B8" s="2310"/>
      <c r="C8" s="2310"/>
      <c r="D8" s="2311"/>
      <c r="E8" s="399" t="s">
        <v>11</v>
      </c>
      <c r="F8" s="399" t="s">
        <v>12</v>
      </c>
      <c r="G8" s="399" t="s">
        <v>13</v>
      </c>
      <c r="H8" s="399" t="s">
        <v>14</v>
      </c>
      <c r="I8" s="399" t="s">
        <v>11</v>
      </c>
      <c r="J8" s="399" t="s">
        <v>12</v>
      </c>
      <c r="K8" s="399" t="s">
        <v>13</v>
      </c>
      <c r="L8" s="399" t="s">
        <v>14</v>
      </c>
      <c r="M8" s="399" t="s">
        <v>11</v>
      </c>
      <c r="N8" s="399" t="s">
        <v>12</v>
      </c>
      <c r="O8" s="399" t="s">
        <v>13</v>
      </c>
      <c r="P8" s="399" t="s">
        <v>14</v>
      </c>
      <c r="Q8" s="399" t="s">
        <v>11</v>
      </c>
      <c r="R8" s="399" t="s">
        <v>12</v>
      </c>
      <c r="S8" s="399" t="s">
        <v>13</v>
      </c>
      <c r="T8" s="399" t="s">
        <v>14</v>
      </c>
      <c r="U8" s="399" t="s">
        <v>11</v>
      </c>
      <c r="V8" s="399" t="s">
        <v>12</v>
      </c>
      <c r="W8" s="399" t="s">
        <v>13</v>
      </c>
      <c r="X8" s="399" t="s">
        <v>14</v>
      </c>
      <c r="Y8" s="399" t="s">
        <v>11</v>
      </c>
      <c r="Z8" s="399" t="s">
        <v>12</v>
      </c>
      <c r="AA8" s="399" t="s">
        <v>13</v>
      </c>
      <c r="AB8" s="399" t="s">
        <v>14</v>
      </c>
      <c r="AC8" s="399" t="s">
        <v>11</v>
      </c>
      <c r="AD8" s="399" t="s">
        <v>12</v>
      </c>
      <c r="AE8" s="399" t="s">
        <v>13</v>
      </c>
      <c r="AF8" s="399" t="s">
        <v>14</v>
      </c>
      <c r="AG8" s="399" t="s">
        <v>11</v>
      </c>
      <c r="AH8" s="399" t="s">
        <v>12</v>
      </c>
      <c r="AI8" s="399" t="s">
        <v>13</v>
      </c>
      <c r="AJ8" s="399" t="s">
        <v>14</v>
      </c>
      <c r="AK8" s="399" t="s">
        <v>11</v>
      </c>
      <c r="AL8" s="399" t="s">
        <v>12</v>
      </c>
      <c r="AM8" s="399" t="s">
        <v>13</v>
      </c>
      <c r="AN8" s="400" t="s">
        <v>14</v>
      </c>
      <c r="AO8" s="401"/>
      <c r="AP8" s="402"/>
      <c r="AQ8" s="402"/>
      <c r="AR8" s="402"/>
    </row>
    <row r="9" spans="1:45" s="403" customFormat="1" ht="94.15" customHeight="1">
      <c r="B9" s="430" t="s">
        <v>555</v>
      </c>
      <c r="C9" s="431"/>
      <c r="D9" s="432"/>
      <c r="E9" s="433"/>
      <c r="F9" s="2082" t="s">
        <v>497</v>
      </c>
      <c r="G9" s="2082" t="s">
        <v>644</v>
      </c>
      <c r="H9" s="2083" t="s">
        <v>763</v>
      </c>
      <c r="I9" s="2082" t="s">
        <v>764</v>
      </c>
      <c r="J9" s="2082" t="s">
        <v>765</v>
      </c>
      <c r="K9" s="2083" t="s">
        <v>766</v>
      </c>
      <c r="L9" s="2083"/>
      <c r="M9" s="2082"/>
      <c r="N9" s="2082" t="s">
        <v>729</v>
      </c>
      <c r="O9" s="2083" t="s">
        <v>767</v>
      </c>
      <c r="P9" s="2082"/>
      <c r="Q9" s="2083"/>
      <c r="R9" s="2083"/>
      <c r="S9" s="2082"/>
      <c r="T9" s="2083" t="s">
        <v>769</v>
      </c>
      <c r="U9" s="2082" t="s">
        <v>768</v>
      </c>
      <c r="V9" s="2083"/>
      <c r="W9" s="2083"/>
      <c r="X9" s="2083" t="s">
        <v>646</v>
      </c>
      <c r="Y9" s="433"/>
      <c r="Z9" s="433"/>
      <c r="AA9" s="433"/>
      <c r="AB9" s="433"/>
      <c r="AC9" s="433"/>
      <c r="AD9" s="433"/>
      <c r="AE9" s="433"/>
      <c r="AF9" s="433"/>
      <c r="AG9" s="433"/>
      <c r="AH9" s="433"/>
      <c r="AI9" s="433"/>
      <c r="AJ9" s="433"/>
      <c r="AK9" s="433"/>
      <c r="AL9" s="433"/>
      <c r="AM9" s="433"/>
      <c r="AN9" s="404"/>
      <c r="AO9" s="405"/>
      <c r="AP9" s="406"/>
      <c r="AQ9" s="406"/>
      <c r="AR9" s="406"/>
    </row>
    <row r="10" spans="1:45" s="407" customFormat="1" ht="17.25">
      <c r="B10" s="434"/>
      <c r="C10" s="435" t="s">
        <v>645</v>
      </c>
      <c r="D10" s="436"/>
      <c r="E10" s="436"/>
      <c r="F10" s="436">
        <v>0.3</v>
      </c>
      <c r="G10" s="436">
        <v>0.7</v>
      </c>
      <c r="H10" s="436"/>
      <c r="I10" s="436"/>
      <c r="J10" s="436"/>
      <c r="K10" s="436"/>
      <c r="L10" s="437"/>
      <c r="M10" s="438"/>
      <c r="N10" s="438"/>
      <c r="O10" s="438"/>
      <c r="P10" s="438"/>
      <c r="Q10" s="438"/>
      <c r="R10" s="438"/>
      <c r="S10" s="438"/>
      <c r="T10" s="438"/>
      <c r="U10" s="438"/>
      <c r="V10" s="438"/>
      <c r="W10" s="438"/>
      <c r="X10" s="438"/>
      <c r="Y10" s="438"/>
      <c r="Z10" s="438"/>
      <c r="AA10" s="438"/>
      <c r="AB10" s="439"/>
      <c r="AC10" s="439"/>
      <c r="AD10" s="439"/>
      <c r="AE10" s="439"/>
      <c r="AF10" s="439"/>
      <c r="AG10" s="439"/>
      <c r="AH10" s="439"/>
      <c r="AI10" s="439"/>
      <c r="AJ10" s="439"/>
      <c r="AK10" s="439"/>
      <c r="AL10" s="439"/>
      <c r="AM10" s="439"/>
      <c r="AN10" s="420"/>
      <c r="AO10" s="409"/>
      <c r="AP10" s="410"/>
      <c r="AQ10" s="410"/>
      <c r="AR10" s="410"/>
    </row>
    <row r="11" spans="1:45" s="407" customFormat="1" ht="17.25">
      <c r="B11" s="440"/>
      <c r="C11" s="441" t="s">
        <v>656</v>
      </c>
      <c r="D11" s="442"/>
      <c r="E11" s="442"/>
      <c r="F11" s="445"/>
      <c r="G11" s="443"/>
      <c r="H11" s="443"/>
      <c r="I11" s="442"/>
      <c r="J11" s="443">
        <v>1</v>
      </c>
      <c r="K11" s="1555"/>
      <c r="L11" s="443"/>
      <c r="M11" s="443">
        <v>0</v>
      </c>
      <c r="N11" s="442"/>
      <c r="O11" s="442"/>
      <c r="P11" s="442"/>
      <c r="Q11" s="442"/>
      <c r="R11" s="442"/>
      <c r="S11" s="442"/>
      <c r="T11" s="442"/>
      <c r="U11" s="442"/>
      <c r="V11" s="442"/>
      <c r="W11" s="442"/>
      <c r="X11" s="442"/>
      <c r="Y11" s="442"/>
      <c r="Z11" s="442"/>
      <c r="AA11" s="442"/>
      <c r="AB11" s="444"/>
      <c r="AC11" s="444">
        <v>0</v>
      </c>
      <c r="AD11" s="444"/>
      <c r="AE11" s="444"/>
      <c r="AF11" s="444">
        <v>0</v>
      </c>
      <c r="AG11" s="444">
        <v>0</v>
      </c>
      <c r="AH11" s="444">
        <v>0</v>
      </c>
      <c r="AI11" s="444">
        <v>0</v>
      </c>
      <c r="AJ11" s="444">
        <v>0</v>
      </c>
      <c r="AK11" s="444">
        <v>0</v>
      </c>
      <c r="AL11" s="444">
        <v>0</v>
      </c>
      <c r="AM11" s="444">
        <v>0</v>
      </c>
      <c r="AN11" s="421">
        <v>0</v>
      </c>
      <c r="AO11" s="412">
        <v>0</v>
      </c>
      <c r="AP11" s="410"/>
      <c r="AQ11" s="410"/>
      <c r="AR11" s="410"/>
    </row>
    <row r="12" spans="1:45" s="407" customFormat="1" ht="17.25">
      <c r="B12" s="440"/>
      <c r="C12" s="441" t="s">
        <v>15</v>
      </c>
      <c r="D12" s="442"/>
      <c r="E12" s="442"/>
      <c r="F12" s="443"/>
      <c r="G12" s="443"/>
      <c r="H12" s="442"/>
      <c r="I12" s="442"/>
      <c r="J12" s="442"/>
      <c r="K12" s="442"/>
      <c r="L12" s="442"/>
      <c r="M12" s="442"/>
      <c r="N12" s="442"/>
      <c r="O12" s="442"/>
      <c r="P12" s="442"/>
      <c r="Q12" s="442"/>
      <c r="R12" s="442"/>
      <c r="S12" s="442"/>
      <c r="T12" s="442"/>
      <c r="U12" s="442"/>
      <c r="V12" s="442"/>
      <c r="W12" s="442"/>
      <c r="X12" s="442"/>
      <c r="Y12" s="442"/>
      <c r="Z12" s="442"/>
      <c r="AA12" s="442"/>
      <c r="AB12" s="444"/>
      <c r="AC12" s="444">
        <v>0</v>
      </c>
      <c r="AD12" s="444"/>
      <c r="AE12" s="444"/>
      <c r="AF12" s="444">
        <v>0</v>
      </c>
      <c r="AG12" s="444">
        <v>0</v>
      </c>
      <c r="AH12" s="444">
        <v>0</v>
      </c>
      <c r="AI12" s="444">
        <v>0</v>
      </c>
      <c r="AJ12" s="444">
        <v>0</v>
      </c>
      <c r="AK12" s="444">
        <v>0</v>
      </c>
      <c r="AL12" s="444">
        <v>0</v>
      </c>
      <c r="AM12" s="444">
        <v>0</v>
      </c>
      <c r="AN12" s="421">
        <v>0</v>
      </c>
      <c r="AO12" s="412">
        <v>0</v>
      </c>
      <c r="AP12" s="410"/>
      <c r="AQ12" s="410"/>
      <c r="AR12" s="410"/>
    </row>
    <row r="13" spans="1:45" s="407" customFormat="1" ht="17.25">
      <c r="B13" s="1214"/>
      <c r="C13" s="1215" t="s">
        <v>106</v>
      </c>
      <c r="D13" s="1216"/>
      <c r="E13" s="1216"/>
      <c r="F13" s="1217"/>
      <c r="G13" s="1217"/>
      <c r="H13" s="2084">
        <v>0.05</v>
      </c>
      <c r="I13" s="2084">
        <v>0.05</v>
      </c>
      <c r="J13" s="2084">
        <v>0.05</v>
      </c>
      <c r="K13" s="2084">
        <v>0.1</v>
      </c>
      <c r="L13" s="2084"/>
      <c r="M13" s="2084"/>
      <c r="N13" s="2084">
        <v>0.2</v>
      </c>
      <c r="O13" s="2084"/>
      <c r="P13" s="2084"/>
      <c r="Q13" s="2084">
        <v>0.05</v>
      </c>
      <c r="R13" s="2084"/>
      <c r="S13" s="2084"/>
      <c r="T13" s="2084">
        <v>0.05</v>
      </c>
      <c r="U13" s="2084">
        <v>0.25</v>
      </c>
      <c r="V13" s="2084"/>
      <c r="W13" s="2084"/>
      <c r="X13" s="2084">
        <v>0.2</v>
      </c>
      <c r="Y13" s="1217"/>
      <c r="Z13" s="1217"/>
      <c r="AA13" s="1217"/>
      <c r="AB13" s="1217"/>
      <c r="AC13" s="1217"/>
      <c r="AD13" s="1218"/>
      <c r="AE13" s="1218"/>
      <c r="AF13" s="1218">
        <v>0</v>
      </c>
      <c r="AG13" s="1218">
        <v>0</v>
      </c>
      <c r="AH13" s="1218">
        <v>0</v>
      </c>
      <c r="AI13" s="1218">
        <v>0</v>
      </c>
      <c r="AJ13" s="1218">
        <v>0</v>
      </c>
      <c r="AK13" s="1218">
        <v>0</v>
      </c>
      <c r="AL13" s="1218">
        <v>0</v>
      </c>
      <c r="AM13" s="1218">
        <v>0</v>
      </c>
      <c r="AN13" s="1219">
        <v>0</v>
      </c>
      <c r="AO13" s="412">
        <v>0</v>
      </c>
      <c r="AP13" s="410"/>
      <c r="AQ13" s="410"/>
      <c r="AR13" s="410"/>
    </row>
    <row r="14" spans="1:45" s="407" customFormat="1" ht="17.25">
      <c r="B14" s="1220"/>
      <c r="C14" s="1221"/>
      <c r="D14" s="1222"/>
      <c r="E14" s="1222"/>
      <c r="F14" s="1222"/>
      <c r="G14" s="1222"/>
      <c r="H14" s="1222"/>
      <c r="I14" s="1222"/>
      <c r="J14" s="1222"/>
      <c r="K14" s="1222"/>
      <c r="L14" s="1222"/>
      <c r="M14" s="1222"/>
      <c r="N14" s="1222"/>
      <c r="O14" s="1222"/>
      <c r="P14" s="1222"/>
      <c r="Q14" s="1222"/>
      <c r="R14" s="1222"/>
      <c r="S14" s="1222"/>
      <c r="T14" s="1222"/>
      <c r="U14" s="1222"/>
      <c r="V14" s="1222"/>
      <c r="W14" s="1222"/>
      <c r="X14" s="1222"/>
      <c r="Y14" s="1222"/>
      <c r="Z14" s="1223"/>
      <c r="AA14" s="1223"/>
      <c r="AB14" s="1223"/>
      <c r="AC14" s="1223"/>
      <c r="AD14" s="1223"/>
      <c r="AE14" s="1223"/>
      <c r="AF14" s="1223"/>
      <c r="AG14" s="1223"/>
      <c r="AH14" s="1223"/>
      <c r="AI14" s="1223"/>
      <c r="AJ14" s="1223"/>
      <c r="AK14" s="1223"/>
      <c r="AL14" s="1223"/>
      <c r="AM14" s="1223"/>
      <c r="AN14" s="1224"/>
      <c r="AO14" s="412"/>
      <c r="AP14" s="410"/>
      <c r="AQ14" s="410"/>
      <c r="AR14" s="410"/>
    </row>
    <row r="15" spans="1:45" s="407" customFormat="1" ht="17.25">
      <c r="B15" s="451" t="s">
        <v>499</v>
      </c>
      <c r="C15" s="448"/>
      <c r="D15" s="449"/>
      <c r="E15" s="449"/>
      <c r="F15" s="449"/>
      <c r="G15" s="449"/>
      <c r="H15" s="449"/>
      <c r="I15" s="449"/>
      <c r="J15" s="449"/>
      <c r="K15" s="449"/>
      <c r="L15" s="449"/>
      <c r="M15" s="449"/>
      <c r="N15" s="449"/>
      <c r="O15" s="449"/>
      <c r="P15" s="449"/>
      <c r="Q15" s="449"/>
      <c r="R15" s="449"/>
      <c r="S15" s="449"/>
      <c r="T15" s="449"/>
      <c r="U15" s="449"/>
      <c r="V15" s="449"/>
      <c r="W15" s="449"/>
      <c r="X15" s="449"/>
      <c r="Y15" s="449"/>
      <c r="Z15" s="450"/>
      <c r="AA15" s="450"/>
      <c r="AB15" s="450"/>
      <c r="AC15" s="450"/>
      <c r="AD15" s="450"/>
      <c r="AE15" s="450"/>
      <c r="AF15" s="450"/>
      <c r="AG15" s="450"/>
      <c r="AH15" s="450"/>
      <c r="AI15" s="450"/>
      <c r="AJ15" s="450"/>
      <c r="AK15" s="450"/>
      <c r="AL15" s="450"/>
      <c r="AM15" s="450"/>
      <c r="AN15" s="411"/>
      <c r="AO15" s="412"/>
      <c r="AP15" s="410"/>
      <c r="AQ15" s="410"/>
      <c r="AR15" s="410"/>
    </row>
    <row r="16" spans="1:45" s="413" customFormat="1" ht="17.25">
      <c r="B16" s="451">
        <v>1</v>
      </c>
      <c r="C16" s="452" t="s">
        <v>581</v>
      </c>
      <c r="D16" s="453"/>
      <c r="E16" s="453"/>
      <c r="F16" s="453"/>
      <c r="G16" s="453"/>
      <c r="H16" s="449"/>
      <c r="I16" s="480"/>
      <c r="J16" s="449"/>
      <c r="K16" s="480"/>
      <c r="L16" s="480"/>
      <c r="M16" s="453"/>
      <c r="N16" s="453">
        <v>0.4</v>
      </c>
      <c r="O16" s="453">
        <v>0.3</v>
      </c>
      <c r="P16" s="453">
        <v>0.3</v>
      </c>
      <c r="Q16" s="453"/>
      <c r="R16" s="480">
        <v>0</v>
      </c>
      <c r="S16" s="453"/>
      <c r="T16" s="453"/>
      <c r="U16" s="453"/>
      <c r="V16" s="453"/>
      <c r="W16" s="453"/>
      <c r="X16" s="453"/>
      <c r="Y16" s="453"/>
      <c r="Z16" s="454"/>
      <c r="AA16" s="455"/>
      <c r="AB16" s="455"/>
      <c r="AC16" s="455"/>
      <c r="AD16" s="455"/>
      <c r="AE16" s="455"/>
      <c r="AF16" s="455"/>
      <c r="AG16" s="455"/>
      <c r="AH16" s="455"/>
      <c r="AI16" s="455"/>
      <c r="AJ16" s="455"/>
      <c r="AK16" s="455"/>
      <c r="AL16" s="455"/>
      <c r="AM16" s="455"/>
      <c r="AN16" s="408"/>
      <c r="AO16" s="409"/>
      <c r="AP16" s="414"/>
      <c r="AQ16" s="414"/>
      <c r="AR16" s="414"/>
    </row>
    <row r="17" spans="2:44" s="413" customFormat="1" ht="17.25">
      <c r="B17" s="451">
        <v>2</v>
      </c>
      <c r="C17" s="452" t="s">
        <v>575</v>
      </c>
      <c r="D17" s="453"/>
      <c r="E17" s="453"/>
      <c r="F17" s="453"/>
      <c r="G17" s="453"/>
      <c r="H17" s="449"/>
      <c r="I17" s="453"/>
      <c r="J17" s="449"/>
      <c r="K17" s="453"/>
      <c r="L17" s="453"/>
      <c r="M17" s="453"/>
      <c r="N17" s="453"/>
      <c r="O17" s="453"/>
      <c r="P17" s="453"/>
      <c r="Q17" s="453"/>
      <c r="R17" s="453"/>
      <c r="S17" s="453"/>
      <c r="T17" s="453"/>
      <c r="U17" s="453"/>
      <c r="V17" s="453"/>
      <c r="W17" s="453"/>
      <c r="X17" s="453"/>
      <c r="Y17" s="453"/>
      <c r="Z17" s="454"/>
      <c r="AA17" s="455"/>
      <c r="AB17" s="455"/>
      <c r="AC17" s="455"/>
      <c r="AD17" s="455"/>
      <c r="AE17" s="455"/>
      <c r="AF17" s="455"/>
      <c r="AG17" s="455"/>
      <c r="AH17" s="455"/>
      <c r="AI17" s="455"/>
      <c r="AJ17" s="455"/>
      <c r="AK17" s="455"/>
      <c r="AL17" s="455"/>
      <c r="AM17" s="455"/>
      <c r="AN17" s="408"/>
      <c r="AO17" s="409"/>
      <c r="AP17" s="414"/>
      <c r="AQ17" s="414"/>
      <c r="AR17" s="414"/>
    </row>
    <row r="18" spans="2:44" s="413" customFormat="1" ht="17.25">
      <c r="B18" s="456">
        <v>2.1</v>
      </c>
      <c r="C18" s="457" t="s">
        <v>731</v>
      </c>
      <c r="D18" s="458"/>
      <c r="E18" s="458"/>
      <c r="F18" s="458"/>
      <c r="G18" s="459"/>
      <c r="H18" s="460"/>
      <c r="I18" s="459"/>
      <c r="J18" s="460"/>
      <c r="K18" s="459"/>
      <c r="L18" s="459"/>
      <c r="M18" s="459"/>
      <c r="N18" s="459"/>
      <c r="O18" s="459"/>
      <c r="P18" s="459"/>
      <c r="Q18" s="459"/>
      <c r="R18" s="459"/>
      <c r="S18" s="459"/>
      <c r="T18" s="459"/>
      <c r="U18" s="459"/>
      <c r="V18" s="459"/>
      <c r="W18" s="459"/>
      <c r="X18" s="458"/>
      <c r="Y18" s="458"/>
      <c r="Z18" s="461"/>
      <c r="AA18" s="439"/>
      <c r="AB18" s="439"/>
      <c r="AC18" s="439"/>
      <c r="AD18" s="439"/>
      <c r="AE18" s="439"/>
      <c r="AF18" s="439"/>
      <c r="AG18" s="439"/>
      <c r="AH18" s="439"/>
      <c r="AI18" s="439"/>
      <c r="AJ18" s="439"/>
      <c r="AK18" s="439"/>
      <c r="AL18" s="439"/>
      <c r="AM18" s="439"/>
      <c r="AN18" s="420"/>
      <c r="AO18" s="409"/>
      <c r="AP18" s="414"/>
      <c r="AQ18" s="414"/>
      <c r="AR18" s="414"/>
    </row>
    <row r="19" spans="2:44" s="413" customFormat="1" ht="17.25">
      <c r="B19" s="462"/>
      <c r="C19" s="463" t="s">
        <v>146</v>
      </c>
      <c r="D19" s="464"/>
      <c r="E19" s="464"/>
      <c r="F19" s="442"/>
      <c r="G19" s="465"/>
      <c r="H19" s="465"/>
      <c r="I19" s="465"/>
      <c r="J19" s="465"/>
      <c r="K19" s="2085">
        <v>0.75</v>
      </c>
      <c r="L19" s="2086">
        <v>0.25</v>
      </c>
      <c r="M19" s="2086"/>
      <c r="N19" s="2085"/>
      <c r="O19" s="2084"/>
      <c r="P19" s="2085"/>
      <c r="Q19" s="2085"/>
      <c r="R19" s="2084">
        <f>Q19</f>
        <v>0</v>
      </c>
      <c r="S19" s="2084"/>
      <c r="T19" s="442"/>
      <c r="U19" s="442"/>
      <c r="V19" s="443">
        <f>U19</f>
        <v>0</v>
      </c>
      <c r="W19" s="442"/>
      <c r="X19" s="465"/>
      <c r="Y19" s="443"/>
      <c r="Z19" s="443"/>
      <c r="AA19" s="443">
        <f>Z19</f>
        <v>0</v>
      </c>
      <c r="AB19" s="466"/>
      <c r="AC19" s="467"/>
      <c r="AD19" s="466"/>
      <c r="AE19" s="466"/>
      <c r="AF19" s="467"/>
      <c r="AG19" s="467"/>
      <c r="AH19" s="467"/>
      <c r="AI19" s="467"/>
      <c r="AJ19" s="467"/>
      <c r="AK19" s="467"/>
      <c r="AL19" s="467"/>
      <c r="AM19" s="467"/>
      <c r="AN19" s="422"/>
      <c r="AO19" s="409"/>
      <c r="AP19" s="414"/>
      <c r="AQ19" s="414"/>
      <c r="AR19" s="414"/>
    </row>
    <row r="20" spans="2:44" s="413" customFormat="1" ht="17.25">
      <c r="B20" s="468"/>
      <c r="C20" s="463" t="s">
        <v>147</v>
      </c>
      <c r="D20" s="465"/>
      <c r="E20" s="465"/>
      <c r="F20" s="465"/>
      <c r="G20" s="465"/>
      <c r="H20" s="465"/>
      <c r="I20" s="465"/>
      <c r="J20" s="465"/>
      <c r="K20" s="2086">
        <v>0</v>
      </c>
      <c r="L20" s="2086">
        <v>5.3556230114965027E-2</v>
      </c>
      <c r="M20" s="2086">
        <v>0.7</v>
      </c>
      <c r="N20" s="2086">
        <f>1-M20-L20</f>
        <v>0.24644376988503502</v>
      </c>
      <c r="O20" s="2086"/>
      <c r="P20" s="2086"/>
      <c r="Q20" s="2086"/>
      <c r="R20" s="2086"/>
      <c r="S20" s="2086"/>
      <c r="T20" s="465"/>
      <c r="U20" s="465"/>
      <c r="V20" s="465"/>
      <c r="W20" s="465"/>
      <c r="X20" s="465"/>
      <c r="Y20" s="465"/>
      <c r="Z20" s="465"/>
      <c r="AA20" s="465"/>
      <c r="AB20" s="469"/>
      <c r="AC20" s="469"/>
      <c r="AD20" s="466"/>
      <c r="AE20" s="466"/>
      <c r="AF20" s="467"/>
      <c r="AG20" s="467"/>
      <c r="AH20" s="467"/>
      <c r="AI20" s="467"/>
      <c r="AJ20" s="467"/>
      <c r="AK20" s="467"/>
      <c r="AL20" s="467"/>
      <c r="AM20" s="467"/>
      <c r="AN20" s="422"/>
      <c r="AO20" s="409"/>
      <c r="AP20" s="414"/>
      <c r="AQ20" s="414"/>
      <c r="AR20" s="414"/>
    </row>
    <row r="21" spans="2:44" s="413" customFormat="1" ht="17.25">
      <c r="B21" s="468"/>
      <c r="C21" s="463" t="s">
        <v>149</v>
      </c>
      <c r="D21" s="465"/>
      <c r="E21" s="465"/>
      <c r="F21" s="465"/>
      <c r="G21" s="465"/>
      <c r="H21" s="465"/>
      <c r="I21" s="465"/>
      <c r="J21" s="465"/>
      <c r="K21" s="2086">
        <v>0</v>
      </c>
      <c r="L21" s="2086">
        <v>0</v>
      </c>
      <c r="M21" s="2086">
        <v>0</v>
      </c>
      <c r="N21" s="2086">
        <f>100%/8</f>
        <v>0.125</v>
      </c>
      <c r="O21" s="2086">
        <f t="shared" ref="O21:U21" si="2">100%/8</f>
        <v>0.125</v>
      </c>
      <c r="P21" s="2086">
        <f t="shared" si="2"/>
        <v>0.125</v>
      </c>
      <c r="Q21" s="2086">
        <f t="shared" si="2"/>
        <v>0.125</v>
      </c>
      <c r="R21" s="2086">
        <f t="shared" si="2"/>
        <v>0.125</v>
      </c>
      <c r="S21" s="2086">
        <f t="shared" si="2"/>
        <v>0.125</v>
      </c>
      <c r="T21" s="2086">
        <f t="shared" si="2"/>
        <v>0.125</v>
      </c>
      <c r="U21" s="2086">
        <f t="shared" si="2"/>
        <v>0.125</v>
      </c>
      <c r="V21" s="465"/>
      <c r="W21" s="465"/>
      <c r="X21" s="465"/>
      <c r="Y21" s="465"/>
      <c r="Z21" s="465"/>
      <c r="AA21" s="465"/>
      <c r="AB21" s="469"/>
      <c r="AC21" s="469"/>
      <c r="AD21" s="469"/>
      <c r="AE21" s="469"/>
      <c r="AF21" s="469"/>
      <c r="AG21" s="469"/>
      <c r="AH21" s="469"/>
      <c r="AI21" s="469"/>
      <c r="AJ21" s="469"/>
      <c r="AK21" s="467"/>
      <c r="AL21" s="467"/>
      <c r="AM21" s="467"/>
      <c r="AN21" s="422"/>
      <c r="AO21" s="409"/>
      <c r="AP21" s="414"/>
      <c r="AQ21" s="414"/>
      <c r="AR21" s="414"/>
    </row>
    <row r="22" spans="2:44" s="413" customFormat="1" ht="17.25">
      <c r="B22" s="468"/>
      <c r="C22" s="463" t="s">
        <v>150</v>
      </c>
      <c r="D22" s="465"/>
      <c r="E22" s="465"/>
      <c r="F22" s="465"/>
      <c r="G22" s="465"/>
      <c r="H22" s="465"/>
      <c r="I22" s="465"/>
      <c r="J22" s="465"/>
      <c r="K22" s="2086">
        <v>0</v>
      </c>
      <c r="L22" s="2086">
        <v>0</v>
      </c>
      <c r="M22" s="2086">
        <v>0</v>
      </c>
      <c r="N22" s="2086">
        <v>0</v>
      </c>
      <c r="O22" s="2086"/>
      <c r="P22" s="2086"/>
      <c r="Q22" s="2086"/>
      <c r="R22" s="2086">
        <v>0.3</v>
      </c>
      <c r="S22" s="2086">
        <v>0.3</v>
      </c>
      <c r="T22" s="2086">
        <v>0.2</v>
      </c>
      <c r="U22" s="2086">
        <v>0.2</v>
      </c>
      <c r="V22" s="465"/>
      <c r="W22" s="465"/>
      <c r="X22" s="465"/>
      <c r="Y22" s="465"/>
      <c r="Z22" s="465"/>
      <c r="AA22" s="465"/>
      <c r="AB22" s="469"/>
      <c r="AC22" s="469"/>
      <c r="AD22" s="469"/>
      <c r="AE22" s="469"/>
      <c r="AF22" s="469"/>
      <c r="AG22" s="469"/>
      <c r="AH22" s="469"/>
      <c r="AI22" s="469"/>
      <c r="AJ22" s="469"/>
      <c r="AK22" s="469"/>
      <c r="AL22" s="469"/>
      <c r="AM22" s="469"/>
      <c r="AN22" s="423"/>
      <c r="AO22" s="415"/>
      <c r="AP22" s="414"/>
      <c r="AQ22" s="414"/>
      <c r="AR22" s="414"/>
    </row>
    <row r="23" spans="2:44" s="413" customFormat="1" ht="17.25">
      <c r="B23" s="468"/>
      <c r="C23" s="463" t="s">
        <v>151</v>
      </c>
      <c r="D23" s="465"/>
      <c r="E23" s="465"/>
      <c r="F23" s="465"/>
      <c r="G23" s="465"/>
      <c r="H23" s="465"/>
      <c r="I23" s="465"/>
      <c r="J23" s="465"/>
      <c r="K23" s="2086">
        <v>0</v>
      </c>
      <c r="L23" s="2086">
        <v>0</v>
      </c>
      <c r="M23" s="2086">
        <v>0</v>
      </c>
      <c r="N23" s="2086">
        <f>100%/8</f>
        <v>0.125</v>
      </c>
      <c r="O23" s="2086">
        <f t="shared" ref="O23:U23" si="3">100%/8</f>
        <v>0.125</v>
      </c>
      <c r="P23" s="2086">
        <f t="shared" si="3"/>
        <v>0.125</v>
      </c>
      <c r="Q23" s="2086">
        <f t="shared" si="3"/>
        <v>0.125</v>
      </c>
      <c r="R23" s="2086">
        <f t="shared" si="3"/>
        <v>0.125</v>
      </c>
      <c r="S23" s="2086">
        <f t="shared" si="3"/>
        <v>0.125</v>
      </c>
      <c r="T23" s="2086">
        <f t="shared" si="3"/>
        <v>0.125</v>
      </c>
      <c r="U23" s="2086">
        <f t="shared" si="3"/>
        <v>0.125</v>
      </c>
      <c r="V23" s="465"/>
      <c r="W23" s="465"/>
      <c r="X23" s="465"/>
      <c r="Y23" s="465"/>
      <c r="Z23" s="465"/>
      <c r="AA23" s="465"/>
      <c r="AB23" s="469"/>
      <c r="AC23" s="469"/>
      <c r="AD23" s="469"/>
      <c r="AE23" s="469"/>
      <c r="AF23" s="469"/>
      <c r="AG23" s="469"/>
      <c r="AH23" s="469"/>
      <c r="AI23" s="469"/>
      <c r="AJ23" s="469"/>
      <c r="AK23" s="469"/>
      <c r="AL23" s="469"/>
      <c r="AM23" s="469"/>
      <c r="AN23" s="423"/>
      <c r="AO23" s="415"/>
      <c r="AP23" s="414"/>
      <c r="AQ23" s="414"/>
      <c r="AR23" s="414"/>
    </row>
    <row r="24" spans="2:44" s="413" customFormat="1" ht="17.25">
      <c r="B24" s="468"/>
      <c r="C24" s="463" t="s">
        <v>152</v>
      </c>
      <c r="D24" s="465"/>
      <c r="E24" s="465"/>
      <c r="F24" s="465"/>
      <c r="G24" s="465"/>
      <c r="H24" s="465"/>
      <c r="I24" s="465"/>
      <c r="J24" s="465"/>
      <c r="K24" s="2086">
        <v>0</v>
      </c>
      <c r="L24" s="2086">
        <v>0</v>
      </c>
      <c r="M24" s="2086">
        <v>0</v>
      </c>
      <c r="N24" s="2086">
        <v>0</v>
      </c>
      <c r="O24" s="2086"/>
      <c r="P24" s="2086"/>
      <c r="Q24" s="2086"/>
      <c r="R24" s="2086">
        <v>0.3</v>
      </c>
      <c r="S24" s="2086">
        <v>0.3</v>
      </c>
      <c r="T24" s="2086">
        <v>0.2</v>
      </c>
      <c r="U24" s="2086">
        <v>0.2</v>
      </c>
      <c r="V24" s="465"/>
      <c r="W24" s="465"/>
      <c r="X24" s="465"/>
      <c r="Y24" s="465"/>
      <c r="Z24" s="465"/>
      <c r="AA24" s="465"/>
      <c r="AB24" s="469"/>
      <c r="AC24" s="469"/>
      <c r="AD24" s="469"/>
      <c r="AE24" s="469"/>
      <c r="AF24" s="469"/>
      <c r="AG24" s="469"/>
      <c r="AH24" s="469"/>
      <c r="AI24" s="469"/>
      <c r="AJ24" s="469"/>
      <c r="AK24" s="469"/>
      <c r="AL24" s="469"/>
      <c r="AM24" s="469"/>
      <c r="AN24" s="423"/>
      <c r="AO24" s="409"/>
      <c r="AP24" s="414"/>
      <c r="AQ24" s="414"/>
      <c r="AR24" s="414"/>
    </row>
    <row r="25" spans="2:44" s="413" customFormat="1" ht="17.25">
      <c r="B25" s="468"/>
      <c r="C25" s="463" t="s">
        <v>148</v>
      </c>
      <c r="D25" s="465"/>
      <c r="E25" s="465"/>
      <c r="F25" s="465"/>
      <c r="G25" s="465"/>
      <c r="H25" s="465"/>
      <c r="I25" s="465"/>
      <c r="J25" s="465"/>
      <c r="K25" s="2086">
        <v>0</v>
      </c>
      <c r="L25" s="2086">
        <v>0</v>
      </c>
      <c r="M25" s="2086">
        <v>0</v>
      </c>
      <c r="N25" s="2086"/>
      <c r="O25" s="2086"/>
      <c r="P25" s="2086"/>
      <c r="Q25" s="2086">
        <v>0.1</v>
      </c>
      <c r="R25" s="2086">
        <v>0.2</v>
      </c>
      <c r="S25" s="2086">
        <v>0.3</v>
      </c>
      <c r="T25" s="2086">
        <v>0.3</v>
      </c>
      <c r="U25" s="465">
        <v>0.1</v>
      </c>
      <c r="V25" s="465"/>
      <c r="W25" s="465"/>
      <c r="X25" s="465"/>
      <c r="Y25" s="465"/>
      <c r="Z25" s="465"/>
      <c r="AA25" s="465"/>
      <c r="AB25" s="470"/>
      <c r="AC25" s="470"/>
      <c r="AD25" s="470"/>
      <c r="AE25" s="470"/>
      <c r="AF25" s="470"/>
      <c r="AG25" s="470"/>
      <c r="AH25" s="470"/>
      <c r="AI25" s="470"/>
      <c r="AJ25" s="470"/>
      <c r="AK25" s="470"/>
      <c r="AL25" s="470"/>
      <c r="AM25" s="470"/>
      <c r="AN25" s="424"/>
      <c r="AO25" s="416"/>
      <c r="AP25" s="414"/>
      <c r="AQ25" s="414"/>
      <c r="AR25" s="414"/>
    </row>
    <row r="26" spans="2:44" s="413" customFormat="1" ht="17.25">
      <c r="B26" s="468"/>
      <c r="C26" s="441" t="s">
        <v>88</v>
      </c>
      <c r="D26" s="465"/>
      <c r="E26" s="471"/>
      <c r="F26" s="465"/>
      <c r="G26" s="472"/>
      <c r="H26" s="472"/>
      <c r="I26" s="472"/>
      <c r="J26" s="472"/>
      <c r="K26" s="2086">
        <v>0</v>
      </c>
      <c r="L26" s="2087">
        <f>100%/10</f>
        <v>0.1</v>
      </c>
      <c r="M26" s="2087">
        <f t="shared" ref="M26:U29" si="4">100%/10</f>
        <v>0.1</v>
      </c>
      <c r="N26" s="2087">
        <f t="shared" si="4"/>
        <v>0.1</v>
      </c>
      <c r="O26" s="2087">
        <f t="shared" si="4"/>
        <v>0.1</v>
      </c>
      <c r="P26" s="2087">
        <f t="shared" si="4"/>
        <v>0.1</v>
      </c>
      <c r="Q26" s="2087">
        <f t="shared" si="4"/>
        <v>0.1</v>
      </c>
      <c r="R26" s="2087">
        <f t="shared" si="4"/>
        <v>0.1</v>
      </c>
      <c r="S26" s="2087">
        <f t="shared" si="4"/>
        <v>0.1</v>
      </c>
      <c r="T26" s="2087">
        <f t="shared" si="4"/>
        <v>0.1</v>
      </c>
      <c r="U26" s="2087">
        <f t="shared" si="4"/>
        <v>0.1</v>
      </c>
      <c r="V26" s="465"/>
      <c r="W26" s="472"/>
      <c r="X26" s="472"/>
      <c r="Y26" s="472"/>
      <c r="Z26" s="472"/>
      <c r="AA26" s="465"/>
      <c r="AB26" s="470"/>
      <c r="AC26" s="470"/>
      <c r="AD26" s="470"/>
      <c r="AE26" s="470"/>
      <c r="AF26" s="470"/>
      <c r="AG26" s="470"/>
      <c r="AH26" s="470"/>
      <c r="AI26" s="470"/>
      <c r="AJ26" s="470"/>
      <c r="AK26" s="470"/>
      <c r="AL26" s="467"/>
      <c r="AM26" s="467"/>
      <c r="AN26" s="422"/>
      <c r="AO26" s="409"/>
      <c r="AP26" s="414"/>
      <c r="AQ26" s="414"/>
      <c r="AR26" s="414"/>
    </row>
    <row r="27" spans="2:44" s="413" customFormat="1" ht="17.25">
      <c r="B27" s="468"/>
      <c r="C27" s="441" t="s">
        <v>89</v>
      </c>
      <c r="D27" s="465"/>
      <c r="E27" s="472"/>
      <c r="F27" s="465"/>
      <c r="G27" s="472"/>
      <c r="H27" s="472"/>
      <c r="I27" s="472"/>
      <c r="J27" s="472"/>
      <c r="K27" s="2086">
        <v>0</v>
      </c>
      <c r="L27" s="2087">
        <f t="shared" ref="L27:L29" si="5">100%/10</f>
        <v>0.1</v>
      </c>
      <c r="M27" s="2087">
        <f t="shared" si="4"/>
        <v>0.1</v>
      </c>
      <c r="N27" s="2087">
        <f t="shared" si="4"/>
        <v>0.1</v>
      </c>
      <c r="O27" s="2087">
        <f t="shared" si="4"/>
        <v>0.1</v>
      </c>
      <c r="P27" s="2087">
        <f t="shared" si="4"/>
        <v>0.1</v>
      </c>
      <c r="Q27" s="2087">
        <f t="shared" si="4"/>
        <v>0.1</v>
      </c>
      <c r="R27" s="2087">
        <f t="shared" si="4"/>
        <v>0.1</v>
      </c>
      <c r="S27" s="2087">
        <f t="shared" si="4"/>
        <v>0.1</v>
      </c>
      <c r="T27" s="472">
        <f t="shared" si="4"/>
        <v>0.1</v>
      </c>
      <c r="U27" s="472">
        <f t="shared" si="4"/>
        <v>0.1</v>
      </c>
      <c r="V27" s="465"/>
      <c r="W27" s="472"/>
      <c r="X27" s="472"/>
      <c r="Y27" s="472"/>
      <c r="Z27" s="472"/>
      <c r="AA27" s="465"/>
      <c r="AB27" s="470"/>
      <c r="AC27" s="467"/>
      <c r="AD27" s="470"/>
      <c r="AE27" s="470"/>
      <c r="AF27" s="467"/>
      <c r="AG27" s="467"/>
      <c r="AH27" s="467"/>
      <c r="AI27" s="467"/>
      <c r="AJ27" s="467"/>
      <c r="AK27" s="467"/>
      <c r="AL27" s="467"/>
      <c r="AM27" s="467"/>
      <c r="AN27" s="422"/>
      <c r="AO27" s="409"/>
      <c r="AP27" s="414"/>
      <c r="AQ27" s="414"/>
      <c r="AR27" s="414"/>
    </row>
    <row r="28" spans="2:44" s="413" customFormat="1" ht="17.25">
      <c r="B28" s="473"/>
      <c r="C28" s="441" t="s">
        <v>70</v>
      </c>
      <c r="D28" s="465"/>
      <c r="E28" s="465"/>
      <c r="F28" s="465"/>
      <c r="G28" s="472"/>
      <c r="H28" s="472"/>
      <c r="I28" s="472"/>
      <c r="J28" s="472"/>
      <c r="K28" s="2086">
        <v>0</v>
      </c>
      <c r="L28" s="2087">
        <f t="shared" si="5"/>
        <v>0.1</v>
      </c>
      <c r="M28" s="2087">
        <f t="shared" si="4"/>
        <v>0.1</v>
      </c>
      <c r="N28" s="2087">
        <f t="shared" si="4"/>
        <v>0.1</v>
      </c>
      <c r="O28" s="2087">
        <f t="shared" si="4"/>
        <v>0.1</v>
      </c>
      <c r="P28" s="2087">
        <f t="shared" si="4"/>
        <v>0.1</v>
      </c>
      <c r="Q28" s="2087">
        <f t="shared" si="4"/>
        <v>0.1</v>
      </c>
      <c r="R28" s="2087">
        <f t="shared" si="4"/>
        <v>0.1</v>
      </c>
      <c r="S28" s="2087">
        <f t="shared" si="4"/>
        <v>0.1</v>
      </c>
      <c r="T28" s="472">
        <f t="shared" si="4"/>
        <v>0.1</v>
      </c>
      <c r="U28" s="472">
        <f t="shared" si="4"/>
        <v>0.1</v>
      </c>
      <c r="V28" s="465"/>
      <c r="W28" s="472"/>
      <c r="X28" s="472"/>
      <c r="Y28" s="472"/>
      <c r="Z28" s="472"/>
      <c r="AA28" s="465"/>
      <c r="AB28" s="474"/>
      <c r="AC28" s="474"/>
      <c r="AD28" s="474"/>
      <c r="AE28" s="474"/>
      <c r="AF28" s="474"/>
      <c r="AG28" s="474"/>
      <c r="AH28" s="474"/>
      <c r="AI28" s="474"/>
      <c r="AJ28" s="474"/>
      <c r="AK28" s="474"/>
      <c r="AL28" s="474"/>
      <c r="AM28" s="474"/>
      <c r="AN28" s="422"/>
      <c r="AO28" s="409"/>
      <c r="AP28" s="414"/>
      <c r="AQ28" s="414"/>
      <c r="AR28" s="414"/>
    </row>
    <row r="29" spans="2:44" s="413" customFormat="1" ht="17.25">
      <c r="B29" s="475"/>
      <c r="C29" s="447" t="s">
        <v>16</v>
      </c>
      <c r="D29" s="476"/>
      <c r="E29" s="476"/>
      <c r="F29" s="476"/>
      <c r="G29" s="472"/>
      <c r="H29" s="472"/>
      <c r="I29" s="472"/>
      <c r="J29" s="472"/>
      <c r="K29" s="2088">
        <v>0</v>
      </c>
      <c r="L29" s="2087">
        <f t="shared" si="5"/>
        <v>0.1</v>
      </c>
      <c r="M29" s="2087">
        <f t="shared" si="4"/>
        <v>0.1</v>
      </c>
      <c r="N29" s="2087">
        <f t="shared" si="4"/>
        <v>0.1</v>
      </c>
      <c r="O29" s="2087">
        <f t="shared" si="4"/>
        <v>0.1</v>
      </c>
      <c r="P29" s="2087">
        <f t="shared" si="4"/>
        <v>0.1</v>
      </c>
      <c r="Q29" s="2087">
        <f t="shared" si="4"/>
        <v>0.1</v>
      </c>
      <c r="R29" s="2089">
        <f t="shared" si="4"/>
        <v>0.1</v>
      </c>
      <c r="S29" s="2089">
        <f t="shared" si="4"/>
        <v>0.1</v>
      </c>
      <c r="T29" s="472">
        <f t="shared" si="4"/>
        <v>0.1</v>
      </c>
      <c r="U29" s="472">
        <f t="shared" si="4"/>
        <v>0.1</v>
      </c>
      <c r="V29" s="465"/>
      <c r="W29" s="478"/>
      <c r="X29" s="478"/>
      <c r="Y29" s="478"/>
      <c r="Z29" s="478"/>
      <c r="AA29" s="476"/>
      <c r="AB29" s="479"/>
      <c r="AC29" s="479"/>
      <c r="AD29" s="479"/>
      <c r="AE29" s="479"/>
      <c r="AF29" s="479"/>
      <c r="AG29" s="479"/>
      <c r="AH29" s="479"/>
      <c r="AI29" s="479"/>
      <c r="AJ29" s="479"/>
      <c r="AK29" s="479"/>
      <c r="AL29" s="479"/>
      <c r="AM29" s="479"/>
      <c r="AN29" s="425"/>
      <c r="AO29" s="409"/>
      <c r="AP29" s="414"/>
      <c r="AQ29" s="414"/>
      <c r="AR29" s="414"/>
    </row>
    <row r="30" spans="2:44" s="413" customFormat="1" ht="17.25">
      <c r="B30" s="456">
        <v>2.2000000000000002</v>
      </c>
      <c r="C30" s="457" t="s">
        <v>730</v>
      </c>
      <c r="D30" s="458"/>
      <c r="E30" s="458"/>
      <c r="F30" s="458"/>
      <c r="G30" s="459"/>
      <c r="H30" s="460"/>
      <c r="I30" s="459"/>
      <c r="J30" s="460"/>
      <c r="K30" s="459"/>
      <c r="L30" s="459"/>
      <c r="M30" s="459"/>
      <c r="N30" s="459"/>
      <c r="O30" s="459"/>
      <c r="P30" s="459"/>
      <c r="Q30" s="459"/>
      <c r="R30" s="459"/>
      <c r="S30" s="459"/>
      <c r="T30" s="459"/>
      <c r="U30" s="459"/>
      <c r="V30" s="459"/>
      <c r="W30" s="459"/>
      <c r="X30" s="458"/>
      <c r="Y30" s="458"/>
      <c r="Z30" s="461"/>
      <c r="AA30" s="439"/>
      <c r="AB30" s="439"/>
      <c r="AC30" s="439"/>
      <c r="AD30" s="439"/>
      <c r="AE30" s="439"/>
      <c r="AF30" s="439"/>
      <c r="AG30" s="439"/>
      <c r="AH30" s="439"/>
      <c r="AI30" s="439"/>
      <c r="AJ30" s="439"/>
      <c r="AK30" s="439"/>
      <c r="AL30" s="439"/>
      <c r="AM30" s="439"/>
      <c r="AN30" s="420"/>
      <c r="AO30" s="409"/>
      <c r="AP30" s="414"/>
      <c r="AQ30" s="414"/>
      <c r="AR30" s="414"/>
    </row>
    <row r="31" spans="2:44" s="413" customFormat="1" ht="17.25" hidden="1" outlineLevel="1">
      <c r="B31" s="462"/>
      <c r="C31" s="463" t="s">
        <v>146</v>
      </c>
      <c r="D31" s="464"/>
      <c r="E31" s="464"/>
      <c r="F31" s="464"/>
      <c r="G31" s="464"/>
      <c r="H31" s="442"/>
      <c r="I31" s="465"/>
      <c r="J31" s="465"/>
      <c r="K31" s="442"/>
      <c r="L31" s="442"/>
      <c r="M31" s="442"/>
      <c r="N31" s="465"/>
      <c r="O31" s="465"/>
      <c r="P31" s="442"/>
      <c r="Q31" s="443"/>
      <c r="R31" s="442"/>
      <c r="S31" s="442"/>
      <c r="T31" s="443"/>
      <c r="U31" s="443"/>
      <c r="V31" s="443"/>
      <c r="W31" s="442"/>
      <c r="X31" s="465"/>
      <c r="Y31" s="443"/>
      <c r="Z31" s="443"/>
      <c r="AA31" s="443">
        <f>Z31</f>
        <v>0</v>
      </c>
      <c r="AB31" s="466"/>
      <c r="AC31" s="467"/>
      <c r="AD31" s="466"/>
      <c r="AE31" s="466"/>
      <c r="AF31" s="467"/>
      <c r="AG31" s="467"/>
      <c r="AH31" s="467"/>
      <c r="AI31" s="467"/>
      <c r="AJ31" s="467"/>
      <c r="AK31" s="467"/>
      <c r="AL31" s="467"/>
      <c r="AM31" s="467"/>
      <c r="AN31" s="422"/>
      <c r="AO31" s="409"/>
      <c r="AP31" s="414"/>
      <c r="AQ31" s="414"/>
      <c r="AR31" s="414"/>
    </row>
    <row r="32" spans="2:44" s="413" customFormat="1" ht="17.25" hidden="1" outlineLevel="1">
      <c r="B32" s="468"/>
      <c r="C32" s="463" t="s">
        <v>147</v>
      </c>
      <c r="D32" s="465"/>
      <c r="E32" s="465"/>
      <c r="F32" s="465"/>
      <c r="G32" s="465">
        <v>0</v>
      </c>
      <c r="H32" s="465"/>
      <c r="I32" s="465"/>
      <c r="J32" s="465"/>
      <c r="K32" s="465"/>
      <c r="L32" s="465"/>
      <c r="M32" s="465"/>
      <c r="N32" s="465"/>
      <c r="O32" s="465"/>
      <c r="P32" s="465"/>
      <c r="Q32" s="465"/>
      <c r="R32" s="465"/>
      <c r="S32" s="465"/>
      <c r="T32" s="465"/>
      <c r="U32" s="465"/>
      <c r="V32" s="465"/>
      <c r="W32" s="465"/>
      <c r="X32" s="465"/>
      <c r="Y32" s="465"/>
      <c r="Z32" s="465"/>
      <c r="AA32" s="465"/>
      <c r="AB32" s="469"/>
      <c r="AC32" s="469"/>
      <c r="AD32" s="466"/>
      <c r="AE32" s="466"/>
      <c r="AF32" s="467"/>
      <c r="AG32" s="467"/>
      <c r="AH32" s="467"/>
      <c r="AI32" s="467"/>
      <c r="AJ32" s="467"/>
      <c r="AK32" s="467"/>
      <c r="AL32" s="467"/>
      <c r="AM32" s="467"/>
      <c r="AN32" s="422"/>
      <c r="AO32" s="409"/>
      <c r="AP32" s="414"/>
      <c r="AQ32" s="414"/>
      <c r="AR32" s="414"/>
    </row>
    <row r="33" spans="2:44" s="413" customFormat="1" ht="17.25" hidden="1" outlineLevel="1">
      <c r="B33" s="468"/>
      <c r="C33" s="463" t="s">
        <v>149</v>
      </c>
      <c r="D33" s="465"/>
      <c r="E33" s="465"/>
      <c r="F33" s="465"/>
      <c r="G33" s="465">
        <v>0</v>
      </c>
      <c r="H33" s="465"/>
      <c r="I33" s="465"/>
      <c r="J33" s="465"/>
      <c r="K33" s="465"/>
      <c r="L33" s="465"/>
      <c r="M33" s="465"/>
      <c r="N33" s="465"/>
      <c r="O33" s="465"/>
      <c r="P33" s="465"/>
      <c r="Q33" s="465"/>
      <c r="R33" s="465"/>
      <c r="S33" s="465"/>
      <c r="T33" s="465"/>
      <c r="U33" s="465"/>
      <c r="V33" s="465"/>
      <c r="W33" s="465"/>
      <c r="X33" s="465"/>
      <c r="Y33" s="465"/>
      <c r="Z33" s="465"/>
      <c r="AA33" s="465"/>
      <c r="AB33" s="469"/>
      <c r="AC33" s="469"/>
      <c r="AD33" s="469"/>
      <c r="AE33" s="469"/>
      <c r="AF33" s="469"/>
      <c r="AG33" s="469"/>
      <c r="AH33" s="469"/>
      <c r="AI33" s="469"/>
      <c r="AJ33" s="469"/>
      <c r="AK33" s="467"/>
      <c r="AL33" s="467"/>
      <c r="AM33" s="467"/>
      <c r="AN33" s="422"/>
      <c r="AO33" s="409"/>
      <c r="AP33" s="414"/>
      <c r="AQ33" s="414"/>
      <c r="AR33" s="414"/>
    </row>
    <row r="34" spans="2:44" s="413" customFormat="1" ht="17.25" hidden="1" outlineLevel="1">
      <c r="B34" s="468"/>
      <c r="C34" s="463" t="s">
        <v>150</v>
      </c>
      <c r="D34" s="465"/>
      <c r="E34" s="465"/>
      <c r="F34" s="465"/>
      <c r="G34" s="465">
        <v>0</v>
      </c>
      <c r="H34" s="465"/>
      <c r="I34" s="465"/>
      <c r="J34" s="465"/>
      <c r="K34" s="465"/>
      <c r="L34" s="465"/>
      <c r="M34" s="465"/>
      <c r="N34" s="465"/>
      <c r="O34" s="465"/>
      <c r="P34" s="465"/>
      <c r="Q34" s="465"/>
      <c r="R34" s="465"/>
      <c r="S34" s="465"/>
      <c r="T34" s="465"/>
      <c r="U34" s="465"/>
      <c r="V34" s="465"/>
      <c r="W34" s="465"/>
      <c r="X34" s="465"/>
      <c r="Y34" s="465"/>
      <c r="Z34" s="465"/>
      <c r="AA34" s="465"/>
      <c r="AB34" s="469"/>
      <c r="AC34" s="469"/>
      <c r="AD34" s="469"/>
      <c r="AE34" s="469"/>
      <c r="AF34" s="469"/>
      <c r="AG34" s="469"/>
      <c r="AH34" s="469"/>
      <c r="AI34" s="469"/>
      <c r="AJ34" s="469"/>
      <c r="AK34" s="469"/>
      <c r="AL34" s="469"/>
      <c r="AM34" s="469"/>
      <c r="AN34" s="423"/>
      <c r="AO34" s="409"/>
      <c r="AP34" s="414"/>
      <c r="AQ34" s="414"/>
      <c r="AR34" s="414"/>
    </row>
    <row r="35" spans="2:44" s="413" customFormat="1" ht="17.25" hidden="1" outlineLevel="1">
      <c r="B35" s="468"/>
      <c r="C35" s="463" t="s">
        <v>151</v>
      </c>
      <c r="D35" s="465"/>
      <c r="E35" s="465"/>
      <c r="F35" s="465"/>
      <c r="G35" s="465">
        <v>0</v>
      </c>
      <c r="H35" s="465"/>
      <c r="I35" s="465"/>
      <c r="J35" s="465"/>
      <c r="K35" s="465"/>
      <c r="L35" s="465"/>
      <c r="M35" s="465"/>
      <c r="N35" s="465"/>
      <c r="O35" s="465"/>
      <c r="P35" s="465"/>
      <c r="Q35" s="465"/>
      <c r="R35" s="465"/>
      <c r="S35" s="465"/>
      <c r="T35" s="465"/>
      <c r="U35" s="465"/>
      <c r="V35" s="465"/>
      <c r="W35" s="465"/>
      <c r="X35" s="465"/>
      <c r="Y35" s="465"/>
      <c r="Z35" s="465"/>
      <c r="AA35" s="465"/>
      <c r="AB35" s="469"/>
      <c r="AC35" s="469"/>
      <c r="AD35" s="469"/>
      <c r="AE35" s="469"/>
      <c r="AF35" s="469"/>
      <c r="AG35" s="469"/>
      <c r="AH35" s="469"/>
      <c r="AI35" s="469"/>
      <c r="AJ35" s="469"/>
      <c r="AK35" s="469"/>
      <c r="AL35" s="469"/>
      <c r="AM35" s="469"/>
      <c r="AN35" s="423"/>
      <c r="AO35" s="409"/>
      <c r="AP35" s="414"/>
      <c r="AQ35" s="414"/>
      <c r="AR35" s="414"/>
    </row>
    <row r="36" spans="2:44" s="413" customFormat="1" ht="17.25" hidden="1" outlineLevel="1">
      <c r="B36" s="468"/>
      <c r="C36" s="463" t="s">
        <v>152</v>
      </c>
      <c r="D36" s="465"/>
      <c r="E36" s="465"/>
      <c r="F36" s="465"/>
      <c r="G36" s="465">
        <v>0</v>
      </c>
      <c r="H36" s="465"/>
      <c r="I36" s="465"/>
      <c r="J36" s="465"/>
      <c r="K36" s="465"/>
      <c r="L36" s="465"/>
      <c r="M36" s="465"/>
      <c r="N36" s="465"/>
      <c r="O36" s="465"/>
      <c r="P36" s="465"/>
      <c r="Q36" s="465"/>
      <c r="R36" s="465"/>
      <c r="S36" s="465"/>
      <c r="T36" s="465"/>
      <c r="U36" s="465"/>
      <c r="V36" s="465"/>
      <c r="W36" s="465"/>
      <c r="X36" s="465"/>
      <c r="Y36" s="465"/>
      <c r="Z36" s="465"/>
      <c r="AA36" s="465"/>
      <c r="AB36" s="469"/>
      <c r="AC36" s="469"/>
      <c r="AD36" s="469"/>
      <c r="AE36" s="469"/>
      <c r="AF36" s="469"/>
      <c r="AG36" s="469"/>
      <c r="AH36" s="469"/>
      <c r="AI36" s="469"/>
      <c r="AJ36" s="469"/>
      <c r="AK36" s="469"/>
      <c r="AL36" s="469"/>
      <c r="AM36" s="469"/>
      <c r="AN36" s="423"/>
      <c r="AO36" s="409"/>
      <c r="AP36" s="414"/>
      <c r="AQ36" s="414"/>
      <c r="AR36" s="414"/>
    </row>
    <row r="37" spans="2:44" s="413" customFormat="1" ht="17.25" hidden="1" outlineLevel="1">
      <c r="B37" s="468"/>
      <c r="C37" s="463" t="s">
        <v>148</v>
      </c>
      <c r="D37" s="465"/>
      <c r="E37" s="465"/>
      <c r="F37" s="465"/>
      <c r="G37" s="465">
        <v>0</v>
      </c>
      <c r="H37" s="465"/>
      <c r="I37" s="465"/>
      <c r="J37" s="465"/>
      <c r="K37" s="465"/>
      <c r="L37" s="465"/>
      <c r="M37" s="465"/>
      <c r="N37" s="465"/>
      <c r="O37" s="465"/>
      <c r="P37" s="465"/>
      <c r="Q37" s="465"/>
      <c r="R37" s="465"/>
      <c r="S37" s="465"/>
      <c r="T37" s="465"/>
      <c r="U37" s="465"/>
      <c r="V37" s="465"/>
      <c r="W37" s="465"/>
      <c r="X37" s="465"/>
      <c r="Y37" s="465"/>
      <c r="Z37" s="465"/>
      <c r="AA37" s="465"/>
      <c r="AB37" s="470"/>
      <c r="AC37" s="470"/>
      <c r="AD37" s="470"/>
      <c r="AE37" s="470"/>
      <c r="AF37" s="470"/>
      <c r="AG37" s="470"/>
      <c r="AH37" s="470"/>
      <c r="AI37" s="470"/>
      <c r="AJ37" s="470"/>
      <c r="AK37" s="470"/>
      <c r="AL37" s="470"/>
      <c r="AM37" s="470"/>
      <c r="AN37" s="424"/>
      <c r="AO37" s="409"/>
      <c r="AP37" s="414"/>
      <c r="AQ37" s="414"/>
      <c r="AR37" s="414"/>
    </row>
    <row r="38" spans="2:44" s="413" customFormat="1" ht="17.25" hidden="1" outlineLevel="1">
      <c r="B38" s="468"/>
      <c r="C38" s="441" t="s">
        <v>88</v>
      </c>
      <c r="D38" s="465"/>
      <c r="E38" s="471"/>
      <c r="F38" s="471"/>
      <c r="G38" s="465">
        <v>0</v>
      </c>
      <c r="H38" s="465"/>
      <c r="I38" s="472"/>
      <c r="J38" s="472"/>
      <c r="K38" s="472"/>
      <c r="L38" s="465"/>
      <c r="M38" s="465"/>
      <c r="N38" s="472"/>
      <c r="O38" s="472"/>
      <c r="P38" s="472"/>
      <c r="Q38" s="472"/>
      <c r="R38" s="472"/>
      <c r="S38" s="472"/>
      <c r="T38" s="472"/>
      <c r="U38" s="472"/>
      <c r="V38" s="472"/>
      <c r="W38" s="472"/>
      <c r="X38" s="472"/>
      <c r="Y38" s="472"/>
      <c r="Z38" s="472"/>
      <c r="AA38" s="465"/>
      <c r="AB38" s="470"/>
      <c r="AC38" s="470"/>
      <c r="AD38" s="470"/>
      <c r="AE38" s="470"/>
      <c r="AF38" s="470"/>
      <c r="AG38" s="470"/>
      <c r="AH38" s="470"/>
      <c r="AI38" s="470"/>
      <c r="AJ38" s="470"/>
      <c r="AK38" s="470"/>
      <c r="AL38" s="467"/>
      <c r="AM38" s="467"/>
      <c r="AN38" s="422"/>
      <c r="AO38" s="409"/>
      <c r="AP38" s="414"/>
      <c r="AQ38" s="414"/>
      <c r="AR38" s="414"/>
    </row>
    <row r="39" spans="2:44" s="413" customFormat="1" ht="17.25" hidden="1" outlineLevel="1">
      <c r="B39" s="468"/>
      <c r="C39" s="441" t="s">
        <v>89</v>
      </c>
      <c r="D39" s="465"/>
      <c r="E39" s="472"/>
      <c r="F39" s="471"/>
      <c r="G39" s="465">
        <v>0</v>
      </c>
      <c r="H39" s="465"/>
      <c r="I39" s="472"/>
      <c r="J39" s="472"/>
      <c r="K39" s="472"/>
      <c r="L39" s="465"/>
      <c r="M39" s="465"/>
      <c r="N39" s="472"/>
      <c r="O39" s="472"/>
      <c r="P39" s="472"/>
      <c r="Q39" s="472"/>
      <c r="R39" s="472"/>
      <c r="S39" s="472"/>
      <c r="T39" s="472"/>
      <c r="U39" s="472"/>
      <c r="V39" s="472"/>
      <c r="W39" s="472"/>
      <c r="X39" s="472"/>
      <c r="Y39" s="472"/>
      <c r="Z39" s="472"/>
      <c r="AA39" s="465"/>
      <c r="AB39" s="470"/>
      <c r="AC39" s="467"/>
      <c r="AD39" s="470"/>
      <c r="AE39" s="470"/>
      <c r="AF39" s="467"/>
      <c r="AG39" s="467"/>
      <c r="AH39" s="467"/>
      <c r="AI39" s="467"/>
      <c r="AJ39" s="467"/>
      <c r="AK39" s="467"/>
      <c r="AL39" s="467"/>
      <c r="AM39" s="467"/>
      <c r="AN39" s="422"/>
      <c r="AO39" s="409"/>
      <c r="AP39" s="414"/>
      <c r="AQ39" s="414"/>
      <c r="AR39" s="414"/>
    </row>
    <row r="40" spans="2:44" s="413" customFormat="1" ht="17.25" hidden="1" outlineLevel="1">
      <c r="B40" s="473"/>
      <c r="C40" s="441" t="s">
        <v>70</v>
      </c>
      <c r="D40" s="465"/>
      <c r="E40" s="465"/>
      <c r="F40" s="471"/>
      <c r="G40" s="465">
        <v>0</v>
      </c>
      <c r="H40" s="465"/>
      <c r="I40" s="472"/>
      <c r="J40" s="472"/>
      <c r="K40" s="472"/>
      <c r="L40" s="465"/>
      <c r="M40" s="465"/>
      <c r="N40" s="472"/>
      <c r="O40" s="472"/>
      <c r="P40" s="472"/>
      <c r="Q40" s="472"/>
      <c r="R40" s="472"/>
      <c r="S40" s="472"/>
      <c r="T40" s="472"/>
      <c r="U40" s="472"/>
      <c r="V40" s="472"/>
      <c r="W40" s="472"/>
      <c r="X40" s="472"/>
      <c r="Y40" s="472"/>
      <c r="Z40" s="472"/>
      <c r="AA40" s="465"/>
      <c r="AB40" s="474"/>
      <c r="AC40" s="474"/>
      <c r="AD40" s="474"/>
      <c r="AE40" s="474"/>
      <c r="AF40" s="474"/>
      <c r="AG40" s="474"/>
      <c r="AH40" s="474"/>
      <c r="AI40" s="474"/>
      <c r="AJ40" s="474"/>
      <c r="AK40" s="474"/>
      <c r="AL40" s="474"/>
      <c r="AM40" s="474"/>
      <c r="AN40" s="422"/>
      <c r="AO40" s="409"/>
      <c r="AP40" s="414"/>
      <c r="AQ40" s="414"/>
      <c r="AR40" s="414"/>
    </row>
    <row r="41" spans="2:44" s="413" customFormat="1" ht="17.25" hidden="1" outlineLevel="1">
      <c r="B41" s="475"/>
      <c r="C41" s="447" t="s">
        <v>16</v>
      </c>
      <c r="D41" s="476"/>
      <c r="E41" s="476"/>
      <c r="F41" s="477"/>
      <c r="G41" s="476">
        <v>0</v>
      </c>
      <c r="H41" s="476"/>
      <c r="I41" s="478"/>
      <c r="J41" s="478"/>
      <c r="K41" s="478"/>
      <c r="L41" s="476"/>
      <c r="M41" s="476"/>
      <c r="N41" s="472"/>
      <c r="O41" s="472"/>
      <c r="P41" s="472"/>
      <c r="Q41" s="472"/>
      <c r="R41" s="472"/>
      <c r="S41" s="472"/>
      <c r="T41" s="478"/>
      <c r="U41" s="478"/>
      <c r="V41" s="478"/>
      <c r="W41" s="478"/>
      <c r="X41" s="478"/>
      <c r="Y41" s="478"/>
      <c r="Z41" s="478"/>
      <c r="AA41" s="476"/>
      <c r="AB41" s="479"/>
      <c r="AC41" s="479"/>
      <c r="AD41" s="479"/>
      <c r="AE41" s="479"/>
      <c r="AF41" s="479"/>
      <c r="AG41" s="479"/>
      <c r="AH41" s="479"/>
      <c r="AI41" s="479"/>
      <c r="AJ41" s="479"/>
      <c r="AK41" s="479"/>
      <c r="AL41" s="479"/>
      <c r="AM41" s="479"/>
      <c r="AN41" s="425"/>
      <c r="AO41" s="409"/>
      <c r="AP41" s="414"/>
      <c r="AQ41" s="414"/>
      <c r="AR41" s="414"/>
    </row>
    <row r="42" spans="2:44" s="413" customFormat="1" ht="17.25" collapsed="1">
      <c r="B42" s="456">
        <v>2.2999999999999998</v>
      </c>
      <c r="C42" s="457" t="s">
        <v>647</v>
      </c>
      <c r="D42" s="458"/>
      <c r="E42" s="458"/>
      <c r="F42" s="458"/>
      <c r="G42" s="459"/>
      <c r="H42" s="460"/>
      <c r="I42" s="459"/>
      <c r="J42" s="460"/>
      <c r="K42" s="459"/>
      <c r="L42" s="459"/>
      <c r="M42" s="459"/>
      <c r="N42" s="459"/>
      <c r="O42" s="459"/>
      <c r="P42" s="459"/>
      <c r="Q42" s="459"/>
      <c r="R42" s="459"/>
      <c r="S42" s="459"/>
      <c r="T42" s="459"/>
      <c r="U42" s="459"/>
      <c r="V42" s="459"/>
      <c r="W42" s="459"/>
      <c r="X42" s="458"/>
      <c r="Y42" s="458"/>
      <c r="Z42" s="461"/>
      <c r="AA42" s="439"/>
      <c r="AB42" s="439"/>
      <c r="AC42" s="439"/>
      <c r="AD42" s="439"/>
      <c r="AE42" s="439"/>
      <c r="AF42" s="439"/>
      <c r="AG42" s="439"/>
      <c r="AH42" s="439"/>
      <c r="AI42" s="439"/>
      <c r="AJ42" s="439"/>
      <c r="AK42" s="439"/>
      <c r="AL42" s="439"/>
      <c r="AM42" s="439"/>
      <c r="AN42" s="420"/>
      <c r="AO42" s="409"/>
      <c r="AP42" s="414"/>
      <c r="AQ42" s="414"/>
      <c r="AR42" s="414"/>
    </row>
    <row r="43" spans="2:44" s="413" customFormat="1" ht="17.25" hidden="1" outlineLevel="1">
      <c r="B43" s="462"/>
      <c r="C43" s="463" t="s">
        <v>146</v>
      </c>
      <c r="D43" s="464"/>
      <c r="E43" s="464"/>
      <c r="F43" s="464"/>
      <c r="G43" s="464"/>
      <c r="H43" s="442"/>
      <c r="I43" s="465"/>
      <c r="J43" s="465"/>
      <c r="K43" s="442"/>
      <c r="L43" s="442"/>
      <c r="M43" s="465"/>
      <c r="N43" s="442"/>
      <c r="O43" s="442"/>
      <c r="P43" s="442"/>
      <c r="Q43" s="442"/>
      <c r="R43" s="442"/>
      <c r="S43" s="442"/>
      <c r="T43" s="442"/>
      <c r="U43" s="442"/>
      <c r="V43" s="442"/>
      <c r="W43" s="442"/>
      <c r="X43" s="465"/>
      <c r="Y43" s="443"/>
      <c r="Z43" s="443"/>
      <c r="AA43" s="443">
        <f>Z43</f>
        <v>0</v>
      </c>
      <c r="AB43" s="466"/>
      <c r="AC43" s="467"/>
      <c r="AD43" s="466"/>
      <c r="AE43" s="466"/>
      <c r="AF43" s="467"/>
      <c r="AG43" s="467"/>
      <c r="AH43" s="467"/>
      <c r="AI43" s="467"/>
      <c r="AJ43" s="467"/>
      <c r="AK43" s="467"/>
      <c r="AL43" s="467"/>
      <c r="AM43" s="467"/>
      <c r="AN43" s="422"/>
      <c r="AO43" s="409"/>
      <c r="AP43" s="414"/>
      <c r="AQ43" s="414"/>
      <c r="AR43" s="414"/>
    </row>
    <row r="44" spans="2:44" s="413" customFormat="1" ht="17.25" hidden="1" outlineLevel="1">
      <c r="B44" s="468"/>
      <c r="C44" s="463" t="s">
        <v>147</v>
      </c>
      <c r="D44" s="465"/>
      <c r="E44" s="465"/>
      <c r="F44" s="465"/>
      <c r="G44" s="465">
        <v>0</v>
      </c>
      <c r="H44" s="465"/>
      <c r="I44" s="465"/>
      <c r="J44" s="465"/>
      <c r="K44" s="465"/>
      <c r="L44" s="465"/>
      <c r="M44" s="465"/>
      <c r="N44" s="465">
        <v>0</v>
      </c>
      <c r="O44" s="465">
        <v>0</v>
      </c>
      <c r="P44" s="465">
        <v>0</v>
      </c>
      <c r="Q44" s="465">
        <v>0</v>
      </c>
      <c r="R44" s="465">
        <v>0</v>
      </c>
      <c r="S44" s="465">
        <v>0</v>
      </c>
      <c r="T44" s="465">
        <v>0</v>
      </c>
      <c r="U44" s="465">
        <v>0</v>
      </c>
      <c r="V44" s="465">
        <v>0</v>
      </c>
      <c r="W44" s="465">
        <v>0</v>
      </c>
      <c r="X44" s="465"/>
      <c r="Y44" s="465"/>
      <c r="Z44" s="465"/>
      <c r="AA44" s="465"/>
      <c r="AB44" s="469"/>
      <c r="AC44" s="469"/>
      <c r="AD44" s="466"/>
      <c r="AE44" s="466"/>
      <c r="AF44" s="467"/>
      <c r="AG44" s="467"/>
      <c r="AH44" s="467"/>
      <c r="AI44" s="467"/>
      <c r="AJ44" s="467"/>
      <c r="AK44" s="467"/>
      <c r="AL44" s="467"/>
      <c r="AM44" s="467"/>
      <c r="AN44" s="422"/>
      <c r="AO44" s="409"/>
      <c r="AP44" s="414"/>
      <c r="AQ44" s="414"/>
      <c r="AR44" s="414"/>
    </row>
    <row r="45" spans="2:44" s="413" customFormat="1" ht="17.25" hidden="1" outlineLevel="1">
      <c r="B45" s="468"/>
      <c r="C45" s="463" t="s">
        <v>149</v>
      </c>
      <c r="D45" s="465"/>
      <c r="E45" s="465"/>
      <c r="F45" s="465"/>
      <c r="G45" s="465">
        <v>0</v>
      </c>
      <c r="H45" s="465"/>
      <c r="I45" s="465"/>
      <c r="J45" s="465"/>
      <c r="K45" s="465"/>
      <c r="L45" s="465"/>
      <c r="M45" s="465"/>
      <c r="N45" s="465">
        <v>0</v>
      </c>
      <c r="O45" s="465">
        <v>0</v>
      </c>
      <c r="P45" s="465">
        <v>0</v>
      </c>
      <c r="Q45" s="465">
        <v>0</v>
      </c>
      <c r="R45" s="465">
        <v>0</v>
      </c>
      <c r="S45" s="465">
        <v>0</v>
      </c>
      <c r="T45" s="465">
        <v>0</v>
      </c>
      <c r="U45" s="465">
        <v>0</v>
      </c>
      <c r="V45" s="465">
        <v>0</v>
      </c>
      <c r="W45" s="465">
        <v>0</v>
      </c>
      <c r="X45" s="465"/>
      <c r="Y45" s="465"/>
      <c r="Z45" s="465"/>
      <c r="AA45" s="465"/>
      <c r="AB45" s="469"/>
      <c r="AC45" s="469"/>
      <c r="AD45" s="469"/>
      <c r="AE45" s="469"/>
      <c r="AF45" s="469"/>
      <c r="AG45" s="469"/>
      <c r="AH45" s="469"/>
      <c r="AI45" s="469"/>
      <c r="AJ45" s="469"/>
      <c r="AK45" s="467"/>
      <c r="AL45" s="467"/>
      <c r="AM45" s="467"/>
      <c r="AN45" s="422"/>
      <c r="AO45" s="409"/>
      <c r="AP45" s="414"/>
      <c r="AQ45" s="414"/>
      <c r="AR45" s="414"/>
    </row>
    <row r="46" spans="2:44" s="413" customFormat="1" ht="17.25" hidden="1" outlineLevel="1">
      <c r="B46" s="468"/>
      <c r="C46" s="463" t="s">
        <v>150</v>
      </c>
      <c r="D46" s="465"/>
      <c r="E46" s="465"/>
      <c r="F46" s="465"/>
      <c r="G46" s="465">
        <v>0</v>
      </c>
      <c r="H46" s="465"/>
      <c r="I46" s="465"/>
      <c r="J46" s="465"/>
      <c r="K46" s="465"/>
      <c r="L46" s="465"/>
      <c r="M46" s="465"/>
      <c r="N46" s="465">
        <v>0</v>
      </c>
      <c r="O46" s="465">
        <v>0</v>
      </c>
      <c r="P46" s="465">
        <v>0</v>
      </c>
      <c r="Q46" s="465">
        <v>0</v>
      </c>
      <c r="R46" s="465">
        <v>0</v>
      </c>
      <c r="S46" s="465">
        <v>0</v>
      </c>
      <c r="T46" s="465">
        <v>0</v>
      </c>
      <c r="U46" s="465">
        <v>0</v>
      </c>
      <c r="V46" s="465">
        <v>0</v>
      </c>
      <c r="W46" s="465">
        <v>0</v>
      </c>
      <c r="X46" s="465"/>
      <c r="Y46" s="465"/>
      <c r="Z46" s="465"/>
      <c r="AA46" s="465"/>
      <c r="AB46" s="469"/>
      <c r="AC46" s="469"/>
      <c r="AD46" s="469"/>
      <c r="AE46" s="469"/>
      <c r="AF46" s="469"/>
      <c r="AG46" s="469"/>
      <c r="AH46" s="469"/>
      <c r="AI46" s="469"/>
      <c r="AJ46" s="469"/>
      <c r="AK46" s="469"/>
      <c r="AL46" s="469"/>
      <c r="AM46" s="469"/>
      <c r="AN46" s="423"/>
      <c r="AO46" s="409"/>
      <c r="AP46" s="414"/>
      <c r="AQ46" s="414"/>
      <c r="AR46" s="414"/>
    </row>
    <row r="47" spans="2:44" s="413" customFormat="1" ht="17.25" hidden="1" outlineLevel="1">
      <c r="B47" s="468"/>
      <c r="C47" s="463" t="s">
        <v>151</v>
      </c>
      <c r="D47" s="465"/>
      <c r="E47" s="465"/>
      <c r="F47" s="465"/>
      <c r="G47" s="465">
        <v>0</v>
      </c>
      <c r="H47" s="465"/>
      <c r="I47" s="465"/>
      <c r="J47" s="465"/>
      <c r="K47" s="465"/>
      <c r="L47" s="465"/>
      <c r="M47" s="465"/>
      <c r="N47" s="465">
        <v>0</v>
      </c>
      <c r="O47" s="465">
        <v>0</v>
      </c>
      <c r="P47" s="465">
        <v>0</v>
      </c>
      <c r="Q47" s="465">
        <v>0</v>
      </c>
      <c r="R47" s="465">
        <v>0</v>
      </c>
      <c r="S47" s="465">
        <v>0</v>
      </c>
      <c r="T47" s="465">
        <v>0</v>
      </c>
      <c r="U47" s="465">
        <v>0</v>
      </c>
      <c r="V47" s="465">
        <v>0</v>
      </c>
      <c r="W47" s="465">
        <v>0</v>
      </c>
      <c r="X47" s="465"/>
      <c r="Y47" s="465"/>
      <c r="Z47" s="465"/>
      <c r="AA47" s="465"/>
      <c r="AB47" s="469"/>
      <c r="AC47" s="469"/>
      <c r="AD47" s="469"/>
      <c r="AE47" s="469"/>
      <c r="AF47" s="469"/>
      <c r="AG47" s="469"/>
      <c r="AH47" s="469"/>
      <c r="AI47" s="469"/>
      <c r="AJ47" s="469"/>
      <c r="AK47" s="469"/>
      <c r="AL47" s="469"/>
      <c r="AM47" s="469"/>
      <c r="AN47" s="423"/>
      <c r="AO47" s="409"/>
      <c r="AP47" s="414"/>
      <c r="AQ47" s="414"/>
      <c r="AR47" s="414"/>
    </row>
    <row r="48" spans="2:44" s="413" customFormat="1" ht="17.25" hidden="1" outlineLevel="1">
      <c r="B48" s="468"/>
      <c r="C48" s="463" t="s">
        <v>152</v>
      </c>
      <c r="D48" s="465"/>
      <c r="E48" s="465"/>
      <c r="F48" s="465"/>
      <c r="G48" s="465">
        <v>0</v>
      </c>
      <c r="H48" s="465"/>
      <c r="I48" s="465"/>
      <c r="J48" s="465"/>
      <c r="K48" s="465"/>
      <c r="L48" s="465"/>
      <c r="M48" s="465"/>
      <c r="N48" s="465">
        <v>0</v>
      </c>
      <c r="O48" s="465">
        <v>0</v>
      </c>
      <c r="P48" s="465">
        <v>0</v>
      </c>
      <c r="Q48" s="465">
        <v>0</v>
      </c>
      <c r="R48" s="465">
        <v>0</v>
      </c>
      <c r="S48" s="465">
        <v>0</v>
      </c>
      <c r="T48" s="465">
        <v>0</v>
      </c>
      <c r="U48" s="465">
        <v>0</v>
      </c>
      <c r="V48" s="465">
        <v>0</v>
      </c>
      <c r="W48" s="465">
        <v>0</v>
      </c>
      <c r="X48" s="465"/>
      <c r="Y48" s="465"/>
      <c r="Z48" s="465"/>
      <c r="AA48" s="465"/>
      <c r="AB48" s="469"/>
      <c r="AC48" s="469"/>
      <c r="AD48" s="469"/>
      <c r="AE48" s="469"/>
      <c r="AF48" s="469"/>
      <c r="AG48" s="469"/>
      <c r="AH48" s="469"/>
      <c r="AI48" s="469"/>
      <c r="AJ48" s="469"/>
      <c r="AK48" s="469"/>
      <c r="AL48" s="469"/>
      <c r="AM48" s="469"/>
      <c r="AN48" s="423"/>
      <c r="AO48" s="409"/>
      <c r="AP48" s="414"/>
      <c r="AQ48" s="414"/>
      <c r="AR48" s="414"/>
    </row>
    <row r="49" spans="2:44" s="413" customFormat="1" ht="17.25" hidden="1" outlineLevel="1">
      <c r="B49" s="468"/>
      <c r="C49" s="463" t="s">
        <v>148</v>
      </c>
      <c r="D49" s="465"/>
      <c r="E49" s="465"/>
      <c r="F49" s="465"/>
      <c r="G49" s="465">
        <v>0</v>
      </c>
      <c r="H49" s="465"/>
      <c r="I49" s="465"/>
      <c r="J49" s="465"/>
      <c r="K49" s="465"/>
      <c r="L49" s="465"/>
      <c r="M49" s="465"/>
      <c r="N49" s="465">
        <v>0</v>
      </c>
      <c r="O49" s="465">
        <v>0</v>
      </c>
      <c r="P49" s="465">
        <v>0</v>
      </c>
      <c r="Q49" s="465">
        <v>0</v>
      </c>
      <c r="R49" s="465">
        <v>0</v>
      </c>
      <c r="S49" s="465">
        <v>0</v>
      </c>
      <c r="T49" s="465">
        <v>0</v>
      </c>
      <c r="U49" s="465">
        <v>0</v>
      </c>
      <c r="V49" s="465">
        <v>0</v>
      </c>
      <c r="W49" s="465">
        <v>0</v>
      </c>
      <c r="X49" s="465"/>
      <c r="Y49" s="465"/>
      <c r="Z49" s="465"/>
      <c r="AA49" s="465"/>
      <c r="AB49" s="470"/>
      <c r="AC49" s="470"/>
      <c r="AD49" s="470"/>
      <c r="AE49" s="470"/>
      <c r="AF49" s="470"/>
      <c r="AG49" s="470"/>
      <c r="AH49" s="470"/>
      <c r="AI49" s="470"/>
      <c r="AJ49" s="470"/>
      <c r="AK49" s="470"/>
      <c r="AL49" s="470"/>
      <c r="AM49" s="470"/>
      <c r="AN49" s="424"/>
      <c r="AO49" s="409"/>
      <c r="AP49" s="414"/>
      <c r="AQ49" s="414"/>
      <c r="AR49" s="414"/>
    </row>
    <row r="50" spans="2:44" s="413" customFormat="1" ht="17.25" hidden="1" outlineLevel="1">
      <c r="B50" s="468"/>
      <c r="C50" s="441" t="s">
        <v>88</v>
      </c>
      <c r="D50" s="465"/>
      <c r="E50" s="471"/>
      <c r="F50" s="471"/>
      <c r="G50" s="465">
        <v>0</v>
      </c>
      <c r="H50" s="465"/>
      <c r="I50" s="472"/>
      <c r="J50" s="472"/>
      <c r="K50" s="472"/>
      <c r="L50" s="465"/>
      <c r="M50" s="472"/>
      <c r="N50" s="465">
        <v>0</v>
      </c>
      <c r="O50" s="465">
        <v>0</v>
      </c>
      <c r="P50" s="465">
        <v>0</v>
      </c>
      <c r="Q50" s="465">
        <v>0</v>
      </c>
      <c r="R50" s="465">
        <v>0</v>
      </c>
      <c r="S50" s="465">
        <v>0</v>
      </c>
      <c r="T50" s="465">
        <v>0</v>
      </c>
      <c r="U50" s="465">
        <v>0</v>
      </c>
      <c r="V50" s="465">
        <v>0</v>
      </c>
      <c r="W50" s="465">
        <v>0</v>
      </c>
      <c r="X50" s="472"/>
      <c r="Y50" s="472"/>
      <c r="Z50" s="472"/>
      <c r="AA50" s="465"/>
      <c r="AB50" s="470"/>
      <c r="AC50" s="470"/>
      <c r="AD50" s="470"/>
      <c r="AE50" s="470"/>
      <c r="AF50" s="470"/>
      <c r="AG50" s="470"/>
      <c r="AH50" s="470"/>
      <c r="AI50" s="470"/>
      <c r="AJ50" s="470"/>
      <c r="AK50" s="470"/>
      <c r="AL50" s="467"/>
      <c r="AM50" s="467"/>
      <c r="AN50" s="422"/>
      <c r="AO50" s="409"/>
      <c r="AP50" s="414"/>
      <c r="AQ50" s="414"/>
      <c r="AR50" s="414"/>
    </row>
    <row r="51" spans="2:44" s="413" customFormat="1" ht="17.25" hidden="1" outlineLevel="1">
      <c r="B51" s="468"/>
      <c r="C51" s="441" t="s">
        <v>89</v>
      </c>
      <c r="D51" s="465"/>
      <c r="E51" s="472"/>
      <c r="F51" s="471"/>
      <c r="G51" s="465">
        <v>0</v>
      </c>
      <c r="H51" s="465"/>
      <c r="I51" s="472"/>
      <c r="J51" s="472"/>
      <c r="K51" s="472"/>
      <c r="L51" s="465"/>
      <c r="M51" s="472"/>
      <c r="N51" s="465">
        <v>0</v>
      </c>
      <c r="O51" s="465">
        <v>0</v>
      </c>
      <c r="P51" s="465">
        <v>0</v>
      </c>
      <c r="Q51" s="465">
        <v>0</v>
      </c>
      <c r="R51" s="465">
        <v>0</v>
      </c>
      <c r="S51" s="465">
        <v>0</v>
      </c>
      <c r="T51" s="465">
        <v>0</v>
      </c>
      <c r="U51" s="465">
        <v>0</v>
      </c>
      <c r="V51" s="465">
        <v>0</v>
      </c>
      <c r="W51" s="465">
        <v>0</v>
      </c>
      <c r="X51" s="472"/>
      <c r="Y51" s="472"/>
      <c r="Z51" s="472"/>
      <c r="AA51" s="465"/>
      <c r="AB51" s="470"/>
      <c r="AC51" s="467"/>
      <c r="AD51" s="470"/>
      <c r="AE51" s="470"/>
      <c r="AF51" s="467"/>
      <c r="AG51" s="467"/>
      <c r="AH51" s="467"/>
      <c r="AI51" s="467"/>
      <c r="AJ51" s="467"/>
      <c r="AK51" s="467"/>
      <c r="AL51" s="467"/>
      <c r="AM51" s="467"/>
      <c r="AN51" s="422"/>
      <c r="AO51" s="409"/>
      <c r="AP51" s="414"/>
      <c r="AQ51" s="414"/>
      <c r="AR51" s="414"/>
    </row>
    <row r="52" spans="2:44" s="413" customFormat="1" ht="17.25" hidden="1" outlineLevel="1">
      <c r="B52" s="473"/>
      <c r="C52" s="441" t="s">
        <v>70</v>
      </c>
      <c r="D52" s="465"/>
      <c r="E52" s="465"/>
      <c r="F52" s="471"/>
      <c r="G52" s="465">
        <v>0</v>
      </c>
      <c r="H52" s="465"/>
      <c r="I52" s="472"/>
      <c r="J52" s="472"/>
      <c r="K52" s="472"/>
      <c r="L52" s="465"/>
      <c r="M52" s="472"/>
      <c r="N52" s="465">
        <v>0</v>
      </c>
      <c r="O52" s="465">
        <v>0</v>
      </c>
      <c r="P52" s="465">
        <v>0</v>
      </c>
      <c r="Q52" s="465">
        <v>0</v>
      </c>
      <c r="R52" s="465">
        <v>0</v>
      </c>
      <c r="S52" s="465">
        <v>0</v>
      </c>
      <c r="T52" s="465">
        <v>0</v>
      </c>
      <c r="U52" s="465">
        <v>0</v>
      </c>
      <c r="V52" s="465">
        <v>0</v>
      </c>
      <c r="W52" s="465">
        <v>0</v>
      </c>
      <c r="X52" s="472"/>
      <c r="Y52" s="472"/>
      <c r="Z52" s="472"/>
      <c r="AA52" s="465"/>
      <c r="AB52" s="474"/>
      <c r="AC52" s="474"/>
      <c r="AD52" s="474"/>
      <c r="AE52" s="474"/>
      <c r="AF52" s="474"/>
      <c r="AG52" s="474"/>
      <c r="AH52" s="474"/>
      <c r="AI52" s="474"/>
      <c r="AJ52" s="474"/>
      <c r="AK52" s="474"/>
      <c r="AL52" s="474"/>
      <c r="AM52" s="474"/>
      <c r="AN52" s="422"/>
      <c r="AO52" s="409"/>
      <c r="AP52" s="414"/>
      <c r="AQ52" s="414"/>
      <c r="AR52" s="414"/>
    </row>
    <row r="53" spans="2:44" s="413" customFormat="1" ht="17.25" hidden="1" outlineLevel="1">
      <c r="B53" s="475"/>
      <c r="C53" s="447" t="s">
        <v>16</v>
      </c>
      <c r="D53" s="476"/>
      <c r="E53" s="476"/>
      <c r="F53" s="477"/>
      <c r="G53" s="476">
        <v>0</v>
      </c>
      <c r="H53" s="476"/>
      <c r="I53" s="478"/>
      <c r="J53" s="478"/>
      <c r="K53" s="478"/>
      <c r="L53" s="476"/>
      <c r="M53" s="472"/>
      <c r="N53" s="476">
        <v>0</v>
      </c>
      <c r="O53" s="476">
        <v>0</v>
      </c>
      <c r="P53" s="476">
        <v>0</v>
      </c>
      <c r="Q53" s="476">
        <v>0</v>
      </c>
      <c r="R53" s="476">
        <v>0</v>
      </c>
      <c r="S53" s="476">
        <v>0</v>
      </c>
      <c r="T53" s="476">
        <v>0</v>
      </c>
      <c r="U53" s="476">
        <v>0</v>
      </c>
      <c r="V53" s="476">
        <v>0</v>
      </c>
      <c r="W53" s="476">
        <v>0</v>
      </c>
      <c r="X53" s="478"/>
      <c r="Y53" s="478"/>
      <c r="Z53" s="478"/>
      <c r="AA53" s="476"/>
      <c r="AB53" s="479"/>
      <c r="AC53" s="479"/>
      <c r="AD53" s="479"/>
      <c r="AE53" s="479"/>
      <c r="AF53" s="479"/>
      <c r="AG53" s="479"/>
      <c r="AH53" s="479"/>
      <c r="AI53" s="479"/>
      <c r="AJ53" s="479"/>
      <c r="AK53" s="479"/>
      <c r="AL53" s="479"/>
      <c r="AM53" s="479"/>
      <c r="AN53" s="425"/>
      <c r="AO53" s="409"/>
      <c r="AP53" s="414"/>
      <c r="AQ53" s="414"/>
      <c r="AR53" s="414"/>
    </row>
    <row r="54" spans="2:44" s="413" customFormat="1" ht="17.25" collapsed="1">
      <c r="B54" s="1233">
        <v>2.2000000000000002</v>
      </c>
      <c r="C54" s="1225" t="s">
        <v>576</v>
      </c>
      <c r="D54" s="480"/>
      <c r="E54" s="480"/>
      <c r="F54" s="481"/>
      <c r="G54" s="453"/>
      <c r="H54" s="453"/>
      <c r="I54" s="453"/>
      <c r="J54" s="453"/>
      <c r="K54" s="453"/>
      <c r="L54" s="453"/>
      <c r="M54" s="481"/>
      <c r="N54" s="481"/>
      <c r="O54" s="480"/>
      <c r="P54" s="480"/>
      <c r="Q54" s="480"/>
      <c r="R54" s="453"/>
      <c r="S54" s="453"/>
      <c r="T54" s="453"/>
      <c r="U54" s="453"/>
      <c r="V54" s="453"/>
      <c r="W54" s="453"/>
      <c r="X54" s="453"/>
      <c r="Y54" s="481"/>
      <c r="Z54" s="482"/>
      <c r="AA54" s="482"/>
      <c r="AB54" s="482"/>
      <c r="AC54" s="455"/>
      <c r="AD54" s="482"/>
      <c r="AE54" s="482"/>
      <c r="AF54" s="455"/>
      <c r="AG54" s="455"/>
      <c r="AH54" s="455"/>
      <c r="AI54" s="455"/>
      <c r="AJ54" s="455"/>
      <c r="AK54" s="455"/>
      <c r="AL54" s="455"/>
      <c r="AM54" s="455"/>
      <c r="AN54" s="408"/>
      <c r="AO54" s="409"/>
      <c r="AP54" s="414"/>
      <c r="AQ54" s="414"/>
      <c r="AR54" s="414"/>
    </row>
    <row r="55" spans="2:44" s="407" customFormat="1" ht="17.25" outlineLevel="1">
      <c r="B55" s="1234"/>
      <c r="C55" s="435" t="s">
        <v>678</v>
      </c>
      <c r="D55" s="436"/>
      <c r="E55" s="436"/>
      <c r="F55" s="436"/>
      <c r="G55" s="459"/>
      <c r="H55" s="459"/>
      <c r="I55" s="459"/>
      <c r="J55" s="459"/>
      <c r="K55" s="459"/>
      <c r="L55" s="459"/>
      <c r="M55" s="459"/>
      <c r="N55" s="436">
        <v>0.25</v>
      </c>
      <c r="O55" s="1570">
        <v>0.25</v>
      </c>
      <c r="P55" s="1570">
        <v>0.25</v>
      </c>
      <c r="Q55" s="1570">
        <v>0.25</v>
      </c>
      <c r="R55" s="1570"/>
      <c r="S55" s="1570"/>
      <c r="T55" s="1570"/>
      <c r="U55" s="1570"/>
      <c r="V55" s="1570"/>
      <c r="W55" s="436"/>
      <c r="X55" s="436"/>
      <c r="Y55" s="1235"/>
      <c r="Z55" s="1236"/>
      <c r="AA55" s="1236"/>
      <c r="AB55" s="1236"/>
      <c r="AC55" s="1236"/>
      <c r="AD55" s="1236"/>
      <c r="AE55" s="1236"/>
      <c r="AF55" s="1236"/>
      <c r="AG55" s="1236"/>
      <c r="AH55" s="1236"/>
      <c r="AI55" s="1236"/>
      <c r="AJ55" s="1236"/>
      <c r="AK55" s="1236"/>
      <c r="AL55" s="1236"/>
      <c r="AM55" s="1236"/>
      <c r="AN55" s="1237"/>
      <c r="AO55" s="416"/>
      <c r="AP55" s="410"/>
      <c r="AQ55" s="410"/>
      <c r="AR55" s="410"/>
    </row>
    <row r="56" spans="2:44" s="407" customFormat="1" ht="17.25" outlineLevel="1">
      <c r="B56" s="1262"/>
      <c r="C56" s="490"/>
      <c r="D56" s="1264"/>
      <c r="E56" s="1264"/>
      <c r="F56" s="1264"/>
      <c r="G56" s="1265"/>
      <c r="H56" s="1265"/>
      <c r="I56" s="1265"/>
      <c r="J56" s="1265"/>
      <c r="K56" s="1265"/>
      <c r="L56" s="1265"/>
      <c r="M56" s="1265"/>
      <c r="N56" s="1265"/>
      <c r="O56" s="1265"/>
      <c r="P56" s="1265"/>
      <c r="Q56" s="1265"/>
      <c r="R56" s="1265"/>
      <c r="S56" s="1265"/>
      <c r="T56" s="1267"/>
      <c r="U56" s="1267"/>
      <c r="V56" s="1267"/>
      <c r="W56" s="1264"/>
      <c r="X56" s="1264"/>
      <c r="Y56" s="1268"/>
      <c r="Z56" s="1269"/>
      <c r="AA56" s="1269"/>
      <c r="AB56" s="1269"/>
      <c r="AC56" s="1269"/>
      <c r="AD56" s="1269"/>
      <c r="AE56" s="1269"/>
      <c r="AF56" s="1269"/>
      <c r="AG56" s="1269"/>
      <c r="AH56" s="1269"/>
      <c r="AI56" s="1269"/>
      <c r="AJ56" s="1269"/>
      <c r="AK56" s="1269"/>
      <c r="AL56" s="1269"/>
      <c r="AM56" s="1269"/>
      <c r="AN56" s="1270"/>
      <c r="AO56" s="416"/>
      <c r="AP56" s="410"/>
      <c r="AQ56" s="410"/>
      <c r="AR56" s="410"/>
    </row>
    <row r="57" spans="2:44" s="407" customFormat="1" ht="17.25" outlineLevel="1">
      <c r="B57" s="1238"/>
      <c r="C57" s="1497"/>
      <c r="D57" s="1239"/>
      <c r="E57" s="1239"/>
      <c r="F57" s="1239"/>
      <c r="G57" s="1240"/>
      <c r="H57" s="1240"/>
      <c r="I57" s="1240"/>
      <c r="J57" s="1240"/>
      <c r="K57" s="1240"/>
      <c r="L57" s="1240"/>
      <c r="M57" s="1240"/>
      <c r="N57" s="1240"/>
      <c r="O57" s="1240"/>
      <c r="P57" s="1240"/>
      <c r="Q57" s="1240"/>
      <c r="R57" s="1240"/>
      <c r="S57" s="1240"/>
      <c r="T57" s="1242"/>
      <c r="U57" s="1242"/>
      <c r="V57" s="1242"/>
      <c r="W57" s="1239"/>
      <c r="X57" s="1239"/>
      <c r="Y57" s="1243"/>
      <c r="Z57" s="1244"/>
      <c r="AA57" s="1244"/>
      <c r="AB57" s="1244"/>
      <c r="AC57" s="1244"/>
      <c r="AD57" s="1244"/>
      <c r="AE57" s="1244"/>
      <c r="AF57" s="1244"/>
      <c r="AG57" s="1244"/>
      <c r="AH57" s="1244"/>
      <c r="AI57" s="1244"/>
      <c r="AJ57" s="1244"/>
      <c r="AK57" s="1244"/>
      <c r="AL57" s="1244"/>
      <c r="AM57" s="1244"/>
      <c r="AN57" s="1245"/>
      <c r="AO57" s="416"/>
      <c r="AP57" s="410"/>
      <c r="AQ57" s="410"/>
      <c r="AR57" s="410"/>
    </row>
    <row r="58" spans="2:44" s="407" customFormat="1" ht="17.25" outlineLevel="1">
      <c r="B58" s="1254"/>
      <c r="C58" s="1255"/>
      <c r="D58" s="1256"/>
      <c r="E58" s="1256"/>
      <c r="F58" s="1256"/>
      <c r="G58" s="1257"/>
      <c r="H58" s="1257"/>
      <c r="I58" s="1257"/>
      <c r="J58" s="1257"/>
      <c r="K58" s="1257"/>
      <c r="L58" s="1257"/>
      <c r="M58" s="1257"/>
      <c r="N58" s="1257"/>
      <c r="O58" s="1257"/>
      <c r="P58" s="1257"/>
      <c r="Q58" s="1257"/>
      <c r="R58" s="1257"/>
      <c r="S58" s="1257"/>
      <c r="T58" s="1258"/>
      <c r="U58" s="1258"/>
      <c r="V58" s="1258"/>
      <c r="W58" s="1256"/>
      <c r="X58" s="1256"/>
      <c r="Y58" s="1259"/>
      <c r="Z58" s="1260"/>
      <c r="AA58" s="1260"/>
      <c r="AB58" s="1260"/>
      <c r="AC58" s="1260"/>
      <c r="AD58" s="1260"/>
      <c r="AE58" s="1260"/>
      <c r="AF58" s="1260"/>
      <c r="AG58" s="1260"/>
      <c r="AH58" s="1260"/>
      <c r="AI58" s="1260"/>
      <c r="AJ58" s="1260"/>
      <c r="AK58" s="1260"/>
      <c r="AL58" s="1260"/>
      <c r="AM58" s="1260"/>
      <c r="AN58" s="1261"/>
      <c r="AO58" s="416"/>
      <c r="AP58" s="410"/>
      <c r="AQ58" s="410"/>
      <c r="AR58" s="410"/>
    </row>
    <row r="59" spans="2:44" s="407" customFormat="1" ht="17.25">
      <c r="B59" s="1271">
        <v>3</v>
      </c>
      <c r="C59" s="1272" t="s">
        <v>577</v>
      </c>
      <c r="D59" s="1226"/>
      <c r="E59" s="1226"/>
      <c r="F59" s="1226"/>
      <c r="G59" s="1227"/>
      <c r="H59" s="1227"/>
      <c r="I59" s="1227"/>
      <c r="J59" s="1227"/>
      <c r="K59" s="1227"/>
      <c r="L59" s="1227"/>
      <c r="M59" s="1228"/>
      <c r="N59" s="1228"/>
      <c r="O59" s="1228"/>
      <c r="P59" s="1228"/>
      <c r="Q59" s="1229"/>
      <c r="R59" s="1229"/>
      <c r="S59" s="1229"/>
      <c r="T59" s="1229"/>
      <c r="U59" s="1229"/>
      <c r="V59" s="1229"/>
      <c r="W59" s="1226"/>
      <c r="X59" s="1226"/>
      <c r="Y59" s="1230"/>
      <c r="Z59" s="1231"/>
      <c r="AA59" s="1231"/>
      <c r="AB59" s="1231"/>
      <c r="AC59" s="1231"/>
      <c r="AD59" s="1231"/>
      <c r="AE59" s="1231"/>
      <c r="AF59" s="1231"/>
      <c r="AG59" s="1231"/>
      <c r="AH59" s="1231"/>
      <c r="AI59" s="1231"/>
      <c r="AJ59" s="1231"/>
      <c r="AK59" s="1231"/>
      <c r="AL59" s="1231"/>
      <c r="AM59" s="1231"/>
      <c r="AN59" s="1232"/>
      <c r="AO59" s="416"/>
      <c r="AP59" s="410"/>
      <c r="AQ59" s="410"/>
      <c r="AR59" s="410"/>
    </row>
    <row r="60" spans="2:44" s="407" customFormat="1" ht="17.25" hidden="1" outlineLevel="1">
      <c r="B60" s="1262"/>
      <c r="C60" s="1263" t="s">
        <v>609</v>
      </c>
      <c r="D60" s="1264"/>
      <c r="E60" s="1264"/>
      <c r="F60" s="1264"/>
      <c r="G60" s="1265"/>
      <c r="H60" s="1265"/>
      <c r="I60" s="1265"/>
      <c r="J60" s="1265"/>
      <c r="K60" s="1265"/>
      <c r="L60" s="1265"/>
      <c r="M60" s="1265"/>
      <c r="N60" s="1265"/>
      <c r="O60" s="1265"/>
      <c r="P60" s="1266"/>
      <c r="Q60" s="1267"/>
      <c r="R60" s="1267"/>
      <c r="S60" s="1267"/>
      <c r="T60" s="1267"/>
      <c r="U60" s="1267"/>
      <c r="V60" s="1267"/>
      <c r="W60" s="1264"/>
      <c r="X60" s="1264"/>
      <c r="Y60" s="1268"/>
      <c r="Z60" s="1269"/>
      <c r="AA60" s="1269"/>
      <c r="AB60" s="1269"/>
      <c r="AC60" s="1269"/>
      <c r="AD60" s="1269"/>
      <c r="AE60" s="1269"/>
      <c r="AF60" s="1269"/>
      <c r="AG60" s="1269"/>
      <c r="AH60" s="1269"/>
      <c r="AI60" s="1269"/>
      <c r="AJ60" s="1269"/>
      <c r="AK60" s="1269"/>
      <c r="AL60" s="1269"/>
      <c r="AM60" s="1269"/>
      <c r="AN60" s="1270"/>
      <c r="AO60" s="416"/>
      <c r="AP60" s="410"/>
      <c r="AQ60" s="410"/>
      <c r="AR60" s="410"/>
    </row>
    <row r="61" spans="2:44" s="407" customFormat="1" ht="17.25" hidden="1" outlineLevel="1">
      <c r="B61" s="1262"/>
      <c r="C61" s="1263" t="s">
        <v>611</v>
      </c>
      <c r="D61" s="1264"/>
      <c r="E61" s="1264"/>
      <c r="F61" s="1264"/>
      <c r="G61" s="1265"/>
      <c r="H61" s="1265"/>
      <c r="I61" s="1265"/>
      <c r="J61" s="1265"/>
      <c r="K61" s="1265"/>
      <c r="L61" s="1265"/>
      <c r="M61" s="1265"/>
      <c r="N61" s="1265"/>
      <c r="O61" s="1265"/>
      <c r="P61" s="1266"/>
      <c r="Q61" s="1267"/>
      <c r="R61" s="1267"/>
      <c r="S61" s="1267"/>
      <c r="T61" s="1267"/>
      <c r="U61" s="1267"/>
      <c r="V61" s="1267"/>
      <c r="W61" s="1264"/>
      <c r="X61" s="1264"/>
      <c r="Y61" s="1268"/>
      <c r="Z61" s="1269"/>
      <c r="AA61" s="1269"/>
      <c r="AB61" s="1269"/>
      <c r="AC61" s="1269"/>
      <c r="AD61" s="1269"/>
      <c r="AE61" s="1269"/>
      <c r="AF61" s="1269"/>
      <c r="AG61" s="1269"/>
      <c r="AH61" s="1269"/>
      <c r="AI61" s="1269"/>
      <c r="AJ61" s="1269"/>
      <c r="AK61" s="1269"/>
      <c r="AL61" s="1269"/>
      <c r="AM61" s="1269"/>
      <c r="AN61" s="1270"/>
      <c r="AO61" s="416"/>
      <c r="AP61" s="410"/>
      <c r="AQ61" s="410"/>
      <c r="AR61" s="410"/>
    </row>
    <row r="62" spans="2:44" s="407" customFormat="1" ht="17.25" hidden="1" outlineLevel="1">
      <c r="B62" s="1238"/>
      <c r="C62" s="1215" t="s">
        <v>610</v>
      </c>
      <c r="D62" s="1239"/>
      <c r="E62" s="1239"/>
      <c r="F62" s="1239"/>
      <c r="G62" s="1240"/>
      <c r="H62" s="1240"/>
      <c r="I62" s="1240"/>
      <c r="J62" s="1242"/>
      <c r="K62" s="1242"/>
      <c r="L62" s="1242"/>
      <c r="M62" s="1242"/>
      <c r="N62" s="1242"/>
      <c r="O62" s="1242"/>
      <c r="P62" s="1241"/>
      <c r="Q62" s="1242"/>
      <c r="R62" s="1242"/>
      <c r="S62" s="1242"/>
      <c r="T62" s="1242"/>
      <c r="U62" s="1242"/>
      <c r="V62" s="1242"/>
      <c r="W62" s="1239"/>
      <c r="X62" s="1239"/>
      <c r="Y62" s="1243"/>
      <c r="Z62" s="1244"/>
      <c r="AA62" s="1244"/>
      <c r="AB62" s="1244"/>
      <c r="AC62" s="1244"/>
      <c r="AD62" s="1244"/>
      <c r="AE62" s="1244"/>
      <c r="AF62" s="1244"/>
      <c r="AG62" s="1244"/>
      <c r="AH62" s="1244"/>
      <c r="AI62" s="1244"/>
      <c r="AJ62" s="1244"/>
      <c r="AK62" s="1244"/>
      <c r="AL62" s="1244"/>
      <c r="AM62" s="1244"/>
      <c r="AN62" s="1245"/>
      <c r="AO62" s="416"/>
      <c r="AP62" s="410"/>
      <c r="AQ62" s="410"/>
      <c r="AR62" s="410"/>
    </row>
    <row r="63" spans="2:44" s="407" customFormat="1" ht="17.25" hidden="1" outlineLevel="1">
      <c r="B63" s="1246"/>
      <c r="C63" s="1221"/>
      <c r="D63" s="1247"/>
      <c r="E63" s="1247"/>
      <c r="F63" s="1247"/>
      <c r="G63" s="1248"/>
      <c r="H63" s="1248"/>
      <c r="I63" s="1248"/>
      <c r="J63" s="1248"/>
      <c r="K63" s="1248"/>
      <c r="L63" s="1248"/>
      <c r="M63" s="1249"/>
      <c r="N63" s="1249"/>
      <c r="O63" s="1250"/>
      <c r="P63" s="1249"/>
      <c r="Q63" s="1250"/>
      <c r="R63" s="1250"/>
      <c r="S63" s="1250"/>
      <c r="T63" s="1250"/>
      <c r="U63" s="1250"/>
      <c r="V63" s="1250"/>
      <c r="W63" s="1247"/>
      <c r="X63" s="1247"/>
      <c r="Y63" s="1251"/>
      <c r="Z63" s="1252"/>
      <c r="AA63" s="1252"/>
      <c r="AB63" s="1252"/>
      <c r="AC63" s="1252"/>
      <c r="AD63" s="1252"/>
      <c r="AE63" s="1252"/>
      <c r="AF63" s="1252"/>
      <c r="AG63" s="1252"/>
      <c r="AH63" s="1252"/>
      <c r="AI63" s="1252"/>
      <c r="AJ63" s="1252"/>
      <c r="AK63" s="1252"/>
      <c r="AL63" s="1252"/>
      <c r="AM63" s="1252"/>
      <c r="AN63" s="1253"/>
      <c r="AO63" s="416"/>
      <c r="AP63" s="410"/>
      <c r="AQ63" s="410"/>
      <c r="AR63" s="410"/>
    </row>
    <row r="64" spans="2:44" s="407" customFormat="1" ht="17.25" collapsed="1">
      <c r="B64" s="451" t="s">
        <v>500</v>
      </c>
      <c r="C64" s="485"/>
      <c r="D64" s="480"/>
      <c r="E64" s="480"/>
      <c r="F64" s="480"/>
      <c r="G64" s="483"/>
      <c r="H64" s="483"/>
      <c r="I64" s="483"/>
      <c r="J64" s="483"/>
      <c r="K64" s="483"/>
      <c r="L64" s="484"/>
      <c r="M64" s="484"/>
      <c r="N64" s="484"/>
      <c r="O64" s="484"/>
      <c r="P64" s="484"/>
      <c r="Q64" s="484"/>
      <c r="R64" s="484"/>
      <c r="S64" s="484"/>
      <c r="T64" s="484"/>
      <c r="U64" s="484"/>
      <c r="V64" s="484"/>
      <c r="W64" s="480"/>
      <c r="X64" s="480"/>
      <c r="Y64" s="481"/>
      <c r="Z64" s="482"/>
      <c r="AA64" s="482"/>
      <c r="AB64" s="482"/>
      <c r="AC64" s="486"/>
      <c r="AD64" s="482"/>
      <c r="AE64" s="482"/>
      <c r="AF64" s="486"/>
      <c r="AG64" s="486"/>
      <c r="AH64" s="486"/>
      <c r="AI64" s="486"/>
      <c r="AJ64" s="486"/>
      <c r="AK64" s="486"/>
      <c r="AL64" s="486"/>
      <c r="AM64" s="486"/>
      <c r="AN64" s="417"/>
      <c r="AO64" s="418"/>
      <c r="AP64" s="410"/>
      <c r="AQ64" s="410"/>
      <c r="AR64" s="410"/>
    </row>
    <row r="65" spans="1:44" s="407" customFormat="1" ht="17.25">
      <c r="B65" s="434"/>
      <c r="C65" s="487" t="s">
        <v>739</v>
      </c>
      <c r="D65" s="436"/>
      <c r="E65" s="436"/>
      <c r="F65" s="436"/>
      <c r="G65" s="436"/>
      <c r="H65" s="436"/>
      <c r="I65" s="436"/>
      <c r="J65" s="436"/>
      <c r="K65" s="436"/>
      <c r="L65" s="436"/>
      <c r="M65" s="436"/>
      <c r="N65" s="2090">
        <v>0.37528604118993097</v>
      </c>
      <c r="O65" s="2090">
        <f>0.377574370709382*100%</f>
        <v>0.37757437070938199</v>
      </c>
      <c r="P65" s="2091">
        <v>0.1</v>
      </c>
      <c r="Q65" s="2091">
        <v>0.05</v>
      </c>
      <c r="R65" s="2091">
        <v>0.05</v>
      </c>
      <c r="S65" s="436">
        <f>100%-SUM(N65:R65)</f>
        <v>4.7139588100686969E-2</v>
      </c>
      <c r="T65" s="436"/>
      <c r="U65" s="436"/>
      <c r="V65" s="488"/>
      <c r="W65" s="436"/>
      <c r="X65" s="436"/>
      <c r="Y65" s="436"/>
      <c r="Z65" s="489"/>
      <c r="AA65" s="489"/>
      <c r="AB65" s="489"/>
      <c r="AC65" s="489"/>
      <c r="AD65" s="489"/>
      <c r="AE65" s="489"/>
      <c r="AF65" s="489"/>
      <c r="AG65" s="489"/>
      <c r="AH65" s="489"/>
      <c r="AI65" s="489"/>
      <c r="AJ65" s="489"/>
      <c r="AK65" s="489"/>
      <c r="AL65" s="489"/>
      <c r="AM65" s="489"/>
      <c r="AN65" s="426"/>
      <c r="AO65" s="415"/>
      <c r="AP65" s="410"/>
      <c r="AQ65" s="410"/>
      <c r="AR65" s="410"/>
    </row>
    <row r="66" spans="1:44" s="407" customFormat="1" ht="17.25">
      <c r="B66" s="440"/>
      <c r="C66" s="490" t="s">
        <v>761</v>
      </c>
      <c r="D66" s="469"/>
      <c r="E66" s="469"/>
      <c r="F66" s="469"/>
      <c r="G66" s="469"/>
      <c r="H66" s="469"/>
      <c r="I66" s="465"/>
      <c r="J66" s="465"/>
      <c r="K66" s="465"/>
      <c r="L66" s="465"/>
      <c r="M66" s="465"/>
      <c r="N66" s="2165"/>
      <c r="O66" s="2165"/>
      <c r="P66" s="2166"/>
      <c r="Q66" s="2166">
        <v>0.5</v>
      </c>
      <c r="R66" s="2166">
        <v>0.3</v>
      </c>
      <c r="S66" s="465">
        <v>0.2</v>
      </c>
      <c r="T66" s="491"/>
      <c r="U66" s="491"/>
      <c r="V66" s="491"/>
      <c r="W66" s="469"/>
      <c r="X66" s="469"/>
      <c r="Y66" s="469"/>
      <c r="Z66" s="469"/>
      <c r="AA66" s="469"/>
      <c r="AB66" s="469"/>
      <c r="AC66" s="469"/>
      <c r="AD66" s="469"/>
      <c r="AE66" s="469"/>
      <c r="AF66" s="469"/>
      <c r="AG66" s="469"/>
      <c r="AH66" s="469"/>
      <c r="AI66" s="469"/>
      <c r="AJ66" s="469"/>
      <c r="AK66" s="469"/>
      <c r="AL66" s="469"/>
      <c r="AM66" s="469"/>
      <c r="AN66" s="423"/>
      <c r="AO66" s="415"/>
      <c r="AP66" s="410"/>
      <c r="AQ66" s="410"/>
      <c r="AR66" s="410"/>
    </row>
    <row r="67" spans="1:44" s="407" customFormat="1" ht="17.25">
      <c r="B67" s="1490"/>
      <c r="C67" s="1491" t="s">
        <v>762</v>
      </c>
      <c r="D67" s="1492"/>
      <c r="E67" s="1492"/>
      <c r="F67" s="1492"/>
      <c r="G67" s="1492"/>
      <c r="H67" s="1492"/>
      <c r="I67" s="1493"/>
      <c r="J67" s="1493"/>
      <c r="K67" s="1493"/>
      <c r="L67" s="1493"/>
      <c r="M67" s="1493"/>
      <c r="N67" s="1493"/>
      <c r="O67" s="1493"/>
      <c r="P67" s="1492"/>
      <c r="Q67" s="1493"/>
      <c r="R67" s="1492"/>
      <c r="S67" s="1493"/>
      <c r="T67" s="1494"/>
      <c r="U67" s="1494"/>
      <c r="V67" s="1494"/>
      <c r="W67" s="1492"/>
      <c r="X67" s="1492"/>
      <c r="Y67" s="1492"/>
      <c r="Z67" s="1492"/>
      <c r="AA67" s="1492"/>
      <c r="AB67" s="1492"/>
      <c r="AC67" s="1492"/>
      <c r="AD67" s="1492"/>
      <c r="AE67" s="1492"/>
      <c r="AF67" s="1492"/>
      <c r="AG67" s="1492"/>
      <c r="AH67" s="1492"/>
      <c r="AI67" s="1492"/>
      <c r="AJ67" s="1492"/>
      <c r="AK67" s="1492"/>
      <c r="AL67" s="1492"/>
      <c r="AM67" s="1492"/>
      <c r="AN67" s="1495"/>
      <c r="AO67" s="415"/>
      <c r="AP67" s="410"/>
      <c r="AQ67" s="410"/>
      <c r="AR67" s="410"/>
    </row>
    <row r="68" spans="1:44" s="407" customFormat="1" ht="17.25">
      <c r="B68" s="1490"/>
      <c r="C68" s="1491" t="s">
        <v>679</v>
      </c>
      <c r="D68" s="1492"/>
      <c r="E68" s="1492"/>
      <c r="F68" s="1492"/>
      <c r="G68" s="1492"/>
      <c r="H68" s="1492"/>
      <c r="I68" s="1493"/>
      <c r="J68" s="1493"/>
      <c r="K68" s="1493"/>
      <c r="L68" s="1493"/>
      <c r="M68" s="1493"/>
      <c r="N68" s="2165">
        <v>0.37528604118993097</v>
      </c>
      <c r="O68" s="2165">
        <f>0.377574370709382*100%</f>
        <v>0.37757437070938199</v>
      </c>
      <c r="P68" s="2166">
        <v>0.1</v>
      </c>
      <c r="Q68" s="2166">
        <v>0.05</v>
      </c>
      <c r="R68" s="2166">
        <v>0.05</v>
      </c>
      <c r="S68" s="1493">
        <f>100%-SUM(N68:R68)</f>
        <v>4.7139588100686969E-2</v>
      </c>
      <c r="T68" s="1494"/>
      <c r="U68" s="1494"/>
      <c r="V68" s="1494"/>
      <c r="W68" s="1492"/>
      <c r="X68" s="1492"/>
      <c r="Y68" s="1492"/>
      <c r="Z68" s="1492"/>
      <c r="AA68" s="1492"/>
      <c r="AB68" s="1492"/>
      <c r="AC68" s="1492"/>
      <c r="AD68" s="1492"/>
      <c r="AE68" s="1492"/>
      <c r="AF68" s="1492"/>
      <c r="AG68" s="1492"/>
      <c r="AH68" s="1492"/>
      <c r="AI68" s="1492"/>
      <c r="AJ68" s="1492"/>
      <c r="AK68" s="1492"/>
      <c r="AL68" s="1492"/>
      <c r="AM68" s="1492"/>
      <c r="AN68" s="1495"/>
      <c r="AO68" s="415"/>
      <c r="AP68" s="410"/>
      <c r="AQ68" s="410"/>
      <c r="AR68" s="410"/>
    </row>
    <row r="69" spans="1:44" s="407" customFormat="1" ht="17.25">
      <c r="B69" s="1490"/>
      <c r="C69" s="1491" t="s">
        <v>557</v>
      </c>
      <c r="D69" s="1492"/>
      <c r="E69" s="1492"/>
      <c r="F69" s="1492"/>
      <c r="G69" s="1492"/>
      <c r="H69" s="1492"/>
      <c r="I69" s="1493"/>
      <c r="J69" s="1493"/>
      <c r="K69" s="1493"/>
      <c r="L69" s="1493"/>
      <c r="M69" s="1492"/>
      <c r="N69" s="1493"/>
      <c r="O69" s="1493"/>
      <c r="P69" s="1493"/>
      <c r="Q69" s="1493"/>
      <c r="R69" s="1493"/>
      <c r="S69" s="1493"/>
      <c r="T69" s="1493"/>
      <c r="U69" s="1494"/>
      <c r="V69" s="1492"/>
      <c r="W69" s="1492"/>
      <c r="X69" s="1492"/>
      <c r="Y69" s="1492"/>
      <c r="Z69" s="1492"/>
      <c r="AA69" s="1492"/>
      <c r="AB69" s="1492"/>
      <c r="AC69" s="1492"/>
      <c r="AD69" s="1492"/>
      <c r="AE69" s="1492"/>
      <c r="AF69" s="1492"/>
      <c r="AG69" s="1492"/>
      <c r="AH69" s="1492"/>
      <c r="AI69" s="1492"/>
      <c r="AJ69" s="1492"/>
      <c r="AK69" s="1492"/>
      <c r="AL69" s="1492"/>
      <c r="AM69" s="1492"/>
      <c r="AN69" s="1495"/>
      <c r="AO69" s="415"/>
      <c r="AP69" s="410"/>
      <c r="AQ69" s="410"/>
      <c r="AR69" s="410"/>
    </row>
    <row r="70" spans="1:44" s="407" customFormat="1" ht="17.25">
      <c r="B70" s="1490"/>
      <c r="C70" s="1491" t="s">
        <v>153</v>
      </c>
      <c r="D70" s="1492"/>
      <c r="E70" s="1492"/>
      <c r="F70" s="1492"/>
      <c r="G70" s="1492"/>
      <c r="H70" s="1492"/>
      <c r="I70" s="1493"/>
      <c r="J70" s="1493"/>
      <c r="K70" s="1493"/>
      <c r="L70" s="1493"/>
      <c r="M70" s="1492"/>
      <c r="N70" s="1493"/>
      <c r="O70" s="1493"/>
      <c r="P70" s="1493"/>
      <c r="Q70" s="1493"/>
      <c r="R70" s="1493"/>
      <c r="S70" s="1493"/>
      <c r="T70" s="1493"/>
      <c r="U70" s="1493">
        <v>1</v>
      </c>
      <c r="V70" s="1492"/>
      <c r="W70" s="1492"/>
      <c r="X70" s="1492"/>
      <c r="Y70" s="1492"/>
      <c r="Z70" s="1492"/>
      <c r="AA70" s="1492"/>
      <c r="AB70" s="1492"/>
      <c r="AC70" s="1492"/>
      <c r="AD70" s="1492"/>
      <c r="AE70" s="1492"/>
      <c r="AF70" s="1492"/>
      <c r="AG70" s="1492"/>
      <c r="AH70" s="1492"/>
      <c r="AI70" s="1492"/>
      <c r="AJ70" s="1492"/>
      <c r="AK70" s="1492"/>
      <c r="AL70" s="1492"/>
      <c r="AM70" s="1492"/>
      <c r="AN70" s="1495"/>
      <c r="AO70" s="415"/>
      <c r="AP70" s="410"/>
      <c r="AQ70" s="410"/>
      <c r="AR70" s="410"/>
    </row>
    <row r="71" spans="1:44" s="407" customFormat="1" ht="17.25">
      <c r="B71" s="440"/>
      <c r="C71" s="490" t="s">
        <v>678</v>
      </c>
      <c r="D71" s="469"/>
      <c r="E71" s="469"/>
      <c r="F71" s="469"/>
      <c r="G71" s="469"/>
      <c r="H71" s="469"/>
      <c r="I71" s="469"/>
      <c r="J71" s="469"/>
      <c r="K71" s="469"/>
      <c r="L71" s="469"/>
      <c r="M71" s="469"/>
      <c r="N71" s="469"/>
      <c r="O71" s="469">
        <f>100%/3</f>
        <v>0.33333333333333331</v>
      </c>
      <c r="P71" s="469">
        <f t="shared" ref="P71:Q71" si="6">100%/3</f>
        <v>0.33333333333333331</v>
      </c>
      <c r="Q71" s="469">
        <f t="shared" si="6"/>
        <v>0.33333333333333331</v>
      </c>
      <c r="R71" s="1493"/>
      <c r="S71" s="1493"/>
      <c r="T71" s="469"/>
      <c r="U71" s="491"/>
      <c r="V71" s="469"/>
      <c r="W71" s="469"/>
      <c r="X71" s="469"/>
      <c r="Y71" s="469"/>
      <c r="Z71" s="469"/>
      <c r="AA71" s="469"/>
      <c r="AB71" s="469"/>
      <c r="AC71" s="469"/>
      <c r="AD71" s="469"/>
      <c r="AE71" s="469"/>
      <c r="AF71" s="469"/>
      <c r="AG71" s="469"/>
      <c r="AH71" s="469"/>
      <c r="AI71" s="469"/>
      <c r="AJ71" s="469"/>
      <c r="AK71" s="469"/>
      <c r="AL71" s="469"/>
      <c r="AM71" s="469"/>
      <c r="AN71" s="423"/>
      <c r="AO71" s="415"/>
      <c r="AP71" s="410"/>
      <c r="AQ71" s="410"/>
      <c r="AR71" s="410"/>
    </row>
    <row r="72" spans="1:44" s="407" customFormat="1" ht="17.25">
      <c r="B72" s="1496"/>
      <c r="C72" s="490"/>
      <c r="D72" s="1498"/>
      <c r="E72" s="1498"/>
      <c r="F72" s="1498"/>
      <c r="G72" s="1498"/>
      <c r="H72" s="1498"/>
      <c r="I72" s="1498"/>
      <c r="J72" s="1498"/>
      <c r="K72" s="1498"/>
      <c r="L72" s="1498"/>
      <c r="M72" s="1498"/>
      <c r="N72" s="1498"/>
      <c r="O72" s="1498"/>
      <c r="P72" s="1498"/>
      <c r="Q72" s="1498"/>
      <c r="R72" s="1498"/>
      <c r="S72" s="1498"/>
      <c r="T72" s="1498"/>
      <c r="U72" s="1498"/>
      <c r="V72" s="1499"/>
      <c r="W72" s="1498"/>
      <c r="X72" s="1498"/>
      <c r="Y72" s="1498"/>
      <c r="Z72" s="1498"/>
      <c r="AA72" s="1498"/>
      <c r="AB72" s="1498"/>
      <c r="AC72" s="1498"/>
      <c r="AD72" s="1498"/>
      <c r="AE72" s="1498"/>
      <c r="AF72" s="1498"/>
      <c r="AG72" s="1498"/>
      <c r="AH72" s="1498"/>
      <c r="AI72" s="1498"/>
      <c r="AJ72" s="1498"/>
      <c r="AK72" s="1498"/>
      <c r="AL72" s="1498"/>
      <c r="AM72" s="1498"/>
      <c r="AN72" s="1500"/>
      <c r="AO72" s="415"/>
      <c r="AP72" s="410"/>
      <c r="AQ72" s="410"/>
      <c r="AR72" s="410"/>
    </row>
    <row r="73" spans="1:44" s="407" customFormat="1" ht="17.25">
      <c r="B73" s="1496"/>
      <c r="C73" s="1497"/>
      <c r="D73" s="1498"/>
      <c r="E73" s="1498"/>
      <c r="F73" s="1498"/>
      <c r="G73" s="1498"/>
      <c r="H73" s="1498"/>
      <c r="I73" s="1498"/>
      <c r="J73" s="1498"/>
      <c r="K73" s="1498"/>
      <c r="L73" s="1498"/>
      <c r="M73" s="1498"/>
      <c r="N73" s="1498"/>
      <c r="O73" s="1498"/>
      <c r="P73" s="1498"/>
      <c r="Q73" s="1498"/>
      <c r="R73" s="1498"/>
      <c r="S73" s="1498"/>
      <c r="T73" s="1498"/>
      <c r="U73" s="1498"/>
      <c r="V73" s="1499"/>
      <c r="W73" s="1498"/>
      <c r="X73" s="1498"/>
      <c r="Y73" s="1498"/>
      <c r="Z73" s="1498"/>
      <c r="AA73" s="1498"/>
      <c r="AB73" s="1498"/>
      <c r="AC73" s="1498"/>
      <c r="AD73" s="1498"/>
      <c r="AE73" s="1498"/>
      <c r="AF73" s="1498"/>
      <c r="AG73" s="1498"/>
      <c r="AH73" s="1498"/>
      <c r="AI73" s="1498"/>
      <c r="AJ73" s="1498"/>
      <c r="AK73" s="1498"/>
      <c r="AL73" s="1498"/>
      <c r="AM73" s="1498"/>
      <c r="AN73" s="1500"/>
      <c r="AO73" s="415"/>
      <c r="AP73" s="410"/>
      <c r="AQ73" s="410"/>
      <c r="AR73" s="410"/>
    </row>
    <row r="74" spans="1:44" s="407" customFormat="1" ht="17.25">
      <c r="B74" s="1273"/>
      <c r="C74" s="1274"/>
      <c r="D74" s="1275"/>
      <c r="E74" s="1275"/>
      <c r="F74" s="1275"/>
      <c r="G74" s="1275"/>
      <c r="H74" s="1275"/>
      <c r="I74" s="1275"/>
      <c r="J74" s="1275"/>
      <c r="K74" s="1275"/>
      <c r="L74" s="1275"/>
      <c r="M74" s="1275"/>
      <c r="N74" s="1275"/>
      <c r="O74" s="1275"/>
      <c r="P74" s="1275"/>
      <c r="Q74" s="1275"/>
      <c r="R74" s="1275"/>
      <c r="S74" s="1275"/>
      <c r="T74" s="1275"/>
      <c r="U74" s="1275"/>
      <c r="V74" s="1276"/>
      <c r="W74" s="1275"/>
      <c r="X74" s="1275"/>
      <c r="Y74" s="1275"/>
      <c r="Z74" s="1275"/>
      <c r="AA74" s="1275"/>
      <c r="AB74" s="1275"/>
      <c r="AC74" s="1275"/>
      <c r="AD74" s="1275"/>
      <c r="AE74" s="1275"/>
      <c r="AF74" s="1275"/>
      <c r="AG74" s="1275"/>
      <c r="AH74" s="1275"/>
      <c r="AI74" s="1275"/>
      <c r="AJ74" s="1275"/>
      <c r="AK74" s="1275"/>
      <c r="AL74" s="1275"/>
      <c r="AM74" s="1275"/>
      <c r="AN74" s="1277"/>
      <c r="AO74" s="415"/>
      <c r="AP74" s="410"/>
      <c r="AQ74" s="410"/>
      <c r="AR74" s="410"/>
    </row>
    <row r="75" spans="1:44" s="407" customFormat="1" ht="17.25">
      <c r="B75" s="1350"/>
      <c r="C75" s="1351"/>
      <c r="D75" s="1352"/>
      <c r="E75" s="1352"/>
      <c r="F75" s="1352"/>
      <c r="G75" s="1352"/>
      <c r="H75" s="1352"/>
      <c r="I75" s="1352"/>
      <c r="J75" s="1352"/>
      <c r="K75" s="1352"/>
      <c r="L75" s="1352"/>
      <c r="M75" s="1352"/>
      <c r="N75" s="1352"/>
      <c r="O75" s="1352"/>
      <c r="P75" s="1352"/>
      <c r="Q75" s="1352"/>
      <c r="R75" s="1352"/>
      <c r="S75" s="1352"/>
      <c r="T75" s="1352"/>
      <c r="U75" s="1352"/>
      <c r="V75" s="1353"/>
      <c r="W75" s="1352"/>
      <c r="X75" s="1352"/>
      <c r="Y75" s="1352"/>
      <c r="Z75" s="1352"/>
      <c r="AA75" s="1352"/>
      <c r="AB75" s="1352"/>
      <c r="AC75" s="1352"/>
      <c r="AD75" s="1352"/>
      <c r="AE75" s="1352"/>
      <c r="AF75" s="1352"/>
      <c r="AG75" s="1352"/>
      <c r="AH75" s="1352"/>
      <c r="AI75" s="1352"/>
      <c r="AJ75" s="1352"/>
      <c r="AK75" s="1352"/>
      <c r="AL75" s="1352"/>
      <c r="AM75" s="1352"/>
      <c r="AN75" s="1354"/>
      <c r="AO75" s="415"/>
      <c r="AP75" s="410"/>
      <c r="AQ75" s="410"/>
      <c r="AR75" s="410"/>
    </row>
    <row r="76" spans="1:44" s="407" customFormat="1" ht="17.25">
      <c r="B76" s="1350"/>
      <c r="C76" s="1351"/>
      <c r="D76" s="1352"/>
      <c r="E76" s="1352"/>
      <c r="F76" s="1352"/>
      <c r="G76" s="1352"/>
      <c r="H76" s="1352"/>
      <c r="I76" s="1352"/>
      <c r="J76" s="1352"/>
      <c r="K76" s="1352"/>
      <c r="L76" s="1352"/>
      <c r="M76" s="1352"/>
      <c r="N76" s="1352"/>
      <c r="O76" s="1352"/>
      <c r="P76" s="1352"/>
      <c r="Q76" s="1352"/>
      <c r="R76" s="1352"/>
      <c r="S76" s="1352"/>
      <c r="T76" s="1352"/>
      <c r="U76" s="1352"/>
      <c r="V76" s="1353"/>
      <c r="W76" s="1352"/>
      <c r="X76" s="1352"/>
      <c r="Y76" s="1352"/>
      <c r="Z76" s="1352"/>
      <c r="AA76" s="1352"/>
      <c r="AB76" s="1352"/>
      <c r="AC76" s="1352"/>
      <c r="AD76" s="1352"/>
      <c r="AE76" s="1352"/>
      <c r="AF76" s="1352"/>
      <c r="AG76" s="1352"/>
      <c r="AH76" s="1352"/>
      <c r="AI76" s="1352"/>
      <c r="AJ76" s="1352"/>
      <c r="AK76" s="1352"/>
      <c r="AL76" s="1352"/>
      <c r="AM76" s="1352"/>
      <c r="AN76" s="1354"/>
      <c r="AO76" s="415"/>
      <c r="AP76" s="410"/>
      <c r="AQ76" s="410"/>
      <c r="AR76" s="410"/>
    </row>
    <row r="77" spans="1:44" s="407" customFormat="1" ht="17.25">
      <c r="B77" s="1273"/>
      <c r="C77" s="1274"/>
      <c r="D77" s="1275"/>
      <c r="E77" s="1275"/>
      <c r="F77" s="1275"/>
      <c r="G77" s="1275"/>
      <c r="H77" s="1275"/>
      <c r="I77" s="1275"/>
      <c r="J77" s="1275"/>
      <c r="K77" s="1275"/>
      <c r="L77" s="1275"/>
      <c r="M77" s="1275"/>
      <c r="N77" s="1275"/>
      <c r="O77" s="1275"/>
      <c r="P77" s="1275"/>
      <c r="Q77" s="1275"/>
      <c r="R77" s="1275"/>
      <c r="S77" s="1275"/>
      <c r="T77" s="1275"/>
      <c r="U77" s="1275"/>
      <c r="V77" s="1276"/>
      <c r="W77" s="1275"/>
      <c r="X77" s="1275"/>
      <c r="Y77" s="1275"/>
      <c r="Z77" s="1275"/>
      <c r="AA77" s="1275"/>
      <c r="AB77" s="1275"/>
      <c r="AC77" s="1275"/>
      <c r="AD77" s="1275"/>
      <c r="AE77" s="1275"/>
      <c r="AF77" s="1275"/>
      <c r="AG77" s="1275"/>
      <c r="AH77" s="1275"/>
      <c r="AI77" s="1275"/>
      <c r="AJ77" s="1275"/>
      <c r="AK77" s="1275"/>
      <c r="AL77" s="1275"/>
      <c r="AM77" s="1275"/>
      <c r="AN77" s="1277"/>
      <c r="AO77" s="415"/>
      <c r="AP77" s="410"/>
      <c r="AQ77" s="410"/>
      <c r="AR77" s="410"/>
    </row>
    <row r="78" spans="1:44" s="407" customFormat="1" ht="17.25">
      <c r="B78" s="1273"/>
      <c r="C78" s="1274"/>
      <c r="D78" s="1275"/>
      <c r="E78" s="1275"/>
      <c r="F78" s="1275"/>
      <c r="G78" s="1275"/>
      <c r="H78" s="1275"/>
      <c r="I78" s="1275"/>
      <c r="J78" s="1275"/>
      <c r="K78" s="1275"/>
      <c r="L78" s="1275"/>
      <c r="M78" s="1275"/>
      <c r="N78" s="1275"/>
      <c r="O78" s="1275"/>
      <c r="P78" s="1275"/>
      <c r="Q78" s="1275"/>
      <c r="R78" s="1275"/>
      <c r="S78" s="1275"/>
      <c r="T78" s="1275"/>
      <c r="U78" s="1275"/>
      <c r="V78" s="1276">
        <v>0</v>
      </c>
      <c r="W78" s="1275"/>
      <c r="X78" s="1275"/>
      <c r="Y78" s="1275"/>
      <c r="Z78" s="1275"/>
      <c r="AA78" s="1275"/>
      <c r="AB78" s="1275"/>
      <c r="AC78" s="1275"/>
      <c r="AD78" s="1275"/>
      <c r="AE78" s="1275"/>
      <c r="AF78" s="1275"/>
      <c r="AG78" s="1275"/>
      <c r="AH78" s="1275"/>
      <c r="AI78" s="1275"/>
      <c r="AJ78" s="1275"/>
      <c r="AK78" s="1275"/>
      <c r="AL78" s="1275"/>
      <c r="AM78" s="1275"/>
      <c r="AN78" s="1277"/>
      <c r="AO78" s="419"/>
      <c r="AP78" s="419"/>
      <c r="AQ78" s="419"/>
      <c r="AR78" s="410"/>
    </row>
    <row r="79" spans="1:44" s="8" customFormat="1" ht="17.25">
      <c r="A79" s="7"/>
      <c r="B79" s="1273"/>
      <c r="C79" s="1274"/>
      <c r="D79" s="1275"/>
      <c r="E79" s="1275"/>
      <c r="F79" s="1275"/>
      <c r="G79" s="1275"/>
      <c r="H79" s="1275"/>
      <c r="I79" s="1275"/>
      <c r="J79" s="1275"/>
      <c r="K79" s="1275"/>
      <c r="L79" s="1275"/>
      <c r="M79" s="1275"/>
      <c r="N79" s="1275"/>
      <c r="O79" s="1275"/>
      <c r="P79" s="1275"/>
      <c r="Q79" s="1275"/>
      <c r="R79" s="1275"/>
      <c r="S79" s="1275"/>
      <c r="T79" s="1275"/>
      <c r="U79" s="1275"/>
      <c r="V79" s="1276"/>
      <c r="W79" s="1275"/>
      <c r="X79" s="1275"/>
      <c r="Y79" s="1275"/>
      <c r="Z79" s="1275"/>
      <c r="AA79" s="1275"/>
      <c r="AB79" s="1275"/>
      <c r="AC79" s="1275"/>
      <c r="AD79" s="1275"/>
      <c r="AE79" s="1275"/>
      <c r="AF79" s="1275"/>
      <c r="AG79" s="1275"/>
      <c r="AH79" s="1275"/>
      <c r="AI79" s="1275"/>
      <c r="AJ79" s="1275"/>
      <c r="AK79" s="1275"/>
      <c r="AL79" s="1275"/>
      <c r="AM79" s="1275"/>
      <c r="AN79" s="1277"/>
      <c r="AO79" s="180"/>
      <c r="AP79" s="180"/>
      <c r="AQ79" s="180"/>
      <c r="AR79" s="180"/>
    </row>
    <row r="80" spans="1:44" s="6" customFormat="1" ht="17.25">
      <c r="A80" s="429"/>
      <c r="B80" s="446"/>
      <c r="C80" s="447"/>
      <c r="D80" s="492"/>
      <c r="E80" s="492"/>
      <c r="F80" s="492"/>
      <c r="G80" s="492"/>
      <c r="H80" s="492"/>
      <c r="I80" s="492"/>
      <c r="J80" s="492"/>
      <c r="K80" s="492"/>
      <c r="L80" s="492"/>
      <c r="M80" s="492"/>
      <c r="N80" s="492"/>
      <c r="O80" s="492"/>
      <c r="P80" s="492"/>
      <c r="Q80" s="492"/>
      <c r="R80" s="492"/>
      <c r="S80" s="492"/>
      <c r="T80" s="492"/>
      <c r="U80" s="492"/>
      <c r="V80" s="492"/>
      <c r="W80" s="492"/>
      <c r="X80" s="492"/>
      <c r="Y80" s="493"/>
      <c r="Z80" s="492"/>
      <c r="AA80" s="493"/>
      <c r="AB80" s="493"/>
      <c r="AC80" s="493"/>
      <c r="AD80" s="493"/>
      <c r="AE80" s="493"/>
      <c r="AF80" s="493"/>
      <c r="AG80" s="493"/>
      <c r="AH80" s="493"/>
      <c r="AI80" s="493"/>
      <c r="AJ80" s="493"/>
      <c r="AK80" s="493"/>
      <c r="AL80" s="493"/>
      <c r="AM80" s="493"/>
      <c r="AN80" s="427"/>
      <c r="AO80" s="181"/>
      <c r="AP80" s="181"/>
      <c r="AQ80" s="181"/>
      <c r="AR80" s="181"/>
    </row>
    <row r="81" spans="1:44" s="6" customFormat="1" ht="17.25" hidden="1">
      <c r="A81" s="429"/>
      <c r="B81" s="446"/>
      <c r="C81" s="447"/>
      <c r="D81" s="492"/>
      <c r="E81" s="492"/>
      <c r="F81" s="492"/>
      <c r="G81" s="492"/>
      <c r="H81" s="492"/>
      <c r="I81" s="492"/>
      <c r="J81" s="492"/>
      <c r="K81" s="492"/>
      <c r="L81" s="492"/>
      <c r="M81" s="492"/>
      <c r="N81" s="492"/>
      <c r="O81" s="492"/>
      <c r="P81" s="492"/>
      <c r="Q81" s="492"/>
      <c r="R81" s="492"/>
      <c r="S81" s="492"/>
      <c r="T81" s="494"/>
      <c r="U81" s="492"/>
      <c r="V81" s="492"/>
      <c r="W81" s="492"/>
      <c r="X81" s="492"/>
      <c r="Y81" s="493"/>
      <c r="Z81" s="492"/>
      <c r="AA81" s="493"/>
      <c r="AB81" s="493"/>
      <c r="AC81" s="493"/>
      <c r="AD81" s="493"/>
      <c r="AE81" s="493"/>
      <c r="AF81" s="493"/>
      <c r="AG81" s="493"/>
      <c r="AH81" s="493"/>
      <c r="AI81" s="493"/>
      <c r="AJ81" s="493"/>
      <c r="AK81" s="493"/>
      <c r="AL81" s="493"/>
      <c r="AM81" s="493"/>
      <c r="AN81" s="427"/>
      <c r="AO81" s="181"/>
      <c r="AP81" s="181"/>
      <c r="AQ81" s="181"/>
      <c r="AR81" s="181"/>
    </row>
    <row r="82" spans="1:44" s="6" customFormat="1" ht="17.25" hidden="1">
      <c r="A82" s="429"/>
      <c r="B82" s="446"/>
      <c r="C82" s="447"/>
      <c r="D82" s="492"/>
      <c r="E82" s="492"/>
      <c r="F82" s="492"/>
      <c r="G82" s="492"/>
      <c r="H82" s="492"/>
      <c r="I82" s="492"/>
      <c r="J82" s="492"/>
      <c r="K82" s="492"/>
      <c r="L82" s="492"/>
      <c r="M82" s="492"/>
      <c r="N82" s="492"/>
      <c r="O82" s="492"/>
      <c r="P82" s="492"/>
      <c r="Q82" s="492"/>
      <c r="R82" s="492"/>
      <c r="S82" s="492"/>
      <c r="T82" s="494"/>
      <c r="U82" s="492"/>
      <c r="V82" s="492"/>
      <c r="W82" s="492"/>
      <c r="X82" s="492"/>
      <c r="Y82" s="493"/>
      <c r="Z82" s="492"/>
      <c r="AA82" s="493"/>
      <c r="AB82" s="493"/>
      <c r="AC82" s="493"/>
      <c r="AD82" s="493"/>
      <c r="AE82" s="493"/>
      <c r="AF82" s="493"/>
      <c r="AG82" s="493"/>
      <c r="AH82" s="493"/>
      <c r="AI82" s="493"/>
      <c r="AJ82" s="493"/>
      <c r="AK82" s="493"/>
      <c r="AL82" s="493"/>
      <c r="AM82" s="493"/>
      <c r="AN82" s="427"/>
      <c r="AO82" s="181"/>
      <c r="AP82" s="181"/>
      <c r="AQ82" s="181"/>
      <c r="AR82" s="181"/>
    </row>
    <row r="83" spans="1:44" s="6" customFormat="1" ht="17.25" hidden="1">
      <c r="A83" s="429"/>
      <c r="B83" s="446"/>
      <c r="C83" s="447"/>
      <c r="D83" s="492"/>
      <c r="E83" s="492"/>
      <c r="F83" s="492"/>
      <c r="G83" s="492"/>
      <c r="H83" s="492"/>
      <c r="I83" s="492"/>
      <c r="J83" s="492"/>
      <c r="K83" s="492"/>
      <c r="L83" s="492"/>
      <c r="M83" s="492"/>
      <c r="N83" s="492"/>
      <c r="O83" s="492"/>
      <c r="P83" s="492"/>
      <c r="Q83" s="492"/>
      <c r="R83" s="492"/>
      <c r="S83" s="492"/>
      <c r="T83" s="494"/>
      <c r="U83" s="492"/>
      <c r="V83" s="492"/>
      <c r="W83" s="492"/>
      <c r="X83" s="492"/>
      <c r="Y83" s="493"/>
      <c r="Z83" s="492"/>
      <c r="AA83" s="493"/>
      <c r="AB83" s="493"/>
      <c r="AC83" s="493"/>
      <c r="AD83" s="493"/>
      <c r="AE83" s="493"/>
      <c r="AF83" s="493"/>
      <c r="AG83" s="493"/>
      <c r="AH83" s="493"/>
      <c r="AI83" s="493"/>
      <c r="AJ83" s="493"/>
      <c r="AK83" s="493"/>
      <c r="AL83" s="493"/>
      <c r="AM83" s="493"/>
      <c r="AN83" s="427"/>
      <c r="AO83" s="181"/>
      <c r="AP83" s="181"/>
      <c r="AQ83" s="181"/>
      <c r="AR83" s="181"/>
    </row>
    <row r="84" spans="1:44" s="6" customFormat="1" ht="17.25" hidden="1">
      <c r="A84" s="429"/>
      <c r="B84" s="446"/>
      <c r="C84" s="447"/>
      <c r="D84" s="492"/>
      <c r="E84" s="492"/>
      <c r="F84" s="492"/>
      <c r="G84" s="492"/>
      <c r="H84" s="492"/>
      <c r="I84" s="492"/>
      <c r="J84" s="492"/>
      <c r="K84" s="492"/>
      <c r="L84" s="492"/>
      <c r="M84" s="492"/>
      <c r="N84" s="492"/>
      <c r="O84" s="492"/>
      <c r="P84" s="492"/>
      <c r="Q84" s="492"/>
      <c r="R84" s="492"/>
      <c r="S84" s="492"/>
      <c r="T84" s="494"/>
      <c r="U84" s="492"/>
      <c r="V84" s="492"/>
      <c r="W84" s="492"/>
      <c r="X84" s="492"/>
      <c r="Y84" s="493"/>
      <c r="Z84" s="492"/>
      <c r="AA84" s="493"/>
      <c r="AB84" s="493"/>
      <c r="AC84" s="493"/>
      <c r="AD84" s="493"/>
      <c r="AE84" s="493"/>
      <c r="AF84" s="493"/>
      <c r="AG84" s="493"/>
      <c r="AH84" s="493"/>
      <c r="AI84" s="493"/>
      <c r="AJ84" s="493"/>
      <c r="AK84" s="493"/>
      <c r="AL84" s="493"/>
      <c r="AM84" s="493"/>
      <c r="AN84" s="427"/>
      <c r="AO84" s="181"/>
      <c r="AP84" s="181"/>
      <c r="AQ84" s="181"/>
      <c r="AR84" s="181"/>
    </row>
    <row r="85" spans="1:44" s="6" customFormat="1" ht="17.25" hidden="1">
      <c r="A85" s="429"/>
      <c r="B85" s="446"/>
      <c r="C85" s="447"/>
      <c r="D85" s="492"/>
      <c r="E85" s="492"/>
      <c r="F85" s="492"/>
      <c r="G85" s="492"/>
      <c r="H85" s="492"/>
      <c r="I85" s="492"/>
      <c r="J85" s="492"/>
      <c r="K85" s="492"/>
      <c r="L85" s="492"/>
      <c r="M85" s="492">
        <f t="shared" ref="M85" si="7">L85+M84</f>
        <v>0</v>
      </c>
      <c r="N85" s="492"/>
      <c r="O85" s="492"/>
      <c r="P85" s="492"/>
      <c r="Q85" s="492"/>
      <c r="R85" s="492"/>
      <c r="S85" s="492"/>
      <c r="T85" s="494"/>
      <c r="U85" s="492"/>
      <c r="V85" s="492"/>
      <c r="W85" s="492"/>
      <c r="X85" s="492"/>
      <c r="Y85" s="493"/>
      <c r="Z85" s="492"/>
      <c r="AA85" s="493"/>
      <c r="AB85" s="493"/>
      <c r="AC85" s="493"/>
      <c r="AD85" s="493"/>
      <c r="AE85" s="493"/>
      <c r="AF85" s="493"/>
      <c r="AG85" s="493"/>
      <c r="AH85" s="493"/>
      <c r="AI85" s="493"/>
      <c r="AJ85" s="493"/>
      <c r="AK85" s="493"/>
      <c r="AL85" s="493"/>
      <c r="AM85" s="493"/>
      <c r="AN85" s="427"/>
      <c r="AO85" s="181"/>
      <c r="AP85" s="181"/>
      <c r="AQ85" s="181"/>
      <c r="AR85" s="181"/>
    </row>
    <row r="86" spans="1:44" s="6" customFormat="1" ht="17.25" hidden="1">
      <c r="A86" s="429"/>
      <c r="B86" s="446"/>
      <c r="C86" s="447"/>
      <c r="D86" s="492"/>
      <c r="E86" s="492"/>
      <c r="F86" s="492"/>
      <c r="G86" s="492"/>
      <c r="H86" s="492"/>
      <c r="I86" s="492"/>
      <c r="J86" s="492"/>
      <c r="K86" s="492"/>
      <c r="L86" s="492"/>
      <c r="M86" s="492"/>
      <c r="N86" s="492"/>
      <c r="O86" s="492"/>
      <c r="P86" s="492"/>
      <c r="Q86" s="492"/>
      <c r="R86" s="492"/>
      <c r="S86" s="492"/>
      <c r="T86" s="494"/>
      <c r="U86" s="492"/>
      <c r="V86" s="492"/>
      <c r="W86" s="492"/>
      <c r="X86" s="492"/>
      <c r="Y86" s="493"/>
      <c r="Z86" s="492"/>
      <c r="AA86" s="493"/>
      <c r="AB86" s="493"/>
      <c r="AC86" s="493"/>
      <c r="AD86" s="493"/>
      <c r="AE86" s="493"/>
      <c r="AF86" s="493"/>
      <c r="AG86" s="493"/>
      <c r="AH86" s="493"/>
      <c r="AI86" s="493"/>
      <c r="AJ86" s="493"/>
      <c r="AK86" s="493"/>
      <c r="AL86" s="493"/>
      <c r="AM86" s="493"/>
      <c r="AN86" s="427"/>
      <c r="AO86" s="181"/>
      <c r="AP86" s="181"/>
      <c r="AQ86" s="181"/>
      <c r="AR86" s="181"/>
    </row>
    <row r="87" spans="1:44" s="6" customFormat="1" ht="17.25">
      <c r="A87" s="429"/>
      <c r="C87" s="9"/>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71"/>
      <c r="AO87" s="181"/>
      <c r="AP87" s="181"/>
      <c r="AQ87" s="181"/>
      <c r="AR87" s="181"/>
    </row>
    <row r="88" spans="1:44" s="6" customFormat="1" ht="17.25">
      <c r="A88" s="429"/>
      <c r="C88" s="9"/>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71"/>
      <c r="AO88" s="181"/>
      <c r="AP88" s="181"/>
      <c r="AQ88" s="181"/>
      <c r="AR88" s="181"/>
    </row>
    <row r="89" spans="1:44" s="6" customFormat="1" ht="17.25">
      <c r="A89" s="429"/>
      <c r="C89" s="9"/>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71"/>
      <c r="AO89" s="181"/>
      <c r="AP89" s="181"/>
      <c r="AQ89" s="181"/>
      <c r="AR89" s="181"/>
    </row>
    <row r="90" spans="1:44" s="6" customFormat="1" ht="17.25">
      <c r="A90" s="429"/>
      <c r="C90" s="9"/>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71"/>
      <c r="AO90" s="181"/>
      <c r="AP90" s="181"/>
      <c r="AQ90" s="181"/>
      <c r="AR90" s="181"/>
    </row>
  </sheetData>
  <sheetProtection selectLockedCells="1" selectUnlockedCells="1"/>
  <mergeCells count="3">
    <mergeCell ref="B7:C8"/>
    <mergeCell ref="D7:D8"/>
    <mergeCell ref="B5:C5"/>
  </mergeCells>
  <phoneticPr fontId="77" type="noConversion"/>
  <conditionalFormatting sqref="D11:H11">
    <cfRule type="cellIs" dxfId="1281" priority="1305" stopIfTrue="1" operator="lessThanOrEqual">
      <formula>0</formula>
    </cfRule>
  </conditionalFormatting>
  <conditionalFormatting sqref="D19:J19 Q19:AA20 V21:AJ21 Q22:V29 D31:AA31 M31:V41 D43:AA43 P43:V53 O45:AJ45 R47:W47 S49:W49 Q50:W53">
    <cfRule type="cellIs" dxfId="1280" priority="9330" stopIfTrue="1" operator="lessThanOrEqual">
      <formula>0</formula>
    </cfRule>
  </conditionalFormatting>
  <conditionalFormatting sqref="D20:J21 Q20:U20">
    <cfRule type="cellIs" dxfId="1279" priority="1317" stopIfTrue="1" operator="lessThanOrEqual">
      <formula>0</formula>
    </cfRule>
  </conditionalFormatting>
  <conditionalFormatting sqref="D59:J64">
    <cfRule type="cellIs" dxfId="1278" priority="341" stopIfTrue="1" operator="lessThanOrEqual">
      <formula>0</formula>
    </cfRule>
  </conditionalFormatting>
  <conditionalFormatting sqref="D65:R66">
    <cfRule type="cellIs" dxfId="1277" priority="317" stopIfTrue="1" operator="lessThanOrEqual">
      <formula>0</formula>
    </cfRule>
  </conditionalFormatting>
  <conditionalFormatting sqref="D68:R68">
    <cfRule type="cellIs" dxfId="1276" priority="80" stopIfTrue="1" operator="lessThanOrEqual">
      <formula>0</formula>
    </cfRule>
  </conditionalFormatting>
  <conditionalFormatting sqref="D32:T33">
    <cfRule type="cellIs" dxfId="1275" priority="1136" stopIfTrue="1" operator="lessThanOrEqual">
      <formula>0</formula>
    </cfRule>
  </conditionalFormatting>
  <conditionalFormatting sqref="D44:W45">
    <cfRule type="cellIs" dxfId="1274" priority="1028" stopIfTrue="1" operator="lessThanOrEqual">
      <formula>0</formula>
    </cfRule>
  </conditionalFormatting>
  <conditionalFormatting sqref="D17:AA17">
    <cfRule type="cellIs" dxfId="1273" priority="13247" stopIfTrue="1" operator="lessThanOrEqual">
      <formula>0</formula>
    </cfRule>
  </conditionalFormatting>
  <conditionalFormatting sqref="D18:AC18">
    <cfRule type="cellIs" dxfId="1272" priority="9260" stopIfTrue="1" operator="lessThanOrEqual">
      <formula>0</formula>
    </cfRule>
  </conditionalFormatting>
  <conditionalFormatting sqref="D30:AC30">
    <cfRule type="cellIs" dxfId="1271" priority="1204" stopIfTrue="1" operator="lessThanOrEqual">
      <formula>0</formula>
    </cfRule>
  </conditionalFormatting>
  <conditionalFormatting sqref="D42:AC42">
    <cfRule type="cellIs" dxfId="1270" priority="1096" stopIfTrue="1" operator="lessThanOrEqual">
      <formula>0</formula>
    </cfRule>
  </conditionalFormatting>
  <conditionalFormatting sqref="D80:AN86">
    <cfRule type="cellIs" dxfId="1269" priority="980" stopIfTrue="1" operator="lessThanOrEqual">
      <formula>0</formula>
    </cfRule>
  </conditionalFormatting>
  <conditionalFormatting sqref="D67:AO67 P68:AO68 D69:AO70 R71:S71">
    <cfRule type="cellIs" dxfId="1268" priority="1956" stopIfTrue="1" operator="lessThanOrEqual">
      <formula>0</formula>
    </cfRule>
  </conditionalFormatting>
  <conditionalFormatting sqref="E65:R66">
    <cfRule type="cellIs" dxfId="1267" priority="316" operator="greaterThan">
      <formula>0</formula>
    </cfRule>
  </conditionalFormatting>
  <conditionalFormatting sqref="E68:R68">
    <cfRule type="cellIs" dxfId="1266" priority="79" operator="greaterThan">
      <formula>0</formula>
    </cfRule>
  </conditionalFormatting>
  <conditionalFormatting sqref="E13:X13">
    <cfRule type="cellIs" dxfId="1265" priority="563" operator="greaterThan">
      <formula>0</formula>
    </cfRule>
  </conditionalFormatting>
  <conditionalFormatting sqref="E10:AN12 P65:AN66 E67:AN67 P68:AN68 E69:AN79 T13:AN13">
    <cfRule type="cellIs" dxfId="1264" priority="1289" operator="greaterThan">
      <formula>0</formula>
    </cfRule>
  </conditionalFormatting>
  <conditionalFormatting sqref="E80:AN86">
    <cfRule type="cellIs" dxfId="1263" priority="977" operator="greaterThan">
      <formula>0</formula>
    </cfRule>
  </conditionalFormatting>
  <conditionalFormatting sqref="F10">
    <cfRule type="cellIs" dxfId="1262" priority="942" stopIfTrue="1" operator="lessThanOrEqual">
      <formula>0</formula>
    </cfRule>
    <cfRule type="cellIs" dxfId="1261" priority="943" stopIfTrue="1" operator="lessThanOrEqual">
      <formula>0</formula>
    </cfRule>
  </conditionalFormatting>
  <conditionalFormatting sqref="F12:G12">
    <cfRule type="cellIs" dxfId="1260" priority="1263" stopIfTrue="1" operator="lessThanOrEqual">
      <formula>0</formula>
    </cfRule>
    <cfRule type="cellIs" dxfId="1259" priority="1265" stopIfTrue="1" operator="lessThanOrEqual">
      <formula>0</formula>
    </cfRule>
    <cfRule type="cellIs" dxfId="1258" priority="1257" stopIfTrue="1" operator="lessThanOrEqual">
      <formula>0</formula>
    </cfRule>
    <cfRule type="cellIs" dxfId="1257" priority="1270" stopIfTrue="1" operator="lessThanOrEqual">
      <formula>0</formula>
    </cfRule>
    <cfRule type="cellIs" dxfId="1256" priority="1259" stopIfTrue="1" operator="lessThanOrEqual">
      <formula>0</formula>
    </cfRule>
    <cfRule type="cellIs" dxfId="1255" priority="1260" stopIfTrue="1" operator="lessThanOrEqual">
      <formula>0</formula>
    </cfRule>
    <cfRule type="cellIs" dxfId="1254" priority="1261" stopIfTrue="1" operator="lessThanOrEqual">
      <formula>0</formula>
    </cfRule>
    <cfRule type="cellIs" dxfId="1253" priority="1272" stopIfTrue="1" operator="lessThanOrEqual">
      <formula>0</formula>
    </cfRule>
    <cfRule type="cellIs" dxfId="1252" priority="1269" stopIfTrue="1" operator="lessThanOrEqual">
      <formula>0</formula>
    </cfRule>
    <cfRule type="cellIs" dxfId="1251" priority="1268" stopIfTrue="1" operator="lessThanOrEqual">
      <formula>0</formula>
    </cfRule>
    <cfRule type="cellIs" dxfId="1250" priority="1267" stopIfTrue="1" operator="lessThanOrEqual">
      <formula>0</formula>
    </cfRule>
    <cfRule type="cellIs" dxfId="1249" priority="1266" stopIfTrue="1" operator="lessThanOrEqual">
      <formula>0</formula>
    </cfRule>
    <cfRule type="cellIs" dxfId="1248" priority="1262" stopIfTrue="1" operator="lessThanOrEqual">
      <formula>0</formula>
    </cfRule>
    <cfRule type="cellIs" dxfId="1247" priority="1264" stopIfTrue="1" operator="lessThanOrEqual">
      <formula>0</formula>
    </cfRule>
    <cfRule type="cellIs" dxfId="1246" priority="1258" stopIfTrue="1" operator="lessThanOrEqual">
      <formula>0</formula>
    </cfRule>
  </conditionalFormatting>
  <conditionalFormatting sqref="F12:G13">
    <cfRule type="cellIs" dxfId="1245" priority="1271" stopIfTrue="1" operator="lessThanOrEqual">
      <formula>0</formula>
    </cfRule>
  </conditionalFormatting>
  <conditionalFormatting sqref="F19:G25 H19:J29 V21:AO21 Q22:AA29 E26:G29 H30:H53 J30:J53 I31:I41 K31:T41 G32:AA41 E38:J41 I43:I53 K43:W53 G44:AA53 H14:H18 J14:J18">
    <cfRule type="cellIs" dxfId="1244" priority="13200" stopIfTrue="1" operator="lessThanOrEqual">
      <formula>0</formula>
    </cfRule>
  </conditionalFormatting>
  <conditionalFormatting sqref="F10:H10">
    <cfRule type="cellIs" dxfId="1243" priority="1680" stopIfTrue="1" operator="lessThanOrEqual">
      <formula>0</formula>
    </cfRule>
    <cfRule type="cellIs" dxfId="1242" priority="1681" stopIfTrue="1" operator="lessThanOrEqual">
      <formula>0</formula>
    </cfRule>
  </conditionalFormatting>
  <conditionalFormatting sqref="F10:I10">
    <cfRule type="cellIs" dxfId="1241" priority="7213" stopIfTrue="1" operator="lessThanOrEqual">
      <formula>0</formula>
    </cfRule>
    <cfRule type="cellIs" dxfId="1240" priority="7214" stopIfTrue="1" operator="lessThanOrEqual">
      <formula>0</formula>
    </cfRule>
  </conditionalFormatting>
  <conditionalFormatting sqref="F32:I36 J32:V38 W34:AN35 G37:I38 W33:AJ33">
    <cfRule type="cellIs" dxfId="1239" priority="1216" stopIfTrue="1" operator="lessThanOrEqual">
      <formula>0</formula>
    </cfRule>
  </conditionalFormatting>
  <conditionalFormatting sqref="F44:I48 J44:W50 W46:AN47 Q50:W53 P51:V53 T45:AJ45 G49:I50">
    <cfRule type="cellIs" dxfId="1238" priority="1108" stopIfTrue="1" operator="lessThanOrEqual">
      <formula>0</formula>
    </cfRule>
  </conditionalFormatting>
  <conditionalFormatting sqref="F19:J19 Q19:V20 V21 Q22:V29 G31:V31 M31:V41 G43:W43 P43:V53 T45:W45 R47:W47 S49:W49 Q50:W53">
    <cfRule type="cellIs" dxfId="1237" priority="3010" stopIfTrue="1" operator="lessThanOrEqual">
      <formula>0</formula>
    </cfRule>
  </conditionalFormatting>
  <conditionalFormatting sqref="F19:J19 Q19:V20 V21 Q22:V29 L31:V31 M31:V41 L43:W43 P43:V53 T45:W45 R47:W47 S49:W49 Q50:W53">
    <cfRule type="cellIs" dxfId="1236" priority="7813" stopIfTrue="1" operator="lessThanOrEqual">
      <formula>0</formula>
    </cfRule>
  </conditionalFormatting>
  <conditionalFormatting sqref="F19:J19 Q19:W19 Q19:V20 V21 Q22:V29 G31:W31 M31:V41 G43:W43 P43:V53 T45:W45 R47:W47 S49:W49 Q50:W53">
    <cfRule type="cellIs" dxfId="1235" priority="4669" stopIfTrue="1" operator="lessThanOrEqual">
      <formula>0</formula>
    </cfRule>
    <cfRule type="cellIs" dxfId="1234" priority="2590" stopIfTrue="1" operator="lessThanOrEqual">
      <formula>0</formula>
    </cfRule>
    <cfRule type="cellIs" dxfId="1233" priority="2605" stopIfTrue="1" operator="lessThanOrEqual">
      <formula>0</formula>
    </cfRule>
  </conditionalFormatting>
  <conditionalFormatting sqref="F19:J19 Q19:X19 Q19:V20 V21 Q22:V29 G31:X31 M31:V41 G43:X43 P43:V53 T45:W45 R47:W47 S49:W49 Q50:W53">
    <cfRule type="cellIs" dxfId="1232" priority="3524" stopIfTrue="1" operator="lessThanOrEqual">
      <formula>0</formula>
    </cfRule>
    <cfRule type="cellIs" dxfId="1231" priority="4183" stopIfTrue="1" operator="lessThanOrEqual">
      <formula>0</formula>
    </cfRule>
    <cfRule type="cellIs" dxfId="1230" priority="4198" stopIfTrue="1" operator="lessThanOrEqual">
      <formula>0</formula>
    </cfRule>
    <cfRule type="cellIs" dxfId="1229" priority="4645" stopIfTrue="1" operator="lessThanOrEqual">
      <formula>0</formula>
    </cfRule>
  </conditionalFormatting>
  <conditionalFormatting sqref="F19:J19 Q19:Y19 Q19:V20 V21 Q22:V29 G31:Y31 M31:V41 G43:Y43 P43:V53 T45:W45 R47:W47 S49:W49 Q50:W53">
    <cfRule type="cellIs" dxfId="1228" priority="2203" stopIfTrue="1" operator="lessThanOrEqual">
      <formula>0</formula>
    </cfRule>
    <cfRule type="cellIs" dxfId="1227" priority="2218" stopIfTrue="1" operator="lessThanOrEqual">
      <formula>0</formula>
    </cfRule>
  </conditionalFormatting>
  <conditionalFormatting sqref="F19:J19 Q19:Z19 Q19:V20 V21 Q22:V29 G31:Z31 M31:V41 G43:Z43 P43:V53 T45:W45 R47:W47 S49:W49 Q50:W53">
    <cfRule type="cellIs" dxfId="1226" priority="3805" stopIfTrue="1" operator="lessThanOrEqual">
      <formula>0</formula>
    </cfRule>
    <cfRule type="cellIs" dxfId="1225" priority="3790" stopIfTrue="1" operator="lessThanOrEqual">
      <formula>0</formula>
    </cfRule>
  </conditionalFormatting>
  <conditionalFormatting sqref="F19:J19 Q19:AA19 Q19:V20 V21 Q22:V29 G31:AA31 M31:V41 G43:AA43 P43:V53 T45:W45 R47:W47 S49:W49 Q50:W53">
    <cfRule type="cellIs" dxfId="1224" priority="4326" stopIfTrue="1" operator="lessThanOrEqual">
      <formula>0</formula>
    </cfRule>
    <cfRule type="cellIs" dxfId="1223" priority="9203" stopIfTrue="1" operator="lessThanOrEqual">
      <formula>0</formula>
    </cfRule>
    <cfRule type="cellIs" dxfId="1222" priority="7749" stopIfTrue="1" operator="lessThanOrEqual">
      <formula>0</formula>
    </cfRule>
    <cfRule type="cellIs" dxfId="1221" priority="7615" stopIfTrue="1" operator="lessThanOrEqual">
      <formula>0</formula>
    </cfRule>
    <cfRule type="cellIs" dxfId="1220" priority="2332" stopIfTrue="1" operator="lessThanOrEqual">
      <formula>0</formula>
    </cfRule>
    <cfRule type="cellIs" dxfId="1219" priority="2731" stopIfTrue="1" operator="lessThanOrEqual">
      <formula>0</formula>
    </cfRule>
    <cfRule type="cellIs" dxfId="1218" priority="2992" stopIfTrue="1" operator="lessThanOrEqual">
      <formula>0</formula>
    </cfRule>
    <cfRule type="cellIs" dxfId="1217" priority="3035" stopIfTrue="1" operator="lessThanOrEqual">
      <formula>0</formula>
    </cfRule>
    <cfRule type="cellIs" dxfId="1216" priority="3140" stopIfTrue="1" operator="lessThanOrEqual">
      <formula>0</formula>
    </cfRule>
    <cfRule type="cellIs" dxfId="1215" priority="3921" stopIfTrue="1" operator="lessThanOrEqual">
      <formula>0</formula>
    </cfRule>
  </conditionalFormatting>
  <conditionalFormatting sqref="F19:J19 Q19:AA19 Q19:V20 V21 Q22:V29 H31:AA31 M31:V41 H43:AA43 P43:V53 T45:W45 R47:W47 S49:W49 Q50:W53">
    <cfRule type="cellIs" dxfId="1214" priority="7541" stopIfTrue="1" operator="lessThanOrEqual">
      <formula>0</formula>
    </cfRule>
    <cfRule type="cellIs" dxfId="1213" priority="7604" stopIfTrue="1" operator="lessThanOrEqual">
      <formula>0</formula>
    </cfRule>
  </conditionalFormatting>
  <conditionalFormatting sqref="F19:J19 Q19:AA19 Q19:V20 V21 Q22:V29 I31:AA31 M31:V41 I43:AA43 P43:V53 T45:W45 R47:W47 S49:W49 Q50:W53">
    <cfRule type="cellIs" dxfId="1212" priority="7614" stopIfTrue="1" operator="lessThanOrEqual">
      <formula>0</formula>
    </cfRule>
  </conditionalFormatting>
  <conditionalFormatting sqref="F19:J19 Q19:AA19 Q19:V20 V21:AA21 Q22:V29 G31:AA31 M31:V41 G43:AA43 P43:V53 T45:W45 M47:AA47 S49:W49 Q50:W53">
    <cfRule type="cellIs" dxfId="1211" priority="7814" stopIfTrue="1" operator="lessThanOrEqual">
      <formula>0</formula>
    </cfRule>
  </conditionalFormatting>
  <conditionalFormatting sqref="F19:J19 Q19:AA19 Q19:V20 V21:AJ21 Q22:V29 G31:AA31 M31:V41 G43:AA43 P43:V53 G45:AJ45 R47:W47 S49:W49 Q50:W53">
    <cfRule type="cellIs" dxfId="1210" priority="5873" stopIfTrue="1" operator="lessThanOrEqual">
      <formula>0</formula>
    </cfRule>
  </conditionalFormatting>
  <conditionalFormatting sqref="F19:J21">
    <cfRule type="cellIs" dxfId="1209" priority="895" stopIfTrue="1" operator="lessThanOrEqual">
      <formula>0</formula>
    </cfRule>
  </conditionalFormatting>
  <conditionalFormatting sqref="F19:J25">
    <cfRule type="cellIs" dxfId="1208" priority="912" stopIfTrue="1" operator="lessThanOrEqual">
      <formula>0</formula>
    </cfRule>
  </conditionalFormatting>
  <conditionalFormatting sqref="F19:J29 Q22:AO23 Q22:AA29 Q25:AO26 G31:AA41 O32:AN35 P37:AN37 O38:AN38 G43:AA53 O44:AN47 P49:AN49 O50:AN50 T55:Z58 L59:V62 M59:Z63 P54:Z54 X11:AA13 J10:P10 L11:AB11 P65:X65 AN28:AO29 AN40:AN41 AN52:AN53 D14:AB15 D22:D29 AO30:AO53 D34:D41">
    <cfRule type="cellIs" dxfId="1207" priority="13379" stopIfTrue="1" operator="lessThanOrEqual">
      <formula>0</formula>
    </cfRule>
  </conditionalFormatting>
  <conditionalFormatting sqref="F20:J20 Q20:U20">
    <cfRule type="cellIs" dxfId="1206" priority="916" stopIfTrue="1" operator="lessThanOrEqual">
      <formula>0</formula>
    </cfRule>
  </conditionalFormatting>
  <conditionalFormatting sqref="F20:J25 Q22:U25 Q19:U20">
    <cfRule type="cellIs" dxfId="1205" priority="887" stopIfTrue="1" operator="lessThanOrEqual">
      <formula>0</formula>
    </cfRule>
  </conditionalFormatting>
  <conditionalFormatting sqref="F20:J25 Q22:U25">
    <cfRule type="cellIs" dxfId="1204" priority="897" stopIfTrue="1" operator="lessThanOrEqual">
      <formula>0</formula>
    </cfRule>
  </conditionalFormatting>
  <conditionalFormatting sqref="F20:J29 Q22:AO22 Q23:Z29 G34:AN34 L34:U41 K35:Z41 G46:AN46 L46:W53 K47:Z53">
    <cfRule type="cellIs" dxfId="1203" priority="9282" stopIfTrue="1" operator="lessThanOrEqual">
      <formula>0</formula>
    </cfRule>
  </conditionalFormatting>
  <conditionalFormatting sqref="F20:J29 Q22:AO25 Q22:AA29 V26:AK26 Y27:AO27 G32:AA41 O34:AN37 V38:AK38 Y39:AN39 G44:AA53 O46:AN49 V50:AK50 Y51:AN51 Q19:AA20">
    <cfRule type="cellIs" dxfId="1202" priority="12216" stopIfTrue="1" operator="lessThanOrEqual">
      <formula>0</formula>
    </cfRule>
  </conditionalFormatting>
  <conditionalFormatting sqref="F21:J21">
    <cfRule type="cellIs" dxfId="1201" priority="896" stopIfTrue="1" operator="lessThanOrEqual">
      <formula>0</formula>
    </cfRule>
    <cfRule type="cellIs" dxfId="1200" priority="884" stopIfTrue="1" operator="lessThanOrEqual">
      <formula>0</formula>
    </cfRule>
    <cfRule type="cellIs" dxfId="1199" priority="899" stopIfTrue="1" operator="lessThanOrEqual">
      <formula>0</formula>
    </cfRule>
    <cfRule type="cellIs" dxfId="1198" priority="911" stopIfTrue="1" operator="lessThanOrEqual">
      <formula>0</formula>
    </cfRule>
    <cfRule type="cellIs" dxfId="1197" priority="894" stopIfTrue="1" operator="lessThanOrEqual">
      <formula>0</formula>
    </cfRule>
  </conditionalFormatting>
  <conditionalFormatting sqref="F21:J24 Q22:U25">
    <cfRule type="cellIs" dxfId="1196" priority="909" stopIfTrue="1" operator="lessThanOrEqual">
      <formula>0</formula>
    </cfRule>
  </conditionalFormatting>
  <conditionalFormatting sqref="F21:J29 E22:G25 Q22:AA25 Q25:Z29 E34:AA37 L34:U41 K37:Z41 E46:AA49 N46:W53 K49:Z53">
    <cfRule type="cellIs" dxfId="1195" priority="3443" stopIfTrue="1" operator="lessThanOrEqual">
      <formula>0</formula>
    </cfRule>
  </conditionalFormatting>
  <conditionalFormatting sqref="F21:J29 Q22:AR22 Q22:V29 Q23:AA29 I34:AN34 G34:V41 I35:AA41 I46:AN46 G46:W53 I47:AA53">
    <cfRule type="cellIs" dxfId="1194" priority="10957" stopIfTrue="1" operator="lessThanOrEqual">
      <formula>0</formula>
    </cfRule>
  </conditionalFormatting>
  <conditionalFormatting sqref="F21:J29 AA22:AA29 Q25:V29 X25:Y29 M33:AA35 O45:AA47 AA34:AA41 AA46:AA53">
    <cfRule type="cellIs" dxfId="1193" priority="7849" stopIfTrue="1" operator="lessThanOrEqual">
      <formula>0</formula>
    </cfRule>
  </conditionalFormatting>
  <conditionalFormatting sqref="F22:J22 Q22:U22">
    <cfRule type="cellIs" dxfId="1192" priority="886" stopIfTrue="1" operator="lessThanOrEqual">
      <formula>0</formula>
    </cfRule>
  </conditionalFormatting>
  <conditionalFormatting sqref="F22:J24 Q22:U24">
    <cfRule type="cellIs" dxfId="1191" priority="885" stopIfTrue="1" operator="lessThanOrEqual">
      <formula>0</formula>
    </cfRule>
  </conditionalFormatting>
  <conditionalFormatting sqref="F22:J29 Q24:AA24 Q24:V29 Q25:Z29 I36:AA36 L36:U41 K37:Z41 I48:AA48 L48:W53 K49:Z53">
    <cfRule type="cellIs" dxfId="1190" priority="7872" stopIfTrue="1" operator="lessThanOrEqual">
      <formula>0</formula>
    </cfRule>
  </conditionalFormatting>
  <conditionalFormatting sqref="F23:J25">
    <cfRule type="cellIs" dxfId="1189" priority="859" stopIfTrue="1" operator="lessThanOrEqual">
      <formula>0</formula>
    </cfRule>
  </conditionalFormatting>
  <conditionalFormatting sqref="F23:J29 Q24:V29 K36:V41 K48:W53 G49:W49">
    <cfRule type="cellIs" dxfId="1188" priority="1344" stopIfTrue="1" operator="lessThanOrEqual">
      <formula>0</formula>
    </cfRule>
  </conditionalFormatting>
  <conditionalFormatting sqref="F23:J29 Q23:Z29 K35:Z41 K47:Z53">
    <cfRule type="cellIs" dxfId="1187" priority="1981" stopIfTrue="1" operator="lessThanOrEqual">
      <formula>0</formula>
    </cfRule>
  </conditionalFormatting>
  <conditionalFormatting sqref="F24:J24 Q24:U24">
    <cfRule type="cellIs" dxfId="1186" priority="881" stopIfTrue="1" operator="lessThanOrEqual">
      <formula>0</formula>
    </cfRule>
    <cfRule type="cellIs" dxfId="1185" priority="880" stopIfTrue="1" operator="lessThanOrEqual">
      <formula>0</formula>
    </cfRule>
    <cfRule type="cellIs" dxfId="1184" priority="879" stopIfTrue="1" operator="lessThanOrEqual">
      <formula>0</formula>
    </cfRule>
    <cfRule type="cellIs" dxfId="1183" priority="882" stopIfTrue="1" operator="lessThanOrEqual">
      <formula>0</formula>
    </cfRule>
  </conditionalFormatting>
  <conditionalFormatting sqref="F25:J25 Q25:U25">
    <cfRule type="cellIs" dxfId="1182" priority="898" stopIfTrue="1" operator="lessThanOrEqual">
      <formula>0</formula>
    </cfRule>
    <cfRule type="cellIs" dxfId="1181" priority="893" stopIfTrue="1" operator="lessThanOrEqual">
      <formula>0</formula>
    </cfRule>
  </conditionalFormatting>
  <conditionalFormatting sqref="F25:J29 Q25:V29 J37:V37 L37:U41 K38:V41 J49:W49 L49:W53 K50:W53">
    <cfRule type="cellIs" dxfId="1180" priority="1343" stopIfTrue="1" operator="lessThanOrEqual">
      <formula>0</formula>
    </cfRule>
  </conditionalFormatting>
  <conditionalFormatting sqref="F26:J29 Q26:AA29 G38:AA41 G50:AA53">
    <cfRule type="cellIs" dxfId="1179" priority="7684" stopIfTrue="1" operator="lessThanOrEqual">
      <formula>0</formula>
    </cfRule>
    <cfRule type="cellIs" dxfId="1178" priority="7682" stopIfTrue="1" operator="lessThanOrEqual">
      <formula>0</formula>
    </cfRule>
    <cfRule type="cellIs" dxfId="1177" priority="7658" stopIfTrue="1" operator="lessThanOrEqual">
      <formula>0</formula>
    </cfRule>
    <cfRule type="cellIs" dxfId="1176" priority="7671" stopIfTrue="1" operator="lessThanOrEqual">
      <formula>0</formula>
    </cfRule>
    <cfRule type="cellIs" dxfId="1175" priority="7672" stopIfTrue="1" operator="lessThanOrEqual">
      <formula>0</formula>
    </cfRule>
    <cfRule type="cellIs" dxfId="1174" priority="7673" stopIfTrue="1" operator="lessThanOrEqual">
      <formula>0</formula>
    </cfRule>
  </conditionalFormatting>
  <conditionalFormatting sqref="F27:J27 Q27:U27">
    <cfRule type="cellIs" dxfId="1173" priority="907" stopIfTrue="1" operator="lessThanOrEqual">
      <formula>0</formula>
    </cfRule>
    <cfRule type="cellIs" dxfId="1172" priority="906" stopIfTrue="1" operator="lessThanOrEqual">
      <formula>0</formula>
    </cfRule>
    <cfRule type="cellIs" dxfId="1171" priority="905" stopIfTrue="1" operator="lessThanOrEqual">
      <formula>0</formula>
    </cfRule>
    <cfRule type="cellIs" dxfId="1170" priority="904" stopIfTrue="1" operator="lessThanOrEqual">
      <formula>0</formula>
    </cfRule>
    <cfRule type="cellIs" dxfId="1169" priority="902" stopIfTrue="1" operator="lessThanOrEqual">
      <formula>0</formula>
    </cfRule>
    <cfRule type="cellIs" dxfId="1168" priority="903" stopIfTrue="1" operator="lessThanOrEqual">
      <formula>0</formula>
    </cfRule>
    <cfRule type="cellIs" dxfId="1167" priority="913" stopIfTrue="1" operator="lessThanOrEqual">
      <formula>0</formula>
    </cfRule>
    <cfRule type="cellIs" dxfId="1166" priority="908" stopIfTrue="1" operator="lessThanOrEqual">
      <formula>0</formula>
    </cfRule>
  </conditionalFormatting>
  <conditionalFormatting sqref="F27:J29 Q27:AA29 G39:AA41 G51:AA53">
    <cfRule type="cellIs" dxfId="1165" priority="7657" stopIfTrue="1" operator="lessThanOrEqual">
      <formula>0</formula>
    </cfRule>
  </conditionalFormatting>
  <conditionalFormatting sqref="F28:J29 Q28:AA29 G40:AA41 G52:AA53">
    <cfRule type="cellIs" dxfId="1164" priority="7632" stopIfTrue="1" operator="lessThanOrEqual">
      <formula>0</formula>
    </cfRule>
  </conditionalFormatting>
  <conditionalFormatting sqref="F19:O20 F21:U21">
    <cfRule type="cellIs" dxfId="1163" priority="378" stopIfTrue="1" operator="lessThanOrEqual">
      <formula>0</formula>
    </cfRule>
  </conditionalFormatting>
  <conditionalFormatting sqref="F19:S19">
    <cfRule type="cellIs" dxfId="1162" priority="394" stopIfTrue="1" operator="lessThanOrEqual">
      <formula>0</formula>
    </cfRule>
  </conditionalFormatting>
  <conditionalFormatting sqref="F27:S27">
    <cfRule type="cellIs" dxfId="1161" priority="478" stopIfTrue="1" operator="lessThanOrEqual">
      <formula>0</formula>
    </cfRule>
  </conditionalFormatting>
  <conditionalFormatting sqref="F19:U21">
    <cfRule type="cellIs" dxfId="1160" priority="546" stopIfTrue="1" operator="lessThanOrEqual">
      <formula>0</formula>
    </cfRule>
  </conditionalFormatting>
  <conditionalFormatting sqref="F21:U21">
    <cfRule type="cellIs" dxfId="1159" priority="545" stopIfTrue="1" operator="lessThanOrEqual">
      <formula>0</formula>
    </cfRule>
  </conditionalFormatting>
  <conditionalFormatting sqref="F13:X13">
    <cfRule type="cellIs" dxfId="1158" priority="583" stopIfTrue="1" operator="lessThanOrEqual">
      <formula>0</formula>
    </cfRule>
    <cfRule type="cellIs" dxfId="1157" priority="584" stopIfTrue="1" operator="lessThanOrEqual">
      <formula>0</formula>
    </cfRule>
  </conditionalFormatting>
  <conditionalFormatting sqref="G11:H11">
    <cfRule type="cellIs" dxfId="1156" priority="1302" stopIfTrue="1" operator="lessThanOrEqual">
      <formula>0</formula>
    </cfRule>
    <cfRule type="cellIs" dxfId="1155" priority="1299" stopIfTrue="1" operator="lessThanOrEqual">
      <formula>0</formula>
    </cfRule>
    <cfRule type="cellIs" dxfId="1154" priority="1294" stopIfTrue="1" operator="lessThanOrEqual">
      <formula>0</formula>
    </cfRule>
    <cfRule type="cellIs" dxfId="1153" priority="1290" stopIfTrue="1" operator="lessThanOrEqual">
      <formula>0</formula>
    </cfRule>
    <cfRule type="cellIs" dxfId="1152" priority="1292" stopIfTrue="1" operator="lessThanOrEqual">
      <formula>0</formula>
    </cfRule>
    <cfRule type="cellIs" dxfId="1151" priority="1293" stopIfTrue="1" operator="lessThanOrEqual">
      <formula>0</formula>
    </cfRule>
    <cfRule type="cellIs" dxfId="1150" priority="1295" stopIfTrue="1" operator="lessThanOrEqual">
      <formula>0</formula>
    </cfRule>
    <cfRule type="cellIs" dxfId="1149" priority="1296" stopIfTrue="1" operator="lessThanOrEqual">
      <formula>0</formula>
    </cfRule>
    <cfRule type="cellIs" dxfId="1148" priority="1297" stopIfTrue="1" operator="lessThanOrEqual">
      <formula>0</formula>
    </cfRule>
    <cfRule type="cellIs" dxfId="1147" priority="1300" stopIfTrue="1" operator="lessThanOrEqual">
      <formula>0</formula>
    </cfRule>
    <cfRule type="cellIs" dxfId="1146" priority="1301" stopIfTrue="1" operator="lessThanOrEqual">
      <formula>0</formula>
    </cfRule>
    <cfRule type="cellIs" dxfId="1145" priority="1291" stopIfTrue="1" operator="lessThanOrEqual">
      <formula>0</formula>
    </cfRule>
    <cfRule type="cellIs" dxfId="1144" priority="1298" stopIfTrue="1" operator="lessThanOrEqual">
      <formula>0</formula>
    </cfRule>
    <cfRule type="cellIs" dxfId="1143" priority="1303" stopIfTrue="1" operator="lessThanOrEqual">
      <formula>0</formula>
    </cfRule>
    <cfRule type="cellIs" dxfId="1142" priority="1304" stopIfTrue="1" operator="lessThanOrEqual">
      <formula>0</formula>
    </cfRule>
  </conditionalFormatting>
  <conditionalFormatting sqref="G19:J19 Q19:U19 Q20:R20">
    <cfRule type="cellIs" dxfId="1141" priority="1319" stopIfTrue="1" operator="lessThanOrEqual">
      <formula>0</formula>
    </cfRule>
  </conditionalFormatting>
  <conditionalFormatting sqref="G19:J19 Q19:V19 R20">
    <cfRule type="cellIs" dxfId="1140" priority="1340" stopIfTrue="1" operator="lessThanOrEqual">
      <formula>0</formula>
    </cfRule>
  </conditionalFormatting>
  <conditionalFormatting sqref="G19:J21">
    <cfRule type="cellIs" dxfId="1139" priority="1314" stopIfTrue="1" operator="lessThanOrEqual">
      <formula>0</formula>
    </cfRule>
  </conditionalFormatting>
  <conditionalFormatting sqref="G19:J24 Q24:AN24">
    <cfRule type="cellIs" dxfId="1138" priority="9332" stopIfTrue="1" operator="lessThanOrEqual">
      <formula>0</formula>
    </cfRule>
  </conditionalFormatting>
  <conditionalFormatting sqref="G20:J26 Q22:AR22 Q23:AO23 V26:V29 Q27:U29">
    <cfRule type="cellIs" dxfId="1137" priority="13201" stopIfTrue="1" operator="lessThanOrEqual">
      <formula>0</formula>
    </cfRule>
  </conditionalFormatting>
  <conditionalFormatting sqref="G21:J21 F51:F54 G54:J54">
    <cfRule type="cellIs" dxfId="1136" priority="1315" stopIfTrue="1" operator="lessThanOrEqual">
      <formula>0</formula>
    </cfRule>
  </conditionalFormatting>
  <conditionalFormatting sqref="G21:J21 V21">
    <cfRule type="cellIs" dxfId="1135" priority="1361" stopIfTrue="1" operator="lessThanOrEqual">
      <formula>0</formula>
    </cfRule>
  </conditionalFormatting>
  <conditionalFormatting sqref="G22:J24 Q22:U24">
    <cfRule type="cellIs" dxfId="1134" priority="1363" stopIfTrue="1" operator="lessThanOrEqual">
      <formula>0</formula>
    </cfRule>
  </conditionalFormatting>
  <conditionalFormatting sqref="G23:J25">
    <cfRule type="cellIs" dxfId="1133" priority="1313" stopIfTrue="1" operator="lessThanOrEqual">
      <formula>0</formula>
    </cfRule>
  </conditionalFormatting>
  <conditionalFormatting sqref="G24:J24 Q24:W24">
    <cfRule type="cellIs" dxfId="1132" priority="12180" stopIfTrue="1" operator="lessThanOrEqual">
      <formula>0</formula>
    </cfRule>
  </conditionalFormatting>
  <conditionalFormatting sqref="G27:J27 Q27:AA27">
    <cfRule type="cellIs" dxfId="1131" priority="7323" stopIfTrue="1" operator="lessThanOrEqual">
      <formula>0</formula>
    </cfRule>
    <cfRule type="cellIs" dxfId="1130" priority="7312" stopIfTrue="1" operator="lessThanOrEqual">
      <formula>0</formula>
    </cfRule>
    <cfRule type="cellIs" dxfId="1129" priority="7314" stopIfTrue="1" operator="lessThanOrEqual">
      <formula>0</formula>
    </cfRule>
    <cfRule type="cellIs" dxfId="1128" priority="7327" stopIfTrue="1" operator="lessThanOrEqual">
      <formula>0</formula>
    </cfRule>
    <cfRule type="cellIs" dxfId="1127" priority="7313" stopIfTrue="1" operator="lessThanOrEqual">
      <formula>0</formula>
    </cfRule>
    <cfRule type="cellIs" dxfId="1126" priority="7328" stopIfTrue="1" operator="lessThanOrEqual">
      <formula>0</formula>
    </cfRule>
    <cfRule type="cellIs" dxfId="1125" priority="7325" stopIfTrue="1" operator="lessThanOrEqual">
      <formula>0</formula>
    </cfRule>
  </conditionalFormatting>
  <conditionalFormatting sqref="G47:L49">
    <cfRule type="cellIs" dxfId="1124" priority="1024" stopIfTrue="1" operator="lessThanOrEqual">
      <formula>0</formula>
    </cfRule>
  </conditionalFormatting>
  <conditionalFormatting sqref="G19:S19">
    <cfRule type="cellIs" dxfId="1123" priority="383" stopIfTrue="1" operator="lessThanOrEqual">
      <formula>0</formula>
    </cfRule>
  </conditionalFormatting>
  <conditionalFormatting sqref="G31:S31">
    <cfRule type="cellIs" dxfId="1122" priority="1137" stopIfTrue="1" operator="lessThanOrEqual">
      <formula>0</formula>
    </cfRule>
  </conditionalFormatting>
  <conditionalFormatting sqref="G31:S33">
    <cfRule type="cellIs" dxfId="1121" priority="1121" stopIfTrue="1" operator="lessThanOrEqual">
      <formula>0</formula>
    </cfRule>
  </conditionalFormatting>
  <conditionalFormatting sqref="G31:T31">
    <cfRule type="cellIs" dxfId="1120" priority="1138" stopIfTrue="1" operator="lessThanOrEqual">
      <formula>0</formula>
    </cfRule>
  </conditionalFormatting>
  <conditionalFormatting sqref="G33:T33">
    <cfRule type="cellIs" dxfId="1119" priority="1134" stopIfTrue="1" operator="lessThanOrEqual">
      <formula>0</formula>
    </cfRule>
  </conditionalFormatting>
  <conditionalFormatting sqref="G34:T36">
    <cfRule type="cellIs" dxfId="1118" priority="1147" stopIfTrue="1" operator="lessThanOrEqual">
      <formula>0</formula>
    </cfRule>
  </conditionalFormatting>
  <conditionalFormatting sqref="G36:T37">
    <cfRule type="cellIs" dxfId="1117" priority="1135" stopIfTrue="1" operator="lessThanOrEqual">
      <formula>0</formula>
    </cfRule>
  </conditionalFormatting>
  <conditionalFormatting sqref="G24:U24">
    <cfRule type="cellIs" dxfId="1116" priority="391" stopIfTrue="1" operator="lessThanOrEqual">
      <formula>0</formula>
    </cfRule>
  </conditionalFormatting>
  <conditionalFormatting sqref="G31:V31 M31:V41 G43:W43 P43:V53 T45:W45 R47:W47 S49:W49 Q50:W53 Q19:V20 V21 Q22:V29 F19:J19">
    <cfRule type="cellIs" dxfId="1115" priority="1325" stopIfTrue="1" operator="lessThanOrEqual">
      <formula>0</formula>
    </cfRule>
  </conditionalFormatting>
  <conditionalFormatting sqref="G31:V31">
    <cfRule type="cellIs" dxfId="1114" priority="1145" stopIfTrue="1" operator="lessThanOrEqual">
      <formula>0</formula>
    </cfRule>
  </conditionalFormatting>
  <conditionalFormatting sqref="G31:V33 G43:W45">
    <cfRule type="cellIs" dxfId="1113" priority="1339" stopIfTrue="1" operator="lessThanOrEqual">
      <formula>0</formula>
    </cfRule>
  </conditionalFormatting>
  <conditionalFormatting sqref="G33:V33">
    <cfRule type="cellIs" dxfId="1112" priority="1146" stopIfTrue="1" operator="lessThanOrEqual">
      <formula>0</formula>
    </cfRule>
  </conditionalFormatting>
  <conditionalFormatting sqref="G33:W33">
    <cfRule type="cellIs" dxfId="1111" priority="1181" stopIfTrue="1" operator="lessThanOrEqual">
      <formula>0</formula>
    </cfRule>
  </conditionalFormatting>
  <conditionalFormatting sqref="G43:W43">
    <cfRule type="cellIs" dxfId="1110" priority="1030" stopIfTrue="1" operator="lessThanOrEqual">
      <formula>0</formula>
    </cfRule>
    <cfRule type="cellIs" dxfId="1109" priority="1037" stopIfTrue="1" operator="lessThanOrEqual">
      <formula>0</formula>
    </cfRule>
    <cfRule type="cellIs" dxfId="1108" priority="1029" stopIfTrue="1" operator="lessThanOrEqual">
      <formula>0</formula>
    </cfRule>
  </conditionalFormatting>
  <conditionalFormatting sqref="G43:W45">
    <cfRule type="cellIs" dxfId="1107" priority="985" stopIfTrue="1" operator="lessThanOrEqual">
      <formula>0</formula>
    </cfRule>
  </conditionalFormatting>
  <conditionalFormatting sqref="G45:W45">
    <cfRule type="cellIs" dxfId="1106" priority="1038" stopIfTrue="1" operator="lessThanOrEqual">
      <formula>0</formula>
    </cfRule>
    <cfRule type="cellIs" dxfId="1105" priority="1073" stopIfTrue="1" operator="lessThanOrEqual">
      <formula>0</formula>
    </cfRule>
    <cfRule type="cellIs" dxfId="1104" priority="1026" stopIfTrue="1" operator="lessThanOrEqual">
      <formula>0</formula>
    </cfRule>
  </conditionalFormatting>
  <conditionalFormatting sqref="G46:W48">
    <cfRule type="cellIs" dxfId="1103" priority="1039" stopIfTrue="1" operator="lessThanOrEqual">
      <formula>0</formula>
    </cfRule>
  </conditionalFormatting>
  <conditionalFormatting sqref="G48:W49">
    <cfRule type="cellIs" dxfId="1102" priority="1027" stopIfTrue="1" operator="lessThanOrEqual">
      <formula>0</formula>
    </cfRule>
  </conditionalFormatting>
  <conditionalFormatting sqref="G33:X33">
    <cfRule type="cellIs" dxfId="1101" priority="1169" stopIfTrue="1" operator="lessThanOrEqual">
      <formula>0</formula>
    </cfRule>
  </conditionalFormatting>
  <conditionalFormatting sqref="G45:X45">
    <cfRule type="cellIs" dxfId="1100" priority="1061" stopIfTrue="1" operator="lessThanOrEqual">
      <formula>0</formula>
    </cfRule>
  </conditionalFormatting>
  <conditionalFormatting sqref="G33:Y33">
    <cfRule type="cellIs" dxfId="1099" priority="1176" stopIfTrue="1" operator="lessThanOrEqual">
      <formula>0</formula>
    </cfRule>
  </conditionalFormatting>
  <conditionalFormatting sqref="G45:Y45">
    <cfRule type="cellIs" dxfId="1098" priority="1068" stopIfTrue="1" operator="lessThanOrEqual">
      <formula>0</formula>
    </cfRule>
  </conditionalFormatting>
  <conditionalFormatting sqref="G33:Z36">
    <cfRule type="cellIs" dxfId="1097" priority="1198" stopIfTrue="1" operator="lessThanOrEqual">
      <formula>0</formula>
    </cfRule>
  </conditionalFormatting>
  <conditionalFormatting sqref="G45:Z48">
    <cfRule type="cellIs" dxfId="1096" priority="1090" stopIfTrue="1" operator="lessThanOrEqual">
      <formula>0</formula>
    </cfRule>
  </conditionalFormatting>
  <conditionalFormatting sqref="G55:Z63 K54:P54 Y54:AE64 AF55:AO63">
    <cfRule type="cellIs" dxfId="1095" priority="13066" stopIfTrue="1" operator="lessThanOrEqual">
      <formula>0</formula>
    </cfRule>
  </conditionalFormatting>
  <conditionalFormatting sqref="G31:AA36">
    <cfRule type="cellIs" dxfId="1094" priority="1209" stopIfTrue="1" operator="lessThanOrEqual">
      <formula>0</formula>
    </cfRule>
  </conditionalFormatting>
  <conditionalFormatting sqref="G34:AA36">
    <cfRule type="cellIs" dxfId="1093" priority="1166" stopIfTrue="1" operator="lessThanOrEqual">
      <formula>0</formula>
    </cfRule>
  </conditionalFormatting>
  <conditionalFormatting sqref="G37:AA37">
    <cfRule type="cellIs" dxfId="1092" priority="1168" stopIfTrue="1" operator="lessThanOrEqual">
      <formula>0</formula>
    </cfRule>
    <cfRule type="cellIs" dxfId="1091" priority="1178" stopIfTrue="1" operator="lessThanOrEqual">
      <formula>0</formula>
    </cfRule>
    <cfRule type="cellIs" dxfId="1090" priority="1185" stopIfTrue="1" operator="lessThanOrEqual">
      <formula>0</formula>
    </cfRule>
  </conditionalFormatting>
  <conditionalFormatting sqref="G39:AA39">
    <cfRule type="cellIs" dxfId="1089" priority="1205" stopIfTrue="1" operator="lessThanOrEqual">
      <formula>0</formula>
    </cfRule>
    <cfRule type="cellIs" dxfId="1088" priority="1190" stopIfTrue="1" operator="lessThanOrEqual">
      <formula>0</formula>
    </cfRule>
    <cfRule type="cellIs" dxfId="1087" priority="1191" stopIfTrue="1" operator="lessThanOrEqual">
      <formula>0</formula>
    </cfRule>
    <cfRule type="cellIs" dxfId="1086" priority="1187" stopIfTrue="1" operator="lessThanOrEqual">
      <formula>0</formula>
    </cfRule>
    <cfRule type="cellIs" dxfId="1085" priority="1188" stopIfTrue="1" operator="lessThanOrEqual">
      <formula>0</formula>
    </cfRule>
    <cfRule type="cellIs" dxfId="1084" priority="1189" stopIfTrue="1" operator="lessThanOrEqual">
      <formula>0</formula>
    </cfRule>
    <cfRule type="cellIs" dxfId="1083" priority="1192" stopIfTrue="1" operator="lessThanOrEqual">
      <formula>0</formula>
    </cfRule>
    <cfRule type="cellIs" dxfId="1082" priority="1193" stopIfTrue="1" operator="lessThanOrEqual">
      <formula>0</formula>
    </cfRule>
    <cfRule type="cellIs" dxfId="1081" priority="1194" stopIfTrue="1" operator="lessThanOrEqual">
      <formula>0</formula>
    </cfRule>
  </conditionalFormatting>
  <conditionalFormatting sqref="G43:AA48">
    <cfRule type="cellIs" dxfId="1080" priority="1101" stopIfTrue="1" operator="lessThanOrEqual">
      <formula>0</formula>
    </cfRule>
  </conditionalFormatting>
  <conditionalFormatting sqref="G46:AA48">
    <cfRule type="cellIs" dxfId="1079" priority="1058" stopIfTrue="1" operator="lessThanOrEqual">
      <formula>0</formula>
    </cfRule>
  </conditionalFormatting>
  <conditionalFormatting sqref="G46:AA53 Q22:AA29 G34:AA41 F22:J29 E22:F26 E34:F38 T55:V58 L59:V62 E46:F50">
    <cfRule type="cellIs" dxfId="1078" priority="13349" stopIfTrue="1" operator="lessThanOrEqual">
      <formula>0</formula>
    </cfRule>
  </conditionalFormatting>
  <conditionalFormatting sqref="G49:AA49">
    <cfRule type="cellIs" dxfId="1077" priority="1060" stopIfTrue="1" operator="lessThanOrEqual">
      <formula>0</formula>
    </cfRule>
    <cfRule type="cellIs" dxfId="1076" priority="1070" stopIfTrue="1" operator="lessThanOrEqual">
      <formula>0</formula>
    </cfRule>
    <cfRule type="cellIs" dxfId="1075" priority="1077" stopIfTrue="1" operator="lessThanOrEqual">
      <formula>0</formula>
    </cfRule>
  </conditionalFormatting>
  <conditionalFormatting sqref="G51:AA51">
    <cfRule type="cellIs" dxfId="1074" priority="1080" stopIfTrue="1" operator="lessThanOrEqual">
      <formula>0</formula>
    </cfRule>
    <cfRule type="cellIs" dxfId="1073" priority="1081" stopIfTrue="1" operator="lessThanOrEqual">
      <formula>0</formula>
    </cfRule>
    <cfRule type="cellIs" dxfId="1072" priority="1084" stopIfTrue="1" operator="lessThanOrEqual">
      <formula>0</formula>
    </cfRule>
    <cfRule type="cellIs" dxfId="1071" priority="1085" stopIfTrue="1" operator="lessThanOrEqual">
      <formula>0</formula>
    </cfRule>
    <cfRule type="cellIs" dxfId="1070" priority="1086" stopIfTrue="1" operator="lessThanOrEqual">
      <formula>0</formula>
    </cfRule>
    <cfRule type="cellIs" dxfId="1069" priority="1083" stopIfTrue="1" operator="lessThanOrEqual">
      <formula>0</formula>
    </cfRule>
    <cfRule type="cellIs" dxfId="1068" priority="1097" stopIfTrue="1" operator="lessThanOrEqual">
      <formula>0</formula>
    </cfRule>
    <cfRule type="cellIs" dxfId="1067" priority="1082" stopIfTrue="1" operator="lessThanOrEqual">
      <formula>0</formula>
    </cfRule>
    <cfRule type="cellIs" dxfId="1066" priority="1079" stopIfTrue="1" operator="lessThanOrEqual">
      <formula>0</formula>
    </cfRule>
  </conditionalFormatting>
  <conditionalFormatting sqref="G32:AC32">
    <cfRule type="cellIs" dxfId="1065" priority="1211" stopIfTrue="1" operator="lessThanOrEqual">
      <formula>0</formula>
    </cfRule>
  </conditionalFormatting>
  <conditionalFormatting sqref="G44:AC44">
    <cfRule type="cellIs" dxfId="1064" priority="1103" stopIfTrue="1" operator="lessThanOrEqual">
      <formula>0</formula>
    </cfRule>
  </conditionalFormatting>
  <conditionalFormatting sqref="G36:AN36">
    <cfRule type="cellIs" dxfId="1063" priority="1197" stopIfTrue="1" operator="lessThanOrEqual">
      <formula>0</formula>
    </cfRule>
  </conditionalFormatting>
  <conditionalFormatting sqref="G48:AN48">
    <cfRule type="cellIs" dxfId="1062" priority="1089" stopIfTrue="1" operator="lessThanOrEqual">
      <formula>0</formula>
    </cfRule>
  </conditionalFormatting>
  <conditionalFormatting sqref="H32:I33">
    <cfRule type="cellIs" dxfId="1061" priority="1122" stopIfTrue="1" operator="lessThanOrEqual">
      <formula>0</formula>
    </cfRule>
  </conditionalFormatting>
  <conditionalFormatting sqref="H37:I37">
    <cfRule type="cellIs" dxfId="1060" priority="1126" stopIfTrue="1" operator="lessThanOrEqual">
      <formula>0</formula>
    </cfRule>
  </conditionalFormatting>
  <conditionalFormatting sqref="H44:I45">
    <cfRule type="cellIs" dxfId="1059" priority="1014" stopIfTrue="1" operator="lessThanOrEqual">
      <formula>0</formula>
    </cfRule>
  </conditionalFormatting>
  <conditionalFormatting sqref="H49:I49">
    <cfRule type="cellIs" dxfId="1058" priority="1018" stopIfTrue="1" operator="lessThanOrEqual">
      <formula>0</formula>
    </cfRule>
  </conditionalFormatting>
  <conditionalFormatting sqref="H35:AA35">
    <cfRule type="cellIs" dxfId="1057" priority="785" stopIfTrue="1" operator="lessThanOrEqual">
      <formula>0</formula>
    </cfRule>
  </conditionalFormatting>
  <conditionalFormatting sqref="I10:I11">
    <cfRule type="cellIs" dxfId="1056" priority="7202" stopIfTrue="1" operator="lessThanOrEqual">
      <formula>0</formula>
    </cfRule>
    <cfRule type="cellIs" dxfId="1055" priority="7201" stopIfTrue="1" operator="lessThanOrEqual">
      <formula>0</formula>
    </cfRule>
  </conditionalFormatting>
  <conditionalFormatting sqref="I11">
    <cfRule type="cellIs" dxfId="1054" priority="7222" stopIfTrue="1" operator="lessThanOrEqual">
      <formula>0</formula>
    </cfRule>
    <cfRule type="cellIs" dxfId="1053" priority="7198" stopIfTrue="1" operator="lessThanOrEqual">
      <formula>0</formula>
    </cfRule>
    <cfRule type="cellIs" dxfId="1052" priority="7197" stopIfTrue="1" operator="lessThanOrEqual">
      <formula>0</formula>
    </cfRule>
    <cfRule type="cellIs" dxfId="1051" priority="7221" stopIfTrue="1" operator="lessThanOrEqual">
      <formula>0</formula>
    </cfRule>
    <cfRule type="cellIs" dxfId="1050" priority="4631" stopIfTrue="1" operator="lessThanOrEqual">
      <formula>0</formula>
    </cfRule>
    <cfRule type="cellIs" dxfId="1049" priority="7893" stopIfTrue="1" operator="lessThanOrEqual">
      <formula>0</formula>
    </cfRule>
  </conditionalFormatting>
  <conditionalFormatting sqref="I11:J11">
    <cfRule type="cellIs" dxfId="1048" priority="4628" stopIfTrue="1" operator="lessThanOrEqual">
      <formula>0</formula>
    </cfRule>
    <cfRule type="cellIs" dxfId="1047" priority="4604" stopIfTrue="1" operator="lessThanOrEqual">
      <formula>0</formula>
    </cfRule>
    <cfRule type="cellIs" dxfId="1046" priority="4627" stopIfTrue="1" operator="lessThanOrEqual">
      <formula>0</formula>
    </cfRule>
    <cfRule type="cellIs" dxfId="1045" priority="4603" stopIfTrue="1" operator="lessThanOrEqual">
      <formula>0</formula>
    </cfRule>
    <cfRule type="cellIs" dxfId="1044" priority="10529" stopIfTrue="1" operator="lessThanOrEqual">
      <formula>0</formula>
    </cfRule>
    <cfRule type="cellIs" dxfId="1043" priority="4632" stopIfTrue="1" operator="lessThanOrEqual">
      <formula>0</formula>
    </cfRule>
    <cfRule type="cellIs" dxfId="1042" priority="4623" stopIfTrue="1" operator="lessThanOrEqual">
      <formula>0</formula>
    </cfRule>
    <cfRule type="cellIs" dxfId="1041" priority="4624" stopIfTrue="1" operator="lessThanOrEqual">
      <formula>0</formula>
    </cfRule>
  </conditionalFormatting>
  <conditionalFormatting sqref="I65:M65">
    <cfRule type="cellIs" dxfId="1040" priority="340" stopIfTrue="1" operator="lessThanOrEqual">
      <formula>0</formula>
    </cfRule>
  </conditionalFormatting>
  <conditionalFormatting sqref="I32:AA35 I33:Y36 AA34:AA41 I37:AA41 I44:AA47 I45:Y48 AA46:AA53 I49:AA53 Q24:Z25 K36:Z37 K48:Z49 G17:N18 G30:N30 G42:N42 D16:V16">
    <cfRule type="cellIs" dxfId="1039" priority="13290" stopIfTrue="1" operator="lessThanOrEqual">
      <formula>0</formula>
    </cfRule>
  </conditionalFormatting>
  <conditionalFormatting sqref="J11">
    <cfRule type="cellIs" dxfId="1038" priority="306" stopIfTrue="1" operator="lessThanOrEqual">
      <formula>0</formula>
    </cfRule>
    <cfRule type="cellIs" dxfId="1037" priority="307" stopIfTrue="1" operator="lessThanOrEqual">
      <formula>0</formula>
    </cfRule>
    <cfRule type="cellIs" dxfId="1036" priority="308" stopIfTrue="1" operator="lessThanOrEqual">
      <formula>0</formula>
    </cfRule>
    <cfRule type="cellIs" dxfId="1035" priority="4602" stopIfTrue="1" operator="lessThanOrEqual">
      <formula>0</formula>
    </cfRule>
    <cfRule type="cellIs" dxfId="1034" priority="4601" stopIfTrue="1" operator="lessThanOrEqual">
      <formula>0</formula>
    </cfRule>
    <cfRule type="cellIs" dxfId="1033" priority="4600" stopIfTrue="1" operator="lessThanOrEqual">
      <formula>0</formula>
    </cfRule>
    <cfRule type="cellIs" dxfId="1032" priority="4599" stopIfTrue="1" operator="lessThanOrEqual">
      <formula>0</formula>
    </cfRule>
    <cfRule type="cellIs" dxfId="1031" priority="4598" stopIfTrue="1" operator="lessThanOrEqual">
      <formula>0</formula>
    </cfRule>
    <cfRule type="cellIs" dxfId="1030" priority="4597" stopIfTrue="1" operator="lessThanOrEqual">
      <formula>0</formula>
    </cfRule>
    <cfRule type="cellIs" dxfId="1029" priority="293" stopIfTrue="1" operator="lessThanOrEqual">
      <formula>0</formula>
    </cfRule>
    <cfRule type="cellIs" dxfId="1028" priority="294" stopIfTrue="1" operator="lessThanOrEqual">
      <formula>0</formula>
    </cfRule>
    <cfRule type="cellIs" dxfId="1027" priority="295" stopIfTrue="1" operator="lessThanOrEqual">
      <formula>0</formula>
    </cfRule>
    <cfRule type="cellIs" dxfId="1026" priority="296" stopIfTrue="1" operator="lessThanOrEqual">
      <formula>0</formula>
    </cfRule>
    <cfRule type="cellIs" dxfId="1025" priority="297" stopIfTrue="1" operator="lessThanOrEqual">
      <formula>0</formula>
    </cfRule>
    <cfRule type="cellIs" dxfId="1024" priority="298" stopIfTrue="1" operator="lessThanOrEqual">
      <formula>0</formula>
    </cfRule>
    <cfRule type="cellIs" dxfId="1023" priority="299" stopIfTrue="1" operator="lessThanOrEqual">
      <formula>0</formula>
    </cfRule>
    <cfRule type="cellIs" dxfId="1022" priority="300" stopIfTrue="1" operator="lessThanOrEqual">
      <formula>0</formula>
    </cfRule>
    <cfRule type="cellIs" dxfId="1021" priority="301" stopIfTrue="1" operator="lessThanOrEqual">
      <formula>0</formula>
    </cfRule>
    <cfRule type="cellIs" dxfId="1020" priority="302" stopIfTrue="1" operator="lessThanOrEqual">
      <formula>0</formula>
    </cfRule>
    <cfRule type="cellIs" dxfId="1019" priority="303" stopIfTrue="1" operator="lessThanOrEqual">
      <formula>0</formula>
    </cfRule>
    <cfRule type="cellIs" dxfId="1018" priority="304" stopIfTrue="1" operator="lessThanOrEqual">
      <formula>0</formula>
    </cfRule>
    <cfRule type="cellIs" dxfId="1017" priority="305" stopIfTrue="1" operator="lessThanOrEqual">
      <formula>0</formula>
    </cfRule>
  </conditionalFormatting>
  <conditionalFormatting sqref="J32:J33">
    <cfRule type="cellIs" dxfId="1016" priority="1186" stopIfTrue="1" operator="lessThanOrEqual">
      <formula>0</formula>
    </cfRule>
  </conditionalFormatting>
  <conditionalFormatting sqref="J44:J45">
    <cfRule type="cellIs" dxfId="1015" priority="1078" stopIfTrue="1" operator="lessThanOrEqual">
      <formula>0</formula>
    </cfRule>
  </conditionalFormatting>
  <conditionalFormatting sqref="J10:K10">
    <cfRule type="cellIs" dxfId="1014" priority="4617" stopIfTrue="1" operator="lessThanOrEqual">
      <formula>0</formula>
    </cfRule>
    <cfRule type="cellIs" dxfId="1013" priority="4618" stopIfTrue="1" operator="lessThanOrEqual">
      <formula>0</formula>
    </cfRule>
  </conditionalFormatting>
  <conditionalFormatting sqref="J37:K37">
    <cfRule type="cellIs" dxfId="1012" priority="1184" stopIfTrue="1" operator="lessThanOrEqual">
      <formula>0</formula>
    </cfRule>
  </conditionalFormatting>
  <conditionalFormatting sqref="J49:K49">
    <cfRule type="cellIs" dxfId="1011" priority="1076" stopIfTrue="1" operator="lessThanOrEqual">
      <formula>0</formula>
    </cfRule>
  </conditionalFormatting>
  <conditionalFormatting sqref="J36:T36">
    <cfRule type="cellIs" dxfId="1010" priority="1143" stopIfTrue="1" operator="lessThanOrEqual">
      <formula>0</formula>
    </cfRule>
  </conditionalFormatting>
  <conditionalFormatting sqref="J48:W48">
    <cfRule type="cellIs" dxfId="1009" priority="1035" stopIfTrue="1" operator="lessThanOrEqual">
      <formula>0</formula>
    </cfRule>
  </conditionalFormatting>
  <conditionalFormatting sqref="K19">
    <cfRule type="cellIs" dxfId="1008" priority="117" stopIfTrue="1" operator="lessThanOrEqual">
      <formula>0</formula>
    </cfRule>
    <cfRule type="cellIs" dxfId="1007" priority="154" stopIfTrue="1" operator="lessThanOrEqual">
      <formula>0</formula>
    </cfRule>
    <cfRule type="cellIs" dxfId="1006" priority="155" stopIfTrue="1" operator="lessThanOrEqual">
      <formula>0</formula>
    </cfRule>
    <cfRule type="cellIs" dxfId="1005" priority="159" stopIfTrue="1" operator="lessThanOrEqual">
      <formula>0</formula>
    </cfRule>
  </conditionalFormatting>
  <conditionalFormatting sqref="K19:K21">
    <cfRule type="cellIs" dxfId="1004" priority="124" stopIfTrue="1" operator="lessThanOrEqual">
      <formula>0</formula>
    </cfRule>
    <cfRule type="cellIs" dxfId="1003" priority="111" stopIfTrue="1" operator="lessThanOrEqual">
      <formula>0</formula>
    </cfRule>
    <cfRule type="cellIs" dxfId="1002" priority="151" stopIfTrue="1" operator="lessThanOrEqual">
      <formula>0</formula>
    </cfRule>
  </conditionalFormatting>
  <conditionalFormatting sqref="K19:K25">
    <cfRule type="cellIs" dxfId="1001" priority="139" stopIfTrue="1" operator="lessThanOrEqual">
      <formula>0</formula>
    </cfRule>
  </conditionalFormatting>
  <conditionalFormatting sqref="K19:K29">
    <cfRule type="cellIs" dxfId="1000" priority="270" stopIfTrue="1" operator="lessThanOrEqual">
      <formula>0</formula>
    </cfRule>
    <cfRule type="cellIs" dxfId="999" priority="269" stopIfTrue="1" operator="lessThanOrEqual">
      <formula>0</formula>
    </cfRule>
    <cfRule type="cellIs" dxfId="998" priority="189" stopIfTrue="1" operator="lessThanOrEqual">
      <formula>0</formula>
    </cfRule>
    <cfRule type="cellIs" dxfId="997" priority="188" stopIfTrue="1" operator="lessThanOrEqual">
      <formula>0</formula>
    </cfRule>
    <cfRule type="cellIs" dxfId="996" priority="265" stopIfTrue="1" operator="lessThanOrEqual">
      <formula>0</formula>
    </cfRule>
    <cfRule type="cellIs" dxfId="995" priority="264" stopIfTrue="1" operator="lessThanOrEqual">
      <formula>0</formula>
    </cfRule>
    <cfRule type="cellIs" dxfId="994" priority="142" stopIfTrue="1" operator="lessThanOrEqual">
      <formula>0</formula>
    </cfRule>
    <cfRule type="cellIs" dxfId="993" priority="187" stopIfTrue="1" operator="lessThanOrEqual">
      <formula>0</formula>
    </cfRule>
    <cfRule type="cellIs" dxfId="992" priority="186" stopIfTrue="1" operator="lessThanOrEqual">
      <formula>0</formula>
    </cfRule>
    <cfRule type="cellIs" dxfId="991" priority="185" stopIfTrue="1" operator="lessThanOrEqual">
      <formula>0</formula>
    </cfRule>
    <cfRule type="cellIs" dxfId="990" priority="174" stopIfTrue="1" operator="lessThanOrEqual">
      <formula>0</formula>
    </cfRule>
    <cfRule type="cellIs" dxfId="989" priority="144" stopIfTrue="1" operator="lessThanOrEqual">
      <formula>0</formula>
    </cfRule>
    <cfRule type="cellIs" dxfId="988" priority="183" stopIfTrue="1" operator="lessThanOrEqual">
      <formula>0</formula>
    </cfRule>
    <cfRule type="cellIs" dxfId="987" priority="257" stopIfTrue="1" operator="lessThanOrEqual">
      <formula>0</formula>
    </cfRule>
    <cfRule type="cellIs" dxfId="986" priority="256" stopIfTrue="1" operator="lessThanOrEqual">
      <formula>0</formula>
    </cfRule>
    <cfRule type="cellIs" dxfId="985" priority="255" stopIfTrue="1" operator="lessThanOrEqual">
      <formula>0</formula>
    </cfRule>
    <cfRule type="cellIs" dxfId="984" priority="254" stopIfTrue="1" operator="lessThanOrEqual">
      <formula>0</formula>
    </cfRule>
    <cfRule type="cellIs" dxfId="983" priority="182" stopIfTrue="1" operator="lessThanOrEqual">
      <formula>0</formula>
    </cfRule>
    <cfRule type="cellIs" dxfId="982" priority="181" stopIfTrue="1" operator="lessThanOrEqual">
      <formula>0</formula>
    </cfRule>
    <cfRule type="cellIs" dxfId="981" priority="149" operator="greaterThan">
      <formula>0</formula>
    </cfRule>
    <cfRule type="cellIs" dxfId="980" priority="207" stopIfTrue="1" operator="lessThanOrEqual">
      <formula>0</formula>
    </cfRule>
    <cfRule type="cellIs" dxfId="979" priority="292" stopIfTrue="1" operator="lessThanOrEqual">
      <formula>0</formula>
    </cfRule>
    <cfRule type="cellIs" dxfId="978" priority="289" stopIfTrue="1" operator="lessThanOrEqual">
      <formula>0</formula>
    </cfRule>
    <cfRule type="cellIs" dxfId="977" priority="172" stopIfTrue="1" operator="lessThanOrEqual">
      <formula>0</formula>
    </cfRule>
    <cfRule type="cellIs" dxfId="976" priority="156" stopIfTrue="1" operator="lessThanOrEqual">
      <formula>0</formula>
    </cfRule>
    <cfRule type="cellIs" dxfId="975" priority="244" stopIfTrue="1" operator="lessThanOrEqual">
      <formula>0</formula>
    </cfRule>
    <cfRule type="cellIs" dxfId="974" priority="243" stopIfTrue="1" operator="lessThanOrEqual">
      <formula>0</formula>
    </cfRule>
    <cfRule type="cellIs" dxfId="973" priority="242" stopIfTrue="1" operator="lessThanOrEqual">
      <formula>0</formula>
    </cfRule>
    <cfRule type="cellIs" dxfId="972" priority="241" stopIfTrue="1" operator="lessThanOrEqual">
      <formula>0</formula>
    </cfRule>
    <cfRule type="cellIs" dxfId="971" priority="236" stopIfTrue="1" operator="lessThanOrEqual">
      <formula>0</formula>
    </cfRule>
    <cfRule type="cellIs" dxfId="970" priority="235" stopIfTrue="1" operator="lessThanOrEqual">
      <formula>0</formula>
    </cfRule>
    <cfRule type="cellIs" dxfId="969" priority="157" stopIfTrue="1" operator="lessThanOrEqual">
      <formula>0</formula>
    </cfRule>
    <cfRule type="cellIs" dxfId="968" priority="164" stopIfTrue="1" operator="lessThanOrEqual">
      <formula>0</formula>
    </cfRule>
    <cfRule type="cellIs" dxfId="967" priority="168" stopIfTrue="1" operator="lessThanOrEqual">
      <formula>0</formula>
    </cfRule>
    <cfRule type="cellIs" dxfId="966" priority="224" stopIfTrue="1" operator="lessThanOrEqual">
      <formula>0</formula>
    </cfRule>
    <cfRule type="cellIs" dxfId="965" priority="223" stopIfTrue="1" operator="lessThanOrEqual">
      <formula>0</formula>
    </cfRule>
    <cfRule type="cellIs" dxfId="964" priority="222" stopIfTrue="1" operator="lessThanOrEqual">
      <formula>0</formula>
    </cfRule>
    <cfRule type="cellIs" dxfId="963" priority="179" stopIfTrue="1" operator="lessThanOrEqual">
      <formula>0</formula>
    </cfRule>
    <cfRule type="cellIs" dxfId="962" priority="220" stopIfTrue="1" operator="lessThanOrEqual">
      <formula>0</formula>
    </cfRule>
    <cfRule type="cellIs" dxfId="961" priority="219" stopIfTrue="1" operator="lessThanOrEqual">
      <formula>0</formula>
    </cfRule>
    <cfRule type="cellIs" dxfId="960" priority="218" stopIfTrue="1" operator="lessThanOrEqual">
      <formula>0</formula>
    </cfRule>
    <cfRule type="cellIs" dxfId="959" priority="178" stopIfTrue="1" operator="lessThanOrEqual">
      <formula>0</formula>
    </cfRule>
    <cfRule type="cellIs" dxfId="958" priority="216" stopIfTrue="1" operator="lessThanOrEqual">
      <formula>0</formula>
    </cfRule>
    <cfRule type="cellIs" dxfId="957" priority="215" stopIfTrue="1" operator="lessThanOrEqual">
      <formula>0</formula>
    </cfRule>
    <cfRule type="cellIs" dxfId="956" priority="213" stopIfTrue="1" operator="lessThanOrEqual">
      <formula>0</formula>
    </cfRule>
    <cfRule type="cellIs" dxfId="955" priority="177" stopIfTrue="1" operator="lessThanOrEqual">
      <formula>0</formula>
    </cfRule>
    <cfRule type="cellIs" dxfId="954" priority="211" stopIfTrue="1" operator="lessThanOrEqual">
      <formula>0</formula>
    </cfRule>
    <cfRule type="cellIs" dxfId="953" priority="210" stopIfTrue="1" operator="lessThanOrEqual">
      <formula>0</formula>
    </cfRule>
    <cfRule type="cellIs" dxfId="952" priority="209" stopIfTrue="1" operator="lessThanOrEqual">
      <formula>0</formula>
    </cfRule>
    <cfRule type="cellIs" dxfId="951" priority="170" stopIfTrue="1" operator="lessThanOrEqual">
      <formula>0</formula>
    </cfRule>
    <cfRule type="cellIs" dxfId="950" priority="206" stopIfTrue="1" operator="lessThanOrEqual">
      <formula>0</formula>
    </cfRule>
    <cfRule type="cellIs" dxfId="949" priority="204" stopIfTrue="1" operator="lessThanOrEqual">
      <formula>0</formula>
    </cfRule>
    <cfRule type="cellIs" dxfId="948" priority="169" stopIfTrue="1" operator="lessThanOrEqual">
      <formula>0</formula>
    </cfRule>
    <cfRule type="cellIs" dxfId="947" priority="202" stopIfTrue="1" operator="lessThanOrEqual">
      <formula>0</formula>
    </cfRule>
    <cfRule type="cellIs" dxfId="946" priority="201" stopIfTrue="1" operator="lessThanOrEqual">
      <formula>0</formula>
    </cfRule>
    <cfRule type="cellIs" dxfId="945" priority="200" stopIfTrue="1" operator="lessThanOrEqual">
      <formula>0</formula>
    </cfRule>
    <cfRule type="cellIs" dxfId="944" priority="199" stopIfTrue="1" operator="lessThanOrEqual">
      <formula>0</formula>
    </cfRule>
    <cfRule type="cellIs" dxfId="943" priority="198" stopIfTrue="1" operator="lessThanOrEqual">
      <formula>0</formula>
    </cfRule>
    <cfRule type="cellIs" dxfId="942" priority="196" stopIfTrue="1" operator="lessThanOrEqual">
      <formula>0</formula>
    </cfRule>
    <cfRule type="cellIs" dxfId="941" priority="192" stopIfTrue="1" operator="lessThanOrEqual">
      <formula>0</formula>
    </cfRule>
    <cfRule type="cellIs" dxfId="940" priority="175" stopIfTrue="1" operator="lessThanOrEqual">
      <formula>0</formula>
    </cfRule>
    <cfRule type="cellIs" dxfId="939" priority="190" stopIfTrue="1" operator="lessThanOrEqual">
      <formula>0</formula>
    </cfRule>
  </conditionalFormatting>
  <conditionalFormatting sqref="K20">
    <cfRule type="cellIs" dxfId="938" priority="141" stopIfTrue="1" operator="lessThanOrEqual">
      <formula>0</formula>
    </cfRule>
  </conditionalFormatting>
  <conditionalFormatting sqref="K20:K21">
    <cfRule type="cellIs" dxfId="937" priority="147" stopIfTrue="1" operator="lessThanOrEqual">
      <formula>0</formula>
    </cfRule>
    <cfRule type="cellIs" dxfId="936" priority="153" stopIfTrue="1" operator="lessThanOrEqual">
      <formula>0</formula>
    </cfRule>
  </conditionalFormatting>
  <conditionalFormatting sqref="K20:K25">
    <cfRule type="cellIs" dxfId="935" priority="121" stopIfTrue="1" operator="lessThanOrEqual">
      <formula>0</formula>
    </cfRule>
    <cfRule type="cellIs" dxfId="934" priority="126" stopIfTrue="1" operator="lessThanOrEqual">
      <formula>0</formula>
    </cfRule>
  </conditionalFormatting>
  <conditionalFormatting sqref="K20:K29">
    <cfRule type="cellIs" dxfId="933" priority="276" stopIfTrue="1" operator="lessThanOrEqual">
      <formula>0</formula>
    </cfRule>
    <cfRule type="cellIs" dxfId="932" priority="287" stopIfTrue="1" operator="lessThanOrEqual">
      <formula>0</formula>
    </cfRule>
  </conditionalFormatting>
  <conditionalFormatting sqref="K21">
    <cfRule type="cellIs" dxfId="931" priority="128" stopIfTrue="1" operator="lessThanOrEqual">
      <formula>0</formula>
    </cfRule>
    <cfRule type="cellIs" dxfId="930" priority="263" stopIfTrue="1" operator="lessThanOrEqual">
      <formula>0</formula>
    </cfRule>
    <cfRule type="cellIs" dxfId="929" priority="205" stopIfTrue="1" operator="lessThanOrEqual">
      <formula>0</formula>
    </cfRule>
    <cfRule type="cellIs" dxfId="928" priority="288" stopIfTrue="1" operator="lessThanOrEqual">
      <formula>0</formula>
    </cfRule>
    <cfRule type="cellIs" dxfId="927" priority="123" stopIfTrue="1" operator="lessThanOrEqual">
      <formula>0</formula>
    </cfRule>
    <cfRule type="cellIs" dxfId="926" priority="173" stopIfTrue="1" operator="lessThanOrEqual">
      <formula>0</formula>
    </cfRule>
    <cfRule type="cellIs" dxfId="925" priority="125" stopIfTrue="1" operator="lessThanOrEqual">
      <formula>0</formula>
    </cfRule>
    <cfRule type="cellIs" dxfId="924" priority="162" stopIfTrue="1" operator="lessThanOrEqual">
      <formula>0</formula>
    </cfRule>
    <cfRule type="cellIs" dxfId="923" priority="152" stopIfTrue="1" operator="lessThanOrEqual">
      <formula>0</formula>
    </cfRule>
    <cfRule type="cellIs" dxfId="922" priority="284" stopIfTrue="1" operator="lessThanOrEqual">
      <formula>0</formula>
    </cfRule>
    <cfRule type="cellIs" dxfId="921" priority="214" stopIfTrue="1" operator="lessThanOrEqual">
      <formula>0</formula>
    </cfRule>
    <cfRule type="cellIs" dxfId="920" priority="138" stopIfTrue="1" operator="lessThanOrEqual">
      <formula>0</formula>
    </cfRule>
    <cfRule type="cellIs" dxfId="919" priority="118" stopIfTrue="1" operator="lessThanOrEqual">
      <formula>0</formula>
    </cfRule>
  </conditionalFormatting>
  <conditionalFormatting sqref="K21:K24">
    <cfRule type="cellIs" dxfId="918" priority="137" stopIfTrue="1" operator="lessThanOrEqual">
      <formula>0</formula>
    </cfRule>
  </conditionalFormatting>
  <conditionalFormatting sqref="K21:K29">
    <cfRule type="cellIs" dxfId="917" priority="281" stopIfTrue="1" operator="lessThanOrEqual">
      <formula>0</formula>
    </cfRule>
    <cfRule type="cellIs" dxfId="916" priority="260" stopIfTrue="1" operator="lessThanOrEqual">
      <formula>0</formula>
    </cfRule>
    <cfRule type="cellIs" dxfId="915" priority="285" stopIfTrue="1" operator="lessThanOrEqual">
      <formula>0</formula>
    </cfRule>
  </conditionalFormatting>
  <conditionalFormatting sqref="K22">
    <cfRule type="cellIs" dxfId="914" priority="120" stopIfTrue="1" operator="lessThanOrEqual">
      <formula>0</formula>
    </cfRule>
  </conditionalFormatting>
  <conditionalFormatting sqref="K22:K24">
    <cfRule type="cellIs" dxfId="913" priority="119" stopIfTrue="1" operator="lessThanOrEqual">
      <formula>0</formula>
    </cfRule>
  </conditionalFormatting>
  <conditionalFormatting sqref="K22:K29">
    <cfRule type="cellIs" dxfId="912" priority="266" stopIfTrue="1" operator="lessThanOrEqual">
      <formula>0</formula>
    </cfRule>
    <cfRule type="cellIs" dxfId="911" priority="262" stopIfTrue="1" operator="lessThanOrEqual">
      <formula>0</formula>
    </cfRule>
    <cfRule type="cellIs" dxfId="910" priority="268" stopIfTrue="1" operator="lessThanOrEqual">
      <formula>0</formula>
    </cfRule>
    <cfRule type="cellIs" dxfId="909" priority="239" stopIfTrue="1" operator="lessThanOrEqual">
      <formula>0</formula>
    </cfRule>
    <cfRule type="cellIs" dxfId="908" priority="238" stopIfTrue="1" operator="lessThanOrEqual">
      <formula>0</formula>
    </cfRule>
    <cfRule type="cellIs" dxfId="907" priority="237" stopIfTrue="1" operator="lessThanOrEqual">
      <formula>0</formula>
    </cfRule>
    <cfRule type="cellIs" dxfId="906" priority="286" stopIfTrue="1" operator="lessThanOrEqual">
      <formula>0</formula>
    </cfRule>
    <cfRule type="cellIs" dxfId="905" priority="291" stopIfTrue="1" operator="lessThanOrEqual">
      <formula>0</formula>
    </cfRule>
    <cfRule type="cellIs" dxfId="904" priority="280" stopIfTrue="1" operator="lessThanOrEqual">
      <formula>0</formula>
    </cfRule>
    <cfRule type="cellIs" dxfId="903" priority="278" stopIfTrue="1" operator="lessThanOrEqual">
      <formula>0</formula>
    </cfRule>
    <cfRule type="cellIs" dxfId="902" priority="240" stopIfTrue="1" operator="lessThanOrEqual">
      <formula>0</formula>
    </cfRule>
    <cfRule type="cellIs" dxfId="901" priority="275" stopIfTrue="1" operator="lessThanOrEqual">
      <formula>0</formula>
    </cfRule>
  </conditionalFormatting>
  <conditionalFormatting sqref="K23:K24">
    <cfRule type="cellIs" dxfId="900" priority="107" stopIfTrue="1" operator="lessThanOrEqual">
      <formula>0</formula>
    </cfRule>
  </conditionalFormatting>
  <conditionalFormatting sqref="K23:K25">
    <cfRule type="cellIs" dxfId="899" priority="150" stopIfTrue="1" operator="lessThanOrEqual">
      <formula>0</formula>
    </cfRule>
    <cfRule type="cellIs" dxfId="898" priority="109" stopIfTrue="1" operator="lessThanOrEqual">
      <formula>0</formula>
    </cfRule>
  </conditionalFormatting>
  <conditionalFormatting sqref="K23:K29">
    <cfRule type="cellIs" dxfId="897" priority="145" stopIfTrue="1" operator="lessThanOrEqual">
      <formula>0</formula>
    </cfRule>
    <cfRule type="cellIs" dxfId="896" priority="167" stopIfTrue="1" operator="lessThanOrEqual">
      <formula>0</formula>
    </cfRule>
    <cfRule type="cellIs" dxfId="895" priority="161" stopIfTrue="1" operator="lessThanOrEqual">
      <formula>0</formula>
    </cfRule>
  </conditionalFormatting>
  <conditionalFormatting sqref="K24">
    <cfRule type="cellIs" dxfId="894" priority="112" stopIfTrue="1" operator="lessThanOrEqual">
      <formula>0</formula>
    </cfRule>
    <cfRule type="cellIs" dxfId="893" priority="108" stopIfTrue="1" operator="lessThanOrEqual">
      <formula>0</formula>
    </cfRule>
    <cfRule type="cellIs" dxfId="892" priority="116" stopIfTrue="1" operator="lessThanOrEqual">
      <formula>0</formula>
    </cfRule>
    <cfRule type="cellIs" dxfId="891" priority="115" stopIfTrue="1" operator="lessThanOrEqual">
      <formula>0</formula>
    </cfRule>
    <cfRule type="cellIs" dxfId="890" priority="114" stopIfTrue="1" operator="lessThanOrEqual">
      <formula>0</formula>
    </cfRule>
    <cfRule type="cellIs" dxfId="889" priority="113" stopIfTrue="1" operator="lessThanOrEqual">
      <formula>0</formula>
    </cfRule>
  </conditionalFormatting>
  <conditionalFormatting sqref="K24:K29">
    <cfRule type="cellIs" dxfId="888" priority="163" stopIfTrue="1" operator="lessThanOrEqual">
      <formula>0</formula>
    </cfRule>
    <cfRule type="cellIs" dxfId="887" priority="261" stopIfTrue="1" operator="lessThanOrEqual">
      <formula>0</formula>
    </cfRule>
    <cfRule type="cellIs" dxfId="886" priority="195" stopIfTrue="1" operator="lessThanOrEqual">
      <formula>0</formula>
    </cfRule>
    <cfRule type="cellIs" dxfId="885" priority="194" stopIfTrue="1" operator="lessThanOrEqual">
      <formula>0</formula>
    </cfRule>
    <cfRule type="cellIs" dxfId="884" priority="274" stopIfTrue="1" operator="lessThanOrEqual">
      <formula>0</formula>
    </cfRule>
  </conditionalFormatting>
  <conditionalFormatting sqref="K25">
    <cfRule type="cellIs" dxfId="883" priority="122" stopIfTrue="1" operator="lessThanOrEqual">
      <formula>0</formula>
    </cfRule>
    <cfRule type="cellIs" dxfId="882" priority="184" stopIfTrue="1" operator="lessThanOrEqual">
      <formula>0</formula>
    </cfRule>
    <cfRule type="cellIs" dxfId="881" priority="180" stopIfTrue="1" operator="lessThanOrEqual">
      <formula>0</formula>
    </cfRule>
    <cfRule type="cellIs" dxfId="880" priority="176" stopIfTrue="1" operator="lessThanOrEqual">
      <formula>0</formula>
    </cfRule>
    <cfRule type="cellIs" dxfId="879" priority="225" stopIfTrue="1" operator="lessThanOrEqual">
      <formula>0</formula>
    </cfRule>
    <cfRule type="cellIs" dxfId="878" priority="171" stopIfTrue="1" operator="lessThanOrEqual">
      <formula>0</formula>
    </cfRule>
    <cfRule type="cellIs" dxfId="877" priority="259" stopIfTrue="1" operator="lessThanOrEqual">
      <formula>0</formula>
    </cfRule>
    <cfRule type="cellIs" dxfId="876" priority="221" stopIfTrue="1" operator="lessThanOrEqual">
      <formula>0</formula>
    </cfRule>
    <cfRule type="cellIs" dxfId="875" priority="217" stopIfTrue="1" operator="lessThanOrEqual">
      <formula>0</formula>
    </cfRule>
    <cfRule type="cellIs" dxfId="874" priority="212" stopIfTrue="1" operator="lessThanOrEqual">
      <formula>0</formula>
    </cfRule>
    <cfRule type="cellIs" dxfId="873" priority="208" stopIfTrue="1" operator="lessThanOrEqual">
      <formula>0</formula>
    </cfRule>
    <cfRule type="cellIs" dxfId="872" priority="191" stopIfTrue="1" operator="lessThanOrEqual">
      <formula>0</formula>
    </cfRule>
    <cfRule type="cellIs" dxfId="871" priority="127" stopIfTrue="1" operator="lessThanOrEqual">
      <formula>0</formula>
    </cfRule>
  </conditionalFormatting>
  <conditionalFormatting sqref="K25:K29">
    <cfRule type="cellIs" dxfId="870" priority="203" stopIfTrue="1" operator="lessThanOrEqual">
      <formula>0</formula>
    </cfRule>
    <cfRule type="cellIs" dxfId="869" priority="273" stopIfTrue="1" operator="lessThanOrEqual">
      <formula>0</formula>
    </cfRule>
    <cfRule type="cellIs" dxfId="868" priority="160" stopIfTrue="1" operator="lessThanOrEqual">
      <formula>0</formula>
    </cfRule>
    <cfRule type="cellIs" dxfId="867" priority="166" stopIfTrue="1" operator="lessThanOrEqual">
      <formula>0</formula>
    </cfRule>
    <cfRule type="cellIs" dxfId="866" priority="283" stopIfTrue="1" operator="lessThanOrEqual">
      <formula>0</formula>
    </cfRule>
  </conditionalFormatting>
  <conditionalFormatting sqref="K26:K29">
    <cfRule type="cellIs" dxfId="865" priority="249" stopIfTrue="1" operator="lessThanOrEqual">
      <formula>0</formula>
    </cfRule>
    <cfRule type="cellIs" dxfId="864" priority="253" stopIfTrue="1" operator="lessThanOrEqual">
      <formula>0</formula>
    </cfRule>
    <cfRule type="cellIs" dxfId="863" priority="250" stopIfTrue="1" operator="lessThanOrEqual">
      <formula>0</formula>
    </cfRule>
    <cfRule type="cellIs" dxfId="862" priority="251" stopIfTrue="1" operator="lessThanOrEqual">
      <formula>0</formula>
    </cfRule>
    <cfRule type="cellIs" dxfId="861" priority="248" stopIfTrue="1" operator="lessThanOrEqual">
      <formula>0</formula>
    </cfRule>
    <cfRule type="cellIs" dxfId="860" priority="252" stopIfTrue="1" operator="lessThanOrEqual">
      <formula>0</formula>
    </cfRule>
  </conditionalFormatting>
  <conditionalFormatting sqref="K27">
    <cfRule type="cellIs" dxfId="859" priority="136" stopIfTrue="1" operator="lessThanOrEqual">
      <formula>0</formula>
    </cfRule>
    <cfRule type="cellIs" dxfId="858" priority="135" stopIfTrue="1" operator="lessThanOrEqual">
      <formula>0</formula>
    </cfRule>
    <cfRule type="cellIs" dxfId="857" priority="134" stopIfTrue="1" operator="lessThanOrEqual">
      <formula>0</formula>
    </cfRule>
    <cfRule type="cellIs" dxfId="856" priority="229" stopIfTrue="1" operator="lessThanOrEqual">
      <formula>0</formula>
    </cfRule>
    <cfRule type="cellIs" dxfId="855" priority="133" stopIfTrue="1" operator="lessThanOrEqual">
      <formula>0</formula>
    </cfRule>
    <cfRule type="cellIs" dxfId="854" priority="234" stopIfTrue="1" operator="lessThanOrEqual">
      <formula>0</formula>
    </cfRule>
    <cfRule type="cellIs" dxfId="853" priority="132" stopIfTrue="1" operator="lessThanOrEqual">
      <formula>0</formula>
    </cfRule>
    <cfRule type="cellIs" dxfId="852" priority="131" stopIfTrue="1" operator="lessThanOrEqual">
      <formula>0</formula>
    </cfRule>
    <cfRule type="cellIs" dxfId="851" priority="130" stopIfTrue="1" operator="lessThanOrEqual">
      <formula>0</formula>
    </cfRule>
    <cfRule type="cellIs" dxfId="850" priority="129" stopIfTrue="1" operator="lessThanOrEqual">
      <formula>0</formula>
    </cfRule>
    <cfRule type="cellIs" dxfId="849" priority="140" stopIfTrue="1" operator="lessThanOrEqual">
      <formula>0</formula>
    </cfRule>
    <cfRule type="cellIs" dxfId="848" priority="230" stopIfTrue="1" operator="lessThanOrEqual">
      <formula>0</formula>
    </cfRule>
    <cfRule type="cellIs" dxfId="847" priority="231" stopIfTrue="1" operator="lessThanOrEqual">
      <formula>0</formula>
    </cfRule>
    <cfRule type="cellIs" dxfId="846" priority="232" stopIfTrue="1" operator="lessThanOrEqual">
      <formula>0</formula>
    </cfRule>
    <cfRule type="cellIs" dxfId="845" priority="233" stopIfTrue="1" operator="lessThanOrEqual">
      <formula>0</formula>
    </cfRule>
    <cfRule type="cellIs" dxfId="844" priority="228" stopIfTrue="1" operator="lessThanOrEqual">
      <formula>0</formula>
    </cfRule>
    <cfRule type="cellIs" dxfId="843" priority="227" stopIfTrue="1" operator="lessThanOrEqual">
      <formula>0</formula>
    </cfRule>
  </conditionalFormatting>
  <conditionalFormatting sqref="K27:K29">
    <cfRule type="cellIs" dxfId="842" priority="247" stopIfTrue="1" operator="lessThanOrEqual">
      <formula>0</formula>
    </cfRule>
  </conditionalFormatting>
  <conditionalFormatting sqref="K28:K29">
    <cfRule type="cellIs" dxfId="841" priority="245" stopIfTrue="1" operator="lessThanOrEqual">
      <formula>0</formula>
    </cfRule>
    <cfRule type="cellIs" dxfId="840" priority="246" stopIfTrue="1" operator="lessThanOrEqual">
      <formula>0</formula>
    </cfRule>
  </conditionalFormatting>
  <conditionalFormatting sqref="K13:L13">
    <cfRule type="cellIs" dxfId="839" priority="551" stopIfTrue="1" operator="lessThanOrEqual">
      <formula>0</formula>
    </cfRule>
    <cfRule type="cellIs" dxfId="838" priority="552" stopIfTrue="1" operator="lessThanOrEqual">
      <formula>0</formula>
    </cfRule>
    <cfRule type="cellIs" dxfId="837" priority="553" stopIfTrue="1" operator="lessThanOrEqual">
      <formula>0</formula>
    </cfRule>
    <cfRule type="cellIs" dxfId="836" priority="554" stopIfTrue="1" operator="lessThanOrEqual">
      <formula>0</formula>
    </cfRule>
    <cfRule type="cellIs" dxfId="835" priority="560" stopIfTrue="1" operator="lessThanOrEqual">
      <formula>0</formula>
    </cfRule>
    <cfRule type="cellIs" dxfId="834" priority="559" stopIfTrue="1" operator="lessThanOrEqual">
      <formula>0</formula>
    </cfRule>
    <cfRule type="cellIs" dxfId="833" priority="557" stopIfTrue="1" operator="lessThanOrEqual">
      <formula>0</formula>
    </cfRule>
    <cfRule type="cellIs" dxfId="832" priority="556" stopIfTrue="1" operator="lessThanOrEqual">
      <formula>0</formula>
    </cfRule>
    <cfRule type="cellIs" dxfId="831" priority="561" stopIfTrue="1" operator="lessThanOrEqual">
      <formula>0</formula>
    </cfRule>
    <cfRule type="cellIs" dxfId="830" priority="558" stopIfTrue="1" operator="lessThanOrEqual">
      <formula>0</formula>
    </cfRule>
    <cfRule type="cellIs" dxfId="829" priority="555" stopIfTrue="1" operator="lessThanOrEqual">
      <formula>0</formula>
    </cfRule>
    <cfRule type="cellIs" dxfId="828" priority="562" stopIfTrue="1" operator="lessThanOrEqual">
      <formula>0</formula>
    </cfRule>
  </conditionalFormatting>
  <conditionalFormatting sqref="K13:M13">
    <cfRule type="cellIs" dxfId="827" priority="568" stopIfTrue="1" operator="lessThanOrEqual">
      <formula>0</formula>
    </cfRule>
    <cfRule type="cellIs" dxfId="826" priority="565" stopIfTrue="1" operator="lessThanOrEqual">
      <formula>0</formula>
    </cfRule>
    <cfRule type="cellIs" dxfId="825" priority="566" stopIfTrue="1" operator="lessThanOrEqual">
      <formula>0</formula>
    </cfRule>
    <cfRule type="cellIs" dxfId="824" priority="567" stopIfTrue="1" operator="lessThanOrEqual">
      <formula>0</formula>
    </cfRule>
  </conditionalFormatting>
  <conditionalFormatting sqref="K29:N29">
    <cfRule type="cellIs" dxfId="823" priority="365" stopIfTrue="1" operator="lessThanOrEqual">
      <formula>0</formula>
    </cfRule>
  </conditionalFormatting>
  <conditionalFormatting sqref="K59:P63 I59:O64 I54:P54 D12:E12 H12:AB12 W54:AO64">
    <cfRule type="cellIs" dxfId="822" priority="7245" stopIfTrue="1" operator="lessThanOrEqual">
      <formula>0</formula>
    </cfRule>
  </conditionalFormatting>
  <conditionalFormatting sqref="K32:R33">
    <cfRule type="cellIs" dxfId="821" priority="1110" stopIfTrue="1" operator="lessThanOrEqual">
      <formula>0</formula>
    </cfRule>
  </conditionalFormatting>
  <conditionalFormatting sqref="K19:S19">
    <cfRule type="cellIs" dxfId="820" priority="382" stopIfTrue="1" operator="lessThanOrEqual">
      <formula>0</formula>
    </cfRule>
  </conditionalFormatting>
  <conditionalFormatting sqref="K19:S20 K21:U21 R22:U22 K22:S29 M23:U23 R24:U24 K25:T25 M26:U26">
    <cfRule type="cellIs" dxfId="819" priority="466" stopIfTrue="1" operator="lessThanOrEqual">
      <formula>0</formula>
    </cfRule>
  </conditionalFormatting>
  <conditionalFormatting sqref="K19:S20 K21:U21 R22:U22 K22:S29 M23:U23 R24:U24 O25:T25 M26:U26">
    <cfRule type="cellIs" dxfId="818" priority="462" stopIfTrue="1" operator="lessThanOrEqual">
      <formula>0</formula>
    </cfRule>
    <cfRule type="cellIs" dxfId="817" priority="465" stopIfTrue="1" operator="lessThanOrEqual">
      <formula>0</formula>
    </cfRule>
    <cfRule type="cellIs" dxfId="816" priority="480" stopIfTrue="1" operator="lessThanOrEqual">
      <formula>0</formula>
    </cfRule>
    <cfRule type="cellIs" dxfId="815" priority="486" stopIfTrue="1" operator="lessThanOrEqual">
      <formula>0</formula>
    </cfRule>
    <cfRule type="cellIs" dxfId="814" priority="487" stopIfTrue="1" operator="lessThanOrEqual">
      <formula>0</formula>
    </cfRule>
    <cfRule type="cellIs" dxfId="813" priority="488" stopIfTrue="1" operator="lessThanOrEqual">
      <formula>0</formula>
    </cfRule>
    <cfRule type="cellIs" dxfId="812" priority="499" stopIfTrue="1" operator="lessThanOrEqual">
      <formula>0</formula>
    </cfRule>
    <cfRule type="cellIs" dxfId="811" priority="411" stopIfTrue="1" operator="lessThanOrEqual">
      <formula>0</formula>
    </cfRule>
    <cfRule type="cellIs" dxfId="810" priority="412" stopIfTrue="1" operator="lessThanOrEqual">
      <formula>0</formula>
    </cfRule>
    <cfRule type="cellIs" dxfId="809" priority="500" stopIfTrue="1" operator="lessThanOrEqual">
      <formula>0</formula>
    </cfRule>
    <cfRule type="cellIs" dxfId="808" priority="501" stopIfTrue="1" operator="lessThanOrEqual">
      <formula>0</formula>
    </cfRule>
    <cfRule type="cellIs" dxfId="807" priority="515" stopIfTrue="1" operator="lessThanOrEqual">
      <formula>0</formula>
    </cfRule>
    <cfRule type="cellIs" dxfId="806" priority="521" stopIfTrue="1" operator="lessThanOrEqual">
      <formula>0</formula>
    </cfRule>
    <cfRule type="cellIs" dxfId="805" priority="417" stopIfTrue="1" operator="lessThanOrEqual">
      <formula>0</formula>
    </cfRule>
    <cfRule type="cellIs" dxfId="804" priority="406" stopIfTrue="1" operator="lessThanOrEqual">
      <formula>0</formula>
    </cfRule>
    <cfRule type="cellIs" dxfId="803" priority="420" stopIfTrue="1" operator="lessThanOrEqual">
      <formula>0</formula>
    </cfRule>
    <cfRule type="cellIs" dxfId="802" priority="421" stopIfTrue="1" operator="lessThanOrEqual">
      <formula>0</formula>
    </cfRule>
    <cfRule type="cellIs" dxfId="801" priority="424" stopIfTrue="1" operator="lessThanOrEqual">
      <formula>0</formula>
    </cfRule>
    <cfRule type="cellIs" dxfId="800" priority="425" stopIfTrue="1" operator="lessThanOrEqual">
      <formula>0</formula>
    </cfRule>
    <cfRule type="cellIs" dxfId="799" priority="428" stopIfTrue="1" operator="lessThanOrEqual">
      <formula>0</formula>
    </cfRule>
    <cfRule type="cellIs" dxfId="798" priority="429" stopIfTrue="1" operator="lessThanOrEqual">
      <formula>0</formula>
    </cfRule>
    <cfRule type="cellIs" dxfId="797" priority="430" stopIfTrue="1" operator="lessThanOrEqual">
      <formula>0</formula>
    </cfRule>
    <cfRule type="cellIs" dxfId="796" priority="431" stopIfTrue="1" operator="lessThanOrEqual">
      <formula>0</formula>
    </cfRule>
    <cfRule type="cellIs" dxfId="795" priority="432" stopIfTrue="1" operator="lessThanOrEqual">
      <formula>0</formula>
    </cfRule>
    <cfRule type="cellIs" dxfId="794" priority="440" stopIfTrue="1" operator="lessThanOrEqual">
      <formula>0</formula>
    </cfRule>
    <cfRule type="cellIs" dxfId="793" priority="441" stopIfTrue="1" operator="lessThanOrEqual">
      <formula>0</formula>
    </cfRule>
    <cfRule type="cellIs" dxfId="792" priority="388" stopIfTrue="1" operator="lessThanOrEqual">
      <formula>0</formula>
    </cfRule>
    <cfRule type="cellIs" dxfId="791" priority="442" stopIfTrue="1" operator="lessThanOrEqual">
      <formula>0</formula>
    </cfRule>
    <cfRule type="cellIs" dxfId="790" priority="443" stopIfTrue="1" operator="lessThanOrEqual">
      <formula>0</formula>
    </cfRule>
    <cfRule type="cellIs" dxfId="789" priority="444" stopIfTrue="1" operator="lessThanOrEqual">
      <formula>0</formula>
    </cfRule>
    <cfRule type="cellIs" dxfId="788" priority="449" stopIfTrue="1" operator="lessThanOrEqual">
      <formula>0</formula>
    </cfRule>
    <cfRule type="cellIs" dxfId="787" priority="452" stopIfTrue="1" operator="lessThanOrEqual">
      <formula>0</formula>
    </cfRule>
    <cfRule type="cellIs" dxfId="786" priority="453" stopIfTrue="1" operator="lessThanOrEqual">
      <formula>0</formula>
    </cfRule>
    <cfRule type="cellIs" dxfId="785" priority="458" stopIfTrue="1" operator="lessThanOrEqual">
      <formula>0</formula>
    </cfRule>
    <cfRule type="cellIs" dxfId="784" priority="461" stopIfTrue="1" operator="lessThanOrEqual">
      <formula>0</formula>
    </cfRule>
  </conditionalFormatting>
  <conditionalFormatting sqref="K19:S20 R22:U22 K22:S29 M23:U23 R24:U24 O25:T25 M26:U26 K21:U21">
    <cfRule type="cellIs" dxfId="783" priority="387" stopIfTrue="1" operator="lessThanOrEqual">
      <formula>0</formula>
    </cfRule>
  </conditionalFormatting>
  <conditionalFormatting sqref="K22:S29 M23:U23 R24:U24 O25:T25 M26:U26 K19:S20 K21:U21 R22:U22">
    <cfRule type="cellIs" dxfId="782" priority="410" stopIfTrue="1" operator="lessThanOrEqual">
      <formula>0</formula>
    </cfRule>
    <cfRule type="cellIs" dxfId="781" priority="374" operator="greaterThan">
      <formula>0</formula>
    </cfRule>
  </conditionalFormatting>
  <conditionalFormatting sqref="K22:S29 M26:U26 K19:S20 K21:U21 R22:U22 M23:U23 R24:U24 O25:T25">
    <cfRule type="cellIs" dxfId="780" priority="498" stopIfTrue="1" operator="lessThanOrEqual">
      <formula>0</formula>
    </cfRule>
  </conditionalFormatting>
  <conditionalFormatting sqref="K22:S29 M26:U26 R22:U22 M23:U23 R24:U24 O25:T25">
    <cfRule type="cellIs" dxfId="779" priority="517" stopIfTrue="1" operator="lessThanOrEqual">
      <formula>0</formula>
    </cfRule>
  </conditionalFormatting>
  <conditionalFormatting sqref="K22:S29 O25:T25 K19:S20 K21:U21 R22:U22 M23:U23 R24:U24 M26:U26">
    <cfRule type="cellIs" dxfId="778" priority="434" stopIfTrue="1" operator="lessThanOrEqual">
      <formula>0</formula>
    </cfRule>
    <cfRule type="cellIs" dxfId="777" priority="419" stopIfTrue="1" operator="lessThanOrEqual">
      <formula>0</formula>
    </cfRule>
    <cfRule type="cellIs" dxfId="776" priority="451" stopIfTrue="1" operator="lessThanOrEqual">
      <formula>0</formula>
    </cfRule>
    <cfRule type="cellIs" dxfId="775" priority="455" stopIfTrue="1" operator="lessThanOrEqual">
      <formula>0</formula>
    </cfRule>
    <cfRule type="cellIs" dxfId="774" priority="423" stopIfTrue="1" operator="lessThanOrEqual">
      <formula>0</formula>
    </cfRule>
    <cfRule type="cellIs" dxfId="773" priority="479" stopIfTrue="1" operator="lessThanOrEqual">
      <formula>0</formula>
    </cfRule>
    <cfRule type="cellIs" dxfId="772" priority="427" stopIfTrue="1" operator="lessThanOrEqual">
      <formula>0</formula>
    </cfRule>
    <cfRule type="cellIs" dxfId="771" priority="464" stopIfTrue="1" operator="lessThanOrEqual">
      <formula>0</formula>
    </cfRule>
    <cfRule type="cellIs" dxfId="770" priority="460" stopIfTrue="1" operator="lessThanOrEqual">
      <formula>0</formula>
    </cfRule>
    <cfRule type="cellIs" dxfId="769" priority="414" stopIfTrue="1" operator="lessThanOrEqual">
      <formula>0</formula>
    </cfRule>
  </conditionalFormatting>
  <conditionalFormatting sqref="K22:S29 O25:T25 M26:U26 K19:S20 K21:U21 R22:U22 M23:U23 R24:U24">
    <cfRule type="cellIs" dxfId="768" priority="446" stopIfTrue="1" operator="lessThanOrEqual">
      <formula>0</formula>
    </cfRule>
  </conditionalFormatting>
  <conditionalFormatting sqref="K22:S29 O25:T25 M26:U26 R24:U24 K19:S20 K21:U21 R22:U22">
    <cfRule type="cellIs" dxfId="767" priority="361" stopIfTrue="1" operator="lessThanOrEqual">
      <formula>0</formula>
    </cfRule>
  </conditionalFormatting>
  <conditionalFormatting sqref="K22:S29 O25:T25">
    <cfRule type="cellIs" dxfId="766" priority="505" stopIfTrue="1" operator="lessThanOrEqual">
      <formula>0</formula>
    </cfRule>
  </conditionalFormatting>
  <conditionalFormatting sqref="K22:S29 R24:U24 K19:S20 R22:U22 M26:U26">
    <cfRule type="cellIs" dxfId="765" priority="385" stopIfTrue="1" operator="lessThanOrEqual">
      <formula>0</formula>
    </cfRule>
  </conditionalFormatting>
  <conditionalFormatting sqref="K22:S29 R24:U24 O25:T25 M26:U26 K19:S20 K21:U21 R22:U22 M23:U23">
    <cfRule type="cellIs" dxfId="764" priority="438" stopIfTrue="1" operator="lessThanOrEqual">
      <formula>0</formula>
    </cfRule>
  </conditionalFormatting>
  <conditionalFormatting sqref="K22:S29 R24:U24 O25:T25 M26:U26 R22:U22 M23:U23">
    <cfRule type="cellIs" dxfId="763" priority="527" stopIfTrue="1" operator="lessThanOrEqual">
      <formula>0</formula>
    </cfRule>
  </conditionalFormatting>
  <conditionalFormatting sqref="K22:S29 R24:U24 O25:T25 M26:U26">
    <cfRule type="cellIs" dxfId="762" priority="509" stopIfTrue="1" operator="lessThanOrEqual">
      <formula>0</formula>
    </cfRule>
    <cfRule type="cellIs" dxfId="761" priority="400" stopIfTrue="1" operator="lessThanOrEqual">
      <formula>0</formula>
    </cfRule>
  </conditionalFormatting>
  <conditionalFormatting sqref="K22:S29 R24:U24">
    <cfRule type="cellIs" dxfId="760" priority="392" stopIfTrue="1" operator="lessThanOrEqual">
      <formula>0</formula>
    </cfRule>
  </conditionalFormatting>
  <conditionalFormatting sqref="K23:S25 R24:U24 M23:U23 O25:T25">
    <cfRule type="cellIs" dxfId="759" priority="377" stopIfTrue="1" operator="lessThanOrEqual">
      <formula>0</formula>
    </cfRule>
  </conditionalFormatting>
  <conditionalFormatting sqref="K23:S29 O25:T25 M26:U26">
    <cfRule type="cellIs" dxfId="758" priority="396" stopIfTrue="1" operator="lessThanOrEqual">
      <formula>0</formula>
    </cfRule>
  </conditionalFormatting>
  <conditionalFormatting sqref="K23:S29 R24:U24">
    <cfRule type="cellIs" dxfId="757" priority="373" stopIfTrue="1" operator="lessThanOrEqual">
      <formula>0</formula>
    </cfRule>
  </conditionalFormatting>
  <conditionalFormatting sqref="K24:S29 O25:T25 M26:U26">
    <cfRule type="cellIs" dxfId="756" priority="526" stopIfTrue="1" operator="lessThanOrEqual">
      <formula>0</formula>
    </cfRule>
  </conditionalFormatting>
  <conditionalFormatting sqref="K25:S29 M26:U26 O25:T25">
    <cfRule type="cellIs" dxfId="755" priority="539" stopIfTrue="1" operator="lessThanOrEqual">
      <formula>0</formula>
    </cfRule>
  </conditionalFormatting>
  <conditionalFormatting sqref="K26:S29">
    <cfRule type="cellIs" dxfId="754" priority="492" stopIfTrue="1" operator="lessThanOrEqual">
      <formula>0</formula>
    </cfRule>
  </conditionalFormatting>
  <conditionalFormatting sqref="K27:S27">
    <cfRule type="cellIs" dxfId="753" priority="477" stopIfTrue="1" operator="lessThanOrEqual">
      <formula>0</formula>
    </cfRule>
    <cfRule type="cellIs" dxfId="752" priority="474" stopIfTrue="1" operator="lessThanOrEqual">
      <formula>0</formula>
    </cfRule>
    <cfRule type="cellIs" dxfId="751" priority="475" stopIfTrue="1" operator="lessThanOrEqual">
      <formula>0</formula>
    </cfRule>
    <cfRule type="cellIs" dxfId="750" priority="476" stopIfTrue="1" operator="lessThanOrEqual">
      <formula>0</formula>
    </cfRule>
    <cfRule type="cellIs" dxfId="749" priority="471" stopIfTrue="1" operator="lessThanOrEqual">
      <formula>0</formula>
    </cfRule>
    <cfRule type="cellIs" dxfId="748" priority="472" stopIfTrue="1" operator="lessThanOrEqual">
      <formula>0</formula>
    </cfRule>
    <cfRule type="cellIs" dxfId="747" priority="473" stopIfTrue="1" operator="lessThanOrEqual">
      <formula>0</formula>
    </cfRule>
  </conditionalFormatting>
  <conditionalFormatting sqref="K27:S29">
    <cfRule type="cellIs" dxfId="746" priority="491" stopIfTrue="1" operator="lessThanOrEqual">
      <formula>0</formula>
    </cfRule>
  </conditionalFormatting>
  <conditionalFormatting sqref="K28:S29">
    <cfRule type="cellIs" dxfId="745" priority="489" stopIfTrue="1" operator="lessThanOrEqual">
      <formula>0</formula>
    </cfRule>
    <cfRule type="cellIs" dxfId="744" priority="490" stopIfTrue="1" operator="lessThanOrEqual">
      <formula>0</formula>
    </cfRule>
  </conditionalFormatting>
  <conditionalFormatting sqref="K25:T25">
    <cfRule type="cellIs" dxfId="743" priority="418" stopIfTrue="1" operator="lessThanOrEqual">
      <formula>0</formula>
    </cfRule>
    <cfRule type="cellIs" dxfId="742" priority="426" stopIfTrue="1" operator="lessThanOrEqual">
      <formula>0</formula>
    </cfRule>
    <cfRule type="cellIs" dxfId="741" priority="459" stopIfTrue="1" operator="lessThanOrEqual">
      <formula>0</formula>
    </cfRule>
    <cfRule type="cellIs" dxfId="740" priority="468" stopIfTrue="1" operator="lessThanOrEqual">
      <formula>0</formula>
    </cfRule>
    <cfRule type="cellIs" dxfId="739" priority="463" stopIfTrue="1" operator="lessThanOrEqual">
      <formula>0</formula>
    </cfRule>
    <cfRule type="cellIs" dxfId="738" priority="433" stopIfTrue="1" operator="lessThanOrEqual">
      <formula>0</formula>
    </cfRule>
    <cfRule type="cellIs" dxfId="737" priority="454" stopIfTrue="1" operator="lessThanOrEqual">
      <formula>0</formula>
    </cfRule>
    <cfRule type="cellIs" dxfId="736" priority="422" stopIfTrue="1" operator="lessThanOrEqual">
      <formula>0</formula>
    </cfRule>
    <cfRule type="cellIs" dxfId="735" priority="504" stopIfTrue="1" operator="lessThanOrEqual">
      <formula>0</formula>
    </cfRule>
    <cfRule type="cellIs" dxfId="734" priority="450" stopIfTrue="1" operator="lessThanOrEqual">
      <formula>0</formula>
    </cfRule>
    <cfRule type="cellIs" dxfId="733" priority="413" stopIfTrue="1" operator="lessThanOrEqual">
      <formula>0</formula>
    </cfRule>
  </conditionalFormatting>
  <conditionalFormatting sqref="K21:U21 K19:S20 R22:U22 K22:S29 M23:U23 R24:U24 O25:T25 M26:U26">
    <cfRule type="cellIs" dxfId="732" priority="457" stopIfTrue="1" operator="lessThanOrEqual">
      <formula>0</formula>
    </cfRule>
    <cfRule type="cellIs" dxfId="731" priority="416" stopIfTrue="1" operator="lessThanOrEqual">
      <formula>0</formula>
    </cfRule>
    <cfRule type="cellIs" dxfId="730" priority="448" stopIfTrue="1" operator="lessThanOrEqual">
      <formula>0</formula>
    </cfRule>
  </conditionalFormatting>
  <conditionalFormatting sqref="K21:U21 K20:S20">
    <cfRule type="cellIs" dxfId="729" priority="381" stopIfTrue="1" operator="lessThanOrEqual">
      <formula>0</formula>
    </cfRule>
  </conditionalFormatting>
  <conditionalFormatting sqref="K21:U21 K22:S29 O25:T25 M26:U26">
    <cfRule type="cellIs" dxfId="728" priority="541" stopIfTrue="1" operator="lessThanOrEqual">
      <formula>0</formula>
    </cfRule>
  </conditionalFormatting>
  <conditionalFormatting sqref="K21:U21 R22:U22 K22:S29 M23:U23 R24:U24 O25:T25 M26:U26 K19:S20">
    <cfRule type="cellIs" dxfId="727" priority="514" stopIfTrue="1" operator="lessThanOrEqual">
      <formula>0</formula>
    </cfRule>
    <cfRule type="cellIs" dxfId="726" priority="405" stopIfTrue="1" operator="lessThanOrEqual">
      <formula>0</formula>
    </cfRule>
  </conditionalFormatting>
  <conditionalFormatting sqref="K21:U21">
    <cfRule type="cellIs" dxfId="725" priority="415" stopIfTrue="1" operator="lessThanOrEqual">
      <formula>0</formula>
    </cfRule>
    <cfRule type="cellIs" dxfId="724" priority="540" stopIfTrue="1" operator="lessThanOrEqual">
      <formula>0</formula>
    </cfRule>
    <cfRule type="cellIs" dxfId="723" priority="398" stopIfTrue="1" operator="lessThanOrEqual">
      <formula>0</formula>
    </cfRule>
    <cfRule type="cellIs" dxfId="722" priority="447" stopIfTrue="1" operator="lessThanOrEqual">
      <formula>0</formula>
    </cfRule>
    <cfRule type="cellIs" dxfId="721" priority="512" stopIfTrue="1" operator="lessThanOrEqual">
      <formula>0</formula>
    </cfRule>
    <cfRule type="cellIs" dxfId="720" priority="506" stopIfTrue="1" operator="lessThanOrEqual">
      <formula>0</formula>
    </cfRule>
    <cfRule type="cellIs" dxfId="719" priority="379" stopIfTrue="1" operator="lessThanOrEqual">
      <formula>0</formula>
    </cfRule>
    <cfRule type="cellIs" dxfId="718" priority="507" stopIfTrue="1" operator="lessThanOrEqual">
      <formula>0</formula>
    </cfRule>
    <cfRule type="cellIs" dxfId="717" priority="456" stopIfTrue="1" operator="lessThanOrEqual">
      <formula>0</formula>
    </cfRule>
  </conditionalFormatting>
  <conditionalFormatting sqref="K21:U22">
    <cfRule type="cellIs" dxfId="716" priority="403" stopIfTrue="1" operator="lessThanOrEqual">
      <formula>0</formula>
    </cfRule>
  </conditionalFormatting>
  <conditionalFormatting sqref="K22:U22">
    <cfRule type="cellIs" dxfId="715" priority="402" stopIfTrue="1" operator="lessThanOrEqual">
      <formula>0</formula>
    </cfRule>
  </conditionalFormatting>
  <conditionalFormatting sqref="K23:U29">
    <cfRule type="cellIs" dxfId="714" priority="409" stopIfTrue="1" operator="lessThanOrEqual">
      <formula>0</formula>
    </cfRule>
  </conditionalFormatting>
  <conditionalFormatting sqref="K24:U24">
    <cfRule type="cellIs" dxfId="713" priority="371" stopIfTrue="1" operator="lessThanOrEqual">
      <formula>0</formula>
    </cfRule>
    <cfRule type="cellIs" dxfId="712" priority="375" stopIfTrue="1" operator="lessThanOrEqual">
      <formula>0</formula>
    </cfRule>
    <cfRule type="cellIs" dxfId="711" priority="376" stopIfTrue="1" operator="lessThanOrEqual">
      <formula>0</formula>
    </cfRule>
    <cfRule type="cellIs" dxfId="710" priority="384" stopIfTrue="1" operator="lessThanOrEqual">
      <formula>0</formula>
    </cfRule>
    <cfRule type="cellIs" dxfId="709" priority="389" stopIfTrue="1" operator="lessThanOrEqual">
      <formula>0</formula>
    </cfRule>
    <cfRule type="cellIs" dxfId="708" priority="390" stopIfTrue="1" operator="lessThanOrEqual">
      <formula>0</formula>
    </cfRule>
  </conditionalFormatting>
  <conditionalFormatting sqref="K37:V41 K49:W53">
    <cfRule type="cellIs" dxfId="707" priority="1368" stopIfTrue="1" operator="lessThanOrEqual">
      <formula>0</formula>
    </cfRule>
  </conditionalFormatting>
  <conditionalFormatting sqref="K37:V41 K49:Y53 X25:Y29 X37:Y41">
    <cfRule type="cellIs" dxfId="706" priority="7826" stopIfTrue="1" operator="lessThanOrEqual">
      <formula>0</formula>
    </cfRule>
  </conditionalFormatting>
  <conditionalFormatting sqref="K44:W45">
    <cfRule type="cellIs" dxfId="705" priority="1002" stopIfTrue="1" operator="lessThanOrEqual">
      <formula>0</formula>
    </cfRule>
  </conditionalFormatting>
  <conditionalFormatting sqref="K13:X13">
    <cfRule type="cellIs" dxfId="704" priority="586" stopIfTrue="1" operator="lessThanOrEqual">
      <formula>0</formula>
    </cfRule>
  </conditionalFormatting>
  <conditionalFormatting sqref="K64:Z64">
    <cfRule type="cellIs" dxfId="703" priority="13259" stopIfTrue="1" operator="lessThanOrEqual">
      <formula>0</formula>
    </cfRule>
  </conditionalFormatting>
  <conditionalFormatting sqref="L10:L11">
    <cfRule type="cellIs" dxfId="702" priority="7870" stopIfTrue="1" operator="lessThanOrEqual">
      <formula>0</formula>
    </cfRule>
  </conditionalFormatting>
  <conditionalFormatting sqref="L11:M11">
    <cfRule type="cellIs" dxfId="701" priority="1948" stopIfTrue="1" operator="lessThanOrEqual">
      <formula>0</formula>
    </cfRule>
    <cfRule type="cellIs" dxfId="700" priority="1946" stopIfTrue="1" operator="lessThanOrEqual">
      <formula>0</formula>
    </cfRule>
    <cfRule type="cellIs" dxfId="699" priority="1950" stopIfTrue="1" operator="lessThanOrEqual">
      <formula>0</formula>
    </cfRule>
    <cfRule type="cellIs" dxfId="698" priority="1945" stopIfTrue="1" operator="lessThanOrEqual">
      <formula>0</formula>
    </cfRule>
    <cfRule type="cellIs" dxfId="697" priority="1944" stopIfTrue="1" operator="lessThanOrEqual">
      <formula>0</formula>
    </cfRule>
    <cfRule type="cellIs" dxfId="696" priority="1951" stopIfTrue="1" operator="lessThanOrEqual">
      <formula>0</formula>
    </cfRule>
    <cfRule type="cellIs" dxfId="695" priority="1943" stopIfTrue="1" operator="lessThanOrEqual">
      <formula>0</formula>
    </cfRule>
    <cfRule type="cellIs" dxfId="694" priority="1949" stopIfTrue="1" operator="lessThanOrEqual">
      <formula>0</formula>
    </cfRule>
  </conditionalFormatting>
  <conditionalFormatting sqref="L20:M21">
    <cfRule type="cellIs" dxfId="693" priority="96" stopIfTrue="1" operator="lessThanOrEqual">
      <formula>0</formula>
    </cfRule>
  </conditionalFormatting>
  <conditionalFormatting sqref="L54:P54 L59:P63">
    <cfRule type="cellIs" dxfId="692" priority="9040" stopIfTrue="1" operator="lessThanOrEqual">
      <formula>0</formula>
    </cfRule>
  </conditionalFormatting>
  <conditionalFormatting sqref="L19:S19">
    <cfRule type="cellIs" dxfId="691" priority="350" stopIfTrue="1" operator="lessThanOrEqual">
      <formula>0</formula>
    </cfRule>
  </conditionalFormatting>
  <conditionalFormatting sqref="L23:S29 R24:U24 O25:T25 M26:U26">
    <cfRule type="cellIs" dxfId="690" priority="351" stopIfTrue="1" operator="lessThanOrEqual">
      <formula>0</formula>
    </cfRule>
  </conditionalFormatting>
  <conditionalFormatting sqref="L37:T37">
    <cfRule type="cellIs" dxfId="689" priority="1118" stopIfTrue="1" operator="lessThanOrEqual">
      <formula>0</formula>
    </cfRule>
  </conditionalFormatting>
  <conditionalFormatting sqref="L54:T54">
    <cfRule type="cellIs" dxfId="688" priority="9041" stopIfTrue="1" operator="lessThanOrEqual">
      <formula>0</formula>
    </cfRule>
    <cfRule type="cellIs" dxfId="687" priority="12051" stopIfTrue="1" operator="lessThanOrEqual">
      <formula>0</formula>
    </cfRule>
  </conditionalFormatting>
  <conditionalFormatting sqref="L59:T63">
    <cfRule type="cellIs" dxfId="686" priority="12758" stopIfTrue="1" operator="lessThanOrEqual">
      <formula>0</formula>
    </cfRule>
  </conditionalFormatting>
  <conditionalFormatting sqref="L63:T63">
    <cfRule type="cellIs" dxfId="685" priority="4870" stopIfTrue="1" operator="lessThanOrEqual">
      <formula>0</formula>
    </cfRule>
    <cfRule type="cellIs" dxfId="684" priority="9626" stopIfTrue="1" operator="lessThanOrEqual">
      <formula>0</formula>
    </cfRule>
    <cfRule type="cellIs" dxfId="683" priority="12757" stopIfTrue="1" operator="lessThanOrEqual">
      <formula>0</formula>
    </cfRule>
  </conditionalFormatting>
  <conditionalFormatting sqref="L31:V33">
    <cfRule type="cellIs" dxfId="682" priority="1173" stopIfTrue="1" operator="lessThanOrEqual">
      <formula>0</formula>
    </cfRule>
  </conditionalFormatting>
  <conditionalFormatting sqref="L32:V33">
    <cfRule type="cellIs" dxfId="681" priority="1156" stopIfTrue="1" operator="lessThanOrEqual">
      <formula>0</formula>
    </cfRule>
  </conditionalFormatting>
  <conditionalFormatting sqref="L32:V37">
    <cfRule type="cellIs" dxfId="680" priority="1177" stopIfTrue="1" operator="lessThanOrEqual">
      <formula>0</formula>
    </cfRule>
  </conditionalFormatting>
  <conditionalFormatting sqref="L33:V33">
    <cfRule type="cellIs" dxfId="679" priority="1200" stopIfTrue="1" operator="lessThanOrEqual">
      <formula>0</formula>
    </cfRule>
  </conditionalFormatting>
  <conditionalFormatting sqref="L35:V37">
    <cfRule type="cellIs" dxfId="678" priority="1154" stopIfTrue="1" operator="lessThanOrEqual">
      <formula>0</formula>
    </cfRule>
  </conditionalFormatting>
  <conditionalFormatting sqref="L36:V36">
    <cfRule type="cellIs" dxfId="677" priority="1140" stopIfTrue="1" operator="lessThanOrEqual">
      <formula>0</formula>
    </cfRule>
    <cfRule type="cellIs" dxfId="676" priority="1141" stopIfTrue="1" operator="lessThanOrEqual">
      <formula>0</formula>
    </cfRule>
    <cfRule type="cellIs" dxfId="675" priority="1142" stopIfTrue="1" operator="lessThanOrEqual">
      <formula>0</formula>
    </cfRule>
    <cfRule type="cellIs" dxfId="674" priority="1129" stopIfTrue="1" operator="lessThanOrEqual">
      <formula>0</formula>
    </cfRule>
    <cfRule type="cellIs" dxfId="673" priority="1139" stopIfTrue="1" operator="lessThanOrEqual">
      <formula>0</formula>
    </cfRule>
  </conditionalFormatting>
  <conditionalFormatting sqref="L54:V54">
    <cfRule type="cellIs" dxfId="672" priority="12053" stopIfTrue="1" operator="lessThanOrEqual">
      <formula>0</formula>
    </cfRule>
  </conditionalFormatting>
  <conditionalFormatting sqref="L43:W45">
    <cfRule type="cellIs" dxfId="671" priority="1065" stopIfTrue="1" operator="lessThanOrEqual">
      <formula>0</formula>
    </cfRule>
  </conditionalFormatting>
  <conditionalFormatting sqref="L44:W45">
    <cfRule type="cellIs" dxfId="670" priority="1048" stopIfTrue="1" operator="lessThanOrEqual">
      <formula>0</formula>
    </cfRule>
  </conditionalFormatting>
  <conditionalFormatting sqref="L44:W49">
    <cfRule type="cellIs" dxfId="669" priority="1069" stopIfTrue="1" operator="lessThanOrEqual">
      <formula>0</formula>
    </cfRule>
  </conditionalFormatting>
  <conditionalFormatting sqref="L45:W45">
    <cfRule type="cellIs" dxfId="668" priority="1092" stopIfTrue="1" operator="lessThanOrEqual">
      <formula>0</formula>
    </cfRule>
  </conditionalFormatting>
  <conditionalFormatting sqref="L47:W49">
    <cfRule type="cellIs" dxfId="667" priority="1046" stopIfTrue="1" operator="lessThanOrEqual">
      <formula>0</formula>
    </cfRule>
  </conditionalFormatting>
  <conditionalFormatting sqref="L48:W48">
    <cfRule type="cellIs" dxfId="666" priority="1033" stopIfTrue="1" operator="lessThanOrEqual">
      <formula>0</formula>
    </cfRule>
    <cfRule type="cellIs" dxfId="665" priority="1032" stopIfTrue="1" operator="lessThanOrEqual">
      <formula>0</formula>
    </cfRule>
    <cfRule type="cellIs" dxfId="664" priority="1031" stopIfTrue="1" operator="lessThanOrEqual">
      <formula>0</formula>
    </cfRule>
    <cfRule type="cellIs" dxfId="663" priority="1034" stopIfTrue="1" operator="lessThanOrEqual">
      <formula>0</formula>
    </cfRule>
  </conditionalFormatting>
  <conditionalFormatting sqref="L48:W49">
    <cfRule type="cellIs" dxfId="662" priority="1010" stopIfTrue="1" operator="lessThanOrEqual">
      <formula>0</formula>
    </cfRule>
  </conditionalFormatting>
  <conditionalFormatting sqref="L39:AA39">
    <cfRule type="cellIs" dxfId="661" priority="1117" stopIfTrue="1" operator="lessThanOrEqual">
      <formula>0</formula>
    </cfRule>
  </conditionalFormatting>
  <conditionalFormatting sqref="L51:AA51">
    <cfRule type="cellIs" dxfId="660" priority="1009" stopIfTrue="1" operator="lessThanOrEqual">
      <formula>0</formula>
    </cfRule>
  </conditionalFormatting>
  <conditionalFormatting sqref="L32:AC32">
    <cfRule type="cellIs" dxfId="659" priority="1215" stopIfTrue="1" operator="lessThanOrEqual">
      <formula>0</formula>
    </cfRule>
  </conditionalFormatting>
  <conditionalFormatting sqref="L44:AC44">
    <cfRule type="cellIs" dxfId="658" priority="1107" stopIfTrue="1" operator="lessThanOrEqual">
      <formula>0</formula>
    </cfRule>
  </conditionalFormatting>
  <conditionalFormatting sqref="L37:AN37 U38:AK38">
    <cfRule type="cellIs" dxfId="657" priority="1203" stopIfTrue="1" operator="lessThanOrEqual">
      <formula>0</formula>
    </cfRule>
  </conditionalFormatting>
  <conditionalFormatting sqref="M31:S31">
    <cfRule type="cellIs" dxfId="656" priority="797" stopIfTrue="1" operator="lessThanOrEqual">
      <formula>0</formula>
    </cfRule>
    <cfRule type="cellIs" dxfId="655" priority="798" stopIfTrue="1" operator="lessThanOrEqual">
      <formula>0</formula>
    </cfRule>
  </conditionalFormatting>
  <conditionalFormatting sqref="M31:S33 T33">
    <cfRule type="cellIs" dxfId="654" priority="773" stopIfTrue="1" operator="lessThanOrEqual">
      <formula>0</formula>
    </cfRule>
  </conditionalFormatting>
  <conditionalFormatting sqref="M32:S33 T33">
    <cfRule type="cellIs" dxfId="653" priority="796" stopIfTrue="1" operator="lessThanOrEqual">
      <formula>0</formula>
    </cfRule>
  </conditionalFormatting>
  <conditionalFormatting sqref="M34:S36">
    <cfRule type="cellIs" dxfId="652" priority="806" stopIfTrue="1" operator="lessThanOrEqual">
      <formula>0</formula>
    </cfRule>
  </conditionalFormatting>
  <conditionalFormatting sqref="M36:S36">
    <cfRule type="cellIs" dxfId="651" priority="792" stopIfTrue="1" operator="lessThanOrEqual">
      <formula>0</formula>
    </cfRule>
    <cfRule type="cellIs" dxfId="650" priority="803" stopIfTrue="1" operator="lessThanOrEqual">
      <formula>0</formula>
    </cfRule>
    <cfRule type="cellIs" dxfId="649" priority="789" stopIfTrue="1" operator="lessThanOrEqual">
      <formula>0</formula>
    </cfRule>
  </conditionalFormatting>
  <conditionalFormatting sqref="M36:S37">
    <cfRule type="cellIs" dxfId="648" priority="795" stopIfTrue="1" operator="lessThanOrEqual">
      <formula>0</formula>
    </cfRule>
  </conditionalFormatting>
  <conditionalFormatting sqref="M25:T25 N25:S29">
    <cfRule type="cellIs" dxfId="647" priority="356" stopIfTrue="1" operator="lessThanOrEqual">
      <formula>0</formula>
    </cfRule>
  </conditionalFormatting>
  <conditionalFormatting sqref="M31:T31">
    <cfRule type="cellIs" dxfId="646" priority="804" stopIfTrue="1" operator="lessThanOrEqual">
      <formula>0</formula>
    </cfRule>
  </conditionalFormatting>
  <conditionalFormatting sqref="M31:T33">
    <cfRule type="cellIs" dxfId="645" priority="820" stopIfTrue="1" operator="lessThanOrEqual">
      <formula>0</formula>
    </cfRule>
  </conditionalFormatting>
  <conditionalFormatting sqref="M31:T37">
    <cfRule type="cellIs" dxfId="644" priority="845" stopIfTrue="1" operator="lessThanOrEqual">
      <formula>0</formula>
    </cfRule>
  </conditionalFormatting>
  <conditionalFormatting sqref="M31:T41 P43:U53 T45:W45 R47:W47 S49:W49 Q50:W53">
    <cfRule type="cellIs" dxfId="643" priority="1323" stopIfTrue="1" operator="lessThanOrEqual">
      <formula>0</formula>
    </cfRule>
  </conditionalFormatting>
  <conditionalFormatting sqref="M32:T32">
    <cfRule type="cellIs" dxfId="642" priority="851" stopIfTrue="1" operator="lessThanOrEqual">
      <formula>0</formula>
    </cfRule>
  </conditionalFormatting>
  <conditionalFormatting sqref="M32:T33">
    <cfRule type="cellIs" dxfId="641" priority="826" stopIfTrue="1" operator="lessThanOrEqual">
      <formula>0</formula>
    </cfRule>
  </conditionalFormatting>
  <conditionalFormatting sqref="M32:T34">
    <cfRule type="cellIs" dxfId="640" priority="809" stopIfTrue="1" operator="lessThanOrEqual">
      <formula>0</formula>
    </cfRule>
  </conditionalFormatting>
  <conditionalFormatting sqref="M32:T38">
    <cfRule type="cellIs" dxfId="639" priority="852" stopIfTrue="1" operator="lessThanOrEqual">
      <formula>0</formula>
    </cfRule>
  </conditionalFormatting>
  <conditionalFormatting sqref="M33:T33">
    <cfRule type="cellIs" dxfId="638" priority="805" stopIfTrue="1" operator="lessThanOrEqual">
      <formula>0</formula>
    </cfRule>
    <cfRule type="cellIs" dxfId="637" priority="816" stopIfTrue="1" operator="lessThanOrEqual">
      <formula>0</formula>
    </cfRule>
    <cfRule type="cellIs" dxfId="636" priority="823" stopIfTrue="1" operator="lessThanOrEqual">
      <formula>0</formula>
    </cfRule>
    <cfRule type="cellIs" dxfId="635" priority="843" stopIfTrue="1" operator="lessThanOrEqual">
      <formula>0</formula>
    </cfRule>
    <cfRule type="cellIs" dxfId="634" priority="794" stopIfTrue="1" operator="lessThanOrEqual">
      <formula>0</formula>
    </cfRule>
    <cfRule type="cellIs" dxfId="633" priority="780" stopIfTrue="1" operator="lessThanOrEqual">
      <formula>0</formula>
    </cfRule>
    <cfRule type="cellIs" dxfId="632" priority="828" stopIfTrue="1" operator="lessThanOrEqual">
      <formula>0</formula>
    </cfRule>
  </conditionalFormatting>
  <conditionalFormatting sqref="M33:T36">
    <cfRule type="cellIs" dxfId="631" priority="840" stopIfTrue="1" operator="lessThanOrEqual">
      <formula>0</formula>
    </cfRule>
  </conditionalFormatting>
  <conditionalFormatting sqref="M34:T34">
    <cfRule type="cellIs" dxfId="630" priority="808" stopIfTrue="1" operator="lessThanOrEqual">
      <formula>0</formula>
    </cfRule>
  </conditionalFormatting>
  <conditionalFormatting sqref="M34:T37">
    <cfRule type="cellIs" dxfId="629" priority="813" stopIfTrue="1" operator="lessThanOrEqual">
      <formula>0</formula>
    </cfRule>
  </conditionalFormatting>
  <conditionalFormatting sqref="M35:T41">
    <cfRule type="cellIs" dxfId="628" priority="807" stopIfTrue="1" operator="lessThanOrEqual">
      <formula>0</formula>
    </cfRule>
  </conditionalFormatting>
  <conditionalFormatting sqref="M36:T36">
    <cfRule type="cellIs" dxfId="627" priority="801" stopIfTrue="1" operator="lessThanOrEqual">
      <formula>0</formula>
    </cfRule>
    <cfRule type="cellIs" dxfId="626" priority="800" stopIfTrue="1" operator="lessThanOrEqual">
      <formula>0</formula>
    </cfRule>
    <cfRule type="cellIs" dxfId="625" priority="802" stopIfTrue="1" operator="lessThanOrEqual">
      <formula>0</formula>
    </cfRule>
    <cfRule type="cellIs" dxfId="624" priority="799" stopIfTrue="1" operator="lessThanOrEqual">
      <formula>0</formula>
    </cfRule>
    <cfRule type="cellIs" dxfId="623" priority="791" stopIfTrue="1" operator="lessThanOrEqual">
      <formula>0</formula>
    </cfRule>
  </conditionalFormatting>
  <conditionalFormatting sqref="M37:T37">
    <cfRule type="cellIs" dxfId="622" priority="815" stopIfTrue="1" operator="lessThanOrEqual">
      <formula>0</formula>
    </cfRule>
    <cfRule type="cellIs" dxfId="621" priority="824" stopIfTrue="1" operator="lessThanOrEqual">
      <formula>0</formula>
    </cfRule>
    <cfRule type="cellIs" dxfId="620" priority="825" stopIfTrue="1" operator="lessThanOrEqual">
      <formula>0</formula>
    </cfRule>
  </conditionalFormatting>
  <conditionalFormatting sqref="M39:T39">
    <cfRule type="cellIs" dxfId="619" priority="834" stopIfTrue="1" operator="lessThanOrEqual">
      <formula>0</formula>
    </cfRule>
    <cfRule type="cellIs" dxfId="618" priority="835" stopIfTrue="1" operator="lessThanOrEqual">
      <formula>0</formula>
    </cfRule>
    <cfRule type="cellIs" dxfId="617" priority="836" stopIfTrue="1" operator="lessThanOrEqual">
      <formula>0</formula>
    </cfRule>
    <cfRule type="cellIs" dxfId="616" priority="837" stopIfTrue="1" operator="lessThanOrEqual">
      <formula>0</formula>
    </cfRule>
    <cfRule type="cellIs" dxfId="615" priority="838" stopIfTrue="1" operator="lessThanOrEqual">
      <formula>0</formula>
    </cfRule>
    <cfRule type="cellIs" dxfId="614" priority="848" stopIfTrue="1" operator="lessThanOrEqual">
      <formula>0</formula>
    </cfRule>
    <cfRule type="cellIs" dxfId="613" priority="839" stopIfTrue="1" operator="lessThanOrEqual">
      <formula>0</formula>
    </cfRule>
    <cfRule type="cellIs" dxfId="612" priority="784" stopIfTrue="1" operator="lessThanOrEqual">
      <formula>0</formula>
    </cfRule>
    <cfRule type="cellIs" dxfId="611" priority="832" stopIfTrue="1" operator="lessThanOrEqual">
      <formula>0</formula>
    </cfRule>
    <cfRule type="cellIs" dxfId="610" priority="833" stopIfTrue="1" operator="lessThanOrEqual">
      <formula>0</formula>
    </cfRule>
  </conditionalFormatting>
  <conditionalFormatting sqref="M23:U23 G23:P24">
    <cfRule type="cellIs" dxfId="609" priority="327" stopIfTrue="1" operator="lessThanOrEqual">
      <formula>0</formula>
    </cfRule>
  </conditionalFormatting>
  <conditionalFormatting sqref="M24:U24">
    <cfRule type="cellIs" dxfId="608" priority="354" stopIfTrue="1" operator="lessThanOrEqual">
      <formula>0</formula>
    </cfRule>
    <cfRule type="cellIs" dxfId="607" priority="311" stopIfTrue="1" operator="lessThanOrEqual">
      <formula>0</formula>
    </cfRule>
    <cfRule type="cellIs" dxfId="606" priority="310" stopIfTrue="1" operator="lessThanOrEqual">
      <formula>0</formula>
    </cfRule>
  </conditionalFormatting>
  <conditionalFormatting sqref="M26:U26 K26:S29">
    <cfRule type="cellIs" dxfId="605" priority="495" stopIfTrue="1" operator="lessThanOrEqual">
      <formula>0</formula>
    </cfRule>
    <cfRule type="cellIs" dxfId="604" priority="497" stopIfTrue="1" operator="lessThanOrEqual">
      <formula>0</formula>
    </cfRule>
    <cfRule type="cellIs" dxfId="603" priority="496" stopIfTrue="1" operator="lessThanOrEqual">
      <formula>0</formula>
    </cfRule>
    <cfRule type="cellIs" dxfId="602" priority="493" stopIfTrue="1" operator="lessThanOrEqual">
      <formula>0</formula>
    </cfRule>
    <cfRule type="cellIs" dxfId="601" priority="494" stopIfTrue="1" operator="lessThanOrEqual">
      <formula>0</formula>
    </cfRule>
  </conditionalFormatting>
  <conditionalFormatting sqref="M31:V41 U43:V53">
    <cfRule type="cellIs" dxfId="600" priority="1223" stopIfTrue="1" operator="lessThanOrEqual">
      <formula>0</formula>
    </cfRule>
  </conditionalFormatting>
  <conditionalFormatting sqref="M34:V34">
    <cfRule type="cellIs" dxfId="599" priority="1149" stopIfTrue="1" operator="lessThanOrEqual">
      <formula>0</formula>
    </cfRule>
    <cfRule type="cellIs" dxfId="598" priority="1150" stopIfTrue="1" operator="lessThanOrEqual">
      <formula>0</formula>
    </cfRule>
  </conditionalFormatting>
  <conditionalFormatting sqref="M54:V54">
    <cfRule type="cellIs" dxfId="597" priority="12075" stopIfTrue="1" operator="lessThanOrEqual">
      <formula>0</formula>
    </cfRule>
    <cfRule type="cellIs" dxfId="596" priority="12073" stopIfTrue="1" operator="lessThanOrEqual">
      <formula>0</formula>
    </cfRule>
  </conditionalFormatting>
  <conditionalFormatting sqref="M46:W46">
    <cfRule type="cellIs" dxfId="595" priority="1041" stopIfTrue="1" operator="lessThanOrEqual">
      <formula>0</formula>
    </cfRule>
    <cfRule type="cellIs" dxfId="594" priority="1042" stopIfTrue="1" operator="lessThanOrEqual">
      <formula>0</formula>
    </cfRule>
  </conditionalFormatting>
  <conditionalFormatting sqref="M51:W53">
    <cfRule type="cellIs" dxfId="593" priority="13317" stopIfTrue="1" operator="lessThanOrEqual">
      <formula>0</formula>
    </cfRule>
  </conditionalFormatting>
  <conditionalFormatting sqref="N11">
    <cfRule type="cellIs" dxfId="592" priority="7627" stopIfTrue="1" operator="lessThanOrEqual">
      <formula>0</formula>
    </cfRule>
    <cfRule type="cellIs" dxfId="591" priority="7626" stopIfTrue="1" operator="lessThanOrEqual">
      <formula>0</formula>
    </cfRule>
  </conditionalFormatting>
  <conditionalFormatting sqref="N35:N37">
    <cfRule type="cellIs" dxfId="590" priority="950" stopIfTrue="1" operator="lessThanOrEqual">
      <formula>0</formula>
    </cfRule>
  </conditionalFormatting>
  <conditionalFormatting sqref="N65:N70 O70">
    <cfRule type="cellIs" dxfId="589" priority="313" stopIfTrue="1" operator="lessThanOrEqual">
      <formula>0</formula>
    </cfRule>
  </conditionalFormatting>
  <conditionalFormatting sqref="N10:O11">
    <cfRule type="cellIs" dxfId="588" priority="4705" stopIfTrue="1" operator="lessThanOrEqual">
      <formula>0</formula>
    </cfRule>
  </conditionalFormatting>
  <conditionalFormatting sqref="N35:O41 P38:T40">
    <cfRule type="cellIs" dxfId="587" priority="776" stopIfTrue="1" operator="lessThanOrEqual">
      <formula>0</formula>
    </cfRule>
  </conditionalFormatting>
  <conditionalFormatting sqref="N66:O66">
    <cfRule type="cellIs" dxfId="586" priority="8" stopIfTrue="1" operator="lessThanOrEqual">
      <formula>0</formula>
    </cfRule>
  </conditionalFormatting>
  <conditionalFormatting sqref="N13:P13">
    <cfRule type="cellIs" dxfId="585" priority="580" stopIfTrue="1" operator="lessThanOrEqual">
      <formula>0</formula>
    </cfRule>
    <cfRule type="cellIs" dxfId="584" priority="579" stopIfTrue="1" operator="lessThanOrEqual">
      <formula>0</formula>
    </cfRule>
    <cfRule type="cellIs" dxfId="583" priority="578" stopIfTrue="1" operator="lessThanOrEqual">
      <formula>0</formula>
    </cfRule>
    <cfRule type="cellIs" dxfId="582" priority="577" stopIfTrue="1" operator="lessThanOrEqual">
      <formula>0</formula>
    </cfRule>
  </conditionalFormatting>
  <conditionalFormatting sqref="N23:P29">
    <cfRule type="cellIs" dxfId="581" priority="360" stopIfTrue="1" operator="lessThanOrEqual">
      <formula>0</formula>
    </cfRule>
  </conditionalFormatting>
  <conditionalFormatting sqref="N24:P29">
    <cfRule type="cellIs" dxfId="580" priority="357" stopIfTrue="1" operator="lessThanOrEqual">
      <formula>0</formula>
    </cfRule>
    <cfRule type="cellIs" dxfId="579" priority="355" stopIfTrue="1" operator="lessThanOrEqual">
      <formula>0</formula>
    </cfRule>
  </conditionalFormatting>
  <conditionalFormatting sqref="N65:P66">
    <cfRule type="cellIs" dxfId="578" priority="5" stopIfTrue="1" operator="lessThanOrEqual">
      <formula>0</formula>
    </cfRule>
  </conditionalFormatting>
  <conditionalFormatting sqref="N68:P68">
    <cfRule type="cellIs" dxfId="577" priority="77" stopIfTrue="1" operator="lessThanOrEqual">
      <formula>0</formula>
    </cfRule>
  </conditionalFormatting>
  <conditionalFormatting sqref="N11:Q11">
    <cfRule type="cellIs" dxfId="576" priority="6574" stopIfTrue="1" operator="lessThanOrEqual">
      <formula>0</formula>
    </cfRule>
  </conditionalFormatting>
  <conditionalFormatting sqref="N59:R62">
    <cfRule type="cellIs" dxfId="575" priority="9662" stopIfTrue="1" operator="lessThanOrEqual">
      <formula>0</formula>
    </cfRule>
  </conditionalFormatting>
  <conditionalFormatting sqref="N59:S63">
    <cfRule type="cellIs" dxfId="574" priority="12756" stopIfTrue="1" operator="lessThanOrEqual">
      <formula>0</formula>
    </cfRule>
  </conditionalFormatting>
  <conditionalFormatting sqref="N39:T40">
    <cfRule type="cellIs" dxfId="573" priority="856" stopIfTrue="1" operator="lessThanOrEqual">
      <formula>0</formula>
    </cfRule>
  </conditionalFormatting>
  <conditionalFormatting sqref="N24:U24">
    <cfRule type="cellIs" dxfId="572" priority="347" stopIfTrue="1" operator="lessThanOrEqual">
      <formula>0</formula>
    </cfRule>
    <cfRule type="cellIs" dxfId="571" priority="348" stopIfTrue="1" operator="lessThanOrEqual">
      <formula>0</formula>
    </cfRule>
  </conditionalFormatting>
  <conditionalFormatting sqref="N65:U65">
    <cfRule type="cellIs" dxfId="570" priority="315" stopIfTrue="1" operator="lessThanOrEqual">
      <formula>0</formula>
    </cfRule>
  </conditionalFormatting>
  <conditionalFormatting sqref="N55:V55">
    <cfRule type="cellIs" dxfId="569" priority="84" stopIfTrue="1" operator="lessThanOrEqual">
      <formula>0</formula>
    </cfRule>
    <cfRule type="cellIs" dxfId="568" priority="82" stopIfTrue="1" operator="lessThanOrEqual">
      <formula>0</formula>
    </cfRule>
  </conditionalFormatting>
  <conditionalFormatting sqref="N47:W49">
    <cfRule type="cellIs" dxfId="567" priority="984" stopIfTrue="1" operator="lessThanOrEqual">
      <formula>0</formula>
    </cfRule>
  </conditionalFormatting>
  <conditionalFormatting sqref="N13:X13">
    <cfRule type="cellIs" dxfId="566" priority="576" stopIfTrue="1" operator="lessThanOrEqual">
      <formula>0</formula>
    </cfRule>
    <cfRule type="cellIs" dxfId="565" priority="575" stopIfTrue="1" operator="lessThanOrEqual">
      <formula>0</formula>
    </cfRule>
    <cfRule type="cellIs" dxfId="564" priority="581" stopIfTrue="1" operator="lessThanOrEqual">
      <formula>0</formula>
    </cfRule>
    <cfRule type="cellIs" dxfId="563" priority="582" stopIfTrue="1" operator="lessThanOrEqual">
      <formula>0</formula>
    </cfRule>
  </conditionalFormatting>
  <conditionalFormatting sqref="N36:X36">
    <cfRule type="cellIs" dxfId="562" priority="1155" stopIfTrue="1" operator="lessThanOrEqual">
      <formula>0</formula>
    </cfRule>
  </conditionalFormatting>
  <conditionalFormatting sqref="N48:X48">
    <cfRule type="cellIs" dxfId="561" priority="1047" stopIfTrue="1" operator="lessThanOrEqual">
      <formula>0</formula>
    </cfRule>
  </conditionalFormatting>
  <conditionalFormatting sqref="N34:AN34">
    <cfRule type="cellIs" dxfId="560" priority="1208" stopIfTrue="1" operator="lessThanOrEqual">
      <formula>0</formula>
    </cfRule>
  </conditionalFormatting>
  <conditionalFormatting sqref="N46:AN46">
    <cfRule type="cellIs" dxfId="559" priority="1100" stopIfTrue="1" operator="lessThanOrEqual">
      <formula>0</formula>
    </cfRule>
  </conditionalFormatting>
  <conditionalFormatting sqref="O11">
    <cfRule type="cellIs" dxfId="558" priority="4606" stopIfTrue="1" operator="lessThanOrEqual">
      <formula>0</formula>
    </cfRule>
    <cfRule type="cellIs" dxfId="557" priority="1815" stopIfTrue="1" operator="lessThanOrEqual">
      <formula>0</formula>
    </cfRule>
    <cfRule type="cellIs" dxfId="556" priority="1823" stopIfTrue="1" operator="lessThanOrEqual">
      <formula>0</formula>
    </cfRule>
    <cfRule type="cellIs" dxfId="555" priority="1822" stopIfTrue="1" operator="lessThanOrEqual">
      <formula>0</formula>
    </cfRule>
    <cfRule type="cellIs" dxfId="554" priority="1821" stopIfTrue="1" operator="lessThanOrEqual">
      <formula>0</formula>
    </cfRule>
    <cfRule type="cellIs" dxfId="553" priority="1820" stopIfTrue="1" operator="lessThanOrEqual">
      <formula>0</formula>
    </cfRule>
    <cfRule type="cellIs" dxfId="552" priority="1819" stopIfTrue="1" operator="lessThanOrEqual">
      <formula>0</formula>
    </cfRule>
    <cfRule type="cellIs" dxfId="551" priority="1817" stopIfTrue="1" operator="lessThanOrEqual">
      <formula>0</formula>
    </cfRule>
    <cfRule type="cellIs" dxfId="550" priority="1816" stopIfTrue="1" operator="lessThanOrEqual">
      <formula>0</formula>
    </cfRule>
    <cfRule type="cellIs" dxfId="549" priority="1814" stopIfTrue="1" operator="lessThanOrEqual">
      <formula>0</formula>
    </cfRule>
  </conditionalFormatting>
  <conditionalFormatting sqref="O24:O29">
    <cfRule type="cellIs" dxfId="548" priority="329" stopIfTrue="1" operator="lessThanOrEqual">
      <formula>0</formula>
    </cfRule>
  </conditionalFormatting>
  <conditionalFormatting sqref="O25">
    <cfRule type="cellIs" dxfId="547" priority="309" stopIfTrue="1" operator="lessThanOrEqual">
      <formula>0</formula>
    </cfRule>
  </conditionalFormatting>
  <conditionalFormatting sqref="O35:O36">
    <cfRule type="cellIs" dxfId="546" priority="790" stopIfTrue="1" operator="lessThanOrEqual">
      <formula>0</formula>
    </cfRule>
  </conditionalFormatting>
  <conditionalFormatting sqref="O11:P11">
    <cfRule type="cellIs" dxfId="545" priority="4650" stopIfTrue="1" operator="lessThanOrEqual">
      <formula>0</formula>
    </cfRule>
    <cfRule type="cellIs" dxfId="544" priority="4608" stopIfTrue="1" operator="lessThanOrEqual">
      <formula>0</formula>
    </cfRule>
    <cfRule type="cellIs" dxfId="543" priority="4607" stopIfTrue="1" operator="lessThanOrEqual">
      <formula>0</formula>
    </cfRule>
    <cfRule type="cellIs" dxfId="542" priority="4649" stopIfTrue="1" operator="lessThanOrEqual">
      <formula>0</formula>
    </cfRule>
  </conditionalFormatting>
  <conditionalFormatting sqref="O19:P20 O22:P29 P23:Q23">
    <cfRule type="cellIs" dxfId="541" priority="324" stopIfTrue="1" operator="lessThanOrEqual">
      <formula>0</formula>
    </cfRule>
  </conditionalFormatting>
  <conditionalFormatting sqref="O19:P20">
    <cfRule type="cellIs" dxfId="540" priority="323" stopIfTrue="1" operator="lessThanOrEqual">
      <formula>0</formula>
    </cfRule>
  </conditionalFormatting>
  <conditionalFormatting sqref="O20:P20 O22:O29">
    <cfRule type="cellIs" dxfId="539" priority="325" stopIfTrue="1" operator="lessThanOrEqual">
      <formula>0</formula>
    </cfRule>
  </conditionalFormatting>
  <conditionalFormatting sqref="O22:P29 N23:N29">
    <cfRule type="cellIs" dxfId="538" priority="322" stopIfTrue="1" operator="lessThanOrEqual">
      <formula>0</formula>
    </cfRule>
  </conditionalFormatting>
  <conditionalFormatting sqref="O23:P23">
    <cfRule type="cellIs" dxfId="537" priority="62" stopIfTrue="1" operator="lessThanOrEqual">
      <formula>0</formula>
    </cfRule>
  </conditionalFormatting>
  <conditionalFormatting sqref="O23:P29">
    <cfRule type="cellIs" dxfId="536" priority="330" stopIfTrue="1" operator="lessThanOrEqual">
      <formula>0</formula>
    </cfRule>
  </conditionalFormatting>
  <conditionalFormatting sqref="O27:P27">
    <cfRule type="cellIs" dxfId="535" priority="359" stopIfTrue="1" operator="lessThanOrEqual">
      <formula>0</formula>
    </cfRule>
  </conditionalFormatting>
  <conditionalFormatting sqref="O67:P67">
    <cfRule type="cellIs" dxfId="534" priority="945" stopIfTrue="1" operator="lessThanOrEqual">
      <formula>0</formula>
    </cfRule>
  </conditionalFormatting>
  <conditionalFormatting sqref="O25:T25 K25:S29 M26:U26">
    <cfRule type="cellIs" dxfId="533" priority="395" stopIfTrue="1" operator="lessThanOrEqual">
      <formula>0</formula>
    </cfRule>
    <cfRule type="cellIs" dxfId="532" priority="525" stopIfTrue="1" operator="lessThanOrEqual">
      <formula>0</formula>
    </cfRule>
    <cfRule type="cellIs" dxfId="531" priority="408" stopIfTrue="1" operator="lessThanOrEqual">
      <formula>0</formula>
    </cfRule>
    <cfRule type="cellIs" dxfId="530" priority="445" stopIfTrue="1" operator="lessThanOrEqual">
      <formula>0</formula>
    </cfRule>
  </conditionalFormatting>
  <conditionalFormatting sqref="O35:T36">
    <cfRule type="cellIs" dxfId="529" priority="948" stopIfTrue="1" operator="lessThanOrEqual">
      <formula>0</formula>
    </cfRule>
  </conditionalFormatting>
  <conditionalFormatting sqref="O47:U48 H47:AA47">
    <cfRule type="cellIs" dxfId="528" priority="982" stopIfTrue="1" operator="lessThanOrEqual">
      <formula>0</formula>
    </cfRule>
  </conditionalFormatting>
  <conditionalFormatting sqref="O31:V31">
    <cfRule type="cellIs" dxfId="527" priority="857" stopIfTrue="1" operator="lessThanOrEqual">
      <formula>0</formula>
    </cfRule>
  </conditionalFormatting>
  <conditionalFormatting sqref="O36:V36">
    <cfRule type="cellIs" dxfId="526" priority="1115" stopIfTrue="1" operator="lessThanOrEqual">
      <formula>0</formula>
    </cfRule>
  </conditionalFormatting>
  <conditionalFormatting sqref="O43:V43">
    <cfRule type="cellIs" dxfId="525" priority="1012" stopIfTrue="1" operator="lessThanOrEqual">
      <formula>0</formula>
    </cfRule>
  </conditionalFormatting>
  <conditionalFormatting sqref="O48:V48">
    <cfRule type="cellIs" dxfId="524" priority="1007" stopIfTrue="1" operator="lessThanOrEqual">
      <formula>0</formula>
    </cfRule>
  </conditionalFormatting>
  <conditionalFormatting sqref="O46:W53 L46:U54 E50:J54 J65:M68 I65:I70 R65:R70 U69:V71 I71:AO77 D71:H79 I78:AN79 D13:G13 D46:D54">
    <cfRule type="cellIs" dxfId="523" priority="7237" stopIfTrue="1" operator="lessThanOrEqual">
      <formula>0</formula>
    </cfRule>
  </conditionalFormatting>
  <conditionalFormatting sqref="O13:X13">
    <cfRule type="cellIs" dxfId="522" priority="585" stopIfTrue="1" operator="lessThanOrEqual">
      <formula>0</formula>
    </cfRule>
    <cfRule type="cellIs" dxfId="521" priority="572" stopIfTrue="1" operator="lessThanOrEqual">
      <formula>0</formula>
    </cfRule>
    <cfRule type="cellIs" dxfId="520" priority="570" stopIfTrue="1" operator="lessThanOrEqual">
      <formula>0</formula>
    </cfRule>
    <cfRule type="cellIs" dxfId="519" priority="571" stopIfTrue="1" operator="lessThanOrEqual">
      <formula>0</formula>
    </cfRule>
    <cfRule type="cellIs" dxfId="518" priority="569" stopIfTrue="1" operator="lessThanOrEqual">
      <formula>0</formula>
    </cfRule>
    <cfRule type="cellIs" dxfId="517" priority="573" stopIfTrue="1" operator="lessThanOrEqual">
      <formula>0</formula>
    </cfRule>
    <cfRule type="cellIs" dxfId="516" priority="574" stopIfTrue="1" operator="lessThanOrEqual">
      <formula>0</formula>
    </cfRule>
  </conditionalFormatting>
  <conditionalFormatting sqref="P10:P11">
    <cfRule type="cellIs" dxfId="515" priority="321" stopIfTrue="1" operator="lessThanOrEqual">
      <formula>0</formula>
    </cfRule>
  </conditionalFormatting>
  <conditionalFormatting sqref="P22:P29">
    <cfRule type="cellIs" dxfId="514" priority="349" stopIfTrue="1" operator="lessThanOrEqual">
      <formula>0</formula>
    </cfRule>
  </conditionalFormatting>
  <conditionalFormatting sqref="P23:P24">
    <cfRule type="cellIs" dxfId="513" priority="372" stopIfTrue="1" operator="lessThanOrEqual">
      <formula>0</formula>
    </cfRule>
  </conditionalFormatting>
  <conditionalFormatting sqref="P24:P29">
    <cfRule type="cellIs" dxfId="512" priority="358" stopIfTrue="1" operator="lessThanOrEqual">
      <formula>0</formula>
    </cfRule>
  </conditionalFormatting>
  <conditionalFormatting sqref="P26:P28">
    <cfRule type="cellIs" dxfId="511" priority="516" stopIfTrue="1" operator="lessThanOrEqual">
      <formula>0</formula>
    </cfRule>
    <cfRule type="cellIs" dxfId="510" priority="537" stopIfTrue="1" operator="lessThanOrEqual">
      <formula>0</formula>
    </cfRule>
  </conditionalFormatting>
  <conditionalFormatting sqref="P35:P36">
    <cfRule type="cellIs" dxfId="509" priority="1124" stopIfTrue="1" operator="lessThanOrEqual">
      <formula>0</formula>
    </cfRule>
  </conditionalFormatting>
  <conditionalFormatting sqref="P47:P48">
    <cfRule type="cellIs" dxfId="508" priority="1016" stopIfTrue="1" operator="lessThanOrEqual">
      <formula>0</formula>
    </cfRule>
  </conditionalFormatting>
  <conditionalFormatting sqref="P68:P69">
    <cfRule type="cellIs" dxfId="507" priority="735" stopIfTrue="1" operator="lessThanOrEqual">
      <formula>0</formula>
    </cfRule>
  </conditionalFormatting>
  <conditionalFormatting sqref="P11:Q11">
    <cfRule type="cellIs" dxfId="506" priority="7602" stopIfTrue="1" operator="lessThanOrEqual">
      <formula>0</formula>
    </cfRule>
    <cfRule type="cellIs" dxfId="505" priority="7601" stopIfTrue="1" operator="lessThanOrEqual">
      <formula>0</formula>
    </cfRule>
  </conditionalFormatting>
  <conditionalFormatting sqref="P35:T35 G35:S37 P36:P37">
    <cfRule type="cellIs" dxfId="504" priority="772" stopIfTrue="1" operator="lessThanOrEqual">
      <formula>0</formula>
    </cfRule>
  </conditionalFormatting>
  <conditionalFormatting sqref="P43:V53 T45:W45 L47:W49 Q50:W53 O38:T40 L35:S37">
    <cfRule type="cellIs" dxfId="503" priority="1248" stopIfTrue="1" operator="lessThanOrEqual">
      <formula>0</formula>
    </cfRule>
  </conditionalFormatting>
  <conditionalFormatting sqref="P13:X13">
    <cfRule type="cellIs" dxfId="502" priority="564" stopIfTrue="1" operator="lessThanOrEqual">
      <formula>0</formula>
    </cfRule>
  </conditionalFormatting>
  <conditionalFormatting sqref="P65:AO66">
    <cfRule type="cellIs" dxfId="501" priority="1961" stopIfTrue="1" operator="lessThanOrEqual">
      <formula>0</formula>
    </cfRule>
  </conditionalFormatting>
  <conditionalFormatting sqref="Q10:Q11">
    <cfRule type="cellIs" dxfId="500" priority="5869" stopIfTrue="1" operator="lessThanOrEqual">
      <formula>0</formula>
    </cfRule>
  </conditionalFormatting>
  <conditionalFormatting sqref="Q23:Q24">
    <cfRule type="cellIs" dxfId="499" priority="602" stopIfTrue="1" operator="lessThanOrEqual">
      <formula>0</formula>
    </cfRule>
  </conditionalFormatting>
  <conditionalFormatting sqref="Q23:Q29">
    <cfRule type="cellIs" dxfId="498" priority="32" stopIfTrue="1" operator="lessThanOrEqual">
      <formula>0</formula>
    </cfRule>
  </conditionalFormatting>
  <conditionalFormatting sqref="Q25">
    <cfRule type="cellIs" dxfId="497" priority="24" stopIfTrue="1" operator="lessThanOrEqual">
      <formula>0</formula>
    </cfRule>
    <cfRule type="cellIs" dxfId="496" priority="25" stopIfTrue="1" operator="lessThanOrEqual">
      <formula>0</formula>
    </cfRule>
  </conditionalFormatting>
  <conditionalFormatting sqref="Q35:Q36">
    <cfRule type="cellIs" dxfId="495" priority="793" stopIfTrue="1" operator="lessThanOrEqual">
      <formula>0</formula>
    </cfRule>
  </conditionalFormatting>
  <conditionalFormatting sqref="Q55">
    <cfRule type="cellIs" dxfId="494" priority="3" stopIfTrue="1" operator="lessThanOrEqual">
      <formula>0</formula>
    </cfRule>
    <cfRule type="cellIs" dxfId="493" priority="1" stopIfTrue="1" operator="lessThanOrEqual">
      <formula>0</formula>
    </cfRule>
  </conditionalFormatting>
  <conditionalFormatting sqref="Q65:Q68">
    <cfRule type="cellIs" dxfId="492" priority="6" stopIfTrue="1" operator="lessThanOrEqual">
      <formula>0</formula>
    </cfRule>
  </conditionalFormatting>
  <conditionalFormatting sqref="Q20:R20">
    <cfRule type="cellIs" dxfId="491" priority="1001" stopIfTrue="1" operator="lessThanOrEqual">
      <formula>0</formula>
    </cfRule>
  </conditionalFormatting>
  <conditionalFormatting sqref="Q25:R25">
    <cfRule type="cellIs" dxfId="490" priority="26" stopIfTrue="1" operator="lessThanOrEqual">
      <formula>0</formula>
    </cfRule>
    <cfRule type="cellIs" dxfId="489" priority="31" stopIfTrue="1" operator="lessThanOrEqual">
      <formula>0</formula>
    </cfRule>
    <cfRule type="cellIs" dxfId="488" priority="23" stopIfTrue="1" operator="lessThanOrEqual">
      <formula>0</formula>
    </cfRule>
  </conditionalFormatting>
  <conditionalFormatting sqref="Q65:R70 R69:U70 R71:S71">
    <cfRule type="cellIs" dxfId="487" priority="1220" stopIfTrue="1" operator="lessThanOrEqual">
      <formula>0</formula>
    </cfRule>
  </conditionalFormatting>
  <conditionalFormatting sqref="Q20:S20">
    <cfRule type="cellIs" dxfId="486" priority="765" stopIfTrue="1" operator="lessThanOrEqual">
      <formula>0</formula>
    </cfRule>
  </conditionalFormatting>
  <conditionalFormatting sqref="Q23:S29 S24:U24 S25:T25">
    <cfRule type="cellIs" dxfId="485" priority="102" stopIfTrue="1" operator="lessThanOrEqual">
      <formula>0</formula>
    </cfRule>
  </conditionalFormatting>
  <conditionalFormatting sqref="Q24:S29 S24:U24 S25:T25">
    <cfRule type="cellIs" dxfId="484" priority="98" stopIfTrue="1" operator="lessThanOrEqual">
      <formula>0</formula>
    </cfRule>
  </conditionalFormatting>
  <conditionalFormatting sqref="Q20:T20">
    <cfRule type="cellIs" dxfId="483" priority="653" stopIfTrue="1" operator="lessThanOrEqual">
      <formula>0</formula>
    </cfRule>
  </conditionalFormatting>
  <conditionalFormatting sqref="Q23:T25 S24:U24">
    <cfRule type="cellIs" dxfId="482" priority="952" stopIfTrue="1" operator="lessThanOrEqual">
      <formula>0</formula>
    </cfRule>
  </conditionalFormatting>
  <conditionalFormatting sqref="Q25:T25 R26:R29">
    <cfRule type="cellIs" dxfId="481" priority="13382" stopIfTrue="1" operator="lessThanOrEqual">
      <formula>0</formula>
    </cfRule>
  </conditionalFormatting>
  <conditionalFormatting sqref="Q25:T25">
    <cfRule type="cellIs" dxfId="480" priority="14" stopIfTrue="1" operator="lessThanOrEqual">
      <formula>0</formula>
    </cfRule>
  </conditionalFormatting>
  <conditionalFormatting sqref="Q33:T33">
    <cfRule type="cellIs" dxfId="479" priority="1113" stopIfTrue="1" operator="lessThanOrEqual">
      <formula>0</formula>
    </cfRule>
  </conditionalFormatting>
  <conditionalFormatting sqref="Q35:T41">
    <cfRule type="cellIs" dxfId="478" priority="788" stopIfTrue="1" operator="lessThanOrEqual">
      <formula>0</formula>
    </cfRule>
  </conditionalFormatting>
  <conditionalFormatting sqref="Q36:T36">
    <cfRule type="cellIs" dxfId="477" priority="1130" stopIfTrue="1" operator="lessThanOrEqual">
      <formula>0</formula>
    </cfRule>
  </conditionalFormatting>
  <conditionalFormatting sqref="Q19:U19 R20 F19:J19">
    <cfRule type="cellIs" dxfId="476" priority="883" stopIfTrue="1" operator="lessThanOrEqual">
      <formula>0</formula>
    </cfRule>
  </conditionalFormatting>
  <conditionalFormatting sqref="Q19:U19 R20">
    <cfRule type="cellIs" dxfId="475" priority="877" stopIfTrue="1" operator="lessThanOrEqual">
      <formula>0</formula>
    </cfRule>
  </conditionalFormatting>
  <conditionalFormatting sqref="Q19:U19">
    <cfRule type="cellIs" dxfId="474" priority="609" stopIfTrue="1" operator="lessThanOrEqual">
      <formula>0</formula>
    </cfRule>
    <cfRule type="cellIs" dxfId="473" priority="667" stopIfTrue="1" operator="lessThanOrEqual">
      <formula>0</formula>
    </cfRule>
    <cfRule type="cellIs" dxfId="472" priority="610" stopIfTrue="1" operator="lessThanOrEqual">
      <formula>0</formula>
    </cfRule>
  </conditionalFormatting>
  <conditionalFormatting sqref="Q19:U20 Q22:U29">
    <cfRule type="cellIs" dxfId="471" priority="764" stopIfTrue="1" operator="lessThanOrEqual">
      <formula>0</formula>
    </cfRule>
  </conditionalFormatting>
  <conditionalFormatting sqref="Q22:U24">
    <cfRule type="cellIs" dxfId="470" priority="618" stopIfTrue="1" operator="lessThanOrEqual">
      <formula>0</formula>
    </cfRule>
  </conditionalFormatting>
  <conditionalFormatting sqref="Q22:U29 Q19:U20">
    <cfRule type="cellIs" dxfId="469" priority="763" stopIfTrue="1" operator="lessThanOrEqual">
      <formula>0</formula>
    </cfRule>
  </conditionalFormatting>
  <conditionalFormatting sqref="Q22:U29">
    <cfRule type="cellIs" dxfId="468" priority="758" stopIfTrue="1" operator="lessThanOrEqual">
      <formula>0</formula>
    </cfRule>
  </conditionalFormatting>
  <conditionalFormatting sqref="Q23:U23">
    <cfRule type="cellIs" dxfId="467" priority="1246" stopIfTrue="1" operator="lessThanOrEqual">
      <formula>0</formula>
    </cfRule>
  </conditionalFormatting>
  <conditionalFormatting sqref="Q23:U25">
    <cfRule type="cellIs" dxfId="466" priority="865" stopIfTrue="1" operator="lessThanOrEqual">
      <formula>0</formula>
    </cfRule>
  </conditionalFormatting>
  <conditionalFormatting sqref="Q23:U29 M35:S41 G37:R37 N37:T41 M47:W53">
    <cfRule type="cellIs" dxfId="465" priority="1345" stopIfTrue="1" operator="lessThanOrEqual">
      <formula>0</formula>
    </cfRule>
  </conditionalFormatting>
  <conditionalFormatting sqref="Q23:U29">
    <cfRule type="cellIs" dxfId="464" priority="713" stopIfTrue="1" operator="lessThanOrEqual">
      <formula>0</formula>
    </cfRule>
  </conditionalFormatting>
  <conditionalFormatting sqref="Q24:U24 F24:J24">
    <cfRule type="cellIs" dxfId="463" priority="878" stopIfTrue="1" operator="lessThanOrEqual">
      <formula>0</formula>
    </cfRule>
  </conditionalFormatting>
  <conditionalFormatting sqref="Q24:U24">
    <cfRule type="cellIs" dxfId="462" priority="754" stopIfTrue="1" operator="lessThanOrEqual">
      <formula>0</formula>
    </cfRule>
    <cfRule type="cellIs" dxfId="461" priority="604" stopIfTrue="1" operator="lessThanOrEqual">
      <formula>0</formula>
    </cfRule>
    <cfRule type="cellIs" dxfId="460" priority="601" stopIfTrue="1" operator="lessThanOrEqual">
      <formula>0</formula>
    </cfRule>
    <cfRule type="cellIs" dxfId="459" priority="1311" stopIfTrue="1" operator="lessThanOrEqual">
      <formula>0</formula>
    </cfRule>
    <cfRule type="cellIs" dxfId="458" priority="1330" stopIfTrue="1" operator="lessThanOrEqual">
      <formula>0</formula>
    </cfRule>
    <cfRule type="cellIs" dxfId="457" priority="863" stopIfTrue="1" operator="lessThanOrEqual">
      <formula>0</formula>
    </cfRule>
    <cfRule type="cellIs" dxfId="456" priority="1278" stopIfTrue="1" operator="lessThanOrEqual">
      <formula>0</formula>
    </cfRule>
    <cfRule type="cellIs" dxfId="455" priority="615" stopIfTrue="1" operator="lessThanOrEqual">
      <formula>0</formula>
    </cfRule>
  </conditionalFormatting>
  <conditionalFormatting sqref="Q24:U25">
    <cfRule type="cellIs" dxfId="454" priority="1316" stopIfTrue="1" operator="lessThanOrEqual">
      <formula>0</formula>
    </cfRule>
    <cfRule type="cellIs" dxfId="453" priority="607" stopIfTrue="1" operator="lessThanOrEqual">
      <formula>0</formula>
    </cfRule>
  </conditionalFormatting>
  <conditionalFormatting sqref="Q27:U27 F27:J27">
    <cfRule type="cellIs" dxfId="452" priority="901" stopIfTrue="1" operator="lessThanOrEqual">
      <formula>0</formula>
    </cfRule>
  </conditionalFormatting>
  <conditionalFormatting sqref="Q48:U48">
    <cfRule type="cellIs" dxfId="451" priority="1022" stopIfTrue="1" operator="lessThanOrEqual">
      <formula>0</formula>
    </cfRule>
  </conditionalFormatting>
  <conditionalFormatting sqref="Q19:V19">
    <cfRule type="cellIs" dxfId="450" priority="668" stopIfTrue="1" operator="lessThanOrEqual">
      <formula>0</formula>
    </cfRule>
    <cfRule type="cellIs" dxfId="449" priority="616" stopIfTrue="1" operator="lessThanOrEqual">
      <formula>0</formula>
    </cfRule>
    <cfRule type="cellIs" dxfId="448" priority="674" stopIfTrue="1" operator="lessThanOrEqual">
      <formula>0</formula>
    </cfRule>
  </conditionalFormatting>
  <conditionalFormatting sqref="Q19:V20 F19:J21 V21 Q22:V29 Q23:AA23 M31:V41 N43:W43 P43:V53 T45:W45 R47:W47 S49:W49 Q50:W53">
    <cfRule type="cellIs" dxfId="447" priority="1326" stopIfTrue="1" operator="lessThanOrEqual">
      <formula>0</formula>
    </cfRule>
  </conditionalFormatting>
  <conditionalFormatting sqref="Q19:V20 F20:J29 Q22:V29">
    <cfRule type="cellIs" dxfId="446" priority="917" stopIfTrue="1" operator="lessThanOrEqual">
      <formula>0</formula>
    </cfRule>
  </conditionalFormatting>
  <conditionalFormatting sqref="Q19:V20 Q22:V28 V26:V29 Q27:U29">
    <cfRule type="cellIs" dxfId="445" priority="647" stopIfTrue="1" operator="lessThanOrEqual">
      <formula>0</formula>
    </cfRule>
  </conditionalFormatting>
  <conditionalFormatting sqref="Q19:V20 Q22:V29">
    <cfRule type="cellIs" dxfId="444" priority="708" stopIfTrue="1" operator="lessThanOrEqual">
      <formula>0</formula>
    </cfRule>
  </conditionalFormatting>
  <conditionalFormatting sqref="Q19:V20 V21 Q22:V29 L31:V31 M31:V41 L43:W43 P43:V53 T45:W45 R47:W47 S49:W49 Q50:W53 F19:J19">
    <cfRule type="cellIs" dxfId="443" priority="1509" stopIfTrue="1" operator="lessThanOrEqual">
      <formula>0</formula>
    </cfRule>
  </conditionalFormatting>
  <conditionalFormatting sqref="Q20:V20">
    <cfRule type="cellIs" dxfId="442" priority="707" stopIfTrue="1" operator="lessThanOrEqual">
      <formula>0</formula>
    </cfRule>
    <cfRule type="cellIs" dxfId="441" priority="646" stopIfTrue="1" operator="lessThanOrEqual">
      <formula>0</formula>
    </cfRule>
  </conditionalFormatting>
  <conditionalFormatting sqref="Q22:V22 V21 Q19:V20">
    <cfRule type="cellIs" dxfId="440" priority="621" stopIfTrue="1" operator="lessThanOrEqual">
      <formula>0</formula>
    </cfRule>
  </conditionalFormatting>
  <conditionalFormatting sqref="Q22:V22 V21 Q20:V20">
    <cfRule type="cellIs" dxfId="439" priority="1366" stopIfTrue="1" operator="lessThanOrEqual">
      <formula>0</formula>
    </cfRule>
  </conditionalFormatting>
  <conditionalFormatting sqref="Q22:V22">
    <cfRule type="cellIs" dxfId="438" priority="620" stopIfTrue="1" operator="lessThanOrEqual">
      <formula>0</formula>
    </cfRule>
    <cfRule type="cellIs" dxfId="437" priority="1365" stopIfTrue="1" operator="lessThanOrEqual">
      <formula>0</formula>
    </cfRule>
    <cfRule type="cellIs" dxfId="436" priority="677" stopIfTrue="1" operator="lessThanOrEqual">
      <formula>0</formula>
    </cfRule>
  </conditionalFormatting>
  <conditionalFormatting sqref="Q22:V24">
    <cfRule type="cellIs" dxfId="435" priority="7910" stopIfTrue="1" operator="lessThanOrEqual">
      <formula>0</formula>
    </cfRule>
    <cfRule type="cellIs" dxfId="434" priority="683" stopIfTrue="1" operator="lessThanOrEqual">
      <formula>0</formula>
    </cfRule>
    <cfRule type="cellIs" dxfId="433" priority="676" stopIfTrue="1" operator="lessThanOrEqual">
      <formula>0</formula>
    </cfRule>
  </conditionalFormatting>
  <conditionalFormatting sqref="Q22:V25 V21 Q19:V20">
    <cfRule type="cellIs" dxfId="432" priority="678" stopIfTrue="1" operator="lessThanOrEqual">
      <formula>0</formula>
    </cfRule>
  </conditionalFormatting>
  <conditionalFormatting sqref="Q22:V25 V26:V29 V21">
    <cfRule type="cellIs" dxfId="431" priority="643" stopIfTrue="1" operator="lessThanOrEqual">
      <formula>0</formula>
    </cfRule>
  </conditionalFormatting>
  <conditionalFormatting sqref="Q22:V25 V26:V29">
    <cfRule type="cellIs" dxfId="430" priority="628" stopIfTrue="1" operator="lessThanOrEqual">
      <formula>0</formula>
    </cfRule>
  </conditionalFormatting>
  <conditionalFormatting sqref="Q22:V25">
    <cfRule type="cellIs" dxfId="429" priority="623" stopIfTrue="1" operator="lessThanOrEqual">
      <formula>0</formula>
    </cfRule>
  </conditionalFormatting>
  <conditionalFormatting sqref="Q22:V29 F19:J19 Q19:V20 V21 L31:V31 M31:V41 L43:W43 P43:V53 T45:W45 R47:W47 S49:W49 Q50:W53">
    <cfRule type="cellIs" dxfId="428" priority="3523" stopIfTrue="1" operator="lessThanOrEqual">
      <formula>0</formula>
    </cfRule>
    <cfRule type="cellIs" dxfId="427" priority="3400" stopIfTrue="1" operator="lessThanOrEqual">
      <formula>0</formula>
    </cfRule>
  </conditionalFormatting>
  <conditionalFormatting sqref="Q22:V29 F19:J19 Q19:AA19 Q19:V20 V21 G31:AA31 M31:V41 G43:AA43 P43:V53 T45:W45 R47:W47 S49:W49 Q50:W53">
    <cfRule type="cellIs" dxfId="426" priority="2243" stopIfTrue="1" operator="lessThanOrEqual">
      <formula>0</formula>
    </cfRule>
    <cfRule type="cellIs" dxfId="425" priority="4223" stopIfTrue="1" operator="lessThanOrEqual">
      <formula>0</formula>
    </cfRule>
    <cfRule type="cellIs" dxfId="424" priority="2630" stopIfTrue="1" operator="lessThanOrEqual">
      <formula>0</formula>
    </cfRule>
    <cfRule type="cellIs" dxfId="423" priority="4694" stopIfTrue="1" operator="lessThanOrEqual">
      <formula>0</formula>
    </cfRule>
    <cfRule type="cellIs" dxfId="422" priority="2991" stopIfTrue="1" operator="lessThanOrEqual">
      <formula>0</formula>
    </cfRule>
  </conditionalFormatting>
  <conditionalFormatting sqref="Q22:V29 K36:V41 K48:W53 F24:J29">
    <cfRule type="cellIs" dxfId="421" priority="1332" stopIfTrue="1" operator="lessThanOrEqual">
      <formula>0</formula>
    </cfRule>
  </conditionalFormatting>
  <conditionalFormatting sqref="Q22:V29 M31:T41 P43:U53 S49:W49 Q50:W53 Q19:V20 V21 R47:W47 T45:W45">
    <cfRule type="cellIs" dxfId="420" priority="1508" stopIfTrue="1" operator="lessThanOrEqual">
      <formula>0</formula>
    </cfRule>
  </conditionalFormatting>
  <conditionalFormatting sqref="Q22:V29 M31:V41 P43:V53 Q50:W53 F19:J19 Q19:AA19 Q19:V20 V21 G31:AA31 G43:AA43 T45:W45 R47:W47 S49:W49">
    <cfRule type="cellIs" dxfId="419" priority="7748" stopIfTrue="1" operator="lessThanOrEqual">
      <formula>0</formula>
    </cfRule>
  </conditionalFormatting>
  <conditionalFormatting sqref="Q22:V29 M31:V41 P43:V53 R47:W47 S49:W49 Q50:W53 F19:J19 Q19:V20 V21 G31:V31 G43:W43 T45:W45">
    <cfRule type="cellIs" dxfId="418" priority="9327" stopIfTrue="1" operator="lessThanOrEqual">
      <formula>0</formula>
    </cfRule>
  </conditionalFormatting>
  <conditionalFormatting sqref="Q22:V29 M31:V41 P43:V53 R47:W47 S49:W49 Q50:W53 F19:J19 Q19:AA19 Q19:V20 V21 H31:AA31 H43:AA43 T45:W45">
    <cfRule type="cellIs" dxfId="417" priority="7603" stopIfTrue="1" operator="lessThanOrEqual">
      <formula>0</formula>
    </cfRule>
  </conditionalFormatting>
  <conditionalFormatting sqref="Q22:V29 M31:V41 P43:V53 R47:W47 S49:W49 Q50:W53 V21 T45:W45 F19:J19 Q19:AA19 Q19:V20 G31:AA31 G43:AA43">
    <cfRule type="cellIs" dxfId="416" priority="9202" stopIfTrue="1" operator="lessThanOrEqual">
      <formula>0</formula>
    </cfRule>
  </conditionalFormatting>
  <conditionalFormatting sqref="Q22:V29 M31:V41 P43:V53 S49:W49 Q50:W53 F19:J19 Q19:V20 V21 G31:V31 G43:W43 T45:W45 R47:W47">
    <cfRule type="cellIs" dxfId="415" priority="4182" stopIfTrue="1" operator="lessThanOrEqual">
      <formula>0</formula>
    </cfRule>
  </conditionalFormatting>
  <conditionalFormatting sqref="Q22:V29 M31:V41 P43:V53 S49:W49 Q50:W53 F19:J19 Q19:V20 V21 L31:V31 L43:W43 T45:W45 R47:W47">
    <cfRule type="cellIs" dxfId="414" priority="2589" stopIfTrue="1" operator="lessThanOrEqual">
      <formula>0</formula>
    </cfRule>
  </conditionalFormatting>
  <conditionalFormatting sqref="Q22:V29 M31:V41 P43:V53 S49:W49 Q50:W53 F19:J19 Q19:W19 Q19:V20 V21 G31:W31 G43:W43 T45:W45 R47:W47">
    <cfRule type="cellIs" dxfId="413" priority="3139" stopIfTrue="1" operator="lessThanOrEqual">
      <formula>0</formula>
    </cfRule>
  </conditionalFormatting>
  <conditionalFormatting sqref="Q22:V29 M31:V41 P43:V53 S49:W49 Q50:W53 F19:J19 Q19:X19 Q19:V20 V21 G31:X31 G43:X43 T45:W45 R47:W47">
    <cfRule type="cellIs" dxfId="412" priority="5872" stopIfTrue="1" operator="lessThanOrEqual">
      <formula>0</formula>
    </cfRule>
    <cfRule type="cellIs" dxfId="411" priority="4644" stopIfTrue="1" operator="lessThanOrEqual">
      <formula>0</formula>
    </cfRule>
    <cfRule type="cellIs" dxfId="410" priority="2730" stopIfTrue="1" operator="lessThanOrEqual">
      <formula>0</formula>
    </cfRule>
  </conditionalFormatting>
  <conditionalFormatting sqref="Q22:V29 M31:V41 P43:V53 S49:W49 Q50:W53 F19:J19 Q19:Z19 Q19:V20 V21 G31:Z31 G43:Z43 T45:W45 R47:W47">
    <cfRule type="cellIs" dxfId="409" priority="3448" stopIfTrue="1" operator="lessThanOrEqual">
      <formula>0</formula>
    </cfRule>
  </conditionalFormatting>
  <conditionalFormatting sqref="Q22:V29 M31:V41 P43:V53 S49:W49 Q50:W53 F19:J19 Q19:AA19 Q19:V20 V21 G31:AA31 G43:AA43 T45:W45 R47:W47">
    <cfRule type="cellIs" dxfId="408" priority="3830" stopIfTrue="1" operator="lessThanOrEqual">
      <formula>0</formula>
    </cfRule>
  </conditionalFormatting>
  <conditionalFormatting sqref="Q22:V29 M31:V41 P43:V53 S49:W49 Q50:W53 R47:W47 F19:J19 Q19:W19 Q19:V20 V21 G31:W31 G43:W43 T45:W45">
    <cfRule type="cellIs" dxfId="407" priority="2202" stopIfTrue="1" operator="lessThanOrEqual">
      <formula>0</formula>
    </cfRule>
  </conditionalFormatting>
  <conditionalFormatting sqref="Q22:V29 M31:V41 P43:V53 S49:W49 Q50:W53 R47:W47 F19:J19 Q19:X19 Q19:V20 V21 G31:X31 G43:X43 T45:W45">
    <cfRule type="cellIs" dxfId="406" priority="3789" stopIfTrue="1" operator="lessThanOrEqual">
      <formula>0</formula>
    </cfRule>
  </conditionalFormatting>
  <conditionalFormatting sqref="Q22:V29 M31:V41 P43:V53 S49:W49 Q50:W53 V21 F19:J19 Q19:Y19 Q19:V20 G31:Y31 G43:Y43 T45:W45 R47:W47">
    <cfRule type="cellIs" dxfId="405" priority="4325" stopIfTrue="1" operator="lessThanOrEqual">
      <formula>0</formula>
    </cfRule>
  </conditionalFormatting>
  <conditionalFormatting sqref="Q22:V29 M31:V41 P43:V53 S49:W49 Q50:W53 V21 F19:J19 Q19:Z19 Q19:V20 G31:Z31 G43:Z43 T45:W45 R47:W47">
    <cfRule type="cellIs" dxfId="404" priority="2331" stopIfTrue="1" operator="lessThanOrEqual">
      <formula>0</formula>
    </cfRule>
  </conditionalFormatting>
  <conditionalFormatting sqref="Q22:V29 M31:V41 P43:V53 S49:W49 Q50:W53 V21 F19:J19 Q19:AA19 Q19:V20 H31:AA31 H43:AA43 T45:W45 R47:W47">
    <cfRule type="cellIs" dxfId="403" priority="3920" stopIfTrue="1" operator="lessThanOrEqual">
      <formula>0</formula>
    </cfRule>
  </conditionalFormatting>
  <conditionalFormatting sqref="Q22:V29 P43:V53 R47:W47 S49:W49 Q50:W53 M31:V41 F19:J19 Q19:AA19 Q19:V20 V21 H31:AA31 H43:AA43 T45:W45">
    <cfRule type="cellIs" dxfId="402" priority="7540" stopIfTrue="1" operator="lessThanOrEqual">
      <formula>0</formula>
    </cfRule>
  </conditionalFormatting>
  <conditionalFormatting sqref="Q22:V29 Q19:V20 V21">
    <cfRule type="cellIs" dxfId="401" priority="1322" stopIfTrue="1" operator="lessThanOrEqual">
      <formula>0</formula>
    </cfRule>
  </conditionalFormatting>
  <conditionalFormatting sqref="Q22:V29 Q19:V20">
    <cfRule type="cellIs" dxfId="400" priority="1244" stopIfTrue="1" operator="lessThanOrEqual">
      <formula>0</formula>
    </cfRule>
  </conditionalFormatting>
  <conditionalFormatting sqref="Q22:V29 Q23:Z29 Q22:AO22 G34:AN34 L34:U41 K35:Z41 G46:AN46 L46:W53 K47:Z53 F22:J29">
    <cfRule type="cellIs" dxfId="399" priority="9281" stopIfTrue="1" operator="lessThanOrEqual">
      <formula>0</formula>
    </cfRule>
  </conditionalFormatting>
  <conditionalFormatting sqref="Q23:V23">
    <cfRule type="cellIs" dxfId="398" priority="598" stopIfTrue="1" operator="lessThanOrEqual">
      <formula>0</formula>
    </cfRule>
  </conditionalFormatting>
  <conditionalFormatting sqref="Q23:V29 L35:V41 L47:W53">
    <cfRule type="cellIs" dxfId="397" priority="1280" stopIfTrue="1" operator="lessThanOrEqual">
      <formula>0</formula>
    </cfRule>
  </conditionalFormatting>
  <conditionalFormatting sqref="Q23:V29">
    <cfRule type="cellIs" dxfId="396" priority="619" stopIfTrue="1" operator="lessThanOrEqual">
      <formula>0</formula>
    </cfRule>
    <cfRule type="cellIs" dxfId="395" priority="1364" stopIfTrue="1" operator="lessThanOrEqual">
      <formula>0</formula>
    </cfRule>
  </conditionalFormatting>
  <conditionalFormatting sqref="Q24:V24">
    <cfRule type="cellIs" dxfId="394" priority="671" stopIfTrue="1" operator="lessThanOrEqual">
      <formula>0</formula>
    </cfRule>
    <cfRule type="cellIs" dxfId="393" priority="1310" stopIfTrue="1" operator="lessThanOrEqual">
      <formula>0</formula>
    </cfRule>
    <cfRule type="cellIs" dxfId="392" priority="603" stopIfTrue="1" operator="lessThanOrEqual">
      <formula>0</formula>
    </cfRule>
    <cfRule type="cellIs" dxfId="391" priority="614" stopIfTrue="1" operator="lessThanOrEqual">
      <formula>0</formula>
    </cfRule>
    <cfRule type="cellIs" dxfId="390" priority="613" stopIfTrue="1" operator="lessThanOrEqual">
      <formula>0</formula>
    </cfRule>
    <cfRule type="cellIs" dxfId="389" priority="612" stopIfTrue="1" operator="lessThanOrEqual">
      <formula>0</formula>
    </cfRule>
    <cfRule type="cellIs" dxfId="388" priority="672" stopIfTrue="1" operator="lessThanOrEqual">
      <formula>0</formula>
    </cfRule>
    <cfRule type="cellIs" dxfId="387" priority="673" stopIfTrue="1" operator="lessThanOrEqual">
      <formula>0</formula>
    </cfRule>
    <cfRule type="cellIs" dxfId="386" priority="1321" stopIfTrue="1" operator="lessThanOrEqual">
      <formula>0</formula>
    </cfRule>
    <cfRule type="cellIs" dxfId="385" priority="611" stopIfTrue="1" operator="lessThanOrEqual">
      <formula>0</formula>
    </cfRule>
    <cfRule type="cellIs" dxfId="384" priority="1328" stopIfTrue="1" operator="lessThanOrEqual">
      <formula>0</formula>
    </cfRule>
    <cfRule type="cellIs" dxfId="383" priority="1329" stopIfTrue="1" operator="lessThanOrEqual">
      <formula>0</formula>
    </cfRule>
    <cfRule type="cellIs" dxfId="382" priority="669" stopIfTrue="1" operator="lessThanOrEqual">
      <formula>0</formula>
    </cfRule>
    <cfRule type="cellIs" dxfId="381" priority="656" stopIfTrue="1" operator="lessThanOrEqual">
      <formula>0</formula>
    </cfRule>
    <cfRule type="cellIs" dxfId="380" priority="670" stopIfTrue="1" operator="lessThanOrEqual">
      <formula>0</formula>
    </cfRule>
  </conditionalFormatting>
  <conditionalFormatting sqref="Q24:V25">
    <cfRule type="cellIs" dxfId="379" priority="665" stopIfTrue="1" operator="lessThanOrEqual">
      <formula>0</formula>
    </cfRule>
    <cfRule type="cellIs" dxfId="378" priority="658" stopIfTrue="1" operator="lessThanOrEqual">
      <formula>0</formula>
    </cfRule>
  </conditionalFormatting>
  <conditionalFormatting sqref="Q24:V29 L36:V41 L48:W53 F24:J29">
    <cfRule type="cellIs" dxfId="377" priority="1362" stopIfTrue="1" operator="lessThanOrEqual">
      <formula>0</formula>
    </cfRule>
  </conditionalFormatting>
  <conditionalFormatting sqref="Q25:V25 V26:V29">
    <cfRule type="cellIs" dxfId="376" priority="629" stopIfTrue="1" operator="lessThanOrEqual">
      <formula>0</formula>
    </cfRule>
    <cfRule type="cellIs" dxfId="375" priority="684" stopIfTrue="1" operator="lessThanOrEqual">
      <formula>0</formula>
    </cfRule>
    <cfRule type="cellIs" dxfId="374" priority="624" stopIfTrue="1" operator="lessThanOrEqual">
      <formula>0</formula>
    </cfRule>
    <cfRule type="cellIs" dxfId="373" priority="689" stopIfTrue="1" operator="lessThanOrEqual">
      <formula>0</formula>
    </cfRule>
  </conditionalFormatting>
  <conditionalFormatting sqref="Q25:V29 X26:Y29 Q25:AA25 I37:AA37 X38:Y41 I49:AA49 K50:Y53 L37:U41 K38:V41 L49:W53 F25:J29">
    <cfRule type="cellIs" dxfId="372" priority="1980" stopIfTrue="1" operator="lessThanOrEqual">
      <formula>0</formula>
    </cfRule>
  </conditionalFormatting>
  <conditionalFormatting sqref="Q27:V27">
    <cfRule type="cellIs" dxfId="371" priority="693" stopIfTrue="1" operator="lessThanOrEqual">
      <formula>0</formula>
    </cfRule>
    <cfRule type="cellIs" dxfId="370" priority="692" stopIfTrue="1" operator="lessThanOrEqual">
      <formula>0</formula>
    </cfRule>
    <cfRule type="cellIs" dxfId="369" priority="645" stopIfTrue="1" operator="lessThanOrEqual">
      <formula>0</formula>
    </cfRule>
    <cfRule type="cellIs" dxfId="368" priority="639" stopIfTrue="1" operator="lessThanOrEqual">
      <formula>0</formula>
    </cfRule>
    <cfRule type="cellIs" dxfId="367" priority="638" stopIfTrue="1" operator="lessThanOrEqual">
      <formula>0</formula>
    </cfRule>
    <cfRule type="cellIs" dxfId="366" priority="637" stopIfTrue="1" operator="lessThanOrEqual">
      <formula>0</formula>
    </cfRule>
    <cfRule type="cellIs" dxfId="365" priority="636" stopIfTrue="1" operator="lessThanOrEqual">
      <formula>0</formula>
    </cfRule>
    <cfRule type="cellIs" dxfId="364" priority="635" stopIfTrue="1" operator="lessThanOrEqual">
      <formula>0</formula>
    </cfRule>
    <cfRule type="cellIs" dxfId="363" priority="634" stopIfTrue="1" operator="lessThanOrEqual">
      <formula>0</formula>
    </cfRule>
    <cfRule type="cellIs" dxfId="362" priority="633" stopIfTrue="1" operator="lessThanOrEqual">
      <formula>0</formula>
    </cfRule>
    <cfRule type="cellIs" dxfId="361" priority="632" stopIfTrue="1" operator="lessThanOrEqual">
      <formula>0</formula>
    </cfRule>
    <cfRule type="cellIs" dxfId="360" priority="597" stopIfTrue="1" operator="lessThanOrEqual">
      <formula>0</formula>
    </cfRule>
    <cfRule type="cellIs" dxfId="359" priority="704" stopIfTrue="1" operator="lessThanOrEqual">
      <formula>0</formula>
    </cfRule>
    <cfRule type="cellIs" dxfId="358" priority="699" stopIfTrue="1" operator="lessThanOrEqual">
      <formula>0</formula>
    </cfRule>
    <cfRule type="cellIs" dxfId="357" priority="698" stopIfTrue="1" operator="lessThanOrEqual">
      <formula>0</formula>
    </cfRule>
    <cfRule type="cellIs" dxfId="356" priority="697" stopIfTrue="1" operator="lessThanOrEqual">
      <formula>0</formula>
    </cfRule>
    <cfRule type="cellIs" dxfId="355" priority="696" stopIfTrue="1" operator="lessThanOrEqual">
      <formula>0</formula>
    </cfRule>
    <cfRule type="cellIs" dxfId="354" priority="695" stopIfTrue="1" operator="lessThanOrEqual">
      <formula>0</formula>
    </cfRule>
    <cfRule type="cellIs" dxfId="353" priority="694" stopIfTrue="1" operator="lessThanOrEqual">
      <formula>0</formula>
    </cfRule>
  </conditionalFormatting>
  <conditionalFormatting sqref="Q24:X24">
    <cfRule type="cellIs" dxfId="352" priority="1485" stopIfTrue="1" operator="lessThanOrEqual">
      <formula>0</formula>
    </cfRule>
  </conditionalFormatting>
  <conditionalFormatting sqref="Q25:Y25 V26:V29">
    <cfRule type="cellIs" dxfId="351" priority="4693" stopIfTrue="1" operator="lessThanOrEqual">
      <formula>0</formula>
    </cfRule>
    <cfRule type="cellIs" dxfId="350" priority="2629" stopIfTrue="1" operator="lessThanOrEqual">
      <formula>0</formula>
    </cfRule>
  </conditionalFormatting>
  <conditionalFormatting sqref="Q25:Z25 V26:V29 G25:J25">
    <cfRule type="cellIs" dxfId="349" priority="4222" stopIfTrue="1" operator="lessThanOrEqual">
      <formula>0</formula>
    </cfRule>
    <cfRule type="cellIs" dxfId="348" priority="2367" stopIfTrue="1" operator="lessThanOrEqual">
      <formula>0</formula>
    </cfRule>
  </conditionalFormatting>
  <conditionalFormatting sqref="Q25:Z25 V26:V29">
    <cfRule type="cellIs" dxfId="347" priority="4373" stopIfTrue="1" operator="lessThanOrEqual">
      <formula>0</formula>
    </cfRule>
  </conditionalFormatting>
  <conditionalFormatting sqref="Q25:Z29 Q24:AA24 H36:AA36 L36:U41 K37:Z41 H48:AA48 L48:W53 K49:Z53 F24:J29">
    <cfRule type="cellIs" dxfId="346" priority="3436" stopIfTrue="1" operator="lessThanOrEqual">
      <formula>0</formula>
    </cfRule>
  </conditionalFormatting>
  <conditionalFormatting sqref="Q25:Z29 Q22:AO23 Q22:AA24 Q22:V29 Q24:AN24 G34:AN36 L34:U41 K37:Z41 G46:AN48 L46:W53 K49:Z53">
    <cfRule type="cellIs" dxfId="345" priority="10145" stopIfTrue="1" operator="lessThanOrEqual">
      <formula>0</formula>
    </cfRule>
  </conditionalFormatting>
  <conditionalFormatting sqref="Q22:AA24 G21:J24">
    <cfRule type="cellIs" dxfId="344" priority="7816" stopIfTrue="1" operator="lessThanOrEqual">
      <formula>0</formula>
    </cfRule>
  </conditionalFormatting>
  <conditionalFormatting sqref="Q22:AA24">
    <cfRule type="cellIs" dxfId="343" priority="1889" stopIfTrue="1" operator="lessThanOrEqual">
      <formula>0</formula>
    </cfRule>
    <cfRule type="cellIs" dxfId="342" priority="9363" stopIfTrue="1" operator="lessThanOrEqual">
      <formula>0</formula>
    </cfRule>
  </conditionalFormatting>
  <conditionalFormatting sqref="Q22:AA29 G34:AA41 G46:AA53">
    <cfRule type="cellIs" dxfId="341" priority="7935" stopIfTrue="1" operator="lessThanOrEqual">
      <formula>0</formula>
    </cfRule>
  </conditionalFormatting>
  <conditionalFormatting sqref="Q24:AA24 F24:J29 Q24:V29 Q25:Z29 I36:AA36 L36:U41 K37:Z41 I48:AA48 L48:W53 K49:Z53">
    <cfRule type="cellIs" dxfId="340" priority="3442" stopIfTrue="1" operator="lessThanOrEqual">
      <formula>0</formula>
    </cfRule>
  </conditionalFormatting>
  <conditionalFormatting sqref="Q24:AA24 F24:J29 Q25:Z29 H36:AA36 L36:U41 K37:Z41 H48:AA48 L48:W53 K49:Z53">
    <cfRule type="cellIs" dxfId="339" priority="3437" stopIfTrue="1" operator="lessThanOrEqual">
      <formula>0</formula>
    </cfRule>
  </conditionalFormatting>
  <conditionalFormatting sqref="Q24:AA24 G24:J24">
    <cfRule type="cellIs" dxfId="338" priority="10466" stopIfTrue="1" operator="lessThanOrEqual">
      <formula>0</formula>
    </cfRule>
  </conditionalFormatting>
  <conditionalFormatting sqref="Q24:AA24 Q24:V29 Q25:Z29 I36:AA36 L36:U41 K37:Z41 I48:AA48 L48:W53 K49:Z53 F24:J29">
    <cfRule type="cellIs" dxfId="337" priority="7871" stopIfTrue="1" operator="lessThanOrEqual">
      <formula>0</formula>
    </cfRule>
  </conditionalFormatting>
  <conditionalFormatting sqref="Q25:AA25 Q25:V29 I37:AA37 L37:U41 K38:V41 I49:AA49 L49:W53 K50:Y53 X26:Y29 X38:Y41 F25:J29">
    <cfRule type="cellIs" dxfId="336" priority="3829" stopIfTrue="1" operator="lessThanOrEqual">
      <formula>0</formula>
    </cfRule>
  </conditionalFormatting>
  <conditionalFormatting sqref="Q25:AA25 V26:V29 G25:J25">
    <cfRule type="cellIs" dxfId="335" priority="7848" stopIfTrue="1" operator="lessThanOrEqual">
      <formula>0</formula>
    </cfRule>
  </conditionalFormatting>
  <conditionalFormatting sqref="Q25:AA25 V26:V29">
    <cfRule type="cellIs" dxfId="334" priority="2769" stopIfTrue="1" operator="lessThanOrEqual">
      <formula>0</formula>
    </cfRule>
    <cfRule type="cellIs" dxfId="333" priority="3178" stopIfTrue="1" operator="lessThanOrEqual">
      <formula>0</formula>
    </cfRule>
    <cfRule type="cellIs" dxfId="332" priority="2242" stopIfTrue="1" operator="lessThanOrEqual">
      <formula>0</formula>
    </cfRule>
    <cfRule type="cellIs" dxfId="331" priority="6941" stopIfTrue="1" operator="lessThanOrEqual">
      <formula>0</formula>
    </cfRule>
  </conditionalFormatting>
  <conditionalFormatting sqref="Q27:AA27 G27:J27">
    <cfRule type="cellIs" dxfId="330" priority="7311" stopIfTrue="1" operator="lessThanOrEqual">
      <formula>0</formula>
    </cfRule>
    <cfRule type="cellIs" dxfId="329" priority="9262" stopIfTrue="1" operator="lessThanOrEqual">
      <formula>0</formula>
    </cfRule>
  </conditionalFormatting>
  <conditionalFormatting sqref="Q27:AA29 F21:J29 Q28:AM29 G39:AA41 Q40:AM41 G51:AA53 Q52:AM53">
    <cfRule type="cellIs" dxfId="328" priority="10144" stopIfTrue="1" operator="lessThanOrEqual">
      <formula>0</formula>
    </cfRule>
  </conditionalFormatting>
  <conditionalFormatting sqref="Q28:AA29 G40:AA41 G52:AA53 F28:J29">
    <cfRule type="cellIs" dxfId="327" priority="7631" stopIfTrue="1" operator="lessThanOrEqual">
      <formula>0</formula>
    </cfRule>
  </conditionalFormatting>
  <conditionalFormatting sqref="Q22:AB22 F22:J29 Q23:Z29 G34:AB34 L34:U41 K35:Z41 G46:AB46 L46:W53 K47:Z53">
    <cfRule type="cellIs" dxfId="326" priority="7545" stopIfTrue="1" operator="lessThanOrEqual">
      <formula>0</formula>
    </cfRule>
    <cfRule type="cellIs" dxfId="325" priority="7546" stopIfTrue="1" operator="lessThanOrEqual">
      <formula>0</formula>
    </cfRule>
  </conditionalFormatting>
  <conditionalFormatting sqref="Q22:AB22 Q23:Z29 G34:AB34 L34:U41 K35:Z41 G46:AB46 L46:W53 K47:Z53 F22:J29">
    <cfRule type="cellIs" dxfId="324" priority="7544" stopIfTrue="1" operator="lessThanOrEqual">
      <formula>0</formula>
    </cfRule>
  </conditionalFormatting>
  <conditionalFormatting sqref="Q20:AC20 G20:J20">
    <cfRule type="cellIs" dxfId="323" priority="10147" stopIfTrue="1" operator="lessThanOrEqual">
      <formula>0</formula>
    </cfRule>
  </conditionalFormatting>
  <conditionalFormatting sqref="Q22:AJ22 F22:J29 Q23:Z29 G34:AJ34 L34:U41 K35:Z41 G46:AJ46 L46:W53 K47:Z53">
    <cfRule type="cellIs" dxfId="322" priority="7547" stopIfTrue="1" operator="lessThanOrEqual">
      <formula>0</formula>
    </cfRule>
  </conditionalFormatting>
  <conditionalFormatting sqref="Q22:AN29 E30:AN53 Q19:AN20 V21:AN21 E19:J29 E18:AN18">
    <cfRule type="cellIs" dxfId="321" priority="1288" operator="greaterThan">
      <formula>0</formula>
    </cfRule>
  </conditionalFormatting>
  <conditionalFormatting sqref="Q24:AN24 T25:Z29 G36:AN36 S37:Z41 G48:AN48 T49:Z53">
    <cfRule type="cellIs" dxfId="320" priority="7895" stopIfTrue="1" operator="lessThanOrEqual">
      <formula>0</formula>
    </cfRule>
  </conditionalFormatting>
  <conditionalFormatting sqref="Q22:AO23 F22:J29 Q22:AA29 Q24:AN24 Q25:AO25 V26:AK26 Y27:AE27 L34:AN36 G34:AA41 P37:AN37 V38:AK38 Y39:AE39 L46:AN48 G46:AA53 P49:AN49 V50:AK50 Y51:AE51">
    <cfRule type="cellIs" dxfId="319" priority="12215" stopIfTrue="1" operator="lessThanOrEqual">
      <formula>0</formula>
    </cfRule>
  </conditionalFormatting>
  <conditionalFormatting sqref="Q22:AO23 AA22:AA29 O33:AJ33 G33:V35 O34:AN35 G45:W47 O46:AN47 AA34:AA41 AA46:AA53">
    <cfRule type="cellIs" dxfId="318" priority="9368" stopIfTrue="1" operator="lessThanOrEqual">
      <formula>0</formula>
    </cfRule>
  </conditionalFormatting>
  <conditionalFormatting sqref="Q25:AO25 Q25:AA29 V26:AK26 O37:AN37 G37:AA41 V38:AK38 O49:AN49 G49:AA53 V50:AK50 F25:J29">
    <cfRule type="cellIs" dxfId="317" priority="9380" stopIfTrue="1" operator="lessThanOrEqual">
      <formula>0</formula>
    </cfRule>
  </conditionalFormatting>
  <conditionalFormatting sqref="Q25:AO25 Q25:AA29 V26:AK26 Y27:AE27 O37:AN37 G37:AA41 V38:AK38 Y39:AE39 O49:AN49 G49:AA53 V50:AK50 Y51:AE51 F25:J29">
    <cfRule type="cellIs" dxfId="316" priority="12212" stopIfTrue="1" operator="lessThanOrEqual">
      <formula>0</formula>
    </cfRule>
  </conditionalFormatting>
  <conditionalFormatting sqref="Q25:AO25 U26:AK26 V26:V29 U27:U29">
    <cfRule type="cellIs" dxfId="315" priority="9238" stopIfTrue="1" operator="lessThanOrEqual">
      <formula>0</formula>
    </cfRule>
  </conditionalFormatting>
  <conditionalFormatting sqref="Q25:AO25 U26:AK26 V26:V29 Y27:AE27 U27:U29">
    <cfRule type="cellIs" dxfId="314" priority="12187" stopIfTrue="1" operator="lessThanOrEqual">
      <formula>0</formula>
    </cfRule>
  </conditionalFormatting>
  <conditionalFormatting sqref="Q22:AR22 F22:J29 Q23:Z29 G34:AN34 L34:U41 K35:Z41 G46:AN46 L46:W53 K47:Z53">
    <cfRule type="cellIs" dxfId="313" priority="10956" stopIfTrue="1" operator="lessThanOrEqual">
      <formula>0</formula>
    </cfRule>
  </conditionalFormatting>
  <conditionalFormatting sqref="Q22:AR22 F22:J29 Q22:AA29 Q23:AO23 Q25:AO25 V26:AK26 O34:AN35 G34:AA41 O37:AN37 V38:AK38 O46:AN47 G46:AA53 O49:AN49 V50:AK50">
    <cfRule type="cellIs" dxfId="312" priority="9385" stopIfTrue="1" operator="lessThanOrEqual">
      <formula>0</formula>
    </cfRule>
  </conditionalFormatting>
  <conditionalFormatting sqref="Q22:AR22 G34:AN34 G46:AN46 Q23:Z29 L34:U41 K35:Z41 L46:W53 K47:Z53 F22:J29">
    <cfRule type="cellIs" dxfId="311" priority="10955" stopIfTrue="1" operator="lessThanOrEqual">
      <formula>0</formula>
    </cfRule>
  </conditionalFormatting>
  <conditionalFormatting sqref="Q22:AR22 Q20:AO20">
    <cfRule type="cellIs" dxfId="310" priority="13196" stopIfTrue="1" operator="lessThanOrEqual">
      <formula>0</formula>
    </cfRule>
  </conditionalFormatting>
  <conditionalFormatting sqref="R20 G19:J19 Q19:U19">
    <cfRule type="cellIs" dxfId="309" priority="1318" stopIfTrue="1" operator="lessThanOrEqual">
      <formula>0</formula>
    </cfRule>
  </conditionalFormatting>
  <conditionalFormatting sqref="R20 Q19:T19">
    <cfRule type="cellIs" dxfId="308" priority="876" stopIfTrue="1" operator="lessThanOrEqual">
      <formula>0</formula>
    </cfRule>
  </conditionalFormatting>
  <conditionalFormatting sqref="R22">
    <cfRule type="cellIs" dxfId="307" priority="75" stopIfTrue="1" operator="lessThanOrEqual">
      <formula>0</formula>
    </cfRule>
    <cfRule type="cellIs" dxfId="306" priority="76" stopIfTrue="1" operator="lessThanOrEqual">
      <formula>0</formula>
    </cfRule>
  </conditionalFormatting>
  <conditionalFormatting sqref="R22:R25">
    <cfRule type="cellIs" dxfId="305" priority="51" stopIfTrue="1" operator="lessThanOrEqual">
      <formula>0</formula>
    </cfRule>
  </conditionalFormatting>
  <conditionalFormatting sqref="R23:R24">
    <cfRule type="cellIs" dxfId="304" priority="1312" stopIfTrue="1" operator="lessThanOrEqual">
      <formula>0</formula>
    </cfRule>
    <cfRule type="cellIs" dxfId="303" priority="660" stopIfTrue="1" operator="lessThanOrEqual">
      <formula>0</formula>
    </cfRule>
  </conditionalFormatting>
  <conditionalFormatting sqref="R24">
    <cfRule type="cellIs" dxfId="302" priority="50" stopIfTrue="1" operator="lessThanOrEqual">
      <formula>0</formula>
    </cfRule>
    <cfRule type="cellIs" dxfId="301" priority="44" stopIfTrue="1" operator="lessThanOrEqual">
      <formula>0</formula>
    </cfRule>
    <cfRule type="cellIs" dxfId="300" priority="45" stopIfTrue="1" operator="lessThanOrEqual">
      <formula>0</formula>
    </cfRule>
  </conditionalFormatting>
  <conditionalFormatting sqref="R24:R29">
    <cfRule type="cellIs" dxfId="299" priority="745" stopIfTrue="1" operator="lessThanOrEqual">
      <formula>0</formula>
    </cfRule>
    <cfRule type="cellIs" dxfId="298" priority="94" stopIfTrue="1" operator="lessThanOrEqual">
      <formula>0</formula>
    </cfRule>
    <cfRule type="cellIs" dxfId="297" priority="13383" stopIfTrue="1" operator="lessThanOrEqual">
      <formula>0</formula>
    </cfRule>
  </conditionalFormatting>
  <conditionalFormatting sqref="R25">
    <cfRule type="cellIs" dxfId="296" priority="30" stopIfTrue="1" operator="lessThanOrEqual">
      <formula>0</formula>
    </cfRule>
  </conditionalFormatting>
  <conditionalFormatting sqref="R35:R36">
    <cfRule type="cellIs" dxfId="295" priority="1131" stopIfTrue="1" operator="lessThanOrEqual">
      <formula>0</formula>
    </cfRule>
  </conditionalFormatting>
  <conditionalFormatting sqref="R47:R48">
    <cfRule type="cellIs" dxfId="294" priority="1023" stopIfTrue="1" operator="lessThanOrEqual">
      <formula>0</formula>
    </cfRule>
  </conditionalFormatting>
  <conditionalFormatting sqref="R65:R69">
    <cfRule type="cellIs" dxfId="293" priority="4" stopIfTrue="1" operator="lessThanOrEqual">
      <formula>0</formula>
    </cfRule>
  </conditionalFormatting>
  <conditionalFormatting sqref="R11:S11">
    <cfRule type="cellIs" dxfId="292" priority="4638" stopIfTrue="1" operator="lessThanOrEqual">
      <formula>0</formula>
    </cfRule>
    <cfRule type="cellIs" dxfId="291" priority="4637" stopIfTrue="1" operator="lessThanOrEqual">
      <formula>0</formula>
    </cfRule>
    <cfRule type="cellIs" dxfId="290" priority="4636" stopIfTrue="1" operator="lessThanOrEqual">
      <formula>0</formula>
    </cfRule>
    <cfRule type="cellIs" dxfId="289" priority="4635" stopIfTrue="1" operator="lessThanOrEqual">
      <formula>0</formula>
    </cfRule>
  </conditionalFormatting>
  <conditionalFormatting sqref="R19:S20 R22:S29 S23:T23">
    <cfRule type="cellIs" dxfId="288" priority="92" stopIfTrue="1" operator="lessThanOrEqual">
      <formula>0</formula>
    </cfRule>
  </conditionalFormatting>
  <conditionalFormatting sqref="R20:S20 R22:S29 O23:U23">
    <cfRule type="cellIs" dxfId="287" priority="93" stopIfTrue="1" operator="lessThanOrEqual">
      <formula>0</formula>
    </cfRule>
  </conditionalFormatting>
  <conditionalFormatting sqref="R22:S29 R19:S20">
    <cfRule type="cellIs" dxfId="286" priority="91" stopIfTrue="1" operator="lessThanOrEqual">
      <formula>0</formula>
    </cfRule>
  </conditionalFormatting>
  <conditionalFormatting sqref="R23:S29">
    <cfRule type="cellIs" dxfId="285" priority="95" stopIfTrue="1" operator="lessThanOrEqual">
      <formula>0</formula>
    </cfRule>
  </conditionalFormatting>
  <conditionalFormatting sqref="R27:S27">
    <cfRule type="cellIs" dxfId="284" priority="101" stopIfTrue="1" operator="lessThanOrEqual">
      <formula>0</formula>
    </cfRule>
  </conditionalFormatting>
  <conditionalFormatting sqref="R31:T31">
    <cfRule type="cellIs" dxfId="283" priority="786" stopIfTrue="1" operator="lessThanOrEqual">
      <formula>0</formula>
    </cfRule>
  </conditionalFormatting>
  <conditionalFormatting sqref="R36:T36">
    <cfRule type="cellIs" dxfId="282" priority="812" stopIfTrue="1" operator="lessThanOrEqual">
      <formula>0</formula>
    </cfRule>
  </conditionalFormatting>
  <conditionalFormatting sqref="R22:U22 K22:S29 M23:U23 R24:U24 O25:T25 M26:U26 K19:S20 K21:U21">
    <cfRule type="cellIs" dxfId="281" priority="485" stopIfTrue="1" operator="lessThanOrEqual">
      <formula>0</formula>
    </cfRule>
    <cfRule type="cellIs" dxfId="280" priority="520" stopIfTrue="1" operator="lessThanOrEqual">
      <formula>0</formula>
    </cfRule>
  </conditionalFormatting>
  <conditionalFormatting sqref="R22:U22 K22:S29 M23:U23 R24:U24 O25:T25 M26:U26 K19:S20">
    <cfRule type="cellIs" dxfId="279" priority="543" stopIfTrue="1" operator="lessThanOrEqual">
      <formula>0</formula>
    </cfRule>
  </conditionalFormatting>
  <conditionalFormatting sqref="R22:U22 K22:S29 M23:U23 R24:U24 O25:T25 M26:U26 K20:S20 K21:U21">
    <cfRule type="cellIs" dxfId="278" priority="528" stopIfTrue="1" operator="lessThanOrEqual">
      <formula>0</formula>
    </cfRule>
  </conditionalFormatting>
  <conditionalFormatting sqref="R22:U22 K22:S29 M23:U23 R24:U24 O25:T25 M26:U26 K21:U21">
    <cfRule type="cellIs" dxfId="277" priority="535" stopIfTrue="1" operator="lessThanOrEqual">
      <formula>0</formula>
    </cfRule>
  </conditionalFormatting>
  <conditionalFormatting sqref="R22:U22 K22:S29 M23:U23 R24:U24 O25:T25 M26:U26">
    <cfRule type="cellIs" dxfId="276" priority="481" stopIfTrue="1" operator="lessThanOrEqual">
      <formula>0</formula>
    </cfRule>
    <cfRule type="cellIs" dxfId="275" priority="482" stopIfTrue="1" operator="lessThanOrEqual">
      <formula>0</formula>
    </cfRule>
    <cfRule type="cellIs" dxfId="274" priority="542" stopIfTrue="1" operator="lessThanOrEqual">
      <formula>0</formula>
    </cfRule>
    <cfRule type="cellIs" dxfId="273" priority="534" stopIfTrue="1" operator="lessThanOrEqual">
      <formula>0</formula>
    </cfRule>
    <cfRule type="cellIs" dxfId="272" priority="519" stopIfTrue="1" operator="lessThanOrEqual">
      <formula>0</formula>
    </cfRule>
    <cfRule type="cellIs" dxfId="271" priority="532" stopIfTrue="1" operator="lessThanOrEqual">
      <formula>0</formula>
    </cfRule>
    <cfRule type="cellIs" dxfId="270" priority="484" stopIfTrue="1" operator="lessThanOrEqual">
      <formula>0</formula>
    </cfRule>
    <cfRule type="cellIs" dxfId="269" priority="483" stopIfTrue="1" operator="lessThanOrEqual">
      <formula>0</formula>
    </cfRule>
    <cfRule type="cellIs" dxfId="268" priority="549" stopIfTrue="1" operator="lessThanOrEqual">
      <formula>0</formula>
    </cfRule>
  </conditionalFormatting>
  <conditionalFormatting sqref="R22:U22 K22:S29 M23:V23 R24:U24 O25:T25 M26:U26 K21:V21">
    <cfRule type="cellIs" dxfId="267" priority="550" stopIfTrue="1" operator="lessThanOrEqual">
      <formula>0</formula>
    </cfRule>
  </conditionalFormatting>
  <conditionalFormatting sqref="R23:U29">
    <cfRule type="cellIs" dxfId="266" priority="1253" stopIfTrue="1" operator="lessThanOrEqual">
      <formula>0</formula>
    </cfRule>
  </conditionalFormatting>
  <conditionalFormatting sqref="R24:U24 K24:S29 O25:T25 M26:U26">
    <cfRule type="cellIs" dxfId="265" priority="508" stopIfTrue="1" operator="lessThanOrEqual">
      <formula>0</formula>
    </cfRule>
    <cfRule type="cellIs" dxfId="264" priority="437" stopIfTrue="1" operator="lessThanOrEqual">
      <formula>0</formula>
    </cfRule>
    <cfRule type="cellIs" dxfId="263" priority="399" stopIfTrue="1" operator="lessThanOrEqual">
      <formula>0</formula>
    </cfRule>
    <cfRule type="cellIs" dxfId="262" priority="436" stopIfTrue="1" operator="lessThanOrEqual">
      <formula>0</formula>
    </cfRule>
  </conditionalFormatting>
  <conditionalFormatting sqref="R24:U24">
    <cfRule type="cellIs" dxfId="261" priority="35" stopIfTrue="1" operator="lessThanOrEqual">
      <formula>0</formula>
    </cfRule>
  </conditionalFormatting>
  <conditionalFormatting sqref="R26:V28">
    <cfRule type="cellIs" dxfId="260" priority="591" stopIfTrue="1" operator="lessThanOrEqual">
      <formula>0</formula>
    </cfRule>
  </conditionalFormatting>
  <conditionalFormatting sqref="R30:AN31">
    <cfRule type="cellIs" dxfId="259" priority="1217" stopIfTrue="1" operator="lessThanOrEqual">
      <formula>0</formula>
    </cfRule>
  </conditionalFormatting>
  <conditionalFormatting sqref="R42:AN43">
    <cfRule type="cellIs" dxfId="258" priority="1109" stopIfTrue="1" operator="lessThanOrEqual">
      <formula>0</formula>
    </cfRule>
  </conditionalFormatting>
  <conditionalFormatting sqref="R16:AO19">
    <cfRule type="cellIs" dxfId="257" priority="13268" stopIfTrue="1" operator="lessThanOrEqual">
      <formula>0</formula>
    </cfRule>
  </conditionalFormatting>
  <conditionalFormatting sqref="S13">
    <cfRule type="cellIs" dxfId="256" priority="86" stopIfTrue="1" operator="lessThanOrEqual">
      <formula>0</formula>
    </cfRule>
    <cfRule type="cellIs" dxfId="255" priority="87" stopIfTrue="1" operator="lessThanOrEqual">
      <formula>0</formula>
    </cfRule>
    <cfRule type="cellIs" dxfId="254" priority="85" stopIfTrue="1" operator="lessThanOrEqual">
      <formula>0</formula>
    </cfRule>
    <cfRule type="cellIs" dxfId="253" priority="88" stopIfTrue="1" operator="lessThanOrEqual">
      <formula>0</formula>
    </cfRule>
  </conditionalFormatting>
  <conditionalFormatting sqref="S20">
    <cfRule type="cellIs" dxfId="252" priority="731" stopIfTrue="1" operator="lessThanOrEqual">
      <formula>0</formula>
    </cfRule>
  </conditionalFormatting>
  <conditionalFormatting sqref="S23:S24">
    <cfRule type="cellIs" dxfId="251" priority="715" stopIfTrue="1" operator="lessThanOrEqual">
      <formula>0</formula>
    </cfRule>
    <cfRule type="cellIs" dxfId="250" priority="605" stopIfTrue="1" operator="lessThanOrEqual">
      <formula>0</formula>
    </cfRule>
    <cfRule type="cellIs" dxfId="249" priority="103" stopIfTrue="1" operator="lessThanOrEqual">
      <formula>0</formula>
    </cfRule>
  </conditionalFormatting>
  <conditionalFormatting sqref="S24:S29">
    <cfRule type="cellIs" dxfId="248" priority="100" stopIfTrue="1" operator="lessThanOrEqual">
      <formula>0</formula>
    </cfRule>
  </conditionalFormatting>
  <conditionalFormatting sqref="S26:S28">
    <cfRule type="cellIs" dxfId="247" priority="105" stopIfTrue="1" operator="lessThanOrEqual">
      <formula>0</formula>
    </cfRule>
  </conditionalFormatting>
  <conditionalFormatting sqref="S35:S41">
    <cfRule type="cellIs" dxfId="246" priority="771" stopIfTrue="1" operator="lessThanOrEqual">
      <formula>0</formula>
    </cfRule>
  </conditionalFormatting>
  <conditionalFormatting sqref="S65:S68">
    <cfRule type="cellIs" dxfId="245" priority="946" stopIfTrue="1" operator="lessThanOrEqual">
      <formula>0</formula>
    </cfRule>
  </conditionalFormatting>
  <conditionalFormatting sqref="S23:T24">
    <cfRule type="cellIs" dxfId="244" priority="53" stopIfTrue="1" operator="lessThanOrEqual">
      <formula>0</formula>
    </cfRule>
  </conditionalFormatting>
  <conditionalFormatting sqref="S36:T36">
    <cfRule type="cellIs" dxfId="243" priority="781" stopIfTrue="1" operator="lessThanOrEqual">
      <formula>0</formula>
    </cfRule>
    <cfRule type="cellIs" dxfId="242" priority="782" stopIfTrue="1" operator="lessThanOrEqual">
      <formula>0</formula>
    </cfRule>
  </conditionalFormatting>
  <conditionalFormatting sqref="S24:U24">
    <cfRule type="cellIs" dxfId="241" priority="1888" stopIfTrue="1" operator="lessThanOrEqual">
      <formula>0</formula>
    </cfRule>
  </conditionalFormatting>
  <conditionalFormatting sqref="S36:U36">
    <cfRule type="cellIs" dxfId="240" priority="1165" stopIfTrue="1" operator="lessThanOrEqual">
      <formula>0</formula>
    </cfRule>
  </conditionalFormatting>
  <conditionalFormatting sqref="S48:U48">
    <cfRule type="cellIs" dxfId="239" priority="1057" stopIfTrue="1" operator="lessThanOrEqual">
      <formula>0</formula>
    </cfRule>
  </conditionalFormatting>
  <conditionalFormatting sqref="S19:V19">
    <cfRule type="cellIs" dxfId="238" priority="1247" stopIfTrue="1" operator="lessThanOrEqual">
      <formula>0</formula>
    </cfRule>
  </conditionalFormatting>
  <conditionalFormatting sqref="S23:V29">
    <cfRule type="cellIs" dxfId="237" priority="600" stopIfTrue="1" operator="lessThanOrEqual">
      <formula>0</formula>
    </cfRule>
  </conditionalFormatting>
  <conditionalFormatting sqref="S24:V24">
    <cfRule type="cellIs" dxfId="236" priority="662" stopIfTrue="1" operator="lessThanOrEqual">
      <formula>0</formula>
    </cfRule>
  </conditionalFormatting>
  <conditionalFormatting sqref="S55:V55 D55:T58">
    <cfRule type="cellIs" dxfId="235" priority="6919" stopIfTrue="1" operator="lessThanOrEqual">
      <formula>0</formula>
    </cfRule>
  </conditionalFormatting>
  <conditionalFormatting sqref="S55:V55 G55:S58 G59:J63">
    <cfRule type="cellIs" dxfId="234" priority="13067" stopIfTrue="1" operator="lessThanOrEqual">
      <formula>0</formula>
    </cfRule>
  </conditionalFormatting>
  <conditionalFormatting sqref="S25:AA25 T26:Z29 R37:AA37 S38:Z41 S49:AA49 T50:Z53">
    <cfRule type="cellIs" dxfId="233" priority="3563" stopIfTrue="1" operator="lessThanOrEqual">
      <formula>0</formula>
    </cfRule>
  </conditionalFormatting>
  <conditionalFormatting sqref="T23:T24">
    <cfRule type="cellIs" dxfId="232" priority="663" stopIfTrue="1" operator="lessThanOrEqual">
      <formula>0</formula>
    </cfRule>
  </conditionalFormatting>
  <conditionalFormatting sqref="T24">
    <cfRule type="cellIs" dxfId="231" priority="39" stopIfTrue="1" operator="lessThanOrEqual">
      <formula>0</formula>
    </cfRule>
  </conditionalFormatting>
  <conditionalFormatting sqref="T25">
    <cfRule type="cellIs" dxfId="230" priority="20" stopIfTrue="1" operator="lessThanOrEqual">
      <formula>0</formula>
    </cfRule>
    <cfRule type="cellIs" dxfId="229" priority="18" stopIfTrue="1" operator="lessThanOrEqual">
      <formula>0</formula>
    </cfRule>
    <cfRule type="cellIs" dxfId="228" priority="17" stopIfTrue="1" operator="lessThanOrEqual">
      <formula>0</formula>
    </cfRule>
    <cfRule type="cellIs" dxfId="227" priority="19" stopIfTrue="1" operator="lessThanOrEqual">
      <formula>0</formula>
    </cfRule>
  </conditionalFormatting>
  <conditionalFormatting sqref="T31:T41">
    <cfRule type="cellIs" dxfId="226" priority="779" stopIfTrue="1" operator="lessThanOrEqual">
      <formula>0</formula>
    </cfRule>
  </conditionalFormatting>
  <conditionalFormatting sqref="T32:T41">
    <cfRule type="cellIs" dxfId="225" priority="783" stopIfTrue="1" operator="lessThanOrEqual">
      <formula>0</formula>
    </cfRule>
  </conditionalFormatting>
  <conditionalFormatting sqref="T36:T41">
    <cfRule type="cellIs" dxfId="224" priority="844" stopIfTrue="1" operator="lessThanOrEqual">
      <formula>0</formula>
    </cfRule>
  </conditionalFormatting>
  <conditionalFormatting sqref="T38:T40">
    <cfRule type="cellIs" dxfId="223" priority="854" stopIfTrue="1" operator="lessThanOrEqual">
      <formula>0</formula>
    </cfRule>
    <cfRule type="cellIs" dxfId="222" priority="846" stopIfTrue="1" operator="lessThanOrEqual">
      <formula>0</formula>
    </cfRule>
  </conditionalFormatting>
  <conditionalFormatting sqref="T55:T58 L59:T62">
    <cfRule type="cellIs" dxfId="221" priority="4894" stopIfTrue="1" operator="lessThanOrEqual">
      <formula>0</formula>
    </cfRule>
  </conditionalFormatting>
  <conditionalFormatting sqref="T22:U22">
    <cfRule type="cellIs" dxfId="220" priority="73" stopIfTrue="1" operator="lessThanOrEqual">
      <formula>0</formula>
    </cfRule>
    <cfRule type="cellIs" dxfId="219" priority="72" stopIfTrue="1" operator="lessThanOrEqual">
      <formula>0</formula>
    </cfRule>
    <cfRule type="cellIs" dxfId="218" priority="71" stopIfTrue="1" operator="lessThanOrEqual">
      <formula>0</formula>
    </cfRule>
  </conditionalFormatting>
  <conditionalFormatting sqref="T24:U24">
    <cfRule type="cellIs" dxfId="217" priority="714" stopIfTrue="1" operator="lessThanOrEqual">
      <formula>0</formula>
    </cfRule>
    <cfRule type="cellIs" dxfId="216" priority="40" stopIfTrue="1" operator="lessThanOrEqual">
      <formula>0</formula>
    </cfRule>
    <cfRule type="cellIs" dxfId="215" priority="37" stopIfTrue="1" operator="lessThanOrEqual">
      <formula>0</formula>
    </cfRule>
    <cfRule type="cellIs" dxfId="214" priority="38" stopIfTrue="1" operator="lessThanOrEqual">
      <formula>0</formula>
    </cfRule>
  </conditionalFormatting>
  <conditionalFormatting sqref="T25:U25 U26:U29">
    <cfRule type="cellIs" dxfId="213" priority="732" stopIfTrue="1" operator="lessThanOrEqual">
      <formula>0</formula>
    </cfRule>
  </conditionalFormatting>
  <conditionalFormatting sqref="T19:V19">
    <cfRule type="cellIs" dxfId="212" priority="599" stopIfTrue="1" operator="lessThanOrEqual">
      <formula>0</formula>
    </cfRule>
  </conditionalFormatting>
  <conditionalFormatting sqref="T23:V29 R35:U41 R47:U53 S49:W49">
    <cfRule type="cellIs" dxfId="211" priority="1233" stopIfTrue="1" operator="lessThanOrEqual">
      <formula>0</formula>
    </cfRule>
  </conditionalFormatting>
  <conditionalFormatting sqref="T24:V24">
    <cfRule type="cellIs" dxfId="210" priority="1242" stopIfTrue="1" operator="lessThanOrEqual">
      <formula>0</formula>
    </cfRule>
    <cfRule type="cellIs" dxfId="209" priority="622" stopIfTrue="1" operator="lessThanOrEqual">
      <formula>0</formula>
    </cfRule>
  </conditionalFormatting>
  <conditionalFormatting sqref="T24:V29 X24:Y29 S36:V41 T48:V53">
    <cfRule type="cellIs" dxfId="208" priority="2374" stopIfTrue="1" operator="lessThanOrEqual">
      <formula>0</formula>
    </cfRule>
    <cfRule type="cellIs" dxfId="207" priority="4380" stopIfTrue="1" operator="lessThanOrEqual">
      <formula>0</formula>
    </cfRule>
  </conditionalFormatting>
  <conditionalFormatting sqref="T24:V29 X24:Y29 S36:V41 X36:Y41 T48:V53 X48:Y53">
    <cfRule type="cellIs" dxfId="206" priority="3712" stopIfTrue="1" operator="lessThanOrEqual">
      <formula>0</formula>
    </cfRule>
  </conditionalFormatting>
  <conditionalFormatting sqref="T25:V29 X25:Y29 S37:V41 T49:V53">
    <cfRule type="cellIs" dxfId="205" priority="7104" stopIfTrue="1" operator="lessThanOrEqual">
      <formula>0</formula>
    </cfRule>
    <cfRule type="cellIs" dxfId="204" priority="3957" stopIfTrue="1" operator="lessThanOrEqual">
      <formula>0</formula>
    </cfRule>
  </conditionalFormatting>
  <conditionalFormatting sqref="T25:V29 X25:Y29 S37:V41 X37:Y41 T49:V53 X49:Y53">
    <cfRule type="cellIs" dxfId="203" priority="10468" stopIfTrue="1" operator="lessThanOrEqual">
      <formula>0</formula>
    </cfRule>
  </conditionalFormatting>
  <conditionalFormatting sqref="T25:V29 X25:Y29 X36:Y41 S37:V41 X48:Y53 T49:V53">
    <cfRule type="cellIs" dxfId="202" priority="1984" stopIfTrue="1" operator="lessThanOrEqual">
      <formula>0</formula>
    </cfRule>
  </conditionalFormatting>
  <conditionalFormatting sqref="T36:V36">
    <cfRule type="cellIs" dxfId="201" priority="1114" stopIfTrue="1" operator="lessThanOrEqual">
      <formula>0</formula>
    </cfRule>
  </conditionalFormatting>
  <conditionalFormatting sqref="T48:W48">
    <cfRule type="cellIs" dxfId="200" priority="970" stopIfTrue="1" operator="lessThanOrEqual">
      <formula>0</formula>
    </cfRule>
  </conditionalFormatting>
  <conditionalFormatting sqref="T13:X13">
    <cfRule type="cellIs" dxfId="199" priority="1374" stopIfTrue="1" operator="lessThanOrEqual">
      <formula>0</formula>
    </cfRule>
    <cfRule type="cellIs" dxfId="198" priority="1375" stopIfTrue="1" operator="lessThanOrEqual">
      <formula>0</formula>
    </cfRule>
    <cfRule type="cellIs" dxfId="197" priority="1376" stopIfTrue="1" operator="lessThanOrEqual">
      <formula>0</formula>
    </cfRule>
    <cfRule type="cellIs" dxfId="196" priority="1377" stopIfTrue="1" operator="lessThanOrEqual">
      <formula>0</formula>
    </cfRule>
    <cfRule type="cellIs" dxfId="195" priority="1378" stopIfTrue="1" operator="lessThanOrEqual">
      <formula>0</formula>
    </cfRule>
    <cfRule type="cellIs" dxfId="194" priority="1379" stopIfTrue="1" operator="lessThanOrEqual">
      <formula>0</formula>
    </cfRule>
    <cfRule type="cellIs" dxfId="193" priority="1380" stopIfTrue="1" operator="lessThanOrEqual">
      <formula>0</formula>
    </cfRule>
    <cfRule type="cellIs" dxfId="192" priority="1942" stopIfTrue="1" operator="lessThanOrEqual">
      <formula>0</formula>
    </cfRule>
    <cfRule type="cellIs" dxfId="191" priority="1941" stopIfTrue="1" operator="lessThanOrEqual">
      <formula>0</formula>
    </cfRule>
    <cfRule type="cellIs" dxfId="190" priority="1307" stopIfTrue="1" operator="lessThanOrEqual">
      <formula>0</formula>
    </cfRule>
    <cfRule type="cellIs" dxfId="189" priority="9303" stopIfTrue="1" operator="lessThanOrEqual">
      <formula>0</formula>
    </cfRule>
    <cfRule type="cellIs" dxfId="188" priority="1373" stopIfTrue="1" operator="lessThanOrEqual">
      <formula>0</formula>
    </cfRule>
  </conditionalFormatting>
  <conditionalFormatting sqref="T24:Z29 S36:Z41 T48:Z53">
    <cfRule type="cellIs" dxfId="187" priority="3963" stopIfTrue="1" operator="lessThanOrEqual">
      <formula>0</formula>
    </cfRule>
  </conditionalFormatting>
  <conditionalFormatting sqref="T25:Z29 S37:Z41 T49:Z53">
    <cfRule type="cellIs" dxfId="186" priority="3564" stopIfTrue="1" operator="lessThanOrEqual">
      <formula>0</formula>
    </cfRule>
    <cfRule type="cellIs" dxfId="185" priority="3843" stopIfTrue="1" operator="lessThanOrEqual">
      <formula>0</formula>
    </cfRule>
    <cfRule type="cellIs" dxfId="184" priority="5822" stopIfTrue="1" operator="lessThanOrEqual">
      <formula>0</formula>
    </cfRule>
    <cfRule type="cellIs" dxfId="183" priority="3093" stopIfTrue="1" operator="lessThanOrEqual">
      <formula>0</formula>
    </cfRule>
    <cfRule type="cellIs" dxfId="182" priority="4285" stopIfTrue="1" operator="lessThanOrEqual">
      <formula>0</formula>
    </cfRule>
    <cfRule type="cellIs" dxfId="181" priority="2688" stopIfTrue="1" operator="lessThanOrEqual">
      <formula>0</formula>
    </cfRule>
    <cfRule type="cellIs" dxfId="180" priority="2259" stopIfTrue="1" operator="lessThanOrEqual">
      <formula>0</formula>
    </cfRule>
  </conditionalFormatting>
  <conditionalFormatting sqref="T27:AA27">
    <cfRule type="cellIs" dxfId="179" priority="3469" stopIfTrue="1" operator="lessThanOrEqual">
      <formula>0</formula>
    </cfRule>
  </conditionalFormatting>
  <conditionalFormatting sqref="T13:AC13">
    <cfRule type="cellIs" dxfId="178" priority="7233" stopIfTrue="1" operator="lessThanOrEqual">
      <formula>0</formula>
    </cfRule>
    <cfRule type="cellIs" dxfId="177" priority="7234" stopIfTrue="1" operator="lessThanOrEqual">
      <formula>0</formula>
    </cfRule>
    <cfRule type="cellIs" dxfId="176" priority="13005" stopIfTrue="1" operator="lessThanOrEqual">
      <formula>0</formula>
    </cfRule>
  </conditionalFormatting>
  <conditionalFormatting sqref="U13">
    <cfRule type="cellIs" dxfId="175" priority="12" stopIfTrue="1" operator="lessThanOrEqual">
      <formula>0</formula>
    </cfRule>
    <cfRule type="cellIs" dxfId="174" priority="11" stopIfTrue="1" operator="lessThanOrEqual">
      <formula>0</formula>
    </cfRule>
    <cfRule type="cellIs" dxfId="173" priority="10" stopIfTrue="1" operator="lessThanOrEqual">
      <formula>0</formula>
    </cfRule>
    <cfRule type="cellIs" dxfId="172" priority="13" stopIfTrue="1" operator="lessThanOrEqual">
      <formula>0</formula>
    </cfRule>
  </conditionalFormatting>
  <conditionalFormatting sqref="U23:U24">
    <cfRule type="cellIs" dxfId="171" priority="1243" stopIfTrue="1" operator="lessThanOrEqual">
      <formula>0</formula>
    </cfRule>
    <cfRule type="cellIs" dxfId="170" priority="728" stopIfTrue="1" operator="lessThanOrEqual">
      <formula>0</formula>
    </cfRule>
  </conditionalFormatting>
  <conditionalFormatting sqref="U24">
    <cfRule type="cellIs" dxfId="169" priority="42" stopIfTrue="1" operator="lessThanOrEqual">
      <formula>0</formula>
    </cfRule>
    <cfRule type="cellIs" dxfId="168" priority="41" stopIfTrue="1" operator="lessThanOrEqual">
      <formula>0</formula>
    </cfRule>
  </conditionalFormatting>
  <conditionalFormatting sqref="U24:U29">
    <cfRule type="cellIs" dxfId="167" priority="733" stopIfTrue="1" operator="lessThanOrEqual">
      <formula>0</formula>
    </cfRule>
    <cfRule type="cellIs" dxfId="166" priority="712" stopIfTrue="1" operator="lessThanOrEqual">
      <formula>0</formula>
    </cfRule>
  </conditionalFormatting>
  <conditionalFormatting sqref="U31:U41 U43:U53 U22:U29 U19:U20">
    <cfRule type="cellIs" dxfId="165" priority="1228" stopIfTrue="1" operator="lessThanOrEqual">
      <formula>0</formula>
    </cfRule>
  </conditionalFormatting>
  <conditionalFormatting sqref="U35:U36">
    <cfRule type="cellIs" dxfId="164" priority="1116" stopIfTrue="1" operator="lessThanOrEqual">
      <formula>0</formula>
    </cfRule>
  </conditionalFormatting>
  <conditionalFormatting sqref="U47:U48">
    <cfRule type="cellIs" dxfId="163" priority="1008" stopIfTrue="1" operator="lessThanOrEqual">
      <formula>0</formula>
    </cfRule>
  </conditionalFormatting>
  <conditionalFormatting sqref="U20:V20 U32:V41 U44:V53">
    <cfRule type="cellIs" dxfId="162" priority="1252" stopIfTrue="1" operator="lessThanOrEqual">
      <formula>0</formula>
    </cfRule>
  </conditionalFormatting>
  <conditionalFormatting sqref="U24:V24">
    <cfRule type="cellIs" dxfId="161" priority="682" stopIfTrue="1" operator="lessThanOrEqual">
      <formula>0</formula>
    </cfRule>
    <cfRule type="cellIs" dxfId="160" priority="594" stopIfTrue="1" operator="lessThanOrEqual">
      <formula>0</formula>
    </cfRule>
    <cfRule type="cellIs" dxfId="159" priority="595" stopIfTrue="1" operator="lessThanOrEqual">
      <formula>0</formula>
    </cfRule>
  </conditionalFormatting>
  <conditionalFormatting sqref="U48:V48">
    <cfRule type="cellIs" dxfId="158" priority="969" stopIfTrue="1" operator="lessThanOrEqual">
      <formula>0</formula>
    </cfRule>
  </conditionalFormatting>
  <conditionalFormatting sqref="U51:W53 L49:AN49 U50:AK50">
    <cfRule type="cellIs" dxfId="157" priority="1095" stopIfTrue="1" operator="lessThanOrEqual">
      <formula>0</formula>
    </cfRule>
  </conditionalFormatting>
  <conditionalFormatting sqref="U27:X27">
    <cfRule type="cellIs" dxfId="156" priority="7944" stopIfTrue="1" operator="lessThanOrEqual">
      <formula>0</formula>
    </cfRule>
  </conditionalFormatting>
  <conditionalFormatting sqref="V19:V29 V31:V41 V43:V53">
    <cfRule type="cellIs" dxfId="155" priority="1254" stopIfTrue="1" operator="lessThanOrEqual">
      <formula>0</formula>
    </cfRule>
  </conditionalFormatting>
  <conditionalFormatting sqref="V19:V29">
    <cfRule type="cellIs" dxfId="154" priority="592" stopIfTrue="1" operator="lessThanOrEqual">
      <formula>0</formula>
    </cfRule>
  </conditionalFormatting>
  <conditionalFormatting sqref="V20:V29">
    <cfRule type="cellIs" dxfId="153" priority="596" stopIfTrue="1" operator="lessThanOrEqual">
      <formula>0</formula>
    </cfRule>
  </conditionalFormatting>
  <conditionalFormatting sqref="V21 Q22:V25 V26:V29">
    <cfRule type="cellIs" dxfId="152" priority="688" stopIfTrue="1" operator="lessThanOrEqual">
      <formula>0</formula>
    </cfRule>
  </conditionalFormatting>
  <conditionalFormatting sqref="V21 Q22:V25">
    <cfRule type="cellIs" dxfId="151" priority="700" stopIfTrue="1" operator="lessThanOrEqual">
      <formula>0</formula>
    </cfRule>
  </conditionalFormatting>
  <conditionalFormatting sqref="V21 V26:V29">
    <cfRule type="cellIs" dxfId="150" priority="703" stopIfTrue="1" operator="lessThanOrEqual">
      <formula>0</formula>
    </cfRule>
  </conditionalFormatting>
  <conditionalFormatting sqref="V21">
    <cfRule type="cellIs" dxfId="149" priority="630" stopIfTrue="1" operator="lessThanOrEqual">
      <formula>0</formula>
    </cfRule>
    <cfRule type="cellIs" dxfId="148" priority="627" stopIfTrue="1" operator="lessThanOrEqual">
      <formula>0</formula>
    </cfRule>
    <cfRule type="cellIs" dxfId="147" priority="626" stopIfTrue="1" operator="lessThanOrEqual">
      <formula>0</formula>
    </cfRule>
    <cfRule type="cellIs" dxfId="146" priority="625" stopIfTrue="1" operator="lessThanOrEqual">
      <formula>0</formula>
    </cfRule>
    <cfRule type="cellIs" dxfId="145" priority="686" stopIfTrue="1" operator="lessThanOrEqual">
      <formula>0</formula>
    </cfRule>
    <cfRule type="cellIs" dxfId="144" priority="641" stopIfTrue="1" operator="lessThanOrEqual">
      <formula>0</formula>
    </cfRule>
    <cfRule type="cellIs" dxfId="143" priority="608" stopIfTrue="1" operator="lessThanOrEqual">
      <formula>0</formula>
    </cfRule>
    <cfRule type="cellIs" dxfId="142" priority="606" stopIfTrue="1" operator="lessThanOrEqual">
      <formula>0</formula>
    </cfRule>
    <cfRule type="cellIs" dxfId="141" priority="7866" stopIfTrue="1" operator="lessThanOrEqual">
      <formula>0</formula>
    </cfRule>
    <cfRule type="cellIs" dxfId="140" priority="702" stopIfTrue="1" operator="lessThanOrEqual">
      <formula>0</formula>
    </cfRule>
    <cfRule type="cellIs" dxfId="139" priority="664" stopIfTrue="1" operator="lessThanOrEqual">
      <formula>0</formula>
    </cfRule>
    <cfRule type="cellIs" dxfId="138" priority="666" stopIfTrue="1" operator="lessThanOrEqual">
      <formula>0</formula>
    </cfRule>
    <cfRule type="cellIs" dxfId="137" priority="593" stopIfTrue="1" operator="lessThanOrEqual">
      <formula>0</formula>
    </cfRule>
    <cfRule type="cellIs" dxfId="136" priority="690" stopIfTrue="1" operator="lessThanOrEqual">
      <formula>0</formula>
    </cfRule>
    <cfRule type="cellIs" dxfId="135" priority="631" stopIfTrue="1" operator="lessThanOrEqual">
      <formula>0</formula>
    </cfRule>
    <cfRule type="cellIs" dxfId="134" priority="687" stopIfTrue="1" operator="lessThanOrEqual">
      <formula>0</formula>
    </cfRule>
    <cfRule type="cellIs" dxfId="133" priority="675" stopIfTrue="1" operator="lessThanOrEqual">
      <formula>0</formula>
    </cfRule>
    <cfRule type="cellIs" dxfId="132" priority="617" stopIfTrue="1" operator="lessThanOrEqual">
      <formula>0</formula>
    </cfRule>
    <cfRule type="cellIs" dxfId="131" priority="685" stopIfTrue="1" operator="lessThanOrEqual">
      <formula>0</formula>
    </cfRule>
    <cfRule type="cellIs" dxfId="130" priority="640" stopIfTrue="1" operator="lessThanOrEqual">
      <formula>0</formula>
    </cfRule>
  </conditionalFormatting>
  <conditionalFormatting sqref="V24">
    <cfRule type="cellIs" dxfId="129" priority="655" stopIfTrue="1" operator="lessThanOrEqual">
      <formula>0</formula>
    </cfRule>
  </conditionalFormatting>
  <conditionalFormatting sqref="V24:V29">
    <cfRule type="cellIs" dxfId="128" priority="642" stopIfTrue="1" operator="lessThanOrEqual">
      <formula>0</formula>
    </cfRule>
  </conditionalFormatting>
  <conditionalFormatting sqref="V26:V29 Q25:AA25">
    <cfRule type="cellIs" dxfId="127" priority="3956" stopIfTrue="1" operator="lessThanOrEqual">
      <formula>0</formula>
    </cfRule>
  </conditionalFormatting>
  <conditionalFormatting sqref="V26:V29">
    <cfRule type="cellIs" dxfId="126" priority="1979" stopIfTrue="1" operator="lessThanOrEqual">
      <formula>0</formula>
    </cfRule>
    <cfRule type="cellIs" dxfId="125" priority="3955" stopIfTrue="1" operator="lessThanOrEqual">
      <formula>0</formula>
    </cfRule>
  </conditionalFormatting>
  <conditionalFormatting sqref="V21:W21">
    <cfRule type="cellIs" dxfId="124" priority="4233" stopIfTrue="1" operator="lessThanOrEqual">
      <formula>0</formula>
    </cfRule>
  </conditionalFormatting>
  <conditionalFormatting sqref="V23:W29 V35:W41 V47:W53">
    <cfRule type="cellIs" dxfId="123" priority="3570" stopIfTrue="1" operator="lessThanOrEqual">
      <formula>0</formula>
    </cfRule>
  </conditionalFormatting>
  <conditionalFormatting sqref="V24:W29 V36:W41 V48:W53">
    <cfRule type="cellIs" dxfId="122" priority="3895" stopIfTrue="1" operator="lessThanOrEqual">
      <formula>0</formula>
    </cfRule>
    <cfRule type="cellIs" dxfId="121" priority="5825" stopIfTrue="1" operator="lessThanOrEqual">
      <formula>0</formula>
    </cfRule>
  </conditionalFormatting>
  <conditionalFormatting sqref="V24:W29 V36:Y41 V48:Y53">
    <cfRule type="cellIs" dxfId="120" priority="4282" stopIfTrue="1" operator="lessThanOrEqual">
      <formula>0</formula>
    </cfRule>
  </conditionalFormatting>
  <conditionalFormatting sqref="V21:X21">
    <cfRule type="cellIs" dxfId="119" priority="2253" stopIfTrue="1" operator="lessThanOrEqual">
      <formula>0</formula>
    </cfRule>
  </conditionalFormatting>
  <conditionalFormatting sqref="V21:Y21">
    <cfRule type="cellIs" dxfId="118" priority="3840" stopIfTrue="1" operator="lessThanOrEqual">
      <formula>0</formula>
    </cfRule>
  </conditionalFormatting>
  <conditionalFormatting sqref="V80:Z80 L81:Z86">
    <cfRule type="cellIs" dxfId="117" priority="978" stopIfTrue="1" operator="lessThanOrEqual">
      <formula>0</formula>
    </cfRule>
  </conditionalFormatting>
  <conditionalFormatting sqref="V21:AA21 Q24:Z29 G33:X36 L33:U41 K36:Z41 G45:X48 L45:W53 K48:Z53">
    <cfRule type="cellIs" dxfId="116" priority="7867" stopIfTrue="1" operator="lessThanOrEqual">
      <formula>0</formula>
    </cfRule>
  </conditionalFormatting>
  <conditionalFormatting sqref="V21:AJ21 F21:J29 Q22:AA24 AA22:AA29 R23:AO23 O33:AJ33 L33:Z34 G33:V36 L33:U41 U34:AA34 AA34:AA41 R35:AN35 L35:AA36 O45:AJ45 L45:Z46 G45:V48 L45:W53 U46:AA46 AA46:AA53 R47:AN47 L47:AA48 Q22:V29 Q25:Z29 K37:Z41 K49:Z53">
    <cfRule type="cellIs" dxfId="115" priority="12214" stopIfTrue="1" operator="lessThanOrEqual">
      <formula>0</formula>
    </cfRule>
  </conditionalFormatting>
  <conditionalFormatting sqref="V21:AJ21 AA22:AA29 G33:AJ33 AA34:AA41 G45:AJ45 AA46:AA53 F21:J21">
    <cfRule type="cellIs" dxfId="114" priority="12213" stopIfTrue="1" operator="lessThanOrEqual">
      <formula>0</formula>
    </cfRule>
  </conditionalFormatting>
  <conditionalFormatting sqref="V24:AN24 U24:U29 V25:W29 Y25:Z29 V36:AN36 U36:U41 V37:W41 Y37:Z41 V48:AN48 U48:U53 V49:W53 Y49:Z53">
    <cfRule type="cellIs" dxfId="113" priority="7894" stopIfTrue="1" operator="lessThanOrEqual">
      <formula>0</formula>
    </cfRule>
  </conditionalFormatting>
  <conditionalFormatting sqref="V80:AN80 U81:AN86">
    <cfRule type="cellIs" dxfId="112" priority="979" stopIfTrue="1" operator="lessThanOrEqual">
      <formula>0</formula>
    </cfRule>
  </conditionalFormatting>
  <conditionalFormatting sqref="W24:X24">
    <cfRule type="cellIs" dxfId="111" priority="1597" stopIfTrue="1" operator="lessThanOrEqual">
      <formula>0</formula>
    </cfRule>
    <cfRule type="cellIs" dxfId="110" priority="1747" stopIfTrue="1" operator="lessThanOrEqual">
      <formula>0</formula>
    </cfRule>
    <cfRule type="cellIs" dxfId="109" priority="1596" stopIfTrue="1" operator="lessThanOrEqual">
      <formula>0</formula>
    </cfRule>
    <cfRule type="cellIs" dxfId="108" priority="1746" stopIfTrue="1" operator="lessThanOrEqual">
      <formula>0</formula>
    </cfRule>
  </conditionalFormatting>
  <conditionalFormatting sqref="W36:X36">
    <cfRule type="cellIs" dxfId="107" priority="1164" stopIfTrue="1" operator="lessThanOrEqual">
      <formula>0</formula>
    </cfRule>
    <cfRule type="cellIs" dxfId="106" priority="1163" stopIfTrue="1" operator="lessThanOrEqual">
      <formula>0</formula>
    </cfRule>
    <cfRule type="cellIs" dxfId="105" priority="1158" stopIfTrue="1" operator="lessThanOrEqual">
      <formula>0</formula>
    </cfRule>
    <cfRule type="cellIs" dxfId="104" priority="1157" stopIfTrue="1" operator="lessThanOrEqual">
      <formula>0</formula>
    </cfRule>
  </conditionalFormatting>
  <conditionalFormatting sqref="W48:X48">
    <cfRule type="cellIs" dxfId="103" priority="1056" stopIfTrue="1" operator="lessThanOrEqual">
      <formula>0</formula>
    </cfRule>
    <cfRule type="cellIs" dxfId="102" priority="1055" stopIfTrue="1" operator="lessThanOrEqual">
      <formula>0</formula>
    </cfRule>
    <cfRule type="cellIs" dxfId="101" priority="1049" stopIfTrue="1" operator="lessThanOrEqual">
      <formula>0</formula>
    </cfRule>
    <cfRule type="cellIs" dxfId="100" priority="1050" stopIfTrue="1" operator="lessThanOrEqual">
      <formula>0</formula>
    </cfRule>
  </conditionalFormatting>
  <conditionalFormatting sqref="W64:X64">
    <cfRule type="cellIs" dxfId="99" priority="7941" stopIfTrue="1" operator="lessThanOrEqual">
      <formula>0</formula>
    </cfRule>
  </conditionalFormatting>
  <conditionalFormatting sqref="X22:AJ22">
    <cfRule type="cellIs" dxfId="98" priority="9349" stopIfTrue="1" operator="lessThanOrEqual">
      <formula>0</formula>
    </cfRule>
    <cfRule type="cellIs" dxfId="97" priority="9350" stopIfTrue="1" operator="lessThanOrEqual">
      <formula>0</formula>
    </cfRule>
  </conditionalFormatting>
  <conditionalFormatting sqref="X34:AJ34">
    <cfRule type="cellIs" dxfId="96" priority="1207" stopIfTrue="1" operator="lessThanOrEqual">
      <formula>0</formula>
    </cfRule>
  </conditionalFormatting>
  <conditionalFormatting sqref="X46:AJ46">
    <cfRule type="cellIs" dxfId="95" priority="1099" stopIfTrue="1" operator="lessThanOrEqual">
      <formula>0</formula>
    </cfRule>
  </conditionalFormatting>
  <conditionalFormatting sqref="Y23:Z29 Y35:Z41 Y47:Z53">
    <cfRule type="cellIs" dxfId="94" priority="1602" stopIfTrue="1" operator="lessThanOrEqual">
      <formula>0</formula>
    </cfRule>
  </conditionalFormatting>
  <conditionalFormatting sqref="Y19:AA19">
    <cfRule type="cellIs" dxfId="93" priority="1673" stopIfTrue="1" operator="lessThanOrEqual">
      <formula>0</formula>
    </cfRule>
    <cfRule type="cellIs" dxfId="92" priority="1672" stopIfTrue="1" operator="lessThanOrEqual">
      <formula>0</formula>
    </cfRule>
    <cfRule type="cellIs" dxfId="91" priority="1654" stopIfTrue="1" operator="lessThanOrEqual">
      <formula>0</formula>
    </cfRule>
  </conditionalFormatting>
  <conditionalFormatting sqref="Y27:AA27">
    <cfRule type="cellIs" dxfId="90" priority="1679" stopIfTrue="1" operator="lessThanOrEqual">
      <formula>0</formula>
    </cfRule>
  </conditionalFormatting>
  <conditionalFormatting sqref="Y31:AA31">
    <cfRule type="cellIs" dxfId="89" priority="1160" stopIfTrue="1" operator="lessThanOrEqual">
      <formula>0</formula>
    </cfRule>
    <cfRule type="cellIs" dxfId="88" priority="1161" stopIfTrue="1" operator="lessThanOrEqual">
      <formula>0</formula>
    </cfRule>
    <cfRule type="cellIs" dxfId="87" priority="1159" stopIfTrue="1" operator="lessThanOrEqual">
      <formula>0</formula>
    </cfRule>
  </conditionalFormatting>
  <conditionalFormatting sqref="Y43:AA43">
    <cfRule type="cellIs" dxfId="86" priority="1053" stopIfTrue="1" operator="lessThanOrEqual">
      <formula>0</formula>
    </cfRule>
    <cfRule type="cellIs" dxfId="85" priority="1052" stopIfTrue="1" operator="lessThanOrEqual">
      <formula>0</formula>
    </cfRule>
    <cfRule type="cellIs" dxfId="84" priority="1051" stopIfTrue="1" operator="lessThanOrEqual">
      <formula>0</formula>
    </cfRule>
  </conditionalFormatting>
  <conditionalFormatting sqref="Y39:AE39">
    <cfRule type="cellIs" dxfId="83" priority="1210" stopIfTrue="1" operator="lessThanOrEqual">
      <formula>0</formula>
    </cfRule>
  </conditionalFormatting>
  <conditionalFormatting sqref="Y51:AE51">
    <cfRule type="cellIs" dxfId="82" priority="1102" stopIfTrue="1" operator="lessThanOrEqual">
      <formula>0</formula>
    </cfRule>
  </conditionalFormatting>
  <conditionalFormatting sqref="Z16:Z17">
    <cfRule type="cellIs" dxfId="81" priority="9135" stopIfTrue="1" operator="lessThanOrEqual">
      <formula>0</formula>
    </cfRule>
  </conditionalFormatting>
  <conditionalFormatting sqref="Z23:AA24">
    <cfRule type="cellIs" dxfId="80" priority="1465" stopIfTrue="1" operator="lessThanOrEqual">
      <formula>0</formula>
    </cfRule>
  </conditionalFormatting>
  <conditionalFormatting sqref="Z24:AA24">
    <cfRule type="cellIs" dxfId="79" priority="1464" stopIfTrue="1" operator="lessThanOrEqual">
      <formula>0</formula>
    </cfRule>
    <cfRule type="cellIs" dxfId="78" priority="1400" stopIfTrue="1" operator="lessThanOrEqual">
      <formula>0</formula>
    </cfRule>
  </conditionalFormatting>
  <conditionalFormatting sqref="Z27:AA27">
    <cfRule type="cellIs" dxfId="77" priority="9397" stopIfTrue="1" operator="lessThanOrEqual">
      <formula>0</formula>
    </cfRule>
  </conditionalFormatting>
  <conditionalFormatting sqref="Z35:AA36">
    <cfRule type="cellIs" dxfId="76" priority="1153" stopIfTrue="1" operator="lessThanOrEqual">
      <formula>0</formula>
    </cfRule>
  </conditionalFormatting>
  <conditionalFormatting sqref="Z36:AA36">
    <cfRule type="cellIs" dxfId="75" priority="1152" stopIfTrue="1" operator="lessThanOrEqual">
      <formula>0</formula>
    </cfRule>
    <cfRule type="cellIs" dxfId="74" priority="1151" stopIfTrue="1" operator="lessThanOrEqual">
      <formula>0</formula>
    </cfRule>
  </conditionalFormatting>
  <conditionalFormatting sqref="Z47:AA48">
    <cfRule type="cellIs" dxfId="73" priority="1045" stopIfTrue="1" operator="lessThanOrEqual">
      <formula>0</formula>
    </cfRule>
  </conditionalFormatting>
  <conditionalFormatting sqref="Z48:AA48">
    <cfRule type="cellIs" dxfId="72" priority="1044" stopIfTrue="1" operator="lessThanOrEqual">
      <formula>0</formula>
    </cfRule>
    <cfRule type="cellIs" dxfId="71" priority="1043" stopIfTrue="1" operator="lessThanOrEqual">
      <formula>0</formula>
    </cfRule>
  </conditionalFormatting>
  <conditionalFormatting sqref="AA22:AA29 F21:J21 F27:F29 G33:AJ33 AA34:AA41 G45:AJ45 AA46:AA53 V21:AJ21 F39:F41">
    <cfRule type="cellIs" dxfId="70" priority="13199" stopIfTrue="1" operator="lessThanOrEqual">
      <formula>0</formula>
    </cfRule>
  </conditionalFormatting>
  <conditionalFormatting sqref="AA22:AA29 F24:J29 Q24:Z29 Q27:AA27 AA34:AA41 K36:Z41 G39:AA39 AA46:AA53 K48:Z53 G51:AA51 Q20:AC20 L32:AC32 L44:AC44">
    <cfRule type="cellIs" dxfId="69" priority="9381" stopIfTrue="1" operator="lessThanOrEqual">
      <formula>0</formula>
    </cfRule>
  </conditionalFormatting>
  <conditionalFormatting sqref="AA22:AA29 G33:AJ33 AA34:AA41 AA46:AA53">
    <cfRule type="cellIs" dxfId="68" priority="7090" stopIfTrue="1" operator="lessThanOrEqual">
      <formula>0</formula>
    </cfRule>
  </conditionalFormatting>
  <conditionalFormatting sqref="AA22:AA29 Q23:AO23 AA34:AA41 G35:AN35 AA46:AA53 G47:AN47 V21:AJ21 G33:AJ33 G45:AJ45">
    <cfRule type="cellIs" dxfId="67" priority="12210" stopIfTrue="1" operator="lessThanOrEqual">
      <formula>0</formula>
    </cfRule>
  </conditionalFormatting>
  <conditionalFormatting sqref="AA22:AA29 AA34:AA41 AA46:AA53 G33:AJ33 G45:AJ45 V21:AJ21">
    <cfRule type="cellIs" dxfId="66" priority="10146" stopIfTrue="1" operator="lessThanOrEqual">
      <formula>0</formula>
    </cfRule>
  </conditionalFormatting>
  <conditionalFormatting sqref="AA22:AA29 AA34:AA41 AA46:AA53 V21:AJ21 G33:AJ33 G45:AJ45 F21:J21">
    <cfRule type="cellIs" dxfId="65" priority="7931" stopIfTrue="1" operator="lessThanOrEqual">
      <formula>0</formula>
    </cfRule>
  </conditionalFormatting>
  <conditionalFormatting sqref="AA64">
    <cfRule type="cellIs" dxfId="64" priority="9394" stopIfTrue="1" operator="lessThanOrEqual">
      <formula>0</formula>
    </cfRule>
  </conditionalFormatting>
  <conditionalFormatting sqref="AB22:AJ22">
    <cfRule type="cellIs" dxfId="63" priority="7570" stopIfTrue="1" operator="lessThanOrEqual">
      <formula>0</formula>
    </cfRule>
  </conditionalFormatting>
  <conditionalFormatting sqref="AB34:AJ34">
    <cfRule type="cellIs" dxfId="62" priority="1196" stopIfTrue="1" operator="lessThanOrEqual">
      <formula>0</formula>
    </cfRule>
  </conditionalFormatting>
  <conditionalFormatting sqref="AB46:AJ46">
    <cfRule type="cellIs" dxfId="61" priority="1088" stopIfTrue="1" operator="lessThanOrEqual">
      <formula>0</formula>
    </cfRule>
  </conditionalFormatting>
  <conditionalFormatting sqref="AC64 V11:AO15">
    <cfRule type="cellIs" dxfId="60" priority="13282" stopIfTrue="1" operator="lessThanOrEqual">
      <formula>0</formula>
    </cfRule>
  </conditionalFormatting>
  <conditionalFormatting sqref="AC22:AJ22">
    <cfRule type="cellIs" dxfId="59" priority="7569" stopIfTrue="1" operator="lessThanOrEqual">
      <formula>0</formula>
    </cfRule>
  </conditionalFormatting>
  <conditionalFormatting sqref="AC34:AJ34">
    <cfRule type="cellIs" dxfId="58" priority="1195" stopIfTrue="1" operator="lessThanOrEqual">
      <formula>0</formula>
    </cfRule>
  </conditionalFormatting>
  <conditionalFormatting sqref="AC46:AJ46">
    <cfRule type="cellIs" dxfId="57" priority="1087" stopIfTrue="1" operator="lessThanOrEqual">
      <formula>0</formula>
    </cfRule>
  </conditionalFormatting>
  <conditionalFormatting sqref="AO78:AQ78">
    <cfRule type="cellIs" dxfId="56" priority="13285" stopIfTrue="1" operator="lessThanOrEqual">
      <formula>0</formula>
    </cfRule>
    <cfRule type="cellIs" dxfId="55" priority="7891" stopIfTrue="1" operator="lessThanOrEqual">
      <formula>0</formula>
    </cfRule>
  </conditionalFormatting>
  <pageMargins left="0.2" right="0.2" top="0.35" bottom="0.33" header="0.25" footer="0.43"/>
  <pageSetup paperSize="9" scale="30" firstPageNumber="0" orientation="landscape" horizontalDpi="300" verticalDpi="300" r:id="rId1"/>
  <headerFooter alignWithMargins="0">
    <oddFooter>&amp;LBinh Tay_x000D_&amp;1#&amp;"Calibri"&amp;10&amp;K000000 Internal Use&amp;R20-08-2012</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pageSetUpPr fitToPage="1"/>
  </sheetPr>
  <dimension ref="A1:CQ107"/>
  <sheetViews>
    <sheetView showGridLines="0" topLeftCell="A9" zoomScale="70" zoomScaleNormal="70" zoomScaleSheetLayoutView="100" workbookViewId="0">
      <selection activeCell="I28" sqref="I28"/>
    </sheetView>
  </sheetViews>
  <sheetFormatPr defaultColWidth="9.140625" defaultRowHeight="15.75" outlineLevelRow="1"/>
  <cols>
    <col min="1" max="1" width="14.28515625" style="495" customWidth="1"/>
    <col min="2" max="2" width="5.85546875" style="510" customWidth="1"/>
    <col min="3" max="3" width="39.140625" style="511" customWidth="1"/>
    <col min="4" max="4" width="16" style="586" customWidth="1"/>
    <col min="5" max="5" width="17.5703125" style="511" customWidth="1"/>
    <col min="6" max="6" width="16.5703125" style="565" customWidth="1"/>
    <col min="7" max="7" width="10.28515625" style="565" customWidth="1"/>
    <col min="8" max="11" width="13.140625" style="565" customWidth="1"/>
    <col min="12" max="12" width="15.42578125" style="565" customWidth="1"/>
    <col min="13" max="44" width="13.140625" style="565" customWidth="1"/>
    <col min="45" max="45" width="3.7109375" style="565" customWidth="1"/>
    <col min="46" max="48" width="13.140625" style="511" bestFit="1" customWidth="1"/>
    <col min="49" max="52" width="12.28515625" style="516" bestFit="1" customWidth="1"/>
    <col min="53" max="53" width="14" style="516" customWidth="1"/>
    <col min="54" max="57" width="14.28515625" style="516" customWidth="1"/>
    <col min="58" max="61" width="14.5703125" style="516" bestFit="1" customWidth="1"/>
    <col min="62" max="66" width="12.140625" style="516" bestFit="1" customWidth="1"/>
    <col min="67" max="69" width="12.140625" style="516" customWidth="1"/>
    <col min="70" max="70" width="12.28515625" style="516" customWidth="1"/>
    <col min="71" max="71" width="12.28515625" style="501" customWidth="1"/>
    <col min="72" max="86" width="12.28515625" style="495" customWidth="1"/>
    <col min="87" max="16384" width="9.140625" style="495"/>
  </cols>
  <sheetData>
    <row r="1" spans="1:86" ht="25.15" customHeight="1">
      <c r="B1" s="496"/>
      <c r="C1" s="496"/>
      <c r="D1" s="496"/>
      <c r="E1" s="497"/>
      <c r="F1" s="498"/>
      <c r="G1" s="496"/>
      <c r="H1" s="496"/>
      <c r="I1" s="496"/>
      <c r="J1" s="496"/>
      <c r="K1" s="496"/>
      <c r="L1" s="496"/>
      <c r="M1" s="496"/>
      <c r="N1" s="496"/>
      <c r="O1" s="496"/>
      <c r="P1" s="496"/>
      <c r="Q1" s="496"/>
      <c r="R1" s="496"/>
      <c r="S1" s="496"/>
      <c r="T1" s="496"/>
      <c r="U1" s="496"/>
      <c r="V1" s="496"/>
      <c r="W1" s="496"/>
      <c r="X1" s="496"/>
      <c r="Y1" s="496"/>
      <c r="Z1" s="496"/>
      <c r="AA1" s="496"/>
      <c r="AB1" s="496"/>
      <c r="AC1" s="496"/>
      <c r="AD1" s="496"/>
      <c r="AE1" s="496"/>
      <c r="AF1" s="496"/>
      <c r="AG1" s="496"/>
      <c r="AH1" s="496"/>
      <c r="AI1" s="496"/>
      <c r="AJ1" s="496"/>
      <c r="AK1" s="496"/>
      <c r="AL1" s="496"/>
      <c r="AM1" s="496"/>
      <c r="AN1" s="496"/>
      <c r="AO1" s="496"/>
      <c r="AP1" s="496"/>
      <c r="AQ1" s="496"/>
      <c r="AR1" s="496"/>
      <c r="AS1" s="496"/>
      <c r="AT1" s="496"/>
      <c r="AU1" s="496"/>
      <c r="AV1" s="496"/>
      <c r="AW1" s="496"/>
      <c r="AX1" s="496"/>
      <c r="AY1" s="496"/>
      <c r="AZ1" s="496"/>
      <c r="BA1" s="496"/>
      <c r="BB1" s="499"/>
      <c r="BC1" s="499"/>
      <c r="BD1" s="499"/>
      <c r="BE1" s="499"/>
      <c r="BF1" s="499"/>
      <c r="BG1" s="499"/>
      <c r="BH1" s="499"/>
      <c r="BI1" s="499"/>
      <c r="BJ1" s="499"/>
      <c r="BK1" s="499"/>
      <c r="BL1" s="499"/>
      <c r="BM1" s="500"/>
      <c r="BN1" s="500"/>
      <c r="BO1" s="500"/>
      <c r="BP1" s="500"/>
      <c r="BQ1" s="500"/>
      <c r="BR1" s="500"/>
    </row>
    <row r="2" spans="1:86" s="384" customFormat="1" ht="40.15" customHeight="1">
      <c r="B2" s="1" t="str">
        <f>+Summary!B2</f>
        <v>Dự án Trần Đức 1</v>
      </c>
      <c r="C2" s="1"/>
      <c r="D2" s="1"/>
      <c r="E2" s="1"/>
      <c r="F2" s="1"/>
      <c r="G2" s="1"/>
    </row>
    <row r="3" spans="1:86" s="382" customFormat="1" ht="19.899999999999999" customHeight="1" thickBot="1">
      <c r="B3" s="1444" t="s">
        <v>605</v>
      </c>
      <c r="C3" s="386"/>
      <c r="D3" s="386"/>
      <c r="E3" s="386"/>
      <c r="F3" s="386"/>
      <c r="G3" s="386"/>
    </row>
    <row r="4" spans="1:86" s="383" customFormat="1" ht="19.899999999999999" customHeight="1" thickTop="1">
      <c r="B4" s="392"/>
      <c r="C4" s="393"/>
      <c r="D4" s="393"/>
      <c r="E4" s="393"/>
      <c r="F4" s="393"/>
      <c r="G4" s="393"/>
    </row>
    <row r="5" spans="1:86" s="502" customFormat="1" ht="18.75">
      <c r="B5" s="2313" t="s">
        <v>501</v>
      </c>
      <c r="C5" s="2313"/>
      <c r="D5" s="504"/>
      <c r="E5" s="505"/>
      <c r="F5" s="565"/>
      <c r="G5" s="506"/>
      <c r="H5" s="506"/>
      <c r="I5" s="507"/>
      <c r="J5" s="506"/>
      <c r="K5" s="506"/>
      <c r="L5" s="506"/>
      <c r="M5" s="506"/>
      <c r="N5" s="506"/>
      <c r="O5" s="506"/>
      <c r="P5" s="506"/>
      <c r="Q5" s="506"/>
      <c r="R5" s="506"/>
      <c r="S5" s="506"/>
      <c r="T5" s="506"/>
      <c r="U5" s="506"/>
      <c r="V5" s="506"/>
      <c r="W5" s="506"/>
      <c r="X5" s="506"/>
      <c r="Y5" s="506"/>
      <c r="Z5" s="506"/>
      <c r="AA5" s="506"/>
      <c r="AB5" s="506"/>
      <c r="AC5" s="506"/>
      <c r="AD5" s="506"/>
      <c r="AE5" s="506"/>
      <c r="AF5" s="506"/>
      <c r="AG5" s="506"/>
      <c r="AH5" s="506"/>
      <c r="AI5" s="506"/>
      <c r="AJ5" s="506"/>
      <c r="AK5" s="506"/>
      <c r="AL5" s="506"/>
      <c r="AM5" s="506"/>
      <c r="AN5" s="506"/>
      <c r="AO5" s="506"/>
      <c r="AP5" s="506"/>
      <c r="AQ5" s="506"/>
      <c r="AR5" s="506"/>
      <c r="AS5" s="506"/>
      <c r="AT5" s="508"/>
      <c r="AU5" s="508"/>
      <c r="AV5" s="508"/>
      <c r="AW5" s="509"/>
      <c r="AX5" s="509"/>
      <c r="AY5" s="509"/>
      <c r="AZ5" s="509"/>
      <c r="BA5" s="509"/>
      <c r="BB5" s="509"/>
      <c r="BC5" s="509"/>
      <c r="BD5" s="509"/>
      <c r="BE5" s="509"/>
      <c r="BF5" s="509"/>
      <c r="BG5" s="509"/>
      <c r="BH5" s="509"/>
      <c r="BI5" s="509"/>
      <c r="BJ5" s="509"/>
      <c r="BK5" s="509"/>
      <c r="BL5" s="509"/>
      <c r="BM5" s="509"/>
      <c r="BN5" s="509"/>
      <c r="BO5" s="509"/>
      <c r="BP5" s="509"/>
      <c r="BQ5" s="509"/>
      <c r="BR5" s="509"/>
      <c r="BS5" s="501"/>
    </row>
    <row r="6" spans="1:86" ht="16.5" thickBot="1">
      <c r="D6" s="512"/>
      <c r="E6" s="513"/>
      <c r="F6" s="514"/>
      <c r="G6" s="515"/>
      <c r="H6" s="514"/>
      <c r="I6" s="514"/>
      <c r="J6" s="514"/>
      <c r="K6" s="514"/>
      <c r="L6" s="514"/>
      <c r="M6" s="514"/>
      <c r="N6" s="514"/>
      <c r="O6" s="514"/>
      <c r="P6" s="514"/>
      <c r="Q6" s="514"/>
      <c r="R6" s="514"/>
      <c r="S6" s="514"/>
      <c r="T6" s="514"/>
      <c r="U6" s="514"/>
      <c r="V6" s="514"/>
      <c r="W6" s="514"/>
      <c r="X6" s="514"/>
      <c r="Y6" s="514"/>
      <c r="Z6" s="514"/>
      <c r="AA6" s="514"/>
      <c r="AB6" s="514"/>
      <c r="AC6" s="514"/>
      <c r="AD6" s="514"/>
      <c r="AE6" s="514"/>
      <c r="AF6" s="514"/>
      <c r="AG6" s="514"/>
      <c r="AH6" s="514"/>
      <c r="AI6" s="514"/>
      <c r="AJ6" s="514"/>
      <c r="AK6" s="514"/>
      <c r="AL6" s="514"/>
      <c r="AM6" s="514"/>
      <c r="AN6" s="514"/>
      <c r="AO6" s="514"/>
      <c r="AP6" s="514"/>
      <c r="AQ6" s="514"/>
      <c r="AR6" s="514"/>
      <c r="AS6" s="514"/>
      <c r="BI6" s="654"/>
      <c r="BJ6" s="654"/>
      <c r="BK6" s="654"/>
      <c r="BL6" s="654"/>
      <c r="BM6" s="654"/>
    </row>
    <row r="7" spans="1:86" ht="25.5" customHeight="1">
      <c r="B7" s="2322" t="s">
        <v>0</v>
      </c>
      <c r="C7" s="2325" t="s">
        <v>1</v>
      </c>
      <c r="D7" s="2328" t="s">
        <v>505</v>
      </c>
      <c r="E7" s="2328"/>
      <c r="F7" s="2329" t="s">
        <v>181</v>
      </c>
      <c r="G7" s="2316" t="s">
        <v>506</v>
      </c>
      <c r="H7" s="2316"/>
      <c r="I7" s="2316"/>
      <c r="J7" s="2316"/>
      <c r="K7" s="2316"/>
      <c r="L7" s="2316"/>
      <c r="M7" s="2316"/>
      <c r="N7" s="2316"/>
      <c r="O7" s="2316"/>
      <c r="P7" s="2316"/>
      <c r="Q7" s="2316"/>
      <c r="R7" s="2316"/>
      <c r="S7" s="2316"/>
      <c r="T7" s="2316"/>
      <c r="U7" s="2316"/>
      <c r="V7" s="2316"/>
      <c r="W7" s="2316"/>
      <c r="X7" s="2316"/>
      <c r="Y7" s="2316"/>
      <c r="Z7" s="2316"/>
      <c r="AA7" s="2316"/>
      <c r="AB7" s="2316"/>
      <c r="AC7" s="2316"/>
      <c r="AD7" s="2316"/>
      <c r="AE7" s="2316"/>
      <c r="AF7" s="616"/>
      <c r="AG7" s="616"/>
      <c r="AH7" s="616"/>
      <c r="AI7" s="616"/>
      <c r="AJ7" s="616"/>
      <c r="AK7" s="616"/>
      <c r="AL7" s="616"/>
      <c r="AM7" s="616"/>
      <c r="AN7" s="616"/>
      <c r="AO7" s="616"/>
      <c r="AP7" s="616"/>
      <c r="AQ7" s="616"/>
      <c r="AR7" s="617"/>
      <c r="AS7" s="517"/>
      <c r="AT7" s="2319" t="s">
        <v>504</v>
      </c>
      <c r="AU7" s="2320"/>
      <c r="AV7" s="2320"/>
      <c r="AW7" s="2320"/>
      <c r="AX7" s="2320"/>
      <c r="AY7" s="2320"/>
      <c r="AZ7" s="2320"/>
      <c r="BA7" s="2320"/>
      <c r="BB7" s="2320"/>
      <c r="BC7" s="2320"/>
      <c r="BD7" s="2320"/>
      <c r="BE7" s="2320"/>
      <c r="BF7" s="2320"/>
      <c r="BG7" s="2320"/>
      <c r="BH7" s="2320"/>
      <c r="BI7" s="2320"/>
      <c r="BJ7" s="2320"/>
      <c r="BK7" s="2320"/>
      <c r="BL7" s="2320"/>
      <c r="BM7" s="2320"/>
      <c r="BN7" s="2320"/>
      <c r="BO7" s="2320"/>
      <c r="BP7" s="2320"/>
      <c r="BQ7" s="2320"/>
      <c r="BR7" s="2320"/>
      <c r="BS7" s="2320"/>
      <c r="BT7" s="2320"/>
      <c r="BU7" s="2320"/>
      <c r="BV7" s="2320"/>
      <c r="BW7" s="2320"/>
      <c r="BX7" s="2320"/>
      <c r="BY7" s="2320"/>
      <c r="BZ7" s="2320"/>
      <c r="CA7" s="2320"/>
      <c r="CB7" s="2320"/>
      <c r="CC7" s="2320"/>
      <c r="CD7" s="2320"/>
      <c r="CE7" s="2320"/>
      <c r="CF7" s="2320"/>
      <c r="CG7" s="2321"/>
    </row>
    <row r="8" spans="1:86">
      <c r="B8" s="2323"/>
      <c r="C8" s="2326"/>
      <c r="D8" s="2332" t="s">
        <v>10</v>
      </c>
      <c r="E8" s="2334" t="s">
        <v>182</v>
      </c>
      <c r="F8" s="2330"/>
      <c r="G8" s="2314" t="s">
        <v>17</v>
      </c>
      <c r="H8" s="618">
        <f>'2.Tien do'!E7</f>
        <v>2026</v>
      </c>
      <c r="I8" s="618">
        <f>'2.Tien do'!F7</f>
        <v>2026</v>
      </c>
      <c r="J8" s="618">
        <f>'2.Tien do'!G7</f>
        <v>2026</v>
      </c>
      <c r="K8" s="618">
        <f>'2.Tien do'!H7</f>
        <v>2026</v>
      </c>
      <c r="L8" s="618">
        <f>'2.Tien do'!I7</f>
        <v>2027</v>
      </c>
      <c r="M8" s="618">
        <f>'2.Tien do'!J7</f>
        <v>2027</v>
      </c>
      <c r="N8" s="618">
        <f>'2.Tien do'!K7</f>
        <v>2027</v>
      </c>
      <c r="O8" s="618">
        <f>'2.Tien do'!L7</f>
        <v>2027</v>
      </c>
      <c r="P8" s="618">
        <f>'2.Tien do'!M7</f>
        <v>2028</v>
      </c>
      <c r="Q8" s="618">
        <f>'2.Tien do'!N7</f>
        <v>2028</v>
      </c>
      <c r="R8" s="618">
        <f>'2.Tien do'!O7</f>
        <v>2028</v>
      </c>
      <c r="S8" s="618">
        <f>'2.Tien do'!P7</f>
        <v>2028</v>
      </c>
      <c r="T8" s="618">
        <f>'2.Tien do'!Q7</f>
        <v>2029</v>
      </c>
      <c r="U8" s="618">
        <f>'2.Tien do'!R7</f>
        <v>2029</v>
      </c>
      <c r="V8" s="618">
        <f>'2.Tien do'!S7</f>
        <v>2029</v>
      </c>
      <c r="W8" s="618">
        <f>'2.Tien do'!T7</f>
        <v>2029</v>
      </c>
      <c r="X8" s="618">
        <f>'2.Tien do'!U7</f>
        <v>2030</v>
      </c>
      <c r="Y8" s="618">
        <f>'2.Tien do'!V7</f>
        <v>2030</v>
      </c>
      <c r="Z8" s="618">
        <f>'2.Tien do'!W7</f>
        <v>2030</v>
      </c>
      <c r="AA8" s="618">
        <f>'2.Tien do'!X7</f>
        <v>2030</v>
      </c>
      <c r="AB8" s="618">
        <f>'2.Tien do'!Y7</f>
        <v>2031</v>
      </c>
      <c r="AC8" s="618">
        <f>'2.Tien do'!Z7</f>
        <v>2031</v>
      </c>
      <c r="AD8" s="618">
        <f>'2.Tien do'!AA7</f>
        <v>2031</v>
      </c>
      <c r="AE8" s="618">
        <f>'2.Tien do'!AB7</f>
        <v>2031</v>
      </c>
      <c r="AF8" s="618">
        <f>'2.Tien do'!AC7</f>
        <v>2032</v>
      </c>
      <c r="AG8" s="618">
        <f>'2.Tien do'!AD7</f>
        <v>2032</v>
      </c>
      <c r="AH8" s="618">
        <f>'2.Tien do'!AE7</f>
        <v>2032</v>
      </c>
      <c r="AI8" s="618">
        <f>'2.Tien do'!AF7</f>
        <v>2032</v>
      </c>
      <c r="AJ8" s="618">
        <f>'2.Tien do'!AG7</f>
        <v>2033</v>
      </c>
      <c r="AK8" s="618">
        <f>'2.Tien do'!AH7</f>
        <v>2033</v>
      </c>
      <c r="AL8" s="618">
        <f>'2.Tien do'!AI7</f>
        <v>2033</v>
      </c>
      <c r="AM8" s="618">
        <f>'2.Tien do'!AJ7</f>
        <v>2033</v>
      </c>
      <c r="AN8" s="618">
        <f>'2.Tien do'!AK7</f>
        <v>2034</v>
      </c>
      <c r="AO8" s="618">
        <f>'2.Tien do'!AL7</f>
        <v>2034</v>
      </c>
      <c r="AP8" s="618">
        <f>'2.Tien do'!AM7</f>
        <v>2034</v>
      </c>
      <c r="AQ8" s="618">
        <f>'2.Tien do'!AN7</f>
        <v>2034</v>
      </c>
      <c r="AR8" s="619">
        <f>'2.Tien do'!AO7</f>
        <v>2035</v>
      </c>
      <c r="AS8" s="518"/>
      <c r="AT8" s="2317" t="s">
        <v>17</v>
      </c>
      <c r="AU8" s="653">
        <f>'2.Tien do'!E7</f>
        <v>2026</v>
      </c>
      <c r="AV8" s="653">
        <f>'2.Tien do'!F7</f>
        <v>2026</v>
      </c>
      <c r="AW8" s="653">
        <f>'2.Tien do'!G7</f>
        <v>2026</v>
      </c>
      <c r="AX8" s="653">
        <f>'2.Tien do'!H7</f>
        <v>2026</v>
      </c>
      <c r="AY8" s="653">
        <f>'2.Tien do'!I7</f>
        <v>2027</v>
      </c>
      <c r="AZ8" s="653">
        <f>'2.Tien do'!J7</f>
        <v>2027</v>
      </c>
      <c r="BA8" s="653">
        <f>'2.Tien do'!K7</f>
        <v>2027</v>
      </c>
      <c r="BB8" s="653">
        <f>'2.Tien do'!L7</f>
        <v>2027</v>
      </c>
      <c r="BC8" s="653">
        <f>'2.Tien do'!M7</f>
        <v>2028</v>
      </c>
      <c r="BD8" s="653">
        <f>'2.Tien do'!N7</f>
        <v>2028</v>
      </c>
      <c r="BE8" s="653">
        <f>'2.Tien do'!O7</f>
        <v>2028</v>
      </c>
      <c r="BF8" s="653">
        <f>'2.Tien do'!P7</f>
        <v>2028</v>
      </c>
      <c r="BG8" s="653">
        <f>'2.Tien do'!Q7</f>
        <v>2029</v>
      </c>
      <c r="BH8" s="653">
        <f>'2.Tien do'!R7</f>
        <v>2029</v>
      </c>
      <c r="BI8" s="653">
        <f>'2.Tien do'!S7</f>
        <v>2029</v>
      </c>
      <c r="BJ8" s="653">
        <f>'2.Tien do'!T7</f>
        <v>2029</v>
      </c>
      <c r="BK8" s="653">
        <f>'2.Tien do'!U7</f>
        <v>2030</v>
      </c>
      <c r="BL8" s="653">
        <f>'2.Tien do'!V7</f>
        <v>2030</v>
      </c>
      <c r="BM8" s="653">
        <f>'2.Tien do'!W7</f>
        <v>2030</v>
      </c>
      <c r="BN8" s="653">
        <f>'2.Tien do'!X7</f>
        <v>2030</v>
      </c>
      <c r="BO8" s="653">
        <f>'2.Tien do'!Y7</f>
        <v>2031</v>
      </c>
      <c r="BP8" s="653">
        <f>'2.Tien do'!Z7</f>
        <v>2031</v>
      </c>
      <c r="BQ8" s="653">
        <f>'2.Tien do'!AA7</f>
        <v>2031</v>
      </c>
      <c r="BR8" s="653">
        <f>'2.Tien do'!AB7</f>
        <v>2031</v>
      </c>
      <c r="BS8" s="653">
        <f>'2.Tien do'!AC7</f>
        <v>2032</v>
      </c>
      <c r="BT8" s="653">
        <f>'2.Tien do'!AD7</f>
        <v>2032</v>
      </c>
      <c r="BU8" s="653">
        <f>'2.Tien do'!AE7</f>
        <v>2032</v>
      </c>
      <c r="BV8" s="653">
        <f>'2.Tien do'!AF7</f>
        <v>2032</v>
      </c>
      <c r="BW8" s="653">
        <f>'2.Tien do'!AG7</f>
        <v>2033</v>
      </c>
      <c r="BX8" s="653">
        <f>'2.Tien do'!AH7</f>
        <v>2033</v>
      </c>
      <c r="BY8" s="653">
        <f>'2.Tien do'!AI7</f>
        <v>2033</v>
      </c>
      <c r="BZ8" s="653">
        <f>'2.Tien do'!AJ7</f>
        <v>2033</v>
      </c>
      <c r="CA8" s="653">
        <f>'2.Tien do'!AK7</f>
        <v>2034</v>
      </c>
      <c r="CB8" s="653">
        <f>'2.Tien do'!AL7</f>
        <v>2034</v>
      </c>
      <c r="CC8" s="653">
        <f>'2.Tien do'!AM7</f>
        <v>2034</v>
      </c>
      <c r="CD8" s="653">
        <f>'2.Tien do'!AN7</f>
        <v>2034</v>
      </c>
      <c r="CE8" s="653">
        <f>'2.Tien do'!AO7</f>
        <v>2035</v>
      </c>
      <c r="CF8" s="653">
        <f>'2.Tien do'!AP7</f>
        <v>2036</v>
      </c>
      <c r="CG8" s="653">
        <f>'2.Tien do'!AQ7</f>
        <v>2037</v>
      </c>
    </row>
    <row r="9" spans="1:86" ht="17.25" customHeight="1">
      <c r="B9" s="2324"/>
      <c r="C9" s="2327"/>
      <c r="D9" s="2333"/>
      <c r="E9" s="2335"/>
      <c r="F9" s="2331"/>
      <c r="G9" s="2315"/>
      <c r="H9" s="620" t="str">
        <f>'2.Tien do'!E8</f>
        <v>Q1</v>
      </c>
      <c r="I9" s="620" t="str">
        <f>'2.Tien do'!F8</f>
        <v>Q2</v>
      </c>
      <c r="J9" s="620" t="str">
        <f>'2.Tien do'!G8</f>
        <v>Q3</v>
      </c>
      <c r="K9" s="620" t="str">
        <f>'2.Tien do'!H8</f>
        <v>Q4</v>
      </c>
      <c r="L9" s="620" t="str">
        <f>'2.Tien do'!I8</f>
        <v>Q1</v>
      </c>
      <c r="M9" s="620" t="str">
        <f>'2.Tien do'!J8</f>
        <v>Q2</v>
      </c>
      <c r="N9" s="620" t="str">
        <f>'2.Tien do'!K8</f>
        <v>Q3</v>
      </c>
      <c r="O9" s="620" t="str">
        <f>'2.Tien do'!L8</f>
        <v>Q4</v>
      </c>
      <c r="P9" s="620" t="str">
        <f>'2.Tien do'!M8</f>
        <v>Q1</v>
      </c>
      <c r="Q9" s="620" t="str">
        <f>'2.Tien do'!N8</f>
        <v>Q2</v>
      </c>
      <c r="R9" s="620" t="str">
        <f>'2.Tien do'!O8</f>
        <v>Q3</v>
      </c>
      <c r="S9" s="620" t="str">
        <f>'2.Tien do'!P8</f>
        <v>Q4</v>
      </c>
      <c r="T9" s="620" t="str">
        <f>'2.Tien do'!Q8</f>
        <v>Q1</v>
      </c>
      <c r="U9" s="620" t="str">
        <f>'2.Tien do'!R8</f>
        <v>Q2</v>
      </c>
      <c r="V9" s="620" t="str">
        <f>'2.Tien do'!S8</f>
        <v>Q3</v>
      </c>
      <c r="W9" s="620" t="str">
        <f>'2.Tien do'!T8</f>
        <v>Q4</v>
      </c>
      <c r="X9" s="620" t="str">
        <f>'2.Tien do'!U8</f>
        <v>Q1</v>
      </c>
      <c r="Y9" s="620" t="str">
        <f>'2.Tien do'!V8</f>
        <v>Q2</v>
      </c>
      <c r="Z9" s="620" t="str">
        <f>'2.Tien do'!W8</f>
        <v>Q3</v>
      </c>
      <c r="AA9" s="620" t="str">
        <f>'2.Tien do'!X8</f>
        <v>Q4</v>
      </c>
      <c r="AB9" s="620" t="str">
        <f>'2.Tien do'!Y8</f>
        <v>Q1</v>
      </c>
      <c r="AC9" s="620" t="str">
        <f>'2.Tien do'!Z8</f>
        <v>Q2</v>
      </c>
      <c r="AD9" s="620" t="str">
        <f>'2.Tien do'!AA8</f>
        <v>Q3</v>
      </c>
      <c r="AE9" s="620" t="str">
        <f>'2.Tien do'!AB8</f>
        <v>Q4</v>
      </c>
      <c r="AF9" s="620" t="str">
        <f>'2.Tien do'!AC8</f>
        <v>Q1</v>
      </c>
      <c r="AG9" s="620" t="str">
        <f>'2.Tien do'!AD8</f>
        <v>Q2</v>
      </c>
      <c r="AH9" s="620" t="str">
        <f>'2.Tien do'!AE8</f>
        <v>Q3</v>
      </c>
      <c r="AI9" s="620" t="str">
        <f>'2.Tien do'!AF8</f>
        <v>Q4</v>
      </c>
      <c r="AJ9" s="620" t="str">
        <f>'2.Tien do'!AG8</f>
        <v>Q1</v>
      </c>
      <c r="AK9" s="620" t="str">
        <f>'2.Tien do'!AH8</f>
        <v>Q2</v>
      </c>
      <c r="AL9" s="620" t="str">
        <f>'2.Tien do'!AI8</f>
        <v>Q3</v>
      </c>
      <c r="AM9" s="620" t="str">
        <f>'2.Tien do'!AJ8</f>
        <v>Q4</v>
      </c>
      <c r="AN9" s="620" t="str">
        <f>'2.Tien do'!AK8</f>
        <v>Q1</v>
      </c>
      <c r="AO9" s="620" t="str">
        <f>'2.Tien do'!AL8</f>
        <v>Q2</v>
      </c>
      <c r="AP9" s="620" t="str">
        <f>'2.Tien do'!AM8</f>
        <v>Q3</v>
      </c>
      <c r="AQ9" s="620" t="str">
        <f>'2.Tien do'!AN8</f>
        <v>Q4</v>
      </c>
      <c r="AR9" s="621">
        <f>'2.Tien do'!AO8</f>
        <v>0</v>
      </c>
      <c r="AS9" s="519"/>
      <c r="AT9" s="2318"/>
      <c r="AU9" s="653" t="str">
        <f>'2.Tien do'!E8</f>
        <v>Q1</v>
      </c>
      <c r="AV9" s="653" t="str">
        <f>'2.Tien do'!F8</f>
        <v>Q2</v>
      </c>
      <c r="AW9" s="653" t="str">
        <f>'2.Tien do'!G8</f>
        <v>Q3</v>
      </c>
      <c r="AX9" s="653" t="str">
        <f>'2.Tien do'!H8</f>
        <v>Q4</v>
      </c>
      <c r="AY9" s="653" t="str">
        <f>'2.Tien do'!I8</f>
        <v>Q1</v>
      </c>
      <c r="AZ9" s="653" t="str">
        <f>'2.Tien do'!J8</f>
        <v>Q2</v>
      </c>
      <c r="BA9" s="653" t="str">
        <f>'2.Tien do'!K8</f>
        <v>Q3</v>
      </c>
      <c r="BB9" s="653" t="str">
        <f>'2.Tien do'!L8</f>
        <v>Q4</v>
      </c>
      <c r="BC9" s="653" t="str">
        <f>'2.Tien do'!M8</f>
        <v>Q1</v>
      </c>
      <c r="BD9" s="653" t="str">
        <f>'2.Tien do'!N8</f>
        <v>Q2</v>
      </c>
      <c r="BE9" s="653" t="str">
        <f>'2.Tien do'!O8</f>
        <v>Q3</v>
      </c>
      <c r="BF9" s="653" t="str">
        <f>'2.Tien do'!P8</f>
        <v>Q4</v>
      </c>
      <c r="BG9" s="653" t="str">
        <f>'2.Tien do'!Q8</f>
        <v>Q1</v>
      </c>
      <c r="BH9" s="653" t="str">
        <f>'2.Tien do'!R8</f>
        <v>Q2</v>
      </c>
      <c r="BI9" s="653" t="str">
        <f>'2.Tien do'!S8</f>
        <v>Q3</v>
      </c>
      <c r="BJ9" s="653" t="str">
        <f>'2.Tien do'!T8</f>
        <v>Q4</v>
      </c>
      <c r="BK9" s="653" t="str">
        <f>'2.Tien do'!U8</f>
        <v>Q1</v>
      </c>
      <c r="BL9" s="653" t="str">
        <f>'2.Tien do'!V8</f>
        <v>Q2</v>
      </c>
      <c r="BM9" s="653" t="str">
        <f>'2.Tien do'!W8</f>
        <v>Q3</v>
      </c>
      <c r="BN9" s="653" t="str">
        <f>'2.Tien do'!X8</f>
        <v>Q4</v>
      </c>
      <c r="BO9" s="653" t="str">
        <f>'2.Tien do'!Y8</f>
        <v>Q1</v>
      </c>
      <c r="BP9" s="653" t="str">
        <f>'2.Tien do'!Z8</f>
        <v>Q2</v>
      </c>
      <c r="BQ9" s="653" t="str">
        <f>'2.Tien do'!AA8</f>
        <v>Q3</v>
      </c>
      <c r="BR9" s="653" t="str">
        <f>'2.Tien do'!AB8</f>
        <v>Q4</v>
      </c>
      <c r="BS9" s="653" t="str">
        <f>'2.Tien do'!AC8</f>
        <v>Q1</v>
      </c>
      <c r="BT9" s="653" t="str">
        <f>'2.Tien do'!AD8</f>
        <v>Q2</v>
      </c>
      <c r="BU9" s="653" t="str">
        <f>'2.Tien do'!AE8</f>
        <v>Q3</v>
      </c>
      <c r="BV9" s="653" t="str">
        <f>'2.Tien do'!AF8</f>
        <v>Q4</v>
      </c>
      <c r="BW9" s="653" t="str">
        <f>'2.Tien do'!AG8</f>
        <v>Q1</v>
      </c>
      <c r="BX9" s="653" t="str">
        <f>'2.Tien do'!AH8</f>
        <v>Q2</v>
      </c>
      <c r="BY9" s="653" t="str">
        <f>'2.Tien do'!AI8</f>
        <v>Q3</v>
      </c>
      <c r="BZ9" s="653" t="str">
        <f>'2.Tien do'!AJ8</f>
        <v>Q4</v>
      </c>
      <c r="CA9" s="653" t="str">
        <f>'2.Tien do'!AK8</f>
        <v>Q1</v>
      </c>
      <c r="CB9" s="653" t="str">
        <f>'2.Tien do'!AL8</f>
        <v>Q2</v>
      </c>
      <c r="CC9" s="653" t="str">
        <f>'2.Tien do'!AM8</f>
        <v>Q3</v>
      </c>
      <c r="CD9" s="653" t="str">
        <f>'2.Tien do'!AN8</f>
        <v>Q4</v>
      </c>
      <c r="CE9" s="653">
        <f>'2.Tien do'!AO8</f>
        <v>0</v>
      </c>
      <c r="CF9" s="653">
        <f>'2.Tien do'!AP8</f>
        <v>0</v>
      </c>
      <c r="CG9" s="653">
        <f>'2.Tien do'!AQ8</f>
        <v>0</v>
      </c>
    </row>
    <row r="10" spans="1:86" s="520" customFormat="1" ht="18.75" customHeight="1">
      <c r="B10" s="521" t="s">
        <v>498</v>
      </c>
      <c r="C10" s="522"/>
      <c r="D10" s="523">
        <f>'1. thong tin quy hoach'!$D$59</f>
        <v>14605.800000000001</v>
      </c>
      <c r="E10" s="524">
        <f>F10*10^6/D10</f>
        <v>74628356.250003248</v>
      </c>
      <c r="F10" s="525">
        <f>F11+F15</f>
        <v>1090006.8457162976</v>
      </c>
      <c r="G10" s="614"/>
      <c r="H10" s="614"/>
      <c r="I10" s="614"/>
      <c r="J10" s="614"/>
      <c r="K10" s="614"/>
      <c r="L10" s="614"/>
      <c r="M10" s="614"/>
      <c r="N10" s="614"/>
      <c r="O10" s="614"/>
      <c r="P10" s="614"/>
      <c r="Q10" s="614"/>
      <c r="R10" s="614"/>
      <c r="S10" s="614"/>
      <c r="T10" s="614"/>
      <c r="U10" s="614"/>
      <c r="V10" s="614"/>
      <c r="W10" s="614"/>
      <c r="X10" s="614"/>
      <c r="Y10" s="614"/>
      <c r="Z10" s="614"/>
      <c r="AA10" s="614"/>
      <c r="AB10" s="614"/>
      <c r="AC10" s="614"/>
      <c r="AD10" s="614"/>
      <c r="AE10" s="614"/>
      <c r="AF10" s="614"/>
      <c r="AG10" s="614"/>
      <c r="AH10" s="614"/>
      <c r="AI10" s="614"/>
      <c r="AJ10" s="614"/>
      <c r="AK10" s="614"/>
      <c r="AL10" s="614"/>
      <c r="AM10" s="614"/>
      <c r="AN10" s="614"/>
      <c r="AO10" s="614"/>
      <c r="AP10" s="614"/>
      <c r="AQ10" s="614"/>
      <c r="AR10" s="615"/>
      <c r="AS10" s="526"/>
      <c r="AT10" s="527">
        <f t="shared" ref="AT10:CE10" si="0">AT11+AT15</f>
        <v>0</v>
      </c>
      <c r="AU10" s="528">
        <f t="shared" si="0"/>
        <v>0</v>
      </c>
      <c r="AV10" s="528">
        <f t="shared" si="0"/>
        <v>156000</v>
      </c>
      <c r="AW10" s="528">
        <f t="shared" si="0"/>
        <v>364000</v>
      </c>
      <c r="AX10" s="528">
        <f t="shared" si="0"/>
        <v>4263.4452937083088</v>
      </c>
      <c r="AY10" s="528">
        <f t="shared" si="0"/>
        <v>4263.4452937083088</v>
      </c>
      <c r="AZ10" s="528">
        <f t="shared" si="0"/>
        <v>489001.38513583987</v>
      </c>
      <c r="BA10" s="528">
        <f t="shared" si="0"/>
        <v>8526.8905874166176</v>
      </c>
      <c r="BB10" s="528">
        <f t="shared" si="0"/>
        <v>0</v>
      </c>
      <c r="BC10" s="528">
        <f t="shared" si="0"/>
        <v>0</v>
      </c>
      <c r="BD10" s="528">
        <f t="shared" si="0"/>
        <v>17053.781174833235</v>
      </c>
      <c r="BE10" s="528">
        <f t="shared" si="0"/>
        <v>0</v>
      </c>
      <c r="BF10" s="528">
        <f t="shared" si="0"/>
        <v>0</v>
      </c>
      <c r="BG10" s="528">
        <f t="shared" si="0"/>
        <v>4263.4452937083088</v>
      </c>
      <c r="BH10" s="528">
        <f t="shared" si="0"/>
        <v>0</v>
      </c>
      <c r="BI10" s="528">
        <f t="shared" si="0"/>
        <v>0</v>
      </c>
      <c r="BJ10" s="528">
        <f t="shared" si="0"/>
        <v>4263.4452937083088</v>
      </c>
      <c r="BK10" s="528">
        <f t="shared" si="0"/>
        <v>21317.226468541543</v>
      </c>
      <c r="BL10" s="528">
        <f t="shared" si="0"/>
        <v>0</v>
      </c>
      <c r="BM10" s="528">
        <f t="shared" si="0"/>
        <v>0</v>
      </c>
      <c r="BN10" s="528">
        <f t="shared" si="0"/>
        <v>17053.781174833235</v>
      </c>
      <c r="BO10" s="528">
        <f t="shared" si="0"/>
        <v>0</v>
      </c>
      <c r="BP10" s="528">
        <f t="shared" si="0"/>
        <v>0</v>
      </c>
      <c r="BQ10" s="528">
        <f t="shared" si="0"/>
        <v>0</v>
      </c>
      <c r="BR10" s="528">
        <f t="shared" si="0"/>
        <v>0</v>
      </c>
      <c r="BS10" s="528">
        <f t="shared" si="0"/>
        <v>0</v>
      </c>
      <c r="BT10" s="528">
        <f t="shared" si="0"/>
        <v>0</v>
      </c>
      <c r="BU10" s="528">
        <f t="shared" si="0"/>
        <v>0</v>
      </c>
      <c r="BV10" s="528">
        <f t="shared" si="0"/>
        <v>0</v>
      </c>
      <c r="BW10" s="528">
        <f t="shared" si="0"/>
        <v>0</v>
      </c>
      <c r="BX10" s="528">
        <f t="shared" si="0"/>
        <v>0</v>
      </c>
      <c r="BY10" s="528">
        <f t="shared" si="0"/>
        <v>0</v>
      </c>
      <c r="BZ10" s="528">
        <f t="shared" si="0"/>
        <v>0</v>
      </c>
      <c r="CA10" s="528">
        <f t="shared" si="0"/>
        <v>0</v>
      </c>
      <c r="CB10" s="528">
        <f t="shared" si="0"/>
        <v>0</v>
      </c>
      <c r="CC10" s="528">
        <f t="shared" si="0"/>
        <v>0</v>
      </c>
      <c r="CD10" s="528">
        <f t="shared" si="0"/>
        <v>0</v>
      </c>
      <c r="CE10" s="528">
        <f t="shared" si="0"/>
        <v>0</v>
      </c>
      <c r="CF10" s="528"/>
      <c r="CG10" s="528"/>
      <c r="CH10" s="529">
        <f t="shared" ref="CH10:CH30" si="1">F10-SUM(AT10:CG10)</f>
        <v>0</v>
      </c>
    </row>
    <row r="11" spans="1:86" s="413" customFormat="1" ht="18.75" customHeight="1">
      <c r="A11" s="520"/>
      <c r="B11" s="641">
        <v>1</v>
      </c>
      <c r="C11" s="642" t="s">
        <v>184</v>
      </c>
      <c r="D11" s="644">
        <f>+'1. thong tin quy hoach'!D54</f>
        <v>28226.455999999998</v>
      </c>
      <c r="E11" s="1647">
        <f>F11/D11*10^6</f>
        <v>35595610.72215838</v>
      </c>
      <c r="F11" s="645">
        <f>F13+F12+F14</f>
        <v>1004737.9398421316</v>
      </c>
      <c r="G11" s="643"/>
      <c r="H11" s="643"/>
      <c r="I11" s="643"/>
      <c r="J11" s="643"/>
      <c r="K11" s="643"/>
      <c r="L11" s="643"/>
      <c r="M11" s="643"/>
      <c r="N11" s="643"/>
      <c r="O11" s="643"/>
      <c r="P11" s="643"/>
      <c r="Q11" s="643"/>
      <c r="R11" s="643"/>
      <c r="S11" s="643"/>
      <c r="T11" s="643"/>
      <c r="U11" s="643"/>
      <c r="V11" s="643"/>
      <c r="W11" s="643"/>
      <c r="X11" s="643"/>
      <c r="Y11" s="643"/>
      <c r="Z11" s="643"/>
      <c r="AA11" s="643"/>
      <c r="AB11" s="530"/>
      <c r="AC11" s="530"/>
      <c r="AD11" s="530"/>
      <c r="AE11" s="530"/>
      <c r="AF11" s="530"/>
      <c r="AG11" s="530"/>
      <c r="AH11" s="530"/>
      <c r="AI11" s="530"/>
      <c r="AJ11" s="530"/>
      <c r="AK11" s="530"/>
      <c r="AL11" s="530"/>
      <c r="AM11" s="530"/>
      <c r="AN11" s="530"/>
      <c r="AO11" s="530"/>
      <c r="AP11" s="530"/>
      <c r="AQ11" s="530"/>
      <c r="AR11" s="531"/>
      <c r="AS11" s="532"/>
      <c r="AT11" s="637">
        <f t="shared" ref="AT11:CE11" si="2">SUM(AT12:AT14)</f>
        <v>0</v>
      </c>
      <c r="AU11" s="638">
        <f t="shared" si="2"/>
        <v>0</v>
      </c>
      <c r="AV11" s="638">
        <f t="shared" si="2"/>
        <v>156000</v>
      </c>
      <c r="AW11" s="638">
        <f t="shared" si="2"/>
        <v>364000</v>
      </c>
      <c r="AX11" s="638">
        <f t="shared" si="2"/>
        <v>0</v>
      </c>
      <c r="AY11" s="638">
        <f t="shared" si="2"/>
        <v>0</v>
      </c>
      <c r="AZ11" s="638">
        <f t="shared" si="2"/>
        <v>484737.93984213157</v>
      </c>
      <c r="BA11" s="638">
        <f t="shared" si="2"/>
        <v>0</v>
      </c>
      <c r="BB11" s="638">
        <f t="shared" si="2"/>
        <v>0</v>
      </c>
      <c r="BC11" s="638">
        <f t="shared" si="2"/>
        <v>0</v>
      </c>
      <c r="BD11" s="638">
        <f t="shared" si="2"/>
        <v>0</v>
      </c>
      <c r="BE11" s="638">
        <f t="shared" si="2"/>
        <v>0</v>
      </c>
      <c r="BF11" s="638">
        <f t="shared" si="2"/>
        <v>0</v>
      </c>
      <c r="BG11" s="638">
        <f t="shared" si="2"/>
        <v>0</v>
      </c>
      <c r="BH11" s="638">
        <f t="shared" si="2"/>
        <v>0</v>
      </c>
      <c r="BI11" s="638">
        <f t="shared" si="2"/>
        <v>0</v>
      </c>
      <c r="BJ11" s="638">
        <f t="shared" si="2"/>
        <v>0</v>
      </c>
      <c r="BK11" s="638">
        <f t="shared" si="2"/>
        <v>0</v>
      </c>
      <c r="BL11" s="638">
        <f t="shared" si="2"/>
        <v>0</v>
      </c>
      <c r="BM11" s="638">
        <f t="shared" si="2"/>
        <v>0</v>
      </c>
      <c r="BN11" s="638">
        <f t="shared" si="2"/>
        <v>0</v>
      </c>
      <c r="BO11" s="638">
        <f t="shared" ref="BO11:BR11" si="3">SUM(BO12:BO14)</f>
        <v>0</v>
      </c>
      <c r="BP11" s="638">
        <f t="shared" si="3"/>
        <v>0</v>
      </c>
      <c r="BQ11" s="638">
        <f t="shared" si="3"/>
        <v>0</v>
      </c>
      <c r="BR11" s="638">
        <f t="shared" si="3"/>
        <v>0</v>
      </c>
      <c r="BS11" s="533">
        <f t="shared" si="2"/>
        <v>0</v>
      </c>
      <c r="BT11" s="533">
        <f t="shared" si="2"/>
        <v>0</v>
      </c>
      <c r="BU11" s="533">
        <f t="shared" si="2"/>
        <v>0</v>
      </c>
      <c r="BV11" s="533">
        <f t="shared" si="2"/>
        <v>0</v>
      </c>
      <c r="BW11" s="533">
        <f t="shared" si="2"/>
        <v>0</v>
      </c>
      <c r="BX11" s="533">
        <f t="shared" si="2"/>
        <v>0</v>
      </c>
      <c r="BY11" s="533">
        <f t="shared" si="2"/>
        <v>0</v>
      </c>
      <c r="BZ11" s="533">
        <f t="shared" si="2"/>
        <v>0</v>
      </c>
      <c r="CA11" s="533">
        <f t="shared" si="2"/>
        <v>0</v>
      </c>
      <c r="CB11" s="533">
        <f t="shared" si="2"/>
        <v>0</v>
      </c>
      <c r="CC11" s="533">
        <f t="shared" si="2"/>
        <v>0</v>
      </c>
      <c r="CD11" s="533">
        <f t="shared" si="2"/>
        <v>0</v>
      </c>
      <c r="CE11" s="533">
        <f t="shared" si="2"/>
        <v>0</v>
      </c>
      <c r="CF11" s="533"/>
      <c r="CG11" s="533"/>
      <c r="CH11" s="529">
        <f t="shared" si="1"/>
        <v>0</v>
      </c>
    </row>
    <row r="12" spans="1:86" s="413" customFormat="1" ht="18.75" customHeight="1">
      <c r="A12" s="520"/>
      <c r="B12" s="534"/>
      <c r="C12" s="639" t="s">
        <v>616</v>
      </c>
      <c r="D12" s="535"/>
      <c r="E12" s="536"/>
      <c r="F12" s="537">
        <f>+'8.ĐO NHAY'!C20</f>
        <v>520000</v>
      </c>
      <c r="G12" s="539"/>
      <c r="H12" s="539">
        <f>'2.Tien do'!E10</f>
        <v>0</v>
      </c>
      <c r="I12" s="539">
        <f>'2.Tien do'!F10</f>
        <v>0.3</v>
      </c>
      <c r="J12" s="539">
        <f>'2.Tien do'!G10</f>
        <v>0.7</v>
      </c>
      <c r="K12" s="539">
        <f>'2.Tien do'!H10</f>
        <v>0</v>
      </c>
      <c r="L12" s="539">
        <f>'2.Tien do'!I10</f>
        <v>0</v>
      </c>
      <c r="M12" s="539">
        <f>'2.Tien do'!J10</f>
        <v>0</v>
      </c>
      <c r="N12" s="539">
        <f>'2.Tien do'!K10</f>
        <v>0</v>
      </c>
      <c r="O12" s="539">
        <f>'2.Tien do'!L10</f>
        <v>0</v>
      </c>
      <c r="P12" s="539">
        <f>'2.Tien do'!M10</f>
        <v>0</v>
      </c>
      <c r="Q12" s="539">
        <f>'2.Tien do'!N10</f>
        <v>0</v>
      </c>
      <c r="R12" s="539">
        <f>'2.Tien do'!O10</f>
        <v>0</v>
      </c>
      <c r="S12" s="539">
        <f>'2.Tien do'!P10</f>
        <v>0</v>
      </c>
      <c r="T12" s="539">
        <f>'2.Tien do'!Q10</f>
        <v>0</v>
      </c>
      <c r="U12" s="539">
        <f>'2.Tien do'!R10</f>
        <v>0</v>
      </c>
      <c r="V12" s="539">
        <f>'2.Tien do'!S10</f>
        <v>0</v>
      </c>
      <c r="W12" s="539">
        <f>'2.Tien do'!T10</f>
        <v>0</v>
      </c>
      <c r="X12" s="539">
        <f>'2.Tien do'!U10</f>
        <v>0</v>
      </c>
      <c r="Y12" s="539">
        <f>'2.Tien do'!V10</f>
        <v>0</v>
      </c>
      <c r="Z12" s="539">
        <f>'2.Tien do'!W10</f>
        <v>0</v>
      </c>
      <c r="AA12" s="539">
        <f>'2.Tien do'!X10</f>
        <v>0</v>
      </c>
      <c r="AB12" s="539">
        <f>'2.Tien do'!Y10</f>
        <v>0</v>
      </c>
      <c r="AC12" s="539">
        <f>'2.Tien do'!Z10</f>
        <v>0</v>
      </c>
      <c r="AD12" s="539">
        <f>'2.Tien do'!AA10</f>
        <v>0</v>
      </c>
      <c r="AE12" s="539">
        <f>'2.Tien do'!AB10</f>
        <v>0</v>
      </c>
      <c r="AF12" s="539">
        <f>'2.Tien do'!AC10</f>
        <v>0</v>
      </c>
      <c r="AG12" s="539">
        <f>'2.Tien do'!AD10</f>
        <v>0</v>
      </c>
      <c r="AH12" s="539">
        <f>'2.Tien do'!AE10</f>
        <v>0</v>
      </c>
      <c r="AI12" s="539">
        <f>'2.Tien do'!AF10</f>
        <v>0</v>
      </c>
      <c r="AJ12" s="539">
        <f>'2.Tien do'!AG10</f>
        <v>0</v>
      </c>
      <c r="AK12" s="539">
        <f>'2.Tien do'!AH10</f>
        <v>0</v>
      </c>
      <c r="AL12" s="539">
        <f>'2.Tien do'!AI10</f>
        <v>0</v>
      </c>
      <c r="AM12" s="539">
        <f>'2.Tien do'!AJ10</f>
        <v>0</v>
      </c>
      <c r="AN12" s="539">
        <f>'2.Tien do'!AK10</f>
        <v>0</v>
      </c>
      <c r="AO12" s="539">
        <f>'2.Tien do'!AL10</f>
        <v>0</v>
      </c>
      <c r="AP12" s="539">
        <f>'2.Tien do'!AM10</f>
        <v>0</v>
      </c>
      <c r="AQ12" s="539">
        <f>'2.Tien do'!AN10</f>
        <v>0</v>
      </c>
      <c r="AR12" s="540">
        <f>'2.Tien do'!AO10</f>
        <v>0</v>
      </c>
      <c r="AS12" s="532"/>
      <c r="AT12" s="541">
        <f t="shared" ref="AT12:BC15" si="4">$F12*G12</f>
        <v>0</v>
      </c>
      <c r="AU12" s="542">
        <f t="shared" si="4"/>
        <v>0</v>
      </c>
      <c r="AV12" s="542">
        <f t="shared" si="4"/>
        <v>156000</v>
      </c>
      <c r="AW12" s="542">
        <f t="shared" si="4"/>
        <v>364000</v>
      </c>
      <c r="AX12" s="542">
        <f t="shared" si="4"/>
        <v>0</v>
      </c>
      <c r="AY12" s="542">
        <f t="shared" si="4"/>
        <v>0</v>
      </c>
      <c r="AZ12" s="542">
        <f t="shared" si="4"/>
        <v>0</v>
      </c>
      <c r="BA12" s="542">
        <f t="shared" si="4"/>
        <v>0</v>
      </c>
      <c r="BB12" s="542">
        <f t="shared" si="4"/>
        <v>0</v>
      </c>
      <c r="BC12" s="542">
        <f t="shared" si="4"/>
        <v>0</v>
      </c>
      <c r="BD12" s="542">
        <f t="shared" ref="BD12:BM15" si="5">$F12*Q12</f>
        <v>0</v>
      </c>
      <c r="BE12" s="542">
        <f t="shared" si="5"/>
        <v>0</v>
      </c>
      <c r="BF12" s="542">
        <f t="shared" si="5"/>
        <v>0</v>
      </c>
      <c r="BG12" s="542">
        <f t="shared" si="5"/>
        <v>0</v>
      </c>
      <c r="BH12" s="542">
        <f t="shared" si="5"/>
        <v>0</v>
      </c>
      <c r="BI12" s="542">
        <f t="shared" si="5"/>
        <v>0</v>
      </c>
      <c r="BJ12" s="542">
        <f t="shared" si="5"/>
        <v>0</v>
      </c>
      <c r="BK12" s="542">
        <f t="shared" si="5"/>
        <v>0</v>
      </c>
      <c r="BL12" s="542">
        <f t="shared" si="5"/>
        <v>0</v>
      </c>
      <c r="BM12" s="542">
        <f t="shared" si="5"/>
        <v>0</v>
      </c>
      <c r="BN12" s="542">
        <f t="shared" ref="BN12:BW15" si="6">$F12*AA12</f>
        <v>0</v>
      </c>
      <c r="BO12" s="542">
        <f t="shared" ref="BO12:BO15" si="7">$F12*AB12</f>
        <v>0</v>
      </c>
      <c r="BP12" s="542">
        <f t="shared" ref="BP12:BP15" si="8">$F12*AC12</f>
        <v>0</v>
      </c>
      <c r="BQ12" s="542">
        <f t="shared" ref="BQ12:BQ15" si="9">$F12*AD12</f>
        <v>0</v>
      </c>
      <c r="BR12" s="542">
        <f t="shared" ref="BR12:BR15" si="10">$F12*AE12</f>
        <v>0</v>
      </c>
      <c r="BS12" s="542">
        <f t="shared" si="6"/>
        <v>0</v>
      </c>
      <c r="BT12" s="542">
        <f t="shared" si="6"/>
        <v>0</v>
      </c>
      <c r="BU12" s="542">
        <f t="shared" si="6"/>
        <v>0</v>
      </c>
      <c r="BV12" s="542">
        <f t="shared" si="6"/>
        <v>0</v>
      </c>
      <c r="BW12" s="542">
        <f t="shared" si="6"/>
        <v>0</v>
      </c>
      <c r="BX12" s="542">
        <f t="shared" ref="BX12:CE15" si="11">$F12*AK12</f>
        <v>0</v>
      </c>
      <c r="BY12" s="542">
        <f t="shared" si="11"/>
        <v>0</v>
      </c>
      <c r="BZ12" s="542">
        <f t="shared" si="11"/>
        <v>0</v>
      </c>
      <c r="CA12" s="542">
        <f t="shared" si="11"/>
        <v>0</v>
      </c>
      <c r="CB12" s="542">
        <f t="shared" si="11"/>
        <v>0</v>
      </c>
      <c r="CC12" s="542">
        <f t="shared" si="11"/>
        <v>0</v>
      </c>
      <c r="CD12" s="542">
        <f t="shared" si="11"/>
        <v>0</v>
      </c>
      <c r="CE12" s="542">
        <f t="shared" si="11"/>
        <v>0</v>
      </c>
      <c r="CF12" s="542"/>
      <c r="CG12" s="542"/>
      <c r="CH12" s="529">
        <f t="shared" si="1"/>
        <v>0</v>
      </c>
    </row>
    <row r="13" spans="1:86" s="407" customFormat="1" ht="18.600000000000001" customHeight="1">
      <c r="A13" s="495"/>
      <c r="B13" s="534"/>
      <c r="C13" s="639" t="s">
        <v>656</v>
      </c>
      <c r="D13" s="535"/>
      <c r="E13" s="536"/>
      <c r="F13" s="1410">
        <f>+TSDĐ!G389/10^6</f>
        <v>484737.93984213157</v>
      </c>
      <c r="G13" s="539">
        <f>'2.Tien do'!D11</f>
        <v>0</v>
      </c>
      <c r="H13" s="539">
        <f>'2.Tien do'!E11</f>
        <v>0</v>
      </c>
      <c r="I13" s="539">
        <f>'2.Tien do'!F11</f>
        <v>0</v>
      </c>
      <c r="J13" s="539">
        <f>'2.Tien do'!G11</f>
        <v>0</v>
      </c>
      <c r="K13" s="539">
        <f>'2.Tien do'!H11</f>
        <v>0</v>
      </c>
      <c r="L13" s="539">
        <f>'2.Tien do'!I11</f>
        <v>0</v>
      </c>
      <c r="M13" s="539">
        <f>'2.Tien do'!J11</f>
        <v>1</v>
      </c>
      <c r="N13" s="539">
        <f>'2.Tien do'!K11</f>
        <v>0</v>
      </c>
      <c r="O13" s="539">
        <f>'2.Tien do'!L11</f>
        <v>0</v>
      </c>
      <c r="P13" s="539">
        <f>'2.Tien do'!M11</f>
        <v>0</v>
      </c>
      <c r="Q13" s="539">
        <f>'2.Tien do'!N11</f>
        <v>0</v>
      </c>
      <c r="R13" s="539">
        <f>'2.Tien do'!O11</f>
        <v>0</v>
      </c>
      <c r="S13" s="539">
        <f>'2.Tien do'!P11</f>
        <v>0</v>
      </c>
      <c r="T13" s="539">
        <f>'2.Tien do'!Q11</f>
        <v>0</v>
      </c>
      <c r="U13" s="539">
        <f>'2.Tien do'!R11</f>
        <v>0</v>
      </c>
      <c r="V13" s="539">
        <f>'2.Tien do'!S11</f>
        <v>0</v>
      </c>
      <c r="W13" s="539">
        <f>'2.Tien do'!T11</f>
        <v>0</v>
      </c>
      <c r="X13" s="539">
        <f>'2.Tien do'!U11</f>
        <v>0</v>
      </c>
      <c r="Y13" s="539">
        <f>'2.Tien do'!V11</f>
        <v>0</v>
      </c>
      <c r="Z13" s="539">
        <f>'2.Tien do'!W11</f>
        <v>0</v>
      </c>
      <c r="AA13" s="539">
        <f>'2.Tien do'!X11</f>
        <v>0</v>
      </c>
      <c r="AB13" s="539">
        <f>'2.Tien do'!Y11</f>
        <v>0</v>
      </c>
      <c r="AC13" s="539">
        <f>'2.Tien do'!Z11</f>
        <v>0</v>
      </c>
      <c r="AD13" s="539">
        <f>'2.Tien do'!AA11</f>
        <v>0</v>
      </c>
      <c r="AE13" s="539">
        <f>'2.Tien do'!AB11</f>
        <v>0</v>
      </c>
      <c r="AF13" s="539">
        <f>'2.Tien do'!AC11</f>
        <v>0</v>
      </c>
      <c r="AG13" s="539">
        <f>'2.Tien do'!AD11</f>
        <v>0</v>
      </c>
      <c r="AH13" s="539">
        <f>'2.Tien do'!AE11</f>
        <v>0</v>
      </c>
      <c r="AI13" s="539">
        <f>'2.Tien do'!AF11</f>
        <v>0</v>
      </c>
      <c r="AJ13" s="539">
        <f>'2.Tien do'!AG11</f>
        <v>0</v>
      </c>
      <c r="AK13" s="539">
        <f>'2.Tien do'!AH11</f>
        <v>0</v>
      </c>
      <c r="AL13" s="539">
        <f>'2.Tien do'!AI11</f>
        <v>0</v>
      </c>
      <c r="AM13" s="539">
        <f>'2.Tien do'!AJ11</f>
        <v>0</v>
      </c>
      <c r="AN13" s="539">
        <f>'2.Tien do'!AK11</f>
        <v>0</v>
      </c>
      <c r="AO13" s="539">
        <f>'2.Tien do'!AL11</f>
        <v>0</v>
      </c>
      <c r="AP13" s="539">
        <f>'2.Tien do'!AM11</f>
        <v>0</v>
      </c>
      <c r="AQ13" s="539">
        <f>'2.Tien do'!AN11</f>
        <v>0</v>
      </c>
      <c r="AR13" s="540">
        <f>'2.Tien do'!AO11</f>
        <v>0</v>
      </c>
      <c r="AS13" s="543"/>
      <c r="AT13" s="541">
        <f t="shared" si="4"/>
        <v>0</v>
      </c>
      <c r="AU13" s="542">
        <f t="shared" si="4"/>
        <v>0</v>
      </c>
      <c r="AV13" s="542">
        <f t="shared" si="4"/>
        <v>0</v>
      </c>
      <c r="AW13" s="542">
        <f t="shared" si="4"/>
        <v>0</v>
      </c>
      <c r="AX13" s="542">
        <f t="shared" si="4"/>
        <v>0</v>
      </c>
      <c r="AY13" s="542">
        <f t="shared" si="4"/>
        <v>0</v>
      </c>
      <c r="AZ13" s="542">
        <f t="shared" si="4"/>
        <v>484737.93984213157</v>
      </c>
      <c r="BA13" s="542">
        <f t="shared" si="4"/>
        <v>0</v>
      </c>
      <c r="BB13" s="542">
        <f t="shared" si="4"/>
        <v>0</v>
      </c>
      <c r="BC13" s="542">
        <f t="shared" si="4"/>
        <v>0</v>
      </c>
      <c r="BD13" s="542">
        <f t="shared" si="5"/>
        <v>0</v>
      </c>
      <c r="BE13" s="542">
        <f t="shared" si="5"/>
        <v>0</v>
      </c>
      <c r="BF13" s="542">
        <f t="shared" si="5"/>
        <v>0</v>
      </c>
      <c r="BG13" s="542">
        <f t="shared" si="5"/>
        <v>0</v>
      </c>
      <c r="BH13" s="542">
        <f t="shared" si="5"/>
        <v>0</v>
      </c>
      <c r="BI13" s="542">
        <f t="shared" si="5"/>
        <v>0</v>
      </c>
      <c r="BJ13" s="542">
        <f t="shared" si="5"/>
        <v>0</v>
      </c>
      <c r="BK13" s="542">
        <f t="shared" si="5"/>
        <v>0</v>
      </c>
      <c r="BL13" s="542">
        <f t="shared" si="5"/>
        <v>0</v>
      </c>
      <c r="BM13" s="542">
        <f t="shared" si="5"/>
        <v>0</v>
      </c>
      <c r="BN13" s="542">
        <f t="shared" si="6"/>
        <v>0</v>
      </c>
      <c r="BO13" s="542">
        <f t="shared" si="7"/>
        <v>0</v>
      </c>
      <c r="BP13" s="542">
        <f t="shared" si="8"/>
        <v>0</v>
      </c>
      <c r="BQ13" s="542">
        <f t="shared" si="9"/>
        <v>0</v>
      </c>
      <c r="BR13" s="542">
        <f t="shared" si="10"/>
        <v>0</v>
      </c>
      <c r="BS13" s="542">
        <f t="shared" si="6"/>
        <v>0</v>
      </c>
      <c r="BT13" s="542">
        <f t="shared" si="6"/>
        <v>0</v>
      </c>
      <c r="BU13" s="542">
        <f t="shared" si="6"/>
        <v>0</v>
      </c>
      <c r="BV13" s="542">
        <f t="shared" si="6"/>
        <v>0</v>
      </c>
      <c r="BW13" s="542">
        <f t="shared" si="6"/>
        <v>0</v>
      </c>
      <c r="BX13" s="542">
        <f t="shared" si="11"/>
        <v>0</v>
      </c>
      <c r="BY13" s="542">
        <f t="shared" si="11"/>
        <v>0</v>
      </c>
      <c r="BZ13" s="542">
        <f t="shared" si="11"/>
        <v>0</v>
      </c>
      <c r="CA13" s="542">
        <f t="shared" si="11"/>
        <v>0</v>
      </c>
      <c r="CB13" s="542">
        <f t="shared" si="11"/>
        <v>0</v>
      </c>
      <c r="CC13" s="542">
        <f t="shared" si="11"/>
        <v>0</v>
      </c>
      <c r="CD13" s="542">
        <f t="shared" si="11"/>
        <v>0</v>
      </c>
      <c r="CE13" s="542">
        <f t="shared" si="11"/>
        <v>0</v>
      </c>
      <c r="CF13" s="542"/>
      <c r="CG13" s="542"/>
      <c r="CH13" s="529">
        <f t="shared" si="1"/>
        <v>0</v>
      </c>
    </row>
    <row r="14" spans="1:86" s="407" customFormat="1" ht="18.75" customHeight="1">
      <c r="A14" s="495"/>
      <c r="B14" s="534"/>
      <c r="C14" s="639" t="s">
        <v>342</v>
      </c>
      <c r="D14" s="535"/>
      <c r="E14" s="536"/>
      <c r="F14" s="537">
        <v>0</v>
      </c>
      <c r="G14" s="539"/>
      <c r="H14" s="539"/>
      <c r="I14" s="539"/>
      <c r="J14" s="539"/>
      <c r="K14" s="539"/>
      <c r="L14" s="539"/>
      <c r="M14" s="539"/>
      <c r="N14" s="539"/>
      <c r="O14" s="539"/>
      <c r="P14" s="539"/>
      <c r="Q14" s="539"/>
      <c r="R14" s="539"/>
      <c r="S14" s="539"/>
      <c r="T14" s="539"/>
      <c r="U14" s="539"/>
      <c r="V14" s="539"/>
      <c r="W14" s="539"/>
      <c r="X14" s="539"/>
      <c r="Y14" s="539"/>
      <c r="Z14" s="539"/>
      <c r="AA14" s="539"/>
      <c r="AB14" s="539">
        <f>'2.Tien do'!Y12</f>
        <v>0</v>
      </c>
      <c r="AC14" s="539">
        <f>'2.Tien do'!Z12</f>
        <v>0</v>
      </c>
      <c r="AD14" s="539">
        <f>'2.Tien do'!AA12</f>
        <v>0</v>
      </c>
      <c r="AE14" s="539">
        <f>'2.Tien do'!AB12</f>
        <v>0</v>
      </c>
      <c r="AF14" s="539">
        <f>'2.Tien do'!AC12</f>
        <v>0</v>
      </c>
      <c r="AG14" s="539">
        <f>'2.Tien do'!AD12</f>
        <v>0</v>
      </c>
      <c r="AH14" s="539">
        <f>'2.Tien do'!AE12</f>
        <v>0</v>
      </c>
      <c r="AI14" s="539">
        <f>'2.Tien do'!AF12</f>
        <v>0</v>
      </c>
      <c r="AJ14" s="539">
        <f>'2.Tien do'!AG12</f>
        <v>0</v>
      </c>
      <c r="AK14" s="539">
        <f>'2.Tien do'!AH12</f>
        <v>0</v>
      </c>
      <c r="AL14" s="539">
        <f>'2.Tien do'!AI12</f>
        <v>0</v>
      </c>
      <c r="AM14" s="539">
        <f>'2.Tien do'!AJ12</f>
        <v>0</v>
      </c>
      <c r="AN14" s="539">
        <f>'2.Tien do'!AK12</f>
        <v>0</v>
      </c>
      <c r="AO14" s="539">
        <f>'2.Tien do'!AL12</f>
        <v>0</v>
      </c>
      <c r="AP14" s="539">
        <f>'2.Tien do'!AM12</f>
        <v>0</v>
      </c>
      <c r="AQ14" s="539">
        <f>'2.Tien do'!AN12</f>
        <v>0</v>
      </c>
      <c r="AR14" s="540">
        <f>'2.Tien do'!AO12</f>
        <v>0</v>
      </c>
      <c r="AS14" s="543"/>
      <c r="AT14" s="541">
        <f t="shared" si="4"/>
        <v>0</v>
      </c>
      <c r="AU14" s="542">
        <f t="shared" si="4"/>
        <v>0</v>
      </c>
      <c r="AV14" s="542">
        <f t="shared" si="4"/>
        <v>0</v>
      </c>
      <c r="AW14" s="542">
        <f t="shared" si="4"/>
        <v>0</v>
      </c>
      <c r="AX14" s="542">
        <f t="shared" si="4"/>
        <v>0</v>
      </c>
      <c r="AY14" s="542">
        <f t="shared" si="4"/>
        <v>0</v>
      </c>
      <c r="AZ14" s="542">
        <f t="shared" si="4"/>
        <v>0</v>
      </c>
      <c r="BA14" s="542">
        <f t="shared" si="4"/>
        <v>0</v>
      </c>
      <c r="BB14" s="542">
        <f t="shared" si="4"/>
        <v>0</v>
      </c>
      <c r="BC14" s="542">
        <f t="shared" si="4"/>
        <v>0</v>
      </c>
      <c r="BD14" s="542">
        <f t="shared" si="5"/>
        <v>0</v>
      </c>
      <c r="BE14" s="542">
        <f t="shared" si="5"/>
        <v>0</v>
      </c>
      <c r="BF14" s="542">
        <f t="shared" si="5"/>
        <v>0</v>
      </c>
      <c r="BG14" s="542">
        <f t="shared" si="5"/>
        <v>0</v>
      </c>
      <c r="BH14" s="542">
        <f t="shared" si="5"/>
        <v>0</v>
      </c>
      <c r="BI14" s="542">
        <f t="shared" si="5"/>
        <v>0</v>
      </c>
      <c r="BJ14" s="542">
        <f t="shared" si="5"/>
        <v>0</v>
      </c>
      <c r="BK14" s="542">
        <f t="shared" si="5"/>
        <v>0</v>
      </c>
      <c r="BL14" s="542">
        <f t="shared" si="5"/>
        <v>0</v>
      </c>
      <c r="BM14" s="542">
        <f t="shared" si="5"/>
        <v>0</v>
      </c>
      <c r="BN14" s="542">
        <f t="shared" si="6"/>
        <v>0</v>
      </c>
      <c r="BO14" s="542">
        <f t="shared" si="7"/>
        <v>0</v>
      </c>
      <c r="BP14" s="542">
        <f t="shared" si="8"/>
        <v>0</v>
      </c>
      <c r="BQ14" s="542">
        <f t="shared" si="9"/>
        <v>0</v>
      </c>
      <c r="BR14" s="542">
        <f t="shared" si="10"/>
        <v>0</v>
      </c>
      <c r="BS14" s="542">
        <f t="shared" si="6"/>
        <v>0</v>
      </c>
      <c r="BT14" s="542">
        <f t="shared" si="6"/>
        <v>0</v>
      </c>
      <c r="BU14" s="542">
        <f t="shared" si="6"/>
        <v>0</v>
      </c>
      <c r="BV14" s="542">
        <f t="shared" si="6"/>
        <v>0</v>
      </c>
      <c r="BW14" s="542">
        <f t="shared" si="6"/>
        <v>0</v>
      </c>
      <c r="BX14" s="542">
        <f t="shared" si="11"/>
        <v>0</v>
      </c>
      <c r="BY14" s="542">
        <f t="shared" si="11"/>
        <v>0</v>
      </c>
      <c r="BZ14" s="542">
        <f t="shared" si="11"/>
        <v>0</v>
      </c>
      <c r="CA14" s="542">
        <f t="shared" si="11"/>
        <v>0</v>
      </c>
      <c r="CB14" s="542">
        <f t="shared" si="11"/>
        <v>0</v>
      </c>
      <c r="CC14" s="542">
        <f t="shared" si="11"/>
        <v>0</v>
      </c>
      <c r="CD14" s="542">
        <f t="shared" si="11"/>
        <v>0</v>
      </c>
      <c r="CE14" s="542">
        <f t="shared" si="11"/>
        <v>0</v>
      </c>
      <c r="CF14" s="542"/>
      <c r="CG14" s="542"/>
      <c r="CH14" s="529">
        <f t="shared" si="1"/>
        <v>0</v>
      </c>
    </row>
    <row r="15" spans="1:86" s="407" customFormat="1" ht="18.75" customHeight="1">
      <c r="A15" s="495"/>
      <c r="B15" s="534"/>
      <c r="C15" s="640" t="s">
        <v>106</v>
      </c>
      <c r="D15" s="535">
        <f>+'1. thong tin quy hoach'!D54</f>
        <v>28226.455999999998</v>
      </c>
      <c r="E15" s="544">
        <f>F15/D15*10^6</f>
        <v>3020886.0040440848</v>
      </c>
      <c r="F15" s="537">
        <f>2.5%*(F11+F16)</f>
        <v>85268.905874166172</v>
      </c>
      <c r="G15" s="539">
        <f>'2.Tien do'!D13</f>
        <v>0</v>
      </c>
      <c r="H15" s="539">
        <f>'2.Tien do'!E13</f>
        <v>0</v>
      </c>
      <c r="I15" s="539">
        <f>'2.Tien do'!F13</f>
        <v>0</v>
      </c>
      <c r="J15" s="539">
        <f>'2.Tien do'!G13</f>
        <v>0</v>
      </c>
      <c r="K15" s="539">
        <f>'2.Tien do'!H13</f>
        <v>0.05</v>
      </c>
      <c r="L15" s="539">
        <f>'2.Tien do'!I13</f>
        <v>0.05</v>
      </c>
      <c r="M15" s="539">
        <f>'2.Tien do'!J13</f>
        <v>0.05</v>
      </c>
      <c r="N15" s="539">
        <f>'2.Tien do'!K13</f>
        <v>0.1</v>
      </c>
      <c r="O15" s="539">
        <f>'2.Tien do'!L13</f>
        <v>0</v>
      </c>
      <c r="P15" s="539">
        <f>'2.Tien do'!M13</f>
        <v>0</v>
      </c>
      <c r="Q15" s="539">
        <f>'2.Tien do'!N13</f>
        <v>0.2</v>
      </c>
      <c r="R15" s="539">
        <f>'2.Tien do'!O13</f>
        <v>0</v>
      </c>
      <c r="S15" s="539">
        <f>'2.Tien do'!P13</f>
        <v>0</v>
      </c>
      <c r="T15" s="539">
        <f>'2.Tien do'!Q13</f>
        <v>0.05</v>
      </c>
      <c r="U15" s="539">
        <f>'2.Tien do'!R13</f>
        <v>0</v>
      </c>
      <c r="V15" s="539">
        <f>'2.Tien do'!S13</f>
        <v>0</v>
      </c>
      <c r="W15" s="539">
        <f>'2.Tien do'!T13</f>
        <v>0.05</v>
      </c>
      <c r="X15" s="539">
        <f>'2.Tien do'!U13</f>
        <v>0.25</v>
      </c>
      <c r="Y15" s="539">
        <f>'2.Tien do'!V13</f>
        <v>0</v>
      </c>
      <c r="Z15" s="539">
        <f>'2.Tien do'!W13</f>
        <v>0</v>
      </c>
      <c r="AA15" s="539">
        <f>'2.Tien do'!X13</f>
        <v>0.2</v>
      </c>
      <c r="AB15" s="539">
        <f>'2.Tien do'!Y13</f>
        <v>0</v>
      </c>
      <c r="AC15" s="539">
        <f>'2.Tien do'!Z13</f>
        <v>0</v>
      </c>
      <c r="AD15" s="539">
        <f>'2.Tien do'!AA13</f>
        <v>0</v>
      </c>
      <c r="AE15" s="539">
        <f>'2.Tien do'!AB13</f>
        <v>0</v>
      </c>
      <c r="AF15" s="539">
        <f>'2.Tien do'!AC13</f>
        <v>0</v>
      </c>
      <c r="AG15" s="539">
        <f>'2.Tien do'!AD13</f>
        <v>0</v>
      </c>
      <c r="AH15" s="539">
        <f>'2.Tien do'!AE13</f>
        <v>0</v>
      </c>
      <c r="AI15" s="539">
        <f>'2.Tien do'!AF13</f>
        <v>0</v>
      </c>
      <c r="AJ15" s="539">
        <f>'2.Tien do'!AG13</f>
        <v>0</v>
      </c>
      <c r="AK15" s="539">
        <f>'2.Tien do'!AH13</f>
        <v>0</v>
      </c>
      <c r="AL15" s="539">
        <f>'2.Tien do'!AI13</f>
        <v>0</v>
      </c>
      <c r="AM15" s="539">
        <f>'2.Tien do'!AJ13</f>
        <v>0</v>
      </c>
      <c r="AN15" s="539">
        <f>'2.Tien do'!AK13</f>
        <v>0</v>
      </c>
      <c r="AO15" s="539">
        <f>'2.Tien do'!AL13</f>
        <v>0</v>
      </c>
      <c r="AP15" s="539">
        <f>'2.Tien do'!AM13</f>
        <v>0</v>
      </c>
      <c r="AQ15" s="539">
        <f>'2.Tien do'!AN13</f>
        <v>0</v>
      </c>
      <c r="AR15" s="540">
        <f>'2.Tien do'!AO13</f>
        <v>0</v>
      </c>
      <c r="AS15" s="543"/>
      <c r="AT15" s="623">
        <f t="shared" si="4"/>
        <v>0</v>
      </c>
      <c r="AU15" s="624">
        <f t="shared" si="4"/>
        <v>0</v>
      </c>
      <c r="AV15" s="624">
        <f t="shared" si="4"/>
        <v>0</v>
      </c>
      <c r="AW15" s="624">
        <f t="shared" si="4"/>
        <v>0</v>
      </c>
      <c r="AX15" s="624">
        <f t="shared" si="4"/>
        <v>4263.4452937083088</v>
      </c>
      <c r="AY15" s="624">
        <f t="shared" si="4"/>
        <v>4263.4452937083088</v>
      </c>
      <c r="AZ15" s="624">
        <f t="shared" si="4"/>
        <v>4263.4452937083088</v>
      </c>
      <c r="BA15" s="624">
        <f t="shared" si="4"/>
        <v>8526.8905874166176</v>
      </c>
      <c r="BB15" s="624">
        <f t="shared" si="4"/>
        <v>0</v>
      </c>
      <c r="BC15" s="624">
        <f t="shared" si="4"/>
        <v>0</v>
      </c>
      <c r="BD15" s="624">
        <f t="shared" si="5"/>
        <v>17053.781174833235</v>
      </c>
      <c r="BE15" s="624">
        <f t="shared" si="5"/>
        <v>0</v>
      </c>
      <c r="BF15" s="624">
        <f t="shared" si="5"/>
        <v>0</v>
      </c>
      <c r="BG15" s="624">
        <f t="shared" si="5"/>
        <v>4263.4452937083088</v>
      </c>
      <c r="BH15" s="624">
        <f t="shared" si="5"/>
        <v>0</v>
      </c>
      <c r="BI15" s="624">
        <f t="shared" si="5"/>
        <v>0</v>
      </c>
      <c r="BJ15" s="624">
        <f t="shared" si="5"/>
        <v>4263.4452937083088</v>
      </c>
      <c r="BK15" s="624">
        <f t="shared" si="5"/>
        <v>21317.226468541543</v>
      </c>
      <c r="BL15" s="624">
        <f t="shared" si="5"/>
        <v>0</v>
      </c>
      <c r="BM15" s="624">
        <f t="shared" si="5"/>
        <v>0</v>
      </c>
      <c r="BN15" s="624">
        <f t="shared" si="6"/>
        <v>17053.781174833235</v>
      </c>
      <c r="BO15" s="624">
        <f t="shared" si="7"/>
        <v>0</v>
      </c>
      <c r="BP15" s="624">
        <f t="shared" si="8"/>
        <v>0</v>
      </c>
      <c r="BQ15" s="624">
        <f t="shared" si="9"/>
        <v>0</v>
      </c>
      <c r="BR15" s="624">
        <f t="shared" si="10"/>
        <v>0</v>
      </c>
      <c r="BS15" s="542">
        <f t="shared" si="6"/>
        <v>0</v>
      </c>
      <c r="BT15" s="542">
        <f t="shared" si="6"/>
        <v>0</v>
      </c>
      <c r="BU15" s="542">
        <f t="shared" si="6"/>
        <v>0</v>
      </c>
      <c r="BV15" s="542">
        <f t="shared" si="6"/>
        <v>0</v>
      </c>
      <c r="BW15" s="542">
        <f t="shared" si="6"/>
        <v>0</v>
      </c>
      <c r="BX15" s="542">
        <f t="shared" si="11"/>
        <v>0</v>
      </c>
      <c r="BY15" s="542">
        <f t="shared" si="11"/>
        <v>0</v>
      </c>
      <c r="BZ15" s="542">
        <f t="shared" si="11"/>
        <v>0</v>
      </c>
      <c r="CA15" s="542">
        <f t="shared" si="11"/>
        <v>0</v>
      </c>
      <c r="CB15" s="542">
        <f t="shared" si="11"/>
        <v>0</v>
      </c>
      <c r="CC15" s="542">
        <f t="shared" si="11"/>
        <v>0</v>
      </c>
      <c r="CD15" s="542">
        <f t="shared" si="11"/>
        <v>0</v>
      </c>
      <c r="CE15" s="542">
        <f t="shared" si="11"/>
        <v>0</v>
      </c>
      <c r="CF15" s="542"/>
      <c r="CG15" s="542"/>
      <c r="CH15" s="529">
        <f t="shared" si="1"/>
        <v>0</v>
      </c>
    </row>
    <row r="16" spans="1:86" s="520" customFormat="1" ht="18.75" customHeight="1">
      <c r="A16" s="545">
        <f>+F16/1.1</f>
        <v>2187289.3592041042</v>
      </c>
      <c r="B16" s="521" t="s">
        <v>502</v>
      </c>
      <c r="C16" s="522"/>
      <c r="D16" s="523">
        <f>+D19+D33</f>
        <v>146585.35473529412</v>
      </c>
      <c r="E16" s="524">
        <f>F16/D16*10^6</f>
        <v>16413769.980427692</v>
      </c>
      <c r="F16" s="525">
        <f>F17+F18</f>
        <v>2406018.295124515</v>
      </c>
      <c r="G16" s="614"/>
      <c r="H16" s="614"/>
      <c r="I16" s="614"/>
      <c r="J16" s="614"/>
      <c r="K16" s="614"/>
      <c r="L16" s="614"/>
      <c r="M16" s="614"/>
      <c r="N16" s="614"/>
      <c r="O16" s="614"/>
      <c r="P16" s="614"/>
      <c r="Q16" s="614"/>
      <c r="R16" s="614"/>
      <c r="S16" s="614"/>
      <c r="T16" s="614"/>
      <c r="U16" s="614"/>
      <c r="V16" s="614"/>
      <c r="W16" s="614"/>
      <c r="X16" s="614"/>
      <c r="Y16" s="614"/>
      <c r="Z16" s="614"/>
      <c r="AA16" s="614"/>
      <c r="AB16" s="614"/>
      <c r="AC16" s="614"/>
      <c r="AD16" s="614"/>
      <c r="AE16" s="614"/>
      <c r="AF16" s="614"/>
      <c r="AG16" s="614"/>
      <c r="AH16" s="614"/>
      <c r="AI16" s="614"/>
      <c r="AJ16" s="614"/>
      <c r="AK16" s="614"/>
      <c r="AL16" s="614"/>
      <c r="AM16" s="614"/>
      <c r="AN16" s="614"/>
      <c r="AO16" s="614"/>
      <c r="AP16" s="614"/>
      <c r="AQ16" s="614"/>
      <c r="AR16" s="615"/>
      <c r="AS16" s="526"/>
      <c r="AT16" s="1362">
        <f>+AT17+AT18</f>
        <v>0</v>
      </c>
      <c r="AU16" s="627">
        <f>+AU17+AU18</f>
        <v>0</v>
      </c>
      <c r="AV16" s="627">
        <f t="shared" ref="AV16:BN16" si="12">+AV17+AV18</f>
        <v>0</v>
      </c>
      <c r="AW16" s="627">
        <f t="shared" si="12"/>
        <v>0</v>
      </c>
      <c r="AX16" s="627">
        <f t="shared" si="12"/>
        <v>0</v>
      </c>
      <c r="AY16" s="627">
        <f t="shared" si="12"/>
        <v>0</v>
      </c>
      <c r="AZ16" s="627">
        <f t="shared" si="12"/>
        <v>0</v>
      </c>
      <c r="BA16" s="627">
        <f t="shared" si="12"/>
        <v>1429.2072086691178</v>
      </c>
      <c r="BB16" s="627">
        <f t="shared" si="12"/>
        <v>49227.630170544988</v>
      </c>
      <c r="BC16" s="627">
        <f t="shared" si="12"/>
        <v>268023.99186574854</v>
      </c>
      <c r="BD16" s="627">
        <f t="shared" si="12"/>
        <v>243806.38773949919</v>
      </c>
      <c r="BE16" s="627">
        <f t="shared" si="12"/>
        <v>160213.02798439414</v>
      </c>
      <c r="BF16" s="627">
        <f t="shared" si="12"/>
        <v>160213.02798439414</v>
      </c>
      <c r="BG16" s="627">
        <f t="shared" si="12"/>
        <v>189178.29408008826</v>
      </c>
      <c r="BH16" s="627">
        <f t="shared" si="12"/>
        <v>357587.64360901335</v>
      </c>
      <c r="BI16" s="627">
        <f t="shared" si="12"/>
        <v>386552.90970470745</v>
      </c>
      <c r="BJ16" s="627">
        <f t="shared" si="12"/>
        <v>323858.3534844222</v>
      </c>
      <c r="BK16" s="627">
        <f t="shared" si="12"/>
        <v>265927.82129303389</v>
      </c>
      <c r="BL16" s="627">
        <f t="shared" si="12"/>
        <v>0</v>
      </c>
      <c r="BM16" s="627">
        <f t="shared" si="12"/>
        <v>0</v>
      </c>
      <c r="BN16" s="627">
        <f t="shared" si="12"/>
        <v>0</v>
      </c>
      <c r="BO16" s="627">
        <f t="shared" ref="BO16:BR16" si="13">+BO17+BO18</f>
        <v>0</v>
      </c>
      <c r="BP16" s="627">
        <f t="shared" si="13"/>
        <v>0</v>
      </c>
      <c r="BQ16" s="627">
        <f t="shared" si="13"/>
        <v>0</v>
      </c>
      <c r="BR16" s="627">
        <f t="shared" si="13"/>
        <v>0</v>
      </c>
      <c r="BS16" s="546">
        <f t="shared" ref="BS16:CE16" si="14">+BS19</f>
        <v>0</v>
      </c>
      <c r="BT16" s="546">
        <f t="shared" si="14"/>
        <v>0</v>
      </c>
      <c r="BU16" s="546">
        <f t="shared" si="14"/>
        <v>0</v>
      </c>
      <c r="BV16" s="546">
        <f t="shared" si="14"/>
        <v>0</v>
      </c>
      <c r="BW16" s="546">
        <f t="shared" si="14"/>
        <v>0</v>
      </c>
      <c r="BX16" s="546">
        <f t="shared" si="14"/>
        <v>0</v>
      </c>
      <c r="BY16" s="546">
        <f t="shared" si="14"/>
        <v>0</v>
      </c>
      <c r="BZ16" s="546">
        <f t="shared" si="14"/>
        <v>0</v>
      </c>
      <c r="CA16" s="546">
        <f t="shared" si="14"/>
        <v>0</v>
      </c>
      <c r="CB16" s="546">
        <f t="shared" si="14"/>
        <v>0</v>
      </c>
      <c r="CC16" s="546">
        <f t="shared" si="14"/>
        <v>0</v>
      </c>
      <c r="CD16" s="546">
        <f t="shared" si="14"/>
        <v>0</v>
      </c>
      <c r="CE16" s="546">
        <f t="shared" si="14"/>
        <v>0</v>
      </c>
      <c r="CF16" s="546"/>
      <c r="CG16" s="546"/>
      <c r="CH16" s="529">
        <f>F16-SUM(AT16:CG16)</f>
        <v>0</v>
      </c>
    </row>
    <row r="17" spans="1:86" s="520" customFormat="1" ht="18.75" customHeight="1">
      <c r="A17" s="545">
        <f>+F17/1.1</f>
        <v>0</v>
      </c>
      <c r="B17" s="1341">
        <v>1</v>
      </c>
      <c r="C17" s="1342" t="s">
        <v>122</v>
      </c>
      <c r="D17" s="1343">
        <f>+'1. thong tin quy hoach'!D54</f>
        <v>28226.455999999998</v>
      </c>
      <c r="E17" s="1645">
        <v>0</v>
      </c>
      <c r="F17" s="1345">
        <f>+D17*E17/10^6</f>
        <v>0</v>
      </c>
      <c r="G17" s="1346"/>
      <c r="H17" s="1346">
        <f>+'2.Tien do'!E16</f>
        <v>0</v>
      </c>
      <c r="I17" s="1346">
        <f>+'2.Tien do'!F16</f>
        <v>0</v>
      </c>
      <c r="J17" s="1346">
        <f>+'2.Tien do'!G16</f>
        <v>0</v>
      </c>
      <c r="K17" s="1346">
        <f>+'2.Tien do'!H16</f>
        <v>0</v>
      </c>
      <c r="L17" s="1346">
        <f>+'2.Tien do'!I16</f>
        <v>0</v>
      </c>
      <c r="M17" s="1346">
        <f>+'2.Tien do'!J16</f>
        <v>0</v>
      </c>
      <c r="N17" s="1346">
        <f>+'2.Tien do'!K16</f>
        <v>0</v>
      </c>
      <c r="O17" s="1346">
        <f>+'2.Tien do'!L16</f>
        <v>0</v>
      </c>
      <c r="P17" s="1346">
        <f>+'2.Tien do'!M16</f>
        <v>0</v>
      </c>
      <c r="Q17" s="1346">
        <f>+'2.Tien do'!N16</f>
        <v>0.4</v>
      </c>
      <c r="R17" s="1346">
        <f>+'2.Tien do'!O16</f>
        <v>0.3</v>
      </c>
      <c r="S17" s="1346">
        <f>+'2.Tien do'!P16</f>
        <v>0.3</v>
      </c>
      <c r="T17" s="1346">
        <f>+'2.Tien do'!Q16</f>
        <v>0</v>
      </c>
      <c r="U17" s="1346">
        <f>+'2.Tien do'!R16</f>
        <v>0</v>
      </c>
      <c r="V17" s="1346">
        <f>+'2.Tien do'!S16</f>
        <v>0</v>
      </c>
      <c r="W17" s="1346">
        <f>+'2.Tien do'!T16</f>
        <v>0</v>
      </c>
      <c r="X17" s="1346">
        <f>+'2.Tien do'!U16</f>
        <v>0</v>
      </c>
      <c r="Y17" s="1346">
        <f>+'2.Tien do'!V16</f>
        <v>0</v>
      </c>
      <c r="Z17" s="1346">
        <f>+'2.Tien do'!W16</f>
        <v>0</v>
      </c>
      <c r="AA17" s="1346">
        <f>+'2.Tien do'!X16</f>
        <v>0</v>
      </c>
      <c r="AB17" s="1346">
        <f>+'2.Tien do'!Y16</f>
        <v>0</v>
      </c>
      <c r="AC17" s="1346">
        <f>+'2.Tien do'!Z16</f>
        <v>0</v>
      </c>
      <c r="AD17" s="1346">
        <f>+'2.Tien do'!AA16</f>
        <v>0</v>
      </c>
      <c r="AE17" s="1346">
        <f>+'2.Tien do'!AB16</f>
        <v>0</v>
      </c>
      <c r="AF17" s="1346">
        <f>+'2.Tien do'!AC16</f>
        <v>0</v>
      </c>
      <c r="AG17" s="1346">
        <f>+'2.Tien do'!AD16</f>
        <v>0</v>
      </c>
      <c r="AH17" s="1346">
        <f>+'2.Tien do'!AE16</f>
        <v>0</v>
      </c>
      <c r="AI17" s="1346">
        <f>+'2.Tien do'!AF16</f>
        <v>0</v>
      </c>
      <c r="AJ17" s="1346">
        <f>+'2.Tien do'!AG16</f>
        <v>0</v>
      </c>
      <c r="AK17" s="1346">
        <f>+'2.Tien do'!AH16</f>
        <v>0</v>
      </c>
      <c r="AL17" s="1346">
        <f>+'2.Tien do'!AI16</f>
        <v>0</v>
      </c>
      <c r="AM17" s="1346">
        <f>+'2.Tien do'!AJ16</f>
        <v>0</v>
      </c>
      <c r="AN17" s="1346">
        <f>+'2.Tien do'!AK16</f>
        <v>0</v>
      </c>
      <c r="AO17" s="1346">
        <f>+'2.Tien do'!AL16</f>
        <v>0</v>
      </c>
      <c r="AP17" s="1346">
        <f>+'2.Tien do'!AM16</f>
        <v>0</v>
      </c>
      <c r="AQ17" s="1346">
        <f>+'2.Tien do'!AN16</f>
        <v>0</v>
      </c>
      <c r="AR17" s="615">
        <f>+'2.Tien do'!AO16</f>
        <v>0</v>
      </c>
      <c r="AS17" s="526"/>
      <c r="AT17" s="1362">
        <f>+G17*$F$17</f>
        <v>0</v>
      </c>
      <c r="AU17" s="1345">
        <f>+H17*$F$17</f>
        <v>0</v>
      </c>
      <c r="AV17" s="1345">
        <f t="shared" ref="AV17:BN17" si="15">+I17*$F$17</f>
        <v>0</v>
      </c>
      <c r="AW17" s="1345">
        <f t="shared" si="15"/>
        <v>0</v>
      </c>
      <c r="AX17" s="1345">
        <f t="shared" si="15"/>
        <v>0</v>
      </c>
      <c r="AY17" s="1345">
        <f>+L17*$F$17</f>
        <v>0</v>
      </c>
      <c r="AZ17" s="1345">
        <f t="shared" si="15"/>
        <v>0</v>
      </c>
      <c r="BA17" s="1345">
        <f t="shared" si="15"/>
        <v>0</v>
      </c>
      <c r="BB17" s="1345">
        <f t="shared" si="15"/>
        <v>0</v>
      </c>
      <c r="BC17" s="1345">
        <f t="shared" si="15"/>
        <v>0</v>
      </c>
      <c r="BD17" s="1345">
        <f t="shared" si="15"/>
        <v>0</v>
      </c>
      <c r="BE17" s="1345">
        <f t="shared" si="15"/>
        <v>0</v>
      </c>
      <c r="BF17" s="1345">
        <f t="shared" si="15"/>
        <v>0</v>
      </c>
      <c r="BG17" s="1345">
        <f t="shared" si="15"/>
        <v>0</v>
      </c>
      <c r="BH17" s="1345">
        <f t="shared" si="15"/>
        <v>0</v>
      </c>
      <c r="BI17" s="1345">
        <f t="shared" si="15"/>
        <v>0</v>
      </c>
      <c r="BJ17" s="1345">
        <f t="shared" si="15"/>
        <v>0</v>
      </c>
      <c r="BK17" s="1345">
        <f t="shared" si="15"/>
        <v>0</v>
      </c>
      <c r="BL17" s="1345">
        <f t="shared" si="15"/>
        <v>0</v>
      </c>
      <c r="BM17" s="1345">
        <f t="shared" si="15"/>
        <v>0</v>
      </c>
      <c r="BN17" s="1345">
        <f t="shared" si="15"/>
        <v>0</v>
      </c>
      <c r="BO17" s="1345">
        <f t="shared" ref="BO17" si="16">+AB17*$F$17</f>
        <v>0</v>
      </c>
      <c r="BP17" s="1345">
        <f t="shared" ref="BP17" si="17">+AC17*$F$17</f>
        <v>0</v>
      </c>
      <c r="BQ17" s="1345">
        <f t="shared" ref="BQ17" si="18">+AD17*$F$17</f>
        <v>0</v>
      </c>
      <c r="BR17" s="1345">
        <f t="shared" ref="BR17" si="19">+AE17*$F$17</f>
        <v>0</v>
      </c>
      <c r="BS17" s="1287"/>
      <c r="BT17" s="1287"/>
      <c r="BU17" s="1287"/>
      <c r="BV17" s="1287"/>
      <c r="BW17" s="1287"/>
      <c r="BX17" s="1287"/>
      <c r="BY17" s="1287"/>
      <c r="BZ17" s="1287"/>
      <c r="CA17" s="1287"/>
      <c r="CB17" s="1287"/>
      <c r="CC17" s="1287"/>
      <c r="CD17" s="1287"/>
      <c r="CE17" s="1287"/>
      <c r="CF17" s="1287"/>
      <c r="CG17" s="1287"/>
      <c r="CH17" s="529">
        <f>F17-SUM(AT17:CG17)</f>
        <v>0</v>
      </c>
    </row>
    <row r="18" spans="1:86" s="520" customFormat="1" ht="18.75" customHeight="1">
      <c r="A18" s="545">
        <f>+F18/1.1</f>
        <v>2187289.3592041042</v>
      </c>
      <c r="B18" s="1341">
        <v>2</v>
      </c>
      <c r="C18" s="1342" t="s">
        <v>575</v>
      </c>
      <c r="D18" s="1343"/>
      <c r="E18" s="1344"/>
      <c r="F18" s="1345">
        <f>+F19+F33+F47+F61+F70</f>
        <v>2406018.295124515</v>
      </c>
      <c r="G18" s="1346"/>
      <c r="H18" s="1346"/>
      <c r="I18" s="1346"/>
      <c r="J18" s="1346"/>
      <c r="K18" s="1346"/>
      <c r="L18" s="1346"/>
      <c r="M18" s="1346"/>
      <c r="N18" s="1346"/>
      <c r="O18" s="1346"/>
      <c r="P18" s="1346"/>
      <c r="Q18" s="1346"/>
      <c r="R18" s="1346"/>
      <c r="S18" s="1346"/>
      <c r="T18" s="1346"/>
      <c r="U18" s="1346"/>
      <c r="V18" s="1346"/>
      <c r="W18" s="1346"/>
      <c r="X18" s="1346"/>
      <c r="Y18" s="1346"/>
      <c r="Z18" s="1346"/>
      <c r="AA18" s="1346"/>
      <c r="AB18" s="1346"/>
      <c r="AC18" s="1346"/>
      <c r="AD18" s="1346"/>
      <c r="AE18" s="1346"/>
      <c r="AF18" s="1346"/>
      <c r="AG18" s="1346"/>
      <c r="AH18" s="1346"/>
      <c r="AI18" s="1346"/>
      <c r="AJ18" s="1346"/>
      <c r="AK18" s="1346"/>
      <c r="AL18" s="1346"/>
      <c r="AM18" s="1346"/>
      <c r="AN18" s="1346"/>
      <c r="AO18" s="1346"/>
      <c r="AP18" s="1346"/>
      <c r="AQ18" s="1346"/>
      <c r="AR18" s="615"/>
      <c r="AS18" s="526"/>
      <c r="AT18" s="1362">
        <f>+AT19+AT33+AT47+AT61+AT70</f>
        <v>0</v>
      </c>
      <c r="AU18" s="1362">
        <f t="shared" ref="AU18:BN18" si="20">+AU19+AU33+AU47+AU61+AU70</f>
        <v>0</v>
      </c>
      <c r="AV18" s="1362">
        <f t="shared" si="20"/>
        <v>0</v>
      </c>
      <c r="AW18" s="1362">
        <f t="shared" si="20"/>
        <v>0</v>
      </c>
      <c r="AX18" s="1362">
        <f t="shared" si="20"/>
        <v>0</v>
      </c>
      <c r="AY18" s="1362">
        <f t="shared" si="20"/>
        <v>0</v>
      </c>
      <c r="AZ18" s="1362">
        <f t="shared" si="20"/>
        <v>0</v>
      </c>
      <c r="BA18" s="1362">
        <f t="shared" si="20"/>
        <v>1429.2072086691178</v>
      </c>
      <c r="BB18" s="1362">
        <f t="shared" si="20"/>
        <v>49227.630170544988</v>
      </c>
      <c r="BC18" s="1362">
        <f t="shared" si="20"/>
        <v>268023.99186574854</v>
      </c>
      <c r="BD18" s="1362">
        <f t="shared" si="20"/>
        <v>243806.38773949919</v>
      </c>
      <c r="BE18" s="1362">
        <f t="shared" si="20"/>
        <v>160213.02798439414</v>
      </c>
      <c r="BF18" s="1362">
        <f t="shared" si="20"/>
        <v>160213.02798439414</v>
      </c>
      <c r="BG18" s="1362">
        <f t="shared" si="20"/>
        <v>189178.29408008826</v>
      </c>
      <c r="BH18" s="1362">
        <f t="shared" si="20"/>
        <v>357587.64360901335</v>
      </c>
      <c r="BI18" s="1362">
        <f t="shared" si="20"/>
        <v>386552.90970470745</v>
      </c>
      <c r="BJ18" s="1362">
        <f t="shared" si="20"/>
        <v>323858.3534844222</v>
      </c>
      <c r="BK18" s="1362">
        <f t="shared" si="20"/>
        <v>265927.82129303389</v>
      </c>
      <c r="BL18" s="1362">
        <f t="shared" si="20"/>
        <v>0</v>
      </c>
      <c r="BM18" s="1362">
        <f t="shared" si="20"/>
        <v>0</v>
      </c>
      <c r="BN18" s="1362">
        <f t="shared" si="20"/>
        <v>0</v>
      </c>
      <c r="BO18" s="1362">
        <f t="shared" ref="BO18:BR18" si="21">+BO19+BO33+BO47+BO61+BO70</f>
        <v>0</v>
      </c>
      <c r="BP18" s="1362">
        <f t="shared" si="21"/>
        <v>0</v>
      </c>
      <c r="BQ18" s="1362">
        <f t="shared" si="21"/>
        <v>0</v>
      </c>
      <c r="BR18" s="1362">
        <f t="shared" si="21"/>
        <v>0</v>
      </c>
      <c r="BS18" s="1287"/>
      <c r="BT18" s="1287"/>
      <c r="BU18" s="1287"/>
      <c r="BV18" s="1287"/>
      <c r="BW18" s="1287"/>
      <c r="BX18" s="1287"/>
      <c r="BY18" s="1287"/>
      <c r="BZ18" s="1287"/>
      <c r="CA18" s="1287"/>
      <c r="CB18" s="1287"/>
      <c r="CC18" s="1287"/>
      <c r="CD18" s="1287"/>
      <c r="CE18" s="1287"/>
      <c r="CF18" s="1287"/>
      <c r="CG18" s="1287"/>
      <c r="CH18" s="529"/>
    </row>
    <row r="19" spans="1:86" s="407" customFormat="1" ht="18.600000000000001" customHeight="1">
      <c r="A19" s="547"/>
      <c r="B19" s="1347">
        <v>2.1</v>
      </c>
      <c r="C19" s="1348" t="str">
        <f>+'2.Tien do'!C18</f>
        <v>Xây dựng Chung cư Sky Habitat</v>
      </c>
      <c r="D19" s="1300">
        <f>+'1. thong tin quy hoach'!I12</f>
        <v>146585.35473529412</v>
      </c>
      <c r="E19" s="1349">
        <f>F19/D19*10^6</f>
        <v>15086500</v>
      </c>
      <c r="F19" s="1349">
        <f>SUM(F20,F28:F32)</f>
        <v>2211459.954214015</v>
      </c>
      <c r="G19" s="1349"/>
      <c r="H19" s="1349"/>
      <c r="I19" s="1349"/>
      <c r="J19" s="1349"/>
      <c r="K19" s="1349"/>
      <c r="L19" s="1349"/>
      <c r="M19" s="1349"/>
      <c r="N19" s="1349"/>
      <c r="O19" s="1349"/>
      <c r="P19" s="1349"/>
      <c r="Q19" s="1349"/>
      <c r="R19" s="1349"/>
      <c r="S19" s="1349"/>
      <c r="T19" s="1349"/>
      <c r="U19" s="1349"/>
      <c r="V19" s="1349"/>
      <c r="W19" s="1349"/>
      <c r="X19" s="1349"/>
      <c r="Y19" s="1349"/>
      <c r="Z19" s="1349"/>
      <c r="AA19" s="1349"/>
      <c r="AB19" s="1330"/>
      <c r="AC19" s="1330"/>
      <c r="AD19" s="1330"/>
      <c r="AE19" s="1330"/>
      <c r="AF19" s="1330"/>
      <c r="AG19" s="1330"/>
      <c r="AH19" s="1330"/>
      <c r="AI19" s="1330"/>
      <c r="AJ19" s="1330"/>
      <c r="AK19" s="1330"/>
      <c r="AL19" s="1330"/>
      <c r="AM19" s="1330"/>
      <c r="AN19" s="1330"/>
      <c r="AO19" s="1330"/>
      <c r="AP19" s="1330"/>
      <c r="AQ19" s="1330"/>
      <c r="AR19" s="1331"/>
      <c r="AS19" s="548"/>
      <c r="AT19" s="625">
        <f t="shared" ref="AT19:BN19" si="22">SUM(AT21:AT32)</f>
        <v>0</v>
      </c>
      <c r="AU19" s="626">
        <f t="shared" si="22"/>
        <v>0</v>
      </c>
      <c r="AV19" s="626">
        <f t="shared" si="22"/>
        <v>0</v>
      </c>
      <c r="AW19" s="626">
        <f t="shared" si="22"/>
        <v>0</v>
      </c>
      <c r="AX19" s="626">
        <f t="shared" si="22"/>
        <v>0</v>
      </c>
      <c r="AY19" s="626">
        <f t="shared" si="22"/>
        <v>0</v>
      </c>
      <c r="AZ19" s="626">
        <f t="shared" si="22"/>
        <v>0</v>
      </c>
      <c r="BA19" s="626">
        <f t="shared" si="22"/>
        <v>1429.2072086691178</v>
      </c>
      <c r="BB19" s="626">
        <f t="shared" si="22"/>
        <v>49227.630170544988</v>
      </c>
      <c r="BC19" s="626">
        <f t="shared" si="22"/>
        <v>268023.99186574854</v>
      </c>
      <c r="BD19" s="626">
        <f t="shared" si="22"/>
        <v>195166.80251187418</v>
      </c>
      <c r="BE19" s="626">
        <f t="shared" si="22"/>
        <v>111573.44275676913</v>
      </c>
      <c r="BF19" s="626">
        <f t="shared" si="22"/>
        <v>111573.44275676913</v>
      </c>
      <c r="BG19" s="626">
        <f t="shared" si="22"/>
        <v>140538.70885246326</v>
      </c>
      <c r="BH19" s="626">
        <f t="shared" si="22"/>
        <v>357587.64360901335</v>
      </c>
      <c r="BI19" s="626">
        <f t="shared" si="22"/>
        <v>386552.90970470745</v>
      </c>
      <c r="BJ19" s="626">
        <f t="shared" si="22"/>
        <v>323858.3534844222</v>
      </c>
      <c r="BK19" s="626">
        <f t="shared" si="22"/>
        <v>265927.82129303389</v>
      </c>
      <c r="BL19" s="626">
        <f t="shared" si="22"/>
        <v>0</v>
      </c>
      <c r="BM19" s="626">
        <f t="shared" si="22"/>
        <v>0</v>
      </c>
      <c r="BN19" s="626">
        <f t="shared" si="22"/>
        <v>0</v>
      </c>
      <c r="BO19" s="626">
        <f t="shared" ref="BO19:BR19" si="23">SUM(BO21:BO32)</f>
        <v>0</v>
      </c>
      <c r="BP19" s="626">
        <f t="shared" si="23"/>
        <v>0</v>
      </c>
      <c r="BQ19" s="626">
        <f t="shared" si="23"/>
        <v>0</v>
      </c>
      <c r="BR19" s="626">
        <f t="shared" si="23"/>
        <v>0</v>
      </c>
      <c r="BS19" s="549">
        <f t="shared" ref="BS19:CE19" si="24">SUM(BS21:BS32)</f>
        <v>0</v>
      </c>
      <c r="BT19" s="549">
        <f t="shared" si="24"/>
        <v>0</v>
      </c>
      <c r="BU19" s="549">
        <f t="shared" si="24"/>
        <v>0</v>
      </c>
      <c r="BV19" s="549">
        <f t="shared" si="24"/>
        <v>0</v>
      </c>
      <c r="BW19" s="549">
        <f t="shared" si="24"/>
        <v>0</v>
      </c>
      <c r="BX19" s="549">
        <f t="shared" si="24"/>
        <v>0</v>
      </c>
      <c r="BY19" s="549">
        <f t="shared" si="24"/>
        <v>0</v>
      </c>
      <c r="BZ19" s="549">
        <f t="shared" si="24"/>
        <v>0</v>
      </c>
      <c r="CA19" s="549">
        <f t="shared" si="24"/>
        <v>0</v>
      </c>
      <c r="CB19" s="549">
        <f t="shared" si="24"/>
        <v>0</v>
      </c>
      <c r="CC19" s="549">
        <f t="shared" si="24"/>
        <v>0</v>
      </c>
      <c r="CD19" s="549">
        <f t="shared" si="24"/>
        <v>0</v>
      </c>
      <c r="CE19" s="549">
        <f t="shared" si="24"/>
        <v>0</v>
      </c>
      <c r="CF19" s="549"/>
      <c r="CG19" s="549"/>
      <c r="CH19" s="529">
        <f t="shared" si="1"/>
        <v>0</v>
      </c>
    </row>
    <row r="20" spans="1:86" s="407" customFormat="1">
      <c r="A20" s="550"/>
      <c r="B20" s="1336"/>
      <c r="C20" s="1337" t="s">
        <v>114</v>
      </c>
      <c r="D20" s="1338">
        <f>D19</f>
        <v>146585.35473529412</v>
      </c>
      <c r="E20" s="1646">
        <f>'8.ĐO NHAY'!$C$15*10^6</f>
        <v>13000000</v>
      </c>
      <c r="F20" s="1340">
        <f>D20*E20/10^6</f>
        <v>1905609.6115588238</v>
      </c>
      <c r="G20" s="1340"/>
      <c r="H20" s="1340"/>
      <c r="I20" s="1340"/>
      <c r="J20" s="1340"/>
      <c r="K20" s="1340"/>
      <c r="L20" s="1340"/>
      <c r="M20" s="1340"/>
      <c r="N20" s="1340"/>
      <c r="O20" s="1340"/>
      <c r="P20" s="1340"/>
      <c r="Q20" s="1340"/>
      <c r="R20" s="1340"/>
      <c r="S20" s="1340"/>
      <c r="T20" s="1340"/>
      <c r="U20" s="1340"/>
      <c r="V20" s="1340"/>
      <c r="W20" s="1340"/>
      <c r="X20" s="1340"/>
      <c r="Y20" s="1340"/>
      <c r="Z20" s="1340"/>
      <c r="AA20" s="1340"/>
      <c r="AB20" s="530"/>
      <c r="AC20" s="530"/>
      <c r="AD20" s="530"/>
      <c r="AE20" s="530"/>
      <c r="AF20" s="530"/>
      <c r="AG20" s="530"/>
      <c r="AH20" s="530"/>
      <c r="AI20" s="530"/>
      <c r="AJ20" s="530"/>
      <c r="AK20" s="530"/>
      <c r="AL20" s="530"/>
      <c r="AM20" s="530"/>
      <c r="AN20" s="530"/>
      <c r="AO20" s="530"/>
      <c r="AP20" s="530"/>
      <c r="AQ20" s="530"/>
      <c r="AR20" s="531"/>
      <c r="AS20" s="548"/>
      <c r="AT20" s="629">
        <f>SUM(AT21:AT27)</f>
        <v>0</v>
      </c>
      <c r="AU20" s="630">
        <f t="shared" ref="AU20" si="25">SUM(AU21:AU27)</f>
        <v>0</v>
      </c>
      <c r="AV20" s="630">
        <f t="shared" ref="AV20" si="26">SUM(AV21:AV27)</f>
        <v>0</v>
      </c>
      <c r="AW20" s="630">
        <f t="shared" ref="AW20" si="27">SUM(AW21:AW27)</f>
        <v>0</v>
      </c>
      <c r="AX20" s="630">
        <f t="shared" ref="AX20" si="28">SUM(AX21:AX27)</f>
        <v>0</v>
      </c>
      <c r="AY20" s="630">
        <f t="shared" ref="AY20" si="29">SUM(AY21:AY27)</f>
        <v>0</v>
      </c>
      <c r="AZ20" s="630">
        <f t="shared" ref="AZ20" si="30">SUM(AZ21:AZ27)</f>
        <v>0</v>
      </c>
      <c r="BA20" s="630">
        <f t="shared" ref="BA20" si="31">SUM(BA21:BA27)</f>
        <v>1429.2072086691178</v>
      </c>
      <c r="BB20" s="630">
        <f t="shared" ref="BB20" si="32">SUM(BB21:BB27)</f>
        <v>18642.595905025868</v>
      </c>
      <c r="BC20" s="630">
        <f t="shared" ref="BC20" si="33">SUM(BC21:BC27)</f>
        <v>237438.95760022942</v>
      </c>
      <c r="BD20" s="630">
        <f t="shared" ref="BD20" si="34">SUM(BD21:BD27)</f>
        <v>164581.76824635506</v>
      </c>
      <c r="BE20" s="630">
        <f t="shared" ref="BE20" si="35">SUM(BE21:BE27)</f>
        <v>80988.408491250011</v>
      </c>
      <c r="BF20" s="630">
        <f t="shared" ref="BF20" si="36">SUM(BF21:BF27)</f>
        <v>80988.408491250011</v>
      </c>
      <c r="BG20" s="630">
        <f t="shared" ref="BG20" si="37">SUM(BG21:BG27)</f>
        <v>109953.67458694414</v>
      </c>
      <c r="BH20" s="630">
        <f t="shared" ref="BH20" si="38">SUM(BH21:BH27)</f>
        <v>327002.60934349417</v>
      </c>
      <c r="BI20" s="630">
        <f t="shared" ref="BI20" si="39">SUM(BI21:BI27)</f>
        <v>355967.87543918827</v>
      </c>
      <c r="BJ20" s="630">
        <f t="shared" ref="BJ20" si="40">SUM(BJ21:BJ27)</f>
        <v>293273.31921890302</v>
      </c>
      <c r="BK20" s="630">
        <f t="shared" ref="BK20" si="41">SUM(BK21:BK27)</f>
        <v>235342.78702751477</v>
      </c>
      <c r="BL20" s="630">
        <f t="shared" ref="BL20" si="42">SUM(BL21:BL27)</f>
        <v>0</v>
      </c>
      <c r="BM20" s="630">
        <f t="shared" ref="BM20" si="43">SUM(BM21:BM27)</f>
        <v>0</v>
      </c>
      <c r="BN20" s="630">
        <f t="shared" ref="BN20:BR20" si="44">SUM(BN21:BN27)</f>
        <v>0</v>
      </c>
      <c r="BO20" s="630">
        <f t="shared" si="44"/>
        <v>0</v>
      </c>
      <c r="BP20" s="630">
        <f t="shared" si="44"/>
        <v>0</v>
      </c>
      <c r="BQ20" s="630">
        <f t="shared" si="44"/>
        <v>0</v>
      </c>
      <c r="BR20" s="630">
        <f t="shared" si="44"/>
        <v>0</v>
      </c>
      <c r="BS20" s="551">
        <f t="shared" ref="BS20" si="45">SUM(BS21:BS27)</f>
        <v>0</v>
      </c>
      <c r="BT20" s="551">
        <f t="shared" ref="BT20" si="46">SUM(BT21:BT27)</f>
        <v>0</v>
      </c>
      <c r="BU20" s="551">
        <f t="shared" ref="BU20" si="47">SUM(BU21:BU27)</f>
        <v>0</v>
      </c>
      <c r="BV20" s="551">
        <f t="shared" ref="BV20" si="48">SUM(BV21:BV27)</f>
        <v>0</v>
      </c>
      <c r="BW20" s="551">
        <f t="shared" ref="BW20" si="49">SUM(BW21:BW27)</f>
        <v>0</v>
      </c>
      <c r="BX20" s="551">
        <f t="shared" ref="BX20" si="50">SUM(BX21:BX27)</f>
        <v>0</v>
      </c>
      <c r="BY20" s="551">
        <f t="shared" ref="BY20" si="51">SUM(BY21:BY27)</f>
        <v>0</v>
      </c>
      <c r="BZ20" s="551">
        <f t="shared" ref="BZ20" si="52">SUM(BZ21:BZ27)</f>
        <v>0</v>
      </c>
      <c r="CA20" s="551">
        <f t="shared" ref="CA20" si="53">SUM(CA21:CA27)</f>
        <v>0</v>
      </c>
      <c r="CB20" s="551">
        <f t="shared" ref="CB20" si="54">SUM(CB21:CB27)</f>
        <v>0</v>
      </c>
      <c r="CC20" s="551">
        <f t="shared" ref="CC20" si="55">SUM(CC21:CC27)</f>
        <v>0</v>
      </c>
      <c r="CD20" s="551">
        <f t="shared" ref="CD20" si="56">SUM(CD21:CD27)</f>
        <v>0</v>
      </c>
      <c r="CE20" s="551">
        <f t="shared" ref="CE20" si="57">SUM(CE21:CE27)</f>
        <v>0</v>
      </c>
      <c r="CF20" s="551"/>
      <c r="CG20" s="551"/>
      <c r="CH20" s="529">
        <f t="shared" si="1"/>
        <v>0</v>
      </c>
    </row>
    <row r="21" spans="1:86" s="407" customFormat="1">
      <c r="B21" s="534"/>
      <c r="C21" s="628" t="s">
        <v>146</v>
      </c>
      <c r="D21" s="535"/>
      <c r="E21" s="613">
        <v>1E-3</v>
      </c>
      <c r="F21" s="538">
        <f t="shared" ref="F21:F28" si="58">E21*$F$20</f>
        <v>1905.6096115588239</v>
      </c>
      <c r="G21" s="539"/>
      <c r="H21" s="539">
        <f>+'2.Tien do'!E19</f>
        <v>0</v>
      </c>
      <c r="I21" s="539">
        <f>+'2.Tien do'!F19</f>
        <v>0</v>
      </c>
      <c r="J21" s="539">
        <f>+'2.Tien do'!G19</f>
        <v>0</v>
      </c>
      <c r="K21" s="539">
        <f>+'2.Tien do'!H19</f>
        <v>0</v>
      </c>
      <c r="L21" s="539">
        <f>+'2.Tien do'!I19</f>
        <v>0</v>
      </c>
      <c r="M21" s="539">
        <f>+'2.Tien do'!J19</f>
        <v>0</v>
      </c>
      <c r="N21" s="539">
        <f>+'2.Tien do'!K19</f>
        <v>0.75</v>
      </c>
      <c r="O21" s="539">
        <f>+'2.Tien do'!L19</f>
        <v>0.25</v>
      </c>
      <c r="P21" s="539">
        <f>+'2.Tien do'!M19</f>
        <v>0</v>
      </c>
      <c r="Q21" s="539">
        <f>+'2.Tien do'!N19</f>
        <v>0</v>
      </c>
      <c r="R21" s="539">
        <f>+'2.Tien do'!O19</f>
        <v>0</v>
      </c>
      <c r="S21" s="539">
        <f>+'2.Tien do'!P19</f>
        <v>0</v>
      </c>
      <c r="T21" s="539">
        <f>+'2.Tien do'!Q19</f>
        <v>0</v>
      </c>
      <c r="U21" s="539">
        <f>+'2.Tien do'!R19</f>
        <v>0</v>
      </c>
      <c r="V21" s="539">
        <f>+'2.Tien do'!S19</f>
        <v>0</v>
      </c>
      <c r="W21" s="539">
        <f>+'2.Tien do'!T19</f>
        <v>0</v>
      </c>
      <c r="X21" s="539">
        <f>+'2.Tien do'!U19</f>
        <v>0</v>
      </c>
      <c r="Y21" s="539">
        <f>+'2.Tien do'!V19</f>
        <v>0</v>
      </c>
      <c r="Z21" s="539">
        <f>+'2.Tien do'!W19</f>
        <v>0</v>
      </c>
      <c r="AA21" s="539">
        <f>+'2.Tien do'!X19</f>
        <v>0</v>
      </c>
      <c r="AB21" s="539">
        <f>+'2.Tien do'!Y19</f>
        <v>0</v>
      </c>
      <c r="AC21" s="539">
        <f>+'2.Tien do'!Z19</f>
        <v>0</v>
      </c>
      <c r="AD21" s="539">
        <f>+'2.Tien do'!AA19</f>
        <v>0</v>
      </c>
      <c r="AE21" s="539">
        <f>+'2.Tien do'!AB19</f>
        <v>0</v>
      </c>
      <c r="AF21" s="539">
        <f>+'2.Tien do'!AC19</f>
        <v>0</v>
      </c>
      <c r="AG21" s="539">
        <f>+'2.Tien do'!AD19</f>
        <v>0</v>
      </c>
      <c r="AH21" s="539">
        <f>+'2.Tien do'!AE19</f>
        <v>0</v>
      </c>
      <c r="AI21" s="539">
        <f>+'2.Tien do'!AF19</f>
        <v>0</v>
      </c>
      <c r="AJ21" s="539">
        <f>+'2.Tien do'!AG19</f>
        <v>0</v>
      </c>
      <c r="AK21" s="539">
        <f>+'2.Tien do'!AH19</f>
        <v>0</v>
      </c>
      <c r="AL21" s="539">
        <f>+'2.Tien do'!AI19</f>
        <v>0</v>
      </c>
      <c r="AM21" s="539">
        <f>+'2.Tien do'!AJ19</f>
        <v>0</v>
      </c>
      <c r="AN21" s="539">
        <f>+'2.Tien do'!AK19</f>
        <v>0</v>
      </c>
      <c r="AO21" s="539">
        <f>+'2.Tien do'!AL19</f>
        <v>0</v>
      </c>
      <c r="AP21" s="539">
        <f>+'2.Tien do'!AM19</f>
        <v>0</v>
      </c>
      <c r="AQ21" s="539">
        <f>+'2.Tien do'!AN19</f>
        <v>0</v>
      </c>
      <c r="AR21" s="540">
        <f>+'2.Tien do'!AO19</f>
        <v>0</v>
      </c>
      <c r="AS21" s="548"/>
      <c r="AT21" s="541">
        <f t="shared" ref="AT21:AT32" si="59">$F21*G21</f>
        <v>0</v>
      </c>
      <c r="AU21" s="542">
        <f t="shared" ref="AU21:AU32" si="60">$F21*H21</f>
        <v>0</v>
      </c>
      <c r="AV21" s="542">
        <f t="shared" ref="AV21:AV32" si="61">$F21*I21</f>
        <v>0</v>
      </c>
      <c r="AW21" s="542">
        <f t="shared" ref="AW21:AW32" si="62">$F21*J21</f>
        <v>0</v>
      </c>
      <c r="AX21" s="542">
        <f t="shared" ref="AX21:AX32" si="63">$F21*K21</f>
        <v>0</v>
      </c>
      <c r="AY21" s="542">
        <f t="shared" ref="AY21:AY32" si="64">$F21*L21</f>
        <v>0</v>
      </c>
      <c r="AZ21" s="542">
        <f t="shared" ref="AZ21:AZ32" si="65">$F21*M21</f>
        <v>0</v>
      </c>
      <c r="BA21" s="542">
        <f t="shared" ref="BA21:BA32" si="66">$F21*N21</f>
        <v>1429.2072086691178</v>
      </c>
      <c r="BB21" s="542">
        <f t="shared" ref="BB21:BB32" si="67">$F21*O21</f>
        <v>476.40240288970597</v>
      </c>
      <c r="BC21" s="542">
        <f t="shared" ref="BC21:BC32" si="68">$F21*P21</f>
        <v>0</v>
      </c>
      <c r="BD21" s="542">
        <f t="shared" ref="BD21:BD32" si="69">$F21*Q21</f>
        <v>0</v>
      </c>
      <c r="BE21" s="542">
        <f t="shared" ref="BE21:BE32" si="70">$F21*R21</f>
        <v>0</v>
      </c>
      <c r="BF21" s="542">
        <f t="shared" ref="BF21:BF32" si="71">$F21*S21</f>
        <v>0</v>
      </c>
      <c r="BG21" s="542">
        <f t="shared" ref="BG21:BG32" si="72">$F21*T21</f>
        <v>0</v>
      </c>
      <c r="BH21" s="542">
        <f t="shared" ref="BH21:BH32" si="73">$F21*U21</f>
        <v>0</v>
      </c>
      <c r="BI21" s="542">
        <f t="shared" ref="BI21:BI32" si="74">$F21*V21</f>
        <v>0</v>
      </c>
      <c r="BJ21" s="542">
        <f t="shared" ref="BJ21:BJ32" si="75">$F21*W21</f>
        <v>0</v>
      </c>
      <c r="BK21" s="542">
        <f t="shared" ref="BK21:BK32" si="76">$F21*X21</f>
        <v>0</v>
      </c>
      <c r="BL21" s="542">
        <f t="shared" ref="BL21:BL32" si="77">$F21*Y21</f>
        <v>0</v>
      </c>
      <c r="BM21" s="542">
        <f t="shared" ref="BM21:BM32" si="78">$F21*Z21</f>
        <v>0</v>
      </c>
      <c r="BN21" s="542">
        <f t="shared" ref="BN21:BN32" si="79">$F21*AA21</f>
        <v>0</v>
      </c>
      <c r="BO21" s="542">
        <f t="shared" ref="BO21:BO32" si="80">$F21*AB21</f>
        <v>0</v>
      </c>
      <c r="BP21" s="542">
        <f t="shared" ref="BP21:BP32" si="81">$F21*AC21</f>
        <v>0</v>
      </c>
      <c r="BQ21" s="542">
        <f t="shared" ref="BQ21:BQ32" si="82">$F21*AD21</f>
        <v>0</v>
      </c>
      <c r="BR21" s="542">
        <f t="shared" ref="BR21:BR32" si="83">$F21*AE21</f>
        <v>0</v>
      </c>
      <c r="BS21" s="542">
        <f t="shared" ref="BS21:BS32" si="84">$F21*AF21</f>
        <v>0</v>
      </c>
      <c r="BT21" s="542">
        <f t="shared" ref="BT21:BT32" si="85">$F21*AG21</f>
        <v>0</v>
      </c>
      <c r="BU21" s="542">
        <f t="shared" ref="BU21:BU32" si="86">$F21*AH21</f>
        <v>0</v>
      </c>
      <c r="BV21" s="542">
        <f t="shared" ref="BV21:BV32" si="87">$F21*AI21</f>
        <v>0</v>
      </c>
      <c r="BW21" s="542">
        <f t="shared" ref="BW21:BW32" si="88">$F21*AJ21</f>
        <v>0</v>
      </c>
      <c r="BX21" s="542">
        <f t="shared" ref="BX21:BX32" si="89">$F21*AK21</f>
        <v>0</v>
      </c>
      <c r="BY21" s="542">
        <f t="shared" ref="BY21:BY32" si="90">$F21*AL21</f>
        <v>0</v>
      </c>
      <c r="BZ21" s="542">
        <f t="shared" ref="BZ21:BZ32" si="91">$F21*AM21</f>
        <v>0</v>
      </c>
      <c r="CA21" s="542">
        <f t="shared" ref="CA21:CA32" si="92">$F21*AN21</f>
        <v>0</v>
      </c>
      <c r="CB21" s="542">
        <f t="shared" ref="CB21:CB32" si="93">$F21*AO21</f>
        <v>0</v>
      </c>
      <c r="CC21" s="542">
        <f t="shared" ref="CC21:CC32" si="94">$F21*AP21</f>
        <v>0</v>
      </c>
      <c r="CD21" s="542">
        <f t="shared" ref="CD21:CD32" si="95">$F21*AQ21</f>
        <v>0</v>
      </c>
      <c r="CE21" s="542">
        <f t="shared" ref="CE21:CE32" si="96">$F21*AR21</f>
        <v>0</v>
      </c>
      <c r="CF21" s="542"/>
      <c r="CG21" s="542"/>
      <c r="CH21" s="529">
        <f t="shared" si="1"/>
        <v>0</v>
      </c>
    </row>
    <row r="22" spans="1:86" s="407" customFormat="1">
      <c r="B22" s="534"/>
      <c r="C22" s="628" t="s">
        <v>147</v>
      </c>
      <c r="D22" s="535"/>
      <c r="E22" s="613">
        <v>0.17799999999999999</v>
      </c>
      <c r="F22" s="538">
        <f t="shared" si="58"/>
        <v>339198.51085747062</v>
      </c>
      <c r="G22" s="539"/>
      <c r="H22" s="539">
        <f>+'2.Tien do'!E20</f>
        <v>0</v>
      </c>
      <c r="I22" s="539">
        <f>+'2.Tien do'!F20</f>
        <v>0</v>
      </c>
      <c r="J22" s="539">
        <f>+'2.Tien do'!G20</f>
        <v>0</v>
      </c>
      <c r="K22" s="539">
        <f>+'2.Tien do'!H20</f>
        <v>0</v>
      </c>
      <c r="L22" s="539">
        <f>+'2.Tien do'!I20</f>
        <v>0</v>
      </c>
      <c r="M22" s="539">
        <f>+'2.Tien do'!J20</f>
        <v>0</v>
      </c>
      <c r="N22" s="539">
        <f>+'2.Tien do'!K20</f>
        <v>0</v>
      </c>
      <c r="O22" s="539">
        <f>+'2.Tien do'!L20</f>
        <v>5.3556230114965027E-2</v>
      </c>
      <c r="P22" s="539">
        <f>+'2.Tien do'!M20</f>
        <v>0.7</v>
      </c>
      <c r="Q22" s="539">
        <f>+'2.Tien do'!N20</f>
        <v>0.24644376988503502</v>
      </c>
      <c r="R22" s="539">
        <f>+'2.Tien do'!O20</f>
        <v>0</v>
      </c>
      <c r="S22" s="539">
        <f>+'2.Tien do'!P20</f>
        <v>0</v>
      </c>
      <c r="T22" s="539">
        <f>+'2.Tien do'!Q20</f>
        <v>0</v>
      </c>
      <c r="U22" s="539">
        <f>+'2.Tien do'!R20</f>
        <v>0</v>
      </c>
      <c r="V22" s="539">
        <f>+'2.Tien do'!S20</f>
        <v>0</v>
      </c>
      <c r="W22" s="539">
        <f>+'2.Tien do'!T20</f>
        <v>0</v>
      </c>
      <c r="X22" s="539">
        <f>+'2.Tien do'!U20</f>
        <v>0</v>
      </c>
      <c r="Y22" s="539">
        <f>+'2.Tien do'!V20</f>
        <v>0</v>
      </c>
      <c r="Z22" s="539">
        <f>+'2.Tien do'!W20</f>
        <v>0</v>
      </c>
      <c r="AA22" s="539">
        <f>+'2.Tien do'!X20</f>
        <v>0</v>
      </c>
      <c r="AB22" s="539">
        <f>+'2.Tien do'!Y20</f>
        <v>0</v>
      </c>
      <c r="AC22" s="539">
        <f>+'2.Tien do'!Z20</f>
        <v>0</v>
      </c>
      <c r="AD22" s="539">
        <f>+'2.Tien do'!AA20</f>
        <v>0</v>
      </c>
      <c r="AE22" s="539">
        <f>+'2.Tien do'!AB20</f>
        <v>0</v>
      </c>
      <c r="AF22" s="539">
        <f>+'2.Tien do'!AC20</f>
        <v>0</v>
      </c>
      <c r="AG22" s="539">
        <f>+'2.Tien do'!AD20</f>
        <v>0</v>
      </c>
      <c r="AH22" s="539">
        <f>+'2.Tien do'!AE20</f>
        <v>0</v>
      </c>
      <c r="AI22" s="539">
        <f>+'2.Tien do'!AF20</f>
        <v>0</v>
      </c>
      <c r="AJ22" s="539">
        <f>+'2.Tien do'!AG20</f>
        <v>0</v>
      </c>
      <c r="AK22" s="539">
        <f>+'2.Tien do'!AH20</f>
        <v>0</v>
      </c>
      <c r="AL22" s="539">
        <f>+'2.Tien do'!AI20</f>
        <v>0</v>
      </c>
      <c r="AM22" s="539">
        <f>+'2.Tien do'!AJ20</f>
        <v>0</v>
      </c>
      <c r="AN22" s="539">
        <f>+'2.Tien do'!AK20</f>
        <v>0</v>
      </c>
      <c r="AO22" s="539">
        <f>+'2.Tien do'!AL20</f>
        <v>0</v>
      </c>
      <c r="AP22" s="539">
        <f>+'2.Tien do'!AM20</f>
        <v>0</v>
      </c>
      <c r="AQ22" s="539">
        <f>+'2.Tien do'!AN20</f>
        <v>0</v>
      </c>
      <c r="AR22" s="540">
        <f>+'2.Tien do'!AO20</f>
        <v>0</v>
      </c>
      <c r="AS22" s="548"/>
      <c r="AT22" s="541">
        <f t="shared" si="59"/>
        <v>0</v>
      </c>
      <c r="AU22" s="542">
        <f t="shared" si="60"/>
        <v>0</v>
      </c>
      <c r="AV22" s="542">
        <f t="shared" si="61"/>
        <v>0</v>
      </c>
      <c r="AW22" s="542">
        <f t="shared" si="62"/>
        <v>0</v>
      </c>
      <c r="AX22" s="542">
        <f t="shared" si="63"/>
        <v>0</v>
      </c>
      <c r="AY22" s="542">
        <f t="shared" si="64"/>
        <v>0</v>
      </c>
      <c r="AZ22" s="542">
        <f t="shared" si="65"/>
        <v>0</v>
      </c>
      <c r="BA22" s="542">
        <f t="shared" si="66"/>
        <v>0</v>
      </c>
      <c r="BB22" s="542">
        <f t="shared" si="67"/>
        <v>18166.193502136161</v>
      </c>
      <c r="BC22" s="542">
        <f t="shared" si="68"/>
        <v>237438.95760022942</v>
      </c>
      <c r="BD22" s="542">
        <f t="shared" si="69"/>
        <v>83593.359755105048</v>
      </c>
      <c r="BE22" s="542">
        <f t="shared" si="70"/>
        <v>0</v>
      </c>
      <c r="BF22" s="542">
        <f t="shared" si="71"/>
        <v>0</v>
      </c>
      <c r="BG22" s="542">
        <f t="shared" si="72"/>
        <v>0</v>
      </c>
      <c r="BH22" s="542">
        <f t="shared" si="73"/>
        <v>0</v>
      </c>
      <c r="BI22" s="542">
        <f t="shared" si="74"/>
        <v>0</v>
      </c>
      <c r="BJ22" s="542">
        <f t="shared" si="75"/>
        <v>0</v>
      </c>
      <c r="BK22" s="542">
        <f t="shared" si="76"/>
        <v>0</v>
      </c>
      <c r="BL22" s="542">
        <f t="shared" si="77"/>
        <v>0</v>
      </c>
      <c r="BM22" s="542">
        <f t="shared" si="78"/>
        <v>0</v>
      </c>
      <c r="BN22" s="542">
        <f t="shared" si="79"/>
        <v>0</v>
      </c>
      <c r="BO22" s="542">
        <f t="shared" si="80"/>
        <v>0</v>
      </c>
      <c r="BP22" s="542">
        <f t="shared" si="81"/>
        <v>0</v>
      </c>
      <c r="BQ22" s="542">
        <f t="shared" si="82"/>
        <v>0</v>
      </c>
      <c r="BR22" s="542">
        <f t="shared" si="83"/>
        <v>0</v>
      </c>
      <c r="BS22" s="542">
        <f t="shared" si="84"/>
        <v>0</v>
      </c>
      <c r="BT22" s="542">
        <f t="shared" si="85"/>
        <v>0</v>
      </c>
      <c r="BU22" s="542">
        <f t="shared" si="86"/>
        <v>0</v>
      </c>
      <c r="BV22" s="542">
        <f t="shared" si="87"/>
        <v>0</v>
      </c>
      <c r="BW22" s="542">
        <f t="shared" si="88"/>
        <v>0</v>
      </c>
      <c r="BX22" s="542">
        <f t="shared" si="89"/>
        <v>0</v>
      </c>
      <c r="BY22" s="542">
        <f t="shared" si="90"/>
        <v>0</v>
      </c>
      <c r="BZ22" s="542">
        <f t="shared" si="91"/>
        <v>0</v>
      </c>
      <c r="CA22" s="542">
        <f t="shared" si="92"/>
        <v>0</v>
      </c>
      <c r="CB22" s="542">
        <f t="shared" si="93"/>
        <v>0</v>
      </c>
      <c r="CC22" s="542">
        <f t="shared" si="94"/>
        <v>0</v>
      </c>
      <c r="CD22" s="542">
        <f t="shared" si="95"/>
        <v>0</v>
      </c>
      <c r="CE22" s="542">
        <f t="shared" si="96"/>
        <v>0</v>
      </c>
      <c r="CF22" s="542"/>
      <c r="CG22" s="542"/>
      <c r="CH22" s="529">
        <f t="shared" si="1"/>
        <v>0</v>
      </c>
    </row>
    <row r="23" spans="1:86" s="552" customFormat="1">
      <c r="B23" s="534"/>
      <c r="C23" s="628" t="s">
        <v>149</v>
      </c>
      <c r="D23" s="535"/>
      <c r="E23" s="613">
        <v>0.22800000000000001</v>
      </c>
      <c r="F23" s="538">
        <f t="shared" si="58"/>
        <v>434478.99143541185</v>
      </c>
      <c r="G23" s="539"/>
      <c r="H23" s="539">
        <f>+'2.Tien do'!E21</f>
        <v>0</v>
      </c>
      <c r="I23" s="539">
        <f>+'2.Tien do'!F21</f>
        <v>0</v>
      </c>
      <c r="J23" s="539">
        <f>+'2.Tien do'!G21</f>
        <v>0</v>
      </c>
      <c r="K23" s="539">
        <f>+'2.Tien do'!H21</f>
        <v>0</v>
      </c>
      <c r="L23" s="539">
        <f>+'2.Tien do'!I21</f>
        <v>0</v>
      </c>
      <c r="M23" s="539">
        <f>+'2.Tien do'!J21</f>
        <v>0</v>
      </c>
      <c r="N23" s="539">
        <f>+'2.Tien do'!K21</f>
        <v>0</v>
      </c>
      <c r="O23" s="539">
        <f>+'2.Tien do'!L21</f>
        <v>0</v>
      </c>
      <c r="P23" s="539">
        <f>+'2.Tien do'!M21</f>
        <v>0</v>
      </c>
      <c r="Q23" s="539">
        <f>+'2.Tien do'!N21</f>
        <v>0.125</v>
      </c>
      <c r="R23" s="539">
        <f>+'2.Tien do'!O21</f>
        <v>0.125</v>
      </c>
      <c r="S23" s="539">
        <f>+'2.Tien do'!P21</f>
        <v>0.125</v>
      </c>
      <c r="T23" s="539">
        <f>+'2.Tien do'!Q21</f>
        <v>0.125</v>
      </c>
      <c r="U23" s="539">
        <f>+'2.Tien do'!R21</f>
        <v>0.125</v>
      </c>
      <c r="V23" s="539">
        <f>+'2.Tien do'!S21</f>
        <v>0.125</v>
      </c>
      <c r="W23" s="539">
        <f>+'2.Tien do'!T21</f>
        <v>0.125</v>
      </c>
      <c r="X23" s="539">
        <f>+'2.Tien do'!U21</f>
        <v>0.125</v>
      </c>
      <c r="Y23" s="539">
        <f>+'2.Tien do'!V21</f>
        <v>0</v>
      </c>
      <c r="Z23" s="539">
        <f>+'2.Tien do'!W21</f>
        <v>0</v>
      </c>
      <c r="AA23" s="539">
        <f>+'2.Tien do'!X21</f>
        <v>0</v>
      </c>
      <c r="AB23" s="539">
        <f>+'2.Tien do'!Y21</f>
        <v>0</v>
      </c>
      <c r="AC23" s="539">
        <f>+'2.Tien do'!Z21</f>
        <v>0</v>
      </c>
      <c r="AD23" s="539">
        <f>+'2.Tien do'!AA21</f>
        <v>0</v>
      </c>
      <c r="AE23" s="539">
        <f>+'2.Tien do'!AB21</f>
        <v>0</v>
      </c>
      <c r="AF23" s="539">
        <f>+'2.Tien do'!AC21</f>
        <v>0</v>
      </c>
      <c r="AG23" s="539">
        <f>+'2.Tien do'!AD21</f>
        <v>0</v>
      </c>
      <c r="AH23" s="539">
        <f>+'2.Tien do'!AE21</f>
        <v>0</v>
      </c>
      <c r="AI23" s="539">
        <f>+'2.Tien do'!AF21</f>
        <v>0</v>
      </c>
      <c r="AJ23" s="539">
        <f>+'2.Tien do'!AG21</f>
        <v>0</v>
      </c>
      <c r="AK23" s="539">
        <f>+'2.Tien do'!AH21</f>
        <v>0</v>
      </c>
      <c r="AL23" s="539">
        <f>+'2.Tien do'!AI21</f>
        <v>0</v>
      </c>
      <c r="AM23" s="539">
        <f>+'2.Tien do'!AJ21</f>
        <v>0</v>
      </c>
      <c r="AN23" s="539">
        <f>+'2.Tien do'!AK21</f>
        <v>0</v>
      </c>
      <c r="AO23" s="539">
        <f>+'2.Tien do'!AL21</f>
        <v>0</v>
      </c>
      <c r="AP23" s="539">
        <f>+'2.Tien do'!AM21</f>
        <v>0</v>
      </c>
      <c r="AQ23" s="539">
        <f>+'2.Tien do'!AN21</f>
        <v>0</v>
      </c>
      <c r="AR23" s="540">
        <f>+'2.Tien do'!AO21</f>
        <v>0</v>
      </c>
      <c r="AS23" s="548"/>
      <c r="AT23" s="541">
        <f t="shared" si="59"/>
        <v>0</v>
      </c>
      <c r="AU23" s="542">
        <f t="shared" si="60"/>
        <v>0</v>
      </c>
      <c r="AV23" s="542">
        <f t="shared" si="61"/>
        <v>0</v>
      </c>
      <c r="AW23" s="542">
        <f t="shared" si="62"/>
        <v>0</v>
      </c>
      <c r="AX23" s="542">
        <f t="shared" si="63"/>
        <v>0</v>
      </c>
      <c r="AY23" s="542">
        <f t="shared" si="64"/>
        <v>0</v>
      </c>
      <c r="AZ23" s="542">
        <f t="shared" si="65"/>
        <v>0</v>
      </c>
      <c r="BA23" s="542">
        <f t="shared" si="66"/>
        <v>0</v>
      </c>
      <c r="BB23" s="542">
        <f t="shared" si="67"/>
        <v>0</v>
      </c>
      <c r="BC23" s="542">
        <f t="shared" si="68"/>
        <v>0</v>
      </c>
      <c r="BD23" s="542">
        <f t="shared" si="69"/>
        <v>54309.873929426481</v>
      </c>
      <c r="BE23" s="542">
        <f t="shared" si="70"/>
        <v>54309.873929426481</v>
      </c>
      <c r="BF23" s="542">
        <f t="shared" si="71"/>
        <v>54309.873929426481</v>
      </c>
      <c r="BG23" s="542">
        <f t="shared" si="72"/>
        <v>54309.873929426481</v>
      </c>
      <c r="BH23" s="542">
        <f t="shared" si="73"/>
        <v>54309.873929426481</v>
      </c>
      <c r="BI23" s="542">
        <f t="shared" si="74"/>
        <v>54309.873929426481</v>
      </c>
      <c r="BJ23" s="542">
        <f t="shared" si="75"/>
        <v>54309.873929426481</v>
      </c>
      <c r="BK23" s="542">
        <f t="shared" si="76"/>
        <v>54309.873929426481</v>
      </c>
      <c r="BL23" s="542">
        <f t="shared" si="77"/>
        <v>0</v>
      </c>
      <c r="BM23" s="542">
        <f t="shared" si="78"/>
        <v>0</v>
      </c>
      <c r="BN23" s="542">
        <f t="shared" si="79"/>
        <v>0</v>
      </c>
      <c r="BO23" s="542">
        <f t="shared" si="80"/>
        <v>0</v>
      </c>
      <c r="BP23" s="542">
        <f t="shared" si="81"/>
        <v>0</v>
      </c>
      <c r="BQ23" s="542">
        <f t="shared" si="82"/>
        <v>0</v>
      </c>
      <c r="BR23" s="542">
        <f t="shared" si="83"/>
        <v>0</v>
      </c>
      <c r="BS23" s="542">
        <f t="shared" si="84"/>
        <v>0</v>
      </c>
      <c r="BT23" s="542">
        <f t="shared" si="85"/>
        <v>0</v>
      </c>
      <c r="BU23" s="542">
        <f t="shared" si="86"/>
        <v>0</v>
      </c>
      <c r="BV23" s="542">
        <f t="shared" si="87"/>
        <v>0</v>
      </c>
      <c r="BW23" s="542">
        <f t="shared" si="88"/>
        <v>0</v>
      </c>
      <c r="BX23" s="542">
        <f t="shared" si="89"/>
        <v>0</v>
      </c>
      <c r="BY23" s="542">
        <f t="shared" si="90"/>
        <v>0</v>
      </c>
      <c r="BZ23" s="542">
        <f t="shared" si="91"/>
        <v>0</v>
      </c>
      <c r="CA23" s="542">
        <f t="shared" si="92"/>
        <v>0</v>
      </c>
      <c r="CB23" s="542">
        <f t="shared" si="93"/>
        <v>0</v>
      </c>
      <c r="CC23" s="542">
        <f t="shared" si="94"/>
        <v>0</v>
      </c>
      <c r="CD23" s="542">
        <f t="shared" si="95"/>
        <v>0</v>
      </c>
      <c r="CE23" s="542">
        <f t="shared" si="96"/>
        <v>0</v>
      </c>
      <c r="CF23" s="542"/>
      <c r="CG23" s="542"/>
      <c r="CH23" s="529">
        <f t="shared" si="1"/>
        <v>0</v>
      </c>
    </row>
    <row r="24" spans="1:86" s="552" customFormat="1">
      <c r="B24" s="553"/>
      <c r="C24" s="628" t="s">
        <v>150</v>
      </c>
      <c r="D24" s="535"/>
      <c r="E24" s="613">
        <v>0.312</v>
      </c>
      <c r="F24" s="538">
        <f t="shared" si="58"/>
        <v>594550.19880635303</v>
      </c>
      <c r="G24" s="539"/>
      <c r="H24" s="539">
        <f>+'2.Tien do'!E22</f>
        <v>0</v>
      </c>
      <c r="I24" s="539">
        <f>+'2.Tien do'!F22</f>
        <v>0</v>
      </c>
      <c r="J24" s="539">
        <f>+'2.Tien do'!G22</f>
        <v>0</v>
      </c>
      <c r="K24" s="539">
        <f>+'2.Tien do'!H22</f>
        <v>0</v>
      </c>
      <c r="L24" s="539">
        <f>+'2.Tien do'!I22</f>
        <v>0</v>
      </c>
      <c r="M24" s="539">
        <f>+'2.Tien do'!J22</f>
        <v>0</v>
      </c>
      <c r="N24" s="539">
        <f>+'2.Tien do'!K22</f>
        <v>0</v>
      </c>
      <c r="O24" s="539">
        <f>+'2.Tien do'!L22</f>
        <v>0</v>
      </c>
      <c r="P24" s="539">
        <f>+'2.Tien do'!M22</f>
        <v>0</v>
      </c>
      <c r="Q24" s="539">
        <f>+'2.Tien do'!N22</f>
        <v>0</v>
      </c>
      <c r="R24" s="539">
        <f>+'2.Tien do'!O22</f>
        <v>0</v>
      </c>
      <c r="S24" s="539">
        <f>+'2.Tien do'!P22</f>
        <v>0</v>
      </c>
      <c r="T24" s="539">
        <f>+'2.Tien do'!Q22</f>
        <v>0</v>
      </c>
      <c r="U24" s="539">
        <f>+'2.Tien do'!R22</f>
        <v>0.3</v>
      </c>
      <c r="V24" s="539">
        <f>+'2.Tien do'!S22</f>
        <v>0.3</v>
      </c>
      <c r="W24" s="539">
        <f>+'2.Tien do'!T22</f>
        <v>0.2</v>
      </c>
      <c r="X24" s="539">
        <f>+'2.Tien do'!U22</f>
        <v>0.2</v>
      </c>
      <c r="Y24" s="539">
        <f>+'2.Tien do'!V22</f>
        <v>0</v>
      </c>
      <c r="Z24" s="539">
        <f>+'2.Tien do'!W22</f>
        <v>0</v>
      </c>
      <c r="AA24" s="539">
        <f>+'2.Tien do'!X22</f>
        <v>0</v>
      </c>
      <c r="AB24" s="539">
        <f>+'2.Tien do'!Y22</f>
        <v>0</v>
      </c>
      <c r="AC24" s="539">
        <f>+'2.Tien do'!Z22</f>
        <v>0</v>
      </c>
      <c r="AD24" s="539">
        <f>+'2.Tien do'!AA22</f>
        <v>0</v>
      </c>
      <c r="AE24" s="539">
        <f>+'2.Tien do'!AB22</f>
        <v>0</v>
      </c>
      <c r="AF24" s="539">
        <f>+'2.Tien do'!AC22</f>
        <v>0</v>
      </c>
      <c r="AG24" s="539">
        <f>+'2.Tien do'!AD22</f>
        <v>0</v>
      </c>
      <c r="AH24" s="539">
        <f>+'2.Tien do'!AE22</f>
        <v>0</v>
      </c>
      <c r="AI24" s="539">
        <f>+'2.Tien do'!AF22</f>
        <v>0</v>
      </c>
      <c r="AJ24" s="539">
        <f>+'2.Tien do'!AG22</f>
        <v>0</v>
      </c>
      <c r="AK24" s="539">
        <f>+'2.Tien do'!AH22</f>
        <v>0</v>
      </c>
      <c r="AL24" s="539">
        <f>+'2.Tien do'!AI22</f>
        <v>0</v>
      </c>
      <c r="AM24" s="539">
        <f>+'2.Tien do'!AJ22</f>
        <v>0</v>
      </c>
      <c r="AN24" s="539">
        <f>+'2.Tien do'!AK22</f>
        <v>0</v>
      </c>
      <c r="AO24" s="539">
        <f>+'2.Tien do'!AL22</f>
        <v>0</v>
      </c>
      <c r="AP24" s="539">
        <f>+'2.Tien do'!AM22</f>
        <v>0</v>
      </c>
      <c r="AQ24" s="539">
        <f>+'2.Tien do'!AN22</f>
        <v>0</v>
      </c>
      <c r="AR24" s="540">
        <f>+'2.Tien do'!AO22</f>
        <v>0</v>
      </c>
      <c r="AS24" s="548"/>
      <c r="AT24" s="541">
        <f t="shared" si="59"/>
        <v>0</v>
      </c>
      <c r="AU24" s="542">
        <f t="shared" si="60"/>
        <v>0</v>
      </c>
      <c r="AV24" s="542">
        <f t="shared" si="61"/>
        <v>0</v>
      </c>
      <c r="AW24" s="542">
        <f t="shared" si="62"/>
        <v>0</v>
      </c>
      <c r="AX24" s="542">
        <f t="shared" si="63"/>
        <v>0</v>
      </c>
      <c r="AY24" s="542">
        <f t="shared" si="64"/>
        <v>0</v>
      </c>
      <c r="AZ24" s="542">
        <f t="shared" si="65"/>
        <v>0</v>
      </c>
      <c r="BA24" s="542">
        <f t="shared" si="66"/>
        <v>0</v>
      </c>
      <c r="BB24" s="542">
        <f t="shared" si="67"/>
        <v>0</v>
      </c>
      <c r="BC24" s="542">
        <f t="shared" si="68"/>
        <v>0</v>
      </c>
      <c r="BD24" s="542">
        <f t="shared" si="69"/>
        <v>0</v>
      </c>
      <c r="BE24" s="542">
        <f t="shared" si="70"/>
        <v>0</v>
      </c>
      <c r="BF24" s="542">
        <f t="shared" si="71"/>
        <v>0</v>
      </c>
      <c r="BG24" s="542">
        <f t="shared" si="72"/>
        <v>0</v>
      </c>
      <c r="BH24" s="542">
        <f t="shared" si="73"/>
        <v>178365.05964190591</v>
      </c>
      <c r="BI24" s="542">
        <f t="shared" si="74"/>
        <v>178365.05964190591</v>
      </c>
      <c r="BJ24" s="542">
        <f t="shared" si="75"/>
        <v>118910.03976127061</v>
      </c>
      <c r="BK24" s="542">
        <f t="shared" si="76"/>
        <v>118910.03976127061</v>
      </c>
      <c r="BL24" s="542">
        <f t="shared" si="77"/>
        <v>0</v>
      </c>
      <c r="BM24" s="542">
        <f t="shared" si="78"/>
        <v>0</v>
      </c>
      <c r="BN24" s="542">
        <f t="shared" si="79"/>
        <v>0</v>
      </c>
      <c r="BO24" s="542">
        <f t="shared" si="80"/>
        <v>0</v>
      </c>
      <c r="BP24" s="542">
        <f t="shared" si="81"/>
        <v>0</v>
      </c>
      <c r="BQ24" s="542">
        <f t="shared" si="82"/>
        <v>0</v>
      </c>
      <c r="BR24" s="542">
        <f t="shared" si="83"/>
        <v>0</v>
      </c>
      <c r="BS24" s="542">
        <f t="shared" si="84"/>
        <v>0</v>
      </c>
      <c r="BT24" s="542">
        <f t="shared" si="85"/>
        <v>0</v>
      </c>
      <c r="BU24" s="542">
        <f t="shared" si="86"/>
        <v>0</v>
      </c>
      <c r="BV24" s="542">
        <f t="shared" si="87"/>
        <v>0</v>
      </c>
      <c r="BW24" s="542">
        <f t="shared" si="88"/>
        <v>0</v>
      </c>
      <c r="BX24" s="542">
        <f t="shared" si="89"/>
        <v>0</v>
      </c>
      <c r="BY24" s="542">
        <f t="shared" si="90"/>
        <v>0</v>
      </c>
      <c r="BZ24" s="542">
        <f t="shared" si="91"/>
        <v>0</v>
      </c>
      <c r="CA24" s="542">
        <f t="shared" si="92"/>
        <v>0</v>
      </c>
      <c r="CB24" s="542">
        <f t="shared" si="93"/>
        <v>0</v>
      </c>
      <c r="CC24" s="542">
        <f t="shared" si="94"/>
        <v>0</v>
      </c>
      <c r="CD24" s="542">
        <f t="shared" si="95"/>
        <v>0</v>
      </c>
      <c r="CE24" s="542">
        <f t="shared" si="96"/>
        <v>0</v>
      </c>
      <c r="CF24" s="542"/>
      <c r="CG24" s="542"/>
      <c r="CH24" s="529">
        <f t="shared" si="1"/>
        <v>0</v>
      </c>
    </row>
    <row r="25" spans="1:86" s="407" customFormat="1" ht="18.75" customHeight="1">
      <c r="B25" s="534"/>
      <c r="C25" s="628" t="s">
        <v>151</v>
      </c>
      <c r="D25" s="535"/>
      <c r="E25" s="613">
        <v>0.112</v>
      </c>
      <c r="F25" s="538">
        <f t="shared" si="58"/>
        <v>213428.27649458827</v>
      </c>
      <c r="G25" s="539"/>
      <c r="H25" s="539">
        <f>+'2.Tien do'!E23</f>
        <v>0</v>
      </c>
      <c r="I25" s="539">
        <f>+'2.Tien do'!F23</f>
        <v>0</v>
      </c>
      <c r="J25" s="539">
        <f>+'2.Tien do'!G23</f>
        <v>0</v>
      </c>
      <c r="K25" s="539">
        <f>+'2.Tien do'!H23</f>
        <v>0</v>
      </c>
      <c r="L25" s="539">
        <f>+'2.Tien do'!I23</f>
        <v>0</v>
      </c>
      <c r="M25" s="539">
        <f>+'2.Tien do'!J23</f>
        <v>0</v>
      </c>
      <c r="N25" s="539">
        <f>+'2.Tien do'!K23</f>
        <v>0</v>
      </c>
      <c r="O25" s="539">
        <f>+'2.Tien do'!L23</f>
        <v>0</v>
      </c>
      <c r="P25" s="539">
        <f>+'2.Tien do'!M23</f>
        <v>0</v>
      </c>
      <c r="Q25" s="539">
        <f>+'2.Tien do'!N23</f>
        <v>0.125</v>
      </c>
      <c r="R25" s="539">
        <f>+'2.Tien do'!O23</f>
        <v>0.125</v>
      </c>
      <c r="S25" s="539">
        <f>+'2.Tien do'!P23</f>
        <v>0.125</v>
      </c>
      <c r="T25" s="539">
        <f>+'2.Tien do'!Q23</f>
        <v>0.125</v>
      </c>
      <c r="U25" s="539">
        <f>+'2.Tien do'!R23</f>
        <v>0.125</v>
      </c>
      <c r="V25" s="539">
        <f>+'2.Tien do'!S23</f>
        <v>0.125</v>
      </c>
      <c r="W25" s="539">
        <f>+'2.Tien do'!T23</f>
        <v>0.125</v>
      </c>
      <c r="X25" s="539">
        <f>+'2.Tien do'!U23</f>
        <v>0.125</v>
      </c>
      <c r="Y25" s="539">
        <f>+'2.Tien do'!V23</f>
        <v>0</v>
      </c>
      <c r="Z25" s="539">
        <f>+'2.Tien do'!W23</f>
        <v>0</v>
      </c>
      <c r="AA25" s="539">
        <f>+'2.Tien do'!X23</f>
        <v>0</v>
      </c>
      <c r="AB25" s="539">
        <f>+'2.Tien do'!Y23</f>
        <v>0</v>
      </c>
      <c r="AC25" s="539">
        <f>+'2.Tien do'!Z23</f>
        <v>0</v>
      </c>
      <c r="AD25" s="539">
        <f>+'2.Tien do'!AA23</f>
        <v>0</v>
      </c>
      <c r="AE25" s="539">
        <f>+'2.Tien do'!AB23</f>
        <v>0</v>
      </c>
      <c r="AF25" s="539">
        <f>+'2.Tien do'!AC23</f>
        <v>0</v>
      </c>
      <c r="AG25" s="539">
        <f>+'2.Tien do'!AD23</f>
        <v>0</v>
      </c>
      <c r="AH25" s="539">
        <f>+'2.Tien do'!AE23</f>
        <v>0</v>
      </c>
      <c r="AI25" s="539">
        <f>+'2.Tien do'!AF23</f>
        <v>0</v>
      </c>
      <c r="AJ25" s="539">
        <f>+'2.Tien do'!AG23</f>
        <v>0</v>
      </c>
      <c r="AK25" s="539">
        <f>+'2.Tien do'!AH23</f>
        <v>0</v>
      </c>
      <c r="AL25" s="539">
        <f>+'2.Tien do'!AI23</f>
        <v>0</v>
      </c>
      <c r="AM25" s="539">
        <f>+'2.Tien do'!AJ23</f>
        <v>0</v>
      </c>
      <c r="AN25" s="539">
        <f>+'2.Tien do'!AK23</f>
        <v>0</v>
      </c>
      <c r="AO25" s="539">
        <f>+'2.Tien do'!AL23</f>
        <v>0</v>
      </c>
      <c r="AP25" s="539">
        <f>+'2.Tien do'!AM23</f>
        <v>0</v>
      </c>
      <c r="AQ25" s="539">
        <f>+'2.Tien do'!AN23</f>
        <v>0</v>
      </c>
      <c r="AR25" s="540">
        <f>+'2.Tien do'!AO23</f>
        <v>0</v>
      </c>
      <c r="AS25" s="548"/>
      <c r="AT25" s="541">
        <f t="shared" si="59"/>
        <v>0</v>
      </c>
      <c r="AU25" s="542">
        <f t="shared" si="60"/>
        <v>0</v>
      </c>
      <c r="AV25" s="542">
        <f t="shared" si="61"/>
        <v>0</v>
      </c>
      <c r="AW25" s="542">
        <f t="shared" si="62"/>
        <v>0</v>
      </c>
      <c r="AX25" s="542">
        <f t="shared" si="63"/>
        <v>0</v>
      </c>
      <c r="AY25" s="542">
        <f t="shared" si="64"/>
        <v>0</v>
      </c>
      <c r="AZ25" s="542">
        <f t="shared" si="65"/>
        <v>0</v>
      </c>
      <c r="BA25" s="542">
        <f t="shared" si="66"/>
        <v>0</v>
      </c>
      <c r="BB25" s="542">
        <f t="shared" si="67"/>
        <v>0</v>
      </c>
      <c r="BC25" s="542">
        <f t="shared" si="68"/>
        <v>0</v>
      </c>
      <c r="BD25" s="542">
        <f t="shared" si="69"/>
        <v>26678.534561823533</v>
      </c>
      <c r="BE25" s="542">
        <f t="shared" si="70"/>
        <v>26678.534561823533</v>
      </c>
      <c r="BF25" s="542">
        <f t="shared" si="71"/>
        <v>26678.534561823533</v>
      </c>
      <c r="BG25" s="542">
        <f t="shared" si="72"/>
        <v>26678.534561823533</v>
      </c>
      <c r="BH25" s="542">
        <f t="shared" si="73"/>
        <v>26678.534561823533</v>
      </c>
      <c r="BI25" s="542">
        <f t="shared" si="74"/>
        <v>26678.534561823533</v>
      </c>
      <c r="BJ25" s="542">
        <f t="shared" si="75"/>
        <v>26678.534561823533</v>
      </c>
      <c r="BK25" s="542">
        <f t="shared" si="76"/>
        <v>26678.534561823533</v>
      </c>
      <c r="BL25" s="542">
        <f t="shared" si="77"/>
        <v>0</v>
      </c>
      <c r="BM25" s="542">
        <f t="shared" si="78"/>
        <v>0</v>
      </c>
      <c r="BN25" s="542">
        <f t="shared" si="79"/>
        <v>0</v>
      </c>
      <c r="BO25" s="542">
        <f t="shared" si="80"/>
        <v>0</v>
      </c>
      <c r="BP25" s="542">
        <f t="shared" si="81"/>
        <v>0</v>
      </c>
      <c r="BQ25" s="542">
        <f t="shared" si="82"/>
        <v>0</v>
      </c>
      <c r="BR25" s="542">
        <f t="shared" si="83"/>
        <v>0</v>
      </c>
      <c r="BS25" s="542">
        <f t="shared" si="84"/>
        <v>0</v>
      </c>
      <c r="BT25" s="542">
        <f t="shared" si="85"/>
        <v>0</v>
      </c>
      <c r="BU25" s="542">
        <f t="shared" si="86"/>
        <v>0</v>
      </c>
      <c r="BV25" s="542">
        <f t="shared" si="87"/>
        <v>0</v>
      </c>
      <c r="BW25" s="542">
        <f t="shared" si="88"/>
        <v>0</v>
      </c>
      <c r="BX25" s="542">
        <f t="shared" si="89"/>
        <v>0</v>
      </c>
      <c r="BY25" s="542">
        <f t="shared" si="90"/>
        <v>0</v>
      </c>
      <c r="BZ25" s="542">
        <f t="shared" si="91"/>
        <v>0</v>
      </c>
      <c r="CA25" s="542">
        <f t="shared" si="92"/>
        <v>0</v>
      </c>
      <c r="CB25" s="542">
        <f t="shared" si="93"/>
        <v>0</v>
      </c>
      <c r="CC25" s="542">
        <f t="shared" si="94"/>
        <v>0</v>
      </c>
      <c r="CD25" s="542">
        <f t="shared" si="95"/>
        <v>0</v>
      </c>
      <c r="CE25" s="542">
        <f t="shared" si="96"/>
        <v>0</v>
      </c>
      <c r="CF25" s="542"/>
      <c r="CG25" s="542"/>
      <c r="CH25" s="529">
        <f t="shared" si="1"/>
        <v>0</v>
      </c>
    </row>
    <row r="26" spans="1:86" s="413" customFormat="1" ht="18.75" customHeight="1">
      <c r="B26" s="554"/>
      <c r="C26" s="628" t="s">
        <v>152</v>
      </c>
      <c r="D26" s="555"/>
      <c r="E26" s="613">
        <v>1.7000000000000001E-2</v>
      </c>
      <c r="F26" s="538">
        <f t="shared" si="58"/>
        <v>32395.363396500008</v>
      </c>
      <c r="G26" s="539"/>
      <c r="H26" s="539">
        <f>+'2.Tien do'!E24</f>
        <v>0</v>
      </c>
      <c r="I26" s="539">
        <f>+'2.Tien do'!F24</f>
        <v>0</v>
      </c>
      <c r="J26" s="539">
        <f>+'2.Tien do'!G24</f>
        <v>0</v>
      </c>
      <c r="K26" s="539">
        <f>+'2.Tien do'!H24</f>
        <v>0</v>
      </c>
      <c r="L26" s="539">
        <f>+'2.Tien do'!I24</f>
        <v>0</v>
      </c>
      <c r="M26" s="539">
        <f>+'2.Tien do'!J24</f>
        <v>0</v>
      </c>
      <c r="N26" s="539">
        <f>+'2.Tien do'!K24</f>
        <v>0</v>
      </c>
      <c r="O26" s="539">
        <f>+'2.Tien do'!L24</f>
        <v>0</v>
      </c>
      <c r="P26" s="539">
        <f>+'2.Tien do'!M24</f>
        <v>0</v>
      </c>
      <c r="Q26" s="539">
        <f>+'2.Tien do'!N24</f>
        <v>0</v>
      </c>
      <c r="R26" s="539">
        <f>+'2.Tien do'!O24</f>
        <v>0</v>
      </c>
      <c r="S26" s="539">
        <f>+'2.Tien do'!P24</f>
        <v>0</v>
      </c>
      <c r="T26" s="539">
        <f>+'2.Tien do'!Q24</f>
        <v>0</v>
      </c>
      <c r="U26" s="539">
        <f>+'2.Tien do'!R24</f>
        <v>0.3</v>
      </c>
      <c r="V26" s="539">
        <f>+'2.Tien do'!S24</f>
        <v>0.3</v>
      </c>
      <c r="W26" s="539">
        <f>+'2.Tien do'!T24</f>
        <v>0.2</v>
      </c>
      <c r="X26" s="539">
        <f>+'2.Tien do'!U24</f>
        <v>0.2</v>
      </c>
      <c r="Y26" s="539">
        <f>+'2.Tien do'!V24</f>
        <v>0</v>
      </c>
      <c r="Z26" s="539">
        <f>+'2.Tien do'!W24</f>
        <v>0</v>
      </c>
      <c r="AA26" s="539">
        <f>+'2.Tien do'!X24</f>
        <v>0</v>
      </c>
      <c r="AB26" s="539">
        <f>+'2.Tien do'!Y24</f>
        <v>0</v>
      </c>
      <c r="AC26" s="539">
        <f>+'2.Tien do'!Z24</f>
        <v>0</v>
      </c>
      <c r="AD26" s="539">
        <f>+'2.Tien do'!AA24</f>
        <v>0</v>
      </c>
      <c r="AE26" s="539">
        <f>+'2.Tien do'!AB24</f>
        <v>0</v>
      </c>
      <c r="AF26" s="539">
        <f>+'2.Tien do'!AC24</f>
        <v>0</v>
      </c>
      <c r="AG26" s="539">
        <f>+'2.Tien do'!AD24</f>
        <v>0</v>
      </c>
      <c r="AH26" s="539">
        <f>+'2.Tien do'!AE24</f>
        <v>0</v>
      </c>
      <c r="AI26" s="539">
        <f>+'2.Tien do'!AF24</f>
        <v>0</v>
      </c>
      <c r="AJ26" s="539">
        <f>+'2.Tien do'!AG24</f>
        <v>0</v>
      </c>
      <c r="AK26" s="539">
        <f>+'2.Tien do'!AH24</f>
        <v>0</v>
      </c>
      <c r="AL26" s="539">
        <f>+'2.Tien do'!AI24</f>
        <v>0</v>
      </c>
      <c r="AM26" s="539">
        <f>+'2.Tien do'!AJ24</f>
        <v>0</v>
      </c>
      <c r="AN26" s="539">
        <f>+'2.Tien do'!AK24</f>
        <v>0</v>
      </c>
      <c r="AO26" s="539">
        <f>+'2.Tien do'!AL24</f>
        <v>0</v>
      </c>
      <c r="AP26" s="539">
        <f>+'2.Tien do'!AM24</f>
        <v>0</v>
      </c>
      <c r="AQ26" s="539">
        <f>+'2.Tien do'!AN24</f>
        <v>0</v>
      </c>
      <c r="AR26" s="540">
        <f>+'2.Tien do'!AO24</f>
        <v>0</v>
      </c>
      <c r="AS26" s="532"/>
      <c r="AT26" s="541">
        <f t="shared" si="59"/>
        <v>0</v>
      </c>
      <c r="AU26" s="542">
        <f t="shared" si="60"/>
        <v>0</v>
      </c>
      <c r="AV26" s="542">
        <f t="shared" si="61"/>
        <v>0</v>
      </c>
      <c r="AW26" s="542">
        <f t="shared" si="62"/>
        <v>0</v>
      </c>
      <c r="AX26" s="542">
        <f t="shared" si="63"/>
        <v>0</v>
      </c>
      <c r="AY26" s="542">
        <f t="shared" si="64"/>
        <v>0</v>
      </c>
      <c r="AZ26" s="542">
        <f t="shared" si="65"/>
        <v>0</v>
      </c>
      <c r="BA26" s="542">
        <f t="shared" si="66"/>
        <v>0</v>
      </c>
      <c r="BB26" s="542">
        <f t="shared" si="67"/>
        <v>0</v>
      </c>
      <c r="BC26" s="542">
        <f t="shared" si="68"/>
        <v>0</v>
      </c>
      <c r="BD26" s="542">
        <f t="shared" si="69"/>
        <v>0</v>
      </c>
      <c r="BE26" s="542">
        <f t="shared" si="70"/>
        <v>0</v>
      </c>
      <c r="BF26" s="542">
        <f t="shared" si="71"/>
        <v>0</v>
      </c>
      <c r="BG26" s="542">
        <f t="shared" si="72"/>
        <v>0</v>
      </c>
      <c r="BH26" s="542">
        <f t="shared" si="73"/>
        <v>9718.6090189500028</v>
      </c>
      <c r="BI26" s="542">
        <f t="shared" si="74"/>
        <v>9718.6090189500028</v>
      </c>
      <c r="BJ26" s="542">
        <f t="shared" si="75"/>
        <v>6479.0726793000022</v>
      </c>
      <c r="BK26" s="542">
        <f t="shared" si="76"/>
        <v>6479.0726793000022</v>
      </c>
      <c r="BL26" s="542">
        <f t="shared" si="77"/>
        <v>0</v>
      </c>
      <c r="BM26" s="542">
        <f t="shared" si="78"/>
        <v>0</v>
      </c>
      <c r="BN26" s="542">
        <f t="shared" si="79"/>
        <v>0</v>
      </c>
      <c r="BO26" s="542">
        <f t="shared" si="80"/>
        <v>0</v>
      </c>
      <c r="BP26" s="542">
        <f t="shared" si="81"/>
        <v>0</v>
      </c>
      <c r="BQ26" s="542">
        <f t="shared" si="82"/>
        <v>0</v>
      </c>
      <c r="BR26" s="542">
        <f t="shared" si="83"/>
        <v>0</v>
      </c>
      <c r="BS26" s="542">
        <f t="shared" si="84"/>
        <v>0</v>
      </c>
      <c r="BT26" s="542">
        <f t="shared" si="85"/>
        <v>0</v>
      </c>
      <c r="BU26" s="542">
        <f t="shared" si="86"/>
        <v>0</v>
      </c>
      <c r="BV26" s="542">
        <f t="shared" si="87"/>
        <v>0</v>
      </c>
      <c r="BW26" s="542">
        <f t="shared" si="88"/>
        <v>0</v>
      </c>
      <c r="BX26" s="542">
        <f t="shared" si="89"/>
        <v>0</v>
      </c>
      <c r="BY26" s="542">
        <f t="shared" si="90"/>
        <v>0</v>
      </c>
      <c r="BZ26" s="542">
        <f t="shared" si="91"/>
        <v>0</v>
      </c>
      <c r="CA26" s="542">
        <f t="shared" si="92"/>
        <v>0</v>
      </c>
      <c r="CB26" s="542">
        <f t="shared" si="93"/>
        <v>0</v>
      </c>
      <c r="CC26" s="542">
        <f t="shared" si="94"/>
        <v>0</v>
      </c>
      <c r="CD26" s="542">
        <f t="shared" si="95"/>
        <v>0</v>
      </c>
      <c r="CE26" s="542">
        <f t="shared" si="96"/>
        <v>0</v>
      </c>
      <c r="CF26" s="542"/>
      <c r="CG26" s="542"/>
      <c r="CH26" s="529">
        <f t="shared" si="1"/>
        <v>0</v>
      </c>
    </row>
    <row r="27" spans="1:86" s="413" customFormat="1" ht="18.75" customHeight="1">
      <c r="B27" s="554"/>
      <c r="C27" s="628" t="s">
        <v>148</v>
      </c>
      <c r="D27" s="555"/>
      <c r="E27" s="613">
        <v>0.152</v>
      </c>
      <c r="F27" s="538">
        <f t="shared" si="58"/>
        <v>289652.6609569412</v>
      </c>
      <c r="G27" s="539"/>
      <c r="H27" s="539">
        <f>+'2.Tien do'!E25</f>
        <v>0</v>
      </c>
      <c r="I27" s="539">
        <f>+'2.Tien do'!F25</f>
        <v>0</v>
      </c>
      <c r="J27" s="539">
        <f>+'2.Tien do'!G25</f>
        <v>0</v>
      </c>
      <c r="K27" s="539">
        <f>+'2.Tien do'!H25</f>
        <v>0</v>
      </c>
      <c r="L27" s="539">
        <f>+'2.Tien do'!I25</f>
        <v>0</v>
      </c>
      <c r="M27" s="539">
        <f>+'2.Tien do'!J25</f>
        <v>0</v>
      </c>
      <c r="N27" s="539">
        <f>+'2.Tien do'!K25</f>
        <v>0</v>
      </c>
      <c r="O27" s="539">
        <f>+'2.Tien do'!L25</f>
        <v>0</v>
      </c>
      <c r="P27" s="539">
        <f>+'2.Tien do'!M25</f>
        <v>0</v>
      </c>
      <c r="Q27" s="539">
        <f>+'2.Tien do'!N25</f>
        <v>0</v>
      </c>
      <c r="R27" s="539">
        <f>+'2.Tien do'!O25</f>
        <v>0</v>
      </c>
      <c r="S27" s="539">
        <f>+'2.Tien do'!P25</f>
        <v>0</v>
      </c>
      <c r="T27" s="539">
        <f>+'2.Tien do'!Q25</f>
        <v>0.1</v>
      </c>
      <c r="U27" s="539">
        <f>+'2.Tien do'!R25</f>
        <v>0.2</v>
      </c>
      <c r="V27" s="539">
        <f>+'2.Tien do'!S25</f>
        <v>0.3</v>
      </c>
      <c r="W27" s="539">
        <f>+'2.Tien do'!T25</f>
        <v>0.3</v>
      </c>
      <c r="X27" s="539">
        <f>+'2.Tien do'!U25</f>
        <v>0.1</v>
      </c>
      <c r="Y27" s="539">
        <f>+'2.Tien do'!V25</f>
        <v>0</v>
      </c>
      <c r="Z27" s="539">
        <f>+'2.Tien do'!W25</f>
        <v>0</v>
      </c>
      <c r="AA27" s="539">
        <f>+'2.Tien do'!X25</f>
        <v>0</v>
      </c>
      <c r="AB27" s="539">
        <f>+'2.Tien do'!Y25</f>
        <v>0</v>
      </c>
      <c r="AC27" s="539">
        <f>+'2.Tien do'!Z25</f>
        <v>0</v>
      </c>
      <c r="AD27" s="539">
        <f>+'2.Tien do'!AA25</f>
        <v>0</v>
      </c>
      <c r="AE27" s="539">
        <f>+'2.Tien do'!AB25</f>
        <v>0</v>
      </c>
      <c r="AF27" s="539">
        <f>+'2.Tien do'!AC25</f>
        <v>0</v>
      </c>
      <c r="AG27" s="539">
        <f>+'2.Tien do'!AD25</f>
        <v>0</v>
      </c>
      <c r="AH27" s="539">
        <f>+'2.Tien do'!AE25</f>
        <v>0</v>
      </c>
      <c r="AI27" s="539">
        <f>+'2.Tien do'!AF25</f>
        <v>0</v>
      </c>
      <c r="AJ27" s="539">
        <f>+'2.Tien do'!AG25</f>
        <v>0</v>
      </c>
      <c r="AK27" s="539">
        <f>+'2.Tien do'!AH25</f>
        <v>0</v>
      </c>
      <c r="AL27" s="539">
        <f>+'2.Tien do'!AI25</f>
        <v>0</v>
      </c>
      <c r="AM27" s="539">
        <f>+'2.Tien do'!AJ25</f>
        <v>0</v>
      </c>
      <c r="AN27" s="539">
        <f>+'2.Tien do'!AK25</f>
        <v>0</v>
      </c>
      <c r="AO27" s="539">
        <f>+'2.Tien do'!AL25</f>
        <v>0</v>
      </c>
      <c r="AP27" s="539">
        <f>+'2.Tien do'!AM25</f>
        <v>0</v>
      </c>
      <c r="AQ27" s="539">
        <f>+'2.Tien do'!AN25</f>
        <v>0</v>
      </c>
      <c r="AR27" s="540">
        <f>+'2.Tien do'!AO25</f>
        <v>0</v>
      </c>
      <c r="AS27" s="532"/>
      <c r="AT27" s="541">
        <f t="shared" si="59"/>
        <v>0</v>
      </c>
      <c r="AU27" s="542">
        <f t="shared" si="60"/>
        <v>0</v>
      </c>
      <c r="AV27" s="542">
        <f t="shared" si="61"/>
        <v>0</v>
      </c>
      <c r="AW27" s="542">
        <f t="shared" si="62"/>
        <v>0</v>
      </c>
      <c r="AX27" s="542">
        <f t="shared" si="63"/>
        <v>0</v>
      </c>
      <c r="AY27" s="542">
        <f t="shared" si="64"/>
        <v>0</v>
      </c>
      <c r="AZ27" s="542">
        <f t="shared" si="65"/>
        <v>0</v>
      </c>
      <c r="BA27" s="542">
        <f t="shared" si="66"/>
        <v>0</v>
      </c>
      <c r="BB27" s="542">
        <f t="shared" si="67"/>
        <v>0</v>
      </c>
      <c r="BC27" s="542">
        <f t="shared" si="68"/>
        <v>0</v>
      </c>
      <c r="BD27" s="542">
        <f t="shared" si="69"/>
        <v>0</v>
      </c>
      <c r="BE27" s="542">
        <f t="shared" si="70"/>
        <v>0</v>
      </c>
      <c r="BF27" s="542">
        <f t="shared" si="71"/>
        <v>0</v>
      </c>
      <c r="BG27" s="542">
        <f t="shared" si="72"/>
        <v>28965.266095694122</v>
      </c>
      <c r="BH27" s="542">
        <f t="shared" si="73"/>
        <v>57930.532191388244</v>
      </c>
      <c r="BI27" s="542">
        <f t="shared" si="74"/>
        <v>86895.798287082362</v>
      </c>
      <c r="BJ27" s="542">
        <f t="shared" si="75"/>
        <v>86895.798287082362</v>
      </c>
      <c r="BK27" s="542">
        <f t="shared" si="76"/>
        <v>28965.266095694122</v>
      </c>
      <c r="BL27" s="542">
        <f t="shared" si="77"/>
        <v>0</v>
      </c>
      <c r="BM27" s="542">
        <f t="shared" si="78"/>
        <v>0</v>
      </c>
      <c r="BN27" s="542">
        <f t="shared" si="79"/>
        <v>0</v>
      </c>
      <c r="BO27" s="542">
        <f t="shared" si="80"/>
        <v>0</v>
      </c>
      <c r="BP27" s="542">
        <f t="shared" si="81"/>
        <v>0</v>
      </c>
      <c r="BQ27" s="542">
        <f t="shared" si="82"/>
        <v>0</v>
      </c>
      <c r="BR27" s="542">
        <f t="shared" si="83"/>
        <v>0</v>
      </c>
      <c r="BS27" s="542">
        <f t="shared" si="84"/>
        <v>0</v>
      </c>
      <c r="BT27" s="542">
        <f t="shared" si="85"/>
        <v>0</v>
      </c>
      <c r="BU27" s="542">
        <f t="shared" si="86"/>
        <v>0</v>
      </c>
      <c r="BV27" s="542">
        <f t="shared" si="87"/>
        <v>0</v>
      </c>
      <c r="BW27" s="542">
        <f t="shared" si="88"/>
        <v>0</v>
      </c>
      <c r="BX27" s="542">
        <f t="shared" si="89"/>
        <v>0</v>
      </c>
      <c r="BY27" s="542">
        <f t="shared" si="90"/>
        <v>0</v>
      </c>
      <c r="BZ27" s="542">
        <f t="shared" si="91"/>
        <v>0</v>
      </c>
      <c r="CA27" s="542">
        <f t="shared" si="92"/>
        <v>0</v>
      </c>
      <c r="CB27" s="542">
        <f t="shared" si="93"/>
        <v>0</v>
      </c>
      <c r="CC27" s="542">
        <f t="shared" si="94"/>
        <v>0</v>
      </c>
      <c r="CD27" s="542">
        <f t="shared" si="95"/>
        <v>0</v>
      </c>
      <c r="CE27" s="542">
        <f t="shared" si="96"/>
        <v>0</v>
      </c>
      <c r="CF27" s="542"/>
      <c r="CG27" s="542"/>
      <c r="CH27" s="529">
        <f t="shared" si="1"/>
        <v>0</v>
      </c>
    </row>
    <row r="28" spans="1:86" s="413" customFormat="1" ht="18.75" customHeight="1">
      <c r="A28" s="1438">
        <f>+F28/1.1</f>
        <v>17323.723741443853</v>
      </c>
      <c r="B28" s="554"/>
      <c r="C28" s="631" t="s">
        <v>88</v>
      </c>
      <c r="D28" s="555"/>
      <c r="E28" s="632">
        <v>0.01</v>
      </c>
      <c r="F28" s="633">
        <f t="shared" si="58"/>
        <v>19056.09611558824</v>
      </c>
      <c r="G28" s="539"/>
      <c r="H28" s="539">
        <f>+'2.Tien do'!E26</f>
        <v>0</v>
      </c>
      <c r="I28" s="539">
        <f>+'2.Tien do'!F26</f>
        <v>0</v>
      </c>
      <c r="J28" s="539">
        <f>+'2.Tien do'!G26</f>
        <v>0</v>
      </c>
      <c r="K28" s="539">
        <f>+'2.Tien do'!H26</f>
        <v>0</v>
      </c>
      <c r="L28" s="539">
        <f>+'2.Tien do'!I26</f>
        <v>0</v>
      </c>
      <c r="M28" s="539">
        <f>+'2.Tien do'!J26</f>
        <v>0</v>
      </c>
      <c r="N28" s="539">
        <f>+'2.Tien do'!K26</f>
        <v>0</v>
      </c>
      <c r="O28" s="539">
        <f>+'2.Tien do'!L26</f>
        <v>0.1</v>
      </c>
      <c r="P28" s="539">
        <f>+'2.Tien do'!M26</f>
        <v>0.1</v>
      </c>
      <c r="Q28" s="539">
        <f>+'2.Tien do'!N26</f>
        <v>0.1</v>
      </c>
      <c r="R28" s="539">
        <f>+'2.Tien do'!O26</f>
        <v>0.1</v>
      </c>
      <c r="S28" s="539">
        <f>+'2.Tien do'!P26</f>
        <v>0.1</v>
      </c>
      <c r="T28" s="539">
        <f>+'2.Tien do'!Q26</f>
        <v>0.1</v>
      </c>
      <c r="U28" s="539">
        <f>+'2.Tien do'!R26</f>
        <v>0.1</v>
      </c>
      <c r="V28" s="539">
        <f>+'2.Tien do'!S26</f>
        <v>0.1</v>
      </c>
      <c r="W28" s="539">
        <f>+'2.Tien do'!T26</f>
        <v>0.1</v>
      </c>
      <c r="X28" s="539">
        <f>+'2.Tien do'!U26</f>
        <v>0.1</v>
      </c>
      <c r="Y28" s="539">
        <f>+'2.Tien do'!V26</f>
        <v>0</v>
      </c>
      <c r="Z28" s="539">
        <f>+'2.Tien do'!W26</f>
        <v>0</v>
      </c>
      <c r="AA28" s="539">
        <f>+'2.Tien do'!X26</f>
        <v>0</v>
      </c>
      <c r="AB28" s="539">
        <f>+'2.Tien do'!Y26</f>
        <v>0</v>
      </c>
      <c r="AC28" s="539">
        <f>+'2.Tien do'!Z26</f>
        <v>0</v>
      </c>
      <c r="AD28" s="539">
        <f>+'2.Tien do'!AA26</f>
        <v>0</v>
      </c>
      <c r="AE28" s="539">
        <f>+'2.Tien do'!AB26</f>
        <v>0</v>
      </c>
      <c r="AF28" s="539">
        <f>+'2.Tien do'!AC26</f>
        <v>0</v>
      </c>
      <c r="AG28" s="539">
        <f>+'2.Tien do'!AD26</f>
        <v>0</v>
      </c>
      <c r="AH28" s="539">
        <f>+'2.Tien do'!AE26</f>
        <v>0</v>
      </c>
      <c r="AI28" s="539">
        <f>+'2.Tien do'!AF26</f>
        <v>0</v>
      </c>
      <c r="AJ28" s="539">
        <f>+'2.Tien do'!AG26</f>
        <v>0</v>
      </c>
      <c r="AK28" s="539">
        <f>+'2.Tien do'!AH26</f>
        <v>0</v>
      </c>
      <c r="AL28" s="539">
        <f>+'2.Tien do'!AI26</f>
        <v>0</v>
      </c>
      <c r="AM28" s="539">
        <f>+'2.Tien do'!AJ26</f>
        <v>0</v>
      </c>
      <c r="AN28" s="539">
        <f>+'2.Tien do'!AK26</f>
        <v>0</v>
      </c>
      <c r="AO28" s="539">
        <f>+'2.Tien do'!AL26</f>
        <v>0</v>
      </c>
      <c r="AP28" s="539">
        <f>+'2.Tien do'!AM26</f>
        <v>0</v>
      </c>
      <c r="AQ28" s="539">
        <f>+'2.Tien do'!AN26</f>
        <v>0</v>
      </c>
      <c r="AR28" s="540">
        <f>+'2.Tien do'!AO26</f>
        <v>0</v>
      </c>
      <c r="AS28" s="532"/>
      <c r="AT28" s="635">
        <f>$F28*G28</f>
        <v>0</v>
      </c>
      <c r="AU28" s="636">
        <f t="shared" si="60"/>
        <v>0</v>
      </c>
      <c r="AV28" s="636">
        <f t="shared" si="61"/>
        <v>0</v>
      </c>
      <c r="AW28" s="636">
        <f t="shared" si="62"/>
        <v>0</v>
      </c>
      <c r="AX28" s="636">
        <f t="shared" si="63"/>
        <v>0</v>
      </c>
      <c r="AY28" s="636">
        <f t="shared" si="64"/>
        <v>0</v>
      </c>
      <c r="AZ28" s="636">
        <f t="shared" si="65"/>
        <v>0</v>
      </c>
      <c r="BA28" s="636">
        <f t="shared" si="66"/>
        <v>0</v>
      </c>
      <c r="BB28" s="636">
        <f t="shared" si="67"/>
        <v>1905.6096115588241</v>
      </c>
      <c r="BC28" s="636">
        <f t="shared" si="68"/>
        <v>1905.6096115588241</v>
      </c>
      <c r="BD28" s="636">
        <f t="shared" si="69"/>
        <v>1905.6096115588241</v>
      </c>
      <c r="BE28" s="636">
        <f t="shared" si="70"/>
        <v>1905.6096115588241</v>
      </c>
      <c r="BF28" s="636">
        <f t="shared" si="71"/>
        <v>1905.6096115588241</v>
      </c>
      <c r="BG28" s="636">
        <f t="shared" si="72"/>
        <v>1905.6096115588241</v>
      </c>
      <c r="BH28" s="636">
        <f t="shared" si="73"/>
        <v>1905.6096115588241</v>
      </c>
      <c r="BI28" s="636">
        <f t="shared" si="74"/>
        <v>1905.6096115588241</v>
      </c>
      <c r="BJ28" s="636">
        <f t="shared" si="75"/>
        <v>1905.6096115588241</v>
      </c>
      <c r="BK28" s="636">
        <f t="shared" si="76"/>
        <v>1905.6096115588241</v>
      </c>
      <c r="BL28" s="636">
        <f t="shared" si="77"/>
        <v>0</v>
      </c>
      <c r="BM28" s="636">
        <f t="shared" si="78"/>
        <v>0</v>
      </c>
      <c r="BN28" s="636">
        <f t="shared" si="79"/>
        <v>0</v>
      </c>
      <c r="BO28" s="636">
        <f t="shared" si="80"/>
        <v>0</v>
      </c>
      <c r="BP28" s="636">
        <f t="shared" si="81"/>
        <v>0</v>
      </c>
      <c r="BQ28" s="636">
        <f t="shared" si="82"/>
        <v>0</v>
      </c>
      <c r="BR28" s="636">
        <f t="shared" si="83"/>
        <v>0</v>
      </c>
      <c r="BS28" s="542">
        <f t="shared" si="84"/>
        <v>0</v>
      </c>
      <c r="BT28" s="542">
        <f t="shared" si="85"/>
        <v>0</v>
      </c>
      <c r="BU28" s="542">
        <f t="shared" si="86"/>
        <v>0</v>
      </c>
      <c r="BV28" s="542">
        <f t="shared" si="87"/>
        <v>0</v>
      </c>
      <c r="BW28" s="542">
        <f t="shared" si="88"/>
        <v>0</v>
      </c>
      <c r="BX28" s="542">
        <f t="shared" si="89"/>
        <v>0</v>
      </c>
      <c r="BY28" s="542">
        <f t="shared" si="90"/>
        <v>0</v>
      </c>
      <c r="BZ28" s="542">
        <f t="shared" si="91"/>
        <v>0</v>
      </c>
      <c r="CA28" s="542">
        <f t="shared" si="92"/>
        <v>0</v>
      </c>
      <c r="CB28" s="542">
        <f t="shared" si="93"/>
        <v>0</v>
      </c>
      <c r="CC28" s="542">
        <f t="shared" si="94"/>
        <v>0</v>
      </c>
      <c r="CD28" s="542">
        <f t="shared" si="95"/>
        <v>0</v>
      </c>
      <c r="CE28" s="542">
        <f t="shared" si="96"/>
        <v>0</v>
      </c>
      <c r="CF28" s="542"/>
      <c r="CG28" s="542"/>
      <c r="CH28" s="529">
        <f t="shared" si="1"/>
        <v>0</v>
      </c>
    </row>
    <row r="29" spans="1:86" s="413" customFormat="1" ht="18.75" customHeight="1">
      <c r="A29" s="1438">
        <f>+F29/1.1</f>
        <v>69294.894965775413</v>
      </c>
      <c r="B29" s="554"/>
      <c r="C29" s="634" t="s">
        <v>89</v>
      </c>
      <c r="D29" s="555"/>
      <c r="E29" s="632">
        <v>0.04</v>
      </c>
      <c r="F29" s="633">
        <f t="shared" ref="F29:F30" si="97">E29*$F$20</f>
        <v>76224.384462352959</v>
      </c>
      <c r="G29" s="539"/>
      <c r="H29" s="539">
        <f>+'2.Tien do'!E27</f>
        <v>0</v>
      </c>
      <c r="I29" s="539">
        <f>+'2.Tien do'!F27</f>
        <v>0</v>
      </c>
      <c r="J29" s="539">
        <f>+'2.Tien do'!G27</f>
        <v>0</v>
      </c>
      <c r="K29" s="539">
        <f>+'2.Tien do'!H27</f>
        <v>0</v>
      </c>
      <c r="L29" s="539">
        <f>+'2.Tien do'!I27</f>
        <v>0</v>
      </c>
      <c r="M29" s="539">
        <f>+'2.Tien do'!J27</f>
        <v>0</v>
      </c>
      <c r="N29" s="539">
        <f>+'2.Tien do'!K27</f>
        <v>0</v>
      </c>
      <c r="O29" s="539">
        <f>+'2.Tien do'!L27</f>
        <v>0.1</v>
      </c>
      <c r="P29" s="539">
        <f>+'2.Tien do'!M27</f>
        <v>0.1</v>
      </c>
      <c r="Q29" s="539">
        <f>+'2.Tien do'!N27</f>
        <v>0.1</v>
      </c>
      <c r="R29" s="539">
        <f>+'2.Tien do'!O27</f>
        <v>0.1</v>
      </c>
      <c r="S29" s="539">
        <f>+'2.Tien do'!P27</f>
        <v>0.1</v>
      </c>
      <c r="T29" s="539">
        <f>+'2.Tien do'!Q27</f>
        <v>0.1</v>
      </c>
      <c r="U29" s="539">
        <f>+'2.Tien do'!R27</f>
        <v>0.1</v>
      </c>
      <c r="V29" s="539">
        <f>+'2.Tien do'!S27</f>
        <v>0.1</v>
      </c>
      <c r="W29" s="539">
        <f>+'2.Tien do'!T27</f>
        <v>0.1</v>
      </c>
      <c r="X29" s="539">
        <f>+'2.Tien do'!U27</f>
        <v>0.1</v>
      </c>
      <c r="Y29" s="539">
        <f>+'2.Tien do'!V27</f>
        <v>0</v>
      </c>
      <c r="Z29" s="539">
        <f>+'2.Tien do'!W27</f>
        <v>0</v>
      </c>
      <c r="AA29" s="539">
        <f>+'2.Tien do'!X27</f>
        <v>0</v>
      </c>
      <c r="AB29" s="539">
        <f>+'2.Tien do'!Y27</f>
        <v>0</v>
      </c>
      <c r="AC29" s="539">
        <f>+'2.Tien do'!Z27</f>
        <v>0</v>
      </c>
      <c r="AD29" s="539">
        <f>+'2.Tien do'!AA27</f>
        <v>0</v>
      </c>
      <c r="AE29" s="539">
        <f>+'2.Tien do'!AB27</f>
        <v>0</v>
      </c>
      <c r="AF29" s="539">
        <f>+'2.Tien do'!AC27</f>
        <v>0</v>
      </c>
      <c r="AG29" s="539">
        <f>+'2.Tien do'!AD27</f>
        <v>0</v>
      </c>
      <c r="AH29" s="539">
        <f>+'2.Tien do'!AE27</f>
        <v>0</v>
      </c>
      <c r="AI29" s="539">
        <f>+'2.Tien do'!AF27</f>
        <v>0</v>
      </c>
      <c r="AJ29" s="539">
        <f>+'2.Tien do'!AG27</f>
        <v>0</v>
      </c>
      <c r="AK29" s="539">
        <f>+'2.Tien do'!AH27</f>
        <v>0</v>
      </c>
      <c r="AL29" s="539">
        <f>+'2.Tien do'!AI27</f>
        <v>0</v>
      </c>
      <c r="AM29" s="539">
        <f>+'2.Tien do'!AJ27</f>
        <v>0</v>
      </c>
      <c r="AN29" s="539">
        <f>+'2.Tien do'!AK27</f>
        <v>0</v>
      </c>
      <c r="AO29" s="539">
        <f>+'2.Tien do'!AL27</f>
        <v>0</v>
      </c>
      <c r="AP29" s="539">
        <f>+'2.Tien do'!AM27</f>
        <v>0</v>
      </c>
      <c r="AQ29" s="539">
        <f>+'2.Tien do'!AN27</f>
        <v>0</v>
      </c>
      <c r="AR29" s="540">
        <f>+'2.Tien do'!AO27</f>
        <v>0</v>
      </c>
      <c r="AS29" s="532"/>
      <c r="AT29" s="635">
        <f t="shared" si="59"/>
        <v>0</v>
      </c>
      <c r="AU29" s="636">
        <f t="shared" si="60"/>
        <v>0</v>
      </c>
      <c r="AV29" s="636">
        <f t="shared" si="61"/>
        <v>0</v>
      </c>
      <c r="AW29" s="636">
        <f t="shared" si="62"/>
        <v>0</v>
      </c>
      <c r="AX29" s="636">
        <f t="shared" si="63"/>
        <v>0</v>
      </c>
      <c r="AY29" s="636">
        <f t="shared" si="64"/>
        <v>0</v>
      </c>
      <c r="AZ29" s="636">
        <f t="shared" si="65"/>
        <v>0</v>
      </c>
      <c r="BA29" s="636">
        <f t="shared" si="66"/>
        <v>0</v>
      </c>
      <c r="BB29" s="636">
        <f t="shared" si="67"/>
        <v>7622.4384462352964</v>
      </c>
      <c r="BC29" s="636">
        <f t="shared" si="68"/>
        <v>7622.4384462352964</v>
      </c>
      <c r="BD29" s="636">
        <f t="shared" si="69"/>
        <v>7622.4384462352964</v>
      </c>
      <c r="BE29" s="636">
        <f t="shared" si="70"/>
        <v>7622.4384462352964</v>
      </c>
      <c r="BF29" s="636">
        <f t="shared" si="71"/>
        <v>7622.4384462352964</v>
      </c>
      <c r="BG29" s="636">
        <f t="shared" si="72"/>
        <v>7622.4384462352964</v>
      </c>
      <c r="BH29" s="636">
        <f t="shared" si="73"/>
        <v>7622.4384462352964</v>
      </c>
      <c r="BI29" s="636">
        <f t="shared" si="74"/>
        <v>7622.4384462352964</v>
      </c>
      <c r="BJ29" s="636">
        <f t="shared" si="75"/>
        <v>7622.4384462352964</v>
      </c>
      <c r="BK29" s="636">
        <f t="shared" si="76"/>
        <v>7622.4384462352964</v>
      </c>
      <c r="BL29" s="636">
        <f t="shared" si="77"/>
        <v>0</v>
      </c>
      <c r="BM29" s="636">
        <f t="shared" si="78"/>
        <v>0</v>
      </c>
      <c r="BN29" s="636">
        <f t="shared" si="79"/>
        <v>0</v>
      </c>
      <c r="BO29" s="636">
        <f t="shared" si="80"/>
        <v>0</v>
      </c>
      <c r="BP29" s="636">
        <f t="shared" si="81"/>
        <v>0</v>
      </c>
      <c r="BQ29" s="636">
        <f t="shared" si="82"/>
        <v>0</v>
      </c>
      <c r="BR29" s="636">
        <f t="shared" si="83"/>
        <v>0</v>
      </c>
      <c r="BS29" s="542">
        <f t="shared" si="84"/>
        <v>0</v>
      </c>
      <c r="BT29" s="542">
        <f t="shared" si="85"/>
        <v>0</v>
      </c>
      <c r="BU29" s="542">
        <f t="shared" si="86"/>
        <v>0</v>
      </c>
      <c r="BV29" s="542">
        <f t="shared" si="87"/>
        <v>0</v>
      </c>
      <c r="BW29" s="542">
        <f t="shared" si="88"/>
        <v>0</v>
      </c>
      <c r="BX29" s="542">
        <f t="shared" si="89"/>
        <v>0</v>
      </c>
      <c r="BY29" s="542">
        <f t="shared" si="90"/>
        <v>0</v>
      </c>
      <c r="BZ29" s="542">
        <f t="shared" si="91"/>
        <v>0</v>
      </c>
      <c r="CA29" s="542">
        <f t="shared" si="92"/>
        <v>0</v>
      </c>
      <c r="CB29" s="542">
        <f t="shared" si="93"/>
        <v>0</v>
      </c>
      <c r="CC29" s="542">
        <f t="shared" si="94"/>
        <v>0</v>
      </c>
      <c r="CD29" s="542">
        <f t="shared" si="95"/>
        <v>0</v>
      </c>
      <c r="CE29" s="542">
        <f t="shared" si="96"/>
        <v>0</v>
      </c>
      <c r="CF29" s="542"/>
      <c r="CG29" s="542"/>
      <c r="CH29" s="529">
        <f t="shared" si="1"/>
        <v>0</v>
      </c>
    </row>
    <row r="30" spans="1:86" s="622" customFormat="1" ht="18.75" customHeight="1">
      <c r="A30" s="1438">
        <f>+F30/1.1</f>
        <v>8661.8618707219266</v>
      </c>
      <c r="B30" s="554"/>
      <c r="C30" s="631" t="s">
        <v>70</v>
      </c>
      <c r="D30" s="555"/>
      <c r="E30" s="632">
        <v>5.0000000000000001E-3</v>
      </c>
      <c r="F30" s="633">
        <f t="shared" si="97"/>
        <v>9528.0480577941198</v>
      </c>
      <c r="G30" s="556"/>
      <c r="H30" s="539">
        <f>+'2.Tien do'!E28</f>
        <v>0</v>
      </c>
      <c r="I30" s="539">
        <f>+'2.Tien do'!F28</f>
        <v>0</v>
      </c>
      <c r="J30" s="539">
        <f>+'2.Tien do'!G28</f>
        <v>0</v>
      </c>
      <c r="K30" s="539">
        <f>+'2.Tien do'!H28</f>
        <v>0</v>
      </c>
      <c r="L30" s="539">
        <f>+'2.Tien do'!I28</f>
        <v>0</v>
      </c>
      <c r="M30" s="539">
        <f>+'2.Tien do'!J28</f>
        <v>0</v>
      </c>
      <c r="N30" s="539">
        <f>+'2.Tien do'!K28</f>
        <v>0</v>
      </c>
      <c r="O30" s="539">
        <f>+'2.Tien do'!L28</f>
        <v>0.1</v>
      </c>
      <c r="P30" s="539">
        <f>+'2.Tien do'!M28</f>
        <v>0.1</v>
      </c>
      <c r="Q30" s="539">
        <f>+'2.Tien do'!N28</f>
        <v>0.1</v>
      </c>
      <c r="R30" s="539">
        <f>+'2.Tien do'!O28</f>
        <v>0.1</v>
      </c>
      <c r="S30" s="539">
        <f>+'2.Tien do'!P28</f>
        <v>0.1</v>
      </c>
      <c r="T30" s="539">
        <f>+'2.Tien do'!Q28</f>
        <v>0.1</v>
      </c>
      <c r="U30" s="539">
        <f>+'2.Tien do'!R28</f>
        <v>0.1</v>
      </c>
      <c r="V30" s="539">
        <f>+'2.Tien do'!S28</f>
        <v>0.1</v>
      </c>
      <c r="W30" s="539">
        <f>+'2.Tien do'!T28</f>
        <v>0.1</v>
      </c>
      <c r="X30" s="539">
        <f>+'2.Tien do'!U28</f>
        <v>0.1</v>
      </c>
      <c r="Y30" s="539">
        <f>+'2.Tien do'!V28</f>
        <v>0</v>
      </c>
      <c r="Z30" s="539">
        <f>+'2.Tien do'!W28</f>
        <v>0</v>
      </c>
      <c r="AA30" s="539">
        <f>+'2.Tien do'!X28</f>
        <v>0</v>
      </c>
      <c r="AB30" s="539">
        <f>+'2.Tien do'!Y28</f>
        <v>0</v>
      </c>
      <c r="AC30" s="539">
        <f>+'2.Tien do'!Z28</f>
        <v>0</v>
      </c>
      <c r="AD30" s="539">
        <f>+'2.Tien do'!AA28</f>
        <v>0</v>
      </c>
      <c r="AE30" s="539">
        <f>+'2.Tien do'!AB28</f>
        <v>0</v>
      </c>
      <c r="AF30" s="539">
        <f>+'2.Tien do'!AC28</f>
        <v>0</v>
      </c>
      <c r="AG30" s="539">
        <f>+'2.Tien do'!AD28</f>
        <v>0</v>
      </c>
      <c r="AH30" s="539">
        <f>+'2.Tien do'!AE28</f>
        <v>0</v>
      </c>
      <c r="AI30" s="539">
        <f>+'2.Tien do'!AF28</f>
        <v>0</v>
      </c>
      <c r="AJ30" s="539">
        <f>+'2.Tien do'!AG28</f>
        <v>0</v>
      </c>
      <c r="AK30" s="539">
        <f>+'2.Tien do'!AH28</f>
        <v>0</v>
      </c>
      <c r="AL30" s="539">
        <f>+'2.Tien do'!AI28</f>
        <v>0</v>
      </c>
      <c r="AM30" s="539">
        <f>+'2.Tien do'!AJ28</f>
        <v>0</v>
      </c>
      <c r="AN30" s="539">
        <f>+'2.Tien do'!AK28</f>
        <v>0</v>
      </c>
      <c r="AO30" s="539">
        <f>+'2.Tien do'!AL28</f>
        <v>0</v>
      </c>
      <c r="AP30" s="539">
        <f>+'2.Tien do'!AM28</f>
        <v>0</v>
      </c>
      <c r="AQ30" s="539">
        <f>+'2.Tien do'!AN28</f>
        <v>0</v>
      </c>
      <c r="AR30" s="540">
        <f>+'2.Tien do'!AO28</f>
        <v>0</v>
      </c>
      <c r="AS30" s="526"/>
      <c r="AT30" s="635">
        <f t="shared" si="59"/>
        <v>0</v>
      </c>
      <c r="AU30" s="636">
        <f t="shared" si="60"/>
        <v>0</v>
      </c>
      <c r="AV30" s="636">
        <f t="shared" si="61"/>
        <v>0</v>
      </c>
      <c r="AW30" s="636">
        <f t="shared" si="62"/>
        <v>0</v>
      </c>
      <c r="AX30" s="636">
        <f t="shared" si="63"/>
        <v>0</v>
      </c>
      <c r="AY30" s="636">
        <f t="shared" si="64"/>
        <v>0</v>
      </c>
      <c r="AZ30" s="636">
        <f t="shared" si="65"/>
        <v>0</v>
      </c>
      <c r="BA30" s="636">
        <f t="shared" si="66"/>
        <v>0</v>
      </c>
      <c r="BB30" s="636">
        <f t="shared" si="67"/>
        <v>952.80480577941205</v>
      </c>
      <c r="BC30" s="636">
        <f t="shared" si="68"/>
        <v>952.80480577941205</v>
      </c>
      <c r="BD30" s="636">
        <f t="shared" si="69"/>
        <v>952.80480577941205</v>
      </c>
      <c r="BE30" s="636">
        <f t="shared" si="70"/>
        <v>952.80480577941205</v>
      </c>
      <c r="BF30" s="636">
        <f t="shared" si="71"/>
        <v>952.80480577941205</v>
      </c>
      <c r="BG30" s="636">
        <f t="shared" si="72"/>
        <v>952.80480577941205</v>
      </c>
      <c r="BH30" s="636">
        <f t="shared" si="73"/>
        <v>952.80480577941205</v>
      </c>
      <c r="BI30" s="636">
        <f t="shared" si="74"/>
        <v>952.80480577941205</v>
      </c>
      <c r="BJ30" s="636">
        <f t="shared" si="75"/>
        <v>952.80480577941205</v>
      </c>
      <c r="BK30" s="636">
        <f t="shared" si="76"/>
        <v>952.80480577941205</v>
      </c>
      <c r="BL30" s="636">
        <f t="shared" si="77"/>
        <v>0</v>
      </c>
      <c r="BM30" s="636">
        <f t="shared" si="78"/>
        <v>0</v>
      </c>
      <c r="BN30" s="636">
        <f t="shared" si="79"/>
        <v>0</v>
      </c>
      <c r="BO30" s="636">
        <f t="shared" si="80"/>
        <v>0</v>
      </c>
      <c r="BP30" s="636">
        <f t="shared" si="81"/>
        <v>0</v>
      </c>
      <c r="BQ30" s="636">
        <f t="shared" si="82"/>
        <v>0</v>
      </c>
      <c r="BR30" s="636">
        <f t="shared" si="83"/>
        <v>0</v>
      </c>
      <c r="BS30" s="542">
        <f t="shared" si="84"/>
        <v>0</v>
      </c>
      <c r="BT30" s="542">
        <f t="shared" si="85"/>
        <v>0</v>
      </c>
      <c r="BU30" s="542">
        <f t="shared" si="86"/>
        <v>0</v>
      </c>
      <c r="BV30" s="542">
        <f t="shared" si="87"/>
        <v>0</v>
      </c>
      <c r="BW30" s="542">
        <f t="shared" si="88"/>
        <v>0</v>
      </c>
      <c r="BX30" s="542">
        <f t="shared" si="89"/>
        <v>0</v>
      </c>
      <c r="BY30" s="542">
        <f t="shared" si="90"/>
        <v>0</v>
      </c>
      <c r="BZ30" s="542">
        <f t="shared" si="91"/>
        <v>0</v>
      </c>
      <c r="CA30" s="542">
        <f t="shared" si="92"/>
        <v>0</v>
      </c>
      <c r="CB30" s="542">
        <f t="shared" si="93"/>
        <v>0</v>
      </c>
      <c r="CC30" s="542">
        <f t="shared" si="94"/>
        <v>0</v>
      </c>
      <c r="CD30" s="542">
        <f t="shared" si="95"/>
        <v>0</v>
      </c>
      <c r="CE30" s="542">
        <f t="shared" si="96"/>
        <v>0</v>
      </c>
      <c r="CF30" s="542"/>
      <c r="CG30" s="542"/>
      <c r="CH30" s="529">
        <f t="shared" si="1"/>
        <v>0</v>
      </c>
    </row>
    <row r="31" spans="1:86" s="622" customFormat="1" ht="18.75" customHeight="1">
      <c r="A31" s="1438">
        <f>+F31/1.1</f>
        <v>182765.28547223264</v>
      </c>
      <c r="B31" s="557"/>
      <c r="C31" s="1291" t="s">
        <v>16</v>
      </c>
      <c r="D31" s="558"/>
      <c r="E31" s="632">
        <v>0.1</v>
      </c>
      <c r="F31" s="633">
        <f>E31*(SUM(F28:F30)+F20)</f>
        <v>201041.81401945592</v>
      </c>
      <c r="G31" s="559"/>
      <c r="H31" s="539">
        <f>+'2.Tien do'!E29</f>
        <v>0</v>
      </c>
      <c r="I31" s="539">
        <f>+'2.Tien do'!F29</f>
        <v>0</v>
      </c>
      <c r="J31" s="539">
        <f>+'2.Tien do'!G29</f>
        <v>0</v>
      </c>
      <c r="K31" s="539">
        <f>+'2.Tien do'!H29</f>
        <v>0</v>
      </c>
      <c r="L31" s="539">
        <f>+'2.Tien do'!I29</f>
        <v>0</v>
      </c>
      <c r="M31" s="539">
        <f>+'2.Tien do'!J29</f>
        <v>0</v>
      </c>
      <c r="N31" s="539">
        <f>+'2.Tien do'!K29</f>
        <v>0</v>
      </c>
      <c r="O31" s="539">
        <f>+'2.Tien do'!L29</f>
        <v>0.1</v>
      </c>
      <c r="P31" s="539">
        <f>+'2.Tien do'!M29</f>
        <v>0.1</v>
      </c>
      <c r="Q31" s="539">
        <f>+'2.Tien do'!N29</f>
        <v>0.1</v>
      </c>
      <c r="R31" s="539">
        <f>+'2.Tien do'!O29</f>
        <v>0.1</v>
      </c>
      <c r="S31" s="539">
        <f>+'2.Tien do'!P29</f>
        <v>0.1</v>
      </c>
      <c r="T31" s="539">
        <f>+'2.Tien do'!Q29</f>
        <v>0.1</v>
      </c>
      <c r="U31" s="539">
        <f>+'2.Tien do'!R29</f>
        <v>0.1</v>
      </c>
      <c r="V31" s="539">
        <f>+'2.Tien do'!S29</f>
        <v>0.1</v>
      </c>
      <c r="W31" s="539">
        <f>+'2.Tien do'!T29</f>
        <v>0.1</v>
      </c>
      <c r="X31" s="539">
        <f>+'2.Tien do'!U29</f>
        <v>0.1</v>
      </c>
      <c r="Y31" s="539">
        <f>+'2.Tien do'!V29</f>
        <v>0</v>
      </c>
      <c r="Z31" s="539">
        <f>+'2.Tien do'!W29</f>
        <v>0</v>
      </c>
      <c r="AA31" s="539">
        <f>+'2.Tien do'!X29</f>
        <v>0</v>
      </c>
      <c r="AB31" s="539">
        <f>+'2.Tien do'!Y29</f>
        <v>0</v>
      </c>
      <c r="AC31" s="539">
        <f>+'2.Tien do'!Z29</f>
        <v>0</v>
      </c>
      <c r="AD31" s="539">
        <f>+'2.Tien do'!AA29</f>
        <v>0</v>
      </c>
      <c r="AE31" s="539">
        <f>+'2.Tien do'!AB29</f>
        <v>0</v>
      </c>
      <c r="AF31" s="539">
        <f>+'2.Tien do'!AC29</f>
        <v>0</v>
      </c>
      <c r="AG31" s="539">
        <f>+'2.Tien do'!AD29</f>
        <v>0</v>
      </c>
      <c r="AH31" s="539">
        <f>+'2.Tien do'!AE29</f>
        <v>0</v>
      </c>
      <c r="AI31" s="539">
        <f>+'2.Tien do'!AF29</f>
        <v>0</v>
      </c>
      <c r="AJ31" s="539">
        <f>+'2.Tien do'!AG29</f>
        <v>0</v>
      </c>
      <c r="AK31" s="539">
        <f>+'2.Tien do'!AH29</f>
        <v>0</v>
      </c>
      <c r="AL31" s="539">
        <f>+'2.Tien do'!AI29</f>
        <v>0</v>
      </c>
      <c r="AM31" s="539">
        <f>+'2.Tien do'!AJ29</f>
        <v>0</v>
      </c>
      <c r="AN31" s="539">
        <f>+'2.Tien do'!AK29</f>
        <v>0</v>
      </c>
      <c r="AO31" s="539">
        <f>+'2.Tien do'!AL29</f>
        <v>0</v>
      </c>
      <c r="AP31" s="539">
        <f>+'2.Tien do'!AM29</f>
        <v>0</v>
      </c>
      <c r="AQ31" s="539">
        <f>+'2.Tien do'!AN29</f>
        <v>0</v>
      </c>
      <c r="AR31" s="540">
        <f>+'2.Tien do'!AO29</f>
        <v>0</v>
      </c>
      <c r="AS31" s="526"/>
      <c r="AT31" s="635">
        <f t="shared" si="59"/>
        <v>0</v>
      </c>
      <c r="AU31" s="636">
        <f t="shared" si="60"/>
        <v>0</v>
      </c>
      <c r="AV31" s="636">
        <f t="shared" si="61"/>
        <v>0</v>
      </c>
      <c r="AW31" s="636">
        <f t="shared" si="62"/>
        <v>0</v>
      </c>
      <c r="AX31" s="636">
        <f t="shared" si="63"/>
        <v>0</v>
      </c>
      <c r="AY31" s="636">
        <f t="shared" si="64"/>
        <v>0</v>
      </c>
      <c r="AZ31" s="636">
        <f t="shared" si="65"/>
        <v>0</v>
      </c>
      <c r="BA31" s="636">
        <f t="shared" si="66"/>
        <v>0</v>
      </c>
      <c r="BB31" s="636">
        <f t="shared" si="67"/>
        <v>20104.181401945592</v>
      </c>
      <c r="BC31" s="636">
        <f t="shared" si="68"/>
        <v>20104.181401945592</v>
      </c>
      <c r="BD31" s="636">
        <f t="shared" si="69"/>
        <v>20104.181401945592</v>
      </c>
      <c r="BE31" s="636">
        <f t="shared" si="70"/>
        <v>20104.181401945592</v>
      </c>
      <c r="BF31" s="636">
        <f t="shared" si="71"/>
        <v>20104.181401945592</v>
      </c>
      <c r="BG31" s="636">
        <f t="shared" si="72"/>
        <v>20104.181401945592</v>
      </c>
      <c r="BH31" s="636">
        <f t="shared" si="73"/>
        <v>20104.181401945592</v>
      </c>
      <c r="BI31" s="636">
        <f t="shared" si="74"/>
        <v>20104.181401945592</v>
      </c>
      <c r="BJ31" s="636">
        <f t="shared" si="75"/>
        <v>20104.181401945592</v>
      </c>
      <c r="BK31" s="636">
        <f t="shared" si="76"/>
        <v>20104.181401945592</v>
      </c>
      <c r="BL31" s="636">
        <f t="shared" si="77"/>
        <v>0</v>
      </c>
      <c r="BM31" s="636">
        <f t="shared" si="78"/>
        <v>0</v>
      </c>
      <c r="BN31" s="636">
        <f t="shared" si="79"/>
        <v>0</v>
      </c>
      <c r="BO31" s="636">
        <f t="shared" si="80"/>
        <v>0</v>
      </c>
      <c r="BP31" s="636">
        <f t="shared" si="81"/>
        <v>0</v>
      </c>
      <c r="BQ31" s="636">
        <f t="shared" si="82"/>
        <v>0</v>
      </c>
      <c r="BR31" s="636">
        <f t="shared" si="83"/>
        <v>0</v>
      </c>
      <c r="BS31" s="542">
        <f t="shared" si="84"/>
        <v>0</v>
      </c>
      <c r="BT31" s="542">
        <f t="shared" si="85"/>
        <v>0</v>
      </c>
      <c r="BU31" s="542">
        <f t="shared" si="86"/>
        <v>0</v>
      </c>
      <c r="BV31" s="542">
        <f t="shared" si="87"/>
        <v>0</v>
      </c>
      <c r="BW31" s="542">
        <f t="shared" si="88"/>
        <v>0</v>
      </c>
      <c r="BX31" s="542">
        <f t="shared" si="89"/>
        <v>0</v>
      </c>
      <c r="BY31" s="542">
        <f t="shared" si="90"/>
        <v>0</v>
      </c>
      <c r="BZ31" s="542">
        <f t="shared" si="91"/>
        <v>0</v>
      </c>
      <c r="CA31" s="542">
        <f t="shared" si="92"/>
        <v>0</v>
      </c>
      <c r="CB31" s="542">
        <f t="shared" si="93"/>
        <v>0</v>
      </c>
      <c r="CC31" s="542">
        <f t="shared" si="94"/>
        <v>0</v>
      </c>
      <c r="CD31" s="542">
        <f t="shared" si="95"/>
        <v>0</v>
      </c>
      <c r="CE31" s="542">
        <f t="shared" si="96"/>
        <v>0</v>
      </c>
      <c r="CF31" s="560"/>
      <c r="CG31" s="560"/>
      <c r="CH31" s="529"/>
    </row>
    <row r="32" spans="1:86" s="413" customFormat="1" ht="18.75" customHeight="1">
      <c r="A32" s="550"/>
      <c r="B32" s="1290"/>
      <c r="C32" s="1291"/>
      <c r="D32" s="1292"/>
      <c r="E32" s="1293">
        <v>0</v>
      </c>
      <c r="F32" s="1294">
        <f>E32*(SUM(F28:F30)+F20)</f>
        <v>0</v>
      </c>
      <c r="G32" s="1295"/>
      <c r="H32" s="1296">
        <f>+H31</f>
        <v>0</v>
      </c>
      <c r="I32" s="1296">
        <f t="shared" ref="I32:AR32" si="98">+I31</f>
        <v>0</v>
      </c>
      <c r="J32" s="1296">
        <f t="shared" si="98"/>
        <v>0</v>
      </c>
      <c r="K32" s="1296">
        <f t="shared" si="98"/>
        <v>0</v>
      </c>
      <c r="L32" s="1296">
        <f t="shared" si="98"/>
        <v>0</v>
      </c>
      <c r="M32" s="1296"/>
      <c r="N32" s="1296"/>
      <c r="O32" s="1296"/>
      <c r="P32" s="1296"/>
      <c r="Q32" s="1296"/>
      <c r="R32" s="1296"/>
      <c r="S32" s="1296">
        <f t="shared" si="98"/>
        <v>0.1</v>
      </c>
      <c r="T32" s="1296">
        <f t="shared" si="98"/>
        <v>0.1</v>
      </c>
      <c r="U32" s="1296">
        <f t="shared" si="98"/>
        <v>0.1</v>
      </c>
      <c r="V32" s="1296">
        <f t="shared" si="98"/>
        <v>0.1</v>
      </c>
      <c r="W32" s="1296">
        <f t="shared" si="98"/>
        <v>0.1</v>
      </c>
      <c r="X32" s="1296">
        <f t="shared" si="98"/>
        <v>0.1</v>
      </c>
      <c r="Y32" s="1296">
        <f t="shared" si="98"/>
        <v>0</v>
      </c>
      <c r="Z32" s="1296">
        <f t="shared" si="98"/>
        <v>0</v>
      </c>
      <c r="AA32" s="1296">
        <f t="shared" si="98"/>
        <v>0</v>
      </c>
      <c r="AB32" s="1296">
        <f t="shared" si="98"/>
        <v>0</v>
      </c>
      <c r="AC32" s="1296">
        <f t="shared" si="98"/>
        <v>0</v>
      </c>
      <c r="AD32" s="1296">
        <f t="shared" si="98"/>
        <v>0</v>
      </c>
      <c r="AE32" s="1296">
        <f t="shared" si="98"/>
        <v>0</v>
      </c>
      <c r="AF32" s="1296">
        <f t="shared" si="98"/>
        <v>0</v>
      </c>
      <c r="AG32" s="1296">
        <f t="shared" si="98"/>
        <v>0</v>
      </c>
      <c r="AH32" s="1296">
        <f t="shared" si="98"/>
        <v>0</v>
      </c>
      <c r="AI32" s="1296">
        <f t="shared" si="98"/>
        <v>0</v>
      </c>
      <c r="AJ32" s="1296">
        <f t="shared" si="98"/>
        <v>0</v>
      </c>
      <c r="AK32" s="1296">
        <f t="shared" si="98"/>
        <v>0</v>
      </c>
      <c r="AL32" s="1296">
        <f t="shared" si="98"/>
        <v>0</v>
      </c>
      <c r="AM32" s="1296">
        <f t="shared" si="98"/>
        <v>0</v>
      </c>
      <c r="AN32" s="1296">
        <f t="shared" si="98"/>
        <v>0</v>
      </c>
      <c r="AO32" s="1296">
        <f t="shared" si="98"/>
        <v>0</v>
      </c>
      <c r="AP32" s="1296">
        <f t="shared" si="98"/>
        <v>0</v>
      </c>
      <c r="AQ32" s="1296">
        <f t="shared" si="98"/>
        <v>0</v>
      </c>
      <c r="AR32" s="1297">
        <f t="shared" si="98"/>
        <v>0</v>
      </c>
      <c r="AS32" s="532"/>
      <c r="AT32" s="1357">
        <f t="shared" si="59"/>
        <v>0</v>
      </c>
      <c r="AU32" s="1358">
        <f t="shared" si="60"/>
        <v>0</v>
      </c>
      <c r="AV32" s="1358">
        <f t="shared" si="61"/>
        <v>0</v>
      </c>
      <c r="AW32" s="1358">
        <f t="shared" si="62"/>
        <v>0</v>
      </c>
      <c r="AX32" s="1358">
        <f t="shared" si="63"/>
        <v>0</v>
      </c>
      <c r="AY32" s="1358">
        <f t="shared" si="64"/>
        <v>0</v>
      </c>
      <c r="AZ32" s="1358">
        <f t="shared" si="65"/>
        <v>0</v>
      </c>
      <c r="BA32" s="1358">
        <f t="shared" si="66"/>
        <v>0</v>
      </c>
      <c r="BB32" s="1358">
        <f t="shared" si="67"/>
        <v>0</v>
      </c>
      <c r="BC32" s="1358">
        <f t="shared" si="68"/>
        <v>0</v>
      </c>
      <c r="BD32" s="1358">
        <f t="shared" si="69"/>
        <v>0</v>
      </c>
      <c r="BE32" s="1358">
        <f t="shared" si="70"/>
        <v>0</v>
      </c>
      <c r="BF32" s="1358">
        <f t="shared" si="71"/>
        <v>0</v>
      </c>
      <c r="BG32" s="1358">
        <f t="shared" si="72"/>
        <v>0</v>
      </c>
      <c r="BH32" s="1358">
        <f t="shared" si="73"/>
        <v>0</v>
      </c>
      <c r="BI32" s="1358">
        <f t="shared" si="74"/>
        <v>0</v>
      </c>
      <c r="BJ32" s="1358">
        <f t="shared" si="75"/>
        <v>0</v>
      </c>
      <c r="BK32" s="1358">
        <f t="shared" si="76"/>
        <v>0</v>
      </c>
      <c r="BL32" s="1358">
        <f t="shared" si="77"/>
        <v>0</v>
      </c>
      <c r="BM32" s="1358">
        <f t="shared" si="78"/>
        <v>0</v>
      </c>
      <c r="BN32" s="1358">
        <f t="shared" si="79"/>
        <v>0</v>
      </c>
      <c r="BO32" s="1358">
        <f t="shared" si="80"/>
        <v>0</v>
      </c>
      <c r="BP32" s="1358">
        <f t="shared" si="81"/>
        <v>0</v>
      </c>
      <c r="BQ32" s="1358">
        <f t="shared" si="82"/>
        <v>0</v>
      </c>
      <c r="BR32" s="1358">
        <f t="shared" si="83"/>
        <v>0</v>
      </c>
      <c r="BS32" s="542">
        <f t="shared" si="84"/>
        <v>0</v>
      </c>
      <c r="BT32" s="542">
        <f t="shared" si="85"/>
        <v>0</v>
      </c>
      <c r="BU32" s="542">
        <f t="shared" si="86"/>
        <v>0</v>
      </c>
      <c r="BV32" s="542">
        <f t="shared" si="87"/>
        <v>0</v>
      </c>
      <c r="BW32" s="542">
        <f t="shared" si="88"/>
        <v>0</v>
      </c>
      <c r="BX32" s="542">
        <f t="shared" si="89"/>
        <v>0</v>
      </c>
      <c r="BY32" s="542">
        <f t="shared" si="90"/>
        <v>0</v>
      </c>
      <c r="BZ32" s="542">
        <f t="shared" si="91"/>
        <v>0</v>
      </c>
      <c r="CA32" s="542">
        <f t="shared" si="92"/>
        <v>0</v>
      </c>
      <c r="CB32" s="542">
        <f t="shared" si="93"/>
        <v>0</v>
      </c>
      <c r="CC32" s="542">
        <f t="shared" si="94"/>
        <v>0</v>
      </c>
      <c r="CD32" s="542">
        <f t="shared" si="95"/>
        <v>0</v>
      </c>
      <c r="CE32" s="542">
        <f t="shared" si="96"/>
        <v>0</v>
      </c>
      <c r="CF32" s="542"/>
      <c r="CG32" s="542"/>
      <c r="CH32" s="529">
        <f>F32-SUM(AT32:CG32)</f>
        <v>0</v>
      </c>
    </row>
    <row r="33" spans="1:86" s="407" customFormat="1" ht="18.600000000000001" customHeight="1">
      <c r="A33" s="547"/>
      <c r="B33" s="1347">
        <v>2.1</v>
      </c>
      <c r="C33" s="1348" t="str">
        <f>+'2.Tien do'!C30</f>
        <v>Xây dựng Chung cư ….</v>
      </c>
      <c r="D33" s="1300">
        <f>+'1. thong tin quy hoach'!I21</f>
        <v>0</v>
      </c>
      <c r="E33" s="1349" t="e">
        <f>F33/D33*10^6</f>
        <v>#DIV/0!</v>
      </c>
      <c r="F33" s="1349">
        <f>SUM(F34,F42:F46)</f>
        <v>0</v>
      </c>
      <c r="G33" s="1349"/>
      <c r="H33" s="1349"/>
      <c r="I33" s="1349"/>
      <c r="J33" s="1349"/>
      <c r="K33" s="1349"/>
      <c r="L33" s="1349"/>
      <c r="M33" s="1349"/>
      <c r="N33" s="1349"/>
      <c r="O33" s="1349"/>
      <c r="P33" s="1349"/>
      <c r="Q33" s="1349"/>
      <c r="R33" s="1349"/>
      <c r="S33" s="1349"/>
      <c r="T33" s="1349"/>
      <c r="U33" s="1349"/>
      <c r="V33" s="1349"/>
      <c r="W33" s="1349"/>
      <c r="X33" s="1349"/>
      <c r="Y33" s="1349"/>
      <c r="Z33" s="1349"/>
      <c r="AA33" s="1349"/>
      <c r="AB33" s="1330"/>
      <c r="AC33" s="1330"/>
      <c r="AD33" s="1330"/>
      <c r="AE33" s="1330"/>
      <c r="AF33" s="1330"/>
      <c r="AG33" s="1330"/>
      <c r="AH33" s="1330"/>
      <c r="AI33" s="1330"/>
      <c r="AJ33" s="1330"/>
      <c r="AK33" s="1330"/>
      <c r="AL33" s="1330"/>
      <c r="AM33" s="1330"/>
      <c r="AN33" s="1330"/>
      <c r="AO33" s="1330"/>
      <c r="AP33" s="1330"/>
      <c r="AQ33" s="1330"/>
      <c r="AR33" s="1331"/>
      <c r="AS33" s="548"/>
      <c r="AT33" s="625">
        <f t="shared" ref="AT33:BN33" si="99">SUM(AT35:AT46)</f>
        <v>0</v>
      </c>
      <c r="AU33" s="626">
        <f t="shared" si="99"/>
        <v>0</v>
      </c>
      <c r="AV33" s="626">
        <f t="shared" si="99"/>
        <v>0</v>
      </c>
      <c r="AW33" s="626">
        <f t="shared" si="99"/>
        <v>0</v>
      </c>
      <c r="AX33" s="626">
        <f t="shared" si="99"/>
        <v>0</v>
      </c>
      <c r="AY33" s="626">
        <f t="shared" si="99"/>
        <v>0</v>
      </c>
      <c r="AZ33" s="626">
        <f t="shared" si="99"/>
        <v>0</v>
      </c>
      <c r="BA33" s="626">
        <f t="shared" si="99"/>
        <v>0</v>
      </c>
      <c r="BB33" s="626">
        <f t="shared" si="99"/>
        <v>0</v>
      </c>
      <c r="BC33" s="626">
        <f t="shared" si="99"/>
        <v>0</v>
      </c>
      <c r="BD33" s="626">
        <f t="shared" si="99"/>
        <v>0</v>
      </c>
      <c r="BE33" s="626">
        <f t="shared" si="99"/>
        <v>0</v>
      </c>
      <c r="BF33" s="626">
        <f t="shared" si="99"/>
        <v>0</v>
      </c>
      <c r="BG33" s="626">
        <f t="shared" si="99"/>
        <v>0</v>
      </c>
      <c r="BH33" s="626">
        <f t="shared" si="99"/>
        <v>0</v>
      </c>
      <c r="BI33" s="626">
        <f t="shared" si="99"/>
        <v>0</v>
      </c>
      <c r="BJ33" s="626">
        <f t="shared" si="99"/>
        <v>0</v>
      </c>
      <c r="BK33" s="626">
        <f t="shared" si="99"/>
        <v>0</v>
      </c>
      <c r="BL33" s="626">
        <f t="shared" si="99"/>
        <v>0</v>
      </c>
      <c r="BM33" s="626">
        <f t="shared" si="99"/>
        <v>0</v>
      </c>
      <c r="BN33" s="626">
        <f t="shared" si="99"/>
        <v>0</v>
      </c>
      <c r="BO33" s="626">
        <f t="shared" ref="BO33:BR33" si="100">SUM(BO35:BO46)</f>
        <v>0</v>
      </c>
      <c r="BP33" s="626">
        <f t="shared" si="100"/>
        <v>0</v>
      </c>
      <c r="BQ33" s="626">
        <f t="shared" si="100"/>
        <v>0</v>
      </c>
      <c r="BR33" s="626">
        <f t="shared" si="100"/>
        <v>0</v>
      </c>
      <c r="BS33" s="549">
        <f t="shared" ref="BS33:CE33" si="101">SUM(BS35:BS46)</f>
        <v>0</v>
      </c>
      <c r="BT33" s="549">
        <f t="shared" si="101"/>
        <v>0</v>
      </c>
      <c r="BU33" s="549">
        <f t="shared" si="101"/>
        <v>0</v>
      </c>
      <c r="BV33" s="549">
        <f t="shared" si="101"/>
        <v>0</v>
      </c>
      <c r="BW33" s="549">
        <f t="shared" si="101"/>
        <v>0</v>
      </c>
      <c r="BX33" s="549">
        <f t="shared" si="101"/>
        <v>0</v>
      </c>
      <c r="BY33" s="549">
        <f t="shared" si="101"/>
        <v>0</v>
      </c>
      <c r="BZ33" s="549">
        <f t="shared" si="101"/>
        <v>0</v>
      </c>
      <c r="CA33" s="549">
        <f t="shared" si="101"/>
        <v>0</v>
      </c>
      <c r="CB33" s="549">
        <f t="shared" si="101"/>
        <v>0</v>
      </c>
      <c r="CC33" s="549">
        <f t="shared" si="101"/>
        <v>0</v>
      </c>
      <c r="CD33" s="549">
        <f t="shared" si="101"/>
        <v>0</v>
      </c>
      <c r="CE33" s="549">
        <f t="shared" si="101"/>
        <v>0</v>
      </c>
      <c r="CF33" s="549"/>
      <c r="CG33" s="549"/>
      <c r="CH33" s="529">
        <f t="shared" ref="CH33:CH44" si="102">F33-SUM(AT33:CG33)</f>
        <v>0</v>
      </c>
    </row>
    <row r="34" spans="1:86" s="407" customFormat="1" hidden="1" outlineLevel="1">
      <c r="A34" s="550"/>
      <c r="B34" s="1336"/>
      <c r="C34" s="1337" t="s">
        <v>114</v>
      </c>
      <c r="D34" s="1338">
        <f>D33</f>
        <v>0</v>
      </c>
      <c r="E34" s="1339">
        <f>'8.ĐO NHAY'!$C$16*10^6</f>
        <v>13000000</v>
      </c>
      <c r="F34" s="1340">
        <f>D34*E34/10^6</f>
        <v>0</v>
      </c>
      <c r="G34" s="1340"/>
      <c r="H34" s="1340"/>
      <c r="I34" s="1340"/>
      <c r="J34" s="1340"/>
      <c r="K34" s="1340"/>
      <c r="L34" s="1340"/>
      <c r="M34" s="1340"/>
      <c r="N34" s="1340"/>
      <c r="O34" s="1340"/>
      <c r="P34" s="1340"/>
      <c r="Q34" s="1340"/>
      <c r="R34" s="1340"/>
      <c r="S34" s="1340"/>
      <c r="T34" s="1340"/>
      <c r="U34" s="1340"/>
      <c r="V34" s="1340"/>
      <c r="W34" s="1340"/>
      <c r="X34" s="1340"/>
      <c r="Y34" s="1340"/>
      <c r="Z34" s="1340"/>
      <c r="AA34" s="1340"/>
      <c r="AB34" s="530"/>
      <c r="AC34" s="530"/>
      <c r="AD34" s="530"/>
      <c r="AE34" s="530"/>
      <c r="AF34" s="530"/>
      <c r="AG34" s="530"/>
      <c r="AH34" s="530"/>
      <c r="AI34" s="530"/>
      <c r="AJ34" s="530"/>
      <c r="AK34" s="530"/>
      <c r="AL34" s="530"/>
      <c r="AM34" s="530"/>
      <c r="AN34" s="530"/>
      <c r="AO34" s="530"/>
      <c r="AP34" s="530"/>
      <c r="AQ34" s="530"/>
      <c r="AR34" s="531"/>
      <c r="AS34" s="548"/>
      <c r="AT34" s="629">
        <f>SUM(AT35:AT41)</f>
        <v>0</v>
      </c>
      <c r="AU34" s="630">
        <f t="shared" ref="AU34:CE34" si="103">SUM(AU35:AU41)</f>
        <v>0</v>
      </c>
      <c r="AV34" s="630">
        <f t="shared" si="103"/>
        <v>0</v>
      </c>
      <c r="AW34" s="630">
        <f t="shared" si="103"/>
        <v>0</v>
      </c>
      <c r="AX34" s="630">
        <f t="shared" si="103"/>
        <v>0</v>
      </c>
      <c r="AY34" s="630">
        <f t="shared" si="103"/>
        <v>0</v>
      </c>
      <c r="AZ34" s="630">
        <f t="shared" si="103"/>
        <v>0</v>
      </c>
      <c r="BA34" s="630">
        <f t="shared" si="103"/>
        <v>0</v>
      </c>
      <c r="BB34" s="630">
        <f t="shared" si="103"/>
        <v>0</v>
      </c>
      <c r="BC34" s="630">
        <f t="shared" si="103"/>
        <v>0</v>
      </c>
      <c r="BD34" s="630">
        <f t="shared" si="103"/>
        <v>0</v>
      </c>
      <c r="BE34" s="630">
        <f t="shared" si="103"/>
        <v>0</v>
      </c>
      <c r="BF34" s="630">
        <f t="shared" si="103"/>
        <v>0</v>
      </c>
      <c r="BG34" s="630">
        <f t="shared" si="103"/>
        <v>0</v>
      </c>
      <c r="BH34" s="630">
        <f t="shared" si="103"/>
        <v>0</v>
      </c>
      <c r="BI34" s="630">
        <f t="shared" si="103"/>
        <v>0</v>
      </c>
      <c r="BJ34" s="630">
        <f t="shared" si="103"/>
        <v>0</v>
      </c>
      <c r="BK34" s="630">
        <f t="shared" si="103"/>
        <v>0</v>
      </c>
      <c r="BL34" s="630">
        <f t="shared" si="103"/>
        <v>0</v>
      </c>
      <c r="BM34" s="630">
        <f t="shared" si="103"/>
        <v>0</v>
      </c>
      <c r="BN34" s="630">
        <f t="shared" si="103"/>
        <v>0</v>
      </c>
      <c r="BO34" s="630">
        <f t="shared" ref="BO34:BR34" si="104">SUM(BO35:BO41)</f>
        <v>0</v>
      </c>
      <c r="BP34" s="630">
        <f t="shared" si="104"/>
        <v>0</v>
      </c>
      <c r="BQ34" s="630">
        <f t="shared" si="104"/>
        <v>0</v>
      </c>
      <c r="BR34" s="630">
        <f t="shared" si="104"/>
        <v>0</v>
      </c>
      <c r="BS34" s="551">
        <f t="shared" si="103"/>
        <v>0</v>
      </c>
      <c r="BT34" s="551">
        <f t="shared" si="103"/>
        <v>0</v>
      </c>
      <c r="BU34" s="551">
        <f t="shared" si="103"/>
        <v>0</v>
      </c>
      <c r="BV34" s="551">
        <f t="shared" si="103"/>
        <v>0</v>
      </c>
      <c r="BW34" s="551">
        <f t="shared" si="103"/>
        <v>0</v>
      </c>
      <c r="BX34" s="551">
        <f t="shared" si="103"/>
        <v>0</v>
      </c>
      <c r="BY34" s="551">
        <f t="shared" si="103"/>
        <v>0</v>
      </c>
      <c r="BZ34" s="551">
        <f t="shared" si="103"/>
        <v>0</v>
      </c>
      <c r="CA34" s="551">
        <f t="shared" si="103"/>
        <v>0</v>
      </c>
      <c r="CB34" s="551">
        <f t="shared" si="103"/>
        <v>0</v>
      </c>
      <c r="CC34" s="551">
        <f t="shared" si="103"/>
        <v>0</v>
      </c>
      <c r="CD34" s="551">
        <f t="shared" si="103"/>
        <v>0</v>
      </c>
      <c r="CE34" s="551">
        <f t="shared" si="103"/>
        <v>0</v>
      </c>
      <c r="CF34" s="551"/>
      <c r="CG34" s="551"/>
      <c r="CH34" s="529">
        <f t="shared" si="102"/>
        <v>0</v>
      </c>
    </row>
    <row r="35" spans="1:86" s="407" customFormat="1" hidden="1" outlineLevel="1">
      <c r="B35" s="534"/>
      <c r="C35" s="628" t="s">
        <v>146</v>
      </c>
      <c r="D35" s="535"/>
      <c r="E35" s="613">
        <v>1E-3</v>
      </c>
      <c r="F35" s="538">
        <f>E35*$F$34</f>
        <v>0</v>
      </c>
      <c r="G35" s="539"/>
      <c r="H35" s="539">
        <f>+'2.Tien do'!E31</f>
        <v>0</v>
      </c>
      <c r="I35" s="539">
        <f>+'2.Tien do'!F31</f>
        <v>0</v>
      </c>
      <c r="J35" s="539">
        <f>+'2.Tien do'!G31</f>
        <v>0</v>
      </c>
      <c r="K35" s="539">
        <f>+'2.Tien do'!H31</f>
        <v>0</v>
      </c>
      <c r="L35" s="539">
        <f>+'2.Tien do'!I31</f>
        <v>0</v>
      </c>
      <c r="M35" s="539">
        <f>+'2.Tien do'!J31</f>
        <v>0</v>
      </c>
      <c r="N35" s="539">
        <f>+'2.Tien do'!K31</f>
        <v>0</v>
      </c>
      <c r="O35" s="539">
        <f>+'2.Tien do'!L31</f>
        <v>0</v>
      </c>
      <c r="P35" s="539">
        <f>+'2.Tien do'!M31</f>
        <v>0</v>
      </c>
      <c r="Q35" s="539">
        <f>+'2.Tien do'!N31</f>
        <v>0</v>
      </c>
      <c r="R35" s="539">
        <f>+'2.Tien do'!O31</f>
        <v>0</v>
      </c>
      <c r="S35" s="539">
        <f>+'2.Tien do'!P31</f>
        <v>0</v>
      </c>
      <c r="T35" s="539">
        <f>+'2.Tien do'!Q31</f>
        <v>0</v>
      </c>
      <c r="U35" s="539">
        <f>+'2.Tien do'!R31</f>
        <v>0</v>
      </c>
      <c r="V35" s="539">
        <f>+'2.Tien do'!S31</f>
        <v>0</v>
      </c>
      <c r="W35" s="539">
        <f>+'2.Tien do'!T31</f>
        <v>0</v>
      </c>
      <c r="X35" s="539">
        <f>+'2.Tien do'!U31</f>
        <v>0</v>
      </c>
      <c r="Y35" s="539">
        <f>+'2.Tien do'!V31</f>
        <v>0</v>
      </c>
      <c r="Z35" s="539">
        <f>+'2.Tien do'!W31</f>
        <v>0</v>
      </c>
      <c r="AA35" s="539">
        <f>+'2.Tien do'!X31</f>
        <v>0</v>
      </c>
      <c r="AB35" s="539">
        <f>+'2.Tien do'!Y31</f>
        <v>0</v>
      </c>
      <c r="AC35" s="539">
        <f>+'2.Tien do'!Z31</f>
        <v>0</v>
      </c>
      <c r="AD35" s="539">
        <f>+'2.Tien do'!AA31</f>
        <v>0</v>
      </c>
      <c r="AE35" s="539">
        <f>+'2.Tien do'!AB31</f>
        <v>0</v>
      </c>
      <c r="AF35" s="539">
        <f>+'2.Tien do'!AC31</f>
        <v>0</v>
      </c>
      <c r="AG35" s="539">
        <f>+'2.Tien do'!AD31</f>
        <v>0</v>
      </c>
      <c r="AH35" s="539">
        <f>+'2.Tien do'!AE31</f>
        <v>0</v>
      </c>
      <c r="AI35" s="539">
        <f>+'2.Tien do'!AF31</f>
        <v>0</v>
      </c>
      <c r="AJ35" s="539">
        <f>+'2.Tien do'!AG31</f>
        <v>0</v>
      </c>
      <c r="AK35" s="539">
        <f>+'2.Tien do'!AH31</f>
        <v>0</v>
      </c>
      <c r="AL35" s="539">
        <f>+'2.Tien do'!AI31</f>
        <v>0</v>
      </c>
      <c r="AM35" s="539">
        <f>+'2.Tien do'!AJ31</f>
        <v>0</v>
      </c>
      <c r="AN35" s="539">
        <f>+'2.Tien do'!AK31</f>
        <v>0</v>
      </c>
      <c r="AO35" s="539">
        <f>+'2.Tien do'!AL31</f>
        <v>0</v>
      </c>
      <c r="AP35" s="539">
        <f>+'2.Tien do'!AM31</f>
        <v>0</v>
      </c>
      <c r="AQ35" s="539">
        <f>+'2.Tien do'!AN31</f>
        <v>0</v>
      </c>
      <c r="AR35" s="539">
        <f>+'2.Tien do'!AO31</f>
        <v>0</v>
      </c>
      <c r="AS35" s="548"/>
      <c r="AT35" s="541">
        <f t="shared" ref="AT35:AT41" si="105">$F35*G35</f>
        <v>0</v>
      </c>
      <c r="AU35" s="542">
        <f t="shared" ref="AU35:AU46" si="106">$F35*H35</f>
        <v>0</v>
      </c>
      <c r="AV35" s="542">
        <f t="shared" ref="AV35:AV46" si="107">$F35*I35</f>
        <v>0</v>
      </c>
      <c r="AW35" s="542">
        <f t="shared" ref="AW35:AW46" si="108">$F35*J35</f>
        <v>0</v>
      </c>
      <c r="AX35" s="542">
        <f t="shared" ref="AX35:AX46" si="109">$F35*K35</f>
        <v>0</v>
      </c>
      <c r="AY35" s="542">
        <f t="shared" ref="AY35:AY46" si="110">$F35*L35</f>
        <v>0</v>
      </c>
      <c r="AZ35" s="542">
        <f t="shared" ref="AZ35:AZ46" si="111">$F35*M35</f>
        <v>0</v>
      </c>
      <c r="BA35" s="542">
        <f t="shared" ref="BA35:BA46" si="112">$F35*N35</f>
        <v>0</v>
      </c>
      <c r="BB35" s="542">
        <f t="shared" ref="BB35:BB46" si="113">$F35*O35</f>
        <v>0</v>
      </c>
      <c r="BC35" s="542">
        <f t="shared" ref="BC35:BC46" si="114">$F35*P35</f>
        <v>0</v>
      </c>
      <c r="BD35" s="542">
        <f t="shared" ref="BD35:BD46" si="115">$F35*Q35</f>
        <v>0</v>
      </c>
      <c r="BE35" s="542">
        <f t="shared" ref="BE35:BE46" si="116">$F35*R35</f>
        <v>0</v>
      </c>
      <c r="BF35" s="542">
        <f t="shared" ref="BF35:BF46" si="117">$F35*S35</f>
        <v>0</v>
      </c>
      <c r="BG35" s="542">
        <f t="shared" ref="BG35:BG46" si="118">$F35*T35</f>
        <v>0</v>
      </c>
      <c r="BH35" s="542">
        <f t="shared" ref="BH35:BH46" si="119">$F35*U35</f>
        <v>0</v>
      </c>
      <c r="BI35" s="542">
        <f t="shared" ref="BI35:BI46" si="120">$F35*V35</f>
        <v>0</v>
      </c>
      <c r="BJ35" s="542">
        <f t="shared" ref="BJ35:BJ46" si="121">$F35*W35</f>
        <v>0</v>
      </c>
      <c r="BK35" s="542">
        <f t="shared" ref="BK35:BK46" si="122">$F35*X35</f>
        <v>0</v>
      </c>
      <c r="BL35" s="542">
        <f t="shared" ref="BL35:BL46" si="123">$F35*Y35</f>
        <v>0</v>
      </c>
      <c r="BM35" s="542">
        <f t="shared" ref="BM35:BM46" si="124">$F35*Z35</f>
        <v>0</v>
      </c>
      <c r="BN35" s="542">
        <f t="shared" ref="BN35:BN46" si="125">$F35*AA35</f>
        <v>0</v>
      </c>
      <c r="BO35" s="542">
        <f t="shared" ref="BO35:BO46" si="126">$F35*AB35</f>
        <v>0</v>
      </c>
      <c r="BP35" s="542">
        <f t="shared" ref="BP35:BP46" si="127">$F35*AC35</f>
        <v>0</v>
      </c>
      <c r="BQ35" s="542">
        <f t="shared" ref="BQ35:BQ46" si="128">$F35*AD35</f>
        <v>0</v>
      </c>
      <c r="BR35" s="542">
        <f t="shared" ref="BR35:BR46" si="129">$F35*AE35</f>
        <v>0</v>
      </c>
      <c r="BS35" s="542">
        <f t="shared" ref="BS35:BS46" si="130">$F35*AF35</f>
        <v>0</v>
      </c>
      <c r="BT35" s="542">
        <f t="shared" ref="BT35:BT46" si="131">$F35*AG35</f>
        <v>0</v>
      </c>
      <c r="BU35" s="542">
        <f t="shared" ref="BU35:BU46" si="132">$F35*AH35</f>
        <v>0</v>
      </c>
      <c r="BV35" s="542">
        <f t="shared" ref="BV35:BV46" si="133">$F35*AI35</f>
        <v>0</v>
      </c>
      <c r="BW35" s="542">
        <f t="shared" ref="BW35:BW46" si="134">$F35*AJ35</f>
        <v>0</v>
      </c>
      <c r="BX35" s="542">
        <f t="shared" ref="BX35:BX46" si="135">$F35*AK35</f>
        <v>0</v>
      </c>
      <c r="BY35" s="542">
        <f t="shared" ref="BY35:BY46" si="136">$F35*AL35</f>
        <v>0</v>
      </c>
      <c r="BZ35" s="542">
        <f t="shared" ref="BZ35:BZ46" si="137">$F35*AM35</f>
        <v>0</v>
      </c>
      <c r="CA35" s="542">
        <f t="shared" ref="CA35:CA46" si="138">$F35*AN35</f>
        <v>0</v>
      </c>
      <c r="CB35" s="542">
        <f t="shared" ref="CB35:CB46" si="139">$F35*AO35</f>
        <v>0</v>
      </c>
      <c r="CC35" s="542">
        <f t="shared" ref="CC35:CC46" si="140">$F35*AP35</f>
        <v>0</v>
      </c>
      <c r="CD35" s="542">
        <f t="shared" ref="CD35:CD46" si="141">$F35*AQ35</f>
        <v>0</v>
      </c>
      <c r="CE35" s="542">
        <f t="shared" ref="CE35:CE46" si="142">$F35*AR35</f>
        <v>0</v>
      </c>
      <c r="CF35" s="542"/>
      <c r="CG35" s="542"/>
      <c r="CH35" s="529">
        <f t="shared" si="102"/>
        <v>0</v>
      </c>
    </row>
    <row r="36" spans="1:86" s="407" customFormat="1" hidden="1" outlineLevel="1">
      <c r="B36" s="534"/>
      <c r="C36" s="628" t="s">
        <v>147</v>
      </c>
      <c r="D36" s="535"/>
      <c r="E36" s="613">
        <v>0.17799999999999999</v>
      </c>
      <c r="F36" s="538">
        <f t="shared" ref="F36:F41" si="143">E36*$F$34</f>
        <v>0</v>
      </c>
      <c r="G36" s="539"/>
      <c r="H36" s="539">
        <f>+'2.Tien do'!E32</f>
        <v>0</v>
      </c>
      <c r="I36" s="539">
        <f>+'2.Tien do'!F32</f>
        <v>0</v>
      </c>
      <c r="J36" s="539">
        <f>+'2.Tien do'!G32</f>
        <v>0</v>
      </c>
      <c r="K36" s="539">
        <f>+'2.Tien do'!H32</f>
        <v>0</v>
      </c>
      <c r="L36" s="539">
        <f>+'2.Tien do'!I32</f>
        <v>0</v>
      </c>
      <c r="M36" s="539">
        <f>+'2.Tien do'!J32</f>
        <v>0</v>
      </c>
      <c r="N36" s="539">
        <f>+'2.Tien do'!K32</f>
        <v>0</v>
      </c>
      <c r="O36" s="539">
        <f>+'2.Tien do'!L32</f>
        <v>0</v>
      </c>
      <c r="P36" s="539">
        <f>+'2.Tien do'!M32</f>
        <v>0</v>
      </c>
      <c r="Q36" s="539">
        <f>+'2.Tien do'!N32</f>
        <v>0</v>
      </c>
      <c r="R36" s="539">
        <f>+'2.Tien do'!O32</f>
        <v>0</v>
      </c>
      <c r="S36" s="539">
        <f>+'2.Tien do'!P32</f>
        <v>0</v>
      </c>
      <c r="T36" s="539">
        <f>+'2.Tien do'!Q32</f>
        <v>0</v>
      </c>
      <c r="U36" s="539">
        <f>+'2.Tien do'!R32</f>
        <v>0</v>
      </c>
      <c r="V36" s="539">
        <f>+'2.Tien do'!S32</f>
        <v>0</v>
      </c>
      <c r="W36" s="539">
        <f>+'2.Tien do'!T32</f>
        <v>0</v>
      </c>
      <c r="X36" s="539">
        <f>+'2.Tien do'!U32</f>
        <v>0</v>
      </c>
      <c r="Y36" s="539">
        <f>+'2.Tien do'!V32</f>
        <v>0</v>
      </c>
      <c r="Z36" s="539">
        <f>+'2.Tien do'!W32</f>
        <v>0</v>
      </c>
      <c r="AA36" s="539">
        <f>+'2.Tien do'!X32</f>
        <v>0</v>
      </c>
      <c r="AB36" s="539">
        <f>+'2.Tien do'!Y32</f>
        <v>0</v>
      </c>
      <c r="AC36" s="539">
        <f>+'2.Tien do'!Z32</f>
        <v>0</v>
      </c>
      <c r="AD36" s="539">
        <f>+'2.Tien do'!AA32</f>
        <v>0</v>
      </c>
      <c r="AE36" s="539">
        <f>+'2.Tien do'!AB32</f>
        <v>0</v>
      </c>
      <c r="AF36" s="539">
        <f>+'2.Tien do'!AC32</f>
        <v>0</v>
      </c>
      <c r="AG36" s="539">
        <f>+'2.Tien do'!AD32</f>
        <v>0</v>
      </c>
      <c r="AH36" s="539">
        <f>+'2.Tien do'!AE32</f>
        <v>0</v>
      </c>
      <c r="AI36" s="539">
        <f>+'2.Tien do'!AF32</f>
        <v>0</v>
      </c>
      <c r="AJ36" s="539">
        <f>+'2.Tien do'!AG32</f>
        <v>0</v>
      </c>
      <c r="AK36" s="539">
        <f>+'2.Tien do'!AH32</f>
        <v>0</v>
      </c>
      <c r="AL36" s="539">
        <f>+'2.Tien do'!AI32</f>
        <v>0</v>
      </c>
      <c r="AM36" s="539">
        <f>+'2.Tien do'!AJ32</f>
        <v>0</v>
      </c>
      <c r="AN36" s="539">
        <f>+'2.Tien do'!AK32</f>
        <v>0</v>
      </c>
      <c r="AO36" s="539">
        <f>+'2.Tien do'!AL32</f>
        <v>0</v>
      </c>
      <c r="AP36" s="539">
        <f>+'2.Tien do'!AM32</f>
        <v>0</v>
      </c>
      <c r="AQ36" s="539">
        <f>+'2.Tien do'!AN32</f>
        <v>0</v>
      </c>
      <c r="AR36" s="539">
        <f>+'2.Tien do'!AO32</f>
        <v>0</v>
      </c>
      <c r="AS36" s="548"/>
      <c r="AT36" s="541">
        <f t="shared" si="105"/>
        <v>0</v>
      </c>
      <c r="AU36" s="542">
        <f t="shared" si="106"/>
        <v>0</v>
      </c>
      <c r="AV36" s="542">
        <f t="shared" si="107"/>
        <v>0</v>
      </c>
      <c r="AW36" s="542">
        <f t="shared" si="108"/>
        <v>0</v>
      </c>
      <c r="AX36" s="542">
        <f t="shared" si="109"/>
        <v>0</v>
      </c>
      <c r="AY36" s="542">
        <f t="shared" si="110"/>
        <v>0</v>
      </c>
      <c r="AZ36" s="542">
        <f t="shared" si="111"/>
        <v>0</v>
      </c>
      <c r="BA36" s="542">
        <f t="shared" si="112"/>
        <v>0</v>
      </c>
      <c r="BB36" s="542">
        <f t="shared" si="113"/>
        <v>0</v>
      </c>
      <c r="BC36" s="542">
        <f t="shared" si="114"/>
        <v>0</v>
      </c>
      <c r="BD36" s="542">
        <f t="shared" si="115"/>
        <v>0</v>
      </c>
      <c r="BE36" s="542">
        <f t="shared" si="116"/>
        <v>0</v>
      </c>
      <c r="BF36" s="542">
        <f t="shared" si="117"/>
        <v>0</v>
      </c>
      <c r="BG36" s="542">
        <f t="shared" si="118"/>
        <v>0</v>
      </c>
      <c r="BH36" s="542">
        <f t="shared" si="119"/>
        <v>0</v>
      </c>
      <c r="BI36" s="542">
        <f t="shared" si="120"/>
        <v>0</v>
      </c>
      <c r="BJ36" s="542">
        <f t="shared" si="121"/>
        <v>0</v>
      </c>
      <c r="BK36" s="542">
        <f t="shared" si="122"/>
        <v>0</v>
      </c>
      <c r="BL36" s="542">
        <f t="shared" si="123"/>
        <v>0</v>
      </c>
      <c r="BM36" s="542">
        <f t="shared" si="124"/>
        <v>0</v>
      </c>
      <c r="BN36" s="542">
        <f t="shared" si="125"/>
        <v>0</v>
      </c>
      <c r="BO36" s="542">
        <f t="shared" si="126"/>
        <v>0</v>
      </c>
      <c r="BP36" s="542">
        <f t="shared" si="127"/>
        <v>0</v>
      </c>
      <c r="BQ36" s="542">
        <f t="shared" si="128"/>
        <v>0</v>
      </c>
      <c r="BR36" s="542">
        <f t="shared" si="129"/>
        <v>0</v>
      </c>
      <c r="BS36" s="542">
        <f t="shared" si="130"/>
        <v>0</v>
      </c>
      <c r="BT36" s="542">
        <f t="shared" si="131"/>
        <v>0</v>
      </c>
      <c r="BU36" s="542">
        <f t="shared" si="132"/>
        <v>0</v>
      </c>
      <c r="BV36" s="542">
        <f t="shared" si="133"/>
        <v>0</v>
      </c>
      <c r="BW36" s="542">
        <f t="shared" si="134"/>
        <v>0</v>
      </c>
      <c r="BX36" s="542">
        <f t="shared" si="135"/>
        <v>0</v>
      </c>
      <c r="BY36" s="542">
        <f t="shared" si="136"/>
        <v>0</v>
      </c>
      <c r="BZ36" s="542">
        <f t="shared" si="137"/>
        <v>0</v>
      </c>
      <c r="CA36" s="542">
        <f t="shared" si="138"/>
        <v>0</v>
      </c>
      <c r="CB36" s="542">
        <f t="shared" si="139"/>
        <v>0</v>
      </c>
      <c r="CC36" s="542">
        <f t="shared" si="140"/>
        <v>0</v>
      </c>
      <c r="CD36" s="542">
        <f t="shared" si="141"/>
        <v>0</v>
      </c>
      <c r="CE36" s="542">
        <f t="shared" si="142"/>
        <v>0</v>
      </c>
      <c r="CF36" s="542"/>
      <c r="CG36" s="542"/>
      <c r="CH36" s="529">
        <f t="shared" si="102"/>
        <v>0</v>
      </c>
    </row>
    <row r="37" spans="1:86" s="552" customFormat="1" hidden="1" outlineLevel="1">
      <c r="B37" s="534"/>
      <c r="C37" s="628" t="s">
        <v>149</v>
      </c>
      <c r="D37" s="535"/>
      <c r="E37" s="613">
        <v>0.22800000000000001</v>
      </c>
      <c r="F37" s="538">
        <f t="shared" si="143"/>
        <v>0</v>
      </c>
      <c r="G37" s="539"/>
      <c r="H37" s="539">
        <f>+'2.Tien do'!E33</f>
        <v>0</v>
      </c>
      <c r="I37" s="539">
        <f>+'2.Tien do'!F33</f>
        <v>0</v>
      </c>
      <c r="J37" s="539">
        <f>+'2.Tien do'!G33</f>
        <v>0</v>
      </c>
      <c r="K37" s="539">
        <f>+'2.Tien do'!H33</f>
        <v>0</v>
      </c>
      <c r="L37" s="539">
        <f>+'2.Tien do'!I33</f>
        <v>0</v>
      </c>
      <c r="M37" s="539">
        <f>+'2.Tien do'!J33</f>
        <v>0</v>
      </c>
      <c r="N37" s="539">
        <f>+'2.Tien do'!K33</f>
        <v>0</v>
      </c>
      <c r="O37" s="539">
        <f>+'2.Tien do'!L33</f>
        <v>0</v>
      </c>
      <c r="P37" s="539">
        <f>+'2.Tien do'!M33</f>
        <v>0</v>
      </c>
      <c r="Q37" s="539">
        <f>+'2.Tien do'!N33</f>
        <v>0</v>
      </c>
      <c r="R37" s="539">
        <f>+'2.Tien do'!O33</f>
        <v>0</v>
      </c>
      <c r="S37" s="539">
        <f>+'2.Tien do'!P33</f>
        <v>0</v>
      </c>
      <c r="T37" s="539">
        <f>+'2.Tien do'!Q33</f>
        <v>0</v>
      </c>
      <c r="U37" s="539">
        <f>+'2.Tien do'!R33</f>
        <v>0</v>
      </c>
      <c r="V37" s="539">
        <f>+'2.Tien do'!S33</f>
        <v>0</v>
      </c>
      <c r="W37" s="539">
        <f>+'2.Tien do'!T33</f>
        <v>0</v>
      </c>
      <c r="X37" s="539">
        <f>+'2.Tien do'!U33</f>
        <v>0</v>
      </c>
      <c r="Y37" s="539">
        <f>+'2.Tien do'!V33</f>
        <v>0</v>
      </c>
      <c r="Z37" s="539">
        <f>+'2.Tien do'!W33</f>
        <v>0</v>
      </c>
      <c r="AA37" s="539">
        <f>+'2.Tien do'!X33</f>
        <v>0</v>
      </c>
      <c r="AB37" s="539">
        <f>+'2.Tien do'!Y33</f>
        <v>0</v>
      </c>
      <c r="AC37" s="539">
        <f>+'2.Tien do'!Z33</f>
        <v>0</v>
      </c>
      <c r="AD37" s="539">
        <f>+'2.Tien do'!AA33</f>
        <v>0</v>
      </c>
      <c r="AE37" s="539">
        <f>+'2.Tien do'!AB33</f>
        <v>0</v>
      </c>
      <c r="AF37" s="539">
        <f>+'2.Tien do'!AC33</f>
        <v>0</v>
      </c>
      <c r="AG37" s="539">
        <f>+'2.Tien do'!AD33</f>
        <v>0</v>
      </c>
      <c r="AH37" s="539">
        <f>+'2.Tien do'!AE33</f>
        <v>0</v>
      </c>
      <c r="AI37" s="539">
        <f>+'2.Tien do'!AF33</f>
        <v>0</v>
      </c>
      <c r="AJ37" s="539">
        <f>+'2.Tien do'!AG33</f>
        <v>0</v>
      </c>
      <c r="AK37" s="539">
        <f>+'2.Tien do'!AH33</f>
        <v>0</v>
      </c>
      <c r="AL37" s="539">
        <f>+'2.Tien do'!AI33</f>
        <v>0</v>
      </c>
      <c r="AM37" s="539">
        <f>+'2.Tien do'!AJ33</f>
        <v>0</v>
      </c>
      <c r="AN37" s="539">
        <f>+'2.Tien do'!AK33</f>
        <v>0</v>
      </c>
      <c r="AO37" s="539">
        <f>+'2.Tien do'!AL33</f>
        <v>0</v>
      </c>
      <c r="AP37" s="539">
        <f>+'2.Tien do'!AM33</f>
        <v>0</v>
      </c>
      <c r="AQ37" s="539">
        <f>+'2.Tien do'!AN33</f>
        <v>0</v>
      </c>
      <c r="AR37" s="539">
        <f>+'2.Tien do'!AO33</f>
        <v>0</v>
      </c>
      <c r="AS37" s="548"/>
      <c r="AT37" s="541">
        <f t="shared" si="105"/>
        <v>0</v>
      </c>
      <c r="AU37" s="542">
        <f t="shared" si="106"/>
        <v>0</v>
      </c>
      <c r="AV37" s="542">
        <f t="shared" si="107"/>
        <v>0</v>
      </c>
      <c r="AW37" s="542">
        <f t="shared" si="108"/>
        <v>0</v>
      </c>
      <c r="AX37" s="542">
        <f t="shared" si="109"/>
        <v>0</v>
      </c>
      <c r="AY37" s="542">
        <f t="shared" si="110"/>
        <v>0</v>
      </c>
      <c r="AZ37" s="542">
        <f t="shared" si="111"/>
        <v>0</v>
      </c>
      <c r="BA37" s="542">
        <f t="shared" si="112"/>
        <v>0</v>
      </c>
      <c r="BB37" s="542">
        <f t="shared" si="113"/>
        <v>0</v>
      </c>
      <c r="BC37" s="542">
        <f t="shared" si="114"/>
        <v>0</v>
      </c>
      <c r="BD37" s="542">
        <f t="shared" si="115"/>
        <v>0</v>
      </c>
      <c r="BE37" s="542">
        <f t="shared" si="116"/>
        <v>0</v>
      </c>
      <c r="BF37" s="542">
        <f t="shared" si="117"/>
        <v>0</v>
      </c>
      <c r="BG37" s="542">
        <f t="shared" si="118"/>
        <v>0</v>
      </c>
      <c r="BH37" s="542">
        <f t="shared" si="119"/>
        <v>0</v>
      </c>
      <c r="BI37" s="542">
        <f t="shared" si="120"/>
        <v>0</v>
      </c>
      <c r="BJ37" s="542">
        <f t="shared" si="121"/>
        <v>0</v>
      </c>
      <c r="BK37" s="542">
        <f t="shared" si="122"/>
        <v>0</v>
      </c>
      <c r="BL37" s="542">
        <f t="shared" si="123"/>
        <v>0</v>
      </c>
      <c r="BM37" s="542">
        <f t="shared" si="124"/>
        <v>0</v>
      </c>
      <c r="BN37" s="542">
        <f t="shared" si="125"/>
        <v>0</v>
      </c>
      <c r="BO37" s="542">
        <f t="shared" si="126"/>
        <v>0</v>
      </c>
      <c r="BP37" s="542">
        <f t="shared" si="127"/>
        <v>0</v>
      </c>
      <c r="BQ37" s="542">
        <f t="shared" si="128"/>
        <v>0</v>
      </c>
      <c r="BR37" s="542">
        <f t="shared" si="129"/>
        <v>0</v>
      </c>
      <c r="BS37" s="542">
        <f t="shared" si="130"/>
        <v>0</v>
      </c>
      <c r="BT37" s="542">
        <f t="shared" si="131"/>
        <v>0</v>
      </c>
      <c r="BU37" s="542">
        <f t="shared" si="132"/>
        <v>0</v>
      </c>
      <c r="BV37" s="542">
        <f t="shared" si="133"/>
        <v>0</v>
      </c>
      <c r="BW37" s="542">
        <f t="shared" si="134"/>
        <v>0</v>
      </c>
      <c r="BX37" s="542">
        <f t="shared" si="135"/>
        <v>0</v>
      </c>
      <c r="BY37" s="542">
        <f t="shared" si="136"/>
        <v>0</v>
      </c>
      <c r="BZ37" s="542">
        <f t="shared" si="137"/>
        <v>0</v>
      </c>
      <c r="CA37" s="542">
        <f t="shared" si="138"/>
        <v>0</v>
      </c>
      <c r="CB37" s="542">
        <f t="shared" si="139"/>
        <v>0</v>
      </c>
      <c r="CC37" s="542">
        <f t="shared" si="140"/>
        <v>0</v>
      </c>
      <c r="CD37" s="542">
        <f t="shared" si="141"/>
        <v>0</v>
      </c>
      <c r="CE37" s="542">
        <f t="shared" si="142"/>
        <v>0</v>
      </c>
      <c r="CF37" s="542"/>
      <c r="CG37" s="542"/>
      <c r="CH37" s="529">
        <f t="shared" si="102"/>
        <v>0</v>
      </c>
    </row>
    <row r="38" spans="1:86" s="552" customFormat="1" hidden="1" outlineLevel="1">
      <c r="B38" s="553"/>
      <c r="C38" s="628" t="s">
        <v>150</v>
      </c>
      <c r="D38" s="535"/>
      <c r="E38" s="613">
        <v>0.312</v>
      </c>
      <c r="F38" s="538">
        <f t="shared" si="143"/>
        <v>0</v>
      </c>
      <c r="G38" s="539"/>
      <c r="H38" s="539">
        <f>+'2.Tien do'!E34</f>
        <v>0</v>
      </c>
      <c r="I38" s="539">
        <f>+'2.Tien do'!F34</f>
        <v>0</v>
      </c>
      <c r="J38" s="539">
        <f>+'2.Tien do'!G34</f>
        <v>0</v>
      </c>
      <c r="K38" s="539">
        <f>+'2.Tien do'!H34</f>
        <v>0</v>
      </c>
      <c r="L38" s="539">
        <f>+'2.Tien do'!I34</f>
        <v>0</v>
      </c>
      <c r="M38" s="539">
        <f>+'2.Tien do'!J34</f>
        <v>0</v>
      </c>
      <c r="N38" s="539">
        <f>+'2.Tien do'!K34</f>
        <v>0</v>
      </c>
      <c r="O38" s="539">
        <f>+'2.Tien do'!L34</f>
        <v>0</v>
      </c>
      <c r="P38" s="539">
        <f>+'2.Tien do'!M34</f>
        <v>0</v>
      </c>
      <c r="Q38" s="539">
        <f>+'2.Tien do'!N34</f>
        <v>0</v>
      </c>
      <c r="R38" s="539">
        <f>+'2.Tien do'!O34</f>
        <v>0</v>
      </c>
      <c r="S38" s="539">
        <f>+'2.Tien do'!P34</f>
        <v>0</v>
      </c>
      <c r="T38" s="539">
        <f>+'2.Tien do'!Q34</f>
        <v>0</v>
      </c>
      <c r="U38" s="539">
        <f>+'2.Tien do'!R34</f>
        <v>0</v>
      </c>
      <c r="V38" s="539">
        <f>+'2.Tien do'!S34</f>
        <v>0</v>
      </c>
      <c r="W38" s="539">
        <f>+'2.Tien do'!T34</f>
        <v>0</v>
      </c>
      <c r="X38" s="539">
        <f>+'2.Tien do'!U34</f>
        <v>0</v>
      </c>
      <c r="Y38" s="539">
        <f>+'2.Tien do'!V34</f>
        <v>0</v>
      </c>
      <c r="Z38" s="539">
        <f>+'2.Tien do'!W34</f>
        <v>0</v>
      </c>
      <c r="AA38" s="539">
        <f>+'2.Tien do'!X34</f>
        <v>0</v>
      </c>
      <c r="AB38" s="539">
        <f>+'2.Tien do'!Y34</f>
        <v>0</v>
      </c>
      <c r="AC38" s="539">
        <f>+'2.Tien do'!Z34</f>
        <v>0</v>
      </c>
      <c r="AD38" s="539">
        <f>+'2.Tien do'!AA34</f>
        <v>0</v>
      </c>
      <c r="AE38" s="539">
        <f>+'2.Tien do'!AB34</f>
        <v>0</v>
      </c>
      <c r="AF38" s="539">
        <f>+'2.Tien do'!AC34</f>
        <v>0</v>
      </c>
      <c r="AG38" s="539">
        <f>+'2.Tien do'!AD34</f>
        <v>0</v>
      </c>
      <c r="AH38" s="539">
        <f>+'2.Tien do'!AE34</f>
        <v>0</v>
      </c>
      <c r="AI38" s="539">
        <f>+'2.Tien do'!AF34</f>
        <v>0</v>
      </c>
      <c r="AJ38" s="539">
        <f>+'2.Tien do'!AG34</f>
        <v>0</v>
      </c>
      <c r="AK38" s="539">
        <f>+'2.Tien do'!AH34</f>
        <v>0</v>
      </c>
      <c r="AL38" s="539">
        <f>+'2.Tien do'!AI34</f>
        <v>0</v>
      </c>
      <c r="AM38" s="539">
        <f>+'2.Tien do'!AJ34</f>
        <v>0</v>
      </c>
      <c r="AN38" s="539">
        <f>+'2.Tien do'!AK34</f>
        <v>0</v>
      </c>
      <c r="AO38" s="539">
        <f>+'2.Tien do'!AL34</f>
        <v>0</v>
      </c>
      <c r="AP38" s="539">
        <f>+'2.Tien do'!AM34</f>
        <v>0</v>
      </c>
      <c r="AQ38" s="539">
        <f>+'2.Tien do'!AN34</f>
        <v>0</v>
      </c>
      <c r="AR38" s="539">
        <f>+'2.Tien do'!AO34</f>
        <v>0</v>
      </c>
      <c r="AS38" s="548"/>
      <c r="AT38" s="541">
        <f t="shared" si="105"/>
        <v>0</v>
      </c>
      <c r="AU38" s="542">
        <f t="shared" si="106"/>
        <v>0</v>
      </c>
      <c r="AV38" s="542">
        <f t="shared" si="107"/>
        <v>0</v>
      </c>
      <c r="AW38" s="542">
        <f t="shared" si="108"/>
        <v>0</v>
      </c>
      <c r="AX38" s="542">
        <f t="shared" si="109"/>
        <v>0</v>
      </c>
      <c r="AY38" s="542">
        <f t="shared" si="110"/>
        <v>0</v>
      </c>
      <c r="AZ38" s="542">
        <f t="shared" si="111"/>
        <v>0</v>
      </c>
      <c r="BA38" s="542">
        <f t="shared" si="112"/>
        <v>0</v>
      </c>
      <c r="BB38" s="542">
        <f t="shared" si="113"/>
        <v>0</v>
      </c>
      <c r="BC38" s="542">
        <f t="shared" si="114"/>
        <v>0</v>
      </c>
      <c r="BD38" s="542">
        <f t="shared" si="115"/>
        <v>0</v>
      </c>
      <c r="BE38" s="542">
        <f t="shared" si="116"/>
        <v>0</v>
      </c>
      <c r="BF38" s="542">
        <f t="shared" si="117"/>
        <v>0</v>
      </c>
      <c r="BG38" s="542">
        <f t="shared" si="118"/>
        <v>0</v>
      </c>
      <c r="BH38" s="542">
        <f t="shared" si="119"/>
        <v>0</v>
      </c>
      <c r="BI38" s="542">
        <f t="shared" si="120"/>
        <v>0</v>
      </c>
      <c r="BJ38" s="542">
        <f t="shared" si="121"/>
        <v>0</v>
      </c>
      <c r="BK38" s="542">
        <f t="shared" si="122"/>
        <v>0</v>
      </c>
      <c r="BL38" s="542">
        <f t="shared" si="123"/>
        <v>0</v>
      </c>
      <c r="BM38" s="542">
        <f t="shared" si="124"/>
        <v>0</v>
      </c>
      <c r="BN38" s="542">
        <f t="shared" si="125"/>
        <v>0</v>
      </c>
      <c r="BO38" s="542">
        <f t="shared" si="126"/>
        <v>0</v>
      </c>
      <c r="BP38" s="542">
        <f t="shared" si="127"/>
        <v>0</v>
      </c>
      <c r="BQ38" s="542">
        <f t="shared" si="128"/>
        <v>0</v>
      </c>
      <c r="BR38" s="542">
        <f t="shared" si="129"/>
        <v>0</v>
      </c>
      <c r="BS38" s="542">
        <f t="shared" si="130"/>
        <v>0</v>
      </c>
      <c r="BT38" s="542">
        <f t="shared" si="131"/>
        <v>0</v>
      </c>
      <c r="BU38" s="542">
        <f t="shared" si="132"/>
        <v>0</v>
      </c>
      <c r="BV38" s="542">
        <f t="shared" si="133"/>
        <v>0</v>
      </c>
      <c r="BW38" s="542">
        <f t="shared" si="134"/>
        <v>0</v>
      </c>
      <c r="BX38" s="542">
        <f t="shared" si="135"/>
        <v>0</v>
      </c>
      <c r="BY38" s="542">
        <f t="shared" si="136"/>
        <v>0</v>
      </c>
      <c r="BZ38" s="542">
        <f t="shared" si="137"/>
        <v>0</v>
      </c>
      <c r="CA38" s="542">
        <f t="shared" si="138"/>
        <v>0</v>
      </c>
      <c r="CB38" s="542">
        <f t="shared" si="139"/>
        <v>0</v>
      </c>
      <c r="CC38" s="542">
        <f t="shared" si="140"/>
        <v>0</v>
      </c>
      <c r="CD38" s="542">
        <f t="shared" si="141"/>
        <v>0</v>
      </c>
      <c r="CE38" s="542">
        <f t="shared" si="142"/>
        <v>0</v>
      </c>
      <c r="CF38" s="542"/>
      <c r="CG38" s="542"/>
      <c r="CH38" s="529">
        <f t="shared" si="102"/>
        <v>0</v>
      </c>
    </row>
    <row r="39" spans="1:86" s="407" customFormat="1" ht="18.75" hidden="1" customHeight="1" outlineLevel="1">
      <c r="B39" s="534"/>
      <c r="C39" s="628" t="s">
        <v>151</v>
      </c>
      <c r="D39" s="535"/>
      <c r="E39" s="613">
        <v>0.112</v>
      </c>
      <c r="F39" s="538">
        <f t="shared" si="143"/>
        <v>0</v>
      </c>
      <c r="G39" s="539"/>
      <c r="H39" s="539">
        <f>+'2.Tien do'!E35</f>
        <v>0</v>
      </c>
      <c r="I39" s="539">
        <f>+'2.Tien do'!F35</f>
        <v>0</v>
      </c>
      <c r="J39" s="539">
        <f>+'2.Tien do'!G35</f>
        <v>0</v>
      </c>
      <c r="K39" s="539">
        <f>+'2.Tien do'!H35</f>
        <v>0</v>
      </c>
      <c r="L39" s="539">
        <f>+'2.Tien do'!I35</f>
        <v>0</v>
      </c>
      <c r="M39" s="539">
        <f>+'2.Tien do'!J35</f>
        <v>0</v>
      </c>
      <c r="N39" s="539">
        <f>+'2.Tien do'!K35</f>
        <v>0</v>
      </c>
      <c r="O39" s="539">
        <f>+'2.Tien do'!L35</f>
        <v>0</v>
      </c>
      <c r="P39" s="539">
        <f>+'2.Tien do'!M35</f>
        <v>0</v>
      </c>
      <c r="Q39" s="539">
        <f>+'2.Tien do'!N35</f>
        <v>0</v>
      </c>
      <c r="R39" s="539">
        <f>+'2.Tien do'!O35</f>
        <v>0</v>
      </c>
      <c r="S39" s="539">
        <f>+'2.Tien do'!P35</f>
        <v>0</v>
      </c>
      <c r="T39" s="539">
        <f>+'2.Tien do'!Q35</f>
        <v>0</v>
      </c>
      <c r="U39" s="539">
        <f>+'2.Tien do'!R35</f>
        <v>0</v>
      </c>
      <c r="V39" s="539">
        <f>+'2.Tien do'!S35</f>
        <v>0</v>
      </c>
      <c r="W39" s="539">
        <f>+'2.Tien do'!T35</f>
        <v>0</v>
      </c>
      <c r="X39" s="539">
        <f>+'2.Tien do'!U35</f>
        <v>0</v>
      </c>
      <c r="Y39" s="539">
        <f>+'2.Tien do'!V35</f>
        <v>0</v>
      </c>
      <c r="Z39" s="539">
        <f>+'2.Tien do'!W35</f>
        <v>0</v>
      </c>
      <c r="AA39" s="539">
        <f>+'2.Tien do'!X35</f>
        <v>0</v>
      </c>
      <c r="AB39" s="539">
        <f>+'2.Tien do'!Y35</f>
        <v>0</v>
      </c>
      <c r="AC39" s="539">
        <f>+'2.Tien do'!Z35</f>
        <v>0</v>
      </c>
      <c r="AD39" s="539">
        <f>+'2.Tien do'!AA35</f>
        <v>0</v>
      </c>
      <c r="AE39" s="539">
        <f>+'2.Tien do'!AB35</f>
        <v>0</v>
      </c>
      <c r="AF39" s="539">
        <f>+'2.Tien do'!AC35</f>
        <v>0</v>
      </c>
      <c r="AG39" s="539">
        <f>+'2.Tien do'!AD35</f>
        <v>0</v>
      </c>
      <c r="AH39" s="539">
        <f>+'2.Tien do'!AE35</f>
        <v>0</v>
      </c>
      <c r="AI39" s="539">
        <f>+'2.Tien do'!AF35</f>
        <v>0</v>
      </c>
      <c r="AJ39" s="539">
        <f>+'2.Tien do'!AG35</f>
        <v>0</v>
      </c>
      <c r="AK39" s="539">
        <f>+'2.Tien do'!AH35</f>
        <v>0</v>
      </c>
      <c r="AL39" s="539">
        <f>+'2.Tien do'!AI35</f>
        <v>0</v>
      </c>
      <c r="AM39" s="539">
        <f>+'2.Tien do'!AJ35</f>
        <v>0</v>
      </c>
      <c r="AN39" s="539">
        <f>+'2.Tien do'!AK35</f>
        <v>0</v>
      </c>
      <c r="AO39" s="539">
        <f>+'2.Tien do'!AL35</f>
        <v>0</v>
      </c>
      <c r="AP39" s="539">
        <f>+'2.Tien do'!AM35</f>
        <v>0</v>
      </c>
      <c r="AQ39" s="539">
        <f>+'2.Tien do'!AN35</f>
        <v>0</v>
      </c>
      <c r="AR39" s="539">
        <f>+'2.Tien do'!AO35</f>
        <v>0</v>
      </c>
      <c r="AS39" s="548"/>
      <c r="AT39" s="541">
        <f t="shared" si="105"/>
        <v>0</v>
      </c>
      <c r="AU39" s="542">
        <f t="shared" si="106"/>
        <v>0</v>
      </c>
      <c r="AV39" s="542">
        <f t="shared" si="107"/>
        <v>0</v>
      </c>
      <c r="AW39" s="542">
        <f t="shared" si="108"/>
        <v>0</v>
      </c>
      <c r="AX39" s="542">
        <f t="shared" si="109"/>
        <v>0</v>
      </c>
      <c r="AY39" s="542">
        <f t="shared" si="110"/>
        <v>0</v>
      </c>
      <c r="AZ39" s="542">
        <f t="shared" si="111"/>
        <v>0</v>
      </c>
      <c r="BA39" s="542">
        <f t="shared" si="112"/>
        <v>0</v>
      </c>
      <c r="BB39" s="542">
        <f t="shared" si="113"/>
        <v>0</v>
      </c>
      <c r="BC39" s="542">
        <f t="shared" si="114"/>
        <v>0</v>
      </c>
      <c r="BD39" s="542">
        <f t="shared" si="115"/>
        <v>0</v>
      </c>
      <c r="BE39" s="542">
        <f t="shared" si="116"/>
        <v>0</v>
      </c>
      <c r="BF39" s="542">
        <f t="shared" si="117"/>
        <v>0</v>
      </c>
      <c r="BG39" s="542">
        <f t="shared" si="118"/>
        <v>0</v>
      </c>
      <c r="BH39" s="542">
        <f t="shared" si="119"/>
        <v>0</v>
      </c>
      <c r="BI39" s="542">
        <f t="shared" si="120"/>
        <v>0</v>
      </c>
      <c r="BJ39" s="542">
        <f t="shared" si="121"/>
        <v>0</v>
      </c>
      <c r="BK39" s="542">
        <f t="shared" si="122"/>
        <v>0</v>
      </c>
      <c r="BL39" s="542">
        <f t="shared" si="123"/>
        <v>0</v>
      </c>
      <c r="BM39" s="542">
        <f t="shared" si="124"/>
        <v>0</v>
      </c>
      <c r="BN39" s="542">
        <f t="shared" si="125"/>
        <v>0</v>
      </c>
      <c r="BO39" s="542">
        <f t="shared" si="126"/>
        <v>0</v>
      </c>
      <c r="BP39" s="542">
        <f t="shared" si="127"/>
        <v>0</v>
      </c>
      <c r="BQ39" s="542">
        <f t="shared" si="128"/>
        <v>0</v>
      </c>
      <c r="BR39" s="542">
        <f t="shared" si="129"/>
        <v>0</v>
      </c>
      <c r="BS39" s="542">
        <f t="shared" si="130"/>
        <v>0</v>
      </c>
      <c r="BT39" s="542">
        <f t="shared" si="131"/>
        <v>0</v>
      </c>
      <c r="BU39" s="542">
        <f t="shared" si="132"/>
        <v>0</v>
      </c>
      <c r="BV39" s="542">
        <f t="shared" si="133"/>
        <v>0</v>
      </c>
      <c r="BW39" s="542">
        <f t="shared" si="134"/>
        <v>0</v>
      </c>
      <c r="BX39" s="542">
        <f t="shared" si="135"/>
        <v>0</v>
      </c>
      <c r="BY39" s="542">
        <f t="shared" si="136"/>
        <v>0</v>
      </c>
      <c r="BZ39" s="542">
        <f t="shared" si="137"/>
        <v>0</v>
      </c>
      <c r="CA39" s="542">
        <f t="shared" si="138"/>
        <v>0</v>
      </c>
      <c r="CB39" s="542">
        <f t="shared" si="139"/>
        <v>0</v>
      </c>
      <c r="CC39" s="542">
        <f t="shared" si="140"/>
        <v>0</v>
      </c>
      <c r="CD39" s="542">
        <f t="shared" si="141"/>
        <v>0</v>
      </c>
      <c r="CE39" s="542">
        <f t="shared" si="142"/>
        <v>0</v>
      </c>
      <c r="CF39" s="542"/>
      <c r="CG39" s="542"/>
      <c r="CH39" s="529">
        <f t="shared" si="102"/>
        <v>0</v>
      </c>
    </row>
    <row r="40" spans="1:86" s="413" customFormat="1" ht="18.75" hidden="1" customHeight="1" outlineLevel="1">
      <c r="B40" s="554"/>
      <c r="C40" s="628" t="s">
        <v>152</v>
      </c>
      <c r="D40" s="555"/>
      <c r="E40" s="613">
        <v>1.7000000000000001E-2</v>
      </c>
      <c r="F40" s="538">
        <f t="shared" si="143"/>
        <v>0</v>
      </c>
      <c r="G40" s="539"/>
      <c r="H40" s="539">
        <f>+'2.Tien do'!E36</f>
        <v>0</v>
      </c>
      <c r="I40" s="539">
        <f>+'2.Tien do'!F36</f>
        <v>0</v>
      </c>
      <c r="J40" s="539">
        <f>+'2.Tien do'!G36</f>
        <v>0</v>
      </c>
      <c r="K40" s="539">
        <f>+'2.Tien do'!H36</f>
        <v>0</v>
      </c>
      <c r="L40" s="539">
        <f>+'2.Tien do'!I36</f>
        <v>0</v>
      </c>
      <c r="M40" s="539">
        <f>+'2.Tien do'!J36</f>
        <v>0</v>
      </c>
      <c r="N40" s="539">
        <f>+'2.Tien do'!K36</f>
        <v>0</v>
      </c>
      <c r="O40" s="539">
        <f>+'2.Tien do'!L36</f>
        <v>0</v>
      </c>
      <c r="P40" s="539">
        <f>+'2.Tien do'!M36</f>
        <v>0</v>
      </c>
      <c r="Q40" s="539">
        <f>+'2.Tien do'!N36</f>
        <v>0</v>
      </c>
      <c r="R40" s="539">
        <f>+'2.Tien do'!O36</f>
        <v>0</v>
      </c>
      <c r="S40" s="539">
        <f>+'2.Tien do'!P36</f>
        <v>0</v>
      </c>
      <c r="T40" s="539">
        <f>+'2.Tien do'!Q36</f>
        <v>0</v>
      </c>
      <c r="U40" s="539">
        <f>+'2.Tien do'!R36</f>
        <v>0</v>
      </c>
      <c r="V40" s="539">
        <f>+'2.Tien do'!S36</f>
        <v>0</v>
      </c>
      <c r="W40" s="539">
        <f>+'2.Tien do'!T36</f>
        <v>0</v>
      </c>
      <c r="X40" s="539">
        <f>+'2.Tien do'!U36</f>
        <v>0</v>
      </c>
      <c r="Y40" s="539">
        <f>+'2.Tien do'!V36</f>
        <v>0</v>
      </c>
      <c r="Z40" s="539">
        <f>+'2.Tien do'!W36</f>
        <v>0</v>
      </c>
      <c r="AA40" s="539">
        <f>+'2.Tien do'!X36</f>
        <v>0</v>
      </c>
      <c r="AB40" s="539">
        <f>+'2.Tien do'!Y36</f>
        <v>0</v>
      </c>
      <c r="AC40" s="539">
        <f>+'2.Tien do'!Z36</f>
        <v>0</v>
      </c>
      <c r="AD40" s="539">
        <f>+'2.Tien do'!AA36</f>
        <v>0</v>
      </c>
      <c r="AE40" s="539">
        <f>+'2.Tien do'!AB36</f>
        <v>0</v>
      </c>
      <c r="AF40" s="539">
        <f>+'2.Tien do'!AC36</f>
        <v>0</v>
      </c>
      <c r="AG40" s="539">
        <f>+'2.Tien do'!AD36</f>
        <v>0</v>
      </c>
      <c r="AH40" s="539">
        <f>+'2.Tien do'!AE36</f>
        <v>0</v>
      </c>
      <c r="AI40" s="539">
        <f>+'2.Tien do'!AF36</f>
        <v>0</v>
      </c>
      <c r="AJ40" s="539">
        <f>+'2.Tien do'!AG36</f>
        <v>0</v>
      </c>
      <c r="AK40" s="539">
        <f>+'2.Tien do'!AH36</f>
        <v>0</v>
      </c>
      <c r="AL40" s="539">
        <f>+'2.Tien do'!AI36</f>
        <v>0</v>
      </c>
      <c r="AM40" s="539">
        <f>+'2.Tien do'!AJ36</f>
        <v>0</v>
      </c>
      <c r="AN40" s="539">
        <f>+'2.Tien do'!AK36</f>
        <v>0</v>
      </c>
      <c r="AO40" s="539">
        <f>+'2.Tien do'!AL36</f>
        <v>0</v>
      </c>
      <c r="AP40" s="539">
        <f>+'2.Tien do'!AM36</f>
        <v>0</v>
      </c>
      <c r="AQ40" s="539">
        <f>+'2.Tien do'!AN36</f>
        <v>0</v>
      </c>
      <c r="AR40" s="539">
        <f>+'2.Tien do'!AO36</f>
        <v>0</v>
      </c>
      <c r="AS40" s="532"/>
      <c r="AT40" s="541">
        <f t="shared" si="105"/>
        <v>0</v>
      </c>
      <c r="AU40" s="542">
        <f t="shared" si="106"/>
        <v>0</v>
      </c>
      <c r="AV40" s="542">
        <f t="shared" si="107"/>
        <v>0</v>
      </c>
      <c r="AW40" s="542">
        <f t="shared" si="108"/>
        <v>0</v>
      </c>
      <c r="AX40" s="542">
        <f t="shared" si="109"/>
        <v>0</v>
      </c>
      <c r="AY40" s="542">
        <f t="shared" si="110"/>
        <v>0</v>
      </c>
      <c r="AZ40" s="542">
        <f t="shared" si="111"/>
        <v>0</v>
      </c>
      <c r="BA40" s="542">
        <f t="shared" si="112"/>
        <v>0</v>
      </c>
      <c r="BB40" s="542">
        <f t="shared" si="113"/>
        <v>0</v>
      </c>
      <c r="BC40" s="542">
        <f t="shared" si="114"/>
        <v>0</v>
      </c>
      <c r="BD40" s="542">
        <f t="shared" si="115"/>
        <v>0</v>
      </c>
      <c r="BE40" s="542">
        <f t="shared" si="116"/>
        <v>0</v>
      </c>
      <c r="BF40" s="542">
        <f t="shared" si="117"/>
        <v>0</v>
      </c>
      <c r="BG40" s="542">
        <f t="shared" si="118"/>
        <v>0</v>
      </c>
      <c r="BH40" s="542">
        <f t="shared" si="119"/>
        <v>0</v>
      </c>
      <c r="BI40" s="542">
        <f t="shared" si="120"/>
        <v>0</v>
      </c>
      <c r="BJ40" s="542">
        <f t="shared" si="121"/>
        <v>0</v>
      </c>
      <c r="BK40" s="542">
        <f t="shared" si="122"/>
        <v>0</v>
      </c>
      <c r="BL40" s="542">
        <f t="shared" si="123"/>
        <v>0</v>
      </c>
      <c r="BM40" s="542">
        <f t="shared" si="124"/>
        <v>0</v>
      </c>
      <c r="BN40" s="542">
        <f t="shared" si="125"/>
        <v>0</v>
      </c>
      <c r="BO40" s="542">
        <f t="shared" si="126"/>
        <v>0</v>
      </c>
      <c r="BP40" s="542">
        <f t="shared" si="127"/>
        <v>0</v>
      </c>
      <c r="BQ40" s="542">
        <f t="shared" si="128"/>
        <v>0</v>
      </c>
      <c r="BR40" s="542">
        <f t="shared" si="129"/>
        <v>0</v>
      </c>
      <c r="BS40" s="542">
        <f t="shared" si="130"/>
        <v>0</v>
      </c>
      <c r="BT40" s="542">
        <f t="shared" si="131"/>
        <v>0</v>
      </c>
      <c r="BU40" s="542">
        <f t="shared" si="132"/>
        <v>0</v>
      </c>
      <c r="BV40" s="542">
        <f t="shared" si="133"/>
        <v>0</v>
      </c>
      <c r="BW40" s="542">
        <f t="shared" si="134"/>
        <v>0</v>
      </c>
      <c r="BX40" s="542">
        <f t="shared" si="135"/>
        <v>0</v>
      </c>
      <c r="BY40" s="542">
        <f t="shared" si="136"/>
        <v>0</v>
      </c>
      <c r="BZ40" s="542">
        <f t="shared" si="137"/>
        <v>0</v>
      </c>
      <c r="CA40" s="542">
        <f t="shared" si="138"/>
        <v>0</v>
      </c>
      <c r="CB40" s="542">
        <f t="shared" si="139"/>
        <v>0</v>
      </c>
      <c r="CC40" s="542">
        <f t="shared" si="140"/>
        <v>0</v>
      </c>
      <c r="CD40" s="542">
        <f t="shared" si="141"/>
        <v>0</v>
      </c>
      <c r="CE40" s="542">
        <f t="shared" si="142"/>
        <v>0</v>
      </c>
      <c r="CF40" s="542"/>
      <c r="CG40" s="542"/>
      <c r="CH40" s="529">
        <f t="shared" si="102"/>
        <v>0</v>
      </c>
    </row>
    <row r="41" spans="1:86" s="413" customFormat="1" ht="18.75" hidden="1" customHeight="1" outlineLevel="1">
      <c r="B41" s="554"/>
      <c r="C41" s="628" t="s">
        <v>148</v>
      </c>
      <c r="D41" s="555"/>
      <c r="E41" s="613">
        <v>0.152</v>
      </c>
      <c r="F41" s="538">
        <f t="shared" si="143"/>
        <v>0</v>
      </c>
      <c r="G41" s="539"/>
      <c r="H41" s="539">
        <f>+'2.Tien do'!E37</f>
        <v>0</v>
      </c>
      <c r="I41" s="539">
        <f>+'2.Tien do'!F37</f>
        <v>0</v>
      </c>
      <c r="J41" s="539">
        <f>+'2.Tien do'!G37</f>
        <v>0</v>
      </c>
      <c r="K41" s="539">
        <f>+'2.Tien do'!H37</f>
        <v>0</v>
      </c>
      <c r="L41" s="539">
        <f>+'2.Tien do'!I37</f>
        <v>0</v>
      </c>
      <c r="M41" s="539">
        <f>+'2.Tien do'!J37</f>
        <v>0</v>
      </c>
      <c r="N41" s="539">
        <f>+'2.Tien do'!K37</f>
        <v>0</v>
      </c>
      <c r="O41" s="539">
        <f>+'2.Tien do'!L37</f>
        <v>0</v>
      </c>
      <c r="P41" s="539">
        <f>+'2.Tien do'!M37</f>
        <v>0</v>
      </c>
      <c r="Q41" s="539">
        <f>+'2.Tien do'!N37</f>
        <v>0</v>
      </c>
      <c r="R41" s="539">
        <f>+'2.Tien do'!O37</f>
        <v>0</v>
      </c>
      <c r="S41" s="539">
        <f>+'2.Tien do'!P37</f>
        <v>0</v>
      </c>
      <c r="T41" s="539">
        <f>+'2.Tien do'!Q37</f>
        <v>0</v>
      </c>
      <c r="U41" s="539">
        <f>+'2.Tien do'!R37</f>
        <v>0</v>
      </c>
      <c r="V41" s="539">
        <f>+'2.Tien do'!S37</f>
        <v>0</v>
      </c>
      <c r="W41" s="539">
        <f>+'2.Tien do'!T37</f>
        <v>0</v>
      </c>
      <c r="X41" s="539">
        <f>+'2.Tien do'!U37</f>
        <v>0</v>
      </c>
      <c r="Y41" s="539">
        <f>+'2.Tien do'!V37</f>
        <v>0</v>
      </c>
      <c r="Z41" s="539">
        <f>+'2.Tien do'!W37</f>
        <v>0</v>
      </c>
      <c r="AA41" s="539">
        <f>+'2.Tien do'!X37</f>
        <v>0</v>
      </c>
      <c r="AB41" s="539">
        <f>+'2.Tien do'!Y37</f>
        <v>0</v>
      </c>
      <c r="AC41" s="539">
        <f>+'2.Tien do'!Z37</f>
        <v>0</v>
      </c>
      <c r="AD41" s="539">
        <f>+'2.Tien do'!AA37</f>
        <v>0</v>
      </c>
      <c r="AE41" s="539">
        <f>+'2.Tien do'!AB37</f>
        <v>0</v>
      </c>
      <c r="AF41" s="539">
        <f>+'2.Tien do'!AC37</f>
        <v>0</v>
      </c>
      <c r="AG41" s="539">
        <f>+'2.Tien do'!AD37</f>
        <v>0</v>
      </c>
      <c r="AH41" s="539">
        <f>+'2.Tien do'!AE37</f>
        <v>0</v>
      </c>
      <c r="AI41" s="539">
        <f>+'2.Tien do'!AF37</f>
        <v>0</v>
      </c>
      <c r="AJ41" s="539">
        <f>+'2.Tien do'!AG37</f>
        <v>0</v>
      </c>
      <c r="AK41" s="539">
        <f>+'2.Tien do'!AH37</f>
        <v>0</v>
      </c>
      <c r="AL41" s="539">
        <f>+'2.Tien do'!AI37</f>
        <v>0</v>
      </c>
      <c r="AM41" s="539">
        <f>+'2.Tien do'!AJ37</f>
        <v>0</v>
      </c>
      <c r="AN41" s="539">
        <f>+'2.Tien do'!AK37</f>
        <v>0</v>
      </c>
      <c r="AO41" s="539">
        <f>+'2.Tien do'!AL37</f>
        <v>0</v>
      </c>
      <c r="AP41" s="539">
        <f>+'2.Tien do'!AM37</f>
        <v>0</v>
      </c>
      <c r="AQ41" s="539">
        <f>+'2.Tien do'!AN37</f>
        <v>0</v>
      </c>
      <c r="AR41" s="539">
        <f>+'2.Tien do'!AO37</f>
        <v>0</v>
      </c>
      <c r="AS41" s="532"/>
      <c r="AT41" s="541">
        <f t="shared" si="105"/>
        <v>0</v>
      </c>
      <c r="AU41" s="542">
        <f t="shared" si="106"/>
        <v>0</v>
      </c>
      <c r="AV41" s="542">
        <f t="shared" si="107"/>
        <v>0</v>
      </c>
      <c r="AW41" s="542">
        <f t="shared" si="108"/>
        <v>0</v>
      </c>
      <c r="AX41" s="542">
        <f t="shared" si="109"/>
        <v>0</v>
      </c>
      <c r="AY41" s="542">
        <f t="shared" si="110"/>
        <v>0</v>
      </c>
      <c r="AZ41" s="542">
        <f t="shared" si="111"/>
        <v>0</v>
      </c>
      <c r="BA41" s="542">
        <f t="shared" si="112"/>
        <v>0</v>
      </c>
      <c r="BB41" s="542">
        <f t="shared" si="113"/>
        <v>0</v>
      </c>
      <c r="BC41" s="542">
        <f t="shared" si="114"/>
        <v>0</v>
      </c>
      <c r="BD41" s="542">
        <f t="shared" si="115"/>
        <v>0</v>
      </c>
      <c r="BE41" s="542">
        <f t="shared" si="116"/>
        <v>0</v>
      </c>
      <c r="BF41" s="542">
        <f t="shared" si="117"/>
        <v>0</v>
      </c>
      <c r="BG41" s="542">
        <f t="shared" si="118"/>
        <v>0</v>
      </c>
      <c r="BH41" s="542">
        <f t="shared" si="119"/>
        <v>0</v>
      </c>
      <c r="BI41" s="542">
        <f t="shared" si="120"/>
        <v>0</v>
      </c>
      <c r="BJ41" s="542">
        <f t="shared" si="121"/>
        <v>0</v>
      </c>
      <c r="BK41" s="542">
        <f t="shared" si="122"/>
        <v>0</v>
      </c>
      <c r="BL41" s="542">
        <f t="shared" si="123"/>
        <v>0</v>
      </c>
      <c r="BM41" s="542">
        <f t="shared" si="124"/>
        <v>0</v>
      </c>
      <c r="BN41" s="542">
        <f t="shared" si="125"/>
        <v>0</v>
      </c>
      <c r="BO41" s="542">
        <f t="shared" si="126"/>
        <v>0</v>
      </c>
      <c r="BP41" s="542">
        <f t="shared" si="127"/>
        <v>0</v>
      </c>
      <c r="BQ41" s="542">
        <f t="shared" si="128"/>
        <v>0</v>
      </c>
      <c r="BR41" s="542">
        <f t="shared" si="129"/>
        <v>0</v>
      </c>
      <c r="BS41" s="542">
        <f t="shared" si="130"/>
        <v>0</v>
      </c>
      <c r="BT41" s="542">
        <f t="shared" si="131"/>
        <v>0</v>
      </c>
      <c r="BU41" s="542">
        <f t="shared" si="132"/>
        <v>0</v>
      </c>
      <c r="BV41" s="542">
        <f t="shared" si="133"/>
        <v>0</v>
      </c>
      <c r="BW41" s="542">
        <f t="shared" si="134"/>
        <v>0</v>
      </c>
      <c r="BX41" s="542">
        <f t="shared" si="135"/>
        <v>0</v>
      </c>
      <c r="BY41" s="542">
        <f t="shared" si="136"/>
        <v>0</v>
      </c>
      <c r="BZ41" s="542">
        <f t="shared" si="137"/>
        <v>0</v>
      </c>
      <c r="CA41" s="542">
        <f t="shared" si="138"/>
        <v>0</v>
      </c>
      <c r="CB41" s="542">
        <f t="shared" si="139"/>
        <v>0</v>
      </c>
      <c r="CC41" s="542">
        <f t="shared" si="140"/>
        <v>0</v>
      </c>
      <c r="CD41" s="542">
        <f t="shared" si="141"/>
        <v>0</v>
      </c>
      <c r="CE41" s="542">
        <f t="shared" si="142"/>
        <v>0</v>
      </c>
      <c r="CF41" s="542"/>
      <c r="CG41" s="542"/>
      <c r="CH41" s="529">
        <f t="shared" si="102"/>
        <v>0</v>
      </c>
    </row>
    <row r="42" spans="1:86" s="413" customFormat="1" ht="18.75" hidden="1" customHeight="1" outlineLevel="1">
      <c r="A42" s="550"/>
      <c r="B42" s="554"/>
      <c r="C42" s="631" t="s">
        <v>88</v>
      </c>
      <c r="D42" s="555"/>
      <c r="E42" s="632">
        <v>0.01</v>
      </c>
      <c r="F42" s="633">
        <f>E42*$F$34</f>
        <v>0</v>
      </c>
      <c r="G42" s="539"/>
      <c r="H42" s="539">
        <f>+'2.Tien do'!E38</f>
        <v>0</v>
      </c>
      <c r="I42" s="539">
        <f>+'2.Tien do'!F38</f>
        <v>0</v>
      </c>
      <c r="J42" s="539">
        <f>+'2.Tien do'!G38</f>
        <v>0</v>
      </c>
      <c r="K42" s="539">
        <f>+'2.Tien do'!H38</f>
        <v>0</v>
      </c>
      <c r="L42" s="539">
        <f>+'2.Tien do'!I38</f>
        <v>0</v>
      </c>
      <c r="M42" s="539">
        <f>+'2.Tien do'!J38</f>
        <v>0</v>
      </c>
      <c r="N42" s="539">
        <f>+'2.Tien do'!K38</f>
        <v>0</v>
      </c>
      <c r="O42" s="539">
        <f>+'2.Tien do'!L38</f>
        <v>0</v>
      </c>
      <c r="P42" s="539">
        <f>+'2.Tien do'!M38</f>
        <v>0</v>
      </c>
      <c r="Q42" s="539">
        <f>+'2.Tien do'!N38</f>
        <v>0</v>
      </c>
      <c r="R42" s="539">
        <f>+'2.Tien do'!O38</f>
        <v>0</v>
      </c>
      <c r="S42" s="539">
        <f>+'2.Tien do'!P38</f>
        <v>0</v>
      </c>
      <c r="T42" s="539">
        <f>+'2.Tien do'!Q38</f>
        <v>0</v>
      </c>
      <c r="U42" s="539">
        <f>+'2.Tien do'!R38</f>
        <v>0</v>
      </c>
      <c r="V42" s="539">
        <f>+'2.Tien do'!S38</f>
        <v>0</v>
      </c>
      <c r="W42" s="539">
        <f>+'2.Tien do'!T38</f>
        <v>0</v>
      </c>
      <c r="X42" s="539">
        <f>+'2.Tien do'!U38</f>
        <v>0</v>
      </c>
      <c r="Y42" s="539">
        <f>+'2.Tien do'!V38</f>
        <v>0</v>
      </c>
      <c r="Z42" s="539">
        <f>+'2.Tien do'!W38</f>
        <v>0</v>
      </c>
      <c r="AA42" s="539">
        <f>+'2.Tien do'!X38</f>
        <v>0</v>
      </c>
      <c r="AB42" s="539">
        <f>+'2.Tien do'!Y38</f>
        <v>0</v>
      </c>
      <c r="AC42" s="539">
        <f>+'2.Tien do'!Z38</f>
        <v>0</v>
      </c>
      <c r="AD42" s="539">
        <f>+'2.Tien do'!AA38</f>
        <v>0</v>
      </c>
      <c r="AE42" s="539">
        <f>+'2.Tien do'!AB38</f>
        <v>0</v>
      </c>
      <c r="AF42" s="539">
        <f>+'2.Tien do'!AC38</f>
        <v>0</v>
      </c>
      <c r="AG42" s="539">
        <f>+'2.Tien do'!AD38</f>
        <v>0</v>
      </c>
      <c r="AH42" s="539">
        <f>+'2.Tien do'!AE38</f>
        <v>0</v>
      </c>
      <c r="AI42" s="539">
        <f>+'2.Tien do'!AF38</f>
        <v>0</v>
      </c>
      <c r="AJ42" s="539">
        <f>+'2.Tien do'!AG38</f>
        <v>0</v>
      </c>
      <c r="AK42" s="539">
        <f>+'2.Tien do'!AH38</f>
        <v>0</v>
      </c>
      <c r="AL42" s="539">
        <f>+'2.Tien do'!AI38</f>
        <v>0</v>
      </c>
      <c r="AM42" s="539">
        <f>+'2.Tien do'!AJ38</f>
        <v>0</v>
      </c>
      <c r="AN42" s="539">
        <f>+'2.Tien do'!AK38</f>
        <v>0</v>
      </c>
      <c r="AO42" s="539">
        <f>+'2.Tien do'!AL38</f>
        <v>0</v>
      </c>
      <c r="AP42" s="539">
        <f>+'2.Tien do'!AM38</f>
        <v>0</v>
      </c>
      <c r="AQ42" s="539">
        <f>+'2.Tien do'!AN38</f>
        <v>0</v>
      </c>
      <c r="AR42" s="539">
        <f>+'2.Tien do'!AO38</f>
        <v>0</v>
      </c>
      <c r="AS42" s="532"/>
      <c r="AT42" s="635">
        <f>$F42*G42</f>
        <v>0</v>
      </c>
      <c r="AU42" s="636">
        <f t="shared" si="106"/>
        <v>0</v>
      </c>
      <c r="AV42" s="636">
        <f t="shared" si="107"/>
        <v>0</v>
      </c>
      <c r="AW42" s="636">
        <f t="shared" si="108"/>
        <v>0</v>
      </c>
      <c r="AX42" s="636">
        <f t="shared" si="109"/>
        <v>0</v>
      </c>
      <c r="AY42" s="636">
        <f t="shared" si="110"/>
        <v>0</v>
      </c>
      <c r="AZ42" s="636">
        <f t="shared" si="111"/>
        <v>0</v>
      </c>
      <c r="BA42" s="636">
        <f t="shared" si="112"/>
        <v>0</v>
      </c>
      <c r="BB42" s="636">
        <f t="shared" si="113"/>
        <v>0</v>
      </c>
      <c r="BC42" s="636">
        <f t="shared" si="114"/>
        <v>0</v>
      </c>
      <c r="BD42" s="636">
        <f t="shared" si="115"/>
        <v>0</v>
      </c>
      <c r="BE42" s="636">
        <f t="shared" si="116"/>
        <v>0</v>
      </c>
      <c r="BF42" s="636">
        <f t="shared" si="117"/>
        <v>0</v>
      </c>
      <c r="BG42" s="636">
        <f t="shared" si="118"/>
        <v>0</v>
      </c>
      <c r="BH42" s="636">
        <f t="shared" si="119"/>
        <v>0</v>
      </c>
      <c r="BI42" s="636">
        <f t="shared" si="120"/>
        <v>0</v>
      </c>
      <c r="BJ42" s="636">
        <f t="shared" si="121"/>
        <v>0</v>
      </c>
      <c r="BK42" s="636">
        <f t="shared" si="122"/>
        <v>0</v>
      </c>
      <c r="BL42" s="636">
        <f t="shared" si="123"/>
        <v>0</v>
      </c>
      <c r="BM42" s="636">
        <f t="shared" si="124"/>
        <v>0</v>
      </c>
      <c r="BN42" s="636">
        <f t="shared" si="125"/>
        <v>0</v>
      </c>
      <c r="BO42" s="636">
        <f t="shared" si="126"/>
        <v>0</v>
      </c>
      <c r="BP42" s="636">
        <f t="shared" si="127"/>
        <v>0</v>
      </c>
      <c r="BQ42" s="636">
        <f t="shared" si="128"/>
        <v>0</v>
      </c>
      <c r="BR42" s="636">
        <f t="shared" si="129"/>
        <v>0</v>
      </c>
      <c r="BS42" s="542">
        <f t="shared" si="130"/>
        <v>0</v>
      </c>
      <c r="BT42" s="542">
        <f t="shared" si="131"/>
        <v>0</v>
      </c>
      <c r="BU42" s="542">
        <f t="shared" si="132"/>
        <v>0</v>
      </c>
      <c r="BV42" s="542">
        <f t="shared" si="133"/>
        <v>0</v>
      </c>
      <c r="BW42" s="542">
        <f t="shared" si="134"/>
        <v>0</v>
      </c>
      <c r="BX42" s="542">
        <f t="shared" si="135"/>
        <v>0</v>
      </c>
      <c r="BY42" s="542">
        <f t="shared" si="136"/>
        <v>0</v>
      </c>
      <c r="BZ42" s="542">
        <f t="shared" si="137"/>
        <v>0</v>
      </c>
      <c r="CA42" s="542">
        <f t="shared" si="138"/>
        <v>0</v>
      </c>
      <c r="CB42" s="542">
        <f t="shared" si="139"/>
        <v>0</v>
      </c>
      <c r="CC42" s="542">
        <f t="shared" si="140"/>
        <v>0</v>
      </c>
      <c r="CD42" s="542">
        <f t="shared" si="141"/>
        <v>0</v>
      </c>
      <c r="CE42" s="542">
        <f t="shared" si="142"/>
        <v>0</v>
      </c>
      <c r="CF42" s="542"/>
      <c r="CG42" s="542"/>
      <c r="CH42" s="529">
        <f t="shared" si="102"/>
        <v>0</v>
      </c>
    </row>
    <row r="43" spans="1:86" s="413" customFormat="1" ht="18.75" hidden="1" customHeight="1" outlineLevel="1">
      <c r="A43" s="550"/>
      <c r="B43" s="554"/>
      <c r="C43" s="634" t="s">
        <v>89</v>
      </c>
      <c r="D43" s="555"/>
      <c r="E43" s="632">
        <v>0.04</v>
      </c>
      <c r="F43" s="633">
        <f t="shared" ref="F43:F44" si="144">E43*$F$34</f>
        <v>0</v>
      </c>
      <c r="G43" s="539"/>
      <c r="H43" s="539">
        <f>+'2.Tien do'!E39</f>
        <v>0</v>
      </c>
      <c r="I43" s="539">
        <f>+'2.Tien do'!F39</f>
        <v>0</v>
      </c>
      <c r="J43" s="539">
        <f>+'2.Tien do'!G39</f>
        <v>0</v>
      </c>
      <c r="K43" s="539">
        <f>+'2.Tien do'!H39</f>
        <v>0</v>
      </c>
      <c r="L43" s="539">
        <f>+'2.Tien do'!I39</f>
        <v>0</v>
      </c>
      <c r="M43" s="539">
        <f>+'2.Tien do'!J39</f>
        <v>0</v>
      </c>
      <c r="N43" s="539">
        <f>+'2.Tien do'!K39</f>
        <v>0</v>
      </c>
      <c r="O43" s="539">
        <f>+'2.Tien do'!L39</f>
        <v>0</v>
      </c>
      <c r="P43" s="539">
        <f>+'2.Tien do'!M39</f>
        <v>0</v>
      </c>
      <c r="Q43" s="539">
        <f>+'2.Tien do'!N39</f>
        <v>0</v>
      </c>
      <c r="R43" s="539">
        <f>+'2.Tien do'!O39</f>
        <v>0</v>
      </c>
      <c r="S43" s="539">
        <f>+'2.Tien do'!P39</f>
        <v>0</v>
      </c>
      <c r="T43" s="539">
        <f>+'2.Tien do'!Q39</f>
        <v>0</v>
      </c>
      <c r="U43" s="539">
        <f>+'2.Tien do'!R39</f>
        <v>0</v>
      </c>
      <c r="V43" s="539">
        <f>+'2.Tien do'!S39</f>
        <v>0</v>
      </c>
      <c r="W43" s="539">
        <f>+'2.Tien do'!T39</f>
        <v>0</v>
      </c>
      <c r="X43" s="539">
        <f>+'2.Tien do'!U39</f>
        <v>0</v>
      </c>
      <c r="Y43" s="539">
        <f>+'2.Tien do'!V39</f>
        <v>0</v>
      </c>
      <c r="Z43" s="539">
        <f>+'2.Tien do'!W39</f>
        <v>0</v>
      </c>
      <c r="AA43" s="539">
        <f>+'2.Tien do'!X39</f>
        <v>0</v>
      </c>
      <c r="AB43" s="539">
        <f>+'2.Tien do'!Y39</f>
        <v>0</v>
      </c>
      <c r="AC43" s="539">
        <f>+'2.Tien do'!Z39</f>
        <v>0</v>
      </c>
      <c r="AD43" s="539">
        <f>+'2.Tien do'!AA39</f>
        <v>0</v>
      </c>
      <c r="AE43" s="539">
        <f>+'2.Tien do'!AB39</f>
        <v>0</v>
      </c>
      <c r="AF43" s="539">
        <f>+'2.Tien do'!AC39</f>
        <v>0</v>
      </c>
      <c r="AG43" s="539">
        <f>+'2.Tien do'!AD39</f>
        <v>0</v>
      </c>
      <c r="AH43" s="539">
        <f>+'2.Tien do'!AE39</f>
        <v>0</v>
      </c>
      <c r="AI43" s="539">
        <f>+'2.Tien do'!AF39</f>
        <v>0</v>
      </c>
      <c r="AJ43" s="539">
        <f>+'2.Tien do'!AG39</f>
        <v>0</v>
      </c>
      <c r="AK43" s="539">
        <f>+'2.Tien do'!AH39</f>
        <v>0</v>
      </c>
      <c r="AL43" s="539">
        <f>+'2.Tien do'!AI39</f>
        <v>0</v>
      </c>
      <c r="AM43" s="539">
        <f>+'2.Tien do'!AJ39</f>
        <v>0</v>
      </c>
      <c r="AN43" s="539">
        <f>+'2.Tien do'!AK39</f>
        <v>0</v>
      </c>
      <c r="AO43" s="539">
        <f>+'2.Tien do'!AL39</f>
        <v>0</v>
      </c>
      <c r="AP43" s="539">
        <f>+'2.Tien do'!AM39</f>
        <v>0</v>
      </c>
      <c r="AQ43" s="539">
        <f>+'2.Tien do'!AN39</f>
        <v>0</v>
      </c>
      <c r="AR43" s="539">
        <f>+'2.Tien do'!AO39</f>
        <v>0</v>
      </c>
      <c r="AS43" s="532"/>
      <c r="AT43" s="635">
        <f t="shared" ref="AT43:AT46" si="145">$F43*G43</f>
        <v>0</v>
      </c>
      <c r="AU43" s="636">
        <f t="shared" si="106"/>
        <v>0</v>
      </c>
      <c r="AV43" s="636">
        <f t="shared" si="107"/>
        <v>0</v>
      </c>
      <c r="AW43" s="636">
        <f t="shared" si="108"/>
        <v>0</v>
      </c>
      <c r="AX43" s="636">
        <f t="shared" si="109"/>
        <v>0</v>
      </c>
      <c r="AY43" s="636">
        <f t="shared" si="110"/>
        <v>0</v>
      </c>
      <c r="AZ43" s="636">
        <f t="shared" si="111"/>
        <v>0</v>
      </c>
      <c r="BA43" s="636">
        <f t="shared" si="112"/>
        <v>0</v>
      </c>
      <c r="BB43" s="636">
        <f t="shared" si="113"/>
        <v>0</v>
      </c>
      <c r="BC43" s="636">
        <f t="shared" si="114"/>
        <v>0</v>
      </c>
      <c r="BD43" s="636">
        <f t="shared" si="115"/>
        <v>0</v>
      </c>
      <c r="BE43" s="636">
        <f t="shared" si="116"/>
        <v>0</v>
      </c>
      <c r="BF43" s="636">
        <f t="shared" si="117"/>
        <v>0</v>
      </c>
      <c r="BG43" s="636">
        <f t="shared" si="118"/>
        <v>0</v>
      </c>
      <c r="BH43" s="636">
        <f t="shared" si="119"/>
        <v>0</v>
      </c>
      <c r="BI43" s="636">
        <f t="shared" si="120"/>
        <v>0</v>
      </c>
      <c r="BJ43" s="636">
        <f t="shared" si="121"/>
        <v>0</v>
      </c>
      <c r="BK43" s="636">
        <f t="shared" si="122"/>
        <v>0</v>
      </c>
      <c r="BL43" s="636">
        <f t="shared" si="123"/>
        <v>0</v>
      </c>
      <c r="BM43" s="636">
        <f t="shared" si="124"/>
        <v>0</v>
      </c>
      <c r="BN43" s="636">
        <f t="shared" si="125"/>
        <v>0</v>
      </c>
      <c r="BO43" s="636">
        <f t="shared" si="126"/>
        <v>0</v>
      </c>
      <c r="BP43" s="636">
        <f t="shared" si="127"/>
        <v>0</v>
      </c>
      <c r="BQ43" s="636">
        <f t="shared" si="128"/>
        <v>0</v>
      </c>
      <c r="BR43" s="636">
        <f t="shared" si="129"/>
        <v>0</v>
      </c>
      <c r="BS43" s="542">
        <f t="shared" si="130"/>
        <v>0</v>
      </c>
      <c r="BT43" s="542">
        <f t="shared" si="131"/>
        <v>0</v>
      </c>
      <c r="BU43" s="542">
        <f t="shared" si="132"/>
        <v>0</v>
      </c>
      <c r="BV43" s="542">
        <f t="shared" si="133"/>
        <v>0</v>
      </c>
      <c r="BW43" s="542">
        <f t="shared" si="134"/>
        <v>0</v>
      </c>
      <c r="BX43" s="542">
        <f t="shared" si="135"/>
        <v>0</v>
      </c>
      <c r="BY43" s="542">
        <f t="shared" si="136"/>
        <v>0</v>
      </c>
      <c r="BZ43" s="542">
        <f t="shared" si="137"/>
        <v>0</v>
      </c>
      <c r="CA43" s="542">
        <f t="shared" si="138"/>
        <v>0</v>
      </c>
      <c r="CB43" s="542">
        <f t="shared" si="139"/>
        <v>0</v>
      </c>
      <c r="CC43" s="542">
        <f t="shared" si="140"/>
        <v>0</v>
      </c>
      <c r="CD43" s="542">
        <f t="shared" si="141"/>
        <v>0</v>
      </c>
      <c r="CE43" s="542">
        <f t="shared" si="142"/>
        <v>0</v>
      </c>
      <c r="CF43" s="542"/>
      <c r="CG43" s="542"/>
      <c r="CH43" s="529">
        <f t="shared" si="102"/>
        <v>0</v>
      </c>
    </row>
    <row r="44" spans="1:86" s="622" customFormat="1" ht="18.75" hidden="1" customHeight="1" outlineLevel="1">
      <c r="A44" s="550"/>
      <c r="B44" s="554"/>
      <c r="C44" s="631" t="s">
        <v>70</v>
      </c>
      <c r="D44" s="555"/>
      <c r="E44" s="632">
        <v>5.0000000000000001E-3</v>
      </c>
      <c r="F44" s="633">
        <f t="shared" si="144"/>
        <v>0</v>
      </c>
      <c r="G44" s="556"/>
      <c r="H44" s="539">
        <f>+'2.Tien do'!E40</f>
        <v>0</v>
      </c>
      <c r="I44" s="539">
        <f>+'2.Tien do'!F40</f>
        <v>0</v>
      </c>
      <c r="J44" s="539">
        <f>+'2.Tien do'!G40</f>
        <v>0</v>
      </c>
      <c r="K44" s="539">
        <f>+'2.Tien do'!H40</f>
        <v>0</v>
      </c>
      <c r="L44" s="539">
        <f>+'2.Tien do'!I40</f>
        <v>0</v>
      </c>
      <c r="M44" s="539">
        <f>+'2.Tien do'!J40</f>
        <v>0</v>
      </c>
      <c r="N44" s="539">
        <f>+'2.Tien do'!K40</f>
        <v>0</v>
      </c>
      <c r="O44" s="539">
        <f>+'2.Tien do'!L40</f>
        <v>0</v>
      </c>
      <c r="P44" s="539">
        <f>+'2.Tien do'!M40</f>
        <v>0</v>
      </c>
      <c r="Q44" s="539">
        <f>+'2.Tien do'!N40</f>
        <v>0</v>
      </c>
      <c r="R44" s="539">
        <f>+'2.Tien do'!O40</f>
        <v>0</v>
      </c>
      <c r="S44" s="539">
        <f>+'2.Tien do'!P40</f>
        <v>0</v>
      </c>
      <c r="T44" s="539">
        <f>+'2.Tien do'!Q40</f>
        <v>0</v>
      </c>
      <c r="U44" s="539">
        <f>+'2.Tien do'!R40</f>
        <v>0</v>
      </c>
      <c r="V44" s="539">
        <f>+'2.Tien do'!S40</f>
        <v>0</v>
      </c>
      <c r="W44" s="539">
        <f>+'2.Tien do'!T40</f>
        <v>0</v>
      </c>
      <c r="X44" s="539">
        <f>+'2.Tien do'!U40</f>
        <v>0</v>
      </c>
      <c r="Y44" s="539">
        <f>+'2.Tien do'!V40</f>
        <v>0</v>
      </c>
      <c r="Z44" s="539">
        <f>+'2.Tien do'!W40</f>
        <v>0</v>
      </c>
      <c r="AA44" s="539">
        <f>+'2.Tien do'!X40</f>
        <v>0</v>
      </c>
      <c r="AB44" s="539">
        <f>+'2.Tien do'!Y40</f>
        <v>0</v>
      </c>
      <c r="AC44" s="539">
        <f>+'2.Tien do'!Z40</f>
        <v>0</v>
      </c>
      <c r="AD44" s="539">
        <f>+'2.Tien do'!AA40</f>
        <v>0</v>
      </c>
      <c r="AE44" s="539">
        <f>+'2.Tien do'!AB40</f>
        <v>0</v>
      </c>
      <c r="AF44" s="539">
        <f>+'2.Tien do'!AC40</f>
        <v>0</v>
      </c>
      <c r="AG44" s="539">
        <f>+'2.Tien do'!AD40</f>
        <v>0</v>
      </c>
      <c r="AH44" s="539">
        <f>+'2.Tien do'!AE40</f>
        <v>0</v>
      </c>
      <c r="AI44" s="539">
        <f>+'2.Tien do'!AF40</f>
        <v>0</v>
      </c>
      <c r="AJ44" s="539">
        <f>+'2.Tien do'!AG40</f>
        <v>0</v>
      </c>
      <c r="AK44" s="539">
        <f>+'2.Tien do'!AH40</f>
        <v>0</v>
      </c>
      <c r="AL44" s="539">
        <f>+'2.Tien do'!AI40</f>
        <v>0</v>
      </c>
      <c r="AM44" s="539">
        <f>+'2.Tien do'!AJ40</f>
        <v>0</v>
      </c>
      <c r="AN44" s="539">
        <f>+'2.Tien do'!AK40</f>
        <v>0</v>
      </c>
      <c r="AO44" s="539">
        <f>+'2.Tien do'!AL40</f>
        <v>0</v>
      </c>
      <c r="AP44" s="539">
        <f>+'2.Tien do'!AM40</f>
        <v>0</v>
      </c>
      <c r="AQ44" s="539">
        <f>+'2.Tien do'!AN40</f>
        <v>0</v>
      </c>
      <c r="AR44" s="539">
        <f>+'2.Tien do'!AO40</f>
        <v>0</v>
      </c>
      <c r="AS44" s="526"/>
      <c r="AT44" s="635">
        <f t="shared" si="145"/>
        <v>0</v>
      </c>
      <c r="AU44" s="636">
        <f t="shared" si="106"/>
        <v>0</v>
      </c>
      <c r="AV44" s="636">
        <f t="shared" si="107"/>
        <v>0</v>
      </c>
      <c r="AW44" s="636">
        <f t="shared" si="108"/>
        <v>0</v>
      </c>
      <c r="AX44" s="636">
        <f t="shared" si="109"/>
        <v>0</v>
      </c>
      <c r="AY44" s="636">
        <f t="shared" si="110"/>
        <v>0</v>
      </c>
      <c r="AZ44" s="636">
        <f t="shared" si="111"/>
        <v>0</v>
      </c>
      <c r="BA44" s="636">
        <f t="shared" si="112"/>
        <v>0</v>
      </c>
      <c r="BB44" s="636">
        <f t="shared" si="113"/>
        <v>0</v>
      </c>
      <c r="BC44" s="636">
        <f t="shared" si="114"/>
        <v>0</v>
      </c>
      <c r="BD44" s="636">
        <f t="shared" si="115"/>
        <v>0</v>
      </c>
      <c r="BE44" s="636">
        <f t="shared" si="116"/>
        <v>0</v>
      </c>
      <c r="BF44" s="636">
        <f t="shared" si="117"/>
        <v>0</v>
      </c>
      <c r="BG44" s="636">
        <f t="shared" si="118"/>
        <v>0</v>
      </c>
      <c r="BH44" s="636">
        <f t="shared" si="119"/>
        <v>0</v>
      </c>
      <c r="BI44" s="636">
        <f t="shared" si="120"/>
        <v>0</v>
      </c>
      <c r="BJ44" s="636">
        <f t="shared" si="121"/>
        <v>0</v>
      </c>
      <c r="BK44" s="636">
        <f t="shared" si="122"/>
        <v>0</v>
      </c>
      <c r="BL44" s="636">
        <f t="shared" si="123"/>
        <v>0</v>
      </c>
      <c r="BM44" s="636">
        <f t="shared" si="124"/>
        <v>0</v>
      </c>
      <c r="BN44" s="636">
        <f t="shared" si="125"/>
        <v>0</v>
      </c>
      <c r="BO44" s="636">
        <f t="shared" si="126"/>
        <v>0</v>
      </c>
      <c r="BP44" s="636">
        <f t="shared" si="127"/>
        <v>0</v>
      </c>
      <c r="BQ44" s="636">
        <f t="shared" si="128"/>
        <v>0</v>
      </c>
      <c r="BR44" s="636">
        <f t="shared" si="129"/>
        <v>0</v>
      </c>
      <c r="BS44" s="542">
        <f t="shared" si="130"/>
        <v>0</v>
      </c>
      <c r="BT44" s="542">
        <f t="shared" si="131"/>
        <v>0</v>
      </c>
      <c r="BU44" s="542">
        <f t="shared" si="132"/>
        <v>0</v>
      </c>
      <c r="BV44" s="542">
        <f t="shared" si="133"/>
        <v>0</v>
      </c>
      <c r="BW44" s="542">
        <f t="shared" si="134"/>
        <v>0</v>
      </c>
      <c r="BX44" s="542">
        <f t="shared" si="135"/>
        <v>0</v>
      </c>
      <c r="BY44" s="542">
        <f t="shared" si="136"/>
        <v>0</v>
      </c>
      <c r="BZ44" s="542">
        <f t="shared" si="137"/>
        <v>0</v>
      </c>
      <c r="CA44" s="542">
        <f t="shared" si="138"/>
        <v>0</v>
      </c>
      <c r="CB44" s="542">
        <f t="shared" si="139"/>
        <v>0</v>
      </c>
      <c r="CC44" s="542">
        <f t="shared" si="140"/>
        <v>0</v>
      </c>
      <c r="CD44" s="542">
        <f t="shared" si="141"/>
        <v>0</v>
      </c>
      <c r="CE44" s="542">
        <f t="shared" si="142"/>
        <v>0</v>
      </c>
      <c r="CF44" s="542"/>
      <c r="CG44" s="542"/>
      <c r="CH44" s="529">
        <f t="shared" si="102"/>
        <v>0</v>
      </c>
    </row>
    <row r="45" spans="1:86" s="622" customFormat="1" ht="18.75" hidden="1" customHeight="1" outlineLevel="1">
      <c r="A45" s="550"/>
      <c r="B45" s="557"/>
      <c r="C45" s="1291" t="s">
        <v>16</v>
      </c>
      <c r="D45" s="558"/>
      <c r="E45" s="632">
        <v>0.1</v>
      </c>
      <c r="F45" s="633">
        <f>E45*(SUM(F42:F44)+F34)</f>
        <v>0</v>
      </c>
      <c r="G45" s="559"/>
      <c r="H45" s="539">
        <f>+'2.Tien do'!E41</f>
        <v>0</v>
      </c>
      <c r="I45" s="539">
        <f>+'2.Tien do'!F41</f>
        <v>0</v>
      </c>
      <c r="J45" s="539">
        <f>+'2.Tien do'!G41</f>
        <v>0</v>
      </c>
      <c r="K45" s="539">
        <f>+'2.Tien do'!H41</f>
        <v>0</v>
      </c>
      <c r="L45" s="539">
        <f>+'2.Tien do'!I41</f>
        <v>0</v>
      </c>
      <c r="M45" s="539">
        <f>+'2.Tien do'!J41</f>
        <v>0</v>
      </c>
      <c r="N45" s="539">
        <f>+'2.Tien do'!K41</f>
        <v>0</v>
      </c>
      <c r="O45" s="539">
        <f>+'2.Tien do'!L41</f>
        <v>0</v>
      </c>
      <c r="P45" s="539">
        <f>+'2.Tien do'!M41</f>
        <v>0</v>
      </c>
      <c r="Q45" s="539">
        <f>+'2.Tien do'!N41</f>
        <v>0</v>
      </c>
      <c r="R45" s="539">
        <f>+'2.Tien do'!O41</f>
        <v>0</v>
      </c>
      <c r="S45" s="539">
        <f>+'2.Tien do'!P41</f>
        <v>0</v>
      </c>
      <c r="T45" s="539">
        <f>+'2.Tien do'!Q41</f>
        <v>0</v>
      </c>
      <c r="U45" s="539">
        <f>+'2.Tien do'!R41</f>
        <v>0</v>
      </c>
      <c r="V45" s="539">
        <f>+'2.Tien do'!S41</f>
        <v>0</v>
      </c>
      <c r="W45" s="539">
        <f>+'2.Tien do'!T41</f>
        <v>0</v>
      </c>
      <c r="X45" s="539">
        <f>+'2.Tien do'!U41</f>
        <v>0</v>
      </c>
      <c r="Y45" s="539">
        <f>+'2.Tien do'!V41</f>
        <v>0</v>
      </c>
      <c r="Z45" s="539">
        <f>+'2.Tien do'!W41</f>
        <v>0</v>
      </c>
      <c r="AA45" s="539">
        <f>+'2.Tien do'!X41</f>
        <v>0</v>
      </c>
      <c r="AB45" s="539">
        <f>+'2.Tien do'!Y41</f>
        <v>0</v>
      </c>
      <c r="AC45" s="539">
        <f>+'2.Tien do'!Z41</f>
        <v>0</v>
      </c>
      <c r="AD45" s="539">
        <f>+'2.Tien do'!AA41</f>
        <v>0</v>
      </c>
      <c r="AE45" s="539">
        <f>+'2.Tien do'!AB41</f>
        <v>0</v>
      </c>
      <c r="AF45" s="539">
        <f>+'2.Tien do'!AC41</f>
        <v>0</v>
      </c>
      <c r="AG45" s="539">
        <f>+'2.Tien do'!AD41</f>
        <v>0</v>
      </c>
      <c r="AH45" s="539">
        <f>+'2.Tien do'!AE41</f>
        <v>0</v>
      </c>
      <c r="AI45" s="539">
        <f>+'2.Tien do'!AF41</f>
        <v>0</v>
      </c>
      <c r="AJ45" s="539">
        <f>+'2.Tien do'!AG41</f>
        <v>0</v>
      </c>
      <c r="AK45" s="539">
        <f>+'2.Tien do'!AH41</f>
        <v>0</v>
      </c>
      <c r="AL45" s="539">
        <f>+'2.Tien do'!AI41</f>
        <v>0</v>
      </c>
      <c r="AM45" s="539">
        <f>+'2.Tien do'!AJ41</f>
        <v>0</v>
      </c>
      <c r="AN45" s="539">
        <f>+'2.Tien do'!AK41</f>
        <v>0</v>
      </c>
      <c r="AO45" s="539">
        <f>+'2.Tien do'!AL41</f>
        <v>0</v>
      </c>
      <c r="AP45" s="539">
        <f>+'2.Tien do'!AM41</f>
        <v>0</v>
      </c>
      <c r="AQ45" s="539">
        <f>+'2.Tien do'!AN41</f>
        <v>0</v>
      </c>
      <c r="AR45" s="539">
        <f>+'2.Tien do'!AO41</f>
        <v>0</v>
      </c>
      <c r="AS45" s="526"/>
      <c r="AT45" s="635">
        <f t="shared" si="145"/>
        <v>0</v>
      </c>
      <c r="AU45" s="636">
        <f t="shared" si="106"/>
        <v>0</v>
      </c>
      <c r="AV45" s="636">
        <f t="shared" si="107"/>
        <v>0</v>
      </c>
      <c r="AW45" s="636">
        <f t="shared" si="108"/>
        <v>0</v>
      </c>
      <c r="AX45" s="636">
        <f t="shared" si="109"/>
        <v>0</v>
      </c>
      <c r="AY45" s="636">
        <f t="shared" si="110"/>
        <v>0</v>
      </c>
      <c r="AZ45" s="636">
        <f t="shared" si="111"/>
        <v>0</v>
      </c>
      <c r="BA45" s="636">
        <f t="shared" si="112"/>
        <v>0</v>
      </c>
      <c r="BB45" s="636">
        <f t="shared" si="113"/>
        <v>0</v>
      </c>
      <c r="BC45" s="636">
        <f t="shared" si="114"/>
        <v>0</v>
      </c>
      <c r="BD45" s="636">
        <f t="shared" si="115"/>
        <v>0</v>
      </c>
      <c r="BE45" s="636">
        <f t="shared" si="116"/>
        <v>0</v>
      </c>
      <c r="BF45" s="636">
        <f t="shared" si="117"/>
        <v>0</v>
      </c>
      <c r="BG45" s="636">
        <f t="shared" si="118"/>
        <v>0</v>
      </c>
      <c r="BH45" s="636">
        <f t="shared" si="119"/>
        <v>0</v>
      </c>
      <c r="BI45" s="636">
        <f t="shared" si="120"/>
        <v>0</v>
      </c>
      <c r="BJ45" s="636">
        <f t="shared" si="121"/>
        <v>0</v>
      </c>
      <c r="BK45" s="636">
        <f t="shared" si="122"/>
        <v>0</v>
      </c>
      <c r="BL45" s="636">
        <f t="shared" si="123"/>
        <v>0</v>
      </c>
      <c r="BM45" s="636">
        <f t="shared" si="124"/>
        <v>0</v>
      </c>
      <c r="BN45" s="636">
        <f t="shared" si="125"/>
        <v>0</v>
      </c>
      <c r="BO45" s="636">
        <f t="shared" si="126"/>
        <v>0</v>
      </c>
      <c r="BP45" s="636">
        <f t="shared" si="127"/>
        <v>0</v>
      </c>
      <c r="BQ45" s="636">
        <f t="shared" si="128"/>
        <v>0</v>
      </c>
      <c r="BR45" s="636">
        <f t="shared" si="129"/>
        <v>0</v>
      </c>
      <c r="BS45" s="542">
        <f t="shared" si="130"/>
        <v>0</v>
      </c>
      <c r="BT45" s="542">
        <f t="shared" si="131"/>
        <v>0</v>
      </c>
      <c r="BU45" s="542">
        <f t="shared" si="132"/>
        <v>0</v>
      </c>
      <c r="BV45" s="542">
        <f t="shared" si="133"/>
        <v>0</v>
      </c>
      <c r="BW45" s="542">
        <f t="shared" si="134"/>
        <v>0</v>
      </c>
      <c r="BX45" s="542">
        <f t="shared" si="135"/>
        <v>0</v>
      </c>
      <c r="BY45" s="542">
        <f t="shared" si="136"/>
        <v>0</v>
      </c>
      <c r="BZ45" s="542">
        <f t="shared" si="137"/>
        <v>0</v>
      </c>
      <c r="CA45" s="542">
        <f t="shared" si="138"/>
        <v>0</v>
      </c>
      <c r="CB45" s="542">
        <f t="shared" si="139"/>
        <v>0</v>
      </c>
      <c r="CC45" s="542">
        <f t="shared" si="140"/>
        <v>0</v>
      </c>
      <c r="CD45" s="542">
        <f t="shared" si="141"/>
        <v>0</v>
      </c>
      <c r="CE45" s="542">
        <f t="shared" si="142"/>
        <v>0</v>
      </c>
      <c r="CF45" s="560"/>
      <c r="CG45" s="560"/>
      <c r="CH45" s="529"/>
    </row>
    <row r="46" spans="1:86" s="413" customFormat="1" ht="18.75" hidden="1" customHeight="1" outlineLevel="1">
      <c r="A46" s="550"/>
      <c r="B46" s="1290"/>
      <c r="C46" s="1291"/>
      <c r="D46" s="1292"/>
      <c r="E46" s="1293">
        <v>0</v>
      </c>
      <c r="F46" s="1294">
        <f>E46*(SUM(F42:F44)+F34)</f>
        <v>0</v>
      </c>
      <c r="G46" s="1295"/>
      <c r="H46" s="539">
        <f>+'2.Tien do'!E42</f>
        <v>0</v>
      </c>
      <c r="I46" s="539">
        <f>+'2.Tien do'!F42</f>
        <v>0</v>
      </c>
      <c r="J46" s="539">
        <f>+'2.Tien do'!G42</f>
        <v>0</v>
      </c>
      <c r="K46" s="539">
        <f>+'2.Tien do'!H42</f>
        <v>0</v>
      </c>
      <c r="L46" s="539">
        <f>+'2.Tien do'!I42</f>
        <v>0</v>
      </c>
      <c r="M46" s="539">
        <f>+'2.Tien do'!J42</f>
        <v>0</v>
      </c>
      <c r="N46" s="539">
        <f>+'2.Tien do'!K42</f>
        <v>0</v>
      </c>
      <c r="O46" s="539">
        <f>+'2.Tien do'!L42</f>
        <v>0</v>
      </c>
      <c r="P46" s="539">
        <f>+'2.Tien do'!M42</f>
        <v>0</v>
      </c>
      <c r="Q46" s="539">
        <f>+'2.Tien do'!N42</f>
        <v>0</v>
      </c>
      <c r="R46" s="539">
        <f>+'2.Tien do'!O42</f>
        <v>0</v>
      </c>
      <c r="S46" s="539">
        <f>+'2.Tien do'!P42</f>
        <v>0</v>
      </c>
      <c r="T46" s="539">
        <f>+'2.Tien do'!Q42</f>
        <v>0</v>
      </c>
      <c r="U46" s="539">
        <f>+'2.Tien do'!R42</f>
        <v>0</v>
      </c>
      <c r="V46" s="539">
        <f>+'2.Tien do'!S42</f>
        <v>0</v>
      </c>
      <c r="W46" s="539">
        <f>+'2.Tien do'!T42</f>
        <v>0</v>
      </c>
      <c r="X46" s="539">
        <f>+'2.Tien do'!U42</f>
        <v>0</v>
      </c>
      <c r="Y46" s="539">
        <f>+'2.Tien do'!V42</f>
        <v>0</v>
      </c>
      <c r="Z46" s="539">
        <f>+'2.Tien do'!W42</f>
        <v>0</v>
      </c>
      <c r="AA46" s="539">
        <f>+'2.Tien do'!X42</f>
        <v>0</v>
      </c>
      <c r="AB46" s="539">
        <f>+'2.Tien do'!Y42</f>
        <v>0</v>
      </c>
      <c r="AC46" s="539">
        <f>+'2.Tien do'!Z42</f>
        <v>0</v>
      </c>
      <c r="AD46" s="539">
        <f>+'2.Tien do'!AA42</f>
        <v>0</v>
      </c>
      <c r="AE46" s="539">
        <f>+'2.Tien do'!AB42</f>
        <v>0</v>
      </c>
      <c r="AF46" s="539">
        <f>+'2.Tien do'!AC42</f>
        <v>0</v>
      </c>
      <c r="AG46" s="539">
        <f>+'2.Tien do'!AD42</f>
        <v>0</v>
      </c>
      <c r="AH46" s="539">
        <f>+'2.Tien do'!AE42</f>
        <v>0</v>
      </c>
      <c r="AI46" s="539">
        <f>+'2.Tien do'!AF42</f>
        <v>0</v>
      </c>
      <c r="AJ46" s="539">
        <f>+'2.Tien do'!AG42</f>
        <v>0</v>
      </c>
      <c r="AK46" s="539">
        <f>+'2.Tien do'!AH42</f>
        <v>0</v>
      </c>
      <c r="AL46" s="539">
        <f>+'2.Tien do'!AI42</f>
        <v>0</v>
      </c>
      <c r="AM46" s="539">
        <f>+'2.Tien do'!AJ42</f>
        <v>0</v>
      </c>
      <c r="AN46" s="539">
        <f>+'2.Tien do'!AK42</f>
        <v>0</v>
      </c>
      <c r="AO46" s="539">
        <f>+'2.Tien do'!AL42</f>
        <v>0</v>
      </c>
      <c r="AP46" s="539">
        <f>+'2.Tien do'!AM42</f>
        <v>0</v>
      </c>
      <c r="AQ46" s="539">
        <f>+'2.Tien do'!AN42</f>
        <v>0</v>
      </c>
      <c r="AR46" s="539">
        <f>+'2.Tien do'!AO42</f>
        <v>0</v>
      </c>
      <c r="AS46" s="532"/>
      <c r="AT46" s="1357">
        <f t="shared" si="145"/>
        <v>0</v>
      </c>
      <c r="AU46" s="1358">
        <f t="shared" si="106"/>
        <v>0</v>
      </c>
      <c r="AV46" s="1358">
        <f t="shared" si="107"/>
        <v>0</v>
      </c>
      <c r="AW46" s="1358">
        <f t="shared" si="108"/>
        <v>0</v>
      </c>
      <c r="AX46" s="1358">
        <f t="shared" si="109"/>
        <v>0</v>
      </c>
      <c r="AY46" s="1358">
        <f t="shared" si="110"/>
        <v>0</v>
      </c>
      <c r="AZ46" s="1358">
        <f t="shared" si="111"/>
        <v>0</v>
      </c>
      <c r="BA46" s="1358">
        <f t="shared" si="112"/>
        <v>0</v>
      </c>
      <c r="BB46" s="1358">
        <f t="shared" si="113"/>
        <v>0</v>
      </c>
      <c r="BC46" s="1358">
        <f t="shared" si="114"/>
        <v>0</v>
      </c>
      <c r="BD46" s="1358">
        <f t="shared" si="115"/>
        <v>0</v>
      </c>
      <c r="BE46" s="1358">
        <f t="shared" si="116"/>
        <v>0</v>
      </c>
      <c r="BF46" s="1358">
        <f t="shared" si="117"/>
        <v>0</v>
      </c>
      <c r="BG46" s="1358">
        <f t="shared" si="118"/>
        <v>0</v>
      </c>
      <c r="BH46" s="1358">
        <f t="shared" si="119"/>
        <v>0</v>
      </c>
      <c r="BI46" s="1358">
        <f t="shared" si="120"/>
        <v>0</v>
      </c>
      <c r="BJ46" s="1358">
        <f t="shared" si="121"/>
        <v>0</v>
      </c>
      <c r="BK46" s="1358">
        <f t="shared" si="122"/>
        <v>0</v>
      </c>
      <c r="BL46" s="1358">
        <f t="shared" si="123"/>
        <v>0</v>
      </c>
      <c r="BM46" s="1358">
        <f t="shared" si="124"/>
        <v>0</v>
      </c>
      <c r="BN46" s="1358">
        <f t="shared" si="125"/>
        <v>0</v>
      </c>
      <c r="BO46" s="1358">
        <f t="shared" si="126"/>
        <v>0</v>
      </c>
      <c r="BP46" s="1358">
        <f t="shared" si="127"/>
        <v>0</v>
      </c>
      <c r="BQ46" s="1358">
        <f t="shared" si="128"/>
        <v>0</v>
      </c>
      <c r="BR46" s="1358">
        <f t="shared" si="129"/>
        <v>0</v>
      </c>
      <c r="BS46" s="542">
        <f t="shared" si="130"/>
        <v>0</v>
      </c>
      <c r="BT46" s="542">
        <f t="shared" si="131"/>
        <v>0</v>
      </c>
      <c r="BU46" s="542">
        <f t="shared" si="132"/>
        <v>0</v>
      </c>
      <c r="BV46" s="542">
        <f t="shared" si="133"/>
        <v>0</v>
      </c>
      <c r="BW46" s="542">
        <f t="shared" si="134"/>
        <v>0</v>
      </c>
      <c r="BX46" s="542">
        <f t="shared" si="135"/>
        <v>0</v>
      </c>
      <c r="BY46" s="542">
        <f t="shared" si="136"/>
        <v>0</v>
      </c>
      <c r="BZ46" s="542">
        <f t="shared" si="137"/>
        <v>0</v>
      </c>
      <c r="CA46" s="542">
        <f t="shared" si="138"/>
        <v>0</v>
      </c>
      <c r="CB46" s="542">
        <f t="shared" si="139"/>
        <v>0</v>
      </c>
      <c r="CC46" s="542">
        <f t="shared" si="140"/>
        <v>0</v>
      </c>
      <c r="CD46" s="542">
        <f t="shared" si="141"/>
        <v>0</v>
      </c>
      <c r="CE46" s="542">
        <f t="shared" si="142"/>
        <v>0</v>
      </c>
      <c r="CF46" s="542"/>
      <c r="CG46" s="542"/>
      <c r="CH46" s="529">
        <f>F46-SUM(AT46:CG46)</f>
        <v>0</v>
      </c>
    </row>
    <row r="47" spans="1:86" s="407" customFormat="1" ht="18.600000000000001" customHeight="1" collapsed="1">
      <c r="A47" s="547"/>
      <c r="B47" s="1347">
        <v>2.1</v>
      </c>
      <c r="C47" s="1348" t="str">
        <f>+'2.Tien do'!C42</f>
        <v>Xây dựng Chung cư …</v>
      </c>
      <c r="D47" s="1300">
        <f>+'1. thong tin quy hoach'!I29</f>
        <v>0</v>
      </c>
      <c r="E47" s="1349" t="e">
        <f>F47/D47*10^6</f>
        <v>#DIV/0!</v>
      </c>
      <c r="F47" s="1349">
        <f>SUM(F48,F56:F60)</f>
        <v>0</v>
      </c>
      <c r="G47" s="1349"/>
      <c r="H47" s="1349"/>
      <c r="I47" s="1349"/>
      <c r="J47" s="1349"/>
      <c r="K47" s="1349"/>
      <c r="L47" s="1349"/>
      <c r="M47" s="1349"/>
      <c r="N47" s="1349"/>
      <c r="O47" s="1349"/>
      <c r="P47" s="1349"/>
      <c r="Q47" s="1349"/>
      <c r="R47" s="1349"/>
      <c r="S47" s="1349"/>
      <c r="T47" s="1349"/>
      <c r="U47" s="1349"/>
      <c r="V47" s="1349"/>
      <c r="W47" s="1349"/>
      <c r="X47" s="1349"/>
      <c r="Y47" s="1349"/>
      <c r="Z47" s="1349"/>
      <c r="AA47" s="1349"/>
      <c r="AB47" s="1330"/>
      <c r="AC47" s="1330"/>
      <c r="AD47" s="1330"/>
      <c r="AE47" s="1330"/>
      <c r="AF47" s="1330"/>
      <c r="AG47" s="1330"/>
      <c r="AH47" s="1330"/>
      <c r="AI47" s="1330"/>
      <c r="AJ47" s="1330"/>
      <c r="AK47" s="1330"/>
      <c r="AL47" s="1330"/>
      <c r="AM47" s="1330"/>
      <c r="AN47" s="1330"/>
      <c r="AO47" s="1330"/>
      <c r="AP47" s="1330"/>
      <c r="AQ47" s="1330"/>
      <c r="AR47" s="1331"/>
      <c r="AS47" s="548"/>
      <c r="AT47" s="625">
        <f t="shared" ref="AT47:BN47" si="146">SUM(AT49:AT60)</f>
        <v>0</v>
      </c>
      <c r="AU47" s="626">
        <f t="shared" si="146"/>
        <v>0</v>
      </c>
      <c r="AV47" s="626">
        <f t="shared" si="146"/>
        <v>0</v>
      </c>
      <c r="AW47" s="626">
        <f t="shared" si="146"/>
        <v>0</v>
      </c>
      <c r="AX47" s="626">
        <f t="shared" si="146"/>
        <v>0</v>
      </c>
      <c r="AY47" s="626">
        <f t="shared" si="146"/>
        <v>0</v>
      </c>
      <c r="AZ47" s="626">
        <f t="shared" si="146"/>
        <v>0</v>
      </c>
      <c r="BA47" s="626">
        <f t="shared" si="146"/>
        <v>0</v>
      </c>
      <c r="BB47" s="626">
        <f t="shared" si="146"/>
        <v>0</v>
      </c>
      <c r="BC47" s="626">
        <f t="shared" si="146"/>
        <v>0</v>
      </c>
      <c r="BD47" s="626">
        <f t="shared" si="146"/>
        <v>0</v>
      </c>
      <c r="BE47" s="626">
        <f t="shared" si="146"/>
        <v>0</v>
      </c>
      <c r="BF47" s="626">
        <f t="shared" si="146"/>
        <v>0</v>
      </c>
      <c r="BG47" s="626">
        <f t="shared" si="146"/>
        <v>0</v>
      </c>
      <c r="BH47" s="626">
        <f t="shared" si="146"/>
        <v>0</v>
      </c>
      <c r="BI47" s="626">
        <f t="shared" si="146"/>
        <v>0</v>
      </c>
      <c r="BJ47" s="626">
        <f t="shared" si="146"/>
        <v>0</v>
      </c>
      <c r="BK47" s="626">
        <f t="shared" si="146"/>
        <v>0</v>
      </c>
      <c r="BL47" s="626">
        <f t="shared" si="146"/>
        <v>0</v>
      </c>
      <c r="BM47" s="626">
        <f t="shared" si="146"/>
        <v>0</v>
      </c>
      <c r="BN47" s="626">
        <f t="shared" si="146"/>
        <v>0</v>
      </c>
      <c r="BO47" s="626">
        <f t="shared" ref="BO47:BR47" si="147">SUM(BO49:BO60)</f>
        <v>0</v>
      </c>
      <c r="BP47" s="626">
        <f t="shared" si="147"/>
        <v>0</v>
      </c>
      <c r="BQ47" s="626">
        <f t="shared" si="147"/>
        <v>0</v>
      </c>
      <c r="BR47" s="626">
        <f t="shared" si="147"/>
        <v>0</v>
      </c>
      <c r="BS47" s="549">
        <f t="shared" ref="BS47:CE47" si="148">SUM(BS49:BS60)</f>
        <v>0</v>
      </c>
      <c r="BT47" s="549">
        <f t="shared" si="148"/>
        <v>0</v>
      </c>
      <c r="BU47" s="549">
        <f t="shared" si="148"/>
        <v>0</v>
      </c>
      <c r="BV47" s="549">
        <f t="shared" si="148"/>
        <v>0</v>
      </c>
      <c r="BW47" s="549">
        <f t="shared" si="148"/>
        <v>0</v>
      </c>
      <c r="BX47" s="549">
        <f t="shared" si="148"/>
        <v>0</v>
      </c>
      <c r="BY47" s="549">
        <f t="shared" si="148"/>
        <v>0</v>
      </c>
      <c r="BZ47" s="549">
        <f t="shared" si="148"/>
        <v>0</v>
      </c>
      <c r="CA47" s="549">
        <f t="shared" si="148"/>
        <v>0</v>
      </c>
      <c r="CB47" s="549">
        <f t="shared" si="148"/>
        <v>0</v>
      </c>
      <c r="CC47" s="549">
        <f t="shared" si="148"/>
        <v>0</v>
      </c>
      <c r="CD47" s="549">
        <f t="shared" si="148"/>
        <v>0</v>
      </c>
      <c r="CE47" s="549">
        <f t="shared" si="148"/>
        <v>0</v>
      </c>
      <c r="CF47" s="549"/>
      <c r="CG47" s="549"/>
      <c r="CH47" s="529">
        <f t="shared" ref="CH47:CH58" si="149">F47-SUM(AT47:CG47)</f>
        <v>0</v>
      </c>
    </row>
    <row r="48" spans="1:86" s="407" customFormat="1" hidden="1" outlineLevel="1">
      <c r="A48" s="550"/>
      <c r="B48" s="1336"/>
      <c r="C48" s="1337" t="s">
        <v>114</v>
      </c>
      <c r="D48" s="1338">
        <f>D47</f>
        <v>0</v>
      </c>
      <c r="E48" s="1339">
        <f>'8.ĐO NHAY'!$C$15*10^6</f>
        <v>13000000</v>
      </c>
      <c r="F48" s="1340">
        <f>D48*E48/10^6</f>
        <v>0</v>
      </c>
      <c r="G48" s="1340"/>
      <c r="H48" s="1340"/>
      <c r="I48" s="1340"/>
      <c r="J48" s="1340"/>
      <c r="K48" s="1340"/>
      <c r="L48" s="1340"/>
      <c r="M48" s="1340"/>
      <c r="N48" s="1340"/>
      <c r="O48" s="1340"/>
      <c r="P48" s="1340"/>
      <c r="Q48" s="1340"/>
      <c r="R48" s="1340"/>
      <c r="S48" s="1340"/>
      <c r="T48" s="1340"/>
      <c r="U48" s="1340"/>
      <c r="V48" s="1340"/>
      <c r="W48" s="1340"/>
      <c r="X48" s="1340"/>
      <c r="Y48" s="1340"/>
      <c r="Z48" s="1340"/>
      <c r="AA48" s="1340"/>
      <c r="AB48" s="530"/>
      <c r="AC48" s="530"/>
      <c r="AD48" s="530"/>
      <c r="AE48" s="530"/>
      <c r="AF48" s="530"/>
      <c r="AG48" s="530"/>
      <c r="AH48" s="530"/>
      <c r="AI48" s="530"/>
      <c r="AJ48" s="530"/>
      <c r="AK48" s="530"/>
      <c r="AL48" s="530"/>
      <c r="AM48" s="530"/>
      <c r="AN48" s="530"/>
      <c r="AO48" s="530"/>
      <c r="AP48" s="530"/>
      <c r="AQ48" s="530"/>
      <c r="AR48" s="531"/>
      <c r="AS48" s="548"/>
      <c r="AT48" s="629">
        <f>SUM(AT49:AT55)</f>
        <v>0</v>
      </c>
      <c r="AU48" s="630">
        <f t="shared" ref="AU48:CE48" si="150">SUM(AU49:AU55)</f>
        <v>0</v>
      </c>
      <c r="AV48" s="630">
        <f t="shared" si="150"/>
        <v>0</v>
      </c>
      <c r="AW48" s="630">
        <f t="shared" si="150"/>
        <v>0</v>
      </c>
      <c r="AX48" s="630">
        <f t="shared" si="150"/>
        <v>0</v>
      </c>
      <c r="AY48" s="630">
        <f t="shared" si="150"/>
        <v>0</v>
      </c>
      <c r="AZ48" s="630">
        <f t="shared" si="150"/>
        <v>0</v>
      </c>
      <c r="BA48" s="630">
        <f t="shared" si="150"/>
        <v>0</v>
      </c>
      <c r="BB48" s="630">
        <f t="shared" si="150"/>
        <v>0</v>
      </c>
      <c r="BC48" s="630">
        <f t="shared" si="150"/>
        <v>0</v>
      </c>
      <c r="BD48" s="630">
        <f t="shared" si="150"/>
        <v>0</v>
      </c>
      <c r="BE48" s="630">
        <f t="shared" si="150"/>
        <v>0</v>
      </c>
      <c r="BF48" s="630">
        <f t="shared" si="150"/>
        <v>0</v>
      </c>
      <c r="BG48" s="630">
        <f t="shared" si="150"/>
        <v>0</v>
      </c>
      <c r="BH48" s="630">
        <f t="shared" si="150"/>
        <v>0</v>
      </c>
      <c r="BI48" s="630">
        <f t="shared" si="150"/>
        <v>0</v>
      </c>
      <c r="BJ48" s="630">
        <f t="shared" si="150"/>
        <v>0</v>
      </c>
      <c r="BK48" s="630">
        <f t="shared" si="150"/>
        <v>0</v>
      </c>
      <c r="BL48" s="630">
        <f t="shared" si="150"/>
        <v>0</v>
      </c>
      <c r="BM48" s="630">
        <f t="shared" si="150"/>
        <v>0</v>
      </c>
      <c r="BN48" s="630">
        <f t="shared" si="150"/>
        <v>0</v>
      </c>
      <c r="BO48" s="630">
        <f t="shared" ref="BO48:BR48" si="151">SUM(BO49:BO55)</f>
        <v>0</v>
      </c>
      <c r="BP48" s="630">
        <f t="shared" si="151"/>
        <v>0</v>
      </c>
      <c r="BQ48" s="630">
        <f t="shared" si="151"/>
        <v>0</v>
      </c>
      <c r="BR48" s="630">
        <f t="shared" si="151"/>
        <v>0</v>
      </c>
      <c r="BS48" s="551">
        <f t="shared" si="150"/>
        <v>0</v>
      </c>
      <c r="BT48" s="551">
        <f t="shared" si="150"/>
        <v>0</v>
      </c>
      <c r="BU48" s="551">
        <f t="shared" si="150"/>
        <v>0</v>
      </c>
      <c r="BV48" s="551">
        <f t="shared" si="150"/>
        <v>0</v>
      </c>
      <c r="BW48" s="551">
        <f t="shared" si="150"/>
        <v>0</v>
      </c>
      <c r="BX48" s="551">
        <f t="shared" si="150"/>
        <v>0</v>
      </c>
      <c r="BY48" s="551">
        <f t="shared" si="150"/>
        <v>0</v>
      </c>
      <c r="BZ48" s="551">
        <f t="shared" si="150"/>
        <v>0</v>
      </c>
      <c r="CA48" s="551">
        <f t="shared" si="150"/>
        <v>0</v>
      </c>
      <c r="CB48" s="551">
        <f t="shared" si="150"/>
        <v>0</v>
      </c>
      <c r="CC48" s="551">
        <f t="shared" si="150"/>
        <v>0</v>
      </c>
      <c r="CD48" s="551">
        <f t="shared" si="150"/>
        <v>0</v>
      </c>
      <c r="CE48" s="551">
        <f t="shared" si="150"/>
        <v>0</v>
      </c>
      <c r="CF48" s="551"/>
      <c r="CG48" s="551"/>
      <c r="CH48" s="529">
        <f t="shared" si="149"/>
        <v>0</v>
      </c>
    </row>
    <row r="49" spans="1:86" s="407" customFormat="1" hidden="1" outlineLevel="1">
      <c r="B49" s="534"/>
      <c r="C49" s="628" t="s">
        <v>146</v>
      </c>
      <c r="D49" s="535"/>
      <c r="E49" s="613">
        <v>1E-3</v>
      </c>
      <c r="F49" s="538">
        <f>E49*$F$48</f>
        <v>0</v>
      </c>
      <c r="G49" s="539"/>
      <c r="H49" s="539">
        <f>+'2.Tien do'!E43</f>
        <v>0</v>
      </c>
      <c r="I49" s="539">
        <f>+'2.Tien do'!F43</f>
        <v>0</v>
      </c>
      <c r="J49" s="539">
        <f>+'2.Tien do'!G43</f>
        <v>0</v>
      </c>
      <c r="K49" s="539">
        <f>+'2.Tien do'!H43</f>
        <v>0</v>
      </c>
      <c r="L49" s="539">
        <f>+'2.Tien do'!I43</f>
        <v>0</v>
      </c>
      <c r="M49" s="539">
        <f>+'2.Tien do'!J43</f>
        <v>0</v>
      </c>
      <c r="N49" s="539">
        <f>+'2.Tien do'!K43</f>
        <v>0</v>
      </c>
      <c r="O49" s="539">
        <f>+'2.Tien do'!L43</f>
        <v>0</v>
      </c>
      <c r="P49" s="539">
        <f>+'2.Tien do'!M43</f>
        <v>0</v>
      </c>
      <c r="Q49" s="539">
        <f>+'2.Tien do'!N43</f>
        <v>0</v>
      </c>
      <c r="R49" s="539">
        <f>+'2.Tien do'!O43</f>
        <v>0</v>
      </c>
      <c r="S49" s="539">
        <f>+'2.Tien do'!P43</f>
        <v>0</v>
      </c>
      <c r="T49" s="539">
        <f>+'2.Tien do'!Q43</f>
        <v>0</v>
      </c>
      <c r="U49" s="539">
        <f>+'2.Tien do'!R43</f>
        <v>0</v>
      </c>
      <c r="V49" s="539">
        <f>+'2.Tien do'!S43</f>
        <v>0</v>
      </c>
      <c r="W49" s="539">
        <f>+'2.Tien do'!T43</f>
        <v>0</v>
      </c>
      <c r="X49" s="539">
        <f>+'2.Tien do'!U43</f>
        <v>0</v>
      </c>
      <c r="Y49" s="539">
        <f>+'2.Tien do'!V43</f>
        <v>0</v>
      </c>
      <c r="Z49" s="539">
        <f>+'2.Tien do'!W43</f>
        <v>0</v>
      </c>
      <c r="AA49" s="539">
        <f>+'2.Tien do'!X43</f>
        <v>0</v>
      </c>
      <c r="AB49" s="539">
        <f>+'2.Tien do'!Y43</f>
        <v>0</v>
      </c>
      <c r="AC49" s="539">
        <f>+'2.Tien do'!Z43</f>
        <v>0</v>
      </c>
      <c r="AD49" s="539">
        <f>+'2.Tien do'!AA43</f>
        <v>0</v>
      </c>
      <c r="AE49" s="539">
        <f>+'2.Tien do'!AB43</f>
        <v>0</v>
      </c>
      <c r="AF49" s="539">
        <f>+'2.Tien do'!AC43</f>
        <v>0</v>
      </c>
      <c r="AG49" s="539">
        <f>+'2.Tien do'!AD43</f>
        <v>0</v>
      </c>
      <c r="AH49" s="539">
        <f>+'2.Tien do'!AE43</f>
        <v>0</v>
      </c>
      <c r="AI49" s="539">
        <f>+'2.Tien do'!AF43</f>
        <v>0</v>
      </c>
      <c r="AJ49" s="539">
        <f>+'2.Tien do'!AG43</f>
        <v>0</v>
      </c>
      <c r="AK49" s="539">
        <f>+'2.Tien do'!AH43</f>
        <v>0</v>
      </c>
      <c r="AL49" s="539">
        <f>+'2.Tien do'!AI43</f>
        <v>0</v>
      </c>
      <c r="AM49" s="539">
        <f>+'2.Tien do'!AJ43</f>
        <v>0</v>
      </c>
      <c r="AN49" s="539">
        <f>+'2.Tien do'!AK43</f>
        <v>0</v>
      </c>
      <c r="AO49" s="539">
        <f>+'2.Tien do'!AL43</f>
        <v>0</v>
      </c>
      <c r="AP49" s="539">
        <f>+'2.Tien do'!AM43</f>
        <v>0</v>
      </c>
      <c r="AQ49" s="539">
        <f>+'2.Tien do'!AN43</f>
        <v>0</v>
      </c>
      <c r="AR49" s="539">
        <f>+'2.Tien do'!AO43</f>
        <v>0</v>
      </c>
      <c r="AS49" s="548"/>
      <c r="AT49" s="541">
        <f t="shared" ref="AT49:AT55" si="152">$F49*G49</f>
        <v>0</v>
      </c>
      <c r="AU49" s="542">
        <f t="shared" ref="AU49:AU60" si="153">$F49*H49</f>
        <v>0</v>
      </c>
      <c r="AV49" s="542">
        <f t="shared" ref="AV49:AV60" si="154">$F49*I49</f>
        <v>0</v>
      </c>
      <c r="AW49" s="542">
        <f t="shared" ref="AW49:AW60" si="155">$F49*J49</f>
        <v>0</v>
      </c>
      <c r="AX49" s="542">
        <f t="shared" ref="AX49:AX60" si="156">$F49*K49</f>
        <v>0</v>
      </c>
      <c r="AY49" s="542">
        <f t="shared" ref="AY49:AY60" si="157">$F49*L49</f>
        <v>0</v>
      </c>
      <c r="AZ49" s="542">
        <f t="shared" ref="AZ49:AZ60" si="158">$F49*M49</f>
        <v>0</v>
      </c>
      <c r="BA49" s="542">
        <f t="shared" ref="BA49:BA60" si="159">$F49*N49</f>
        <v>0</v>
      </c>
      <c r="BB49" s="542">
        <f t="shared" ref="BB49:BB60" si="160">$F49*O49</f>
        <v>0</v>
      </c>
      <c r="BC49" s="542">
        <f t="shared" ref="BC49:BC60" si="161">$F49*P49</f>
        <v>0</v>
      </c>
      <c r="BD49" s="542">
        <f t="shared" ref="BD49:BD60" si="162">$F49*Q49</f>
        <v>0</v>
      </c>
      <c r="BE49" s="542">
        <f t="shared" ref="BE49:BE60" si="163">$F49*R49</f>
        <v>0</v>
      </c>
      <c r="BF49" s="542">
        <f t="shared" ref="BF49:BF60" si="164">$F49*S49</f>
        <v>0</v>
      </c>
      <c r="BG49" s="542">
        <f t="shared" ref="BG49:BG60" si="165">$F49*T49</f>
        <v>0</v>
      </c>
      <c r="BH49" s="542">
        <f t="shared" ref="BH49:BH60" si="166">$F49*U49</f>
        <v>0</v>
      </c>
      <c r="BI49" s="542">
        <f t="shared" ref="BI49:BI60" si="167">$F49*V49</f>
        <v>0</v>
      </c>
      <c r="BJ49" s="542">
        <f t="shared" ref="BJ49:BJ60" si="168">$F49*W49</f>
        <v>0</v>
      </c>
      <c r="BK49" s="542">
        <f t="shared" ref="BK49:BK60" si="169">$F49*X49</f>
        <v>0</v>
      </c>
      <c r="BL49" s="542">
        <f t="shared" ref="BL49:BL60" si="170">$F49*Y49</f>
        <v>0</v>
      </c>
      <c r="BM49" s="542">
        <f t="shared" ref="BM49:BM60" si="171">$F49*Z49</f>
        <v>0</v>
      </c>
      <c r="BN49" s="542">
        <f t="shared" ref="BN49:BN60" si="172">$F49*AA49</f>
        <v>0</v>
      </c>
      <c r="BO49" s="542">
        <f t="shared" ref="BO49:BO60" si="173">$F49*AB49</f>
        <v>0</v>
      </c>
      <c r="BP49" s="542">
        <f t="shared" ref="BP49:BP60" si="174">$F49*AC49</f>
        <v>0</v>
      </c>
      <c r="BQ49" s="542">
        <f t="shared" ref="BQ49:BQ60" si="175">$F49*AD49</f>
        <v>0</v>
      </c>
      <c r="BR49" s="542">
        <f t="shared" ref="BR49:BR60" si="176">$F49*AE49</f>
        <v>0</v>
      </c>
      <c r="BS49" s="542">
        <f t="shared" ref="BS49:BS60" si="177">$F49*AF49</f>
        <v>0</v>
      </c>
      <c r="BT49" s="542">
        <f t="shared" ref="BT49:BT60" si="178">$F49*AG49</f>
        <v>0</v>
      </c>
      <c r="BU49" s="542">
        <f t="shared" ref="BU49:BU60" si="179">$F49*AH49</f>
        <v>0</v>
      </c>
      <c r="BV49" s="542">
        <f t="shared" ref="BV49:BV60" si="180">$F49*AI49</f>
        <v>0</v>
      </c>
      <c r="BW49" s="542">
        <f t="shared" ref="BW49:BW60" si="181">$F49*AJ49</f>
        <v>0</v>
      </c>
      <c r="BX49" s="542">
        <f t="shared" ref="BX49:BX60" si="182">$F49*AK49</f>
        <v>0</v>
      </c>
      <c r="BY49" s="542">
        <f t="shared" ref="BY49:BY60" si="183">$F49*AL49</f>
        <v>0</v>
      </c>
      <c r="BZ49" s="542">
        <f t="shared" ref="BZ49:BZ60" si="184">$F49*AM49</f>
        <v>0</v>
      </c>
      <c r="CA49" s="542">
        <f t="shared" ref="CA49:CA60" si="185">$F49*AN49</f>
        <v>0</v>
      </c>
      <c r="CB49" s="542">
        <f t="shared" ref="CB49:CB60" si="186">$F49*AO49</f>
        <v>0</v>
      </c>
      <c r="CC49" s="542">
        <f t="shared" ref="CC49:CC60" si="187">$F49*AP49</f>
        <v>0</v>
      </c>
      <c r="CD49" s="542">
        <f t="shared" ref="CD49:CD60" si="188">$F49*AQ49</f>
        <v>0</v>
      </c>
      <c r="CE49" s="542">
        <f t="shared" ref="CE49:CE60" si="189">$F49*AR49</f>
        <v>0</v>
      </c>
      <c r="CF49" s="542"/>
      <c r="CG49" s="542"/>
      <c r="CH49" s="529">
        <f t="shared" si="149"/>
        <v>0</v>
      </c>
    </row>
    <row r="50" spans="1:86" s="407" customFormat="1" hidden="1" outlineLevel="1">
      <c r="B50" s="534"/>
      <c r="C50" s="628" t="s">
        <v>147</v>
      </c>
      <c r="D50" s="535"/>
      <c r="E50" s="613">
        <v>0.17799999999999999</v>
      </c>
      <c r="F50" s="538">
        <f t="shared" ref="F50:F55" si="190">E50*$F$48</f>
        <v>0</v>
      </c>
      <c r="G50" s="539"/>
      <c r="H50" s="539">
        <f>+'2.Tien do'!E44</f>
        <v>0</v>
      </c>
      <c r="I50" s="539">
        <f>+'2.Tien do'!F44</f>
        <v>0</v>
      </c>
      <c r="J50" s="539">
        <f>+'2.Tien do'!G44</f>
        <v>0</v>
      </c>
      <c r="K50" s="539">
        <f>+'2.Tien do'!H44</f>
        <v>0</v>
      </c>
      <c r="L50" s="539">
        <f>+'2.Tien do'!I44</f>
        <v>0</v>
      </c>
      <c r="M50" s="539">
        <f>+'2.Tien do'!J44</f>
        <v>0</v>
      </c>
      <c r="N50" s="539">
        <f>+'2.Tien do'!K44</f>
        <v>0</v>
      </c>
      <c r="O50" s="539">
        <f>+'2.Tien do'!L44</f>
        <v>0</v>
      </c>
      <c r="P50" s="539">
        <f>+'2.Tien do'!M44</f>
        <v>0</v>
      </c>
      <c r="Q50" s="539">
        <f>+'2.Tien do'!N44</f>
        <v>0</v>
      </c>
      <c r="R50" s="539">
        <f>+'2.Tien do'!O44</f>
        <v>0</v>
      </c>
      <c r="S50" s="539">
        <f>+'2.Tien do'!P44</f>
        <v>0</v>
      </c>
      <c r="T50" s="539">
        <f>+'2.Tien do'!Q44</f>
        <v>0</v>
      </c>
      <c r="U50" s="539">
        <f>+'2.Tien do'!R44</f>
        <v>0</v>
      </c>
      <c r="V50" s="539">
        <f>+'2.Tien do'!S44</f>
        <v>0</v>
      </c>
      <c r="W50" s="539">
        <f>+'2.Tien do'!T44</f>
        <v>0</v>
      </c>
      <c r="X50" s="539">
        <f>+'2.Tien do'!U44</f>
        <v>0</v>
      </c>
      <c r="Y50" s="539">
        <f>+'2.Tien do'!V44</f>
        <v>0</v>
      </c>
      <c r="Z50" s="539">
        <f>+'2.Tien do'!W44</f>
        <v>0</v>
      </c>
      <c r="AA50" s="539">
        <f>+'2.Tien do'!X44</f>
        <v>0</v>
      </c>
      <c r="AB50" s="539">
        <f>+'2.Tien do'!Y44</f>
        <v>0</v>
      </c>
      <c r="AC50" s="539">
        <f>+'2.Tien do'!Z44</f>
        <v>0</v>
      </c>
      <c r="AD50" s="539">
        <f>+'2.Tien do'!AA44</f>
        <v>0</v>
      </c>
      <c r="AE50" s="539">
        <f>+'2.Tien do'!AB44</f>
        <v>0</v>
      </c>
      <c r="AF50" s="539">
        <f>+'2.Tien do'!AC44</f>
        <v>0</v>
      </c>
      <c r="AG50" s="539">
        <f>+'2.Tien do'!AD44</f>
        <v>0</v>
      </c>
      <c r="AH50" s="539">
        <f>+'2.Tien do'!AE44</f>
        <v>0</v>
      </c>
      <c r="AI50" s="539">
        <f>+'2.Tien do'!AF44</f>
        <v>0</v>
      </c>
      <c r="AJ50" s="539">
        <f>+'2.Tien do'!AG44</f>
        <v>0</v>
      </c>
      <c r="AK50" s="539">
        <f>+'2.Tien do'!AH44</f>
        <v>0</v>
      </c>
      <c r="AL50" s="539">
        <f>+'2.Tien do'!AI44</f>
        <v>0</v>
      </c>
      <c r="AM50" s="539">
        <f>+'2.Tien do'!AJ44</f>
        <v>0</v>
      </c>
      <c r="AN50" s="539">
        <f>+'2.Tien do'!AK44</f>
        <v>0</v>
      </c>
      <c r="AO50" s="539">
        <f>+'2.Tien do'!AL44</f>
        <v>0</v>
      </c>
      <c r="AP50" s="539">
        <f>+'2.Tien do'!AM44</f>
        <v>0</v>
      </c>
      <c r="AQ50" s="539">
        <f>+'2.Tien do'!AN44</f>
        <v>0</v>
      </c>
      <c r="AR50" s="539">
        <f>+'2.Tien do'!AO44</f>
        <v>0</v>
      </c>
      <c r="AS50" s="548"/>
      <c r="AT50" s="541">
        <f t="shared" si="152"/>
        <v>0</v>
      </c>
      <c r="AU50" s="542">
        <f t="shared" si="153"/>
        <v>0</v>
      </c>
      <c r="AV50" s="542">
        <f t="shared" si="154"/>
        <v>0</v>
      </c>
      <c r="AW50" s="542">
        <f t="shared" si="155"/>
        <v>0</v>
      </c>
      <c r="AX50" s="542">
        <f t="shared" si="156"/>
        <v>0</v>
      </c>
      <c r="AY50" s="542">
        <f t="shared" si="157"/>
        <v>0</v>
      </c>
      <c r="AZ50" s="542">
        <f t="shared" si="158"/>
        <v>0</v>
      </c>
      <c r="BA50" s="542">
        <f t="shared" si="159"/>
        <v>0</v>
      </c>
      <c r="BB50" s="542">
        <f t="shared" si="160"/>
        <v>0</v>
      </c>
      <c r="BC50" s="542">
        <f t="shared" si="161"/>
        <v>0</v>
      </c>
      <c r="BD50" s="542">
        <f t="shared" si="162"/>
        <v>0</v>
      </c>
      <c r="BE50" s="542">
        <f t="shared" si="163"/>
        <v>0</v>
      </c>
      <c r="BF50" s="542">
        <f t="shared" si="164"/>
        <v>0</v>
      </c>
      <c r="BG50" s="542">
        <f t="shared" si="165"/>
        <v>0</v>
      </c>
      <c r="BH50" s="542">
        <f t="shared" si="166"/>
        <v>0</v>
      </c>
      <c r="BI50" s="542">
        <f t="shared" si="167"/>
        <v>0</v>
      </c>
      <c r="BJ50" s="542">
        <f t="shared" si="168"/>
        <v>0</v>
      </c>
      <c r="BK50" s="542">
        <f t="shared" si="169"/>
        <v>0</v>
      </c>
      <c r="BL50" s="542">
        <f t="shared" si="170"/>
        <v>0</v>
      </c>
      <c r="BM50" s="542">
        <f t="shared" si="171"/>
        <v>0</v>
      </c>
      <c r="BN50" s="542">
        <f t="shared" si="172"/>
        <v>0</v>
      </c>
      <c r="BO50" s="542">
        <f t="shared" si="173"/>
        <v>0</v>
      </c>
      <c r="BP50" s="542">
        <f t="shared" si="174"/>
        <v>0</v>
      </c>
      <c r="BQ50" s="542">
        <f t="shared" si="175"/>
        <v>0</v>
      </c>
      <c r="BR50" s="542">
        <f t="shared" si="176"/>
        <v>0</v>
      </c>
      <c r="BS50" s="542">
        <f t="shared" si="177"/>
        <v>0</v>
      </c>
      <c r="BT50" s="542">
        <f t="shared" si="178"/>
        <v>0</v>
      </c>
      <c r="BU50" s="542">
        <f t="shared" si="179"/>
        <v>0</v>
      </c>
      <c r="BV50" s="542">
        <f t="shared" si="180"/>
        <v>0</v>
      </c>
      <c r="BW50" s="542">
        <f t="shared" si="181"/>
        <v>0</v>
      </c>
      <c r="BX50" s="542">
        <f t="shared" si="182"/>
        <v>0</v>
      </c>
      <c r="BY50" s="542">
        <f t="shared" si="183"/>
        <v>0</v>
      </c>
      <c r="BZ50" s="542">
        <f t="shared" si="184"/>
        <v>0</v>
      </c>
      <c r="CA50" s="542">
        <f t="shared" si="185"/>
        <v>0</v>
      </c>
      <c r="CB50" s="542">
        <f t="shared" si="186"/>
        <v>0</v>
      </c>
      <c r="CC50" s="542">
        <f t="shared" si="187"/>
        <v>0</v>
      </c>
      <c r="CD50" s="542">
        <f t="shared" si="188"/>
        <v>0</v>
      </c>
      <c r="CE50" s="542">
        <f t="shared" si="189"/>
        <v>0</v>
      </c>
      <c r="CF50" s="542"/>
      <c r="CG50" s="542"/>
      <c r="CH50" s="529">
        <f t="shared" si="149"/>
        <v>0</v>
      </c>
    </row>
    <row r="51" spans="1:86" s="552" customFormat="1" hidden="1" outlineLevel="1">
      <c r="B51" s="534"/>
      <c r="C51" s="628" t="s">
        <v>149</v>
      </c>
      <c r="D51" s="535"/>
      <c r="E51" s="613">
        <v>0.22800000000000001</v>
      </c>
      <c r="F51" s="538">
        <f t="shared" si="190"/>
        <v>0</v>
      </c>
      <c r="G51" s="539"/>
      <c r="H51" s="539">
        <f>+'2.Tien do'!E45</f>
        <v>0</v>
      </c>
      <c r="I51" s="539">
        <f>+'2.Tien do'!F45</f>
        <v>0</v>
      </c>
      <c r="J51" s="539">
        <f>+'2.Tien do'!G45</f>
        <v>0</v>
      </c>
      <c r="K51" s="539">
        <f>+'2.Tien do'!H45</f>
        <v>0</v>
      </c>
      <c r="L51" s="539">
        <f>+'2.Tien do'!I45</f>
        <v>0</v>
      </c>
      <c r="M51" s="539">
        <f>+'2.Tien do'!J45</f>
        <v>0</v>
      </c>
      <c r="N51" s="539">
        <f>+'2.Tien do'!K45</f>
        <v>0</v>
      </c>
      <c r="O51" s="539">
        <f>+'2.Tien do'!L45</f>
        <v>0</v>
      </c>
      <c r="P51" s="539">
        <f>+'2.Tien do'!M45</f>
        <v>0</v>
      </c>
      <c r="Q51" s="539">
        <f>+'2.Tien do'!N45</f>
        <v>0</v>
      </c>
      <c r="R51" s="539">
        <f>+'2.Tien do'!O45</f>
        <v>0</v>
      </c>
      <c r="S51" s="539">
        <f>+'2.Tien do'!P45</f>
        <v>0</v>
      </c>
      <c r="T51" s="539">
        <f>+'2.Tien do'!Q45</f>
        <v>0</v>
      </c>
      <c r="U51" s="539">
        <f>+'2.Tien do'!R45</f>
        <v>0</v>
      </c>
      <c r="V51" s="539">
        <f>+'2.Tien do'!S45</f>
        <v>0</v>
      </c>
      <c r="W51" s="539">
        <f>+'2.Tien do'!T45</f>
        <v>0</v>
      </c>
      <c r="X51" s="539">
        <f>+'2.Tien do'!U45</f>
        <v>0</v>
      </c>
      <c r="Y51" s="539">
        <f>+'2.Tien do'!V45</f>
        <v>0</v>
      </c>
      <c r="Z51" s="539">
        <f>+'2.Tien do'!W45</f>
        <v>0</v>
      </c>
      <c r="AA51" s="539">
        <f>+'2.Tien do'!X45</f>
        <v>0</v>
      </c>
      <c r="AB51" s="539">
        <f>+'2.Tien do'!Y45</f>
        <v>0</v>
      </c>
      <c r="AC51" s="539">
        <f>+'2.Tien do'!Z45</f>
        <v>0</v>
      </c>
      <c r="AD51" s="539">
        <f>+'2.Tien do'!AA45</f>
        <v>0</v>
      </c>
      <c r="AE51" s="539">
        <f>+'2.Tien do'!AB45</f>
        <v>0</v>
      </c>
      <c r="AF51" s="539">
        <f>+'2.Tien do'!AC45</f>
        <v>0</v>
      </c>
      <c r="AG51" s="539">
        <f>+'2.Tien do'!AD45</f>
        <v>0</v>
      </c>
      <c r="AH51" s="539">
        <f>+'2.Tien do'!AE45</f>
        <v>0</v>
      </c>
      <c r="AI51" s="539">
        <f>+'2.Tien do'!AF45</f>
        <v>0</v>
      </c>
      <c r="AJ51" s="539">
        <f>+'2.Tien do'!AG45</f>
        <v>0</v>
      </c>
      <c r="AK51" s="539">
        <f>+'2.Tien do'!AH45</f>
        <v>0</v>
      </c>
      <c r="AL51" s="539">
        <f>+'2.Tien do'!AI45</f>
        <v>0</v>
      </c>
      <c r="AM51" s="539">
        <f>+'2.Tien do'!AJ45</f>
        <v>0</v>
      </c>
      <c r="AN51" s="539">
        <f>+'2.Tien do'!AK45</f>
        <v>0</v>
      </c>
      <c r="AO51" s="539">
        <f>+'2.Tien do'!AL45</f>
        <v>0</v>
      </c>
      <c r="AP51" s="539">
        <f>+'2.Tien do'!AM45</f>
        <v>0</v>
      </c>
      <c r="AQ51" s="539">
        <f>+'2.Tien do'!AN45</f>
        <v>0</v>
      </c>
      <c r="AR51" s="539">
        <f>+'2.Tien do'!AO45</f>
        <v>0</v>
      </c>
      <c r="AS51" s="548"/>
      <c r="AT51" s="541">
        <f t="shared" si="152"/>
        <v>0</v>
      </c>
      <c r="AU51" s="542">
        <f t="shared" si="153"/>
        <v>0</v>
      </c>
      <c r="AV51" s="542">
        <f t="shared" si="154"/>
        <v>0</v>
      </c>
      <c r="AW51" s="542">
        <f t="shared" si="155"/>
        <v>0</v>
      </c>
      <c r="AX51" s="542">
        <f t="shared" si="156"/>
        <v>0</v>
      </c>
      <c r="AY51" s="542">
        <f t="shared" si="157"/>
        <v>0</v>
      </c>
      <c r="AZ51" s="542">
        <f t="shared" si="158"/>
        <v>0</v>
      </c>
      <c r="BA51" s="542">
        <f t="shared" si="159"/>
        <v>0</v>
      </c>
      <c r="BB51" s="542">
        <f t="shared" si="160"/>
        <v>0</v>
      </c>
      <c r="BC51" s="542">
        <f t="shared" si="161"/>
        <v>0</v>
      </c>
      <c r="BD51" s="542">
        <f t="shared" si="162"/>
        <v>0</v>
      </c>
      <c r="BE51" s="542">
        <f t="shared" si="163"/>
        <v>0</v>
      </c>
      <c r="BF51" s="542">
        <f t="shared" si="164"/>
        <v>0</v>
      </c>
      <c r="BG51" s="542">
        <f t="shared" si="165"/>
        <v>0</v>
      </c>
      <c r="BH51" s="542">
        <f t="shared" si="166"/>
        <v>0</v>
      </c>
      <c r="BI51" s="542">
        <f t="shared" si="167"/>
        <v>0</v>
      </c>
      <c r="BJ51" s="542">
        <f t="shared" si="168"/>
        <v>0</v>
      </c>
      <c r="BK51" s="542">
        <f t="shared" si="169"/>
        <v>0</v>
      </c>
      <c r="BL51" s="542">
        <f t="shared" si="170"/>
        <v>0</v>
      </c>
      <c r="BM51" s="542">
        <f t="shared" si="171"/>
        <v>0</v>
      </c>
      <c r="BN51" s="542">
        <f t="shared" si="172"/>
        <v>0</v>
      </c>
      <c r="BO51" s="542">
        <f t="shared" si="173"/>
        <v>0</v>
      </c>
      <c r="BP51" s="542">
        <f t="shared" si="174"/>
        <v>0</v>
      </c>
      <c r="BQ51" s="542">
        <f t="shared" si="175"/>
        <v>0</v>
      </c>
      <c r="BR51" s="542">
        <f t="shared" si="176"/>
        <v>0</v>
      </c>
      <c r="BS51" s="542">
        <f t="shared" si="177"/>
        <v>0</v>
      </c>
      <c r="BT51" s="542">
        <f t="shared" si="178"/>
        <v>0</v>
      </c>
      <c r="BU51" s="542">
        <f t="shared" si="179"/>
        <v>0</v>
      </c>
      <c r="BV51" s="542">
        <f t="shared" si="180"/>
        <v>0</v>
      </c>
      <c r="BW51" s="542">
        <f t="shared" si="181"/>
        <v>0</v>
      </c>
      <c r="BX51" s="542">
        <f t="shared" si="182"/>
        <v>0</v>
      </c>
      <c r="BY51" s="542">
        <f t="shared" si="183"/>
        <v>0</v>
      </c>
      <c r="BZ51" s="542">
        <f t="shared" si="184"/>
        <v>0</v>
      </c>
      <c r="CA51" s="542">
        <f t="shared" si="185"/>
        <v>0</v>
      </c>
      <c r="CB51" s="542">
        <f t="shared" si="186"/>
        <v>0</v>
      </c>
      <c r="CC51" s="542">
        <f t="shared" si="187"/>
        <v>0</v>
      </c>
      <c r="CD51" s="542">
        <f t="shared" si="188"/>
        <v>0</v>
      </c>
      <c r="CE51" s="542">
        <f t="shared" si="189"/>
        <v>0</v>
      </c>
      <c r="CF51" s="542"/>
      <c r="CG51" s="542"/>
      <c r="CH51" s="529">
        <f t="shared" si="149"/>
        <v>0</v>
      </c>
    </row>
    <row r="52" spans="1:86" s="552" customFormat="1" hidden="1" outlineLevel="1">
      <c r="B52" s="553"/>
      <c r="C52" s="628" t="s">
        <v>150</v>
      </c>
      <c r="D52" s="535"/>
      <c r="E52" s="613">
        <v>0.312</v>
      </c>
      <c r="F52" s="538">
        <f t="shared" si="190"/>
        <v>0</v>
      </c>
      <c r="G52" s="539"/>
      <c r="H52" s="539">
        <f>+'2.Tien do'!E46</f>
        <v>0</v>
      </c>
      <c r="I52" s="539">
        <f>+'2.Tien do'!F46</f>
        <v>0</v>
      </c>
      <c r="J52" s="539">
        <f>+'2.Tien do'!G46</f>
        <v>0</v>
      </c>
      <c r="K52" s="539">
        <f>+'2.Tien do'!H46</f>
        <v>0</v>
      </c>
      <c r="L52" s="539">
        <f>+'2.Tien do'!I46</f>
        <v>0</v>
      </c>
      <c r="M52" s="539">
        <f>+'2.Tien do'!J46</f>
        <v>0</v>
      </c>
      <c r="N52" s="539">
        <f>+'2.Tien do'!K46</f>
        <v>0</v>
      </c>
      <c r="O52" s="539">
        <f>+'2.Tien do'!L46</f>
        <v>0</v>
      </c>
      <c r="P52" s="539">
        <f>+'2.Tien do'!M46</f>
        <v>0</v>
      </c>
      <c r="Q52" s="539">
        <f>+'2.Tien do'!N46</f>
        <v>0</v>
      </c>
      <c r="R52" s="539">
        <f>+'2.Tien do'!O46</f>
        <v>0</v>
      </c>
      <c r="S52" s="539">
        <f>+'2.Tien do'!P46</f>
        <v>0</v>
      </c>
      <c r="T52" s="539">
        <f>+'2.Tien do'!Q46</f>
        <v>0</v>
      </c>
      <c r="U52" s="539">
        <f>+'2.Tien do'!R46</f>
        <v>0</v>
      </c>
      <c r="V52" s="539">
        <f>+'2.Tien do'!S46</f>
        <v>0</v>
      </c>
      <c r="W52" s="539">
        <f>+'2.Tien do'!T46</f>
        <v>0</v>
      </c>
      <c r="X52" s="539">
        <f>+'2.Tien do'!U46</f>
        <v>0</v>
      </c>
      <c r="Y52" s="539">
        <f>+'2.Tien do'!V46</f>
        <v>0</v>
      </c>
      <c r="Z52" s="539">
        <f>+'2.Tien do'!W46</f>
        <v>0</v>
      </c>
      <c r="AA52" s="539">
        <f>+'2.Tien do'!X46</f>
        <v>0</v>
      </c>
      <c r="AB52" s="539">
        <f>+'2.Tien do'!Y46</f>
        <v>0</v>
      </c>
      <c r="AC52" s="539">
        <f>+'2.Tien do'!Z46</f>
        <v>0</v>
      </c>
      <c r="AD52" s="539">
        <f>+'2.Tien do'!AA46</f>
        <v>0</v>
      </c>
      <c r="AE52" s="539">
        <f>+'2.Tien do'!AB46</f>
        <v>0</v>
      </c>
      <c r="AF52" s="539">
        <f>+'2.Tien do'!AC46</f>
        <v>0</v>
      </c>
      <c r="AG52" s="539">
        <f>+'2.Tien do'!AD46</f>
        <v>0</v>
      </c>
      <c r="AH52" s="539">
        <f>+'2.Tien do'!AE46</f>
        <v>0</v>
      </c>
      <c r="AI52" s="539">
        <f>+'2.Tien do'!AF46</f>
        <v>0</v>
      </c>
      <c r="AJ52" s="539">
        <f>+'2.Tien do'!AG46</f>
        <v>0</v>
      </c>
      <c r="AK52" s="539">
        <f>+'2.Tien do'!AH46</f>
        <v>0</v>
      </c>
      <c r="AL52" s="539">
        <f>+'2.Tien do'!AI46</f>
        <v>0</v>
      </c>
      <c r="AM52" s="539">
        <f>+'2.Tien do'!AJ46</f>
        <v>0</v>
      </c>
      <c r="AN52" s="539">
        <f>+'2.Tien do'!AK46</f>
        <v>0</v>
      </c>
      <c r="AO52" s="539">
        <f>+'2.Tien do'!AL46</f>
        <v>0</v>
      </c>
      <c r="AP52" s="539">
        <f>+'2.Tien do'!AM46</f>
        <v>0</v>
      </c>
      <c r="AQ52" s="539">
        <f>+'2.Tien do'!AN46</f>
        <v>0</v>
      </c>
      <c r="AR52" s="539">
        <f>+'2.Tien do'!AO46</f>
        <v>0</v>
      </c>
      <c r="AS52" s="548"/>
      <c r="AT52" s="541">
        <f t="shared" si="152"/>
        <v>0</v>
      </c>
      <c r="AU52" s="542">
        <f t="shared" si="153"/>
        <v>0</v>
      </c>
      <c r="AV52" s="542">
        <f t="shared" si="154"/>
        <v>0</v>
      </c>
      <c r="AW52" s="542">
        <f t="shared" si="155"/>
        <v>0</v>
      </c>
      <c r="AX52" s="542">
        <f t="shared" si="156"/>
        <v>0</v>
      </c>
      <c r="AY52" s="542">
        <f t="shared" si="157"/>
        <v>0</v>
      </c>
      <c r="AZ52" s="542">
        <f t="shared" si="158"/>
        <v>0</v>
      </c>
      <c r="BA52" s="542">
        <f t="shared" si="159"/>
        <v>0</v>
      </c>
      <c r="BB52" s="542">
        <f t="shared" si="160"/>
        <v>0</v>
      </c>
      <c r="BC52" s="542">
        <f t="shared" si="161"/>
        <v>0</v>
      </c>
      <c r="BD52" s="542">
        <f t="shared" si="162"/>
        <v>0</v>
      </c>
      <c r="BE52" s="542">
        <f t="shared" si="163"/>
        <v>0</v>
      </c>
      <c r="BF52" s="542">
        <f t="shared" si="164"/>
        <v>0</v>
      </c>
      <c r="BG52" s="542">
        <f t="shared" si="165"/>
        <v>0</v>
      </c>
      <c r="BH52" s="542">
        <f t="shared" si="166"/>
        <v>0</v>
      </c>
      <c r="BI52" s="542">
        <f t="shared" si="167"/>
        <v>0</v>
      </c>
      <c r="BJ52" s="542">
        <f t="shared" si="168"/>
        <v>0</v>
      </c>
      <c r="BK52" s="542">
        <f t="shared" si="169"/>
        <v>0</v>
      </c>
      <c r="BL52" s="542">
        <f t="shared" si="170"/>
        <v>0</v>
      </c>
      <c r="BM52" s="542">
        <f t="shared" si="171"/>
        <v>0</v>
      </c>
      <c r="BN52" s="542">
        <f t="shared" si="172"/>
        <v>0</v>
      </c>
      <c r="BO52" s="542">
        <f t="shared" si="173"/>
        <v>0</v>
      </c>
      <c r="BP52" s="542">
        <f t="shared" si="174"/>
        <v>0</v>
      </c>
      <c r="BQ52" s="542">
        <f t="shared" si="175"/>
        <v>0</v>
      </c>
      <c r="BR52" s="542">
        <f t="shared" si="176"/>
        <v>0</v>
      </c>
      <c r="BS52" s="542">
        <f t="shared" si="177"/>
        <v>0</v>
      </c>
      <c r="BT52" s="542">
        <f t="shared" si="178"/>
        <v>0</v>
      </c>
      <c r="BU52" s="542">
        <f t="shared" si="179"/>
        <v>0</v>
      </c>
      <c r="BV52" s="542">
        <f t="shared" si="180"/>
        <v>0</v>
      </c>
      <c r="BW52" s="542">
        <f t="shared" si="181"/>
        <v>0</v>
      </c>
      <c r="BX52" s="542">
        <f t="shared" si="182"/>
        <v>0</v>
      </c>
      <c r="BY52" s="542">
        <f t="shared" si="183"/>
        <v>0</v>
      </c>
      <c r="BZ52" s="542">
        <f t="shared" si="184"/>
        <v>0</v>
      </c>
      <c r="CA52" s="542">
        <f t="shared" si="185"/>
        <v>0</v>
      </c>
      <c r="CB52" s="542">
        <f t="shared" si="186"/>
        <v>0</v>
      </c>
      <c r="CC52" s="542">
        <f t="shared" si="187"/>
        <v>0</v>
      </c>
      <c r="CD52" s="542">
        <f t="shared" si="188"/>
        <v>0</v>
      </c>
      <c r="CE52" s="542">
        <f t="shared" si="189"/>
        <v>0</v>
      </c>
      <c r="CF52" s="542"/>
      <c r="CG52" s="542"/>
      <c r="CH52" s="529">
        <f>F52-SUM(AT52:CG52)</f>
        <v>0</v>
      </c>
    </row>
    <row r="53" spans="1:86" s="407" customFormat="1" ht="18.75" hidden="1" customHeight="1" outlineLevel="1">
      <c r="B53" s="534"/>
      <c r="C53" s="628" t="s">
        <v>151</v>
      </c>
      <c r="D53" s="535"/>
      <c r="E53" s="613">
        <v>0.112</v>
      </c>
      <c r="F53" s="538">
        <f t="shared" si="190"/>
        <v>0</v>
      </c>
      <c r="G53" s="539"/>
      <c r="H53" s="539">
        <f>+'2.Tien do'!E47</f>
        <v>0</v>
      </c>
      <c r="I53" s="539">
        <f>+'2.Tien do'!F47</f>
        <v>0</v>
      </c>
      <c r="J53" s="539">
        <f>+'2.Tien do'!G47</f>
        <v>0</v>
      </c>
      <c r="K53" s="539">
        <f>+'2.Tien do'!H47</f>
        <v>0</v>
      </c>
      <c r="L53" s="539">
        <f>+'2.Tien do'!I47</f>
        <v>0</v>
      </c>
      <c r="M53" s="539">
        <f>+'2.Tien do'!J47</f>
        <v>0</v>
      </c>
      <c r="N53" s="539">
        <f>+'2.Tien do'!K47</f>
        <v>0</v>
      </c>
      <c r="O53" s="539">
        <f>+'2.Tien do'!L47</f>
        <v>0</v>
      </c>
      <c r="P53" s="539">
        <f>+'2.Tien do'!M47</f>
        <v>0</v>
      </c>
      <c r="Q53" s="539">
        <f>+'2.Tien do'!N47</f>
        <v>0</v>
      </c>
      <c r="R53" s="539">
        <f>+'2.Tien do'!O47</f>
        <v>0</v>
      </c>
      <c r="S53" s="539">
        <f>+'2.Tien do'!P47</f>
        <v>0</v>
      </c>
      <c r="T53" s="539">
        <f>+'2.Tien do'!Q47</f>
        <v>0</v>
      </c>
      <c r="U53" s="539">
        <f>+'2.Tien do'!R47</f>
        <v>0</v>
      </c>
      <c r="V53" s="539">
        <f>+'2.Tien do'!S47</f>
        <v>0</v>
      </c>
      <c r="W53" s="539">
        <f>+'2.Tien do'!T47</f>
        <v>0</v>
      </c>
      <c r="X53" s="539">
        <f>+'2.Tien do'!U47</f>
        <v>0</v>
      </c>
      <c r="Y53" s="539">
        <f>+'2.Tien do'!V47</f>
        <v>0</v>
      </c>
      <c r="Z53" s="539">
        <f>+'2.Tien do'!W47</f>
        <v>0</v>
      </c>
      <c r="AA53" s="539">
        <f>+'2.Tien do'!X47</f>
        <v>0</v>
      </c>
      <c r="AB53" s="539">
        <f>+'2.Tien do'!Y47</f>
        <v>0</v>
      </c>
      <c r="AC53" s="539">
        <f>+'2.Tien do'!Z47</f>
        <v>0</v>
      </c>
      <c r="AD53" s="539">
        <f>+'2.Tien do'!AA47</f>
        <v>0</v>
      </c>
      <c r="AE53" s="539">
        <f>+'2.Tien do'!AB47</f>
        <v>0</v>
      </c>
      <c r="AF53" s="539">
        <f>+'2.Tien do'!AC47</f>
        <v>0</v>
      </c>
      <c r="AG53" s="539">
        <f>+'2.Tien do'!AD47</f>
        <v>0</v>
      </c>
      <c r="AH53" s="539">
        <f>+'2.Tien do'!AE47</f>
        <v>0</v>
      </c>
      <c r="AI53" s="539">
        <f>+'2.Tien do'!AF47</f>
        <v>0</v>
      </c>
      <c r="AJ53" s="539">
        <f>+'2.Tien do'!AG47</f>
        <v>0</v>
      </c>
      <c r="AK53" s="539">
        <f>+'2.Tien do'!AH47</f>
        <v>0</v>
      </c>
      <c r="AL53" s="539">
        <f>+'2.Tien do'!AI47</f>
        <v>0</v>
      </c>
      <c r="AM53" s="539">
        <f>+'2.Tien do'!AJ47</f>
        <v>0</v>
      </c>
      <c r="AN53" s="539">
        <f>+'2.Tien do'!AK47</f>
        <v>0</v>
      </c>
      <c r="AO53" s="539">
        <f>+'2.Tien do'!AL47</f>
        <v>0</v>
      </c>
      <c r="AP53" s="539">
        <f>+'2.Tien do'!AM47</f>
        <v>0</v>
      </c>
      <c r="AQ53" s="539">
        <f>+'2.Tien do'!AN47</f>
        <v>0</v>
      </c>
      <c r="AR53" s="539">
        <f>+'2.Tien do'!AO47</f>
        <v>0</v>
      </c>
      <c r="AS53" s="548"/>
      <c r="AT53" s="541">
        <f t="shared" si="152"/>
        <v>0</v>
      </c>
      <c r="AU53" s="542">
        <f t="shared" si="153"/>
        <v>0</v>
      </c>
      <c r="AV53" s="542">
        <f t="shared" si="154"/>
        <v>0</v>
      </c>
      <c r="AW53" s="542">
        <f t="shared" si="155"/>
        <v>0</v>
      </c>
      <c r="AX53" s="542">
        <f t="shared" si="156"/>
        <v>0</v>
      </c>
      <c r="AY53" s="542">
        <f t="shared" si="157"/>
        <v>0</v>
      </c>
      <c r="AZ53" s="542">
        <f t="shared" si="158"/>
        <v>0</v>
      </c>
      <c r="BA53" s="542">
        <f t="shared" si="159"/>
        <v>0</v>
      </c>
      <c r="BB53" s="542">
        <f t="shared" si="160"/>
        <v>0</v>
      </c>
      <c r="BC53" s="542">
        <f t="shared" si="161"/>
        <v>0</v>
      </c>
      <c r="BD53" s="542">
        <f t="shared" si="162"/>
        <v>0</v>
      </c>
      <c r="BE53" s="542">
        <f t="shared" si="163"/>
        <v>0</v>
      </c>
      <c r="BF53" s="542">
        <f t="shared" si="164"/>
        <v>0</v>
      </c>
      <c r="BG53" s="542">
        <f t="shared" si="165"/>
        <v>0</v>
      </c>
      <c r="BH53" s="542">
        <f t="shared" si="166"/>
        <v>0</v>
      </c>
      <c r="BI53" s="542">
        <f t="shared" si="167"/>
        <v>0</v>
      </c>
      <c r="BJ53" s="542">
        <f t="shared" si="168"/>
        <v>0</v>
      </c>
      <c r="BK53" s="542">
        <f t="shared" si="169"/>
        <v>0</v>
      </c>
      <c r="BL53" s="542">
        <f t="shared" si="170"/>
        <v>0</v>
      </c>
      <c r="BM53" s="542">
        <f t="shared" si="171"/>
        <v>0</v>
      </c>
      <c r="BN53" s="542">
        <f t="shared" si="172"/>
        <v>0</v>
      </c>
      <c r="BO53" s="542">
        <f t="shared" si="173"/>
        <v>0</v>
      </c>
      <c r="BP53" s="542">
        <f t="shared" si="174"/>
        <v>0</v>
      </c>
      <c r="BQ53" s="542">
        <f t="shared" si="175"/>
        <v>0</v>
      </c>
      <c r="BR53" s="542">
        <f t="shared" si="176"/>
        <v>0</v>
      </c>
      <c r="BS53" s="542">
        <f t="shared" si="177"/>
        <v>0</v>
      </c>
      <c r="BT53" s="542">
        <f t="shared" si="178"/>
        <v>0</v>
      </c>
      <c r="BU53" s="542">
        <f t="shared" si="179"/>
        <v>0</v>
      </c>
      <c r="BV53" s="542">
        <f t="shared" si="180"/>
        <v>0</v>
      </c>
      <c r="BW53" s="542">
        <f t="shared" si="181"/>
        <v>0</v>
      </c>
      <c r="BX53" s="542">
        <f t="shared" si="182"/>
        <v>0</v>
      </c>
      <c r="BY53" s="542">
        <f t="shared" si="183"/>
        <v>0</v>
      </c>
      <c r="BZ53" s="542">
        <f t="shared" si="184"/>
        <v>0</v>
      </c>
      <c r="CA53" s="542">
        <f t="shared" si="185"/>
        <v>0</v>
      </c>
      <c r="CB53" s="542">
        <f t="shared" si="186"/>
        <v>0</v>
      </c>
      <c r="CC53" s="542">
        <f t="shared" si="187"/>
        <v>0</v>
      </c>
      <c r="CD53" s="542">
        <f t="shared" si="188"/>
        <v>0</v>
      </c>
      <c r="CE53" s="542">
        <f t="shared" si="189"/>
        <v>0</v>
      </c>
      <c r="CF53" s="542"/>
      <c r="CG53" s="542"/>
      <c r="CH53" s="529">
        <f t="shared" si="149"/>
        <v>0</v>
      </c>
    </row>
    <row r="54" spans="1:86" s="413" customFormat="1" ht="18.75" hidden="1" customHeight="1" outlineLevel="1">
      <c r="B54" s="554"/>
      <c r="C54" s="628" t="s">
        <v>152</v>
      </c>
      <c r="D54" s="555"/>
      <c r="E54" s="613">
        <v>1.7000000000000001E-2</v>
      </c>
      <c r="F54" s="538">
        <f t="shared" si="190"/>
        <v>0</v>
      </c>
      <c r="G54" s="539"/>
      <c r="H54" s="539">
        <f>+'2.Tien do'!E48</f>
        <v>0</v>
      </c>
      <c r="I54" s="539">
        <f>+'2.Tien do'!F48</f>
        <v>0</v>
      </c>
      <c r="J54" s="539">
        <f>+'2.Tien do'!G48</f>
        <v>0</v>
      </c>
      <c r="K54" s="539">
        <f>+'2.Tien do'!H48</f>
        <v>0</v>
      </c>
      <c r="L54" s="539">
        <f>+'2.Tien do'!I48</f>
        <v>0</v>
      </c>
      <c r="M54" s="539">
        <f>+'2.Tien do'!J48</f>
        <v>0</v>
      </c>
      <c r="N54" s="539">
        <f>+'2.Tien do'!K48</f>
        <v>0</v>
      </c>
      <c r="O54" s="539">
        <f>+'2.Tien do'!L48</f>
        <v>0</v>
      </c>
      <c r="P54" s="539">
        <f>+'2.Tien do'!M48</f>
        <v>0</v>
      </c>
      <c r="Q54" s="539">
        <f>+'2.Tien do'!N48</f>
        <v>0</v>
      </c>
      <c r="R54" s="539">
        <f>+'2.Tien do'!O48</f>
        <v>0</v>
      </c>
      <c r="S54" s="539">
        <f>+'2.Tien do'!P48</f>
        <v>0</v>
      </c>
      <c r="T54" s="539">
        <f>+'2.Tien do'!Q48</f>
        <v>0</v>
      </c>
      <c r="U54" s="539">
        <f>+'2.Tien do'!R48</f>
        <v>0</v>
      </c>
      <c r="V54" s="539">
        <f>+'2.Tien do'!S48</f>
        <v>0</v>
      </c>
      <c r="W54" s="539">
        <f>+'2.Tien do'!T48</f>
        <v>0</v>
      </c>
      <c r="X54" s="539">
        <f>+'2.Tien do'!U48</f>
        <v>0</v>
      </c>
      <c r="Y54" s="539">
        <f>+'2.Tien do'!V48</f>
        <v>0</v>
      </c>
      <c r="Z54" s="539">
        <f>+'2.Tien do'!W48</f>
        <v>0</v>
      </c>
      <c r="AA54" s="539">
        <f>+'2.Tien do'!X48</f>
        <v>0</v>
      </c>
      <c r="AB54" s="539">
        <f>+'2.Tien do'!Y48</f>
        <v>0</v>
      </c>
      <c r="AC54" s="539">
        <f>+'2.Tien do'!Z48</f>
        <v>0</v>
      </c>
      <c r="AD54" s="539">
        <f>+'2.Tien do'!AA48</f>
        <v>0</v>
      </c>
      <c r="AE54" s="539">
        <f>+'2.Tien do'!AB48</f>
        <v>0</v>
      </c>
      <c r="AF54" s="539">
        <f>+'2.Tien do'!AC48</f>
        <v>0</v>
      </c>
      <c r="AG54" s="539">
        <f>+'2.Tien do'!AD48</f>
        <v>0</v>
      </c>
      <c r="AH54" s="539">
        <f>+'2.Tien do'!AE48</f>
        <v>0</v>
      </c>
      <c r="AI54" s="539">
        <f>+'2.Tien do'!AF48</f>
        <v>0</v>
      </c>
      <c r="AJ54" s="539">
        <f>+'2.Tien do'!AG48</f>
        <v>0</v>
      </c>
      <c r="AK54" s="539">
        <f>+'2.Tien do'!AH48</f>
        <v>0</v>
      </c>
      <c r="AL54" s="539">
        <f>+'2.Tien do'!AI48</f>
        <v>0</v>
      </c>
      <c r="AM54" s="539">
        <f>+'2.Tien do'!AJ48</f>
        <v>0</v>
      </c>
      <c r="AN54" s="539">
        <f>+'2.Tien do'!AK48</f>
        <v>0</v>
      </c>
      <c r="AO54" s="539">
        <f>+'2.Tien do'!AL48</f>
        <v>0</v>
      </c>
      <c r="AP54" s="539">
        <f>+'2.Tien do'!AM48</f>
        <v>0</v>
      </c>
      <c r="AQ54" s="539">
        <f>+'2.Tien do'!AN48</f>
        <v>0</v>
      </c>
      <c r="AR54" s="539">
        <f>+'2.Tien do'!AO48</f>
        <v>0</v>
      </c>
      <c r="AS54" s="532"/>
      <c r="AT54" s="541">
        <f t="shared" si="152"/>
        <v>0</v>
      </c>
      <c r="AU54" s="542">
        <f t="shared" si="153"/>
        <v>0</v>
      </c>
      <c r="AV54" s="542">
        <f t="shared" si="154"/>
        <v>0</v>
      </c>
      <c r="AW54" s="542">
        <f t="shared" si="155"/>
        <v>0</v>
      </c>
      <c r="AX54" s="542">
        <f t="shared" si="156"/>
        <v>0</v>
      </c>
      <c r="AY54" s="542">
        <f t="shared" si="157"/>
        <v>0</v>
      </c>
      <c r="AZ54" s="542">
        <f t="shared" si="158"/>
        <v>0</v>
      </c>
      <c r="BA54" s="542">
        <f t="shared" si="159"/>
        <v>0</v>
      </c>
      <c r="BB54" s="542">
        <f t="shared" si="160"/>
        <v>0</v>
      </c>
      <c r="BC54" s="542">
        <f t="shared" si="161"/>
        <v>0</v>
      </c>
      <c r="BD54" s="542">
        <f t="shared" si="162"/>
        <v>0</v>
      </c>
      <c r="BE54" s="542">
        <f t="shared" si="163"/>
        <v>0</v>
      </c>
      <c r="BF54" s="542">
        <f t="shared" si="164"/>
        <v>0</v>
      </c>
      <c r="BG54" s="542">
        <f t="shared" si="165"/>
        <v>0</v>
      </c>
      <c r="BH54" s="542">
        <f t="shared" si="166"/>
        <v>0</v>
      </c>
      <c r="BI54" s="542">
        <f t="shared" si="167"/>
        <v>0</v>
      </c>
      <c r="BJ54" s="542">
        <f t="shared" si="168"/>
        <v>0</v>
      </c>
      <c r="BK54" s="542">
        <f t="shared" si="169"/>
        <v>0</v>
      </c>
      <c r="BL54" s="542">
        <f t="shared" si="170"/>
        <v>0</v>
      </c>
      <c r="BM54" s="542">
        <f t="shared" si="171"/>
        <v>0</v>
      </c>
      <c r="BN54" s="542">
        <f t="shared" si="172"/>
        <v>0</v>
      </c>
      <c r="BO54" s="542">
        <f t="shared" si="173"/>
        <v>0</v>
      </c>
      <c r="BP54" s="542">
        <f t="shared" si="174"/>
        <v>0</v>
      </c>
      <c r="BQ54" s="542">
        <f t="shared" si="175"/>
        <v>0</v>
      </c>
      <c r="BR54" s="542">
        <f t="shared" si="176"/>
        <v>0</v>
      </c>
      <c r="BS54" s="542">
        <f t="shared" si="177"/>
        <v>0</v>
      </c>
      <c r="BT54" s="542">
        <f t="shared" si="178"/>
        <v>0</v>
      </c>
      <c r="BU54" s="542">
        <f t="shared" si="179"/>
        <v>0</v>
      </c>
      <c r="BV54" s="542">
        <f t="shared" si="180"/>
        <v>0</v>
      </c>
      <c r="BW54" s="542">
        <f t="shared" si="181"/>
        <v>0</v>
      </c>
      <c r="BX54" s="542">
        <f t="shared" si="182"/>
        <v>0</v>
      </c>
      <c r="BY54" s="542">
        <f t="shared" si="183"/>
        <v>0</v>
      </c>
      <c r="BZ54" s="542">
        <f t="shared" si="184"/>
        <v>0</v>
      </c>
      <c r="CA54" s="542">
        <f t="shared" si="185"/>
        <v>0</v>
      </c>
      <c r="CB54" s="542">
        <f t="shared" si="186"/>
        <v>0</v>
      </c>
      <c r="CC54" s="542">
        <f t="shared" si="187"/>
        <v>0</v>
      </c>
      <c r="CD54" s="542">
        <f t="shared" si="188"/>
        <v>0</v>
      </c>
      <c r="CE54" s="542">
        <f t="shared" si="189"/>
        <v>0</v>
      </c>
      <c r="CF54" s="542"/>
      <c r="CG54" s="542"/>
      <c r="CH54" s="529">
        <f t="shared" si="149"/>
        <v>0</v>
      </c>
    </row>
    <row r="55" spans="1:86" s="413" customFormat="1" ht="18.75" hidden="1" customHeight="1" outlineLevel="1">
      <c r="B55" s="554"/>
      <c r="C55" s="628" t="s">
        <v>148</v>
      </c>
      <c r="D55" s="555"/>
      <c r="E55" s="613">
        <v>0.152</v>
      </c>
      <c r="F55" s="538">
        <f t="shared" si="190"/>
        <v>0</v>
      </c>
      <c r="G55" s="539"/>
      <c r="H55" s="539">
        <f>+'2.Tien do'!E49</f>
        <v>0</v>
      </c>
      <c r="I55" s="539">
        <f>+'2.Tien do'!F49</f>
        <v>0</v>
      </c>
      <c r="J55" s="539">
        <f>+'2.Tien do'!G49</f>
        <v>0</v>
      </c>
      <c r="K55" s="539">
        <f>+'2.Tien do'!H49</f>
        <v>0</v>
      </c>
      <c r="L55" s="539">
        <f>+'2.Tien do'!I49</f>
        <v>0</v>
      </c>
      <c r="M55" s="539">
        <f>+'2.Tien do'!J49</f>
        <v>0</v>
      </c>
      <c r="N55" s="539">
        <f>+'2.Tien do'!K49</f>
        <v>0</v>
      </c>
      <c r="O55" s="539">
        <f>+'2.Tien do'!L49</f>
        <v>0</v>
      </c>
      <c r="P55" s="539">
        <f>+'2.Tien do'!M49</f>
        <v>0</v>
      </c>
      <c r="Q55" s="539">
        <f>+'2.Tien do'!N49</f>
        <v>0</v>
      </c>
      <c r="R55" s="539">
        <f>+'2.Tien do'!O49</f>
        <v>0</v>
      </c>
      <c r="S55" s="539">
        <f>+'2.Tien do'!P49</f>
        <v>0</v>
      </c>
      <c r="T55" s="539">
        <f>+'2.Tien do'!Q49</f>
        <v>0</v>
      </c>
      <c r="U55" s="539">
        <f>+'2.Tien do'!R49</f>
        <v>0</v>
      </c>
      <c r="V55" s="539">
        <f>+'2.Tien do'!S49</f>
        <v>0</v>
      </c>
      <c r="W55" s="539">
        <f>+'2.Tien do'!T49</f>
        <v>0</v>
      </c>
      <c r="X55" s="539">
        <f>+'2.Tien do'!U49</f>
        <v>0</v>
      </c>
      <c r="Y55" s="539">
        <f>+'2.Tien do'!V49</f>
        <v>0</v>
      </c>
      <c r="Z55" s="539">
        <f>+'2.Tien do'!W49</f>
        <v>0</v>
      </c>
      <c r="AA55" s="539">
        <f>+'2.Tien do'!X49</f>
        <v>0</v>
      </c>
      <c r="AB55" s="539">
        <f>+'2.Tien do'!Y49</f>
        <v>0</v>
      </c>
      <c r="AC55" s="539">
        <f>+'2.Tien do'!Z49</f>
        <v>0</v>
      </c>
      <c r="AD55" s="539">
        <f>+'2.Tien do'!AA49</f>
        <v>0</v>
      </c>
      <c r="AE55" s="539">
        <f>+'2.Tien do'!AB49</f>
        <v>0</v>
      </c>
      <c r="AF55" s="539">
        <f>+'2.Tien do'!AC49</f>
        <v>0</v>
      </c>
      <c r="AG55" s="539">
        <f>+'2.Tien do'!AD49</f>
        <v>0</v>
      </c>
      <c r="AH55" s="539">
        <f>+'2.Tien do'!AE49</f>
        <v>0</v>
      </c>
      <c r="AI55" s="539">
        <f>+'2.Tien do'!AF49</f>
        <v>0</v>
      </c>
      <c r="AJ55" s="539">
        <f>+'2.Tien do'!AG49</f>
        <v>0</v>
      </c>
      <c r="AK55" s="539">
        <f>+'2.Tien do'!AH49</f>
        <v>0</v>
      </c>
      <c r="AL55" s="539">
        <f>+'2.Tien do'!AI49</f>
        <v>0</v>
      </c>
      <c r="AM55" s="539">
        <f>+'2.Tien do'!AJ49</f>
        <v>0</v>
      </c>
      <c r="AN55" s="539">
        <f>+'2.Tien do'!AK49</f>
        <v>0</v>
      </c>
      <c r="AO55" s="539">
        <f>+'2.Tien do'!AL49</f>
        <v>0</v>
      </c>
      <c r="AP55" s="539">
        <f>+'2.Tien do'!AM49</f>
        <v>0</v>
      </c>
      <c r="AQ55" s="539">
        <f>+'2.Tien do'!AN49</f>
        <v>0</v>
      </c>
      <c r="AR55" s="539">
        <f>+'2.Tien do'!AO49</f>
        <v>0</v>
      </c>
      <c r="AS55" s="532"/>
      <c r="AT55" s="541">
        <f t="shared" si="152"/>
        <v>0</v>
      </c>
      <c r="AU55" s="542">
        <f t="shared" si="153"/>
        <v>0</v>
      </c>
      <c r="AV55" s="542">
        <f t="shared" si="154"/>
        <v>0</v>
      </c>
      <c r="AW55" s="542">
        <f t="shared" si="155"/>
        <v>0</v>
      </c>
      <c r="AX55" s="542">
        <f t="shared" si="156"/>
        <v>0</v>
      </c>
      <c r="AY55" s="542">
        <f t="shared" si="157"/>
        <v>0</v>
      </c>
      <c r="AZ55" s="542">
        <f t="shared" si="158"/>
        <v>0</v>
      </c>
      <c r="BA55" s="542">
        <f t="shared" si="159"/>
        <v>0</v>
      </c>
      <c r="BB55" s="542">
        <f t="shared" si="160"/>
        <v>0</v>
      </c>
      <c r="BC55" s="542">
        <f t="shared" si="161"/>
        <v>0</v>
      </c>
      <c r="BD55" s="542">
        <f t="shared" si="162"/>
        <v>0</v>
      </c>
      <c r="BE55" s="542">
        <f t="shared" si="163"/>
        <v>0</v>
      </c>
      <c r="BF55" s="542">
        <f t="shared" si="164"/>
        <v>0</v>
      </c>
      <c r="BG55" s="542">
        <f t="shared" si="165"/>
        <v>0</v>
      </c>
      <c r="BH55" s="542">
        <f t="shared" si="166"/>
        <v>0</v>
      </c>
      <c r="BI55" s="542">
        <f t="shared" si="167"/>
        <v>0</v>
      </c>
      <c r="BJ55" s="542">
        <f t="shared" si="168"/>
        <v>0</v>
      </c>
      <c r="BK55" s="542">
        <f t="shared" si="169"/>
        <v>0</v>
      </c>
      <c r="BL55" s="542">
        <f t="shared" si="170"/>
        <v>0</v>
      </c>
      <c r="BM55" s="542">
        <f t="shared" si="171"/>
        <v>0</v>
      </c>
      <c r="BN55" s="542">
        <f t="shared" si="172"/>
        <v>0</v>
      </c>
      <c r="BO55" s="542">
        <f t="shared" si="173"/>
        <v>0</v>
      </c>
      <c r="BP55" s="542">
        <f t="shared" si="174"/>
        <v>0</v>
      </c>
      <c r="BQ55" s="542">
        <f t="shared" si="175"/>
        <v>0</v>
      </c>
      <c r="BR55" s="542">
        <f t="shared" si="176"/>
        <v>0</v>
      </c>
      <c r="BS55" s="542">
        <f t="shared" si="177"/>
        <v>0</v>
      </c>
      <c r="BT55" s="542">
        <f t="shared" si="178"/>
        <v>0</v>
      </c>
      <c r="BU55" s="542">
        <f t="shared" si="179"/>
        <v>0</v>
      </c>
      <c r="BV55" s="542">
        <f t="shared" si="180"/>
        <v>0</v>
      </c>
      <c r="BW55" s="542">
        <f t="shared" si="181"/>
        <v>0</v>
      </c>
      <c r="BX55" s="542">
        <f t="shared" si="182"/>
        <v>0</v>
      </c>
      <c r="BY55" s="542">
        <f t="shared" si="183"/>
        <v>0</v>
      </c>
      <c r="BZ55" s="542">
        <f t="shared" si="184"/>
        <v>0</v>
      </c>
      <c r="CA55" s="542">
        <f t="shared" si="185"/>
        <v>0</v>
      </c>
      <c r="CB55" s="542">
        <f t="shared" si="186"/>
        <v>0</v>
      </c>
      <c r="CC55" s="542">
        <f t="shared" si="187"/>
        <v>0</v>
      </c>
      <c r="CD55" s="542">
        <f t="shared" si="188"/>
        <v>0</v>
      </c>
      <c r="CE55" s="542">
        <f t="shared" si="189"/>
        <v>0</v>
      </c>
      <c r="CF55" s="542"/>
      <c r="CG55" s="542"/>
      <c r="CH55" s="529">
        <f t="shared" si="149"/>
        <v>0</v>
      </c>
    </row>
    <row r="56" spans="1:86" s="413" customFormat="1" ht="18.75" hidden="1" customHeight="1" outlineLevel="1">
      <c r="A56" s="550"/>
      <c r="B56" s="554"/>
      <c r="C56" s="631" t="s">
        <v>88</v>
      </c>
      <c r="D56" s="555"/>
      <c r="E56" s="632">
        <v>0.01</v>
      </c>
      <c r="F56" s="633">
        <f>E56*$F$48</f>
        <v>0</v>
      </c>
      <c r="G56" s="539"/>
      <c r="H56" s="539">
        <f>+'2.Tien do'!E50</f>
        <v>0</v>
      </c>
      <c r="I56" s="539">
        <f>+'2.Tien do'!F50</f>
        <v>0</v>
      </c>
      <c r="J56" s="539">
        <f>+'2.Tien do'!G50</f>
        <v>0</v>
      </c>
      <c r="K56" s="539">
        <f>+'2.Tien do'!H50</f>
        <v>0</v>
      </c>
      <c r="L56" s="539">
        <f>+'2.Tien do'!I50</f>
        <v>0</v>
      </c>
      <c r="M56" s="539">
        <f>+'2.Tien do'!J50</f>
        <v>0</v>
      </c>
      <c r="N56" s="539">
        <f>+'2.Tien do'!K50</f>
        <v>0</v>
      </c>
      <c r="O56" s="539">
        <f>+'2.Tien do'!L50</f>
        <v>0</v>
      </c>
      <c r="P56" s="539">
        <f>+'2.Tien do'!M50</f>
        <v>0</v>
      </c>
      <c r="Q56" s="539">
        <f>+'2.Tien do'!N50</f>
        <v>0</v>
      </c>
      <c r="R56" s="539">
        <f>+'2.Tien do'!O50</f>
        <v>0</v>
      </c>
      <c r="S56" s="539">
        <f>+'2.Tien do'!P50</f>
        <v>0</v>
      </c>
      <c r="T56" s="539">
        <f>+'2.Tien do'!Q50</f>
        <v>0</v>
      </c>
      <c r="U56" s="539">
        <f>+'2.Tien do'!R50</f>
        <v>0</v>
      </c>
      <c r="V56" s="539">
        <f>+'2.Tien do'!S50</f>
        <v>0</v>
      </c>
      <c r="W56" s="539">
        <f>+'2.Tien do'!T50</f>
        <v>0</v>
      </c>
      <c r="X56" s="539">
        <f>+'2.Tien do'!U50</f>
        <v>0</v>
      </c>
      <c r="Y56" s="539">
        <f>+'2.Tien do'!V50</f>
        <v>0</v>
      </c>
      <c r="Z56" s="539">
        <f>+'2.Tien do'!W50</f>
        <v>0</v>
      </c>
      <c r="AA56" s="539">
        <f>+'2.Tien do'!X50</f>
        <v>0</v>
      </c>
      <c r="AB56" s="539">
        <f>+'2.Tien do'!Y50</f>
        <v>0</v>
      </c>
      <c r="AC56" s="539">
        <f>+'2.Tien do'!Z50</f>
        <v>0</v>
      </c>
      <c r="AD56" s="539">
        <f>+'2.Tien do'!AA50</f>
        <v>0</v>
      </c>
      <c r="AE56" s="539">
        <f>+'2.Tien do'!AB50</f>
        <v>0</v>
      </c>
      <c r="AF56" s="539">
        <f>+'2.Tien do'!AC50</f>
        <v>0</v>
      </c>
      <c r="AG56" s="539">
        <f>+'2.Tien do'!AD50</f>
        <v>0</v>
      </c>
      <c r="AH56" s="539">
        <f>+'2.Tien do'!AE50</f>
        <v>0</v>
      </c>
      <c r="AI56" s="539">
        <f>+'2.Tien do'!AF50</f>
        <v>0</v>
      </c>
      <c r="AJ56" s="539">
        <f>+'2.Tien do'!AG50</f>
        <v>0</v>
      </c>
      <c r="AK56" s="539">
        <f>+'2.Tien do'!AH50</f>
        <v>0</v>
      </c>
      <c r="AL56" s="539">
        <f>+'2.Tien do'!AI50</f>
        <v>0</v>
      </c>
      <c r="AM56" s="539">
        <f>+'2.Tien do'!AJ50</f>
        <v>0</v>
      </c>
      <c r="AN56" s="539">
        <f>+'2.Tien do'!AK50</f>
        <v>0</v>
      </c>
      <c r="AO56" s="539">
        <f>+'2.Tien do'!AL50</f>
        <v>0</v>
      </c>
      <c r="AP56" s="539">
        <f>+'2.Tien do'!AM50</f>
        <v>0</v>
      </c>
      <c r="AQ56" s="539">
        <f>+'2.Tien do'!AN50</f>
        <v>0</v>
      </c>
      <c r="AR56" s="539">
        <f>+'2.Tien do'!AO50</f>
        <v>0</v>
      </c>
      <c r="AS56" s="532"/>
      <c r="AT56" s="635">
        <f>$F56*G56</f>
        <v>0</v>
      </c>
      <c r="AU56" s="636">
        <f t="shared" si="153"/>
        <v>0</v>
      </c>
      <c r="AV56" s="636">
        <f t="shared" si="154"/>
        <v>0</v>
      </c>
      <c r="AW56" s="636">
        <f t="shared" si="155"/>
        <v>0</v>
      </c>
      <c r="AX56" s="636">
        <f t="shared" si="156"/>
        <v>0</v>
      </c>
      <c r="AY56" s="636">
        <f t="shared" si="157"/>
        <v>0</v>
      </c>
      <c r="AZ56" s="636">
        <f t="shared" si="158"/>
        <v>0</v>
      </c>
      <c r="BA56" s="636">
        <f t="shared" si="159"/>
        <v>0</v>
      </c>
      <c r="BB56" s="636">
        <f t="shared" si="160"/>
        <v>0</v>
      </c>
      <c r="BC56" s="636">
        <f t="shared" si="161"/>
        <v>0</v>
      </c>
      <c r="BD56" s="636">
        <f t="shared" si="162"/>
        <v>0</v>
      </c>
      <c r="BE56" s="636">
        <f t="shared" si="163"/>
        <v>0</v>
      </c>
      <c r="BF56" s="636">
        <f t="shared" si="164"/>
        <v>0</v>
      </c>
      <c r="BG56" s="636">
        <f t="shared" si="165"/>
        <v>0</v>
      </c>
      <c r="BH56" s="636">
        <f t="shared" si="166"/>
        <v>0</v>
      </c>
      <c r="BI56" s="636">
        <f t="shared" si="167"/>
        <v>0</v>
      </c>
      <c r="BJ56" s="636">
        <f t="shared" si="168"/>
        <v>0</v>
      </c>
      <c r="BK56" s="636">
        <f t="shared" si="169"/>
        <v>0</v>
      </c>
      <c r="BL56" s="636">
        <f t="shared" si="170"/>
        <v>0</v>
      </c>
      <c r="BM56" s="636">
        <f t="shared" si="171"/>
        <v>0</v>
      </c>
      <c r="BN56" s="636">
        <f t="shared" si="172"/>
        <v>0</v>
      </c>
      <c r="BO56" s="636">
        <f t="shared" si="173"/>
        <v>0</v>
      </c>
      <c r="BP56" s="636">
        <f t="shared" si="174"/>
        <v>0</v>
      </c>
      <c r="BQ56" s="636">
        <f t="shared" si="175"/>
        <v>0</v>
      </c>
      <c r="BR56" s="636">
        <f t="shared" si="176"/>
        <v>0</v>
      </c>
      <c r="BS56" s="542">
        <f t="shared" si="177"/>
        <v>0</v>
      </c>
      <c r="BT56" s="542">
        <f t="shared" si="178"/>
        <v>0</v>
      </c>
      <c r="BU56" s="542">
        <f t="shared" si="179"/>
        <v>0</v>
      </c>
      <c r="BV56" s="542">
        <f t="shared" si="180"/>
        <v>0</v>
      </c>
      <c r="BW56" s="542">
        <f t="shared" si="181"/>
        <v>0</v>
      </c>
      <c r="BX56" s="542">
        <f t="shared" si="182"/>
        <v>0</v>
      </c>
      <c r="BY56" s="542">
        <f t="shared" si="183"/>
        <v>0</v>
      </c>
      <c r="BZ56" s="542">
        <f t="shared" si="184"/>
        <v>0</v>
      </c>
      <c r="CA56" s="542">
        <f t="shared" si="185"/>
        <v>0</v>
      </c>
      <c r="CB56" s="542">
        <f t="shared" si="186"/>
        <v>0</v>
      </c>
      <c r="CC56" s="542">
        <f t="shared" si="187"/>
        <v>0</v>
      </c>
      <c r="CD56" s="542">
        <f t="shared" si="188"/>
        <v>0</v>
      </c>
      <c r="CE56" s="542">
        <f t="shared" si="189"/>
        <v>0</v>
      </c>
      <c r="CF56" s="542"/>
      <c r="CG56" s="542"/>
      <c r="CH56" s="529">
        <f t="shared" si="149"/>
        <v>0</v>
      </c>
    </row>
    <row r="57" spans="1:86" s="413" customFormat="1" ht="18.75" hidden="1" customHeight="1" outlineLevel="1">
      <c r="A57" s="550"/>
      <c r="B57" s="554"/>
      <c r="C57" s="634" t="s">
        <v>89</v>
      </c>
      <c r="D57" s="555"/>
      <c r="E57" s="632">
        <v>0.04</v>
      </c>
      <c r="F57" s="633">
        <f t="shared" ref="F57:F58" si="191">E57*$F$48</f>
        <v>0</v>
      </c>
      <c r="G57" s="539"/>
      <c r="H57" s="539">
        <f>+'2.Tien do'!E51</f>
        <v>0</v>
      </c>
      <c r="I57" s="539">
        <f>+'2.Tien do'!F51</f>
        <v>0</v>
      </c>
      <c r="J57" s="539">
        <f>+'2.Tien do'!G51</f>
        <v>0</v>
      </c>
      <c r="K57" s="539">
        <f>+'2.Tien do'!H51</f>
        <v>0</v>
      </c>
      <c r="L57" s="539">
        <f>+'2.Tien do'!I51</f>
        <v>0</v>
      </c>
      <c r="M57" s="539">
        <f>+'2.Tien do'!J51</f>
        <v>0</v>
      </c>
      <c r="N57" s="539">
        <f>+'2.Tien do'!K51</f>
        <v>0</v>
      </c>
      <c r="O57" s="539">
        <f>+'2.Tien do'!L51</f>
        <v>0</v>
      </c>
      <c r="P57" s="539">
        <f>+'2.Tien do'!M51</f>
        <v>0</v>
      </c>
      <c r="Q57" s="539">
        <f>+'2.Tien do'!N51</f>
        <v>0</v>
      </c>
      <c r="R57" s="539">
        <f>+'2.Tien do'!O51</f>
        <v>0</v>
      </c>
      <c r="S57" s="539">
        <f>+'2.Tien do'!P51</f>
        <v>0</v>
      </c>
      <c r="T57" s="539">
        <f>+'2.Tien do'!Q51</f>
        <v>0</v>
      </c>
      <c r="U57" s="539">
        <f>+'2.Tien do'!R51</f>
        <v>0</v>
      </c>
      <c r="V57" s="539">
        <f>+'2.Tien do'!S51</f>
        <v>0</v>
      </c>
      <c r="W57" s="539">
        <f>+'2.Tien do'!T51</f>
        <v>0</v>
      </c>
      <c r="X57" s="539">
        <f>+'2.Tien do'!U51</f>
        <v>0</v>
      </c>
      <c r="Y57" s="539">
        <f>+'2.Tien do'!V51</f>
        <v>0</v>
      </c>
      <c r="Z57" s="539">
        <f>+'2.Tien do'!W51</f>
        <v>0</v>
      </c>
      <c r="AA57" s="539">
        <f>+'2.Tien do'!X51</f>
        <v>0</v>
      </c>
      <c r="AB57" s="539">
        <f>+'2.Tien do'!Y51</f>
        <v>0</v>
      </c>
      <c r="AC57" s="539">
        <f>+'2.Tien do'!Z51</f>
        <v>0</v>
      </c>
      <c r="AD57" s="539">
        <f>+'2.Tien do'!AA51</f>
        <v>0</v>
      </c>
      <c r="AE57" s="539">
        <f>+'2.Tien do'!AB51</f>
        <v>0</v>
      </c>
      <c r="AF57" s="539">
        <f>+'2.Tien do'!AC51</f>
        <v>0</v>
      </c>
      <c r="AG57" s="539">
        <f>+'2.Tien do'!AD51</f>
        <v>0</v>
      </c>
      <c r="AH57" s="539">
        <f>+'2.Tien do'!AE51</f>
        <v>0</v>
      </c>
      <c r="AI57" s="539">
        <f>+'2.Tien do'!AF51</f>
        <v>0</v>
      </c>
      <c r="AJ57" s="539">
        <f>+'2.Tien do'!AG51</f>
        <v>0</v>
      </c>
      <c r="AK57" s="539">
        <f>+'2.Tien do'!AH51</f>
        <v>0</v>
      </c>
      <c r="AL57" s="539">
        <f>+'2.Tien do'!AI51</f>
        <v>0</v>
      </c>
      <c r="AM57" s="539">
        <f>+'2.Tien do'!AJ51</f>
        <v>0</v>
      </c>
      <c r="AN57" s="539">
        <f>+'2.Tien do'!AK51</f>
        <v>0</v>
      </c>
      <c r="AO57" s="539">
        <f>+'2.Tien do'!AL51</f>
        <v>0</v>
      </c>
      <c r="AP57" s="539">
        <f>+'2.Tien do'!AM51</f>
        <v>0</v>
      </c>
      <c r="AQ57" s="539">
        <f>+'2.Tien do'!AN51</f>
        <v>0</v>
      </c>
      <c r="AR57" s="539">
        <f>+'2.Tien do'!AO51</f>
        <v>0</v>
      </c>
      <c r="AS57" s="532"/>
      <c r="AT57" s="635">
        <f t="shared" ref="AT57:AT60" si="192">$F57*G57</f>
        <v>0</v>
      </c>
      <c r="AU57" s="636">
        <f t="shared" si="153"/>
        <v>0</v>
      </c>
      <c r="AV57" s="636">
        <f t="shared" si="154"/>
        <v>0</v>
      </c>
      <c r="AW57" s="636">
        <f t="shared" si="155"/>
        <v>0</v>
      </c>
      <c r="AX57" s="636">
        <f t="shared" si="156"/>
        <v>0</v>
      </c>
      <c r="AY57" s="636">
        <f t="shared" si="157"/>
        <v>0</v>
      </c>
      <c r="AZ57" s="636">
        <f t="shared" si="158"/>
        <v>0</v>
      </c>
      <c r="BA57" s="636">
        <f t="shared" si="159"/>
        <v>0</v>
      </c>
      <c r="BB57" s="636">
        <f t="shared" si="160"/>
        <v>0</v>
      </c>
      <c r="BC57" s="636">
        <f t="shared" si="161"/>
        <v>0</v>
      </c>
      <c r="BD57" s="636">
        <f t="shared" si="162"/>
        <v>0</v>
      </c>
      <c r="BE57" s="636">
        <f t="shared" si="163"/>
        <v>0</v>
      </c>
      <c r="BF57" s="636">
        <f t="shared" si="164"/>
        <v>0</v>
      </c>
      <c r="BG57" s="636">
        <f t="shared" si="165"/>
        <v>0</v>
      </c>
      <c r="BH57" s="636">
        <f t="shared" si="166"/>
        <v>0</v>
      </c>
      <c r="BI57" s="636">
        <f t="shared" si="167"/>
        <v>0</v>
      </c>
      <c r="BJ57" s="636">
        <f t="shared" si="168"/>
        <v>0</v>
      </c>
      <c r="BK57" s="636">
        <f t="shared" si="169"/>
        <v>0</v>
      </c>
      <c r="BL57" s="636">
        <f t="shared" si="170"/>
        <v>0</v>
      </c>
      <c r="BM57" s="636">
        <f t="shared" si="171"/>
        <v>0</v>
      </c>
      <c r="BN57" s="636">
        <f t="shared" si="172"/>
        <v>0</v>
      </c>
      <c r="BO57" s="636">
        <f t="shared" si="173"/>
        <v>0</v>
      </c>
      <c r="BP57" s="636">
        <f t="shared" si="174"/>
        <v>0</v>
      </c>
      <c r="BQ57" s="636">
        <f t="shared" si="175"/>
        <v>0</v>
      </c>
      <c r="BR57" s="636">
        <f t="shared" si="176"/>
        <v>0</v>
      </c>
      <c r="BS57" s="542">
        <f t="shared" si="177"/>
        <v>0</v>
      </c>
      <c r="BT57" s="542">
        <f t="shared" si="178"/>
        <v>0</v>
      </c>
      <c r="BU57" s="542">
        <f t="shared" si="179"/>
        <v>0</v>
      </c>
      <c r="BV57" s="542">
        <f t="shared" si="180"/>
        <v>0</v>
      </c>
      <c r="BW57" s="542">
        <f t="shared" si="181"/>
        <v>0</v>
      </c>
      <c r="BX57" s="542">
        <f t="shared" si="182"/>
        <v>0</v>
      </c>
      <c r="BY57" s="542">
        <f t="shared" si="183"/>
        <v>0</v>
      </c>
      <c r="BZ57" s="542">
        <f t="shared" si="184"/>
        <v>0</v>
      </c>
      <c r="CA57" s="542">
        <f t="shared" si="185"/>
        <v>0</v>
      </c>
      <c r="CB57" s="542">
        <f t="shared" si="186"/>
        <v>0</v>
      </c>
      <c r="CC57" s="542">
        <f t="shared" si="187"/>
        <v>0</v>
      </c>
      <c r="CD57" s="542">
        <f t="shared" si="188"/>
        <v>0</v>
      </c>
      <c r="CE57" s="542">
        <f t="shared" si="189"/>
        <v>0</v>
      </c>
      <c r="CF57" s="542"/>
      <c r="CG57" s="542"/>
      <c r="CH57" s="529">
        <f t="shared" si="149"/>
        <v>0</v>
      </c>
    </row>
    <row r="58" spans="1:86" s="622" customFormat="1" ht="18.75" hidden="1" customHeight="1" outlineLevel="1">
      <c r="A58" s="550"/>
      <c r="B58" s="554"/>
      <c r="C58" s="631" t="s">
        <v>70</v>
      </c>
      <c r="D58" s="555"/>
      <c r="E58" s="632">
        <v>5.0000000000000001E-3</v>
      </c>
      <c r="F58" s="633">
        <f t="shared" si="191"/>
        <v>0</v>
      </c>
      <c r="G58" s="556"/>
      <c r="H58" s="539">
        <f>+'2.Tien do'!E52</f>
        <v>0</v>
      </c>
      <c r="I58" s="539">
        <f>+'2.Tien do'!F52</f>
        <v>0</v>
      </c>
      <c r="J58" s="539">
        <f>+'2.Tien do'!G52</f>
        <v>0</v>
      </c>
      <c r="K58" s="539">
        <f>+'2.Tien do'!H52</f>
        <v>0</v>
      </c>
      <c r="L58" s="539">
        <f>+'2.Tien do'!I52</f>
        <v>0</v>
      </c>
      <c r="M58" s="539">
        <f>+'2.Tien do'!J52</f>
        <v>0</v>
      </c>
      <c r="N58" s="539">
        <f>+'2.Tien do'!K52</f>
        <v>0</v>
      </c>
      <c r="O58" s="539">
        <f>+'2.Tien do'!L52</f>
        <v>0</v>
      </c>
      <c r="P58" s="539">
        <f>+'2.Tien do'!M52</f>
        <v>0</v>
      </c>
      <c r="Q58" s="539">
        <f>+'2.Tien do'!N52</f>
        <v>0</v>
      </c>
      <c r="R58" s="539">
        <f>+'2.Tien do'!O52</f>
        <v>0</v>
      </c>
      <c r="S58" s="539">
        <f>+'2.Tien do'!P52</f>
        <v>0</v>
      </c>
      <c r="T58" s="539">
        <f>+'2.Tien do'!Q52</f>
        <v>0</v>
      </c>
      <c r="U58" s="539">
        <f>+'2.Tien do'!R52</f>
        <v>0</v>
      </c>
      <c r="V58" s="539">
        <f>+'2.Tien do'!S52</f>
        <v>0</v>
      </c>
      <c r="W58" s="539">
        <f>+'2.Tien do'!T52</f>
        <v>0</v>
      </c>
      <c r="X58" s="539">
        <f>+'2.Tien do'!U52</f>
        <v>0</v>
      </c>
      <c r="Y58" s="539">
        <f>+'2.Tien do'!V52</f>
        <v>0</v>
      </c>
      <c r="Z58" s="539">
        <f>+'2.Tien do'!W52</f>
        <v>0</v>
      </c>
      <c r="AA58" s="539">
        <f>+'2.Tien do'!X52</f>
        <v>0</v>
      </c>
      <c r="AB58" s="539">
        <f>+'2.Tien do'!Y52</f>
        <v>0</v>
      </c>
      <c r="AC58" s="539">
        <f>+'2.Tien do'!Z52</f>
        <v>0</v>
      </c>
      <c r="AD58" s="539">
        <f>+'2.Tien do'!AA52</f>
        <v>0</v>
      </c>
      <c r="AE58" s="539">
        <f>+'2.Tien do'!AB52</f>
        <v>0</v>
      </c>
      <c r="AF58" s="539">
        <f>+'2.Tien do'!AC52</f>
        <v>0</v>
      </c>
      <c r="AG58" s="539">
        <f>+'2.Tien do'!AD52</f>
        <v>0</v>
      </c>
      <c r="AH58" s="539">
        <f>+'2.Tien do'!AE52</f>
        <v>0</v>
      </c>
      <c r="AI58" s="539">
        <f>+'2.Tien do'!AF52</f>
        <v>0</v>
      </c>
      <c r="AJ58" s="539">
        <f>+'2.Tien do'!AG52</f>
        <v>0</v>
      </c>
      <c r="AK58" s="539">
        <f>+'2.Tien do'!AH52</f>
        <v>0</v>
      </c>
      <c r="AL58" s="539">
        <f>+'2.Tien do'!AI52</f>
        <v>0</v>
      </c>
      <c r="AM58" s="539">
        <f>+'2.Tien do'!AJ52</f>
        <v>0</v>
      </c>
      <c r="AN58" s="539">
        <f>+'2.Tien do'!AK52</f>
        <v>0</v>
      </c>
      <c r="AO58" s="539">
        <f>+'2.Tien do'!AL52</f>
        <v>0</v>
      </c>
      <c r="AP58" s="539">
        <f>+'2.Tien do'!AM52</f>
        <v>0</v>
      </c>
      <c r="AQ58" s="539">
        <f>+'2.Tien do'!AN52</f>
        <v>0</v>
      </c>
      <c r="AR58" s="539">
        <f>+'2.Tien do'!AO52</f>
        <v>0</v>
      </c>
      <c r="AS58" s="526"/>
      <c r="AT58" s="635">
        <f t="shared" si="192"/>
        <v>0</v>
      </c>
      <c r="AU58" s="636">
        <f t="shared" si="153"/>
        <v>0</v>
      </c>
      <c r="AV58" s="636">
        <f t="shared" si="154"/>
        <v>0</v>
      </c>
      <c r="AW58" s="636">
        <f t="shared" si="155"/>
        <v>0</v>
      </c>
      <c r="AX58" s="636">
        <f t="shared" si="156"/>
        <v>0</v>
      </c>
      <c r="AY58" s="636">
        <f t="shared" si="157"/>
        <v>0</v>
      </c>
      <c r="AZ58" s="636">
        <f t="shared" si="158"/>
        <v>0</v>
      </c>
      <c r="BA58" s="636">
        <f t="shared" si="159"/>
        <v>0</v>
      </c>
      <c r="BB58" s="636">
        <f t="shared" si="160"/>
        <v>0</v>
      </c>
      <c r="BC58" s="636">
        <f t="shared" si="161"/>
        <v>0</v>
      </c>
      <c r="BD58" s="636">
        <f t="shared" si="162"/>
        <v>0</v>
      </c>
      <c r="BE58" s="636">
        <f t="shared" si="163"/>
        <v>0</v>
      </c>
      <c r="BF58" s="636">
        <f t="shared" si="164"/>
        <v>0</v>
      </c>
      <c r="BG58" s="636">
        <f t="shared" si="165"/>
        <v>0</v>
      </c>
      <c r="BH58" s="636">
        <f t="shared" si="166"/>
        <v>0</v>
      </c>
      <c r="BI58" s="636">
        <f t="shared" si="167"/>
        <v>0</v>
      </c>
      <c r="BJ58" s="636">
        <f t="shared" si="168"/>
        <v>0</v>
      </c>
      <c r="BK58" s="636">
        <f t="shared" si="169"/>
        <v>0</v>
      </c>
      <c r="BL58" s="636">
        <f t="shared" si="170"/>
        <v>0</v>
      </c>
      <c r="BM58" s="636">
        <f t="shared" si="171"/>
        <v>0</v>
      </c>
      <c r="BN58" s="636">
        <f t="shared" si="172"/>
        <v>0</v>
      </c>
      <c r="BO58" s="636">
        <f t="shared" si="173"/>
        <v>0</v>
      </c>
      <c r="BP58" s="636">
        <f t="shared" si="174"/>
        <v>0</v>
      </c>
      <c r="BQ58" s="636">
        <f t="shared" si="175"/>
        <v>0</v>
      </c>
      <c r="BR58" s="636">
        <f t="shared" si="176"/>
        <v>0</v>
      </c>
      <c r="BS58" s="542">
        <f t="shared" si="177"/>
        <v>0</v>
      </c>
      <c r="BT58" s="542">
        <f t="shared" si="178"/>
        <v>0</v>
      </c>
      <c r="BU58" s="542">
        <f t="shared" si="179"/>
        <v>0</v>
      </c>
      <c r="BV58" s="542">
        <f t="shared" si="180"/>
        <v>0</v>
      </c>
      <c r="BW58" s="542">
        <f t="shared" si="181"/>
        <v>0</v>
      </c>
      <c r="BX58" s="542">
        <f t="shared" si="182"/>
        <v>0</v>
      </c>
      <c r="BY58" s="542">
        <f t="shared" si="183"/>
        <v>0</v>
      </c>
      <c r="BZ58" s="542">
        <f t="shared" si="184"/>
        <v>0</v>
      </c>
      <c r="CA58" s="542">
        <f t="shared" si="185"/>
        <v>0</v>
      </c>
      <c r="CB58" s="542">
        <f t="shared" si="186"/>
        <v>0</v>
      </c>
      <c r="CC58" s="542">
        <f t="shared" si="187"/>
        <v>0</v>
      </c>
      <c r="CD58" s="542">
        <f t="shared" si="188"/>
        <v>0</v>
      </c>
      <c r="CE58" s="542">
        <f t="shared" si="189"/>
        <v>0</v>
      </c>
      <c r="CF58" s="542"/>
      <c r="CG58" s="542"/>
      <c r="CH58" s="529">
        <f t="shared" si="149"/>
        <v>0</v>
      </c>
    </row>
    <row r="59" spans="1:86" s="622" customFormat="1" ht="18.75" hidden="1" customHeight="1" outlineLevel="1">
      <c r="A59" s="550"/>
      <c r="B59" s="557"/>
      <c r="C59" s="1291" t="s">
        <v>16</v>
      </c>
      <c r="D59" s="558"/>
      <c r="E59" s="632">
        <v>0.1</v>
      </c>
      <c r="F59" s="633">
        <f>E59*(SUM(F56:F58)+F48)</f>
        <v>0</v>
      </c>
      <c r="G59" s="559"/>
      <c r="H59" s="539">
        <f>+'2.Tien do'!E53</f>
        <v>0</v>
      </c>
      <c r="I59" s="539">
        <f>+'2.Tien do'!F53</f>
        <v>0</v>
      </c>
      <c r="J59" s="539">
        <f>+'2.Tien do'!G53</f>
        <v>0</v>
      </c>
      <c r="K59" s="539">
        <f>+'2.Tien do'!H53</f>
        <v>0</v>
      </c>
      <c r="L59" s="539">
        <f>+'2.Tien do'!I53</f>
        <v>0</v>
      </c>
      <c r="M59" s="539">
        <f>+'2.Tien do'!J53</f>
        <v>0</v>
      </c>
      <c r="N59" s="539">
        <f>+'2.Tien do'!K53</f>
        <v>0</v>
      </c>
      <c r="O59" s="539">
        <f>+'2.Tien do'!L53</f>
        <v>0</v>
      </c>
      <c r="P59" s="539">
        <f>+'2.Tien do'!M53</f>
        <v>0</v>
      </c>
      <c r="Q59" s="539">
        <f>+'2.Tien do'!N53</f>
        <v>0</v>
      </c>
      <c r="R59" s="539">
        <f>+'2.Tien do'!O53</f>
        <v>0</v>
      </c>
      <c r="S59" s="539">
        <f>+'2.Tien do'!P53</f>
        <v>0</v>
      </c>
      <c r="T59" s="539">
        <f>+'2.Tien do'!Q53</f>
        <v>0</v>
      </c>
      <c r="U59" s="539">
        <f>+'2.Tien do'!R53</f>
        <v>0</v>
      </c>
      <c r="V59" s="539">
        <f>+'2.Tien do'!S53</f>
        <v>0</v>
      </c>
      <c r="W59" s="539">
        <f>+'2.Tien do'!T53</f>
        <v>0</v>
      </c>
      <c r="X59" s="539">
        <f>+'2.Tien do'!U53</f>
        <v>0</v>
      </c>
      <c r="Y59" s="539">
        <f>+'2.Tien do'!V53</f>
        <v>0</v>
      </c>
      <c r="Z59" s="539">
        <f>+'2.Tien do'!W53</f>
        <v>0</v>
      </c>
      <c r="AA59" s="539">
        <f>+'2.Tien do'!X53</f>
        <v>0</v>
      </c>
      <c r="AB59" s="539">
        <f>+'2.Tien do'!Y53</f>
        <v>0</v>
      </c>
      <c r="AC59" s="539">
        <f>+'2.Tien do'!Z53</f>
        <v>0</v>
      </c>
      <c r="AD59" s="539">
        <f>+'2.Tien do'!AA53</f>
        <v>0</v>
      </c>
      <c r="AE59" s="539">
        <f>+'2.Tien do'!AB53</f>
        <v>0</v>
      </c>
      <c r="AF59" s="539">
        <f>+'2.Tien do'!AC53</f>
        <v>0</v>
      </c>
      <c r="AG59" s="539">
        <f>+'2.Tien do'!AD53</f>
        <v>0</v>
      </c>
      <c r="AH59" s="539">
        <f>+'2.Tien do'!AE53</f>
        <v>0</v>
      </c>
      <c r="AI59" s="539">
        <f>+'2.Tien do'!AF53</f>
        <v>0</v>
      </c>
      <c r="AJ59" s="539">
        <f>+'2.Tien do'!AG53</f>
        <v>0</v>
      </c>
      <c r="AK59" s="539">
        <f>+'2.Tien do'!AH53</f>
        <v>0</v>
      </c>
      <c r="AL59" s="539">
        <f>+'2.Tien do'!AI53</f>
        <v>0</v>
      </c>
      <c r="AM59" s="539">
        <f>+'2.Tien do'!AJ53</f>
        <v>0</v>
      </c>
      <c r="AN59" s="539">
        <f>+'2.Tien do'!AK53</f>
        <v>0</v>
      </c>
      <c r="AO59" s="539">
        <f>+'2.Tien do'!AL53</f>
        <v>0</v>
      </c>
      <c r="AP59" s="539">
        <f>+'2.Tien do'!AM53</f>
        <v>0</v>
      </c>
      <c r="AQ59" s="539">
        <f>+'2.Tien do'!AN53</f>
        <v>0</v>
      </c>
      <c r="AR59" s="539">
        <f>+'2.Tien do'!AO53</f>
        <v>0</v>
      </c>
      <c r="AS59" s="526"/>
      <c r="AT59" s="635">
        <f t="shared" si="192"/>
        <v>0</v>
      </c>
      <c r="AU59" s="636">
        <f t="shared" si="153"/>
        <v>0</v>
      </c>
      <c r="AV59" s="636">
        <f t="shared" si="154"/>
        <v>0</v>
      </c>
      <c r="AW59" s="636">
        <f t="shared" si="155"/>
        <v>0</v>
      </c>
      <c r="AX59" s="636">
        <f t="shared" si="156"/>
        <v>0</v>
      </c>
      <c r="AY59" s="636">
        <f t="shared" si="157"/>
        <v>0</v>
      </c>
      <c r="AZ59" s="636">
        <f t="shared" si="158"/>
        <v>0</v>
      </c>
      <c r="BA59" s="636">
        <f t="shared" si="159"/>
        <v>0</v>
      </c>
      <c r="BB59" s="636">
        <f t="shared" si="160"/>
        <v>0</v>
      </c>
      <c r="BC59" s="636">
        <f t="shared" si="161"/>
        <v>0</v>
      </c>
      <c r="BD59" s="636">
        <f t="shared" si="162"/>
        <v>0</v>
      </c>
      <c r="BE59" s="636">
        <f t="shared" si="163"/>
        <v>0</v>
      </c>
      <c r="BF59" s="636">
        <f t="shared" si="164"/>
        <v>0</v>
      </c>
      <c r="BG59" s="636">
        <f t="shared" si="165"/>
        <v>0</v>
      </c>
      <c r="BH59" s="636">
        <f t="shared" si="166"/>
        <v>0</v>
      </c>
      <c r="BI59" s="636">
        <f t="shared" si="167"/>
        <v>0</v>
      </c>
      <c r="BJ59" s="636">
        <f t="shared" si="168"/>
        <v>0</v>
      </c>
      <c r="BK59" s="636">
        <f t="shared" si="169"/>
        <v>0</v>
      </c>
      <c r="BL59" s="636">
        <f t="shared" si="170"/>
        <v>0</v>
      </c>
      <c r="BM59" s="636">
        <f t="shared" si="171"/>
        <v>0</v>
      </c>
      <c r="BN59" s="636">
        <f t="shared" si="172"/>
        <v>0</v>
      </c>
      <c r="BO59" s="636">
        <f t="shared" si="173"/>
        <v>0</v>
      </c>
      <c r="BP59" s="636">
        <f t="shared" si="174"/>
        <v>0</v>
      </c>
      <c r="BQ59" s="636">
        <f t="shared" si="175"/>
        <v>0</v>
      </c>
      <c r="BR59" s="636">
        <f t="shared" si="176"/>
        <v>0</v>
      </c>
      <c r="BS59" s="542">
        <f t="shared" si="177"/>
        <v>0</v>
      </c>
      <c r="BT59" s="542">
        <f t="shared" si="178"/>
        <v>0</v>
      </c>
      <c r="BU59" s="542">
        <f t="shared" si="179"/>
        <v>0</v>
      </c>
      <c r="BV59" s="542">
        <f t="shared" si="180"/>
        <v>0</v>
      </c>
      <c r="BW59" s="542">
        <f t="shared" si="181"/>
        <v>0</v>
      </c>
      <c r="BX59" s="542">
        <f t="shared" si="182"/>
        <v>0</v>
      </c>
      <c r="BY59" s="542">
        <f t="shared" si="183"/>
        <v>0</v>
      </c>
      <c r="BZ59" s="542">
        <f t="shared" si="184"/>
        <v>0</v>
      </c>
      <c r="CA59" s="542">
        <f t="shared" si="185"/>
        <v>0</v>
      </c>
      <c r="CB59" s="542">
        <f t="shared" si="186"/>
        <v>0</v>
      </c>
      <c r="CC59" s="542">
        <f t="shared" si="187"/>
        <v>0</v>
      </c>
      <c r="CD59" s="542">
        <f t="shared" si="188"/>
        <v>0</v>
      </c>
      <c r="CE59" s="542">
        <f t="shared" si="189"/>
        <v>0</v>
      </c>
      <c r="CF59" s="560"/>
      <c r="CG59" s="560"/>
      <c r="CH59" s="529"/>
    </row>
    <row r="60" spans="1:86" s="413" customFormat="1" ht="18.75" hidden="1" customHeight="1" outlineLevel="1">
      <c r="A60" s="550"/>
      <c r="B60" s="1290"/>
      <c r="C60" s="1291"/>
      <c r="D60" s="1292"/>
      <c r="E60" s="1293">
        <v>0</v>
      </c>
      <c r="F60" s="1294">
        <f>E60*(SUM(F56:F58)+F48)</f>
        <v>0</v>
      </c>
      <c r="G60" s="1295"/>
      <c r="H60" s="539">
        <f>+'2.Tien do'!E54</f>
        <v>0</v>
      </c>
      <c r="I60" s="539">
        <f>+'2.Tien do'!F54</f>
        <v>0</v>
      </c>
      <c r="J60" s="539">
        <f>+'2.Tien do'!G54</f>
        <v>0</v>
      </c>
      <c r="K60" s="539">
        <f>+'2.Tien do'!H54</f>
        <v>0</v>
      </c>
      <c r="L60" s="539">
        <f>+'2.Tien do'!I54</f>
        <v>0</v>
      </c>
      <c r="M60" s="539">
        <f>+'2.Tien do'!J54</f>
        <v>0</v>
      </c>
      <c r="N60" s="539">
        <f>+'2.Tien do'!K54</f>
        <v>0</v>
      </c>
      <c r="O60" s="539">
        <f>+'2.Tien do'!L54</f>
        <v>0</v>
      </c>
      <c r="P60" s="539">
        <f>+'2.Tien do'!M54</f>
        <v>0</v>
      </c>
      <c r="Q60" s="539">
        <f>+'2.Tien do'!N54</f>
        <v>0</v>
      </c>
      <c r="R60" s="539">
        <f>+'2.Tien do'!O54</f>
        <v>0</v>
      </c>
      <c r="S60" s="539">
        <f>+'2.Tien do'!P54</f>
        <v>0</v>
      </c>
      <c r="T60" s="539">
        <f>+'2.Tien do'!Q54</f>
        <v>0</v>
      </c>
      <c r="U60" s="539">
        <f>+'2.Tien do'!R54</f>
        <v>0</v>
      </c>
      <c r="V60" s="539">
        <f>+'2.Tien do'!S54</f>
        <v>0</v>
      </c>
      <c r="W60" s="539">
        <f>+'2.Tien do'!T54</f>
        <v>0</v>
      </c>
      <c r="X60" s="539">
        <f>+'2.Tien do'!U54</f>
        <v>0</v>
      </c>
      <c r="Y60" s="539">
        <f>+'2.Tien do'!V54</f>
        <v>0</v>
      </c>
      <c r="Z60" s="539">
        <f>+'2.Tien do'!W54</f>
        <v>0</v>
      </c>
      <c r="AA60" s="539">
        <f>+'2.Tien do'!X54</f>
        <v>0</v>
      </c>
      <c r="AB60" s="539">
        <f>+'2.Tien do'!Y54</f>
        <v>0</v>
      </c>
      <c r="AC60" s="539">
        <f>+'2.Tien do'!Z54</f>
        <v>0</v>
      </c>
      <c r="AD60" s="539">
        <f>+'2.Tien do'!AA54</f>
        <v>0</v>
      </c>
      <c r="AE60" s="539">
        <f>+'2.Tien do'!AB54</f>
        <v>0</v>
      </c>
      <c r="AF60" s="539">
        <f>+'2.Tien do'!AC54</f>
        <v>0</v>
      </c>
      <c r="AG60" s="539">
        <f>+'2.Tien do'!AD54</f>
        <v>0</v>
      </c>
      <c r="AH60" s="539">
        <f>+'2.Tien do'!AE54</f>
        <v>0</v>
      </c>
      <c r="AI60" s="539">
        <f>+'2.Tien do'!AF54</f>
        <v>0</v>
      </c>
      <c r="AJ60" s="539">
        <f>+'2.Tien do'!AG54</f>
        <v>0</v>
      </c>
      <c r="AK60" s="539">
        <f>+'2.Tien do'!AH54</f>
        <v>0</v>
      </c>
      <c r="AL60" s="539">
        <f>+'2.Tien do'!AI54</f>
        <v>0</v>
      </c>
      <c r="AM60" s="539">
        <f>+'2.Tien do'!AJ54</f>
        <v>0</v>
      </c>
      <c r="AN60" s="539">
        <f>+'2.Tien do'!AK54</f>
        <v>0</v>
      </c>
      <c r="AO60" s="539">
        <f>+'2.Tien do'!AL54</f>
        <v>0</v>
      </c>
      <c r="AP60" s="539">
        <f>+'2.Tien do'!AM54</f>
        <v>0</v>
      </c>
      <c r="AQ60" s="539">
        <f>+'2.Tien do'!AN54</f>
        <v>0</v>
      </c>
      <c r="AR60" s="539">
        <f>+'2.Tien do'!AO54</f>
        <v>0</v>
      </c>
      <c r="AS60" s="532"/>
      <c r="AT60" s="1357">
        <f t="shared" si="192"/>
        <v>0</v>
      </c>
      <c r="AU60" s="1358">
        <f t="shared" si="153"/>
        <v>0</v>
      </c>
      <c r="AV60" s="1358">
        <f t="shared" si="154"/>
        <v>0</v>
      </c>
      <c r="AW60" s="1358">
        <f t="shared" si="155"/>
        <v>0</v>
      </c>
      <c r="AX60" s="1358">
        <f t="shared" si="156"/>
        <v>0</v>
      </c>
      <c r="AY60" s="1358">
        <f t="shared" si="157"/>
        <v>0</v>
      </c>
      <c r="AZ60" s="1358">
        <f t="shared" si="158"/>
        <v>0</v>
      </c>
      <c r="BA60" s="1358">
        <f t="shared" si="159"/>
        <v>0</v>
      </c>
      <c r="BB60" s="1358">
        <f t="shared" si="160"/>
        <v>0</v>
      </c>
      <c r="BC60" s="1358">
        <f t="shared" si="161"/>
        <v>0</v>
      </c>
      <c r="BD60" s="1358">
        <f t="shared" si="162"/>
        <v>0</v>
      </c>
      <c r="BE60" s="1358">
        <f t="shared" si="163"/>
        <v>0</v>
      </c>
      <c r="BF60" s="1358">
        <f t="shared" si="164"/>
        <v>0</v>
      </c>
      <c r="BG60" s="1358">
        <f t="shared" si="165"/>
        <v>0</v>
      </c>
      <c r="BH60" s="1358">
        <f t="shared" si="166"/>
        <v>0</v>
      </c>
      <c r="BI60" s="1358">
        <f t="shared" si="167"/>
        <v>0</v>
      </c>
      <c r="BJ60" s="1358">
        <f t="shared" si="168"/>
        <v>0</v>
      </c>
      <c r="BK60" s="1358">
        <f t="shared" si="169"/>
        <v>0</v>
      </c>
      <c r="BL60" s="1358">
        <f t="shared" si="170"/>
        <v>0</v>
      </c>
      <c r="BM60" s="1358">
        <f t="shared" si="171"/>
        <v>0</v>
      </c>
      <c r="BN60" s="1358">
        <f t="shared" si="172"/>
        <v>0</v>
      </c>
      <c r="BO60" s="1358">
        <f t="shared" si="173"/>
        <v>0</v>
      </c>
      <c r="BP60" s="1358">
        <f t="shared" si="174"/>
        <v>0</v>
      </c>
      <c r="BQ60" s="1358">
        <f t="shared" si="175"/>
        <v>0</v>
      </c>
      <c r="BR60" s="1358">
        <f t="shared" si="176"/>
        <v>0</v>
      </c>
      <c r="BS60" s="542">
        <f t="shared" si="177"/>
        <v>0</v>
      </c>
      <c r="BT60" s="542">
        <f t="shared" si="178"/>
        <v>0</v>
      </c>
      <c r="BU60" s="542">
        <f t="shared" si="179"/>
        <v>0</v>
      </c>
      <c r="BV60" s="542">
        <f t="shared" si="180"/>
        <v>0</v>
      </c>
      <c r="BW60" s="542">
        <f t="shared" si="181"/>
        <v>0</v>
      </c>
      <c r="BX60" s="542">
        <f t="shared" si="182"/>
        <v>0</v>
      </c>
      <c r="BY60" s="542">
        <f t="shared" si="183"/>
        <v>0</v>
      </c>
      <c r="BZ60" s="542">
        <f t="shared" si="184"/>
        <v>0</v>
      </c>
      <c r="CA60" s="542">
        <f t="shared" si="185"/>
        <v>0</v>
      </c>
      <c r="CB60" s="542">
        <f t="shared" si="186"/>
        <v>0</v>
      </c>
      <c r="CC60" s="542">
        <f t="shared" si="187"/>
        <v>0</v>
      </c>
      <c r="CD60" s="542">
        <f t="shared" si="188"/>
        <v>0</v>
      </c>
      <c r="CE60" s="542">
        <f t="shared" si="189"/>
        <v>0</v>
      </c>
      <c r="CF60" s="542"/>
      <c r="CG60" s="542"/>
      <c r="CH60" s="529">
        <f>F60-SUM(AT60:CG60)</f>
        <v>0</v>
      </c>
    </row>
    <row r="61" spans="1:86" s="413" customFormat="1" ht="18.75" customHeight="1" collapsed="1">
      <c r="A61" s="550"/>
      <c r="B61" s="1298">
        <v>2.2000000000000002</v>
      </c>
      <c r="C61" s="1299" t="s">
        <v>578</v>
      </c>
      <c r="D61" s="1300">
        <f>+D62</f>
        <v>25975.746449999999</v>
      </c>
      <c r="E61" s="1349">
        <f>IFERROR(F61/D62*10^6,0)</f>
        <v>7490000</v>
      </c>
      <c r="F61" s="1302">
        <f>+SUM(F62:F69)</f>
        <v>194558.3409105</v>
      </c>
      <c r="G61" s="1303"/>
      <c r="H61" s="1304"/>
      <c r="I61" s="1304"/>
      <c r="J61" s="1304"/>
      <c r="K61" s="1304"/>
      <c r="L61" s="1304"/>
      <c r="M61" s="1304"/>
      <c r="N61" s="1304"/>
      <c r="O61" s="1304"/>
      <c r="P61" s="1304"/>
      <c r="Q61" s="1304"/>
      <c r="R61" s="1304"/>
      <c r="S61" s="1304"/>
      <c r="T61" s="1304"/>
      <c r="U61" s="1304"/>
      <c r="V61" s="1304"/>
      <c r="W61" s="1304"/>
      <c r="X61" s="1304"/>
      <c r="Y61" s="1304"/>
      <c r="Z61" s="1304"/>
      <c r="AA61" s="1304"/>
      <c r="AB61" s="1304"/>
      <c r="AC61" s="1304"/>
      <c r="AD61" s="1304"/>
      <c r="AE61" s="1304"/>
      <c r="AF61" s="1304"/>
      <c r="AG61" s="1304"/>
      <c r="AH61" s="1304"/>
      <c r="AI61" s="1304"/>
      <c r="AJ61" s="1304"/>
      <c r="AK61" s="1304"/>
      <c r="AL61" s="1304"/>
      <c r="AM61" s="1304"/>
      <c r="AN61" s="1304"/>
      <c r="AO61" s="1304"/>
      <c r="AP61" s="1304"/>
      <c r="AQ61" s="1304"/>
      <c r="AR61" s="1305"/>
      <c r="AS61" s="532"/>
      <c r="AT61" s="1360">
        <f>+SUM(AT62:AT69)</f>
        <v>0</v>
      </c>
      <c r="AU61" s="1361">
        <f t="shared" ref="AU61:BN61" si="193">+SUM(AU62:AU69)</f>
        <v>0</v>
      </c>
      <c r="AV61" s="1361">
        <f t="shared" si="193"/>
        <v>0</v>
      </c>
      <c r="AW61" s="1361">
        <f t="shared" si="193"/>
        <v>0</v>
      </c>
      <c r="AX61" s="1361">
        <f t="shared" si="193"/>
        <v>0</v>
      </c>
      <c r="AY61" s="1361">
        <f t="shared" si="193"/>
        <v>0</v>
      </c>
      <c r="AZ61" s="1361">
        <f t="shared" si="193"/>
        <v>0</v>
      </c>
      <c r="BA61" s="1361">
        <f t="shared" si="193"/>
        <v>0</v>
      </c>
      <c r="BB61" s="1361">
        <f t="shared" si="193"/>
        <v>0</v>
      </c>
      <c r="BC61" s="1361">
        <f t="shared" si="193"/>
        <v>0</v>
      </c>
      <c r="BD61" s="1361">
        <f t="shared" si="193"/>
        <v>48639.585227625001</v>
      </c>
      <c r="BE61" s="1361">
        <f t="shared" si="193"/>
        <v>48639.585227625001</v>
      </c>
      <c r="BF61" s="1361">
        <f t="shared" si="193"/>
        <v>48639.585227625001</v>
      </c>
      <c r="BG61" s="1361">
        <f t="shared" si="193"/>
        <v>48639.585227625001</v>
      </c>
      <c r="BH61" s="1361">
        <f t="shared" si="193"/>
        <v>0</v>
      </c>
      <c r="BI61" s="1361">
        <f t="shared" si="193"/>
        <v>0</v>
      </c>
      <c r="BJ61" s="1361">
        <f t="shared" si="193"/>
        <v>0</v>
      </c>
      <c r="BK61" s="1361">
        <f t="shared" si="193"/>
        <v>0</v>
      </c>
      <c r="BL61" s="1361">
        <f t="shared" si="193"/>
        <v>0</v>
      </c>
      <c r="BM61" s="1361">
        <f t="shared" si="193"/>
        <v>0</v>
      </c>
      <c r="BN61" s="1361">
        <f t="shared" si="193"/>
        <v>0</v>
      </c>
      <c r="BO61" s="1361">
        <f t="shared" ref="BO61:BR61" si="194">+SUM(BO62:BO69)</f>
        <v>0</v>
      </c>
      <c r="BP61" s="1361">
        <f t="shared" si="194"/>
        <v>0</v>
      </c>
      <c r="BQ61" s="1361">
        <f t="shared" si="194"/>
        <v>0</v>
      </c>
      <c r="BR61" s="1361">
        <f t="shared" si="194"/>
        <v>0</v>
      </c>
      <c r="BS61" s="1286"/>
      <c r="BT61" s="1286"/>
      <c r="BU61" s="1286"/>
      <c r="BV61" s="1286"/>
      <c r="BW61" s="1286"/>
      <c r="BX61" s="1286"/>
      <c r="BY61" s="1286"/>
      <c r="BZ61" s="1286"/>
      <c r="CA61" s="1286"/>
      <c r="CB61" s="1286"/>
      <c r="CC61" s="1286"/>
      <c r="CD61" s="1286"/>
      <c r="CE61" s="1286"/>
      <c r="CF61" s="1286"/>
      <c r="CG61" s="1286"/>
      <c r="CH61" s="529">
        <f t="shared" ref="CH61:CH69" si="195">F61-SUM(AT61:CG61)</f>
        <v>0</v>
      </c>
    </row>
    <row r="62" spans="1:86" s="413" customFormat="1" ht="18.75" customHeight="1">
      <c r="A62" s="1438"/>
      <c r="B62" s="1328"/>
      <c r="C62" s="1509" t="str">
        <f>'2.Tien do'!C55</f>
        <v>Nhà phố liên kế</v>
      </c>
      <c r="D62" s="1307">
        <f>+'1. thong tin quy hoach'!I38</f>
        <v>25975.746449999999</v>
      </c>
      <c r="E62" s="1646">
        <f>+'8.ĐO NHAY'!C17*10^6</f>
        <v>7000000</v>
      </c>
      <c r="F62" s="1340">
        <f>+D62*E62/10^6</f>
        <v>181830.22515000001</v>
      </c>
      <c r="G62" s="1310"/>
      <c r="H62" s="1311">
        <f>+'2.Tien do'!E55</f>
        <v>0</v>
      </c>
      <c r="I62" s="1311">
        <f>+'2.Tien do'!F55</f>
        <v>0</v>
      </c>
      <c r="J62" s="1311">
        <f>+'2.Tien do'!G55</f>
        <v>0</v>
      </c>
      <c r="K62" s="1311">
        <f>+'2.Tien do'!H55</f>
        <v>0</v>
      </c>
      <c r="L62" s="1311">
        <f>+'2.Tien do'!I55</f>
        <v>0</v>
      </c>
      <c r="M62" s="1311">
        <f>+'2.Tien do'!J55</f>
        <v>0</v>
      </c>
      <c r="N62" s="1311">
        <f>+'2.Tien do'!K55</f>
        <v>0</v>
      </c>
      <c r="O62" s="1311">
        <f>+'2.Tien do'!L55</f>
        <v>0</v>
      </c>
      <c r="P62" s="1311">
        <f>+'2.Tien do'!M55</f>
        <v>0</v>
      </c>
      <c r="Q62" s="1311">
        <f>+'2.Tien do'!N55</f>
        <v>0.25</v>
      </c>
      <c r="R62" s="1311">
        <f>+'2.Tien do'!O55</f>
        <v>0.25</v>
      </c>
      <c r="S62" s="1311">
        <f>+'2.Tien do'!P55</f>
        <v>0.25</v>
      </c>
      <c r="T62" s="1311">
        <f>+'2.Tien do'!Q55</f>
        <v>0.25</v>
      </c>
      <c r="U62" s="1311">
        <f>+'2.Tien do'!R55</f>
        <v>0</v>
      </c>
      <c r="V62" s="1311">
        <f>+'2.Tien do'!S55</f>
        <v>0</v>
      </c>
      <c r="W62" s="1311">
        <f>+'2.Tien do'!T55</f>
        <v>0</v>
      </c>
      <c r="X62" s="1311">
        <f>+'2.Tien do'!U55</f>
        <v>0</v>
      </c>
      <c r="Y62" s="1311">
        <f>+'2.Tien do'!V55</f>
        <v>0</v>
      </c>
      <c r="Z62" s="1311">
        <f>+'2.Tien do'!W55</f>
        <v>0</v>
      </c>
      <c r="AA62" s="1311">
        <f>+'2.Tien do'!X55</f>
        <v>0</v>
      </c>
      <c r="AB62" s="1311">
        <f>+'2.Tien do'!Y55</f>
        <v>0</v>
      </c>
      <c r="AC62" s="1311">
        <f>+'2.Tien do'!Z55</f>
        <v>0</v>
      </c>
      <c r="AD62" s="1311">
        <f>+'2.Tien do'!AA55</f>
        <v>0</v>
      </c>
      <c r="AE62" s="1311">
        <f>+'2.Tien do'!AB55</f>
        <v>0</v>
      </c>
      <c r="AF62" s="1311">
        <f>+'2.Tien do'!AC55</f>
        <v>0</v>
      </c>
      <c r="AG62" s="1311">
        <f>+'2.Tien do'!AD55</f>
        <v>0</v>
      </c>
      <c r="AH62" s="1311">
        <f>+'2.Tien do'!AE55</f>
        <v>0</v>
      </c>
      <c r="AI62" s="1311">
        <f>+'2.Tien do'!AF55</f>
        <v>0</v>
      </c>
      <c r="AJ62" s="1311">
        <f>+'2.Tien do'!AG55</f>
        <v>0</v>
      </c>
      <c r="AK62" s="1311">
        <f>+'2.Tien do'!AH55</f>
        <v>0</v>
      </c>
      <c r="AL62" s="1311">
        <f>+'2.Tien do'!AI55</f>
        <v>0</v>
      </c>
      <c r="AM62" s="1311">
        <f>+'2.Tien do'!AJ55</f>
        <v>0</v>
      </c>
      <c r="AN62" s="1311">
        <f>+'2.Tien do'!AK55</f>
        <v>0</v>
      </c>
      <c r="AO62" s="1311">
        <f>+'2.Tien do'!AL55</f>
        <v>0</v>
      </c>
      <c r="AP62" s="1311">
        <f>+'2.Tien do'!AM55</f>
        <v>0</v>
      </c>
      <c r="AQ62" s="1311">
        <f>+'2.Tien do'!AN55</f>
        <v>0</v>
      </c>
      <c r="AR62" s="1312">
        <f>+'2.Tien do'!AO55</f>
        <v>0</v>
      </c>
      <c r="AS62" s="532"/>
      <c r="AT62" s="1359">
        <f>+$F62*G62</f>
        <v>0</v>
      </c>
      <c r="AU62" s="768">
        <f t="shared" ref="AU62:BN63" si="196">+$F62*H62</f>
        <v>0</v>
      </c>
      <c r="AV62" s="768">
        <f t="shared" si="196"/>
        <v>0</v>
      </c>
      <c r="AW62" s="768">
        <f t="shared" si="196"/>
        <v>0</v>
      </c>
      <c r="AX62" s="768">
        <f t="shared" si="196"/>
        <v>0</v>
      </c>
      <c r="AY62" s="768">
        <f t="shared" si="196"/>
        <v>0</v>
      </c>
      <c r="AZ62" s="768">
        <f t="shared" si="196"/>
        <v>0</v>
      </c>
      <c r="BA62" s="768">
        <f t="shared" si="196"/>
        <v>0</v>
      </c>
      <c r="BB62" s="768">
        <f t="shared" si="196"/>
        <v>0</v>
      </c>
      <c r="BC62" s="768">
        <f t="shared" si="196"/>
        <v>0</v>
      </c>
      <c r="BD62" s="768">
        <f t="shared" si="196"/>
        <v>45457.556287500003</v>
      </c>
      <c r="BE62" s="768">
        <f t="shared" si="196"/>
        <v>45457.556287500003</v>
      </c>
      <c r="BF62" s="768">
        <f t="shared" si="196"/>
        <v>45457.556287500003</v>
      </c>
      <c r="BG62" s="768">
        <f t="shared" si="196"/>
        <v>45457.556287500003</v>
      </c>
      <c r="BH62" s="768">
        <f t="shared" si="196"/>
        <v>0</v>
      </c>
      <c r="BI62" s="768">
        <f t="shared" si="196"/>
        <v>0</v>
      </c>
      <c r="BJ62" s="768">
        <f t="shared" si="196"/>
        <v>0</v>
      </c>
      <c r="BK62" s="768">
        <f t="shared" si="196"/>
        <v>0</v>
      </c>
      <c r="BL62" s="768">
        <f t="shared" si="196"/>
        <v>0</v>
      </c>
      <c r="BM62" s="768">
        <f t="shared" si="196"/>
        <v>0</v>
      </c>
      <c r="BN62" s="768">
        <f t="shared" si="196"/>
        <v>0</v>
      </c>
      <c r="BO62" s="768">
        <f t="shared" ref="BO62:BO69" si="197">+$F62*AB62</f>
        <v>0</v>
      </c>
      <c r="BP62" s="768">
        <f t="shared" ref="BP62:BP69" si="198">+$F62*AC62</f>
        <v>0</v>
      </c>
      <c r="BQ62" s="768">
        <f t="shared" ref="BQ62:BQ69" si="199">+$F62*AD62</f>
        <v>0</v>
      </c>
      <c r="BR62" s="768">
        <f t="shared" ref="BR62:BR69" si="200">+$F62*AE62</f>
        <v>0</v>
      </c>
      <c r="BS62" s="1286"/>
      <c r="BT62" s="1286"/>
      <c r="BU62" s="1286"/>
      <c r="BV62" s="1286"/>
      <c r="BW62" s="1286"/>
      <c r="BX62" s="1286"/>
      <c r="BY62" s="1286"/>
      <c r="BZ62" s="1286"/>
      <c r="CA62" s="1286"/>
      <c r="CB62" s="1286"/>
      <c r="CC62" s="1286"/>
      <c r="CD62" s="1286"/>
      <c r="CE62" s="1286"/>
      <c r="CF62" s="1286"/>
      <c r="CG62" s="1286"/>
      <c r="CH62" s="529">
        <f t="shared" si="195"/>
        <v>0</v>
      </c>
    </row>
    <row r="63" spans="1:86" s="413" customFormat="1" ht="18.75" hidden="1" customHeight="1">
      <c r="A63" s="1438"/>
      <c r="B63" s="1329"/>
      <c r="C63" s="1314">
        <f>+'2.Tien do'!C56</f>
        <v>0</v>
      </c>
      <c r="D63" s="1315">
        <f>+'1. thong tin quy hoach'!I39</f>
        <v>0</v>
      </c>
      <c r="E63" s="1339">
        <f>+'8.ĐO NHAY'!C17*10^6</f>
        <v>7000000</v>
      </c>
      <c r="F63" s="1340">
        <f t="shared" ref="F63:F65" si="201">+D63*E63/10^6</f>
        <v>0</v>
      </c>
      <c r="G63" s="1318"/>
      <c r="H63" s="1319">
        <f>+'2.Tien do'!E56</f>
        <v>0</v>
      </c>
      <c r="I63" s="1319">
        <f>+'2.Tien do'!F56</f>
        <v>0</v>
      </c>
      <c r="J63" s="1319">
        <f>+'2.Tien do'!G56</f>
        <v>0</v>
      </c>
      <c r="K63" s="1319">
        <f>+'2.Tien do'!H56</f>
        <v>0</v>
      </c>
      <c r="L63" s="1319">
        <f>+'2.Tien do'!I56</f>
        <v>0</v>
      </c>
      <c r="M63" s="1319">
        <f>+'2.Tien do'!J56</f>
        <v>0</v>
      </c>
      <c r="N63" s="1319">
        <f>+'2.Tien do'!K56</f>
        <v>0</v>
      </c>
      <c r="O63" s="1319">
        <f>+'2.Tien do'!L56</f>
        <v>0</v>
      </c>
      <c r="P63" s="1319">
        <f>+'2.Tien do'!M56</f>
        <v>0</v>
      </c>
      <c r="Q63" s="1319">
        <f>+'2.Tien do'!N56</f>
        <v>0</v>
      </c>
      <c r="R63" s="1319">
        <f>+'2.Tien do'!O56</f>
        <v>0</v>
      </c>
      <c r="S63" s="1319">
        <f>+'2.Tien do'!P56</f>
        <v>0</v>
      </c>
      <c r="T63" s="1319">
        <f>+'2.Tien do'!Q56</f>
        <v>0</v>
      </c>
      <c r="U63" s="1319">
        <f>+'2.Tien do'!R56</f>
        <v>0</v>
      </c>
      <c r="V63" s="1319">
        <f>+'2.Tien do'!S56</f>
        <v>0</v>
      </c>
      <c r="W63" s="1319">
        <f>+'2.Tien do'!T56</f>
        <v>0</v>
      </c>
      <c r="X63" s="1319">
        <f>+'2.Tien do'!U56</f>
        <v>0</v>
      </c>
      <c r="Y63" s="1319">
        <f>+'2.Tien do'!V56</f>
        <v>0</v>
      </c>
      <c r="Z63" s="1319">
        <f>+'2.Tien do'!W56</f>
        <v>0</v>
      </c>
      <c r="AA63" s="1319">
        <f>+'2.Tien do'!X56</f>
        <v>0</v>
      </c>
      <c r="AB63" s="1319">
        <f>+'2.Tien do'!Y56</f>
        <v>0</v>
      </c>
      <c r="AC63" s="1319">
        <f>+'2.Tien do'!Z56</f>
        <v>0</v>
      </c>
      <c r="AD63" s="1319">
        <f>+'2.Tien do'!AA56</f>
        <v>0</v>
      </c>
      <c r="AE63" s="1319">
        <f>+'2.Tien do'!AB56</f>
        <v>0</v>
      </c>
      <c r="AF63" s="1319">
        <f>+'2.Tien do'!AC56</f>
        <v>0</v>
      </c>
      <c r="AG63" s="1319">
        <f>+'2.Tien do'!AD56</f>
        <v>0</v>
      </c>
      <c r="AH63" s="1319">
        <f>+'2.Tien do'!AE56</f>
        <v>0</v>
      </c>
      <c r="AI63" s="1319">
        <f>+'2.Tien do'!AF56</f>
        <v>0</v>
      </c>
      <c r="AJ63" s="1319">
        <f>+'2.Tien do'!AG56</f>
        <v>0</v>
      </c>
      <c r="AK63" s="1319">
        <f>+'2.Tien do'!AH56</f>
        <v>0</v>
      </c>
      <c r="AL63" s="1319">
        <f>+'2.Tien do'!AI56</f>
        <v>0</v>
      </c>
      <c r="AM63" s="1319">
        <f>+'2.Tien do'!AJ56</f>
        <v>0</v>
      </c>
      <c r="AN63" s="1319">
        <f>+'2.Tien do'!AK56</f>
        <v>0</v>
      </c>
      <c r="AO63" s="1319">
        <f>+'2.Tien do'!AL56</f>
        <v>0</v>
      </c>
      <c r="AP63" s="1319">
        <f>+'2.Tien do'!AM56</f>
        <v>0</v>
      </c>
      <c r="AQ63" s="1319">
        <f>+'2.Tien do'!AN56</f>
        <v>0</v>
      </c>
      <c r="AR63" s="1319">
        <f>+'2.Tien do'!AO56</f>
        <v>0</v>
      </c>
      <c r="AS63" s="532"/>
      <c r="AT63" s="1284">
        <f>+$F63*G63</f>
        <v>0</v>
      </c>
      <c r="AU63" s="1285">
        <f t="shared" si="196"/>
        <v>0</v>
      </c>
      <c r="AV63" s="1285">
        <f t="shared" si="196"/>
        <v>0</v>
      </c>
      <c r="AW63" s="1285">
        <f t="shared" si="196"/>
        <v>0</v>
      </c>
      <c r="AX63" s="1285">
        <f t="shared" si="196"/>
        <v>0</v>
      </c>
      <c r="AY63" s="1285">
        <f t="shared" si="196"/>
        <v>0</v>
      </c>
      <c r="AZ63" s="1285">
        <f t="shared" si="196"/>
        <v>0</v>
      </c>
      <c r="BA63" s="1285">
        <f t="shared" si="196"/>
        <v>0</v>
      </c>
      <c r="BB63" s="1285">
        <f t="shared" si="196"/>
        <v>0</v>
      </c>
      <c r="BC63" s="1285">
        <f t="shared" si="196"/>
        <v>0</v>
      </c>
      <c r="BD63" s="1285">
        <f t="shared" si="196"/>
        <v>0</v>
      </c>
      <c r="BE63" s="1285">
        <f t="shared" si="196"/>
        <v>0</v>
      </c>
      <c r="BF63" s="1285">
        <f t="shared" si="196"/>
        <v>0</v>
      </c>
      <c r="BG63" s="1285">
        <f t="shared" si="196"/>
        <v>0</v>
      </c>
      <c r="BH63" s="1285">
        <f t="shared" si="196"/>
        <v>0</v>
      </c>
      <c r="BI63" s="1285">
        <f t="shared" si="196"/>
        <v>0</v>
      </c>
      <c r="BJ63" s="1285">
        <f t="shared" si="196"/>
        <v>0</v>
      </c>
      <c r="BK63" s="1285">
        <f t="shared" si="196"/>
        <v>0</v>
      </c>
      <c r="BL63" s="1285">
        <f t="shared" si="196"/>
        <v>0</v>
      </c>
      <c r="BM63" s="1285">
        <f t="shared" si="196"/>
        <v>0</v>
      </c>
      <c r="BN63" s="1285">
        <f t="shared" si="196"/>
        <v>0</v>
      </c>
      <c r="BO63" s="1285">
        <f t="shared" si="197"/>
        <v>0</v>
      </c>
      <c r="BP63" s="1285">
        <f t="shared" si="198"/>
        <v>0</v>
      </c>
      <c r="BQ63" s="1285">
        <f t="shared" si="199"/>
        <v>0</v>
      </c>
      <c r="BR63" s="1285">
        <f t="shared" si="200"/>
        <v>0</v>
      </c>
      <c r="BS63" s="1286"/>
      <c r="BT63" s="1286"/>
      <c r="BU63" s="1286"/>
      <c r="BV63" s="1286"/>
      <c r="BW63" s="1286"/>
      <c r="BX63" s="1286"/>
      <c r="BY63" s="1286"/>
      <c r="BZ63" s="1286"/>
      <c r="CA63" s="1286"/>
      <c r="CB63" s="1286"/>
      <c r="CC63" s="1286"/>
      <c r="CD63" s="1286"/>
      <c r="CE63" s="1286"/>
      <c r="CF63" s="1286"/>
      <c r="CG63" s="1286"/>
      <c r="CH63" s="529">
        <f t="shared" si="195"/>
        <v>0</v>
      </c>
    </row>
    <row r="64" spans="1:86" s="413" customFormat="1" ht="18.75" hidden="1" customHeight="1">
      <c r="A64" s="550"/>
      <c r="B64" s="1329"/>
      <c r="C64" s="1314">
        <f>+'2.Tien do'!C57</f>
        <v>0</v>
      </c>
      <c r="D64" s="1315">
        <f>+'1. thong tin quy hoach'!I40</f>
        <v>0</v>
      </c>
      <c r="E64" s="1339">
        <f>+'8.ĐO NHAY'!C17*10^6</f>
        <v>7000000</v>
      </c>
      <c r="F64" s="1340">
        <f t="shared" si="201"/>
        <v>0</v>
      </c>
      <c r="G64" s="1318"/>
      <c r="H64" s="1319">
        <f>+'2.Tien do'!E57</f>
        <v>0</v>
      </c>
      <c r="I64" s="1319">
        <f>+'2.Tien do'!F57</f>
        <v>0</v>
      </c>
      <c r="J64" s="1319">
        <f>+'2.Tien do'!G57</f>
        <v>0</v>
      </c>
      <c r="K64" s="1319">
        <f>+'2.Tien do'!H57</f>
        <v>0</v>
      </c>
      <c r="L64" s="1319">
        <f>+'2.Tien do'!I57</f>
        <v>0</v>
      </c>
      <c r="M64" s="1319">
        <f>+'2.Tien do'!J57</f>
        <v>0</v>
      </c>
      <c r="N64" s="1319">
        <f>+'2.Tien do'!K57</f>
        <v>0</v>
      </c>
      <c r="O64" s="1319">
        <f>+'2.Tien do'!L57</f>
        <v>0</v>
      </c>
      <c r="P64" s="1319">
        <f>+'2.Tien do'!M57</f>
        <v>0</v>
      </c>
      <c r="Q64" s="1319">
        <f>+'2.Tien do'!N57</f>
        <v>0</v>
      </c>
      <c r="R64" s="1319">
        <f>+'2.Tien do'!O57</f>
        <v>0</v>
      </c>
      <c r="S64" s="1319">
        <f>+'2.Tien do'!P57</f>
        <v>0</v>
      </c>
      <c r="T64" s="1319">
        <f>+'2.Tien do'!Q57</f>
        <v>0</v>
      </c>
      <c r="U64" s="1319">
        <f>+'2.Tien do'!R57</f>
        <v>0</v>
      </c>
      <c r="V64" s="1319">
        <f>+'2.Tien do'!S57</f>
        <v>0</v>
      </c>
      <c r="W64" s="1319">
        <f>+'2.Tien do'!T57</f>
        <v>0</v>
      </c>
      <c r="X64" s="1319">
        <f>+'2.Tien do'!U57</f>
        <v>0</v>
      </c>
      <c r="Y64" s="1319">
        <f>+'2.Tien do'!V57</f>
        <v>0</v>
      </c>
      <c r="Z64" s="1319">
        <f>+'2.Tien do'!W57</f>
        <v>0</v>
      </c>
      <c r="AA64" s="1319">
        <f>+'2.Tien do'!X57</f>
        <v>0</v>
      </c>
      <c r="AB64" s="1319">
        <f>+'2.Tien do'!Y57</f>
        <v>0</v>
      </c>
      <c r="AC64" s="1319">
        <f>+'2.Tien do'!Z57</f>
        <v>0</v>
      </c>
      <c r="AD64" s="1319">
        <f>+'2.Tien do'!AA57</f>
        <v>0</v>
      </c>
      <c r="AE64" s="1319">
        <f>+'2.Tien do'!AB57</f>
        <v>0</v>
      </c>
      <c r="AF64" s="1319">
        <f>+'2.Tien do'!AC57</f>
        <v>0</v>
      </c>
      <c r="AG64" s="1319">
        <f>+'2.Tien do'!AD57</f>
        <v>0</v>
      </c>
      <c r="AH64" s="1319">
        <f>+'2.Tien do'!AE57</f>
        <v>0</v>
      </c>
      <c r="AI64" s="1319">
        <f>+'2.Tien do'!AF57</f>
        <v>0</v>
      </c>
      <c r="AJ64" s="1319">
        <f>+'2.Tien do'!AG57</f>
        <v>0</v>
      </c>
      <c r="AK64" s="1319">
        <f>+'2.Tien do'!AH57</f>
        <v>0</v>
      </c>
      <c r="AL64" s="1319">
        <f>+'2.Tien do'!AI57</f>
        <v>0</v>
      </c>
      <c r="AM64" s="1319">
        <f>+'2.Tien do'!AJ57</f>
        <v>0</v>
      </c>
      <c r="AN64" s="1319">
        <f>+'2.Tien do'!AK57</f>
        <v>0</v>
      </c>
      <c r="AO64" s="1319">
        <f>+'2.Tien do'!AL57</f>
        <v>0</v>
      </c>
      <c r="AP64" s="1319">
        <f>+'2.Tien do'!AM57</f>
        <v>0</v>
      </c>
      <c r="AQ64" s="1319">
        <f>+'2.Tien do'!AN57</f>
        <v>0</v>
      </c>
      <c r="AR64" s="1319">
        <f>+'2.Tien do'!AO57</f>
        <v>0</v>
      </c>
      <c r="AS64" s="532"/>
      <c r="AT64" s="1284">
        <f>+$F64*G64</f>
        <v>0</v>
      </c>
      <c r="AU64" s="1285">
        <f t="shared" ref="AU64" si="202">+$F64*H64</f>
        <v>0</v>
      </c>
      <c r="AV64" s="1285">
        <f t="shared" ref="AV64" si="203">+$F64*I64</f>
        <v>0</v>
      </c>
      <c r="AW64" s="1285">
        <f t="shared" ref="AW64" si="204">+$F64*J64</f>
        <v>0</v>
      </c>
      <c r="AX64" s="1285">
        <f t="shared" ref="AX64" si="205">+$F64*K64</f>
        <v>0</v>
      </c>
      <c r="AY64" s="1285">
        <f t="shared" ref="AY64" si="206">+$F64*L64</f>
        <v>0</v>
      </c>
      <c r="AZ64" s="1285">
        <f t="shared" ref="AZ64" si="207">+$F64*M64</f>
        <v>0</v>
      </c>
      <c r="BA64" s="1285">
        <f t="shared" ref="BA64" si="208">+$F64*N64</f>
        <v>0</v>
      </c>
      <c r="BB64" s="1285">
        <f t="shared" ref="BB64" si="209">+$F64*O64</f>
        <v>0</v>
      </c>
      <c r="BC64" s="1285">
        <f t="shared" ref="BC64" si="210">+$F64*P64</f>
        <v>0</v>
      </c>
      <c r="BD64" s="1285">
        <f t="shared" ref="BD64" si="211">+$F64*Q64</f>
        <v>0</v>
      </c>
      <c r="BE64" s="1285">
        <f t="shared" ref="BE64" si="212">+$F64*R64</f>
        <v>0</v>
      </c>
      <c r="BF64" s="1285">
        <f t="shared" ref="BF64" si="213">+$F64*S64</f>
        <v>0</v>
      </c>
      <c r="BG64" s="1285">
        <f t="shared" ref="BG64" si="214">+$F64*T64</f>
        <v>0</v>
      </c>
      <c r="BH64" s="1285">
        <f t="shared" ref="BH64" si="215">+$F64*U64</f>
        <v>0</v>
      </c>
      <c r="BI64" s="1285">
        <f t="shared" ref="BI64" si="216">+$F64*V64</f>
        <v>0</v>
      </c>
      <c r="BJ64" s="1285">
        <f t="shared" ref="BJ64" si="217">+$F64*W64</f>
        <v>0</v>
      </c>
      <c r="BK64" s="1285">
        <f t="shared" ref="BK64" si="218">+$F64*X64</f>
        <v>0</v>
      </c>
      <c r="BL64" s="1285">
        <f t="shared" ref="BL64" si="219">+$F64*Y64</f>
        <v>0</v>
      </c>
      <c r="BM64" s="1285">
        <f t="shared" ref="BM64" si="220">+$F64*Z64</f>
        <v>0</v>
      </c>
      <c r="BN64" s="1285">
        <f t="shared" ref="BN64" si="221">+$F64*AA64</f>
        <v>0</v>
      </c>
      <c r="BO64" s="1285">
        <f t="shared" si="197"/>
        <v>0</v>
      </c>
      <c r="BP64" s="1285">
        <f t="shared" si="198"/>
        <v>0</v>
      </c>
      <c r="BQ64" s="1285">
        <f t="shared" si="199"/>
        <v>0</v>
      </c>
      <c r="BR64" s="1285">
        <f t="shared" si="200"/>
        <v>0</v>
      </c>
      <c r="BS64" s="1286"/>
      <c r="BT64" s="1286"/>
      <c r="BU64" s="1286"/>
      <c r="BV64" s="1286"/>
      <c r="BW64" s="1286"/>
      <c r="BX64" s="1286"/>
      <c r="BY64" s="1286"/>
      <c r="BZ64" s="1286"/>
      <c r="CA64" s="1286"/>
      <c r="CB64" s="1286"/>
      <c r="CC64" s="1286"/>
      <c r="CD64" s="1286"/>
      <c r="CE64" s="1286"/>
      <c r="CF64" s="1286"/>
      <c r="CG64" s="1286"/>
      <c r="CH64" s="529">
        <f t="shared" si="195"/>
        <v>0</v>
      </c>
    </row>
    <row r="65" spans="1:86" s="413" customFormat="1" ht="18.75" hidden="1" customHeight="1">
      <c r="A65" s="550"/>
      <c r="B65" s="1329"/>
      <c r="C65" s="1314">
        <f>+'2.Tien do'!C58</f>
        <v>0</v>
      </c>
      <c r="D65" s="1315">
        <f>+'1. thong tin quy hoach'!I41</f>
        <v>0</v>
      </c>
      <c r="E65" s="1339">
        <f>+'8.ĐO NHAY'!C18*10^6</f>
        <v>0</v>
      </c>
      <c r="F65" s="1340">
        <f t="shared" si="201"/>
        <v>0</v>
      </c>
      <c r="G65" s="1318"/>
      <c r="H65" s="1319">
        <f>+'2.Tien do'!E58</f>
        <v>0</v>
      </c>
      <c r="I65" s="1319">
        <f>+'2.Tien do'!F58</f>
        <v>0</v>
      </c>
      <c r="J65" s="1319">
        <f>+'2.Tien do'!G58</f>
        <v>0</v>
      </c>
      <c r="K65" s="1319">
        <f>+'2.Tien do'!H58</f>
        <v>0</v>
      </c>
      <c r="L65" s="1319">
        <f>+'2.Tien do'!I58</f>
        <v>0</v>
      </c>
      <c r="M65" s="1319">
        <f>+'2.Tien do'!J58</f>
        <v>0</v>
      </c>
      <c r="N65" s="1319">
        <f>+'2.Tien do'!K58</f>
        <v>0</v>
      </c>
      <c r="O65" s="1319">
        <f>+'2.Tien do'!L58</f>
        <v>0</v>
      </c>
      <c r="P65" s="1319">
        <f>+'2.Tien do'!M58</f>
        <v>0</v>
      </c>
      <c r="Q65" s="1319">
        <f>+'2.Tien do'!N58</f>
        <v>0</v>
      </c>
      <c r="R65" s="1319">
        <f>+'2.Tien do'!O58</f>
        <v>0</v>
      </c>
      <c r="S65" s="1319">
        <f>+'2.Tien do'!P58</f>
        <v>0</v>
      </c>
      <c r="T65" s="1319">
        <f>+'2.Tien do'!Q58</f>
        <v>0</v>
      </c>
      <c r="U65" s="1319">
        <f>+'2.Tien do'!R58</f>
        <v>0</v>
      </c>
      <c r="V65" s="1319">
        <f>+'2.Tien do'!S58</f>
        <v>0</v>
      </c>
      <c r="W65" s="1319">
        <f>+'2.Tien do'!T58</f>
        <v>0</v>
      </c>
      <c r="X65" s="1319">
        <f>+'2.Tien do'!U58</f>
        <v>0</v>
      </c>
      <c r="Y65" s="1319">
        <f>+'2.Tien do'!V58</f>
        <v>0</v>
      </c>
      <c r="Z65" s="1319">
        <f>+'2.Tien do'!W58</f>
        <v>0</v>
      </c>
      <c r="AA65" s="1319">
        <f>+'2.Tien do'!X58</f>
        <v>0</v>
      </c>
      <c r="AB65" s="1319">
        <f>+'2.Tien do'!Y58</f>
        <v>0</v>
      </c>
      <c r="AC65" s="1319">
        <f>+'2.Tien do'!Z58</f>
        <v>0</v>
      </c>
      <c r="AD65" s="1319">
        <f>+'2.Tien do'!AA58</f>
        <v>0</v>
      </c>
      <c r="AE65" s="1319">
        <f>+'2.Tien do'!AB58</f>
        <v>0</v>
      </c>
      <c r="AF65" s="1319">
        <f>+'2.Tien do'!AC58</f>
        <v>0</v>
      </c>
      <c r="AG65" s="1319">
        <f>+'2.Tien do'!AD58</f>
        <v>0</v>
      </c>
      <c r="AH65" s="1319">
        <f>+'2.Tien do'!AE58</f>
        <v>0</v>
      </c>
      <c r="AI65" s="1319">
        <f>+'2.Tien do'!AF58</f>
        <v>0</v>
      </c>
      <c r="AJ65" s="1319">
        <f>+'2.Tien do'!AG58</f>
        <v>0</v>
      </c>
      <c r="AK65" s="1319">
        <f>+'2.Tien do'!AH58</f>
        <v>0</v>
      </c>
      <c r="AL65" s="1319">
        <f>+'2.Tien do'!AI58</f>
        <v>0</v>
      </c>
      <c r="AM65" s="1319">
        <f>+'2.Tien do'!AJ58</f>
        <v>0</v>
      </c>
      <c r="AN65" s="1319">
        <f>+'2.Tien do'!AK58</f>
        <v>0</v>
      </c>
      <c r="AO65" s="1319">
        <f>+'2.Tien do'!AL58</f>
        <v>0</v>
      </c>
      <c r="AP65" s="1319">
        <f>+'2.Tien do'!AM58</f>
        <v>0</v>
      </c>
      <c r="AQ65" s="1319">
        <f>+'2.Tien do'!AN58</f>
        <v>0</v>
      </c>
      <c r="AR65" s="1319">
        <f>+'2.Tien do'!AO58</f>
        <v>0</v>
      </c>
      <c r="AS65" s="532"/>
      <c r="AT65" s="1284">
        <f t="shared" ref="AT65:AT69" si="222">+$F65*G65</f>
        <v>0</v>
      </c>
      <c r="AU65" s="1285">
        <f t="shared" ref="AU65:AU69" si="223">+$F65*H65</f>
        <v>0</v>
      </c>
      <c r="AV65" s="1285">
        <f t="shared" ref="AV65:AV69" si="224">+$F65*I65</f>
        <v>0</v>
      </c>
      <c r="AW65" s="1285">
        <f t="shared" ref="AW65:AW69" si="225">+$F65*J65</f>
        <v>0</v>
      </c>
      <c r="AX65" s="1285">
        <f t="shared" ref="AX65:AX69" si="226">+$F65*K65</f>
        <v>0</v>
      </c>
      <c r="AY65" s="1285">
        <f t="shared" ref="AY65:AY69" si="227">+$F65*L65</f>
        <v>0</v>
      </c>
      <c r="AZ65" s="1285">
        <f t="shared" ref="AZ65:AZ69" si="228">+$F65*M65</f>
        <v>0</v>
      </c>
      <c r="BA65" s="1285">
        <f t="shared" ref="BA65:BA69" si="229">+$F65*N65</f>
        <v>0</v>
      </c>
      <c r="BB65" s="1285">
        <f t="shared" ref="BB65:BB69" si="230">+$F65*O65</f>
        <v>0</v>
      </c>
      <c r="BC65" s="1285">
        <f t="shared" ref="BC65:BC69" si="231">+$F65*P65</f>
        <v>0</v>
      </c>
      <c r="BD65" s="1285">
        <f t="shared" ref="BD65:BD69" si="232">+$F65*Q65</f>
        <v>0</v>
      </c>
      <c r="BE65" s="1285">
        <f t="shared" ref="BE65:BE69" si="233">+$F65*R65</f>
        <v>0</v>
      </c>
      <c r="BF65" s="1285">
        <f t="shared" ref="BF65:BF69" si="234">+$F65*S65</f>
        <v>0</v>
      </c>
      <c r="BG65" s="1285">
        <f t="shared" ref="BG65:BG69" si="235">+$F65*T65</f>
        <v>0</v>
      </c>
      <c r="BH65" s="1285">
        <f t="shared" ref="BH65:BH69" si="236">+$F65*U65</f>
        <v>0</v>
      </c>
      <c r="BI65" s="1285">
        <f t="shared" ref="BI65:BI69" si="237">+$F65*V65</f>
        <v>0</v>
      </c>
      <c r="BJ65" s="1285">
        <f t="shared" ref="BJ65:BJ69" si="238">+$F65*W65</f>
        <v>0</v>
      </c>
      <c r="BK65" s="1285">
        <f t="shared" ref="BK65:BK69" si="239">+$F65*X65</f>
        <v>0</v>
      </c>
      <c r="BL65" s="1285">
        <f t="shared" ref="BL65:BL69" si="240">+$F65*Y65</f>
        <v>0</v>
      </c>
      <c r="BM65" s="1285">
        <f t="shared" ref="BM65:BM69" si="241">+$F65*Z65</f>
        <v>0</v>
      </c>
      <c r="BN65" s="1285">
        <f t="shared" ref="BN65:BN69" si="242">+$F65*AA65</f>
        <v>0</v>
      </c>
      <c r="BO65" s="1285">
        <f t="shared" si="197"/>
        <v>0</v>
      </c>
      <c r="BP65" s="1285">
        <f t="shared" si="198"/>
        <v>0</v>
      </c>
      <c r="BQ65" s="1285">
        <f t="shared" si="199"/>
        <v>0</v>
      </c>
      <c r="BR65" s="1285">
        <f t="shared" si="200"/>
        <v>0</v>
      </c>
      <c r="BS65" s="1286"/>
      <c r="BT65" s="1286"/>
      <c r="BU65" s="1286"/>
      <c r="BV65" s="1286"/>
      <c r="BW65" s="1286"/>
      <c r="BX65" s="1286"/>
      <c r="BY65" s="1286"/>
      <c r="BZ65" s="1286"/>
      <c r="CA65" s="1286"/>
      <c r="CB65" s="1286"/>
      <c r="CC65" s="1286"/>
      <c r="CD65" s="1286"/>
      <c r="CE65" s="1286"/>
      <c r="CF65" s="1286"/>
      <c r="CG65" s="1286"/>
      <c r="CH65" s="529">
        <f t="shared" si="195"/>
        <v>0</v>
      </c>
    </row>
    <row r="66" spans="1:86" s="413" customFormat="1" ht="18.75" hidden="1" customHeight="1">
      <c r="A66" s="550"/>
      <c r="B66" s="1313"/>
      <c r="C66" s="1321" t="s">
        <v>89</v>
      </c>
      <c r="D66" s="1315"/>
      <c r="E66" s="1439"/>
      <c r="F66" s="1443">
        <f t="shared" ref="F66:F68" si="243">SUM($F$62:$F$64)*E66</f>
        <v>0</v>
      </c>
      <c r="G66" s="1318"/>
      <c r="H66" s="1319"/>
      <c r="I66" s="1319"/>
      <c r="J66" s="1319"/>
      <c r="K66" s="1319"/>
      <c r="L66" s="1319"/>
      <c r="M66" s="1442">
        <f t="shared" ref="M66:M68" si="244">100%/5</f>
        <v>0.2</v>
      </c>
      <c r="N66" s="1442">
        <f t="shared" ref="N66:Q68" si="245">100%/5</f>
        <v>0.2</v>
      </c>
      <c r="O66" s="1442">
        <f t="shared" si="245"/>
        <v>0.2</v>
      </c>
      <c r="P66" s="1442">
        <f t="shared" si="245"/>
        <v>0.2</v>
      </c>
      <c r="Q66" s="1442">
        <f t="shared" si="245"/>
        <v>0.2</v>
      </c>
      <c r="R66" s="1319"/>
      <c r="S66" s="1319"/>
      <c r="T66" s="1319"/>
      <c r="U66" s="1319"/>
      <c r="V66" s="1319"/>
      <c r="W66" s="1319"/>
      <c r="X66" s="1319"/>
      <c r="Y66" s="1319"/>
      <c r="Z66" s="1319"/>
      <c r="AA66" s="1319"/>
      <c r="AB66" s="1319"/>
      <c r="AC66" s="1319"/>
      <c r="AD66" s="1319"/>
      <c r="AE66" s="1319"/>
      <c r="AF66" s="1319"/>
      <c r="AG66" s="1319"/>
      <c r="AH66" s="1319"/>
      <c r="AI66" s="1319"/>
      <c r="AJ66" s="1319"/>
      <c r="AK66" s="1319"/>
      <c r="AL66" s="1319"/>
      <c r="AM66" s="1319"/>
      <c r="AN66" s="1319"/>
      <c r="AO66" s="1319"/>
      <c r="AP66" s="1319"/>
      <c r="AQ66" s="1319"/>
      <c r="AR66" s="1288"/>
      <c r="AS66" s="532"/>
      <c r="AT66" s="1284">
        <f t="shared" si="222"/>
        <v>0</v>
      </c>
      <c r="AU66" s="1285">
        <f t="shared" si="223"/>
        <v>0</v>
      </c>
      <c r="AV66" s="1285">
        <f t="shared" si="224"/>
        <v>0</v>
      </c>
      <c r="AW66" s="1285">
        <f t="shared" si="225"/>
        <v>0</v>
      </c>
      <c r="AX66" s="1285">
        <f t="shared" si="226"/>
        <v>0</v>
      </c>
      <c r="AY66" s="1285">
        <f t="shared" si="227"/>
        <v>0</v>
      </c>
      <c r="AZ66" s="1285">
        <f t="shared" si="228"/>
        <v>0</v>
      </c>
      <c r="BA66" s="1285">
        <f t="shared" si="229"/>
        <v>0</v>
      </c>
      <c r="BB66" s="1285">
        <f t="shared" si="230"/>
        <v>0</v>
      </c>
      <c r="BC66" s="1285">
        <f t="shared" si="231"/>
        <v>0</v>
      </c>
      <c r="BD66" s="1285">
        <f t="shared" si="232"/>
        <v>0</v>
      </c>
      <c r="BE66" s="1285">
        <f t="shared" si="233"/>
        <v>0</v>
      </c>
      <c r="BF66" s="1285">
        <f t="shared" si="234"/>
        <v>0</v>
      </c>
      <c r="BG66" s="1285">
        <f t="shared" si="235"/>
        <v>0</v>
      </c>
      <c r="BH66" s="1285">
        <f t="shared" si="236"/>
        <v>0</v>
      </c>
      <c r="BI66" s="1285">
        <f t="shared" si="237"/>
        <v>0</v>
      </c>
      <c r="BJ66" s="1285">
        <f t="shared" si="238"/>
        <v>0</v>
      </c>
      <c r="BK66" s="1285">
        <f t="shared" si="239"/>
        <v>0</v>
      </c>
      <c r="BL66" s="1285">
        <f t="shared" si="240"/>
        <v>0</v>
      </c>
      <c r="BM66" s="1285">
        <f t="shared" si="241"/>
        <v>0</v>
      </c>
      <c r="BN66" s="1285">
        <f t="shared" si="242"/>
        <v>0</v>
      </c>
      <c r="BO66" s="1285">
        <f t="shared" si="197"/>
        <v>0</v>
      </c>
      <c r="BP66" s="1285">
        <f t="shared" si="198"/>
        <v>0</v>
      </c>
      <c r="BQ66" s="1285">
        <f t="shared" si="199"/>
        <v>0</v>
      </c>
      <c r="BR66" s="1285">
        <f t="shared" si="200"/>
        <v>0</v>
      </c>
      <c r="BS66" s="1286"/>
      <c r="BT66" s="1286"/>
      <c r="BU66" s="1286"/>
      <c r="BV66" s="1286"/>
      <c r="BW66" s="1286"/>
      <c r="BX66" s="1286"/>
      <c r="BY66" s="1286"/>
      <c r="BZ66" s="1286"/>
      <c r="CA66" s="1286"/>
      <c r="CB66" s="1286"/>
      <c r="CC66" s="1286"/>
      <c r="CD66" s="1286"/>
      <c r="CE66" s="1286"/>
      <c r="CF66" s="1286"/>
      <c r="CG66" s="1286"/>
      <c r="CH66" s="529">
        <f t="shared" si="195"/>
        <v>0</v>
      </c>
    </row>
    <row r="67" spans="1:86" s="413" customFormat="1" ht="18.75" hidden="1" customHeight="1">
      <c r="A67" s="550"/>
      <c r="B67" s="1313"/>
      <c r="C67" s="1320" t="s">
        <v>70</v>
      </c>
      <c r="D67" s="1315"/>
      <c r="E67" s="1439"/>
      <c r="F67" s="1443">
        <f t="shared" si="243"/>
        <v>0</v>
      </c>
      <c r="G67" s="1318"/>
      <c r="H67" s="1319"/>
      <c r="I67" s="1319"/>
      <c r="J67" s="1319"/>
      <c r="K67" s="1319"/>
      <c r="L67" s="1319"/>
      <c r="M67" s="1442">
        <f t="shared" si="244"/>
        <v>0.2</v>
      </c>
      <c r="N67" s="1442">
        <f t="shared" si="245"/>
        <v>0.2</v>
      </c>
      <c r="O67" s="1442">
        <f t="shared" si="245"/>
        <v>0.2</v>
      </c>
      <c r="P67" s="1442">
        <f t="shared" si="245"/>
        <v>0.2</v>
      </c>
      <c r="Q67" s="1442">
        <f t="shared" si="245"/>
        <v>0.2</v>
      </c>
      <c r="R67" s="1319"/>
      <c r="S67" s="1319"/>
      <c r="T67" s="1319"/>
      <c r="U67" s="1319"/>
      <c r="V67" s="1319"/>
      <c r="W67" s="1319"/>
      <c r="X67" s="1319"/>
      <c r="Y67" s="1319"/>
      <c r="Z67" s="1319"/>
      <c r="AA67" s="1319"/>
      <c r="AB67" s="1319"/>
      <c r="AC67" s="1319"/>
      <c r="AD67" s="1319"/>
      <c r="AE67" s="1319"/>
      <c r="AF67" s="1319"/>
      <c r="AG67" s="1319"/>
      <c r="AH67" s="1319"/>
      <c r="AI67" s="1319"/>
      <c r="AJ67" s="1319"/>
      <c r="AK67" s="1319"/>
      <c r="AL67" s="1319"/>
      <c r="AM67" s="1319"/>
      <c r="AN67" s="1319"/>
      <c r="AO67" s="1319"/>
      <c r="AP67" s="1319"/>
      <c r="AQ67" s="1319"/>
      <c r="AR67" s="1288"/>
      <c r="AS67" s="532"/>
      <c r="AT67" s="1284">
        <f t="shared" si="222"/>
        <v>0</v>
      </c>
      <c r="AU67" s="1285">
        <f t="shared" si="223"/>
        <v>0</v>
      </c>
      <c r="AV67" s="1285">
        <f t="shared" si="224"/>
        <v>0</v>
      </c>
      <c r="AW67" s="1285">
        <f t="shared" si="225"/>
        <v>0</v>
      </c>
      <c r="AX67" s="1285">
        <f t="shared" si="226"/>
        <v>0</v>
      </c>
      <c r="AY67" s="1285">
        <f t="shared" si="227"/>
        <v>0</v>
      </c>
      <c r="AZ67" s="1285">
        <f t="shared" si="228"/>
        <v>0</v>
      </c>
      <c r="BA67" s="1285">
        <f t="shared" si="229"/>
        <v>0</v>
      </c>
      <c r="BB67" s="1285">
        <f t="shared" si="230"/>
        <v>0</v>
      </c>
      <c r="BC67" s="1285">
        <f t="shared" si="231"/>
        <v>0</v>
      </c>
      <c r="BD67" s="1285">
        <f t="shared" si="232"/>
        <v>0</v>
      </c>
      <c r="BE67" s="1285">
        <f t="shared" si="233"/>
        <v>0</v>
      </c>
      <c r="BF67" s="1285">
        <f t="shared" si="234"/>
        <v>0</v>
      </c>
      <c r="BG67" s="1285">
        <f t="shared" si="235"/>
        <v>0</v>
      </c>
      <c r="BH67" s="1285">
        <f t="shared" si="236"/>
        <v>0</v>
      </c>
      <c r="BI67" s="1285">
        <f t="shared" si="237"/>
        <v>0</v>
      </c>
      <c r="BJ67" s="1285">
        <f t="shared" si="238"/>
        <v>0</v>
      </c>
      <c r="BK67" s="1285">
        <f t="shared" si="239"/>
        <v>0</v>
      </c>
      <c r="BL67" s="1285">
        <f t="shared" si="240"/>
        <v>0</v>
      </c>
      <c r="BM67" s="1285">
        <f t="shared" si="241"/>
        <v>0</v>
      </c>
      <c r="BN67" s="1285">
        <f t="shared" si="242"/>
        <v>0</v>
      </c>
      <c r="BO67" s="1285">
        <f t="shared" si="197"/>
        <v>0</v>
      </c>
      <c r="BP67" s="1285">
        <f t="shared" si="198"/>
        <v>0</v>
      </c>
      <c r="BQ67" s="1285">
        <f t="shared" si="199"/>
        <v>0</v>
      </c>
      <c r="BR67" s="1285">
        <f t="shared" si="200"/>
        <v>0</v>
      </c>
      <c r="BS67" s="1286"/>
      <c r="BT67" s="1286"/>
      <c r="BU67" s="1286"/>
      <c r="BV67" s="1286"/>
      <c r="BW67" s="1286"/>
      <c r="BX67" s="1286"/>
      <c r="BY67" s="1286"/>
      <c r="BZ67" s="1286"/>
      <c r="CA67" s="1286"/>
      <c r="CB67" s="1286"/>
      <c r="CC67" s="1286"/>
      <c r="CD67" s="1286"/>
      <c r="CE67" s="1286"/>
      <c r="CF67" s="1286"/>
      <c r="CG67" s="1286"/>
      <c r="CH67" s="529">
        <f t="shared" si="195"/>
        <v>0</v>
      </c>
    </row>
    <row r="68" spans="1:86" s="413" customFormat="1" ht="18.75" hidden="1" customHeight="1">
      <c r="A68" s="550"/>
      <c r="B68" s="1313"/>
      <c r="C68" s="1320" t="s">
        <v>454</v>
      </c>
      <c r="D68" s="1315"/>
      <c r="E68" s="1440"/>
      <c r="F68" s="1443">
        <f t="shared" si="243"/>
        <v>0</v>
      </c>
      <c r="G68" s="1318"/>
      <c r="H68" s="1319"/>
      <c r="I68" s="1319"/>
      <c r="J68" s="1319"/>
      <c r="K68" s="1319"/>
      <c r="L68" s="1319"/>
      <c r="M68" s="1442">
        <f t="shared" si="244"/>
        <v>0.2</v>
      </c>
      <c r="N68" s="1442">
        <f t="shared" si="245"/>
        <v>0.2</v>
      </c>
      <c r="O68" s="1442">
        <f t="shared" si="245"/>
        <v>0.2</v>
      </c>
      <c r="P68" s="1442">
        <f t="shared" si="245"/>
        <v>0.2</v>
      </c>
      <c r="Q68" s="1442">
        <f t="shared" si="245"/>
        <v>0.2</v>
      </c>
      <c r="R68" s="1319"/>
      <c r="S68" s="1319"/>
      <c r="T68" s="1319"/>
      <c r="U68" s="1319"/>
      <c r="V68" s="1319"/>
      <c r="W68" s="1319"/>
      <c r="X68" s="1319"/>
      <c r="Y68" s="1319"/>
      <c r="Z68" s="1319"/>
      <c r="AA68" s="1319"/>
      <c r="AB68" s="1319"/>
      <c r="AC68" s="1319"/>
      <c r="AD68" s="1319"/>
      <c r="AE68" s="1319"/>
      <c r="AF68" s="1319"/>
      <c r="AG68" s="1319"/>
      <c r="AH68" s="1319"/>
      <c r="AI68" s="1319"/>
      <c r="AJ68" s="1319"/>
      <c r="AK68" s="1319"/>
      <c r="AL68" s="1319"/>
      <c r="AM68" s="1319"/>
      <c r="AN68" s="1319"/>
      <c r="AO68" s="1319"/>
      <c r="AP68" s="1319"/>
      <c r="AQ68" s="1319"/>
      <c r="AR68" s="1288"/>
      <c r="AS68" s="532"/>
      <c r="AT68" s="1284">
        <f t="shared" si="222"/>
        <v>0</v>
      </c>
      <c r="AU68" s="1285">
        <f t="shared" si="223"/>
        <v>0</v>
      </c>
      <c r="AV68" s="1285">
        <f t="shared" si="224"/>
        <v>0</v>
      </c>
      <c r="AW68" s="1285">
        <f t="shared" si="225"/>
        <v>0</v>
      </c>
      <c r="AX68" s="1285">
        <f t="shared" si="226"/>
        <v>0</v>
      </c>
      <c r="AY68" s="1285">
        <f t="shared" si="227"/>
        <v>0</v>
      </c>
      <c r="AZ68" s="1285">
        <f t="shared" si="228"/>
        <v>0</v>
      </c>
      <c r="BA68" s="1285">
        <f t="shared" si="229"/>
        <v>0</v>
      </c>
      <c r="BB68" s="1285">
        <f t="shared" si="230"/>
        <v>0</v>
      </c>
      <c r="BC68" s="1285">
        <f t="shared" si="231"/>
        <v>0</v>
      </c>
      <c r="BD68" s="1285">
        <f t="shared" si="232"/>
        <v>0</v>
      </c>
      <c r="BE68" s="1285">
        <f t="shared" si="233"/>
        <v>0</v>
      </c>
      <c r="BF68" s="1285">
        <f t="shared" si="234"/>
        <v>0</v>
      </c>
      <c r="BG68" s="1285">
        <f t="shared" si="235"/>
        <v>0</v>
      </c>
      <c r="BH68" s="1285">
        <f t="shared" si="236"/>
        <v>0</v>
      </c>
      <c r="BI68" s="1285">
        <f t="shared" si="237"/>
        <v>0</v>
      </c>
      <c r="BJ68" s="1285">
        <f t="shared" si="238"/>
        <v>0</v>
      </c>
      <c r="BK68" s="1285">
        <f t="shared" si="239"/>
        <v>0</v>
      </c>
      <c r="BL68" s="1285">
        <f t="shared" si="240"/>
        <v>0</v>
      </c>
      <c r="BM68" s="1285">
        <f t="shared" si="241"/>
        <v>0</v>
      </c>
      <c r="BN68" s="1285">
        <f t="shared" si="242"/>
        <v>0</v>
      </c>
      <c r="BO68" s="1285">
        <f t="shared" si="197"/>
        <v>0</v>
      </c>
      <c r="BP68" s="1285">
        <f t="shared" si="198"/>
        <v>0</v>
      </c>
      <c r="BQ68" s="1285">
        <f t="shared" si="199"/>
        <v>0</v>
      </c>
      <c r="BR68" s="1285">
        <f t="shared" si="200"/>
        <v>0</v>
      </c>
      <c r="BS68" s="1286"/>
      <c r="BT68" s="1286"/>
      <c r="BU68" s="1286"/>
      <c r="BV68" s="1286"/>
      <c r="BW68" s="1286"/>
      <c r="BX68" s="1286"/>
      <c r="BY68" s="1286"/>
      <c r="BZ68" s="1286"/>
      <c r="CA68" s="1286"/>
      <c r="CB68" s="1286"/>
      <c r="CC68" s="1286"/>
      <c r="CD68" s="1286"/>
      <c r="CE68" s="1286"/>
      <c r="CF68" s="1286"/>
      <c r="CG68" s="1286"/>
      <c r="CH68" s="529">
        <f t="shared" si="195"/>
        <v>0</v>
      </c>
    </row>
    <row r="69" spans="1:86" s="413" customFormat="1" ht="18.75" customHeight="1">
      <c r="A69" s="550"/>
      <c r="B69" s="1322"/>
      <c r="C69" s="1323" t="s">
        <v>16</v>
      </c>
      <c r="D69" s="1324"/>
      <c r="E69" s="1441">
        <v>7.0000000000000007E-2</v>
      </c>
      <c r="F69" s="1443">
        <f>SUM($F$62:$F$65)*E69</f>
        <v>12728.115760500003</v>
      </c>
      <c r="G69" s="1325"/>
      <c r="H69" s="1326">
        <f>+H62</f>
        <v>0</v>
      </c>
      <c r="I69" s="1326">
        <f t="shared" ref="I69:AR69" si="246">+I62</f>
        <v>0</v>
      </c>
      <c r="J69" s="1326">
        <f t="shared" si="246"/>
        <v>0</v>
      </c>
      <c r="K69" s="1326">
        <f t="shared" si="246"/>
        <v>0</v>
      </c>
      <c r="L69" s="1326">
        <f t="shared" si="246"/>
        <v>0</v>
      </c>
      <c r="M69" s="1326">
        <f t="shared" si="246"/>
        <v>0</v>
      </c>
      <c r="N69" s="1326">
        <f t="shared" si="246"/>
        <v>0</v>
      </c>
      <c r="O69" s="1326">
        <f t="shared" si="246"/>
        <v>0</v>
      </c>
      <c r="P69" s="1326">
        <f t="shared" si="246"/>
        <v>0</v>
      </c>
      <c r="Q69" s="1326">
        <f t="shared" si="246"/>
        <v>0.25</v>
      </c>
      <c r="R69" s="1326">
        <f t="shared" si="246"/>
        <v>0.25</v>
      </c>
      <c r="S69" s="1326">
        <f t="shared" si="246"/>
        <v>0.25</v>
      </c>
      <c r="T69" s="1326">
        <f t="shared" si="246"/>
        <v>0.25</v>
      </c>
      <c r="U69" s="1326">
        <f t="shared" si="246"/>
        <v>0</v>
      </c>
      <c r="V69" s="1326">
        <f t="shared" si="246"/>
        <v>0</v>
      </c>
      <c r="W69" s="1326">
        <f t="shared" si="246"/>
        <v>0</v>
      </c>
      <c r="X69" s="1326">
        <f t="shared" si="246"/>
        <v>0</v>
      </c>
      <c r="Y69" s="1326">
        <f t="shared" si="246"/>
        <v>0</v>
      </c>
      <c r="Z69" s="1326">
        <f t="shared" si="246"/>
        <v>0</v>
      </c>
      <c r="AA69" s="1326">
        <f t="shared" si="246"/>
        <v>0</v>
      </c>
      <c r="AB69" s="1326">
        <f t="shared" si="246"/>
        <v>0</v>
      </c>
      <c r="AC69" s="1326">
        <f t="shared" si="246"/>
        <v>0</v>
      </c>
      <c r="AD69" s="1326">
        <f t="shared" si="246"/>
        <v>0</v>
      </c>
      <c r="AE69" s="1326">
        <f t="shared" si="246"/>
        <v>0</v>
      </c>
      <c r="AF69" s="1326">
        <f t="shared" si="246"/>
        <v>0</v>
      </c>
      <c r="AG69" s="1326">
        <f t="shared" si="246"/>
        <v>0</v>
      </c>
      <c r="AH69" s="1326">
        <f t="shared" si="246"/>
        <v>0</v>
      </c>
      <c r="AI69" s="1326">
        <f t="shared" si="246"/>
        <v>0</v>
      </c>
      <c r="AJ69" s="1326">
        <f t="shared" si="246"/>
        <v>0</v>
      </c>
      <c r="AK69" s="1326">
        <f t="shared" si="246"/>
        <v>0</v>
      </c>
      <c r="AL69" s="1326">
        <f t="shared" si="246"/>
        <v>0</v>
      </c>
      <c r="AM69" s="1326">
        <f t="shared" si="246"/>
        <v>0</v>
      </c>
      <c r="AN69" s="1326">
        <f t="shared" si="246"/>
        <v>0</v>
      </c>
      <c r="AO69" s="1326">
        <f t="shared" si="246"/>
        <v>0</v>
      </c>
      <c r="AP69" s="1326">
        <f t="shared" si="246"/>
        <v>0</v>
      </c>
      <c r="AQ69" s="1326">
        <f t="shared" si="246"/>
        <v>0</v>
      </c>
      <c r="AR69" s="1327">
        <f t="shared" si="246"/>
        <v>0</v>
      </c>
      <c r="AS69" s="532"/>
      <c r="AT69" s="1284">
        <f t="shared" si="222"/>
        <v>0</v>
      </c>
      <c r="AU69" s="1285">
        <f t="shared" si="223"/>
        <v>0</v>
      </c>
      <c r="AV69" s="1285">
        <f t="shared" si="224"/>
        <v>0</v>
      </c>
      <c r="AW69" s="1285">
        <f t="shared" si="225"/>
        <v>0</v>
      </c>
      <c r="AX69" s="1285">
        <f t="shared" si="226"/>
        <v>0</v>
      </c>
      <c r="AY69" s="1285">
        <f t="shared" si="227"/>
        <v>0</v>
      </c>
      <c r="AZ69" s="1285">
        <f t="shared" si="228"/>
        <v>0</v>
      </c>
      <c r="BA69" s="1285">
        <f t="shared" si="229"/>
        <v>0</v>
      </c>
      <c r="BB69" s="1285">
        <f t="shared" si="230"/>
        <v>0</v>
      </c>
      <c r="BC69" s="1285">
        <f t="shared" si="231"/>
        <v>0</v>
      </c>
      <c r="BD69" s="1285">
        <f t="shared" si="232"/>
        <v>3182.0289401250006</v>
      </c>
      <c r="BE69" s="1285">
        <f t="shared" si="233"/>
        <v>3182.0289401250006</v>
      </c>
      <c r="BF69" s="1285">
        <f t="shared" si="234"/>
        <v>3182.0289401250006</v>
      </c>
      <c r="BG69" s="1285">
        <f t="shared" si="235"/>
        <v>3182.0289401250006</v>
      </c>
      <c r="BH69" s="1285">
        <f t="shared" si="236"/>
        <v>0</v>
      </c>
      <c r="BI69" s="1285">
        <f t="shared" si="237"/>
        <v>0</v>
      </c>
      <c r="BJ69" s="1285">
        <f t="shared" si="238"/>
        <v>0</v>
      </c>
      <c r="BK69" s="1285">
        <f t="shared" si="239"/>
        <v>0</v>
      </c>
      <c r="BL69" s="1285">
        <f t="shared" si="240"/>
        <v>0</v>
      </c>
      <c r="BM69" s="1285">
        <f t="shared" si="241"/>
        <v>0</v>
      </c>
      <c r="BN69" s="1285">
        <f t="shared" si="242"/>
        <v>0</v>
      </c>
      <c r="BO69" s="1285">
        <f t="shared" si="197"/>
        <v>0</v>
      </c>
      <c r="BP69" s="1285">
        <f t="shared" si="198"/>
        <v>0</v>
      </c>
      <c r="BQ69" s="1285">
        <f t="shared" si="199"/>
        <v>0</v>
      </c>
      <c r="BR69" s="1285">
        <f t="shared" si="200"/>
        <v>0</v>
      </c>
      <c r="BS69" s="1286"/>
      <c r="BT69" s="1286"/>
      <c r="BU69" s="1286"/>
      <c r="BV69" s="1286"/>
      <c r="BW69" s="1286"/>
      <c r="BX69" s="1286"/>
      <c r="BY69" s="1286"/>
      <c r="BZ69" s="1286"/>
      <c r="CA69" s="1286"/>
      <c r="CB69" s="1286"/>
      <c r="CC69" s="1286"/>
      <c r="CD69" s="1286"/>
      <c r="CE69" s="1286"/>
      <c r="CF69" s="1286"/>
      <c r="CG69" s="1286"/>
      <c r="CH69" s="529">
        <f t="shared" si="195"/>
        <v>0</v>
      </c>
    </row>
    <row r="70" spans="1:86" s="413" customFormat="1" ht="18.75" customHeight="1">
      <c r="A70" s="550"/>
      <c r="B70" s="1335">
        <v>2.2999999999999998</v>
      </c>
      <c r="C70" s="1299" t="s">
        <v>579</v>
      </c>
      <c r="D70" s="1300"/>
      <c r="E70" s="1301"/>
      <c r="F70" s="1302"/>
      <c r="G70" s="1303"/>
      <c r="H70" s="1304"/>
      <c r="I70" s="1304"/>
      <c r="J70" s="1304"/>
      <c r="K70" s="1304"/>
      <c r="L70" s="1304"/>
      <c r="M70" s="1304"/>
      <c r="N70" s="1304"/>
      <c r="O70" s="1304"/>
      <c r="P70" s="1304"/>
      <c r="Q70" s="1304"/>
      <c r="R70" s="1304"/>
      <c r="S70" s="1304"/>
      <c r="T70" s="1304"/>
      <c r="U70" s="1304"/>
      <c r="V70" s="1304"/>
      <c r="W70" s="1304"/>
      <c r="X70" s="1304"/>
      <c r="Y70" s="1304"/>
      <c r="Z70" s="1304"/>
      <c r="AA70" s="1304"/>
      <c r="AB70" s="1304"/>
      <c r="AC70" s="1304"/>
      <c r="AD70" s="1304"/>
      <c r="AE70" s="1304"/>
      <c r="AF70" s="1304"/>
      <c r="AG70" s="1304"/>
      <c r="AH70" s="1304"/>
      <c r="AI70" s="1304"/>
      <c r="AJ70" s="1304"/>
      <c r="AK70" s="1304"/>
      <c r="AL70" s="1304"/>
      <c r="AM70" s="1304"/>
      <c r="AN70" s="1304"/>
      <c r="AO70" s="1304"/>
      <c r="AP70" s="1304"/>
      <c r="AQ70" s="1304"/>
      <c r="AR70" s="1305"/>
      <c r="AS70" s="532"/>
      <c r="AT70" s="1284"/>
      <c r="AU70" s="1285"/>
      <c r="AV70" s="1285"/>
      <c r="AW70" s="1285"/>
      <c r="AX70" s="1285"/>
      <c r="AY70" s="1285"/>
      <c r="AZ70" s="1285"/>
      <c r="BA70" s="1285"/>
      <c r="BB70" s="1285"/>
      <c r="BC70" s="1285"/>
      <c r="BD70" s="1285"/>
      <c r="BE70" s="1285"/>
      <c r="BF70" s="1285"/>
      <c r="BG70" s="1285"/>
      <c r="BH70" s="1285"/>
      <c r="BI70" s="1285"/>
      <c r="BJ70" s="1285"/>
      <c r="BK70" s="1285"/>
      <c r="BL70" s="1285"/>
      <c r="BM70" s="1285"/>
      <c r="BN70" s="1285"/>
      <c r="BO70" s="1285"/>
      <c r="BP70" s="1285"/>
      <c r="BQ70" s="1285"/>
      <c r="BR70" s="1285"/>
      <c r="BS70" s="1286"/>
      <c r="BT70" s="1286"/>
      <c r="BU70" s="1286"/>
      <c r="BV70" s="1286"/>
      <c r="BW70" s="1286"/>
      <c r="BX70" s="1286"/>
      <c r="BY70" s="1286"/>
      <c r="BZ70" s="1286"/>
      <c r="CA70" s="1286"/>
      <c r="CB70" s="1286"/>
      <c r="CC70" s="1286"/>
      <c r="CD70" s="1286"/>
      <c r="CE70" s="1286"/>
      <c r="CF70" s="1286"/>
      <c r="CG70" s="1286"/>
      <c r="CH70" s="529"/>
    </row>
    <row r="71" spans="1:86" s="413" customFormat="1" ht="18.75" hidden="1" customHeight="1">
      <c r="A71" s="550"/>
      <c r="B71" s="1328"/>
      <c r="C71" s="1306">
        <f>+'2.Tien do'!C75</f>
        <v>0</v>
      </c>
      <c r="D71" s="1307">
        <f>+'1. thong tin quy hoach'!I44</f>
        <v>0</v>
      </c>
      <c r="E71" s="1308"/>
      <c r="F71" s="1309"/>
      <c r="G71" s="1310"/>
      <c r="H71" s="1311"/>
      <c r="I71" s="1311"/>
      <c r="J71" s="1311"/>
      <c r="K71" s="1311"/>
      <c r="L71" s="1311"/>
      <c r="M71" s="1311"/>
      <c r="N71" s="1311"/>
      <c r="O71" s="1311"/>
      <c r="P71" s="1311"/>
      <c r="Q71" s="1311"/>
      <c r="R71" s="1311"/>
      <c r="S71" s="1311"/>
      <c r="T71" s="1311"/>
      <c r="U71" s="1311"/>
      <c r="V71" s="1311"/>
      <c r="W71" s="1311"/>
      <c r="X71" s="1311"/>
      <c r="Y71" s="1311"/>
      <c r="Z71" s="1311"/>
      <c r="AA71" s="1311"/>
      <c r="AB71" s="1311"/>
      <c r="AC71" s="1311"/>
      <c r="AD71" s="1311"/>
      <c r="AE71" s="1311"/>
      <c r="AF71" s="1311"/>
      <c r="AG71" s="1311"/>
      <c r="AH71" s="1311"/>
      <c r="AI71" s="1311"/>
      <c r="AJ71" s="1311"/>
      <c r="AK71" s="1311"/>
      <c r="AL71" s="1311"/>
      <c r="AM71" s="1311"/>
      <c r="AN71" s="1311"/>
      <c r="AO71" s="1311"/>
      <c r="AP71" s="1311"/>
      <c r="AQ71" s="1311"/>
      <c r="AR71" s="1312"/>
      <c r="AS71" s="532"/>
      <c r="AT71" s="1284"/>
      <c r="AU71" s="1285"/>
      <c r="AV71" s="1285"/>
      <c r="AW71" s="1285"/>
      <c r="AX71" s="1285"/>
      <c r="AY71" s="1285"/>
      <c r="AZ71" s="1285"/>
      <c r="BA71" s="1285"/>
      <c r="BB71" s="1285"/>
      <c r="BC71" s="1285"/>
      <c r="BD71" s="1285"/>
      <c r="BE71" s="1285"/>
      <c r="BF71" s="1285"/>
      <c r="BG71" s="1285"/>
      <c r="BH71" s="1285"/>
      <c r="BI71" s="1285"/>
      <c r="BJ71" s="1285"/>
      <c r="BK71" s="1285"/>
      <c r="BL71" s="1285"/>
      <c r="BM71" s="1285"/>
      <c r="BN71" s="1285"/>
      <c r="BO71" s="1285"/>
      <c r="BP71" s="1285"/>
      <c r="BQ71" s="1285"/>
      <c r="BR71" s="1285"/>
      <c r="BS71" s="1286"/>
      <c r="BT71" s="1286"/>
      <c r="BU71" s="1286"/>
      <c r="BV71" s="1286"/>
      <c r="BW71" s="1286"/>
      <c r="BX71" s="1286"/>
      <c r="BY71" s="1286"/>
      <c r="BZ71" s="1286"/>
      <c r="CA71" s="1286"/>
      <c r="CB71" s="1286"/>
      <c r="CC71" s="1286"/>
      <c r="CD71" s="1286"/>
      <c r="CE71" s="1286"/>
      <c r="CF71" s="1286"/>
      <c r="CG71" s="1286"/>
      <c r="CH71" s="529"/>
    </row>
    <row r="72" spans="1:86" s="413" customFormat="1" ht="18.75" hidden="1" customHeight="1">
      <c r="A72" s="550"/>
      <c r="B72" s="1329"/>
      <c r="C72" s="1314">
        <f>+'2.Tien do'!C76</f>
        <v>0</v>
      </c>
      <c r="D72" s="1315">
        <f>+'1. thong tin quy hoach'!I45</f>
        <v>0</v>
      </c>
      <c r="E72" s="1316"/>
      <c r="F72" s="1317"/>
      <c r="G72" s="1318"/>
      <c r="H72" s="1319"/>
      <c r="I72" s="1319"/>
      <c r="J72" s="1319"/>
      <c r="K72" s="1319"/>
      <c r="L72" s="1319"/>
      <c r="M72" s="1319"/>
      <c r="N72" s="1319"/>
      <c r="O72" s="1319"/>
      <c r="P72" s="1319"/>
      <c r="Q72" s="1319"/>
      <c r="R72" s="1319"/>
      <c r="S72" s="1319"/>
      <c r="T72" s="1319"/>
      <c r="U72" s="1319"/>
      <c r="V72" s="1319"/>
      <c r="W72" s="1319"/>
      <c r="X72" s="1319"/>
      <c r="Y72" s="1319"/>
      <c r="Z72" s="1319"/>
      <c r="AA72" s="1319"/>
      <c r="AB72" s="1319"/>
      <c r="AC72" s="1319"/>
      <c r="AD72" s="1319"/>
      <c r="AE72" s="1319"/>
      <c r="AF72" s="1319"/>
      <c r="AG72" s="1319"/>
      <c r="AH72" s="1319"/>
      <c r="AI72" s="1319"/>
      <c r="AJ72" s="1319"/>
      <c r="AK72" s="1319"/>
      <c r="AL72" s="1319"/>
      <c r="AM72" s="1319"/>
      <c r="AN72" s="1319"/>
      <c r="AO72" s="1319"/>
      <c r="AP72" s="1319"/>
      <c r="AQ72" s="1319"/>
      <c r="AR72" s="1288"/>
      <c r="AS72" s="532"/>
      <c r="AT72" s="1284"/>
      <c r="AU72" s="1285"/>
      <c r="AV72" s="1285"/>
      <c r="AW72" s="1285"/>
      <c r="AX72" s="1285"/>
      <c r="AY72" s="1285"/>
      <c r="AZ72" s="1285"/>
      <c r="BA72" s="1285"/>
      <c r="BB72" s="1285"/>
      <c r="BC72" s="1285"/>
      <c r="BD72" s="1285"/>
      <c r="BE72" s="1285"/>
      <c r="BF72" s="1285"/>
      <c r="BG72" s="1285"/>
      <c r="BH72" s="1285"/>
      <c r="BI72" s="1285"/>
      <c r="BJ72" s="1285"/>
      <c r="BK72" s="1285"/>
      <c r="BL72" s="1285"/>
      <c r="BM72" s="1285"/>
      <c r="BN72" s="1285"/>
      <c r="BO72" s="1285"/>
      <c r="BP72" s="1285"/>
      <c r="BQ72" s="1285"/>
      <c r="BR72" s="1285"/>
      <c r="BS72" s="1286"/>
      <c r="BT72" s="1286"/>
      <c r="BU72" s="1286"/>
      <c r="BV72" s="1286"/>
      <c r="BW72" s="1286"/>
      <c r="BX72" s="1286"/>
      <c r="BY72" s="1286"/>
      <c r="BZ72" s="1286"/>
      <c r="CA72" s="1286"/>
      <c r="CB72" s="1286"/>
      <c r="CC72" s="1286"/>
      <c r="CD72" s="1286"/>
      <c r="CE72" s="1286"/>
      <c r="CF72" s="1286"/>
      <c r="CG72" s="1286"/>
      <c r="CH72" s="529"/>
    </row>
    <row r="73" spans="1:86" s="413" customFormat="1" ht="18.75" hidden="1" customHeight="1">
      <c r="A73" s="550"/>
      <c r="B73" s="1329"/>
      <c r="C73" s="1314">
        <f>+'2.Tien do'!C77</f>
        <v>0</v>
      </c>
      <c r="D73" s="1315">
        <f>+'1. thong tin quy hoach'!I46</f>
        <v>0</v>
      </c>
      <c r="E73" s="1316"/>
      <c r="F73" s="1317"/>
      <c r="G73" s="1318"/>
      <c r="H73" s="1319"/>
      <c r="I73" s="1319"/>
      <c r="J73" s="1319"/>
      <c r="K73" s="1319"/>
      <c r="L73" s="1319"/>
      <c r="M73" s="1319"/>
      <c r="N73" s="1319"/>
      <c r="O73" s="1319"/>
      <c r="P73" s="1319"/>
      <c r="Q73" s="1319"/>
      <c r="R73" s="1319"/>
      <c r="S73" s="1319"/>
      <c r="T73" s="1319"/>
      <c r="U73" s="1319"/>
      <c r="V73" s="1319"/>
      <c r="W73" s="1319"/>
      <c r="X73" s="1319"/>
      <c r="Y73" s="1319"/>
      <c r="Z73" s="1319"/>
      <c r="AA73" s="1319"/>
      <c r="AB73" s="1319"/>
      <c r="AC73" s="1319"/>
      <c r="AD73" s="1319"/>
      <c r="AE73" s="1319"/>
      <c r="AF73" s="1319"/>
      <c r="AG73" s="1319"/>
      <c r="AH73" s="1319"/>
      <c r="AI73" s="1319"/>
      <c r="AJ73" s="1319"/>
      <c r="AK73" s="1319"/>
      <c r="AL73" s="1319"/>
      <c r="AM73" s="1319"/>
      <c r="AN73" s="1319"/>
      <c r="AO73" s="1319"/>
      <c r="AP73" s="1319"/>
      <c r="AQ73" s="1319"/>
      <c r="AR73" s="1288"/>
      <c r="AS73" s="532"/>
      <c r="AT73" s="1284"/>
      <c r="AU73" s="1285"/>
      <c r="AV73" s="1285"/>
      <c r="AW73" s="1285"/>
      <c r="AX73" s="1285"/>
      <c r="AY73" s="1285"/>
      <c r="AZ73" s="1285"/>
      <c r="BA73" s="1285"/>
      <c r="BB73" s="1285"/>
      <c r="BC73" s="1285"/>
      <c r="BD73" s="1285"/>
      <c r="BE73" s="1285"/>
      <c r="BF73" s="1285"/>
      <c r="BG73" s="1285"/>
      <c r="BH73" s="1285"/>
      <c r="BI73" s="1285"/>
      <c r="BJ73" s="1285"/>
      <c r="BK73" s="1285"/>
      <c r="BL73" s="1285"/>
      <c r="BM73" s="1285"/>
      <c r="BN73" s="1285"/>
      <c r="BO73" s="1285"/>
      <c r="BP73" s="1285"/>
      <c r="BQ73" s="1285"/>
      <c r="BR73" s="1285"/>
      <c r="BS73" s="1286"/>
      <c r="BT73" s="1286"/>
      <c r="BU73" s="1286"/>
      <c r="BV73" s="1286"/>
      <c r="BW73" s="1286"/>
      <c r="BX73" s="1286"/>
      <c r="BY73" s="1286"/>
      <c r="BZ73" s="1286"/>
      <c r="CA73" s="1286"/>
      <c r="CB73" s="1286"/>
      <c r="CC73" s="1286"/>
      <c r="CD73" s="1286"/>
      <c r="CE73" s="1286"/>
      <c r="CF73" s="1286"/>
      <c r="CG73" s="1286"/>
      <c r="CH73" s="529"/>
    </row>
    <row r="74" spans="1:86" s="413" customFormat="1" ht="18.75" hidden="1" customHeight="1">
      <c r="A74" s="550"/>
      <c r="B74" s="1329"/>
      <c r="C74" s="1314" t="s">
        <v>580</v>
      </c>
      <c r="D74" s="1315"/>
      <c r="E74" s="1316"/>
      <c r="F74" s="1317"/>
      <c r="G74" s="1318"/>
      <c r="H74" s="1319"/>
      <c r="I74" s="1319"/>
      <c r="J74" s="1319"/>
      <c r="K74" s="1319"/>
      <c r="L74" s="1319"/>
      <c r="M74" s="1319"/>
      <c r="N74" s="1319"/>
      <c r="O74" s="1319"/>
      <c r="P74" s="1319"/>
      <c r="Q74" s="1319"/>
      <c r="R74" s="1319"/>
      <c r="S74" s="1319"/>
      <c r="T74" s="1319"/>
      <c r="U74" s="1319"/>
      <c r="V74" s="1319"/>
      <c r="W74" s="1319"/>
      <c r="X74" s="1319"/>
      <c r="Y74" s="1319"/>
      <c r="Z74" s="1319"/>
      <c r="AA74" s="1319"/>
      <c r="AB74" s="1319"/>
      <c r="AC74" s="1319"/>
      <c r="AD74" s="1319"/>
      <c r="AE74" s="1319"/>
      <c r="AF74" s="1319"/>
      <c r="AG74" s="1319"/>
      <c r="AH74" s="1319"/>
      <c r="AI74" s="1319"/>
      <c r="AJ74" s="1319"/>
      <c r="AK74" s="1319"/>
      <c r="AL74" s="1319"/>
      <c r="AM74" s="1319"/>
      <c r="AN74" s="1319"/>
      <c r="AO74" s="1319"/>
      <c r="AP74" s="1319"/>
      <c r="AQ74" s="1319"/>
      <c r="AR74" s="1288"/>
      <c r="AS74" s="532"/>
      <c r="AT74" s="1284"/>
      <c r="AU74" s="1285"/>
      <c r="AV74" s="1285"/>
      <c r="AW74" s="1285"/>
      <c r="AX74" s="1285"/>
      <c r="AY74" s="1285"/>
      <c r="AZ74" s="1285"/>
      <c r="BA74" s="1285"/>
      <c r="BB74" s="1285"/>
      <c r="BC74" s="1285"/>
      <c r="BD74" s="1285"/>
      <c r="BE74" s="1285"/>
      <c r="BF74" s="1285"/>
      <c r="BG74" s="1285"/>
      <c r="BH74" s="1285"/>
      <c r="BI74" s="1285"/>
      <c r="BJ74" s="1285"/>
      <c r="BK74" s="1285"/>
      <c r="BL74" s="1285"/>
      <c r="BM74" s="1285"/>
      <c r="BN74" s="1285"/>
      <c r="BO74" s="1285"/>
      <c r="BP74" s="1285"/>
      <c r="BQ74" s="1285"/>
      <c r="BR74" s="1285"/>
      <c r="BS74" s="1286"/>
      <c r="BT74" s="1286"/>
      <c r="BU74" s="1286"/>
      <c r="BV74" s="1286"/>
      <c r="BW74" s="1286"/>
      <c r="BX74" s="1286"/>
      <c r="BY74" s="1286"/>
      <c r="BZ74" s="1286"/>
      <c r="CA74" s="1286"/>
      <c r="CB74" s="1286"/>
      <c r="CC74" s="1286"/>
      <c r="CD74" s="1286"/>
      <c r="CE74" s="1286"/>
      <c r="CF74" s="1286"/>
      <c r="CG74" s="1286"/>
      <c r="CH74" s="529"/>
    </row>
    <row r="75" spans="1:86" s="413" customFormat="1" ht="18.75" customHeight="1">
      <c r="A75" s="550"/>
      <c r="B75" s="1332"/>
      <c r="C75" s="1334" t="s">
        <v>16</v>
      </c>
      <c r="D75" s="1279"/>
      <c r="E75" s="1280"/>
      <c r="F75" s="1281"/>
      <c r="G75" s="1282"/>
      <c r="H75" s="1283"/>
      <c r="I75" s="1283"/>
      <c r="J75" s="1283"/>
      <c r="K75" s="1283"/>
      <c r="L75" s="1283"/>
      <c r="M75" s="1283"/>
      <c r="N75" s="1283"/>
      <c r="O75" s="1283"/>
      <c r="P75" s="1283"/>
      <c r="Q75" s="1283"/>
      <c r="R75" s="1283"/>
      <c r="S75" s="1283"/>
      <c r="T75" s="1283"/>
      <c r="U75" s="1283"/>
      <c r="V75" s="1283"/>
      <c r="W75" s="1283"/>
      <c r="X75" s="1283"/>
      <c r="Y75" s="1283"/>
      <c r="Z75" s="1283"/>
      <c r="AA75" s="1283"/>
      <c r="AB75" s="1283"/>
      <c r="AC75" s="1283"/>
      <c r="AD75" s="1283"/>
      <c r="AE75" s="1283"/>
      <c r="AF75" s="1283"/>
      <c r="AG75" s="1283"/>
      <c r="AH75" s="1283"/>
      <c r="AI75" s="1283"/>
      <c r="AJ75" s="1283"/>
      <c r="AK75" s="1283"/>
      <c r="AL75" s="1283"/>
      <c r="AM75" s="1283"/>
      <c r="AN75" s="1283"/>
      <c r="AO75" s="1283"/>
      <c r="AP75" s="1283"/>
      <c r="AQ75" s="1283"/>
      <c r="AR75" s="1289"/>
      <c r="AS75" s="532"/>
      <c r="AT75" s="1284"/>
      <c r="AU75" s="1285"/>
      <c r="AV75" s="1285"/>
      <c r="AW75" s="1285"/>
      <c r="AX75" s="1285"/>
      <c r="AY75" s="1285"/>
      <c r="AZ75" s="1285"/>
      <c r="BA75" s="1285"/>
      <c r="BB75" s="1285"/>
      <c r="BC75" s="1285"/>
      <c r="BD75" s="1285"/>
      <c r="BE75" s="1285"/>
      <c r="BF75" s="1285"/>
      <c r="BG75" s="1285"/>
      <c r="BH75" s="1285"/>
      <c r="BI75" s="1285"/>
      <c r="BJ75" s="1285"/>
      <c r="BK75" s="1285"/>
      <c r="BL75" s="1285"/>
      <c r="BM75" s="1285"/>
      <c r="BN75" s="1285"/>
      <c r="BO75" s="1285"/>
      <c r="BP75" s="1285"/>
      <c r="BQ75" s="1285"/>
      <c r="BR75" s="1285"/>
      <c r="BS75" s="1286"/>
      <c r="BT75" s="1286"/>
      <c r="BU75" s="1286"/>
      <c r="BV75" s="1286"/>
      <c r="BW75" s="1286"/>
      <c r="BX75" s="1286"/>
      <c r="BY75" s="1286"/>
      <c r="BZ75" s="1286"/>
      <c r="CA75" s="1286"/>
      <c r="CB75" s="1286"/>
      <c r="CC75" s="1286"/>
      <c r="CD75" s="1286"/>
      <c r="CE75" s="1286"/>
      <c r="CF75" s="1286"/>
      <c r="CG75" s="1286"/>
      <c r="CH75" s="529"/>
    </row>
    <row r="76" spans="1:86" s="413" customFormat="1" ht="18.75" customHeight="1">
      <c r="A76" s="550"/>
      <c r="B76" s="1333"/>
      <c r="C76" s="1278"/>
      <c r="D76" s="1279"/>
      <c r="E76" s="1280"/>
      <c r="F76" s="1281"/>
      <c r="G76" s="1282"/>
      <c r="H76" s="1283"/>
      <c r="I76" s="1283"/>
      <c r="J76" s="1283"/>
      <c r="K76" s="1283"/>
      <c r="L76" s="1283"/>
      <c r="M76" s="1283"/>
      <c r="N76" s="1283"/>
      <c r="O76" s="1283"/>
      <c r="P76" s="1283"/>
      <c r="Q76" s="1283"/>
      <c r="R76" s="1283"/>
      <c r="S76" s="1283"/>
      <c r="T76" s="1283"/>
      <c r="U76" s="1283"/>
      <c r="V76" s="1283"/>
      <c r="W76" s="1283"/>
      <c r="X76" s="1283"/>
      <c r="Y76" s="1283"/>
      <c r="Z76" s="1283"/>
      <c r="AA76" s="1283"/>
      <c r="AB76" s="1283"/>
      <c r="AC76" s="1283"/>
      <c r="AD76" s="1283"/>
      <c r="AE76" s="1283"/>
      <c r="AF76" s="1283"/>
      <c r="AG76" s="1283"/>
      <c r="AH76" s="1283"/>
      <c r="AI76" s="1283"/>
      <c r="AJ76" s="1283"/>
      <c r="AK76" s="1283"/>
      <c r="AL76" s="1283"/>
      <c r="AM76" s="1283"/>
      <c r="AN76" s="1283"/>
      <c r="AO76" s="1283"/>
      <c r="AP76" s="1283"/>
      <c r="AQ76" s="1283"/>
      <c r="AR76" s="1289"/>
      <c r="AS76" s="532"/>
      <c r="AT76" s="1284"/>
      <c r="AU76" s="1285"/>
      <c r="AV76" s="1285"/>
      <c r="AW76" s="1285"/>
      <c r="AX76" s="1285"/>
      <c r="AY76" s="1285"/>
      <c r="AZ76" s="1285"/>
      <c r="BA76" s="1285"/>
      <c r="BB76" s="1285"/>
      <c r="BC76" s="1285"/>
      <c r="BD76" s="1285"/>
      <c r="BE76" s="1285"/>
      <c r="BF76" s="1285"/>
      <c r="BG76" s="1285"/>
      <c r="BH76" s="1285"/>
      <c r="BI76" s="1285"/>
      <c r="BJ76" s="1285"/>
      <c r="BK76" s="1285"/>
      <c r="BL76" s="1285"/>
      <c r="BM76" s="1285"/>
      <c r="BN76" s="1285"/>
      <c r="BO76" s="1285"/>
      <c r="BP76" s="1285"/>
      <c r="BQ76" s="1285"/>
      <c r="BR76" s="1285"/>
      <c r="BS76" s="1286"/>
      <c r="BT76" s="1286"/>
      <c r="BU76" s="1286"/>
      <c r="BV76" s="1286"/>
      <c r="BW76" s="1286"/>
      <c r="BX76" s="1286"/>
      <c r="BY76" s="1286"/>
      <c r="BZ76" s="1286"/>
      <c r="CA76" s="1286"/>
      <c r="CB76" s="1286"/>
      <c r="CC76" s="1286"/>
      <c r="CD76" s="1286"/>
      <c r="CE76" s="1286"/>
      <c r="CF76" s="1286"/>
      <c r="CG76" s="1286"/>
      <c r="CH76" s="529"/>
    </row>
    <row r="77" spans="1:86" ht="21" customHeight="1">
      <c r="B77" s="2336" t="s">
        <v>503</v>
      </c>
      <c r="C77" s="2337"/>
      <c r="D77" s="649"/>
      <c r="E77" s="649"/>
      <c r="F77" s="649">
        <f>SUM(F10,F16)</f>
        <v>3496025.1408408126</v>
      </c>
      <c r="G77" s="650"/>
      <c r="H77" s="650"/>
      <c r="I77" s="650"/>
      <c r="J77" s="650"/>
      <c r="K77" s="650"/>
      <c r="L77" s="650"/>
      <c r="M77" s="650"/>
      <c r="N77" s="650"/>
      <c r="O77" s="650"/>
      <c r="P77" s="650"/>
      <c r="Q77" s="650"/>
      <c r="R77" s="650"/>
      <c r="S77" s="650"/>
      <c r="T77" s="650"/>
      <c r="U77" s="650"/>
      <c r="V77" s="650"/>
      <c r="W77" s="650"/>
      <c r="X77" s="650"/>
      <c r="Y77" s="650"/>
      <c r="Z77" s="650"/>
      <c r="AA77" s="650"/>
      <c r="AB77" s="561"/>
      <c r="AC77" s="561"/>
      <c r="AD77" s="561"/>
      <c r="AE77" s="561"/>
      <c r="AF77" s="561"/>
      <c r="AG77" s="561"/>
      <c r="AH77" s="561"/>
      <c r="AI77" s="561"/>
      <c r="AJ77" s="561"/>
      <c r="AK77" s="561"/>
      <c r="AL77" s="561"/>
      <c r="AM77" s="561"/>
      <c r="AN77" s="561"/>
      <c r="AO77" s="561"/>
      <c r="AP77" s="561"/>
      <c r="AQ77" s="561"/>
      <c r="AR77" s="562"/>
      <c r="AS77" s="563"/>
      <c r="AT77" s="651">
        <f>SUM(AT10,AT16)</f>
        <v>0</v>
      </c>
      <c r="AU77" s="652">
        <f>SUM(AU10,AU16)</f>
        <v>0</v>
      </c>
      <c r="AV77" s="652">
        <f t="shared" ref="AV77:CE77" si="247">SUM(AV10,AV16)</f>
        <v>156000</v>
      </c>
      <c r="AW77" s="652">
        <f t="shared" si="247"/>
        <v>364000</v>
      </c>
      <c r="AX77" s="652">
        <f t="shared" si="247"/>
        <v>4263.4452937083088</v>
      </c>
      <c r="AY77" s="652">
        <f t="shared" si="247"/>
        <v>4263.4452937083088</v>
      </c>
      <c r="AZ77" s="652">
        <f t="shared" si="247"/>
        <v>489001.38513583987</v>
      </c>
      <c r="BA77" s="652">
        <f t="shared" si="247"/>
        <v>9956.0977960857344</v>
      </c>
      <c r="BB77" s="652">
        <f t="shared" si="247"/>
        <v>49227.630170544988</v>
      </c>
      <c r="BC77" s="652">
        <f t="shared" si="247"/>
        <v>268023.99186574854</v>
      </c>
      <c r="BD77" s="652">
        <f t="shared" si="247"/>
        <v>260860.16891433243</v>
      </c>
      <c r="BE77" s="652">
        <f t="shared" si="247"/>
        <v>160213.02798439414</v>
      </c>
      <c r="BF77" s="652">
        <f t="shared" si="247"/>
        <v>160213.02798439414</v>
      </c>
      <c r="BG77" s="652">
        <f t="shared" si="247"/>
        <v>193441.73937379656</v>
      </c>
      <c r="BH77" s="652">
        <f t="shared" si="247"/>
        <v>357587.64360901335</v>
      </c>
      <c r="BI77" s="652">
        <f t="shared" si="247"/>
        <v>386552.90970470745</v>
      </c>
      <c r="BJ77" s="652">
        <f t="shared" si="247"/>
        <v>328121.7987781305</v>
      </c>
      <c r="BK77" s="652">
        <f t="shared" si="247"/>
        <v>287245.04776157544</v>
      </c>
      <c r="BL77" s="652">
        <f t="shared" si="247"/>
        <v>0</v>
      </c>
      <c r="BM77" s="652">
        <f t="shared" si="247"/>
        <v>0</v>
      </c>
      <c r="BN77" s="652">
        <f t="shared" si="247"/>
        <v>17053.781174833235</v>
      </c>
      <c r="BO77" s="652">
        <f t="shared" ref="BO77:BR77" si="248">SUM(BO10,BO16)</f>
        <v>0</v>
      </c>
      <c r="BP77" s="652">
        <f t="shared" si="248"/>
        <v>0</v>
      </c>
      <c r="BQ77" s="652">
        <f t="shared" si="248"/>
        <v>0</v>
      </c>
      <c r="BR77" s="652">
        <f t="shared" si="248"/>
        <v>0</v>
      </c>
      <c r="BS77" s="564">
        <f t="shared" si="247"/>
        <v>0</v>
      </c>
      <c r="BT77" s="564">
        <f t="shared" si="247"/>
        <v>0</v>
      </c>
      <c r="BU77" s="564">
        <f t="shared" si="247"/>
        <v>0</v>
      </c>
      <c r="BV77" s="564">
        <f t="shared" si="247"/>
        <v>0</v>
      </c>
      <c r="BW77" s="564">
        <f t="shared" si="247"/>
        <v>0</v>
      </c>
      <c r="BX77" s="564">
        <f t="shared" si="247"/>
        <v>0</v>
      </c>
      <c r="BY77" s="564">
        <f t="shared" si="247"/>
        <v>0</v>
      </c>
      <c r="BZ77" s="564">
        <f t="shared" si="247"/>
        <v>0</v>
      </c>
      <c r="CA77" s="564">
        <f t="shared" si="247"/>
        <v>0</v>
      </c>
      <c r="CB77" s="564">
        <f t="shared" si="247"/>
        <v>0</v>
      </c>
      <c r="CC77" s="564">
        <f t="shared" si="247"/>
        <v>0</v>
      </c>
      <c r="CD77" s="564">
        <f t="shared" si="247"/>
        <v>0</v>
      </c>
      <c r="CE77" s="564">
        <f t="shared" si="247"/>
        <v>0</v>
      </c>
      <c r="CF77" s="564"/>
      <c r="CG77" s="564"/>
      <c r="CH77" s="529">
        <f>F77-SUM(AT77:CG77)</f>
        <v>0</v>
      </c>
    </row>
    <row r="78" spans="1:86" s="520" customFormat="1" ht="18.75" customHeight="1" thickBot="1">
      <c r="A78" s="545"/>
      <c r="B78" s="566" t="s">
        <v>136</v>
      </c>
      <c r="C78" s="567"/>
      <c r="D78" s="568"/>
      <c r="E78" s="569"/>
      <c r="F78" s="570">
        <f>SUM(AT78:BQ78)</f>
        <v>108747.2930397637</v>
      </c>
      <c r="G78" s="570"/>
      <c r="H78" s="570"/>
      <c r="I78" s="570"/>
      <c r="J78" s="570"/>
      <c r="K78" s="570"/>
      <c r="L78" s="570"/>
      <c r="M78" s="570"/>
      <c r="N78" s="570"/>
      <c r="O78" s="570"/>
      <c r="P78" s="570"/>
      <c r="Q78" s="570"/>
      <c r="R78" s="570"/>
      <c r="S78" s="570"/>
      <c r="T78" s="570"/>
      <c r="U78" s="570"/>
      <c r="V78" s="570"/>
      <c r="W78" s="570"/>
      <c r="X78" s="570"/>
      <c r="Y78" s="570"/>
      <c r="Z78" s="570"/>
      <c r="AA78" s="570"/>
      <c r="AB78" s="571"/>
      <c r="AC78" s="571"/>
      <c r="AD78" s="571"/>
      <c r="AE78" s="571"/>
      <c r="AF78" s="571"/>
      <c r="AG78" s="571"/>
      <c r="AH78" s="571"/>
      <c r="AI78" s="571"/>
      <c r="AJ78" s="571"/>
      <c r="AK78" s="571"/>
      <c r="AL78" s="571"/>
      <c r="AM78" s="571"/>
      <c r="AN78" s="571"/>
      <c r="AO78" s="571"/>
      <c r="AP78" s="571"/>
      <c r="AQ78" s="571"/>
      <c r="AR78" s="572"/>
      <c r="AS78" s="526"/>
      <c r="AT78" s="573"/>
      <c r="AU78" s="574">
        <f>'6.Vay von'!F49</f>
        <v>0</v>
      </c>
      <c r="AV78" s="574">
        <f>'6.Vay von'!G49</f>
        <v>0</v>
      </c>
      <c r="AW78" s="574">
        <f>'6.Vay von'!H49</f>
        <v>0</v>
      </c>
      <c r="AX78" s="574">
        <f>'6.Vay von'!I49</f>
        <v>0</v>
      </c>
      <c r="AY78" s="574">
        <f>'6.Vay von'!J49</f>
        <v>0</v>
      </c>
      <c r="AZ78" s="574">
        <f>'6.Vay von'!K49</f>
        <v>0</v>
      </c>
      <c r="BA78" s="574">
        <f>'6.Vay von'!L49</f>
        <v>10179.496736684761</v>
      </c>
      <c r="BB78" s="574">
        <f>'6.Vay von'!M49</f>
        <v>10209.510088066814</v>
      </c>
      <c r="BC78" s="574">
        <f>'6.Vay von'!N49</f>
        <v>11243.290321648259</v>
      </c>
      <c r="BD78" s="574">
        <f>'6.Vay von'!O49</f>
        <v>16871.79415082898</v>
      </c>
      <c r="BE78" s="574">
        <f>'6.Vay von'!P49</f>
        <v>18899.441970172109</v>
      </c>
      <c r="BF78" s="574">
        <f>'6.Vay von'!Q49</f>
        <v>17265.296463035938</v>
      </c>
      <c r="BG78" s="574">
        <f>'6.Vay von'!R49</f>
        <v>18036.359140024924</v>
      </c>
      <c r="BH78" s="574">
        <f>'6.Vay von'!S49</f>
        <v>6042.1041693019097</v>
      </c>
      <c r="BI78" s="574">
        <f>'6.Vay von'!T49</f>
        <v>0</v>
      </c>
      <c r="BJ78" s="574">
        <f>'6.Vay von'!U49</f>
        <v>0</v>
      </c>
      <c r="BK78" s="574">
        <f>'6.Vay von'!V49</f>
        <v>0</v>
      </c>
      <c r="BL78" s="574">
        <f>'6.Vay von'!W49</f>
        <v>0</v>
      </c>
      <c r="BM78" s="574">
        <f>'6.Vay von'!X49</f>
        <v>0</v>
      </c>
      <c r="BN78" s="574">
        <f>'6.Vay von'!Y49</f>
        <v>0</v>
      </c>
      <c r="BO78" s="574">
        <f>'6.Vay von'!Z49</f>
        <v>0</v>
      </c>
      <c r="BP78" s="574">
        <f>'6.Vay von'!AA49</f>
        <v>0</v>
      </c>
      <c r="BQ78" s="574">
        <f>'6.Vay von'!AB49</f>
        <v>0</v>
      </c>
      <c r="BR78" s="574">
        <f>'6.Vay von'!AC49</f>
        <v>0</v>
      </c>
      <c r="BS78" s="574"/>
      <c r="BT78" s="574"/>
      <c r="BU78" s="574"/>
      <c r="BV78" s="574"/>
      <c r="BW78" s="574"/>
      <c r="BX78" s="574"/>
      <c r="BY78" s="574"/>
      <c r="BZ78" s="574"/>
      <c r="CA78" s="574"/>
      <c r="CB78" s="574"/>
      <c r="CC78" s="574"/>
      <c r="CD78" s="574"/>
      <c r="CE78" s="574"/>
      <c r="CF78" s="574"/>
      <c r="CG78" s="574"/>
    </row>
    <row r="79" spans="1:86" ht="30.75" customHeight="1" thickBot="1">
      <c r="B79" s="2341" t="s">
        <v>53</v>
      </c>
      <c r="C79" s="2342"/>
      <c r="D79" s="2342"/>
      <c r="E79" s="2342"/>
      <c r="F79" s="646">
        <f>F10+F16+F78</f>
        <v>3604772.4338805764</v>
      </c>
      <c r="G79" s="647"/>
      <c r="H79" s="647"/>
      <c r="I79" s="647"/>
      <c r="J79" s="647"/>
      <c r="K79" s="647"/>
      <c r="L79" s="647"/>
      <c r="M79" s="647"/>
      <c r="N79" s="647"/>
      <c r="O79" s="647"/>
      <c r="P79" s="647"/>
      <c r="Q79" s="647"/>
      <c r="R79" s="647"/>
      <c r="S79" s="647"/>
      <c r="T79" s="647"/>
      <c r="U79" s="647"/>
      <c r="V79" s="647"/>
      <c r="W79" s="647"/>
      <c r="X79" s="647"/>
      <c r="Y79" s="647"/>
      <c r="Z79" s="647"/>
      <c r="AA79" s="647"/>
      <c r="AB79" s="576"/>
      <c r="AC79" s="576"/>
      <c r="AD79" s="576"/>
      <c r="AE79" s="576"/>
      <c r="AF79" s="576"/>
      <c r="AG79" s="576"/>
      <c r="AH79" s="576"/>
      <c r="AI79" s="576"/>
      <c r="AJ79" s="576"/>
      <c r="AK79" s="576"/>
      <c r="AL79" s="576"/>
      <c r="AM79" s="576"/>
      <c r="AN79" s="576"/>
      <c r="AO79" s="576"/>
      <c r="AP79" s="576"/>
      <c r="AQ79" s="576"/>
      <c r="AR79" s="577"/>
      <c r="AS79" s="563"/>
      <c r="AT79" s="648">
        <f>AT10+AT16+AT78</f>
        <v>0</v>
      </c>
      <c r="AU79" s="646">
        <f t="shared" ref="AU79:CE79" si="249">AU10+AU16+AU78</f>
        <v>0</v>
      </c>
      <c r="AV79" s="646">
        <f t="shared" si="249"/>
        <v>156000</v>
      </c>
      <c r="AW79" s="646">
        <f t="shared" si="249"/>
        <v>364000</v>
      </c>
      <c r="AX79" s="646">
        <f t="shared" si="249"/>
        <v>4263.4452937083088</v>
      </c>
      <c r="AY79" s="646">
        <f t="shared" si="249"/>
        <v>4263.4452937083088</v>
      </c>
      <c r="AZ79" s="646">
        <f t="shared" si="249"/>
        <v>489001.38513583987</v>
      </c>
      <c r="BA79" s="646">
        <f t="shared" si="249"/>
        <v>20135.594532770498</v>
      </c>
      <c r="BB79" s="646">
        <f t="shared" si="249"/>
        <v>59437.140258611806</v>
      </c>
      <c r="BC79" s="646">
        <f t="shared" si="249"/>
        <v>279267.28218739678</v>
      </c>
      <c r="BD79" s="646">
        <f t="shared" si="249"/>
        <v>277731.96306516143</v>
      </c>
      <c r="BE79" s="646">
        <f t="shared" si="249"/>
        <v>179112.46995456624</v>
      </c>
      <c r="BF79" s="646">
        <f t="shared" si="249"/>
        <v>177478.32444743009</v>
      </c>
      <c r="BG79" s="646">
        <f t="shared" si="249"/>
        <v>211478.09851382149</v>
      </c>
      <c r="BH79" s="646">
        <f t="shared" si="249"/>
        <v>363629.74777831527</v>
      </c>
      <c r="BI79" s="646">
        <f t="shared" si="249"/>
        <v>386552.90970470745</v>
      </c>
      <c r="BJ79" s="646">
        <f t="shared" si="249"/>
        <v>328121.7987781305</v>
      </c>
      <c r="BK79" s="646">
        <f t="shared" si="249"/>
        <v>287245.04776157544</v>
      </c>
      <c r="BL79" s="646">
        <f t="shared" si="249"/>
        <v>0</v>
      </c>
      <c r="BM79" s="646">
        <f t="shared" si="249"/>
        <v>0</v>
      </c>
      <c r="BN79" s="646">
        <f t="shared" si="249"/>
        <v>17053.781174833235</v>
      </c>
      <c r="BO79" s="646">
        <f t="shared" si="249"/>
        <v>0</v>
      </c>
      <c r="BP79" s="646">
        <f t="shared" si="249"/>
        <v>0</v>
      </c>
      <c r="BQ79" s="646">
        <f t="shared" si="249"/>
        <v>0</v>
      </c>
      <c r="BR79" s="646">
        <f t="shared" si="249"/>
        <v>0</v>
      </c>
      <c r="BS79" s="575">
        <f t="shared" si="249"/>
        <v>0</v>
      </c>
      <c r="BT79" s="575">
        <f t="shared" si="249"/>
        <v>0</v>
      </c>
      <c r="BU79" s="575">
        <f t="shared" si="249"/>
        <v>0</v>
      </c>
      <c r="BV79" s="575">
        <f t="shared" si="249"/>
        <v>0</v>
      </c>
      <c r="BW79" s="575">
        <f t="shared" si="249"/>
        <v>0</v>
      </c>
      <c r="BX79" s="575">
        <f t="shared" si="249"/>
        <v>0</v>
      </c>
      <c r="BY79" s="575">
        <f t="shared" si="249"/>
        <v>0</v>
      </c>
      <c r="BZ79" s="575">
        <f t="shared" si="249"/>
        <v>0</v>
      </c>
      <c r="CA79" s="575">
        <f t="shared" si="249"/>
        <v>0</v>
      </c>
      <c r="CB79" s="575">
        <f t="shared" si="249"/>
        <v>0</v>
      </c>
      <c r="CC79" s="575">
        <f t="shared" si="249"/>
        <v>0</v>
      </c>
      <c r="CD79" s="575">
        <f t="shared" si="249"/>
        <v>0</v>
      </c>
      <c r="CE79" s="575">
        <f t="shared" si="249"/>
        <v>0</v>
      </c>
      <c r="CF79" s="575"/>
      <c r="CG79" s="578"/>
    </row>
    <row r="80" spans="1:86">
      <c r="C80" s="503"/>
      <c r="D80" s="579"/>
      <c r="E80" s="580"/>
      <c r="F80" s="581"/>
      <c r="G80" s="581"/>
    </row>
    <row r="81" spans="2:95">
      <c r="C81" s="503"/>
      <c r="D81" s="582"/>
      <c r="E81" s="583"/>
      <c r="F81" s="583"/>
      <c r="G81" s="584"/>
    </row>
    <row r="82" spans="2:95">
      <c r="C82" s="503"/>
      <c r="D82" s="582"/>
      <c r="E82" s="583"/>
      <c r="F82" s="583"/>
      <c r="G82" s="584"/>
    </row>
    <row r="83" spans="2:95">
      <c r="D83" s="585"/>
      <c r="E83" s="583"/>
      <c r="F83" s="583"/>
      <c r="G83" s="584"/>
    </row>
    <row r="84" spans="2:95">
      <c r="F84" s="587"/>
    </row>
    <row r="85" spans="2:95">
      <c r="D85" s="511"/>
      <c r="F85" s="511"/>
      <c r="AT85" s="565"/>
      <c r="AU85" s="565"/>
      <c r="AV85" s="565"/>
      <c r="AW85" s="565"/>
      <c r="AX85" s="565"/>
      <c r="AY85" s="565"/>
      <c r="AZ85" s="565"/>
      <c r="BA85" s="565"/>
      <c r="BB85" s="565"/>
      <c r="BC85" s="565"/>
      <c r="BD85" s="565"/>
      <c r="BE85" s="565"/>
      <c r="BF85" s="565"/>
      <c r="BG85" s="565"/>
      <c r="BH85" s="565"/>
      <c r="BI85" s="565"/>
      <c r="BJ85" s="565"/>
      <c r="BK85" s="565"/>
      <c r="BL85" s="565"/>
      <c r="BM85" s="565"/>
      <c r="BN85" s="565"/>
      <c r="BO85" s="565"/>
      <c r="BP85" s="565"/>
      <c r="BQ85" s="565"/>
      <c r="BR85" s="565"/>
      <c r="BS85" s="565"/>
      <c r="BT85" s="565"/>
      <c r="BU85" s="565"/>
      <c r="BV85" s="565"/>
      <c r="BW85" s="565"/>
      <c r="BX85" s="565"/>
      <c r="BY85" s="565"/>
      <c r="BZ85" s="565"/>
      <c r="CA85" s="565"/>
      <c r="CB85" s="565"/>
      <c r="CC85" s="565"/>
      <c r="CD85" s="565"/>
      <c r="CE85" s="565"/>
      <c r="CF85" s="565"/>
      <c r="CG85" s="565"/>
      <c r="CH85" s="565"/>
      <c r="CI85" s="565"/>
      <c r="CJ85" s="565"/>
      <c r="CK85" s="565"/>
      <c r="CL85" s="565"/>
      <c r="CM85" s="565"/>
      <c r="CN85" s="565"/>
      <c r="CO85" s="565"/>
      <c r="CP85" s="565"/>
      <c r="CQ85" s="565"/>
    </row>
    <row r="86" spans="2:95">
      <c r="D86" s="511"/>
      <c r="F86" s="511"/>
      <c r="AT86" s="565"/>
      <c r="AU86" s="565"/>
      <c r="AV86" s="565"/>
      <c r="AW86" s="565"/>
      <c r="AX86" s="565"/>
      <c r="AY86" s="565"/>
      <c r="AZ86" s="565"/>
      <c r="BA86" s="565"/>
      <c r="BB86" s="565"/>
      <c r="BC86" s="565"/>
      <c r="BD86" s="565"/>
      <c r="BE86" s="565"/>
      <c r="BF86" s="565"/>
      <c r="BG86" s="565"/>
      <c r="BH86" s="565"/>
      <c r="BI86" s="565"/>
      <c r="BJ86" s="565"/>
      <c r="BK86" s="565"/>
      <c r="BL86" s="565"/>
      <c r="BM86" s="565"/>
      <c r="BN86" s="565"/>
      <c r="BO86" s="565"/>
      <c r="BP86" s="565"/>
      <c r="BQ86" s="565"/>
      <c r="BR86" s="565"/>
      <c r="BS86" s="565"/>
      <c r="BT86" s="565"/>
      <c r="BU86" s="565"/>
      <c r="BV86" s="565"/>
      <c r="BW86" s="565"/>
      <c r="BX86" s="565"/>
      <c r="BY86" s="565"/>
      <c r="BZ86" s="565"/>
      <c r="CA86" s="565"/>
      <c r="CB86" s="565"/>
      <c r="CC86" s="565"/>
      <c r="CD86" s="565"/>
      <c r="CE86" s="565"/>
      <c r="CF86" s="565"/>
      <c r="CG86" s="565"/>
      <c r="CH86" s="565"/>
      <c r="CI86" s="565"/>
      <c r="CJ86" s="565"/>
      <c r="CK86" s="565"/>
      <c r="CL86" s="565"/>
      <c r="CM86" s="565"/>
      <c r="CN86" s="565"/>
      <c r="CO86" s="565"/>
      <c r="CP86" s="565"/>
      <c r="CQ86" s="565"/>
    </row>
    <row r="87" spans="2:95" hidden="1">
      <c r="B87" s="2338" t="s">
        <v>0</v>
      </c>
      <c r="C87" s="2339" t="s">
        <v>1</v>
      </c>
      <c r="D87" s="2340" t="s">
        <v>155</v>
      </c>
      <c r="E87" s="588">
        <f>AU8</f>
        <v>2026</v>
      </c>
      <c r="F87" s="588">
        <f>AV8</f>
        <v>2026</v>
      </c>
      <c r="G87" s="588">
        <f t="shared" ref="G87:P88" si="250">AX8</f>
        <v>2026</v>
      </c>
      <c r="H87" s="588">
        <f t="shared" si="250"/>
        <v>2027</v>
      </c>
      <c r="I87" s="588">
        <f t="shared" si="250"/>
        <v>2027</v>
      </c>
      <c r="J87" s="588">
        <f t="shared" si="250"/>
        <v>2027</v>
      </c>
      <c r="K87" s="588">
        <f t="shared" si="250"/>
        <v>2027</v>
      </c>
      <c r="L87" s="588">
        <f t="shared" si="250"/>
        <v>2028</v>
      </c>
      <c r="M87" s="588">
        <f t="shared" si="250"/>
        <v>2028</v>
      </c>
      <c r="N87" s="588">
        <f t="shared" si="250"/>
        <v>2028</v>
      </c>
      <c r="O87" s="588">
        <f t="shared" si="250"/>
        <v>2028</v>
      </c>
      <c r="P87" s="588">
        <f t="shared" si="250"/>
        <v>2029</v>
      </c>
      <c r="Q87" s="588">
        <f t="shared" ref="Q87:Z88" si="251">BH8</f>
        <v>2029</v>
      </c>
      <c r="R87" s="588">
        <f t="shared" si="251"/>
        <v>2029</v>
      </c>
      <c r="S87" s="588">
        <f t="shared" si="251"/>
        <v>2029</v>
      </c>
      <c r="T87" s="588">
        <f t="shared" si="251"/>
        <v>2030</v>
      </c>
      <c r="U87" s="588">
        <f t="shared" si="251"/>
        <v>2030</v>
      </c>
      <c r="V87" s="588">
        <f t="shared" si="251"/>
        <v>2030</v>
      </c>
      <c r="W87" s="588">
        <f t="shared" si="251"/>
        <v>2030</v>
      </c>
      <c r="X87" s="588">
        <f t="shared" si="251"/>
        <v>2031</v>
      </c>
      <c r="Y87" s="588">
        <f t="shared" si="251"/>
        <v>2031</v>
      </c>
      <c r="Z87" s="588">
        <f t="shared" si="251"/>
        <v>2031</v>
      </c>
      <c r="AA87" s="588">
        <f t="shared" ref="AA87:AA88" si="252">BR8</f>
        <v>2031</v>
      </c>
      <c r="AT87" s="565"/>
      <c r="AU87" s="565"/>
      <c r="AV87" s="565"/>
      <c r="AW87" s="565"/>
      <c r="AX87" s="565"/>
      <c r="AY87" s="565"/>
      <c r="AZ87" s="565"/>
      <c r="BA87" s="565"/>
      <c r="BB87" s="565"/>
      <c r="BC87" s="565"/>
      <c r="BD87" s="565"/>
      <c r="BE87" s="565"/>
      <c r="BF87" s="565"/>
      <c r="BG87" s="565"/>
      <c r="BH87" s="565"/>
      <c r="BI87" s="565"/>
      <c r="BJ87" s="565"/>
      <c r="BK87" s="565"/>
      <c r="BL87" s="565"/>
      <c r="BM87" s="565"/>
      <c r="BN87" s="565"/>
      <c r="BO87" s="565"/>
      <c r="BP87" s="565"/>
      <c r="BQ87" s="565"/>
      <c r="BR87" s="565"/>
      <c r="BS87" s="565"/>
      <c r="BT87" s="565"/>
      <c r="BU87" s="565"/>
      <c r="BV87" s="565"/>
      <c r="BW87" s="565"/>
      <c r="BX87" s="565"/>
      <c r="BY87" s="565"/>
      <c r="BZ87" s="565"/>
      <c r="CA87" s="565"/>
      <c r="CB87" s="565"/>
      <c r="CC87" s="565"/>
      <c r="CD87" s="565"/>
      <c r="CE87" s="565"/>
      <c r="CF87" s="565"/>
      <c r="CG87" s="565"/>
      <c r="CH87" s="565"/>
      <c r="CI87" s="565"/>
      <c r="CJ87" s="565"/>
      <c r="CK87" s="565"/>
      <c r="CL87" s="565"/>
      <c r="CM87" s="565"/>
      <c r="CN87" s="565"/>
      <c r="CO87" s="565"/>
      <c r="CP87" s="565"/>
      <c r="CQ87" s="565"/>
    </row>
    <row r="88" spans="2:95" hidden="1">
      <c r="B88" s="2338"/>
      <c r="C88" s="2339"/>
      <c r="D88" s="2340"/>
      <c r="E88" s="589" t="str">
        <f>AU9</f>
        <v>Q1</v>
      </c>
      <c r="F88" s="589" t="str">
        <f>AV9</f>
        <v>Q2</v>
      </c>
      <c r="G88" s="589" t="str">
        <f t="shared" si="250"/>
        <v>Q4</v>
      </c>
      <c r="H88" s="589" t="str">
        <f t="shared" si="250"/>
        <v>Q1</v>
      </c>
      <c r="I88" s="589" t="str">
        <f t="shared" si="250"/>
        <v>Q2</v>
      </c>
      <c r="J88" s="589" t="str">
        <f t="shared" si="250"/>
        <v>Q3</v>
      </c>
      <c r="K88" s="589" t="str">
        <f t="shared" si="250"/>
        <v>Q4</v>
      </c>
      <c r="L88" s="589" t="str">
        <f t="shared" si="250"/>
        <v>Q1</v>
      </c>
      <c r="M88" s="589" t="str">
        <f t="shared" si="250"/>
        <v>Q2</v>
      </c>
      <c r="N88" s="589" t="str">
        <f t="shared" si="250"/>
        <v>Q3</v>
      </c>
      <c r="O88" s="589" t="str">
        <f t="shared" si="250"/>
        <v>Q4</v>
      </c>
      <c r="P88" s="589" t="str">
        <f t="shared" si="250"/>
        <v>Q1</v>
      </c>
      <c r="Q88" s="589" t="str">
        <f t="shared" si="251"/>
        <v>Q2</v>
      </c>
      <c r="R88" s="589" t="str">
        <f t="shared" si="251"/>
        <v>Q3</v>
      </c>
      <c r="S88" s="589" t="str">
        <f t="shared" si="251"/>
        <v>Q4</v>
      </c>
      <c r="T88" s="589" t="str">
        <f t="shared" si="251"/>
        <v>Q1</v>
      </c>
      <c r="U88" s="589" t="str">
        <f t="shared" si="251"/>
        <v>Q2</v>
      </c>
      <c r="V88" s="589" t="str">
        <f t="shared" si="251"/>
        <v>Q3</v>
      </c>
      <c r="W88" s="589" t="str">
        <f t="shared" si="251"/>
        <v>Q4</v>
      </c>
      <c r="X88" s="589" t="str">
        <f t="shared" si="251"/>
        <v>Q1</v>
      </c>
      <c r="Y88" s="589" t="str">
        <f t="shared" si="251"/>
        <v>Q2</v>
      </c>
      <c r="Z88" s="589" t="str">
        <f t="shared" si="251"/>
        <v>Q3</v>
      </c>
      <c r="AA88" s="589" t="str">
        <f t="shared" si="252"/>
        <v>Q4</v>
      </c>
      <c r="AT88" s="565"/>
      <c r="AU88" s="565"/>
      <c r="AV88" s="565"/>
      <c r="AW88" s="565"/>
      <c r="AX88" s="565"/>
      <c r="AY88" s="565"/>
      <c r="AZ88" s="565"/>
      <c r="BA88" s="565"/>
      <c r="BB88" s="565"/>
      <c r="BC88" s="565"/>
      <c r="BD88" s="565"/>
      <c r="BE88" s="565"/>
      <c r="BF88" s="565"/>
      <c r="BG88" s="565"/>
      <c r="BH88" s="565"/>
      <c r="BI88" s="565"/>
      <c r="BJ88" s="565"/>
      <c r="BK88" s="565"/>
      <c r="BL88" s="565"/>
      <c r="BM88" s="565"/>
      <c r="BN88" s="565"/>
      <c r="BO88" s="565"/>
      <c r="BP88" s="565"/>
      <c r="BQ88" s="565"/>
      <c r="BR88" s="565"/>
      <c r="BS88" s="565"/>
      <c r="BT88" s="565"/>
      <c r="BU88" s="565"/>
      <c r="BV88" s="565"/>
      <c r="BW88" s="565"/>
      <c r="BX88" s="565"/>
      <c r="BY88" s="565"/>
      <c r="BZ88" s="565"/>
      <c r="CA88" s="565"/>
      <c r="CB88" s="565"/>
      <c r="CC88" s="565"/>
      <c r="CD88" s="565"/>
      <c r="CE88" s="565"/>
      <c r="CF88" s="565"/>
      <c r="CG88" s="565"/>
      <c r="CH88" s="565"/>
      <c r="CI88" s="565"/>
      <c r="CJ88" s="565"/>
      <c r="CK88" s="565"/>
      <c r="CL88" s="565"/>
      <c r="CM88" s="565"/>
      <c r="CN88" s="565"/>
      <c r="CO88" s="565"/>
      <c r="CP88" s="565"/>
      <c r="CQ88" s="565"/>
    </row>
    <row r="89" spans="2:95" hidden="1">
      <c r="B89" s="590">
        <v>1</v>
      </c>
      <c r="C89" s="591" t="s">
        <v>156</v>
      </c>
      <c r="D89" s="592" t="e">
        <f t="shared" ref="D89:D105" si="253">SUM(E89:AD89)</f>
        <v>#REF!</v>
      </c>
      <c r="E89" s="593" t="e">
        <f>SUM(E90,E93:E98)</f>
        <v>#REF!</v>
      </c>
      <c r="F89" s="593" t="e">
        <f t="shared" ref="F89:Y89" si="254">SUM(F90,F93:F98)</f>
        <v>#REF!</v>
      </c>
      <c r="G89" s="593" t="e">
        <f t="shared" si="254"/>
        <v>#REF!</v>
      </c>
      <c r="H89" s="593" t="e">
        <f t="shared" si="254"/>
        <v>#REF!</v>
      </c>
      <c r="I89" s="593" t="e">
        <f t="shared" si="254"/>
        <v>#REF!</v>
      </c>
      <c r="J89" s="593" t="e">
        <f t="shared" si="254"/>
        <v>#REF!</v>
      </c>
      <c r="K89" s="593" t="e">
        <f t="shared" si="254"/>
        <v>#REF!</v>
      </c>
      <c r="L89" s="593" t="e">
        <f t="shared" si="254"/>
        <v>#REF!</v>
      </c>
      <c r="M89" s="593" t="e">
        <f t="shared" si="254"/>
        <v>#REF!</v>
      </c>
      <c r="N89" s="593" t="e">
        <f t="shared" si="254"/>
        <v>#REF!</v>
      </c>
      <c r="O89" s="593" t="e">
        <f t="shared" si="254"/>
        <v>#REF!</v>
      </c>
      <c r="P89" s="593" t="e">
        <f t="shared" si="254"/>
        <v>#REF!</v>
      </c>
      <c r="Q89" s="593" t="e">
        <f t="shared" si="254"/>
        <v>#REF!</v>
      </c>
      <c r="R89" s="593" t="e">
        <f t="shared" si="254"/>
        <v>#REF!</v>
      </c>
      <c r="S89" s="593" t="e">
        <f t="shared" si="254"/>
        <v>#REF!</v>
      </c>
      <c r="T89" s="593" t="e">
        <f t="shared" si="254"/>
        <v>#REF!</v>
      </c>
      <c r="U89" s="593" t="e">
        <f t="shared" si="254"/>
        <v>#REF!</v>
      </c>
      <c r="V89" s="593" t="e">
        <f t="shared" si="254"/>
        <v>#REF!</v>
      </c>
      <c r="W89" s="593" t="e">
        <f t="shared" si="254"/>
        <v>#REF!</v>
      </c>
      <c r="X89" s="593" t="e">
        <f t="shared" si="254"/>
        <v>#REF!</v>
      </c>
      <c r="Y89" s="593" t="e">
        <f t="shared" si="254"/>
        <v>#REF!</v>
      </c>
      <c r="Z89" s="593"/>
      <c r="AA89" s="593"/>
      <c r="AT89" s="565"/>
      <c r="AU89" s="565"/>
      <c r="AV89" s="565"/>
      <c r="AW89" s="565"/>
      <c r="AX89" s="565"/>
      <c r="AY89" s="565"/>
      <c r="AZ89" s="565"/>
      <c r="BA89" s="565"/>
      <c r="BB89" s="565"/>
      <c r="BC89" s="565"/>
      <c r="BD89" s="565"/>
      <c r="BE89" s="565"/>
      <c r="BF89" s="565"/>
      <c r="BG89" s="565"/>
      <c r="BH89" s="565"/>
      <c r="BI89" s="565"/>
      <c r="BJ89" s="565"/>
      <c r="BK89" s="565"/>
      <c r="BL89" s="565"/>
      <c r="BM89" s="565"/>
      <c r="BN89" s="565"/>
      <c r="BO89" s="565"/>
      <c r="BP89" s="565"/>
      <c r="BQ89" s="565"/>
      <c r="BR89" s="565"/>
      <c r="BS89" s="565"/>
      <c r="BT89" s="565"/>
      <c r="BU89" s="565"/>
      <c r="BV89" s="565"/>
      <c r="BW89" s="565"/>
      <c r="BX89" s="565"/>
      <c r="BY89" s="565"/>
      <c r="BZ89" s="565"/>
      <c r="CA89" s="565"/>
      <c r="CB89" s="565"/>
      <c r="CC89" s="565"/>
      <c r="CD89" s="565"/>
      <c r="CE89" s="565"/>
      <c r="CF89" s="565"/>
      <c r="CG89" s="565"/>
      <c r="CH89" s="565"/>
      <c r="CI89" s="565"/>
      <c r="CJ89" s="565"/>
      <c r="CK89" s="565"/>
      <c r="CL89" s="565"/>
      <c r="CM89" s="565"/>
      <c r="CN89" s="565"/>
      <c r="CO89" s="565"/>
      <c r="CP89" s="565"/>
      <c r="CQ89" s="565"/>
    </row>
    <row r="90" spans="2:95" hidden="1">
      <c r="B90" s="594">
        <v>1.1000000000000001</v>
      </c>
      <c r="C90" s="595" t="s">
        <v>157</v>
      </c>
      <c r="D90" s="592">
        <f t="shared" si="253"/>
        <v>726006.84571629763</v>
      </c>
      <c r="E90" s="596">
        <f>SUM(E91:E92)</f>
        <v>0</v>
      </c>
      <c r="F90" s="596">
        <f t="shared" ref="F90:Y90" si="255">SUM(F91:F92)</f>
        <v>156000</v>
      </c>
      <c r="G90" s="596">
        <f t="shared" si="255"/>
        <v>4263.4452937083088</v>
      </c>
      <c r="H90" s="596">
        <f t="shared" si="255"/>
        <v>4263.4452937083088</v>
      </c>
      <c r="I90" s="596">
        <f t="shared" si="255"/>
        <v>489001.38513583987</v>
      </c>
      <c r="J90" s="596">
        <f t="shared" si="255"/>
        <v>8526.8905874166176</v>
      </c>
      <c r="K90" s="596">
        <f t="shared" si="255"/>
        <v>0</v>
      </c>
      <c r="L90" s="596">
        <f t="shared" si="255"/>
        <v>0</v>
      </c>
      <c r="M90" s="596">
        <f t="shared" si="255"/>
        <v>17053.781174833235</v>
      </c>
      <c r="N90" s="596">
        <f t="shared" si="255"/>
        <v>0</v>
      </c>
      <c r="O90" s="596">
        <f t="shared" si="255"/>
        <v>0</v>
      </c>
      <c r="P90" s="596">
        <f t="shared" si="255"/>
        <v>4263.4452937083088</v>
      </c>
      <c r="Q90" s="596">
        <f t="shared" si="255"/>
        <v>0</v>
      </c>
      <c r="R90" s="596">
        <f t="shared" si="255"/>
        <v>0</v>
      </c>
      <c r="S90" s="596">
        <f t="shared" si="255"/>
        <v>4263.4452937083088</v>
      </c>
      <c r="T90" s="596">
        <f t="shared" si="255"/>
        <v>21317.226468541543</v>
      </c>
      <c r="U90" s="596">
        <f t="shared" si="255"/>
        <v>0</v>
      </c>
      <c r="V90" s="596">
        <f t="shared" si="255"/>
        <v>0</v>
      </c>
      <c r="W90" s="596">
        <f t="shared" si="255"/>
        <v>17053.781174833235</v>
      </c>
      <c r="X90" s="596">
        <f t="shared" si="255"/>
        <v>0</v>
      </c>
      <c r="Y90" s="596">
        <f t="shared" si="255"/>
        <v>0</v>
      </c>
      <c r="Z90" s="596"/>
      <c r="AA90" s="596"/>
      <c r="AT90" s="565"/>
      <c r="AU90" s="565"/>
      <c r="AV90" s="565"/>
      <c r="AW90" s="565"/>
      <c r="AX90" s="565"/>
      <c r="AY90" s="565"/>
      <c r="AZ90" s="565"/>
      <c r="BA90" s="565"/>
      <c r="BB90" s="565"/>
      <c r="BC90" s="565"/>
      <c r="BD90" s="565"/>
      <c r="BE90" s="565"/>
      <c r="BF90" s="565"/>
      <c r="BG90" s="565"/>
      <c r="BH90" s="565"/>
      <c r="BI90" s="565"/>
      <c r="BJ90" s="565"/>
      <c r="BK90" s="565"/>
      <c r="BL90" s="565"/>
      <c r="BM90" s="565"/>
      <c r="BN90" s="565"/>
      <c r="BO90" s="565"/>
      <c r="BP90" s="565"/>
      <c r="BQ90" s="565"/>
      <c r="BR90" s="565"/>
      <c r="BS90" s="565"/>
      <c r="BT90" s="565"/>
      <c r="BU90" s="565"/>
      <c r="BV90" s="565"/>
      <c r="BW90" s="565"/>
      <c r="BX90" s="565"/>
      <c r="BY90" s="565"/>
      <c r="BZ90" s="565"/>
      <c r="CA90" s="565"/>
      <c r="CB90" s="565"/>
      <c r="CC90" s="565"/>
      <c r="CD90" s="565"/>
      <c r="CE90" s="565"/>
      <c r="CF90" s="565"/>
      <c r="CG90" s="565"/>
      <c r="CH90" s="565"/>
      <c r="CI90" s="565"/>
      <c r="CJ90" s="565"/>
      <c r="CK90" s="565"/>
      <c r="CL90" s="565"/>
      <c r="CM90" s="565"/>
      <c r="CN90" s="565"/>
      <c r="CO90" s="565"/>
      <c r="CP90" s="565"/>
      <c r="CQ90" s="565"/>
    </row>
    <row r="91" spans="2:95" hidden="1">
      <c r="B91" s="597"/>
      <c r="C91" s="598" t="s">
        <v>128</v>
      </c>
      <c r="D91" s="599">
        <f t="shared" si="253"/>
        <v>640737.93984213157</v>
      </c>
      <c r="E91" s="600">
        <f>AU11</f>
        <v>0</v>
      </c>
      <c r="F91" s="600">
        <f>AV11</f>
        <v>156000</v>
      </c>
      <c r="G91" s="600">
        <f t="shared" ref="G91:Y91" si="256">AX11</f>
        <v>0</v>
      </c>
      <c r="H91" s="600">
        <f t="shared" si="256"/>
        <v>0</v>
      </c>
      <c r="I91" s="600">
        <f t="shared" si="256"/>
        <v>484737.93984213157</v>
      </c>
      <c r="J91" s="600">
        <f t="shared" si="256"/>
        <v>0</v>
      </c>
      <c r="K91" s="600">
        <f t="shared" si="256"/>
        <v>0</v>
      </c>
      <c r="L91" s="600">
        <f t="shared" si="256"/>
        <v>0</v>
      </c>
      <c r="M91" s="600">
        <f t="shared" si="256"/>
        <v>0</v>
      </c>
      <c r="N91" s="600">
        <f t="shared" si="256"/>
        <v>0</v>
      </c>
      <c r="O91" s="600">
        <f t="shared" si="256"/>
        <v>0</v>
      </c>
      <c r="P91" s="600">
        <f t="shared" si="256"/>
        <v>0</v>
      </c>
      <c r="Q91" s="600">
        <f t="shared" si="256"/>
        <v>0</v>
      </c>
      <c r="R91" s="600">
        <f t="shared" si="256"/>
        <v>0</v>
      </c>
      <c r="S91" s="600">
        <f t="shared" si="256"/>
        <v>0</v>
      </c>
      <c r="T91" s="600">
        <f t="shared" si="256"/>
        <v>0</v>
      </c>
      <c r="U91" s="600">
        <f t="shared" si="256"/>
        <v>0</v>
      </c>
      <c r="V91" s="600">
        <f t="shared" si="256"/>
        <v>0</v>
      </c>
      <c r="W91" s="600">
        <f t="shared" si="256"/>
        <v>0</v>
      </c>
      <c r="X91" s="600">
        <f t="shared" si="256"/>
        <v>0</v>
      </c>
      <c r="Y91" s="600">
        <f t="shared" si="256"/>
        <v>0</v>
      </c>
      <c r="Z91" s="600"/>
      <c r="AA91" s="600"/>
      <c r="AT91" s="565"/>
      <c r="AU91" s="565"/>
      <c r="AV91" s="565"/>
      <c r="AW91" s="565"/>
      <c r="AX91" s="565"/>
      <c r="AY91" s="565"/>
      <c r="AZ91" s="565"/>
      <c r="BA91" s="565"/>
      <c r="BB91" s="565"/>
      <c r="BC91" s="565"/>
      <c r="BD91" s="565"/>
      <c r="BE91" s="565"/>
      <c r="BF91" s="565"/>
      <c r="BG91" s="565"/>
      <c r="BH91" s="565"/>
      <c r="BI91" s="565"/>
      <c r="BJ91" s="565"/>
      <c r="BK91" s="565"/>
      <c r="BL91" s="565"/>
      <c r="BM91" s="565"/>
      <c r="BN91" s="565"/>
      <c r="BO91" s="565"/>
      <c r="BP91" s="565"/>
      <c r="BQ91" s="565"/>
      <c r="BR91" s="565"/>
      <c r="BS91" s="565"/>
      <c r="BT91" s="565"/>
      <c r="BU91" s="565"/>
      <c r="BV91" s="565"/>
      <c r="BW91" s="565"/>
      <c r="BX91" s="565"/>
      <c r="BY91" s="565"/>
      <c r="BZ91" s="565"/>
      <c r="CA91" s="565"/>
      <c r="CB91" s="565"/>
      <c r="CC91" s="565"/>
      <c r="CD91" s="565"/>
      <c r="CE91" s="565"/>
      <c r="CF91" s="565"/>
      <c r="CG91" s="565"/>
      <c r="CH91" s="565"/>
      <c r="CI91" s="565"/>
      <c r="CJ91" s="565"/>
      <c r="CK91" s="565"/>
      <c r="CL91" s="565"/>
      <c r="CM91" s="565"/>
      <c r="CN91" s="565"/>
      <c r="CO91" s="565"/>
      <c r="CP91" s="565"/>
      <c r="CQ91" s="565"/>
    </row>
    <row r="92" spans="2:95" hidden="1">
      <c r="B92" s="597"/>
      <c r="C92" s="598" t="s">
        <v>106</v>
      </c>
      <c r="D92" s="599">
        <f t="shared" si="253"/>
        <v>85268.905874166172</v>
      </c>
      <c r="E92" s="600">
        <f>AU15</f>
        <v>0</v>
      </c>
      <c r="F92" s="600">
        <f>AV15</f>
        <v>0</v>
      </c>
      <c r="G92" s="600">
        <f t="shared" ref="G92:P93" si="257">AX15</f>
        <v>4263.4452937083088</v>
      </c>
      <c r="H92" s="600">
        <f t="shared" si="257"/>
        <v>4263.4452937083088</v>
      </c>
      <c r="I92" s="600">
        <f t="shared" si="257"/>
        <v>4263.4452937083088</v>
      </c>
      <c r="J92" s="600">
        <f t="shared" si="257"/>
        <v>8526.8905874166176</v>
      </c>
      <c r="K92" s="600">
        <f t="shared" si="257"/>
        <v>0</v>
      </c>
      <c r="L92" s="600">
        <f t="shared" si="257"/>
        <v>0</v>
      </c>
      <c r="M92" s="600">
        <f t="shared" si="257"/>
        <v>17053.781174833235</v>
      </c>
      <c r="N92" s="600">
        <f t="shared" si="257"/>
        <v>0</v>
      </c>
      <c r="O92" s="600">
        <f t="shared" si="257"/>
        <v>0</v>
      </c>
      <c r="P92" s="600">
        <f t="shared" si="257"/>
        <v>4263.4452937083088</v>
      </c>
      <c r="Q92" s="600">
        <f t="shared" ref="Q92:Y93" si="258">BH15</f>
        <v>0</v>
      </c>
      <c r="R92" s="600">
        <f t="shared" si="258"/>
        <v>0</v>
      </c>
      <c r="S92" s="600">
        <f t="shared" si="258"/>
        <v>4263.4452937083088</v>
      </c>
      <c r="T92" s="600">
        <f t="shared" si="258"/>
        <v>21317.226468541543</v>
      </c>
      <c r="U92" s="600">
        <f t="shared" si="258"/>
        <v>0</v>
      </c>
      <c r="V92" s="600">
        <f t="shared" si="258"/>
        <v>0</v>
      </c>
      <c r="W92" s="600">
        <f t="shared" si="258"/>
        <v>17053.781174833235</v>
      </c>
      <c r="X92" s="600">
        <f t="shared" si="258"/>
        <v>0</v>
      </c>
      <c r="Y92" s="600">
        <f t="shared" si="258"/>
        <v>0</v>
      </c>
      <c r="Z92" s="600"/>
      <c r="AA92" s="600"/>
      <c r="AT92" s="565"/>
      <c r="AU92" s="565"/>
      <c r="AV92" s="565"/>
      <c r="AW92" s="565"/>
      <c r="AX92" s="565"/>
      <c r="AY92" s="565"/>
      <c r="AZ92" s="565"/>
      <c r="BA92" s="565"/>
      <c r="BB92" s="565"/>
      <c r="BC92" s="565"/>
      <c r="BD92" s="565"/>
      <c r="BE92" s="565"/>
      <c r="BF92" s="565"/>
      <c r="BG92" s="565"/>
      <c r="BH92" s="565"/>
      <c r="BI92" s="565"/>
      <c r="BJ92" s="565"/>
      <c r="BK92" s="565"/>
      <c r="BL92" s="565"/>
      <c r="BM92" s="565"/>
      <c r="BN92" s="565"/>
      <c r="BO92" s="565"/>
      <c r="BP92" s="565"/>
      <c r="BQ92" s="565"/>
      <c r="BR92" s="565"/>
      <c r="BS92" s="565"/>
      <c r="BT92" s="565"/>
      <c r="BU92" s="565"/>
      <c r="BV92" s="565"/>
      <c r="BW92" s="565"/>
      <c r="BX92" s="565"/>
      <c r="BY92" s="565"/>
      <c r="BZ92" s="565"/>
      <c r="CA92" s="565"/>
      <c r="CB92" s="565"/>
      <c r="CC92" s="565"/>
      <c r="CD92" s="565"/>
      <c r="CE92" s="565"/>
      <c r="CF92" s="565"/>
      <c r="CG92" s="565"/>
      <c r="CH92" s="565"/>
      <c r="CI92" s="565"/>
      <c r="CJ92" s="565"/>
      <c r="CK92" s="565"/>
      <c r="CL92" s="565"/>
      <c r="CM92" s="565"/>
      <c r="CN92" s="565"/>
      <c r="CO92" s="565"/>
      <c r="CP92" s="565"/>
      <c r="CQ92" s="565"/>
    </row>
    <row r="93" spans="2:95" hidden="1">
      <c r="B93" s="594">
        <v>1.2</v>
      </c>
      <c r="C93" s="595" t="s">
        <v>132</v>
      </c>
      <c r="D93" s="601">
        <f t="shared" si="253"/>
        <v>2406018.295124515</v>
      </c>
      <c r="E93" s="596">
        <f>AU16</f>
        <v>0</v>
      </c>
      <c r="F93" s="596">
        <f>AV16</f>
        <v>0</v>
      </c>
      <c r="G93" s="596">
        <f t="shared" si="257"/>
        <v>0</v>
      </c>
      <c r="H93" s="596">
        <f t="shared" si="257"/>
        <v>0</v>
      </c>
      <c r="I93" s="596">
        <f t="shared" si="257"/>
        <v>0</v>
      </c>
      <c r="J93" s="596">
        <f t="shared" si="257"/>
        <v>1429.2072086691178</v>
      </c>
      <c r="K93" s="596">
        <f t="shared" si="257"/>
        <v>49227.630170544988</v>
      </c>
      <c r="L93" s="596">
        <f t="shared" si="257"/>
        <v>268023.99186574854</v>
      </c>
      <c r="M93" s="596">
        <f t="shared" si="257"/>
        <v>243806.38773949919</v>
      </c>
      <c r="N93" s="596">
        <f t="shared" si="257"/>
        <v>160213.02798439414</v>
      </c>
      <c r="O93" s="596">
        <f t="shared" si="257"/>
        <v>160213.02798439414</v>
      </c>
      <c r="P93" s="596">
        <f t="shared" si="257"/>
        <v>189178.29408008826</v>
      </c>
      <c r="Q93" s="596">
        <f t="shared" si="258"/>
        <v>357587.64360901335</v>
      </c>
      <c r="R93" s="596">
        <f t="shared" si="258"/>
        <v>386552.90970470745</v>
      </c>
      <c r="S93" s="596">
        <f t="shared" si="258"/>
        <v>323858.3534844222</v>
      </c>
      <c r="T93" s="596">
        <f t="shared" si="258"/>
        <v>265927.82129303389</v>
      </c>
      <c r="U93" s="596">
        <f t="shared" si="258"/>
        <v>0</v>
      </c>
      <c r="V93" s="596">
        <f t="shared" si="258"/>
        <v>0</v>
      </c>
      <c r="W93" s="596">
        <f t="shared" si="258"/>
        <v>0</v>
      </c>
      <c r="X93" s="596">
        <f t="shared" si="258"/>
        <v>0</v>
      </c>
      <c r="Y93" s="596">
        <f t="shared" si="258"/>
        <v>0</v>
      </c>
      <c r="Z93" s="596"/>
      <c r="AA93" s="596"/>
      <c r="AT93" s="565"/>
      <c r="AU93" s="565"/>
      <c r="AV93" s="565"/>
      <c r="AW93" s="565"/>
      <c r="AX93" s="565"/>
      <c r="AY93" s="565"/>
      <c r="AZ93" s="565"/>
      <c r="BA93" s="565"/>
      <c r="BB93" s="565"/>
      <c r="BC93" s="565"/>
      <c r="BD93" s="565"/>
      <c r="BE93" s="565"/>
      <c r="BF93" s="565"/>
      <c r="BG93" s="565"/>
      <c r="BH93" s="565"/>
      <c r="BI93" s="565"/>
      <c r="BJ93" s="565"/>
      <c r="BK93" s="565"/>
      <c r="BL93" s="565"/>
      <c r="BM93" s="565"/>
      <c r="BN93" s="565"/>
      <c r="BO93" s="565"/>
      <c r="BP93" s="565"/>
      <c r="BQ93" s="565"/>
      <c r="BR93" s="565"/>
      <c r="BS93" s="565"/>
      <c r="BT93" s="565"/>
      <c r="BU93" s="565"/>
      <c r="BV93" s="565"/>
      <c r="BW93" s="565"/>
      <c r="BX93" s="565"/>
      <c r="BY93" s="565"/>
      <c r="BZ93" s="565"/>
      <c r="CA93" s="565"/>
      <c r="CB93" s="565"/>
      <c r="CC93" s="565"/>
      <c r="CD93" s="565"/>
      <c r="CE93" s="565"/>
      <c r="CF93" s="565"/>
      <c r="CG93" s="565"/>
      <c r="CH93" s="565"/>
      <c r="CI93" s="565"/>
      <c r="CJ93" s="565"/>
      <c r="CK93" s="565"/>
      <c r="CL93" s="565"/>
      <c r="CM93" s="565"/>
      <c r="CN93" s="565"/>
      <c r="CO93" s="565"/>
      <c r="CP93" s="565"/>
      <c r="CQ93" s="565"/>
    </row>
    <row r="94" spans="2:95" hidden="1">
      <c r="B94" s="594">
        <v>1.3</v>
      </c>
      <c r="C94" s="595" t="s">
        <v>158</v>
      </c>
      <c r="D94" s="601">
        <f t="shared" si="253"/>
        <v>957037.72289435938</v>
      </c>
      <c r="E94" s="602">
        <f>'4.Chi phi hoat dong'!G10+'4.Chi phi hoat dong'!G16+'4.Chi phi hoat dong'!G20</f>
        <v>0</v>
      </c>
      <c r="F94" s="602">
        <f>'4.Chi phi hoat dong'!H10+'4.Chi phi hoat dong'!H16+'4.Chi phi hoat dong'!H20</f>
        <v>0</v>
      </c>
      <c r="G94" s="602">
        <f>'4.Chi phi hoat dong'!J10+'4.Chi phi hoat dong'!J16+'4.Chi phi hoat dong'!J20</f>
        <v>0</v>
      </c>
      <c r="H94" s="602">
        <f>'4.Chi phi hoat dong'!K10+'4.Chi phi hoat dong'!K16+'4.Chi phi hoat dong'!K20</f>
        <v>0</v>
      </c>
      <c r="I94" s="602">
        <f>'4.Chi phi hoat dong'!L10+'4.Chi phi hoat dong'!L16+'4.Chi phi hoat dong'!L20</f>
        <v>0</v>
      </c>
      <c r="J94" s="602">
        <f>'4.Chi phi hoat dong'!M10+'4.Chi phi hoat dong'!M16+'4.Chi phi hoat dong'!M20</f>
        <v>0</v>
      </c>
      <c r="K94" s="602">
        <f>'4.Chi phi hoat dong'!N10+'4.Chi phi hoat dong'!N16+'4.Chi phi hoat dong'!N20</f>
        <v>0</v>
      </c>
      <c r="L94" s="602">
        <f>'4.Chi phi hoat dong'!O10+'4.Chi phi hoat dong'!O16+'4.Chi phi hoat dong'!O20</f>
        <v>0</v>
      </c>
      <c r="M94" s="602">
        <f>'4.Chi phi hoat dong'!P10+'4.Chi phi hoat dong'!P16+'4.Chi phi hoat dong'!P20</f>
        <v>291666.78697744641</v>
      </c>
      <c r="N94" s="602">
        <f>'4.Chi phi hoat dong'!Q10+'4.Chi phi hoat dong'!Q16+'4.Chi phi hoat dong'!Q20</f>
        <v>328224.45932307711</v>
      </c>
      <c r="O94" s="602">
        <f>'4.Chi phi hoat dong'!R10+'4.Chi phi hoat dong'!R16+'4.Chi phi hoat dong'!R20</f>
        <v>114793.55365281255</v>
      </c>
      <c r="P94" s="602">
        <f>'4.Chi phi hoat dong'!S10+'4.Chi phi hoat dong'!S16+'4.Chi phi hoat dong'!S20</f>
        <v>91001.42360404972</v>
      </c>
      <c r="Q94" s="602">
        <f>'4.Chi phi hoat dong'!T10+'4.Chi phi hoat dong'!T16+'4.Chi phi hoat dong'!T20</f>
        <v>56175.88868245871</v>
      </c>
      <c r="R94" s="602">
        <f>'4.Chi phi hoat dong'!U10+'4.Chi phi hoat dong'!U16+'4.Chi phi hoat dong'!U20</f>
        <v>53550.991552328953</v>
      </c>
      <c r="S94" s="602">
        <f>'4.Chi phi hoat dong'!V10+'4.Chi phi hoat dong'!V16+'4.Chi phi hoat dong'!V20</f>
        <v>14451.831234988102</v>
      </c>
      <c r="T94" s="602">
        <f>'4.Chi phi hoat dong'!W10+'4.Chi phi hoat dong'!W16+'4.Chi phi hoat dong'!W20</f>
        <v>6016.6413683988249</v>
      </c>
      <c r="U94" s="602">
        <f>'4.Chi phi hoat dong'!X10+'4.Chi phi hoat dong'!X16+'4.Chi phi hoat dong'!X20</f>
        <v>0</v>
      </c>
      <c r="V94" s="602">
        <f>'4.Chi phi hoat dong'!Y10+'4.Chi phi hoat dong'!Y16+'4.Chi phi hoat dong'!Y20</f>
        <v>0</v>
      </c>
      <c r="W94" s="602">
        <f>'4.Chi phi hoat dong'!Z10+'4.Chi phi hoat dong'!Z16+'4.Chi phi hoat dong'!Z20</f>
        <v>1156.1464987990482</v>
      </c>
      <c r="X94" s="602">
        <f>'4.Chi phi hoat dong'!AA10+'4.Chi phi hoat dong'!AA16+'4.Chi phi hoat dong'!AA20</f>
        <v>0</v>
      </c>
      <c r="Y94" s="602">
        <f>'4.Chi phi hoat dong'!AB10+'4.Chi phi hoat dong'!AB16+'4.Chi phi hoat dong'!AB20</f>
        <v>0</v>
      </c>
      <c r="Z94" s="602"/>
      <c r="AA94" s="602"/>
      <c r="AT94" s="565"/>
      <c r="AU94" s="565"/>
      <c r="AV94" s="565"/>
      <c r="AW94" s="565"/>
      <c r="AX94" s="565"/>
      <c r="AY94" s="565"/>
      <c r="AZ94" s="565"/>
      <c r="BA94" s="565"/>
      <c r="BB94" s="565"/>
      <c r="BC94" s="565"/>
      <c r="BD94" s="565"/>
      <c r="BE94" s="565"/>
      <c r="BF94" s="565"/>
      <c r="BG94" s="565"/>
      <c r="BH94" s="565"/>
      <c r="BI94" s="565"/>
      <c r="BJ94" s="565"/>
      <c r="BK94" s="565"/>
      <c r="BL94" s="565"/>
      <c r="BM94" s="565"/>
      <c r="BN94" s="565"/>
      <c r="BO94" s="565"/>
      <c r="BP94" s="565"/>
      <c r="BQ94" s="565"/>
      <c r="BR94" s="565"/>
      <c r="BS94" s="565"/>
      <c r="BT94" s="565"/>
      <c r="BU94" s="565"/>
      <c r="BV94" s="565"/>
      <c r="BW94" s="565"/>
      <c r="BX94" s="565"/>
      <c r="BY94" s="565"/>
      <c r="BZ94" s="565"/>
      <c r="CA94" s="565"/>
      <c r="CB94" s="565"/>
      <c r="CC94" s="565"/>
      <c r="CD94" s="565"/>
      <c r="CE94" s="565"/>
      <c r="CF94" s="565"/>
      <c r="CG94" s="565"/>
      <c r="CH94" s="565"/>
      <c r="CI94" s="565"/>
      <c r="CJ94" s="565"/>
      <c r="CK94" s="565"/>
      <c r="CL94" s="565"/>
      <c r="CM94" s="565"/>
      <c r="CN94" s="565"/>
      <c r="CO94" s="565"/>
      <c r="CP94" s="565"/>
      <c r="CQ94" s="565"/>
    </row>
    <row r="95" spans="2:95" hidden="1">
      <c r="B95" s="594">
        <v>1.4</v>
      </c>
      <c r="C95" s="595" t="s">
        <v>159</v>
      </c>
      <c r="D95" s="601" t="e">
        <f t="shared" si="253"/>
        <v>#REF!</v>
      </c>
      <c r="E95" s="602" t="e">
        <f>'4.Chi phi hoat dong'!#REF!+'4.Chi phi hoat dong'!G18</f>
        <v>#REF!</v>
      </c>
      <c r="F95" s="602" t="e">
        <f>'4.Chi phi hoat dong'!#REF!+'4.Chi phi hoat dong'!H18</f>
        <v>#REF!</v>
      </c>
      <c r="G95" s="602" t="e">
        <f>'4.Chi phi hoat dong'!#REF!+'4.Chi phi hoat dong'!J18</f>
        <v>#REF!</v>
      </c>
      <c r="H95" s="602" t="e">
        <f>'4.Chi phi hoat dong'!#REF!+'4.Chi phi hoat dong'!K18</f>
        <v>#REF!</v>
      </c>
      <c r="I95" s="602" t="e">
        <f>'4.Chi phi hoat dong'!#REF!+'4.Chi phi hoat dong'!L18</f>
        <v>#REF!</v>
      </c>
      <c r="J95" s="602" t="e">
        <f>'4.Chi phi hoat dong'!#REF!+'4.Chi phi hoat dong'!M18</f>
        <v>#REF!</v>
      </c>
      <c r="K95" s="602" t="e">
        <f>'4.Chi phi hoat dong'!#REF!+'4.Chi phi hoat dong'!N18</f>
        <v>#REF!</v>
      </c>
      <c r="L95" s="602" t="e">
        <f>'4.Chi phi hoat dong'!#REF!+'4.Chi phi hoat dong'!O18</f>
        <v>#REF!</v>
      </c>
      <c r="M95" s="602" t="e">
        <f>'4.Chi phi hoat dong'!#REF!+'4.Chi phi hoat dong'!P18</f>
        <v>#REF!</v>
      </c>
      <c r="N95" s="602" t="e">
        <f>'4.Chi phi hoat dong'!#REF!+'4.Chi phi hoat dong'!Q18</f>
        <v>#REF!</v>
      </c>
      <c r="O95" s="602" t="e">
        <f>'4.Chi phi hoat dong'!#REF!+'4.Chi phi hoat dong'!R18</f>
        <v>#REF!</v>
      </c>
      <c r="P95" s="602" t="e">
        <f>'4.Chi phi hoat dong'!#REF!+'4.Chi phi hoat dong'!S18</f>
        <v>#REF!</v>
      </c>
      <c r="Q95" s="602" t="e">
        <f>'4.Chi phi hoat dong'!#REF!+'4.Chi phi hoat dong'!T18</f>
        <v>#REF!</v>
      </c>
      <c r="R95" s="602" t="e">
        <f>'4.Chi phi hoat dong'!#REF!+'4.Chi phi hoat dong'!U18</f>
        <v>#REF!</v>
      </c>
      <c r="S95" s="602" t="e">
        <f>'4.Chi phi hoat dong'!#REF!+'4.Chi phi hoat dong'!V18</f>
        <v>#REF!</v>
      </c>
      <c r="T95" s="602" t="e">
        <f>'4.Chi phi hoat dong'!#REF!+'4.Chi phi hoat dong'!W18</f>
        <v>#REF!</v>
      </c>
      <c r="U95" s="602" t="e">
        <f>'4.Chi phi hoat dong'!#REF!+'4.Chi phi hoat dong'!X18</f>
        <v>#REF!</v>
      </c>
      <c r="V95" s="602" t="e">
        <f>'4.Chi phi hoat dong'!#REF!+'4.Chi phi hoat dong'!Y18</f>
        <v>#REF!</v>
      </c>
      <c r="W95" s="602" t="e">
        <f>'4.Chi phi hoat dong'!#REF!+'4.Chi phi hoat dong'!Z18</f>
        <v>#REF!</v>
      </c>
      <c r="X95" s="602" t="e">
        <f>'4.Chi phi hoat dong'!#REF!+'4.Chi phi hoat dong'!AA18</f>
        <v>#REF!</v>
      </c>
      <c r="Y95" s="602" t="e">
        <f>'4.Chi phi hoat dong'!#REF!+'4.Chi phi hoat dong'!AB18</f>
        <v>#REF!</v>
      </c>
      <c r="Z95" s="602"/>
      <c r="AA95" s="602"/>
      <c r="AT95" s="565"/>
      <c r="AU95" s="565"/>
      <c r="AV95" s="565"/>
      <c r="AW95" s="565"/>
      <c r="AX95" s="565"/>
      <c r="AY95" s="565"/>
      <c r="AZ95" s="565"/>
      <c r="BA95" s="565"/>
      <c r="BB95" s="565"/>
      <c r="BC95" s="565"/>
      <c r="BD95" s="565"/>
      <c r="BE95" s="565"/>
      <c r="BF95" s="565"/>
      <c r="BG95" s="565"/>
      <c r="BH95" s="565"/>
      <c r="BI95" s="565"/>
      <c r="BJ95" s="565"/>
      <c r="BK95" s="565"/>
      <c r="BL95" s="565"/>
      <c r="BM95" s="565"/>
      <c r="BN95" s="565"/>
      <c r="BO95" s="565"/>
      <c r="BP95" s="565"/>
      <c r="BQ95" s="565"/>
      <c r="BR95" s="565"/>
      <c r="BS95" s="565"/>
      <c r="BT95" s="565"/>
      <c r="BU95" s="565"/>
      <c r="BV95" s="565"/>
      <c r="BW95" s="565"/>
      <c r="BX95" s="565"/>
      <c r="BY95" s="565"/>
      <c r="BZ95" s="565"/>
      <c r="CA95" s="565"/>
      <c r="CB95" s="565"/>
      <c r="CC95" s="565"/>
      <c r="CD95" s="565"/>
      <c r="CE95" s="565"/>
      <c r="CF95" s="565"/>
      <c r="CG95" s="565"/>
      <c r="CH95" s="565"/>
      <c r="CI95" s="565"/>
      <c r="CJ95" s="565"/>
      <c r="CK95" s="565"/>
      <c r="CL95" s="565"/>
      <c r="CM95" s="565"/>
      <c r="CN95" s="565"/>
      <c r="CO95" s="565"/>
      <c r="CP95" s="565"/>
      <c r="CQ95" s="565"/>
    </row>
    <row r="96" spans="2:95" hidden="1">
      <c r="B96" s="594">
        <v>1.5</v>
      </c>
      <c r="C96" s="595" t="s">
        <v>160</v>
      </c>
      <c r="D96" s="601">
        <f t="shared" si="253"/>
        <v>129826.60879066808</v>
      </c>
      <c r="E96" s="602">
        <f>'4.Chi phi hoat dong'!G21</f>
        <v>0</v>
      </c>
      <c r="F96" s="602">
        <f>'4.Chi phi hoat dong'!H21</f>
        <v>0</v>
      </c>
      <c r="G96" s="602">
        <f>'4.Chi phi hoat dong'!J21</f>
        <v>0</v>
      </c>
      <c r="H96" s="602">
        <f>'4.Chi phi hoat dong'!K21</f>
        <v>0</v>
      </c>
      <c r="I96" s="602">
        <f>'4.Chi phi hoat dong'!L21</f>
        <v>1.0748573748225514E-12</v>
      </c>
      <c r="J96" s="602">
        <f>'4.Chi phi hoat dong'!M21</f>
        <v>0</v>
      </c>
      <c r="K96" s="602">
        <f>'4.Chi phi hoat dong'!N21</f>
        <v>0</v>
      </c>
      <c r="L96" s="602">
        <f>'4.Chi phi hoat dong'!O21</f>
        <v>0</v>
      </c>
      <c r="M96" s="602">
        <f>'4.Chi phi hoat dong'!P21</f>
        <v>0</v>
      </c>
      <c r="N96" s="602">
        <f>'4.Chi phi hoat dong'!Q21</f>
        <v>0</v>
      </c>
      <c r="O96" s="602">
        <f>'4.Chi phi hoat dong'!R21</f>
        <v>0</v>
      </c>
      <c r="P96" s="602">
        <f>'4.Chi phi hoat dong'!S21</f>
        <v>0</v>
      </c>
      <c r="Q96" s="602">
        <f>'4.Chi phi hoat dong'!T21</f>
        <v>18114.316184247837</v>
      </c>
      <c r="R96" s="602">
        <f>'4.Chi phi hoat dong'!U21</f>
        <v>8844.5088986538321</v>
      </c>
      <c r="S96" s="602">
        <f>'4.Chi phi hoat dong'!V21</f>
        <v>8493.5351538650502</v>
      </c>
      <c r="T96" s="602">
        <f>'4.Chi phi hoat dong'!W21</f>
        <v>75406.646727676911</v>
      </c>
      <c r="U96" s="602">
        <f>'4.Chi phi hoat dong'!X21</f>
        <v>0</v>
      </c>
      <c r="V96" s="602">
        <f>'4.Chi phi hoat dong'!Y21</f>
        <v>0</v>
      </c>
      <c r="W96" s="602">
        <f>'4.Chi phi hoat dong'!Z21</f>
        <v>18967.601826224447</v>
      </c>
      <c r="X96" s="602">
        <f>'4.Chi phi hoat dong'!AA21</f>
        <v>0</v>
      </c>
      <c r="Y96" s="602">
        <f>'4.Chi phi hoat dong'!AB21</f>
        <v>0</v>
      </c>
      <c r="Z96" s="602"/>
      <c r="AA96" s="602"/>
      <c r="AT96" s="565"/>
      <c r="AU96" s="565"/>
      <c r="AV96" s="565"/>
      <c r="AW96" s="565"/>
      <c r="AX96" s="565"/>
      <c r="AY96" s="565"/>
      <c r="AZ96" s="565"/>
      <c r="BA96" s="565"/>
      <c r="BB96" s="565"/>
      <c r="BC96" s="565"/>
      <c r="BD96" s="565"/>
      <c r="BE96" s="565"/>
      <c r="BF96" s="565"/>
      <c r="BG96" s="565"/>
      <c r="BH96" s="565"/>
      <c r="BI96" s="565"/>
      <c r="BJ96" s="565"/>
      <c r="BK96" s="565"/>
      <c r="BL96" s="565"/>
      <c r="BM96" s="565"/>
      <c r="BN96" s="565"/>
      <c r="BO96" s="565"/>
      <c r="BP96" s="565"/>
      <c r="BQ96" s="565"/>
      <c r="BR96" s="565"/>
      <c r="BS96" s="565"/>
      <c r="BT96" s="565"/>
      <c r="BU96" s="565"/>
      <c r="BV96" s="565"/>
      <c r="BW96" s="565"/>
      <c r="BX96" s="565"/>
      <c r="BY96" s="565"/>
      <c r="BZ96" s="565"/>
      <c r="CA96" s="565"/>
      <c r="CB96" s="565"/>
      <c r="CC96" s="565"/>
      <c r="CD96" s="565"/>
      <c r="CE96" s="565"/>
      <c r="CF96" s="565"/>
      <c r="CG96" s="565"/>
      <c r="CH96" s="565"/>
      <c r="CI96" s="565"/>
      <c r="CJ96" s="565"/>
      <c r="CK96" s="565"/>
      <c r="CL96" s="565"/>
      <c r="CM96" s="565"/>
      <c r="CN96" s="565"/>
      <c r="CO96" s="565"/>
      <c r="CP96" s="565"/>
      <c r="CQ96" s="565"/>
    </row>
    <row r="97" spans="2:95" hidden="1">
      <c r="B97" s="594">
        <v>1.6</v>
      </c>
      <c r="C97" s="595" t="s">
        <v>140</v>
      </c>
      <c r="D97" s="601">
        <f t="shared" si="253"/>
        <v>107451.012489154</v>
      </c>
      <c r="E97" s="602">
        <f>'7.CF'!F33</f>
        <v>0</v>
      </c>
      <c r="F97" s="602">
        <f>'7.CF'!G33</f>
        <v>0</v>
      </c>
      <c r="G97" s="602">
        <f>'7.CF'!I33</f>
        <v>0</v>
      </c>
      <c r="H97" s="602">
        <f>'7.CF'!J33</f>
        <v>0</v>
      </c>
      <c r="I97" s="602">
        <f>'7.CF'!K33</f>
        <v>0</v>
      </c>
      <c r="J97" s="602">
        <f>'7.CF'!L33</f>
        <v>0</v>
      </c>
      <c r="K97" s="602">
        <f>'7.CF'!M33</f>
        <v>0</v>
      </c>
      <c r="L97" s="602">
        <f>'7.CF'!N33</f>
        <v>0</v>
      </c>
      <c r="M97" s="602">
        <f>'7.CF'!O33</f>
        <v>5068.792822200372</v>
      </c>
      <c r="N97" s="602">
        <f>'7.CF'!P33</f>
        <v>5674.8327897190138</v>
      </c>
      <c r="O97" s="602">
        <f>'7.CF'!Q33</f>
        <v>2692.6241299724893</v>
      </c>
      <c r="P97" s="602">
        <f>'7.CF'!R33</f>
        <v>7093.8183953734515</v>
      </c>
      <c r="Q97" s="602">
        <f>'7.CF'!S33</f>
        <v>6873.0461999510089</v>
      </c>
      <c r="R97" s="602">
        <f>'7.CF'!T33</f>
        <v>5808.1622289799443</v>
      </c>
      <c r="S97" s="602">
        <f>'7.CF'!U33</f>
        <v>4624.5859951961929</v>
      </c>
      <c r="T97" s="602">
        <f>'7.CF'!V33</f>
        <v>12156.117004598247</v>
      </c>
      <c r="U97" s="602">
        <f>'7.CF'!W33</f>
        <v>0</v>
      </c>
      <c r="V97" s="602">
        <f>'7.CF'!X33</f>
        <v>0</v>
      </c>
      <c r="W97" s="602">
        <f>'7.CF'!Y33</f>
        <v>57459.032923163293</v>
      </c>
      <c r="X97" s="602">
        <f>'7.CF'!Z33</f>
        <v>0</v>
      </c>
      <c r="Y97" s="602">
        <f>'7.CF'!AA33</f>
        <v>0</v>
      </c>
      <c r="Z97" s="602"/>
      <c r="AA97" s="602"/>
      <c r="AT97" s="565"/>
      <c r="AU97" s="565"/>
      <c r="AV97" s="565"/>
      <c r="AW97" s="565"/>
      <c r="AX97" s="565"/>
      <c r="AY97" s="565"/>
      <c r="AZ97" s="565"/>
      <c r="BA97" s="565"/>
      <c r="BB97" s="565"/>
      <c r="BC97" s="565"/>
      <c r="BD97" s="565"/>
      <c r="BE97" s="565"/>
      <c r="BF97" s="565"/>
      <c r="BG97" s="565"/>
      <c r="BH97" s="565"/>
      <c r="BI97" s="565"/>
      <c r="BJ97" s="565"/>
      <c r="BK97" s="565"/>
      <c r="BL97" s="565"/>
      <c r="BM97" s="565"/>
      <c r="BN97" s="565"/>
      <c r="BO97" s="565"/>
      <c r="BP97" s="565"/>
      <c r="BQ97" s="565"/>
      <c r="BR97" s="565"/>
      <c r="BS97" s="565"/>
      <c r="BT97" s="565"/>
      <c r="BU97" s="565"/>
      <c r="BV97" s="565"/>
      <c r="BW97" s="565"/>
      <c r="BX97" s="565"/>
      <c r="BY97" s="565"/>
      <c r="BZ97" s="565"/>
      <c r="CA97" s="565"/>
      <c r="CB97" s="565"/>
      <c r="CC97" s="565"/>
      <c r="CD97" s="565"/>
      <c r="CE97" s="565"/>
      <c r="CF97" s="565"/>
      <c r="CG97" s="565"/>
      <c r="CH97" s="565"/>
      <c r="CI97" s="565"/>
      <c r="CJ97" s="565"/>
      <c r="CK97" s="565"/>
      <c r="CL97" s="565"/>
      <c r="CM97" s="565"/>
      <c r="CN97" s="565"/>
      <c r="CO97" s="565"/>
      <c r="CP97" s="565"/>
      <c r="CQ97" s="565"/>
    </row>
    <row r="98" spans="2:95" hidden="1">
      <c r="B98" s="594">
        <v>1.7</v>
      </c>
      <c r="C98" s="595" t="s">
        <v>64</v>
      </c>
      <c r="D98" s="601">
        <f t="shared" si="253"/>
        <v>108747.2930397637</v>
      </c>
      <c r="E98" s="602">
        <f>'6.Vay von'!F23</f>
        <v>0</v>
      </c>
      <c r="F98" s="602">
        <f>'6.Vay von'!G23</f>
        <v>0</v>
      </c>
      <c r="G98" s="602">
        <f>'6.Vay von'!I23</f>
        <v>0</v>
      </c>
      <c r="H98" s="602">
        <f>'6.Vay von'!J23</f>
        <v>0</v>
      </c>
      <c r="I98" s="602">
        <f>'6.Vay von'!K23</f>
        <v>0</v>
      </c>
      <c r="J98" s="602">
        <f>'6.Vay von'!L23</f>
        <v>10179.496736684761</v>
      </c>
      <c r="K98" s="602">
        <f>'6.Vay von'!M23</f>
        <v>10209.510088066814</v>
      </c>
      <c r="L98" s="602">
        <f>'6.Vay von'!N23</f>
        <v>11243.290321648259</v>
      </c>
      <c r="M98" s="602">
        <f>'6.Vay von'!O23</f>
        <v>16871.79415082898</v>
      </c>
      <c r="N98" s="602">
        <f>'6.Vay von'!P23</f>
        <v>18899.441970172109</v>
      </c>
      <c r="O98" s="602">
        <f>'6.Vay von'!Q23</f>
        <v>17265.296463035938</v>
      </c>
      <c r="P98" s="602">
        <f>'6.Vay von'!R23</f>
        <v>18036.359140024924</v>
      </c>
      <c r="Q98" s="602">
        <f>'6.Vay von'!S23</f>
        <v>6042.1041693019097</v>
      </c>
      <c r="R98" s="602">
        <f>'6.Vay von'!T23</f>
        <v>0</v>
      </c>
      <c r="S98" s="602">
        <f>'6.Vay von'!U23</f>
        <v>0</v>
      </c>
      <c r="T98" s="602">
        <f>'6.Vay von'!V23</f>
        <v>0</v>
      </c>
      <c r="U98" s="602">
        <f>'6.Vay von'!W23</f>
        <v>0</v>
      </c>
      <c r="V98" s="602">
        <f>'6.Vay von'!X23</f>
        <v>0</v>
      </c>
      <c r="W98" s="602">
        <f>'6.Vay von'!Y23</f>
        <v>0</v>
      </c>
      <c r="X98" s="602">
        <f>'6.Vay von'!Z23</f>
        <v>0</v>
      </c>
      <c r="Y98" s="602">
        <f>'6.Vay von'!AA23</f>
        <v>0</v>
      </c>
      <c r="Z98" s="602"/>
      <c r="AA98" s="602"/>
      <c r="AT98" s="565"/>
      <c r="AU98" s="565"/>
      <c r="AV98" s="565"/>
      <c r="AW98" s="565"/>
      <c r="AX98" s="565"/>
      <c r="AY98" s="565"/>
      <c r="AZ98" s="565"/>
      <c r="BA98" s="565"/>
      <c r="BB98" s="565"/>
      <c r="BC98" s="565"/>
      <c r="BD98" s="565"/>
      <c r="BE98" s="565"/>
      <c r="BF98" s="565"/>
      <c r="BG98" s="565"/>
      <c r="BH98" s="565"/>
      <c r="BI98" s="565"/>
      <c r="BJ98" s="565"/>
      <c r="BK98" s="565"/>
      <c r="BL98" s="565"/>
      <c r="BM98" s="565"/>
      <c r="BN98" s="565"/>
      <c r="BO98" s="565"/>
      <c r="BP98" s="565"/>
      <c r="BQ98" s="565"/>
      <c r="BR98" s="565"/>
      <c r="BS98" s="565"/>
      <c r="BT98" s="565"/>
      <c r="BU98" s="565"/>
      <c r="BV98" s="565"/>
      <c r="BW98" s="565"/>
      <c r="BX98" s="565"/>
      <c r="BY98" s="565"/>
      <c r="BZ98" s="565"/>
      <c r="CA98" s="565"/>
      <c r="CB98" s="565"/>
      <c r="CC98" s="565"/>
      <c r="CD98" s="565"/>
      <c r="CE98" s="565"/>
      <c r="CF98" s="565"/>
      <c r="CG98" s="565"/>
      <c r="CH98" s="565"/>
      <c r="CI98" s="565"/>
      <c r="CJ98" s="565"/>
      <c r="CK98" s="565"/>
      <c r="CL98" s="565"/>
      <c r="CM98" s="565"/>
      <c r="CN98" s="565"/>
      <c r="CO98" s="565"/>
      <c r="CP98" s="565"/>
      <c r="CQ98" s="565"/>
    </row>
    <row r="99" spans="2:95" hidden="1">
      <c r="B99" s="603">
        <v>2</v>
      </c>
      <c r="C99" s="591" t="s">
        <v>161</v>
      </c>
      <c r="D99" s="592">
        <f t="shared" si="253"/>
        <v>4199620.7693177816</v>
      </c>
      <c r="E99" s="604">
        <f>SUM(E100:E101)</f>
        <v>0</v>
      </c>
      <c r="F99" s="604">
        <f t="shared" ref="F99:Y99" si="259">SUM(F100:F101)</f>
        <v>0</v>
      </c>
      <c r="G99" s="604">
        <f t="shared" si="259"/>
        <v>0</v>
      </c>
      <c r="H99" s="604">
        <f t="shared" si="259"/>
        <v>0</v>
      </c>
      <c r="I99" s="604">
        <f t="shared" si="259"/>
        <v>0</v>
      </c>
      <c r="J99" s="604">
        <f t="shared" si="259"/>
        <v>0</v>
      </c>
      <c r="K99" s="604">
        <f t="shared" si="259"/>
        <v>472817.71590488468</v>
      </c>
      <c r="L99" s="604">
        <f t="shared" si="259"/>
        <v>475700.75075796357</v>
      </c>
      <c r="M99" s="604">
        <f t="shared" si="259"/>
        <v>125988.62307953343</v>
      </c>
      <c r="N99" s="604">
        <f t="shared" si="259"/>
        <v>442161.44530048297</v>
      </c>
      <c r="O99" s="604">
        <f t="shared" si="259"/>
        <v>484157.65299366077</v>
      </c>
      <c r="P99" s="604">
        <f t="shared" si="259"/>
        <v>518946.27355414332</v>
      </c>
      <c r="Q99" s="604">
        <f t="shared" si="259"/>
        <v>419962.07693177817</v>
      </c>
      <c r="R99" s="604">
        <f t="shared" si="259"/>
        <v>1049905.1923294454</v>
      </c>
      <c r="S99" s="604">
        <f t="shared" si="259"/>
        <v>0</v>
      </c>
      <c r="T99" s="604">
        <f t="shared" si="259"/>
        <v>0</v>
      </c>
      <c r="U99" s="604">
        <f t="shared" si="259"/>
        <v>209981.03846588908</v>
      </c>
      <c r="V99" s="604">
        <f t="shared" si="259"/>
        <v>0</v>
      </c>
      <c r="W99" s="604">
        <f t="shared" si="259"/>
        <v>0</v>
      </c>
      <c r="X99" s="604">
        <f t="shared" si="259"/>
        <v>0</v>
      </c>
      <c r="Y99" s="604">
        <f t="shared" si="259"/>
        <v>0</v>
      </c>
      <c r="Z99" s="604"/>
      <c r="AA99" s="604"/>
      <c r="AT99" s="565"/>
      <c r="AU99" s="565"/>
      <c r="AV99" s="565"/>
      <c r="AW99" s="565"/>
      <c r="AX99" s="565"/>
      <c r="AY99" s="565"/>
      <c r="AZ99" s="565"/>
      <c r="BA99" s="565"/>
      <c r="BB99" s="565"/>
      <c r="BC99" s="565"/>
      <c r="BD99" s="565"/>
      <c r="BE99" s="565"/>
      <c r="BF99" s="565"/>
      <c r="BG99" s="565"/>
      <c r="BH99" s="565"/>
      <c r="BI99" s="565"/>
      <c r="BJ99" s="565"/>
      <c r="BK99" s="565"/>
      <c r="BL99" s="565"/>
      <c r="BM99" s="565"/>
      <c r="BN99" s="565"/>
      <c r="BO99" s="565"/>
      <c r="BP99" s="565"/>
      <c r="BQ99" s="565"/>
      <c r="BR99" s="565"/>
      <c r="BS99" s="565"/>
      <c r="BT99" s="565"/>
      <c r="BU99" s="565"/>
      <c r="BV99" s="565"/>
      <c r="BW99" s="565"/>
      <c r="BX99" s="565"/>
      <c r="BY99" s="565"/>
      <c r="BZ99" s="565"/>
      <c r="CA99" s="565"/>
      <c r="CB99" s="565"/>
      <c r="CC99" s="565"/>
      <c r="CD99" s="565"/>
      <c r="CE99" s="565"/>
      <c r="CF99" s="565"/>
      <c r="CG99" s="565"/>
      <c r="CH99" s="565"/>
      <c r="CI99" s="565"/>
      <c r="CJ99" s="565"/>
      <c r="CK99" s="565"/>
      <c r="CL99" s="565"/>
      <c r="CM99" s="565"/>
      <c r="CN99" s="565"/>
      <c r="CO99" s="565"/>
      <c r="CP99" s="565"/>
      <c r="CQ99" s="565"/>
    </row>
    <row r="100" spans="2:95" hidden="1">
      <c r="B100" s="605"/>
      <c r="C100" s="606" t="s">
        <v>162</v>
      </c>
      <c r="D100" s="599">
        <f t="shared" si="253"/>
        <v>4199620.7693177816</v>
      </c>
      <c r="E100" s="607">
        <f>'5.Doanh thu'!H15</f>
        <v>0</v>
      </c>
      <c r="F100" s="607">
        <f>'5.Doanh thu'!I15</f>
        <v>0</v>
      </c>
      <c r="G100" s="607">
        <f>'5.Doanh thu'!M15</f>
        <v>0</v>
      </c>
      <c r="H100" s="607">
        <f>'5.Doanh thu'!N15</f>
        <v>0</v>
      </c>
      <c r="I100" s="607">
        <f>'5.Doanh thu'!O15</f>
        <v>0</v>
      </c>
      <c r="J100" s="607">
        <f>'5.Doanh thu'!P15</f>
        <v>0</v>
      </c>
      <c r="K100" s="607">
        <f>'5.Doanh thu'!Q15</f>
        <v>472817.71590488468</v>
      </c>
      <c r="L100" s="607">
        <f>'5.Doanh thu'!R15</f>
        <v>475700.75075796357</v>
      </c>
      <c r="M100" s="607">
        <f>'5.Doanh thu'!S15</f>
        <v>125988.62307953343</v>
      </c>
      <c r="N100" s="607">
        <f>'5.Doanh thu'!T15</f>
        <v>442161.44530048297</v>
      </c>
      <c r="O100" s="607">
        <f>'5.Doanh thu'!U15</f>
        <v>484157.65299366077</v>
      </c>
      <c r="P100" s="607">
        <f>'5.Doanh thu'!V15</f>
        <v>518946.27355414332</v>
      </c>
      <c r="Q100" s="607">
        <f>'5.Doanh thu'!W15</f>
        <v>419962.07693177817</v>
      </c>
      <c r="R100" s="607">
        <f>'5.Doanh thu'!X15</f>
        <v>1049905.1923294454</v>
      </c>
      <c r="S100" s="607">
        <f>'5.Doanh thu'!Y15</f>
        <v>0</v>
      </c>
      <c r="T100" s="607">
        <f>'5.Doanh thu'!Z15</f>
        <v>0</v>
      </c>
      <c r="U100" s="607">
        <f>'5.Doanh thu'!AA15</f>
        <v>209981.03846588908</v>
      </c>
      <c r="V100" s="607">
        <f>'5.Doanh thu'!AB15</f>
        <v>0</v>
      </c>
      <c r="W100" s="607">
        <f>'5.Doanh thu'!AC15</f>
        <v>0</v>
      </c>
      <c r="X100" s="607">
        <f>'5.Doanh thu'!AD15</f>
        <v>0</v>
      </c>
      <c r="Y100" s="607">
        <f>'5.Doanh thu'!AE15</f>
        <v>0</v>
      </c>
      <c r="Z100" s="607"/>
      <c r="AA100" s="607"/>
      <c r="AT100" s="565"/>
      <c r="AU100" s="565"/>
      <c r="AV100" s="565"/>
      <c r="AW100" s="565"/>
      <c r="AX100" s="565"/>
      <c r="AY100" s="565"/>
      <c r="AZ100" s="565"/>
      <c r="BA100" s="565"/>
      <c r="BB100" s="565"/>
      <c r="BC100" s="565"/>
      <c r="BD100" s="565"/>
      <c r="BE100" s="565"/>
      <c r="BF100" s="565"/>
      <c r="BG100" s="565"/>
      <c r="BH100" s="565"/>
      <c r="BI100" s="565"/>
      <c r="BJ100" s="565"/>
      <c r="BK100" s="565"/>
      <c r="BL100" s="565"/>
      <c r="BM100" s="565"/>
      <c r="BN100" s="565"/>
      <c r="BO100" s="565"/>
      <c r="BP100" s="565"/>
      <c r="BQ100" s="565"/>
      <c r="BR100" s="565"/>
      <c r="BS100" s="565"/>
      <c r="BT100" s="565"/>
      <c r="BU100" s="565"/>
      <c r="BV100" s="565"/>
      <c r="BW100" s="565"/>
      <c r="BX100" s="565"/>
      <c r="BY100" s="565"/>
      <c r="BZ100" s="565"/>
      <c r="CA100" s="565"/>
      <c r="CB100" s="565"/>
      <c r="CC100" s="565"/>
      <c r="CD100" s="565"/>
      <c r="CE100" s="565"/>
      <c r="CF100" s="565"/>
      <c r="CG100" s="565"/>
      <c r="CH100" s="565"/>
      <c r="CI100" s="565"/>
      <c r="CJ100" s="565"/>
      <c r="CK100" s="565"/>
      <c r="CL100" s="565"/>
      <c r="CM100" s="565"/>
      <c r="CN100" s="565"/>
      <c r="CO100" s="565"/>
      <c r="CP100" s="565"/>
      <c r="CQ100" s="565"/>
    </row>
    <row r="101" spans="2:95" hidden="1">
      <c r="B101" s="605"/>
      <c r="C101" s="606" t="s">
        <v>163</v>
      </c>
      <c r="D101" s="599">
        <f t="shared" si="253"/>
        <v>0</v>
      </c>
      <c r="E101" s="607">
        <f>'5.Doanh thu'!H79</f>
        <v>0</v>
      </c>
      <c r="F101" s="607">
        <f>'5.Doanh thu'!I79</f>
        <v>0</v>
      </c>
      <c r="G101" s="607">
        <f>'5.Doanh thu'!M79</f>
        <v>0</v>
      </c>
      <c r="H101" s="607">
        <f>'5.Doanh thu'!N79</f>
        <v>0</v>
      </c>
      <c r="I101" s="607">
        <f>'5.Doanh thu'!O79</f>
        <v>0</v>
      </c>
      <c r="J101" s="607">
        <f>'5.Doanh thu'!P79</f>
        <v>0</v>
      </c>
      <c r="K101" s="607">
        <f>'5.Doanh thu'!Q79</f>
        <v>0</v>
      </c>
      <c r="L101" s="607">
        <f>'5.Doanh thu'!R79</f>
        <v>0</v>
      </c>
      <c r="M101" s="607">
        <f>'5.Doanh thu'!S79</f>
        <v>0</v>
      </c>
      <c r="N101" s="607">
        <f>'5.Doanh thu'!T79</f>
        <v>0</v>
      </c>
      <c r="O101" s="607">
        <f>'5.Doanh thu'!U79</f>
        <v>0</v>
      </c>
      <c r="P101" s="607">
        <f>'5.Doanh thu'!V79</f>
        <v>0</v>
      </c>
      <c r="Q101" s="607">
        <f>'5.Doanh thu'!W79</f>
        <v>0</v>
      </c>
      <c r="R101" s="607">
        <f>'5.Doanh thu'!X79</f>
        <v>0</v>
      </c>
      <c r="S101" s="607">
        <f>'5.Doanh thu'!Y79</f>
        <v>0</v>
      </c>
      <c r="T101" s="607">
        <f>'5.Doanh thu'!Z79</f>
        <v>0</v>
      </c>
      <c r="U101" s="607">
        <f>'5.Doanh thu'!AA79</f>
        <v>0</v>
      </c>
      <c r="V101" s="607">
        <f>'5.Doanh thu'!AB79</f>
        <v>0</v>
      </c>
      <c r="W101" s="607">
        <f>'5.Doanh thu'!AC79</f>
        <v>0</v>
      </c>
      <c r="X101" s="607">
        <f>'5.Doanh thu'!AD79</f>
        <v>0</v>
      </c>
      <c r="Y101" s="607">
        <f>'5.Doanh thu'!AE79</f>
        <v>0</v>
      </c>
      <c r="Z101" s="607"/>
      <c r="AA101" s="607"/>
      <c r="AT101" s="565"/>
      <c r="AU101" s="565"/>
      <c r="AV101" s="565"/>
      <c r="AW101" s="565"/>
      <c r="AX101" s="565"/>
      <c r="AY101" s="565"/>
      <c r="AZ101" s="565"/>
      <c r="BA101" s="565"/>
      <c r="BB101" s="565"/>
      <c r="BC101" s="565"/>
      <c r="BD101" s="565"/>
      <c r="BE101" s="565"/>
      <c r="BF101" s="565"/>
      <c r="BG101" s="565"/>
      <c r="BH101" s="565"/>
      <c r="BI101" s="565"/>
      <c r="BJ101" s="565"/>
      <c r="BK101" s="565"/>
      <c r="BL101" s="565"/>
      <c r="BM101" s="565"/>
      <c r="BN101" s="565"/>
      <c r="BO101" s="565"/>
      <c r="BP101" s="565"/>
      <c r="BQ101" s="565"/>
      <c r="BR101" s="565"/>
      <c r="BS101" s="565"/>
      <c r="BT101" s="565"/>
      <c r="BU101" s="565"/>
      <c r="BV101" s="565"/>
      <c r="BW101" s="565"/>
      <c r="BX101" s="565"/>
      <c r="BY101" s="565"/>
      <c r="BZ101" s="565"/>
      <c r="CA101" s="565"/>
      <c r="CB101" s="565"/>
      <c r="CC101" s="565"/>
      <c r="CD101" s="565"/>
      <c r="CE101" s="565"/>
      <c r="CF101" s="565"/>
      <c r="CG101" s="565"/>
      <c r="CH101" s="565"/>
      <c r="CI101" s="565"/>
      <c r="CJ101" s="565"/>
      <c r="CK101" s="565"/>
      <c r="CL101" s="565"/>
      <c r="CM101" s="565"/>
      <c r="CN101" s="565"/>
      <c r="CO101" s="565"/>
      <c r="CP101" s="565"/>
      <c r="CQ101" s="565"/>
    </row>
    <row r="102" spans="2:95" hidden="1">
      <c r="B102" s="608">
        <v>3</v>
      </c>
      <c r="C102" s="609" t="s">
        <v>164</v>
      </c>
      <c r="D102" s="592" t="e">
        <f t="shared" si="253"/>
        <v>#REF!</v>
      </c>
      <c r="E102" s="610" t="e">
        <f>E99-E89</f>
        <v>#REF!</v>
      </c>
      <c r="F102" s="610" t="e">
        <f t="shared" ref="F102:Y102" si="260">F99-F89</f>
        <v>#REF!</v>
      </c>
      <c r="G102" s="610" t="e">
        <f t="shared" si="260"/>
        <v>#REF!</v>
      </c>
      <c r="H102" s="610" t="e">
        <f t="shared" si="260"/>
        <v>#REF!</v>
      </c>
      <c r="I102" s="610" t="e">
        <f t="shared" si="260"/>
        <v>#REF!</v>
      </c>
      <c r="J102" s="610" t="e">
        <f t="shared" si="260"/>
        <v>#REF!</v>
      </c>
      <c r="K102" s="610" t="e">
        <f t="shared" si="260"/>
        <v>#REF!</v>
      </c>
      <c r="L102" s="610" t="e">
        <f t="shared" si="260"/>
        <v>#REF!</v>
      </c>
      <c r="M102" s="610" t="e">
        <f t="shared" si="260"/>
        <v>#REF!</v>
      </c>
      <c r="N102" s="610" t="e">
        <f t="shared" si="260"/>
        <v>#REF!</v>
      </c>
      <c r="O102" s="610" t="e">
        <f t="shared" si="260"/>
        <v>#REF!</v>
      </c>
      <c r="P102" s="610" t="e">
        <f t="shared" si="260"/>
        <v>#REF!</v>
      </c>
      <c r="Q102" s="610" t="e">
        <f t="shared" si="260"/>
        <v>#REF!</v>
      </c>
      <c r="R102" s="610" t="e">
        <f t="shared" si="260"/>
        <v>#REF!</v>
      </c>
      <c r="S102" s="610" t="e">
        <f t="shared" si="260"/>
        <v>#REF!</v>
      </c>
      <c r="T102" s="610" t="e">
        <f t="shared" si="260"/>
        <v>#REF!</v>
      </c>
      <c r="U102" s="610" t="e">
        <f t="shared" si="260"/>
        <v>#REF!</v>
      </c>
      <c r="V102" s="610" t="e">
        <f t="shared" si="260"/>
        <v>#REF!</v>
      </c>
      <c r="W102" s="610" t="e">
        <f t="shared" si="260"/>
        <v>#REF!</v>
      </c>
      <c r="X102" s="610" t="e">
        <f t="shared" si="260"/>
        <v>#REF!</v>
      </c>
      <c r="Y102" s="610" t="e">
        <f t="shared" si="260"/>
        <v>#REF!</v>
      </c>
      <c r="Z102" s="610"/>
      <c r="AA102" s="610"/>
      <c r="AT102" s="565"/>
      <c r="AU102" s="565"/>
      <c r="AV102" s="565"/>
      <c r="AW102" s="565"/>
      <c r="AX102" s="565"/>
      <c r="AY102" s="565"/>
      <c r="AZ102" s="565"/>
      <c r="BA102" s="565"/>
      <c r="BB102" s="565"/>
      <c r="BC102" s="565"/>
      <c r="BD102" s="565"/>
      <c r="BE102" s="565"/>
      <c r="BF102" s="565"/>
      <c r="BG102" s="565"/>
      <c r="BH102" s="565"/>
      <c r="BI102" s="565"/>
      <c r="BJ102" s="565"/>
      <c r="BK102" s="565"/>
      <c r="BL102" s="565"/>
      <c r="BM102" s="565"/>
      <c r="BN102" s="565"/>
      <c r="BO102" s="565"/>
      <c r="BP102" s="565"/>
      <c r="BQ102" s="565"/>
      <c r="BR102" s="565"/>
      <c r="BS102" s="565"/>
      <c r="BT102" s="565"/>
      <c r="BU102" s="565"/>
      <c r="BV102" s="565"/>
      <c r="BW102" s="565"/>
      <c r="BX102" s="565"/>
      <c r="BY102" s="565"/>
      <c r="BZ102" s="565"/>
      <c r="CA102" s="565"/>
      <c r="CB102" s="565"/>
      <c r="CC102" s="565"/>
      <c r="CD102" s="565"/>
      <c r="CE102" s="565"/>
      <c r="CF102" s="565"/>
      <c r="CG102" s="565"/>
      <c r="CH102" s="565"/>
      <c r="CI102" s="565"/>
      <c r="CJ102" s="565"/>
      <c r="CK102" s="565"/>
      <c r="CL102" s="565"/>
      <c r="CM102" s="565"/>
      <c r="CN102" s="565"/>
      <c r="CO102" s="565"/>
      <c r="CP102" s="565"/>
      <c r="CQ102" s="565"/>
    </row>
    <row r="103" spans="2:95" hidden="1">
      <c r="B103" s="611"/>
      <c r="C103" s="612" t="s">
        <v>165</v>
      </c>
      <c r="D103" s="599">
        <f t="shared" si="253"/>
        <v>655683.48823870323</v>
      </c>
      <c r="E103" s="607">
        <f>'6.Vay von'!F18</f>
        <v>0</v>
      </c>
      <c r="F103" s="607">
        <f>'6.Vay von'!G18</f>
        <v>0</v>
      </c>
      <c r="G103" s="607">
        <f>'6.Vay von'!I18</f>
        <v>0</v>
      </c>
      <c r="H103" s="607">
        <f>'6.Vay von'!J18</f>
        <v>0</v>
      </c>
      <c r="I103" s="607">
        <f>'6.Vay von'!K18</f>
        <v>339316.55788949208</v>
      </c>
      <c r="J103" s="607">
        <f>'6.Vay von'!L18</f>
        <v>1000.4450460683823</v>
      </c>
      <c r="K103" s="607">
        <f>'6.Vay von'!M18</f>
        <v>34459.34111938149</v>
      </c>
      <c r="L103" s="607">
        <f>'6.Vay von'!N18</f>
        <v>187616.79430602398</v>
      </c>
      <c r="M103" s="607">
        <f>'6.Vay von'!O18</f>
        <v>67588.260644771042</v>
      </c>
      <c r="N103" s="607">
        <f>'6.Vay von'!P18</f>
        <v>0</v>
      </c>
      <c r="O103" s="607">
        <f>'6.Vay von'!Q18</f>
        <v>25702.089232966187</v>
      </c>
      <c r="P103" s="607">
        <f>'6.Vay von'!R18</f>
        <v>0</v>
      </c>
      <c r="Q103" s="607">
        <f>'6.Vay von'!S18</f>
        <v>0</v>
      </c>
      <c r="R103" s="607">
        <f>'6.Vay von'!T18</f>
        <v>0</v>
      </c>
      <c r="S103" s="607">
        <f>'6.Vay von'!U18</f>
        <v>0</v>
      </c>
      <c r="T103" s="607">
        <f>'6.Vay von'!V18</f>
        <v>0</v>
      </c>
      <c r="U103" s="607">
        <f>'6.Vay von'!W18</f>
        <v>0</v>
      </c>
      <c r="V103" s="607">
        <f>'6.Vay von'!X18</f>
        <v>0</v>
      </c>
      <c r="W103" s="607">
        <f>'6.Vay von'!Y18</f>
        <v>0</v>
      </c>
      <c r="X103" s="607">
        <f>'6.Vay von'!Z18</f>
        <v>0</v>
      </c>
      <c r="Y103" s="607">
        <f>'6.Vay von'!AA18</f>
        <v>0</v>
      </c>
      <c r="Z103" s="607"/>
      <c r="AA103" s="607"/>
      <c r="AT103" s="565"/>
      <c r="AU103" s="565"/>
      <c r="AV103" s="565"/>
      <c r="AW103" s="565"/>
      <c r="AX103" s="565"/>
      <c r="AY103" s="565"/>
      <c r="AZ103" s="565"/>
      <c r="BA103" s="565"/>
      <c r="BB103" s="565"/>
      <c r="BC103" s="565"/>
      <c r="BD103" s="565"/>
      <c r="BE103" s="565"/>
      <c r="BF103" s="565"/>
      <c r="BG103" s="565"/>
      <c r="BH103" s="565"/>
      <c r="BI103" s="565"/>
      <c r="BJ103" s="565"/>
      <c r="BK103" s="565"/>
      <c r="BL103" s="565"/>
      <c r="BM103" s="565"/>
      <c r="BN103" s="565"/>
      <c r="BO103" s="565"/>
      <c r="BP103" s="565"/>
      <c r="BQ103" s="565"/>
      <c r="BR103" s="565"/>
      <c r="BS103" s="565"/>
      <c r="BT103" s="565"/>
      <c r="BU103" s="565"/>
      <c r="BV103" s="565"/>
      <c r="BW103" s="565"/>
      <c r="BX103" s="565"/>
      <c r="BY103" s="565"/>
      <c r="BZ103" s="565"/>
      <c r="CA103" s="565"/>
      <c r="CB103" s="565"/>
      <c r="CC103" s="565"/>
      <c r="CD103" s="565"/>
      <c r="CE103" s="565"/>
      <c r="CF103" s="565"/>
      <c r="CG103" s="565"/>
      <c r="CH103" s="565"/>
      <c r="CI103" s="565"/>
      <c r="CJ103" s="565"/>
      <c r="CK103" s="565"/>
      <c r="CL103" s="565"/>
      <c r="CM103" s="565"/>
      <c r="CN103" s="565"/>
      <c r="CO103" s="565"/>
      <c r="CP103" s="565"/>
      <c r="CQ103" s="565"/>
    </row>
    <row r="104" spans="2:95" hidden="1">
      <c r="B104" s="611"/>
      <c r="C104" s="612" t="s">
        <v>166</v>
      </c>
      <c r="D104" s="599">
        <f t="shared" si="253"/>
        <v>655683.48823870323</v>
      </c>
      <c r="E104" s="607">
        <f>'6.Vay von'!F21</f>
        <v>0</v>
      </c>
      <c r="F104" s="607">
        <f>'6.Vay von'!G21</f>
        <v>0</v>
      </c>
      <c r="G104" s="607">
        <f>'6.Vay von'!I21</f>
        <v>0</v>
      </c>
      <c r="H104" s="607">
        <f>'6.Vay von'!J21</f>
        <v>0</v>
      </c>
      <c r="I104" s="607">
        <f>'6.Vay von'!K21</f>
        <v>0</v>
      </c>
      <c r="J104" s="607">
        <f>'6.Vay von'!L21</f>
        <v>0</v>
      </c>
      <c r="K104" s="607">
        <f>'6.Vay von'!M21</f>
        <v>0</v>
      </c>
      <c r="L104" s="607">
        <f>'6.Vay von'!N21</f>
        <v>0</v>
      </c>
      <c r="M104" s="607">
        <f>'6.Vay von'!O21</f>
        <v>0</v>
      </c>
      <c r="N104" s="607">
        <f>'6.Vay von'!P21</f>
        <v>54471.51690453905</v>
      </c>
      <c r="O104" s="607">
        <f>'6.Vay von'!Q21</f>
        <v>0</v>
      </c>
      <c r="P104" s="607">
        <f>'6.Vay von'!R21</f>
        <v>399808.49902410049</v>
      </c>
      <c r="Q104" s="607">
        <f>'6.Vay von'!S21</f>
        <v>201403.47231006366</v>
      </c>
      <c r="R104" s="607">
        <f>'6.Vay von'!T21</f>
        <v>0</v>
      </c>
      <c r="S104" s="607">
        <f>'6.Vay von'!U21</f>
        <v>0</v>
      </c>
      <c r="T104" s="607">
        <f>'6.Vay von'!V21</f>
        <v>0</v>
      </c>
      <c r="U104" s="607">
        <f>'6.Vay von'!W21</f>
        <v>0</v>
      </c>
      <c r="V104" s="607">
        <f>'6.Vay von'!X21</f>
        <v>0</v>
      </c>
      <c r="W104" s="607">
        <f>'6.Vay von'!Y21</f>
        <v>0</v>
      </c>
      <c r="X104" s="607">
        <f>'6.Vay von'!Z21</f>
        <v>0</v>
      </c>
      <c r="Y104" s="607">
        <f>'6.Vay von'!AA21</f>
        <v>0</v>
      </c>
      <c r="Z104" s="607"/>
      <c r="AA104" s="607"/>
      <c r="AT104" s="565"/>
      <c r="AU104" s="565"/>
      <c r="AV104" s="565"/>
      <c r="AW104" s="565"/>
      <c r="AX104" s="565"/>
      <c r="AY104" s="565"/>
      <c r="AZ104" s="565"/>
      <c r="BA104" s="565"/>
      <c r="BB104" s="565"/>
      <c r="BC104" s="565"/>
      <c r="BD104" s="565"/>
      <c r="BE104" s="565"/>
      <c r="BF104" s="565"/>
      <c r="BG104" s="565"/>
      <c r="BH104" s="565"/>
      <c r="BI104" s="565"/>
      <c r="BJ104" s="565"/>
      <c r="BK104" s="565"/>
      <c r="BL104" s="565"/>
      <c r="BM104" s="565"/>
      <c r="BN104" s="565"/>
      <c r="BO104" s="565"/>
      <c r="BP104" s="565"/>
      <c r="BQ104" s="565"/>
      <c r="BR104" s="565"/>
      <c r="BS104" s="565"/>
      <c r="BT104" s="565"/>
      <c r="BU104" s="565"/>
      <c r="BV104" s="565"/>
      <c r="BW104" s="565"/>
      <c r="BX104" s="565"/>
      <c r="BY104" s="565"/>
      <c r="BZ104" s="565"/>
      <c r="CA104" s="565"/>
      <c r="CB104" s="565"/>
      <c r="CC104" s="565"/>
      <c r="CD104" s="565"/>
      <c r="CE104" s="565"/>
      <c r="CF104" s="565"/>
      <c r="CG104" s="565"/>
      <c r="CH104" s="565"/>
      <c r="CI104" s="565"/>
      <c r="CJ104" s="565"/>
      <c r="CK104" s="565"/>
      <c r="CL104" s="565"/>
      <c r="CM104" s="565"/>
      <c r="CN104" s="565"/>
      <c r="CO104" s="565"/>
      <c r="CP104" s="565"/>
      <c r="CQ104" s="565"/>
    </row>
    <row r="105" spans="2:95" hidden="1">
      <c r="B105" s="611"/>
      <c r="C105" s="612" t="s">
        <v>167</v>
      </c>
      <c r="D105" s="599">
        <f t="shared" si="253"/>
        <v>449975.15434106963</v>
      </c>
      <c r="E105" s="607">
        <f>'6.Vay von'!F17</f>
        <v>0</v>
      </c>
      <c r="F105" s="607">
        <f>'6.Vay von'!G17</f>
        <v>156000</v>
      </c>
      <c r="G105" s="607">
        <f>'6.Vay von'!I17</f>
        <v>4263.4452937083088</v>
      </c>
      <c r="H105" s="607">
        <f>'6.Vay von'!J17</f>
        <v>4263.4452937083088</v>
      </c>
      <c r="I105" s="607">
        <f>'6.Vay von'!K17</f>
        <v>149684.82724634779</v>
      </c>
      <c r="J105" s="607">
        <f>'6.Vay von'!L17</f>
        <v>19135.149486702114</v>
      </c>
      <c r="K105" s="607">
        <f>'6.Vay von'!M17</f>
        <v>24977.799139230316</v>
      </c>
      <c r="L105" s="607">
        <f>'6.Vay von'!N17</f>
        <v>91650.487881372799</v>
      </c>
      <c r="M105" s="607">
        <f>'6.Vay von'!O17</f>
        <v>0</v>
      </c>
      <c r="N105" s="607">
        <f>'6.Vay von'!P17</f>
        <v>0</v>
      </c>
      <c r="O105" s="607">
        <f>'6.Vay von'!Q17</f>
        <v>0</v>
      </c>
      <c r="P105" s="607">
        <f>'6.Vay von'!R17</f>
        <v>0</v>
      </c>
      <c r="Q105" s="607">
        <f>'6.Vay von'!S17</f>
        <v>0</v>
      </c>
      <c r="R105" s="607">
        <f>'6.Vay von'!T17</f>
        <v>0</v>
      </c>
      <c r="S105" s="607">
        <f>'6.Vay von'!U17</f>
        <v>0</v>
      </c>
      <c r="T105" s="607">
        <f>'6.Vay von'!V17</f>
        <v>0</v>
      </c>
      <c r="U105" s="607">
        <f>'6.Vay von'!W17</f>
        <v>0</v>
      </c>
      <c r="V105" s="607">
        <f>'6.Vay von'!X17</f>
        <v>0</v>
      </c>
      <c r="W105" s="607">
        <f>'6.Vay von'!Y17</f>
        <v>0</v>
      </c>
      <c r="X105" s="607">
        <f>'6.Vay von'!Z17</f>
        <v>0</v>
      </c>
      <c r="Y105" s="607">
        <f>'6.Vay von'!AA17</f>
        <v>0</v>
      </c>
      <c r="Z105" s="607"/>
      <c r="AA105" s="607"/>
      <c r="AT105" s="565"/>
      <c r="AU105" s="565"/>
      <c r="AV105" s="565"/>
      <c r="AW105" s="565"/>
      <c r="AX105" s="565"/>
      <c r="AY105" s="565"/>
      <c r="AZ105" s="565"/>
      <c r="BA105" s="565"/>
      <c r="BB105" s="565"/>
      <c r="BC105" s="565"/>
      <c r="BD105" s="565"/>
      <c r="BE105" s="565"/>
      <c r="BF105" s="565"/>
      <c r="BG105" s="565"/>
      <c r="BH105" s="565"/>
      <c r="BI105" s="565"/>
      <c r="BJ105" s="565"/>
      <c r="BK105" s="565"/>
      <c r="BL105" s="565"/>
      <c r="BM105" s="565"/>
      <c r="BN105" s="565"/>
      <c r="BO105" s="565"/>
      <c r="BP105" s="565"/>
      <c r="BQ105" s="565"/>
      <c r="BR105" s="565"/>
      <c r="BS105" s="565"/>
      <c r="BT105" s="565"/>
      <c r="BU105" s="565"/>
      <c r="BV105" s="565"/>
      <c r="BW105" s="565"/>
      <c r="BX105" s="565"/>
      <c r="BY105" s="565"/>
      <c r="BZ105" s="565"/>
      <c r="CA105" s="565"/>
      <c r="CB105" s="565"/>
      <c r="CC105" s="565"/>
      <c r="CD105" s="565"/>
      <c r="CE105" s="565"/>
      <c r="CF105" s="565"/>
      <c r="CG105" s="565"/>
      <c r="CH105" s="565"/>
      <c r="CI105" s="565"/>
      <c r="CJ105" s="565"/>
      <c r="CK105" s="565"/>
      <c r="CL105" s="565"/>
      <c r="CM105" s="565"/>
      <c r="CN105" s="565"/>
      <c r="CO105" s="565"/>
      <c r="CP105" s="565"/>
      <c r="CQ105" s="565"/>
    </row>
    <row r="106" spans="2:95" hidden="1">
      <c r="B106" s="608"/>
      <c r="C106" s="609" t="s">
        <v>168</v>
      </c>
      <c r="D106" s="592"/>
      <c r="E106" s="610"/>
      <c r="F106" s="610" t="e">
        <f>E106+F102</f>
        <v>#REF!</v>
      </c>
      <c r="G106" s="610" t="e">
        <f>#REF!+G102</f>
        <v>#REF!</v>
      </c>
      <c r="H106" s="610" t="e">
        <f>G106+H102</f>
        <v>#REF!</v>
      </c>
      <c r="I106" s="610" t="e">
        <f t="shared" ref="I106:Y106" si="261">H106+I102</f>
        <v>#REF!</v>
      </c>
      <c r="J106" s="610" t="e">
        <f t="shared" si="261"/>
        <v>#REF!</v>
      </c>
      <c r="K106" s="610" t="e">
        <f t="shared" si="261"/>
        <v>#REF!</v>
      </c>
      <c r="L106" s="610" t="e">
        <f t="shared" si="261"/>
        <v>#REF!</v>
      </c>
      <c r="M106" s="610" t="e">
        <f t="shared" si="261"/>
        <v>#REF!</v>
      </c>
      <c r="N106" s="610" t="e">
        <f t="shared" si="261"/>
        <v>#REF!</v>
      </c>
      <c r="O106" s="610" t="e">
        <f t="shared" si="261"/>
        <v>#REF!</v>
      </c>
      <c r="P106" s="610" t="e">
        <f t="shared" si="261"/>
        <v>#REF!</v>
      </c>
      <c r="Q106" s="610" t="e">
        <f t="shared" si="261"/>
        <v>#REF!</v>
      </c>
      <c r="R106" s="610" t="e">
        <f t="shared" si="261"/>
        <v>#REF!</v>
      </c>
      <c r="S106" s="610" t="e">
        <f t="shared" si="261"/>
        <v>#REF!</v>
      </c>
      <c r="T106" s="610" t="e">
        <f t="shared" si="261"/>
        <v>#REF!</v>
      </c>
      <c r="U106" s="610" t="e">
        <f t="shared" si="261"/>
        <v>#REF!</v>
      </c>
      <c r="V106" s="610" t="e">
        <f t="shared" si="261"/>
        <v>#REF!</v>
      </c>
      <c r="W106" s="610" t="e">
        <f t="shared" si="261"/>
        <v>#REF!</v>
      </c>
      <c r="X106" s="610" t="e">
        <f t="shared" si="261"/>
        <v>#REF!</v>
      </c>
      <c r="Y106" s="610" t="e">
        <f t="shared" si="261"/>
        <v>#REF!</v>
      </c>
      <c r="Z106" s="610"/>
      <c r="AA106" s="610"/>
      <c r="AT106" s="565"/>
      <c r="AU106" s="565"/>
      <c r="AV106" s="565"/>
      <c r="AW106" s="565"/>
      <c r="AX106" s="565"/>
      <c r="AY106" s="565"/>
      <c r="AZ106" s="565"/>
      <c r="BA106" s="565"/>
      <c r="BB106" s="565"/>
      <c r="BC106" s="565"/>
      <c r="BD106" s="565"/>
      <c r="BE106" s="565"/>
      <c r="BF106" s="565"/>
      <c r="BG106" s="565"/>
      <c r="BH106" s="565"/>
      <c r="BI106" s="565"/>
      <c r="BJ106" s="565"/>
      <c r="BK106" s="565"/>
      <c r="BL106" s="565"/>
      <c r="BM106" s="565"/>
      <c r="BN106" s="565"/>
      <c r="BO106" s="565"/>
      <c r="BP106" s="565"/>
      <c r="BQ106" s="565"/>
      <c r="BR106" s="565"/>
      <c r="BS106" s="565"/>
      <c r="BT106" s="565"/>
      <c r="BU106" s="565"/>
      <c r="BV106" s="565"/>
      <c r="BW106" s="565"/>
      <c r="BX106" s="565"/>
      <c r="BY106" s="565"/>
      <c r="BZ106" s="565"/>
      <c r="CA106" s="565"/>
      <c r="CB106" s="565"/>
      <c r="CC106" s="565"/>
      <c r="CD106" s="565"/>
      <c r="CE106" s="565"/>
      <c r="CF106" s="565"/>
      <c r="CG106" s="565"/>
      <c r="CH106" s="565"/>
      <c r="CI106" s="565"/>
      <c r="CJ106" s="565"/>
      <c r="CK106" s="565"/>
      <c r="CL106" s="565"/>
      <c r="CM106" s="565"/>
      <c r="CN106" s="565"/>
      <c r="CO106" s="565"/>
      <c r="CP106" s="565"/>
      <c r="CQ106" s="565"/>
    </row>
    <row r="107" spans="2:95">
      <c r="AT107" s="565"/>
      <c r="AU107" s="565"/>
      <c r="AV107" s="565"/>
      <c r="AW107" s="565"/>
      <c r="AX107" s="565"/>
      <c r="AY107" s="565"/>
      <c r="AZ107" s="565"/>
      <c r="BA107" s="565"/>
      <c r="BB107" s="565"/>
      <c r="BC107" s="565"/>
      <c r="BD107" s="565"/>
      <c r="BE107" s="565"/>
      <c r="BF107" s="565"/>
      <c r="BG107" s="565"/>
      <c r="BH107" s="565"/>
      <c r="BI107" s="565"/>
      <c r="BJ107" s="565"/>
      <c r="BK107" s="565"/>
      <c r="BL107" s="565"/>
      <c r="BM107" s="565"/>
      <c r="BN107" s="565"/>
      <c r="BO107" s="565"/>
      <c r="BP107" s="565"/>
      <c r="BQ107" s="565"/>
      <c r="BR107" s="565"/>
      <c r="BS107" s="565"/>
      <c r="BT107" s="565"/>
      <c r="BU107" s="565"/>
      <c r="BV107" s="565"/>
      <c r="BW107" s="565"/>
      <c r="BX107" s="565"/>
      <c r="BY107" s="565"/>
      <c r="BZ107" s="565"/>
      <c r="CA107" s="565"/>
      <c r="CB107" s="565"/>
      <c r="CC107" s="565"/>
      <c r="CD107" s="565"/>
      <c r="CE107" s="565"/>
      <c r="CF107" s="565"/>
      <c r="CG107" s="565"/>
      <c r="CH107" s="565"/>
      <c r="CI107" s="565"/>
      <c r="CJ107" s="565"/>
      <c r="CK107" s="565"/>
      <c r="CL107" s="565"/>
      <c r="CM107" s="565"/>
      <c r="CN107" s="565"/>
      <c r="CO107" s="565"/>
      <c r="CP107" s="565"/>
      <c r="CQ107" s="565"/>
    </row>
  </sheetData>
  <sheetProtection selectLockedCells="1" selectUnlockedCells="1"/>
  <mergeCells count="16">
    <mergeCell ref="B77:C77"/>
    <mergeCell ref="B87:B88"/>
    <mergeCell ref="C87:C88"/>
    <mergeCell ref="D87:D88"/>
    <mergeCell ref="B79:E79"/>
    <mergeCell ref="B5:C5"/>
    <mergeCell ref="G8:G9"/>
    <mergeCell ref="G7:AE7"/>
    <mergeCell ref="AT8:AT9"/>
    <mergeCell ref="AT7:CG7"/>
    <mergeCell ref="B7:B9"/>
    <mergeCell ref="C7:C9"/>
    <mergeCell ref="D7:E7"/>
    <mergeCell ref="F7:F9"/>
    <mergeCell ref="D8:D9"/>
    <mergeCell ref="E8:E9"/>
  </mergeCells>
  <phoneticPr fontId="77" type="noConversion"/>
  <conditionalFormatting sqref="G10:AS18 AB19:AS20">
    <cfRule type="cellIs" dxfId="54" priority="9" stopIfTrue="1" operator="lessThanOrEqual">
      <formula>0</formula>
    </cfRule>
  </conditionalFormatting>
  <conditionalFormatting sqref="G21:AS32 G35:AS46 G49:AS76">
    <cfRule type="cellIs" dxfId="53" priority="6" stopIfTrue="1" operator="lessThanOrEqual">
      <formula>0</formula>
    </cfRule>
  </conditionalFormatting>
  <conditionalFormatting sqref="H11:AR18 AB19:AR20">
    <cfRule type="cellIs" dxfId="52" priority="7" operator="greaterThan">
      <formula>0</formula>
    </cfRule>
  </conditionalFormatting>
  <conditionalFormatting sqref="H21:AR32 H35:AR46 H49:AR76">
    <cfRule type="cellIs" dxfId="51" priority="5" operator="greaterThan">
      <formula>0</formula>
    </cfRule>
  </conditionalFormatting>
  <conditionalFormatting sqref="AB33:AR34">
    <cfRule type="cellIs" dxfId="50" priority="3" operator="greaterThan">
      <formula>0</formula>
    </cfRule>
  </conditionalFormatting>
  <conditionalFormatting sqref="AB47:AR48">
    <cfRule type="cellIs" dxfId="49" priority="1" operator="greaterThan">
      <formula>0</formula>
    </cfRule>
  </conditionalFormatting>
  <conditionalFormatting sqref="AB33:AS34">
    <cfRule type="cellIs" dxfId="48" priority="4" stopIfTrue="1" operator="lessThanOrEqual">
      <formula>0</formula>
    </cfRule>
  </conditionalFormatting>
  <conditionalFormatting sqref="AB47:AS48">
    <cfRule type="cellIs" dxfId="47" priority="2" stopIfTrue="1" operator="lessThanOrEqual">
      <formula>0</formula>
    </cfRule>
  </conditionalFormatting>
  <conditionalFormatting sqref="AB78:AS78">
    <cfRule type="cellIs" dxfId="46" priority="36" stopIfTrue="1" operator="lessThanOrEqual">
      <formula>0</formula>
    </cfRule>
  </conditionalFormatting>
  <pageMargins left="0.25" right="0.31" top="0.4" bottom="0.4597222222222222" header="0.24" footer="0.51180555555555551"/>
  <pageSetup paperSize="9" scale="12" firstPageNumber="0" orientation="landscape" horizontalDpi="300" verticalDpi="300" r:id="rId1"/>
  <headerFooter alignWithMargins="0">
    <oddFooter>&amp;L181 Cao Thắng_x000D_&amp;1#&amp;"Calibri"&amp;10&amp;K000000 Internal Use&amp;R01-10-2013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pageSetUpPr fitToPage="1"/>
  </sheetPr>
  <dimension ref="A1:CK192"/>
  <sheetViews>
    <sheetView showGridLines="0" topLeftCell="E2" zoomScale="70" zoomScaleNormal="70" zoomScaleSheetLayoutView="70" workbookViewId="0">
      <pane ySplit="7" topLeftCell="A96" activePane="bottomLeft" state="frozen"/>
      <selection activeCell="C2" sqref="C2"/>
      <selection pane="bottomLeft" activeCell="V129" sqref="V129"/>
    </sheetView>
  </sheetViews>
  <sheetFormatPr defaultColWidth="9.140625" defaultRowHeight="12"/>
  <cols>
    <col min="1" max="1" width="6.28515625" style="313" customWidth="1"/>
    <col min="2" max="2" width="6.140625" style="348" customWidth="1"/>
    <col min="3" max="3" width="43.85546875" style="349" customWidth="1"/>
    <col min="4" max="4" width="17.140625" style="350" customWidth="1"/>
    <col min="5" max="5" width="20.85546875" style="350" customWidth="1"/>
    <col min="6" max="6" width="18.28515625" style="350" hidden="1" customWidth="1"/>
    <col min="7" max="7" width="15.85546875" style="357" customWidth="1"/>
    <col min="8" max="8" width="14.5703125" style="357" customWidth="1"/>
    <col min="9" max="9" width="14.42578125" style="357" customWidth="1"/>
    <col min="10" max="10" width="13" style="349" customWidth="1"/>
    <col min="11" max="11" width="15.7109375" style="349" customWidth="1"/>
    <col min="12" max="12" width="14.42578125" style="349" customWidth="1"/>
    <col min="13" max="13" width="15.7109375" style="349" bestFit="1" customWidth="1"/>
    <col min="14" max="15" width="12.85546875" style="349" customWidth="1"/>
    <col min="16" max="16" width="14.42578125" style="349" customWidth="1"/>
    <col min="17" max="17" width="14.42578125" style="358" customWidth="1"/>
    <col min="18" max="18" width="15.85546875" style="349" customWidth="1"/>
    <col min="19" max="19" width="18" style="349" customWidth="1"/>
    <col min="20" max="20" width="17.140625" style="349" customWidth="1"/>
    <col min="21" max="22" width="14.28515625" style="349" customWidth="1"/>
    <col min="23" max="23" width="18.28515625" style="349" customWidth="1"/>
    <col min="24" max="27" width="14.42578125" style="349" bestFit="1" customWidth="1"/>
    <col min="28" max="30" width="13.140625" style="313" bestFit="1" customWidth="1"/>
    <col min="31" max="31" width="14.5703125" style="313" bestFit="1" customWidth="1"/>
    <col min="32" max="66" width="13.140625" style="313" bestFit="1" customWidth="1"/>
    <col min="67" max="77" width="14.5703125" style="313" bestFit="1" customWidth="1"/>
    <col min="78" max="85" width="14.42578125" style="313" customWidth="1"/>
    <col min="86" max="88" width="13.140625" style="313" bestFit="1" customWidth="1"/>
    <col min="89" max="16384" width="9.140625" style="313"/>
  </cols>
  <sheetData>
    <row r="1" spans="2:89" ht="25.15" customHeight="1"/>
    <row r="2" spans="2:89" s="384" customFormat="1" ht="40.15" customHeight="1">
      <c r="C2" s="1" t="str">
        <f>+Summary!B2</f>
        <v>Dự án Trần Đức 1</v>
      </c>
      <c r="D2" s="1"/>
      <c r="E2" s="1"/>
      <c r="F2" s="1"/>
      <c r="G2" s="1"/>
      <c r="H2" s="1"/>
    </row>
    <row r="3" spans="2:89" s="382" customFormat="1" ht="19.899999999999999" customHeight="1" thickBot="1">
      <c r="C3" s="1444" t="s">
        <v>605</v>
      </c>
      <c r="D3" s="386"/>
      <c r="E3" s="386"/>
      <c r="F3" s="386"/>
      <c r="G3" s="386"/>
      <c r="H3" s="386"/>
    </row>
    <row r="4" spans="2:89" s="380" customFormat="1" ht="7.5" customHeight="1" thickTop="1">
      <c r="C4" s="381"/>
      <c r="D4" s="655"/>
      <c r="E4" s="655"/>
      <c r="F4" s="655"/>
      <c r="G4" s="655"/>
      <c r="H4" s="655"/>
    </row>
    <row r="5" spans="2:89" ht="26.25">
      <c r="B5" s="694"/>
      <c r="C5" s="695" t="s">
        <v>507</v>
      </c>
      <c r="D5" s="696"/>
      <c r="E5" s="696"/>
      <c r="F5" s="696"/>
      <c r="G5" s="696"/>
      <c r="H5" s="696"/>
      <c r="I5" s="696"/>
      <c r="J5" s="696"/>
      <c r="K5" s="696"/>
      <c r="L5" s="696"/>
      <c r="M5" s="696"/>
      <c r="N5" s="697"/>
      <c r="O5" s="697"/>
      <c r="P5" s="697"/>
      <c r="Q5" s="696"/>
      <c r="R5" s="696"/>
      <c r="S5" s="697"/>
      <c r="T5" s="698"/>
      <c r="U5" s="697"/>
      <c r="V5" s="698"/>
      <c r="W5" s="699"/>
      <c r="X5" s="698"/>
      <c r="Y5" s="697"/>
      <c r="Z5" s="698"/>
      <c r="AA5" s="697"/>
    </row>
    <row r="6" spans="2:89" s="317" customFormat="1" ht="12.75" customHeight="1" thickBot="1">
      <c r="B6" s="293"/>
      <c r="C6" s="293"/>
      <c r="D6" s="294"/>
      <c r="E6" s="293"/>
      <c r="F6" s="293"/>
      <c r="G6" s="293"/>
      <c r="H6" s="314"/>
      <c r="I6" s="315"/>
      <c r="J6" s="315"/>
      <c r="K6" s="315"/>
      <c r="L6" s="316"/>
      <c r="M6" s="315"/>
      <c r="N6" s="315"/>
      <c r="O6" s="315"/>
      <c r="P6" s="316"/>
      <c r="S6" s="318"/>
      <c r="T6" s="316"/>
      <c r="U6" s="293"/>
      <c r="V6" s="293"/>
      <c r="W6" s="319"/>
      <c r="X6" s="316"/>
      <c r="Y6" s="293"/>
      <c r="Z6" s="293"/>
      <c r="AA6" s="319"/>
      <c r="AE6" s="319"/>
    </row>
    <row r="7" spans="2:89" s="656" customFormat="1" ht="16.5" customHeight="1">
      <c r="B7" s="2343" t="s">
        <v>0</v>
      </c>
      <c r="C7" s="2345" t="s">
        <v>9</v>
      </c>
      <c r="D7" s="2345" t="s">
        <v>27</v>
      </c>
      <c r="E7" s="2347" t="s">
        <v>141</v>
      </c>
      <c r="F7" s="2347" t="s">
        <v>154</v>
      </c>
      <c r="G7" s="2347" t="s">
        <v>90</v>
      </c>
      <c r="H7" s="700">
        <f>'2.Tien do'!E7</f>
        <v>2026</v>
      </c>
      <c r="I7" s="700">
        <f>'2.Tien do'!F7</f>
        <v>2026</v>
      </c>
      <c r="J7" s="700">
        <f>'2.Tien do'!G7</f>
        <v>2026</v>
      </c>
      <c r="K7" s="700">
        <f>'2.Tien do'!H7</f>
        <v>2026</v>
      </c>
      <c r="L7" s="700">
        <f>'2.Tien do'!I7</f>
        <v>2027</v>
      </c>
      <c r="M7" s="700">
        <f>'2.Tien do'!J7</f>
        <v>2027</v>
      </c>
      <c r="N7" s="700">
        <f>'2.Tien do'!K7</f>
        <v>2027</v>
      </c>
      <c r="O7" s="700">
        <f>'2.Tien do'!L7</f>
        <v>2027</v>
      </c>
      <c r="P7" s="700">
        <f>'2.Tien do'!M7</f>
        <v>2028</v>
      </c>
      <c r="Q7" s="700">
        <f>'2.Tien do'!N7</f>
        <v>2028</v>
      </c>
      <c r="R7" s="700">
        <f>'2.Tien do'!O7</f>
        <v>2028</v>
      </c>
      <c r="S7" s="700">
        <f>'2.Tien do'!P7</f>
        <v>2028</v>
      </c>
      <c r="T7" s="700">
        <f>'2.Tien do'!Q7</f>
        <v>2029</v>
      </c>
      <c r="U7" s="700">
        <f>'2.Tien do'!R7</f>
        <v>2029</v>
      </c>
      <c r="V7" s="700">
        <f>'2.Tien do'!S7</f>
        <v>2029</v>
      </c>
      <c r="W7" s="700">
        <f>'2.Tien do'!T7</f>
        <v>2029</v>
      </c>
      <c r="X7" s="700">
        <f>'2.Tien do'!U7</f>
        <v>2030</v>
      </c>
      <c r="Y7" s="700">
        <f>'2.Tien do'!V7</f>
        <v>2030</v>
      </c>
      <c r="Z7" s="700">
        <f>'2.Tien do'!W7</f>
        <v>2030</v>
      </c>
      <c r="AA7" s="700">
        <f>'2.Tien do'!X7</f>
        <v>2030</v>
      </c>
      <c r="AB7" s="700">
        <f>'2.Tien do'!Y7</f>
        <v>2031</v>
      </c>
      <c r="AC7" s="700">
        <f>'2.Tien do'!Z7</f>
        <v>2031</v>
      </c>
      <c r="AD7" s="700">
        <f>'2.Tien do'!AA7</f>
        <v>2031</v>
      </c>
      <c r="AE7" s="700">
        <f>'2.Tien do'!AB7</f>
        <v>2031</v>
      </c>
      <c r="AF7" s="700">
        <f>'2.Tien do'!AC7</f>
        <v>2032</v>
      </c>
      <c r="AG7" s="700">
        <f>'2.Tien do'!AD7</f>
        <v>2032</v>
      </c>
      <c r="AH7" s="700">
        <f>'2.Tien do'!AE7</f>
        <v>2032</v>
      </c>
      <c r="AI7" s="700">
        <f>'2.Tien do'!AF7</f>
        <v>2032</v>
      </c>
      <c r="AJ7" s="700">
        <f>'2.Tien do'!AG7</f>
        <v>2033</v>
      </c>
      <c r="AK7" s="700">
        <f>'2.Tien do'!AH7</f>
        <v>2033</v>
      </c>
      <c r="AL7" s="700">
        <f>'2.Tien do'!AI7</f>
        <v>2033</v>
      </c>
      <c r="AM7" s="700">
        <f>'2.Tien do'!AJ7</f>
        <v>2033</v>
      </c>
      <c r="AN7" s="700">
        <f>'2.Tien do'!AK7</f>
        <v>2034</v>
      </c>
      <c r="AO7" s="700">
        <f>'2.Tien do'!AL7</f>
        <v>2034</v>
      </c>
      <c r="AP7" s="700">
        <f>'2.Tien do'!AM7</f>
        <v>2034</v>
      </c>
      <c r="AQ7" s="700">
        <f>'2.Tien do'!AN7</f>
        <v>2034</v>
      </c>
      <c r="AR7" s="701">
        <f t="shared" ref="AR7:BY7" si="0">AQ7+1</f>
        <v>2035</v>
      </c>
      <c r="AS7" s="701">
        <f t="shared" si="0"/>
        <v>2036</v>
      </c>
      <c r="AT7" s="701">
        <f t="shared" si="0"/>
        <v>2037</v>
      </c>
      <c r="AU7" s="701">
        <f t="shared" si="0"/>
        <v>2038</v>
      </c>
      <c r="AV7" s="701">
        <f t="shared" si="0"/>
        <v>2039</v>
      </c>
      <c r="AW7" s="701">
        <f t="shared" si="0"/>
        <v>2040</v>
      </c>
      <c r="AX7" s="701">
        <f t="shared" si="0"/>
        <v>2041</v>
      </c>
      <c r="AY7" s="701">
        <f t="shared" si="0"/>
        <v>2042</v>
      </c>
      <c r="AZ7" s="701">
        <f t="shared" si="0"/>
        <v>2043</v>
      </c>
      <c r="BA7" s="701">
        <f t="shared" si="0"/>
        <v>2044</v>
      </c>
      <c r="BB7" s="701">
        <f t="shared" si="0"/>
        <v>2045</v>
      </c>
      <c r="BC7" s="701">
        <f t="shared" si="0"/>
        <v>2046</v>
      </c>
      <c r="BD7" s="701">
        <f t="shared" si="0"/>
        <v>2047</v>
      </c>
      <c r="BE7" s="701">
        <f t="shared" si="0"/>
        <v>2048</v>
      </c>
      <c r="BF7" s="701">
        <f t="shared" si="0"/>
        <v>2049</v>
      </c>
      <c r="BG7" s="701">
        <f t="shared" si="0"/>
        <v>2050</v>
      </c>
      <c r="BH7" s="701">
        <f t="shared" si="0"/>
        <v>2051</v>
      </c>
      <c r="BI7" s="701">
        <f t="shared" si="0"/>
        <v>2052</v>
      </c>
      <c r="BJ7" s="701">
        <f t="shared" si="0"/>
        <v>2053</v>
      </c>
      <c r="BK7" s="701">
        <f t="shared" si="0"/>
        <v>2054</v>
      </c>
      <c r="BL7" s="701">
        <f t="shared" si="0"/>
        <v>2055</v>
      </c>
      <c r="BM7" s="701">
        <f t="shared" si="0"/>
        <v>2056</v>
      </c>
      <c r="BN7" s="701">
        <f t="shared" si="0"/>
        <v>2057</v>
      </c>
      <c r="BO7" s="701">
        <f t="shared" si="0"/>
        <v>2058</v>
      </c>
      <c r="BP7" s="701">
        <f t="shared" si="0"/>
        <v>2059</v>
      </c>
      <c r="BQ7" s="701">
        <f t="shared" si="0"/>
        <v>2060</v>
      </c>
      <c r="BR7" s="701">
        <f t="shared" si="0"/>
        <v>2061</v>
      </c>
      <c r="BS7" s="701">
        <f t="shared" si="0"/>
        <v>2062</v>
      </c>
      <c r="BT7" s="701">
        <f t="shared" si="0"/>
        <v>2063</v>
      </c>
      <c r="BU7" s="701">
        <f t="shared" si="0"/>
        <v>2064</v>
      </c>
      <c r="BV7" s="701">
        <f t="shared" si="0"/>
        <v>2065</v>
      </c>
      <c r="BW7" s="701">
        <f t="shared" si="0"/>
        <v>2066</v>
      </c>
      <c r="BX7" s="701">
        <f t="shared" si="0"/>
        <v>2067</v>
      </c>
      <c r="BY7" s="701">
        <f t="shared" si="0"/>
        <v>2068</v>
      </c>
      <c r="BZ7" s="701">
        <f t="shared" ref="BZ7:CJ7" si="1">BY7+1</f>
        <v>2069</v>
      </c>
      <c r="CA7" s="701">
        <f t="shared" si="1"/>
        <v>2070</v>
      </c>
      <c r="CB7" s="701">
        <f t="shared" si="1"/>
        <v>2071</v>
      </c>
      <c r="CC7" s="701">
        <f t="shared" si="1"/>
        <v>2072</v>
      </c>
      <c r="CD7" s="701">
        <f t="shared" si="1"/>
        <v>2073</v>
      </c>
      <c r="CE7" s="701">
        <f t="shared" si="1"/>
        <v>2074</v>
      </c>
      <c r="CF7" s="701">
        <f t="shared" si="1"/>
        <v>2075</v>
      </c>
      <c r="CG7" s="701">
        <f t="shared" si="1"/>
        <v>2076</v>
      </c>
      <c r="CH7" s="701">
        <f t="shared" si="1"/>
        <v>2077</v>
      </c>
      <c r="CI7" s="701">
        <f t="shared" si="1"/>
        <v>2078</v>
      </c>
      <c r="CJ7" s="701">
        <f t="shared" si="1"/>
        <v>2079</v>
      </c>
      <c r="CK7" s="510" t="s">
        <v>623</v>
      </c>
    </row>
    <row r="8" spans="2:89" s="656" customFormat="1" ht="21.75" customHeight="1">
      <c r="B8" s="2344"/>
      <c r="C8" s="2346"/>
      <c r="D8" s="2346"/>
      <c r="E8" s="2348"/>
      <c r="F8" s="2348"/>
      <c r="G8" s="2348"/>
      <c r="H8" s="700" t="str">
        <f>'2.Tien do'!E8</f>
        <v>Q1</v>
      </c>
      <c r="I8" s="700" t="str">
        <f>'2.Tien do'!F8</f>
        <v>Q2</v>
      </c>
      <c r="J8" s="700" t="str">
        <f>'2.Tien do'!G8</f>
        <v>Q3</v>
      </c>
      <c r="K8" s="700" t="str">
        <f>'2.Tien do'!H8</f>
        <v>Q4</v>
      </c>
      <c r="L8" s="700" t="str">
        <f>'2.Tien do'!I8</f>
        <v>Q1</v>
      </c>
      <c r="M8" s="700" t="str">
        <f>'2.Tien do'!J8</f>
        <v>Q2</v>
      </c>
      <c r="N8" s="700" t="str">
        <f>'2.Tien do'!K8</f>
        <v>Q3</v>
      </c>
      <c r="O8" s="700" t="str">
        <f>'2.Tien do'!L8</f>
        <v>Q4</v>
      </c>
      <c r="P8" s="700" t="str">
        <f>'2.Tien do'!M8</f>
        <v>Q1</v>
      </c>
      <c r="Q8" s="700" t="str">
        <f>'2.Tien do'!N8</f>
        <v>Q2</v>
      </c>
      <c r="R8" s="700" t="str">
        <f>'2.Tien do'!O8</f>
        <v>Q3</v>
      </c>
      <c r="S8" s="700" t="str">
        <f>'2.Tien do'!P8</f>
        <v>Q4</v>
      </c>
      <c r="T8" s="700" t="str">
        <f>'2.Tien do'!Q8</f>
        <v>Q1</v>
      </c>
      <c r="U8" s="700" t="str">
        <f>'2.Tien do'!R8</f>
        <v>Q2</v>
      </c>
      <c r="V8" s="700" t="str">
        <f>'2.Tien do'!S8</f>
        <v>Q3</v>
      </c>
      <c r="W8" s="700" t="str">
        <f>'2.Tien do'!T8</f>
        <v>Q4</v>
      </c>
      <c r="X8" s="700" t="str">
        <f>'2.Tien do'!U8</f>
        <v>Q1</v>
      </c>
      <c r="Y8" s="700" t="str">
        <f>'2.Tien do'!V8</f>
        <v>Q2</v>
      </c>
      <c r="Z8" s="700" t="str">
        <f>'2.Tien do'!W8</f>
        <v>Q3</v>
      </c>
      <c r="AA8" s="700" t="str">
        <f>'2.Tien do'!X8</f>
        <v>Q4</v>
      </c>
      <c r="AB8" s="700" t="str">
        <f>'2.Tien do'!Y8</f>
        <v>Q1</v>
      </c>
      <c r="AC8" s="700" t="str">
        <f>'2.Tien do'!Z8</f>
        <v>Q2</v>
      </c>
      <c r="AD8" s="700" t="str">
        <f>'2.Tien do'!AA8</f>
        <v>Q3</v>
      </c>
      <c r="AE8" s="700" t="str">
        <f>'2.Tien do'!AB8</f>
        <v>Q4</v>
      </c>
      <c r="AF8" s="700" t="str">
        <f>'2.Tien do'!AC8</f>
        <v>Q1</v>
      </c>
      <c r="AG8" s="700" t="str">
        <f>'2.Tien do'!AD8</f>
        <v>Q2</v>
      </c>
      <c r="AH8" s="700" t="str">
        <f>'2.Tien do'!AE8</f>
        <v>Q3</v>
      </c>
      <c r="AI8" s="700" t="str">
        <f>'2.Tien do'!AF8</f>
        <v>Q4</v>
      </c>
      <c r="AJ8" s="700" t="str">
        <f>'2.Tien do'!AG8</f>
        <v>Q1</v>
      </c>
      <c r="AK8" s="700" t="str">
        <f>'2.Tien do'!AH8</f>
        <v>Q2</v>
      </c>
      <c r="AL8" s="700" t="str">
        <f>'2.Tien do'!AI8</f>
        <v>Q3</v>
      </c>
      <c r="AM8" s="700" t="str">
        <f>'2.Tien do'!AJ8</f>
        <v>Q4</v>
      </c>
      <c r="AN8" s="700" t="str">
        <f>'2.Tien do'!AK8</f>
        <v>Q1</v>
      </c>
      <c r="AO8" s="700" t="str">
        <f>'2.Tien do'!AL8</f>
        <v>Q2</v>
      </c>
      <c r="AP8" s="700" t="str">
        <f>'2.Tien do'!AM8</f>
        <v>Q3</v>
      </c>
      <c r="AQ8" s="700" t="str">
        <f>'2.Tien do'!AN8</f>
        <v>Q4</v>
      </c>
      <c r="AR8" s="702"/>
      <c r="AS8" s="702"/>
      <c r="AT8" s="702"/>
      <c r="AU8" s="702"/>
      <c r="AV8" s="702"/>
      <c r="AW8" s="702"/>
      <c r="AX8" s="702"/>
      <c r="AY8" s="702"/>
      <c r="AZ8" s="702"/>
      <c r="BA8" s="702"/>
      <c r="BB8" s="702"/>
      <c r="BC8" s="702"/>
      <c r="BD8" s="702"/>
      <c r="BE8" s="702"/>
      <c r="BF8" s="702"/>
      <c r="BG8" s="702"/>
      <c r="BH8" s="702"/>
      <c r="BI8" s="702"/>
      <c r="BJ8" s="702"/>
      <c r="BK8" s="702"/>
      <c r="BL8" s="702"/>
      <c r="BM8" s="702"/>
      <c r="BN8" s="702"/>
      <c r="BO8" s="702"/>
      <c r="BP8" s="702"/>
      <c r="BQ8" s="702"/>
      <c r="BR8" s="702"/>
      <c r="BS8" s="702"/>
      <c r="BT8" s="702"/>
      <c r="BU8" s="702"/>
      <c r="BV8" s="702"/>
      <c r="BW8" s="702"/>
      <c r="BX8" s="702"/>
      <c r="BY8" s="702"/>
      <c r="BZ8" s="702"/>
      <c r="CA8" s="702"/>
      <c r="CB8" s="702"/>
      <c r="CC8" s="702"/>
      <c r="CD8" s="702"/>
      <c r="CE8" s="702"/>
      <c r="CF8" s="702"/>
      <c r="CG8" s="702"/>
      <c r="CH8" s="702"/>
      <c r="CI8" s="702"/>
      <c r="CJ8" s="702"/>
      <c r="CK8" s="510" t="s">
        <v>623</v>
      </c>
    </row>
    <row r="9" spans="2:89" s="320" customFormat="1" ht="15.75" customHeight="1">
      <c r="B9" s="710"/>
      <c r="C9" s="711"/>
      <c r="D9" s="712"/>
      <c r="E9" s="713"/>
      <c r="F9" s="714"/>
      <c r="G9" s="715"/>
      <c r="H9" s="716">
        <v>3</v>
      </c>
      <c r="I9" s="716">
        <v>3</v>
      </c>
      <c r="J9" s="716">
        <v>3</v>
      </c>
      <c r="K9" s="716">
        <v>3</v>
      </c>
      <c r="L9" s="716">
        <v>3</v>
      </c>
      <c r="M9" s="716">
        <v>3</v>
      </c>
      <c r="N9" s="716">
        <v>3</v>
      </c>
      <c r="O9" s="716">
        <v>3</v>
      </c>
      <c r="P9" s="716">
        <v>3</v>
      </c>
      <c r="Q9" s="716">
        <v>3</v>
      </c>
      <c r="R9" s="716">
        <v>3</v>
      </c>
      <c r="S9" s="716">
        <v>3</v>
      </c>
      <c r="T9" s="716">
        <v>3</v>
      </c>
      <c r="U9" s="716">
        <v>3</v>
      </c>
      <c r="V9" s="716">
        <v>3</v>
      </c>
      <c r="W9" s="716">
        <v>3</v>
      </c>
      <c r="X9" s="716">
        <v>3</v>
      </c>
      <c r="Y9" s="716">
        <v>3</v>
      </c>
      <c r="Z9" s="716">
        <v>3</v>
      </c>
      <c r="AA9" s="716">
        <v>3</v>
      </c>
      <c r="AB9" s="716">
        <v>3</v>
      </c>
      <c r="AC9" s="716">
        <v>3</v>
      </c>
      <c r="AD9" s="716">
        <v>3</v>
      </c>
      <c r="AE9" s="716">
        <v>3</v>
      </c>
      <c r="AF9" s="716">
        <v>3</v>
      </c>
      <c r="AG9" s="716">
        <v>3</v>
      </c>
      <c r="AH9" s="716">
        <v>3</v>
      </c>
      <c r="AI9" s="716">
        <v>3</v>
      </c>
      <c r="AJ9" s="716">
        <v>3</v>
      </c>
      <c r="AK9" s="716">
        <v>3</v>
      </c>
      <c r="AL9" s="716">
        <v>3</v>
      </c>
      <c r="AM9" s="716">
        <v>3</v>
      </c>
      <c r="AN9" s="716">
        <v>3</v>
      </c>
      <c r="AO9" s="716">
        <v>3</v>
      </c>
      <c r="AP9" s="716">
        <v>3</v>
      </c>
      <c r="AQ9" s="716">
        <v>3</v>
      </c>
      <c r="AR9" s="716">
        <v>12</v>
      </c>
      <c r="AS9" s="716">
        <v>12</v>
      </c>
      <c r="AT9" s="716">
        <v>12</v>
      </c>
      <c r="AU9" s="716">
        <v>12</v>
      </c>
      <c r="AV9" s="716">
        <v>12</v>
      </c>
      <c r="AW9" s="716">
        <v>12</v>
      </c>
      <c r="AX9" s="716">
        <v>12</v>
      </c>
      <c r="AY9" s="716">
        <v>12</v>
      </c>
      <c r="AZ9" s="716">
        <v>12</v>
      </c>
      <c r="BA9" s="716">
        <v>12</v>
      </c>
      <c r="BB9" s="716">
        <v>12</v>
      </c>
      <c r="BC9" s="716">
        <v>12</v>
      </c>
      <c r="BD9" s="716">
        <v>12</v>
      </c>
      <c r="BE9" s="716">
        <v>12</v>
      </c>
      <c r="BF9" s="716">
        <v>12</v>
      </c>
      <c r="BG9" s="716">
        <v>12</v>
      </c>
      <c r="BH9" s="716">
        <v>12</v>
      </c>
      <c r="BI9" s="716">
        <v>12</v>
      </c>
      <c r="BJ9" s="716">
        <v>12</v>
      </c>
      <c r="BK9" s="716">
        <v>12</v>
      </c>
      <c r="BL9" s="716">
        <v>12</v>
      </c>
      <c r="BM9" s="716">
        <v>12</v>
      </c>
      <c r="BN9" s="716">
        <v>12</v>
      </c>
      <c r="BO9" s="716">
        <v>12</v>
      </c>
      <c r="BP9" s="716">
        <v>12</v>
      </c>
      <c r="BQ9" s="716">
        <v>12</v>
      </c>
      <c r="BR9" s="716">
        <v>12</v>
      </c>
      <c r="BS9" s="716">
        <v>12</v>
      </c>
      <c r="BT9" s="716">
        <v>12</v>
      </c>
      <c r="BU9" s="716">
        <v>12</v>
      </c>
      <c r="BV9" s="716">
        <v>12</v>
      </c>
      <c r="BW9" s="716">
        <v>12</v>
      </c>
      <c r="BX9" s="716">
        <v>12</v>
      </c>
      <c r="BY9" s="716">
        <v>12</v>
      </c>
      <c r="BZ9" s="716">
        <v>12</v>
      </c>
      <c r="CA9" s="716">
        <v>12</v>
      </c>
      <c r="CB9" s="716">
        <v>12</v>
      </c>
      <c r="CC9" s="716">
        <v>12</v>
      </c>
      <c r="CD9" s="716">
        <v>12</v>
      </c>
      <c r="CE9" s="716">
        <v>12</v>
      </c>
      <c r="CF9" s="716">
        <v>12</v>
      </c>
      <c r="CG9" s="716">
        <v>12</v>
      </c>
      <c r="CH9" s="716">
        <v>12</v>
      </c>
      <c r="CI9" s="716">
        <v>12</v>
      </c>
      <c r="CJ9" s="716">
        <v>12</v>
      </c>
      <c r="CK9" s="510" t="s">
        <v>623</v>
      </c>
    </row>
    <row r="10" spans="2:89" s="321" customFormat="1" ht="15.75">
      <c r="B10" s="726">
        <v>1</v>
      </c>
      <c r="C10" s="717" t="str">
        <f>+'2.Tien do'!C65</f>
        <v>Căn hộ khối tháp</v>
      </c>
      <c r="D10" s="717"/>
      <c r="E10" s="718"/>
      <c r="F10" s="719"/>
      <c r="G10" s="720"/>
      <c r="H10" s="721"/>
      <c r="I10" s="721"/>
      <c r="J10" s="722"/>
      <c r="K10" s="722"/>
      <c r="L10" s="722"/>
      <c r="M10" s="722"/>
      <c r="N10" s="722"/>
      <c r="O10" s="722"/>
      <c r="P10" s="722"/>
      <c r="Q10" s="722"/>
      <c r="R10" s="722"/>
      <c r="S10" s="723"/>
      <c r="T10" s="724"/>
      <c r="U10" s="722"/>
      <c r="V10" s="722"/>
      <c r="W10" s="723"/>
      <c r="X10" s="724"/>
      <c r="Y10" s="722"/>
      <c r="Z10" s="722"/>
      <c r="AA10" s="722"/>
      <c r="AB10" s="722"/>
      <c r="AC10" s="722"/>
      <c r="AD10" s="722"/>
      <c r="AE10" s="722"/>
      <c r="AF10" s="722"/>
      <c r="AG10" s="722"/>
      <c r="AH10" s="722"/>
      <c r="AI10" s="722"/>
      <c r="AJ10" s="722"/>
      <c r="AK10" s="722"/>
      <c r="AL10" s="722"/>
      <c r="AM10" s="722"/>
      <c r="AN10" s="722"/>
      <c r="AO10" s="722"/>
      <c r="AP10" s="722"/>
      <c r="AQ10" s="722"/>
      <c r="AR10" s="722"/>
      <c r="AS10" s="722"/>
      <c r="AT10" s="722"/>
      <c r="AU10" s="722"/>
      <c r="AV10" s="722"/>
      <c r="AW10" s="722"/>
      <c r="AX10" s="722"/>
      <c r="AY10" s="722"/>
      <c r="AZ10" s="722"/>
      <c r="BA10" s="722"/>
      <c r="BB10" s="722"/>
      <c r="BC10" s="722"/>
      <c r="BD10" s="722"/>
      <c r="BE10" s="722"/>
      <c r="BF10" s="722"/>
      <c r="BG10" s="722"/>
      <c r="BH10" s="722"/>
      <c r="BI10" s="722"/>
      <c r="BJ10" s="722"/>
      <c r="BK10" s="722"/>
      <c r="BL10" s="722"/>
      <c r="BM10" s="722"/>
      <c r="BN10" s="722"/>
      <c r="BO10" s="722"/>
      <c r="BP10" s="722"/>
      <c r="BQ10" s="722"/>
      <c r="BR10" s="722"/>
      <c r="BS10" s="722"/>
      <c r="BT10" s="722"/>
      <c r="BU10" s="722"/>
      <c r="BV10" s="722"/>
      <c r="BW10" s="722"/>
      <c r="BX10" s="722"/>
      <c r="BY10" s="722"/>
      <c r="BZ10" s="722"/>
      <c r="CA10" s="722"/>
      <c r="CB10" s="722"/>
      <c r="CC10" s="722"/>
      <c r="CD10" s="722"/>
      <c r="CE10" s="722"/>
      <c r="CF10" s="722"/>
      <c r="CG10" s="722"/>
      <c r="CH10" s="722"/>
      <c r="CI10" s="722"/>
      <c r="CJ10" s="722"/>
      <c r="CK10" s="510" t="s">
        <v>623</v>
      </c>
    </row>
    <row r="11" spans="2:89" s="324" customFormat="1" ht="15.75" customHeight="1">
      <c r="B11" s="295"/>
      <c r="C11" s="296" t="s">
        <v>137</v>
      </c>
      <c r="D11" s="297"/>
      <c r="E11" s="298"/>
      <c r="F11" s="359"/>
      <c r="G11" s="322"/>
      <c r="H11" s="323">
        <f>'2.Tien do'!E65</f>
        <v>0</v>
      </c>
      <c r="I11" s="323">
        <f>'2.Tien do'!F65</f>
        <v>0</v>
      </c>
      <c r="J11" s="323">
        <f>'2.Tien do'!G65</f>
        <v>0</v>
      </c>
      <c r="K11" s="323">
        <f>'2.Tien do'!H65</f>
        <v>0</v>
      </c>
      <c r="L11" s="323">
        <f>'2.Tien do'!I65</f>
        <v>0</v>
      </c>
      <c r="M11" s="323">
        <f>'2.Tien do'!J65</f>
        <v>0</v>
      </c>
      <c r="N11" s="323">
        <f>'2.Tien do'!K65</f>
        <v>0</v>
      </c>
      <c r="O11" s="323">
        <f>'2.Tien do'!L65</f>
        <v>0</v>
      </c>
      <c r="P11" s="323">
        <f>'2.Tien do'!M65</f>
        <v>0</v>
      </c>
      <c r="Q11" s="323">
        <f>'2.Tien do'!N65</f>
        <v>0.37528604118993097</v>
      </c>
      <c r="R11" s="323">
        <f>'2.Tien do'!O65</f>
        <v>0.37757437070938199</v>
      </c>
      <c r="S11" s="323">
        <f>'2.Tien do'!P65</f>
        <v>0.1</v>
      </c>
      <c r="T11" s="323">
        <f>'2.Tien do'!Q65</f>
        <v>0.05</v>
      </c>
      <c r="U11" s="323">
        <f>'2.Tien do'!R65</f>
        <v>0.05</v>
      </c>
      <c r="V11" s="323">
        <f>'2.Tien do'!S65</f>
        <v>4.7139588100686969E-2</v>
      </c>
      <c r="W11" s="323">
        <f>'2.Tien do'!T65</f>
        <v>0</v>
      </c>
      <c r="X11" s="323">
        <f>'2.Tien do'!U65</f>
        <v>0</v>
      </c>
      <c r="Y11" s="323">
        <f>'2.Tien do'!V65</f>
        <v>0</v>
      </c>
      <c r="Z11" s="323">
        <f>'2.Tien do'!W65</f>
        <v>0</v>
      </c>
      <c r="AA11" s="323">
        <f>'2.Tien do'!X65</f>
        <v>0</v>
      </c>
      <c r="AB11" s="323">
        <f>'2.Tien do'!Y65</f>
        <v>0</v>
      </c>
      <c r="AC11" s="323">
        <f>'2.Tien do'!Z65</f>
        <v>0</v>
      </c>
      <c r="AD11" s="323">
        <f>'2.Tien do'!AA65</f>
        <v>0</v>
      </c>
      <c r="AE11" s="323">
        <f>'2.Tien do'!AB65</f>
        <v>0</v>
      </c>
      <c r="AF11" s="323">
        <f>'2.Tien do'!AC65</f>
        <v>0</v>
      </c>
      <c r="AG11" s="323">
        <f>'2.Tien do'!AD65</f>
        <v>0</v>
      </c>
      <c r="AH11" s="323">
        <f>'2.Tien do'!AE65</f>
        <v>0</v>
      </c>
      <c r="AI11" s="323">
        <f>'2.Tien do'!AF65</f>
        <v>0</v>
      </c>
      <c r="AJ11" s="323">
        <f>'2.Tien do'!AG65</f>
        <v>0</v>
      </c>
      <c r="AK11" s="323">
        <f>'2.Tien do'!AH65</f>
        <v>0</v>
      </c>
      <c r="AL11" s="323">
        <f>'2.Tien do'!AI65</f>
        <v>0</v>
      </c>
      <c r="AM11" s="323">
        <f>'2.Tien do'!AJ65</f>
        <v>0</v>
      </c>
      <c r="AN11" s="323">
        <f>'2.Tien do'!AK65</f>
        <v>0</v>
      </c>
      <c r="AO11" s="323">
        <f>'2.Tien do'!AL65</f>
        <v>0</v>
      </c>
      <c r="AP11" s="323">
        <f>'2.Tien do'!AM65</f>
        <v>0</v>
      </c>
      <c r="AQ11" s="323">
        <f>'2.Tien do'!AN65</f>
        <v>0</v>
      </c>
      <c r="AR11" s="323">
        <f>'2.Tien do'!AO65</f>
        <v>0</v>
      </c>
      <c r="AS11" s="323">
        <f>'2.Tien do'!AP65</f>
        <v>0</v>
      </c>
      <c r="AT11" s="323">
        <f>'2.Tien do'!AQ65</f>
        <v>0</v>
      </c>
      <c r="AU11" s="323">
        <f>'2.Tien do'!AR65</f>
        <v>0</v>
      </c>
      <c r="AV11" s="323">
        <f>'2.Tien do'!AS65</f>
        <v>0</v>
      </c>
      <c r="AW11" s="323">
        <f>'2.Tien do'!AT65</f>
        <v>0</v>
      </c>
      <c r="AX11" s="323">
        <f>'2.Tien do'!AU65</f>
        <v>0</v>
      </c>
      <c r="AY11" s="323">
        <f>'2.Tien do'!AV65</f>
        <v>0</v>
      </c>
      <c r="AZ11" s="323">
        <f>'2.Tien do'!AW65</f>
        <v>0</v>
      </c>
      <c r="BA11" s="323">
        <f>'2.Tien do'!AX65</f>
        <v>0</v>
      </c>
      <c r="BB11" s="323">
        <f>'2.Tien do'!AY65</f>
        <v>0</v>
      </c>
      <c r="BC11" s="323">
        <f>'2.Tien do'!AZ65</f>
        <v>0</v>
      </c>
      <c r="BD11" s="323">
        <f>'2.Tien do'!BA65</f>
        <v>0</v>
      </c>
      <c r="BE11" s="323">
        <f>'2.Tien do'!BB65</f>
        <v>0</v>
      </c>
      <c r="BF11" s="323">
        <f>'2.Tien do'!BC65</f>
        <v>0</v>
      </c>
      <c r="BG11" s="323">
        <f>'2.Tien do'!BD65</f>
        <v>0</v>
      </c>
      <c r="BH11" s="323">
        <f>'2.Tien do'!BE65</f>
        <v>0</v>
      </c>
      <c r="BI11" s="323">
        <f>'2.Tien do'!BF65</f>
        <v>0</v>
      </c>
      <c r="BJ11" s="323">
        <f>'2.Tien do'!BG65</f>
        <v>0</v>
      </c>
      <c r="BK11" s="323">
        <f>'2.Tien do'!BH65</f>
        <v>0</v>
      </c>
      <c r="BL11" s="323">
        <f>'2.Tien do'!BI65</f>
        <v>0</v>
      </c>
      <c r="BM11" s="323">
        <f>'2.Tien do'!BJ65</f>
        <v>0</v>
      </c>
      <c r="BN11" s="323">
        <f>'2.Tien do'!BK65</f>
        <v>0</v>
      </c>
      <c r="BO11" s="323">
        <f>'2.Tien do'!BL65</f>
        <v>0</v>
      </c>
      <c r="BP11" s="323">
        <f>'2.Tien do'!BM65</f>
        <v>0</v>
      </c>
      <c r="BQ11" s="323">
        <f>'2.Tien do'!BN65</f>
        <v>0</v>
      </c>
      <c r="BR11" s="323">
        <f>'2.Tien do'!BO65</f>
        <v>0</v>
      </c>
      <c r="BS11" s="323">
        <f>'2.Tien do'!BP65</f>
        <v>0</v>
      </c>
      <c r="BT11" s="323">
        <f>'2.Tien do'!BQ65</f>
        <v>0</v>
      </c>
      <c r="BU11" s="323">
        <f>'2.Tien do'!BR65</f>
        <v>0</v>
      </c>
      <c r="BV11" s="323">
        <f>'2.Tien do'!BS65</f>
        <v>0</v>
      </c>
      <c r="BW11" s="323">
        <f>'2.Tien do'!BT65</f>
        <v>0</v>
      </c>
      <c r="BX11" s="323">
        <f>'2.Tien do'!BU65</f>
        <v>0</v>
      </c>
      <c r="BY11" s="323">
        <f>'2.Tien do'!BV65</f>
        <v>0</v>
      </c>
      <c r="BZ11" s="323">
        <f>'2.Tien do'!BW65</f>
        <v>0</v>
      </c>
      <c r="CA11" s="323">
        <f>'2.Tien do'!BX65</f>
        <v>0</v>
      </c>
      <c r="CB11" s="323">
        <f>'2.Tien do'!BY65</f>
        <v>0</v>
      </c>
      <c r="CC11" s="323">
        <f>'2.Tien do'!BZ65</f>
        <v>0</v>
      </c>
      <c r="CD11" s="323">
        <f>'2.Tien do'!CA65</f>
        <v>0</v>
      </c>
      <c r="CE11" s="323">
        <f>'2.Tien do'!CB65</f>
        <v>0</v>
      </c>
      <c r="CF11" s="323">
        <f>'2.Tien do'!CC65</f>
        <v>0</v>
      </c>
      <c r="CG11" s="323">
        <f>'2.Tien do'!CD65</f>
        <v>0</v>
      </c>
      <c r="CH11" s="323">
        <f>'2.Tien do'!CE65</f>
        <v>0</v>
      </c>
      <c r="CI11" s="323">
        <f>'2.Tien do'!CF65</f>
        <v>0</v>
      </c>
      <c r="CJ11" s="323">
        <f>'2.Tien do'!CG65</f>
        <v>0</v>
      </c>
      <c r="CK11" s="510" t="s">
        <v>623</v>
      </c>
    </row>
    <row r="12" spans="2:89" s="327" customFormat="1" ht="15.75">
      <c r="B12" s="299"/>
      <c r="C12" s="300" t="s">
        <v>29</v>
      </c>
      <c r="D12" s="301" t="s">
        <v>3</v>
      </c>
      <c r="E12" s="302">
        <f>+'1. thong tin quy hoach'!K13</f>
        <v>81145.097504564808</v>
      </c>
      <c r="F12" s="360">
        <v>20610</v>
      </c>
      <c r="G12" s="325">
        <f>SUM(H12:AA12)</f>
        <v>81145.097504564808</v>
      </c>
      <c r="H12" s="326">
        <f t="shared" ref="H12:AB12" si="2">$E12*H11</f>
        <v>0</v>
      </c>
      <c r="I12" s="326">
        <f t="shared" si="2"/>
        <v>0</v>
      </c>
      <c r="J12" s="326">
        <f t="shared" si="2"/>
        <v>0</v>
      </c>
      <c r="K12" s="326">
        <f t="shared" si="2"/>
        <v>0</v>
      </c>
      <c r="L12" s="326">
        <f t="shared" si="2"/>
        <v>0</v>
      </c>
      <c r="M12" s="326">
        <f t="shared" si="2"/>
        <v>0</v>
      </c>
      <c r="N12" s="326">
        <f t="shared" si="2"/>
        <v>0</v>
      </c>
      <c r="O12" s="326">
        <f t="shared" si="2"/>
        <v>0</v>
      </c>
      <c r="P12" s="326">
        <f t="shared" si="2"/>
        <v>0</v>
      </c>
      <c r="Q12" s="326">
        <f t="shared" si="2"/>
        <v>30452.622404459074</v>
      </c>
      <c r="R12" s="326">
        <f t="shared" si="2"/>
        <v>30638.3091264375</v>
      </c>
      <c r="S12" s="326">
        <f t="shared" si="2"/>
        <v>8114.509750456481</v>
      </c>
      <c r="T12" s="326">
        <f t="shared" si="2"/>
        <v>4057.2548752282405</v>
      </c>
      <c r="U12" s="326">
        <f t="shared" si="2"/>
        <v>4057.2548752282405</v>
      </c>
      <c r="V12" s="326">
        <f t="shared" si="2"/>
        <v>3825.146472755267</v>
      </c>
      <c r="W12" s="326">
        <f t="shared" si="2"/>
        <v>0</v>
      </c>
      <c r="X12" s="326">
        <f t="shared" si="2"/>
        <v>0</v>
      </c>
      <c r="Y12" s="326">
        <f t="shared" si="2"/>
        <v>0</v>
      </c>
      <c r="Z12" s="326">
        <f t="shared" si="2"/>
        <v>0</v>
      </c>
      <c r="AA12" s="326">
        <f t="shared" si="2"/>
        <v>0</v>
      </c>
      <c r="AB12" s="326">
        <f t="shared" si="2"/>
        <v>0</v>
      </c>
      <c r="AC12" s="326">
        <f t="shared" ref="AC12:BY12" si="3">$E12*AC11</f>
        <v>0</v>
      </c>
      <c r="AD12" s="326">
        <f t="shared" si="3"/>
        <v>0</v>
      </c>
      <c r="AE12" s="326">
        <f t="shared" si="3"/>
        <v>0</v>
      </c>
      <c r="AF12" s="326">
        <f t="shared" si="3"/>
        <v>0</v>
      </c>
      <c r="AG12" s="326">
        <f t="shared" si="3"/>
        <v>0</v>
      </c>
      <c r="AH12" s="326">
        <f t="shared" si="3"/>
        <v>0</v>
      </c>
      <c r="AI12" s="326">
        <f t="shared" si="3"/>
        <v>0</v>
      </c>
      <c r="AJ12" s="326">
        <f t="shared" si="3"/>
        <v>0</v>
      </c>
      <c r="AK12" s="326">
        <f t="shared" si="3"/>
        <v>0</v>
      </c>
      <c r="AL12" s="326">
        <f t="shared" si="3"/>
        <v>0</v>
      </c>
      <c r="AM12" s="326">
        <f t="shared" si="3"/>
        <v>0</v>
      </c>
      <c r="AN12" s="326">
        <f t="shared" si="3"/>
        <v>0</v>
      </c>
      <c r="AO12" s="326">
        <f t="shared" si="3"/>
        <v>0</v>
      </c>
      <c r="AP12" s="326">
        <f t="shared" si="3"/>
        <v>0</v>
      </c>
      <c r="AQ12" s="326">
        <f t="shared" si="3"/>
        <v>0</v>
      </c>
      <c r="AR12" s="326">
        <f t="shared" si="3"/>
        <v>0</v>
      </c>
      <c r="AS12" s="326">
        <f t="shared" si="3"/>
        <v>0</v>
      </c>
      <c r="AT12" s="326">
        <f t="shared" si="3"/>
        <v>0</v>
      </c>
      <c r="AU12" s="326">
        <f t="shared" si="3"/>
        <v>0</v>
      </c>
      <c r="AV12" s="326">
        <f t="shared" si="3"/>
        <v>0</v>
      </c>
      <c r="AW12" s="326">
        <f t="shared" si="3"/>
        <v>0</v>
      </c>
      <c r="AX12" s="326">
        <f t="shared" si="3"/>
        <v>0</v>
      </c>
      <c r="AY12" s="326">
        <f t="shared" si="3"/>
        <v>0</v>
      </c>
      <c r="AZ12" s="326">
        <f t="shared" si="3"/>
        <v>0</v>
      </c>
      <c r="BA12" s="326">
        <f t="shared" si="3"/>
        <v>0</v>
      </c>
      <c r="BB12" s="326">
        <f t="shared" si="3"/>
        <v>0</v>
      </c>
      <c r="BC12" s="326">
        <f t="shared" si="3"/>
        <v>0</v>
      </c>
      <c r="BD12" s="326">
        <f t="shared" si="3"/>
        <v>0</v>
      </c>
      <c r="BE12" s="326">
        <f t="shared" si="3"/>
        <v>0</v>
      </c>
      <c r="BF12" s="326">
        <f t="shared" si="3"/>
        <v>0</v>
      </c>
      <c r="BG12" s="326">
        <f t="shared" si="3"/>
        <v>0</v>
      </c>
      <c r="BH12" s="326">
        <f t="shared" si="3"/>
        <v>0</v>
      </c>
      <c r="BI12" s="326">
        <f t="shared" si="3"/>
        <v>0</v>
      </c>
      <c r="BJ12" s="326">
        <f t="shared" si="3"/>
        <v>0</v>
      </c>
      <c r="BK12" s="326">
        <f t="shared" si="3"/>
        <v>0</v>
      </c>
      <c r="BL12" s="326">
        <f t="shared" si="3"/>
        <v>0</v>
      </c>
      <c r="BM12" s="326">
        <f t="shared" si="3"/>
        <v>0</v>
      </c>
      <c r="BN12" s="326">
        <f t="shared" si="3"/>
        <v>0</v>
      </c>
      <c r="BO12" s="326">
        <f t="shared" si="3"/>
        <v>0</v>
      </c>
      <c r="BP12" s="326">
        <f t="shared" si="3"/>
        <v>0</v>
      </c>
      <c r="BQ12" s="326">
        <f t="shared" si="3"/>
        <v>0</v>
      </c>
      <c r="BR12" s="326">
        <f t="shared" si="3"/>
        <v>0</v>
      </c>
      <c r="BS12" s="326">
        <f t="shared" si="3"/>
        <v>0</v>
      </c>
      <c r="BT12" s="326">
        <f t="shared" si="3"/>
        <v>0</v>
      </c>
      <c r="BU12" s="326">
        <f t="shared" si="3"/>
        <v>0</v>
      </c>
      <c r="BV12" s="326">
        <f t="shared" si="3"/>
        <v>0</v>
      </c>
      <c r="BW12" s="326">
        <f t="shared" si="3"/>
        <v>0</v>
      </c>
      <c r="BX12" s="326">
        <f t="shared" si="3"/>
        <v>0</v>
      </c>
      <c r="BY12" s="326">
        <f t="shared" si="3"/>
        <v>0</v>
      </c>
      <c r="BZ12" s="326">
        <f t="shared" ref="BZ12:CJ12" si="4">$E12*BZ11</f>
        <v>0</v>
      </c>
      <c r="CA12" s="326">
        <f t="shared" si="4"/>
        <v>0</v>
      </c>
      <c r="CB12" s="326">
        <f t="shared" si="4"/>
        <v>0</v>
      </c>
      <c r="CC12" s="326">
        <f t="shared" si="4"/>
        <v>0</v>
      </c>
      <c r="CD12" s="326">
        <f t="shared" si="4"/>
        <v>0</v>
      </c>
      <c r="CE12" s="326">
        <f t="shared" si="4"/>
        <v>0</v>
      </c>
      <c r="CF12" s="326">
        <f t="shared" si="4"/>
        <v>0</v>
      </c>
      <c r="CG12" s="326">
        <f t="shared" si="4"/>
        <v>0</v>
      </c>
      <c r="CH12" s="326">
        <f t="shared" si="4"/>
        <v>0</v>
      </c>
      <c r="CI12" s="326">
        <f t="shared" si="4"/>
        <v>0</v>
      </c>
      <c r="CJ12" s="326">
        <f t="shared" si="4"/>
        <v>0</v>
      </c>
      <c r="CK12" s="510" t="s">
        <v>623</v>
      </c>
    </row>
    <row r="13" spans="2:89" s="330" customFormat="1" ht="15.75" customHeight="1">
      <c r="B13" s="303"/>
      <c r="C13" s="304" t="s">
        <v>737</v>
      </c>
      <c r="D13" s="305" t="s">
        <v>31</v>
      </c>
      <c r="E13" s="306">
        <f>+'8.ĐO NHAY'!C8*(1+'8.ĐO NHAY'!$C$22)-'4.Chi phi hoat dong'!$E$54*('8.ĐO NHAY'!$C$22)</f>
        <v>51.754460817322105</v>
      </c>
      <c r="F13" s="361">
        <v>26</v>
      </c>
      <c r="G13" s="328"/>
      <c r="H13" s="329">
        <f t="shared" ref="H13:AB13" si="5">IF(H12&gt;0,$E13,0)</f>
        <v>0</v>
      </c>
      <c r="I13" s="329">
        <f t="shared" si="5"/>
        <v>0</v>
      </c>
      <c r="J13" s="329">
        <f t="shared" si="5"/>
        <v>0</v>
      </c>
      <c r="K13" s="329">
        <f t="shared" si="5"/>
        <v>0</v>
      </c>
      <c r="L13" s="329">
        <f t="shared" si="5"/>
        <v>0</v>
      </c>
      <c r="M13" s="329">
        <f t="shared" si="5"/>
        <v>0</v>
      </c>
      <c r="N13" s="329">
        <f t="shared" si="5"/>
        <v>0</v>
      </c>
      <c r="O13" s="329">
        <f t="shared" si="5"/>
        <v>0</v>
      </c>
      <c r="P13" s="329">
        <f t="shared" si="5"/>
        <v>0</v>
      </c>
      <c r="Q13" s="329">
        <f t="shared" si="5"/>
        <v>51.754460817322105</v>
      </c>
      <c r="R13" s="329">
        <f t="shared" si="5"/>
        <v>51.754460817322105</v>
      </c>
      <c r="S13" s="329">
        <f t="shared" si="5"/>
        <v>51.754460817322105</v>
      </c>
      <c r="T13" s="329">
        <f t="shared" si="5"/>
        <v>51.754460817322105</v>
      </c>
      <c r="U13" s="329">
        <f t="shared" si="5"/>
        <v>51.754460817322105</v>
      </c>
      <c r="V13" s="329">
        <f t="shared" si="5"/>
        <v>51.754460817322105</v>
      </c>
      <c r="W13" s="329">
        <f t="shared" si="5"/>
        <v>0</v>
      </c>
      <c r="X13" s="329">
        <f t="shared" si="5"/>
        <v>0</v>
      </c>
      <c r="Y13" s="329">
        <f t="shared" si="5"/>
        <v>0</v>
      </c>
      <c r="Z13" s="329">
        <f t="shared" si="5"/>
        <v>0</v>
      </c>
      <c r="AA13" s="329">
        <f t="shared" si="5"/>
        <v>0</v>
      </c>
      <c r="AB13" s="329">
        <f t="shared" si="5"/>
        <v>0</v>
      </c>
      <c r="AC13" s="329">
        <f t="shared" ref="AC13:BY13" si="6">IF(AC12&gt;0,$E13,0)</f>
        <v>0</v>
      </c>
      <c r="AD13" s="329">
        <f t="shared" si="6"/>
        <v>0</v>
      </c>
      <c r="AE13" s="329">
        <f t="shared" si="6"/>
        <v>0</v>
      </c>
      <c r="AF13" s="329">
        <f t="shared" si="6"/>
        <v>0</v>
      </c>
      <c r="AG13" s="329">
        <f t="shared" si="6"/>
        <v>0</v>
      </c>
      <c r="AH13" s="329">
        <f t="shared" si="6"/>
        <v>0</v>
      </c>
      <c r="AI13" s="329">
        <f t="shared" si="6"/>
        <v>0</v>
      </c>
      <c r="AJ13" s="329">
        <f t="shared" si="6"/>
        <v>0</v>
      </c>
      <c r="AK13" s="329">
        <f t="shared" si="6"/>
        <v>0</v>
      </c>
      <c r="AL13" s="329">
        <f t="shared" si="6"/>
        <v>0</v>
      </c>
      <c r="AM13" s="329">
        <f t="shared" si="6"/>
        <v>0</v>
      </c>
      <c r="AN13" s="329">
        <f t="shared" si="6"/>
        <v>0</v>
      </c>
      <c r="AO13" s="329">
        <f t="shared" si="6"/>
        <v>0</v>
      </c>
      <c r="AP13" s="329">
        <f t="shared" si="6"/>
        <v>0</v>
      </c>
      <c r="AQ13" s="329">
        <f t="shared" si="6"/>
        <v>0</v>
      </c>
      <c r="AR13" s="329">
        <f t="shared" si="6"/>
        <v>0</v>
      </c>
      <c r="AS13" s="329">
        <f t="shared" si="6"/>
        <v>0</v>
      </c>
      <c r="AT13" s="329">
        <f t="shared" si="6"/>
        <v>0</v>
      </c>
      <c r="AU13" s="329">
        <f t="shared" si="6"/>
        <v>0</v>
      </c>
      <c r="AV13" s="329">
        <f t="shared" si="6"/>
        <v>0</v>
      </c>
      <c r="AW13" s="329">
        <f t="shared" si="6"/>
        <v>0</v>
      </c>
      <c r="AX13" s="329">
        <f t="shared" si="6"/>
        <v>0</v>
      </c>
      <c r="AY13" s="329">
        <f t="shared" si="6"/>
        <v>0</v>
      </c>
      <c r="AZ13" s="329">
        <f t="shared" si="6"/>
        <v>0</v>
      </c>
      <c r="BA13" s="329">
        <f t="shared" si="6"/>
        <v>0</v>
      </c>
      <c r="BB13" s="329">
        <f t="shared" si="6"/>
        <v>0</v>
      </c>
      <c r="BC13" s="329">
        <f t="shared" si="6"/>
        <v>0</v>
      </c>
      <c r="BD13" s="329">
        <f t="shared" si="6"/>
        <v>0</v>
      </c>
      <c r="BE13" s="329">
        <f t="shared" si="6"/>
        <v>0</v>
      </c>
      <c r="BF13" s="329">
        <f t="shared" si="6"/>
        <v>0</v>
      </c>
      <c r="BG13" s="329">
        <f t="shared" si="6"/>
        <v>0</v>
      </c>
      <c r="BH13" s="329">
        <f t="shared" si="6"/>
        <v>0</v>
      </c>
      <c r="BI13" s="329">
        <f t="shared" si="6"/>
        <v>0</v>
      </c>
      <c r="BJ13" s="329">
        <f t="shared" si="6"/>
        <v>0</v>
      </c>
      <c r="BK13" s="329">
        <f t="shared" si="6"/>
        <v>0</v>
      </c>
      <c r="BL13" s="329">
        <f t="shared" si="6"/>
        <v>0</v>
      </c>
      <c r="BM13" s="329">
        <f t="shared" si="6"/>
        <v>0</v>
      </c>
      <c r="BN13" s="329">
        <f t="shared" si="6"/>
        <v>0</v>
      </c>
      <c r="BO13" s="329">
        <f t="shared" si="6"/>
        <v>0</v>
      </c>
      <c r="BP13" s="329">
        <f t="shared" si="6"/>
        <v>0</v>
      </c>
      <c r="BQ13" s="329">
        <f t="shared" si="6"/>
        <v>0</v>
      </c>
      <c r="BR13" s="329">
        <f t="shared" si="6"/>
        <v>0</v>
      </c>
      <c r="BS13" s="329">
        <f t="shared" si="6"/>
        <v>0</v>
      </c>
      <c r="BT13" s="329">
        <f t="shared" si="6"/>
        <v>0</v>
      </c>
      <c r="BU13" s="329">
        <f t="shared" si="6"/>
        <v>0</v>
      </c>
      <c r="BV13" s="329">
        <f t="shared" si="6"/>
        <v>0</v>
      </c>
      <c r="BW13" s="329">
        <f t="shared" si="6"/>
        <v>0</v>
      </c>
      <c r="BX13" s="329">
        <f t="shared" si="6"/>
        <v>0</v>
      </c>
      <c r="BY13" s="329">
        <f t="shared" si="6"/>
        <v>0</v>
      </c>
      <c r="BZ13" s="329">
        <f t="shared" ref="BZ13:CJ13" si="7">IF(BZ12&gt;0,$E13,0)</f>
        <v>0</v>
      </c>
      <c r="CA13" s="329">
        <f t="shared" si="7"/>
        <v>0</v>
      </c>
      <c r="CB13" s="329">
        <f t="shared" si="7"/>
        <v>0</v>
      </c>
      <c r="CC13" s="329">
        <f t="shared" si="7"/>
        <v>0</v>
      </c>
      <c r="CD13" s="329">
        <f t="shared" si="7"/>
        <v>0</v>
      </c>
      <c r="CE13" s="329">
        <f t="shared" si="7"/>
        <v>0</v>
      </c>
      <c r="CF13" s="329">
        <f t="shared" si="7"/>
        <v>0</v>
      </c>
      <c r="CG13" s="329">
        <f t="shared" si="7"/>
        <v>0</v>
      </c>
      <c r="CH13" s="329">
        <f t="shared" si="7"/>
        <v>0</v>
      </c>
      <c r="CI13" s="329">
        <f t="shared" si="7"/>
        <v>0</v>
      </c>
      <c r="CJ13" s="329">
        <f t="shared" si="7"/>
        <v>0</v>
      </c>
      <c r="CK13" s="510" t="s">
        <v>623</v>
      </c>
    </row>
    <row r="14" spans="2:89" s="333" customFormat="1" ht="14.25" customHeight="1">
      <c r="B14" s="307"/>
      <c r="C14" s="300" t="s">
        <v>32</v>
      </c>
      <c r="D14" s="308" t="s">
        <v>33</v>
      </c>
      <c r="E14" s="309">
        <f>E12*E13</f>
        <v>4199620.7693177816</v>
      </c>
      <c r="F14" s="362">
        <v>535860</v>
      </c>
      <c r="G14" s="331">
        <f>SUM(H14:DL14)</f>
        <v>4199620.7693177816</v>
      </c>
      <c r="H14" s="332">
        <f>H12*H13</f>
        <v>0</v>
      </c>
      <c r="I14" s="332">
        <f t="shared" ref="I14:AA14" si="8">I12*I13</f>
        <v>0</v>
      </c>
      <c r="J14" s="332">
        <f t="shared" si="8"/>
        <v>0</v>
      </c>
      <c r="K14" s="332">
        <f t="shared" si="8"/>
        <v>0</v>
      </c>
      <c r="L14" s="332">
        <f t="shared" si="8"/>
        <v>0</v>
      </c>
      <c r="M14" s="332">
        <f t="shared" si="8"/>
        <v>0</v>
      </c>
      <c r="N14" s="332">
        <f t="shared" si="8"/>
        <v>0</v>
      </c>
      <c r="O14" s="332">
        <f t="shared" si="8"/>
        <v>0</v>
      </c>
      <c r="P14" s="332">
        <f t="shared" si="8"/>
        <v>0</v>
      </c>
      <c r="Q14" s="332">
        <f t="shared" si="8"/>
        <v>1576059.0530162824</v>
      </c>
      <c r="R14" s="332">
        <f t="shared" si="8"/>
        <v>1585669.1691932119</v>
      </c>
      <c r="S14" s="332">
        <f t="shared" si="8"/>
        <v>419962.07693177811</v>
      </c>
      <c r="T14" s="332">
        <f t="shared" si="8"/>
        <v>209981.03846588905</v>
      </c>
      <c r="U14" s="332">
        <f t="shared" si="8"/>
        <v>209981.03846588905</v>
      </c>
      <c r="V14" s="332">
        <f t="shared" si="8"/>
        <v>197968.39324473034</v>
      </c>
      <c r="W14" s="332">
        <f t="shared" si="8"/>
        <v>0</v>
      </c>
      <c r="X14" s="332">
        <f t="shared" si="8"/>
        <v>0</v>
      </c>
      <c r="Y14" s="332">
        <f t="shared" si="8"/>
        <v>0</v>
      </c>
      <c r="Z14" s="332">
        <f t="shared" si="8"/>
        <v>0</v>
      </c>
      <c r="AA14" s="332">
        <f t="shared" si="8"/>
        <v>0</v>
      </c>
      <c r="AB14" s="332">
        <f>AB12*AB13</f>
        <v>0</v>
      </c>
      <c r="AC14" s="332">
        <f>AC12*AC13</f>
        <v>0</v>
      </c>
      <c r="AD14" s="332">
        <f t="shared" ref="AD14:BY14" si="9">AD12*AD13</f>
        <v>0</v>
      </c>
      <c r="AE14" s="332">
        <f t="shared" si="9"/>
        <v>0</v>
      </c>
      <c r="AF14" s="332">
        <f t="shared" si="9"/>
        <v>0</v>
      </c>
      <c r="AG14" s="332">
        <f t="shared" si="9"/>
        <v>0</v>
      </c>
      <c r="AH14" s="332">
        <f t="shared" si="9"/>
        <v>0</v>
      </c>
      <c r="AI14" s="332">
        <f t="shared" si="9"/>
        <v>0</v>
      </c>
      <c r="AJ14" s="332">
        <f t="shared" si="9"/>
        <v>0</v>
      </c>
      <c r="AK14" s="332">
        <f t="shared" si="9"/>
        <v>0</v>
      </c>
      <c r="AL14" s="332">
        <f t="shared" si="9"/>
        <v>0</v>
      </c>
      <c r="AM14" s="332">
        <f t="shared" si="9"/>
        <v>0</v>
      </c>
      <c r="AN14" s="332">
        <f t="shared" si="9"/>
        <v>0</v>
      </c>
      <c r="AO14" s="332">
        <f t="shared" si="9"/>
        <v>0</v>
      </c>
      <c r="AP14" s="332">
        <f t="shared" si="9"/>
        <v>0</v>
      </c>
      <c r="AQ14" s="332">
        <f t="shared" si="9"/>
        <v>0</v>
      </c>
      <c r="AR14" s="332">
        <f t="shared" si="9"/>
        <v>0</v>
      </c>
      <c r="AS14" s="332">
        <f t="shared" si="9"/>
        <v>0</v>
      </c>
      <c r="AT14" s="332">
        <f t="shared" si="9"/>
        <v>0</v>
      </c>
      <c r="AU14" s="332">
        <f t="shared" si="9"/>
        <v>0</v>
      </c>
      <c r="AV14" s="332">
        <f t="shared" si="9"/>
        <v>0</v>
      </c>
      <c r="AW14" s="332">
        <f t="shared" si="9"/>
        <v>0</v>
      </c>
      <c r="AX14" s="332">
        <f t="shared" si="9"/>
        <v>0</v>
      </c>
      <c r="AY14" s="332">
        <f t="shared" si="9"/>
        <v>0</v>
      </c>
      <c r="AZ14" s="332">
        <f t="shared" si="9"/>
        <v>0</v>
      </c>
      <c r="BA14" s="332">
        <f t="shared" si="9"/>
        <v>0</v>
      </c>
      <c r="BB14" s="332">
        <f t="shared" si="9"/>
        <v>0</v>
      </c>
      <c r="BC14" s="332">
        <f t="shared" si="9"/>
        <v>0</v>
      </c>
      <c r="BD14" s="332">
        <f t="shared" si="9"/>
        <v>0</v>
      </c>
      <c r="BE14" s="332">
        <f t="shared" si="9"/>
        <v>0</v>
      </c>
      <c r="BF14" s="332">
        <f t="shared" si="9"/>
        <v>0</v>
      </c>
      <c r="BG14" s="332">
        <f t="shared" si="9"/>
        <v>0</v>
      </c>
      <c r="BH14" s="332">
        <f t="shared" si="9"/>
        <v>0</v>
      </c>
      <c r="BI14" s="332">
        <f t="shared" si="9"/>
        <v>0</v>
      </c>
      <c r="BJ14" s="332">
        <f t="shared" si="9"/>
        <v>0</v>
      </c>
      <c r="BK14" s="332">
        <f t="shared" si="9"/>
        <v>0</v>
      </c>
      <c r="BL14" s="332">
        <f t="shared" si="9"/>
        <v>0</v>
      </c>
      <c r="BM14" s="332">
        <f t="shared" si="9"/>
        <v>0</v>
      </c>
      <c r="BN14" s="332">
        <f t="shared" si="9"/>
        <v>0</v>
      </c>
      <c r="BO14" s="332">
        <f t="shared" si="9"/>
        <v>0</v>
      </c>
      <c r="BP14" s="332">
        <f t="shared" si="9"/>
        <v>0</v>
      </c>
      <c r="BQ14" s="332">
        <f t="shared" si="9"/>
        <v>0</v>
      </c>
      <c r="BR14" s="332">
        <f t="shared" si="9"/>
        <v>0</v>
      </c>
      <c r="BS14" s="332">
        <f t="shared" si="9"/>
        <v>0</v>
      </c>
      <c r="BT14" s="332">
        <f t="shared" si="9"/>
        <v>0</v>
      </c>
      <c r="BU14" s="332">
        <f t="shared" si="9"/>
        <v>0</v>
      </c>
      <c r="BV14" s="332">
        <f t="shared" si="9"/>
        <v>0</v>
      </c>
      <c r="BW14" s="332">
        <f t="shared" si="9"/>
        <v>0</v>
      </c>
      <c r="BX14" s="332">
        <f t="shared" si="9"/>
        <v>0</v>
      </c>
      <c r="BY14" s="332">
        <f t="shared" si="9"/>
        <v>0</v>
      </c>
      <c r="BZ14" s="332">
        <f t="shared" ref="BZ14:CJ14" si="10">BZ12*BZ13</f>
        <v>0</v>
      </c>
      <c r="CA14" s="332">
        <f t="shared" si="10"/>
        <v>0</v>
      </c>
      <c r="CB14" s="332">
        <f t="shared" si="10"/>
        <v>0</v>
      </c>
      <c r="CC14" s="332">
        <f t="shared" si="10"/>
        <v>0</v>
      </c>
      <c r="CD14" s="332">
        <f t="shared" si="10"/>
        <v>0</v>
      </c>
      <c r="CE14" s="332">
        <f t="shared" si="10"/>
        <v>0</v>
      </c>
      <c r="CF14" s="332">
        <f t="shared" si="10"/>
        <v>0</v>
      </c>
      <c r="CG14" s="332">
        <f t="shared" si="10"/>
        <v>0</v>
      </c>
      <c r="CH14" s="332">
        <f t="shared" si="10"/>
        <v>0</v>
      </c>
      <c r="CI14" s="332">
        <f t="shared" si="10"/>
        <v>0</v>
      </c>
      <c r="CJ14" s="332">
        <f t="shared" si="10"/>
        <v>0</v>
      </c>
      <c r="CK14" s="510" t="s">
        <v>623</v>
      </c>
    </row>
    <row r="15" spans="2:89" s="320" customFormat="1" ht="15.75" customHeight="1">
      <c r="B15" s="295"/>
      <c r="C15" s="310" t="s">
        <v>34</v>
      </c>
      <c r="D15" s="311" t="s">
        <v>33</v>
      </c>
      <c r="E15" s="312"/>
      <c r="F15" s="363"/>
      <c r="G15" s="334">
        <f>SUM(H15:DL15)</f>
        <v>4199620.7693177816</v>
      </c>
      <c r="H15" s="1363">
        <v>0</v>
      </c>
      <c r="I15" s="335">
        <f>SUM($H$121:H121)*I14+SUM($H$14:I14)*I121</f>
        <v>0</v>
      </c>
      <c r="J15" s="335">
        <f>SUM($H$121:I121)*J14+SUM($H$14:J14)*J121</f>
        <v>0</v>
      </c>
      <c r="K15" s="335">
        <f>SUM($H$121:J121)*K14+SUM($H$14:K14)*K121</f>
        <v>0</v>
      </c>
      <c r="L15" s="335">
        <f>SUM($H$121:K121)*L14+SUM($H$14:L14)*L121</f>
        <v>0</v>
      </c>
      <c r="M15" s="335">
        <f>SUM($H$121:L121)*M14+SUM($H$14:M14)*M121</f>
        <v>0</v>
      </c>
      <c r="N15" s="335">
        <f>SUM($H$121:M121)*N14+SUM($H$14:N14)*N121</f>
        <v>0</v>
      </c>
      <c r="O15" s="335">
        <f>SUM($H$121:N121)*O14+SUM($H$14:O14)*O121</f>
        <v>0</v>
      </c>
      <c r="P15" s="335">
        <f>SUM($H$121:O121)*P14+SUM($H$14:P14)*P121</f>
        <v>0</v>
      </c>
      <c r="Q15" s="335">
        <f>SUM($H$121:P121)*Q14+SUM($H$14:Q14)*Q121</f>
        <v>472817.71590488468</v>
      </c>
      <c r="R15" s="335">
        <f>SUM($H$121:Q121)*R14+SUM($H$14:R14)*R121</f>
        <v>475700.75075796357</v>
      </c>
      <c r="S15" s="335">
        <f>SUM($H$121:R121)*S14+SUM($H$14:S14)*S121</f>
        <v>125988.62307953343</v>
      </c>
      <c r="T15" s="335">
        <f>SUM($H$121:S121)*T14+SUM($H$14:T14)*T121</f>
        <v>442161.44530048297</v>
      </c>
      <c r="U15" s="335">
        <f>SUM($H$121:T121)*U14+SUM($H$14:U14)*U121</f>
        <v>484157.65299366077</v>
      </c>
      <c r="V15" s="335">
        <f>SUM($H$121:U121)*V14+SUM($H$14:V14)*V121</f>
        <v>518946.27355414332</v>
      </c>
      <c r="W15" s="335">
        <f>SUM($H$121:V121)*W14+SUM($H$14:W14)*W121</f>
        <v>419962.07693177817</v>
      </c>
      <c r="X15" s="335">
        <f>SUM($H$121:W121)*X14+SUM($H$14:X14)*X121</f>
        <v>1049905.1923294454</v>
      </c>
      <c r="Y15" s="335">
        <f>SUM($H$121:X121)*Y14+SUM($H$14:Y14)*Y121</f>
        <v>0</v>
      </c>
      <c r="Z15" s="335">
        <f>SUM($H$121:Y121)*Z14+SUM($H$14:Z14)*Z121</f>
        <v>0</v>
      </c>
      <c r="AA15" s="335">
        <f>SUM($H$121:Z121)*AA14+SUM($H$14:AA14)*AA121</f>
        <v>209981.03846588908</v>
      </c>
      <c r="AB15" s="335">
        <f>SUM($H$121:AA121)*AB14+SUM($H$14:AB14)*AB121</f>
        <v>0</v>
      </c>
      <c r="AC15" s="335">
        <f>SUM($H$121:AB121)*AC14+SUM($H$14:AC14)*AC121</f>
        <v>0</v>
      </c>
      <c r="AD15" s="335">
        <f>SUM($H$121:AC121)*AD14+SUM($H$14:AD14)*AD121</f>
        <v>0</v>
      </c>
      <c r="AE15" s="335">
        <f>SUM($H$121:AD121)*AE14+SUM($H$14:AE14)*AE121</f>
        <v>0</v>
      </c>
      <c r="AF15" s="335">
        <f>SUM($H$121:AE121)*AF14+SUM($H$14:AF14)*AF121</f>
        <v>0</v>
      </c>
      <c r="AG15" s="335">
        <f>SUM($H$121:AF121)*AG14+SUM($H$14:AG14)*AG121</f>
        <v>0</v>
      </c>
      <c r="AH15" s="335">
        <f>SUM($H$121:AG121)*AH14+SUM($H$14:AH14)*AH121</f>
        <v>0</v>
      </c>
      <c r="AI15" s="335">
        <f>SUM($H$121:AH121)*AI14+SUM($H$14:AI14)*AI121</f>
        <v>0</v>
      </c>
      <c r="AJ15" s="335">
        <f>SUM($H$121:AI121)*AJ14+SUM($H$14:AJ14)*AJ121</f>
        <v>0</v>
      </c>
      <c r="AK15" s="335">
        <f>SUM($H$121:AJ121)*AK14+SUM($H$14:AK14)*AK121</f>
        <v>0</v>
      </c>
      <c r="AL15" s="335">
        <f>SUM($H$121:AK121)*AL14+SUM($H$14:AL14)*AL121</f>
        <v>0</v>
      </c>
      <c r="AM15" s="335">
        <f>SUM($H$121:AL121)*AM14+SUM($H$14:AM14)*AM121</f>
        <v>0</v>
      </c>
      <c r="AN15" s="335">
        <f>SUM($H$121:AM121)*AN14+SUM($H$14:AN14)*AN121</f>
        <v>0</v>
      </c>
      <c r="AO15" s="335">
        <f>SUM($H$121:AN121)*AO14+SUM($H$14:AO14)*AO121</f>
        <v>0</v>
      </c>
      <c r="AP15" s="335">
        <f>SUM($H$121:AO121)*AP14+SUM($H$14:AP14)*AP121</f>
        <v>0</v>
      </c>
      <c r="AQ15" s="335">
        <f>SUM($H$121:AP121)*AQ14+SUM($H$14:AQ14)*AQ121</f>
        <v>0</v>
      </c>
      <c r="AR15" s="335"/>
      <c r="AS15" s="335"/>
      <c r="AT15" s="335"/>
      <c r="AU15" s="335"/>
      <c r="AV15" s="335"/>
      <c r="AW15" s="335"/>
      <c r="AX15" s="335"/>
      <c r="AY15" s="335"/>
      <c r="AZ15" s="335"/>
      <c r="BA15" s="335"/>
      <c r="BB15" s="335"/>
      <c r="BC15" s="335"/>
      <c r="BD15" s="335"/>
      <c r="BE15" s="335"/>
      <c r="BF15" s="335"/>
      <c r="BG15" s="335"/>
      <c r="BH15" s="335"/>
      <c r="BI15" s="335"/>
      <c r="BJ15" s="335"/>
      <c r="BK15" s="335"/>
      <c r="BL15" s="335"/>
      <c r="BM15" s="335"/>
      <c r="BN15" s="335"/>
      <c r="BO15" s="335"/>
      <c r="BP15" s="335"/>
      <c r="BQ15" s="335"/>
      <c r="BR15" s="335"/>
      <c r="BS15" s="335"/>
      <c r="BT15" s="335"/>
      <c r="BU15" s="335"/>
      <c r="BV15" s="335"/>
      <c r="BW15" s="335"/>
      <c r="BX15" s="335"/>
      <c r="BY15" s="335"/>
      <c r="BZ15" s="335"/>
      <c r="CA15" s="335"/>
      <c r="CB15" s="335"/>
      <c r="CC15" s="335"/>
      <c r="CD15" s="335"/>
      <c r="CE15" s="335"/>
      <c r="CF15" s="335"/>
      <c r="CG15" s="335"/>
      <c r="CH15" s="335"/>
      <c r="CI15" s="335"/>
      <c r="CJ15" s="335"/>
      <c r="CK15" s="510" t="s">
        <v>623</v>
      </c>
    </row>
    <row r="16" spans="2:89" s="320" customFormat="1" ht="14.25" customHeight="1">
      <c r="B16" s="726">
        <v>2</v>
      </c>
      <c r="C16" s="717" t="str">
        <f>+'2.Tien do'!C66</f>
        <v>Căn hộ shop TM</v>
      </c>
      <c r="D16" s="717"/>
      <c r="E16" s="719"/>
      <c r="F16" s="719"/>
      <c r="G16" s="725"/>
      <c r="H16" s="721"/>
      <c r="I16" s="721"/>
      <c r="J16" s="722"/>
      <c r="K16" s="722"/>
      <c r="L16" s="722"/>
      <c r="M16" s="722"/>
      <c r="N16" s="722"/>
      <c r="O16" s="722"/>
      <c r="P16" s="722"/>
      <c r="Q16" s="722"/>
      <c r="R16" s="723"/>
      <c r="S16" s="723"/>
      <c r="T16" s="724"/>
      <c r="U16" s="722"/>
      <c r="V16" s="722"/>
      <c r="W16" s="723"/>
      <c r="X16" s="724"/>
      <c r="Y16" s="722"/>
      <c r="Z16" s="722"/>
      <c r="AA16" s="722"/>
      <c r="AB16" s="722"/>
      <c r="AC16" s="722"/>
      <c r="AD16" s="722"/>
      <c r="AE16" s="722"/>
      <c r="AF16" s="722"/>
      <c r="AG16" s="722"/>
      <c r="AH16" s="722"/>
      <c r="AI16" s="722"/>
      <c r="AJ16" s="722"/>
      <c r="AK16" s="722"/>
      <c r="AL16" s="722"/>
      <c r="AM16" s="722"/>
      <c r="AN16" s="722"/>
      <c r="AO16" s="722"/>
      <c r="AP16" s="722"/>
      <c r="AQ16" s="722"/>
      <c r="AR16" s="722"/>
      <c r="AS16" s="722"/>
      <c r="AT16" s="722"/>
      <c r="AU16" s="722"/>
      <c r="AV16" s="722"/>
      <c r="AW16" s="722"/>
      <c r="AX16" s="722"/>
      <c r="AY16" s="722"/>
      <c r="AZ16" s="722"/>
      <c r="BA16" s="722"/>
      <c r="BB16" s="722"/>
      <c r="BC16" s="722"/>
      <c r="BD16" s="722"/>
      <c r="BE16" s="722"/>
      <c r="BF16" s="722"/>
      <c r="BG16" s="722"/>
      <c r="BH16" s="722"/>
      <c r="BI16" s="722"/>
      <c r="BJ16" s="722"/>
      <c r="BK16" s="722"/>
      <c r="BL16" s="722"/>
      <c r="BM16" s="722"/>
      <c r="BN16" s="722"/>
      <c r="BO16" s="722"/>
      <c r="BP16" s="722"/>
      <c r="BQ16" s="722"/>
      <c r="BR16" s="722"/>
      <c r="BS16" s="722"/>
      <c r="BT16" s="722"/>
      <c r="BU16" s="722"/>
      <c r="BV16" s="722"/>
      <c r="BW16" s="722"/>
      <c r="BX16" s="722"/>
      <c r="BY16" s="722"/>
      <c r="BZ16" s="722"/>
      <c r="CA16" s="722"/>
      <c r="CB16" s="722"/>
      <c r="CC16" s="722"/>
      <c r="CD16" s="722"/>
      <c r="CE16" s="722"/>
      <c r="CF16" s="722"/>
      <c r="CG16" s="722"/>
      <c r="CH16" s="722"/>
      <c r="CI16" s="722"/>
      <c r="CJ16" s="722"/>
      <c r="CK16" s="510" t="s">
        <v>623</v>
      </c>
    </row>
    <row r="17" spans="2:89" s="324" customFormat="1" ht="15.75" customHeight="1">
      <c r="B17" s="295"/>
      <c r="C17" s="296" t="s">
        <v>137</v>
      </c>
      <c r="D17" s="297" t="s">
        <v>3</v>
      </c>
      <c r="E17" s="298"/>
      <c r="F17" s="359"/>
      <c r="G17" s="322"/>
      <c r="H17" s="323">
        <f>+'2.Tien do'!E66</f>
        <v>0</v>
      </c>
      <c r="I17" s="323">
        <f>+'2.Tien do'!F66</f>
        <v>0</v>
      </c>
      <c r="J17" s="323">
        <f>+'2.Tien do'!G66</f>
        <v>0</v>
      </c>
      <c r="K17" s="323">
        <f>+'2.Tien do'!H66</f>
        <v>0</v>
      </c>
      <c r="L17" s="323">
        <f>+'2.Tien do'!I66</f>
        <v>0</v>
      </c>
      <c r="M17" s="323">
        <f>+'2.Tien do'!J66</f>
        <v>0</v>
      </c>
      <c r="N17" s="323">
        <f>+'2.Tien do'!K66</f>
        <v>0</v>
      </c>
      <c r="O17" s="323">
        <f>+'2.Tien do'!L66</f>
        <v>0</v>
      </c>
      <c r="P17" s="323">
        <f>+'2.Tien do'!M66</f>
        <v>0</v>
      </c>
      <c r="Q17" s="323">
        <f>+'2.Tien do'!N66</f>
        <v>0</v>
      </c>
      <c r="R17" s="323">
        <f>+'2.Tien do'!O66</f>
        <v>0</v>
      </c>
      <c r="S17" s="323">
        <f>+'2.Tien do'!P66</f>
        <v>0</v>
      </c>
      <c r="T17" s="323">
        <f>+'2.Tien do'!Q66</f>
        <v>0.5</v>
      </c>
      <c r="U17" s="323">
        <f>+'2.Tien do'!R66</f>
        <v>0.3</v>
      </c>
      <c r="V17" s="323">
        <f>+'2.Tien do'!S66</f>
        <v>0.2</v>
      </c>
      <c r="W17" s="323">
        <f>+'2.Tien do'!T66</f>
        <v>0</v>
      </c>
      <c r="X17" s="323">
        <f>+'2.Tien do'!U66</f>
        <v>0</v>
      </c>
      <c r="Y17" s="323">
        <f>+'2.Tien do'!V66</f>
        <v>0</v>
      </c>
      <c r="Z17" s="323">
        <f>+'2.Tien do'!W66</f>
        <v>0</v>
      </c>
      <c r="AA17" s="323">
        <f>+'2.Tien do'!X66</f>
        <v>0</v>
      </c>
      <c r="AB17" s="323">
        <f>+'2.Tien do'!Y66</f>
        <v>0</v>
      </c>
      <c r="AC17" s="323">
        <f>+'2.Tien do'!Z66</f>
        <v>0</v>
      </c>
      <c r="AD17" s="323">
        <f>+'2.Tien do'!AA66</f>
        <v>0</v>
      </c>
      <c r="AE17" s="323">
        <f>+'2.Tien do'!AB66</f>
        <v>0</v>
      </c>
      <c r="AF17" s="323">
        <f>+'2.Tien do'!AC66</f>
        <v>0</v>
      </c>
      <c r="AG17" s="323">
        <f>+'2.Tien do'!AD66</f>
        <v>0</v>
      </c>
      <c r="AH17" s="323">
        <f>+'2.Tien do'!AE66</f>
        <v>0</v>
      </c>
      <c r="AI17" s="323">
        <f>+'2.Tien do'!AF66</f>
        <v>0</v>
      </c>
      <c r="AJ17" s="323">
        <f>+'2.Tien do'!AG66</f>
        <v>0</v>
      </c>
      <c r="AK17" s="323">
        <f>+'2.Tien do'!AH66</f>
        <v>0</v>
      </c>
      <c r="AL17" s="323">
        <f>+'2.Tien do'!AI66</f>
        <v>0</v>
      </c>
      <c r="AM17" s="323">
        <f>+'2.Tien do'!AJ66</f>
        <v>0</v>
      </c>
      <c r="AN17" s="323">
        <f>+'2.Tien do'!AK66</f>
        <v>0</v>
      </c>
      <c r="AO17" s="323">
        <f>+'2.Tien do'!AL66</f>
        <v>0</v>
      </c>
      <c r="AP17" s="323">
        <f>+'2.Tien do'!AM66</f>
        <v>0</v>
      </c>
      <c r="AQ17" s="323">
        <f>+'2.Tien do'!AN66</f>
        <v>0</v>
      </c>
      <c r="AR17" s="323">
        <f>+'2.Tien do'!AO66</f>
        <v>0</v>
      </c>
      <c r="AS17" s="323">
        <f>+'2.Tien do'!AP66</f>
        <v>0</v>
      </c>
      <c r="AT17" s="323">
        <f>+'2.Tien do'!AQ66</f>
        <v>0</v>
      </c>
      <c r="AU17" s="323">
        <f>+'2.Tien do'!AR66</f>
        <v>0</v>
      </c>
      <c r="AV17" s="323">
        <f>+'2.Tien do'!AS66</f>
        <v>0</v>
      </c>
      <c r="AW17" s="323">
        <f>+'2.Tien do'!AT66</f>
        <v>0</v>
      </c>
      <c r="AX17" s="323">
        <f>+'2.Tien do'!AU66</f>
        <v>0</v>
      </c>
      <c r="AY17" s="323">
        <f>+'2.Tien do'!AV66</f>
        <v>0</v>
      </c>
      <c r="AZ17" s="323">
        <f>+'2.Tien do'!AW66</f>
        <v>0</v>
      </c>
      <c r="BA17" s="323">
        <f>+'2.Tien do'!AX66</f>
        <v>0</v>
      </c>
      <c r="BB17" s="323">
        <f>+'2.Tien do'!AY66</f>
        <v>0</v>
      </c>
      <c r="BC17" s="323">
        <f>+'2.Tien do'!AZ66</f>
        <v>0</v>
      </c>
      <c r="BD17" s="323">
        <f>+'2.Tien do'!BA66</f>
        <v>0</v>
      </c>
      <c r="BE17" s="323">
        <f>+'2.Tien do'!BB66</f>
        <v>0</v>
      </c>
      <c r="BF17" s="323">
        <f>+'2.Tien do'!BC66</f>
        <v>0</v>
      </c>
      <c r="BG17" s="323">
        <f>+'2.Tien do'!BD66</f>
        <v>0</v>
      </c>
      <c r="BH17" s="323">
        <f>+'2.Tien do'!BE66</f>
        <v>0</v>
      </c>
      <c r="BI17" s="323">
        <f>+'2.Tien do'!BF66</f>
        <v>0</v>
      </c>
      <c r="BJ17" s="323">
        <f>+'2.Tien do'!BG66</f>
        <v>0</v>
      </c>
      <c r="BK17" s="323">
        <f>+'2.Tien do'!BH66</f>
        <v>0</v>
      </c>
      <c r="BL17" s="323">
        <f>+'2.Tien do'!BI66</f>
        <v>0</v>
      </c>
      <c r="BM17" s="323">
        <f>+'2.Tien do'!BJ66</f>
        <v>0</v>
      </c>
      <c r="BN17" s="323">
        <f>+'2.Tien do'!BK66</f>
        <v>0</v>
      </c>
      <c r="BO17" s="323">
        <f>+'2.Tien do'!BL66</f>
        <v>0</v>
      </c>
      <c r="BP17" s="323">
        <f>+'2.Tien do'!BM66</f>
        <v>0</v>
      </c>
      <c r="BQ17" s="323">
        <f>+'2.Tien do'!BN66</f>
        <v>0</v>
      </c>
      <c r="BR17" s="323">
        <f>+'2.Tien do'!BO66</f>
        <v>0</v>
      </c>
      <c r="BS17" s="323">
        <f>+'2.Tien do'!BP66</f>
        <v>0</v>
      </c>
      <c r="BT17" s="323">
        <f>+'2.Tien do'!BQ66</f>
        <v>0</v>
      </c>
      <c r="BU17" s="323">
        <f>+'2.Tien do'!BR66</f>
        <v>0</v>
      </c>
      <c r="BV17" s="323">
        <f>+'2.Tien do'!BS66</f>
        <v>0</v>
      </c>
      <c r="BW17" s="323">
        <f>+'2.Tien do'!BT66</f>
        <v>0</v>
      </c>
      <c r="BX17" s="323">
        <f>+'2.Tien do'!BU66</f>
        <v>0</v>
      </c>
      <c r="BY17" s="323">
        <f>+'2.Tien do'!BV66</f>
        <v>0</v>
      </c>
      <c r="BZ17" s="323">
        <f>+'2.Tien do'!BW66</f>
        <v>0</v>
      </c>
      <c r="CA17" s="323">
        <f>+'2.Tien do'!BX66</f>
        <v>0</v>
      </c>
      <c r="CB17" s="323">
        <f>+'2.Tien do'!BY66</f>
        <v>0</v>
      </c>
      <c r="CC17" s="323">
        <f>+'2.Tien do'!BZ66</f>
        <v>0</v>
      </c>
      <c r="CD17" s="323">
        <f>+'2.Tien do'!CA66</f>
        <v>0</v>
      </c>
      <c r="CE17" s="323">
        <f>+'2.Tien do'!CB66</f>
        <v>0</v>
      </c>
      <c r="CF17" s="323">
        <f>+'2.Tien do'!CC66</f>
        <v>0</v>
      </c>
      <c r="CG17" s="323">
        <f>+'2.Tien do'!CD66</f>
        <v>0</v>
      </c>
      <c r="CH17" s="323">
        <f>+'2.Tien do'!CE66</f>
        <v>0</v>
      </c>
      <c r="CI17" s="323">
        <f>+'2.Tien do'!CF66</f>
        <v>0</v>
      </c>
      <c r="CJ17" s="323">
        <f>+'2.Tien do'!CG66</f>
        <v>0</v>
      </c>
      <c r="CK17" s="510" t="s">
        <v>623</v>
      </c>
    </row>
    <row r="18" spans="2:89" s="320" customFormat="1" ht="15" customHeight="1">
      <c r="B18" s="295"/>
      <c r="C18" s="300" t="s">
        <v>68</v>
      </c>
      <c r="D18" s="336" t="s">
        <v>31</v>
      </c>
      <c r="E18" s="302">
        <f>+'1. thong tin quy hoach'!K14</f>
        <v>2246.1742599620488</v>
      </c>
      <c r="F18" s="360">
        <v>4031.2000000000003</v>
      </c>
      <c r="G18" s="325">
        <f>SUM(H18:AA18)</f>
        <v>2246.1742599620488</v>
      </c>
      <c r="H18" s="326">
        <f t="shared" ref="H18:AA18" si="11">$E18*H17</f>
        <v>0</v>
      </c>
      <c r="I18" s="326">
        <f t="shared" si="11"/>
        <v>0</v>
      </c>
      <c r="J18" s="326">
        <f t="shared" si="11"/>
        <v>0</v>
      </c>
      <c r="K18" s="326">
        <f t="shared" si="11"/>
        <v>0</v>
      </c>
      <c r="L18" s="326">
        <f t="shared" si="11"/>
        <v>0</v>
      </c>
      <c r="M18" s="326">
        <f t="shared" si="11"/>
        <v>0</v>
      </c>
      <c r="N18" s="326">
        <f t="shared" si="11"/>
        <v>0</v>
      </c>
      <c r="O18" s="326">
        <f t="shared" si="11"/>
        <v>0</v>
      </c>
      <c r="P18" s="326">
        <f t="shared" si="11"/>
        <v>0</v>
      </c>
      <c r="Q18" s="326">
        <f t="shared" si="11"/>
        <v>0</v>
      </c>
      <c r="R18" s="326">
        <f t="shared" si="11"/>
        <v>0</v>
      </c>
      <c r="S18" s="326">
        <f t="shared" si="11"/>
        <v>0</v>
      </c>
      <c r="T18" s="326">
        <f t="shared" si="11"/>
        <v>1123.0871299810244</v>
      </c>
      <c r="U18" s="326">
        <f t="shared" si="11"/>
        <v>673.85227798861467</v>
      </c>
      <c r="V18" s="326">
        <f t="shared" si="11"/>
        <v>449.2348519924098</v>
      </c>
      <c r="W18" s="326">
        <f t="shared" si="11"/>
        <v>0</v>
      </c>
      <c r="X18" s="326">
        <f t="shared" si="11"/>
        <v>0</v>
      </c>
      <c r="Y18" s="326">
        <f t="shared" si="11"/>
        <v>0</v>
      </c>
      <c r="Z18" s="326">
        <f t="shared" si="11"/>
        <v>0</v>
      </c>
      <c r="AA18" s="326">
        <f t="shared" si="11"/>
        <v>0</v>
      </c>
      <c r="AB18" s="326">
        <f>$E18*AB17</f>
        <v>0</v>
      </c>
      <c r="AC18" s="326">
        <f>$E18*AC17</f>
        <v>0</v>
      </c>
      <c r="AD18" s="326">
        <f t="shared" ref="AD18:BY18" si="12">$E18*AD17</f>
        <v>0</v>
      </c>
      <c r="AE18" s="326">
        <f t="shared" si="12"/>
        <v>0</v>
      </c>
      <c r="AF18" s="326">
        <f t="shared" si="12"/>
        <v>0</v>
      </c>
      <c r="AG18" s="326">
        <f t="shared" si="12"/>
        <v>0</v>
      </c>
      <c r="AH18" s="326">
        <f t="shared" si="12"/>
        <v>0</v>
      </c>
      <c r="AI18" s="326">
        <f t="shared" si="12"/>
        <v>0</v>
      </c>
      <c r="AJ18" s="326">
        <f t="shared" si="12"/>
        <v>0</v>
      </c>
      <c r="AK18" s="326">
        <f t="shared" si="12"/>
        <v>0</v>
      </c>
      <c r="AL18" s="326">
        <f t="shared" si="12"/>
        <v>0</v>
      </c>
      <c r="AM18" s="326">
        <f t="shared" si="12"/>
        <v>0</v>
      </c>
      <c r="AN18" s="326">
        <f t="shared" si="12"/>
        <v>0</v>
      </c>
      <c r="AO18" s="326">
        <f t="shared" si="12"/>
        <v>0</v>
      </c>
      <c r="AP18" s="326">
        <f t="shared" si="12"/>
        <v>0</v>
      </c>
      <c r="AQ18" s="326">
        <f t="shared" si="12"/>
        <v>0</v>
      </c>
      <c r="AR18" s="326">
        <f t="shared" si="12"/>
        <v>0</v>
      </c>
      <c r="AS18" s="326">
        <f t="shared" si="12"/>
        <v>0</v>
      </c>
      <c r="AT18" s="326">
        <f t="shared" si="12"/>
        <v>0</v>
      </c>
      <c r="AU18" s="326">
        <f t="shared" si="12"/>
        <v>0</v>
      </c>
      <c r="AV18" s="326">
        <f t="shared" si="12"/>
        <v>0</v>
      </c>
      <c r="AW18" s="326">
        <f t="shared" si="12"/>
        <v>0</v>
      </c>
      <c r="AX18" s="326">
        <f t="shared" si="12"/>
        <v>0</v>
      </c>
      <c r="AY18" s="326">
        <f t="shared" si="12"/>
        <v>0</v>
      </c>
      <c r="AZ18" s="326">
        <f t="shared" si="12"/>
        <v>0</v>
      </c>
      <c r="BA18" s="326">
        <f t="shared" si="12"/>
        <v>0</v>
      </c>
      <c r="BB18" s="326">
        <f t="shared" si="12"/>
        <v>0</v>
      </c>
      <c r="BC18" s="326">
        <f t="shared" si="12"/>
        <v>0</v>
      </c>
      <c r="BD18" s="326">
        <f t="shared" si="12"/>
        <v>0</v>
      </c>
      <c r="BE18" s="326">
        <f t="shared" si="12"/>
        <v>0</v>
      </c>
      <c r="BF18" s="326">
        <f t="shared" si="12"/>
        <v>0</v>
      </c>
      <c r="BG18" s="326">
        <f t="shared" si="12"/>
        <v>0</v>
      </c>
      <c r="BH18" s="326">
        <f t="shared" si="12"/>
        <v>0</v>
      </c>
      <c r="BI18" s="326">
        <f t="shared" si="12"/>
        <v>0</v>
      </c>
      <c r="BJ18" s="326">
        <f t="shared" si="12"/>
        <v>0</v>
      </c>
      <c r="BK18" s="326">
        <f t="shared" si="12"/>
        <v>0</v>
      </c>
      <c r="BL18" s="326">
        <f t="shared" si="12"/>
        <v>0</v>
      </c>
      <c r="BM18" s="326">
        <f t="shared" si="12"/>
        <v>0</v>
      </c>
      <c r="BN18" s="326">
        <f t="shared" si="12"/>
        <v>0</v>
      </c>
      <c r="BO18" s="326">
        <f t="shared" si="12"/>
        <v>0</v>
      </c>
      <c r="BP18" s="326">
        <f t="shared" si="12"/>
        <v>0</v>
      </c>
      <c r="BQ18" s="326">
        <f t="shared" si="12"/>
        <v>0</v>
      </c>
      <c r="BR18" s="326">
        <f t="shared" si="12"/>
        <v>0</v>
      </c>
      <c r="BS18" s="326">
        <f t="shared" si="12"/>
        <v>0</v>
      </c>
      <c r="BT18" s="326">
        <f t="shared" si="12"/>
        <v>0</v>
      </c>
      <c r="BU18" s="326">
        <f t="shared" si="12"/>
        <v>0</v>
      </c>
      <c r="BV18" s="326">
        <f t="shared" si="12"/>
        <v>0</v>
      </c>
      <c r="BW18" s="326">
        <f t="shared" si="12"/>
        <v>0</v>
      </c>
      <c r="BX18" s="326">
        <f t="shared" si="12"/>
        <v>0</v>
      </c>
      <c r="BY18" s="326">
        <f t="shared" si="12"/>
        <v>0</v>
      </c>
      <c r="BZ18" s="326">
        <f t="shared" ref="BZ18:CJ18" si="13">$E18*BZ17</f>
        <v>0</v>
      </c>
      <c r="CA18" s="326">
        <f t="shared" si="13"/>
        <v>0</v>
      </c>
      <c r="CB18" s="326">
        <f t="shared" si="13"/>
        <v>0</v>
      </c>
      <c r="CC18" s="326">
        <f t="shared" si="13"/>
        <v>0</v>
      </c>
      <c r="CD18" s="326">
        <f t="shared" si="13"/>
        <v>0</v>
      </c>
      <c r="CE18" s="326">
        <f t="shared" si="13"/>
        <v>0</v>
      </c>
      <c r="CF18" s="326">
        <f t="shared" si="13"/>
        <v>0</v>
      </c>
      <c r="CG18" s="326">
        <f t="shared" si="13"/>
        <v>0</v>
      </c>
      <c r="CH18" s="326">
        <f t="shared" si="13"/>
        <v>0</v>
      </c>
      <c r="CI18" s="326">
        <f t="shared" si="13"/>
        <v>0</v>
      </c>
      <c r="CJ18" s="326">
        <f t="shared" si="13"/>
        <v>0</v>
      </c>
      <c r="CK18" s="510" t="s">
        <v>623</v>
      </c>
    </row>
    <row r="19" spans="2:89" s="330" customFormat="1" ht="15.75" customHeight="1">
      <c r="B19" s="295"/>
      <c r="C19" s="304" t="s">
        <v>737</v>
      </c>
      <c r="D19" s="305" t="s">
        <v>33</v>
      </c>
      <c r="E19" s="306">
        <f>+'8.ĐO NHAY'!C9*(1+'8.ĐO NHAY'!$C$22)-'4.Chi phi hoat dong'!$E$54*('8.ĐO NHAY'!$C$22)</f>
        <v>54.504460817322105</v>
      </c>
      <c r="F19" s="361">
        <v>60</v>
      </c>
      <c r="G19" s="328"/>
      <c r="H19" s="329">
        <f t="shared" ref="H19:AA19" si="14">IF(H18&gt;0,$E19,0)</f>
        <v>0</v>
      </c>
      <c r="I19" s="329">
        <f t="shared" si="14"/>
        <v>0</v>
      </c>
      <c r="J19" s="329">
        <f t="shared" si="14"/>
        <v>0</v>
      </c>
      <c r="K19" s="329">
        <f t="shared" si="14"/>
        <v>0</v>
      </c>
      <c r="L19" s="329">
        <f t="shared" si="14"/>
        <v>0</v>
      </c>
      <c r="M19" s="329">
        <f t="shared" si="14"/>
        <v>0</v>
      </c>
      <c r="N19" s="329">
        <f t="shared" si="14"/>
        <v>0</v>
      </c>
      <c r="O19" s="329">
        <f t="shared" si="14"/>
        <v>0</v>
      </c>
      <c r="P19" s="329">
        <f t="shared" si="14"/>
        <v>0</v>
      </c>
      <c r="Q19" s="329">
        <f t="shared" si="14"/>
        <v>0</v>
      </c>
      <c r="R19" s="329">
        <f t="shared" si="14"/>
        <v>0</v>
      </c>
      <c r="S19" s="329">
        <f t="shared" si="14"/>
        <v>0</v>
      </c>
      <c r="T19" s="329">
        <f t="shared" si="14"/>
        <v>54.504460817322105</v>
      </c>
      <c r="U19" s="329">
        <f t="shared" si="14"/>
        <v>54.504460817322105</v>
      </c>
      <c r="V19" s="329">
        <f t="shared" si="14"/>
        <v>54.504460817322105</v>
      </c>
      <c r="W19" s="329">
        <f t="shared" si="14"/>
        <v>0</v>
      </c>
      <c r="X19" s="329">
        <f t="shared" si="14"/>
        <v>0</v>
      </c>
      <c r="Y19" s="329">
        <f t="shared" si="14"/>
        <v>0</v>
      </c>
      <c r="Z19" s="329">
        <f t="shared" si="14"/>
        <v>0</v>
      </c>
      <c r="AA19" s="329">
        <f t="shared" si="14"/>
        <v>0</v>
      </c>
      <c r="AB19" s="329">
        <f>IF(AB18&gt;0,$E19,0)</f>
        <v>0</v>
      </c>
      <c r="AC19" s="329">
        <f>IF(AC18&gt;0,$E19,0)</f>
        <v>0</v>
      </c>
      <c r="AD19" s="329">
        <f t="shared" ref="AD19:BY19" si="15">IF(AD18&gt;0,$E19,0)</f>
        <v>0</v>
      </c>
      <c r="AE19" s="329">
        <f t="shared" si="15"/>
        <v>0</v>
      </c>
      <c r="AF19" s="329">
        <f t="shared" si="15"/>
        <v>0</v>
      </c>
      <c r="AG19" s="329">
        <f t="shared" si="15"/>
        <v>0</v>
      </c>
      <c r="AH19" s="329">
        <f t="shared" si="15"/>
        <v>0</v>
      </c>
      <c r="AI19" s="329">
        <f t="shared" si="15"/>
        <v>0</v>
      </c>
      <c r="AJ19" s="329">
        <f t="shared" si="15"/>
        <v>0</v>
      </c>
      <c r="AK19" s="329">
        <f t="shared" si="15"/>
        <v>0</v>
      </c>
      <c r="AL19" s="329">
        <f t="shared" si="15"/>
        <v>0</v>
      </c>
      <c r="AM19" s="329">
        <f t="shared" si="15"/>
        <v>0</v>
      </c>
      <c r="AN19" s="329">
        <f t="shared" si="15"/>
        <v>0</v>
      </c>
      <c r="AO19" s="329">
        <f t="shared" si="15"/>
        <v>0</v>
      </c>
      <c r="AP19" s="329">
        <f t="shared" si="15"/>
        <v>0</v>
      </c>
      <c r="AQ19" s="329">
        <f t="shared" si="15"/>
        <v>0</v>
      </c>
      <c r="AR19" s="329">
        <f t="shared" si="15"/>
        <v>0</v>
      </c>
      <c r="AS19" s="329">
        <f t="shared" si="15"/>
        <v>0</v>
      </c>
      <c r="AT19" s="329">
        <f t="shared" si="15"/>
        <v>0</v>
      </c>
      <c r="AU19" s="329">
        <f t="shared" si="15"/>
        <v>0</v>
      </c>
      <c r="AV19" s="329">
        <f t="shared" si="15"/>
        <v>0</v>
      </c>
      <c r="AW19" s="329">
        <f t="shared" si="15"/>
        <v>0</v>
      </c>
      <c r="AX19" s="329">
        <f t="shared" si="15"/>
        <v>0</v>
      </c>
      <c r="AY19" s="329">
        <f t="shared" si="15"/>
        <v>0</v>
      </c>
      <c r="AZ19" s="329">
        <f t="shared" si="15"/>
        <v>0</v>
      </c>
      <c r="BA19" s="329">
        <f t="shared" si="15"/>
        <v>0</v>
      </c>
      <c r="BB19" s="329">
        <f t="shared" si="15"/>
        <v>0</v>
      </c>
      <c r="BC19" s="329">
        <f t="shared" si="15"/>
        <v>0</v>
      </c>
      <c r="BD19" s="329">
        <f t="shared" si="15"/>
        <v>0</v>
      </c>
      <c r="BE19" s="329">
        <f t="shared" si="15"/>
        <v>0</v>
      </c>
      <c r="BF19" s="329">
        <f t="shared" si="15"/>
        <v>0</v>
      </c>
      <c r="BG19" s="329">
        <f t="shared" si="15"/>
        <v>0</v>
      </c>
      <c r="BH19" s="329">
        <f t="shared" si="15"/>
        <v>0</v>
      </c>
      <c r="BI19" s="329">
        <f t="shared" si="15"/>
        <v>0</v>
      </c>
      <c r="BJ19" s="329">
        <f t="shared" si="15"/>
        <v>0</v>
      </c>
      <c r="BK19" s="329">
        <f t="shared" si="15"/>
        <v>0</v>
      </c>
      <c r="BL19" s="329">
        <f t="shared" si="15"/>
        <v>0</v>
      </c>
      <c r="BM19" s="329">
        <f t="shared" si="15"/>
        <v>0</v>
      </c>
      <c r="BN19" s="329">
        <f t="shared" si="15"/>
        <v>0</v>
      </c>
      <c r="BO19" s="329">
        <f t="shared" si="15"/>
        <v>0</v>
      </c>
      <c r="BP19" s="329">
        <f t="shared" si="15"/>
        <v>0</v>
      </c>
      <c r="BQ19" s="329">
        <f t="shared" si="15"/>
        <v>0</v>
      </c>
      <c r="BR19" s="329">
        <f t="shared" si="15"/>
        <v>0</v>
      </c>
      <c r="BS19" s="329">
        <f t="shared" si="15"/>
        <v>0</v>
      </c>
      <c r="BT19" s="329">
        <f t="shared" si="15"/>
        <v>0</v>
      </c>
      <c r="BU19" s="329">
        <f t="shared" si="15"/>
        <v>0</v>
      </c>
      <c r="BV19" s="329">
        <f t="shared" si="15"/>
        <v>0</v>
      </c>
      <c r="BW19" s="329">
        <f t="shared" si="15"/>
        <v>0</v>
      </c>
      <c r="BX19" s="329">
        <f t="shared" si="15"/>
        <v>0</v>
      </c>
      <c r="BY19" s="329">
        <f t="shared" si="15"/>
        <v>0</v>
      </c>
      <c r="BZ19" s="329">
        <f t="shared" ref="BZ19:CJ19" si="16">IF(BZ18&gt;0,$E19,0)</f>
        <v>0</v>
      </c>
      <c r="CA19" s="329">
        <f t="shared" si="16"/>
        <v>0</v>
      </c>
      <c r="CB19" s="329">
        <f t="shared" si="16"/>
        <v>0</v>
      </c>
      <c r="CC19" s="329">
        <f t="shared" si="16"/>
        <v>0</v>
      </c>
      <c r="CD19" s="329">
        <f t="shared" si="16"/>
        <v>0</v>
      </c>
      <c r="CE19" s="329">
        <f t="shared" si="16"/>
        <v>0</v>
      </c>
      <c r="CF19" s="329">
        <f t="shared" si="16"/>
        <v>0</v>
      </c>
      <c r="CG19" s="329">
        <f t="shared" si="16"/>
        <v>0</v>
      </c>
      <c r="CH19" s="329">
        <f t="shared" si="16"/>
        <v>0</v>
      </c>
      <c r="CI19" s="329">
        <f t="shared" si="16"/>
        <v>0</v>
      </c>
      <c r="CJ19" s="329">
        <f t="shared" si="16"/>
        <v>0</v>
      </c>
      <c r="CK19" s="510" t="s">
        <v>623</v>
      </c>
    </row>
    <row r="20" spans="2:89" s="320" customFormat="1" ht="15" customHeight="1">
      <c r="B20" s="295"/>
      <c r="C20" s="300" t="s">
        <v>32</v>
      </c>
      <c r="D20" s="311" t="s">
        <v>33</v>
      </c>
      <c r="E20" s="337">
        <f>G20</f>
        <v>122426.51694097898</v>
      </c>
      <c r="F20" s="365">
        <v>241872.00000000003</v>
      </c>
      <c r="G20" s="325">
        <f>SUM(H20:XFD20)</f>
        <v>122426.51694097898</v>
      </c>
      <c r="H20" s="340">
        <f>H18*H19</f>
        <v>0</v>
      </c>
      <c r="I20" s="340">
        <f t="shared" ref="I20:AA20" si="17">I18*I19</f>
        <v>0</v>
      </c>
      <c r="J20" s="340">
        <f t="shared" si="17"/>
        <v>0</v>
      </c>
      <c r="K20" s="340">
        <f t="shared" si="17"/>
        <v>0</v>
      </c>
      <c r="L20" s="340">
        <f t="shared" si="17"/>
        <v>0</v>
      </c>
      <c r="M20" s="340">
        <f t="shared" si="17"/>
        <v>0</v>
      </c>
      <c r="N20" s="340">
        <f t="shared" si="17"/>
        <v>0</v>
      </c>
      <c r="O20" s="340">
        <f t="shared" si="17"/>
        <v>0</v>
      </c>
      <c r="P20" s="340">
        <f t="shared" si="17"/>
        <v>0</v>
      </c>
      <c r="Q20" s="340">
        <f t="shared" si="17"/>
        <v>0</v>
      </c>
      <c r="R20" s="340">
        <f t="shared" si="17"/>
        <v>0</v>
      </c>
      <c r="S20" s="340">
        <f t="shared" si="17"/>
        <v>0</v>
      </c>
      <c r="T20" s="340">
        <f t="shared" si="17"/>
        <v>61213.258470489483</v>
      </c>
      <c r="U20" s="340">
        <f t="shared" si="17"/>
        <v>36727.955082293694</v>
      </c>
      <c r="V20" s="340">
        <f t="shared" si="17"/>
        <v>24485.303388195796</v>
      </c>
      <c r="W20" s="340">
        <f t="shared" si="17"/>
        <v>0</v>
      </c>
      <c r="X20" s="340">
        <f t="shared" si="17"/>
        <v>0</v>
      </c>
      <c r="Y20" s="340">
        <f t="shared" si="17"/>
        <v>0</v>
      </c>
      <c r="Z20" s="340">
        <f t="shared" si="17"/>
        <v>0</v>
      </c>
      <c r="AA20" s="340">
        <f t="shared" si="17"/>
        <v>0</v>
      </c>
      <c r="AB20" s="340">
        <f>AB18*AB19</f>
        <v>0</v>
      </c>
      <c r="AC20" s="340">
        <f>AC18*AC19</f>
        <v>0</v>
      </c>
      <c r="AD20" s="340">
        <f t="shared" ref="AD20:BY20" si="18">AD18*AD19</f>
        <v>0</v>
      </c>
      <c r="AE20" s="340">
        <f t="shared" si="18"/>
        <v>0</v>
      </c>
      <c r="AF20" s="340">
        <f t="shared" si="18"/>
        <v>0</v>
      </c>
      <c r="AG20" s="340">
        <f t="shared" si="18"/>
        <v>0</v>
      </c>
      <c r="AH20" s="340">
        <f t="shared" si="18"/>
        <v>0</v>
      </c>
      <c r="AI20" s="340">
        <f t="shared" si="18"/>
        <v>0</v>
      </c>
      <c r="AJ20" s="340">
        <f t="shared" si="18"/>
        <v>0</v>
      </c>
      <c r="AK20" s="340">
        <f t="shared" si="18"/>
        <v>0</v>
      </c>
      <c r="AL20" s="340">
        <f t="shared" si="18"/>
        <v>0</v>
      </c>
      <c r="AM20" s="340">
        <f t="shared" si="18"/>
        <v>0</v>
      </c>
      <c r="AN20" s="340">
        <f t="shared" si="18"/>
        <v>0</v>
      </c>
      <c r="AO20" s="340">
        <f t="shared" si="18"/>
        <v>0</v>
      </c>
      <c r="AP20" s="340">
        <f t="shared" si="18"/>
        <v>0</v>
      </c>
      <c r="AQ20" s="340">
        <f t="shared" si="18"/>
        <v>0</v>
      </c>
      <c r="AR20" s="340">
        <f t="shared" si="18"/>
        <v>0</v>
      </c>
      <c r="AS20" s="340">
        <f t="shared" si="18"/>
        <v>0</v>
      </c>
      <c r="AT20" s="340">
        <f t="shared" si="18"/>
        <v>0</v>
      </c>
      <c r="AU20" s="340">
        <f t="shared" si="18"/>
        <v>0</v>
      </c>
      <c r="AV20" s="340">
        <f t="shared" si="18"/>
        <v>0</v>
      </c>
      <c r="AW20" s="340">
        <f t="shared" si="18"/>
        <v>0</v>
      </c>
      <c r="AX20" s="340">
        <f t="shared" si="18"/>
        <v>0</v>
      </c>
      <c r="AY20" s="340">
        <f t="shared" si="18"/>
        <v>0</v>
      </c>
      <c r="AZ20" s="340">
        <f t="shared" si="18"/>
        <v>0</v>
      </c>
      <c r="BA20" s="340">
        <f t="shared" si="18"/>
        <v>0</v>
      </c>
      <c r="BB20" s="340">
        <f t="shared" si="18"/>
        <v>0</v>
      </c>
      <c r="BC20" s="340">
        <f t="shared" si="18"/>
        <v>0</v>
      </c>
      <c r="BD20" s="340">
        <f t="shared" si="18"/>
        <v>0</v>
      </c>
      <c r="BE20" s="340">
        <f t="shared" si="18"/>
        <v>0</v>
      </c>
      <c r="BF20" s="340">
        <f t="shared" si="18"/>
        <v>0</v>
      </c>
      <c r="BG20" s="340">
        <f t="shared" si="18"/>
        <v>0</v>
      </c>
      <c r="BH20" s="340">
        <f t="shared" si="18"/>
        <v>0</v>
      </c>
      <c r="BI20" s="340">
        <f t="shared" si="18"/>
        <v>0</v>
      </c>
      <c r="BJ20" s="340">
        <f t="shared" si="18"/>
        <v>0</v>
      </c>
      <c r="BK20" s="340">
        <f t="shared" si="18"/>
        <v>0</v>
      </c>
      <c r="BL20" s="340">
        <f t="shared" si="18"/>
        <v>0</v>
      </c>
      <c r="BM20" s="340">
        <f t="shared" si="18"/>
        <v>0</v>
      </c>
      <c r="BN20" s="340">
        <f t="shared" si="18"/>
        <v>0</v>
      </c>
      <c r="BO20" s="340">
        <f t="shared" si="18"/>
        <v>0</v>
      </c>
      <c r="BP20" s="340">
        <f t="shared" si="18"/>
        <v>0</v>
      </c>
      <c r="BQ20" s="340">
        <f t="shared" si="18"/>
        <v>0</v>
      </c>
      <c r="BR20" s="340">
        <f t="shared" si="18"/>
        <v>0</v>
      </c>
      <c r="BS20" s="340">
        <f t="shared" si="18"/>
        <v>0</v>
      </c>
      <c r="BT20" s="340">
        <f t="shared" si="18"/>
        <v>0</v>
      </c>
      <c r="BU20" s="340">
        <f t="shared" si="18"/>
        <v>0</v>
      </c>
      <c r="BV20" s="340">
        <f t="shared" si="18"/>
        <v>0</v>
      </c>
      <c r="BW20" s="340">
        <f t="shared" si="18"/>
        <v>0</v>
      </c>
      <c r="BX20" s="340">
        <f t="shared" si="18"/>
        <v>0</v>
      </c>
      <c r="BY20" s="340">
        <f t="shared" si="18"/>
        <v>0</v>
      </c>
      <c r="BZ20" s="340">
        <f t="shared" ref="BZ20:CJ20" si="19">BZ18*BZ19</f>
        <v>0</v>
      </c>
      <c r="CA20" s="340">
        <f t="shared" si="19"/>
        <v>0</v>
      </c>
      <c r="CB20" s="340">
        <f t="shared" si="19"/>
        <v>0</v>
      </c>
      <c r="CC20" s="340">
        <f t="shared" si="19"/>
        <v>0</v>
      </c>
      <c r="CD20" s="340">
        <f t="shared" si="19"/>
        <v>0</v>
      </c>
      <c r="CE20" s="340">
        <f t="shared" si="19"/>
        <v>0</v>
      </c>
      <c r="CF20" s="340">
        <f t="shared" si="19"/>
        <v>0</v>
      </c>
      <c r="CG20" s="340">
        <f t="shared" si="19"/>
        <v>0</v>
      </c>
      <c r="CH20" s="340">
        <f t="shared" si="19"/>
        <v>0</v>
      </c>
      <c r="CI20" s="340">
        <f t="shared" si="19"/>
        <v>0</v>
      </c>
      <c r="CJ20" s="340">
        <f t="shared" si="19"/>
        <v>0</v>
      </c>
      <c r="CK20" s="510" t="s">
        <v>623</v>
      </c>
    </row>
    <row r="21" spans="2:89" s="320" customFormat="1" ht="15" customHeight="1">
      <c r="B21" s="338"/>
      <c r="C21" s="310" t="s">
        <v>35</v>
      </c>
      <c r="D21" s="339"/>
      <c r="E21" s="337">
        <f>(G27+G21)/E18</f>
        <v>54.504460817322112</v>
      </c>
      <c r="F21" s="365"/>
      <c r="G21" s="334">
        <f>SUM(H21:XFD21)</f>
        <v>122426.51694097898</v>
      </c>
      <c r="H21" s="1363">
        <v>0</v>
      </c>
      <c r="I21" s="335">
        <f>SUM($H$122:H122)*I20+SUM($H$20:I20)*I122</f>
        <v>0</v>
      </c>
      <c r="J21" s="335">
        <f>SUM($H$122:I122)*J20+SUM($H$20:J20)*J122</f>
        <v>0</v>
      </c>
      <c r="K21" s="335">
        <f>SUM($H$122:J122)*K20+SUM($H$20:K20)*K122</f>
        <v>0</v>
      </c>
      <c r="L21" s="335">
        <f>SUM($H$122:K122)*L20+SUM($H$20:L20)*L122</f>
        <v>0</v>
      </c>
      <c r="M21" s="335">
        <f>SUM($H$122:L122)*M20+SUM($H$20:M20)*M122</f>
        <v>0</v>
      </c>
      <c r="N21" s="335">
        <f>SUM($H$122:M122)*N20+SUM($H$20:N20)*N122</f>
        <v>0</v>
      </c>
      <c r="O21" s="335">
        <f>SUM($H$122:N122)*O20+SUM($H$20:O20)*O122</f>
        <v>0</v>
      </c>
      <c r="P21" s="335">
        <f>SUM($H$122:O122)*P20+SUM($H$20:P20)*P122</f>
        <v>0</v>
      </c>
      <c r="Q21" s="335">
        <f>SUM($H$122:P122)*Q20+SUM($H$20:Q20)*Q122</f>
        <v>0</v>
      </c>
      <c r="R21" s="335">
        <f>SUM($H$122:Q122)*R20+SUM($H$20:R20)*R122</f>
        <v>0</v>
      </c>
      <c r="S21" s="335">
        <f>SUM($H$122:R122)*S20+SUM($H$20:S20)*S122</f>
        <v>0</v>
      </c>
      <c r="T21" s="335">
        <f>SUM($H$122:S122)*T20+SUM($H$20:T20)*T122</f>
        <v>24485.303388195793</v>
      </c>
      <c r="U21" s="335">
        <f>SUM($H$122:T122)*U20+SUM($H$20:U20)*U122</f>
        <v>24485.303388195796</v>
      </c>
      <c r="V21" s="335">
        <f>SUM($H$122:U122)*V20+SUM($H$20:V20)*V122</f>
        <v>24485.303388195796</v>
      </c>
      <c r="W21" s="335">
        <f>SUM($H$122:V122)*W20+SUM($H$20:W20)*W122</f>
        <v>12242.651694097898</v>
      </c>
      <c r="X21" s="335">
        <f>SUM($H$122:W122)*X20+SUM($H$20:X20)*X122</f>
        <v>30606.629235244745</v>
      </c>
      <c r="Y21" s="335">
        <f>SUM($H$122:X122)*Y20+SUM($H$20:Y20)*Y122</f>
        <v>0</v>
      </c>
      <c r="Z21" s="335">
        <f>SUM($H$122:Y122)*Z20+SUM($H$20:Z20)*Z122</f>
        <v>0</v>
      </c>
      <c r="AA21" s="335">
        <f>SUM($H$122:Z122)*AA20+SUM($H$20:AA20)*AA122</f>
        <v>6121.3258470489491</v>
      </c>
      <c r="AB21" s="335">
        <f>SUM($H$122:AA122)*AB20+SUM($H$20:AB20)*AB122</f>
        <v>0</v>
      </c>
      <c r="AC21" s="335">
        <f>SUM($H$122:AB122)*AC20+SUM($H$20:AC20)*AC122</f>
        <v>0</v>
      </c>
      <c r="AD21" s="335">
        <f>SUM($H$122:AC122)*AD20+SUM($H$20:AD20)*AD122</f>
        <v>0</v>
      </c>
      <c r="AE21" s="335">
        <f>SUM($H$122:AD122)*AE20+SUM($H$20:AE20)*AE122</f>
        <v>0</v>
      </c>
      <c r="AF21" s="335">
        <f>SUM($H$122:AE122)*AF20+SUM($H$20:AF20)*AF122</f>
        <v>0</v>
      </c>
      <c r="AG21" s="335">
        <f>SUM($H$122:AF122)*AG20+SUM($H$20:AG20)*AG122</f>
        <v>0</v>
      </c>
      <c r="AH21" s="335">
        <f>SUM($H$122:AG122)*AH20+SUM($H$20:AH20)*AH122</f>
        <v>0</v>
      </c>
      <c r="AI21" s="335">
        <f>SUM($H$122:AH122)*AI20+SUM($H$20:AI20)*AI122</f>
        <v>0</v>
      </c>
      <c r="AJ21" s="335">
        <f>SUM($H$122:AI122)*AJ20+SUM($H$20:AJ20)*AJ122</f>
        <v>0</v>
      </c>
      <c r="AK21" s="335">
        <f>SUM($H$122:AJ122)*AK20+SUM($H$20:AK20)*AK122</f>
        <v>0</v>
      </c>
      <c r="AL21" s="335">
        <f>SUM($H$122:AK122)*AL20+SUM($H$20:AL20)*AL122</f>
        <v>0</v>
      </c>
      <c r="AM21" s="335">
        <f>SUM($H$122:AL122)*AM20+SUM($H$20:AM20)*AM122</f>
        <v>0</v>
      </c>
      <c r="AN21" s="335">
        <f>SUM($H$122:AM122)*AN20+SUM($H$20:AN20)*AN122</f>
        <v>0</v>
      </c>
      <c r="AO21" s="335">
        <f>SUM($H$122:AN122)*AO20+SUM($H$20:AO20)*AO122</f>
        <v>0</v>
      </c>
      <c r="AP21" s="335">
        <f>SUM($H$122:AO122)*AP20+SUM($H$20:AP20)*AP122</f>
        <v>0</v>
      </c>
      <c r="AQ21" s="335">
        <f>SUM($H$122:AP122)*AQ20+SUM($H$20:AQ20)*AQ122</f>
        <v>0</v>
      </c>
      <c r="AR21" s="335"/>
      <c r="AS21" s="335"/>
      <c r="AT21" s="335"/>
      <c r="AU21" s="335"/>
      <c r="AV21" s="335"/>
      <c r="AW21" s="335"/>
      <c r="AX21" s="335"/>
      <c r="AY21" s="335"/>
      <c r="AZ21" s="335"/>
      <c r="BA21" s="335"/>
      <c r="BB21" s="335"/>
      <c r="BC21" s="335"/>
      <c r="BD21" s="335"/>
      <c r="BE21" s="335"/>
      <c r="BF21" s="335"/>
      <c r="BG21" s="335"/>
      <c r="BH21" s="335"/>
      <c r="BI21" s="335"/>
      <c r="BJ21" s="335"/>
      <c r="BK21" s="335"/>
      <c r="BL21" s="335"/>
      <c r="BM21" s="335"/>
      <c r="BN21" s="335"/>
      <c r="BO21" s="335"/>
      <c r="BP21" s="335"/>
      <c r="BQ21" s="335"/>
      <c r="BR21" s="335"/>
      <c r="BS21" s="335"/>
      <c r="BT21" s="335"/>
      <c r="BU21" s="335"/>
      <c r="BV21" s="335"/>
      <c r="BW21" s="335"/>
      <c r="BX21" s="335"/>
      <c r="BY21" s="335"/>
      <c r="BZ21" s="335"/>
      <c r="CA21" s="335"/>
      <c r="CB21" s="335"/>
      <c r="CC21" s="335"/>
      <c r="CD21" s="335"/>
      <c r="CE21" s="335"/>
      <c r="CF21" s="335"/>
      <c r="CG21" s="335"/>
      <c r="CH21" s="335"/>
      <c r="CI21" s="335"/>
      <c r="CJ21" s="335"/>
      <c r="CK21" s="510" t="s">
        <v>623</v>
      </c>
    </row>
    <row r="22" spans="2:89" s="320" customFormat="1" ht="15" customHeight="1">
      <c r="B22" s="726">
        <v>3</v>
      </c>
      <c r="C22" s="717" t="str">
        <f>+'2.Tien do'!C67</f>
        <v>Căn TMDV</v>
      </c>
      <c r="D22" s="717"/>
      <c r="E22" s="719"/>
      <c r="F22" s="719"/>
      <c r="G22" s="725"/>
      <c r="H22" s="721"/>
      <c r="I22" s="721"/>
      <c r="J22" s="722"/>
      <c r="K22" s="722"/>
      <c r="L22" s="722"/>
      <c r="M22" s="722"/>
      <c r="N22" s="722"/>
      <c r="O22" s="722"/>
      <c r="P22" s="722"/>
      <c r="Q22" s="722"/>
      <c r="R22" s="723"/>
      <c r="S22" s="723"/>
      <c r="T22" s="724"/>
      <c r="U22" s="722"/>
      <c r="V22" s="722"/>
      <c r="W22" s="723"/>
      <c r="X22" s="724"/>
      <c r="Y22" s="722"/>
      <c r="Z22" s="722"/>
      <c r="AA22" s="722"/>
      <c r="AB22" s="722"/>
      <c r="AC22" s="722"/>
      <c r="AD22" s="722"/>
      <c r="AE22" s="722"/>
      <c r="AF22" s="722"/>
      <c r="AG22" s="722"/>
      <c r="AH22" s="722"/>
      <c r="AI22" s="722"/>
      <c r="AJ22" s="722"/>
      <c r="AK22" s="722"/>
      <c r="AL22" s="722"/>
      <c r="AM22" s="722"/>
      <c r="AN22" s="722"/>
      <c r="AO22" s="722"/>
      <c r="AP22" s="722"/>
      <c r="AQ22" s="722"/>
      <c r="AR22" s="722"/>
      <c r="AS22" s="722"/>
      <c r="AT22" s="722"/>
      <c r="AU22" s="722"/>
      <c r="AV22" s="722"/>
      <c r="AW22" s="722"/>
      <c r="AX22" s="722"/>
      <c r="AY22" s="722"/>
      <c r="AZ22" s="722"/>
      <c r="BA22" s="722"/>
      <c r="BB22" s="722"/>
      <c r="BC22" s="722"/>
      <c r="BD22" s="722"/>
      <c r="BE22" s="722"/>
      <c r="BF22" s="722"/>
      <c r="BG22" s="722"/>
      <c r="BH22" s="722"/>
      <c r="BI22" s="722"/>
      <c r="BJ22" s="722"/>
      <c r="BK22" s="722"/>
      <c r="BL22" s="722"/>
      <c r="BM22" s="722"/>
      <c r="BN22" s="722"/>
      <c r="BO22" s="722"/>
      <c r="BP22" s="722"/>
      <c r="BQ22" s="722"/>
      <c r="BR22" s="722"/>
      <c r="BS22" s="722"/>
      <c r="BT22" s="722"/>
      <c r="BU22" s="722"/>
      <c r="BV22" s="722"/>
      <c r="BW22" s="722"/>
      <c r="BX22" s="722"/>
      <c r="BY22" s="722"/>
      <c r="BZ22" s="722"/>
      <c r="CA22" s="722"/>
      <c r="CB22" s="722"/>
      <c r="CC22" s="722"/>
      <c r="CD22" s="722"/>
      <c r="CE22" s="722"/>
      <c r="CF22" s="722"/>
      <c r="CG22" s="722"/>
      <c r="CH22" s="722"/>
      <c r="CI22" s="722"/>
      <c r="CJ22" s="722"/>
      <c r="CK22" s="510" t="s">
        <v>623</v>
      </c>
    </row>
    <row r="23" spans="2:89" s="324" customFormat="1" ht="15.75" customHeight="1">
      <c r="B23" s="295"/>
      <c r="C23" s="296" t="s">
        <v>137</v>
      </c>
      <c r="D23" s="297" t="s">
        <v>3</v>
      </c>
      <c r="E23" s="298"/>
      <c r="F23" s="359"/>
      <c r="G23" s="322"/>
      <c r="H23" s="323">
        <f>'2.Tien do'!E67</f>
        <v>0</v>
      </c>
      <c r="I23" s="323">
        <f>'2.Tien do'!F67</f>
        <v>0</v>
      </c>
      <c r="J23" s="323">
        <f>'2.Tien do'!G67</f>
        <v>0</v>
      </c>
      <c r="K23" s="323">
        <f>'2.Tien do'!H67</f>
        <v>0</v>
      </c>
      <c r="L23" s="323">
        <f>'2.Tien do'!I67</f>
        <v>0</v>
      </c>
      <c r="M23" s="323">
        <f>'2.Tien do'!J67</f>
        <v>0</v>
      </c>
      <c r="N23" s="323">
        <f>'2.Tien do'!K67</f>
        <v>0</v>
      </c>
      <c r="O23" s="323">
        <f>'2.Tien do'!L67</f>
        <v>0</v>
      </c>
      <c r="P23" s="323">
        <f>'2.Tien do'!M67</f>
        <v>0</v>
      </c>
      <c r="Q23" s="323">
        <f>'2.Tien do'!N67</f>
        <v>0</v>
      </c>
      <c r="R23" s="323">
        <f>'2.Tien do'!O67</f>
        <v>0</v>
      </c>
      <c r="S23" s="323">
        <f>'2.Tien do'!P67</f>
        <v>0</v>
      </c>
      <c r="T23" s="323">
        <f>'2.Tien do'!Q67</f>
        <v>0</v>
      </c>
      <c r="U23" s="323">
        <f>'2.Tien do'!R67</f>
        <v>0</v>
      </c>
      <c r="V23" s="323">
        <f>'2.Tien do'!S67</f>
        <v>0</v>
      </c>
      <c r="W23" s="323">
        <f>'2.Tien do'!T67</f>
        <v>0</v>
      </c>
      <c r="X23" s="323">
        <f>'2.Tien do'!U67</f>
        <v>0</v>
      </c>
      <c r="Y23" s="323">
        <f>'2.Tien do'!V67</f>
        <v>0</v>
      </c>
      <c r="Z23" s="323">
        <f>'2.Tien do'!W67</f>
        <v>0</v>
      </c>
      <c r="AA23" s="323">
        <f>'2.Tien do'!X67</f>
        <v>0</v>
      </c>
      <c r="AB23" s="323">
        <f>'2.Tien do'!Y67</f>
        <v>0</v>
      </c>
      <c r="AC23" s="323">
        <f>'2.Tien do'!Z67</f>
        <v>0</v>
      </c>
      <c r="AD23" s="323">
        <f>'2.Tien do'!AA67</f>
        <v>0</v>
      </c>
      <c r="AE23" s="323">
        <f>'2.Tien do'!AB67</f>
        <v>0</v>
      </c>
      <c r="AF23" s="323">
        <f>'2.Tien do'!AC67</f>
        <v>0</v>
      </c>
      <c r="AG23" s="323">
        <f>'2.Tien do'!AD67</f>
        <v>0</v>
      </c>
      <c r="AH23" s="323">
        <f>'2.Tien do'!AE67</f>
        <v>0</v>
      </c>
      <c r="AI23" s="323">
        <f>'2.Tien do'!AF67</f>
        <v>0</v>
      </c>
      <c r="AJ23" s="323">
        <f>'2.Tien do'!AG67</f>
        <v>0</v>
      </c>
      <c r="AK23" s="323">
        <f>'2.Tien do'!AH67</f>
        <v>0</v>
      </c>
      <c r="AL23" s="323">
        <f>'2.Tien do'!AI67</f>
        <v>0</v>
      </c>
      <c r="AM23" s="323">
        <f>'2.Tien do'!AJ67</f>
        <v>0</v>
      </c>
      <c r="AN23" s="323">
        <f>'2.Tien do'!AK67</f>
        <v>0</v>
      </c>
      <c r="AO23" s="323">
        <f>'2.Tien do'!AL67</f>
        <v>0</v>
      </c>
      <c r="AP23" s="323">
        <f>'2.Tien do'!AM67</f>
        <v>0</v>
      </c>
      <c r="AQ23" s="323">
        <f>'2.Tien do'!AN67</f>
        <v>0</v>
      </c>
      <c r="AR23" s="323">
        <f>'2.Tien do'!AO67</f>
        <v>0</v>
      </c>
      <c r="AS23" s="323">
        <f>'2.Tien do'!AP67</f>
        <v>0</v>
      </c>
      <c r="AT23" s="323">
        <f>'2.Tien do'!AQ67</f>
        <v>0</v>
      </c>
      <c r="AU23" s="323">
        <f>'2.Tien do'!AR67</f>
        <v>0</v>
      </c>
      <c r="AV23" s="323">
        <f>'2.Tien do'!AS67</f>
        <v>0</v>
      </c>
      <c r="AW23" s="323">
        <f>'2.Tien do'!AT67</f>
        <v>0</v>
      </c>
      <c r="AX23" s="323">
        <f>'2.Tien do'!AU67</f>
        <v>0</v>
      </c>
      <c r="AY23" s="323">
        <f>'2.Tien do'!AV67</f>
        <v>0</v>
      </c>
      <c r="AZ23" s="323">
        <f>'2.Tien do'!AW67</f>
        <v>0</v>
      </c>
      <c r="BA23" s="323">
        <f>'2.Tien do'!AX67</f>
        <v>0</v>
      </c>
      <c r="BB23" s="323">
        <f>'2.Tien do'!AY67</f>
        <v>0</v>
      </c>
      <c r="BC23" s="323">
        <f>'2.Tien do'!AZ67</f>
        <v>0</v>
      </c>
      <c r="BD23" s="323">
        <f>'2.Tien do'!BA67</f>
        <v>0</v>
      </c>
      <c r="BE23" s="323">
        <f>'2.Tien do'!BB67</f>
        <v>0</v>
      </c>
      <c r="BF23" s="323">
        <f>'2.Tien do'!BC67</f>
        <v>0</v>
      </c>
      <c r="BG23" s="323">
        <f>'2.Tien do'!BD67</f>
        <v>0</v>
      </c>
      <c r="BH23" s="323">
        <f>'2.Tien do'!BE67</f>
        <v>0</v>
      </c>
      <c r="BI23" s="323">
        <f>'2.Tien do'!BF67</f>
        <v>0</v>
      </c>
      <c r="BJ23" s="323">
        <f>'2.Tien do'!BG67</f>
        <v>0</v>
      </c>
      <c r="BK23" s="323">
        <f>'2.Tien do'!BH67</f>
        <v>0</v>
      </c>
      <c r="BL23" s="323">
        <f>'2.Tien do'!BI67</f>
        <v>0</v>
      </c>
      <c r="BM23" s="323">
        <f>'2.Tien do'!BJ67</f>
        <v>0</v>
      </c>
      <c r="BN23" s="323">
        <f>'2.Tien do'!BK67</f>
        <v>0</v>
      </c>
      <c r="BO23" s="323">
        <f>'2.Tien do'!BL67</f>
        <v>0</v>
      </c>
      <c r="BP23" s="323">
        <f>'2.Tien do'!BM67</f>
        <v>0</v>
      </c>
      <c r="BQ23" s="323">
        <f>'2.Tien do'!BN67</f>
        <v>0</v>
      </c>
      <c r="BR23" s="323">
        <f>'2.Tien do'!BO67</f>
        <v>0</v>
      </c>
      <c r="BS23" s="323">
        <f>'2.Tien do'!BP67</f>
        <v>0</v>
      </c>
      <c r="BT23" s="323">
        <f>'2.Tien do'!BQ67</f>
        <v>0</v>
      </c>
      <c r="BU23" s="323">
        <f>'2.Tien do'!BR67</f>
        <v>0</v>
      </c>
      <c r="BV23" s="323">
        <f>'2.Tien do'!BS67</f>
        <v>0</v>
      </c>
      <c r="BW23" s="323">
        <f>'2.Tien do'!BT67</f>
        <v>0</v>
      </c>
      <c r="BX23" s="323">
        <f>'2.Tien do'!BU67</f>
        <v>0</v>
      </c>
      <c r="BY23" s="323">
        <f>'2.Tien do'!BV67</f>
        <v>0</v>
      </c>
      <c r="BZ23" s="323">
        <f>'2.Tien do'!BW67</f>
        <v>0</v>
      </c>
      <c r="CA23" s="323">
        <f>'2.Tien do'!BX67</f>
        <v>0</v>
      </c>
      <c r="CB23" s="323">
        <f>'2.Tien do'!BY67</f>
        <v>0</v>
      </c>
      <c r="CC23" s="323">
        <f>'2.Tien do'!BZ67</f>
        <v>0</v>
      </c>
      <c r="CD23" s="323">
        <f>'2.Tien do'!CA67</f>
        <v>0</v>
      </c>
      <c r="CE23" s="323">
        <f>'2.Tien do'!CB67</f>
        <v>0</v>
      </c>
      <c r="CF23" s="323">
        <f>'2.Tien do'!CC67</f>
        <v>0</v>
      </c>
      <c r="CG23" s="323">
        <f>'2.Tien do'!CD67</f>
        <v>0</v>
      </c>
      <c r="CH23" s="323">
        <f>'2.Tien do'!CE67</f>
        <v>0</v>
      </c>
      <c r="CI23" s="323">
        <f>'2.Tien do'!CF67</f>
        <v>0</v>
      </c>
      <c r="CJ23" s="323">
        <f>'2.Tien do'!CG67</f>
        <v>0</v>
      </c>
      <c r="CK23" s="510" t="s">
        <v>623</v>
      </c>
    </row>
    <row r="24" spans="2:89" s="320" customFormat="1" ht="15" customHeight="1">
      <c r="B24" s="338"/>
      <c r="C24" s="300" t="s">
        <v>68</v>
      </c>
      <c r="D24" s="336" t="s">
        <v>31</v>
      </c>
      <c r="E24" s="366">
        <v>0</v>
      </c>
      <c r="F24" s="360"/>
      <c r="G24" s="325">
        <f>SUM(H24:AA24)</f>
        <v>0</v>
      </c>
      <c r="H24" s="326">
        <f t="shared" ref="H24:AA24" si="20">$E24*H23</f>
        <v>0</v>
      </c>
      <c r="I24" s="326">
        <f t="shared" si="20"/>
        <v>0</v>
      </c>
      <c r="J24" s="326">
        <f t="shared" si="20"/>
        <v>0</v>
      </c>
      <c r="K24" s="326">
        <f t="shared" si="20"/>
        <v>0</v>
      </c>
      <c r="L24" s="326">
        <f t="shared" si="20"/>
        <v>0</v>
      </c>
      <c r="M24" s="326">
        <f t="shared" si="20"/>
        <v>0</v>
      </c>
      <c r="N24" s="326">
        <f t="shared" si="20"/>
        <v>0</v>
      </c>
      <c r="O24" s="326">
        <f t="shared" si="20"/>
        <v>0</v>
      </c>
      <c r="P24" s="326">
        <f t="shared" si="20"/>
        <v>0</v>
      </c>
      <c r="Q24" s="326">
        <f t="shared" si="20"/>
        <v>0</v>
      </c>
      <c r="R24" s="326">
        <f t="shared" si="20"/>
        <v>0</v>
      </c>
      <c r="S24" s="326">
        <f t="shared" si="20"/>
        <v>0</v>
      </c>
      <c r="T24" s="326">
        <f t="shared" si="20"/>
        <v>0</v>
      </c>
      <c r="U24" s="326">
        <f t="shared" si="20"/>
        <v>0</v>
      </c>
      <c r="V24" s="326">
        <f t="shared" si="20"/>
        <v>0</v>
      </c>
      <c r="W24" s="326">
        <f t="shared" si="20"/>
        <v>0</v>
      </c>
      <c r="X24" s="326">
        <f t="shared" si="20"/>
        <v>0</v>
      </c>
      <c r="Y24" s="326">
        <f t="shared" si="20"/>
        <v>0</v>
      </c>
      <c r="Z24" s="326">
        <f t="shared" si="20"/>
        <v>0</v>
      </c>
      <c r="AA24" s="326">
        <f t="shared" si="20"/>
        <v>0</v>
      </c>
      <c r="AB24" s="326">
        <f>$E24*AB23</f>
        <v>0</v>
      </c>
      <c r="AC24" s="326">
        <f>$E24*AC23</f>
        <v>0</v>
      </c>
      <c r="AD24" s="326">
        <f t="shared" ref="AD24:BY24" si="21">$E24*AD23</f>
        <v>0</v>
      </c>
      <c r="AE24" s="326">
        <f t="shared" si="21"/>
        <v>0</v>
      </c>
      <c r="AF24" s="326">
        <f t="shared" si="21"/>
        <v>0</v>
      </c>
      <c r="AG24" s="326">
        <f t="shared" si="21"/>
        <v>0</v>
      </c>
      <c r="AH24" s="326">
        <f t="shared" si="21"/>
        <v>0</v>
      </c>
      <c r="AI24" s="326">
        <f t="shared" si="21"/>
        <v>0</v>
      </c>
      <c r="AJ24" s="326">
        <f t="shared" si="21"/>
        <v>0</v>
      </c>
      <c r="AK24" s="326">
        <f t="shared" si="21"/>
        <v>0</v>
      </c>
      <c r="AL24" s="326">
        <f t="shared" si="21"/>
        <v>0</v>
      </c>
      <c r="AM24" s="326">
        <f t="shared" si="21"/>
        <v>0</v>
      </c>
      <c r="AN24" s="326">
        <f t="shared" si="21"/>
        <v>0</v>
      </c>
      <c r="AO24" s="326">
        <f t="shared" si="21"/>
        <v>0</v>
      </c>
      <c r="AP24" s="326">
        <f t="shared" si="21"/>
        <v>0</v>
      </c>
      <c r="AQ24" s="326">
        <f t="shared" si="21"/>
        <v>0</v>
      </c>
      <c r="AR24" s="326">
        <f t="shared" si="21"/>
        <v>0</v>
      </c>
      <c r="AS24" s="326">
        <f t="shared" si="21"/>
        <v>0</v>
      </c>
      <c r="AT24" s="326">
        <f t="shared" si="21"/>
        <v>0</v>
      </c>
      <c r="AU24" s="326">
        <f t="shared" si="21"/>
        <v>0</v>
      </c>
      <c r="AV24" s="326">
        <f t="shared" si="21"/>
        <v>0</v>
      </c>
      <c r="AW24" s="326">
        <f t="shared" si="21"/>
        <v>0</v>
      </c>
      <c r="AX24" s="326">
        <f t="shared" si="21"/>
        <v>0</v>
      </c>
      <c r="AY24" s="326">
        <f t="shared" si="21"/>
        <v>0</v>
      </c>
      <c r="AZ24" s="326">
        <f t="shared" si="21"/>
        <v>0</v>
      </c>
      <c r="BA24" s="326">
        <f t="shared" si="21"/>
        <v>0</v>
      </c>
      <c r="BB24" s="326">
        <f t="shared" si="21"/>
        <v>0</v>
      </c>
      <c r="BC24" s="326">
        <f t="shared" si="21"/>
        <v>0</v>
      </c>
      <c r="BD24" s="326">
        <f t="shared" si="21"/>
        <v>0</v>
      </c>
      <c r="BE24" s="326">
        <f t="shared" si="21"/>
        <v>0</v>
      </c>
      <c r="BF24" s="326">
        <f t="shared" si="21"/>
        <v>0</v>
      </c>
      <c r="BG24" s="326">
        <f t="shared" si="21"/>
        <v>0</v>
      </c>
      <c r="BH24" s="326">
        <f t="shared" si="21"/>
        <v>0</v>
      </c>
      <c r="BI24" s="326">
        <f t="shared" si="21"/>
        <v>0</v>
      </c>
      <c r="BJ24" s="326">
        <f t="shared" si="21"/>
        <v>0</v>
      </c>
      <c r="BK24" s="326">
        <f t="shared" si="21"/>
        <v>0</v>
      </c>
      <c r="BL24" s="326">
        <f t="shared" si="21"/>
        <v>0</v>
      </c>
      <c r="BM24" s="326">
        <f t="shared" si="21"/>
        <v>0</v>
      </c>
      <c r="BN24" s="326">
        <f t="shared" si="21"/>
        <v>0</v>
      </c>
      <c r="BO24" s="326">
        <f t="shared" si="21"/>
        <v>0</v>
      </c>
      <c r="BP24" s="326">
        <f t="shared" si="21"/>
        <v>0</v>
      </c>
      <c r="BQ24" s="326">
        <f t="shared" si="21"/>
        <v>0</v>
      </c>
      <c r="BR24" s="326">
        <f t="shared" si="21"/>
        <v>0</v>
      </c>
      <c r="BS24" s="326">
        <f t="shared" si="21"/>
        <v>0</v>
      </c>
      <c r="BT24" s="326">
        <f t="shared" si="21"/>
        <v>0</v>
      </c>
      <c r="BU24" s="326">
        <f t="shared" si="21"/>
        <v>0</v>
      </c>
      <c r="BV24" s="326">
        <f t="shared" si="21"/>
        <v>0</v>
      </c>
      <c r="BW24" s="326">
        <f t="shared" si="21"/>
        <v>0</v>
      </c>
      <c r="BX24" s="326">
        <f t="shared" si="21"/>
        <v>0</v>
      </c>
      <c r="BY24" s="326">
        <f t="shared" si="21"/>
        <v>0</v>
      </c>
      <c r="BZ24" s="326">
        <f t="shared" ref="BZ24:CJ24" si="22">$E24*BZ23</f>
        <v>0</v>
      </c>
      <c r="CA24" s="326">
        <f t="shared" si="22"/>
        <v>0</v>
      </c>
      <c r="CB24" s="326">
        <f t="shared" si="22"/>
        <v>0</v>
      </c>
      <c r="CC24" s="326">
        <f t="shared" si="22"/>
        <v>0</v>
      </c>
      <c r="CD24" s="326">
        <f t="shared" si="22"/>
        <v>0</v>
      </c>
      <c r="CE24" s="326">
        <f t="shared" si="22"/>
        <v>0</v>
      </c>
      <c r="CF24" s="326">
        <f t="shared" si="22"/>
        <v>0</v>
      </c>
      <c r="CG24" s="326">
        <f t="shared" si="22"/>
        <v>0</v>
      </c>
      <c r="CH24" s="326">
        <f t="shared" si="22"/>
        <v>0</v>
      </c>
      <c r="CI24" s="326">
        <f t="shared" si="22"/>
        <v>0</v>
      </c>
      <c r="CJ24" s="326">
        <f t="shared" si="22"/>
        <v>0</v>
      </c>
      <c r="CK24" s="510" t="s">
        <v>623</v>
      </c>
    </row>
    <row r="25" spans="2:89" s="330" customFormat="1" ht="15.75" customHeight="1">
      <c r="B25" s="367"/>
      <c r="C25" s="304" t="s">
        <v>737</v>
      </c>
      <c r="D25" s="305" t="s">
        <v>33</v>
      </c>
      <c r="E25" s="306">
        <f>+'8.ĐO NHAY'!C10*(1+'8.ĐO NHAY'!$C$22)-'4.Chi phi hoat dong'!$E$54*('8.ĐO NHAY'!$C$22)</f>
        <v>-0.49553918267790498</v>
      </c>
      <c r="F25" s="361"/>
      <c r="G25" s="325"/>
      <c r="H25" s="329">
        <f t="shared" ref="H25:AA25" si="23">IF(H24&gt;0,$E25,0)</f>
        <v>0</v>
      </c>
      <c r="I25" s="329">
        <f t="shared" si="23"/>
        <v>0</v>
      </c>
      <c r="J25" s="329">
        <f t="shared" si="23"/>
        <v>0</v>
      </c>
      <c r="K25" s="329">
        <f t="shared" si="23"/>
        <v>0</v>
      </c>
      <c r="L25" s="329">
        <f t="shared" si="23"/>
        <v>0</v>
      </c>
      <c r="M25" s="329">
        <f t="shared" si="23"/>
        <v>0</v>
      </c>
      <c r="N25" s="329">
        <f t="shared" si="23"/>
        <v>0</v>
      </c>
      <c r="O25" s="329">
        <f t="shared" si="23"/>
        <v>0</v>
      </c>
      <c r="P25" s="329">
        <f t="shared" si="23"/>
        <v>0</v>
      </c>
      <c r="Q25" s="329">
        <f t="shared" si="23"/>
        <v>0</v>
      </c>
      <c r="R25" s="329">
        <f t="shared" si="23"/>
        <v>0</v>
      </c>
      <c r="S25" s="329">
        <f t="shared" si="23"/>
        <v>0</v>
      </c>
      <c r="T25" s="329">
        <f t="shared" si="23"/>
        <v>0</v>
      </c>
      <c r="U25" s="329">
        <f t="shared" si="23"/>
        <v>0</v>
      </c>
      <c r="V25" s="329">
        <f t="shared" si="23"/>
        <v>0</v>
      </c>
      <c r="W25" s="329">
        <f t="shared" si="23"/>
        <v>0</v>
      </c>
      <c r="X25" s="329">
        <f t="shared" si="23"/>
        <v>0</v>
      </c>
      <c r="Y25" s="329">
        <f t="shared" si="23"/>
        <v>0</v>
      </c>
      <c r="Z25" s="329">
        <f t="shared" si="23"/>
        <v>0</v>
      </c>
      <c r="AA25" s="329">
        <f t="shared" si="23"/>
        <v>0</v>
      </c>
      <c r="AB25" s="329">
        <f>IF(AB24&gt;0,$E25,0)</f>
        <v>0</v>
      </c>
      <c r="AC25" s="329">
        <f>IF(AC24&gt;0,$E25,0)</f>
        <v>0</v>
      </c>
      <c r="AD25" s="329">
        <f t="shared" ref="AD25:BY25" si="24">IF(AD24&gt;0,$E25,0)</f>
        <v>0</v>
      </c>
      <c r="AE25" s="329">
        <f t="shared" si="24"/>
        <v>0</v>
      </c>
      <c r="AF25" s="329">
        <f t="shared" si="24"/>
        <v>0</v>
      </c>
      <c r="AG25" s="329">
        <f t="shared" si="24"/>
        <v>0</v>
      </c>
      <c r="AH25" s="329">
        <f t="shared" si="24"/>
        <v>0</v>
      </c>
      <c r="AI25" s="329">
        <f t="shared" si="24"/>
        <v>0</v>
      </c>
      <c r="AJ25" s="329">
        <f t="shared" si="24"/>
        <v>0</v>
      </c>
      <c r="AK25" s="329">
        <f t="shared" si="24"/>
        <v>0</v>
      </c>
      <c r="AL25" s="329">
        <f t="shared" si="24"/>
        <v>0</v>
      </c>
      <c r="AM25" s="329">
        <f t="shared" si="24"/>
        <v>0</v>
      </c>
      <c r="AN25" s="329">
        <f t="shared" si="24"/>
        <v>0</v>
      </c>
      <c r="AO25" s="329">
        <f t="shared" si="24"/>
        <v>0</v>
      </c>
      <c r="AP25" s="329">
        <f t="shared" si="24"/>
        <v>0</v>
      </c>
      <c r="AQ25" s="329">
        <f t="shared" si="24"/>
        <v>0</v>
      </c>
      <c r="AR25" s="329">
        <f t="shared" si="24"/>
        <v>0</v>
      </c>
      <c r="AS25" s="329">
        <f t="shared" si="24"/>
        <v>0</v>
      </c>
      <c r="AT25" s="329">
        <f t="shared" si="24"/>
        <v>0</v>
      </c>
      <c r="AU25" s="329">
        <f t="shared" si="24"/>
        <v>0</v>
      </c>
      <c r="AV25" s="329">
        <f t="shared" si="24"/>
        <v>0</v>
      </c>
      <c r="AW25" s="329">
        <f t="shared" si="24"/>
        <v>0</v>
      </c>
      <c r="AX25" s="329">
        <f t="shared" si="24"/>
        <v>0</v>
      </c>
      <c r="AY25" s="329">
        <f t="shared" si="24"/>
        <v>0</v>
      </c>
      <c r="AZ25" s="329">
        <f t="shared" si="24"/>
        <v>0</v>
      </c>
      <c r="BA25" s="329">
        <f t="shared" si="24"/>
        <v>0</v>
      </c>
      <c r="BB25" s="329">
        <f t="shared" si="24"/>
        <v>0</v>
      </c>
      <c r="BC25" s="329">
        <f t="shared" si="24"/>
        <v>0</v>
      </c>
      <c r="BD25" s="329">
        <f t="shared" si="24"/>
        <v>0</v>
      </c>
      <c r="BE25" s="329">
        <f t="shared" si="24"/>
        <v>0</v>
      </c>
      <c r="BF25" s="329">
        <f t="shared" si="24"/>
        <v>0</v>
      </c>
      <c r="BG25" s="329">
        <f t="shared" si="24"/>
        <v>0</v>
      </c>
      <c r="BH25" s="329">
        <f t="shared" si="24"/>
        <v>0</v>
      </c>
      <c r="BI25" s="329">
        <f t="shared" si="24"/>
        <v>0</v>
      </c>
      <c r="BJ25" s="329">
        <f t="shared" si="24"/>
        <v>0</v>
      </c>
      <c r="BK25" s="329">
        <f t="shared" si="24"/>
        <v>0</v>
      </c>
      <c r="BL25" s="329">
        <f t="shared" si="24"/>
        <v>0</v>
      </c>
      <c r="BM25" s="329">
        <f t="shared" si="24"/>
        <v>0</v>
      </c>
      <c r="BN25" s="329">
        <f t="shared" si="24"/>
        <v>0</v>
      </c>
      <c r="BO25" s="329">
        <f t="shared" si="24"/>
        <v>0</v>
      </c>
      <c r="BP25" s="329">
        <f t="shared" si="24"/>
        <v>0</v>
      </c>
      <c r="BQ25" s="329">
        <f t="shared" si="24"/>
        <v>0</v>
      </c>
      <c r="BR25" s="329">
        <f t="shared" si="24"/>
        <v>0</v>
      </c>
      <c r="BS25" s="329">
        <f t="shared" si="24"/>
        <v>0</v>
      </c>
      <c r="BT25" s="329">
        <f t="shared" si="24"/>
        <v>0</v>
      </c>
      <c r="BU25" s="329">
        <f t="shared" si="24"/>
        <v>0</v>
      </c>
      <c r="BV25" s="329">
        <f t="shared" si="24"/>
        <v>0</v>
      </c>
      <c r="BW25" s="329">
        <f t="shared" si="24"/>
        <v>0</v>
      </c>
      <c r="BX25" s="329">
        <f t="shared" si="24"/>
        <v>0</v>
      </c>
      <c r="BY25" s="329">
        <f t="shared" si="24"/>
        <v>0</v>
      </c>
      <c r="BZ25" s="329">
        <f t="shared" ref="BZ25:CJ25" si="25">IF(BZ24&gt;0,$E25,0)</f>
        <v>0</v>
      </c>
      <c r="CA25" s="329">
        <f t="shared" si="25"/>
        <v>0</v>
      </c>
      <c r="CB25" s="329">
        <f t="shared" si="25"/>
        <v>0</v>
      </c>
      <c r="CC25" s="329">
        <f t="shared" si="25"/>
        <v>0</v>
      </c>
      <c r="CD25" s="329">
        <f t="shared" si="25"/>
        <v>0</v>
      </c>
      <c r="CE25" s="329">
        <f t="shared" si="25"/>
        <v>0</v>
      </c>
      <c r="CF25" s="329">
        <f t="shared" si="25"/>
        <v>0</v>
      </c>
      <c r="CG25" s="329">
        <f t="shared" si="25"/>
        <v>0</v>
      </c>
      <c r="CH25" s="329">
        <f t="shared" si="25"/>
        <v>0</v>
      </c>
      <c r="CI25" s="329">
        <f t="shared" si="25"/>
        <v>0</v>
      </c>
      <c r="CJ25" s="329">
        <f t="shared" si="25"/>
        <v>0</v>
      </c>
      <c r="CK25" s="510" t="s">
        <v>623</v>
      </c>
    </row>
    <row r="26" spans="2:89" s="320" customFormat="1" ht="15" customHeight="1">
      <c r="B26" s="338"/>
      <c r="C26" s="300" t="s">
        <v>32</v>
      </c>
      <c r="D26" s="311" t="s">
        <v>33</v>
      </c>
      <c r="E26" s="337">
        <f>+G26</f>
        <v>0</v>
      </c>
      <c r="F26" s="365"/>
      <c r="G26" s="325">
        <f>SUM(H26:XFD26)</f>
        <v>0</v>
      </c>
      <c r="H26" s="340">
        <f t="shared" ref="H26:AA26" si="26">H24*H25</f>
        <v>0</v>
      </c>
      <c r="I26" s="340">
        <f t="shared" si="26"/>
        <v>0</v>
      </c>
      <c r="J26" s="340">
        <f t="shared" si="26"/>
        <v>0</v>
      </c>
      <c r="K26" s="340">
        <f t="shared" si="26"/>
        <v>0</v>
      </c>
      <c r="L26" s="340">
        <f t="shared" si="26"/>
        <v>0</v>
      </c>
      <c r="M26" s="340">
        <f t="shared" si="26"/>
        <v>0</v>
      </c>
      <c r="N26" s="340">
        <f t="shared" si="26"/>
        <v>0</v>
      </c>
      <c r="O26" s="340">
        <f t="shared" si="26"/>
        <v>0</v>
      </c>
      <c r="P26" s="340">
        <f t="shared" si="26"/>
        <v>0</v>
      </c>
      <c r="Q26" s="340">
        <f t="shared" si="26"/>
        <v>0</v>
      </c>
      <c r="R26" s="340">
        <f t="shared" si="26"/>
        <v>0</v>
      </c>
      <c r="S26" s="340">
        <f t="shared" si="26"/>
        <v>0</v>
      </c>
      <c r="T26" s="340">
        <f t="shared" si="26"/>
        <v>0</v>
      </c>
      <c r="U26" s="340">
        <f t="shared" si="26"/>
        <v>0</v>
      </c>
      <c r="V26" s="340">
        <f t="shared" si="26"/>
        <v>0</v>
      </c>
      <c r="W26" s="340">
        <f t="shared" si="26"/>
        <v>0</v>
      </c>
      <c r="X26" s="340">
        <f t="shared" si="26"/>
        <v>0</v>
      </c>
      <c r="Y26" s="340">
        <f t="shared" si="26"/>
        <v>0</v>
      </c>
      <c r="Z26" s="340">
        <f t="shared" si="26"/>
        <v>0</v>
      </c>
      <c r="AA26" s="340">
        <f t="shared" si="26"/>
        <v>0</v>
      </c>
      <c r="AB26" s="340">
        <f>AB24*AB25</f>
        <v>0</v>
      </c>
      <c r="AC26" s="340">
        <f>AC24*AC25</f>
        <v>0</v>
      </c>
      <c r="AD26" s="340">
        <f t="shared" ref="AD26:BY26" si="27">AD24*AD25</f>
        <v>0</v>
      </c>
      <c r="AE26" s="340">
        <f t="shared" si="27"/>
        <v>0</v>
      </c>
      <c r="AF26" s="340">
        <f t="shared" si="27"/>
        <v>0</v>
      </c>
      <c r="AG26" s="340">
        <f t="shared" si="27"/>
        <v>0</v>
      </c>
      <c r="AH26" s="340">
        <f t="shared" si="27"/>
        <v>0</v>
      </c>
      <c r="AI26" s="340">
        <f t="shared" si="27"/>
        <v>0</v>
      </c>
      <c r="AJ26" s="340">
        <f t="shared" si="27"/>
        <v>0</v>
      </c>
      <c r="AK26" s="340">
        <f t="shared" si="27"/>
        <v>0</v>
      </c>
      <c r="AL26" s="340">
        <f t="shared" si="27"/>
        <v>0</v>
      </c>
      <c r="AM26" s="340">
        <f t="shared" si="27"/>
        <v>0</v>
      </c>
      <c r="AN26" s="340">
        <f t="shared" si="27"/>
        <v>0</v>
      </c>
      <c r="AO26" s="340">
        <f t="shared" si="27"/>
        <v>0</v>
      </c>
      <c r="AP26" s="340">
        <f t="shared" si="27"/>
        <v>0</v>
      </c>
      <c r="AQ26" s="340">
        <f t="shared" si="27"/>
        <v>0</v>
      </c>
      <c r="AR26" s="340">
        <f t="shared" si="27"/>
        <v>0</v>
      </c>
      <c r="AS26" s="340">
        <f t="shared" si="27"/>
        <v>0</v>
      </c>
      <c r="AT26" s="340">
        <f t="shared" si="27"/>
        <v>0</v>
      </c>
      <c r="AU26" s="340">
        <f t="shared" si="27"/>
        <v>0</v>
      </c>
      <c r="AV26" s="340">
        <f t="shared" si="27"/>
        <v>0</v>
      </c>
      <c r="AW26" s="340">
        <f t="shared" si="27"/>
        <v>0</v>
      </c>
      <c r="AX26" s="340">
        <f t="shared" si="27"/>
        <v>0</v>
      </c>
      <c r="AY26" s="340">
        <f t="shared" si="27"/>
        <v>0</v>
      </c>
      <c r="AZ26" s="340">
        <f t="shared" si="27"/>
        <v>0</v>
      </c>
      <c r="BA26" s="340">
        <f t="shared" si="27"/>
        <v>0</v>
      </c>
      <c r="BB26" s="340">
        <f t="shared" si="27"/>
        <v>0</v>
      </c>
      <c r="BC26" s="340">
        <f t="shared" si="27"/>
        <v>0</v>
      </c>
      <c r="BD26" s="340">
        <f t="shared" si="27"/>
        <v>0</v>
      </c>
      <c r="BE26" s="340">
        <f t="shared" si="27"/>
        <v>0</v>
      </c>
      <c r="BF26" s="340">
        <f t="shared" si="27"/>
        <v>0</v>
      </c>
      <c r="BG26" s="340">
        <f t="shared" si="27"/>
        <v>0</v>
      </c>
      <c r="BH26" s="340">
        <f t="shared" si="27"/>
        <v>0</v>
      </c>
      <c r="BI26" s="340">
        <f t="shared" si="27"/>
        <v>0</v>
      </c>
      <c r="BJ26" s="340">
        <f t="shared" si="27"/>
        <v>0</v>
      </c>
      <c r="BK26" s="340">
        <f t="shared" si="27"/>
        <v>0</v>
      </c>
      <c r="BL26" s="340">
        <f t="shared" si="27"/>
        <v>0</v>
      </c>
      <c r="BM26" s="340">
        <f t="shared" si="27"/>
        <v>0</v>
      </c>
      <c r="BN26" s="340">
        <f t="shared" si="27"/>
        <v>0</v>
      </c>
      <c r="BO26" s="340">
        <f t="shared" si="27"/>
        <v>0</v>
      </c>
      <c r="BP26" s="340">
        <f t="shared" si="27"/>
        <v>0</v>
      </c>
      <c r="BQ26" s="340">
        <f t="shared" si="27"/>
        <v>0</v>
      </c>
      <c r="BR26" s="340">
        <f t="shared" si="27"/>
        <v>0</v>
      </c>
      <c r="BS26" s="340">
        <f t="shared" si="27"/>
        <v>0</v>
      </c>
      <c r="BT26" s="340">
        <f t="shared" si="27"/>
        <v>0</v>
      </c>
      <c r="BU26" s="340">
        <f t="shared" si="27"/>
        <v>0</v>
      </c>
      <c r="BV26" s="340">
        <f t="shared" si="27"/>
        <v>0</v>
      </c>
      <c r="BW26" s="340">
        <f t="shared" si="27"/>
        <v>0</v>
      </c>
      <c r="BX26" s="340">
        <f t="shared" si="27"/>
        <v>0</v>
      </c>
      <c r="BY26" s="340">
        <f t="shared" si="27"/>
        <v>0</v>
      </c>
      <c r="BZ26" s="340">
        <f t="shared" ref="BZ26:CJ26" si="28">BZ24*BZ25</f>
        <v>0</v>
      </c>
      <c r="CA26" s="340">
        <f t="shared" si="28"/>
        <v>0</v>
      </c>
      <c r="CB26" s="340">
        <f t="shared" si="28"/>
        <v>0</v>
      </c>
      <c r="CC26" s="340">
        <f t="shared" si="28"/>
        <v>0</v>
      </c>
      <c r="CD26" s="340">
        <f t="shared" si="28"/>
        <v>0</v>
      </c>
      <c r="CE26" s="340">
        <f t="shared" si="28"/>
        <v>0</v>
      </c>
      <c r="CF26" s="340">
        <f t="shared" si="28"/>
        <v>0</v>
      </c>
      <c r="CG26" s="340">
        <f t="shared" si="28"/>
        <v>0</v>
      </c>
      <c r="CH26" s="340">
        <f t="shared" si="28"/>
        <v>0</v>
      </c>
      <c r="CI26" s="340">
        <f t="shared" si="28"/>
        <v>0</v>
      </c>
      <c r="CJ26" s="340">
        <f t="shared" si="28"/>
        <v>0</v>
      </c>
      <c r="CK26" s="510" t="s">
        <v>623</v>
      </c>
    </row>
    <row r="27" spans="2:89" s="333" customFormat="1" ht="15" customHeight="1">
      <c r="B27" s="368"/>
      <c r="C27" s="310" t="s">
        <v>35</v>
      </c>
      <c r="D27" s="369"/>
      <c r="E27" s="370"/>
      <c r="F27" s="371"/>
      <c r="G27" s="334">
        <f>SUM(H27:XFD27)</f>
        <v>0</v>
      </c>
      <c r="H27" s="1363">
        <v>0</v>
      </c>
      <c r="I27" s="335">
        <f>SUM($H$123:H123)*I26+SUM($H$26:I26)*I123</f>
        <v>0</v>
      </c>
      <c r="J27" s="335">
        <f>SUM($H$123:I123)*J26+SUM($H$26:J26)*J123</f>
        <v>0</v>
      </c>
      <c r="K27" s="335">
        <f>SUM($H$123:J123)*K26+SUM($H$26:K26)*K123</f>
        <v>0</v>
      </c>
      <c r="L27" s="335">
        <f>SUM($H$123:K123)*L26+SUM($H$26:L26)*L123</f>
        <v>0</v>
      </c>
      <c r="M27" s="335">
        <f>SUM($H$123:L123)*M26+SUM($H$26:M26)*M123</f>
        <v>0</v>
      </c>
      <c r="N27" s="335">
        <f>SUM($H$123:M123)*N26+SUM($H$26:N26)*N123</f>
        <v>0</v>
      </c>
      <c r="O27" s="335">
        <f>SUM($H$123:N123)*O26+SUM($H$26:O26)*O123</f>
        <v>0</v>
      </c>
      <c r="P27" s="335">
        <f>SUM($H$123:O123)*P26+SUM($H$26:P26)*P123</f>
        <v>0</v>
      </c>
      <c r="Q27" s="335">
        <f>SUM($H$123:P123)*Q26+SUM($H$26:Q26)*Q123</f>
        <v>0</v>
      </c>
      <c r="R27" s="335">
        <f>SUM($H$123:Q123)*R26+SUM($H$26:R26)*R123</f>
        <v>0</v>
      </c>
      <c r="S27" s="335">
        <f>SUM($H$123:R123)*S26+SUM($H$26:S26)*S123</f>
        <v>0</v>
      </c>
      <c r="T27" s="335">
        <f>SUM($H$123:S123)*T26+SUM($H$26:T26)*T123</f>
        <v>0</v>
      </c>
      <c r="U27" s="335">
        <f>SUM($H$123:T123)*U26+SUM($H$26:U26)*U123</f>
        <v>0</v>
      </c>
      <c r="V27" s="335">
        <f>SUM($H$123:U123)*V26+SUM($H$26:V26)*V123</f>
        <v>0</v>
      </c>
      <c r="W27" s="335">
        <f>SUM($H$123:V123)*W26+SUM($H$26:W26)*W123</f>
        <v>0</v>
      </c>
      <c r="X27" s="335">
        <f>SUM($H$123:W123)*X26+SUM($H$26:X26)*X123</f>
        <v>0</v>
      </c>
      <c r="Y27" s="335">
        <f>SUM($H$123:X123)*Y26+SUM($H$26:Y26)*Y123</f>
        <v>0</v>
      </c>
      <c r="Z27" s="335">
        <f>SUM($H$123:Y123)*Z26+SUM($H$26:Z26)*Z123</f>
        <v>0</v>
      </c>
      <c r="AA27" s="335">
        <f>SUM($H$123:Z123)*AA26+SUM($H$26:AA26)*AA123</f>
        <v>0</v>
      </c>
      <c r="AB27" s="335">
        <f>SUM($H$123:AA123)*AB26+SUM($H$26:AB26)*AB123</f>
        <v>0</v>
      </c>
      <c r="AC27" s="335">
        <f>SUM($H$123:AB123)*AC26+SUM($H$26:AC26)*AC123</f>
        <v>0</v>
      </c>
      <c r="AD27" s="335">
        <f>SUM($H$123:AC123)*AD26+SUM($H$26:AD26)*AD123</f>
        <v>0</v>
      </c>
      <c r="AE27" s="335">
        <f>SUM($H$123:AD123)*AE26+SUM($H$26:AE26)*AE123</f>
        <v>0</v>
      </c>
      <c r="AF27" s="335">
        <f>SUM($H$123:AE123)*AF26+SUM($H$26:AF26)*AF123</f>
        <v>0</v>
      </c>
      <c r="AG27" s="335">
        <f>SUM($H$123:AF123)*AG26+SUM($H$26:AG26)*AG123</f>
        <v>0</v>
      </c>
      <c r="AH27" s="335">
        <f>SUM($H$123:AG123)*AH26+SUM($H$26:AH26)*AH123</f>
        <v>0</v>
      </c>
      <c r="AI27" s="335">
        <f>SUM($H$123:AH123)*AI26+SUM($H$26:AI26)*AI123</f>
        <v>0</v>
      </c>
      <c r="AJ27" s="335">
        <f>SUM($H$123:AI123)*AJ26+SUM($H$26:AJ26)*AJ123</f>
        <v>0</v>
      </c>
      <c r="AK27" s="335">
        <f>SUM($H$123:AJ123)*AK26+SUM($H$26:AK26)*AK123</f>
        <v>0</v>
      </c>
      <c r="AL27" s="335">
        <f>SUM($H$123:AK123)*AL26+SUM($H$26:AL26)*AL123</f>
        <v>0</v>
      </c>
      <c r="AM27" s="335">
        <f>SUM($H$123:AL123)*AM26+SUM($H$26:AM26)*AM123</f>
        <v>0</v>
      </c>
      <c r="AN27" s="335">
        <f>SUM($H$123:AM123)*AN26+SUM($H$26:AN26)*AN123</f>
        <v>0</v>
      </c>
      <c r="AO27" s="335">
        <f>SUM($H$123:AN123)*AO26+SUM($H$26:AO26)*AO123</f>
        <v>0</v>
      </c>
      <c r="AP27" s="335">
        <f>SUM($H$123:AO123)*AP26+SUM($H$26:AP26)*AP123</f>
        <v>0</v>
      </c>
      <c r="AQ27" s="335">
        <f>SUM($H$123:AP123)*AQ26+SUM($H$26:AQ26)*AQ123</f>
        <v>0</v>
      </c>
      <c r="AR27" s="335"/>
      <c r="AS27" s="335"/>
      <c r="AT27" s="335"/>
      <c r="AU27" s="335"/>
      <c r="AV27" s="335"/>
      <c r="AW27" s="335"/>
      <c r="AX27" s="335"/>
      <c r="AY27" s="335"/>
      <c r="AZ27" s="335"/>
      <c r="BA27" s="335"/>
      <c r="BB27" s="335"/>
      <c r="BC27" s="335"/>
      <c r="BD27" s="335"/>
      <c r="BE27" s="335"/>
      <c r="BF27" s="335"/>
      <c r="BG27" s="335"/>
      <c r="BH27" s="335"/>
      <c r="BI27" s="335"/>
      <c r="BJ27" s="335"/>
      <c r="BK27" s="335"/>
      <c r="BL27" s="335"/>
      <c r="BM27" s="335"/>
      <c r="BN27" s="335"/>
      <c r="BO27" s="335"/>
      <c r="BP27" s="335"/>
      <c r="BQ27" s="335"/>
      <c r="BR27" s="335"/>
      <c r="BS27" s="335"/>
      <c r="BT27" s="335"/>
      <c r="BU27" s="335"/>
      <c r="BV27" s="335"/>
      <c r="BW27" s="335"/>
      <c r="BX27" s="335"/>
      <c r="BY27" s="335"/>
      <c r="BZ27" s="335"/>
      <c r="CA27" s="335"/>
      <c r="CB27" s="335"/>
      <c r="CC27" s="335"/>
      <c r="CD27" s="335"/>
      <c r="CE27" s="335"/>
      <c r="CF27" s="335"/>
      <c r="CG27" s="335"/>
      <c r="CH27" s="335"/>
      <c r="CI27" s="335"/>
      <c r="CJ27" s="335"/>
      <c r="CK27" s="510" t="s">
        <v>623</v>
      </c>
    </row>
    <row r="28" spans="2:89" s="333" customFormat="1" ht="15" customHeight="1">
      <c r="B28" s="726">
        <v>4</v>
      </c>
      <c r="C28" s="717" t="str">
        <f>+'2.Tien do'!C68</f>
        <v>Căn officetel</v>
      </c>
      <c r="D28" s="717"/>
      <c r="E28" s="719"/>
      <c r="F28" s="719"/>
      <c r="G28" s="725"/>
      <c r="H28" s="721"/>
      <c r="I28" s="721"/>
      <c r="J28" s="722"/>
      <c r="K28" s="722"/>
      <c r="L28" s="722"/>
      <c r="M28" s="722"/>
      <c r="N28" s="722"/>
      <c r="O28" s="722"/>
      <c r="P28" s="722"/>
      <c r="Q28" s="722"/>
      <c r="R28" s="723"/>
      <c r="S28" s="723"/>
      <c r="T28" s="724"/>
      <c r="U28" s="722"/>
      <c r="V28" s="722"/>
      <c r="W28" s="723"/>
      <c r="X28" s="724"/>
      <c r="Y28" s="722"/>
      <c r="Z28" s="722"/>
      <c r="AA28" s="722"/>
      <c r="AB28" s="722"/>
      <c r="AC28" s="722"/>
      <c r="AD28" s="722"/>
      <c r="AE28" s="722"/>
      <c r="AF28" s="722"/>
      <c r="AG28" s="722"/>
      <c r="AH28" s="722"/>
      <c r="AI28" s="722"/>
      <c r="AJ28" s="722"/>
      <c r="AK28" s="722"/>
      <c r="AL28" s="722"/>
      <c r="AM28" s="722"/>
      <c r="AN28" s="722"/>
      <c r="AO28" s="722"/>
      <c r="AP28" s="722"/>
      <c r="AQ28" s="722"/>
      <c r="AR28" s="722"/>
      <c r="AS28" s="722"/>
      <c r="AT28" s="722"/>
      <c r="AU28" s="722"/>
      <c r="AV28" s="722"/>
      <c r="AW28" s="722"/>
      <c r="AX28" s="722"/>
      <c r="AY28" s="722"/>
      <c r="AZ28" s="722"/>
      <c r="BA28" s="722"/>
      <c r="BB28" s="722"/>
      <c r="BC28" s="722"/>
      <c r="BD28" s="722"/>
      <c r="BE28" s="722"/>
      <c r="BF28" s="722"/>
      <c r="BG28" s="722"/>
      <c r="BH28" s="722"/>
      <c r="BI28" s="722"/>
      <c r="BJ28" s="722"/>
      <c r="BK28" s="722"/>
      <c r="BL28" s="722"/>
      <c r="BM28" s="722"/>
      <c r="BN28" s="722"/>
      <c r="BO28" s="722"/>
      <c r="BP28" s="722"/>
      <c r="BQ28" s="722"/>
      <c r="BR28" s="722"/>
      <c r="BS28" s="722"/>
      <c r="BT28" s="722"/>
      <c r="BU28" s="722"/>
      <c r="BV28" s="722"/>
      <c r="BW28" s="722"/>
      <c r="BX28" s="722"/>
      <c r="BY28" s="722"/>
      <c r="BZ28" s="722"/>
      <c r="CA28" s="722"/>
      <c r="CB28" s="722"/>
      <c r="CC28" s="722"/>
      <c r="CD28" s="722"/>
      <c r="CE28" s="722"/>
      <c r="CF28" s="722"/>
      <c r="CG28" s="722"/>
      <c r="CH28" s="722"/>
      <c r="CI28" s="722"/>
      <c r="CJ28" s="722"/>
      <c r="CK28" s="510" t="s">
        <v>623</v>
      </c>
    </row>
    <row r="29" spans="2:89" s="333" customFormat="1" ht="15" customHeight="1">
      <c r="B29" s="295"/>
      <c r="C29" s="296" t="s">
        <v>137</v>
      </c>
      <c r="D29" s="297" t="s">
        <v>3</v>
      </c>
      <c r="E29" s="298"/>
      <c r="F29" s="359"/>
      <c r="G29" s="322"/>
      <c r="H29" s="323">
        <f>+'2.Tien do'!E68</f>
        <v>0</v>
      </c>
      <c r="I29" s="323">
        <f>+'2.Tien do'!F68</f>
        <v>0</v>
      </c>
      <c r="J29" s="323">
        <f>+'2.Tien do'!G68</f>
        <v>0</v>
      </c>
      <c r="K29" s="323">
        <f>+'2.Tien do'!H68</f>
        <v>0</v>
      </c>
      <c r="L29" s="323">
        <f>+'2.Tien do'!I68</f>
        <v>0</v>
      </c>
      <c r="M29" s="323">
        <f>+'2.Tien do'!J68</f>
        <v>0</v>
      </c>
      <c r="N29" s="323">
        <f>+'2.Tien do'!K68</f>
        <v>0</v>
      </c>
      <c r="O29" s="323">
        <f>+'2.Tien do'!L68</f>
        <v>0</v>
      </c>
      <c r="P29" s="323">
        <f>+'2.Tien do'!M68</f>
        <v>0</v>
      </c>
      <c r="Q29" s="323">
        <f>+'2.Tien do'!N68</f>
        <v>0.37528604118993097</v>
      </c>
      <c r="R29" s="323">
        <f>+'2.Tien do'!O68</f>
        <v>0.37757437070938199</v>
      </c>
      <c r="S29" s="323">
        <f>+'2.Tien do'!P68</f>
        <v>0.1</v>
      </c>
      <c r="T29" s="323">
        <f>+'2.Tien do'!Q68</f>
        <v>0.05</v>
      </c>
      <c r="U29" s="323">
        <f>+'2.Tien do'!R68</f>
        <v>0.05</v>
      </c>
      <c r="V29" s="323">
        <f>+'2.Tien do'!S68</f>
        <v>4.7139588100686969E-2</v>
      </c>
      <c r="W29" s="323">
        <f>+'2.Tien do'!T68</f>
        <v>0</v>
      </c>
      <c r="X29" s="323">
        <f>+'2.Tien do'!U68</f>
        <v>0</v>
      </c>
      <c r="Y29" s="323">
        <f>+'2.Tien do'!V68</f>
        <v>0</v>
      </c>
      <c r="Z29" s="323">
        <f>+'2.Tien do'!W68</f>
        <v>0</v>
      </c>
      <c r="AA29" s="323">
        <f>+'2.Tien do'!X68</f>
        <v>0</v>
      </c>
      <c r="AB29" s="323">
        <f>+'2.Tien do'!Y68</f>
        <v>0</v>
      </c>
      <c r="AC29" s="323">
        <f>+'2.Tien do'!Z68</f>
        <v>0</v>
      </c>
      <c r="AD29" s="323">
        <f>+'2.Tien do'!AA68</f>
        <v>0</v>
      </c>
      <c r="AE29" s="323">
        <f>+'2.Tien do'!AB68</f>
        <v>0</v>
      </c>
      <c r="AF29" s="323">
        <f>+'2.Tien do'!AC68</f>
        <v>0</v>
      </c>
      <c r="AG29" s="323">
        <f>+'2.Tien do'!AD68</f>
        <v>0</v>
      </c>
      <c r="AH29" s="323">
        <f>+'2.Tien do'!AE68</f>
        <v>0</v>
      </c>
      <c r="AI29" s="323">
        <f>+'2.Tien do'!AF68</f>
        <v>0</v>
      </c>
      <c r="AJ29" s="323">
        <f>+'2.Tien do'!AG68</f>
        <v>0</v>
      </c>
      <c r="AK29" s="323">
        <f>+'2.Tien do'!AH68</f>
        <v>0</v>
      </c>
      <c r="AL29" s="323">
        <f>+'2.Tien do'!AI68</f>
        <v>0</v>
      </c>
      <c r="AM29" s="323">
        <f>+'2.Tien do'!AJ68</f>
        <v>0</v>
      </c>
      <c r="AN29" s="323">
        <f>+'2.Tien do'!AK68</f>
        <v>0</v>
      </c>
      <c r="AO29" s="323">
        <f>+'2.Tien do'!AL68</f>
        <v>0</v>
      </c>
      <c r="AP29" s="323">
        <f>+'2.Tien do'!AM68</f>
        <v>0</v>
      </c>
      <c r="AQ29" s="323">
        <f>+'2.Tien do'!AN68</f>
        <v>0</v>
      </c>
      <c r="AR29" s="323">
        <f>+'2.Tien do'!AO68</f>
        <v>0</v>
      </c>
      <c r="AS29" s="323">
        <f>+'2.Tien do'!AP68</f>
        <v>0</v>
      </c>
      <c r="AT29" s="323">
        <f>+'2.Tien do'!AQ68</f>
        <v>0</v>
      </c>
      <c r="AU29" s="323">
        <f>+'2.Tien do'!AR68</f>
        <v>0</v>
      </c>
      <c r="AV29" s="323">
        <f>+'2.Tien do'!AS68</f>
        <v>0</v>
      </c>
      <c r="AW29" s="323">
        <f>+'2.Tien do'!AT68</f>
        <v>0</v>
      </c>
      <c r="AX29" s="323">
        <f>+'2.Tien do'!AU68</f>
        <v>0</v>
      </c>
      <c r="AY29" s="323">
        <f>+'2.Tien do'!AV68</f>
        <v>0</v>
      </c>
      <c r="AZ29" s="323">
        <f>+'2.Tien do'!AW68</f>
        <v>0</v>
      </c>
      <c r="BA29" s="323">
        <f>+'2.Tien do'!AX68</f>
        <v>0</v>
      </c>
      <c r="BB29" s="323">
        <f>+'2.Tien do'!AY68</f>
        <v>0</v>
      </c>
      <c r="BC29" s="323">
        <f>+'2.Tien do'!AZ68</f>
        <v>0</v>
      </c>
      <c r="BD29" s="323">
        <f>+'2.Tien do'!BA68</f>
        <v>0</v>
      </c>
      <c r="BE29" s="323">
        <f>+'2.Tien do'!BB68</f>
        <v>0</v>
      </c>
      <c r="BF29" s="323">
        <f>+'2.Tien do'!BC68</f>
        <v>0</v>
      </c>
      <c r="BG29" s="323">
        <f>+'2.Tien do'!BD68</f>
        <v>0</v>
      </c>
      <c r="BH29" s="323">
        <f>+'2.Tien do'!BE68</f>
        <v>0</v>
      </c>
      <c r="BI29" s="323">
        <f>+'2.Tien do'!BF68</f>
        <v>0</v>
      </c>
      <c r="BJ29" s="323">
        <f>+'2.Tien do'!BG68</f>
        <v>0</v>
      </c>
      <c r="BK29" s="323">
        <f>+'2.Tien do'!BH68</f>
        <v>0</v>
      </c>
      <c r="BL29" s="323">
        <f>+'2.Tien do'!BI68</f>
        <v>0</v>
      </c>
      <c r="BM29" s="323">
        <f>+'2.Tien do'!BJ68</f>
        <v>0</v>
      </c>
      <c r="BN29" s="323">
        <f>+'2.Tien do'!BK68</f>
        <v>0</v>
      </c>
      <c r="BO29" s="323">
        <f>+'2.Tien do'!BL68</f>
        <v>0</v>
      </c>
      <c r="BP29" s="323">
        <f>+'2.Tien do'!BM68</f>
        <v>0</v>
      </c>
      <c r="BQ29" s="323">
        <f>+'2.Tien do'!BN68</f>
        <v>0</v>
      </c>
      <c r="BR29" s="323">
        <f>+'2.Tien do'!BO68</f>
        <v>0</v>
      </c>
      <c r="BS29" s="323">
        <f>+'2.Tien do'!BP68</f>
        <v>0</v>
      </c>
      <c r="BT29" s="323">
        <f>+'2.Tien do'!BQ68</f>
        <v>0</v>
      </c>
      <c r="BU29" s="323">
        <f>+'2.Tien do'!BR68</f>
        <v>0</v>
      </c>
      <c r="BV29" s="323">
        <f>+'2.Tien do'!BS68</f>
        <v>0</v>
      </c>
      <c r="BW29" s="323">
        <f>+'2.Tien do'!BT68</f>
        <v>0</v>
      </c>
      <c r="BX29" s="323">
        <f>+'2.Tien do'!BU68</f>
        <v>0</v>
      </c>
      <c r="BY29" s="323">
        <f>+'2.Tien do'!BV68</f>
        <v>0</v>
      </c>
      <c r="BZ29" s="323">
        <f>+'2.Tien do'!BW68</f>
        <v>0</v>
      </c>
      <c r="CA29" s="323">
        <f>+'2.Tien do'!BX68</f>
        <v>0</v>
      </c>
      <c r="CB29" s="323">
        <f>+'2.Tien do'!BY68</f>
        <v>0</v>
      </c>
      <c r="CC29" s="323">
        <f>+'2.Tien do'!BZ68</f>
        <v>0</v>
      </c>
      <c r="CD29" s="323">
        <f>+'2.Tien do'!CA68</f>
        <v>0</v>
      </c>
      <c r="CE29" s="323">
        <f>+'2.Tien do'!CB68</f>
        <v>0</v>
      </c>
      <c r="CF29" s="323">
        <f>+'2.Tien do'!CC68</f>
        <v>0</v>
      </c>
      <c r="CG29" s="323">
        <f>+'2.Tien do'!CD68</f>
        <v>0</v>
      </c>
      <c r="CH29" s="323">
        <f>+'2.Tien do'!CE68</f>
        <v>0</v>
      </c>
      <c r="CI29" s="323">
        <f>+'2.Tien do'!CF68</f>
        <v>0</v>
      </c>
      <c r="CJ29" s="323">
        <f>+'2.Tien do'!CG68</f>
        <v>0</v>
      </c>
      <c r="CK29" s="510" t="s">
        <v>623</v>
      </c>
    </row>
    <row r="30" spans="2:89" s="333" customFormat="1" ht="15" customHeight="1">
      <c r="B30" s="338"/>
      <c r="C30" s="300" t="s">
        <v>68</v>
      </c>
      <c r="D30" s="336" t="s">
        <v>31</v>
      </c>
      <c r="E30" s="366">
        <f>+'1. thong tin quy hoach'!K15</f>
        <v>6156.4232258064512</v>
      </c>
      <c r="F30" s="360"/>
      <c r="G30" s="325">
        <f>SUM(H30:AA30)</f>
        <v>6156.4232258064512</v>
      </c>
      <c r="H30" s="326">
        <f t="shared" ref="H30:AA30" si="29">$E30*H29</f>
        <v>0</v>
      </c>
      <c r="I30" s="326">
        <f t="shared" si="29"/>
        <v>0</v>
      </c>
      <c r="J30" s="326">
        <f t="shared" si="29"/>
        <v>0</v>
      </c>
      <c r="K30" s="326">
        <f t="shared" si="29"/>
        <v>0</v>
      </c>
      <c r="L30" s="326">
        <f t="shared" si="29"/>
        <v>0</v>
      </c>
      <c r="M30" s="326">
        <f t="shared" si="29"/>
        <v>0</v>
      </c>
      <c r="N30" s="326">
        <f t="shared" si="29"/>
        <v>0</v>
      </c>
      <c r="O30" s="326">
        <f t="shared" si="29"/>
        <v>0</v>
      </c>
      <c r="P30" s="326">
        <f t="shared" si="29"/>
        <v>0</v>
      </c>
      <c r="Q30" s="326">
        <f t="shared" si="29"/>
        <v>2310.4197003026475</v>
      </c>
      <c r="R30" s="326">
        <f t="shared" si="29"/>
        <v>2324.5076253044945</v>
      </c>
      <c r="S30" s="326">
        <f t="shared" si="29"/>
        <v>615.64232258064521</v>
      </c>
      <c r="T30" s="326">
        <f t="shared" si="29"/>
        <v>307.82116129032261</v>
      </c>
      <c r="U30" s="326">
        <f t="shared" si="29"/>
        <v>307.82116129032261</v>
      </c>
      <c r="V30" s="326">
        <f t="shared" si="29"/>
        <v>290.21125503801869</v>
      </c>
      <c r="W30" s="326">
        <f t="shared" si="29"/>
        <v>0</v>
      </c>
      <c r="X30" s="326">
        <f t="shared" si="29"/>
        <v>0</v>
      </c>
      <c r="Y30" s="326">
        <f t="shared" si="29"/>
        <v>0</v>
      </c>
      <c r="Z30" s="326">
        <f t="shared" si="29"/>
        <v>0</v>
      </c>
      <c r="AA30" s="326">
        <f t="shared" si="29"/>
        <v>0</v>
      </c>
      <c r="AB30" s="326">
        <f>$E30*AB29</f>
        <v>0</v>
      </c>
      <c r="AC30" s="326">
        <f>$E30*AC29</f>
        <v>0</v>
      </c>
      <c r="AD30" s="326">
        <f t="shared" ref="AD30:CJ30" si="30">$E30*AD29</f>
        <v>0</v>
      </c>
      <c r="AE30" s="326">
        <f t="shared" si="30"/>
        <v>0</v>
      </c>
      <c r="AF30" s="326">
        <f t="shared" si="30"/>
        <v>0</v>
      </c>
      <c r="AG30" s="326">
        <f t="shared" si="30"/>
        <v>0</v>
      </c>
      <c r="AH30" s="326">
        <f t="shared" si="30"/>
        <v>0</v>
      </c>
      <c r="AI30" s="326">
        <f t="shared" si="30"/>
        <v>0</v>
      </c>
      <c r="AJ30" s="326">
        <f t="shared" si="30"/>
        <v>0</v>
      </c>
      <c r="AK30" s="326">
        <f t="shared" si="30"/>
        <v>0</v>
      </c>
      <c r="AL30" s="326">
        <f t="shared" si="30"/>
        <v>0</v>
      </c>
      <c r="AM30" s="326">
        <f t="shared" si="30"/>
        <v>0</v>
      </c>
      <c r="AN30" s="326">
        <f t="shared" si="30"/>
        <v>0</v>
      </c>
      <c r="AO30" s="326">
        <f t="shared" si="30"/>
        <v>0</v>
      </c>
      <c r="AP30" s="326">
        <f t="shared" si="30"/>
        <v>0</v>
      </c>
      <c r="AQ30" s="326">
        <f t="shared" si="30"/>
        <v>0</v>
      </c>
      <c r="AR30" s="326">
        <f t="shared" si="30"/>
        <v>0</v>
      </c>
      <c r="AS30" s="326">
        <f t="shared" si="30"/>
        <v>0</v>
      </c>
      <c r="AT30" s="326">
        <f t="shared" si="30"/>
        <v>0</v>
      </c>
      <c r="AU30" s="326">
        <f t="shared" si="30"/>
        <v>0</v>
      </c>
      <c r="AV30" s="326">
        <f t="shared" si="30"/>
        <v>0</v>
      </c>
      <c r="AW30" s="326">
        <f t="shared" si="30"/>
        <v>0</v>
      </c>
      <c r="AX30" s="326">
        <f t="shared" si="30"/>
        <v>0</v>
      </c>
      <c r="AY30" s="326">
        <f t="shared" si="30"/>
        <v>0</v>
      </c>
      <c r="AZ30" s="326">
        <f t="shared" si="30"/>
        <v>0</v>
      </c>
      <c r="BA30" s="326">
        <f t="shared" si="30"/>
        <v>0</v>
      </c>
      <c r="BB30" s="326">
        <f t="shared" si="30"/>
        <v>0</v>
      </c>
      <c r="BC30" s="326">
        <f t="shared" si="30"/>
        <v>0</v>
      </c>
      <c r="BD30" s="326">
        <f t="shared" si="30"/>
        <v>0</v>
      </c>
      <c r="BE30" s="326">
        <f t="shared" si="30"/>
        <v>0</v>
      </c>
      <c r="BF30" s="326">
        <f t="shared" si="30"/>
        <v>0</v>
      </c>
      <c r="BG30" s="326">
        <f t="shared" si="30"/>
        <v>0</v>
      </c>
      <c r="BH30" s="326">
        <f t="shared" si="30"/>
        <v>0</v>
      </c>
      <c r="BI30" s="326">
        <f t="shared" si="30"/>
        <v>0</v>
      </c>
      <c r="BJ30" s="326">
        <f t="shared" si="30"/>
        <v>0</v>
      </c>
      <c r="BK30" s="326">
        <f t="shared" si="30"/>
        <v>0</v>
      </c>
      <c r="BL30" s="326">
        <f t="shared" si="30"/>
        <v>0</v>
      </c>
      <c r="BM30" s="326">
        <f t="shared" si="30"/>
        <v>0</v>
      </c>
      <c r="BN30" s="326">
        <f t="shared" si="30"/>
        <v>0</v>
      </c>
      <c r="BO30" s="326">
        <f t="shared" si="30"/>
        <v>0</v>
      </c>
      <c r="BP30" s="326">
        <f t="shared" si="30"/>
        <v>0</v>
      </c>
      <c r="BQ30" s="326">
        <f t="shared" si="30"/>
        <v>0</v>
      </c>
      <c r="BR30" s="326">
        <f t="shared" si="30"/>
        <v>0</v>
      </c>
      <c r="BS30" s="326">
        <f t="shared" si="30"/>
        <v>0</v>
      </c>
      <c r="BT30" s="326">
        <f t="shared" si="30"/>
        <v>0</v>
      </c>
      <c r="BU30" s="326">
        <f t="shared" si="30"/>
        <v>0</v>
      </c>
      <c r="BV30" s="326">
        <f t="shared" si="30"/>
        <v>0</v>
      </c>
      <c r="BW30" s="326">
        <f t="shared" si="30"/>
        <v>0</v>
      </c>
      <c r="BX30" s="326">
        <f t="shared" si="30"/>
        <v>0</v>
      </c>
      <c r="BY30" s="326">
        <f t="shared" si="30"/>
        <v>0</v>
      </c>
      <c r="BZ30" s="326">
        <f t="shared" si="30"/>
        <v>0</v>
      </c>
      <c r="CA30" s="326">
        <f t="shared" si="30"/>
        <v>0</v>
      </c>
      <c r="CB30" s="326">
        <f t="shared" si="30"/>
        <v>0</v>
      </c>
      <c r="CC30" s="326">
        <f t="shared" si="30"/>
        <v>0</v>
      </c>
      <c r="CD30" s="326">
        <f t="shared" si="30"/>
        <v>0</v>
      </c>
      <c r="CE30" s="326">
        <f t="shared" si="30"/>
        <v>0</v>
      </c>
      <c r="CF30" s="326">
        <f t="shared" si="30"/>
        <v>0</v>
      </c>
      <c r="CG30" s="326">
        <f t="shared" si="30"/>
        <v>0</v>
      </c>
      <c r="CH30" s="326">
        <f t="shared" si="30"/>
        <v>0</v>
      </c>
      <c r="CI30" s="326">
        <f t="shared" si="30"/>
        <v>0</v>
      </c>
      <c r="CJ30" s="326">
        <f t="shared" si="30"/>
        <v>0</v>
      </c>
      <c r="CK30" s="510" t="s">
        <v>623</v>
      </c>
    </row>
    <row r="31" spans="2:89" s="333" customFormat="1" ht="15" customHeight="1">
      <c r="B31" s="367"/>
      <c r="C31" s="304" t="s">
        <v>30</v>
      </c>
      <c r="D31" s="305" t="s">
        <v>33</v>
      </c>
      <c r="E31" s="306">
        <f>+'8.ĐO NHAY'!C11*(1+'8.ĐO NHAY'!$C$22)-'4.Chi phi hoat dong'!$E$54*('8.ĐO NHAY'!$C$22)</f>
        <v>49.141960817322101</v>
      </c>
      <c r="F31" s="361"/>
      <c r="G31" s="325"/>
      <c r="H31" s="329">
        <f t="shared" ref="H31:AA31" si="31">IF(H30&gt;0,$E31,0)</f>
        <v>0</v>
      </c>
      <c r="I31" s="329">
        <f t="shared" si="31"/>
        <v>0</v>
      </c>
      <c r="J31" s="329">
        <f t="shared" si="31"/>
        <v>0</v>
      </c>
      <c r="K31" s="329">
        <f t="shared" si="31"/>
        <v>0</v>
      </c>
      <c r="L31" s="329">
        <f t="shared" si="31"/>
        <v>0</v>
      </c>
      <c r="M31" s="329">
        <f t="shared" si="31"/>
        <v>0</v>
      </c>
      <c r="N31" s="329">
        <f t="shared" si="31"/>
        <v>0</v>
      </c>
      <c r="O31" s="329">
        <f t="shared" si="31"/>
        <v>0</v>
      </c>
      <c r="P31" s="329">
        <f t="shared" si="31"/>
        <v>0</v>
      </c>
      <c r="Q31" s="329">
        <f t="shared" si="31"/>
        <v>49.141960817322101</v>
      </c>
      <c r="R31" s="329">
        <f t="shared" si="31"/>
        <v>49.141960817322101</v>
      </c>
      <c r="S31" s="329">
        <f t="shared" si="31"/>
        <v>49.141960817322101</v>
      </c>
      <c r="T31" s="329">
        <f t="shared" si="31"/>
        <v>49.141960817322101</v>
      </c>
      <c r="U31" s="329">
        <f t="shared" si="31"/>
        <v>49.141960817322101</v>
      </c>
      <c r="V31" s="329">
        <f t="shared" si="31"/>
        <v>49.141960817322101</v>
      </c>
      <c r="W31" s="329">
        <f t="shared" si="31"/>
        <v>0</v>
      </c>
      <c r="X31" s="329">
        <f t="shared" si="31"/>
        <v>0</v>
      </c>
      <c r="Y31" s="329">
        <f t="shared" si="31"/>
        <v>0</v>
      </c>
      <c r="Z31" s="329">
        <f t="shared" si="31"/>
        <v>0</v>
      </c>
      <c r="AA31" s="329">
        <f t="shared" si="31"/>
        <v>0</v>
      </c>
      <c r="AB31" s="329">
        <f>IF(AB30&gt;0,$E31,0)</f>
        <v>0</v>
      </c>
      <c r="AC31" s="329">
        <f>IF(AC30&gt;0,$E31,0)</f>
        <v>0</v>
      </c>
      <c r="AD31" s="329">
        <f t="shared" ref="AD31:CJ31" si="32">IF(AD30&gt;0,$E31,0)</f>
        <v>0</v>
      </c>
      <c r="AE31" s="329">
        <f t="shared" si="32"/>
        <v>0</v>
      </c>
      <c r="AF31" s="329">
        <f t="shared" si="32"/>
        <v>0</v>
      </c>
      <c r="AG31" s="329">
        <f t="shared" si="32"/>
        <v>0</v>
      </c>
      <c r="AH31" s="329">
        <f t="shared" si="32"/>
        <v>0</v>
      </c>
      <c r="AI31" s="329">
        <f t="shared" si="32"/>
        <v>0</v>
      </c>
      <c r="AJ31" s="329">
        <f t="shared" si="32"/>
        <v>0</v>
      </c>
      <c r="AK31" s="329">
        <f t="shared" si="32"/>
        <v>0</v>
      </c>
      <c r="AL31" s="329">
        <f t="shared" si="32"/>
        <v>0</v>
      </c>
      <c r="AM31" s="329">
        <f t="shared" si="32"/>
        <v>0</v>
      </c>
      <c r="AN31" s="329">
        <f t="shared" si="32"/>
        <v>0</v>
      </c>
      <c r="AO31" s="329">
        <f t="shared" si="32"/>
        <v>0</v>
      </c>
      <c r="AP31" s="329">
        <f t="shared" si="32"/>
        <v>0</v>
      </c>
      <c r="AQ31" s="329">
        <f t="shared" si="32"/>
        <v>0</v>
      </c>
      <c r="AR31" s="329">
        <f t="shared" si="32"/>
        <v>0</v>
      </c>
      <c r="AS31" s="329">
        <f t="shared" si="32"/>
        <v>0</v>
      </c>
      <c r="AT31" s="329">
        <f t="shared" si="32"/>
        <v>0</v>
      </c>
      <c r="AU31" s="329">
        <f t="shared" si="32"/>
        <v>0</v>
      </c>
      <c r="AV31" s="329">
        <f t="shared" si="32"/>
        <v>0</v>
      </c>
      <c r="AW31" s="329">
        <f t="shared" si="32"/>
        <v>0</v>
      </c>
      <c r="AX31" s="329">
        <f t="shared" si="32"/>
        <v>0</v>
      </c>
      <c r="AY31" s="329">
        <f t="shared" si="32"/>
        <v>0</v>
      </c>
      <c r="AZ31" s="329">
        <f t="shared" si="32"/>
        <v>0</v>
      </c>
      <c r="BA31" s="329">
        <f t="shared" si="32"/>
        <v>0</v>
      </c>
      <c r="BB31" s="329">
        <f t="shared" si="32"/>
        <v>0</v>
      </c>
      <c r="BC31" s="329">
        <f t="shared" si="32"/>
        <v>0</v>
      </c>
      <c r="BD31" s="329">
        <f t="shared" si="32"/>
        <v>0</v>
      </c>
      <c r="BE31" s="329">
        <f t="shared" si="32"/>
        <v>0</v>
      </c>
      <c r="BF31" s="329">
        <f t="shared" si="32"/>
        <v>0</v>
      </c>
      <c r="BG31" s="329">
        <f t="shared" si="32"/>
        <v>0</v>
      </c>
      <c r="BH31" s="329">
        <f t="shared" si="32"/>
        <v>0</v>
      </c>
      <c r="BI31" s="329">
        <f t="shared" si="32"/>
        <v>0</v>
      </c>
      <c r="BJ31" s="329">
        <f t="shared" si="32"/>
        <v>0</v>
      </c>
      <c r="BK31" s="329">
        <f t="shared" si="32"/>
        <v>0</v>
      </c>
      <c r="BL31" s="329">
        <f t="shared" si="32"/>
        <v>0</v>
      </c>
      <c r="BM31" s="329">
        <f t="shared" si="32"/>
        <v>0</v>
      </c>
      <c r="BN31" s="329">
        <f t="shared" si="32"/>
        <v>0</v>
      </c>
      <c r="BO31" s="329">
        <f t="shared" si="32"/>
        <v>0</v>
      </c>
      <c r="BP31" s="329">
        <f t="shared" si="32"/>
        <v>0</v>
      </c>
      <c r="BQ31" s="329">
        <f t="shared" si="32"/>
        <v>0</v>
      </c>
      <c r="BR31" s="329">
        <f t="shared" si="32"/>
        <v>0</v>
      </c>
      <c r="BS31" s="329">
        <f t="shared" si="32"/>
        <v>0</v>
      </c>
      <c r="BT31" s="329">
        <f t="shared" si="32"/>
        <v>0</v>
      </c>
      <c r="BU31" s="329">
        <f t="shared" si="32"/>
        <v>0</v>
      </c>
      <c r="BV31" s="329">
        <f t="shared" si="32"/>
        <v>0</v>
      </c>
      <c r="BW31" s="329">
        <f t="shared" si="32"/>
        <v>0</v>
      </c>
      <c r="BX31" s="329">
        <f t="shared" si="32"/>
        <v>0</v>
      </c>
      <c r="BY31" s="329">
        <f t="shared" si="32"/>
        <v>0</v>
      </c>
      <c r="BZ31" s="329">
        <f t="shared" si="32"/>
        <v>0</v>
      </c>
      <c r="CA31" s="329">
        <f t="shared" si="32"/>
        <v>0</v>
      </c>
      <c r="CB31" s="329">
        <f t="shared" si="32"/>
        <v>0</v>
      </c>
      <c r="CC31" s="329">
        <f t="shared" si="32"/>
        <v>0</v>
      </c>
      <c r="CD31" s="329">
        <f t="shared" si="32"/>
        <v>0</v>
      </c>
      <c r="CE31" s="329">
        <f t="shared" si="32"/>
        <v>0</v>
      </c>
      <c r="CF31" s="329">
        <f t="shared" si="32"/>
        <v>0</v>
      </c>
      <c r="CG31" s="329">
        <f t="shared" si="32"/>
        <v>0</v>
      </c>
      <c r="CH31" s="329">
        <f t="shared" si="32"/>
        <v>0</v>
      </c>
      <c r="CI31" s="329">
        <f t="shared" si="32"/>
        <v>0</v>
      </c>
      <c r="CJ31" s="329">
        <f t="shared" si="32"/>
        <v>0</v>
      </c>
      <c r="CK31" s="510" t="s">
        <v>623</v>
      </c>
    </row>
    <row r="32" spans="2:89" s="333" customFormat="1" ht="15" customHeight="1">
      <c r="B32" s="338"/>
      <c r="C32" s="300" t="s">
        <v>32</v>
      </c>
      <c r="D32" s="311" t="s">
        <v>33</v>
      </c>
      <c r="E32" s="337">
        <f>+G32</f>
        <v>302538.70893743238</v>
      </c>
      <c r="F32" s="365"/>
      <c r="G32" s="325">
        <f>SUM(H32:XFD32)</f>
        <v>302538.70893743238</v>
      </c>
      <c r="H32" s="340">
        <f t="shared" ref="H32:AA32" si="33">H30*H31</f>
        <v>0</v>
      </c>
      <c r="I32" s="340">
        <f t="shared" si="33"/>
        <v>0</v>
      </c>
      <c r="J32" s="340">
        <f t="shared" si="33"/>
        <v>0</v>
      </c>
      <c r="K32" s="340">
        <f t="shared" si="33"/>
        <v>0</v>
      </c>
      <c r="L32" s="340">
        <f t="shared" si="33"/>
        <v>0</v>
      </c>
      <c r="M32" s="340">
        <f t="shared" si="33"/>
        <v>0</v>
      </c>
      <c r="N32" s="340">
        <f t="shared" si="33"/>
        <v>0</v>
      </c>
      <c r="O32" s="340">
        <f t="shared" si="33"/>
        <v>0</v>
      </c>
      <c r="P32" s="340">
        <f t="shared" si="33"/>
        <v>0</v>
      </c>
      <c r="Q32" s="340">
        <f t="shared" si="33"/>
        <v>113538.55438384178</v>
      </c>
      <c r="R32" s="340">
        <f t="shared" si="33"/>
        <v>114230.86264227991</v>
      </c>
      <c r="S32" s="340">
        <f t="shared" si="33"/>
        <v>30253.870893743242</v>
      </c>
      <c r="T32" s="340">
        <f t="shared" si="33"/>
        <v>15126.935446871621</v>
      </c>
      <c r="U32" s="340">
        <f t="shared" si="33"/>
        <v>15126.935446871621</v>
      </c>
      <c r="V32" s="340">
        <f t="shared" si="33"/>
        <v>14261.550123824185</v>
      </c>
      <c r="W32" s="340">
        <f t="shared" si="33"/>
        <v>0</v>
      </c>
      <c r="X32" s="340">
        <f t="shared" si="33"/>
        <v>0</v>
      </c>
      <c r="Y32" s="340">
        <f t="shared" si="33"/>
        <v>0</v>
      </c>
      <c r="Z32" s="340">
        <f t="shared" si="33"/>
        <v>0</v>
      </c>
      <c r="AA32" s="340">
        <f t="shared" si="33"/>
        <v>0</v>
      </c>
      <c r="AB32" s="340">
        <f>AB30*AB31</f>
        <v>0</v>
      </c>
      <c r="AC32" s="340">
        <f>AC30*AC31</f>
        <v>0</v>
      </c>
      <c r="AD32" s="340">
        <f t="shared" ref="AD32:CJ32" si="34">AD30*AD31</f>
        <v>0</v>
      </c>
      <c r="AE32" s="340">
        <f t="shared" si="34"/>
        <v>0</v>
      </c>
      <c r="AF32" s="340">
        <f t="shared" si="34"/>
        <v>0</v>
      </c>
      <c r="AG32" s="340">
        <f t="shared" si="34"/>
        <v>0</v>
      </c>
      <c r="AH32" s="340">
        <f t="shared" si="34"/>
        <v>0</v>
      </c>
      <c r="AI32" s="340">
        <f t="shared" si="34"/>
        <v>0</v>
      </c>
      <c r="AJ32" s="340">
        <f t="shared" si="34"/>
        <v>0</v>
      </c>
      <c r="AK32" s="340">
        <f t="shared" si="34"/>
        <v>0</v>
      </c>
      <c r="AL32" s="340">
        <f t="shared" si="34"/>
        <v>0</v>
      </c>
      <c r="AM32" s="340">
        <f t="shared" si="34"/>
        <v>0</v>
      </c>
      <c r="AN32" s="340">
        <f t="shared" si="34"/>
        <v>0</v>
      </c>
      <c r="AO32" s="340">
        <f t="shared" si="34"/>
        <v>0</v>
      </c>
      <c r="AP32" s="340">
        <f t="shared" si="34"/>
        <v>0</v>
      </c>
      <c r="AQ32" s="340">
        <f t="shared" si="34"/>
        <v>0</v>
      </c>
      <c r="AR32" s="340">
        <f t="shared" si="34"/>
        <v>0</v>
      </c>
      <c r="AS32" s="340">
        <f t="shared" si="34"/>
        <v>0</v>
      </c>
      <c r="AT32" s="340">
        <f t="shared" si="34"/>
        <v>0</v>
      </c>
      <c r="AU32" s="340">
        <f t="shared" si="34"/>
        <v>0</v>
      </c>
      <c r="AV32" s="340">
        <f t="shared" si="34"/>
        <v>0</v>
      </c>
      <c r="AW32" s="340">
        <f t="shared" si="34"/>
        <v>0</v>
      </c>
      <c r="AX32" s="340">
        <f t="shared" si="34"/>
        <v>0</v>
      </c>
      <c r="AY32" s="340">
        <f t="shared" si="34"/>
        <v>0</v>
      </c>
      <c r="AZ32" s="340">
        <f t="shared" si="34"/>
        <v>0</v>
      </c>
      <c r="BA32" s="340">
        <f t="shared" si="34"/>
        <v>0</v>
      </c>
      <c r="BB32" s="340">
        <f t="shared" si="34"/>
        <v>0</v>
      </c>
      <c r="BC32" s="340">
        <f t="shared" si="34"/>
        <v>0</v>
      </c>
      <c r="BD32" s="340">
        <f t="shared" si="34"/>
        <v>0</v>
      </c>
      <c r="BE32" s="340">
        <f t="shared" si="34"/>
        <v>0</v>
      </c>
      <c r="BF32" s="340">
        <f t="shared" si="34"/>
        <v>0</v>
      </c>
      <c r="BG32" s="340">
        <f t="shared" si="34"/>
        <v>0</v>
      </c>
      <c r="BH32" s="340">
        <f t="shared" si="34"/>
        <v>0</v>
      </c>
      <c r="BI32" s="340">
        <f t="shared" si="34"/>
        <v>0</v>
      </c>
      <c r="BJ32" s="340">
        <f t="shared" si="34"/>
        <v>0</v>
      </c>
      <c r="BK32" s="340">
        <f t="shared" si="34"/>
        <v>0</v>
      </c>
      <c r="BL32" s="340">
        <f t="shared" si="34"/>
        <v>0</v>
      </c>
      <c r="BM32" s="340">
        <f t="shared" si="34"/>
        <v>0</v>
      </c>
      <c r="BN32" s="340">
        <f t="shared" si="34"/>
        <v>0</v>
      </c>
      <c r="BO32" s="340">
        <f t="shared" si="34"/>
        <v>0</v>
      </c>
      <c r="BP32" s="340">
        <f t="shared" si="34"/>
        <v>0</v>
      </c>
      <c r="BQ32" s="340">
        <f t="shared" si="34"/>
        <v>0</v>
      </c>
      <c r="BR32" s="340">
        <f t="shared" si="34"/>
        <v>0</v>
      </c>
      <c r="BS32" s="340">
        <f t="shared" si="34"/>
        <v>0</v>
      </c>
      <c r="BT32" s="340">
        <f t="shared" si="34"/>
        <v>0</v>
      </c>
      <c r="BU32" s="340">
        <f t="shared" si="34"/>
        <v>0</v>
      </c>
      <c r="BV32" s="340">
        <f t="shared" si="34"/>
        <v>0</v>
      </c>
      <c r="BW32" s="340">
        <f t="shared" si="34"/>
        <v>0</v>
      </c>
      <c r="BX32" s="340">
        <f t="shared" si="34"/>
        <v>0</v>
      </c>
      <c r="BY32" s="340">
        <f t="shared" si="34"/>
        <v>0</v>
      </c>
      <c r="BZ32" s="340">
        <f t="shared" si="34"/>
        <v>0</v>
      </c>
      <c r="CA32" s="340">
        <f t="shared" si="34"/>
        <v>0</v>
      </c>
      <c r="CB32" s="340">
        <f t="shared" si="34"/>
        <v>0</v>
      </c>
      <c r="CC32" s="340">
        <f t="shared" si="34"/>
        <v>0</v>
      </c>
      <c r="CD32" s="340">
        <f t="shared" si="34"/>
        <v>0</v>
      </c>
      <c r="CE32" s="340">
        <f t="shared" si="34"/>
        <v>0</v>
      </c>
      <c r="CF32" s="340">
        <f t="shared" si="34"/>
        <v>0</v>
      </c>
      <c r="CG32" s="340">
        <f t="shared" si="34"/>
        <v>0</v>
      </c>
      <c r="CH32" s="340">
        <f t="shared" si="34"/>
        <v>0</v>
      </c>
      <c r="CI32" s="340">
        <f t="shared" si="34"/>
        <v>0</v>
      </c>
      <c r="CJ32" s="340">
        <f t="shared" si="34"/>
        <v>0</v>
      </c>
      <c r="CK32" s="510" t="s">
        <v>623</v>
      </c>
    </row>
    <row r="33" spans="2:89" s="333" customFormat="1" ht="15" customHeight="1">
      <c r="B33" s="368"/>
      <c r="C33" s="310" t="s">
        <v>35</v>
      </c>
      <c r="D33" s="369"/>
      <c r="E33" s="370"/>
      <c r="F33" s="371"/>
      <c r="G33" s="334">
        <f>SUM(H33:XFD33)</f>
        <v>302538.70893743238</v>
      </c>
      <c r="H33" s="1363">
        <v>0</v>
      </c>
      <c r="I33" s="335">
        <f>SUM($H$124:H124)*I32+SUM($H$32:I32)*I124</f>
        <v>0</v>
      </c>
      <c r="J33" s="335">
        <f>SUM($H$124:I124)*J32+SUM($H$32:J32)*J124</f>
        <v>0</v>
      </c>
      <c r="K33" s="335">
        <f>SUM($H$124:J124)*K32+SUM($H$32:K32)*K124</f>
        <v>0</v>
      </c>
      <c r="L33" s="335">
        <f>SUM($H$124:K124)*L32+SUM($H$32:L32)*L124</f>
        <v>0</v>
      </c>
      <c r="M33" s="335">
        <f>SUM($H$124:L124)*M32+SUM($H$32:M32)*M124</f>
        <v>0</v>
      </c>
      <c r="N33" s="335">
        <f>SUM($H$124:M124)*N32+SUM($H$32:N32)*N124</f>
        <v>0</v>
      </c>
      <c r="O33" s="335">
        <f>SUM($H$124:N124)*O32+SUM($H$32:O32)*O124</f>
        <v>0</v>
      </c>
      <c r="P33" s="335">
        <f>SUM($H$124:O124)*P32+SUM($H$32:P32)*P124</f>
        <v>0</v>
      </c>
      <c r="Q33" s="335">
        <f>SUM($H$124:P124)*Q32+SUM($H$32:Q32)*Q124</f>
        <v>34061.56631515253</v>
      </c>
      <c r="R33" s="335">
        <f>SUM($H$124:Q124)*R32+SUM($H$32:R32)*R124</f>
        <v>34269.25879268397</v>
      </c>
      <c r="S33" s="335">
        <f>SUM($H$124:R124)*S32+SUM($H$32:S32)*S124</f>
        <v>9076.1612681229726</v>
      </c>
      <c r="T33" s="335">
        <f>SUM($H$124:S124)*T32+SUM($H$32:T32)*T124</f>
        <v>31853.102970735144</v>
      </c>
      <c r="U33" s="335">
        <f>SUM($H$124:T124)*U32+SUM($H$32:U32)*U124</f>
        <v>34878.490060109471</v>
      </c>
      <c r="V33" s="335">
        <f>SUM($H$124:U124)*V32+SUM($H$32:V32)*V124</f>
        <v>37384.645955655331</v>
      </c>
      <c r="W33" s="335">
        <f>SUM($H$124:V124)*W32+SUM($H$32:W32)*W124</f>
        <v>30253.870893743238</v>
      </c>
      <c r="X33" s="335">
        <f>SUM($H$124:W124)*X32+SUM($H$32:X32)*X124</f>
        <v>75634.677234358096</v>
      </c>
      <c r="Y33" s="335">
        <f>SUM($H$124:X124)*Y32+SUM($H$32:Y32)*Y124</f>
        <v>0</v>
      </c>
      <c r="Z33" s="335">
        <f>SUM($H$124:Y124)*Z32+SUM($H$32:Z32)*Z124</f>
        <v>0</v>
      </c>
      <c r="AA33" s="335">
        <f>SUM($H$124:Z124)*AA32+SUM($H$32:AA32)*AA124</f>
        <v>15126.935446871619</v>
      </c>
      <c r="AB33" s="335">
        <f>SUM($H$124:AA124)*AB32+SUM($H$32:AB32)*AB124</f>
        <v>0</v>
      </c>
      <c r="AC33" s="335">
        <f>SUM($H$124:AB124)*AC32+SUM($H$32:AC32)*AC124</f>
        <v>0</v>
      </c>
      <c r="AD33" s="335">
        <f>SUM($H$124:AC124)*AD32+SUM($H$32:AD32)*AD124</f>
        <v>0</v>
      </c>
      <c r="AE33" s="335">
        <f>SUM($H$124:AD124)*AE32+SUM($H$32:AE32)*AE124</f>
        <v>0</v>
      </c>
      <c r="AF33" s="335">
        <f>SUM($H$124:AE124)*AF32+SUM($H$32:AF32)*AF124</f>
        <v>0</v>
      </c>
      <c r="AG33" s="335">
        <f>SUM($H$124:AF124)*AG32+SUM($H$32:AG32)*AG124</f>
        <v>0</v>
      </c>
      <c r="AH33" s="335">
        <f>SUM($H$124:AG124)*AH32+SUM($H$32:AH32)*AH124</f>
        <v>0</v>
      </c>
      <c r="AI33" s="335">
        <f>SUM($H$124:AH124)*AI32+SUM($H$32:AI32)*AI124</f>
        <v>0</v>
      </c>
      <c r="AJ33" s="335">
        <f>SUM($H$124:AI124)*AJ32+SUM($H$32:AJ32)*AJ124</f>
        <v>0</v>
      </c>
      <c r="AK33" s="335">
        <f>SUM($H$124:AJ124)*AK32+SUM($H$32:AK32)*AK124</f>
        <v>0</v>
      </c>
      <c r="AL33" s="335">
        <f>SUM($H$124:AK124)*AL32+SUM($H$32:AL32)*AL124</f>
        <v>0</v>
      </c>
      <c r="AM33" s="335">
        <f>SUM($H$124:AL124)*AM32+SUM($H$32:AM32)*AM124</f>
        <v>0</v>
      </c>
      <c r="AN33" s="335">
        <f>SUM($H$124:AM124)*AN32+SUM($H$32:AN32)*AN124</f>
        <v>0</v>
      </c>
      <c r="AO33" s="335">
        <f>SUM($H$124:AN124)*AO32+SUM($H$32:AO32)*AO124</f>
        <v>0</v>
      </c>
      <c r="AP33" s="335">
        <f>SUM($H$124:AO124)*AP32+SUM($H$32:AP32)*AP124</f>
        <v>0</v>
      </c>
      <c r="AQ33" s="335">
        <f>SUM($H$124:AP124)*AQ32+SUM($H$32:AQ32)*AQ124</f>
        <v>0</v>
      </c>
      <c r="AR33" s="335"/>
      <c r="AS33" s="335"/>
      <c r="AT33" s="335"/>
      <c r="AU33" s="335"/>
      <c r="AV33" s="335"/>
      <c r="AW33" s="335"/>
      <c r="AX33" s="335"/>
      <c r="AY33" s="335"/>
      <c r="AZ33" s="335"/>
      <c r="BA33" s="335"/>
      <c r="BB33" s="335"/>
      <c r="BC33" s="335"/>
      <c r="BD33" s="335"/>
      <c r="BE33" s="335"/>
      <c r="BF33" s="335"/>
      <c r="BG33" s="335"/>
      <c r="BH33" s="335"/>
      <c r="BI33" s="335"/>
      <c r="BJ33" s="335"/>
      <c r="BK33" s="335"/>
      <c r="BL33" s="335"/>
      <c r="BM33" s="335"/>
      <c r="BN33" s="335"/>
      <c r="BO33" s="335"/>
      <c r="BP33" s="335"/>
      <c r="BQ33" s="335"/>
      <c r="BR33" s="335"/>
      <c r="BS33" s="335"/>
      <c r="BT33" s="335"/>
      <c r="BU33" s="335"/>
      <c r="BV33" s="335"/>
      <c r="BW33" s="335"/>
      <c r="BX33" s="335"/>
      <c r="BY33" s="335"/>
      <c r="BZ33" s="335"/>
      <c r="CA33" s="335"/>
      <c r="CB33" s="335"/>
      <c r="CC33" s="335"/>
      <c r="CD33" s="335"/>
      <c r="CE33" s="335"/>
      <c r="CF33" s="335"/>
      <c r="CG33" s="335"/>
      <c r="CH33" s="335"/>
      <c r="CI33" s="335"/>
      <c r="CJ33" s="335"/>
      <c r="CK33" s="510" t="s">
        <v>623</v>
      </c>
    </row>
    <row r="34" spans="2:89" s="333" customFormat="1" ht="15" customHeight="1">
      <c r="B34" s="726">
        <v>5</v>
      </c>
      <c r="C34" s="717">
        <v>0</v>
      </c>
      <c r="D34" s="717"/>
      <c r="E34" s="718"/>
      <c r="F34" s="719"/>
      <c r="G34" s="720"/>
      <c r="H34" s="721"/>
      <c r="I34" s="721"/>
      <c r="J34" s="722"/>
      <c r="K34" s="722"/>
      <c r="L34" s="722"/>
      <c r="M34" s="722"/>
      <c r="N34" s="722"/>
      <c r="O34" s="722"/>
      <c r="P34" s="722"/>
      <c r="Q34" s="722"/>
      <c r="R34" s="722"/>
      <c r="S34" s="723"/>
      <c r="T34" s="724"/>
      <c r="U34" s="722"/>
      <c r="V34" s="722"/>
      <c r="W34" s="723"/>
      <c r="X34" s="724"/>
      <c r="Y34" s="722"/>
      <c r="Z34" s="722"/>
      <c r="AA34" s="722"/>
      <c r="AB34" s="722"/>
      <c r="AC34" s="722"/>
      <c r="AD34" s="722"/>
      <c r="AE34" s="722"/>
      <c r="AF34" s="722"/>
      <c r="AG34" s="722"/>
      <c r="AH34" s="722"/>
      <c r="AI34" s="722"/>
      <c r="AJ34" s="722"/>
      <c r="AK34" s="722"/>
      <c r="AL34" s="722"/>
      <c r="AM34" s="722"/>
      <c r="AN34" s="722"/>
      <c r="AO34" s="722"/>
      <c r="AP34" s="722"/>
      <c r="AQ34" s="722"/>
      <c r="AR34" s="722"/>
      <c r="AS34" s="722"/>
      <c r="AT34" s="722"/>
      <c r="AU34" s="722"/>
      <c r="AV34" s="722"/>
      <c r="AW34" s="722"/>
      <c r="AX34" s="722"/>
      <c r="AY34" s="722"/>
      <c r="AZ34" s="722"/>
      <c r="BA34" s="722"/>
      <c r="BB34" s="722"/>
      <c r="BC34" s="722"/>
      <c r="BD34" s="722"/>
      <c r="BE34" s="722"/>
      <c r="BF34" s="722"/>
      <c r="BG34" s="722"/>
      <c r="BH34" s="722"/>
      <c r="BI34" s="722"/>
      <c r="BJ34" s="722"/>
      <c r="BK34" s="722"/>
      <c r="BL34" s="722"/>
      <c r="BM34" s="722"/>
      <c r="BN34" s="722"/>
      <c r="BO34" s="722"/>
      <c r="BP34" s="722"/>
      <c r="BQ34" s="722"/>
      <c r="BR34" s="722"/>
      <c r="BS34" s="722"/>
      <c r="BT34" s="722"/>
      <c r="BU34" s="722"/>
      <c r="BV34" s="722"/>
      <c r="BW34" s="722"/>
      <c r="BX34" s="722"/>
      <c r="BY34" s="722"/>
      <c r="BZ34" s="722"/>
      <c r="CA34" s="722"/>
      <c r="CB34" s="722"/>
      <c r="CC34" s="722"/>
      <c r="CD34" s="722"/>
      <c r="CE34" s="722"/>
      <c r="CF34" s="722"/>
      <c r="CG34" s="722"/>
      <c r="CH34" s="722"/>
      <c r="CI34" s="722"/>
      <c r="CJ34" s="722"/>
      <c r="CK34" s="510" t="s">
        <v>623</v>
      </c>
    </row>
    <row r="35" spans="2:89" s="333" customFormat="1" ht="15" hidden="1" customHeight="1">
      <c r="B35" s="295"/>
      <c r="C35" s="296" t="s">
        <v>137</v>
      </c>
      <c r="D35" s="297"/>
      <c r="E35" s="298"/>
      <c r="F35" s="359"/>
      <c r="G35" s="322"/>
      <c r="H35" s="323">
        <f>+'2.Tien do'!E69</f>
        <v>0</v>
      </c>
      <c r="I35" s="323">
        <f>+'2.Tien do'!F69</f>
        <v>0</v>
      </c>
      <c r="J35" s="323">
        <f>+'2.Tien do'!G69</f>
        <v>0</v>
      </c>
      <c r="K35" s="323">
        <f>+'2.Tien do'!H69</f>
        <v>0</v>
      </c>
      <c r="L35" s="323">
        <f>+'2.Tien do'!I69</f>
        <v>0</v>
      </c>
      <c r="M35" s="323">
        <f>+'2.Tien do'!J69</f>
        <v>0</v>
      </c>
      <c r="N35" s="323">
        <f>+'2.Tien do'!K69</f>
        <v>0</v>
      </c>
      <c r="O35" s="323">
        <f>+'2.Tien do'!L69</f>
        <v>0</v>
      </c>
      <c r="P35" s="323">
        <f>+'2.Tien do'!M69</f>
        <v>0</v>
      </c>
      <c r="Q35" s="323">
        <f>+'2.Tien do'!N69</f>
        <v>0</v>
      </c>
      <c r="R35" s="323">
        <f>+'2.Tien do'!O69</f>
        <v>0</v>
      </c>
      <c r="S35" s="323">
        <f>+'2.Tien do'!P69</f>
        <v>0</v>
      </c>
      <c r="T35" s="323">
        <f>+'2.Tien do'!Q69</f>
        <v>0</v>
      </c>
      <c r="U35" s="323">
        <f>+'2.Tien do'!R69</f>
        <v>0</v>
      </c>
      <c r="V35" s="323">
        <f>+'2.Tien do'!S69</f>
        <v>0</v>
      </c>
      <c r="W35" s="323">
        <f>+'2.Tien do'!T69</f>
        <v>0</v>
      </c>
      <c r="X35" s="323">
        <f>+'2.Tien do'!U69</f>
        <v>0</v>
      </c>
      <c r="Y35" s="323">
        <f>+'2.Tien do'!V69</f>
        <v>0</v>
      </c>
      <c r="Z35" s="323">
        <f>+'2.Tien do'!W69</f>
        <v>0</v>
      </c>
      <c r="AA35" s="323">
        <f>+'2.Tien do'!X69</f>
        <v>0</v>
      </c>
      <c r="AB35" s="323">
        <f>+'2.Tien do'!Y69</f>
        <v>0</v>
      </c>
      <c r="AC35" s="323">
        <f>+'2.Tien do'!Z69</f>
        <v>0</v>
      </c>
      <c r="AD35" s="323">
        <f>+'2.Tien do'!AA69</f>
        <v>0</v>
      </c>
      <c r="AE35" s="323">
        <f>+'2.Tien do'!AB69</f>
        <v>0</v>
      </c>
      <c r="AF35" s="323">
        <f>+'2.Tien do'!AC69</f>
        <v>0</v>
      </c>
      <c r="AG35" s="323">
        <f>+'2.Tien do'!AD69</f>
        <v>0</v>
      </c>
      <c r="AH35" s="323">
        <f>+'2.Tien do'!AE69</f>
        <v>0</v>
      </c>
      <c r="AI35" s="323">
        <f>+'2.Tien do'!AF69</f>
        <v>0</v>
      </c>
      <c r="AJ35" s="323">
        <f>+'2.Tien do'!AG69</f>
        <v>0</v>
      </c>
      <c r="AK35" s="323">
        <f>+'2.Tien do'!AH69</f>
        <v>0</v>
      </c>
      <c r="AL35" s="323">
        <f>+'2.Tien do'!AI69</f>
        <v>0</v>
      </c>
      <c r="AM35" s="323">
        <f>+'2.Tien do'!AJ69</f>
        <v>0</v>
      </c>
      <c r="AN35" s="323">
        <f>+'2.Tien do'!AK69</f>
        <v>0</v>
      </c>
      <c r="AO35" s="323">
        <f>+'2.Tien do'!AL69</f>
        <v>0</v>
      </c>
      <c r="AP35" s="323">
        <f>+'2.Tien do'!AM69</f>
        <v>0</v>
      </c>
      <c r="AQ35" s="323">
        <f>+'2.Tien do'!AN69</f>
        <v>0</v>
      </c>
      <c r="AR35" s="323">
        <f>+'2.Tien do'!AO69</f>
        <v>0</v>
      </c>
      <c r="AS35" s="323">
        <f>+'2.Tien do'!AP69</f>
        <v>0</v>
      </c>
      <c r="AT35" s="323">
        <f>+'2.Tien do'!AQ69</f>
        <v>0</v>
      </c>
      <c r="AU35" s="323">
        <f>+'2.Tien do'!AR69</f>
        <v>0</v>
      </c>
      <c r="AV35" s="323">
        <f>+'2.Tien do'!AS69</f>
        <v>0</v>
      </c>
      <c r="AW35" s="323">
        <f>+'2.Tien do'!AT69</f>
        <v>0</v>
      </c>
      <c r="AX35" s="323">
        <f>+'2.Tien do'!AU69</f>
        <v>0</v>
      </c>
      <c r="AY35" s="323">
        <f>+'2.Tien do'!AV69</f>
        <v>0</v>
      </c>
      <c r="AZ35" s="323">
        <f>+'2.Tien do'!AW69</f>
        <v>0</v>
      </c>
      <c r="BA35" s="323">
        <f>+'2.Tien do'!AX69</f>
        <v>0</v>
      </c>
      <c r="BB35" s="323">
        <f>+'2.Tien do'!AY69</f>
        <v>0</v>
      </c>
      <c r="BC35" s="323">
        <f>+'2.Tien do'!AZ69</f>
        <v>0</v>
      </c>
      <c r="BD35" s="323">
        <f>+'2.Tien do'!BA69</f>
        <v>0</v>
      </c>
      <c r="BE35" s="323">
        <f>+'2.Tien do'!BB69</f>
        <v>0</v>
      </c>
      <c r="BF35" s="323">
        <f>+'2.Tien do'!BC69</f>
        <v>0</v>
      </c>
      <c r="BG35" s="323">
        <f>+'2.Tien do'!BD69</f>
        <v>0</v>
      </c>
      <c r="BH35" s="323">
        <f>+'2.Tien do'!BE69</f>
        <v>0</v>
      </c>
      <c r="BI35" s="323">
        <f>+'2.Tien do'!BF69</f>
        <v>0</v>
      </c>
      <c r="BJ35" s="323">
        <f>+'2.Tien do'!BG69</f>
        <v>0</v>
      </c>
      <c r="BK35" s="323">
        <f>+'2.Tien do'!BH69</f>
        <v>0</v>
      </c>
      <c r="BL35" s="323">
        <f>+'2.Tien do'!BI69</f>
        <v>0</v>
      </c>
      <c r="BM35" s="323">
        <f>+'2.Tien do'!BJ69</f>
        <v>0</v>
      </c>
      <c r="BN35" s="323">
        <f>+'2.Tien do'!BK69</f>
        <v>0</v>
      </c>
      <c r="BO35" s="323">
        <f>+'2.Tien do'!BL69</f>
        <v>0</v>
      </c>
      <c r="BP35" s="323">
        <f>+'2.Tien do'!BM69</f>
        <v>0</v>
      </c>
      <c r="BQ35" s="323">
        <f>+'2.Tien do'!BN69</f>
        <v>0</v>
      </c>
      <c r="BR35" s="323">
        <f>+'2.Tien do'!BO69</f>
        <v>0</v>
      </c>
      <c r="BS35" s="323">
        <f>+'2.Tien do'!BP69</f>
        <v>0</v>
      </c>
      <c r="BT35" s="323">
        <f>+'2.Tien do'!BQ69</f>
        <v>0</v>
      </c>
      <c r="BU35" s="323">
        <f>+'2.Tien do'!BR69</f>
        <v>0</v>
      </c>
      <c r="BV35" s="323">
        <f>+'2.Tien do'!BS69</f>
        <v>0</v>
      </c>
      <c r="BW35" s="323">
        <f>+'2.Tien do'!BT69</f>
        <v>0</v>
      </c>
      <c r="BX35" s="323">
        <f>+'2.Tien do'!BU69</f>
        <v>0</v>
      </c>
      <c r="BY35" s="323">
        <f>+'2.Tien do'!BV69</f>
        <v>0</v>
      </c>
      <c r="BZ35" s="323">
        <f>+'2.Tien do'!BW69</f>
        <v>0</v>
      </c>
      <c r="CA35" s="323">
        <f>+'2.Tien do'!BX69</f>
        <v>0</v>
      </c>
      <c r="CB35" s="323">
        <f>+'2.Tien do'!BY69</f>
        <v>0</v>
      </c>
      <c r="CC35" s="323">
        <f>+'2.Tien do'!BZ69</f>
        <v>0</v>
      </c>
      <c r="CD35" s="323">
        <f>+'2.Tien do'!CA69</f>
        <v>0</v>
      </c>
      <c r="CE35" s="323">
        <f>+'2.Tien do'!CB69</f>
        <v>0</v>
      </c>
      <c r="CF35" s="323">
        <f>+'2.Tien do'!CC69</f>
        <v>0</v>
      </c>
      <c r="CG35" s="323">
        <f>+'2.Tien do'!CD69</f>
        <v>0</v>
      </c>
      <c r="CH35" s="323">
        <f>+'2.Tien do'!CE69</f>
        <v>0</v>
      </c>
      <c r="CI35" s="323">
        <f>+'2.Tien do'!CF69</f>
        <v>0</v>
      </c>
      <c r="CJ35" s="323">
        <f>+'2.Tien do'!CG69</f>
        <v>0</v>
      </c>
      <c r="CK35" s="510" t="s">
        <v>623</v>
      </c>
    </row>
    <row r="36" spans="2:89" s="333" customFormat="1" ht="15" hidden="1" customHeight="1">
      <c r="B36" s="299"/>
      <c r="C36" s="300" t="s">
        <v>29</v>
      </c>
      <c r="D36" s="301" t="s">
        <v>3</v>
      </c>
      <c r="E36" s="302">
        <v>0</v>
      </c>
      <c r="F36" s="360">
        <v>20610</v>
      </c>
      <c r="G36" s="325">
        <f>SUM(H36:AA36)</f>
        <v>0</v>
      </c>
      <c r="H36" s="326">
        <f t="shared" ref="H36:BS36" si="35">$E36*H35</f>
        <v>0</v>
      </c>
      <c r="I36" s="326">
        <f t="shared" si="35"/>
        <v>0</v>
      </c>
      <c r="J36" s="326">
        <f t="shared" si="35"/>
        <v>0</v>
      </c>
      <c r="K36" s="326">
        <f t="shared" si="35"/>
        <v>0</v>
      </c>
      <c r="L36" s="326">
        <f t="shared" si="35"/>
        <v>0</v>
      </c>
      <c r="M36" s="326">
        <f t="shared" si="35"/>
        <v>0</v>
      </c>
      <c r="N36" s="326">
        <f t="shared" si="35"/>
        <v>0</v>
      </c>
      <c r="O36" s="326">
        <f t="shared" si="35"/>
        <v>0</v>
      </c>
      <c r="P36" s="326">
        <f t="shared" si="35"/>
        <v>0</v>
      </c>
      <c r="Q36" s="326">
        <f t="shared" si="35"/>
        <v>0</v>
      </c>
      <c r="R36" s="326">
        <f t="shared" si="35"/>
        <v>0</v>
      </c>
      <c r="S36" s="326">
        <f t="shared" si="35"/>
        <v>0</v>
      </c>
      <c r="T36" s="326">
        <f t="shared" si="35"/>
        <v>0</v>
      </c>
      <c r="U36" s="326">
        <f t="shared" si="35"/>
        <v>0</v>
      </c>
      <c r="V36" s="326">
        <f t="shared" si="35"/>
        <v>0</v>
      </c>
      <c r="W36" s="326">
        <f t="shared" si="35"/>
        <v>0</v>
      </c>
      <c r="X36" s="326">
        <f t="shared" si="35"/>
        <v>0</v>
      </c>
      <c r="Y36" s="326">
        <f t="shared" si="35"/>
        <v>0</v>
      </c>
      <c r="Z36" s="326">
        <f t="shared" si="35"/>
        <v>0</v>
      </c>
      <c r="AA36" s="326">
        <f t="shared" si="35"/>
        <v>0</v>
      </c>
      <c r="AB36" s="326">
        <f t="shared" si="35"/>
        <v>0</v>
      </c>
      <c r="AC36" s="326">
        <f t="shared" si="35"/>
        <v>0</v>
      </c>
      <c r="AD36" s="326">
        <f t="shared" si="35"/>
        <v>0</v>
      </c>
      <c r="AE36" s="326">
        <f t="shared" si="35"/>
        <v>0</v>
      </c>
      <c r="AF36" s="326">
        <f t="shared" si="35"/>
        <v>0</v>
      </c>
      <c r="AG36" s="326">
        <f t="shared" si="35"/>
        <v>0</v>
      </c>
      <c r="AH36" s="326">
        <f t="shared" si="35"/>
        <v>0</v>
      </c>
      <c r="AI36" s="326">
        <f t="shared" si="35"/>
        <v>0</v>
      </c>
      <c r="AJ36" s="326">
        <f t="shared" si="35"/>
        <v>0</v>
      </c>
      <c r="AK36" s="326">
        <f t="shared" si="35"/>
        <v>0</v>
      </c>
      <c r="AL36" s="326">
        <f t="shared" si="35"/>
        <v>0</v>
      </c>
      <c r="AM36" s="326">
        <f t="shared" si="35"/>
        <v>0</v>
      </c>
      <c r="AN36" s="326">
        <f t="shared" si="35"/>
        <v>0</v>
      </c>
      <c r="AO36" s="326">
        <f t="shared" si="35"/>
        <v>0</v>
      </c>
      <c r="AP36" s="326">
        <f t="shared" si="35"/>
        <v>0</v>
      </c>
      <c r="AQ36" s="326">
        <f t="shared" si="35"/>
        <v>0</v>
      </c>
      <c r="AR36" s="326">
        <f t="shared" si="35"/>
        <v>0</v>
      </c>
      <c r="AS36" s="326">
        <f t="shared" si="35"/>
        <v>0</v>
      </c>
      <c r="AT36" s="326">
        <f t="shared" si="35"/>
        <v>0</v>
      </c>
      <c r="AU36" s="326">
        <f t="shared" si="35"/>
        <v>0</v>
      </c>
      <c r="AV36" s="326">
        <f t="shared" si="35"/>
        <v>0</v>
      </c>
      <c r="AW36" s="326">
        <f t="shared" si="35"/>
        <v>0</v>
      </c>
      <c r="AX36" s="326">
        <f t="shared" si="35"/>
        <v>0</v>
      </c>
      <c r="AY36" s="326">
        <f t="shared" si="35"/>
        <v>0</v>
      </c>
      <c r="AZ36" s="326">
        <f t="shared" si="35"/>
        <v>0</v>
      </c>
      <c r="BA36" s="326">
        <f t="shared" si="35"/>
        <v>0</v>
      </c>
      <c r="BB36" s="326">
        <f t="shared" si="35"/>
        <v>0</v>
      </c>
      <c r="BC36" s="326">
        <f t="shared" si="35"/>
        <v>0</v>
      </c>
      <c r="BD36" s="326">
        <f t="shared" si="35"/>
        <v>0</v>
      </c>
      <c r="BE36" s="326">
        <f t="shared" si="35"/>
        <v>0</v>
      </c>
      <c r="BF36" s="326">
        <f t="shared" si="35"/>
        <v>0</v>
      </c>
      <c r="BG36" s="326">
        <f t="shared" si="35"/>
        <v>0</v>
      </c>
      <c r="BH36" s="326">
        <f t="shared" si="35"/>
        <v>0</v>
      </c>
      <c r="BI36" s="326">
        <f t="shared" si="35"/>
        <v>0</v>
      </c>
      <c r="BJ36" s="326">
        <f t="shared" si="35"/>
        <v>0</v>
      </c>
      <c r="BK36" s="326">
        <f t="shared" si="35"/>
        <v>0</v>
      </c>
      <c r="BL36" s="326">
        <f t="shared" si="35"/>
        <v>0</v>
      </c>
      <c r="BM36" s="326">
        <f t="shared" si="35"/>
        <v>0</v>
      </c>
      <c r="BN36" s="326">
        <f t="shared" si="35"/>
        <v>0</v>
      </c>
      <c r="BO36" s="326">
        <f t="shared" si="35"/>
        <v>0</v>
      </c>
      <c r="BP36" s="326">
        <f t="shared" si="35"/>
        <v>0</v>
      </c>
      <c r="BQ36" s="326">
        <f t="shared" si="35"/>
        <v>0</v>
      </c>
      <c r="BR36" s="326">
        <f t="shared" si="35"/>
        <v>0</v>
      </c>
      <c r="BS36" s="326">
        <f t="shared" si="35"/>
        <v>0</v>
      </c>
      <c r="BT36" s="326">
        <f t="shared" ref="BT36:CJ36" si="36">$E36*BT35</f>
        <v>0</v>
      </c>
      <c r="BU36" s="326">
        <f t="shared" si="36"/>
        <v>0</v>
      </c>
      <c r="BV36" s="326">
        <f t="shared" si="36"/>
        <v>0</v>
      </c>
      <c r="BW36" s="326">
        <f t="shared" si="36"/>
        <v>0</v>
      </c>
      <c r="BX36" s="326">
        <f t="shared" si="36"/>
        <v>0</v>
      </c>
      <c r="BY36" s="326">
        <f t="shared" si="36"/>
        <v>0</v>
      </c>
      <c r="BZ36" s="326">
        <f t="shared" si="36"/>
        <v>0</v>
      </c>
      <c r="CA36" s="326">
        <f t="shared" si="36"/>
        <v>0</v>
      </c>
      <c r="CB36" s="326">
        <f t="shared" si="36"/>
        <v>0</v>
      </c>
      <c r="CC36" s="326">
        <f t="shared" si="36"/>
        <v>0</v>
      </c>
      <c r="CD36" s="326">
        <f t="shared" si="36"/>
        <v>0</v>
      </c>
      <c r="CE36" s="326">
        <f t="shared" si="36"/>
        <v>0</v>
      </c>
      <c r="CF36" s="326">
        <f t="shared" si="36"/>
        <v>0</v>
      </c>
      <c r="CG36" s="326">
        <f t="shared" si="36"/>
        <v>0</v>
      </c>
      <c r="CH36" s="326">
        <f t="shared" si="36"/>
        <v>0</v>
      </c>
      <c r="CI36" s="326">
        <f t="shared" si="36"/>
        <v>0</v>
      </c>
      <c r="CJ36" s="326">
        <f t="shared" si="36"/>
        <v>0</v>
      </c>
      <c r="CK36" s="510" t="s">
        <v>623</v>
      </c>
    </row>
    <row r="37" spans="2:89" s="333" customFormat="1" ht="15" hidden="1" customHeight="1">
      <c r="B37" s="303"/>
      <c r="C37" s="304" t="s">
        <v>30</v>
      </c>
      <c r="D37" s="305" t="s">
        <v>31</v>
      </c>
      <c r="E37" s="306">
        <f>+'8.ĐO NHAY'!C8</f>
        <v>47.5</v>
      </c>
      <c r="F37" s="361">
        <v>26</v>
      </c>
      <c r="G37" s="328"/>
      <c r="H37" s="329">
        <f t="shared" ref="H37:BS37" si="37">IF(H36&gt;0,$E37,0)</f>
        <v>0</v>
      </c>
      <c r="I37" s="329">
        <f t="shared" si="37"/>
        <v>0</v>
      </c>
      <c r="J37" s="329">
        <f t="shared" si="37"/>
        <v>0</v>
      </c>
      <c r="K37" s="329">
        <f t="shared" si="37"/>
        <v>0</v>
      </c>
      <c r="L37" s="329">
        <f t="shared" si="37"/>
        <v>0</v>
      </c>
      <c r="M37" s="329">
        <f t="shared" si="37"/>
        <v>0</v>
      </c>
      <c r="N37" s="329">
        <f t="shared" si="37"/>
        <v>0</v>
      </c>
      <c r="O37" s="329">
        <f t="shared" si="37"/>
        <v>0</v>
      </c>
      <c r="P37" s="329">
        <f t="shared" si="37"/>
        <v>0</v>
      </c>
      <c r="Q37" s="329">
        <f t="shared" si="37"/>
        <v>0</v>
      </c>
      <c r="R37" s="329">
        <f t="shared" si="37"/>
        <v>0</v>
      </c>
      <c r="S37" s="329">
        <f t="shared" si="37"/>
        <v>0</v>
      </c>
      <c r="T37" s="329">
        <f t="shared" si="37"/>
        <v>0</v>
      </c>
      <c r="U37" s="329">
        <f t="shared" si="37"/>
        <v>0</v>
      </c>
      <c r="V37" s="329">
        <f t="shared" si="37"/>
        <v>0</v>
      </c>
      <c r="W37" s="329">
        <f t="shared" si="37"/>
        <v>0</v>
      </c>
      <c r="X37" s="329">
        <f t="shared" si="37"/>
        <v>0</v>
      </c>
      <c r="Y37" s="329">
        <f t="shared" si="37"/>
        <v>0</v>
      </c>
      <c r="Z37" s="329">
        <f t="shared" si="37"/>
        <v>0</v>
      </c>
      <c r="AA37" s="329">
        <f t="shared" si="37"/>
        <v>0</v>
      </c>
      <c r="AB37" s="329">
        <f t="shared" si="37"/>
        <v>0</v>
      </c>
      <c r="AC37" s="329">
        <f t="shared" si="37"/>
        <v>0</v>
      </c>
      <c r="AD37" s="329">
        <f t="shared" si="37"/>
        <v>0</v>
      </c>
      <c r="AE37" s="329">
        <f t="shared" si="37"/>
        <v>0</v>
      </c>
      <c r="AF37" s="329">
        <f t="shared" si="37"/>
        <v>0</v>
      </c>
      <c r="AG37" s="329">
        <f t="shared" si="37"/>
        <v>0</v>
      </c>
      <c r="AH37" s="329">
        <f t="shared" si="37"/>
        <v>0</v>
      </c>
      <c r="AI37" s="329">
        <f t="shared" si="37"/>
        <v>0</v>
      </c>
      <c r="AJ37" s="329">
        <f t="shared" si="37"/>
        <v>0</v>
      </c>
      <c r="AK37" s="329">
        <f t="shared" si="37"/>
        <v>0</v>
      </c>
      <c r="AL37" s="329">
        <f t="shared" si="37"/>
        <v>0</v>
      </c>
      <c r="AM37" s="329">
        <f t="shared" si="37"/>
        <v>0</v>
      </c>
      <c r="AN37" s="329">
        <f t="shared" si="37"/>
        <v>0</v>
      </c>
      <c r="AO37" s="329">
        <f t="shared" si="37"/>
        <v>0</v>
      </c>
      <c r="AP37" s="329">
        <f t="shared" si="37"/>
        <v>0</v>
      </c>
      <c r="AQ37" s="329">
        <f t="shared" si="37"/>
        <v>0</v>
      </c>
      <c r="AR37" s="329">
        <f t="shared" si="37"/>
        <v>0</v>
      </c>
      <c r="AS37" s="329">
        <f t="shared" si="37"/>
        <v>0</v>
      </c>
      <c r="AT37" s="329">
        <f t="shared" si="37"/>
        <v>0</v>
      </c>
      <c r="AU37" s="329">
        <f t="shared" si="37"/>
        <v>0</v>
      </c>
      <c r="AV37" s="329">
        <f t="shared" si="37"/>
        <v>0</v>
      </c>
      <c r="AW37" s="329">
        <f t="shared" si="37"/>
        <v>0</v>
      </c>
      <c r="AX37" s="329">
        <f t="shared" si="37"/>
        <v>0</v>
      </c>
      <c r="AY37" s="329">
        <f t="shared" si="37"/>
        <v>0</v>
      </c>
      <c r="AZ37" s="329">
        <f t="shared" si="37"/>
        <v>0</v>
      </c>
      <c r="BA37" s="329">
        <f t="shared" si="37"/>
        <v>0</v>
      </c>
      <c r="BB37" s="329">
        <f t="shared" si="37"/>
        <v>0</v>
      </c>
      <c r="BC37" s="329">
        <f t="shared" si="37"/>
        <v>0</v>
      </c>
      <c r="BD37" s="329">
        <f t="shared" si="37"/>
        <v>0</v>
      </c>
      <c r="BE37" s="329">
        <f t="shared" si="37"/>
        <v>0</v>
      </c>
      <c r="BF37" s="329">
        <f t="shared" si="37"/>
        <v>0</v>
      </c>
      <c r="BG37" s="329">
        <f t="shared" si="37"/>
        <v>0</v>
      </c>
      <c r="BH37" s="329">
        <f t="shared" si="37"/>
        <v>0</v>
      </c>
      <c r="BI37" s="329">
        <f t="shared" si="37"/>
        <v>0</v>
      </c>
      <c r="BJ37" s="329">
        <f t="shared" si="37"/>
        <v>0</v>
      </c>
      <c r="BK37" s="329">
        <f t="shared" si="37"/>
        <v>0</v>
      </c>
      <c r="BL37" s="329">
        <f t="shared" si="37"/>
        <v>0</v>
      </c>
      <c r="BM37" s="329">
        <f t="shared" si="37"/>
        <v>0</v>
      </c>
      <c r="BN37" s="329">
        <f t="shared" si="37"/>
        <v>0</v>
      </c>
      <c r="BO37" s="329">
        <f t="shared" si="37"/>
        <v>0</v>
      </c>
      <c r="BP37" s="329">
        <f t="shared" si="37"/>
        <v>0</v>
      </c>
      <c r="BQ37" s="329">
        <f t="shared" si="37"/>
        <v>0</v>
      </c>
      <c r="BR37" s="329">
        <f t="shared" si="37"/>
        <v>0</v>
      </c>
      <c r="BS37" s="329">
        <f t="shared" si="37"/>
        <v>0</v>
      </c>
      <c r="BT37" s="329">
        <f t="shared" ref="BT37:CJ37" si="38">IF(BT36&gt;0,$E37,0)</f>
        <v>0</v>
      </c>
      <c r="BU37" s="329">
        <f t="shared" si="38"/>
        <v>0</v>
      </c>
      <c r="BV37" s="329">
        <f t="shared" si="38"/>
        <v>0</v>
      </c>
      <c r="BW37" s="329">
        <f t="shared" si="38"/>
        <v>0</v>
      </c>
      <c r="BX37" s="329">
        <f t="shared" si="38"/>
        <v>0</v>
      </c>
      <c r="BY37" s="329">
        <f t="shared" si="38"/>
        <v>0</v>
      </c>
      <c r="BZ37" s="329">
        <f t="shared" si="38"/>
        <v>0</v>
      </c>
      <c r="CA37" s="329">
        <f t="shared" si="38"/>
        <v>0</v>
      </c>
      <c r="CB37" s="329">
        <f t="shared" si="38"/>
        <v>0</v>
      </c>
      <c r="CC37" s="329">
        <f t="shared" si="38"/>
        <v>0</v>
      </c>
      <c r="CD37" s="329">
        <f t="shared" si="38"/>
        <v>0</v>
      </c>
      <c r="CE37" s="329">
        <f t="shared" si="38"/>
        <v>0</v>
      </c>
      <c r="CF37" s="329">
        <f t="shared" si="38"/>
        <v>0</v>
      </c>
      <c r="CG37" s="329">
        <f t="shared" si="38"/>
        <v>0</v>
      </c>
      <c r="CH37" s="329">
        <f t="shared" si="38"/>
        <v>0</v>
      </c>
      <c r="CI37" s="329">
        <f t="shared" si="38"/>
        <v>0</v>
      </c>
      <c r="CJ37" s="329">
        <f t="shared" si="38"/>
        <v>0</v>
      </c>
      <c r="CK37" s="510" t="s">
        <v>623</v>
      </c>
    </row>
    <row r="38" spans="2:89" s="333" customFormat="1" ht="15" hidden="1" customHeight="1">
      <c r="B38" s="307"/>
      <c r="C38" s="300" t="s">
        <v>32</v>
      </c>
      <c r="D38" s="308" t="s">
        <v>33</v>
      </c>
      <c r="E38" s="309">
        <f>E36*E37</f>
        <v>0</v>
      </c>
      <c r="F38" s="362">
        <v>535860</v>
      </c>
      <c r="G38" s="331">
        <f>SUM(H38:DL38)</f>
        <v>0</v>
      </c>
      <c r="H38" s="332">
        <f>H36*H37</f>
        <v>0</v>
      </c>
      <c r="I38" s="332">
        <f t="shared" ref="I38:AA38" si="39">I36*I37</f>
        <v>0</v>
      </c>
      <c r="J38" s="332">
        <f t="shared" si="39"/>
        <v>0</v>
      </c>
      <c r="K38" s="332">
        <f t="shared" si="39"/>
        <v>0</v>
      </c>
      <c r="L38" s="332">
        <f t="shared" si="39"/>
        <v>0</v>
      </c>
      <c r="M38" s="332">
        <f t="shared" si="39"/>
        <v>0</v>
      </c>
      <c r="N38" s="332">
        <f t="shared" si="39"/>
        <v>0</v>
      </c>
      <c r="O38" s="332">
        <f t="shared" si="39"/>
        <v>0</v>
      </c>
      <c r="P38" s="332">
        <f t="shared" si="39"/>
        <v>0</v>
      </c>
      <c r="Q38" s="332">
        <f t="shared" si="39"/>
        <v>0</v>
      </c>
      <c r="R38" s="332">
        <f t="shared" si="39"/>
        <v>0</v>
      </c>
      <c r="S38" s="332">
        <f t="shared" si="39"/>
        <v>0</v>
      </c>
      <c r="T38" s="332">
        <f t="shared" si="39"/>
        <v>0</v>
      </c>
      <c r="U38" s="332">
        <f t="shared" si="39"/>
        <v>0</v>
      </c>
      <c r="V38" s="332">
        <f t="shared" si="39"/>
        <v>0</v>
      </c>
      <c r="W38" s="332">
        <f t="shared" si="39"/>
        <v>0</v>
      </c>
      <c r="X38" s="332">
        <f t="shared" si="39"/>
        <v>0</v>
      </c>
      <c r="Y38" s="332">
        <f t="shared" si="39"/>
        <v>0</v>
      </c>
      <c r="Z38" s="332">
        <f t="shared" si="39"/>
        <v>0</v>
      </c>
      <c r="AA38" s="332">
        <f t="shared" si="39"/>
        <v>0</v>
      </c>
      <c r="AB38" s="332">
        <f>AB36*AB37</f>
        <v>0</v>
      </c>
      <c r="AC38" s="332">
        <f>AC36*AC37</f>
        <v>0</v>
      </c>
      <c r="AD38" s="332">
        <f t="shared" ref="AD38:CJ38" si="40">AD36*AD37</f>
        <v>0</v>
      </c>
      <c r="AE38" s="332">
        <f t="shared" si="40"/>
        <v>0</v>
      </c>
      <c r="AF38" s="332">
        <f t="shared" si="40"/>
        <v>0</v>
      </c>
      <c r="AG38" s="332">
        <f t="shared" si="40"/>
        <v>0</v>
      </c>
      <c r="AH38" s="332">
        <f t="shared" si="40"/>
        <v>0</v>
      </c>
      <c r="AI38" s="332">
        <f t="shared" si="40"/>
        <v>0</v>
      </c>
      <c r="AJ38" s="332">
        <f t="shared" si="40"/>
        <v>0</v>
      </c>
      <c r="AK38" s="332">
        <f t="shared" si="40"/>
        <v>0</v>
      </c>
      <c r="AL38" s="332">
        <f t="shared" si="40"/>
        <v>0</v>
      </c>
      <c r="AM38" s="332">
        <f t="shared" si="40"/>
        <v>0</v>
      </c>
      <c r="AN38" s="332">
        <f t="shared" si="40"/>
        <v>0</v>
      </c>
      <c r="AO38" s="332">
        <f t="shared" si="40"/>
        <v>0</v>
      </c>
      <c r="AP38" s="332">
        <f t="shared" si="40"/>
        <v>0</v>
      </c>
      <c r="AQ38" s="332">
        <f t="shared" si="40"/>
        <v>0</v>
      </c>
      <c r="AR38" s="332">
        <f t="shared" si="40"/>
        <v>0</v>
      </c>
      <c r="AS38" s="332">
        <f t="shared" si="40"/>
        <v>0</v>
      </c>
      <c r="AT38" s="332">
        <f t="shared" si="40"/>
        <v>0</v>
      </c>
      <c r="AU38" s="332">
        <f t="shared" si="40"/>
        <v>0</v>
      </c>
      <c r="AV38" s="332">
        <f t="shared" si="40"/>
        <v>0</v>
      </c>
      <c r="AW38" s="332">
        <f t="shared" si="40"/>
        <v>0</v>
      </c>
      <c r="AX38" s="332">
        <f t="shared" si="40"/>
        <v>0</v>
      </c>
      <c r="AY38" s="332">
        <f t="shared" si="40"/>
        <v>0</v>
      </c>
      <c r="AZ38" s="332">
        <f t="shared" si="40"/>
        <v>0</v>
      </c>
      <c r="BA38" s="332">
        <f t="shared" si="40"/>
        <v>0</v>
      </c>
      <c r="BB38" s="332">
        <f t="shared" si="40"/>
        <v>0</v>
      </c>
      <c r="BC38" s="332">
        <f t="shared" si="40"/>
        <v>0</v>
      </c>
      <c r="BD38" s="332">
        <f t="shared" si="40"/>
        <v>0</v>
      </c>
      <c r="BE38" s="332">
        <f t="shared" si="40"/>
        <v>0</v>
      </c>
      <c r="BF38" s="332">
        <f t="shared" si="40"/>
        <v>0</v>
      </c>
      <c r="BG38" s="332">
        <f t="shared" si="40"/>
        <v>0</v>
      </c>
      <c r="BH38" s="332">
        <f t="shared" si="40"/>
        <v>0</v>
      </c>
      <c r="BI38" s="332">
        <f t="shared" si="40"/>
        <v>0</v>
      </c>
      <c r="BJ38" s="332">
        <f t="shared" si="40"/>
        <v>0</v>
      </c>
      <c r="BK38" s="332">
        <f t="shared" si="40"/>
        <v>0</v>
      </c>
      <c r="BL38" s="332">
        <f t="shared" si="40"/>
        <v>0</v>
      </c>
      <c r="BM38" s="332">
        <f t="shared" si="40"/>
        <v>0</v>
      </c>
      <c r="BN38" s="332">
        <f t="shared" si="40"/>
        <v>0</v>
      </c>
      <c r="BO38" s="332">
        <f t="shared" si="40"/>
        <v>0</v>
      </c>
      <c r="BP38" s="332">
        <f t="shared" si="40"/>
        <v>0</v>
      </c>
      <c r="BQ38" s="332">
        <f t="shared" si="40"/>
        <v>0</v>
      </c>
      <c r="BR38" s="332">
        <f t="shared" si="40"/>
        <v>0</v>
      </c>
      <c r="BS38" s="332">
        <f t="shared" si="40"/>
        <v>0</v>
      </c>
      <c r="BT38" s="332">
        <f t="shared" si="40"/>
        <v>0</v>
      </c>
      <c r="BU38" s="332">
        <f t="shared" si="40"/>
        <v>0</v>
      </c>
      <c r="BV38" s="332">
        <f t="shared" si="40"/>
        <v>0</v>
      </c>
      <c r="BW38" s="332">
        <f t="shared" si="40"/>
        <v>0</v>
      </c>
      <c r="BX38" s="332">
        <f t="shared" si="40"/>
        <v>0</v>
      </c>
      <c r="BY38" s="332">
        <f t="shared" si="40"/>
        <v>0</v>
      </c>
      <c r="BZ38" s="332">
        <f t="shared" si="40"/>
        <v>0</v>
      </c>
      <c r="CA38" s="332">
        <f t="shared" si="40"/>
        <v>0</v>
      </c>
      <c r="CB38" s="332">
        <f t="shared" si="40"/>
        <v>0</v>
      </c>
      <c r="CC38" s="332">
        <f t="shared" si="40"/>
        <v>0</v>
      </c>
      <c r="CD38" s="332">
        <f t="shared" si="40"/>
        <v>0</v>
      </c>
      <c r="CE38" s="332">
        <f t="shared" si="40"/>
        <v>0</v>
      </c>
      <c r="CF38" s="332">
        <f t="shared" si="40"/>
        <v>0</v>
      </c>
      <c r="CG38" s="332">
        <f t="shared" si="40"/>
        <v>0</v>
      </c>
      <c r="CH38" s="332">
        <f t="shared" si="40"/>
        <v>0</v>
      </c>
      <c r="CI38" s="332">
        <f t="shared" si="40"/>
        <v>0</v>
      </c>
      <c r="CJ38" s="332">
        <f t="shared" si="40"/>
        <v>0</v>
      </c>
      <c r="CK38" s="510" t="s">
        <v>623</v>
      </c>
    </row>
    <row r="39" spans="2:89" s="333" customFormat="1" ht="15" hidden="1" customHeight="1">
      <c r="B39" s="295"/>
      <c r="C39" s="310" t="s">
        <v>34</v>
      </c>
      <c r="D39" s="311" t="s">
        <v>33</v>
      </c>
      <c r="E39" s="312"/>
      <c r="F39" s="363"/>
      <c r="G39" s="334">
        <f>SUM(H39:DL39)</f>
        <v>0</v>
      </c>
      <c r="H39" s="1363">
        <v>0</v>
      </c>
      <c r="I39" s="335">
        <f>SUM($H$125:H125)*I38+SUM($H$38:I38)*I125</f>
        <v>0</v>
      </c>
      <c r="J39" s="335">
        <f>SUM($H$125:I125)*J38+SUM($H$38:J38)*J125</f>
        <v>0</v>
      </c>
      <c r="K39" s="335">
        <f>SUM($H$125:J125)*K38+SUM($H$38:K38)*K125</f>
        <v>0</v>
      </c>
      <c r="L39" s="335">
        <f>SUM($H$125:K125)*L38+SUM($H$38:L38)*L125</f>
        <v>0</v>
      </c>
      <c r="M39" s="335">
        <f>SUM($H$125:L125)*M38+SUM($H$38:M38)*M125</f>
        <v>0</v>
      </c>
      <c r="N39" s="335">
        <f>SUM($H$125:M125)*N38+SUM($H$38:N38)*N125</f>
        <v>0</v>
      </c>
      <c r="O39" s="335">
        <f>SUM($H$125:N125)*O38+SUM($H$38:O38)*O125</f>
        <v>0</v>
      </c>
      <c r="P39" s="335">
        <f>SUM($H$125:O125)*P38+SUM($H$38:P38)*P125</f>
        <v>0</v>
      </c>
      <c r="Q39" s="335">
        <f>SUM($H$125:P125)*Q38+SUM($H$38:Q38)*Q125</f>
        <v>0</v>
      </c>
      <c r="R39" s="335">
        <f>SUM($H$125:Q125)*R38+SUM($H$38:R38)*R125</f>
        <v>0</v>
      </c>
      <c r="S39" s="335">
        <f>SUM($H$125:R125)*S38+SUM($H$38:S38)*S125</f>
        <v>0</v>
      </c>
      <c r="T39" s="335">
        <f>SUM($H$125:S125)*T38+SUM($H$38:T38)*T125</f>
        <v>0</v>
      </c>
      <c r="U39" s="335">
        <f>SUM($H$125:T125)*U38+SUM($H$38:U38)*U125</f>
        <v>0</v>
      </c>
      <c r="V39" s="335">
        <f>SUM($H$125:U125)*V38+SUM($H$38:V38)*V125</f>
        <v>0</v>
      </c>
      <c r="W39" s="335">
        <f>SUM($H$125:V125)*W38+SUM($H$38:W38)*W125</f>
        <v>0</v>
      </c>
      <c r="X39" s="335">
        <f>SUM($H$125:W125)*X38+SUM($H$38:X38)*X125</f>
        <v>0</v>
      </c>
      <c r="Y39" s="335">
        <f>SUM($H$125:X125)*Y38+SUM($H$38:Y38)*Y125</f>
        <v>0</v>
      </c>
      <c r="Z39" s="335">
        <f>SUM($H$125:Y125)*Z38+SUM($H$38:Z38)*Z125</f>
        <v>0</v>
      </c>
      <c r="AA39" s="335">
        <f>SUM($H$125:Z125)*AA38+SUM($H$38:AA38)*AA125</f>
        <v>0</v>
      </c>
      <c r="AB39" s="335">
        <f>SUM($H$125:AA125)*AB38+SUM($H$38:AB38)*AB125</f>
        <v>0</v>
      </c>
      <c r="AC39" s="335">
        <f>SUM($H$125:AB125)*AC38+SUM($H$38:AC38)*AC125</f>
        <v>0</v>
      </c>
      <c r="AD39" s="335">
        <f>SUM($H$125:AC125)*AD38+SUM($H$38:AD38)*AD125</f>
        <v>0</v>
      </c>
      <c r="AE39" s="335">
        <f>SUM($H$125:AD125)*AE38+SUM($H$38:AE38)*AE125</f>
        <v>0</v>
      </c>
      <c r="AF39" s="335">
        <f>SUM($H$125:AE125)*AF38+SUM($H$38:AF38)*AF125</f>
        <v>0</v>
      </c>
      <c r="AG39" s="335">
        <f>SUM($H$125:AF125)*AG38+SUM($H$38:AG38)*AG125</f>
        <v>0</v>
      </c>
      <c r="AH39" s="335">
        <f>SUM($H$125:AG125)*AH38+SUM($H$38:AH38)*AH125</f>
        <v>0</v>
      </c>
      <c r="AI39" s="335">
        <f>SUM($H$125:AH125)*AI38+SUM($H$38:AI38)*AI125</f>
        <v>0</v>
      </c>
      <c r="AJ39" s="335">
        <f>SUM($H$125:AI125)*AJ38+SUM($H$38:AJ38)*AJ125</f>
        <v>0</v>
      </c>
      <c r="AK39" s="335">
        <f>SUM($H$125:AJ125)*AK38+SUM($H$38:AK38)*AK125</f>
        <v>0</v>
      </c>
      <c r="AL39" s="335">
        <f>SUM($H$125:AK125)*AL38+SUM($H$38:AL38)*AL125</f>
        <v>0</v>
      </c>
      <c r="AM39" s="335">
        <f>SUM($H$125:AL125)*AM38+SUM($H$38:AM38)*AM125</f>
        <v>0</v>
      </c>
      <c r="AN39" s="335">
        <f>SUM($H$125:AM125)*AN38+SUM($H$38:AN38)*AN125</f>
        <v>0</v>
      </c>
      <c r="AO39" s="335">
        <f>SUM($H$125:AN125)*AO38+SUM($H$38:AO38)*AO125</f>
        <v>0</v>
      </c>
      <c r="AP39" s="335">
        <f>SUM($H$125:AO125)*AP38+SUM($H$38:AP38)*AP125</f>
        <v>0</v>
      </c>
      <c r="AQ39" s="335">
        <f>SUM($H$125:AP125)*AQ38+SUM($H$38:AQ38)*AQ125</f>
        <v>0</v>
      </c>
      <c r="AR39" s="335"/>
      <c r="AS39" s="335"/>
      <c r="AT39" s="335"/>
      <c r="AU39" s="335"/>
      <c r="AV39" s="335"/>
      <c r="AW39" s="335"/>
      <c r="AX39" s="335"/>
      <c r="AY39" s="335"/>
      <c r="AZ39" s="335"/>
      <c r="BA39" s="335"/>
      <c r="BB39" s="335"/>
      <c r="BC39" s="335"/>
      <c r="BD39" s="335"/>
      <c r="BE39" s="335"/>
      <c r="BF39" s="335"/>
      <c r="BG39" s="335"/>
      <c r="BH39" s="335"/>
      <c r="BI39" s="335"/>
      <c r="BJ39" s="335"/>
      <c r="BK39" s="335"/>
      <c r="BL39" s="335"/>
      <c r="BM39" s="335"/>
      <c r="BN39" s="335"/>
      <c r="BO39" s="335"/>
      <c r="BP39" s="335"/>
      <c r="BQ39" s="335"/>
      <c r="BR39" s="335"/>
      <c r="BS39" s="335"/>
      <c r="BT39" s="335"/>
      <c r="BU39" s="335"/>
      <c r="BV39" s="335"/>
      <c r="BW39" s="335"/>
      <c r="BX39" s="335"/>
      <c r="BY39" s="335"/>
      <c r="BZ39" s="335"/>
      <c r="CA39" s="335"/>
      <c r="CB39" s="335"/>
      <c r="CC39" s="335"/>
      <c r="CD39" s="335"/>
      <c r="CE39" s="335"/>
      <c r="CF39" s="335"/>
      <c r="CG39" s="335"/>
      <c r="CH39" s="335"/>
      <c r="CI39" s="335"/>
      <c r="CJ39" s="335"/>
      <c r="CK39" s="510" t="s">
        <v>623</v>
      </c>
    </row>
    <row r="40" spans="2:89" s="333" customFormat="1" ht="15" customHeight="1">
      <c r="B40" s="726">
        <v>6</v>
      </c>
      <c r="C40" s="717">
        <v>0</v>
      </c>
      <c r="D40" s="717"/>
      <c r="E40" s="719"/>
      <c r="F40" s="719"/>
      <c r="G40" s="725"/>
      <c r="H40" s="721"/>
      <c r="I40" s="721"/>
      <c r="J40" s="722"/>
      <c r="K40" s="722"/>
      <c r="L40" s="722"/>
      <c r="M40" s="722"/>
      <c r="N40" s="722"/>
      <c r="O40" s="722"/>
      <c r="P40" s="722"/>
      <c r="Q40" s="722"/>
      <c r="R40" s="723"/>
      <c r="S40" s="723"/>
      <c r="T40" s="724"/>
      <c r="U40" s="722"/>
      <c r="V40" s="722"/>
      <c r="W40" s="723"/>
      <c r="X40" s="724"/>
      <c r="Y40" s="722"/>
      <c r="Z40" s="722"/>
      <c r="AA40" s="722"/>
      <c r="AB40" s="722"/>
      <c r="AC40" s="722"/>
      <c r="AD40" s="722"/>
      <c r="AE40" s="722"/>
      <c r="AF40" s="722"/>
      <c r="AG40" s="722"/>
      <c r="AH40" s="722"/>
      <c r="AI40" s="722"/>
      <c r="AJ40" s="722"/>
      <c r="AK40" s="722"/>
      <c r="AL40" s="722"/>
      <c r="AM40" s="722"/>
      <c r="AN40" s="722"/>
      <c r="AO40" s="722"/>
      <c r="AP40" s="722"/>
      <c r="AQ40" s="722"/>
      <c r="AR40" s="722"/>
      <c r="AS40" s="722"/>
      <c r="AT40" s="722"/>
      <c r="AU40" s="722"/>
      <c r="AV40" s="722"/>
      <c r="AW40" s="722"/>
      <c r="AX40" s="722"/>
      <c r="AY40" s="722"/>
      <c r="AZ40" s="722"/>
      <c r="BA40" s="722"/>
      <c r="BB40" s="722"/>
      <c r="BC40" s="722"/>
      <c r="BD40" s="722"/>
      <c r="BE40" s="722"/>
      <c r="BF40" s="722"/>
      <c r="BG40" s="722"/>
      <c r="BH40" s="722"/>
      <c r="BI40" s="722"/>
      <c r="BJ40" s="722"/>
      <c r="BK40" s="722"/>
      <c r="BL40" s="722"/>
      <c r="BM40" s="722"/>
      <c r="BN40" s="722"/>
      <c r="BO40" s="722"/>
      <c r="BP40" s="722"/>
      <c r="BQ40" s="722"/>
      <c r="BR40" s="722"/>
      <c r="BS40" s="722"/>
      <c r="BT40" s="722"/>
      <c r="BU40" s="722"/>
      <c r="BV40" s="722"/>
      <c r="BW40" s="722"/>
      <c r="BX40" s="722"/>
      <c r="BY40" s="722"/>
      <c r="BZ40" s="722"/>
      <c r="CA40" s="722"/>
      <c r="CB40" s="722"/>
      <c r="CC40" s="722"/>
      <c r="CD40" s="722"/>
      <c r="CE40" s="722"/>
      <c r="CF40" s="722"/>
      <c r="CG40" s="722"/>
      <c r="CH40" s="722"/>
      <c r="CI40" s="722"/>
      <c r="CJ40" s="722"/>
      <c r="CK40" s="510" t="s">
        <v>623</v>
      </c>
    </row>
    <row r="41" spans="2:89" s="333" customFormat="1" ht="15" hidden="1" customHeight="1">
      <c r="B41" s="295"/>
      <c r="C41" s="296" t="s">
        <v>137</v>
      </c>
      <c r="D41" s="297" t="s">
        <v>3</v>
      </c>
      <c r="E41" s="298"/>
      <c r="F41" s="359"/>
      <c r="G41" s="322"/>
      <c r="H41" s="323">
        <f>+'2.Tien do'!E70</f>
        <v>0</v>
      </c>
      <c r="I41" s="323">
        <f>+'2.Tien do'!F70</f>
        <v>0</v>
      </c>
      <c r="J41" s="323">
        <f>+'2.Tien do'!G70</f>
        <v>0</v>
      </c>
      <c r="K41" s="323">
        <f>+'2.Tien do'!H70</f>
        <v>0</v>
      </c>
      <c r="L41" s="323">
        <f>+'2.Tien do'!I70</f>
        <v>0</v>
      </c>
      <c r="M41" s="323">
        <f>+'2.Tien do'!J70</f>
        <v>0</v>
      </c>
      <c r="N41" s="323">
        <f>+'2.Tien do'!K70</f>
        <v>0</v>
      </c>
      <c r="O41" s="323">
        <f>+'2.Tien do'!L70</f>
        <v>0</v>
      </c>
      <c r="P41" s="323">
        <f>+'2.Tien do'!M70</f>
        <v>0</v>
      </c>
      <c r="Q41" s="323">
        <f>+'2.Tien do'!N70</f>
        <v>0</v>
      </c>
      <c r="R41" s="323">
        <f>+'2.Tien do'!O70</f>
        <v>0</v>
      </c>
      <c r="S41" s="323">
        <f>+'2.Tien do'!P70</f>
        <v>0</v>
      </c>
      <c r="T41" s="323">
        <f>+'2.Tien do'!Q70</f>
        <v>0</v>
      </c>
      <c r="U41" s="323">
        <f>+'2.Tien do'!R70</f>
        <v>0</v>
      </c>
      <c r="V41" s="323">
        <f>+'2.Tien do'!S70</f>
        <v>0</v>
      </c>
      <c r="W41" s="323">
        <f>+'2.Tien do'!T70</f>
        <v>0</v>
      </c>
      <c r="X41" s="323">
        <f>+'2.Tien do'!U70</f>
        <v>1</v>
      </c>
      <c r="Y41" s="323">
        <f>+'2.Tien do'!V70</f>
        <v>0</v>
      </c>
      <c r="Z41" s="323">
        <f>+'2.Tien do'!W70</f>
        <v>0</v>
      </c>
      <c r="AA41" s="323">
        <f>+'2.Tien do'!X70</f>
        <v>0</v>
      </c>
      <c r="AB41" s="323">
        <f>+'2.Tien do'!Y70</f>
        <v>0</v>
      </c>
      <c r="AC41" s="323">
        <f>+'2.Tien do'!Z70</f>
        <v>0</v>
      </c>
      <c r="AD41" s="323">
        <f>+'2.Tien do'!AA70</f>
        <v>0</v>
      </c>
      <c r="AE41" s="323">
        <f>+'2.Tien do'!AB70</f>
        <v>0</v>
      </c>
      <c r="AF41" s="323">
        <f>+'2.Tien do'!AC70</f>
        <v>0</v>
      </c>
      <c r="AG41" s="323">
        <f>+'2.Tien do'!AD70</f>
        <v>0</v>
      </c>
      <c r="AH41" s="323">
        <f>+'2.Tien do'!AE70</f>
        <v>0</v>
      </c>
      <c r="AI41" s="323">
        <f>+'2.Tien do'!AF70</f>
        <v>0</v>
      </c>
      <c r="AJ41" s="323">
        <f>+'2.Tien do'!AG70</f>
        <v>0</v>
      </c>
      <c r="AK41" s="323">
        <f>+'2.Tien do'!AH70</f>
        <v>0</v>
      </c>
      <c r="AL41" s="323">
        <f>+'2.Tien do'!AI70</f>
        <v>0</v>
      </c>
      <c r="AM41" s="323">
        <f>+'2.Tien do'!AJ70</f>
        <v>0</v>
      </c>
      <c r="AN41" s="323">
        <f>+'2.Tien do'!AK70</f>
        <v>0</v>
      </c>
      <c r="AO41" s="323">
        <f>+'2.Tien do'!AL70</f>
        <v>0</v>
      </c>
      <c r="AP41" s="323">
        <f>+'2.Tien do'!AM70</f>
        <v>0</v>
      </c>
      <c r="AQ41" s="323">
        <f>+'2.Tien do'!AN70</f>
        <v>0</v>
      </c>
      <c r="AR41" s="323">
        <f>+'2.Tien do'!AO70</f>
        <v>0</v>
      </c>
      <c r="AS41" s="323">
        <f>+'2.Tien do'!AP70</f>
        <v>0</v>
      </c>
      <c r="AT41" s="323">
        <f>+'2.Tien do'!AQ70</f>
        <v>0</v>
      </c>
      <c r="AU41" s="323">
        <f>+'2.Tien do'!AR70</f>
        <v>0</v>
      </c>
      <c r="AV41" s="323">
        <f>+'2.Tien do'!AS70</f>
        <v>0</v>
      </c>
      <c r="AW41" s="323">
        <f>+'2.Tien do'!AT70</f>
        <v>0</v>
      </c>
      <c r="AX41" s="323">
        <f>+'2.Tien do'!AU70</f>
        <v>0</v>
      </c>
      <c r="AY41" s="323">
        <f>+'2.Tien do'!AV70</f>
        <v>0</v>
      </c>
      <c r="AZ41" s="323">
        <f>+'2.Tien do'!AW70</f>
        <v>0</v>
      </c>
      <c r="BA41" s="323">
        <f>+'2.Tien do'!AX70</f>
        <v>0</v>
      </c>
      <c r="BB41" s="323">
        <f>+'2.Tien do'!AY70</f>
        <v>0</v>
      </c>
      <c r="BC41" s="323">
        <f>+'2.Tien do'!AZ70</f>
        <v>0</v>
      </c>
      <c r="BD41" s="323">
        <f>+'2.Tien do'!BA70</f>
        <v>0</v>
      </c>
      <c r="BE41" s="323">
        <f>+'2.Tien do'!BB70</f>
        <v>0</v>
      </c>
      <c r="BF41" s="323">
        <f>+'2.Tien do'!BC70</f>
        <v>0</v>
      </c>
      <c r="BG41" s="323">
        <f>+'2.Tien do'!BD70</f>
        <v>0</v>
      </c>
      <c r="BH41" s="323">
        <f>+'2.Tien do'!BE70</f>
        <v>0</v>
      </c>
      <c r="BI41" s="323">
        <f>+'2.Tien do'!BF70</f>
        <v>0</v>
      </c>
      <c r="BJ41" s="323">
        <f>+'2.Tien do'!BG70</f>
        <v>0</v>
      </c>
      <c r="BK41" s="323">
        <f>+'2.Tien do'!BH70</f>
        <v>0</v>
      </c>
      <c r="BL41" s="323">
        <f>+'2.Tien do'!BI70</f>
        <v>0</v>
      </c>
      <c r="BM41" s="323">
        <f>+'2.Tien do'!BJ70</f>
        <v>0</v>
      </c>
      <c r="BN41" s="323">
        <f>+'2.Tien do'!BK70</f>
        <v>0</v>
      </c>
      <c r="BO41" s="323">
        <f>+'2.Tien do'!BL70</f>
        <v>0</v>
      </c>
      <c r="BP41" s="323">
        <f>+'2.Tien do'!BM70</f>
        <v>0</v>
      </c>
      <c r="BQ41" s="323">
        <f>+'2.Tien do'!BN70</f>
        <v>0</v>
      </c>
      <c r="BR41" s="323">
        <f>+'2.Tien do'!BO70</f>
        <v>0</v>
      </c>
      <c r="BS41" s="323">
        <f>+'2.Tien do'!BP70</f>
        <v>0</v>
      </c>
      <c r="BT41" s="323">
        <f>+'2.Tien do'!BQ70</f>
        <v>0</v>
      </c>
      <c r="BU41" s="323">
        <f>+'2.Tien do'!BR70</f>
        <v>0</v>
      </c>
      <c r="BV41" s="323">
        <f>+'2.Tien do'!BS70</f>
        <v>0</v>
      </c>
      <c r="BW41" s="323">
        <f>+'2.Tien do'!BT70</f>
        <v>0</v>
      </c>
      <c r="BX41" s="323">
        <f>+'2.Tien do'!BU70</f>
        <v>0</v>
      </c>
      <c r="BY41" s="323">
        <f>+'2.Tien do'!BV70</f>
        <v>0</v>
      </c>
      <c r="BZ41" s="323">
        <f>+'2.Tien do'!BW70</f>
        <v>0</v>
      </c>
      <c r="CA41" s="323">
        <f>+'2.Tien do'!BX70</f>
        <v>0</v>
      </c>
      <c r="CB41" s="323">
        <f>+'2.Tien do'!BY70</f>
        <v>0</v>
      </c>
      <c r="CC41" s="323">
        <f>+'2.Tien do'!BZ70</f>
        <v>0</v>
      </c>
      <c r="CD41" s="323">
        <f>+'2.Tien do'!CA70</f>
        <v>0</v>
      </c>
      <c r="CE41" s="323">
        <f>+'2.Tien do'!CB70</f>
        <v>0</v>
      </c>
      <c r="CF41" s="323">
        <f>+'2.Tien do'!CC70</f>
        <v>0</v>
      </c>
      <c r="CG41" s="323">
        <f>+'2.Tien do'!CD70</f>
        <v>0</v>
      </c>
      <c r="CH41" s="323">
        <f>+'2.Tien do'!CE70</f>
        <v>0</v>
      </c>
      <c r="CI41" s="323">
        <f>+'2.Tien do'!CF70</f>
        <v>0</v>
      </c>
      <c r="CJ41" s="323">
        <f>+'2.Tien do'!CG70</f>
        <v>0</v>
      </c>
      <c r="CK41" s="510" t="s">
        <v>623</v>
      </c>
    </row>
    <row r="42" spans="2:89" s="333" customFormat="1" ht="15" hidden="1" customHeight="1">
      <c r="B42" s="295"/>
      <c r="C42" s="300" t="s">
        <v>68</v>
      </c>
      <c r="D42" s="336" t="s">
        <v>31</v>
      </c>
      <c r="E42" s="302">
        <v>0</v>
      </c>
      <c r="F42" s="360">
        <v>4031.2000000000003</v>
      </c>
      <c r="G42" s="325">
        <f>SUM(H42:AA42)</f>
        <v>0</v>
      </c>
      <c r="H42" s="326">
        <f t="shared" ref="H42:AA42" si="41">$E42*H41</f>
        <v>0</v>
      </c>
      <c r="I42" s="326">
        <f t="shared" si="41"/>
        <v>0</v>
      </c>
      <c r="J42" s="326">
        <f t="shared" si="41"/>
        <v>0</v>
      </c>
      <c r="K42" s="326">
        <f t="shared" si="41"/>
        <v>0</v>
      </c>
      <c r="L42" s="326">
        <f t="shared" si="41"/>
        <v>0</v>
      </c>
      <c r="M42" s="326">
        <f t="shared" si="41"/>
        <v>0</v>
      </c>
      <c r="N42" s="326">
        <f t="shared" si="41"/>
        <v>0</v>
      </c>
      <c r="O42" s="326">
        <f t="shared" si="41"/>
        <v>0</v>
      </c>
      <c r="P42" s="326">
        <f t="shared" si="41"/>
        <v>0</v>
      </c>
      <c r="Q42" s="326">
        <f t="shared" si="41"/>
        <v>0</v>
      </c>
      <c r="R42" s="326">
        <f t="shared" si="41"/>
        <v>0</v>
      </c>
      <c r="S42" s="326">
        <f t="shared" si="41"/>
        <v>0</v>
      </c>
      <c r="T42" s="326">
        <f t="shared" si="41"/>
        <v>0</v>
      </c>
      <c r="U42" s="326">
        <f t="shared" si="41"/>
        <v>0</v>
      </c>
      <c r="V42" s="326">
        <f t="shared" si="41"/>
        <v>0</v>
      </c>
      <c r="W42" s="326">
        <f t="shared" si="41"/>
        <v>0</v>
      </c>
      <c r="X42" s="326">
        <f t="shared" si="41"/>
        <v>0</v>
      </c>
      <c r="Y42" s="326">
        <f t="shared" si="41"/>
        <v>0</v>
      </c>
      <c r="Z42" s="326">
        <f t="shared" si="41"/>
        <v>0</v>
      </c>
      <c r="AA42" s="326">
        <f t="shared" si="41"/>
        <v>0</v>
      </c>
      <c r="AB42" s="326">
        <f>$E42*AB41</f>
        <v>0</v>
      </c>
      <c r="AC42" s="326">
        <f>$E42*AC41</f>
        <v>0</v>
      </c>
      <c r="AD42" s="326">
        <f t="shared" ref="AD42:CJ42" si="42">$E42*AD41</f>
        <v>0</v>
      </c>
      <c r="AE42" s="326">
        <f t="shared" si="42"/>
        <v>0</v>
      </c>
      <c r="AF42" s="326">
        <f t="shared" si="42"/>
        <v>0</v>
      </c>
      <c r="AG42" s="326">
        <f t="shared" si="42"/>
        <v>0</v>
      </c>
      <c r="AH42" s="326">
        <f t="shared" si="42"/>
        <v>0</v>
      </c>
      <c r="AI42" s="326">
        <f t="shared" si="42"/>
        <v>0</v>
      </c>
      <c r="AJ42" s="326">
        <f t="shared" si="42"/>
        <v>0</v>
      </c>
      <c r="AK42" s="326">
        <f t="shared" si="42"/>
        <v>0</v>
      </c>
      <c r="AL42" s="326">
        <f t="shared" si="42"/>
        <v>0</v>
      </c>
      <c r="AM42" s="326">
        <f t="shared" si="42"/>
        <v>0</v>
      </c>
      <c r="AN42" s="326">
        <f t="shared" si="42"/>
        <v>0</v>
      </c>
      <c r="AO42" s="326">
        <f t="shared" si="42"/>
        <v>0</v>
      </c>
      <c r="AP42" s="326">
        <f t="shared" si="42"/>
        <v>0</v>
      </c>
      <c r="AQ42" s="326">
        <f t="shared" si="42"/>
        <v>0</v>
      </c>
      <c r="AR42" s="326">
        <f t="shared" si="42"/>
        <v>0</v>
      </c>
      <c r="AS42" s="326">
        <f t="shared" si="42"/>
        <v>0</v>
      </c>
      <c r="AT42" s="326">
        <f t="shared" si="42"/>
        <v>0</v>
      </c>
      <c r="AU42" s="326">
        <f t="shared" si="42"/>
        <v>0</v>
      </c>
      <c r="AV42" s="326">
        <f t="shared" si="42"/>
        <v>0</v>
      </c>
      <c r="AW42" s="326">
        <f t="shared" si="42"/>
        <v>0</v>
      </c>
      <c r="AX42" s="326">
        <f t="shared" si="42"/>
        <v>0</v>
      </c>
      <c r="AY42" s="326">
        <f t="shared" si="42"/>
        <v>0</v>
      </c>
      <c r="AZ42" s="326">
        <f t="shared" si="42"/>
        <v>0</v>
      </c>
      <c r="BA42" s="326">
        <f t="shared" si="42"/>
        <v>0</v>
      </c>
      <c r="BB42" s="326">
        <f t="shared" si="42"/>
        <v>0</v>
      </c>
      <c r="BC42" s="326">
        <f t="shared" si="42"/>
        <v>0</v>
      </c>
      <c r="BD42" s="326">
        <f t="shared" si="42"/>
        <v>0</v>
      </c>
      <c r="BE42" s="326">
        <f t="shared" si="42"/>
        <v>0</v>
      </c>
      <c r="BF42" s="326">
        <f t="shared" si="42"/>
        <v>0</v>
      </c>
      <c r="BG42" s="326">
        <f t="shared" si="42"/>
        <v>0</v>
      </c>
      <c r="BH42" s="326">
        <f t="shared" si="42"/>
        <v>0</v>
      </c>
      <c r="BI42" s="326">
        <f t="shared" si="42"/>
        <v>0</v>
      </c>
      <c r="BJ42" s="326">
        <f t="shared" si="42"/>
        <v>0</v>
      </c>
      <c r="BK42" s="326">
        <f t="shared" si="42"/>
        <v>0</v>
      </c>
      <c r="BL42" s="326">
        <f t="shared" si="42"/>
        <v>0</v>
      </c>
      <c r="BM42" s="326">
        <f t="shared" si="42"/>
        <v>0</v>
      </c>
      <c r="BN42" s="326">
        <f t="shared" si="42"/>
        <v>0</v>
      </c>
      <c r="BO42" s="326">
        <f t="shared" si="42"/>
        <v>0</v>
      </c>
      <c r="BP42" s="326">
        <f t="shared" si="42"/>
        <v>0</v>
      </c>
      <c r="BQ42" s="326">
        <f t="shared" si="42"/>
        <v>0</v>
      </c>
      <c r="BR42" s="326">
        <f t="shared" si="42"/>
        <v>0</v>
      </c>
      <c r="BS42" s="326">
        <f t="shared" si="42"/>
        <v>0</v>
      </c>
      <c r="BT42" s="326">
        <f t="shared" si="42"/>
        <v>0</v>
      </c>
      <c r="BU42" s="326">
        <f t="shared" si="42"/>
        <v>0</v>
      </c>
      <c r="BV42" s="326">
        <f t="shared" si="42"/>
        <v>0</v>
      </c>
      <c r="BW42" s="326">
        <f t="shared" si="42"/>
        <v>0</v>
      </c>
      <c r="BX42" s="326">
        <f t="shared" si="42"/>
        <v>0</v>
      </c>
      <c r="BY42" s="326">
        <f t="shared" si="42"/>
        <v>0</v>
      </c>
      <c r="BZ42" s="326">
        <f t="shared" si="42"/>
        <v>0</v>
      </c>
      <c r="CA42" s="326">
        <f t="shared" si="42"/>
        <v>0</v>
      </c>
      <c r="CB42" s="326">
        <f t="shared" si="42"/>
        <v>0</v>
      </c>
      <c r="CC42" s="326">
        <f t="shared" si="42"/>
        <v>0</v>
      </c>
      <c r="CD42" s="326">
        <f t="shared" si="42"/>
        <v>0</v>
      </c>
      <c r="CE42" s="326">
        <f t="shared" si="42"/>
        <v>0</v>
      </c>
      <c r="CF42" s="326">
        <f t="shared" si="42"/>
        <v>0</v>
      </c>
      <c r="CG42" s="326">
        <f t="shared" si="42"/>
        <v>0</v>
      </c>
      <c r="CH42" s="326">
        <f t="shared" si="42"/>
        <v>0</v>
      </c>
      <c r="CI42" s="326">
        <f t="shared" si="42"/>
        <v>0</v>
      </c>
      <c r="CJ42" s="326">
        <f t="shared" si="42"/>
        <v>0</v>
      </c>
      <c r="CK42" s="510" t="s">
        <v>623</v>
      </c>
    </row>
    <row r="43" spans="2:89" s="333" customFormat="1" ht="15" hidden="1" customHeight="1">
      <c r="B43" s="295"/>
      <c r="C43" s="304" t="s">
        <v>30</v>
      </c>
      <c r="D43" s="305" t="s">
        <v>33</v>
      </c>
      <c r="E43" s="306">
        <v>80</v>
      </c>
      <c r="F43" s="361">
        <v>60</v>
      </c>
      <c r="G43" s="328"/>
      <c r="H43" s="329">
        <f t="shared" ref="H43:AA43" si="43">IF(H42&gt;0,$E43,0)</f>
        <v>0</v>
      </c>
      <c r="I43" s="329">
        <f t="shared" si="43"/>
        <v>0</v>
      </c>
      <c r="J43" s="329">
        <f t="shared" si="43"/>
        <v>0</v>
      </c>
      <c r="K43" s="329">
        <f t="shared" si="43"/>
        <v>0</v>
      </c>
      <c r="L43" s="329">
        <f t="shared" si="43"/>
        <v>0</v>
      </c>
      <c r="M43" s="329">
        <f t="shared" si="43"/>
        <v>0</v>
      </c>
      <c r="N43" s="329">
        <f t="shared" si="43"/>
        <v>0</v>
      </c>
      <c r="O43" s="329">
        <f t="shared" si="43"/>
        <v>0</v>
      </c>
      <c r="P43" s="329">
        <f t="shared" si="43"/>
        <v>0</v>
      </c>
      <c r="Q43" s="329">
        <f t="shared" si="43"/>
        <v>0</v>
      </c>
      <c r="R43" s="329">
        <f t="shared" si="43"/>
        <v>0</v>
      </c>
      <c r="S43" s="329">
        <f t="shared" si="43"/>
        <v>0</v>
      </c>
      <c r="T43" s="329">
        <f t="shared" si="43"/>
        <v>0</v>
      </c>
      <c r="U43" s="329">
        <f t="shared" si="43"/>
        <v>0</v>
      </c>
      <c r="V43" s="329">
        <f t="shared" si="43"/>
        <v>0</v>
      </c>
      <c r="W43" s="329">
        <f t="shared" si="43"/>
        <v>0</v>
      </c>
      <c r="X43" s="329">
        <f t="shared" si="43"/>
        <v>0</v>
      </c>
      <c r="Y43" s="329">
        <f t="shared" si="43"/>
        <v>0</v>
      </c>
      <c r="Z43" s="329">
        <f t="shared" si="43"/>
        <v>0</v>
      </c>
      <c r="AA43" s="329">
        <f t="shared" si="43"/>
        <v>0</v>
      </c>
      <c r="AB43" s="329">
        <f>IF(AB42&gt;0,$E43,0)</f>
        <v>0</v>
      </c>
      <c r="AC43" s="329">
        <f>IF(AC42&gt;0,$E43,0)</f>
        <v>0</v>
      </c>
      <c r="AD43" s="329">
        <f t="shared" ref="AD43:CJ43" si="44">IF(AD42&gt;0,$E43,0)</f>
        <v>0</v>
      </c>
      <c r="AE43" s="329">
        <f t="shared" si="44"/>
        <v>0</v>
      </c>
      <c r="AF43" s="329">
        <f t="shared" si="44"/>
        <v>0</v>
      </c>
      <c r="AG43" s="329">
        <f t="shared" si="44"/>
        <v>0</v>
      </c>
      <c r="AH43" s="329">
        <f t="shared" si="44"/>
        <v>0</v>
      </c>
      <c r="AI43" s="329">
        <f t="shared" si="44"/>
        <v>0</v>
      </c>
      <c r="AJ43" s="329">
        <f t="shared" si="44"/>
        <v>0</v>
      </c>
      <c r="AK43" s="329">
        <f t="shared" si="44"/>
        <v>0</v>
      </c>
      <c r="AL43" s="329">
        <f t="shared" si="44"/>
        <v>0</v>
      </c>
      <c r="AM43" s="329">
        <f t="shared" si="44"/>
        <v>0</v>
      </c>
      <c r="AN43" s="329">
        <f t="shared" si="44"/>
        <v>0</v>
      </c>
      <c r="AO43" s="329">
        <f t="shared" si="44"/>
        <v>0</v>
      </c>
      <c r="AP43" s="329">
        <f t="shared" si="44"/>
        <v>0</v>
      </c>
      <c r="AQ43" s="329">
        <f t="shared" si="44"/>
        <v>0</v>
      </c>
      <c r="AR43" s="329">
        <f t="shared" si="44"/>
        <v>0</v>
      </c>
      <c r="AS43" s="329">
        <f t="shared" si="44"/>
        <v>0</v>
      </c>
      <c r="AT43" s="329">
        <f t="shared" si="44"/>
        <v>0</v>
      </c>
      <c r="AU43" s="329">
        <f t="shared" si="44"/>
        <v>0</v>
      </c>
      <c r="AV43" s="329">
        <f t="shared" si="44"/>
        <v>0</v>
      </c>
      <c r="AW43" s="329">
        <f t="shared" si="44"/>
        <v>0</v>
      </c>
      <c r="AX43" s="329">
        <f t="shared" si="44"/>
        <v>0</v>
      </c>
      <c r="AY43" s="329">
        <f t="shared" si="44"/>
        <v>0</v>
      </c>
      <c r="AZ43" s="329">
        <f t="shared" si="44"/>
        <v>0</v>
      </c>
      <c r="BA43" s="329">
        <f t="shared" si="44"/>
        <v>0</v>
      </c>
      <c r="BB43" s="329">
        <f t="shared" si="44"/>
        <v>0</v>
      </c>
      <c r="BC43" s="329">
        <f t="shared" si="44"/>
        <v>0</v>
      </c>
      <c r="BD43" s="329">
        <f t="shared" si="44"/>
        <v>0</v>
      </c>
      <c r="BE43" s="329">
        <f t="shared" si="44"/>
        <v>0</v>
      </c>
      <c r="BF43" s="329">
        <f t="shared" si="44"/>
        <v>0</v>
      </c>
      <c r="BG43" s="329">
        <f t="shared" si="44"/>
        <v>0</v>
      </c>
      <c r="BH43" s="329">
        <f t="shared" si="44"/>
        <v>0</v>
      </c>
      <c r="BI43" s="329">
        <f t="shared" si="44"/>
        <v>0</v>
      </c>
      <c r="BJ43" s="329">
        <f t="shared" si="44"/>
        <v>0</v>
      </c>
      <c r="BK43" s="329">
        <f t="shared" si="44"/>
        <v>0</v>
      </c>
      <c r="BL43" s="329">
        <f t="shared" si="44"/>
        <v>0</v>
      </c>
      <c r="BM43" s="329">
        <f t="shared" si="44"/>
        <v>0</v>
      </c>
      <c r="BN43" s="329">
        <f t="shared" si="44"/>
        <v>0</v>
      </c>
      <c r="BO43" s="329">
        <f t="shared" si="44"/>
        <v>0</v>
      </c>
      <c r="BP43" s="329">
        <f t="shared" si="44"/>
        <v>0</v>
      </c>
      <c r="BQ43" s="329">
        <f t="shared" si="44"/>
        <v>0</v>
      </c>
      <c r="BR43" s="329">
        <f t="shared" si="44"/>
        <v>0</v>
      </c>
      <c r="BS43" s="329">
        <f t="shared" si="44"/>
        <v>0</v>
      </c>
      <c r="BT43" s="329">
        <f t="shared" si="44"/>
        <v>0</v>
      </c>
      <c r="BU43" s="329">
        <f t="shared" si="44"/>
        <v>0</v>
      </c>
      <c r="BV43" s="329">
        <f t="shared" si="44"/>
        <v>0</v>
      </c>
      <c r="BW43" s="329">
        <f t="shared" si="44"/>
        <v>0</v>
      </c>
      <c r="BX43" s="329">
        <f t="shared" si="44"/>
        <v>0</v>
      </c>
      <c r="BY43" s="329">
        <f t="shared" si="44"/>
        <v>0</v>
      </c>
      <c r="BZ43" s="329">
        <f t="shared" si="44"/>
        <v>0</v>
      </c>
      <c r="CA43" s="329">
        <f t="shared" si="44"/>
        <v>0</v>
      </c>
      <c r="CB43" s="329">
        <f t="shared" si="44"/>
        <v>0</v>
      </c>
      <c r="CC43" s="329">
        <f t="shared" si="44"/>
        <v>0</v>
      </c>
      <c r="CD43" s="329">
        <f t="shared" si="44"/>
        <v>0</v>
      </c>
      <c r="CE43" s="329">
        <f t="shared" si="44"/>
        <v>0</v>
      </c>
      <c r="CF43" s="329">
        <f t="shared" si="44"/>
        <v>0</v>
      </c>
      <c r="CG43" s="329">
        <f t="shared" si="44"/>
        <v>0</v>
      </c>
      <c r="CH43" s="329">
        <f t="shared" si="44"/>
        <v>0</v>
      </c>
      <c r="CI43" s="329">
        <f t="shared" si="44"/>
        <v>0</v>
      </c>
      <c r="CJ43" s="329">
        <f t="shared" si="44"/>
        <v>0</v>
      </c>
      <c r="CK43" s="510" t="s">
        <v>623</v>
      </c>
    </row>
    <row r="44" spans="2:89" s="333" customFormat="1" ht="15" hidden="1" customHeight="1">
      <c r="B44" s="295"/>
      <c r="C44" s="300" t="s">
        <v>32</v>
      </c>
      <c r="D44" s="311" t="s">
        <v>33</v>
      </c>
      <c r="E44" s="337">
        <f>G44</f>
        <v>0</v>
      </c>
      <c r="F44" s="365">
        <v>241872.00000000003</v>
      </c>
      <c r="G44" s="325">
        <f>SUM(H44:XFD44)</f>
        <v>0</v>
      </c>
      <c r="H44" s="340">
        <f>H42*H43</f>
        <v>0</v>
      </c>
      <c r="I44" s="340">
        <f t="shared" ref="I44:AA44" si="45">I42*I43</f>
        <v>0</v>
      </c>
      <c r="J44" s="340">
        <f t="shared" si="45"/>
        <v>0</v>
      </c>
      <c r="K44" s="340">
        <f t="shared" si="45"/>
        <v>0</v>
      </c>
      <c r="L44" s="340">
        <f t="shared" si="45"/>
        <v>0</v>
      </c>
      <c r="M44" s="340">
        <f t="shared" si="45"/>
        <v>0</v>
      </c>
      <c r="N44" s="340">
        <f t="shared" si="45"/>
        <v>0</v>
      </c>
      <c r="O44" s="340">
        <f t="shared" si="45"/>
        <v>0</v>
      </c>
      <c r="P44" s="340">
        <f t="shared" si="45"/>
        <v>0</v>
      </c>
      <c r="Q44" s="340">
        <f t="shared" si="45"/>
        <v>0</v>
      </c>
      <c r="R44" s="340">
        <f t="shared" si="45"/>
        <v>0</v>
      </c>
      <c r="S44" s="340">
        <f t="shared" si="45"/>
        <v>0</v>
      </c>
      <c r="T44" s="340">
        <f t="shared" si="45"/>
        <v>0</v>
      </c>
      <c r="U44" s="340">
        <f t="shared" si="45"/>
        <v>0</v>
      </c>
      <c r="V44" s="340">
        <f t="shared" si="45"/>
        <v>0</v>
      </c>
      <c r="W44" s="340">
        <f t="shared" si="45"/>
        <v>0</v>
      </c>
      <c r="X44" s="340">
        <f t="shared" si="45"/>
        <v>0</v>
      </c>
      <c r="Y44" s="340">
        <f t="shared" si="45"/>
        <v>0</v>
      </c>
      <c r="Z44" s="340">
        <f t="shared" si="45"/>
        <v>0</v>
      </c>
      <c r="AA44" s="340">
        <f t="shared" si="45"/>
        <v>0</v>
      </c>
      <c r="AB44" s="340">
        <f>AB42*AB43</f>
        <v>0</v>
      </c>
      <c r="AC44" s="340">
        <f>AC42*AC43</f>
        <v>0</v>
      </c>
      <c r="AD44" s="340">
        <f t="shared" ref="AD44:CJ44" si="46">AD42*AD43</f>
        <v>0</v>
      </c>
      <c r="AE44" s="340">
        <f t="shared" si="46"/>
        <v>0</v>
      </c>
      <c r="AF44" s="340">
        <f t="shared" si="46"/>
        <v>0</v>
      </c>
      <c r="AG44" s="340">
        <f t="shared" si="46"/>
        <v>0</v>
      </c>
      <c r="AH44" s="340">
        <f t="shared" si="46"/>
        <v>0</v>
      </c>
      <c r="AI44" s="340">
        <f t="shared" si="46"/>
        <v>0</v>
      </c>
      <c r="AJ44" s="340">
        <f t="shared" si="46"/>
        <v>0</v>
      </c>
      <c r="AK44" s="340">
        <f t="shared" si="46"/>
        <v>0</v>
      </c>
      <c r="AL44" s="340">
        <f t="shared" si="46"/>
        <v>0</v>
      </c>
      <c r="AM44" s="340">
        <f t="shared" si="46"/>
        <v>0</v>
      </c>
      <c r="AN44" s="340">
        <f t="shared" si="46"/>
        <v>0</v>
      </c>
      <c r="AO44" s="340">
        <f t="shared" si="46"/>
        <v>0</v>
      </c>
      <c r="AP44" s="340">
        <f t="shared" si="46"/>
        <v>0</v>
      </c>
      <c r="AQ44" s="340">
        <f t="shared" si="46"/>
        <v>0</v>
      </c>
      <c r="AR44" s="340">
        <f t="shared" si="46"/>
        <v>0</v>
      </c>
      <c r="AS44" s="340">
        <f t="shared" si="46"/>
        <v>0</v>
      </c>
      <c r="AT44" s="340">
        <f t="shared" si="46"/>
        <v>0</v>
      </c>
      <c r="AU44" s="340">
        <f t="shared" si="46"/>
        <v>0</v>
      </c>
      <c r="AV44" s="340">
        <f t="shared" si="46"/>
        <v>0</v>
      </c>
      <c r="AW44" s="340">
        <f t="shared" si="46"/>
        <v>0</v>
      </c>
      <c r="AX44" s="340">
        <f t="shared" si="46"/>
        <v>0</v>
      </c>
      <c r="AY44" s="340">
        <f t="shared" si="46"/>
        <v>0</v>
      </c>
      <c r="AZ44" s="340">
        <f t="shared" si="46"/>
        <v>0</v>
      </c>
      <c r="BA44" s="340">
        <f t="shared" si="46"/>
        <v>0</v>
      </c>
      <c r="BB44" s="340">
        <f t="shared" si="46"/>
        <v>0</v>
      </c>
      <c r="BC44" s="340">
        <f t="shared" si="46"/>
        <v>0</v>
      </c>
      <c r="BD44" s="340">
        <f t="shared" si="46"/>
        <v>0</v>
      </c>
      <c r="BE44" s="340">
        <f t="shared" si="46"/>
        <v>0</v>
      </c>
      <c r="BF44" s="340">
        <f t="shared" si="46"/>
        <v>0</v>
      </c>
      <c r="BG44" s="340">
        <f t="shared" si="46"/>
        <v>0</v>
      </c>
      <c r="BH44" s="340">
        <f t="shared" si="46"/>
        <v>0</v>
      </c>
      <c r="BI44" s="340">
        <f t="shared" si="46"/>
        <v>0</v>
      </c>
      <c r="BJ44" s="340">
        <f t="shared" si="46"/>
        <v>0</v>
      </c>
      <c r="BK44" s="340">
        <f t="shared" si="46"/>
        <v>0</v>
      </c>
      <c r="BL44" s="340">
        <f t="shared" si="46"/>
        <v>0</v>
      </c>
      <c r="BM44" s="340">
        <f t="shared" si="46"/>
        <v>0</v>
      </c>
      <c r="BN44" s="340">
        <f t="shared" si="46"/>
        <v>0</v>
      </c>
      <c r="BO44" s="340">
        <f t="shared" si="46"/>
        <v>0</v>
      </c>
      <c r="BP44" s="340">
        <f t="shared" si="46"/>
        <v>0</v>
      </c>
      <c r="BQ44" s="340">
        <f t="shared" si="46"/>
        <v>0</v>
      </c>
      <c r="BR44" s="340">
        <f t="shared" si="46"/>
        <v>0</v>
      </c>
      <c r="BS44" s="340">
        <f t="shared" si="46"/>
        <v>0</v>
      </c>
      <c r="BT44" s="340">
        <f t="shared" si="46"/>
        <v>0</v>
      </c>
      <c r="BU44" s="340">
        <f t="shared" si="46"/>
        <v>0</v>
      </c>
      <c r="BV44" s="340">
        <f t="shared" si="46"/>
        <v>0</v>
      </c>
      <c r="BW44" s="340">
        <f t="shared" si="46"/>
        <v>0</v>
      </c>
      <c r="BX44" s="340">
        <f t="shared" si="46"/>
        <v>0</v>
      </c>
      <c r="BY44" s="340">
        <f t="shared" si="46"/>
        <v>0</v>
      </c>
      <c r="BZ44" s="340">
        <f t="shared" si="46"/>
        <v>0</v>
      </c>
      <c r="CA44" s="340">
        <f t="shared" si="46"/>
        <v>0</v>
      </c>
      <c r="CB44" s="340">
        <f t="shared" si="46"/>
        <v>0</v>
      </c>
      <c r="CC44" s="340">
        <f t="shared" si="46"/>
        <v>0</v>
      </c>
      <c r="CD44" s="340">
        <f t="shared" si="46"/>
        <v>0</v>
      </c>
      <c r="CE44" s="340">
        <f t="shared" si="46"/>
        <v>0</v>
      </c>
      <c r="CF44" s="340">
        <f t="shared" si="46"/>
        <v>0</v>
      </c>
      <c r="CG44" s="340">
        <f t="shared" si="46"/>
        <v>0</v>
      </c>
      <c r="CH44" s="340">
        <f t="shared" si="46"/>
        <v>0</v>
      </c>
      <c r="CI44" s="340">
        <f t="shared" si="46"/>
        <v>0</v>
      </c>
      <c r="CJ44" s="340">
        <f t="shared" si="46"/>
        <v>0</v>
      </c>
      <c r="CK44" s="510" t="s">
        <v>623</v>
      </c>
    </row>
    <row r="45" spans="2:89" s="333" customFormat="1" ht="15" hidden="1" customHeight="1">
      <c r="B45" s="338"/>
      <c r="C45" s="310" t="s">
        <v>35</v>
      </c>
      <c r="D45" s="339"/>
      <c r="E45" s="337"/>
      <c r="F45" s="365"/>
      <c r="G45" s="334">
        <f>SUM(H45:XFD45)</f>
        <v>0</v>
      </c>
      <c r="H45" s="1363">
        <v>0</v>
      </c>
      <c r="I45" s="335">
        <f>SUM($H$126:H126)*I44+SUM($H$44:I44)*I126</f>
        <v>0</v>
      </c>
      <c r="J45" s="335">
        <f>SUM($H$126:I126)*J44+SUM($H$44:J44)*J126</f>
        <v>0</v>
      </c>
      <c r="K45" s="335">
        <f>SUM($H$126:J126)*K44+SUM($H$44:K44)*K126</f>
        <v>0</v>
      </c>
      <c r="L45" s="335">
        <f>SUM($H$126:K126)*L44+SUM($H$44:L44)*L126</f>
        <v>0</v>
      </c>
      <c r="M45" s="335">
        <f>SUM($H$126:L126)*M44+SUM($H$44:M44)*M126</f>
        <v>0</v>
      </c>
      <c r="N45" s="335">
        <f>SUM($H$126:M126)*N44+SUM($H$44:N44)*N126</f>
        <v>0</v>
      </c>
      <c r="O45" s="335">
        <f>SUM($H$126:N126)*O44+SUM($H$44:O44)*O126</f>
        <v>0</v>
      </c>
      <c r="P45" s="335">
        <f>SUM($H$126:O126)*P44+SUM($H$44:P44)*P126</f>
        <v>0</v>
      </c>
      <c r="Q45" s="335">
        <f>SUM($H$126:P126)*Q44+SUM($H$44:Q44)*Q126</f>
        <v>0</v>
      </c>
      <c r="R45" s="335">
        <f>SUM($H$126:Q126)*R44+SUM($H$44:R44)*R126</f>
        <v>0</v>
      </c>
      <c r="S45" s="335">
        <f>SUM($H$126:R126)*S44+SUM($H$44:S44)*S126</f>
        <v>0</v>
      </c>
      <c r="T45" s="335">
        <f>SUM($H$126:S126)*T44+SUM($H$44:T44)*T126</f>
        <v>0</v>
      </c>
      <c r="U45" s="335">
        <f>SUM($H$126:T126)*U44+SUM($H$44:U44)*U126</f>
        <v>0</v>
      </c>
      <c r="V45" s="335">
        <f>SUM($H$126:U126)*V44+SUM($H$44:V44)*V126</f>
        <v>0</v>
      </c>
      <c r="W45" s="335">
        <f>SUM($H$126:V126)*W44+SUM($H$44:W44)*W126</f>
        <v>0</v>
      </c>
      <c r="X45" s="335">
        <f>SUM($H$126:W126)*X44+SUM($H$44:X44)*X126</f>
        <v>0</v>
      </c>
      <c r="Y45" s="335">
        <f>SUM($H$126:X126)*Y44+SUM($H$44:Y44)*Y126</f>
        <v>0</v>
      </c>
      <c r="Z45" s="335">
        <f>SUM($H$126:Y126)*Z44+SUM($H$44:Z44)*Z126</f>
        <v>0</v>
      </c>
      <c r="AA45" s="335">
        <f>SUM($H$126:Z126)*AA44+SUM($H$44:AA44)*AA126</f>
        <v>0</v>
      </c>
      <c r="AB45" s="335">
        <f>SUM($H$126:AA126)*AB44+SUM($H$44:AB44)*AB126</f>
        <v>0</v>
      </c>
      <c r="AC45" s="335">
        <f>SUM($H$126:AB126)*AC44+SUM($H$44:AC44)*AC126</f>
        <v>0</v>
      </c>
      <c r="AD45" s="335">
        <f>SUM($H$126:AC126)*AD44+SUM($H$44:AD44)*AD126</f>
        <v>0</v>
      </c>
      <c r="AE45" s="335">
        <f>SUM($H$126:AD126)*AE44+SUM($H$44:AE44)*AE126</f>
        <v>0</v>
      </c>
      <c r="AF45" s="335">
        <f>SUM($H$126:AE126)*AF44+SUM($H$44:AF44)*AF126</f>
        <v>0</v>
      </c>
      <c r="AG45" s="335">
        <f>SUM($H$126:AF126)*AG44+SUM($H$44:AG44)*AG126</f>
        <v>0</v>
      </c>
      <c r="AH45" s="335">
        <f>SUM($H$126:AG126)*AH44+SUM($H$44:AH44)*AH126</f>
        <v>0</v>
      </c>
      <c r="AI45" s="335">
        <f>SUM($H$126:AH126)*AI44+SUM($H$44:AI44)*AI126</f>
        <v>0</v>
      </c>
      <c r="AJ45" s="335">
        <f>SUM($H$126:AI126)*AJ44+SUM($H$44:AJ44)*AJ126</f>
        <v>0</v>
      </c>
      <c r="AK45" s="335">
        <f>SUM($H$126:AJ126)*AK44+SUM($H$44:AK44)*AK126</f>
        <v>0</v>
      </c>
      <c r="AL45" s="335">
        <f>SUM($H$126:AK126)*AL44+SUM($H$44:AL44)*AL126</f>
        <v>0</v>
      </c>
      <c r="AM45" s="335">
        <f>SUM($H$126:AL126)*AM44+SUM($H$44:AM44)*AM126</f>
        <v>0</v>
      </c>
      <c r="AN45" s="335">
        <f>SUM($H$126:AM126)*AN44+SUM($H$44:AN44)*AN126</f>
        <v>0</v>
      </c>
      <c r="AO45" s="335">
        <f>SUM($H$126:AN126)*AO44+SUM($H$44:AO44)*AO126</f>
        <v>0</v>
      </c>
      <c r="AP45" s="335">
        <f>SUM($H$126:AO126)*AP44+SUM($H$44:AP44)*AP126</f>
        <v>0</v>
      </c>
      <c r="AQ45" s="335">
        <f>SUM($H$126:AP126)*AQ44+SUM($H$44:AQ44)*AQ126</f>
        <v>0</v>
      </c>
      <c r="AR45" s="335"/>
      <c r="AS45" s="335"/>
      <c r="AT45" s="335"/>
      <c r="AU45" s="335"/>
      <c r="AV45" s="335"/>
      <c r="AW45" s="335"/>
      <c r="AX45" s="335"/>
      <c r="AY45" s="335"/>
      <c r="AZ45" s="335"/>
      <c r="BA45" s="335"/>
      <c r="BB45" s="335"/>
      <c r="BC45" s="335"/>
      <c r="BD45" s="335"/>
      <c r="BE45" s="335"/>
      <c r="BF45" s="335"/>
      <c r="BG45" s="335"/>
      <c r="BH45" s="335"/>
      <c r="BI45" s="335"/>
      <c r="BJ45" s="335"/>
      <c r="BK45" s="335"/>
      <c r="BL45" s="335"/>
      <c r="BM45" s="335"/>
      <c r="BN45" s="335"/>
      <c r="BO45" s="335"/>
      <c r="BP45" s="335"/>
      <c r="BQ45" s="335"/>
      <c r="BR45" s="335"/>
      <c r="BS45" s="335"/>
      <c r="BT45" s="335"/>
      <c r="BU45" s="335"/>
      <c r="BV45" s="335"/>
      <c r="BW45" s="335"/>
      <c r="BX45" s="335"/>
      <c r="BY45" s="335"/>
      <c r="BZ45" s="335"/>
      <c r="CA45" s="335"/>
      <c r="CB45" s="335"/>
      <c r="CC45" s="335"/>
      <c r="CD45" s="335"/>
      <c r="CE45" s="335"/>
      <c r="CF45" s="335"/>
      <c r="CG45" s="335"/>
      <c r="CH45" s="335"/>
      <c r="CI45" s="335"/>
      <c r="CJ45" s="335"/>
      <c r="CK45" s="510" t="s">
        <v>623</v>
      </c>
    </row>
    <row r="46" spans="2:89" s="333" customFormat="1" ht="15" customHeight="1">
      <c r="B46" s="726">
        <v>7</v>
      </c>
      <c r="C46" s="717">
        <v>0</v>
      </c>
      <c r="D46" s="717"/>
      <c r="E46" s="719"/>
      <c r="F46" s="719"/>
      <c r="G46" s="725"/>
      <c r="H46" s="721"/>
      <c r="I46" s="721"/>
      <c r="J46" s="722"/>
      <c r="K46" s="722"/>
      <c r="L46" s="722"/>
      <c r="M46" s="722"/>
      <c r="N46" s="722"/>
      <c r="O46" s="722"/>
      <c r="P46" s="722"/>
      <c r="Q46" s="722"/>
      <c r="R46" s="723"/>
      <c r="S46" s="723"/>
      <c r="T46" s="724"/>
      <c r="U46" s="722"/>
      <c r="V46" s="722"/>
      <c r="W46" s="723"/>
      <c r="X46" s="724"/>
      <c r="Y46" s="722"/>
      <c r="Z46" s="722"/>
      <c r="AA46" s="722"/>
      <c r="AB46" s="722"/>
      <c r="AC46" s="722"/>
      <c r="AD46" s="722"/>
      <c r="AE46" s="722"/>
      <c r="AF46" s="722"/>
      <c r="AG46" s="722"/>
      <c r="AH46" s="722"/>
      <c r="AI46" s="722"/>
      <c r="AJ46" s="722"/>
      <c r="AK46" s="722"/>
      <c r="AL46" s="722"/>
      <c r="AM46" s="722"/>
      <c r="AN46" s="722"/>
      <c r="AO46" s="722"/>
      <c r="AP46" s="722"/>
      <c r="AQ46" s="722"/>
      <c r="AR46" s="722"/>
      <c r="AS46" s="722"/>
      <c r="AT46" s="722"/>
      <c r="AU46" s="722"/>
      <c r="AV46" s="722"/>
      <c r="AW46" s="722"/>
      <c r="AX46" s="722"/>
      <c r="AY46" s="722"/>
      <c r="AZ46" s="722"/>
      <c r="BA46" s="722"/>
      <c r="BB46" s="722"/>
      <c r="BC46" s="722"/>
      <c r="BD46" s="722"/>
      <c r="BE46" s="722"/>
      <c r="BF46" s="722"/>
      <c r="BG46" s="722"/>
      <c r="BH46" s="722"/>
      <c r="BI46" s="722"/>
      <c r="BJ46" s="722"/>
      <c r="BK46" s="722"/>
      <c r="BL46" s="722"/>
      <c r="BM46" s="722"/>
      <c r="BN46" s="722"/>
      <c r="BO46" s="722"/>
      <c r="BP46" s="722"/>
      <c r="BQ46" s="722"/>
      <c r="BR46" s="722"/>
      <c r="BS46" s="722"/>
      <c r="BT46" s="722"/>
      <c r="BU46" s="722"/>
      <c r="BV46" s="722"/>
      <c r="BW46" s="722"/>
      <c r="BX46" s="722"/>
      <c r="BY46" s="722"/>
      <c r="BZ46" s="722"/>
      <c r="CA46" s="722"/>
      <c r="CB46" s="722"/>
      <c r="CC46" s="722"/>
      <c r="CD46" s="722"/>
      <c r="CE46" s="722"/>
      <c r="CF46" s="722"/>
      <c r="CG46" s="722"/>
      <c r="CH46" s="722"/>
      <c r="CI46" s="722"/>
      <c r="CJ46" s="722"/>
      <c r="CK46" s="510" t="s">
        <v>623</v>
      </c>
    </row>
    <row r="47" spans="2:89" s="333" customFormat="1" ht="15" hidden="1" customHeight="1">
      <c r="B47" s="295"/>
      <c r="C47" s="296" t="s">
        <v>137</v>
      </c>
      <c r="D47" s="297" t="s">
        <v>3</v>
      </c>
      <c r="E47" s="298"/>
      <c r="F47" s="359"/>
      <c r="G47" s="322"/>
      <c r="H47" s="323">
        <f>+'2.Tien do'!E71</f>
        <v>0</v>
      </c>
      <c r="I47" s="323">
        <f>+'2.Tien do'!F71</f>
        <v>0</v>
      </c>
      <c r="J47" s="323">
        <f>+'2.Tien do'!G71</f>
        <v>0</v>
      </c>
      <c r="K47" s="323">
        <f>+'2.Tien do'!H71</f>
        <v>0</v>
      </c>
      <c r="L47" s="323">
        <f>+'2.Tien do'!I71</f>
        <v>0</v>
      </c>
      <c r="M47" s="323">
        <f>+'2.Tien do'!J71</f>
        <v>0</v>
      </c>
      <c r="N47" s="323">
        <f>+'2.Tien do'!K71</f>
        <v>0</v>
      </c>
      <c r="O47" s="323">
        <f>+'2.Tien do'!L71</f>
        <v>0</v>
      </c>
      <c r="P47" s="323">
        <f>+'2.Tien do'!M71</f>
        <v>0</v>
      </c>
      <c r="Q47" s="323">
        <f>+'2.Tien do'!N71</f>
        <v>0</v>
      </c>
      <c r="R47" s="323">
        <f>+'2.Tien do'!O71</f>
        <v>0.33333333333333331</v>
      </c>
      <c r="S47" s="323">
        <f>+'2.Tien do'!P71</f>
        <v>0.33333333333333331</v>
      </c>
      <c r="T47" s="323">
        <f>+'2.Tien do'!Q71</f>
        <v>0.33333333333333331</v>
      </c>
      <c r="U47" s="323">
        <f>+'2.Tien do'!R71</f>
        <v>0</v>
      </c>
      <c r="V47" s="323">
        <f>+'2.Tien do'!S71</f>
        <v>0</v>
      </c>
      <c r="W47" s="323">
        <f>+'2.Tien do'!T71</f>
        <v>0</v>
      </c>
      <c r="X47" s="323">
        <f>+'2.Tien do'!U71</f>
        <v>0</v>
      </c>
      <c r="Y47" s="323">
        <f>+'2.Tien do'!V71</f>
        <v>0</v>
      </c>
      <c r="Z47" s="323">
        <f>+'2.Tien do'!W71</f>
        <v>0</v>
      </c>
      <c r="AA47" s="323">
        <f>+'2.Tien do'!X71</f>
        <v>0</v>
      </c>
      <c r="AB47" s="323">
        <f>+'2.Tien do'!Y71</f>
        <v>0</v>
      </c>
      <c r="AC47" s="323">
        <f>+'2.Tien do'!Z71</f>
        <v>0</v>
      </c>
      <c r="AD47" s="323">
        <f>+'2.Tien do'!AA71</f>
        <v>0</v>
      </c>
      <c r="AE47" s="323">
        <f>+'2.Tien do'!AB71</f>
        <v>0</v>
      </c>
      <c r="AF47" s="323">
        <f>+'2.Tien do'!AC71</f>
        <v>0</v>
      </c>
      <c r="AG47" s="323">
        <f>+'2.Tien do'!AD71</f>
        <v>0</v>
      </c>
      <c r="AH47" s="323">
        <f>+'2.Tien do'!AE71</f>
        <v>0</v>
      </c>
      <c r="AI47" s="323">
        <f>+'2.Tien do'!AF71</f>
        <v>0</v>
      </c>
      <c r="AJ47" s="323">
        <f>+'2.Tien do'!AG71</f>
        <v>0</v>
      </c>
      <c r="AK47" s="323">
        <f>+'2.Tien do'!AH71</f>
        <v>0</v>
      </c>
      <c r="AL47" s="323">
        <f>+'2.Tien do'!AI71</f>
        <v>0</v>
      </c>
      <c r="AM47" s="323">
        <f>+'2.Tien do'!AJ71</f>
        <v>0</v>
      </c>
      <c r="AN47" s="323">
        <f>+'2.Tien do'!AK71</f>
        <v>0</v>
      </c>
      <c r="AO47" s="323">
        <f>+'2.Tien do'!AL71</f>
        <v>0</v>
      </c>
      <c r="AP47" s="323">
        <f>+'2.Tien do'!AM71</f>
        <v>0</v>
      </c>
      <c r="AQ47" s="323">
        <f>+'2.Tien do'!AN71</f>
        <v>0</v>
      </c>
      <c r="AR47" s="323">
        <f>+'2.Tien do'!AO71</f>
        <v>0</v>
      </c>
      <c r="AS47" s="323">
        <f>+'2.Tien do'!AP71</f>
        <v>0</v>
      </c>
      <c r="AT47" s="323">
        <f>+'2.Tien do'!AQ71</f>
        <v>0</v>
      </c>
      <c r="AU47" s="323">
        <f>+'2.Tien do'!AR71</f>
        <v>0</v>
      </c>
      <c r="AV47" s="323">
        <f>+'2.Tien do'!AS71</f>
        <v>0</v>
      </c>
      <c r="AW47" s="323">
        <f>+'2.Tien do'!AT71</f>
        <v>0</v>
      </c>
      <c r="AX47" s="323">
        <f>+'2.Tien do'!AU71</f>
        <v>0</v>
      </c>
      <c r="AY47" s="323">
        <f>+'2.Tien do'!AV71</f>
        <v>0</v>
      </c>
      <c r="AZ47" s="323">
        <f>+'2.Tien do'!AW71</f>
        <v>0</v>
      </c>
      <c r="BA47" s="323">
        <f>+'2.Tien do'!AX71</f>
        <v>0</v>
      </c>
      <c r="BB47" s="323">
        <f>+'2.Tien do'!AY71</f>
        <v>0</v>
      </c>
      <c r="BC47" s="323">
        <f>+'2.Tien do'!AZ71</f>
        <v>0</v>
      </c>
      <c r="BD47" s="323">
        <f>+'2.Tien do'!BA71</f>
        <v>0</v>
      </c>
      <c r="BE47" s="323">
        <f>+'2.Tien do'!BB71</f>
        <v>0</v>
      </c>
      <c r="BF47" s="323">
        <f>+'2.Tien do'!BC71</f>
        <v>0</v>
      </c>
      <c r="BG47" s="323">
        <f>+'2.Tien do'!BD71</f>
        <v>0</v>
      </c>
      <c r="BH47" s="323">
        <f>+'2.Tien do'!BE71</f>
        <v>0</v>
      </c>
      <c r="BI47" s="323">
        <f>+'2.Tien do'!BF71</f>
        <v>0</v>
      </c>
      <c r="BJ47" s="323">
        <f>+'2.Tien do'!BG71</f>
        <v>0</v>
      </c>
      <c r="BK47" s="323">
        <f>+'2.Tien do'!BH71</f>
        <v>0</v>
      </c>
      <c r="BL47" s="323">
        <f>+'2.Tien do'!BI71</f>
        <v>0</v>
      </c>
      <c r="BM47" s="323">
        <f>+'2.Tien do'!BJ71</f>
        <v>0</v>
      </c>
      <c r="BN47" s="323">
        <f>+'2.Tien do'!BK71</f>
        <v>0</v>
      </c>
      <c r="BO47" s="323">
        <f>+'2.Tien do'!BL71</f>
        <v>0</v>
      </c>
      <c r="BP47" s="323">
        <f>+'2.Tien do'!BM71</f>
        <v>0</v>
      </c>
      <c r="BQ47" s="323">
        <f>+'2.Tien do'!BN71</f>
        <v>0</v>
      </c>
      <c r="BR47" s="323">
        <f>+'2.Tien do'!BO71</f>
        <v>0</v>
      </c>
      <c r="BS47" s="323">
        <f>+'2.Tien do'!BP71</f>
        <v>0</v>
      </c>
      <c r="BT47" s="323">
        <f>+'2.Tien do'!BQ71</f>
        <v>0</v>
      </c>
      <c r="BU47" s="323">
        <f>+'2.Tien do'!BR71</f>
        <v>0</v>
      </c>
      <c r="BV47" s="323">
        <f>+'2.Tien do'!BS71</f>
        <v>0</v>
      </c>
      <c r="BW47" s="323">
        <f>+'2.Tien do'!BT71</f>
        <v>0</v>
      </c>
      <c r="BX47" s="323">
        <f>+'2.Tien do'!BU71</f>
        <v>0</v>
      </c>
      <c r="BY47" s="323">
        <f>+'2.Tien do'!BV71</f>
        <v>0</v>
      </c>
      <c r="BZ47" s="323">
        <f>+'2.Tien do'!BW71</f>
        <v>0</v>
      </c>
      <c r="CA47" s="323">
        <f>+'2.Tien do'!BX71</f>
        <v>0</v>
      </c>
      <c r="CB47" s="323">
        <f>+'2.Tien do'!BY71</f>
        <v>0</v>
      </c>
      <c r="CC47" s="323">
        <f>+'2.Tien do'!BZ71</f>
        <v>0</v>
      </c>
      <c r="CD47" s="323">
        <f>+'2.Tien do'!CA71</f>
        <v>0</v>
      </c>
      <c r="CE47" s="323">
        <f>+'2.Tien do'!CB71</f>
        <v>0</v>
      </c>
      <c r="CF47" s="323">
        <f>+'2.Tien do'!CC71</f>
        <v>0</v>
      </c>
      <c r="CG47" s="323">
        <f>+'2.Tien do'!CD71</f>
        <v>0</v>
      </c>
      <c r="CH47" s="323">
        <f>+'2.Tien do'!CE71</f>
        <v>0</v>
      </c>
      <c r="CI47" s="323">
        <f>+'2.Tien do'!CF71</f>
        <v>0</v>
      </c>
      <c r="CJ47" s="323">
        <f>+'2.Tien do'!CG71</f>
        <v>0</v>
      </c>
      <c r="CK47" s="510" t="s">
        <v>623</v>
      </c>
    </row>
    <row r="48" spans="2:89" s="333" customFormat="1" ht="15" hidden="1" customHeight="1">
      <c r="B48" s="295"/>
      <c r="C48" s="300" t="s">
        <v>68</v>
      </c>
      <c r="D48" s="336" t="s">
        <v>31</v>
      </c>
      <c r="E48" s="302">
        <v>0</v>
      </c>
      <c r="F48" s="360">
        <v>4031.2000000000003</v>
      </c>
      <c r="G48" s="325">
        <f>SUM(H48:AA48)</f>
        <v>0</v>
      </c>
      <c r="H48" s="326">
        <f t="shared" ref="H48:AA48" si="47">$E48*H47</f>
        <v>0</v>
      </c>
      <c r="I48" s="326">
        <f t="shared" si="47"/>
        <v>0</v>
      </c>
      <c r="J48" s="326">
        <f t="shared" si="47"/>
        <v>0</v>
      </c>
      <c r="K48" s="326">
        <f t="shared" si="47"/>
        <v>0</v>
      </c>
      <c r="L48" s="326">
        <f t="shared" si="47"/>
        <v>0</v>
      </c>
      <c r="M48" s="326">
        <f t="shared" si="47"/>
        <v>0</v>
      </c>
      <c r="N48" s="326">
        <f t="shared" si="47"/>
        <v>0</v>
      </c>
      <c r="O48" s="326">
        <f t="shared" si="47"/>
        <v>0</v>
      </c>
      <c r="P48" s="326">
        <f t="shared" si="47"/>
        <v>0</v>
      </c>
      <c r="Q48" s="326">
        <f t="shared" si="47"/>
        <v>0</v>
      </c>
      <c r="R48" s="326">
        <f t="shared" si="47"/>
        <v>0</v>
      </c>
      <c r="S48" s="326">
        <f t="shared" si="47"/>
        <v>0</v>
      </c>
      <c r="T48" s="326">
        <f t="shared" si="47"/>
        <v>0</v>
      </c>
      <c r="U48" s="326">
        <f t="shared" si="47"/>
        <v>0</v>
      </c>
      <c r="V48" s="326">
        <f t="shared" si="47"/>
        <v>0</v>
      </c>
      <c r="W48" s="326">
        <f t="shared" si="47"/>
        <v>0</v>
      </c>
      <c r="X48" s="326">
        <f t="shared" si="47"/>
        <v>0</v>
      </c>
      <c r="Y48" s="326">
        <f t="shared" si="47"/>
        <v>0</v>
      </c>
      <c r="Z48" s="326">
        <f t="shared" si="47"/>
        <v>0</v>
      </c>
      <c r="AA48" s="326">
        <f t="shared" si="47"/>
        <v>0</v>
      </c>
      <c r="AB48" s="326">
        <f>$E48*AB47</f>
        <v>0</v>
      </c>
      <c r="AC48" s="326">
        <f>$E48*AC47</f>
        <v>0</v>
      </c>
      <c r="AD48" s="326">
        <f t="shared" ref="AD48:CJ48" si="48">$E48*AD47</f>
        <v>0</v>
      </c>
      <c r="AE48" s="326">
        <f t="shared" si="48"/>
        <v>0</v>
      </c>
      <c r="AF48" s="326">
        <f t="shared" si="48"/>
        <v>0</v>
      </c>
      <c r="AG48" s="326">
        <f t="shared" si="48"/>
        <v>0</v>
      </c>
      <c r="AH48" s="326">
        <f t="shared" si="48"/>
        <v>0</v>
      </c>
      <c r="AI48" s="326">
        <f t="shared" si="48"/>
        <v>0</v>
      </c>
      <c r="AJ48" s="326">
        <f t="shared" si="48"/>
        <v>0</v>
      </c>
      <c r="AK48" s="326">
        <f t="shared" si="48"/>
        <v>0</v>
      </c>
      <c r="AL48" s="326">
        <f t="shared" si="48"/>
        <v>0</v>
      </c>
      <c r="AM48" s="326">
        <f t="shared" si="48"/>
        <v>0</v>
      </c>
      <c r="AN48" s="326">
        <f t="shared" si="48"/>
        <v>0</v>
      </c>
      <c r="AO48" s="326">
        <f t="shared" si="48"/>
        <v>0</v>
      </c>
      <c r="AP48" s="326">
        <f t="shared" si="48"/>
        <v>0</v>
      </c>
      <c r="AQ48" s="326">
        <f t="shared" si="48"/>
        <v>0</v>
      </c>
      <c r="AR48" s="326">
        <f t="shared" si="48"/>
        <v>0</v>
      </c>
      <c r="AS48" s="326">
        <f t="shared" si="48"/>
        <v>0</v>
      </c>
      <c r="AT48" s="326">
        <f t="shared" si="48"/>
        <v>0</v>
      </c>
      <c r="AU48" s="326">
        <f t="shared" si="48"/>
        <v>0</v>
      </c>
      <c r="AV48" s="326">
        <f t="shared" si="48"/>
        <v>0</v>
      </c>
      <c r="AW48" s="326">
        <f t="shared" si="48"/>
        <v>0</v>
      </c>
      <c r="AX48" s="326">
        <f t="shared" si="48"/>
        <v>0</v>
      </c>
      <c r="AY48" s="326">
        <f t="shared" si="48"/>
        <v>0</v>
      </c>
      <c r="AZ48" s="326">
        <f t="shared" si="48"/>
        <v>0</v>
      </c>
      <c r="BA48" s="326">
        <f t="shared" si="48"/>
        <v>0</v>
      </c>
      <c r="BB48" s="326">
        <f t="shared" si="48"/>
        <v>0</v>
      </c>
      <c r="BC48" s="326">
        <f t="shared" si="48"/>
        <v>0</v>
      </c>
      <c r="BD48" s="326">
        <f t="shared" si="48"/>
        <v>0</v>
      </c>
      <c r="BE48" s="326">
        <f t="shared" si="48"/>
        <v>0</v>
      </c>
      <c r="BF48" s="326">
        <f t="shared" si="48"/>
        <v>0</v>
      </c>
      <c r="BG48" s="326">
        <f t="shared" si="48"/>
        <v>0</v>
      </c>
      <c r="BH48" s="326">
        <f t="shared" si="48"/>
        <v>0</v>
      </c>
      <c r="BI48" s="326">
        <f t="shared" si="48"/>
        <v>0</v>
      </c>
      <c r="BJ48" s="326">
        <f t="shared" si="48"/>
        <v>0</v>
      </c>
      <c r="BK48" s="326">
        <f t="shared" si="48"/>
        <v>0</v>
      </c>
      <c r="BL48" s="326">
        <f t="shared" si="48"/>
        <v>0</v>
      </c>
      <c r="BM48" s="326">
        <f t="shared" si="48"/>
        <v>0</v>
      </c>
      <c r="BN48" s="326">
        <f t="shared" si="48"/>
        <v>0</v>
      </c>
      <c r="BO48" s="326">
        <f t="shared" si="48"/>
        <v>0</v>
      </c>
      <c r="BP48" s="326">
        <f t="shared" si="48"/>
        <v>0</v>
      </c>
      <c r="BQ48" s="326">
        <f t="shared" si="48"/>
        <v>0</v>
      </c>
      <c r="BR48" s="326">
        <f t="shared" si="48"/>
        <v>0</v>
      </c>
      <c r="BS48" s="326">
        <f t="shared" si="48"/>
        <v>0</v>
      </c>
      <c r="BT48" s="326">
        <f t="shared" si="48"/>
        <v>0</v>
      </c>
      <c r="BU48" s="326">
        <f t="shared" si="48"/>
        <v>0</v>
      </c>
      <c r="BV48" s="326">
        <f t="shared" si="48"/>
        <v>0</v>
      </c>
      <c r="BW48" s="326">
        <f t="shared" si="48"/>
        <v>0</v>
      </c>
      <c r="BX48" s="326">
        <f t="shared" si="48"/>
        <v>0</v>
      </c>
      <c r="BY48" s="326">
        <f t="shared" si="48"/>
        <v>0</v>
      </c>
      <c r="BZ48" s="326">
        <f t="shared" si="48"/>
        <v>0</v>
      </c>
      <c r="CA48" s="326">
        <f t="shared" si="48"/>
        <v>0</v>
      </c>
      <c r="CB48" s="326">
        <f t="shared" si="48"/>
        <v>0</v>
      </c>
      <c r="CC48" s="326">
        <f t="shared" si="48"/>
        <v>0</v>
      </c>
      <c r="CD48" s="326">
        <f t="shared" si="48"/>
        <v>0</v>
      </c>
      <c r="CE48" s="326">
        <f t="shared" si="48"/>
        <v>0</v>
      </c>
      <c r="CF48" s="326">
        <f t="shared" si="48"/>
        <v>0</v>
      </c>
      <c r="CG48" s="326">
        <f t="shared" si="48"/>
        <v>0</v>
      </c>
      <c r="CH48" s="326">
        <f t="shared" si="48"/>
        <v>0</v>
      </c>
      <c r="CI48" s="326">
        <f t="shared" si="48"/>
        <v>0</v>
      </c>
      <c r="CJ48" s="326">
        <f t="shared" si="48"/>
        <v>0</v>
      </c>
      <c r="CK48" s="510" t="s">
        <v>623</v>
      </c>
    </row>
    <row r="49" spans="2:89" s="333" customFormat="1" ht="15" hidden="1" customHeight="1">
      <c r="B49" s="295"/>
      <c r="C49" s="304" t="s">
        <v>30</v>
      </c>
      <c r="D49" s="305" t="s">
        <v>33</v>
      </c>
      <c r="E49" s="306">
        <f>+'8.ĐO NHAY'!C11</f>
        <v>45.125</v>
      </c>
      <c r="F49" s="361">
        <v>60</v>
      </c>
      <c r="G49" s="328"/>
      <c r="H49" s="329">
        <f t="shared" ref="H49:AA49" si="49">IF(H48&gt;0,$E49,0)</f>
        <v>0</v>
      </c>
      <c r="I49" s="329">
        <f t="shared" si="49"/>
        <v>0</v>
      </c>
      <c r="J49" s="329">
        <f t="shared" si="49"/>
        <v>0</v>
      </c>
      <c r="K49" s="329">
        <f t="shared" si="49"/>
        <v>0</v>
      </c>
      <c r="L49" s="329">
        <f t="shared" si="49"/>
        <v>0</v>
      </c>
      <c r="M49" s="329">
        <f t="shared" si="49"/>
        <v>0</v>
      </c>
      <c r="N49" s="329">
        <f t="shared" si="49"/>
        <v>0</v>
      </c>
      <c r="O49" s="329">
        <f t="shared" si="49"/>
        <v>0</v>
      </c>
      <c r="P49" s="329">
        <f t="shared" si="49"/>
        <v>0</v>
      </c>
      <c r="Q49" s="329">
        <f t="shared" si="49"/>
        <v>0</v>
      </c>
      <c r="R49" s="329">
        <f t="shared" si="49"/>
        <v>0</v>
      </c>
      <c r="S49" s="329">
        <f t="shared" si="49"/>
        <v>0</v>
      </c>
      <c r="T49" s="329">
        <f t="shared" si="49"/>
        <v>0</v>
      </c>
      <c r="U49" s="329">
        <f t="shared" si="49"/>
        <v>0</v>
      </c>
      <c r="V49" s="329">
        <f t="shared" si="49"/>
        <v>0</v>
      </c>
      <c r="W49" s="329">
        <f t="shared" si="49"/>
        <v>0</v>
      </c>
      <c r="X49" s="329">
        <f t="shared" si="49"/>
        <v>0</v>
      </c>
      <c r="Y49" s="329">
        <f t="shared" si="49"/>
        <v>0</v>
      </c>
      <c r="Z49" s="329">
        <f t="shared" si="49"/>
        <v>0</v>
      </c>
      <c r="AA49" s="329">
        <f t="shared" si="49"/>
        <v>0</v>
      </c>
      <c r="AB49" s="329">
        <f>IF(AB48&gt;0,$E49,0)</f>
        <v>0</v>
      </c>
      <c r="AC49" s="329">
        <f>IF(AC48&gt;0,$E49,0)</f>
        <v>0</v>
      </c>
      <c r="AD49" s="329">
        <f t="shared" ref="AD49:CJ49" si="50">IF(AD48&gt;0,$E49,0)</f>
        <v>0</v>
      </c>
      <c r="AE49" s="329">
        <f t="shared" si="50"/>
        <v>0</v>
      </c>
      <c r="AF49" s="329">
        <f t="shared" si="50"/>
        <v>0</v>
      </c>
      <c r="AG49" s="329">
        <f t="shared" si="50"/>
        <v>0</v>
      </c>
      <c r="AH49" s="329">
        <f t="shared" si="50"/>
        <v>0</v>
      </c>
      <c r="AI49" s="329">
        <f t="shared" si="50"/>
        <v>0</v>
      </c>
      <c r="AJ49" s="329">
        <f t="shared" si="50"/>
        <v>0</v>
      </c>
      <c r="AK49" s="329">
        <f t="shared" si="50"/>
        <v>0</v>
      </c>
      <c r="AL49" s="329">
        <f t="shared" si="50"/>
        <v>0</v>
      </c>
      <c r="AM49" s="329">
        <f t="shared" si="50"/>
        <v>0</v>
      </c>
      <c r="AN49" s="329">
        <f t="shared" si="50"/>
        <v>0</v>
      </c>
      <c r="AO49" s="329">
        <f t="shared" si="50"/>
        <v>0</v>
      </c>
      <c r="AP49" s="329">
        <f t="shared" si="50"/>
        <v>0</v>
      </c>
      <c r="AQ49" s="329">
        <f t="shared" si="50"/>
        <v>0</v>
      </c>
      <c r="AR49" s="329">
        <f t="shared" si="50"/>
        <v>0</v>
      </c>
      <c r="AS49" s="329">
        <f t="shared" si="50"/>
        <v>0</v>
      </c>
      <c r="AT49" s="329">
        <f t="shared" si="50"/>
        <v>0</v>
      </c>
      <c r="AU49" s="329">
        <f t="shared" si="50"/>
        <v>0</v>
      </c>
      <c r="AV49" s="329">
        <f t="shared" si="50"/>
        <v>0</v>
      </c>
      <c r="AW49" s="329">
        <f t="shared" si="50"/>
        <v>0</v>
      </c>
      <c r="AX49" s="329">
        <f t="shared" si="50"/>
        <v>0</v>
      </c>
      <c r="AY49" s="329">
        <f t="shared" si="50"/>
        <v>0</v>
      </c>
      <c r="AZ49" s="329">
        <f t="shared" si="50"/>
        <v>0</v>
      </c>
      <c r="BA49" s="329">
        <f t="shared" si="50"/>
        <v>0</v>
      </c>
      <c r="BB49" s="329">
        <f t="shared" si="50"/>
        <v>0</v>
      </c>
      <c r="BC49" s="329">
        <f t="shared" si="50"/>
        <v>0</v>
      </c>
      <c r="BD49" s="329">
        <f t="shared" si="50"/>
        <v>0</v>
      </c>
      <c r="BE49" s="329">
        <f t="shared" si="50"/>
        <v>0</v>
      </c>
      <c r="BF49" s="329">
        <f t="shared" si="50"/>
        <v>0</v>
      </c>
      <c r="BG49" s="329">
        <f t="shared" si="50"/>
        <v>0</v>
      </c>
      <c r="BH49" s="329">
        <f t="shared" si="50"/>
        <v>0</v>
      </c>
      <c r="BI49" s="329">
        <f t="shared" si="50"/>
        <v>0</v>
      </c>
      <c r="BJ49" s="329">
        <f t="shared" si="50"/>
        <v>0</v>
      </c>
      <c r="BK49" s="329">
        <f t="shared" si="50"/>
        <v>0</v>
      </c>
      <c r="BL49" s="329">
        <f t="shared" si="50"/>
        <v>0</v>
      </c>
      <c r="BM49" s="329">
        <f t="shared" si="50"/>
        <v>0</v>
      </c>
      <c r="BN49" s="329">
        <f t="shared" si="50"/>
        <v>0</v>
      </c>
      <c r="BO49" s="329">
        <f t="shared" si="50"/>
        <v>0</v>
      </c>
      <c r="BP49" s="329">
        <f t="shared" si="50"/>
        <v>0</v>
      </c>
      <c r="BQ49" s="329">
        <f t="shared" si="50"/>
        <v>0</v>
      </c>
      <c r="BR49" s="329">
        <f t="shared" si="50"/>
        <v>0</v>
      </c>
      <c r="BS49" s="329">
        <f t="shared" si="50"/>
        <v>0</v>
      </c>
      <c r="BT49" s="329">
        <f t="shared" si="50"/>
        <v>0</v>
      </c>
      <c r="BU49" s="329">
        <f t="shared" si="50"/>
        <v>0</v>
      </c>
      <c r="BV49" s="329">
        <f t="shared" si="50"/>
        <v>0</v>
      </c>
      <c r="BW49" s="329">
        <f t="shared" si="50"/>
        <v>0</v>
      </c>
      <c r="BX49" s="329">
        <f t="shared" si="50"/>
        <v>0</v>
      </c>
      <c r="BY49" s="329">
        <f t="shared" si="50"/>
        <v>0</v>
      </c>
      <c r="BZ49" s="329">
        <f t="shared" si="50"/>
        <v>0</v>
      </c>
      <c r="CA49" s="329">
        <f t="shared" si="50"/>
        <v>0</v>
      </c>
      <c r="CB49" s="329">
        <f t="shared" si="50"/>
        <v>0</v>
      </c>
      <c r="CC49" s="329">
        <f t="shared" si="50"/>
        <v>0</v>
      </c>
      <c r="CD49" s="329">
        <f t="shared" si="50"/>
        <v>0</v>
      </c>
      <c r="CE49" s="329">
        <f t="shared" si="50"/>
        <v>0</v>
      </c>
      <c r="CF49" s="329">
        <f t="shared" si="50"/>
        <v>0</v>
      </c>
      <c r="CG49" s="329">
        <f t="shared" si="50"/>
        <v>0</v>
      </c>
      <c r="CH49" s="329">
        <f t="shared" si="50"/>
        <v>0</v>
      </c>
      <c r="CI49" s="329">
        <f t="shared" si="50"/>
        <v>0</v>
      </c>
      <c r="CJ49" s="329">
        <f t="shared" si="50"/>
        <v>0</v>
      </c>
      <c r="CK49" s="510" t="s">
        <v>623</v>
      </c>
    </row>
    <row r="50" spans="2:89" s="333" customFormat="1" ht="15" hidden="1" customHeight="1">
      <c r="B50" s="295"/>
      <c r="C50" s="300" t="s">
        <v>32</v>
      </c>
      <c r="D50" s="311" t="s">
        <v>33</v>
      </c>
      <c r="E50" s="337">
        <f>G50</f>
        <v>0</v>
      </c>
      <c r="F50" s="365">
        <v>241872.00000000003</v>
      </c>
      <c r="G50" s="325">
        <f>SUM(H50:XFD50)</f>
        <v>0</v>
      </c>
      <c r="H50" s="340">
        <f>H48*H49</f>
        <v>0</v>
      </c>
      <c r="I50" s="340">
        <f t="shared" ref="I50:AA50" si="51">I48*I49</f>
        <v>0</v>
      </c>
      <c r="J50" s="340">
        <f t="shared" si="51"/>
        <v>0</v>
      </c>
      <c r="K50" s="340">
        <f t="shared" si="51"/>
        <v>0</v>
      </c>
      <c r="L50" s="340">
        <f t="shared" si="51"/>
        <v>0</v>
      </c>
      <c r="M50" s="340">
        <f t="shared" si="51"/>
        <v>0</v>
      </c>
      <c r="N50" s="340">
        <f t="shared" si="51"/>
        <v>0</v>
      </c>
      <c r="O50" s="340">
        <f t="shared" si="51"/>
        <v>0</v>
      </c>
      <c r="P50" s="340">
        <f t="shared" si="51"/>
        <v>0</v>
      </c>
      <c r="Q50" s="340">
        <f t="shared" si="51"/>
        <v>0</v>
      </c>
      <c r="R50" s="340">
        <f t="shared" si="51"/>
        <v>0</v>
      </c>
      <c r="S50" s="340">
        <f t="shared" si="51"/>
        <v>0</v>
      </c>
      <c r="T50" s="340">
        <f t="shared" si="51"/>
        <v>0</v>
      </c>
      <c r="U50" s="340">
        <f t="shared" si="51"/>
        <v>0</v>
      </c>
      <c r="V50" s="340">
        <f t="shared" si="51"/>
        <v>0</v>
      </c>
      <c r="W50" s="340">
        <f t="shared" si="51"/>
        <v>0</v>
      </c>
      <c r="X50" s="340">
        <f t="shared" si="51"/>
        <v>0</v>
      </c>
      <c r="Y50" s="340">
        <f t="shared" si="51"/>
        <v>0</v>
      </c>
      <c r="Z50" s="340">
        <f t="shared" si="51"/>
        <v>0</v>
      </c>
      <c r="AA50" s="340">
        <f t="shared" si="51"/>
        <v>0</v>
      </c>
      <c r="AB50" s="340">
        <f>AB48*AB49</f>
        <v>0</v>
      </c>
      <c r="AC50" s="340">
        <f>AC48*AC49</f>
        <v>0</v>
      </c>
      <c r="AD50" s="340">
        <f t="shared" ref="AD50:CJ50" si="52">AD48*AD49</f>
        <v>0</v>
      </c>
      <c r="AE50" s="340">
        <f t="shared" si="52"/>
        <v>0</v>
      </c>
      <c r="AF50" s="340">
        <f t="shared" si="52"/>
        <v>0</v>
      </c>
      <c r="AG50" s="340">
        <f t="shared" si="52"/>
        <v>0</v>
      </c>
      <c r="AH50" s="340">
        <f t="shared" si="52"/>
        <v>0</v>
      </c>
      <c r="AI50" s="340">
        <f t="shared" si="52"/>
        <v>0</v>
      </c>
      <c r="AJ50" s="340">
        <f t="shared" si="52"/>
        <v>0</v>
      </c>
      <c r="AK50" s="340">
        <f t="shared" si="52"/>
        <v>0</v>
      </c>
      <c r="AL50" s="340">
        <f t="shared" si="52"/>
        <v>0</v>
      </c>
      <c r="AM50" s="340">
        <f t="shared" si="52"/>
        <v>0</v>
      </c>
      <c r="AN50" s="340">
        <f t="shared" si="52"/>
        <v>0</v>
      </c>
      <c r="AO50" s="340">
        <f t="shared" si="52"/>
        <v>0</v>
      </c>
      <c r="AP50" s="340">
        <f t="shared" si="52"/>
        <v>0</v>
      </c>
      <c r="AQ50" s="340">
        <f t="shared" si="52"/>
        <v>0</v>
      </c>
      <c r="AR50" s="340">
        <f t="shared" si="52"/>
        <v>0</v>
      </c>
      <c r="AS50" s="340">
        <f t="shared" si="52"/>
        <v>0</v>
      </c>
      <c r="AT50" s="340">
        <f t="shared" si="52"/>
        <v>0</v>
      </c>
      <c r="AU50" s="340">
        <f t="shared" si="52"/>
        <v>0</v>
      </c>
      <c r="AV50" s="340">
        <f t="shared" si="52"/>
        <v>0</v>
      </c>
      <c r="AW50" s="340">
        <f t="shared" si="52"/>
        <v>0</v>
      </c>
      <c r="AX50" s="340">
        <f t="shared" si="52"/>
        <v>0</v>
      </c>
      <c r="AY50" s="340">
        <f t="shared" si="52"/>
        <v>0</v>
      </c>
      <c r="AZ50" s="340">
        <f t="shared" si="52"/>
        <v>0</v>
      </c>
      <c r="BA50" s="340">
        <f t="shared" si="52"/>
        <v>0</v>
      </c>
      <c r="BB50" s="340">
        <f t="shared" si="52"/>
        <v>0</v>
      </c>
      <c r="BC50" s="340">
        <f t="shared" si="52"/>
        <v>0</v>
      </c>
      <c r="BD50" s="340">
        <f t="shared" si="52"/>
        <v>0</v>
      </c>
      <c r="BE50" s="340">
        <f t="shared" si="52"/>
        <v>0</v>
      </c>
      <c r="BF50" s="340">
        <f t="shared" si="52"/>
        <v>0</v>
      </c>
      <c r="BG50" s="340">
        <f t="shared" si="52"/>
        <v>0</v>
      </c>
      <c r="BH50" s="340">
        <f t="shared" si="52"/>
        <v>0</v>
      </c>
      <c r="BI50" s="340">
        <f t="shared" si="52"/>
        <v>0</v>
      </c>
      <c r="BJ50" s="340">
        <f t="shared" si="52"/>
        <v>0</v>
      </c>
      <c r="BK50" s="340">
        <f t="shared" si="52"/>
        <v>0</v>
      </c>
      <c r="BL50" s="340">
        <f t="shared" si="52"/>
        <v>0</v>
      </c>
      <c r="BM50" s="340">
        <f t="shared" si="52"/>
        <v>0</v>
      </c>
      <c r="BN50" s="340">
        <f t="shared" si="52"/>
        <v>0</v>
      </c>
      <c r="BO50" s="340">
        <f t="shared" si="52"/>
        <v>0</v>
      </c>
      <c r="BP50" s="340">
        <f t="shared" si="52"/>
        <v>0</v>
      </c>
      <c r="BQ50" s="340">
        <f t="shared" si="52"/>
        <v>0</v>
      </c>
      <c r="BR50" s="340">
        <f t="shared" si="52"/>
        <v>0</v>
      </c>
      <c r="BS50" s="340">
        <f t="shared" si="52"/>
        <v>0</v>
      </c>
      <c r="BT50" s="340">
        <f t="shared" si="52"/>
        <v>0</v>
      </c>
      <c r="BU50" s="340">
        <f t="shared" si="52"/>
        <v>0</v>
      </c>
      <c r="BV50" s="340">
        <f t="shared" si="52"/>
        <v>0</v>
      </c>
      <c r="BW50" s="340">
        <f t="shared" si="52"/>
        <v>0</v>
      </c>
      <c r="BX50" s="340">
        <f t="shared" si="52"/>
        <v>0</v>
      </c>
      <c r="BY50" s="340">
        <f t="shared" si="52"/>
        <v>0</v>
      </c>
      <c r="BZ50" s="340">
        <f t="shared" si="52"/>
        <v>0</v>
      </c>
      <c r="CA50" s="340">
        <f t="shared" si="52"/>
        <v>0</v>
      </c>
      <c r="CB50" s="340">
        <f t="shared" si="52"/>
        <v>0</v>
      </c>
      <c r="CC50" s="340">
        <f t="shared" si="52"/>
        <v>0</v>
      </c>
      <c r="CD50" s="340">
        <f t="shared" si="52"/>
        <v>0</v>
      </c>
      <c r="CE50" s="340">
        <f t="shared" si="52"/>
        <v>0</v>
      </c>
      <c r="CF50" s="340">
        <f t="shared" si="52"/>
        <v>0</v>
      </c>
      <c r="CG50" s="340">
        <f t="shared" si="52"/>
        <v>0</v>
      </c>
      <c r="CH50" s="340">
        <f t="shared" si="52"/>
        <v>0</v>
      </c>
      <c r="CI50" s="340">
        <f t="shared" si="52"/>
        <v>0</v>
      </c>
      <c r="CJ50" s="340">
        <f t="shared" si="52"/>
        <v>0</v>
      </c>
      <c r="CK50" s="510" t="s">
        <v>623</v>
      </c>
    </row>
    <row r="51" spans="2:89" s="333" customFormat="1" ht="15" hidden="1" customHeight="1">
      <c r="B51" s="338"/>
      <c r="C51" s="310" t="s">
        <v>35</v>
      </c>
      <c r="D51" s="339"/>
      <c r="E51" s="337"/>
      <c r="F51" s="365"/>
      <c r="G51" s="334">
        <f>SUM(H51:XFD51)</f>
        <v>0</v>
      </c>
      <c r="H51" s="1363">
        <v>0</v>
      </c>
      <c r="I51" s="335">
        <f>SUM($H$127:H127)*I50+SUM($H$50:I50)*I127</f>
        <v>0</v>
      </c>
      <c r="J51" s="335">
        <f>SUM($H$127:I127)*J50+SUM($H$50:J50)*J127</f>
        <v>0</v>
      </c>
      <c r="K51" s="335">
        <f>SUM($H$127:J127)*K50+SUM($H$50:K50)*K127</f>
        <v>0</v>
      </c>
      <c r="L51" s="335">
        <f>SUM($H$127:K127)*L50+SUM($H$50:L50)*L127</f>
        <v>0</v>
      </c>
      <c r="M51" s="335">
        <f>SUM($H$127:L127)*M50+SUM($H$50:M50)*M127</f>
        <v>0</v>
      </c>
      <c r="N51" s="335">
        <f>SUM($H$127:M127)*N50+SUM($H$50:N50)*N127</f>
        <v>0</v>
      </c>
      <c r="O51" s="335">
        <f>SUM($H$127:N127)*O50+SUM($H$50:O50)*O127</f>
        <v>0</v>
      </c>
      <c r="P51" s="335">
        <f>SUM($H$127:O127)*P50+SUM($H$50:P50)*P127</f>
        <v>0</v>
      </c>
      <c r="Q51" s="335">
        <f>SUM($H$127:P127)*Q50+SUM($H$50:Q50)*Q127</f>
        <v>0</v>
      </c>
      <c r="R51" s="335">
        <f>SUM($H$127:Q127)*R50+SUM($H$50:R50)*R127</f>
        <v>0</v>
      </c>
      <c r="S51" s="335">
        <f>SUM($H$127:R127)*S50+SUM($H$50:S50)*S127</f>
        <v>0</v>
      </c>
      <c r="T51" s="335">
        <f>SUM($H$127:S127)*T50+SUM($H$50:T50)*T127</f>
        <v>0</v>
      </c>
      <c r="U51" s="335">
        <f>SUM($H$127:T127)*U50+SUM($H$50:U50)*U127</f>
        <v>0</v>
      </c>
      <c r="V51" s="335">
        <f>SUM($H$127:U127)*V50+SUM($H$50:V50)*V127</f>
        <v>0</v>
      </c>
      <c r="W51" s="335">
        <f>SUM($H$127:V127)*W50+SUM($H$50:W50)*W127</f>
        <v>0</v>
      </c>
      <c r="X51" s="335">
        <f>SUM($H$127:W127)*X50+SUM($H$50:X50)*X127</f>
        <v>0</v>
      </c>
      <c r="Y51" s="335">
        <f>SUM($H$127:X127)*Y50+SUM($H$50:Y50)*Y127</f>
        <v>0</v>
      </c>
      <c r="Z51" s="335">
        <f>SUM($H$127:Y127)*Z50+SUM($H$50:Z50)*Z127</f>
        <v>0</v>
      </c>
      <c r="AA51" s="335">
        <f>SUM($H$127:Z127)*AA50+SUM($H$50:AA50)*AA127</f>
        <v>0</v>
      </c>
      <c r="AB51" s="335">
        <f>SUM($H$127:AA127)*AB50+SUM($H$50:AB50)*AB127</f>
        <v>0</v>
      </c>
      <c r="AC51" s="335">
        <f>SUM($H$127:AB127)*AC50+SUM($H$50:AC50)*AC127</f>
        <v>0</v>
      </c>
      <c r="AD51" s="335">
        <f>SUM($H$127:AC127)*AD50+SUM($H$50:AD50)*AD127</f>
        <v>0</v>
      </c>
      <c r="AE51" s="335">
        <f>SUM($H$127:AD127)*AE50+SUM($H$50:AE50)*AE127</f>
        <v>0</v>
      </c>
      <c r="AF51" s="335">
        <f>SUM($H$127:AE127)*AF50+SUM($H$50:AF50)*AF127</f>
        <v>0</v>
      </c>
      <c r="AG51" s="335">
        <f>SUM($H$127:AF127)*AG50+SUM($H$50:AG50)*AG127</f>
        <v>0</v>
      </c>
      <c r="AH51" s="335">
        <f>SUM($H$127:AG127)*AH50+SUM($H$50:AH50)*AH127</f>
        <v>0</v>
      </c>
      <c r="AI51" s="335">
        <f>SUM($H$127:AH127)*AI50+SUM($H$50:AI50)*AI127</f>
        <v>0</v>
      </c>
      <c r="AJ51" s="335">
        <f>SUM($H$127:AI127)*AJ50+SUM($H$50:AJ50)*AJ127</f>
        <v>0</v>
      </c>
      <c r="AK51" s="335">
        <f>SUM($H$127:AJ127)*AK50+SUM($H$50:AK50)*AK127</f>
        <v>0</v>
      </c>
      <c r="AL51" s="335">
        <f>SUM($H$127:AK127)*AL50+SUM($H$50:AL50)*AL127</f>
        <v>0</v>
      </c>
      <c r="AM51" s="335">
        <f>SUM($H$127:AL127)*AM50+SUM($H$50:AM50)*AM127</f>
        <v>0</v>
      </c>
      <c r="AN51" s="335">
        <f>SUM($H$127:AM127)*AN50+SUM($H$50:AN50)*AN127</f>
        <v>0</v>
      </c>
      <c r="AO51" s="335">
        <f>SUM($H$127:AN127)*AO50+SUM($H$50:AO50)*AO127</f>
        <v>0</v>
      </c>
      <c r="AP51" s="335">
        <f>SUM($H$127:AO127)*AP50+SUM($H$50:AP50)*AP127</f>
        <v>0</v>
      </c>
      <c r="AQ51" s="335">
        <f>SUM($H$127:AP127)*AQ50+SUM($H$50:AQ50)*AQ127</f>
        <v>0</v>
      </c>
      <c r="AR51" s="335"/>
      <c r="AS51" s="335"/>
      <c r="AT51" s="335"/>
      <c r="AU51" s="335"/>
      <c r="AV51" s="335"/>
      <c r="AW51" s="335"/>
      <c r="AX51" s="335"/>
      <c r="AY51" s="335"/>
      <c r="AZ51" s="335"/>
      <c r="BA51" s="335"/>
      <c r="BB51" s="335"/>
      <c r="BC51" s="335"/>
      <c r="BD51" s="335"/>
      <c r="BE51" s="335"/>
      <c r="BF51" s="335"/>
      <c r="BG51" s="335"/>
      <c r="BH51" s="335"/>
      <c r="BI51" s="335"/>
      <c r="BJ51" s="335"/>
      <c r="BK51" s="335"/>
      <c r="BL51" s="335"/>
      <c r="BM51" s="335"/>
      <c r="BN51" s="335"/>
      <c r="BO51" s="335"/>
      <c r="BP51" s="335"/>
      <c r="BQ51" s="335"/>
      <c r="BR51" s="335"/>
      <c r="BS51" s="335"/>
      <c r="BT51" s="335"/>
      <c r="BU51" s="335"/>
      <c r="BV51" s="335"/>
      <c r="BW51" s="335"/>
      <c r="BX51" s="335"/>
      <c r="BY51" s="335"/>
      <c r="BZ51" s="335"/>
      <c r="CA51" s="335"/>
      <c r="CB51" s="335"/>
      <c r="CC51" s="335"/>
      <c r="CD51" s="335"/>
      <c r="CE51" s="335"/>
      <c r="CF51" s="335"/>
      <c r="CG51" s="335"/>
      <c r="CH51" s="335"/>
      <c r="CI51" s="335"/>
      <c r="CJ51" s="335"/>
      <c r="CK51" s="510" t="s">
        <v>623</v>
      </c>
    </row>
    <row r="52" spans="2:89" s="333" customFormat="1" ht="15" customHeight="1">
      <c r="B52" s="726">
        <v>8</v>
      </c>
      <c r="C52" s="717">
        <f>+'2.Tien do'!C72</f>
        <v>0</v>
      </c>
      <c r="D52" s="717"/>
      <c r="E52" s="719"/>
      <c r="F52" s="719"/>
      <c r="G52" s="725"/>
      <c r="H52" s="721"/>
      <c r="I52" s="721"/>
      <c r="J52" s="722"/>
      <c r="K52" s="722"/>
      <c r="L52" s="722"/>
      <c r="M52" s="722"/>
      <c r="N52" s="722"/>
      <c r="O52" s="722"/>
      <c r="P52" s="722"/>
      <c r="Q52" s="722"/>
      <c r="R52" s="723"/>
      <c r="S52" s="723"/>
      <c r="T52" s="724"/>
      <c r="U52" s="722"/>
      <c r="V52" s="722"/>
      <c r="W52" s="723"/>
      <c r="X52" s="724"/>
      <c r="Y52" s="722"/>
      <c r="Z52" s="722"/>
      <c r="AA52" s="722"/>
      <c r="AB52" s="722"/>
      <c r="AC52" s="722"/>
      <c r="AD52" s="722"/>
      <c r="AE52" s="722"/>
      <c r="AF52" s="722"/>
      <c r="AG52" s="722"/>
      <c r="AH52" s="722"/>
      <c r="AI52" s="722"/>
      <c r="AJ52" s="722"/>
      <c r="AK52" s="722"/>
      <c r="AL52" s="722"/>
      <c r="AM52" s="722"/>
      <c r="AN52" s="722"/>
      <c r="AO52" s="722"/>
      <c r="AP52" s="722"/>
      <c r="AQ52" s="722"/>
      <c r="AR52" s="722"/>
      <c r="AS52" s="722"/>
      <c r="AT52" s="722"/>
      <c r="AU52" s="722"/>
      <c r="AV52" s="722"/>
      <c r="AW52" s="722"/>
      <c r="AX52" s="722"/>
      <c r="AY52" s="722"/>
      <c r="AZ52" s="722"/>
      <c r="BA52" s="722"/>
      <c r="BB52" s="722"/>
      <c r="BC52" s="722"/>
      <c r="BD52" s="722"/>
      <c r="BE52" s="722"/>
      <c r="BF52" s="722"/>
      <c r="BG52" s="722"/>
      <c r="BH52" s="722"/>
      <c r="BI52" s="722"/>
      <c r="BJ52" s="722"/>
      <c r="BK52" s="722"/>
      <c r="BL52" s="722"/>
      <c r="BM52" s="722"/>
      <c r="BN52" s="722"/>
      <c r="BO52" s="722"/>
      <c r="BP52" s="722"/>
      <c r="BQ52" s="722"/>
      <c r="BR52" s="722"/>
      <c r="BS52" s="722"/>
      <c r="BT52" s="722"/>
      <c r="BU52" s="722"/>
      <c r="BV52" s="722"/>
      <c r="BW52" s="722"/>
      <c r="BX52" s="722"/>
      <c r="BY52" s="722"/>
      <c r="BZ52" s="722"/>
      <c r="CA52" s="722"/>
      <c r="CB52" s="722"/>
      <c r="CC52" s="722"/>
      <c r="CD52" s="722"/>
      <c r="CE52" s="722"/>
      <c r="CF52" s="722"/>
      <c r="CG52" s="722"/>
      <c r="CH52" s="722"/>
      <c r="CI52" s="722"/>
      <c r="CJ52" s="722"/>
      <c r="CK52" s="510" t="s">
        <v>623</v>
      </c>
    </row>
    <row r="53" spans="2:89" s="333" customFormat="1" ht="15" hidden="1" customHeight="1">
      <c r="B53" s="295"/>
      <c r="C53" s="296" t="s">
        <v>137</v>
      </c>
      <c r="D53" s="297" t="s">
        <v>3</v>
      </c>
      <c r="E53" s="298"/>
      <c r="F53" s="359"/>
      <c r="G53" s="322"/>
      <c r="H53" s="323">
        <f>'2.Tien do'!E72</f>
        <v>0</v>
      </c>
      <c r="I53" s="323">
        <f>'2.Tien do'!F72</f>
        <v>0</v>
      </c>
      <c r="J53" s="323">
        <f>'2.Tien do'!G72</f>
        <v>0</v>
      </c>
      <c r="K53" s="323">
        <f>'2.Tien do'!H72</f>
        <v>0</v>
      </c>
      <c r="L53" s="323">
        <f>'2.Tien do'!I72</f>
        <v>0</v>
      </c>
      <c r="M53" s="323">
        <f>'2.Tien do'!J72</f>
        <v>0</v>
      </c>
      <c r="N53" s="323">
        <f>'2.Tien do'!K72</f>
        <v>0</v>
      </c>
      <c r="O53" s="323">
        <f>'2.Tien do'!L72</f>
        <v>0</v>
      </c>
      <c r="P53" s="323">
        <f>'2.Tien do'!M72</f>
        <v>0</v>
      </c>
      <c r="Q53" s="323">
        <f>'2.Tien do'!N72</f>
        <v>0</v>
      </c>
      <c r="R53" s="323">
        <f>'2.Tien do'!O72</f>
        <v>0</v>
      </c>
      <c r="S53" s="323">
        <f>'2.Tien do'!P72</f>
        <v>0</v>
      </c>
      <c r="T53" s="323">
        <f>'2.Tien do'!Q72</f>
        <v>0</v>
      </c>
      <c r="U53" s="323">
        <f>'2.Tien do'!R72</f>
        <v>0</v>
      </c>
      <c r="V53" s="323">
        <f>'2.Tien do'!S72</f>
        <v>0</v>
      </c>
      <c r="W53" s="323">
        <f>'2.Tien do'!T72</f>
        <v>0</v>
      </c>
      <c r="X53" s="323">
        <f>'2.Tien do'!U72</f>
        <v>0</v>
      </c>
      <c r="Y53" s="323">
        <f>'2.Tien do'!V72</f>
        <v>0</v>
      </c>
      <c r="Z53" s="323">
        <f>'2.Tien do'!W72</f>
        <v>0</v>
      </c>
      <c r="AA53" s="323">
        <f>'2.Tien do'!X72</f>
        <v>0</v>
      </c>
      <c r="AB53" s="323">
        <f>'2.Tien do'!Y72</f>
        <v>0</v>
      </c>
      <c r="AC53" s="323">
        <f>'2.Tien do'!Z72</f>
        <v>0</v>
      </c>
      <c r="AD53" s="323">
        <f>'2.Tien do'!AA72</f>
        <v>0</v>
      </c>
      <c r="AE53" s="323">
        <f>'2.Tien do'!AB72</f>
        <v>0</v>
      </c>
      <c r="AF53" s="323">
        <f>'2.Tien do'!AC72</f>
        <v>0</v>
      </c>
      <c r="AG53" s="323">
        <f>'2.Tien do'!AD72</f>
        <v>0</v>
      </c>
      <c r="AH53" s="323">
        <f>'2.Tien do'!AE72</f>
        <v>0</v>
      </c>
      <c r="AI53" s="323">
        <f>'2.Tien do'!AF72</f>
        <v>0</v>
      </c>
      <c r="AJ53" s="323">
        <f>'2.Tien do'!AG72</f>
        <v>0</v>
      </c>
      <c r="AK53" s="323">
        <f>'2.Tien do'!AH72</f>
        <v>0</v>
      </c>
      <c r="AL53" s="323">
        <f>'2.Tien do'!AI72</f>
        <v>0</v>
      </c>
      <c r="AM53" s="323">
        <f>'2.Tien do'!AJ72</f>
        <v>0</v>
      </c>
      <c r="AN53" s="323">
        <f>'2.Tien do'!AK72</f>
        <v>0</v>
      </c>
      <c r="AO53" s="323">
        <f>'2.Tien do'!AL72</f>
        <v>0</v>
      </c>
      <c r="AP53" s="323">
        <f>'2.Tien do'!AM72</f>
        <v>0</v>
      </c>
      <c r="AQ53" s="323">
        <f>'2.Tien do'!AN72</f>
        <v>0</v>
      </c>
      <c r="AR53" s="323">
        <f>'2.Tien do'!AO72</f>
        <v>0</v>
      </c>
      <c r="AS53" s="323">
        <f>'2.Tien do'!AP72</f>
        <v>0</v>
      </c>
      <c r="AT53" s="323">
        <f>'2.Tien do'!AQ72</f>
        <v>0</v>
      </c>
      <c r="AU53" s="323">
        <f>'2.Tien do'!AR72</f>
        <v>0</v>
      </c>
      <c r="AV53" s="323">
        <f>'2.Tien do'!AS72</f>
        <v>0</v>
      </c>
      <c r="AW53" s="323">
        <f>'2.Tien do'!AT72</f>
        <v>0</v>
      </c>
      <c r="AX53" s="323">
        <f>'2.Tien do'!AU72</f>
        <v>0</v>
      </c>
      <c r="AY53" s="323">
        <f>'2.Tien do'!AV72</f>
        <v>0</v>
      </c>
      <c r="AZ53" s="323">
        <f>'2.Tien do'!AW72</f>
        <v>0</v>
      </c>
      <c r="BA53" s="323">
        <f>'2.Tien do'!AX72</f>
        <v>0</v>
      </c>
      <c r="BB53" s="323">
        <f>'2.Tien do'!AY72</f>
        <v>0</v>
      </c>
      <c r="BC53" s="323">
        <f>'2.Tien do'!AZ72</f>
        <v>0</v>
      </c>
      <c r="BD53" s="323">
        <f>'2.Tien do'!BA72</f>
        <v>0</v>
      </c>
      <c r="BE53" s="323">
        <f>'2.Tien do'!BB72</f>
        <v>0</v>
      </c>
      <c r="BF53" s="323">
        <f>'2.Tien do'!BC72</f>
        <v>0</v>
      </c>
      <c r="BG53" s="323">
        <f>'2.Tien do'!BD72</f>
        <v>0</v>
      </c>
      <c r="BH53" s="323">
        <f>'2.Tien do'!BE72</f>
        <v>0</v>
      </c>
      <c r="BI53" s="323">
        <f>'2.Tien do'!BF72</f>
        <v>0</v>
      </c>
      <c r="BJ53" s="323">
        <f>'2.Tien do'!BG72</f>
        <v>0</v>
      </c>
      <c r="BK53" s="323">
        <f>'2.Tien do'!BH72</f>
        <v>0</v>
      </c>
      <c r="BL53" s="323">
        <f>'2.Tien do'!BI72</f>
        <v>0</v>
      </c>
      <c r="BM53" s="323">
        <f>'2.Tien do'!BJ72</f>
        <v>0</v>
      </c>
      <c r="BN53" s="323">
        <f>'2.Tien do'!BK72</f>
        <v>0</v>
      </c>
      <c r="BO53" s="323">
        <f>'2.Tien do'!BL72</f>
        <v>0</v>
      </c>
      <c r="BP53" s="323">
        <f>'2.Tien do'!BM72</f>
        <v>0</v>
      </c>
      <c r="BQ53" s="323">
        <f>'2.Tien do'!BN72</f>
        <v>0</v>
      </c>
      <c r="BR53" s="323">
        <f>'2.Tien do'!BO72</f>
        <v>0</v>
      </c>
      <c r="BS53" s="323">
        <f>'2.Tien do'!BP72</f>
        <v>0</v>
      </c>
      <c r="BT53" s="323">
        <f>'2.Tien do'!BQ72</f>
        <v>0</v>
      </c>
      <c r="BU53" s="323">
        <f>'2.Tien do'!BR72</f>
        <v>0</v>
      </c>
      <c r="BV53" s="323">
        <f>'2.Tien do'!BS72</f>
        <v>0</v>
      </c>
      <c r="BW53" s="323">
        <f>'2.Tien do'!BT72</f>
        <v>0</v>
      </c>
      <c r="BX53" s="323">
        <f>'2.Tien do'!BU72</f>
        <v>0</v>
      </c>
      <c r="BY53" s="323">
        <f>'2.Tien do'!BV72</f>
        <v>0</v>
      </c>
      <c r="BZ53" s="323">
        <f>'2.Tien do'!BW72</f>
        <v>0</v>
      </c>
      <c r="CA53" s="323">
        <f>'2.Tien do'!BX72</f>
        <v>0</v>
      </c>
      <c r="CB53" s="323">
        <f>'2.Tien do'!BY72</f>
        <v>0</v>
      </c>
      <c r="CC53" s="323">
        <f>'2.Tien do'!BZ72</f>
        <v>0</v>
      </c>
      <c r="CD53" s="323">
        <f>'2.Tien do'!CA72</f>
        <v>0</v>
      </c>
      <c r="CE53" s="323">
        <f>'2.Tien do'!CB72</f>
        <v>0</v>
      </c>
      <c r="CF53" s="323">
        <f>'2.Tien do'!CC72</f>
        <v>0</v>
      </c>
      <c r="CG53" s="323">
        <f>'2.Tien do'!CD72</f>
        <v>0</v>
      </c>
      <c r="CH53" s="323">
        <f>'2.Tien do'!CE72</f>
        <v>0</v>
      </c>
      <c r="CI53" s="323">
        <f>'2.Tien do'!CF72</f>
        <v>0</v>
      </c>
      <c r="CJ53" s="323">
        <f>'2.Tien do'!CG72</f>
        <v>0</v>
      </c>
      <c r="CK53" s="510" t="s">
        <v>623</v>
      </c>
    </row>
    <row r="54" spans="2:89" s="333" customFormat="1" ht="15" hidden="1" customHeight="1">
      <c r="B54" s="295"/>
      <c r="C54" s="300" t="s">
        <v>68</v>
      </c>
      <c r="D54" s="336" t="s">
        <v>31</v>
      </c>
      <c r="E54" s="302">
        <f>+'1. thong tin quy hoach'!J39</f>
        <v>0</v>
      </c>
      <c r="F54" s="360">
        <v>4031.2000000000003</v>
      </c>
      <c r="G54" s="325">
        <f>SUM(H54:AA54)</f>
        <v>0</v>
      </c>
      <c r="H54" s="326">
        <f t="shared" ref="H54:AA54" si="53">$E54*H53</f>
        <v>0</v>
      </c>
      <c r="I54" s="326">
        <f t="shared" si="53"/>
        <v>0</v>
      </c>
      <c r="J54" s="326">
        <f t="shared" si="53"/>
        <v>0</v>
      </c>
      <c r="K54" s="326">
        <f t="shared" si="53"/>
        <v>0</v>
      </c>
      <c r="L54" s="326">
        <f t="shared" si="53"/>
        <v>0</v>
      </c>
      <c r="M54" s="326">
        <f t="shared" si="53"/>
        <v>0</v>
      </c>
      <c r="N54" s="326">
        <f t="shared" si="53"/>
        <v>0</v>
      </c>
      <c r="O54" s="326">
        <f t="shared" si="53"/>
        <v>0</v>
      </c>
      <c r="P54" s="326">
        <f t="shared" si="53"/>
        <v>0</v>
      </c>
      <c r="Q54" s="326">
        <f t="shared" si="53"/>
        <v>0</v>
      </c>
      <c r="R54" s="326">
        <f t="shared" si="53"/>
        <v>0</v>
      </c>
      <c r="S54" s="326">
        <f t="shared" si="53"/>
        <v>0</v>
      </c>
      <c r="T54" s="326">
        <f t="shared" si="53"/>
        <v>0</v>
      </c>
      <c r="U54" s="326">
        <f t="shared" si="53"/>
        <v>0</v>
      </c>
      <c r="V54" s="326">
        <f t="shared" si="53"/>
        <v>0</v>
      </c>
      <c r="W54" s="326">
        <f t="shared" si="53"/>
        <v>0</v>
      </c>
      <c r="X54" s="326">
        <f t="shared" si="53"/>
        <v>0</v>
      </c>
      <c r="Y54" s="326">
        <f t="shared" si="53"/>
        <v>0</v>
      </c>
      <c r="Z54" s="326">
        <f t="shared" si="53"/>
        <v>0</v>
      </c>
      <c r="AA54" s="326">
        <f t="shared" si="53"/>
        <v>0</v>
      </c>
      <c r="AB54" s="326">
        <f>$E54*AB53</f>
        <v>0</v>
      </c>
      <c r="AC54" s="326">
        <f>$E54*AC53</f>
        <v>0</v>
      </c>
      <c r="AD54" s="326">
        <f t="shared" ref="AD54:CJ54" si="54">$E54*AD53</f>
        <v>0</v>
      </c>
      <c r="AE54" s="326">
        <f t="shared" si="54"/>
        <v>0</v>
      </c>
      <c r="AF54" s="326">
        <f t="shared" si="54"/>
        <v>0</v>
      </c>
      <c r="AG54" s="326">
        <f t="shared" si="54"/>
        <v>0</v>
      </c>
      <c r="AH54" s="326">
        <f t="shared" si="54"/>
        <v>0</v>
      </c>
      <c r="AI54" s="326">
        <f t="shared" si="54"/>
        <v>0</v>
      </c>
      <c r="AJ54" s="326">
        <f t="shared" si="54"/>
        <v>0</v>
      </c>
      <c r="AK54" s="326">
        <f t="shared" si="54"/>
        <v>0</v>
      </c>
      <c r="AL54" s="326">
        <f t="shared" si="54"/>
        <v>0</v>
      </c>
      <c r="AM54" s="326">
        <f t="shared" si="54"/>
        <v>0</v>
      </c>
      <c r="AN54" s="326">
        <f t="shared" si="54"/>
        <v>0</v>
      </c>
      <c r="AO54" s="326">
        <f t="shared" si="54"/>
        <v>0</v>
      </c>
      <c r="AP54" s="326">
        <f t="shared" si="54"/>
        <v>0</v>
      </c>
      <c r="AQ54" s="326">
        <f t="shared" si="54"/>
        <v>0</v>
      </c>
      <c r="AR54" s="326">
        <f t="shared" si="54"/>
        <v>0</v>
      </c>
      <c r="AS54" s="326">
        <f t="shared" si="54"/>
        <v>0</v>
      </c>
      <c r="AT54" s="326">
        <f t="shared" si="54"/>
        <v>0</v>
      </c>
      <c r="AU54" s="326">
        <f t="shared" si="54"/>
        <v>0</v>
      </c>
      <c r="AV54" s="326">
        <f t="shared" si="54"/>
        <v>0</v>
      </c>
      <c r="AW54" s="326">
        <f t="shared" si="54"/>
        <v>0</v>
      </c>
      <c r="AX54" s="326">
        <f t="shared" si="54"/>
        <v>0</v>
      </c>
      <c r="AY54" s="326">
        <f t="shared" si="54"/>
        <v>0</v>
      </c>
      <c r="AZ54" s="326">
        <f t="shared" si="54"/>
        <v>0</v>
      </c>
      <c r="BA54" s="326">
        <f t="shared" si="54"/>
        <v>0</v>
      </c>
      <c r="BB54" s="326">
        <f t="shared" si="54"/>
        <v>0</v>
      </c>
      <c r="BC54" s="326">
        <f t="shared" si="54"/>
        <v>0</v>
      </c>
      <c r="BD54" s="326">
        <f t="shared" si="54"/>
        <v>0</v>
      </c>
      <c r="BE54" s="326">
        <f t="shared" si="54"/>
        <v>0</v>
      </c>
      <c r="BF54" s="326">
        <f t="shared" si="54"/>
        <v>0</v>
      </c>
      <c r="BG54" s="326">
        <f t="shared" si="54"/>
        <v>0</v>
      </c>
      <c r="BH54" s="326">
        <f t="shared" si="54"/>
        <v>0</v>
      </c>
      <c r="BI54" s="326">
        <f t="shared" si="54"/>
        <v>0</v>
      </c>
      <c r="BJ54" s="326">
        <f t="shared" si="54"/>
        <v>0</v>
      </c>
      <c r="BK54" s="326">
        <f t="shared" si="54"/>
        <v>0</v>
      </c>
      <c r="BL54" s="326">
        <f t="shared" si="54"/>
        <v>0</v>
      </c>
      <c r="BM54" s="326">
        <f t="shared" si="54"/>
        <v>0</v>
      </c>
      <c r="BN54" s="326">
        <f t="shared" si="54"/>
        <v>0</v>
      </c>
      <c r="BO54" s="326">
        <f t="shared" si="54"/>
        <v>0</v>
      </c>
      <c r="BP54" s="326">
        <f t="shared" si="54"/>
        <v>0</v>
      </c>
      <c r="BQ54" s="326">
        <f t="shared" si="54"/>
        <v>0</v>
      </c>
      <c r="BR54" s="326">
        <f t="shared" si="54"/>
        <v>0</v>
      </c>
      <c r="BS54" s="326">
        <f t="shared" si="54"/>
        <v>0</v>
      </c>
      <c r="BT54" s="326">
        <f t="shared" si="54"/>
        <v>0</v>
      </c>
      <c r="BU54" s="326">
        <f t="shared" si="54"/>
        <v>0</v>
      </c>
      <c r="BV54" s="326">
        <f t="shared" si="54"/>
        <v>0</v>
      </c>
      <c r="BW54" s="326">
        <f t="shared" si="54"/>
        <v>0</v>
      </c>
      <c r="BX54" s="326">
        <f t="shared" si="54"/>
        <v>0</v>
      </c>
      <c r="BY54" s="326">
        <f t="shared" si="54"/>
        <v>0</v>
      </c>
      <c r="BZ54" s="326">
        <f t="shared" si="54"/>
        <v>0</v>
      </c>
      <c r="CA54" s="326">
        <f t="shared" si="54"/>
        <v>0</v>
      </c>
      <c r="CB54" s="326">
        <f t="shared" si="54"/>
        <v>0</v>
      </c>
      <c r="CC54" s="326">
        <f t="shared" si="54"/>
        <v>0</v>
      </c>
      <c r="CD54" s="326">
        <f t="shared" si="54"/>
        <v>0</v>
      </c>
      <c r="CE54" s="326">
        <f t="shared" si="54"/>
        <v>0</v>
      </c>
      <c r="CF54" s="326">
        <f t="shared" si="54"/>
        <v>0</v>
      </c>
      <c r="CG54" s="326">
        <f t="shared" si="54"/>
        <v>0</v>
      </c>
      <c r="CH54" s="326">
        <f t="shared" si="54"/>
        <v>0</v>
      </c>
      <c r="CI54" s="326">
        <f t="shared" si="54"/>
        <v>0</v>
      </c>
      <c r="CJ54" s="326">
        <f t="shared" si="54"/>
        <v>0</v>
      </c>
      <c r="CK54" s="510" t="s">
        <v>623</v>
      </c>
    </row>
    <row r="55" spans="2:89" s="333" customFormat="1" ht="15" hidden="1" customHeight="1">
      <c r="B55" s="295"/>
      <c r="C55" s="304" t="s">
        <v>30</v>
      </c>
      <c r="D55" s="305" t="s">
        <v>33</v>
      </c>
      <c r="E55" s="306">
        <f>+'8.ĐO NHAY'!C12</f>
        <v>80</v>
      </c>
      <c r="F55" s="361">
        <v>60</v>
      </c>
      <c r="G55" s="328"/>
      <c r="H55" s="329">
        <f t="shared" ref="H55:AA55" si="55">IF(H54&gt;0,$E55,0)</f>
        <v>0</v>
      </c>
      <c r="I55" s="329">
        <f t="shared" si="55"/>
        <v>0</v>
      </c>
      <c r="J55" s="329">
        <f t="shared" si="55"/>
        <v>0</v>
      </c>
      <c r="K55" s="329">
        <f t="shared" si="55"/>
        <v>0</v>
      </c>
      <c r="L55" s="329">
        <f t="shared" si="55"/>
        <v>0</v>
      </c>
      <c r="M55" s="329">
        <f t="shared" si="55"/>
        <v>0</v>
      </c>
      <c r="N55" s="329">
        <f t="shared" si="55"/>
        <v>0</v>
      </c>
      <c r="O55" s="329">
        <f t="shared" si="55"/>
        <v>0</v>
      </c>
      <c r="P55" s="329">
        <f t="shared" si="55"/>
        <v>0</v>
      </c>
      <c r="Q55" s="329">
        <f t="shared" si="55"/>
        <v>0</v>
      </c>
      <c r="R55" s="329">
        <f t="shared" si="55"/>
        <v>0</v>
      </c>
      <c r="S55" s="329">
        <f t="shared" si="55"/>
        <v>0</v>
      </c>
      <c r="T55" s="329">
        <f t="shared" si="55"/>
        <v>0</v>
      </c>
      <c r="U55" s="329">
        <f t="shared" si="55"/>
        <v>0</v>
      </c>
      <c r="V55" s="329">
        <f t="shared" si="55"/>
        <v>0</v>
      </c>
      <c r="W55" s="329">
        <f t="shared" si="55"/>
        <v>0</v>
      </c>
      <c r="X55" s="329">
        <f t="shared" si="55"/>
        <v>0</v>
      </c>
      <c r="Y55" s="329">
        <f t="shared" si="55"/>
        <v>0</v>
      </c>
      <c r="Z55" s="329">
        <f t="shared" si="55"/>
        <v>0</v>
      </c>
      <c r="AA55" s="329">
        <f t="shared" si="55"/>
        <v>0</v>
      </c>
      <c r="AB55" s="329">
        <f>IF(AB54&gt;0,$E55,0)</f>
        <v>0</v>
      </c>
      <c r="AC55" s="329">
        <f>IF(AC54&gt;0,$E55,0)</f>
        <v>0</v>
      </c>
      <c r="AD55" s="329">
        <f t="shared" ref="AD55:CJ55" si="56">IF(AD54&gt;0,$E55,0)</f>
        <v>0</v>
      </c>
      <c r="AE55" s="329">
        <f t="shared" si="56"/>
        <v>0</v>
      </c>
      <c r="AF55" s="329">
        <f t="shared" si="56"/>
        <v>0</v>
      </c>
      <c r="AG55" s="329">
        <f t="shared" si="56"/>
        <v>0</v>
      </c>
      <c r="AH55" s="329">
        <f t="shared" si="56"/>
        <v>0</v>
      </c>
      <c r="AI55" s="329">
        <f t="shared" si="56"/>
        <v>0</v>
      </c>
      <c r="AJ55" s="329">
        <f t="shared" si="56"/>
        <v>0</v>
      </c>
      <c r="AK55" s="329">
        <f t="shared" si="56"/>
        <v>0</v>
      </c>
      <c r="AL55" s="329">
        <f t="shared" si="56"/>
        <v>0</v>
      </c>
      <c r="AM55" s="329">
        <f t="shared" si="56"/>
        <v>0</v>
      </c>
      <c r="AN55" s="329">
        <f t="shared" si="56"/>
        <v>0</v>
      </c>
      <c r="AO55" s="329">
        <f t="shared" si="56"/>
        <v>0</v>
      </c>
      <c r="AP55" s="329">
        <f t="shared" si="56"/>
        <v>0</v>
      </c>
      <c r="AQ55" s="329">
        <f t="shared" si="56"/>
        <v>0</v>
      </c>
      <c r="AR55" s="329">
        <f t="shared" si="56"/>
        <v>0</v>
      </c>
      <c r="AS55" s="329">
        <f t="shared" si="56"/>
        <v>0</v>
      </c>
      <c r="AT55" s="329">
        <f t="shared" si="56"/>
        <v>0</v>
      </c>
      <c r="AU55" s="329">
        <f t="shared" si="56"/>
        <v>0</v>
      </c>
      <c r="AV55" s="329">
        <f t="shared" si="56"/>
        <v>0</v>
      </c>
      <c r="AW55" s="329">
        <f t="shared" si="56"/>
        <v>0</v>
      </c>
      <c r="AX55" s="329">
        <f t="shared" si="56"/>
        <v>0</v>
      </c>
      <c r="AY55" s="329">
        <f t="shared" si="56"/>
        <v>0</v>
      </c>
      <c r="AZ55" s="329">
        <f t="shared" si="56"/>
        <v>0</v>
      </c>
      <c r="BA55" s="329">
        <f t="shared" si="56"/>
        <v>0</v>
      </c>
      <c r="BB55" s="329">
        <f t="shared" si="56"/>
        <v>0</v>
      </c>
      <c r="BC55" s="329">
        <f t="shared" si="56"/>
        <v>0</v>
      </c>
      <c r="BD55" s="329">
        <f t="shared" si="56"/>
        <v>0</v>
      </c>
      <c r="BE55" s="329">
        <f t="shared" si="56"/>
        <v>0</v>
      </c>
      <c r="BF55" s="329">
        <f t="shared" si="56"/>
        <v>0</v>
      </c>
      <c r="BG55" s="329">
        <f t="shared" si="56"/>
        <v>0</v>
      </c>
      <c r="BH55" s="329">
        <f t="shared" si="56"/>
        <v>0</v>
      </c>
      <c r="BI55" s="329">
        <f t="shared" si="56"/>
        <v>0</v>
      </c>
      <c r="BJ55" s="329">
        <f t="shared" si="56"/>
        <v>0</v>
      </c>
      <c r="BK55" s="329">
        <f t="shared" si="56"/>
        <v>0</v>
      </c>
      <c r="BL55" s="329">
        <f t="shared" si="56"/>
        <v>0</v>
      </c>
      <c r="BM55" s="329">
        <f t="shared" si="56"/>
        <v>0</v>
      </c>
      <c r="BN55" s="329">
        <f t="shared" si="56"/>
        <v>0</v>
      </c>
      <c r="BO55" s="329">
        <f t="shared" si="56"/>
        <v>0</v>
      </c>
      <c r="BP55" s="329">
        <f t="shared" si="56"/>
        <v>0</v>
      </c>
      <c r="BQ55" s="329">
        <f t="shared" si="56"/>
        <v>0</v>
      </c>
      <c r="BR55" s="329">
        <f t="shared" si="56"/>
        <v>0</v>
      </c>
      <c r="BS55" s="329">
        <f t="shared" si="56"/>
        <v>0</v>
      </c>
      <c r="BT55" s="329">
        <f t="shared" si="56"/>
        <v>0</v>
      </c>
      <c r="BU55" s="329">
        <f t="shared" si="56"/>
        <v>0</v>
      </c>
      <c r="BV55" s="329">
        <f t="shared" si="56"/>
        <v>0</v>
      </c>
      <c r="BW55" s="329">
        <f t="shared" si="56"/>
        <v>0</v>
      </c>
      <c r="BX55" s="329">
        <f t="shared" si="56"/>
        <v>0</v>
      </c>
      <c r="BY55" s="329">
        <f t="shared" si="56"/>
        <v>0</v>
      </c>
      <c r="BZ55" s="329">
        <f t="shared" si="56"/>
        <v>0</v>
      </c>
      <c r="CA55" s="329">
        <f t="shared" si="56"/>
        <v>0</v>
      </c>
      <c r="CB55" s="329">
        <f t="shared" si="56"/>
        <v>0</v>
      </c>
      <c r="CC55" s="329">
        <f t="shared" si="56"/>
        <v>0</v>
      </c>
      <c r="CD55" s="329">
        <f t="shared" si="56"/>
        <v>0</v>
      </c>
      <c r="CE55" s="329">
        <f t="shared" si="56"/>
        <v>0</v>
      </c>
      <c r="CF55" s="329">
        <f t="shared" si="56"/>
        <v>0</v>
      </c>
      <c r="CG55" s="329">
        <f t="shared" si="56"/>
        <v>0</v>
      </c>
      <c r="CH55" s="329">
        <f t="shared" si="56"/>
        <v>0</v>
      </c>
      <c r="CI55" s="329">
        <f t="shared" si="56"/>
        <v>0</v>
      </c>
      <c r="CJ55" s="329">
        <f t="shared" si="56"/>
        <v>0</v>
      </c>
      <c r="CK55" s="510" t="s">
        <v>623</v>
      </c>
    </row>
    <row r="56" spans="2:89" s="333" customFormat="1" ht="15" hidden="1" customHeight="1">
      <c r="B56" s="295"/>
      <c r="C56" s="300" t="s">
        <v>32</v>
      </c>
      <c r="D56" s="311" t="s">
        <v>33</v>
      </c>
      <c r="E56" s="337">
        <f>G56</f>
        <v>0</v>
      </c>
      <c r="F56" s="365">
        <v>241872.00000000003</v>
      </c>
      <c r="G56" s="325">
        <f>SUM(H56:XFD56)</f>
        <v>0</v>
      </c>
      <c r="H56" s="340">
        <f>H54*H55</f>
        <v>0</v>
      </c>
      <c r="I56" s="340">
        <f t="shared" ref="I56:AA56" si="57">I54*I55</f>
        <v>0</v>
      </c>
      <c r="J56" s="340">
        <f t="shared" si="57"/>
        <v>0</v>
      </c>
      <c r="K56" s="340">
        <f t="shared" si="57"/>
        <v>0</v>
      </c>
      <c r="L56" s="340">
        <f t="shared" si="57"/>
        <v>0</v>
      </c>
      <c r="M56" s="340">
        <f t="shared" si="57"/>
        <v>0</v>
      </c>
      <c r="N56" s="340">
        <f t="shared" si="57"/>
        <v>0</v>
      </c>
      <c r="O56" s="340">
        <f t="shared" si="57"/>
        <v>0</v>
      </c>
      <c r="P56" s="340">
        <f t="shared" si="57"/>
        <v>0</v>
      </c>
      <c r="Q56" s="340">
        <f t="shared" si="57"/>
        <v>0</v>
      </c>
      <c r="R56" s="340">
        <f t="shared" si="57"/>
        <v>0</v>
      </c>
      <c r="S56" s="340">
        <f t="shared" si="57"/>
        <v>0</v>
      </c>
      <c r="T56" s="340">
        <f t="shared" si="57"/>
        <v>0</v>
      </c>
      <c r="U56" s="340">
        <f t="shared" si="57"/>
        <v>0</v>
      </c>
      <c r="V56" s="340">
        <f t="shared" si="57"/>
        <v>0</v>
      </c>
      <c r="W56" s="340">
        <f t="shared" si="57"/>
        <v>0</v>
      </c>
      <c r="X56" s="340">
        <f t="shared" si="57"/>
        <v>0</v>
      </c>
      <c r="Y56" s="340">
        <f t="shared" si="57"/>
        <v>0</v>
      </c>
      <c r="Z56" s="340">
        <f t="shared" si="57"/>
        <v>0</v>
      </c>
      <c r="AA56" s="340">
        <f t="shared" si="57"/>
        <v>0</v>
      </c>
      <c r="AB56" s="340">
        <f>AB54*AB55</f>
        <v>0</v>
      </c>
      <c r="AC56" s="340">
        <f>AC54*AC55</f>
        <v>0</v>
      </c>
      <c r="AD56" s="340">
        <f t="shared" ref="AD56:CJ56" si="58">AD54*AD55</f>
        <v>0</v>
      </c>
      <c r="AE56" s="340">
        <f t="shared" si="58"/>
        <v>0</v>
      </c>
      <c r="AF56" s="340">
        <f t="shared" si="58"/>
        <v>0</v>
      </c>
      <c r="AG56" s="340">
        <f t="shared" si="58"/>
        <v>0</v>
      </c>
      <c r="AH56" s="340">
        <f t="shared" si="58"/>
        <v>0</v>
      </c>
      <c r="AI56" s="340">
        <f t="shared" si="58"/>
        <v>0</v>
      </c>
      <c r="AJ56" s="340">
        <f t="shared" si="58"/>
        <v>0</v>
      </c>
      <c r="AK56" s="340">
        <f t="shared" si="58"/>
        <v>0</v>
      </c>
      <c r="AL56" s="340">
        <f t="shared" si="58"/>
        <v>0</v>
      </c>
      <c r="AM56" s="340">
        <f t="shared" si="58"/>
        <v>0</v>
      </c>
      <c r="AN56" s="340">
        <f t="shared" si="58"/>
        <v>0</v>
      </c>
      <c r="AO56" s="340">
        <f t="shared" si="58"/>
        <v>0</v>
      </c>
      <c r="AP56" s="340">
        <f t="shared" si="58"/>
        <v>0</v>
      </c>
      <c r="AQ56" s="340">
        <f t="shared" si="58"/>
        <v>0</v>
      </c>
      <c r="AR56" s="340">
        <f t="shared" si="58"/>
        <v>0</v>
      </c>
      <c r="AS56" s="340">
        <f t="shared" si="58"/>
        <v>0</v>
      </c>
      <c r="AT56" s="340">
        <f t="shared" si="58"/>
        <v>0</v>
      </c>
      <c r="AU56" s="340">
        <f t="shared" si="58"/>
        <v>0</v>
      </c>
      <c r="AV56" s="340">
        <f t="shared" si="58"/>
        <v>0</v>
      </c>
      <c r="AW56" s="340">
        <f t="shared" si="58"/>
        <v>0</v>
      </c>
      <c r="AX56" s="340">
        <f t="shared" si="58"/>
        <v>0</v>
      </c>
      <c r="AY56" s="340">
        <f t="shared" si="58"/>
        <v>0</v>
      </c>
      <c r="AZ56" s="340">
        <f t="shared" si="58"/>
        <v>0</v>
      </c>
      <c r="BA56" s="340">
        <f t="shared" si="58"/>
        <v>0</v>
      </c>
      <c r="BB56" s="340">
        <f t="shared" si="58"/>
        <v>0</v>
      </c>
      <c r="BC56" s="340">
        <f t="shared" si="58"/>
        <v>0</v>
      </c>
      <c r="BD56" s="340">
        <f t="shared" si="58"/>
        <v>0</v>
      </c>
      <c r="BE56" s="340">
        <f t="shared" si="58"/>
        <v>0</v>
      </c>
      <c r="BF56" s="340">
        <f t="shared" si="58"/>
        <v>0</v>
      </c>
      <c r="BG56" s="340">
        <f t="shared" si="58"/>
        <v>0</v>
      </c>
      <c r="BH56" s="340">
        <f t="shared" si="58"/>
        <v>0</v>
      </c>
      <c r="BI56" s="340">
        <f t="shared" si="58"/>
        <v>0</v>
      </c>
      <c r="BJ56" s="340">
        <f t="shared" si="58"/>
        <v>0</v>
      </c>
      <c r="BK56" s="340">
        <f t="shared" si="58"/>
        <v>0</v>
      </c>
      <c r="BL56" s="340">
        <f t="shared" si="58"/>
        <v>0</v>
      </c>
      <c r="BM56" s="340">
        <f t="shared" si="58"/>
        <v>0</v>
      </c>
      <c r="BN56" s="340">
        <f t="shared" si="58"/>
        <v>0</v>
      </c>
      <c r="BO56" s="340">
        <f t="shared" si="58"/>
        <v>0</v>
      </c>
      <c r="BP56" s="340">
        <f t="shared" si="58"/>
        <v>0</v>
      </c>
      <c r="BQ56" s="340">
        <f t="shared" si="58"/>
        <v>0</v>
      </c>
      <c r="BR56" s="340">
        <f t="shared" si="58"/>
        <v>0</v>
      </c>
      <c r="BS56" s="340">
        <f t="shared" si="58"/>
        <v>0</v>
      </c>
      <c r="BT56" s="340">
        <f t="shared" si="58"/>
        <v>0</v>
      </c>
      <c r="BU56" s="340">
        <f t="shared" si="58"/>
        <v>0</v>
      </c>
      <c r="BV56" s="340">
        <f t="shared" si="58"/>
        <v>0</v>
      </c>
      <c r="BW56" s="340">
        <f t="shared" si="58"/>
        <v>0</v>
      </c>
      <c r="BX56" s="340">
        <f t="shared" si="58"/>
        <v>0</v>
      </c>
      <c r="BY56" s="340">
        <f t="shared" si="58"/>
        <v>0</v>
      </c>
      <c r="BZ56" s="340">
        <f t="shared" si="58"/>
        <v>0</v>
      </c>
      <c r="CA56" s="340">
        <f t="shared" si="58"/>
        <v>0</v>
      </c>
      <c r="CB56" s="340">
        <f t="shared" si="58"/>
        <v>0</v>
      </c>
      <c r="CC56" s="340">
        <f t="shared" si="58"/>
        <v>0</v>
      </c>
      <c r="CD56" s="340">
        <f t="shared" si="58"/>
        <v>0</v>
      </c>
      <c r="CE56" s="340">
        <f t="shared" si="58"/>
        <v>0</v>
      </c>
      <c r="CF56" s="340">
        <f t="shared" si="58"/>
        <v>0</v>
      </c>
      <c r="CG56" s="340">
        <f t="shared" si="58"/>
        <v>0</v>
      </c>
      <c r="CH56" s="340">
        <f t="shared" si="58"/>
        <v>0</v>
      </c>
      <c r="CI56" s="340">
        <f t="shared" si="58"/>
        <v>0</v>
      </c>
      <c r="CJ56" s="340">
        <f t="shared" si="58"/>
        <v>0</v>
      </c>
      <c r="CK56" s="510" t="s">
        <v>623</v>
      </c>
    </row>
    <row r="57" spans="2:89" s="333" customFormat="1" ht="15" hidden="1" customHeight="1">
      <c r="B57" s="338"/>
      <c r="C57" s="310" t="s">
        <v>35</v>
      </c>
      <c r="D57" s="339"/>
      <c r="E57" s="337"/>
      <c r="F57" s="365"/>
      <c r="G57" s="334">
        <f>SUM(H57:XFD57)</f>
        <v>0</v>
      </c>
      <c r="H57" s="1363">
        <v>0</v>
      </c>
      <c r="I57" s="335">
        <f>SUM($H$128:H128)*I56+SUM($H$56:I56)*I128</f>
        <v>0</v>
      </c>
      <c r="J57" s="335">
        <f>SUM($H$128:I128)*J56+SUM($H$56:J56)*J128</f>
        <v>0</v>
      </c>
      <c r="K57" s="335">
        <f>SUM($H$128:J128)*K56+SUM($H$56:K56)*K128</f>
        <v>0</v>
      </c>
      <c r="L57" s="335">
        <f>SUM($H$128:K128)*L56+SUM($H$56:L56)*L128</f>
        <v>0</v>
      </c>
      <c r="M57" s="335">
        <f>SUM($H$128:L128)*M56+SUM($H$56:M56)*M128</f>
        <v>0</v>
      </c>
      <c r="N57" s="335">
        <f>SUM($H$128:M128)*N56+SUM($H$56:N56)*N128</f>
        <v>0</v>
      </c>
      <c r="O57" s="335">
        <f>SUM($H$128:N128)*O56+SUM($H$56:O56)*O128</f>
        <v>0</v>
      </c>
      <c r="P57" s="335">
        <f>SUM($H$128:O128)*P56+SUM($H$56:P56)*P128</f>
        <v>0</v>
      </c>
      <c r="Q57" s="335">
        <f>SUM($H$128:P128)*Q56+SUM($H$56:Q56)*Q128</f>
        <v>0</v>
      </c>
      <c r="R57" s="335">
        <f>SUM($H$128:Q128)*R56+SUM($H$56:R56)*R128</f>
        <v>0</v>
      </c>
      <c r="S57" s="335">
        <f>SUM($H$128:R128)*S56+SUM($H$56:S56)*S128</f>
        <v>0</v>
      </c>
      <c r="T57" s="335">
        <f>SUM($H$128:S128)*T56+SUM($H$56:T56)*T128</f>
        <v>0</v>
      </c>
      <c r="U57" s="335">
        <f>SUM($H$128:T128)*U56+SUM($H$56:U56)*U128</f>
        <v>0</v>
      </c>
      <c r="V57" s="335">
        <f>SUM($H$128:U128)*V56+SUM($H$56:V56)*V128</f>
        <v>0</v>
      </c>
      <c r="W57" s="335">
        <f>SUM($H$128:V128)*W56+SUM($H$56:W56)*W128</f>
        <v>0</v>
      </c>
      <c r="X57" s="335">
        <f>SUM($H$128:W128)*X56+SUM($H$56:X56)*X128</f>
        <v>0</v>
      </c>
      <c r="Y57" s="335">
        <f>SUM($H$128:X128)*Y56+SUM($H$56:Y56)*Y128</f>
        <v>0</v>
      </c>
      <c r="Z57" s="335">
        <f>SUM($H$128:Y128)*Z56+SUM($H$56:Z56)*Z128</f>
        <v>0</v>
      </c>
      <c r="AA57" s="335">
        <f>SUM($H$128:Z128)*AA56+SUM($H$56:AA56)*AA128</f>
        <v>0</v>
      </c>
      <c r="AB57" s="335">
        <f>SUM($H$128:AA128)*AB56+SUM($H$56:AB56)*AB128</f>
        <v>0</v>
      </c>
      <c r="AC57" s="335">
        <f>SUM($H$128:AB128)*AC56+SUM($H$56:AC56)*AC128</f>
        <v>0</v>
      </c>
      <c r="AD57" s="335">
        <f>SUM($H$128:AC128)*AD56+SUM($H$56:AD56)*AD128</f>
        <v>0</v>
      </c>
      <c r="AE57" s="335">
        <f>SUM($H$128:AD128)*AE56+SUM($H$56:AE56)*AE128</f>
        <v>0</v>
      </c>
      <c r="AF57" s="335">
        <f>SUM($H$128:AE128)*AF56+SUM($H$56:AF56)*AF128</f>
        <v>0</v>
      </c>
      <c r="AG57" s="335">
        <f>SUM($H$128:AF128)*AG56+SUM($H$56:AG56)*AG128</f>
        <v>0</v>
      </c>
      <c r="AH57" s="335">
        <f>SUM($H$128:AG128)*AH56+SUM($H$56:AH56)*AH128</f>
        <v>0</v>
      </c>
      <c r="AI57" s="335">
        <f>SUM($H$128:AH128)*AI56+SUM($H$56:AI56)*AI128</f>
        <v>0</v>
      </c>
      <c r="AJ57" s="335">
        <f>SUM($H$128:AI128)*AJ56+SUM($H$56:AJ56)*AJ128</f>
        <v>0</v>
      </c>
      <c r="AK57" s="335">
        <f>SUM($H$128:AJ128)*AK56+SUM($H$56:AK56)*AK128</f>
        <v>0</v>
      </c>
      <c r="AL57" s="335">
        <f>SUM($H$128:AK128)*AL56+SUM($H$56:AL56)*AL128</f>
        <v>0</v>
      </c>
      <c r="AM57" s="335">
        <f>SUM($H$128:AL128)*AM56+SUM($H$56:AM56)*AM128</f>
        <v>0</v>
      </c>
      <c r="AN57" s="335">
        <f>SUM($H$128:AM128)*AN56+SUM($H$56:AN56)*AN128</f>
        <v>0</v>
      </c>
      <c r="AO57" s="335">
        <f>SUM($H$128:AN128)*AO56+SUM($H$56:AO56)*AO128</f>
        <v>0</v>
      </c>
      <c r="AP57" s="335">
        <f>SUM($H$128:AO128)*AP56+SUM($H$56:AP56)*AP128</f>
        <v>0</v>
      </c>
      <c r="AQ57" s="335">
        <f>SUM($H$128:AP128)*AQ56+SUM($H$56:AQ56)*AQ128</f>
        <v>0</v>
      </c>
      <c r="AR57" s="335"/>
      <c r="AS57" s="335"/>
      <c r="AT57" s="335"/>
      <c r="AU57" s="335"/>
      <c r="AV57" s="335"/>
      <c r="AW57" s="335"/>
      <c r="AX57" s="335"/>
      <c r="AY57" s="335"/>
      <c r="AZ57" s="335"/>
      <c r="BA57" s="335"/>
      <c r="BB57" s="335"/>
      <c r="BC57" s="335"/>
      <c r="BD57" s="335"/>
      <c r="BE57" s="335"/>
      <c r="BF57" s="335"/>
      <c r="BG57" s="335"/>
      <c r="BH57" s="335"/>
      <c r="BI57" s="335"/>
      <c r="BJ57" s="335"/>
      <c r="BK57" s="335"/>
      <c r="BL57" s="335"/>
      <c r="BM57" s="335"/>
      <c r="BN57" s="335"/>
      <c r="BO57" s="335"/>
      <c r="BP57" s="335"/>
      <c r="BQ57" s="335"/>
      <c r="BR57" s="335"/>
      <c r="BS57" s="335"/>
      <c r="BT57" s="335"/>
      <c r="BU57" s="335"/>
      <c r="BV57" s="335"/>
      <c r="BW57" s="335"/>
      <c r="BX57" s="335"/>
      <c r="BY57" s="335"/>
      <c r="BZ57" s="335"/>
      <c r="CA57" s="335"/>
      <c r="CB57" s="335"/>
      <c r="CC57" s="335"/>
      <c r="CD57" s="335"/>
      <c r="CE57" s="335"/>
      <c r="CF57" s="335"/>
      <c r="CG57" s="335"/>
      <c r="CH57" s="335"/>
      <c r="CI57" s="335"/>
      <c r="CJ57" s="335"/>
      <c r="CK57" s="510" t="s">
        <v>623</v>
      </c>
    </row>
    <row r="58" spans="2:89" s="333" customFormat="1" ht="15" customHeight="1">
      <c r="B58" s="726">
        <v>9</v>
      </c>
      <c r="C58" s="717">
        <f>+'2.Tien do'!C73</f>
        <v>0</v>
      </c>
      <c r="D58" s="717"/>
      <c r="E58" s="719"/>
      <c r="F58" s="719"/>
      <c r="G58" s="725"/>
      <c r="H58" s="721"/>
      <c r="I58" s="721"/>
      <c r="J58" s="722"/>
      <c r="K58" s="722"/>
      <c r="L58" s="722"/>
      <c r="M58" s="722"/>
      <c r="N58" s="722"/>
      <c r="O58" s="722"/>
      <c r="P58" s="722"/>
      <c r="Q58" s="722"/>
      <c r="R58" s="723"/>
      <c r="S58" s="723"/>
      <c r="T58" s="724"/>
      <c r="U58" s="722"/>
      <c r="V58" s="722"/>
      <c r="W58" s="723"/>
      <c r="X58" s="724"/>
      <c r="Y58" s="722"/>
      <c r="Z58" s="722"/>
      <c r="AA58" s="722"/>
      <c r="AB58" s="722"/>
      <c r="AC58" s="722"/>
      <c r="AD58" s="722"/>
      <c r="AE58" s="722"/>
      <c r="AF58" s="722"/>
      <c r="AG58" s="722"/>
      <c r="AH58" s="722"/>
      <c r="AI58" s="722"/>
      <c r="AJ58" s="722"/>
      <c r="AK58" s="722"/>
      <c r="AL58" s="722"/>
      <c r="AM58" s="722"/>
      <c r="AN58" s="722"/>
      <c r="AO58" s="722"/>
      <c r="AP58" s="722"/>
      <c r="AQ58" s="722"/>
      <c r="AR58" s="722"/>
      <c r="AS58" s="722"/>
      <c r="AT58" s="722"/>
      <c r="AU58" s="722"/>
      <c r="AV58" s="722"/>
      <c r="AW58" s="722"/>
      <c r="AX58" s="722"/>
      <c r="AY58" s="722"/>
      <c r="AZ58" s="722"/>
      <c r="BA58" s="722"/>
      <c r="BB58" s="722"/>
      <c r="BC58" s="722"/>
      <c r="BD58" s="722"/>
      <c r="BE58" s="722"/>
      <c r="BF58" s="722"/>
      <c r="BG58" s="722"/>
      <c r="BH58" s="722"/>
      <c r="BI58" s="722"/>
      <c r="BJ58" s="722"/>
      <c r="BK58" s="722"/>
      <c r="BL58" s="722"/>
      <c r="BM58" s="722"/>
      <c r="BN58" s="722"/>
      <c r="BO58" s="722"/>
      <c r="BP58" s="722"/>
      <c r="BQ58" s="722"/>
      <c r="BR58" s="722"/>
      <c r="BS58" s="722"/>
      <c r="BT58" s="722"/>
      <c r="BU58" s="722"/>
      <c r="BV58" s="722"/>
      <c r="BW58" s="722"/>
      <c r="BX58" s="722"/>
      <c r="BY58" s="722"/>
      <c r="BZ58" s="722"/>
      <c r="CA58" s="722"/>
      <c r="CB58" s="722"/>
      <c r="CC58" s="722"/>
      <c r="CD58" s="722"/>
      <c r="CE58" s="722"/>
      <c r="CF58" s="722"/>
      <c r="CG58" s="722"/>
      <c r="CH58" s="722"/>
      <c r="CI58" s="722"/>
      <c r="CJ58" s="722"/>
      <c r="CK58" s="510" t="s">
        <v>623</v>
      </c>
    </row>
    <row r="59" spans="2:89" s="333" customFormat="1" ht="15" hidden="1" customHeight="1">
      <c r="B59" s="295"/>
      <c r="C59" s="296" t="s">
        <v>137</v>
      </c>
      <c r="D59" s="297" t="s">
        <v>3</v>
      </c>
      <c r="E59" s="298"/>
      <c r="F59" s="359"/>
      <c r="G59" s="322"/>
      <c r="H59" s="323">
        <f>'2.Tien do'!E73</f>
        <v>0</v>
      </c>
      <c r="I59" s="323">
        <f>'2.Tien do'!F73</f>
        <v>0</v>
      </c>
      <c r="J59" s="323">
        <f>'2.Tien do'!G73</f>
        <v>0</v>
      </c>
      <c r="K59" s="323">
        <f>'2.Tien do'!H73</f>
        <v>0</v>
      </c>
      <c r="L59" s="323">
        <f>'2.Tien do'!I73</f>
        <v>0</v>
      </c>
      <c r="M59" s="323">
        <f>'2.Tien do'!J73</f>
        <v>0</v>
      </c>
      <c r="N59" s="323">
        <f>'2.Tien do'!K73</f>
        <v>0</v>
      </c>
      <c r="O59" s="323">
        <f>'2.Tien do'!L73</f>
        <v>0</v>
      </c>
      <c r="P59" s="323">
        <f>'2.Tien do'!M73</f>
        <v>0</v>
      </c>
      <c r="Q59" s="323">
        <f>'2.Tien do'!N73</f>
        <v>0</v>
      </c>
      <c r="R59" s="323">
        <f>'2.Tien do'!O73</f>
        <v>0</v>
      </c>
      <c r="S59" s="323">
        <f>'2.Tien do'!P73</f>
        <v>0</v>
      </c>
      <c r="T59" s="323">
        <f>'2.Tien do'!Q73</f>
        <v>0</v>
      </c>
      <c r="U59" s="323">
        <f>'2.Tien do'!R73</f>
        <v>0</v>
      </c>
      <c r="V59" s="323">
        <f>'2.Tien do'!S73</f>
        <v>0</v>
      </c>
      <c r="W59" s="323">
        <f>'2.Tien do'!T73</f>
        <v>0</v>
      </c>
      <c r="X59" s="323">
        <f>'2.Tien do'!U73</f>
        <v>0</v>
      </c>
      <c r="Y59" s="323">
        <f>'2.Tien do'!V73</f>
        <v>0</v>
      </c>
      <c r="Z59" s="323">
        <f>'2.Tien do'!W73</f>
        <v>0</v>
      </c>
      <c r="AA59" s="323">
        <f>'2.Tien do'!X73</f>
        <v>0</v>
      </c>
      <c r="AB59" s="323">
        <f>'2.Tien do'!Y73</f>
        <v>0</v>
      </c>
      <c r="AC59" s="323">
        <f>'2.Tien do'!Z73</f>
        <v>0</v>
      </c>
      <c r="AD59" s="323">
        <f>'2.Tien do'!AA73</f>
        <v>0</v>
      </c>
      <c r="AE59" s="323">
        <f>'2.Tien do'!AB73</f>
        <v>0</v>
      </c>
      <c r="AF59" s="323">
        <f>'2.Tien do'!AC73</f>
        <v>0</v>
      </c>
      <c r="AG59" s="323">
        <f>'2.Tien do'!AD73</f>
        <v>0</v>
      </c>
      <c r="AH59" s="323">
        <f>'2.Tien do'!AE73</f>
        <v>0</v>
      </c>
      <c r="AI59" s="323">
        <f>'2.Tien do'!AF73</f>
        <v>0</v>
      </c>
      <c r="AJ59" s="323">
        <f>'2.Tien do'!AG73</f>
        <v>0</v>
      </c>
      <c r="AK59" s="323">
        <f>'2.Tien do'!AH73</f>
        <v>0</v>
      </c>
      <c r="AL59" s="323">
        <f>'2.Tien do'!AI73</f>
        <v>0</v>
      </c>
      <c r="AM59" s="323">
        <f>'2.Tien do'!AJ73</f>
        <v>0</v>
      </c>
      <c r="AN59" s="323">
        <f>'2.Tien do'!AK73</f>
        <v>0</v>
      </c>
      <c r="AO59" s="323">
        <f>'2.Tien do'!AL73</f>
        <v>0</v>
      </c>
      <c r="AP59" s="323">
        <f>'2.Tien do'!AM73</f>
        <v>0</v>
      </c>
      <c r="AQ59" s="323">
        <f>'2.Tien do'!AN73</f>
        <v>0</v>
      </c>
      <c r="AR59" s="323">
        <f>'2.Tien do'!AO73</f>
        <v>0</v>
      </c>
      <c r="AS59" s="323">
        <f>'2.Tien do'!AP73</f>
        <v>0</v>
      </c>
      <c r="AT59" s="323">
        <f>'2.Tien do'!AQ73</f>
        <v>0</v>
      </c>
      <c r="AU59" s="323">
        <f>'2.Tien do'!AR73</f>
        <v>0</v>
      </c>
      <c r="AV59" s="323">
        <f>'2.Tien do'!AS73</f>
        <v>0</v>
      </c>
      <c r="AW59" s="323">
        <f>'2.Tien do'!AT73</f>
        <v>0</v>
      </c>
      <c r="AX59" s="323">
        <f>'2.Tien do'!AU73</f>
        <v>0</v>
      </c>
      <c r="AY59" s="323">
        <f>'2.Tien do'!AV73</f>
        <v>0</v>
      </c>
      <c r="AZ59" s="323">
        <f>'2.Tien do'!AW73</f>
        <v>0</v>
      </c>
      <c r="BA59" s="323">
        <f>'2.Tien do'!AX73</f>
        <v>0</v>
      </c>
      <c r="BB59" s="323">
        <f>'2.Tien do'!AY73</f>
        <v>0</v>
      </c>
      <c r="BC59" s="323">
        <f>'2.Tien do'!AZ73</f>
        <v>0</v>
      </c>
      <c r="BD59" s="323">
        <f>'2.Tien do'!BA73</f>
        <v>0</v>
      </c>
      <c r="BE59" s="323">
        <f>'2.Tien do'!BB73</f>
        <v>0</v>
      </c>
      <c r="BF59" s="323">
        <f>'2.Tien do'!BC73</f>
        <v>0</v>
      </c>
      <c r="BG59" s="323">
        <f>'2.Tien do'!BD73</f>
        <v>0</v>
      </c>
      <c r="BH59" s="323">
        <f>'2.Tien do'!BE73</f>
        <v>0</v>
      </c>
      <c r="BI59" s="323">
        <f>'2.Tien do'!BF73</f>
        <v>0</v>
      </c>
      <c r="BJ59" s="323">
        <f>'2.Tien do'!BG73</f>
        <v>0</v>
      </c>
      <c r="BK59" s="323">
        <f>'2.Tien do'!BH73</f>
        <v>0</v>
      </c>
      <c r="BL59" s="323">
        <f>'2.Tien do'!BI73</f>
        <v>0</v>
      </c>
      <c r="BM59" s="323">
        <f>'2.Tien do'!BJ73</f>
        <v>0</v>
      </c>
      <c r="BN59" s="323">
        <f>'2.Tien do'!BK73</f>
        <v>0</v>
      </c>
      <c r="BO59" s="323">
        <f>'2.Tien do'!BL73</f>
        <v>0</v>
      </c>
      <c r="BP59" s="323">
        <f>'2.Tien do'!BM73</f>
        <v>0</v>
      </c>
      <c r="BQ59" s="323">
        <f>'2.Tien do'!BN73</f>
        <v>0</v>
      </c>
      <c r="BR59" s="323">
        <f>'2.Tien do'!BO73</f>
        <v>0</v>
      </c>
      <c r="BS59" s="323">
        <f>'2.Tien do'!BP73</f>
        <v>0</v>
      </c>
      <c r="BT59" s="323">
        <f>'2.Tien do'!BQ73</f>
        <v>0</v>
      </c>
      <c r="BU59" s="323">
        <f>'2.Tien do'!BR73</f>
        <v>0</v>
      </c>
      <c r="BV59" s="323">
        <f>'2.Tien do'!BS73</f>
        <v>0</v>
      </c>
      <c r="BW59" s="323">
        <f>'2.Tien do'!BT73</f>
        <v>0</v>
      </c>
      <c r="BX59" s="323">
        <f>'2.Tien do'!BU73</f>
        <v>0</v>
      </c>
      <c r="BY59" s="323">
        <f>'2.Tien do'!BV73</f>
        <v>0</v>
      </c>
      <c r="BZ59" s="323">
        <f>'2.Tien do'!BW73</f>
        <v>0</v>
      </c>
      <c r="CA59" s="323">
        <f>'2.Tien do'!BX73</f>
        <v>0</v>
      </c>
      <c r="CB59" s="323">
        <f>'2.Tien do'!BY73</f>
        <v>0</v>
      </c>
      <c r="CC59" s="323">
        <f>'2.Tien do'!BZ73</f>
        <v>0</v>
      </c>
      <c r="CD59" s="323">
        <f>'2.Tien do'!CA73</f>
        <v>0</v>
      </c>
      <c r="CE59" s="323">
        <f>'2.Tien do'!CB73</f>
        <v>0</v>
      </c>
      <c r="CF59" s="323">
        <f>'2.Tien do'!CC73</f>
        <v>0</v>
      </c>
      <c r="CG59" s="323">
        <f>'2.Tien do'!CD73</f>
        <v>0</v>
      </c>
      <c r="CH59" s="323">
        <f>'2.Tien do'!CE73</f>
        <v>0</v>
      </c>
      <c r="CI59" s="323">
        <f>'2.Tien do'!CF73</f>
        <v>0</v>
      </c>
      <c r="CJ59" s="323">
        <f>'2.Tien do'!CG73</f>
        <v>0</v>
      </c>
      <c r="CK59" s="510" t="s">
        <v>623</v>
      </c>
    </row>
    <row r="60" spans="2:89" s="333" customFormat="1" ht="15" hidden="1" customHeight="1">
      <c r="B60" s="295"/>
      <c r="C60" s="300" t="s">
        <v>68</v>
      </c>
      <c r="D60" s="336" t="s">
        <v>31</v>
      </c>
      <c r="E60" s="302">
        <f>+'1. thong tin quy hoach'!J40</f>
        <v>0</v>
      </c>
      <c r="F60" s="360">
        <v>4031.2000000000003</v>
      </c>
      <c r="G60" s="325">
        <f>SUM(H60:AA60)</f>
        <v>0</v>
      </c>
      <c r="H60" s="326">
        <f t="shared" ref="H60:AA60" si="59">$E60*H59</f>
        <v>0</v>
      </c>
      <c r="I60" s="326">
        <f t="shared" si="59"/>
        <v>0</v>
      </c>
      <c r="J60" s="326">
        <f t="shared" si="59"/>
        <v>0</v>
      </c>
      <c r="K60" s="326">
        <f t="shared" si="59"/>
        <v>0</v>
      </c>
      <c r="L60" s="326">
        <f t="shared" si="59"/>
        <v>0</v>
      </c>
      <c r="M60" s="326">
        <f t="shared" si="59"/>
        <v>0</v>
      </c>
      <c r="N60" s="326">
        <f t="shared" si="59"/>
        <v>0</v>
      </c>
      <c r="O60" s="326">
        <f t="shared" si="59"/>
        <v>0</v>
      </c>
      <c r="P60" s="326">
        <f t="shared" si="59"/>
        <v>0</v>
      </c>
      <c r="Q60" s="326">
        <f t="shared" si="59"/>
        <v>0</v>
      </c>
      <c r="R60" s="326">
        <f t="shared" si="59"/>
        <v>0</v>
      </c>
      <c r="S60" s="326">
        <f t="shared" si="59"/>
        <v>0</v>
      </c>
      <c r="T60" s="326">
        <f t="shared" si="59"/>
        <v>0</v>
      </c>
      <c r="U60" s="326">
        <f t="shared" si="59"/>
        <v>0</v>
      </c>
      <c r="V60" s="326">
        <f t="shared" si="59"/>
        <v>0</v>
      </c>
      <c r="W60" s="326">
        <f t="shared" si="59"/>
        <v>0</v>
      </c>
      <c r="X60" s="326">
        <f t="shared" si="59"/>
        <v>0</v>
      </c>
      <c r="Y60" s="326">
        <f t="shared" si="59"/>
        <v>0</v>
      </c>
      <c r="Z60" s="326">
        <f t="shared" si="59"/>
        <v>0</v>
      </c>
      <c r="AA60" s="326">
        <f t="shared" si="59"/>
        <v>0</v>
      </c>
      <c r="AB60" s="326">
        <f>$E60*AB59</f>
        <v>0</v>
      </c>
      <c r="AC60" s="326">
        <f>$E60*AC59</f>
        <v>0</v>
      </c>
      <c r="AD60" s="326">
        <f t="shared" ref="AD60:CJ60" si="60">$E60*AD59</f>
        <v>0</v>
      </c>
      <c r="AE60" s="326">
        <f t="shared" si="60"/>
        <v>0</v>
      </c>
      <c r="AF60" s="326">
        <f t="shared" si="60"/>
        <v>0</v>
      </c>
      <c r="AG60" s="326">
        <f t="shared" si="60"/>
        <v>0</v>
      </c>
      <c r="AH60" s="326">
        <f t="shared" si="60"/>
        <v>0</v>
      </c>
      <c r="AI60" s="326">
        <f t="shared" si="60"/>
        <v>0</v>
      </c>
      <c r="AJ60" s="326">
        <f t="shared" si="60"/>
        <v>0</v>
      </c>
      <c r="AK60" s="326">
        <f t="shared" si="60"/>
        <v>0</v>
      </c>
      <c r="AL60" s="326">
        <f t="shared" si="60"/>
        <v>0</v>
      </c>
      <c r="AM60" s="326">
        <f t="shared" si="60"/>
        <v>0</v>
      </c>
      <c r="AN60" s="326">
        <f t="shared" si="60"/>
        <v>0</v>
      </c>
      <c r="AO60" s="326">
        <f t="shared" si="60"/>
        <v>0</v>
      </c>
      <c r="AP60" s="326">
        <f t="shared" si="60"/>
        <v>0</v>
      </c>
      <c r="AQ60" s="326">
        <f t="shared" si="60"/>
        <v>0</v>
      </c>
      <c r="AR60" s="326">
        <f t="shared" si="60"/>
        <v>0</v>
      </c>
      <c r="AS60" s="326">
        <f t="shared" si="60"/>
        <v>0</v>
      </c>
      <c r="AT60" s="326">
        <f t="shared" si="60"/>
        <v>0</v>
      </c>
      <c r="AU60" s="326">
        <f t="shared" si="60"/>
        <v>0</v>
      </c>
      <c r="AV60" s="326">
        <f t="shared" si="60"/>
        <v>0</v>
      </c>
      <c r="AW60" s="326">
        <f t="shared" si="60"/>
        <v>0</v>
      </c>
      <c r="AX60" s="326">
        <f t="shared" si="60"/>
        <v>0</v>
      </c>
      <c r="AY60" s="326">
        <f t="shared" si="60"/>
        <v>0</v>
      </c>
      <c r="AZ60" s="326">
        <f t="shared" si="60"/>
        <v>0</v>
      </c>
      <c r="BA60" s="326">
        <f t="shared" si="60"/>
        <v>0</v>
      </c>
      <c r="BB60" s="326">
        <f t="shared" si="60"/>
        <v>0</v>
      </c>
      <c r="BC60" s="326">
        <f t="shared" si="60"/>
        <v>0</v>
      </c>
      <c r="BD60" s="326">
        <f t="shared" si="60"/>
        <v>0</v>
      </c>
      <c r="BE60" s="326">
        <f t="shared" si="60"/>
        <v>0</v>
      </c>
      <c r="BF60" s="326">
        <f t="shared" si="60"/>
        <v>0</v>
      </c>
      <c r="BG60" s="326">
        <f t="shared" si="60"/>
        <v>0</v>
      </c>
      <c r="BH60" s="326">
        <f t="shared" si="60"/>
        <v>0</v>
      </c>
      <c r="BI60" s="326">
        <f t="shared" si="60"/>
        <v>0</v>
      </c>
      <c r="BJ60" s="326">
        <f t="shared" si="60"/>
        <v>0</v>
      </c>
      <c r="BK60" s="326">
        <f t="shared" si="60"/>
        <v>0</v>
      </c>
      <c r="BL60" s="326">
        <f t="shared" si="60"/>
        <v>0</v>
      </c>
      <c r="BM60" s="326">
        <f t="shared" si="60"/>
        <v>0</v>
      </c>
      <c r="BN60" s="326">
        <f t="shared" si="60"/>
        <v>0</v>
      </c>
      <c r="BO60" s="326">
        <f t="shared" si="60"/>
        <v>0</v>
      </c>
      <c r="BP60" s="326">
        <f t="shared" si="60"/>
        <v>0</v>
      </c>
      <c r="BQ60" s="326">
        <f t="shared" si="60"/>
        <v>0</v>
      </c>
      <c r="BR60" s="326">
        <f t="shared" si="60"/>
        <v>0</v>
      </c>
      <c r="BS60" s="326">
        <f t="shared" si="60"/>
        <v>0</v>
      </c>
      <c r="BT60" s="326">
        <f t="shared" si="60"/>
        <v>0</v>
      </c>
      <c r="BU60" s="326">
        <f t="shared" si="60"/>
        <v>0</v>
      </c>
      <c r="BV60" s="326">
        <f t="shared" si="60"/>
        <v>0</v>
      </c>
      <c r="BW60" s="326">
        <f t="shared" si="60"/>
        <v>0</v>
      </c>
      <c r="BX60" s="326">
        <f t="shared" si="60"/>
        <v>0</v>
      </c>
      <c r="BY60" s="326">
        <f t="shared" si="60"/>
        <v>0</v>
      </c>
      <c r="BZ60" s="326">
        <f t="shared" si="60"/>
        <v>0</v>
      </c>
      <c r="CA60" s="326">
        <f t="shared" si="60"/>
        <v>0</v>
      </c>
      <c r="CB60" s="326">
        <f t="shared" si="60"/>
        <v>0</v>
      </c>
      <c r="CC60" s="326">
        <f t="shared" si="60"/>
        <v>0</v>
      </c>
      <c r="CD60" s="326">
        <f t="shared" si="60"/>
        <v>0</v>
      </c>
      <c r="CE60" s="326">
        <f t="shared" si="60"/>
        <v>0</v>
      </c>
      <c r="CF60" s="326">
        <f t="shared" si="60"/>
        <v>0</v>
      </c>
      <c r="CG60" s="326">
        <f t="shared" si="60"/>
        <v>0</v>
      </c>
      <c r="CH60" s="326">
        <f t="shared" si="60"/>
        <v>0</v>
      </c>
      <c r="CI60" s="326">
        <f t="shared" si="60"/>
        <v>0</v>
      </c>
      <c r="CJ60" s="326">
        <f t="shared" si="60"/>
        <v>0</v>
      </c>
      <c r="CK60" s="510" t="s">
        <v>623</v>
      </c>
    </row>
    <row r="61" spans="2:89" s="333" customFormat="1" ht="15" hidden="1" customHeight="1">
      <c r="B61" s="295"/>
      <c r="C61" s="304" t="s">
        <v>30</v>
      </c>
      <c r="D61" s="305" t="s">
        <v>33</v>
      </c>
      <c r="E61" s="306">
        <f>+'8.ĐO NHAY'!C13</f>
        <v>0</v>
      </c>
      <c r="F61" s="361">
        <v>60</v>
      </c>
      <c r="G61" s="328"/>
      <c r="H61" s="329">
        <f t="shared" ref="H61:AA61" si="61">IF(H60&gt;0,$E61,0)</f>
        <v>0</v>
      </c>
      <c r="I61" s="329">
        <f t="shared" si="61"/>
        <v>0</v>
      </c>
      <c r="J61" s="329">
        <f t="shared" si="61"/>
        <v>0</v>
      </c>
      <c r="K61" s="329">
        <f t="shared" si="61"/>
        <v>0</v>
      </c>
      <c r="L61" s="329">
        <f t="shared" si="61"/>
        <v>0</v>
      </c>
      <c r="M61" s="329">
        <f t="shared" si="61"/>
        <v>0</v>
      </c>
      <c r="N61" s="329">
        <f t="shared" si="61"/>
        <v>0</v>
      </c>
      <c r="O61" s="329">
        <f t="shared" si="61"/>
        <v>0</v>
      </c>
      <c r="P61" s="329">
        <f t="shared" si="61"/>
        <v>0</v>
      </c>
      <c r="Q61" s="329">
        <f t="shared" si="61"/>
        <v>0</v>
      </c>
      <c r="R61" s="329">
        <f t="shared" si="61"/>
        <v>0</v>
      </c>
      <c r="S61" s="329">
        <f t="shared" si="61"/>
        <v>0</v>
      </c>
      <c r="T61" s="329">
        <f t="shared" si="61"/>
        <v>0</v>
      </c>
      <c r="U61" s="329">
        <f t="shared" si="61"/>
        <v>0</v>
      </c>
      <c r="V61" s="329">
        <f t="shared" si="61"/>
        <v>0</v>
      </c>
      <c r="W61" s="329">
        <f t="shared" si="61"/>
        <v>0</v>
      </c>
      <c r="X61" s="329">
        <f t="shared" si="61"/>
        <v>0</v>
      </c>
      <c r="Y61" s="329">
        <f t="shared" si="61"/>
        <v>0</v>
      </c>
      <c r="Z61" s="329">
        <f t="shared" si="61"/>
        <v>0</v>
      </c>
      <c r="AA61" s="329">
        <f t="shared" si="61"/>
        <v>0</v>
      </c>
      <c r="AB61" s="329">
        <f>IF(AB60&gt;0,$E61,0)</f>
        <v>0</v>
      </c>
      <c r="AC61" s="329">
        <f>IF(AC60&gt;0,$E61,0)</f>
        <v>0</v>
      </c>
      <c r="AD61" s="329">
        <f t="shared" ref="AD61:CJ61" si="62">IF(AD60&gt;0,$E61,0)</f>
        <v>0</v>
      </c>
      <c r="AE61" s="329">
        <f t="shared" si="62"/>
        <v>0</v>
      </c>
      <c r="AF61" s="329">
        <f t="shared" si="62"/>
        <v>0</v>
      </c>
      <c r="AG61" s="329">
        <f t="shared" si="62"/>
        <v>0</v>
      </c>
      <c r="AH61" s="329">
        <f t="shared" si="62"/>
        <v>0</v>
      </c>
      <c r="AI61" s="329">
        <f t="shared" si="62"/>
        <v>0</v>
      </c>
      <c r="AJ61" s="329">
        <f t="shared" si="62"/>
        <v>0</v>
      </c>
      <c r="AK61" s="329">
        <f t="shared" si="62"/>
        <v>0</v>
      </c>
      <c r="AL61" s="329">
        <f t="shared" si="62"/>
        <v>0</v>
      </c>
      <c r="AM61" s="329">
        <f t="shared" si="62"/>
        <v>0</v>
      </c>
      <c r="AN61" s="329">
        <f t="shared" si="62"/>
        <v>0</v>
      </c>
      <c r="AO61" s="329">
        <f t="shared" si="62"/>
        <v>0</v>
      </c>
      <c r="AP61" s="329">
        <f t="shared" si="62"/>
        <v>0</v>
      </c>
      <c r="AQ61" s="329">
        <f t="shared" si="62"/>
        <v>0</v>
      </c>
      <c r="AR61" s="329">
        <f t="shared" si="62"/>
        <v>0</v>
      </c>
      <c r="AS61" s="329">
        <f t="shared" si="62"/>
        <v>0</v>
      </c>
      <c r="AT61" s="329">
        <f t="shared" si="62"/>
        <v>0</v>
      </c>
      <c r="AU61" s="329">
        <f t="shared" si="62"/>
        <v>0</v>
      </c>
      <c r="AV61" s="329">
        <f t="shared" si="62"/>
        <v>0</v>
      </c>
      <c r="AW61" s="329">
        <f t="shared" si="62"/>
        <v>0</v>
      </c>
      <c r="AX61" s="329">
        <f t="shared" si="62"/>
        <v>0</v>
      </c>
      <c r="AY61" s="329">
        <f t="shared" si="62"/>
        <v>0</v>
      </c>
      <c r="AZ61" s="329">
        <f t="shared" si="62"/>
        <v>0</v>
      </c>
      <c r="BA61" s="329">
        <f t="shared" si="62"/>
        <v>0</v>
      </c>
      <c r="BB61" s="329">
        <f t="shared" si="62"/>
        <v>0</v>
      </c>
      <c r="BC61" s="329">
        <f t="shared" si="62"/>
        <v>0</v>
      </c>
      <c r="BD61" s="329">
        <f t="shared" si="62"/>
        <v>0</v>
      </c>
      <c r="BE61" s="329">
        <f t="shared" si="62"/>
        <v>0</v>
      </c>
      <c r="BF61" s="329">
        <f t="shared" si="62"/>
        <v>0</v>
      </c>
      <c r="BG61" s="329">
        <f t="shared" si="62"/>
        <v>0</v>
      </c>
      <c r="BH61" s="329">
        <f t="shared" si="62"/>
        <v>0</v>
      </c>
      <c r="BI61" s="329">
        <f t="shared" si="62"/>
        <v>0</v>
      </c>
      <c r="BJ61" s="329">
        <f t="shared" si="62"/>
        <v>0</v>
      </c>
      <c r="BK61" s="329">
        <f t="shared" si="62"/>
        <v>0</v>
      </c>
      <c r="BL61" s="329">
        <f t="shared" si="62"/>
        <v>0</v>
      </c>
      <c r="BM61" s="329">
        <f t="shared" si="62"/>
        <v>0</v>
      </c>
      <c r="BN61" s="329">
        <f t="shared" si="62"/>
        <v>0</v>
      </c>
      <c r="BO61" s="329">
        <f t="shared" si="62"/>
        <v>0</v>
      </c>
      <c r="BP61" s="329">
        <f t="shared" si="62"/>
        <v>0</v>
      </c>
      <c r="BQ61" s="329">
        <f t="shared" si="62"/>
        <v>0</v>
      </c>
      <c r="BR61" s="329">
        <f t="shared" si="62"/>
        <v>0</v>
      </c>
      <c r="BS61" s="329">
        <f t="shared" si="62"/>
        <v>0</v>
      </c>
      <c r="BT61" s="329">
        <f t="shared" si="62"/>
        <v>0</v>
      </c>
      <c r="BU61" s="329">
        <f t="shared" si="62"/>
        <v>0</v>
      </c>
      <c r="BV61" s="329">
        <f t="shared" si="62"/>
        <v>0</v>
      </c>
      <c r="BW61" s="329">
        <f t="shared" si="62"/>
        <v>0</v>
      </c>
      <c r="BX61" s="329">
        <f t="shared" si="62"/>
        <v>0</v>
      </c>
      <c r="BY61" s="329">
        <f t="shared" si="62"/>
        <v>0</v>
      </c>
      <c r="BZ61" s="329">
        <f t="shared" si="62"/>
        <v>0</v>
      </c>
      <c r="CA61" s="329">
        <f t="shared" si="62"/>
        <v>0</v>
      </c>
      <c r="CB61" s="329">
        <f t="shared" si="62"/>
        <v>0</v>
      </c>
      <c r="CC61" s="329">
        <f t="shared" si="62"/>
        <v>0</v>
      </c>
      <c r="CD61" s="329">
        <f t="shared" si="62"/>
        <v>0</v>
      </c>
      <c r="CE61" s="329">
        <f t="shared" si="62"/>
        <v>0</v>
      </c>
      <c r="CF61" s="329">
        <f t="shared" si="62"/>
        <v>0</v>
      </c>
      <c r="CG61" s="329">
        <f t="shared" si="62"/>
        <v>0</v>
      </c>
      <c r="CH61" s="329">
        <f t="shared" si="62"/>
        <v>0</v>
      </c>
      <c r="CI61" s="329">
        <f t="shared" si="62"/>
        <v>0</v>
      </c>
      <c r="CJ61" s="329">
        <f t="shared" si="62"/>
        <v>0</v>
      </c>
      <c r="CK61" s="510" t="s">
        <v>623</v>
      </c>
    </row>
    <row r="62" spans="2:89" s="333" customFormat="1" ht="15" hidden="1" customHeight="1">
      <c r="B62" s="295"/>
      <c r="C62" s="300" t="s">
        <v>32</v>
      </c>
      <c r="D62" s="311" t="s">
        <v>33</v>
      </c>
      <c r="E62" s="337">
        <f>G62</f>
        <v>0</v>
      </c>
      <c r="F62" s="365">
        <v>241872.00000000003</v>
      </c>
      <c r="G62" s="325">
        <f>SUM(H62:XFD62)</f>
        <v>0</v>
      </c>
      <c r="H62" s="340">
        <f>H60*H61</f>
        <v>0</v>
      </c>
      <c r="I62" s="340">
        <f t="shared" ref="I62:AA62" si="63">I60*I61</f>
        <v>0</v>
      </c>
      <c r="J62" s="340">
        <f t="shared" si="63"/>
        <v>0</v>
      </c>
      <c r="K62" s="340">
        <f t="shared" si="63"/>
        <v>0</v>
      </c>
      <c r="L62" s="340">
        <f t="shared" si="63"/>
        <v>0</v>
      </c>
      <c r="M62" s="340">
        <f t="shared" si="63"/>
        <v>0</v>
      </c>
      <c r="N62" s="340">
        <f t="shared" si="63"/>
        <v>0</v>
      </c>
      <c r="O62" s="340">
        <f t="shared" si="63"/>
        <v>0</v>
      </c>
      <c r="P62" s="340">
        <f t="shared" si="63"/>
        <v>0</v>
      </c>
      <c r="Q62" s="340">
        <f t="shared" si="63"/>
        <v>0</v>
      </c>
      <c r="R62" s="340">
        <f t="shared" si="63"/>
        <v>0</v>
      </c>
      <c r="S62" s="340">
        <f t="shared" si="63"/>
        <v>0</v>
      </c>
      <c r="T62" s="340">
        <f t="shared" si="63"/>
        <v>0</v>
      </c>
      <c r="U62" s="340">
        <f t="shared" si="63"/>
        <v>0</v>
      </c>
      <c r="V62" s="340">
        <f t="shared" si="63"/>
        <v>0</v>
      </c>
      <c r="W62" s="340">
        <f t="shared" si="63"/>
        <v>0</v>
      </c>
      <c r="X62" s="340">
        <f t="shared" si="63"/>
        <v>0</v>
      </c>
      <c r="Y62" s="340">
        <f t="shared" si="63"/>
        <v>0</v>
      </c>
      <c r="Z62" s="340">
        <f t="shared" si="63"/>
        <v>0</v>
      </c>
      <c r="AA62" s="340">
        <f t="shared" si="63"/>
        <v>0</v>
      </c>
      <c r="AB62" s="340">
        <f>AB60*AB61</f>
        <v>0</v>
      </c>
      <c r="AC62" s="340">
        <f>AC60*AC61</f>
        <v>0</v>
      </c>
      <c r="AD62" s="340">
        <f t="shared" ref="AD62:CJ62" si="64">AD60*AD61</f>
        <v>0</v>
      </c>
      <c r="AE62" s="340">
        <f t="shared" si="64"/>
        <v>0</v>
      </c>
      <c r="AF62" s="340">
        <f t="shared" si="64"/>
        <v>0</v>
      </c>
      <c r="AG62" s="340">
        <f t="shared" si="64"/>
        <v>0</v>
      </c>
      <c r="AH62" s="340">
        <f t="shared" si="64"/>
        <v>0</v>
      </c>
      <c r="AI62" s="340">
        <f t="shared" si="64"/>
        <v>0</v>
      </c>
      <c r="AJ62" s="340">
        <f t="shared" si="64"/>
        <v>0</v>
      </c>
      <c r="AK62" s="340">
        <f t="shared" si="64"/>
        <v>0</v>
      </c>
      <c r="AL62" s="340">
        <f t="shared" si="64"/>
        <v>0</v>
      </c>
      <c r="AM62" s="340">
        <f t="shared" si="64"/>
        <v>0</v>
      </c>
      <c r="AN62" s="340">
        <f t="shared" si="64"/>
        <v>0</v>
      </c>
      <c r="AO62" s="340">
        <f t="shared" si="64"/>
        <v>0</v>
      </c>
      <c r="AP62" s="340">
        <f t="shared" si="64"/>
        <v>0</v>
      </c>
      <c r="AQ62" s="340">
        <f t="shared" si="64"/>
        <v>0</v>
      </c>
      <c r="AR62" s="340">
        <f t="shared" si="64"/>
        <v>0</v>
      </c>
      <c r="AS62" s="340">
        <f t="shared" si="64"/>
        <v>0</v>
      </c>
      <c r="AT62" s="340">
        <f t="shared" si="64"/>
        <v>0</v>
      </c>
      <c r="AU62" s="340">
        <f t="shared" si="64"/>
        <v>0</v>
      </c>
      <c r="AV62" s="340">
        <f t="shared" si="64"/>
        <v>0</v>
      </c>
      <c r="AW62" s="340">
        <f t="shared" si="64"/>
        <v>0</v>
      </c>
      <c r="AX62" s="340">
        <f t="shared" si="64"/>
        <v>0</v>
      </c>
      <c r="AY62" s="340">
        <f t="shared" si="64"/>
        <v>0</v>
      </c>
      <c r="AZ62" s="340">
        <f t="shared" si="64"/>
        <v>0</v>
      </c>
      <c r="BA62" s="340">
        <f t="shared" si="64"/>
        <v>0</v>
      </c>
      <c r="BB62" s="340">
        <f t="shared" si="64"/>
        <v>0</v>
      </c>
      <c r="BC62" s="340">
        <f t="shared" si="64"/>
        <v>0</v>
      </c>
      <c r="BD62" s="340">
        <f t="shared" si="64"/>
        <v>0</v>
      </c>
      <c r="BE62" s="340">
        <f t="shared" si="64"/>
        <v>0</v>
      </c>
      <c r="BF62" s="340">
        <f t="shared" si="64"/>
        <v>0</v>
      </c>
      <c r="BG62" s="340">
        <f t="shared" si="64"/>
        <v>0</v>
      </c>
      <c r="BH62" s="340">
        <f t="shared" si="64"/>
        <v>0</v>
      </c>
      <c r="BI62" s="340">
        <f t="shared" si="64"/>
        <v>0</v>
      </c>
      <c r="BJ62" s="340">
        <f t="shared" si="64"/>
        <v>0</v>
      </c>
      <c r="BK62" s="340">
        <f t="shared" si="64"/>
        <v>0</v>
      </c>
      <c r="BL62" s="340">
        <f t="shared" si="64"/>
        <v>0</v>
      </c>
      <c r="BM62" s="340">
        <f t="shared" si="64"/>
        <v>0</v>
      </c>
      <c r="BN62" s="340">
        <f t="shared" si="64"/>
        <v>0</v>
      </c>
      <c r="BO62" s="340">
        <f t="shared" si="64"/>
        <v>0</v>
      </c>
      <c r="BP62" s="340">
        <f t="shared" si="64"/>
        <v>0</v>
      </c>
      <c r="BQ62" s="340">
        <f t="shared" si="64"/>
        <v>0</v>
      </c>
      <c r="BR62" s="340">
        <f t="shared" si="64"/>
        <v>0</v>
      </c>
      <c r="BS62" s="340">
        <f t="shared" si="64"/>
        <v>0</v>
      </c>
      <c r="BT62" s="340">
        <f t="shared" si="64"/>
        <v>0</v>
      </c>
      <c r="BU62" s="340">
        <f t="shared" si="64"/>
        <v>0</v>
      </c>
      <c r="BV62" s="340">
        <f t="shared" si="64"/>
        <v>0</v>
      </c>
      <c r="BW62" s="340">
        <f t="shared" si="64"/>
        <v>0</v>
      </c>
      <c r="BX62" s="340">
        <f t="shared" si="64"/>
        <v>0</v>
      </c>
      <c r="BY62" s="340">
        <f t="shared" si="64"/>
        <v>0</v>
      </c>
      <c r="BZ62" s="340">
        <f t="shared" si="64"/>
        <v>0</v>
      </c>
      <c r="CA62" s="340">
        <f t="shared" si="64"/>
        <v>0</v>
      </c>
      <c r="CB62" s="340">
        <f t="shared" si="64"/>
        <v>0</v>
      </c>
      <c r="CC62" s="340">
        <f t="shared" si="64"/>
        <v>0</v>
      </c>
      <c r="CD62" s="340">
        <f t="shared" si="64"/>
        <v>0</v>
      </c>
      <c r="CE62" s="340">
        <f t="shared" si="64"/>
        <v>0</v>
      </c>
      <c r="CF62" s="340">
        <f t="shared" si="64"/>
        <v>0</v>
      </c>
      <c r="CG62" s="340">
        <f t="shared" si="64"/>
        <v>0</v>
      </c>
      <c r="CH62" s="340">
        <f t="shared" si="64"/>
        <v>0</v>
      </c>
      <c r="CI62" s="340">
        <f t="shared" si="64"/>
        <v>0</v>
      </c>
      <c r="CJ62" s="340">
        <f t="shared" si="64"/>
        <v>0</v>
      </c>
      <c r="CK62" s="510" t="s">
        <v>623</v>
      </c>
    </row>
    <row r="63" spans="2:89" s="333" customFormat="1" ht="15" hidden="1" customHeight="1">
      <c r="B63" s="1516"/>
      <c r="C63" s="310" t="s">
        <v>35</v>
      </c>
      <c r="D63" s="1367"/>
      <c r="E63" s="365"/>
      <c r="F63" s="365"/>
      <c r="G63" s="331">
        <f>SUM(H63:XFD63)</f>
        <v>0</v>
      </c>
      <c r="H63" s="1363">
        <v>0</v>
      </c>
      <c r="I63" s="335">
        <f>SUM($H$129:H129)*I62+SUM($H$62:I62)*I129</f>
        <v>0</v>
      </c>
      <c r="J63" s="335">
        <f>SUM($H$129:I129)*J62+SUM($H$62:J62)*J129</f>
        <v>0</v>
      </c>
      <c r="K63" s="335">
        <f>SUM($H$129:J129)*K62+SUM($H$62:K62)*K129</f>
        <v>0</v>
      </c>
      <c r="L63" s="335">
        <f>SUM($H$129:K129)*L62+SUM($H$62:L62)*L129</f>
        <v>0</v>
      </c>
      <c r="M63" s="335">
        <f>SUM($H$129:L129)*M62+SUM($H$62:M62)*M129</f>
        <v>0</v>
      </c>
      <c r="N63" s="335">
        <f>SUM($H$129:M129)*N62+SUM($H$62:N62)*N129</f>
        <v>0</v>
      </c>
      <c r="O63" s="335">
        <f>SUM($H$129:N129)*O62+SUM($H$62:O62)*O129</f>
        <v>0</v>
      </c>
      <c r="P63" s="335">
        <f>SUM($H$129:O129)*P62+SUM($H$62:P62)*P129</f>
        <v>0</v>
      </c>
      <c r="Q63" s="335">
        <f>SUM($H$129:P129)*Q62+SUM($H$62:Q62)*Q129</f>
        <v>0</v>
      </c>
      <c r="R63" s="335">
        <f>SUM($H$129:Q129)*R62+SUM($H$62:R62)*R129</f>
        <v>0</v>
      </c>
      <c r="S63" s="335">
        <f>SUM($H$129:R129)*S62+SUM($H$62:S62)*S129</f>
        <v>0</v>
      </c>
      <c r="T63" s="335">
        <f>SUM($H$129:S129)*T62+SUM($H$62:T62)*T129</f>
        <v>0</v>
      </c>
      <c r="U63" s="335">
        <f>SUM($H$129:T129)*U62+SUM($H$62:U62)*U129</f>
        <v>0</v>
      </c>
      <c r="V63" s="335">
        <f>SUM($H$129:U129)*V62+SUM($H$62:V62)*V129</f>
        <v>0</v>
      </c>
      <c r="W63" s="335">
        <f>SUM($H$129:V129)*W62+SUM($H$62:W62)*W129</f>
        <v>0</v>
      </c>
      <c r="X63" s="335">
        <f>SUM($H$129:W129)*X62+SUM($H$62:X62)*X129</f>
        <v>0</v>
      </c>
      <c r="Y63" s="335">
        <f>SUM($H$129:X129)*Y62+SUM($H$62:Y62)*Y129</f>
        <v>0</v>
      </c>
      <c r="Z63" s="335">
        <f>SUM($H$129:Y129)*Z62+SUM($H$62:Z62)*Z129</f>
        <v>0</v>
      </c>
      <c r="AA63" s="335">
        <f>SUM($H$129:Z129)*AA62+SUM($H$62:AA62)*AA129</f>
        <v>0</v>
      </c>
      <c r="AB63" s="335">
        <f>SUM($H$129:AA129)*AB62+SUM($H$62:AB62)*AB129</f>
        <v>0</v>
      </c>
      <c r="AC63" s="335">
        <f>SUM($H$129:AB129)*AC62+SUM($H$62:AC62)*AC129</f>
        <v>0</v>
      </c>
      <c r="AD63" s="335">
        <f>SUM($H$129:AC129)*AD62+SUM($H$62:AD62)*AD129</f>
        <v>0</v>
      </c>
      <c r="AE63" s="335">
        <f>SUM($H$129:AD129)*AE62+SUM($H$62:AE62)*AE129</f>
        <v>0</v>
      </c>
      <c r="AF63" s="335">
        <f>SUM($H$129:AE129)*AF62+SUM($H$62:AF62)*AF129</f>
        <v>0</v>
      </c>
      <c r="AG63" s="335">
        <f>SUM($H$129:AF129)*AG62+SUM($H$62:AG62)*AG129</f>
        <v>0</v>
      </c>
      <c r="AH63" s="335">
        <f>SUM($H$129:AG129)*AH62+SUM($H$62:AH62)*AH129</f>
        <v>0</v>
      </c>
      <c r="AI63" s="335">
        <f>SUM($H$129:AH129)*AI62+SUM($H$62:AI62)*AI129</f>
        <v>0</v>
      </c>
      <c r="AJ63" s="335">
        <f>SUM($H$129:AI129)*AJ62+SUM($H$62:AJ62)*AJ129</f>
        <v>0</v>
      </c>
      <c r="AK63" s="335">
        <f>SUM($H$129:AJ129)*AK62+SUM($H$62:AK62)*AK129</f>
        <v>0</v>
      </c>
      <c r="AL63" s="335">
        <f>SUM($H$129:AK129)*AL62+SUM($H$62:AL62)*AL129</f>
        <v>0</v>
      </c>
      <c r="AM63" s="335">
        <f>SUM($H$129:AL129)*AM62+SUM($H$62:AM62)*AM129</f>
        <v>0</v>
      </c>
      <c r="AN63" s="335">
        <f>SUM($H$129:AM129)*AN62+SUM($H$62:AN62)*AN129</f>
        <v>0</v>
      </c>
      <c r="AO63" s="335">
        <f>SUM($H$129:AN129)*AO62+SUM($H$62:AO62)*AO129</f>
        <v>0</v>
      </c>
      <c r="AP63" s="335">
        <f>SUM($H$129:AO129)*AP62+SUM($H$62:AP62)*AP129</f>
        <v>0</v>
      </c>
      <c r="AQ63" s="335">
        <f>SUM($H$129:AP129)*AQ62+SUM($H$62:AQ62)*AQ129</f>
        <v>0</v>
      </c>
      <c r="AR63" s="1517"/>
      <c r="AS63" s="1517"/>
      <c r="AT63" s="1517"/>
      <c r="AU63" s="1517"/>
      <c r="AV63" s="1517"/>
      <c r="AW63" s="1517"/>
      <c r="AX63" s="1517"/>
      <c r="AY63" s="1517"/>
      <c r="AZ63" s="1517"/>
      <c r="BA63" s="1517"/>
      <c r="BB63" s="1517"/>
      <c r="BC63" s="1517"/>
      <c r="BD63" s="1517"/>
      <c r="BE63" s="1517"/>
      <c r="BF63" s="1517"/>
      <c r="BG63" s="1517"/>
      <c r="BH63" s="1517"/>
      <c r="BI63" s="1517"/>
      <c r="BJ63" s="1517"/>
      <c r="BK63" s="1517"/>
      <c r="BL63" s="1517"/>
      <c r="BM63" s="1517"/>
      <c r="BN63" s="1517"/>
      <c r="BO63" s="1517"/>
      <c r="BP63" s="1517"/>
      <c r="BQ63" s="1517"/>
      <c r="BR63" s="1517"/>
      <c r="BS63" s="1517"/>
      <c r="BT63" s="1517"/>
      <c r="BU63" s="1517"/>
      <c r="BV63" s="1517"/>
      <c r="BW63" s="1517"/>
      <c r="BX63" s="1517"/>
      <c r="BY63" s="1517"/>
      <c r="BZ63" s="1517"/>
      <c r="CA63" s="1517"/>
      <c r="CB63" s="1517"/>
      <c r="CC63" s="1517"/>
      <c r="CD63" s="1517"/>
      <c r="CE63" s="1517"/>
      <c r="CF63" s="1517"/>
      <c r="CG63" s="1517"/>
      <c r="CH63" s="1517"/>
      <c r="CI63" s="1517"/>
      <c r="CJ63" s="1517"/>
      <c r="CK63" s="510" t="s">
        <v>623</v>
      </c>
    </row>
    <row r="64" spans="2:89" s="333" customFormat="1" ht="15" customHeight="1">
      <c r="B64" s="726">
        <v>10</v>
      </c>
      <c r="C64" s="717">
        <f>+'2.Tien do'!C74</f>
        <v>0</v>
      </c>
      <c r="D64" s="717"/>
      <c r="E64" s="719"/>
      <c r="F64" s="719"/>
      <c r="G64" s="725"/>
      <c r="H64" s="721"/>
      <c r="I64" s="721"/>
      <c r="J64" s="722"/>
      <c r="K64" s="722"/>
      <c r="L64" s="722"/>
      <c r="M64" s="722"/>
      <c r="N64" s="722"/>
      <c r="O64" s="722"/>
      <c r="P64" s="722"/>
      <c r="Q64" s="722"/>
      <c r="R64" s="723"/>
      <c r="S64" s="723"/>
      <c r="T64" s="724"/>
      <c r="U64" s="722"/>
      <c r="V64" s="722"/>
      <c r="W64" s="723"/>
      <c r="X64" s="724"/>
      <c r="Y64" s="722"/>
      <c r="Z64" s="722"/>
      <c r="AA64" s="722"/>
      <c r="AB64" s="722"/>
      <c r="AC64" s="722"/>
      <c r="AD64" s="722"/>
      <c r="AE64" s="722"/>
      <c r="AF64" s="722"/>
      <c r="AG64" s="722"/>
      <c r="AH64" s="722"/>
      <c r="AI64" s="722"/>
      <c r="AJ64" s="722"/>
      <c r="AK64" s="722"/>
      <c r="AL64" s="722"/>
      <c r="AM64" s="722"/>
      <c r="AN64" s="722"/>
      <c r="AO64" s="722"/>
      <c r="AP64" s="722"/>
      <c r="AQ64" s="722"/>
      <c r="AR64" s="722"/>
      <c r="AS64" s="722"/>
      <c r="AT64" s="722"/>
      <c r="AU64" s="722"/>
      <c r="AV64" s="722"/>
      <c r="AW64" s="722"/>
      <c r="AX64" s="722"/>
      <c r="AY64" s="722"/>
      <c r="AZ64" s="722"/>
      <c r="BA64" s="722"/>
      <c r="BB64" s="722"/>
      <c r="BC64" s="722"/>
      <c r="BD64" s="722"/>
      <c r="BE64" s="722"/>
      <c r="BF64" s="722"/>
      <c r="BG64" s="722"/>
      <c r="BH64" s="722"/>
      <c r="BI64" s="722"/>
      <c r="BJ64" s="722"/>
      <c r="BK64" s="722"/>
      <c r="BL64" s="722"/>
      <c r="BM64" s="722"/>
      <c r="BN64" s="722"/>
      <c r="BO64" s="722"/>
      <c r="BP64" s="722"/>
      <c r="BQ64" s="722"/>
      <c r="BR64" s="722"/>
      <c r="BS64" s="722"/>
      <c r="BT64" s="722"/>
      <c r="BU64" s="722"/>
      <c r="BV64" s="722"/>
      <c r="BW64" s="722"/>
      <c r="BX64" s="722"/>
      <c r="BY64" s="722"/>
      <c r="BZ64" s="722"/>
      <c r="CA64" s="722"/>
      <c r="CB64" s="722"/>
      <c r="CC64" s="722"/>
      <c r="CD64" s="722"/>
      <c r="CE64" s="722"/>
      <c r="CF64" s="722"/>
      <c r="CG64" s="722"/>
      <c r="CH64" s="722"/>
      <c r="CI64" s="722"/>
      <c r="CJ64" s="722"/>
      <c r="CK64" s="510" t="s">
        <v>623</v>
      </c>
    </row>
    <row r="65" spans="2:89" s="333" customFormat="1" ht="15" hidden="1" customHeight="1">
      <c r="B65" s="295"/>
      <c r="C65" s="296" t="s">
        <v>137</v>
      </c>
      <c r="D65" s="297" t="s">
        <v>3</v>
      </c>
      <c r="E65" s="298"/>
      <c r="F65" s="359"/>
      <c r="G65" s="322"/>
      <c r="H65" s="323">
        <f>'2.Tien do'!E74</f>
        <v>0</v>
      </c>
      <c r="I65" s="323">
        <f>'2.Tien do'!F74</f>
        <v>0</v>
      </c>
      <c r="J65" s="323">
        <f>'2.Tien do'!G74</f>
        <v>0</v>
      </c>
      <c r="K65" s="323">
        <f>'2.Tien do'!H74</f>
        <v>0</v>
      </c>
      <c r="L65" s="323">
        <f>'2.Tien do'!I74</f>
        <v>0</v>
      </c>
      <c r="M65" s="323">
        <f>'2.Tien do'!J74</f>
        <v>0</v>
      </c>
      <c r="N65" s="323">
        <f>'2.Tien do'!K74</f>
        <v>0</v>
      </c>
      <c r="O65" s="323">
        <f>'2.Tien do'!L74</f>
        <v>0</v>
      </c>
      <c r="P65" s="323">
        <f>'2.Tien do'!M74</f>
        <v>0</v>
      </c>
      <c r="Q65" s="323">
        <f>'2.Tien do'!N74</f>
        <v>0</v>
      </c>
      <c r="R65" s="323">
        <f>'2.Tien do'!O74</f>
        <v>0</v>
      </c>
      <c r="S65" s="323">
        <f>'2.Tien do'!P74</f>
        <v>0</v>
      </c>
      <c r="T65" s="323">
        <f>'2.Tien do'!Q74</f>
        <v>0</v>
      </c>
      <c r="U65" s="323">
        <f>'2.Tien do'!R74</f>
        <v>0</v>
      </c>
      <c r="V65" s="323">
        <f>'2.Tien do'!S74</f>
        <v>0</v>
      </c>
      <c r="W65" s="323">
        <f>'2.Tien do'!T74</f>
        <v>0</v>
      </c>
      <c r="X65" s="323">
        <f>'2.Tien do'!U74</f>
        <v>0</v>
      </c>
      <c r="Y65" s="323">
        <f>'2.Tien do'!V74</f>
        <v>0</v>
      </c>
      <c r="Z65" s="323">
        <f>'2.Tien do'!W74</f>
        <v>0</v>
      </c>
      <c r="AA65" s="323">
        <f>'2.Tien do'!X74</f>
        <v>0</v>
      </c>
      <c r="AB65" s="323">
        <f>'2.Tien do'!Y74</f>
        <v>0</v>
      </c>
      <c r="AC65" s="323">
        <f>'2.Tien do'!Z74</f>
        <v>0</v>
      </c>
      <c r="AD65" s="323">
        <f>'2.Tien do'!AA74</f>
        <v>0</v>
      </c>
      <c r="AE65" s="323">
        <f>'2.Tien do'!AB74</f>
        <v>0</v>
      </c>
      <c r="AF65" s="323">
        <f>'2.Tien do'!AC74</f>
        <v>0</v>
      </c>
      <c r="AG65" s="323">
        <f>'2.Tien do'!AD74</f>
        <v>0</v>
      </c>
      <c r="AH65" s="323">
        <f>'2.Tien do'!AE74</f>
        <v>0</v>
      </c>
      <c r="AI65" s="323">
        <f>'2.Tien do'!AF74</f>
        <v>0</v>
      </c>
      <c r="AJ65" s="323">
        <f>'2.Tien do'!AG74</f>
        <v>0</v>
      </c>
      <c r="AK65" s="323">
        <f>'2.Tien do'!AH74</f>
        <v>0</v>
      </c>
      <c r="AL65" s="323">
        <f>'2.Tien do'!AI74</f>
        <v>0</v>
      </c>
      <c r="AM65" s="323">
        <f>'2.Tien do'!AJ74</f>
        <v>0</v>
      </c>
      <c r="AN65" s="323">
        <f>'2.Tien do'!AK74</f>
        <v>0</v>
      </c>
      <c r="AO65" s="323">
        <f>'2.Tien do'!AL74</f>
        <v>0</v>
      </c>
      <c r="AP65" s="323">
        <f>'2.Tien do'!AM74</f>
        <v>0</v>
      </c>
      <c r="AQ65" s="323">
        <f>'2.Tien do'!AN74</f>
        <v>0</v>
      </c>
      <c r="AR65" s="323">
        <f>'2.Tien do'!AO74</f>
        <v>0</v>
      </c>
      <c r="AS65" s="323">
        <f>'2.Tien do'!AP74</f>
        <v>0</v>
      </c>
      <c r="AT65" s="323">
        <f>'2.Tien do'!AQ74</f>
        <v>0</v>
      </c>
      <c r="AU65" s="323">
        <f>'2.Tien do'!AR74</f>
        <v>0</v>
      </c>
      <c r="AV65" s="323">
        <f>'2.Tien do'!AS74</f>
        <v>0</v>
      </c>
      <c r="AW65" s="323">
        <f>'2.Tien do'!AT74</f>
        <v>0</v>
      </c>
      <c r="AX65" s="323">
        <f>'2.Tien do'!AU74</f>
        <v>0</v>
      </c>
      <c r="AY65" s="323">
        <f>'2.Tien do'!AV74</f>
        <v>0</v>
      </c>
      <c r="AZ65" s="323">
        <f>'2.Tien do'!AW74</f>
        <v>0</v>
      </c>
      <c r="BA65" s="323">
        <f>'2.Tien do'!AX74</f>
        <v>0</v>
      </c>
      <c r="BB65" s="323">
        <f>'2.Tien do'!AY74</f>
        <v>0</v>
      </c>
      <c r="BC65" s="323">
        <f>'2.Tien do'!AZ74</f>
        <v>0</v>
      </c>
      <c r="BD65" s="323">
        <f>'2.Tien do'!BA74</f>
        <v>0</v>
      </c>
      <c r="BE65" s="323">
        <f>'2.Tien do'!BB74</f>
        <v>0</v>
      </c>
      <c r="BF65" s="323">
        <f>'2.Tien do'!BC74</f>
        <v>0</v>
      </c>
      <c r="BG65" s="323">
        <f>'2.Tien do'!BD74</f>
        <v>0</v>
      </c>
      <c r="BH65" s="323">
        <f>'2.Tien do'!BE74</f>
        <v>0</v>
      </c>
      <c r="BI65" s="323">
        <f>'2.Tien do'!BF74</f>
        <v>0</v>
      </c>
      <c r="BJ65" s="323">
        <f>'2.Tien do'!BG74</f>
        <v>0</v>
      </c>
      <c r="BK65" s="323">
        <f>'2.Tien do'!BH74</f>
        <v>0</v>
      </c>
      <c r="BL65" s="323">
        <f>'2.Tien do'!BI74</f>
        <v>0</v>
      </c>
      <c r="BM65" s="323">
        <f>'2.Tien do'!BJ74</f>
        <v>0</v>
      </c>
      <c r="BN65" s="323">
        <f>'2.Tien do'!BK74</f>
        <v>0</v>
      </c>
      <c r="BO65" s="323">
        <f>'2.Tien do'!BL74</f>
        <v>0</v>
      </c>
      <c r="BP65" s="323">
        <f>'2.Tien do'!BM74</f>
        <v>0</v>
      </c>
      <c r="BQ65" s="323">
        <f>'2.Tien do'!BN74</f>
        <v>0</v>
      </c>
      <c r="BR65" s="323">
        <f>'2.Tien do'!BO74</f>
        <v>0</v>
      </c>
      <c r="BS65" s="323">
        <f>'2.Tien do'!BP74</f>
        <v>0</v>
      </c>
      <c r="BT65" s="323">
        <f>'2.Tien do'!BQ74</f>
        <v>0</v>
      </c>
      <c r="BU65" s="323">
        <f>'2.Tien do'!BR74</f>
        <v>0</v>
      </c>
      <c r="BV65" s="323">
        <f>'2.Tien do'!BS74</f>
        <v>0</v>
      </c>
      <c r="BW65" s="323">
        <f>'2.Tien do'!BT74</f>
        <v>0</v>
      </c>
      <c r="BX65" s="323">
        <f>'2.Tien do'!BU74</f>
        <v>0</v>
      </c>
      <c r="BY65" s="323">
        <f>'2.Tien do'!BV74</f>
        <v>0</v>
      </c>
      <c r="BZ65" s="323">
        <f>'2.Tien do'!BW74</f>
        <v>0</v>
      </c>
      <c r="CA65" s="323">
        <f>'2.Tien do'!BX74</f>
        <v>0</v>
      </c>
      <c r="CB65" s="323">
        <f>'2.Tien do'!BY74</f>
        <v>0</v>
      </c>
      <c r="CC65" s="323">
        <f>'2.Tien do'!BZ74</f>
        <v>0</v>
      </c>
      <c r="CD65" s="323">
        <f>'2.Tien do'!CA74</f>
        <v>0</v>
      </c>
      <c r="CE65" s="323">
        <f>'2.Tien do'!CB74</f>
        <v>0</v>
      </c>
      <c r="CF65" s="323">
        <f>'2.Tien do'!CC74</f>
        <v>0</v>
      </c>
      <c r="CG65" s="323">
        <f>'2.Tien do'!CD74</f>
        <v>0</v>
      </c>
      <c r="CH65" s="323">
        <f>'2.Tien do'!CE74</f>
        <v>0</v>
      </c>
      <c r="CI65" s="323">
        <f>'2.Tien do'!CF74</f>
        <v>0</v>
      </c>
      <c r="CJ65" s="323">
        <f>'2.Tien do'!CG74</f>
        <v>0</v>
      </c>
      <c r="CK65" s="510" t="s">
        <v>623</v>
      </c>
    </row>
    <row r="66" spans="2:89" s="333" customFormat="1" ht="15" hidden="1" customHeight="1">
      <c r="B66" s="295"/>
      <c r="C66" s="300" t="s">
        <v>68</v>
      </c>
      <c r="D66" s="336" t="s">
        <v>31</v>
      </c>
      <c r="E66" s="302">
        <f>+'1. thong tin quy hoach'!J41</f>
        <v>0</v>
      </c>
      <c r="F66" s="360">
        <v>4031.2000000000003</v>
      </c>
      <c r="G66" s="325">
        <f>SUM(H66:AA66)</f>
        <v>0</v>
      </c>
      <c r="H66" s="326">
        <f t="shared" ref="H66:AA66" si="65">$E66*H65</f>
        <v>0</v>
      </c>
      <c r="I66" s="326">
        <f t="shared" si="65"/>
        <v>0</v>
      </c>
      <c r="J66" s="326">
        <f t="shared" si="65"/>
        <v>0</v>
      </c>
      <c r="K66" s="326">
        <f t="shared" si="65"/>
        <v>0</v>
      </c>
      <c r="L66" s="326">
        <f t="shared" si="65"/>
        <v>0</v>
      </c>
      <c r="M66" s="326">
        <f t="shared" si="65"/>
        <v>0</v>
      </c>
      <c r="N66" s="326">
        <f t="shared" si="65"/>
        <v>0</v>
      </c>
      <c r="O66" s="326">
        <f t="shared" si="65"/>
        <v>0</v>
      </c>
      <c r="P66" s="326">
        <f t="shared" si="65"/>
        <v>0</v>
      </c>
      <c r="Q66" s="326">
        <f t="shared" si="65"/>
        <v>0</v>
      </c>
      <c r="R66" s="326">
        <f t="shared" si="65"/>
        <v>0</v>
      </c>
      <c r="S66" s="326">
        <f t="shared" si="65"/>
        <v>0</v>
      </c>
      <c r="T66" s="326">
        <f t="shared" si="65"/>
        <v>0</v>
      </c>
      <c r="U66" s="326">
        <f t="shared" si="65"/>
        <v>0</v>
      </c>
      <c r="V66" s="326">
        <f t="shared" si="65"/>
        <v>0</v>
      </c>
      <c r="W66" s="326">
        <f t="shared" si="65"/>
        <v>0</v>
      </c>
      <c r="X66" s="326">
        <f t="shared" si="65"/>
        <v>0</v>
      </c>
      <c r="Y66" s="326">
        <f t="shared" si="65"/>
        <v>0</v>
      </c>
      <c r="Z66" s="326">
        <f t="shared" si="65"/>
        <v>0</v>
      </c>
      <c r="AA66" s="326">
        <f t="shared" si="65"/>
        <v>0</v>
      </c>
      <c r="AB66" s="326">
        <f>$E66*AB65</f>
        <v>0</v>
      </c>
      <c r="AC66" s="326">
        <f>$E66*AC65</f>
        <v>0</v>
      </c>
      <c r="AD66" s="326">
        <f t="shared" ref="AD66:CJ66" si="66">$E66*AD65</f>
        <v>0</v>
      </c>
      <c r="AE66" s="326">
        <f t="shared" si="66"/>
        <v>0</v>
      </c>
      <c r="AF66" s="326">
        <f t="shared" si="66"/>
        <v>0</v>
      </c>
      <c r="AG66" s="326">
        <f t="shared" si="66"/>
        <v>0</v>
      </c>
      <c r="AH66" s="326">
        <f t="shared" si="66"/>
        <v>0</v>
      </c>
      <c r="AI66" s="326">
        <f t="shared" si="66"/>
        <v>0</v>
      </c>
      <c r="AJ66" s="326">
        <f t="shared" si="66"/>
        <v>0</v>
      </c>
      <c r="AK66" s="326">
        <f t="shared" si="66"/>
        <v>0</v>
      </c>
      <c r="AL66" s="326">
        <f t="shared" si="66"/>
        <v>0</v>
      </c>
      <c r="AM66" s="326">
        <f t="shared" si="66"/>
        <v>0</v>
      </c>
      <c r="AN66" s="326">
        <f t="shared" si="66"/>
        <v>0</v>
      </c>
      <c r="AO66" s="326">
        <f t="shared" si="66"/>
        <v>0</v>
      </c>
      <c r="AP66" s="326">
        <f t="shared" si="66"/>
        <v>0</v>
      </c>
      <c r="AQ66" s="326">
        <f t="shared" si="66"/>
        <v>0</v>
      </c>
      <c r="AR66" s="326">
        <f t="shared" si="66"/>
        <v>0</v>
      </c>
      <c r="AS66" s="326">
        <f t="shared" si="66"/>
        <v>0</v>
      </c>
      <c r="AT66" s="326">
        <f t="shared" si="66"/>
        <v>0</v>
      </c>
      <c r="AU66" s="326">
        <f t="shared" si="66"/>
        <v>0</v>
      </c>
      <c r="AV66" s="326">
        <f t="shared" si="66"/>
        <v>0</v>
      </c>
      <c r="AW66" s="326">
        <f t="shared" si="66"/>
        <v>0</v>
      </c>
      <c r="AX66" s="326">
        <f t="shared" si="66"/>
        <v>0</v>
      </c>
      <c r="AY66" s="326">
        <f t="shared" si="66"/>
        <v>0</v>
      </c>
      <c r="AZ66" s="326">
        <f t="shared" si="66"/>
        <v>0</v>
      </c>
      <c r="BA66" s="326">
        <f t="shared" si="66"/>
        <v>0</v>
      </c>
      <c r="BB66" s="326">
        <f t="shared" si="66"/>
        <v>0</v>
      </c>
      <c r="BC66" s="326">
        <f t="shared" si="66"/>
        <v>0</v>
      </c>
      <c r="BD66" s="326">
        <f t="shared" si="66"/>
        <v>0</v>
      </c>
      <c r="BE66" s="326">
        <f t="shared" si="66"/>
        <v>0</v>
      </c>
      <c r="BF66" s="326">
        <f t="shared" si="66"/>
        <v>0</v>
      </c>
      <c r="BG66" s="326">
        <f t="shared" si="66"/>
        <v>0</v>
      </c>
      <c r="BH66" s="326">
        <f t="shared" si="66"/>
        <v>0</v>
      </c>
      <c r="BI66" s="326">
        <f t="shared" si="66"/>
        <v>0</v>
      </c>
      <c r="BJ66" s="326">
        <f t="shared" si="66"/>
        <v>0</v>
      </c>
      <c r="BK66" s="326">
        <f t="shared" si="66"/>
        <v>0</v>
      </c>
      <c r="BL66" s="326">
        <f t="shared" si="66"/>
        <v>0</v>
      </c>
      <c r="BM66" s="326">
        <f t="shared" si="66"/>
        <v>0</v>
      </c>
      <c r="BN66" s="326">
        <f t="shared" si="66"/>
        <v>0</v>
      </c>
      <c r="BO66" s="326">
        <f t="shared" si="66"/>
        <v>0</v>
      </c>
      <c r="BP66" s="326">
        <f t="shared" si="66"/>
        <v>0</v>
      </c>
      <c r="BQ66" s="326">
        <f t="shared" si="66"/>
        <v>0</v>
      </c>
      <c r="BR66" s="326">
        <f t="shared" si="66"/>
        <v>0</v>
      </c>
      <c r="BS66" s="326">
        <f t="shared" si="66"/>
        <v>0</v>
      </c>
      <c r="BT66" s="326">
        <f t="shared" si="66"/>
        <v>0</v>
      </c>
      <c r="BU66" s="326">
        <f t="shared" si="66"/>
        <v>0</v>
      </c>
      <c r="BV66" s="326">
        <f t="shared" si="66"/>
        <v>0</v>
      </c>
      <c r="BW66" s="326">
        <f t="shared" si="66"/>
        <v>0</v>
      </c>
      <c r="BX66" s="326">
        <f t="shared" si="66"/>
        <v>0</v>
      </c>
      <c r="BY66" s="326">
        <f t="shared" si="66"/>
        <v>0</v>
      </c>
      <c r="BZ66" s="326">
        <f t="shared" si="66"/>
        <v>0</v>
      </c>
      <c r="CA66" s="326">
        <f t="shared" si="66"/>
        <v>0</v>
      </c>
      <c r="CB66" s="326">
        <f t="shared" si="66"/>
        <v>0</v>
      </c>
      <c r="CC66" s="326">
        <f t="shared" si="66"/>
        <v>0</v>
      </c>
      <c r="CD66" s="326">
        <f t="shared" si="66"/>
        <v>0</v>
      </c>
      <c r="CE66" s="326">
        <f t="shared" si="66"/>
        <v>0</v>
      </c>
      <c r="CF66" s="326">
        <f t="shared" si="66"/>
        <v>0</v>
      </c>
      <c r="CG66" s="326">
        <f t="shared" si="66"/>
        <v>0</v>
      </c>
      <c r="CH66" s="326">
        <f t="shared" si="66"/>
        <v>0</v>
      </c>
      <c r="CI66" s="326">
        <f t="shared" si="66"/>
        <v>0</v>
      </c>
      <c r="CJ66" s="326">
        <f t="shared" si="66"/>
        <v>0</v>
      </c>
      <c r="CK66" s="510" t="s">
        <v>623</v>
      </c>
    </row>
    <row r="67" spans="2:89" s="333" customFormat="1" ht="15" hidden="1" customHeight="1">
      <c r="B67" s="295"/>
      <c r="C67" s="304" t="s">
        <v>30</v>
      </c>
      <c r="D67" s="305" t="s">
        <v>33</v>
      </c>
      <c r="E67" s="306">
        <f>+'8.ĐO NHAY'!C14</f>
        <v>0</v>
      </c>
      <c r="F67" s="361">
        <v>60</v>
      </c>
      <c r="G67" s="328"/>
      <c r="H67" s="329">
        <f t="shared" ref="H67:AA67" si="67">IF(H66&gt;0,$E67,0)</f>
        <v>0</v>
      </c>
      <c r="I67" s="329">
        <f t="shared" si="67"/>
        <v>0</v>
      </c>
      <c r="J67" s="329">
        <f t="shared" si="67"/>
        <v>0</v>
      </c>
      <c r="K67" s="329">
        <f t="shared" si="67"/>
        <v>0</v>
      </c>
      <c r="L67" s="329">
        <f t="shared" si="67"/>
        <v>0</v>
      </c>
      <c r="M67" s="329">
        <f t="shared" si="67"/>
        <v>0</v>
      </c>
      <c r="N67" s="329">
        <f t="shared" si="67"/>
        <v>0</v>
      </c>
      <c r="O67" s="329">
        <f t="shared" si="67"/>
        <v>0</v>
      </c>
      <c r="P67" s="329">
        <f t="shared" si="67"/>
        <v>0</v>
      </c>
      <c r="Q67" s="329">
        <f t="shared" si="67"/>
        <v>0</v>
      </c>
      <c r="R67" s="329">
        <f t="shared" si="67"/>
        <v>0</v>
      </c>
      <c r="S67" s="329">
        <f t="shared" si="67"/>
        <v>0</v>
      </c>
      <c r="T67" s="329">
        <f t="shared" si="67"/>
        <v>0</v>
      </c>
      <c r="U67" s="329">
        <f t="shared" si="67"/>
        <v>0</v>
      </c>
      <c r="V67" s="329">
        <f t="shared" si="67"/>
        <v>0</v>
      </c>
      <c r="W67" s="329">
        <f t="shared" si="67"/>
        <v>0</v>
      </c>
      <c r="X67" s="329">
        <f t="shared" si="67"/>
        <v>0</v>
      </c>
      <c r="Y67" s="329">
        <f t="shared" si="67"/>
        <v>0</v>
      </c>
      <c r="Z67" s="329">
        <f t="shared" si="67"/>
        <v>0</v>
      </c>
      <c r="AA67" s="329">
        <f t="shared" si="67"/>
        <v>0</v>
      </c>
      <c r="AB67" s="329">
        <f>IF(AB66&gt;0,$E67,0)</f>
        <v>0</v>
      </c>
      <c r="AC67" s="329">
        <f>IF(AC66&gt;0,$E67,0)</f>
        <v>0</v>
      </c>
      <c r="AD67" s="329">
        <f t="shared" ref="AD67:CJ67" si="68">IF(AD66&gt;0,$E67,0)</f>
        <v>0</v>
      </c>
      <c r="AE67" s="329">
        <f t="shared" si="68"/>
        <v>0</v>
      </c>
      <c r="AF67" s="329">
        <f t="shared" si="68"/>
        <v>0</v>
      </c>
      <c r="AG67" s="329">
        <f t="shared" si="68"/>
        <v>0</v>
      </c>
      <c r="AH67" s="329">
        <f t="shared" si="68"/>
        <v>0</v>
      </c>
      <c r="AI67" s="329">
        <f t="shared" si="68"/>
        <v>0</v>
      </c>
      <c r="AJ67" s="329">
        <f t="shared" si="68"/>
        <v>0</v>
      </c>
      <c r="AK67" s="329">
        <f t="shared" si="68"/>
        <v>0</v>
      </c>
      <c r="AL67" s="329">
        <f t="shared" si="68"/>
        <v>0</v>
      </c>
      <c r="AM67" s="329">
        <f t="shared" si="68"/>
        <v>0</v>
      </c>
      <c r="AN67" s="329">
        <f t="shared" si="68"/>
        <v>0</v>
      </c>
      <c r="AO67" s="329">
        <f t="shared" si="68"/>
        <v>0</v>
      </c>
      <c r="AP67" s="329">
        <f t="shared" si="68"/>
        <v>0</v>
      </c>
      <c r="AQ67" s="329">
        <f t="shared" si="68"/>
        <v>0</v>
      </c>
      <c r="AR67" s="329">
        <f t="shared" si="68"/>
        <v>0</v>
      </c>
      <c r="AS67" s="329">
        <f t="shared" si="68"/>
        <v>0</v>
      </c>
      <c r="AT67" s="329">
        <f t="shared" si="68"/>
        <v>0</v>
      </c>
      <c r="AU67" s="329">
        <f t="shared" si="68"/>
        <v>0</v>
      </c>
      <c r="AV67" s="329">
        <f t="shared" si="68"/>
        <v>0</v>
      </c>
      <c r="AW67" s="329">
        <f t="shared" si="68"/>
        <v>0</v>
      </c>
      <c r="AX67" s="329">
        <f t="shared" si="68"/>
        <v>0</v>
      </c>
      <c r="AY67" s="329">
        <f t="shared" si="68"/>
        <v>0</v>
      </c>
      <c r="AZ67" s="329">
        <f t="shared" si="68"/>
        <v>0</v>
      </c>
      <c r="BA67" s="329">
        <f t="shared" si="68"/>
        <v>0</v>
      </c>
      <c r="BB67" s="329">
        <f t="shared" si="68"/>
        <v>0</v>
      </c>
      <c r="BC67" s="329">
        <f t="shared" si="68"/>
        <v>0</v>
      </c>
      <c r="BD67" s="329">
        <f t="shared" si="68"/>
        <v>0</v>
      </c>
      <c r="BE67" s="329">
        <f t="shared" si="68"/>
        <v>0</v>
      </c>
      <c r="BF67" s="329">
        <f t="shared" si="68"/>
        <v>0</v>
      </c>
      <c r="BG67" s="329">
        <f t="shared" si="68"/>
        <v>0</v>
      </c>
      <c r="BH67" s="329">
        <f t="shared" si="68"/>
        <v>0</v>
      </c>
      <c r="BI67" s="329">
        <f t="shared" si="68"/>
        <v>0</v>
      </c>
      <c r="BJ67" s="329">
        <f t="shared" si="68"/>
        <v>0</v>
      </c>
      <c r="BK67" s="329">
        <f t="shared" si="68"/>
        <v>0</v>
      </c>
      <c r="BL67" s="329">
        <f t="shared" si="68"/>
        <v>0</v>
      </c>
      <c r="BM67" s="329">
        <f t="shared" si="68"/>
        <v>0</v>
      </c>
      <c r="BN67" s="329">
        <f t="shared" si="68"/>
        <v>0</v>
      </c>
      <c r="BO67" s="329">
        <f t="shared" si="68"/>
        <v>0</v>
      </c>
      <c r="BP67" s="329">
        <f t="shared" si="68"/>
        <v>0</v>
      </c>
      <c r="BQ67" s="329">
        <f t="shared" si="68"/>
        <v>0</v>
      </c>
      <c r="BR67" s="329">
        <f t="shared" si="68"/>
        <v>0</v>
      </c>
      <c r="BS67" s="329">
        <f t="shared" si="68"/>
        <v>0</v>
      </c>
      <c r="BT67" s="329">
        <f t="shared" si="68"/>
        <v>0</v>
      </c>
      <c r="BU67" s="329">
        <f t="shared" si="68"/>
        <v>0</v>
      </c>
      <c r="BV67" s="329">
        <f t="shared" si="68"/>
        <v>0</v>
      </c>
      <c r="BW67" s="329">
        <f t="shared" si="68"/>
        <v>0</v>
      </c>
      <c r="BX67" s="329">
        <f t="shared" si="68"/>
        <v>0</v>
      </c>
      <c r="BY67" s="329">
        <f t="shared" si="68"/>
        <v>0</v>
      </c>
      <c r="BZ67" s="329">
        <f t="shared" si="68"/>
        <v>0</v>
      </c>
      <c r="CA67" s="329">
        <f t="shared" si="68"/>
        <v>0</v>
      </c>
      <c r="CB67" s="329">
        <f t="shared" si="68"/>
        <v>0</v>
      </c>
      <c r="CC67" s="329">
        <f t="shared" si="68"/>
        <v>0</v>
      </c>
      <c r="CD67" s="329">
        <f t="shared" si="68"/>
        <v>0</v>
      </c>
      <c r="CE67" s="329">
        <f t="shared" si="68"/>
        <v>0</v>
      </c>
      <c r="CF67" s="329">
        <f t="shared" si="68"/>
        <v>0</v>
      </c>
      <c r="CG67" s="329">
        <f t="shared" si="68"/>
        <v>0</v>
      </c>
      <c r="CH67" s="329">
        <f t="shared" si="68"/>
        <v>0</v>
      </c>
      <c r="CI67" s="329">
        <f t="shared" si="68"/>
        <v>0</v>
      </c>
      <c r="CJ67" s="329">
        <f t="shared" si="68"/>
        <v>0</v>
      </c>
      <c r="CK67" s="510" t="s">
        <v>623</v>
      </c>
    </row>
    <row r="68" spans="2:89" s="333" customFormat="1" ht="15" hidden="1" customHeight="1">
      <c r="B68" s="295"/>
      <c r="C68" s="300" t="s">
        <v>32</v>
      </c>
      <c r="D68" s="311" t="s">
        <v>33</v>
      </c>
      <c r="E68" s="337">
        <f>G68</f>
        <v>0</v>
      </c>
      <c r="F68" s="365">
        <v>241872.00000000003</v>
      </c>
      <c r="G68" s="325">
        <f>SUM(H68:XFD68)</f>
        <v>0</v>
      </c>
      <c r="H68" s="340">
        <f>H66*H67</f>
        <v>0</v>
      </c>
      <c r="I68" s="340">
        <f t="shared" ref="I68:AA68" si="69">I66*I67</f>
        <v>0</v>
      </c>
      <c r="J68" s="340">
        <f t="shared" si="69"/>
        <v>0</v>
      </c>
      <c r="K68" s="340">
        <f t="shared" si="69"/>
        <v>0</v>
      </c>
      <c r="L68" s="340">
        <f t="shared" si="69"/>
        <v>0</v>
      </c>
      <c r="M68" s="340">
        <f t="shared" si="69"/>
        <v>0</v>
      </c>
      <c r="N68" s="340">
        <f t="shared" si="69"/>
        <v>0</v>
      </c>
      <c r="O68" s="340">
        <f t="shared" si="69"/>
        <v>0</v>
      </c>
      <c r="P68" s="340">
        <f t="shared" si="69"/>
        <v>0</v>
      </c>
      <c r="Q68" s="340">
        <f t="shared" si="69"/>
        <v>0</v>
      </c>
      <c r="R68" s="340">
        <f t="shared" si="69"/>
        <v>0</v>
      </c>
      <c r="S68" s="340">
        <f t="shared" si="69"/>
        <v>0</v>
      </c>
      <c r="T68" s="340">
        <f t="shared" si="69"/>
        <v>0</v>
      </c>
      <c r="U68" s="340">
        <f t="shared" si="69"/>
        <v>0</v>
      </c>
      <c r="V68" s="340">
        <f t="shared" si="69"/>
        <v>0</v>
      </c>
      <c r="W68" s="340">
        <f t="shared" si="69"/>
        <v>0</v>
      </c>
      <c r="X68" s="340">
        <f t="shared" si="69"/>
        <v>0</v>
      </c>
      <c r="Y68" s="340">
        <f t="shared" si="69"/>
        <v>0</v>
      </c>
      <c r="Z68" s="340">
        <f t="shared" si="69"/>
        <v>0</v>
      </c>
      <c r="AA68" s="340">
        <f t="shared" si="69"/>
        <v>0</v>
      </c>
      <c r="AB68" s="340">
        <f>AB66*AB67</f>
        <v>0</v>
      </c>
      <c r="AC68" s="340">
        <f>AC66*AC67</f>
        <v>0</v>
      </c>
      <c r="AD68" s="340">
        <f t="shared" ref="AD68:CJ68" si="70">AD66*AD67</f>
        <v>0</v>
      </c>
      <c r="AE68" s="340">
        <f t="shared" si="70"/>
        <v>0</v>
      </c>
      <c r="AF68" s="340">
        <f t="shared" si="70"/>
        <v>0</v>
      </c>
      <c r="AG68" s="340">
        <f t="shared" si="70"/>
        <v>0</v>
      </c>
      <c r="AH68" s="340">
        <f t="shared" si="70"/>
        <v>0</v>
      </c>
      <c r="AI68" s="340">
        <f t="shared" si="70"/>
        <v>0</v>
      </c>
      <c r="AJ68" s="340">
        <f t="shared" si="70"/>
        <v>0</v>
      </c>
      <c r="AK68" s="340">
        <f t="shared" si="70"/>
        <v>0</v>
      </c>
      <c r="AL68" s="340">
        <f t="shared" si="70"/>
        <v>0</v>
      </c>
      <c r="AM68" s="340">
        <f t="shared" si="70"/>
        <v>0</v>
      </c>
      <c r="AN68" s="340">
        <f t="shared" si="70"/>
        <v>0</v>
      </c>
      <c r="AO68" s="340">
        <f t="shared" si="70"/>
        <v>0</v>
      </c>
      <c r="AP68" s="340">
        <f t="shared" si="70"/>
        <v>0</v>
      </c>
      <c r="AQ68" s="340">
        <f t="shared" si="70"/>
        <v>0</v>
      </c>
      <c r="AR68" s="340">
        <f t="shared" si="70"/>
        <v>0</v>
      </c>
      <c r="AS68" s="340">
        <f t="shared" si="70"/>
        <v>0</v>
      </c>
      <c r="AT68" s="340">
        <f t="shared" si="70"/>
        <v>0</v>
      </c>
      <c r="AU68" s="340">
        <f t="shared" si="70"/>
        <v>0</v>
      </c>
      <c r="AV68" s="340">
        <f t="shared" si="70"/>
        <v>0</v>
      </c>
      <c r="AW68" s="340">
        <f t="shared" si="70"/>
        <v>0</v>
      </c>
      <c r="AX68" s="340">
        <f t="shared" si="70"/>
        <v>0</v>
      </c>
      <c r="AY68" s="340">
        <f t="shared" si="70"/>
        <v>0</v>
      </c>
      <c r="AZ68" s="340">
        <f t="shared" si="70"/>
        <v>0</v>
      </c>
      <c r="BA68" s="340">
        <f t="shared" si="70"/>
        <v>0</v>
      </c>
      <c r="BB68" s="340">
        <f t="shared" si="70"/>
        <v>0</v>
      </c>
      <c r="BC68" s="340">
        <f t="shared" si="70"/>
        <v>0</v>
      </c>
      <c r="BD68" s="340">
        <f t="shared" si="70"/>
        <v>0</v>
      </c>
      <c r="BE68" s="340">
        <f t="shared" si="70"/>
        <v>0</v>
      </c>
      <c r="BF68" s="340">
        <f t="shared" si="70"/>
        <v>0</v>
      </c>
      <c r="BG68" s="340">
        <f t="shared" si="70"/>
        <v>0</v>
      </c>
      <c r="BH68" s="340">
        <f t="shared" si="70"/>
        <v>0</v>
      </c>
      <c r="BI68" s="340">
        <f t="shared" si="70"/>
        <v>0</v>
      </c>
      <c r="BJ68" s="340">
        <f t="shared" si="70"/>
        <v>0</v>
      </c>
      <c r="BK68" s="340">
        <f t="shared" si="70"/>
        <v>0</v>
      </c>
      <c r="BL68" s="340">
        <f t="shared" si="70"/>
        <v>0</v>
      </c>
      <c r="BM68" s="340">
        <f t="shared" si="70"/>
        <v>0</v>
      </c>
      <c r="BN68" s="340">
        <f t="shared" si="70"/>
        <v>0</v>
      </c>
      <c r="BO68" s="340">
        <f t="shared" si="70"/>
        <v>0</v>
      </c>
      <c r="BP68" s="340">
        <f t="shared" si="70"/>
        <v>0</v>
      </c>
      <c r="BQ68" s="340">
        <f t="shared" si="70"/>
        <v>0</v>
      </c>
      <c r="BR68" s="340">
        <f t="shared" si="70"/>
        <v>0</v>
      </c>
      <c r="BS68" s="340">
        <f t="shared" si="70"/>
        <v>0</v>
      </c>
      <c r="BT68" s="340">
        <f t="shared" si="70"/>
        <v>0</v>
      </c>
      <c r="BU68" s="340">
        <f t="shared" si="70"/>
        <v>0</v>
      </c>
      <c r="BV68" s="340">
        <f t="shared" si="70"/>
        <v>0</v>
      </c>
      <c r="BW68" s="340">
        <f t="shared" si="70"/>
        <v>0</v>
      </c>
      <c r="BX68" s="340">
        <f t="shared" si="70"/>
        <v>0</v>
      </c>
      <c r="BY68" s="340">
        <f t="shared" si="70"/>
        <v>0</v>
      </c>
      <c r="BZ68" s="340">
        <f t="shared" si="70"/>
        <v>0</v>
      </c>
      <c r="CA68" s="340">
        <f t="shared" si="70"/>
        <v>0</v>
      </c>
      <c r="CB68" s="340">
        <f t="shared" si="70"/>
        <v>0</v>
      </c>
      <c r="CC68" s="340">
        <f t="shared" si="70"/>
        <v>0</v>
      </c>
      <c r="CD68" s="340">
        <f t="shared" si="70"/>
        <v>0</v>
      </c>
      <c r="CE68" s="340">
        <f t="shared" si="70"/>
        <v>0</v>
      </c>
      <c r="CF68" s="340">
        <f t="shared" si="70"/>
        <v>0</v>
      </c>
      <c r="CG68" s="340">
        <f t="shared" si="70"/>
        <v>0</v>
      </c>
      <c r="CH68" s="340">
        <f t="shared" si="70"/>
        <v>0</v>
      </c>
      <c r="CI68" s="340">
        <f t="shared" si="70"/>
        <v>0</v>
      </c>
      <c r="CJ68" s="340">
        <f t="shared" si="70"/>
        <v>0</v>
      </c>
      <c r="CK68" s="510" t="s">
        <v>623</v>
      </c>
    </row>
    <row r="69" spans="2:89" s="333" customFormat="1" ht="15" hidden="1" customHeight="1">
      <c r="B69" s="338"/>
      <c r="C69" s="310" t="s">
        <v>35</v>
      </c>
      <c r="D69" s="1513"/>
      <c r="E69" s="337"/>
      <c r="F69" s="1514"/>
      <c r="G69" s="331">
        <f>SUM(H69:XFD69)</f>
        <v>0</v>
      </c>
      <c r="H69" s="1363">
        <v>0</v>
      </c>
      <c r="I69" s="335">
        <f>SUM($H$130:H130)*I68+SUM($H$68:I68)*I130</f>
        <v>0</v>
      </c>
      <c r="J69" s="335">
        <f>SUM($H$130:I130)*J68+SUM($H$68:J68)*J130</f>
        <v>0</v>
      </c>
      <c r="K69" s="335">
        <f>SUM($H$130:J130)*K68+SUM($H$68:K68)*K130</f>
        <v>0</v>
      </c>
      <c r="L69" s="335">
        <f>SUM($H$130:K130)*L68+SUM($H$68:L68)*L130</f>
        <v>0</v>
      </c>
      <c r="M69" s="335">
        <f>SUM($H$130:L130)*M68+SUM($H$68:M68)*M130</f>
        <v>0</v>
      </c>
      <c r="N69" s="335">
        <f>SUM($H$130:M130)*N68+SUM($H$68:N68)*N130</f>
        <v>0</v>
      </c>
      <c r="O69" s="335">
        <f>SUM($H$130:N130)*O68+SUM($H$68:O68)*O130</f>
        <v>0</v>
      </c>
      <c r="P69" s="335">
        <f>SUM($H$130:O130)*P68+SUM($H$68:P68)*P130</f>
        <v>0</v>
      </c>
      <c r="Q69" s="335">
        <f>SUM($H$130:P130)*Q68+SUM($H$68:Q68)*Q130</f>
        <v>0</v>
      </c>
      <c r="R69" s="335">
        <f>SUM($H$130:Q130)*R68+SUM($H$68:R68)*R130</f>
        <v>0</v>
      </c>
      <c r="S69" s="335">
        <f>SUM($H$130:R130)*S68+SUM($H$68:S68)*S130</f>
        <v>0</v>
      </c>
      <c r="T69" s="335">
        <f>SUM($H$130:S130)*T68+SUM($H$68:T68)*T130</f>
        <v>0</v>
      </c>
      <c r="U69" s="335">
        <f>SUM($H$130:T130)*U68+SUM($H$68:U68)*U130</f>
        <v>0</v>
      </c>
      <c r="V69" s="335">
        <f>SUM($H$130:U130)*V68+SUM($H$68:V68)*V130</f>
        <v>0</v>
      </c>
      <c r="W69" s="335">
        <f>SUM($H$130:V130)*W68+SUM($H$68:W68)*W130</f>
        <v>0</v>
      </c>
      <c r="X69" s="335">
        <f>SUM($H$130:W130)*X68+SUM($H$68:X68)*X130</f>
        <v>0</v>
      </c>
      <c r="Y69" s="335">
        <f>SUM($H$130:X130)*Y68+SUM($H$68:Y68)*Y130</f>
        <v>0</v>
      </c>
      <c r="Z69" s="335">
        <f>SUM($H$130:Y130)*Z68+SUM($H$68:Z68)*Z130</f>
        <v>0</v>
      </c>
      <c r="AA69" s="335">
        <f>SUM($H$130:Z130)*AA68+SUM($H$68:AA68)*AA130</f>
        <v>0</v>
      </c>
      <c r="AB69" s="335">
        <f>SUM($H$130:AA130)*AB68+SUM($H$68:AB68)*AB130</f>
        <v>0</v>
      </c>
      <c r="AC69" s="335">
        <f>SUM($H$130:AB130)*AC68+SUM($H$68:AC68)*AC130</f>
        <v>0</v>
      </c>
      <c r="AD69" s="335">
        <f>SUM($H$130:AC130)*AD68+SUM($H$68:AD68)*AD130</f>
        <v>0</v>
      </c>
      <c r="AE69" s="335">
        <f>SUM($H$130:AD130)*AE68+SUM($H$68:AE68)*AE130</f>
        <v>0</v>
      </c>
      <c r="AF69" s="335">
        <f>SUM($H$130:AE130)*AF68+SUM($H$68:AF68)*AF130</f>
        <v>0</v>
      </c>
      <c r="AG69" s="335">
        <f>SUM($H$130:AF130)*AG68+SUM($H$68:AG68)*AG130</f>
        <v>0</v>
      </c>
      <c r="AH69" s="335">
        <f>SUM($H$130:AG130)*AH68+SUM($H$68:AH68)*AH130</f>
        <v>0</v>
      </c>
      <c r="AI69" s="335">
        <f>SUM($H$130:AH130)*AI68+SUM($H$68:AI68)*AI130</f>
        <v>0</v>
      </c>
      <c r="AJ69" s="335">
        <f>SUM($H$130:AI130)*AJ68+SUM($H$68:AJ68)*AJ130</f>
        <v>0</v>
      </c>
      <c r="AK69" s="335">
        <f>SUM($H$130:AJ130)*AK68+SUM($H$68:AK68)*AK130</f>
        <v>0</v>
      </c>
      <c r="AL69" s="335">
        <f>SUM($H$130:AK130)*AL68+SUM($H$68:AL68)*AL130</f>
        <v>0</v>
      </c>
      <c r="AM69" s="335">
        <f>SUM($H$130:AL130)*AM68+SUM($H$68:AM68)*AM130</f>
        <v>0</v>
      </c>
      <c r="AN69" s="335">
        <f>SUM($H$130:AM130)*AN68+SUM($H$68:AN68)*AN130</f>
        <v>0</v>
      </c>
      <c r="AO69" s="335">
        <f>SUM($H$130:AN130)*AO68+SUM($H$68:AO68)*AO130</f>
        <v>0</v>
      </c>
      <c r="AP69" s="335">
        <f>SUM($H$130:AO130)*AP68+SUM($H$68:AP68)*AP130</f>
        <v>0</v>
      </c>
      <c r="AQ69" s="335">
        <f>SUM($H$130:AP130)*AQ68+SUM($H$68:AQ68)*AQ130</f>
        <v>0</v>
      </c>
      <c r="AR69" s="1515"/>
      <c r="AS69" s="1515"/>
      <c r="AT69" s="1515"/>
      <c r="AU69" s="1515"/>
      <c r="AV69" s="1515"/>
      <c r="AW69" s="1515"/>
      <c r="AX69" s="1515"/>
      <c r="AY69" s="1515"/>
      <c r="AZ69" s="1515"/>
      <c r="BA69" s="1515"/>
      <c r="BB69" s="1515"/>
      <c r="BC69" s="1515"/>
      <c r="BD69" s="1515"/>
      <c r="BE69" s="1515"/>
      <c r="BF69" s="1515"/>
      <c r="BG69" s="1515"/>
      <c r="BH69" s="1515"/>
      <c r="BI69" s="1515"/>
      <c r="BJ69" s="1515"/>
      <c r="BK69" s="1515"/>
      <c r="BL69" s="1515"/>
      <c r="BM69" s="1515"/>
      <c r="BN69" s="1515"/>
      <c r="BO69" s="1515"/>
      <c r="BP69" s="1515"/>
      <c r="BQ69" s="1515"/>
      <c r="BR69" s="1515"/>
      <c r="BS69" s="1515"/>
      <c r="BT69" s="1515"/>
      <c r="BU69" s="1515"/>
      <c r="BV69" s="1515"/>
      <c r="BW69" s="1515"/>
      <c r="BX69" s="1515"/>
      <c r="BY69" s="1515"/>
      <c r="BZ69" s="1515"/>
      <c r="CA69" s="1515"/>
      <c r="CB69" s="1515"/>
      <c r="CC69" s="1515"/>
      <c r="CD69" s="1515"/>
      <c r="CE69" s="1515"/>
      <c r="CF69" s="1515"/>
      <c r="CG69" s="1515"/>
      <c r="CH69" s="1515"/>
      <c r="CI69" s="1515"/>
      <c r="CJ69" s="1515"/>
      <c r="CK69" s="510" t="s">
        <v>623</v>
      </c>
    </row>
    <row r="70" spans="2:89" s="333" customFormat="1" ht="15" customHeight="1">
      <c r="B70" s="368"/>
      <c r="C70" s="1379"/>
      <c r="D70" s="1510"/>
      <c r="E70" s="370"/>
      <c r="F70" s="372"/>
      <c r="G70" s="1511"/>
      <c r="H70" s="1512"/>
      <c r="I70" s="1385"/>
      <c r="J70" s="1385"/>
      <c r="K70" s="1385"/>
      <c r="L70" s="1385"/>
      <c r="M70" s="1385"/>
      <c r="N70" s="1385"/>
      <c r="O70" s="1385"/>
      <c r="P70" s="1385"/>
      <c r="Q70" s="1385"/>
      <c r="R70" s="1385"/>
      <c r="S70" s="1385"/>
      <c r="T70" s="1385"/>
      <c r="U70" s="1385"/>
      <c r="V70" s="1385"/>
      <c r="W70" s="1385"/>
      <c r="X70" s="1385"/>
      <c r="Y70" s="1385"/>
      <c r="Z70" s="1385"/>
      <c r="AA70" s="1385"/>
      <c r="AB70" s="1385"/>
      <c r="AC70" s="1385"/>
      <c r="AD70" s="1385"/>
      <c r="AE70" s="1385"/>
      <c r="AF70" s="1385"/>
      <c r="AG70" s="1385"/>
      <c r="AH70" s="1385"/>
      <c r="AI70" s="1385"/>
      <c r="AJ70" s="1385"/>
      <c r="AK70" s="1385"/>
      <c r="AL70" s="1385"/>
      <c r="AM70" s="1385"/>
      <c r="AN70" s="1385"/>
      <c r="AO70" s="1385"/>
      <c r="AP70" s="1385"/>
      <c r="AQ70" s="1385"/>
      <c r="AR70" s="1385"/>
      <c r="AS70" s="1385"/>
      <c r="AT70" s="1385"/>
      <c r="AU70" s="1385"/>
      <c r="AV70" s="1385"/>
      <c r="AW70" s="1385"/>
      <c r="AX70" s="1385"/>
      <c r="AY70" s="1385"/>
      <c r="AZ70" s="1385"/>
      <c r="BA70" s="1385"/>
      <c r="BB70" s="1385"/>
      <c r="BC70" s="1385"/>
      <c r="BD70" s="1385"/>
      <c r="BE70" s="1385"/>
      <c r="BF70" s="1385"/>
      <c r="BG70" s="1385"/>
      <c r="BH70" s="1385"/>
      <c r="BI70" s="1385"/>
      <c r="BJ70" s="1385"/>
      <c r="BK70" s="1385"/>
      <c r="BL70" s="1385"/>
      <c r="BM70" s="1385"/>
      <c r="BN70" s="1385"/>
      <c r="BO70" s="1385"/>
      <c r="BP70" s="1385"/>
      <c r="BQ70" s="1385"/>
      <c r="BR70" s="1385"/>
      <c r="BS70" s="1385"/>
      <c r="BT70" s="1385"/>
      <c r="BU70" s="1385"/>
      <c r="BV70" s="1385"/>
      <c r="BW70" s="1385"/>
      <c r="BX70" s="1385"/>
      <c r="BY70" s="1385"/>
      <c r="BZ70" s="1385"/>
      <c r="CA70" s="1385"/>
      <c r="CB70" s="1385"/>
      <c r="CC70" s="1385"/>
      <c r="CD70" s="1385"/>
      <c r="CE70" s="1385"/>
      <c r="CF70" s="1385"/>
      <c r="CG70" s="1385"/>
      <c r="CH70" s="1385"/>
      <c r="CI70" s="1385"/>
      <c r="CJ70" s="1385"/>
      <c r="CK70" s="510" t="s">
        <v>623</v>
      </c>
    </row>
    <row r="71" spans="2:89" s="727" customFormat="1" ht="15" customHeight="1">
      <c r="B71" s="741"/>
      <c r="C71" s="735" t="s">
        <v>508</v>
      </c>
      <c r="D71" s="736"/>
      <c r="E71" s="737"/>
      <c r="F71" s="738"/>
      <c r="G71" s="739"/>
      <c r="H71" s="740">
        <f>SUM($H$15:H15,$H$21:H21,$H$27:H27,$H$33:H33,$H$39:H39,$H$45:H45,$H$51:H51,$H$57:H57,$H$63:H63,$H$69:H69)</f>
        <v>0</v>
      </c>
      <c r="I71" s="740">
        <f>SUM($H$15:I15,$H$21:I21,$H$27:I27,$H$33:I33,$H$39:I39,$H$45:I45,$H$51:I51,$H$57:I57,$H$63:I63,$H$69:I69)</f>
        <v>0</v>
      </c>
      <c r="J71" s="740">
        <f>SUM($H$15:J15,$H$21:J21,$H$27:J27,$H$33:J33,$H$39:J39,$H$45:J45,$H$51:J51,$H$57:J57,$H$63:J63,$H$69:J69)</f>
        <v>0</v>
      </c>
      <c r="K71" s="740">
        <f>SUM($H$15:K15,$H$21:K21,$H$27:K27,$H$33:K33,$H$39:K39,$H$45:K45,$H$51:K51,$H$57:K57,$H$63:K63,$H$69:K69)</f>
        <v>0</v>
      </c>
      <c r="L71" s="740">
        <f>SUM($H$15:L15,$H$21:L21,$H$27:L27,$H$33:L33,$H$39:L39,$H$45:L45,$H$51:L51,$H$57:L57,$H$63:L63,$H$69:L69)</f>
        <v>0</v>
      </c>
      <c r="M71" s="740">
        <f>SUM($H$15:M15,$H$21:M21,$H$27:M27,$H$33:M33,$H$39:M39,$H$45:M45,$H$51:M51,$H$57:M57,$H$63:M63,$H$69:M69)</f>
        <v>0</v>
      </c>
      <c r="N71" s="740">
        <f>SUM($H$15:N15,$H$21:N21,$H$27:N27,$H$33:N33,$H$39:N39,$H$45:N45,$H$51:N51,$H$57:N57,$H$63:N63,$H$69:N69)</f>
        <v>0</v>
      </c>
      <c r="O71" s="740">
        <f>SUM($H$15:O15,$H$21:O21,$H$27:O27,$H$33:O33,$H$39:O39,$H$45:O45,$H$51:O51,$H$57:O57,$H$63:O63,$H$69:O69)</f>
        <v>0</v>
      </c>
      <c r="P71" s="740">
        <f>SUM($H$15:P15,$H$21:P21,$H$27:P27,$H$33:P33,$H$39:P39,$H$45:P45,$H$51:P51,$H$57:P57,$H$63:P63,$H$69:P69)</f>
        <v>0</v>
      </c>
      <c r="Q71" s="740">
        <f>SUM($H$15:Q15,$H$21:Q21,$H$27:Q27,$H$33:Q33,$H$39:Q39,$H$45:Q45,$H$51:Q51,$H$57:Q57,$H$63:Q63,$H$69:Q69)</f>
        <v>506879.28222003719</v>
      </c>
      <c r="R71" s="740">
        <f>SUM($H$15:R15,$H$21:R21,$H$27:R27,$H$33:R33,$H$39:R39,$H$45:R45,$H$51:R51,$H$57:R57,$H$63:R63,$H$69:R69)</f>
        <v>1016849.2917706848</v>
      </c>
      <c r="S71" s="740">
        <f>SUM($H$15:S15,$H$21:S21,$H$27:S27,$H$33:S33,$H$39:S39,$H$45:S45,$H$51:S51,$H$57:S57,$H$63:S63,$H$69:S69)</f>
        <v>1151914.0761183409</v>
      </c>
      <c r="T71" s="740">
        <f>SUM($H$15:T15,$H$21:T21,$H$27:T27,$H$33:T33,$H$39:T39,$H$45:T45,$H$51:T51,$H$57:T57,$H$63:T63,$H$69:T69)</f>
        <v>1650413.9277777548</v>
      </c>
      <c r="U71" s="740">
        <f>SUM($H$15:U15,$H$21:U21,$H$27:U27,$H$33:U33,$H$39:U39,$H$45:U45,$H$51:U51,$H$57:U57,$H$63:U63,$H$69:U69)</f>
        <v>2193935.3742197212</v>
      </c>
      <c r="V71" s="740">
        <f>SUM($H$15:V15,$H$21:V21,$H$27:V27,$H$33:V33,$H$39:V39,$H$45:V45,$H$51:V51,$H$57:V57,$H$63:V63,$H$69:V69)</f>
        <v>2774751.597117715</v>
      </c>
      <c r="W71" s="740">
        <f>SUM($H$15:W15,$H$21:W21,$H$27:W27,$H$33:W33,$H$39:W39,$H$45:W45,$H$51:W51,$H$57:W57,$H$63:W63,$H$69:W69)</f>
        <v>3237210.1966373348</v>
      </c>
      <c r="X71" s="740">
        <f>SUM($H$15:X15,$H$21:X21,$H$27:X27,$H$33:X33,$H$39:X39,$H$45:X45,$H$51:X51,$H$57:X57,$H$63:X63,$H$69:X69)</f>
        <v>4393356.6954363827</v>
      </c>
      <c r="Y71" s="740">
        <f>SUM($H$15:Y15,$H$21:Y21,$H$27:Y27,$H$33:Y33,$H$39:Y39,$H$45:Y45,$H$51:Y51,$H$57:Y57,$H$63:Y63,$H$69:Y69)</f>
        <v>4393356.6954363827</v>
      </c>
      <c r="Z71" s="740">
        <f>SUM($H$15:Z15,$H$21:Z21,$H$27:Z27,$H$33:Z33,$H$39:Z39,$H$45:Z45,$H$51:Z51,$H$57:Z57,$H$63:Z63,$H$69:Z69)</f>
        <v>4393356.6954363827</v>
      </c>
      <c r="AA71" s="740">
        <f>SUM($H$15:AA15,$H$21:AA21,$H$27:AA27,$H$33:AA33,$H$39:AA39,$H$45:AA45,$H$51:AA51,$H$57:AA57,$H$63:AA63,$H$69:AA69)</f>
        <v>4624585.9951961944</v>
      </c>
      <c r="AB71" s="740">
        <f>SUM($H$15:AB15,$H$21:AB21,$H$27:AB27,$H$33:AB33,$H$39:AB39,$H$45:AB45,$H$51:AB51,$H$57:AB57,$H$63:AB63,$H$69:AB69)</f>
        <v>4624585.9951961944</v>
      </c>
      <c r="AC71" s="740">
        <f>SUM($H$15:AC15,$H$21:AC21,$H$27:AC27,$H$33:AC33,$H$39:AC39,$H$45:AC45,$H$51:AC51,$H$57:AC57,$H$63:AC63,$H$69:AC69)</f>
        <v>4624585.9951961944</v>
      </c>
      <c r="AD71" s="740">
        <f>SUM($H$15:AD15,$H$21:AD21,$H$27:AD27,$H$33:AD33,$H$39:AD39,$H$45:AD45,$H$51:AD51,$H$57:AD57,$H$63:AD63,$H$69:AD69)</f>
        <v>4624585.9951961944</v>
      </c>
      <c r="AE71" s="740">
        <f>SUM($H$15:AE15,$H$21:AE21,$H$27:AE27,$H$33:AE33,$H$39:AE39,$H$45:AE45,$H$51:AE51,$H$57:AE57,$H$63:AE63,$H$69:AE69)</f>
        <v>4624585.9951961944</v>
      </c>
      <c r="AF71" s="740">
        <f>SUM($H$15:AF15,$H$21:AF21,$H$27:AF27,$H$33:AF33,$H$39:AF39,$H$45:AF45,$H$51:AF51,$H$57:AF57,$H$63:AF63,$H$69:AF69)</f>
        <v>4624585.9951961944</v>
      </c>
      <c r="AG71" s="740">
        <f>SUM($H$15:AG15,$H$21:AG21,$H$27:AG27,$H$33:AG33,$H$39:AG39,$H$45:AG45,$H$51:AG51,$H$57:AG57,$H$63:AG63,$H$69:AG69)</f>
        <v>4624585.9951961944</v>
      </c>
      <c r="AH71" s="740">
        <f>SUM($H$15:AH15,$H$21:AH21,$H$27:AH27,$H$33:AH33,$H$39:AH39,$H$45:AH45,$H$51:AH51,$H$57:AH57,$H$63:AH63,$H$69:AH69)</f>
        <v>4624585.9951961944</v>
      </c>
      <c r="AI71" s="740">
        <f>SUM($H$15:AI15,$H$21:AI21,$H$27:AI27,$H$33:AI33,$H$39:AI39,$H$45:AI45,$H$51:AI51,$H$57:AI57,$H$63:AI63,$H$69:AI69)</f>
        <v>4624585.9951961944</v>
      </c>
      <c r="AJ71" s="740">
        <f>SUM($H$15:AJ15,$H$21:AJ21,$H$27:AJ27,$H$33:AJ33,$H$39:AJ39,$H$45:AJ45,$H$51:AJ51,$H$57:AJ57,$H$63:AJ63,$H$69:AJ69)</f>
        <v>4624585.9951961944</v>
      </c>
      <c r="AK71" s="740">
        <f>SUM($H$15:AK15,$H$21:AK21,$H$27:AK27,$H$33:AK33,$H$39:AK39,$H$45:AK45,$H$51:AK51,$H$57:AK57,$H$63:AK63,$H$69:AK69)</f>
        <v>4624585.9951961944</v>
      </c>
      <c r="AL71" s="740">
        <f>SUM($H$15:AL15,$H$21:AL21,$H$27:AL27,$H$33:AL33,$H$39:AL39,$H$45:AL45,$H$51:AL51,$H$57:AL57,$H$63:AL63,$H$69:AL69)</f>
        <v>4624585.9951961944</v>
      </c>
      <c r="AM71" s="740">
        <f>SUM($H$15:AM15,$H$21:AM21,$H$27:AM27,$H$33:AM33,$H$39:AM39,$H$45:AM45,$H$51:AM51,$H$57:AM57,$H$63:AM63,$H$69:AM69)</f>
        <v>4624585.9951961944</v>
      </c>
      <c r="AN71" s="740">
        <f>SUM($H$15:AN15,$H$21:AN21,$H$27:AN27,$H$33:AN33,$H$39:AN39,$H$45:AN45,$H$51:AN51,$H$57:AN57,$H$63:AN63,$H$69:AN69)</f>
        <v>4624585.9951961944</v>
      </c>
      <c r="AO71" s="740">
        <f>SUM($H$15:AO15,$H$21:AO21,$H$27:AO27,$H$33:AO33,$H$39:AO39,$H$45:AO45,$H$51:AO51,$H$57:AO57,$H$63:AO63,$H$69:AO69)</f>
        <v>4624585.9951961944</v>
      </c>
      <c r="AP71" s="740">
        <f>SUM($H$15:AP15,$H$21:AP21,$H$27:AP27,$H$33:AP33,$H$39:AP39,$H$45:AP45,$H$51:AP51,$H$57:AP57,$H$63:AP63,$H$69:AP69)</f>
        <v>4624585.9951961944</v>
      </c>
      <c r="AQ71" s="740">
        <f>SUM($H$15:AQ15,$H$21:AQ21,$H$27:AQ27,$H$33:AQ33,$H$39:AQ39,$H$45:AQ45,$H$51:AQ51,$H$57:AQ57,$H$63:AQ63,$H$69:AQ69)</f>
        <v>4624585.9951961944</v>
      </c>
      <c r="AR71" s="740">
        <f>SUM($H$15:AR15,$H$21:AR21,$H$27:AR27,$H$33:AR33,$H$39:AR39,$H$45:AR45,$H$51:AR51,$H$57:AR57,$H$63:AR63,$H$69:AR69)</f>
        <v>4624585.9951961944</v>
      </c>
      <c r="AS71" s="740">
        <f>SUM($H$15:AS15,$H$21:AS21,$H$27:AS27,$H$33:AS33,$H$39:AS39,$H$45:AS45,$H$51:AS51,$H$57:AS57,$H$63:AS63,$H$69:AS69)</f>
        <v>4624585.9951961944</v>
      </c>
      <c r="AT71" s="740">
        <f>SUM($H$15:AT15,$H$21:AT21,$H$27:AT27,$H$33:AT33,$H$39:AT39,$H$45:AT45,$H$51:AT51,$H$57:AT57,$H$63:AT63,$H$69:AT69)</f>
        <v>4624585.9951961944</v>
      </c>
      <c r="AU71" s="740">
        <f>SUM($H$15:AU15,$H$21:AU21,$H$27:AU27,$H$33:AU33,$H$39:AU39,$H$45:AU45,$H$51:AU51,$H$57:AU57,$H$63:AU63,$H$69:AU69)</f>
        <v>4624585.9951961944</v>
      </c>
      <c r="AV71" s="740">
        <f>SUM($H$15:AV15,$H$21:AV21,$H$27:AV27,$H$33:AV33,$H$39:AV39,$H$45:AV45,$H$51:AV51,$H$57:AV57,$H$63:AV63,$H$69:AV69)</f>
        <v>4624585.9951961944</v>
      </c>
      <c r="AW71" s="740">
        <f>SUM($H$15:AW15,$H$21:AW21,$H$27:AW27,$H$33:AW33,$H$39:AW39,$H$45:AW45,$H$51:AW51,$H$57:AW57,$H$63:AW63,$H$69:AW69)</f>
        <v>4624585.9951961944</v>
      </c>
      <c r="AX71" s="740">
        <f>SUM($H$15:AX15,$H$21:AX21,$H$27:AX27,$H$33:AX33,$H$39:AX39,$H$45:AX45,$H$51:AX51,$H$57:AX57,$H$63:AX63,$H$69:AX69)</f>
        <v>4624585.9951961944</v>
      </c>
      <c r="AY71" s="740">
        <f>SUM($H$15:AY15,$H$21:AY21,$H$27:AY27,$H$33:AY33,$H$39:AY39,$H$45:AY45,$H$51:AY51,$H$57:AY57,$H$63:AY63,$H$69:AY69)</f>
        <v>4624585.9951961944</v>
      </c>
      <c r="AZ71" s="740">
        <f>SUM($H$15:AZ15,$H$21:AZ21,$H$27:AZ27,$H$33:AZ33,$H$39:AZ39,$H$45:AZ45,$H$51:AZ51,$H$57:AZ57,$H$63:AZ63,$H$69:AZ69)</f>
        <v>4624585.9951961944</v>
      </c>
      <c r="BA71" s="740">
        <f>SUM($H$15:BA15,$H$21:BA21,$H$27:BA27,$H$33:BA33,$H$39:BA39,$H$45:BA45,$H$51:BA51,$H$57:BA57,$H$63:BA63,$H$69:BA69)</f>
        <v>4624585.9951961944</v>
      </c>
      <c r="BB71" s="740">
        <f>SUM($H$15:BB15,$H$21:BB21,$H$27:BB27,$H$33:BB33,$H$39:BB39,$H$45:BB45,$H$51:BB51,$H$57:BB57,$H$63:BB63,$H$69:BB69)</f>
        <v>4624585.9951961944</v>
      </c>
      <c r="BC71" s="740">
        <f>SUM($H$15:BC15,$H$21:BC21,$H$27:BC27,$H$33:BC33,$H$39:BC39,$H$45:BC45,$H$51:BC51,$H$57:BC57,$H$63:BC63,$H$69:BC69)</f>
        <v>4624585.9951961944</v>
      </c>
      <c r="BD71" s="740">
        <f>SUM($H$15:BD15,$H$21:BD21,$H$27:BD27,$H$33:BD33,$H$39:BD39,$H$45:BD45,$H$51:BD51,$H$57:BD57,$H$63:BD63,$H$69:BD69)</f>
        <v>4624585.9951961944</v>
      </c>
      <c r="BE71" s="740">
        <f>SUM($H$15:BE15,$H$21:BE21,$H$27:BE27,$H$33:BE33,$H$39:BE39,$H$45:BE45,$H$51:BE51,$H$57:BE57,$H$63:BE63,$H$69:BE69)</f>
        <v>4624585.9951961944</v>
      </c>
      <c r="BF71" s="740">
        <f>SUM($H$15:BF15,$H$21:BF21,$H$27:BF27,$H$33:BF33,$H$39:BF39,$H$45:BF45,$H$51:BF51,$H$57:BF57,$H$63:BF63,$H$69:BF69)</f>
        <v>4624585.9951961944</v>
      </c>
      <c r="BG71" s="740">
        <f>SUM($H$15:BG15,$H$21:BG21,$H$27:BG27,$H$33:BG33,$H$39:BG39,$H$45:BG45,$H$51:BG51,$H$57:BG57,$H$63:BG63,$H$69:BG69)</f>
        <v>4624585.9951961944</v>
      </c>
      <c r="BH71" s="740">
        <f>SUM($H$15:BH15,$H$21:BH21,$H$27:BH27,$H$33:BH33,$H$39:BH39,$H$45:BH45,$H$51:BH51,$H$57:BH57,$H$63:BH63,$H$69:BH69)</f>
        <v>4624585.9951961944</v>
      </c>
      <c r="BI71" s="740">
        <f>SUM($H$15:BI15,$H$21:BI21,$H$27:BI27,$H$33:BI33,$H$39:BI39,$H$45:BI45,$H$51:BI51,$H$57:BI57,$H$63:BI63,$H$69:BI69)</f>
        <v>4624585.9951961944</v>
      </c>
      <c r="BJ71" s="740">
        <f>SUM($H$15:BJ15,$H$21:BJ21,$H$27:BJ27,$H$33:BJ33,$H$39:BJ39,$H$45:BJ45,$H$51:BJ51,$H$57:BJ57,$H$63:BJ63,$H$69:BJ69)</f>
        <v>4624585.9951961944</v>
      </c>
      <c r="BK71" s="740">
        <f>SUM($H$15:BK15,$H$21:BK21,$H$27:BK27,$H$33:BK33,$H$39:BK39,$H$45:BK45,$H$51:BK51,$H$57:BK57,$H$63:BK63,$H$69:BK69)</f>
        <v>4624585.9951961944</v>
      </c>
      <c r="BL71" s="740">
        <f>SUM($H$15:BL15,$H$21:BL21,$H$27:BL27,$H$33:BL33,$H$39:BL39,$H$45:BL45,$H$51:BL51,$H$57:BL57,$H$63:BL63,$H$69:BL69)</f>
        <v>4624585.9951961944</v>
      </c>
      <c r="BM71" s="740">
        <f>SUM($H$15:BM15,$H$21:BM21,$H$27:BM27,$H$33:BM33,$H$39:BM39,$H$45:BM45,$H$51:BM51,$H$57:BM57,$H$63:BM63,$H$69:BM69)</f>
        <v>4624585.9951961944</v>
      </c>
      <c r="BN71" s="740">
        <f>SUM($H$15:BN15,$H$21:BN21,$H$27:BN27,$H$33:BN33,$H$39:BN39,$H$45:BN45,$H$51:BN51,$H$57:BN57,$H$63:BN63,$H$69:BN69)</f>
        <v>4624585.9951961944</v>
      </c>
      <c r="BO71" s="740">
        <f>SUM($H$15:BO15,$H$21:BO21,$H$27:BO27,$H$33:BO33,$H$39:BO39,$H$45:BO45,$H$51:BO51,$H$57:BO57,$H$63:BO63,$H$69:BO69)</f>
        <v>4624585.9951961944</v>
      </c>
      <c r="BP71" s="740">
        <f>SUM($H$15:BP15,$H$21:BP21,$H$27:BP27,$H$33:BP33,$H$39:BP39,$H$45:BP45,$H$51:BP51,$H$57:BP57,$H$63:BP63,$H$69:BP69)</f>
        <v>4624585.9951961944</v>
      </c>
      <c r="BQ71" s="740">
        <f>SUM($H$15:BQ15,$H$21:BQ21,$H$27:BQ27,$H$33:BQ33,$H$39:BQ39,$H$45:BQ45,$H$51:BQ51,$H$57:BQ57,$H$63:BQ63,$H$69:BQ69)</f>
        <v>4624585.9951961944</v>
      </c>
      <c r="BR71" s="740">
        <f>SUM($H$15:BR15,$H$21:BR21,$H$27:BR27,$H$33:BR33,$H$39:BR39,$H$45:BR45,$H$51:BR51,$H$57:BR57,$H$63:BR63,$H$69:BR69)</f>
        <v>4624585.9951961944</v>
      </c>
      <c r="BS71" s="740">
        <f>SUM($H$15:BS15,$H$21:BS21,$H$27:BS27,$H$33:BS33,$H$39:BS39,$H$45:BS45,$H$51:BS51,$H$57:BS57,$H$63:BS63,$H$69:BS69)</f>
        <v>4624585.9951961944</v>
      </c>
      <c r="BT71" s="740">
        <f>SUM($H$15:BT15,$H$21:BT21,$H$27:BT27,$H$33:BT33,$H$39:BT39,$H$45:BT45,$H$51:BT51,$H$57:BT57,$H$63:BT63,$H$69:BT69)</f>
        <v>4624585.9951961944</v>
      </c>
      <c r="BU71" s="740">
        <f>SUM($H$15:BU15,$H$21:BU21,$H$27:BU27,$H$33:BU33,$H$39:BU39,$H$45:BU45,$H$51:BU51,$H$57:BU57,$H$63:BU63,$H$69:BU69)</f>
        <v>4624585.9951961944</v>
      </c>
      <c r="BV71" s="740">
        <f>SUM($H$15:BV15,$H$21:BV21,$H$27:BV27,$H$33:BV33,$H$39:BV39,$H$45:BV45,$H$51:BV51,$H$57:BV57,$H$63:BV63,$H$69:BV69)</f>
        <v>4624585.9951961944</v>
      </c>
      <c r="BW71" s="740">
        <f>SUM($H$15:BW15,$H$21:BW21,$H$27:BW27,$H$33:BW33,$H$39:BW39,$H$45:BW45,$H$51:BW51,$H$57:BW57,$H$63:BW63,$H$69:BW69)</f>
        <v>4624585.9951961944</v>
      </c>
      <c r="BX71" s="740">
        <f>SUM($H$15:BX15,$H$21:BX21,$H$27:BX27,$H$33:BX33,$H$39:BX39,$H$45:BX45,$H$51:BX51,$H$57:BX57,$H$63:BX63,$H$69:BX69)</f>
        <v>4624585.9951961944</v>
      </c>
      <c r="BY71" s="740">
        <f>SUM($H$15:BY15,$H$21:BY21,$H$27:BY27,$H$33:BY33,$H$39:BY39,$H$45:BY45,$H$51:BY51,$H$57:BY57,$H$63:BY63,$H$69:BY69)</f>
        <v>4624585.9951961944</v>
      </c>
      <c r="BZ71" s="740">
        <f>SUM($H$15:BZ15,$H$21:BZ21,$H$27:BZ27,$H$33:BZ33,$H$39:BZ39,$H$45:BZ45,$H$51:BZ51,$H$57:BZ57,$H$63:BZ63,$H$69:BZ69)</f>
        <v>4624585.9951961944</v>
      </c>
      <c r="CA71" s="740">
        <f>SUM($H$15:CA15,$H$21:CA21,$H$27:CA27,$H$33:CA33,$H$39:CA39,$H$45:CA45,$H$51:CA51,$H$57:CA57,$H$63:CA63,$H$69:CA69)</f>
        <v>4624585.9951961944</v>
      </c>
      <c r="CB71" s="740">
        <f>SUM($H$15:CB15,$H$21:CB21,$H$27:CB27,$H$33:CB33,$H$39:CB39,$H$45:CB45,$H$51:CB51,$H$57:CB57,$H$63:CB63,$H$69:CB69)</f>
        <v>4624585.9951961944</v>
      </c>
      <c r="CC71" s="740">
        <f>SUM($H$15:CC15,$H$21:CC21,$H$27:CC27,$H$33:CC33,$H$39:CC39,$H$45:CC45,$H$51:CC51,$H$57:CC57,$H$63:CC63,$H$69:CC69)</f>
        <v>4624585.9951961944</v>
      </c>
      <c r="CD71" s="740">
        <f>SUM($H$15:CD15,$H$21:CD21,$H$27:CD27,$H$33:CD33,$H$39:CD39,$H$45:CD45,$H$51:CD51,$H$57:CD57,$H$63:CD63,$H$69:CD69)</f>
        <v>4624585.9951961944</v>
      </c>
      <c r="CE71" s="740">
        <f>SUM($H$15:CE15,$H$21:CE21,$H$27:CE27,$H$33:CE33,$H$39:CE39,$H$45:CE45,$H$51:CE51,$H$57:CE57,$H$63:CE63,$H$69:CE69)</f>
        <v>4624585.9951961944</v>
      </c>
      <c r="CF71" s="740">
        <f>SUM($H$15:CF15,$H$21:CF21,$H$27:CF27,$H$33:CF33,$H$39:CF39,$H$45:CF45,$H$51:CF51,$H$57:CF57,$H$63:CF63,$H$69:CF69)</f>
        <v>4624585.9951961944</v>
      </c>
      <c r="CG71" s="740">
        <f>SUM($H$15:CG15,$H$21:CG21,$H$27:CG27,$H$33:CG33,$H$39:CG39,$H$45:CG45,$H$51:CG51,$H$57:CG57,$H$63:CG63,$H$69:CG69)</f>
        <v>4624585.9951961944</v>
      </c>
      <c r="CH71" s="740">
        <f>SUM($H$15:CH15,$H$21:CH21,$H$27:CH27,$H$33:CH33,$H$39:CH39,$H$45:CH45,$H$51:CH51,$H$57:CH57,$H$63:CH63,$H$69:CH69)</f>
        <v>4624585.9951961944</v>
      </c>
      <c r="CI71" s="740">
        <f>SUM($H$15:CI15,$H$21:CI21,$H$27:CI27,$H$33:CI33,$H$39:CI39,$H$45:CI45,$H$51:CI51,$H$57:CI57,$H$63:CI63,$H$69:CI69)</f>
        <v>4624585.9951961944</v>
      </c>
      <c r="CJ71" s="740">
        <f>SUM($H$15:CJ15,$H$21:CJ21,$H$27:CJ27,$H$33:CJ33,$H$39:CJ39,$H$45:CJ45,$H$51:CJ51,$H$57:CJ57,$H$63:CJ63,$H$69:CJ69)</f>
        <v>4624585.9951961944</v>
      </c>
      <c r="CK71" s="510" t="s">
        <v>623</v>
      </c>
    </row>
    <row r="72" spans="2:89" s="728" customFormat="1" ht="15" customHeight="1">
      <c r="B72" s="729"/>
      <c r="C72" s="730" t="s">
        <v>510</v>
      </c>
      <c r="D72" s="731" t="s">
        <v>600</v>
      </c>
      <c r="E72" s="732"/>
      <c r="F72" s="374"/>
      <c r="G72" s="733">
        <f>SUM(H72:AD72)</f>
        <v>46994.826546980956</v>
      </c>
      <c r="H72" s="734">
        <f>IF(H71&gt;($E$14+$E$20+$E$26+$E$32+$E$38+$E$44+$E$50+$E$56+$E$62+$E$68)*0.7,0,H71*1.5%/4)</f>
        <v>0</v>
      </c>
      <c r="I72" s="734">
        <f t="shared" ref="I72:BT72" si="71">IF(I71&gt;($E$14+$E$20+$E$26+$E$32+$E$38+$E$44+$E$50+$E$56+$E$62+$E$68)*0.7,0,I71*1.5%/4)</f>
        <v>0</v>
      </c>
      <c r="J72" s="734">
        <f t="shared" si="71"/>
        <v>0</v>
      </c>
      <c r="K72" s="734">
        <f t="shared" si="71"/>
        <v>0</v>
      </c>
      <c r="L72" s="734">
        <f t="shared" si="71"/>
        <v>0</v>
      </c>
      <c r="M72" s="734">
        <f t="shared" si="71"/>
        <v>0</v>
      </c>
      <c r="N72" s="734">
        <f t="shared" si="71"/>
        <v>0</v>
      </c>
      <c r="O72" s="734">
        <f t="shared" si="71"/>
        <v>0</v>
      </c>
      <c r="P72" s="734">
        <f t="shared" si="71"/>
        <v>0</v>
      </c>
      <c r="Q72" s="734">
        <f t="shared" si="71"/>
        <v>1900.7973083251393</v>
      </c>
      <c r="R72" s="734">
        <f t="shared" si="71"/>
        <v>3813.1848441400675</v>
      </c>
      <c r="S72" s="734">
        <f t="shared" si="71"/>
        <v>4319.6777854437787</v>
      </c>
      <c r="T72" s="734">
        <f t="shared" si="71"/>
        <v>6189.0522291665802</v>
      </c>
      <c r="U72" s="734">
        <f t="shared" si="71"/>
        <v>8227.2576533239535</v>
      </c>
      <c r="V72" s="734">
        <f t="shared" si="71"/>
        <v>10405.318489191432</v>
      </c>
      <c r="W72" s="734">
        <f t="shared" si="71"/>
        <v>12139.538237390005</v>
      </c>
      <c r="X72" s="734">
        <f t="shared" si="71"/>
        <v>0</v>
      </c>
      <c r="Y72" s="734">
        <f t="shared" si="71"/>
        <v>0</v>
      </c>
      <c r="Z72" s="734">
        <f t="shared" si="71"/>
        <v>0</v>
      </c>
      <c r="AA72" s="734">
        <f t="shared" si="71"/>
        <v>0</v>
      </c>
      <c r="AB72" s="734">
        <f t="shared" si="71"/>
        <v>0</v>
      </c>
      <c r="AC72" s="734">
        <f t="shared" si="71"/>
        <v>0</v>
      </c>
      <c r="AD72" s="734">
        <f t="shared" si="71"/>
        <v>0</v>
      </c>
      <c r="AE72" s="734">
        <f t="shared" si="71"/>
        <v>0</v>
      </c>
      <c r="AF72" s="734">
        <f t="shared" si="71"/>
        <v>0</v>
      </c>
      <c r="AG72" s="734">
        <f t="shared" si="71"/>
        <v>0</v>
      </c>
      <c r="AH72" s="734">
        <f t="shared" si="71"/>
        <v>0</v>
      </c>
      <c r="AI72" s="734">
        <f t="shared" si="71"/>
        <v>0</v>
      </c>
      <c r="AJ72" s="734">
        <f t="shared" si="71"/>
        <v>0</v>
      </c>
      <c r="AK72" s="734">
        <f t="shared" si="71"/>
        <v>0</v>
      </c>
      <c r="AL72" s="734">
        <f t="shared" si="71"/>
        <v>0</v>
      </c>
      <c r="AM72" s="734">
        <f t="shared" si="71"/>
        <v>0</v>
      </c>
      <c r="AN72" s="734">
        <f t="shared" si="71"/>
        <v>0</v>
      </c>
      <c r="AO72" s="734">
        <f t="shared" si="71"/>
        <v>0</v>
      </c>
      <c r="AP72" s="734">
        <f t="shared" si="71"/>
        <v>0</v>
      </c>
      <c r="AQ72" s="734">
        <f t="shared" si="71"/>
        <v>0</v>
      </c>
      <c r="AR72" s="734">
        <f t="shared" si="71"/>
        <v>0</v>
      </c>
      <c r="AS72" s="734">
        <f t="shared" si="71"/>
        <v>0</v>
      </c>
      <c r="AT72" s="734">
        <f t="shared" si="71"/>
        <v>0</v>
      </c>
      <c r="AU72" s="734">
        <f t="shared" si="71"/>
        <v>0</v>
      </c>
      <c r="AV72" s="734">
        <f t="shared" si="71"/>
        <v>0</v>
      </c>
      <c r="AW72" s="734">
        <f t="shared" si="71"/>
        <v>0</v>
      </c>
      <c r="AX72" s="734">
        <f t="shared" si="71"/>
        <v>0</v>
      </c>
      <c r="AY72" s="734">
        <f t="shared" si="71"/>
        <v>0</v>
      </c>
      <c r="AZ72" s="734">
        <f t="shared" si="71"/>
        <v>0</v>
      </c>
      <c r="BA72" s="734">
        <f t="shared" si="71"/>
        <v>0</v>
      </c>
      <c r="BB72" s="734">
        <f t="shared" si="71"/>
        <v>0</v>
      </c>
      <c r="BC72" s="734">
        <f t="shared" si="71"/>
        <v>0</v>
      </c>
      <c r="BD72" s="734">
        <f t="shared" si="71"/>
        <v>0</v>
      </c>
      <c r="BE72" s="734">
        <f t="shared" si="71"/>
        <v>0</v>
      </c>
      <c r="BF72" s="734">
        <f t="shared" si="71"/>
        <v>0</v>
      </c>
      <c r="BG72" s="734">
        <f t="shared" si="71"/>
        <v>0</v>
      </c>
      <c r="BH72" s="734">
        <f t="shared" si="71"/>
        <v>0</v>
      </c>
      <c r="BI72" s="734">
        <f t="shared" si="71"/>
        <v>0</v>
      </c>
      <c r="BJ72" s="734">
        <f t="shared" si="71"/>
        <v>0</v>
      </c>
      <c r="BK72" s="734">
        <f t="shared" si="71"/>
        <v>0</v>
      </c>
      <c r="BL72" s="734">
        <f t="shared" si="71"/>
        <v>0</v>
      </c>
      <c r="BM72" s="734">
        <f t="shared" si="71"/>
        <v>0</v>
      </c>
      <c r="BN72" s="734">
        <f t="shared" si="71"/>
        <v>0</v>
      </c>
      <c r="BO72" s="734">
        <f t="shared" si="71"/>
        <v>0</v>
      </c>
      <c r="BP72" s="734">
        <f t="shared" si="71"/>
        <v>0</v>
      </c>
      <c r="BQ72" s="734">
        <f t="shared" si="71"/>
        <v>0</v>
      </c>
      <c r="BR72" s="734">
        <f t="shared" si="71"/>
        <v>0</v>
      </c>
      <c r="BS72" s="734">
        <f t="shared" si="71"/>
        <v>0</v>
      </c>
      <c r="BT72" s="734">
        <f t="shared" si="71"/>
        <v>0</v>
      </c>
      <c r="BU72" s="734">
        <f t="shared" ref="BU72:CJ72" si="72">IF(BU71&gt;($E$14+$E$20+$E$26+$E$32+$E$38+$E$44+$E$50+$E$56+$E$62+$E$68)*0.7,0,BU71*1.5%/4)</f>
        <v>0</v>
      </c>
      <c r="BV72" s="734">
        <f t="shared" si="72"/>
        <v>0</v>
      </c>
      <c r="BW72" s="734">
        <f t="shared" si="72"/>
        <v>0</v>
      </c>
      <c r="BX72" s="734">
        <f t="shared" si="72"/>
        <v>0</v>
      </c>
      <c r="BY72" s="734">
        <f t="shared" si="72"/>
        <v>0</v>
      </c>
      <c r="BZ72" s="734">
        <f t="shared" si="72"/>
        <v>0</v>
      </c>
      <c r="CA72" s="734">
        <f t="shared" si="72"/>
        <v>0</v>
      </c>
      <c r="CB72" s="734">
        <f t="shared" si="72"/>
        <v>0</v>
      </c>
      <c r="CC72" s="734">
        <f t="shared" si="72"/>
        <v>0</v>
      </c>
      <c r="CD72" s="734">
        <f t="shared" si="72"/>
        <v>0</v>
      </c>
      <c r="CE72" s="734">
        <f t="shared" si="72"/>
        <v>0</v>
      </c>
      <c r="CF72" s="734">
        <f t="shared" si="72"/>
        <v>0</v>
      </c>
      <c r="CG72" s="734">
        <f t="shared" si="72"/>
        <v>0</v>
      </c>
      <c r="CH72" s="734">
        <f t="shared" si="72"/>
        <v>0</v>
      </c>
      <c r="CI72" s="734">
        <f t="shared" si="72"/>
        <v>0</v>
      </c>
      <c r="CJ72" s="734">
        <f t="shared" si="72"/>
        <v>0</v>
      </c>
      <c r="CK72" s="510" t="s">
        <v>623</v>
      </c>
    </row>
    <row r="73" spans="2:89" s="320" customFormat="1" ht="15" customHeight="1">
      <c r="B73" s="375"/>
      <c r="C73" s="341"/>
      <c r="D73" s="346"/>
      <c r="E73" s="376"/>
      <c r="F73" s="363"/>
      <c r="G73" s="334"/>
      <c r="H73" s="373"/>
      <c r="I73" s="373"/>
      <c r="J73" s="373"/>
      <c r="K73" s="373"/>
      <c r="L73" s="373"/>
      <c r="M73" s="373"/>
      <c r="N73" s="373"/>
      <c r="O73" s="373"/>
      <c r="P73" s="373"/>
      <c r="Q73" s="373"/>
      <c r="R73" s="373"/>
      <c r="S73" s="373"/>
      <c r="T73" s="377"/>
      <c r="U73" s="377"/>
      <c r="V73" s="377"/>
      <c r="W73" s="378"/>
      <c r="X73" s="377"/>
      <c r="Y73" s="377"/>
      <c r="Z73" s="377"/>
      <c r="AA73" s="377"/>
      <c r="AB73" s="377"/>
      <c r="AC73" s="377"/>
      <c r="AD73" s="377"/>
      <c r="AE73" s="377"/>
      <c r="AF73" s="377"/>
      <c r="AG73" s="377"/>
      <c r="AH73" s="377"/>
      <c r="AI73" s="377"/>
      <c r="AJ73" s="377"/>
      <c r="AK73" s="377"/>
      <c r="AL73" s="377"/>
      <c r="AM73" s="377"/>
      <c r="AN73" s="377"/>
      <c r="AO73" s="377"/>
      <c r="AP73" s="377"/>
      <c r="AQ73" s="377"/>
      <c r="AR73" s="377"/>
      <c r="AS73" s="377"/>
      <c r="AT73" s="377"/>
      <c r="AU73" s="377"/>
      <c r="AV73" s="377"/>
      <c r="AW73" s="377"/>
      <c r="AX73" s="377"/>
      <c r="AY73" s="377"/>
      <c r="AZ73" s="377"/>
      <c r="BA73" s="377"/>
      <c r="BB73" s="377"/>
      <c r="BC73" s="377"/>
      <c r="BD73" s="377"/>
      <c r="BE73" s="377"/>
      <c r="BF73" s="377"/>
      <c r="BG73" s="377"/>
      <c r="BH73" s="377"/>
      <c r="BI73" s="377"/>
      <c r="BJ73" s="377"/>
      <c r="BK73" s="377"/>
      <c r="BL73" s="377"/>
      <c r="BM73" s="377"/>
      <c r="BN73" s="377"/>
      <c r="BO73" s="377"/>
      <c r="BP73" s="377"/>
      <c r="BQ73" s="377"/>
      <c r="BR73" s="377"/>
      <c r="BS73" s="377"/>
      <c r="BT73" s="377"/>
      <c r="BU73" s="377"/>
      <c r="BV73" s="377"/>
      <c r="BW73" s="377"/>
      <c r="BX73" s="377"/>
      <c r="BY73" s="377"/>
      <c r="BZ73" s="377"/>
      <c r="CA73" s="377"/>
      <c r="CB73" s="377"/>
      <c r="CC73" s="377"/>
      <c r="CD73" s="377"/>
      <c r="CE73" s="377"/>
      <c r="CF73" s="377"/>
      <c r="CG73" s="377"/>
      <c r="CH73" s="377"/>
      <c r="CI73" s="377"/>
      <c r="CJ73" s="377"/>
      <c r="CK73" s="510" t="s">
        <v>623</v>
      </c>
    </row>
    <row r="74" spans="2:89" s="321" customFormat="1" ht="15.75" customHeight="1">
      <c r="B74" s="726">
        <v>11</v>
      </c>
      <c r="C74" s="717">
        <f>+'2.Tien do'!C75</f>
        <v>0</v>
      </c>
      <c r="D74" s="717"/>
      <c r="E74" s="718"/>
      <c r="F74" s="719"/>
      <c r="G74" s="720"/>
      <c r="H74" s="721"/>
      <c r="I74" s="721"/>
      <c r="J74" s="722"/>
      <c r="K74" s="722"/>
      <c r="L74" s="722"/>
      <c r="M74" s="722"/>
      <c r="N74" s="722"/>
      <c r="O74" s="722"/>
      <c r="P74" s="722"/>
      <c r="Q74" s="722"/>
      <c r="R74" s="722"/>
      <c r="S74" s="723"/>
      <c r="T74" s="724"/>
      <c r="U74" s="722"/>
      <c r="V74" s="722"/>
      <c r="W74" s="723"/>
      <c r="X74" s="724"/>
      <c r="Y74" s="722"/>
      <c r="Z74" s="722"/>
      <c r="AA74" s="722"/>
      <c r="AB74" s="722"/>
      <c r="AC74" s="722"/>
      <c r="AD74" s="722"/>
      <c r="AE74" s="722"/>
      <c r="AF74" s="722"/>
      <c r="AG74" s="722"/>
      <c r="AH74" s="722"/>
      <c r="AI74" s="722"/>
      <c r="AJ74" s="722"/>
      <c r="AK74" s="722"/>
      <c r="AL74" s="722"/>
      <c r="AM74" s="722"/>
      <c r="AN74" s="722"/>
      <c r="AO74" s="722"/>
      <c r="AP74" s="722"/>
      <c r="AQ74" s="722"/>
      <c r="AR74" s="722"/>
      <c r="AS74" s="722"/>
      <c r="AT74" s="722"/>
      <c r="AU74" s="722"/>
      <c r="AV74" s="722"/>
      <c r="AW74" s="722"/>
      <c r="AX74" s="722"/>
      <c r="AY74" s="722"/>
      <c r="AZ74" s="722"/>
      <c r="BA74" s="722"/>
      <c r="BB74" s="722"/>
      <c r="BC74" s="722"/>
      <c r="BD74" s="722"/>
      <c r="BE74" s="722"/>
      <c r="BF74" s="722"/>
      <c r="BG74" s="722"/>
      <c r="BH74" s="722"/>
      <c r="BI74" s="722"/>
      <c r="BJ74" s="722"/>
      <c r="BK74" s="722"/>
      <c r="BL74" s="722"/>
      <c r="BM74" s="722"/>
      <c r="BN74" s="722"/>
      <c r="BO74" s="722"/>
      <c r="BP74" s="722"/>
      <c r="BQ74" s="722"/>
      <c r="BR74" s="722"/>
      <c r="BS74" s="722"/>
      <c r="BT74" s="722"/>
      <c r="BU74" s="722"/>
      <c r="BV74" s="722"/>
      <c r="BW74" s="722"/>
      <c r="BX74" s="722"/>
      <c r="BY74" s="722"/>
      <c r="BZ74" s="722"/>
      <c r="CA74" s="722"/>
      <c r="CB74" s="722"/>
      <c r="CC74" s="722"/>
      <c r="CD74" s="722"/>
      <c r="CE74" s="722"/>
      <c r="CF74" s="722"/>
      <c r="CG74" s="722"/>
      <c r="CH74" s="722"/>
      <c r="CI74" s="722"/>
      <c r="CJ74" s="722"/>
      <c r="CK74" s="510" t="s">
        <v>623</v>
      </c>
    </row>
    <row r="75" spans="2:89" s="324" customFormat="1" ht="15.75" hidden="1" customHeight="1">
      <c r="B75" s="295"/>
      <c r="C75" s="296" t="s">
        <v>137</v>
      </c>
      <c r="D75" s="297" t="s">
        <v>171</v>
      </c>
      <c r="E75" s="342">
        <v>0.1</v>
      </c>
      <c r="F75" s="359">
        <v>0.05</v>
      </c>
      <c r="G75" s="322"/>
      <c r="H75" s="323">
        <f>'2.Tien do'!E75</f>
        <v>0</v>
      </c>
      <c r="I75" s="323">
        <f>'2.Tien do'!F75</f>
        <v>0</v>
      </c>
      <c r="J75" s="323">
        <f>'2.Tien do'!G75</f>
        <v>0</v>
      </c>
      <c r="K75" s="323">
        <f>'2.Tien do'!H75</f>
        <v>0</v>
      </c>
      <c r="L75" s="323">
        <f>'2.Tien do'!I75</f>
        <v>0</v>
      </c>
      <c r="M75" s="323">
        <f>'2.Tien do'!J75</f>
        <v>0</v>
      </c>
      <c r="N75" s="323">
        <f>'2.Tien do'!K75</f>
        <v>0</v>
      </c>
      <c r="O75" s="323">
        <f>'2.Tien do'!L75</f>
        <v>0</v>
      </c>
      <c r="P75" s="323">
        <f>'2.Tien do'!M75</f>
        <v>0</v>
      </c>
      <c r="Q75" s="323">
        <f>'2.Tien do'!N75</f>
        <v>0</v>
      </c>
      <c r="R75" s="323">
        <f>'2.Tien do'!O75</f>
        <v>0</v>
      </c>
      <c r="S75" s="323">
        <f>'2.Tien do'!P75</f>
        <v>0</v>
      </c>
      <c r="T75" s="323">
        <f>'2.Tien do'!Q75</f>
        <v>0</v>
      </c>
      <c r="U75" s="323">
        <f>'2.Tien do'!R75</f>
        <v>0</v>
      </c>
      <c r="V75" s="323">
        <f>'2.Tien do'!S75</f>
        <v>0</v>
      </c>
      <c r="W75" s="323">
        <f>'2.Tien do'!T75</f>
        <v>0</v>
      </c>
      <c r="X75" s="323">
        <f>'2.Tien do'!U75</f>
        <v>0</v>
      </c>
      <c r="Y75" s="323">
        <f>'2.Tien do'!V75</f>
        <v>0</v>
      </c>
      <c r="Z75" s="323">
        <f>'2.Tien do'!W75</f>
        <v>0</v>
      </c>
      <c r="AA75" s="323">
        <f>'2.Tien do'!X75</f>
        <v>0</v>
      </c>
      <c r="AB75" s="323">
        <f>'2.Tien do'!Y75</f>
        <v>0</v>
      </c>
      <c r="AC75" s="323">
        <f>'2.Tien do'!Z75</f>
        <v>0</v>
      </c>
      <c r="AD75" s="323">
        <f>'2.Tien do'!AA75</f>
        <v>0</v>
      </c>
      <c r="AE75" s="323">
        <f>'2.Tien do'!AB75</f>
        <v>0</v>
      </c>
      <c r="AF75" s="323">
        <f>'2.Tien do'!AC75</f>
        <v>0</v>
      </c>
      <c r="AG75" s="323">
        <f>'2.Tien do'!AD75</f>
        <v>0</v>
      </c>
      <c r="AH75" s="323">
        <f>'2.Tien do'!AE75</f>
        <v>0</v>
      </c>
      <c r="AI75" s="323">
        <f>'2.Tien do'!AF75</f>
        <v>0</v>
      </c>
      <c r="AJ75" s="323">
        <f>'2.Tien do'!AG75</f>
        <v>0</v>
      </c>
      <c r="AK75" s="323">
        <f>'2.Tien do'!AH75</f>
        <v>0</v>
      </c>
      <c r="AL75" s="323">
        <f>'2.Tien do'!AI75</f>
        <v>0</v>
      </c>
      <c r="AM75" s="323">
        <f>'2.Tien do'!AJ75</f>
        <v>0</v>
      </c>
      <c r="AN75" s="323">
        <f>'2.Tien do'!AK75</f>
        <v>0</v>
      </c>
      <c r="AO75" s="323">
        <f>'2.Tien do'!AL75</f>
        <v>0</v>
      </c>
      <c r="AP75" s="323">
        <f>'2.Tien do'!AM75</f>
        <v>0</v>
      </c>
      <c r="AQ75" s="323">
        <f>'2.Tien do'!AN75</f>
        <v>0</v>
      </c>
      <c r="AR75" s="323">
        <f>'2.Tien do'!AO75</f>
        <v>0</v>
      </c>
      <c r="AS75" s="323">
        <f>'2.Tien do'!AP75</f>
        <v>0</v>
      </c>
      <c r="AT75" s="323">
        <f>'2.Tien do'!AQ75</f>
        <v>0</v>
      </c>
      <c r="AU75" s="323">
        <f>'2.Tien do'!AR75</f>
        <v>0</v>
      </c>
      <c r="AV75" s="323">
        <f>'2.Tien do'!AS75</f>
        <v>0</v>
      </c>
      <c r="AW75" s="323">
        <f>'2.Tien do'!AT75</f>
        <v>0</v>
      </c>
      <c r="AX75" s="323">
        <f>'2.Tien do'!AU75</f>
        <v>0</v>
      </c>
      <c r="AY75" s="323">
        <f>'2.Tien do'!AV75</f>
        <v>0</v>
      </c>
      <c r="AZ75" s="323">
        <f>'2.Tien do'!AW75</f>
        <v>0</v>
      </c>
      <c r="BA75" s="323">
        <f>'2.Tien do'!AX75</f>
        <v>0</v>
      </c>
      <c r="BB75" s="323">
        <f>'2.Tien do'!AY75</f>
        <v>0</v>
      </c>
      <c r="BC75" s="323">
        <f>'2.Tien do'!AZ75</f>
        <v>0</v>
      </c>
      <c r="BD75" s="323">
        <f>'2.Tien do'!BA75</f>
        <v>0</v>
      </c>
      <c r="BE75" s="323">
        <f>'2.Tien do'!BB75</f>
        <v>0</v>
      </c>
      <c r="BF75" s="323">
        <f>'2.Tien do'!BC75</f>
        <v>0</v>
      </c>
      <c r="BG75" s="323">
        <f>'2.Tien do'!BD75</f>
        <v>0</v>
      </c>
      <c r="BH75" s="323">
        <f>'2.Tien do'!BE75</f>
        <v>0</v>
      </c>
      <c r="BI75" s="323">
        <f>'2.Tien do'!BF75</f>
        <v>0</v>
      </c>
      <c r="BJ75" s="323">
        <f>'2.Tien do'!BG75</f>
        <v>0</v>
      </c>
      <c r="BK75" s="323">
        <f>'2.Tien do'!BH75</f>
        <v>0</v>
      </c>
      <c r="BL75" s="323">
        <f>'2.Tien do'!BI75</f>
        <v>0</v>
      </c>
      <c r="BM75" s="323">
        <f>'2.Tien do'!BJ75</f>
        <v>0</v>
      </c>
      <c r="BN75" s="323">
        <f>'2.Tien do'!BK75</f>
        <v>0</v>
      </c>
      <c r="BO75" s="323">
        <f>'2.Tien do'!BL75</f>
        <v>0</v>
      </c>
      <c r="BP75" s="323">
        <f>'2.Tien do'!BM75</f>
        <v>0</v>
      </c>
      <c r="BQ75" s="323">
        <f>'2.Tien do'!BN75</f>
        <v>0</v>
      </c>
      <c r="BR75" s="323">
        <f>'2.Tien do'!BO75</f>
        <v>0</v>
      </c>
      <c r="BS75" s="323">
        <f>'2.Tien do'!BP75</f>
        <v>0</v>
      </c>
      <c r="BT75" s="323">
        <f>'2.Tien do'!BQ75</f>
        <v>0</v>
      </c>
      <c r="BU75" s="323">
        <f>'2.Tien do'!BR75</f>
        <v>0</v>
      </c>
      <c r="BV75" s="323">
        <f>'2.Tien do'!BS75</f>
        <v>0</v>
      </c>
      <c r="BW75" s="323">
        <f>'2.Tien do'!BT75</f>
        <v>0</v>
      </c>
      <c r="BX75" s="323">
        <f>'2.Tien do'!BU75</f>
        <v>0</v>
      </c>
      <c r="BY75" s="323">
        <f>'2.Tien do'!BV75</f>
        <v>0</v>
      </c>
      <c r="BZ75" s="323">
        <f>'2.Tien do'!BW75</f>
        <v>0</v>
      </c>
      <c r="CA75" s="323">
        <f>'2.Tien do'!BX75</f>
        <v>0</v>
      </c>
      <c r="CB75" s="323">
        <f>'2.Tien do'!BY75</f>
        <v>0</v>
      </c>
      <c r="CC75" s="323">
        <f>'2.Tien do'!BZ75</f>
        <v>0</v>
      </c>
      <c r="CD75" s="323">
        <f>'2.Tien do'!CA75</f>
        <v>0</v>
      </c>
      <c r="CE75" s="323">
        <f>'2.Tien do'!CB75</f>
        <v>0</v>
      </c>
      <c r="CF75" s="323">
        <f>'2.Tien do'!CC75</f>
        <v>0</v>
      </c>
      <c r="CG75" s="323">
        <f>'2.Tien do'!CD75</f>
        <v>0</v>
      </c>
      <c r="CH75" s="323">
        <f>'2.Tien do'!CE75</f>
        <v>0</v>
      </c>
      <c r="CI75" s="323">
        <f>'2.Tien do'!CF75</f>
        <v>0</v>
      </c>
      <c r="CJ75" s="323">
        <f>'2.Tien do'!CG75</f>
        <v>0</v>
      </c>
      <c r="CK75" s="510" t="s">
        <v>623</v>
      </c>
    </row>
    <row r="76" spans="2:89" s="327" customFormat="1" ht="15.75" hidden="1" customHeight="1">
      <c r="B76" s="299"/>
      <c r="C76" s="300" t="s">
        <v>68</v>
      </c>
      <c r="D76" s="301" t="s">
        <v>3</v>
      </c>
      <c r="E76" s="302">
        <f>+'1. thong tin quy hoach'!D44</f>
        <v>0</v>
      </c>
      <c r="F76" s="360">
        <v>1966</v>
      </c>
      <c r="G76" s="325"/>
      <c r="H76" s="326">
        <f t="shared" ref="H76:AB76" si="73">$E76*H75</f>
        <v>0</v>
      </c>
      <c r="I76" s="326">
        <f t="shared" si="73"/>
        <v>0</v>
      </c>
      <c r="J76" s="326">
        <f t="shared" si="73"/>
        <v>0</v>
      </c>
      <c r="K76" s="326">
        <f t="shared" si="73"/>
        <v>0</v>
      </c>
      <c r="L76" s="326">
        <f t="shared" si="73"/>
        <v>0</v>
      </c>
      <c r="M76" s="326">
        <f t="shared" si="73"/>
        <v>0</v>
      </c>
      <c r="N76" s="326">
        <f t="shared" si="73"/>
        <v>0</v>
      </c>
      <c r="O76" s="326">
        <f t="shared" si="73"/>
        <v>0</v>
      </c>
      <c r="P76" s="326">
        <f t="shared" si="73"/>
        <v>0</v>
      </c>
      <c r="Q76" s="326">
        <f t="shared" si="73"/>
        <v>0</v>
      </c>
      <c r="R76" s="326">
        <f t="shared" si="73"/>
        <v>0</v>
      </c>
      <c r="S76" s="326">
        <f t="shared" si="73"/>
        <v>0</v>
      </c>
      <c r="T76" s="326">
        <f t="shared" si="73"/>
        <v>0</v>
      </c>
      <c r="U76" s="326">
        <f t="shared" si="73"/>
        <v>0</v>
      </c>
      <c r="V76" s="326">
        <f t="shared" si="73"/>
        <v>0</v>
      </c>
      <c r="W76" s="326">
        <f t="shared" si="73"/>
        <v>0</v>
      </c>
      <c r="X76" s="326">
        <f t="shared" si="73"/>
        <v>0</v>
      </c>
      <c r="Y76" s="326">
        <f t="shared" si="73"/>
        <v>0</v>
      </c>
      <c r="Z76" s="326">
        <f t="shared" si="73"/>
        <v>0</v>
      </c>
      <c r="AA76" s="326">
        <f t="shared" si="73"/>
        <v>0</v>
      </c>
      <c r="AB76" s="326">
        <f t="shared" si="73"/>
        <v>0</v>
      </c>
      <c r="AC76" s="326">
        <f t="shared" ref="AC76:BY76" si="74">$E76*AC75</f>
        <v>0</v>
      </c>
      <c r="AD76" s="326">
        <f t="shared" si="74"/>
        <v>0</v>
      </c>
      <c r="AE76" s="326">
        <f t="shared" si="74"/>
        <v>0</v>
      </c>
      <c r="AF76" s="326">
        <f t="shared" si="74"/>
        <v>0</v>
      </c>
      <c r="AG76" s="326">
        <f t="shared" si="74"/>
        <v>0</v>
      </c>
      <c r="AH76" s="326">
        <f t="shared" si="74"/>
        <v>0</v>
      </c>
      <c r="AI76" s="326">
        <f t="shared" si="74"/>
        <v>0</v>
      </c>
      <c r="AJ76" s="326">
        <f t="shared" si="74"/>
        <v>0</v>
      </c>
      <c r="AK76" s="326">
        <f t="shared" si="74"/>
        <v>0</v>
      </c>
      <c r="AL76" s="326">
        <f t="shared" si="74"/>
        <v>0</v>
      </c>
      <c r="AM76" s="326">
        <f t="shared" si="74"/>
        <v>0</v>
      </c>
      <c r="AN76" s="326">
        <f t="shared" si="74"/>
        <v>0</v>
      </c>
      <c r="AO76" s="326">
        <f t="shared" si="74"/>
        <v>0</v>
      </c>
      <c r="AP76" s="326">
        <f t="shared" si="74"/>
        <v>0</v>
      </c>
      <c r="AQ76" s="326">
        <f t="shared" si="74"/>
        <v>0</v>
      </c>
      <c r="AR76" s="326">
        <f t="shared" si="74"/>
        <v>0</v>
      </c>
      <c r="AS76" s="326">
        <f t="shared" si="74"/>
        <v>0</v>
      </c>
      <c r="AT76" s="326">
        <f t="shared" si="74"/>
        <v>0</v>
      </c>
      <c r="AU76" s="326">
        <f t="shared" si="74"/>
        <v>0</v>
      </c>
      <c r="AV76" s="326">
        <f t="shared" si="74"/>
        <v>0</v>
      </c>
      <c r="AW76" s="326">
        <f t="shared" si="74"/>
        <v>0</v>
      </c>
      <c r="AX76" s="326">
        <f t="shared" si="74"/>
        <v>0</v>
      </c>
      <c r="AY76" s="326">
        <f t="shared" si="74"/>
        <v>0</v>
      </c>
      <c r="AZ76" s="326">
        <f t="shared" si="74"/>
        <v>0</v>
      </c>
      <c r="BA76" s="326">
        <f t="shared" si="74"/>
        <v>0</v>
      </c>
      <c r="BB76" s="326">
        <f t="shared" si="74"/>
        <v>0</v>
      </c>
      <c r="BC76" s="326">
        <f t="shared" si="74"/>
        <v>0</v>
      </c>
      <c r="BD76" s="326">
        <f t="shared" si="74"/>
        <v>0</v>
      </c>
      <c r="BE76" s="326">
        <f t="shared" si="74"/>
        <v>0</v>
      </c>
      <c r="BF76" s="326">
        <f t="shared" si="74"/>
        <v>0</v>
      </c>
      <c r="BG76" s="326">
        <f t="shared" si="74"/>
        <v>0</v>
      </c>
      <c r="BH76" s="326">
        <f t="shared" si="74"/>
        <v>0</v>
      </c>
      <c r="BI76" s="326">
        <f t="shared" si="74"/>
        <v>0</v>
      </c>
      <c r="BJ76" s="326">
        <f t="shared" si="74"/>
        <v>0</v>
      </c>
      <c r="BK76" s="326">
        <f t="shared" si="74"/>
        <v>0</v>
      </c>
      <c r="BL76" s="326">
        <f t="shared" si="74"/>
        <v>0</v>
      </c>
      <c r="BM76" s="326">
        <f t="shared" si="74"/>
        <v>0</v>
      </c>
      <c r="BN76" s="326">
        <f t="shared" si="74"/>
        <v>0</v>
      </c>
      <c r="BO76" s="326">
        <f t="shared" si="74"/>
        <v>0</v>
      </c>
      <c r="BP76" s="326">
        <f t="shared" si="74"/>
        <v>0</v>
      </c>
      <c r="BQ76" s="326">
        <f t="shared" si="74"/>
        <v>0</v>
      </c>
      <c r="BR76" s="326">
        <f t="shared" si="74"/>
        <v>0</v>
      </c>
      <c r="BS76" s="326">
        <f t="shared" si="74"/>
        <v>0</v>
      </c>
      <c r="BT76" s="326">
        <f t="shared" si="74"/>
        <v>0</v>
      </c>
      <c r="BU76" s="326">
        <f t="shared" si="74"/>
        <v>0</v>
      </c>
      <c r="BV76" s="326">
        <f t="shared" si="74"/>
        <v>0</v>
      </c>
      <c r="BW76" s="326">
        <f t="shared" si="74"/>
        <v>0</v>
      </c>
      <c r="BX76" s="326">
        <f t="shared" si="74"/>
        <v>0</v>
      </c>
      <c r="BY76" s="326">
        <f t="shared" si="74"/>
        <v>0</v>
      </c>
      <c r="BZ76" s="326">
        <f t="shared" ref="BZ76:CJ76" si="75">$E76*BZ75</f>
        <v>0</v>
      </c>
      <c r="CA76" s="326">
        <f t="shared" si="75"/>
        <v>0</v>
      </c>
      <c r="CB76" s="326">
        <f t="shared" si="75"/>
        <v>0</v>
      </c>
      <c r="CC76" s="326">
        <f t="shared" si="75"/>
        <v>0</v>
      </c>
      <c r="CD76" s="326">
        <f t="shared" si="75"/>
        <v>0</v>
      </c>
      <c r="CE76" s="326">
        <f t="shared" si="75"/>
        <v>0</v>
      </c>
      <c r="CF76" s="326">
        <f t="shared" si="75"/>
        <v>0</v>
      </c>
      <c r="CG76" s="326">
        <f t="shared" si="75"/>
        <v>0</v>
      </c>
      <c r="CH76" s="326">
        <f t="shared" si="75"/>
        <v>0</v>
      </c>
      <c r="CI76" s="326">
        <f t="shared" si="75"/>
        <v>0</v>
      </c>
      <c r="CJ76" s="326">
        <f t="shared" si="75"/>
        <v>0</v>
      </c>
      <c r="CK76" s="510" t="s">
        <v>623</v>
      </c>
    </row>
    <row r="77" spans="2:89" s="330" customFormat="1" ht="15.75" hidden="1" customHeight="1">
      <c r="B77" s="303"/>
      <c r="C77" s="304" t="s">
        <v>343</v>
      </c>
      <c r="D77" s="305" t="s">
        <v>31</v>
      </c>
      <c r="E77" s="306">
        <f>+'8.ĐO NHAY'!J11*0.34</f>
        <v>0</v>
      </c>
      <c r="F77" s="361">
        <v>12</v>
      </c>
      <c r="G77" s="328"/>
      <c r="H77" s="329">
        <f t="shared" ref="H77:R77" si="76">IF(H76&gt;0,$E77,0)</f>
        <v>0</v>
      </c>
      <c r="I77" s="329">
        <f t="shared" si="76"/>
        <v>0</v>
      </c>
      <c r="J77" s="329">
        <f t="shared" si="76"/>
        <v>0</v>
      </c>
      <c r="K77" s="329">
        <f t="shared" si="76"/>
        <v>0</v>
      </c>
      <c r="L77" s="329">
        <f t="shared" si="76"/>
        <v>0</v>
      </c>
      <c r="M77" s="329">
        <f t="shared" si="76"/>
        <v>0</v>
      </c>
      <c r="N77" s="329">
        <f t="shared" si="76"/>
        <v>0</v>
      </c>
      <c r="O77" s="329">
        <f t="shared" si="76"/>
        <v>0</v>
      </c>
      <c r="P77" s="329">
        <f t="shared" si="76"/>
        <v>0</v>
      </c>
      <c r="Q77" s="329">
        <f t="shared" si="76"/>
        <v>0</v>
      </c>
      <c r="R77" s="329">
        <f t="shared" si="76"/>
        <v>0</v>
      </c>
      <c r="S77" s="329">
        <f t="shared" ref="S77:U77" si="77">IF(S76&gt;0,$E77,0)</f>
        <v>0</v>
      </c>
      <c r="T77" s="329">
        <f t="shared" si="77"/>
        <v>0</v>
      </c>
      <c r="U77" s="329">
        <f t="shared" si="77"/>
        <v>0</v>
      </c>
      <c r="V77" s="329">
        <f t="shared" ref="V77:CG77" si="78">IF(V76&gt;0,$E77,0)</f>
        <v>0</v>
      </c>
      <c r="W77" s="329">
        <f t="shared" si="78"/>
        <v>0</v>
      </c>
      <c r="X77" s="329">
        <f t="shared" si="78"/>
        <v>0</v>
      </c>
      <c r="Y77" s="329">
        <f t="shared" si="78"/>
        <v>0</v>
      </c>
      <c r="Z77" s="329">
        <f t="shared" si="78"/>
        <v>0</v>
      </c>
      <c r="AA77" s="329">
        <f t="shared" si="78"/>
        <v>0</v>
      </c>
      <c r="AB77" s="329">
        <f t="shared" si="78"/>
        <v>0</v>
      </c>
      <c r="AC77" s="329">
        <f t="shared" si="78"/>
        <v>0</v>
      </c>
      <c r="AD77" s="329">
        <f t="shared" si="78"/>
        <v>0</v>
      </c>
      <c r="AE77" s="329">
        <f t="shared" si="78"/>
        <v>0</v>
      </c>
      <c r="AF77" s="329">
        <f t="shared" si="78"/>
        <v>0</v>
      </c>
      <c r="AG77" s="329">
        <f t="shared" si="78"/>
        <v>0</v>
      </c>
      <c r="AH77" s="329">
        <f t="shared" si="78"/>
        <v>0</v>
      </c>
      <c r="AI77" s="329">
        <f t="shared" si="78"/>
        <v>0</v>
      </c>
      <c r="AJ77" s="329">
        <f t="shared" si="78"/>
        <v>0</v>
      </c>
      <c r="AK77" s="329">
        <f t="shared" si="78"/>
        <v>0</v>
      </c>
      <c r="AL77" s="329">
        <f t="shared" si="78"/>
        <v>0</v>
      </c>
      <c r="AM77" s="329">
        <f t="shared" si="78"/>
        <v>0</v>
      </c>
      <c r="AN77" s="329">
        <f t="shared" si="78"/>
        <v>0</v>
      </c>
      <c r="AO77" s="329">
        <f t="shared" si="78"/>
        <v>0</v>
      </c>
      <c r="AP77" s="329">
        <f t="shared" si="78"/>
        <v>0</v>
      </c>
      <c r="AQ77" s="329">
        <f t="shared" si="78"/>
        <v>0</v>
      </c>
      <c r="AR77" s="329">
        <f t="shared" si="78"/>
        <v>0</v>
      </c>
      <c r="AS77" s="329">
        <f t="shared" si="78"/>
        <v>0</v>
      </c>
      <c r="AT77" s="329">
        <f t="shared" si="78"/>
        <v>0</v>
      </c>
      <c r="AU77" s="329">
        <f t="shared" si="78"/>
        <v>0</v>
      </c>
      <c r="AV77" s="329">
        <f t="shared" si="78"/>
        <v>0</v>
      </c>
      <c r="AW77" s="329">
        <f t="shared" si="78"/>
        <v>0</v>
      </c>
      <c r="AX77" s="329">
        <f t="shared" si="78"/>
        <v>0</v>
      </c>
      <c r="AY77" s="329">
        <f t="shared" si="78"/>
        <v>0</v>
      </c>
      <c r="AZ77" s="329">
        <f t="shared" si="78"/>
        <v>0</v>
      </c>
      <c r="BA77" s="329">
        <f t="shared" si="78"/>
        <v>0</v>
      </c>
      <c r="BB77" s="329">
        <f t="shared" si="78"/>
        <v>0</v>
      </c>
      <c r="BC77" s="329">
        <f t="shared" si="78"/>
        <v>0</v>
      </c>
      <c r="BD77" s="329">
        <f t="shared" si="78"/>
        <v>0</v>
      </c>
      <c r="BE77" s="329">
        <f t="shared" si="78"/>
        <v>0</v>
      </c>
      <c r="BF77" s="329">
        <f t="shared" si="78"/>
        <v>0</v>
      </c>
      <c r="BG77" s="329">
        <f t="shared" si="78"/>
        <v>0</v>
      </c>
      <c r="BH77" s="329">
        <f t="shared" si="78"/>
        <v>0</v>
      </c>
      <c r="BI77" s="329">
        <f t="shared" si="78"/>
        <v>0</v>
      </c>
      <c r="BJ77" s="329">
        <f t="shared" si="78"/>
        <v>0</v>
      </c>
      <c r="BK77" s="329">
        <f t="shared" si="78"/>
        <v>0</v>
      </c>
      <c r="BL77" s="329">
        <f t="shared" si="78"/>
        <v>0</v>
      </c>
      <c r="BM77" s="329">
        <f t="shared" si="78"/>
        <v>0</v>
      </c>
      <c r="BN77" s="329">
        <f t="shared" si="78"/>
        <v>0</v>
      </c>
      <c r="BO77" s="329">
        <f t="shared" si="78"/>
        <v>0</v>
      </c>
      <c r="BP77" s="329">
        <f t="shared" si="78"/>
        <v>0</v>
      </c>
      <c r="BQ77" s="329">
        <f t="shared" si="78"/>
        <v>0</v>
      </c>
      <c r="BR77" s="329">
        <f t="shared" si="78"/>
        <v>0</v>
      </c>
      <c r="BS77" s="329">
        <f t="shared" si="78"/>
        <v>0</v>
      </c>
      <c r="BT77" s="329">
        <f t="shared" si="78"/>
        <v>0</v>
      </c>
      <c r="BU77" s="329">
        <f t="shared" si="78"/>
        <v>0</v>
      </c>
      <c r="BV77" s="329">
        <f t="shared" si="78"/>
        <v>0</v>
      </c>
      <c r="BW77" s="329">
        <f t="shared" si="78"/>
        <v>0</v>
      </c>
      <c r="BX77" s="329">
        <f t="shared" si="78"/>
        <v>0</v>
      </c>
      <c r="BY77" s="329">
        <f t="shared" si="78"/>
        <v>0</v>
      </c>
      <c r="BZ77" s="329">
        <f t="shared" si="78"/>
        <v>0</v>
      </c>
      <c r="CA77" s="329">
        <f t="shared" si="78"/>
        <v>0</v>
      </c>
      <c r="CB77" s="329">
        <f t="shared" si="78"/>
        <v>0</v>
      </c>
      <c r="CC77" s="329">
        <f t="shared" si="78"/>
        <v>0</v>
      </c>
      <c r="CD77" s="329">
        <f t="shared" si="78"/>
        <v>0</v>
      </c>
      <c r="CE77" s="329">
        <f t="shared" si="78"/>
        <v>0</v>
      </c>
      <c r="CF77" s="329">
        <f t="shared" si="78"/>
        <v>0</v>
      </c>
      <c r="CG77" s="329">
        <f t="shared" si="78"/>
        <v>0</v>
      </c>
      <c r="CH77" s="329">
        <f t="shared" ref="CH77:CJ77" si="79">IF(CH76&gt;0,$E77,0)</f>
        <v>0</v>
      </c>
      <c r="CI77" s="329">
        <f t="shared" si="79"/>
        <v>0</v>
      </c>
      <c r="CJ77" s="329">
        <f t="shared" si="79"/>
        <v>0</v>
      </c>
      <c r="CK77" s="510" t="s">
        <v>623</v>
      </c>
    </row>
    <row r="78" spans="2:89" s="333" customFormat="1" ht="15" hidden="1" customHeight="1">
      <c r="B78" s="307"/>
      <c r="C78" s="300" t="s">
        <v>32</v>
      </c>
      <c r="D78" s="308" t="s">
        <v>33</v>
      </c>
      <c r="E78" s="309">
        <f>G78</f>
        <v>0</v>
      </c>
      <c r="F78" s="362">
        <v>2548590.7303800923</v>
      </c>
      <c r="G78" s="331">
        <f>SUM(H78:DL78)</f>
        <v>0</v>
      </c>
      <c r="H78" s="332">
        <f t="shared" ref="H78:S78" si="80">H77*H76</f>
        <v>0</v>
      </c>
      <c r="I78" s="332">
        <f t="shared" si="80"/>
        <v>0</v>
      </c>
      <c r="J78" s="332">
        <f t="shared" si="80"/>
        <v>0</v>
      </c>
      <c r="K78" s="332">
        <f t="shared" si="80"/>
        <v>0</v>
      </c>
      <c r="L78" s="332">
        <f t="shared" si="80"/>
        <v>0</v>
      </c>
      <c r="M78" s="332">
        <f t="shared" si="80"/>
        <v>0</v>
      </c>
      <c r="N78" s="332">
        <f t="shared" si="80"/>
        <v>0</v>
      </c>
      <c r="O78" s="332">
        <f t="shared" si="80"/>
        <v>0</v>
      </c>
      <c r="P78" s="332">
        <f t="shared" si="80"/>
        <v>0</v>
      </c>
      <c r="Q78" s="332">
        <f t="shared" si="80"/>
        <v>0</v>
      </c>
      <c r="R78" s="332">
        <f t="shared" si="80"/>
        <v>0</v>
      </c>
      <c r="S78" s="332">
        <f t="shared" si="80"/>
        <v>0</v>
      </c>
      <c r="T78" s="332">
        <f>T77*T76</f>
        <v>0</v>
      </c>
      <c r="U78" s="332">
        <f t="shared" ref="U78:CF78" si="81">U77*U76</f>
        <v>0</v>
      </c>
      <c r="V78" s="332">
        <f t="shared" si="81"/>
        <v>0</v>
      </c>
      <c r="W78" s="332">
        <f t="shared" si="81"/>
        <v>0</v>
      </c>
      <c r="X78" s="332">
        <f t="shared" si="81"/>
        <v>0</v>
      </c>
      <c r="Y78" s="332">
        <f t="shared" si="81"/>
        <v>0</v>
      </c>
      <c r="Z78" s="332">
        <f t="shared" si="81"/>
        <v>0</v>
      </c>
      <c r="AA78" s="332">
        <f t="shared" si="81"/>
        <v>0</v>
      </c>
      <c r="AB78" s="332">
        <f t="shared" si="81"/>
        <v>0</v>
      </c>
      <c r="AC78" s="332">
        <f t="shared" si="81"/>
        <v>0</v>
      </c>
      <c r="AD78" s="332">
        <f t="shared" si="81"/>
        <v>0</v>
      </c>
      <c r="AE78" s="332">
        <f t="shared" si="81"/>
        <v>0</v>
      </c>
      <c r="AF78" s="332">
        <f t="shared" si="81"/>
        <v>0</v>
      </c>
      <c r="AG78" s="332">
        <f t="shared" si="81"/>
        <v>0</v>
      </c>
      <c r="AH78" s="332">
        <f t="shared" si="81"/>
        <v>0</v>
      </c>
      <c r="AI78" s="332">
        <f t="shared" si="81"/>
        <v>0</v>
      </c>
      <c r="AJ78" s="332">
        <f t="shared" si="81"/>
        <v>0</v>
      </c>
      <c r="AK78" s="332">
        <f t="shared" si="81"/>
        <v>0</v>
      </c>
      <c r="AL78" s="332">
        <f t="shared" si="81"/>
        <v>0</v>
      </c>
      <c r="AM78" s="332">
        <f t="shared" si="81"/>
        <v>0</v>
      </c>
      <c r="AN78" s="332">
        <f t="shared" si="81"/>
        <v>0</v>
      </c>
      <c r="AO78" s="332">
        <f t="shared" si="81"/>
        <v>0</v>
      </c>
      <c r="AP78" s="332">
        <f t="shared" si="81"/>
        <v>0</v>
      </c>
      <c r="AQ78" s="332">
        <f t="shared" si="81"/>
        <v>0</v>
      </c>
      <c r="AR78" s="332">
        <f t="shared" si="81"/>
        <v>0</v>
      </c>
      <c r="AS78" s="332">
        <f t="shared" si="81"/>
        <v>0</v>
      </c>
      <c r="AT78" s="332">
        <f t="shared" si="81"/>
        <v>0</v>
      </c>
      <c r="AU78" s="332">
        <f t="shared" si="81"/>
        <v>0</v>
      </c>
      <c r="AV78" s="332">
        <f t="shared" si="81"/>
        <v>0</v>
      </c>
      <c r="AW78" s="332">
        <f t="shared" si="81"/>
        <v>0</v>
      </c>
      <c r="AX78" s="332">
        <f t="shared" si="81"/>
        <v>0</v>
      </c>
      <c r="AY78" s="332">
        <f t="shared" si="81"/>
        <v>0</v>
      </c>
      <c r="AZ78" s="332">
        <f t="shared" si="81"/>
        <v>0</v>
      </c>
      <c r="BA78" s="332">
        <f t="shared" si="81"/>
        <v>0</v>
      </c>
      <c r="BB78" s="332">
        <f t="shared" si="81"/>
        <v>0</v>
      </c>
      <c r="BC78" s="332">
        <f t="shared" si="81"/>
        <v>0</v>
      </c>
      <c r="BD78" s="332">
        <f t="shared" si="81"/>
        <v>0</v>
      </c>
      <c r="BE78" s="332">
        <f t="shared" si="81"/>
        <v>0</v>
      </c>
      <c r="BF78" s="332">
        <f t="shared" si="81"/>
        <v>0</v>
      </c>
      <c r="BG78" s="332">
        <f t="shared" si="81"/>
        <v>0</v>
      </c>
      <c r="BH78" s="332">
        <f t="shared" si="81"/>
        <v>0</v>
      </c>
      <c r="BI78" s="332">
        <f t="shared" si="81"/>
        <v>0</v>
      </c>
      <c r="BJ78" s="332">
        <f t="shared" si="81"/>
        <v>0</v>
      </c>
      <c r="BK78" s="332">
        <f t="shared" si="81"/>
        <v>0</v>
      </c>
      <c r="BL78" s="332">
        <f t="shared" si="81"/>
        <v>0</v>
      </c>
      <c r="BM78" s="332">
        <f t="shared" si="81"/>
        <v>0</v>
      </c>
      <c r="BN78" s="332">
        <f t="shared" si="81"/>
        <v>0</v>
      </c>
      <c r="BO78" s="332">
        <f t="shared" si="81"/>
        <v>0</v>
      </c>
      <c r="BP78" s="332">
        <f t="shared" si="81"/>
        <v>0</v>
      </c>
      <c r="BQ78" s="332">
        <f t="shared" si="81"/>
        <v>0</v>
      </c>
      <c r="BR78" s="332">
        <f t="shared" si="81"/>
        <v>0</v>
      </c>
      <c r="BS78" s="332">
        <f t="shared" si="81"/>
        <v>0</v>
      </c>
      <c r="BT78" s="332">
        <f t="shared" si="81"/>
        <v>0</v>
      </c>
      <c r="BU78" s="332">
        <f t="shared" si="81"/>
        <v>0</v>
      </c>
      <c r="BV78" s="332">
        <f t="shared" si="81"/>
        <v>0</v>
      </c>
      <c r="BW78" s="332">
        <f t="shared" si="81"/>
        <v>0</v>
      </c>
      <c r="BX78" s="332">
        <f t="shared" si="81"/>
        <v>0</v>
      </c>
      <c r="BY78" s="332">
        <f t="shared" si="81"/>
        <v>0</v>
      </c>
      <c r="BZ78" s="332">
        <f t="shared" si="81"/>
        <v>0</v>
      </c>
      <c r="CA78" s="332">
        <f t="shared" si="81"/>
        <v>0</v>
      </c>
      <c r="CB78" s="332">
        <f t="shared" si="81"/>
        <v>0</v>
      </c>
      <c r="CC78" s="332">
        <f t="shared" si="81"/>
        <v>0</v>
      </c>
      <c r="CD78" s="332">
        <f t="shared" si="81"/>
        <v>0</v>
      </c>
      <c r="CE78" s="332">
        <f t="shared" si="81"/>
        <v>0</v>
      </c>
      <c r="CF78" s="332">
        <f t="shared" si="81"/>
        <v>0</v>
      </c>
      <c r="CG78" s="332">
        <f t="shared" ref="CG78:CJ78" si="82">CG77*CG76</f>
        <v>0</v>
      </c>
      <c r="CH78" s="332">
        <f t="shared" si="82"/>
        <v>0</v>
      </c>
      <c r="CI78" s="332">
        <f t="shared" si="82"/>
        <v>0</v>
      </c>
      <c r="CJ78" s="332">
        <f t="shared" si="82"/>
        <v>0</v>
      </c>
      <c r="CK78" s="510" t="s">
        <v>623</v>
      </c>
    </row>
    <row r="79" spans="2:89" s="320" customFormat="1" ht="15.75" hidden="1" customHeight="1">
      <c r="B79" s="343"/>
      <c r="C79" s="310" t="s">
        <v>35</v>
      </c>
      <c r="D79" s="311" t="s">
        <v>33</v>
      </c>
      <c r="E79" s="312"/>
      <c r="F79" s="363"/>
      <c r="G79" s="331">
        <f>SUM(H79:DL79)</f>
        <v>0</v>
      </c>
      <c r="H79" s="1363">
        <v>0</v>
      </c>
      <c r="I79" s="335">
        <f>SUM($H$131:H131)*I78+SUM($H$78:I78)*I131</f>
        <v>0</v>
      </c>
      <c r="J79" s="335">
        <f>SUM($H$131:I131)*J78+SUM($H$78:J78)*J131</f>
        <v>0</v>
      </c>
      <c r="K79" s="335">
        <f>SUM($H$131:J131)*K78+SUM($H$78:K78)*K131</f>
        <v>0</v>
      </c>
      <c r="L79" s="335">
        <f>SUM($H$131:K131)*L78+SUM($H$78:L78)*L131</f>
        <v>0</v>
      </c>
      <c r="M79" s="335">
        <f>SUM($H$131:L131)*M78+SUM($H$78:M78)*M131</f>
        <v>0</v>
      </c>
      <c r="N79" s="335">
        <f>SUM($H$131:M131)*N78+SUM($H$78:N78)*N131</f>
        <v>0</v>
      </c>
      <c r="O79" s="335">
        <f>SUM($H$131:N131)*O78+SUM($H$78:O78)*O131</f>
        <v>0</v>
      </c>
      <c r="P79" s="335">
        <f>SUM($H$131:O131)*P78+SUM($H$78:P78)*P131</f>
        <v>0</v>
      </c>
      <c r="Q79" s="335">
        <f>SUM($H$131:P131)*Q78+SUM($H$78:Q78)*Q131</f>
        <v>0</v>
      </c>
      <c r="R79" s="335">
        <f>SUM($H$131:Q131)*R78+SUM($H$78:R78)*R131</f>
        <v>0</v>
      </c>
      <c r="S79" s="335">
        <f>SUM($H$131:R131)*S78+SUM($H$78:S78)*S131</f>
        <v>0</v>
      </c>
      <c r="T79" s="335">
        <f>SUM($H$131:S131)*T78+SUM($H$78:T78)*T131</f>
        <v>0</v>
      </c>
      <c r="U79" s="335">
        <f>SUM($H$131:T131)*U78+SUM($H$78:U78)*U131</f>
        <v>0</v>
      </c>
      <c r="V79" s="335">
        <f>SUM($H$131:U131)*V78+SUM($H$78:V78)*V131</f>
        <v>0</v>
      </c>
      <c r="W79" s="335">
        <f>SUM($H$131:V131)*W78+SUM($H$78:W78)*W131</f>
        <v>0</v>
      </c>
      <c r="X79" s="335">
        <f>SUM($H$131:W131)*X78+SUM($H$78:X78)*X131</f>
        <v>0</v>
      </c>
      <c r="Y79" s="335">
        <f>SUM($H$131:X131)*Y78+SUM($H$78:Y78)*Y131</f>
        <v>0</v>
      </c>
      <c r="Z79" s="335">
        <f>SUM($H$131:Y131)*Z78+SUM($H$78:Z78)*Z131</f>
        <v>0</v>
      </c>
      <c r="AA79" s="335">
        <f>SUM($H$131:Z131)*AA78+SUM($H$78:AA78)*AA131</f>
        <v>0</v>
      </c>
      <c r="AB79" s="335">
        <f>SUM($H$131:AA131)*AB78+SUM($H$78:AB78)*AB131</f>
        <v>0</v>
      </c>
      <c r="AC79" s="335">
        <f>SUM($H$131:AB131)*AC78+SUM($H$78:AC78)*AC131</f>
        <v>0</v>
      </c>
      <c r="AD79" s="335">
        <f>SUM($H$131:AC131)*AD78+SUM($H$78:AD78)*AD131</f>
        <v>0</v>
      </c>
      <c r="AE79" s="335">
        <f>SUM($H$131:AD131)*AE78+SUM($H$78:AE78)*AE131</f>
        <v>0</v>
      </c>
      <c r="AF79" s="335">
        <f>SUM($H$131:AE131)*AF78+SUM($H$78:AF78)*AF131</f>
        <v>0</v>
      </c>
      <c r="AG79" s="335">
        <f>SUM($H$131:AF131)*AG78+SUM($H$78:AG78)*AG131</f>
        <v>0</v>
      </c>
      <c r="AH79" s="335">
        <f>SUM($H$131:AG131)*AH78+SUM($H$78:AH78)*AH131</f>
        <v>0</v>
      </c>
      <c r="AI79" s="335">
        <f>SUM($H$131:AH131)*AI78+SUM($H$78:AI78)*AI131</f>
        <v>0</v>
      </c>
      <c r="AJ79" s="335">
        <f>SUM($H$131:AI131)*AJ78+SUM($H$78:AJ78)*AJ131</f>
        <v>0</v>
      </c>
      <c r="AK79" s="335">
        <f>SUM($H$131:AJ131)*AK78+SUM($H$78:AK78)*AK131</f>
        <v>0</v>
      </c>
      <c r="AL79" s="335">
        <f>SUM($H$131:AK131)*AL78+SUM($H$78:AL78)*AL131</f>
        <v>0</v>
      </c>
      <c r="AM79" s="335">
        <f>SUM($H$131:AL131)*AM78+SUM($H$78:AM78)*AM131</f>
        <v>0</v>
      </c>
      <c r="AN79" s="335">
        <f>SUM($H$131:AM131)*AN78+SUM($H$78:AN78)*AN131</f>
        <v>0</v>
      </c>
      <c r="AO79" s="335">
        <f>SUM($H$131:AN131)*AO78+SUM($H$78:AO78)*AO131</f>
        <v>0</v>
      </c>
      <c r="AP79" s="335">
        <f>SUM($H$131:AO131)*AP78+SUM($H$78:AP78)*AP131</f>
        <v>0</v>
      </c>
      <c r="AQ79" s="335">
        <f>SUM($H$131:AP131)*AQ78+SUM($H$78:AQ78)*AQ131</f>
        <v>0</v>
      </c>
      <c r="AR79" s="335">
        <f>SUM($H$131:AQ131)*AR78+SUM($H$78:AR78)*AR131</f>
        <v>0</v>
      </c>
      <c r="AS79" s="335">
        <f>SUM($H$131:AR131)*AS78+SUM($H$78:AS78)*AS131</f>
        <v>0</v>
      </c>
      <c r="AT79" s="335">
        <f>SUM($H$131:AS131)*AT78+SUM($H$78:AT78)*AT131</f>
        <v>0</v>
      </c>
      <c r="AU79" s="335">
        <f>SUM($H$131:AT131)*AU78+SUM($H$78:AU78)*AU131</f>
        <v>0</v>
      </c>
      <c r="AV79" s="335">
        <f>SUM($H$131:AU131)*AV78+SUM($H$78:AV78)*AV131</f>
        <v>0</v>
      </c>
      <c r="AW79" s="335">
        <f>SUM($H$131:AV131)*AW78+SUM($H$78:AW78)*AW131</f>
        <v>0</v>
      </c>
      <c r="AX79" s="335">
        <f>SUM($H$131:AW131)*AX78+SUM($H$78:AX78)*AX131</f>
        <v>0</v>
      </c>
      <c r="AY79" s="335">
        <f>SUM($H$131:AX131)*AY78+SUM($H$78:AY78)*AY131</f>
        <v>0</v>
      </c>
      <c r="AZ79" s="335">
        <f>SUM($H$131:AY131)*AZ78+SUM($H$78:AZ78)*AZ131</f>
        <v>0</v>
      </c>
      <c r="BA79" s="335">
        <f>SUM($H$131:AZ131)*BA78+SUM($H$78:BA78)*BA131</f>
        <v>0</v>
      </c>
      <c r="BB79" s="335">
        <f>SUM($H$131:BA131)*BB78+SUM($H$78:BB78)*BB131</f>
        <v>0</v>
      </c>
      <c r="BC79" s="335">
        <f>SUM($H$131:BB131)*BC78+SUM($H$78:BC78)*BC131</f>
        <v>0</v>
      </c>
      <c r="BD79" s="335">
        <f>SUM($H$131:BC131)*BD78+SUM($H$78:BD78)*BD131</f>
        <v>0</v>
      </c>
      <c r="BE79" s="335">
        <f>SUM($H$131:BD131)*BE78+SUM($H$78:BE78)*BE131</f>
        <v>0</v>
      </c>
      <c r="BF79" s="335">
        <f>SUM($H$131:BE131)*BF78+SUM($H$78:BF78)*BF131</f>
        <v>0</v>
      </c>
      <c r="BG79" s="335">
        <f>SUM($H$131:BF131)*BG78+SUM($H$78:BG78)*BG131</f>
        <v>0</v>
      </c>
      <c r="BH79" s="335">
        <f>SUM($H$131:BG131)*BH78+SUM($H$78:BH78)*BH131</f>
        <v>0</v>
      </c>
      <c r="BI79" s="335">
        <f>SUM($H$131:BH131)*BI78+SUM($H$78:BI78)*BI131</f>
        <v>0</v>
      </c>
      <c r="BJ79" s="335">
        <f>SUM($H$131:BI131)*BJ78+SUM($H$78:BJ78)*BJ131</f>
        <v>0</v>
      </c>
      <c r="BK79" s="335">
        <f>SUM($H$131:BJ131)*BK78+SUM($H$78:BK78)*BK131</f>
        <v>0</v>
      </c>
      <c r="BL79" s="335">
        <f>SUM($H$131:BK131)*BL78+SUM($H$78:BL78)*BL131</f>
        <v>0</v>
      </c>
      <c r="BM79" s="335">
        <f>SUM($H$131:BL131)*BM78+SUM($H$78:BM78)*BM131</f>
        <v>0</v>
      </c>
      <c r="BN79" s="335">
        <f>SUM($H$131:BM131)*BN78+SUM($H$78:BN78)*BN131</f>
        <v>0</v>
      </c>
      <c r="BO79" s="335">
        <f>SUM($H$131:BN131)*BO78+SUM($H$78:BO78)*BO131</f>
        <v>0</v>
      </c>
      <c r="BP79" s="335">
        <f>SUM($H$131:BO131)*BP78+SUM($H$78:BP78)*BP131</f>
        <v>0</v>
      </c>
      <c r="BQ79" s="335">
        <f>SUM($H$131:BP131)*BQ78+SUM($H$78:BQ78)*BQ131</f>
        <v>0</v>
      </c>
      <c r="BR79" s="335">
        <f>SUM($H$131:BQ131)*BR78+SUM($H$78:BR78)*BR131</f>
        <v>0</v>
      </c>
      <c r="BS79" s="335">
        <f>SUM($H$131:BR131)*BS78+SUM($H$78:BS78)*BS131</f>
        <v>0</v>
      </c>
      <c r="BT79" s="335">
        <f>SUM($H$131:BS131)*BT78+SUM($H$78:BT78)*BT131</f>
        <v>0</v>
      </c>
      <c r="BU79" s="335">
        <f>SUM($H$131:BT131)*BU78+SUM($H$78:BU78)*BU131</f>
        <v>0</v>
      </c>
      <c r="BV79" s="335">
        <f>SUM($H$131:BU131)*BV78+SUM($H$78:BV78)*BV131</f>
        <v>0</v>
      </c>
      <c r="BW79" s="335">
        <f>SUM($H$131:BV131)*BW78+SUM($H$78:BW78)*BW131</f>
        <v>0</v>
      </c>
      <c r="BX79" s="335">
        <f>SUM($H$131:BW131)*BX78+SUM($H$78:BX78)*BX131</f>
        <v>0</v>
      </c>
      <c r="BY79" s="335">
        <f>SUM($H$131:BX131)*BY78+SUM($H$78:BY78)*BY131</f>
        <v>0</v>
      </c>
      <c r="BZ79" s="335">
        <f>SUM($H$131:BY131)*BZ78+SUM($H$78:BZ78)*BZ131</f>
        <v>0</v>
      </c>
      <c r="CA79" s="335">
        <f>SUM($H$131:BZ131)*CA78+SUM($H$78:CA78)*CA131</f>
        <v>0</v>
      </c>
      <c r="CB79" s="335">
        <f>SUM($H$131:CA131)*CB78+SUM($H$78:CB78)*CB131</f>
        <v>0</v>
      </c>
      <c r="CC79" s="335">
        <f>SUM($H$131:CB131)*CC78+SUM($H$78:CC78)*CC131</f>
        <v>0</v>
      </c>
      <c r="CD79" s="335">
        <f>SUM($H$131:CC131)*CD78+SUM($H$78:CD78)*CD131</f>
        <v>0</v>
      </c>
      <c r="CE79" s="335">
        <f>SUM($H$131:CD131)*CE78+SUM($H$78:CE78)*CE131</f>
        <v>0</v>
      </c>
      <c r="CF79" s="335">
        <f>SUM($H$131:CE131)*CF78+SUM($H$78:CF78)*CF131</f>
        <v>0</v>
      </c>
      <c r="CG79" s="335">
        <f>SUM($H$131:CF131)*CG78+SUM($H$78:CG78)*CG131</f>
        <v>0</v>
      </c>
      <c r="CH79" s="335">
        <f>SUM($H$131:CG131)*CH78+SUM($H$78:CH78)*CH131</f>
        <v>0</v>
      </c>
      <c r="CI79" s="335">
        <f>SUM($H$131:CH131)*CI78+SUM($H$78:CI78)*CI131</f>
        <v>0</v>
      </c>
      <c r="CJ79" s="335">
        <f>SUM($H$131:CI131)*CJ78+SUM($H$78:CJ78)*CJ131</f>
        <v>0</v>
      </c>
      <c r="CK79" s="510" t="s">
        <v>623</v>
      </c>
    </row>
    <row r="80" spans="2:89" s="321" customFormat="1" ht="15.75" hidden="1">
      <c r="B80" s="344"/>
      <c r="C80" s="345"/>
      <c r="D80" s="346"/>
      <c r="E80" s="347"/>
      <c r="F80" s="364"/>
      <c r="G80" s="1376"/>
      <c r="H80" s="1374">
        <f>G79-G78</f>
        <v>0</v>
      </c>
      <c r="I80" s="353"/>
      <c r="J80" s="353"/>
      <c r="K80" s="353"/>
      <c r="L80" s="353"/>
      <c r="M80" s="353"/>
      <c r="N80" s="353"/>
      <c r="O80" s="353"/>
      <c r="P80" s="353"/>
      <c r="Q80" s="354"/>
      <c r="R80" s="353"/>
      <c r="S80" s="355"/>
      <c r="T80" s="356"/>
      <c r="U80" s="353"/>
      <c r="V80" s="353"/>
      <c r="W80" s="355"/>
      <c r="X80" s="356"/>
      <c r="Y80" s="353"/>
      <c r="Z80" s="353"/>
      <c r="AA80" s="353"/>
      <c r="AB80" s="353"/>
      <c r="AC80" s="353"/>
      <c r="AD80" s="353"/>
      <c r="AE80" s="353"/>
      <c r="AF80" s="353"/>
      <c r="AG80" s="353"/>
      <c r="AH80" s="353"/>
      <c r="AI80" s="353"/>
      <c r="AJ80" s="353"/>
      <c r="AK80" s="353"/>
      <c r="AL80" s="353"/>
      <c r="AM80" s="353"/>
      <c r="AN80" s="353"/>
      <c r="AO80" s="353"/>
      <c r="AP80" s="353"/>
      <c r="AQ80" s="353"/>
      <c r="AR80" s="353"/>
      <c r="AS80" s="353"/>
      <c r="AT80" s="353"/>
      <c r="AU80" s="353"/>
      <c r="AV80" s="353"/>
      <c r="AW80" s="353"/>
      <c r="AX80" s="353"/>
      <c r="AY80" s="353"/>
      <c r="AZ80" s="353"/>
      <c r="BA80" s="353"/>
      <c r="BB80" s="353"/>
      <c r="BC80" s="353"/>
      <c r="BD80" s="353"/>
      <c r="BE80" s="353"/>
      <c r="BF80" s="353"/>
      <c r="BG80" s="353"/>
      <c r="BH80" s="353"/>
      <c r="BI80" s="353"/>
      <c r="BJ80" s="353"/>
      <c r="BK80" s="353"/>
      <c r="BL80" s="353"/>
      <c r="BM80" s="353"/>
      <c r="BN80" s="353"/>
      <c r="BO80" s="353"/>
      <c r="BP80" s="353"/>
      <c r="BQ80" s="353"/>
      <c r="BR80" s="353"/>
      <c r="BS80" s="353"/>
      <c r="BT80" s="353"/>
      <c r="BU80" s="353"/>
      <c r="BV80" s="353"/>
      <c r="BW80" s="353"/>
      <c r="BX80" s="353"/>
      <c r="BY80" s="353"/>
      <c r="BZ80" s="353"/>
      <c r="CA80" s="353"/>
      <c r="CB80" s="353"/>
      <c r="CC80" s="353"/>
      <c r="CD80" s="353"/>
      <c r="CE80" s="353"/>
      <c r="CF80" s="353"/>
      <c r="CG80" s="353"/>
      <c r="CH80" s="353"/>
      <c r="CI80" s="353"/>
      <c r="CJ80" s="353"/>
      <c r="CK80" s="510" t="s">
        <v>623</v>
      </c>
    </row>
    <row r="81" spans="2:89" s="321" customFormat="1" ht="15.75">
      <c r="B81" s="726">
        <v>12</v>
      </c>
      <c r="C81" s="717">
        <f>+'2.Tien do'!C76</f>
        <v>0</v>
      </c>
      <c r="D81" s="717"/>
      <c r="E81" s="718"/>
      <c r="F81" s="719"/>
      <c r="G81" s="720"/>
      <c r="H81" s="721"/>
      <c r="I81" s="721"/>
      <c r="J81" s="722"/>
      <c r="K81" s="722"/>
      <c r="L81" s="722"/>
      <c r="M81" s="722"/>
      <c r="N81" s="722"/>
      <c r="O81" s="722"/>
      <c r="P81" s="722"/>
      <c r="Q81" s="722"/>
      <c r="R81" s="722"/>
      <c r="S81" s="723"/>
      <c r="T81" s="724"/>
      <c r="U81" s="722"/>
      <c r="V81" s="722"/>
      <c r="W81" s="723"/>
      <c r="X81" s="724"/>
      <c r="Y81" s="722"/>
      <c r="Z81" s="722"/>
      <c r="AA81" s="722"/>
      <c r="AB81" s="722"/>
      <c r="AC81" s="722"/>
      <c r="AD81" s="722"/>
      <c r="AE81" s="722"/>
      <c r="AF81" s="722"/>
      <c r="AG81" s="722"/>
      <c r="AH81" s="722"/>
      <c r="AI81" s="722"/>
      <c r="AJ81" s="722"/>
      <c r="AK81" s="722"/>
      <c r="AL81" s="722"/>
      <c r="AM81" s="722"/>
      <c r="AN81" s="722"/>
      <c r="AO81" s="722"/>
      <c r="AP81" s="722"/>
      <c r="AQ81" s="722"/>
      <c r="AR81" s="722"/>
      <c r="AS81" s="722"/>
      <c r="AT81" s="722"/>
      <c r="AU81" s="722"/>
      <c r="AV81" s="722"/>
      <c r="AW81" s="722"/>
      <c r="AX81" s="722"/>
      <c r="AY81" s="722"/>
      <c r="AZ81" s="722"/>
      <c r="BA81" s="722"/>
      <c r="BB81" s="722"/>
      <c r="BC81" s="722"/>
      <c r="BD81" s="722"/>
      <c r="BE81" s="722"/>
      <c r="BF81" s="722"/>
      <c r="BG81" s="722"/>
      <c r="BH81" s="722"/>
      <c r="BI81" s="722"/>
      <c r="BJ81" s="722"/>
      <c r="BK81" s="722"/>
      <c r="BL81" s="722"/>
      <c r="BM81" s="722"/>
      <c r="BN81" s="722"/>
      <c r="BO81" s="722"/>
      <c r="BP81" s="722"/>
      <c r="BQ81" s="722"/>
      <c r="BR81" s="722"/>
      <c r="BS81" s="722"/>
      <c r="BT81" s="722"/>
      <c r="BU81" s="722"/>
      <c r="BV81" s="722"/>
      <c r="BW81" s="722"/>
      <c r="BX81" s="722"/>
      <c r="BY81" s="722"/>
      <c r="BZ81" s="722"/>
      <c r="CA81" s="722"/>
      <c r="CB81" s="722"/>
      <c r="CC81" s="722"/>
      <c r="CD81" s="722"/>
      <c r="CE81" s="722"/>
      <c r="CF81" s="722"/>
      <c r="CG81" s="722"/>
      <c r="CH81" s="722"/>
      <c r="CI81" s="722"/>
      <c r="CJ81" s="722"/>
      <c r="CK81" s="510" t="s">
        <v>623</v>
      </c>
    </row>
    <row r="82" spans="2:89" s="321" customFormat="1" ht="15.75" hidden="1">
      <c r="B82" s="295"/>
      <c r="C82" s="296" t="s">
        <v>137</v>
      </c>
      <c r="D82" s="297" t="s">
        <v>171</v>
      </c>
      <c r="E82" s="342">
        <v>0.1</v>
      </c>
      <c r="F82" s="359">
        <v>0.05</v>
      </c>
      <c r="G82" s="322"/>
      <c r="H82" s="323">
        <f>'2.Tien do'!E76</f>
        <v>0</v>
      </c>
      <c r="I82" s="323">
        <f>'2.Tien do'!F76</f>
        <v>0</v>
      </c>
      <c r="J82" s="323">
        <f>'2.Tien do'!G76</f>
        <v>0</v>
      </c>
      <c r="K82" s="323">
        <f>'2.Tien do'!H76</f>
        <v>0</v>
      </c>
      <c r="L82" s="323">
        <f>'2.Tien do'!I76</f>
        <v>0</v>
      </c>
      <c r="M82" s="323">
        <f>'2.Tien do'!J76</f>
        <v>0</v>
      </c>
      <c r="N82" s="323">
        <f>'2.Tien do'!K76</f>
        <v>0</v>
      </c>
      <c r="O82" s="323">
        <f>'2.Tien do'!L76</f>
        <v>0</v>
      </c>
      <c r="P82" s="323">
        <f>'2.Tien do'!M76</f>
        <v>0</v>
      </c>
      <c r="Q82" s="323">
        <f>'2.Tien do'!N76</f>
        <v>0</v>
      </c>
      <c r="R82" s="323">
        <f>'2.Tien do'!O76</f>
        <v>0</v>
      </c>
      <c r="S82" s="323">
        <f>'2.Tien do'!P76</f>
        <v>0</v>
      </c>
      <c r="T82" s="323">
        <f>'2.Tien do'!Q76</f>
        <v>0</v>
      </c>
      <c r="U82" s="323">
        <f>'2.Tien do'!R76</f>
        <v>0</v>
      </c>
      <c r="V82" s="323">
        <f>'2.Tien do'!S76</f>
        <v>0</v>
      </c>
      <c r="W82" s="323">
        <f>'2.Tien do'!T76</f>
        <v>0</v>
      </c>
      <c r="X82" s="323">
        <f>'2.Tien do'!U76</f>
        <v>0</v>
      </c>
      <c r="Y82" s="323">
        <f>'2.Tien do'!V76</f>
        <v>0</v>
      </c>
      <c r="Z82" s="323">
        <f>'2.Tien do'!W76</f>
        <v>0</v>
      </c>
      <c r="AA82" s="323">
        <f>'2.Tien do'!X76</f>
        <v>0</v>
      </c>
      <c r="AB82" s="323">
        <f>'2.Tien do'!Y76</f>
        <v>0</v>
      </c>
      <c r="AC82" s="323">
        <f>'2.Tien do'!Z76</f>
        <v>0</v>
      </c>
      <c r="AD82" s="323">
        <f>'2.Tien do'!AA76</f>
        <v>0</v>
      </c>
      <c r="AE82" s="323">
        <f>'2.Tien do'!AB76</f>
        <v>0</v>
      </c>
      <c r="AF82" s="323">
        <f>'2.Tien do'!AC76</f>
        <v>0</v>
      </c>
      <c r="AG82" s="323">
        <f>'2.Tien do'!AD76</f>
        <v>0</v>
      </c>
      <c r="AH82" s="323">
        <f>'2.Tien do'!AE76</f>
        <v>0</v>
      </c>
      <c r="AI82" s="323">
        <f>'2.Tien do'!AF76</f>
        <v>0</v>
      </c>
      <c r="AJ82" s="323">
        <f>'2.Tien do'!AG76</f>
        <v>0</v>
      </c>
      <c r="AK82" s="323">
        <f>'2.Tien do'!AH76</f>
        <v>0</v>
      </c>
      <c r="AL82" s="323">
        <f>'2.Tien do'!AI76</f>
        <v>0</v>
      </c>
      <c r="AM82" s="323">
        <f>'2.Tien do'!AJ76</f>
        <v>0</v>
      </c>
      <c r="AN82" s="323">
        <f>'2.Tien do'!AK76</f>
        <v>0</v>
      </c>
      <c r="AO82" s="323">
        <f>'2.Tien do'!AL76</f>
        <v>0</v>
      </c>
      <c r="AP82" s="323">
        <f>'2.Tien do'!AM76</f>
        <v>0</v>
      </c>
      <c r="AQ82" s="323">
        <f>'2.Tien do'!AN76</f>
        <v>0</v>
      </c>
      <c r="AR82" s="323">
        <f>'2.Tien do'!AO76</f>
        <v>0</v>
      </c>
      <c r="AS82" s="323">
        <f>'2.Tien do'!AP76</f>
        <v>0</v>
      </c>
      <c r="AT82" s="323">
        <f>'2.Tien do'!AQ76</f>
        <v>0</v>
      </c>
      <c r="AU82" s="323">
        <f>'2.Tien do'!AR76</f>
        <v>0</v>
      </c>
      <c r="AV82" s="323">
        <f>'2.Tien do'!AS76</f>
        <v>0</v>
      </c>
      <c r="AW82" s="323">
        <f>'2.Tien do'!AT76</f>
        <v>0</v>
      </c>
      <c r="AX82" s="323">
        <f>'2.Tien do'!AU76</f>
        <v>0</v>
      </c>
      <c r="AY82" s="323">
        <f>'2.Tien do'!AV76</f>
        <v>0</v>
      </c>
      <c r="AZ82" s="323">
        <f>'2.Tien do'!AW76</f>
        <v>0</v>
      </c>
      <c r="BA82" s="323">
        <f>'2.Tien do'!AX76</f>
        <v>0</v>
      </c>
      <c r="BB82" s="323">
        <f>'2.Tien do'!AY76</f>
        <v>0</v>
      </c>
      <c r="BC82" s="323">
        <f>'2.Tien do'!AZ76</f>
        <v>0</v>
      </c>
      <c r="BD82" s="323">
        <f>'2.Tien do'!BA76</f>
        <v>0</v>
      </c>
      <c r="BE82" s="323">
        <f>'2.Tien do'!BB76</f>
        <v>0</v>
      </c>
      <c r="BF82" s="323">
        <f>'2.Tien do'!BC76</f>
        <v>0</v>
      </c>
      <c r="BG82" s="323">
        <f>'2.Tien do'!BD76</f>
        <v>0</v>
      </c>
      <c r="BH82" s="323">
        <f>'2.Tien do'!BE76</f>
        <v>0</v>
      </c>
      <c r="BI82" s="323">
        <f>'2.Tien do'!BF76</f>
        <v>0</v>
      </c>
      <c r="BJ82" s="323">
        <f>'2.Tien do'!BG76</f>
        <v>0</v>
      </c>
      <c r="BK82" s="323">
        <f>'2.Tien do'!BH76</f>
        <v>0</v>
      </c>
      <c r="BL82" s="323">
        <f>'2.Tien do'!BI76</f>
        <v>0</v>
      </c>
      <c r="BM82" s="323">
        <f>'2.Tien do'!BJ76</f>
        <v>0</v>
      </c>
      <c r="BN82" s="323">
        <f>'2.Tien do'!BK76</f>
        <v>0</v>
      </c>
      <c r="BO82" s="323">
        <f>'2.Tien do'!BL76</f>
        <v>0</v>
      </c>
      <c r="BP82" s="323">
        <f>'2.Tien do'!BM76</f>
        <v>0</v>
      </c>
      <c r="BQ82" s="323">
        <f>'2.Tien do'!BN76</f>
        <v>0</v>
      </c>
      <c r="BR82" s="323">
        <f>'2.Tien do'!BO76</f>
        <v>0</v>
      </c>
      <c r="BS82" s="323">
        <f>'2.Tien do'!BP76</f>
        <v>0</v>
      </c>
      <c r="BT82" s="323">
        <f>'2.Tien do'!BQ76</f>
        <v>0</v>
      </c>
      <c r="BU82" s="323">
        <f>'2.Tien do'!BR76</f>
        <v>0</v>
      </c>
      <c r="BV82" s="323">
        <f>'2.Tien do'!BS76</f>
        <v>0</v>
      </c>
      <c r="BW82" s="323">
        <f>'2.Tien do'!BT76</f>
        <v>0</v>
      </c>
      <c r="BX82" s="323">
        <f>'2.Tien do'!BU76</f>
        <v>0</v>
      </c>
      <c r="BY82" s="323">
        <f>'2.Tien do'!BV76</f>
        <v>0</v>
      </c>
      <c r="BZ82" s="323">
        <f>'2.Tien do'!BW76</f>
        <v>0</v>
      </c>
      <c r="CA82" s="323">
        <f>'2.Tien do'!BX76</f>
        <v>0</v>
      </c>
      <c r="CB82" s="323">
        <f>'2.Tien do'!BY76</f>
        <v>0</v>
      </c>
      <c r="CC82" s="323">
        <f>'2.Tien do'!BZ76</f>
        <v>0</v>
      </c>
      <c r="CD82" s="323">
        <f>'2.Tien do'!CA76</f>
        <v>0</v>
      </c>
      <c r="CE82" s="323">
        <f>'2.Tien do'!CB76</f>
        <v>0</v>
      </c>
      <c r="CF82" s="323">
        <f>'2.Tien do'!CC76</f>
        <v>0</v>
      </c>
      <c r="CG82" s="323">
        <f>'2.Tien do'!CD76</f>
        <v>0</v>
      </c>
      <c r="CH82" s="323">
        <f>'2.Tien do'!CE76</f>
        <v>0</v>
      </c>
      <c r="CI82" s="323">
        <f>'2.Tien do'!CF76</f>
        <v>0</v>
      </c>
      <c r="CJ82" s="323">
        <f>'2.Tien do'!CG76</f>
        <v>0</v>
      </c>
      <c r="CK82" s="510" t="s">
        <v>623</v>
      </c>
    </row>
    <row r="83" spans="2:89" s="321" customFormat="1" ht="15.75" hidden="1">
      <c r="B83" s="299"/>
      <c r="C83" s="300" t="s">
        <v>68</v>
      </c>
      <c r="D83" s="301" t="s">
        <v>3</v>
      </c>
      <c r="E83" s="302">
        <f>+'1. thong tin quy hoach'!D45</f>
        <v>0</v>
      </c>
      <c r="F83" s="360">
        <v>1966</v>
      </c>
      <c r="G83" s="325"/>
      <c r="H83" s="326">
        <f t="shared" ref="H83:BS83" si="83">$E83*H82</f>
        <v>0</v>
      </c>
      <c r="I83" s="326">
        <f t="shared" si="83"/>
        <v>0</v>
      </c>
      <c r="J83" s="326">
        <f t="shared" si="83"/>
        <v>0</v>
      </c>
      <c r="K83" s="326">
        <f t="shared" si="83"/>
        <v>0</v>
      </c>
      <c r="L83" s="326">
        <f t="shared" si="83"/>
        <v>0</v>
      </c>
      <c r="M83" s="326">
        <f t="shared" si="83"/>
        <v>0</v>
      </c>
      <c r="N83" s="326">
        <f t="shared" si="83"/>
        <v>0</v>
      </c>
      <c r="O83" s="326">
        <f t="shared" si="83"/>
        <v>0</v>
      </c>
      <c r="P83" s="326">
        <f t="shared" si="83"/>
        <v>0</v>
      </c>
      <c r="Q83" s="326">
        <f t="shared" si="83"/>
        <v>0</v>
      </c>
      <c r="R83" s="326">
        <f t="shared" si="83"/>
        <v>0</v>
      </c>
      <c r="S83" s="326">
        <f t="shared" si="83"/>
        <v>0</v>
      </c>
      <c r="T83" s="326">
        <f t="shared" si="83"/>
        <v>0</v>
      </c>
      <c r="U83" s="326">
        <f t="shared" si="83"/>
        <v>0</v>
      </c>
      <c r="V83" s="326">
        <f t="shared" si="83"/>
        <v>0</v>
      </c>
      <c r="W83" s="326">
        <f t="shared" si="83"/>
        <v>0</v>
      </c>
      <c r="X83" s="326">
        <f t="shared" si="83"/>
        <v>0</v>
      </c>
      <c r="Y83" s="326">
        <f t="shared" si="83"/>
        <v>0</v>
      </c>
      <c r="Z83" s="326">
        <f t="shared" si="83"/>
        <v>0</v>
      </c>
      <c r="AA83" s="326">
        <f t="shared" si="83"/>
        <v>0</v>
      </c>
      <c r="AB83" s="326">
        <f t="shared" si="83"/>
        <v>0</v>
      </c>
      <c r="AC83" s="326">
        <f t="shared" si="83"/>
        <v>0</v>
      </c>
      <c r="AD83" s="326">
        <f t="shared" si="83"/>
        <v>0</v>
      </c>
      <c r="AE83" s="326">
        <f t="shared" si="83"/>
        <v>0</v>
      </c>
      <c r="AF83" s="326">
        <f t="shared" si="83"/>
        <v>0</v>
      </c>
      <c r="AG83" s="326">
        <f t="shared" si="83"/>
        <v>0</v>
      </c>
      <c r="AH83" s="326">
        <f t="shared" si="83"/>
        <v>0</v>
      </c>
      <c r="AI83" s="326">
        <f t="shared" si="83"/>
        <v>0</v>
      </c>
      <c r="AJ83" s="326">
        <f t="shared" si="83"/>
        <v>0</v>
      </c>
      <c r="AK83" s="326">
        <f t="shared" si="83"/>
        <v>0</v>
      </c>
      <c r="AL83" s="326">
        <f t="shared" si="83"/>
        <v>0</v>
      </c>
      <c r="AM83" s="326">
        <f t="shared" si="83"/>
        <v>0</v>
      </c>
      <c r="AN83" s="326">
        <f t="shared" si="83"/>
        <v>0</v>
      </c>
      <c r="AO83" s="326">
        <f t="shared" si="83"/>
        <v>0</v>
      </c>
      <c r="AP83" s="326">
        <f t="shared" si="83"/>
        <v>0</v>
      </c>
      <c r="AQ83" s="326">
        <f t="shared" si="83"/>
        <v>0</v>
      </c>
      <c r="AR83" s="326">
        <f t="shared" si="83"/>
        <v>0</v>
      </c>
      <c r="AS83" s="326">
        <f t="shared" si="83"/>
        <v>0</v>
      </c>
      <c r="AT83" s="326">
        <f t="shared" si="83"/>
        <v>0</v>
      </c>
      <c r="AU83" s="326">
        <f t="shared" si="83"/>
        <v>0</v>
      </c>
      <c r="AV83" s="326">
        <f t="shared" si="83"/>
        <v>0</v>
      </c>
      <c r="AW83" s="326">
        <f t="shared" si="83"/>
        <v>0</v>
      </c>
      <c r="AX83" s="326">
        <f t="shared" si="83"/>
        <v>0</v>
      </c>
      <c r="AY83" s="326">
        <f t="shared" si="83"/>
        <v>0</v>
      </c>
      <c r="AZ83" s="326">
        <f t="shared" si="83"/>
        <v>0</v>
      </c>
      <c r="BA83" s="326">
        <f t="shared" si="83"/>
        <v>0</v>
      </c>
      <c r="BB83" s="326">
        <f t="shared" si="83"/>
        <v>0</v>
      </c>
      <c r="BC83" s="326">
        <f t="shared" si="83"/>
        <v>0</v>
      </c>
      <c r="BD83" s="326">
        <f t="shared" si="83"/>
        <v>0</v>
      </c>
      <c r="BE83" s="326">
        <f t="shared" si="83"/>
        <v>0</v>
      </c>
      <c r="BF83" s="326">
        <f t="shared" si="83"/>
        <v>0</v>
      </c>
      <c r="BG83" s="326">
        <f t="shared" si="83"/>
        <v>0</v>
      </c>
      <c r="BH83" s="326">
        <f t="shared" si="83"/>
        <v>0</v>
      </c>
      <c r="BI83" s="326">
        <f t="shared" si="83"/>
        <v>0</v>
      </c>
      <c r="BJ83" s="326">
        <f t="shared" si="83"/>
        <v>0</v>
      </c>
      <c r="BK83" s="326">
        <f t="shared" si="83"/>
        <v>0</v>
      </c>
      <c r="BL83" s="326">
        <f t="shared" si="83"/>
        <v>0</v>
      </c>
      <c r="BM83" s="326">
        <f t="shared" si="83"/>
        <v>0</v>
      </c>
      <c r="BN83" s="326">
        <f t="shared" si="83"/>
        <v>0</v>
      </c>
      <c r="BO83" s="326">
        <f t="shared" si="83"/>
        <v>0</v>
      </c>
      <c r="BP83" s="326">
        <f t="shared" si="83"/>
        <v>0</v>
      </c>
      <c r="BQ83" s="326">
        <f t="shared" si="83"/>
        <v>0</v>
      </c>
      <c r="BR83" s="326">
        <f t="shared" si="83"/>
        <v>0</v>
      </c>
      <c r="BS83" s="326">
        <f t="shared" si="83"/>
        <v>0</v>
      </c>
      <c r="BT83" s="326">
        <f t="shared" ref="BT83:CJ83" si="84">$E83*BT82</f>
        <v>0</v>
      </c>
      <c r="BU83" s="326">
        <f t="shared" si="84"/>
        <v>0</v>
      </c>
      <c r="BV83" s="326">
        <f t="shared" si="84"/>
        <v>0</v>
      </c>
      <c r="BW83" s="326">
        <f t="shared" si="84"/>
        <v>0</v>
      </c>
      <c r="BX83" s="326">
        <f t="shared" si="84"/>
        <v>0</v>
      </c>
      <c r="BY83" s="326">
        <f t="shared" si="84"/>
        <v>0</v>
      </c>
      <c r="BZ83" s="326">
        <f t="shared" si="84"/>
        <v>0</v>
      </c>
      <c r="CA83" s="326">
        <f t="shared" si="84"/>
        <v>0</v>
      </c>
      <c r="CB83" s="326">
        <f t="shared" si="84"/>
        <v>0</v>
      </c>
      <c r="CC83" s="326">
        <f t="shared" si="84"/>
        <v>0</v>
      </c>
      <c r="CD83" s="326">
        <f t="shared" si="84"/>
        <v>0</v>
      </c>
      <c r="CE83" s="326">
        <f t="shared" si="84"/>
        <v>0</v>
      </c>
      <c r="CF83" s="326">
        <f t="shared" si="84"/>
        <v>0</v>
      </c>
      <c r="CG83" s="326">
        <f t="shared" si="84"/>
        <v>0</v>
      </c>
      <c r="CH83" s="326">
        <f t="shared" si="84"/>
        <v>0</v>
      </c>
      <c r="CI83" s="326">
        <f t="shared" si="84"/>
        <v>0</v>
      </c>
      <c r="CJ83" s="326">
        <f t="shared" si="84"/>
        <v>0</v>
      </c>
      <c r="CK83" s="510" t="s">
        <v>623</v>
      </c>
    </row>
    <row r="84" spans="2:89" s="321" customFormat="1" ht="15.75" hidden="1">
      <c r="B84" s="303"/>
      <c r="C84" s="304" t="s">
        <v>343</v>
      </c>
      <c r="D84" s="305" t="s">
        <v>31</v>
      </c>
      <c r="E84" s="306">
        <f>+E77</f>
        <v>0</v>
      </c>
      <c r="F84" s="361">
        <v>12</v>
      </c>
      <c r="G84" s="328"/>
      <c r="H84" s="329">
        <f t="shared" ref="H84:R84" si="85">IF(H83&gt;0,$E84,0)</f>
        <v>0</v>
      </c>
      <c r="I84" s="329">
        <f t="shared" si="85"/>
        <v>0</v>
      </c>
      <c r="J84" s="329">
        <f t="shared" si="85"/>
        <v>0</v>
      </c>
      <c r="K84" s="329">
        <f t="shared" si="85"/>
        <v>0</v>
      </c>
      <c r="L84" s="329">
        <f t="shared" si="85"/>
        <v>0</v>
      </c>
      <c r="M84" s="329">
        <f t="shared" si="85"/>
        <v>0</v>
      </c>
      <c r="N84" s="329">
        <f t="shared" si="85"/>
        <v>0</v>
      </c>
      <c r="O84" s="329">
        <f t="shared" si="85"/>
        <v>0</v>
      </c>
      <c r="P84" s="329">
        <f t="shared" si="85"/>
        <v>0</v>
      </c>
      <c r="Q84" s="329">
        <f t="shared" si="85"/>
        <v>0</v>
      </c>
      <c r="R84" s="329">
        <f t="shared" si="85"/>
        <v>0</v>
      </c>
      <c r="S84" s="329">
        <f t="shared" ref="S84:CD84" si="86">IF(S83&gt;0,$E84,0)</f>
        <v>0</v>
      </c>
      <c r="T84" s="329">
        <f t="shared" si="86"/>
        <v>0</v>
      </c>
      <c r="U84" s="329">
        <f t="shared" si="86"/>
        <v>0</v>
      </c>
      <c r="V84" s="329">
        <f t="shared" si="86"/>
        <v>0</v>
      </c>
      <c r="W84" s="329">
        <f t="shared" si="86"/>
        <v>0</v>
      </c>
      <c r="X84" s="329">
        <f t="shared" si="86"/>
        <v>0</v>
      </c>
      <c r="Y84" s="329">
        <f t="shared" si="86"/>
        <v>0</v>
      </c>
      <c r="Z84" s="329">
        <f t="shared" si="86"/>
        <v>0</v>
      </c>
      <c r="AA84" s="329">
        <f t="shared" si="86"/>
        <v>0</v>
      </c>
      <c r="AB84" s="329">
        <f t="shared" si="86"/>
        <v>0</v>
      </c>
      <c r="AC84" s="329">
        <f t="shared" si="86"/>
        <v>0</v>
      </c>
      <c r="AD84" s="329">
        <f t="shared" si="86"/>
        <v>0</v>
      </c>
      <c r="AE84" s="329">
        <f t="shared" si="86"/>
        <v>0</v>
      </c>
      <c r="AF84" s="329">
        <f t="shared" si="86"/>
        <v>0</v>
      </c>
      <c r="AG84" s="329">
        <f t="shared" si="86"/>
        <v>0</v>
      </c>
      <c r="AH84" s="329">
        <f t="shared" si="86"/>
        <v>0</v>
      </c>
      <c r="AI84" s="329">
        <f t="shared" si="86"/>
        <v>0</v>
      </c>
      <c r="AJ84" s="329">
        <f t="shared" si="86"/>
        <v>0</v>
      </c>
      <c r="AK84" s="329">
        <f t="shared" si="86"/>
        <v>0</v>
      </c>
      <c r="AL84" s="329">
        <f t="shared" si="86"/>
        <v>0</v>
      </c>
      <c r="AM84" s="329">
        <f t="shared" si="86"/>
        <v>0</v>
      </c>
      <c r="AN84" s="329">
        <f t="shared" si="86"/>
        <v>0</v>
      </c>
      <c r="AO84" s="329">
        <f t="shared" si="86"/>
        <v>0</v>
      </c>
      <c r="AP84" s="329">
        <f t="shared" si="86"/>
        <v>0</v>
      </c>
      <c r="AQ84" s="329">
        <f t="shared" si="86"/>
        <v>0</v>
      </c>
      <c r="AR84" s="329">
        <f t="shared" si="86"/>
        <v>0</v>
      </c>
      <c r="AS84" s="329">
        <f t="shared" si="86"/>
        <v>0</v>
      </c>
      <c r="AT84" s="329">
        <f t="shared" si="86"/>
        <v>0</v>
      </c>
      <c r="AU84" s="329">
        <f t="shared" si="86"/>
        <v>0</v>
      </c>
      <c r="AV84" s="329">
        <f t="shared" si="86"/>
        <v>0</v>
      </c>
      <c r="AW84" s="329">
        <f t="shared" si="86"/>
        <v>0</v>
      </c>
      <c r="AX84" s="329">
        <f t="shared" si="86"/>
        <v>0</v>
      </c>
      <c r="AY84" s="329">
        <f t="shared" si="86"/>
        <v>0</v>
      </c>
      <c r="AZ84" s="329">
        <f t="shared" si="86"/>
        <v>0</v>
      </c>
      <c r="BA84" s="329">
        <f t="shared" si="86"/>
        <v>0</v>
      </c>
      <c r="BB84" s="329">
        <f t="shared" si="86"/>
        <v>0</v>
      </c>
      <c r="BC84" s="329">
        <f t="shared" si="86"/>
        <v>0</v>
      </c>
      <c r="BD84" s="329">
        <f t="shared" si="86"/>
        <v>0</v>
      </c>
      <c r="BE84" s="329">
        <f t="shared" si="86"/>
        <v>0</v>
      </c>
      <c r="BF84" s="329">
        <f t="shared" si="86"/>
        <v>0</v>
      </c>
      <c r="BG84" s="329">
        <f t="shared" si="86"/>
        <v>0</v>
      </c>
      <c r="BH84" s="329">
        <f t="shared" si="86"/>
        <v>0</v>
      </c>
      <c r="BI84" s="329">
        <f t="shared" si="86"/>
        <v>0</v>
      </c>
      <c r="BJ84" s="329">
        <f t="shared" si="86"/>
        <v>0</v>
      </c>
      <c r="BK84" s="329">
        <f t="shared" si="86"/>
        <v>0</v>
      </c>
      <c r="BL84" s="329">
        <f t="shared" si="86"/>
        <v>0</v>
      </c>
      <c r="BM84" s="329">
        <f t="shared" si="86"/>
        <v>0</v>
      </c>
      <c r="BN84" s="329">
        <f t="shared" si="86"/>
        <v>0</v>
      </c>
      <c r="BO84" s="329">
        <f t="shared" si="86"/>
        <v>0</v>
      </c>
      <c r="BP84" s="329">
        <f t="shared" si="86"/>
        <v>0</v>
      </c>
      <c r="BQ84" s="329">
        <f t="shared" si="86"/>
        <v>0</v>
      </c>
      <c r="BR84" s="329">
        <f t="shared" si="86"/>
        <v>0</v>
      </c>
      <c r="BS84" s="329">
        <f t="shared" si="86"/>
        <v>0</v>
      </c>
      <c r="BT84" s="329">
        <f t="shared" si="86"/>
        <v>0</v>
      </c>
      <c r="BU84" s="329">
        <f t="shared" si="86"/>
        <v>0</v>
      </c>
      <c r="BV84" s="329">
        <f t="shared" si="86"/>
        <v>0</v>
      </c>
      <c r="BW84" s="329">
        <f t="shared" si="86"/>
        <v>0</v>
      </c>
      <c r="BX84" s="329">
        <f t="shared" si="86"/>
        <v>0</v>
      </c>
      <c r="BY84" s="329">
        <f t="shared" si="86"/>
        <v>0</v>
      </c>
      <c r="BZ84" s="329">
        <f t="shared" si="86"/>
        <v>0</v>
      </c>
      <c r="CA84" s="329">
        <f t="shared" si="86"/>
        <v>0</v>
      </c>
      <c r="CB84" s="329">
        <f t="shared" si="86"/>
        <v>0</v>
      </c>
      <c r="CC84" s="329">
        <f t="shared" si="86"/>
        <v>0</v>
      </c>
      <c r="CD84" s="329">
        <f t="shared" si="86"/>
        <v>0</v>
      </c>
      <c r="CE84" s="329">
        <f t="shared" ref="CE84:CJ84" si="87">IF(CE83&gt;0,$E84,0)</f>
        <v>0</v>
      </c>
      <c r="CF84" s="329">
        <f t="shared" si="87"/>
        <v>0</v>
      </c>
      <c r="CG84" s="329">
        <f t="shared" si="87"/>
        <v>0</v>
      </c>
      <c r="CH84" s="329">
        <f t="shared" si="87"/>
        <v>0</v>
      </c>
      <c r="CI84" s="329">
        <f t="shared" si="87"/>
        <v>0</v>
      </c>
      <c r="CJ84" s="329">
        <f t="shared" si="87"/>
        <v>0</v>
      </c>
      <c r="CK84" s="510" t="s">
        <v>623</v>
      </c>
    </row>
    <row r="85" spans="2:89" s="321" customFormat="1" ht="15.75" hidden="1">
      <c r="B85" s="307"/>
      <c r="C85" s="300" t="s">
        <v>32</v>
      </c>
      <c r="D85" s="308" t="s">
        <v>33</v>
      </c>
      <c r="E85" s="309">
        <f>G85</f>
        <v>0</v>
      </c>
      <c r="F85" s="362">
        <v>2548590.7303800923</v>
      </c>
      <c r="G85" s="331">
        <f>SUM(H85:DL85)</f>
        <v>0</v>
      </c>
      <c r="H85" s="332">
        <f t="shared" ref="H85:S85" si="88">H84*H83</f>
        <v>0</v>
      </c>
      <c r="I85" s="332">
        <f t="shared" si="88"/>
        <v>0</v>
      </c>
      <c r="J85" s="332">
        <f t="shared" si="88"/>
        <v>0</v>
      </c>
      <c r="K85" s="332">
        <f t="shared" si="88"/>
        <v>0</v>
      </c>
      <c r="L85" s="332">
        <f t="shared" si="88"/>
        <v>0</v>
      </c>
      <c r="M85" s="332">
        <f t="shared" si="88"/>
        <v>0</v>
      </c>
      <c r="N85" s="332">
        <f t="shared" si="88"/>
        <v>0</v>
      </c>
      <c r="O85" s="332">
        <f t="shared" si="88"/>
        <v>0</v>
      </c>
      <c r="P85" s="332">
        <f t="shared" si="88"/>
        <v>0</v>
      </c>
      <c r="Q85" s="332">
        <f t="shared" si="88"/>
        <v>0</v>
      </c>
      <c r="R85" s="332">
        <f t="shared" si="88"/>
        <v>0</v>
      </c>
      <c r="S85" s="332">
        <f t="shared" si="88"/>
        <v>0</v>
      </c>
      <c r="T85" s="332">
        <f>T84*T83</f>
        <v>0</v>
      </c>
      <c r="U85" s="332">
        <f t="shared" ref="U85:CF85" si="89">U84*U83</f>
        <v>0</v>
      </c>
      <c r="V85" s="332">
        <f t="shared" si="89"/>
        <v>0</v>
      </c>
      <c r="W85" s="332">
        <f t="shared" si="89"/>
        <v>0</v>
      </c>
      <c r="X85" s="332">
        <f t="shared" si="89"/>
        <v>0</v>
      </c>
      <c r="Y85" s="332">
        <f t="shared" si="89"/>
        <v>0</v>
      </c>
      <c r="Z85" s="332">
        <f t="shared" si="89"/>
        <v>0</v>
      </c>
      <c r="AA85" s="332">
        <f t="shared" si="89"/>
        <v>0</v>
      </c>
      <c r="AB85" s="332">
        <f t="shared" si="89"/>
        <v>0</v>
      </c>
      <c r="AC85" s="332">
        <f t="shared" si="89"/>
        <v>0</v>
      </c>
      <c r="AD85" s="332">
        <f t="shared" si="89"/>
        <v>0</v>
      </c>
      <c r="AE85" s="332">
        <f t="shared" si="89"/>
        <v>0</v>
      </c>
      <c r="AF85" s="332">
        <f t="shared" si="89"/>
        <v>0</v>
      </c>
      <c r="AG85" s="332">
        <f t="shared" si="89"/>
        <v>0</v>
      </c>
      <c r="AH85" s="332">
        <f t="shared" si="89"/>
        <v>0</v>
      </c>
      <c r="AI85" s="332">
        <f t="shared" si="89"/>
        <v>0</v>
      </c>
      <c r="AJ85" s="332">
        <f t="shared" si="89"/>
        <v>0</v>
      </c>
      <c r="AK85" s="332">
        <f t="shared" si="89"/>
        <v>0</v>
      </c>
      <c r="AL85" s="332">
        <f t="shared" si="89"/>
        <v>0</v>
      </c>
      <c r="AM85" s="332">
        <f t="shared" si="89"/>
        <v>0</v>
      </c>
      <c r="AN85" s="332">
        <f t="shared" si="89"/>
        <v>0</v>
      </c>
      <c r="AO85" s="332">
        <f t="shared" si="89"/>
        <v>0</v>
      </c>
      <c r="AP85" s="332">
        <f t="shared" si="89"/>
        <v>0</v>
      </c>
      <c r="AQ85" s="332">
        <f t="shared" si="89"/>
        <v>0</v>
      </c>
      <c r="AR85" s="332">
        <f t="shared" si="89"/>
        <v>0</v>
      </c>
      <c r="AS85" s="332">
        <f t="shared" si="89"/>
        <v>0</v>
      </c>
      <c r="AT85" s="332">
        <f t="shared" si="89"/>
        <v>0</v>
      </c>
      <c r="AU85" s="332">
        <f t="shared" si="89"/>
        <v>0</v>
      </c>
      <c r="AV85" s="332">
        <f t="shared" si="89"/>
        <v>0</v>
      </c>
      <c r="AW85" s="332">
        <f t="shared" si="89"/>
        <v>0</v>
      </c>
      <c r="AX85" s="332">
        <f t="shared" si="89"/>
        <v>0</v>
      </c>
      <c r="AY85" s="332">
        <f t="shared" si="89"/>
        <v>0</v>
      </c>
      <c r="AZ85" s="332">
        <f t="shared" si="89"/>
        <v>0</v>
      </c>
      <c r="BA85" s="332">
        <f t="shared" si="89"/>
        <v>0</v>
      </c>
      <c r="BB85" s="332">
        <f t="shared" si="89"/>
        <v>0</v>
      </c>
      <c r="BC85" s="332">
        <f t="shared" si="89"/>
        <v>0</v>
      </c>
      <c r="BD85" s="332">
        <f t="shared" si="89"/>
        <v>0</v>
      </c>
      <c r="BE85" s="332">
        <f t="shared" si="89"/>
        <v>0</v>
      </c>
      <c r="BF85" s="332">
        <f t="shared" si="89"/>
        <v>0</v>
      </c>
      <c r="BG85" s="332">
        <f t="shared" si="89"/>
        <v>0</v>
      </c>
      <c r="BH85" s="332">
        <f t="shared" si="89"/>
        <v>0</v>
      </c>
      <c r="BI85" s="332">
        <f t="shared" si="89"/>
        <v>0</v>
      </c>
      <c r="BJ85" s="332">
        <f t="shared" si="89"/>
        <v>0</v>
      </c>
      <c r="BK85" s="332">
        <f t="shared" si="89"/>
        <v>0</v>
      </c>
      <c r="BL85" s="332">
        <f t="shared" si="89"/>
        <v>0</v>
      </c>
      <c r="BM85" s="332">
        <f t="shared" si="89"/>
        <v>0</v>
      </c>
      <c r="BN85" s="332">
        <f t="shared" si="89"/>
        <v>0</v>
      </c>
      <c r="BO85" s="332">
        <f t="shared" si="89"/>
        <v>0</v>
      </c>
      <c r="BP85" s="332">
        <f t="shared" si="89"/>
        <v>0</v>
      </c>
      <c r="BQ85" s="332">
        <f t="shared" si="89"/>
        <v>0</v>
      </c>
      <c r="BR85" s="332">
        <f t="shared" si="89"/>
        <v>0</v>
      </c>
      <c r="BS85" s="332">
        <f t="shared" si="89"/>
        <v>0</v>
      </c>
      <c r="BT85" s="332">
        <f t="shared" si="89"/>
        <v>0</v>
      </c>
      <c r="BU85" s="332">
        <f t="shared" si="89"/>
        <v>0</v>
      </c>
      <c r="BV85" s="332">
        <f t="shared" si="89"/>
        <v>0</v>
      </c>
      <c r="BW85" s="332">
        <f t="shared" si="89"/>
        <v>0</v>
      </c>
      <c r="BX85" s="332">
        <f t="shared" si="89"/>
        <v>0</v>
      </c>
      <c r="BY85" s="332">
        <f t="shared" si="89"/>
        <v>0</v>
      </c>
      <c r="BZ85" s="332">
        <f t="shared" si="89"/>
        <v>0</v>
      </c>
      <c r="CA85" s="332">
        <f t="shared" si="89"/>
        <v>0</v>
      </c>
      <c r="CB85" s="332">
        <f t="shared" si="89"/>
        <v>0</v>
      </c>
      <c r="CC85" s="332">
        <f t="shared" si="89"/>
        <v>0</v>
      </c>
      <c r="CD85" s="332">
        <f t="shared" si="89"/>
        <v>0</v>
      </c>
      <c r="CE85" s="332">
        <f t="shared" si="89"/>
        <v>0</v>
      </c>
      <c r="CF85" s="332">
        <f t="shared" si="89"/>
        <v>0</v>
      </c>
      <c r="CG85" s="332">
        <f t="shared" ref="CG85:CJ85" si="90">CG84*CG83</f>
        <v>0</v>
      </c>
      <c r="CH85" s="332">
        <f t="shared" si="90"/>
        <v>0</v>
      </c>
      <c r="CI85" s="332">
        <f t="shared" si="90"/>
        <v>0</v>
      </c>
      <c r="CJ85" s="332">
        <f t="shared" si="90"/>
        <v>0</v>
      </c>
      <c r="CK85" s="510" t="s">
        <v>623</v>
      </c>
    </row>
    <row r="86" spans="2:89" s="321" customFormat="1" ht="15.75" hidden="1">
      <c r="B86" s="343"/>
      <c r="C86" s="310" t="s">
        <v>35</v>
      </c>
      <c r="D86" s="311" t="s">
        <v>33</v>
      </c>
      <c r="E86" s="312"/>
      <c r="F86" s="363"/>
      <c r="G86" s="331">
        <f>SUM(H86:DL86)</f>
        <v>0</v>
      </c>
      <c r="H86" s="1363">
        <v>0</v>
      </c>
      <c r="I86" s="335">
        <f>SUM($H$132:H132)*I85+SUM($H$85:I85)*I132</f>
        <v>0</v>
      </c>
      <c r="J86" s="335">
        <f>SUM($H$132:I132)*J85+SUM($H$85:J85)*J132</f>
        <v>0</v>
      </c>
      <c r="K86" s="335">
        <f>SUM($H$132:J132)*K85+SUM($H$85:K85)*K132</f>
        <v>0</v>
      </c>
      <c r="L86" s="335">
        <f>SUM($H$132:K132)*L85+SUM($H$85:L85)*L132</f>
        <v>0</v>
      </c>
      <c r="M86" s="335">
        <f>SUM($H$132:L132)*M85+SUM($H$85:M85)*M132</f>
        <v>0</v>
      </c>
      <c r="N86" s="335">
        <f>SUM($H$132:M132)*N85+SUM($H$85:N85)*N132</f>
        <v>0</v>
      </c>
      <c r="O86" s="335">
        <f>SUM($H$132:N132)*O85+SUM($H$85:O85)*O132</f>
        <v>0</v>
      </c>
      <c r="P86" s="335">
        <f>SUM($H$132:O132)*P85+SUM($H$85:P85)*P132</f>
        <v>0</v>
      </c>
      <c r="Q86" s="335">
        <f>SUM($H$132:P132)*Q85+SUM($H$85:Q85)*Q132</f>
        <v>0</v>
      </c>
      <c r="R86" s="335">
        <f>SUM($H$132:Q132)*R85+SUM($H$85:R85)*R132</f>
        <v>0</v>
      </c>
      <c r="S86" s="335">
        <f>SUM($H$132:R132)*S85+SUM($H$85:S85)*S132</f>
        <v>0</v>
      </c>
      <c r="T86" s="335">
        <f>SUM($H$132:S132)*T85+SUM($H$85:T85)*T132</f>
        <v>0</v>
      </c>
      <c r="U86" s="335">
        <f>SUM($H$132:T132)*U85+SUM($H$85:U85)*U132</f>
        <v>0</v>
      </c>
      <c r="V86" s="335">
        <f>SUM($H$132:U132)*V85+SUM($H$85:V85)*V132</f>
        <v>0</v>
      </c>
      <c r="W86" s="335">
        <f>SUM($H$132:V132)*W85+SUM($H$85:W85)*W132</f>
        <v>0</v>
      </c>
      <c r="X86" s="335">
        <f>SUM($H$132:W132)*X85+SUM($H$85:X85)*X132</f>
        <v>0</v>
      </c>
      <c r="Y86" s="335">
        <f>SUM($H$132:X132)*Y85+SUM($H$85:Y85)*Y132</f>
        <v>0</v>
      </c>
      <c r="Z86" s="335">
        <f>SUM($H$132:Y132)*Z85+SUM($H$85:Z85)*Z132</f>
        <v>0</v>
      </c>
      <c r="AA86" s="335">
        <f>SUM($H$132:Z132)*AA85+SUM($H$85:AA85)*AA132</f>
        <v>0</v>
      </c>
      <c r="AB86" s="335">
        <f>SUM($H$132:AA132)*AB85+SUM($H$85:AB85)*AB132</f>
        <v>0</v>
      </c>
      <c r="AC86" s="335">
        <f>SUM($H$132:AB132)*AC85+SUM($H$85:AC85)*AC132</f>
        <v>0</v>
      </c>
      <c r="AD86" s="335">
        <f>SUM($H$132:AC132)*AD85+SUM($H$85:AD85)*AD132</f>
        <v>0</v>
      </c>
      <c r="AE86" s="335">
        <f>SUM($H$132:AD132)*AE85+SUM($H$85:AE85)*AE132</f>
        <v>0</v>
      </c>
      <c r="AF86" s="335">
        <f>SUM($H$132:AE132)*AF85+SUM($H$85:AF85)*AF132</f>
        <v>0</v>
      </c>
      <c r="AG86" s="335">
        <f>SUM($H$132:AF132)*AG85+SUM($H$85:AG85)*AG132</f>
        <v>0</v>
      </c>
      <c r="AH86" s="335">
        <f>SUM($H$132:AG132)*AH85+SUM($H$85:AH85)*AH132</f>
        <v>0</v>
      </c>
      <c r="AI86" s="335">
        <f>SUM($H$132:AH132)*AI85+SUM($H$85:AI85)*AI132</f>
        <v>0</v>
      </c>
      <c r="AJ86" s="335">
        <f>SUM($H$132:AI132)*AJ85+SUM($H$85:AJ85)*AJ132</f>
        <v>0</v>
      </c>
      <c r="AK86" s="335">
        <f>SUM($H$132:AJ132)*AK85+SUM($H$85:AK85)*AK132</f>
        <v>0</v>
      </c>
      <c r="AL86" s="335">
        <f>SUM($H$132:AK132)*AL85+SUM($H$85:AL85)*AL132</f>
        <v>0</v>
      </c>
      <c r="AM86" s="335">
        <f>SUM($H$132:AL132)*AM85+SUM($H$85:AM85)*AM132</f>
        <v>0</v>
      </c>
      <c r="AN86" s="335">
        <f>SUM($H$132:AM132)*AN85+SUM($H$85:AN85)*AN132</f>
        <v>0</v>
      </c>
      <c r="AO86" s="335">
        <f>SUM($H$132:AN132)*AO85+SUM($H$85:AO85)*AO132</f>
        <v>0</v>
      </c>
      <c r="AP86" s="335">
        <f>SUM($H$132:AO132)*AP85+SUM($H$85:AP85)*AP132</f>
        <v>0</v>
      </c>
      <c r="AQ86" s="335">
        <f>SUM($H$132:AP132)*AQ85+SUM($H$85:AQ85)*AQ132</f>
        <v>0</v>
      </c>
      <c r="AR86" s="335">
        <f>SUM($H$132:AQ132)*AR85+SUM($H$85:AR85)*AR132</f>
        <v>0</v>
      </c>
      <c r="AS86" s="335">
        <f>SUM($H$132:AR132)*AS85+SUM($H$85:AS85)*AS132</f>
        <v>0</v>
      </c>
      <c r="AT86" s="335">
        <f>SUM($H$132:AS132)*AT85+SUM($H$85:AT85)*AT132</f>
        <v>0</v>
      </c>
      <c r="AU86" s="335">
        <f>SUM($H$132:AT132)*AU85+SUM($H$85:AU85)*AU132</f>
        <v>0</v>
      </c>
      <c r="AV86" s="335">
        <f>SUM($H$132:AU132)*AV85+SUM($H$85:AV85)*AV132</f>
        <v>0</v>
      </c>
      <c r="AW86" s="335">
        <f>SUM($H$132:AV132)*AW85+SUM($H$85:AW85)*AW132</f>
        <v>0</v>
      </c>
      <c r="AX86" s="335">
        <f>SUM($H$132:AW132)*AX85+SUM($H$85:AX85)*AX132</f>
        <v>0</v>
      </c>
      <c r="AY86" s="335">
        <f>SUM($H$132:AX132)*AY85+SUM($H$85:AY85)*AY132</f>
        <v>0</v>
      </c>
      <c r="AZ86" s="335">
        <f>SUM($H$132:AY132)*AZ85+SUM($H$85:AZ85)*AZ132</f>
        <v>0</v>
      </c>
      <c r="BA86" s="335">
        <f>SUM($H$132:AZ132)*BA85+SUM($H$85:BA85)*BA132</f>
        <v>0</v>
      </c>
      <c r="BB86" s="335">
        <f>SUM($H$132:BA132)*BB85+SUM($H$85:BB85)*BB132</f>
        <v>0</v>
      </c>
      <c r="BC86" s="335">
        <f>SUM($H$132:BB132)*BC85+SUM($H$85:BC85)*BC132</f>
        <v>0</v>
      </c>
      <c r="BD86" s="335">
        <f>SUM($H$132:BC132)*BD85+SUM($H$85:BD85)*BD132</f>
        <v>0</v>
      </c>
      <c r="BE86" s="335">
        <f>SUM($H$132:BD132)*BE85+SUM($H$85:BE85)*BE132</f>
        <v>0</v>
      </c>
      <c r="BF86" s="335">
        <f>SUM($H$132:BE132)*BF85+SUM($H$85:BF85)*BF132</f>
        <v>0</v>
      </c>
      <c r="BG86" s="335">
        <f>SUM($H$132:BF132)*BG85+SUM($H$85:BG85)*BG132</f>
        <v>0</v>
      </c>
      <c r="BH86" s="335">
        <f>SUM($H$132:BG132)*BH85+SUM($H$85:BH85)*BH132</f>
        <v>0</v>
      </c>
      <c r="BI86" s="335">
        <f>SUM($H$132:BH132)*BI85+SUM($H$85:BI85)*BI132</f>
        <v>0</v>
      </c>
      <c r="BJ86" s="335">
        <f>SUM($H$132:BI132)*BJ85+SUM($H$85:BJ85)*BJ132</f>
        <v>0</v>
      </c>
      <c r="BK86" s="335">
        <f>SUM($H$132:BJ132)*BK85+SUM($H$85:BK85)*BK132</f>
        <v>0</v>
      </c>
      <c r="BL86" s="335">
        <f>SUM($H$132:BK132)*BL85+SUM($H$85:BL85)*BL132</f>
        <v>0</v>
      </c>
      <c r="BM86" s="335">
        <f>SUM($H$132:BL132)*BM85+SUM($H$85:BM85)*BM132</f>
        <v>0</v>
      </c>
      <c r="BN86" s="335">
        <f>SUM($H$132:BM132)*BN85+SUM($H$85:BN85)*BN132</f>
        <v>0</v>
      </c>
      <c r="BO86" s="335">
        <f>SUM($H$132:BN132)*BO85+SUM($H$85:BO85)*BO132</f>
        <v>0</v>
      </c>
      <c r="BP86" s="335">
        <f>SUM($H$132:BO132)*BP85+SUM($H$85:BP85)*BP132</f>
        <v>0</v>
      </c>
      <c r="BQ86" s="335">
        <f>SUM($H$132:BP132)*BQ85+SUM($H$85:BQ85)*BQ132</f>
        <v>0</v>
      </c>
      <c r="BR86" s="335">
        <f>SUM($H$132:BQ132)*BR85+SUM($H$85:BR85)*BR132</f>
        <v>0</v>
      </c>
      <c r="BS86" s="335">
        <f>SUM($H$132:BR132)*BS85+SUM($H$85:BS85)*BS132</f>
        <v>0</v>
      </c>
      <c r="BT86" s="335">
        <f>SUM($H$132:BS132)*BT85+SUM($H$85:BT85)*BT132</f>
        <v>0</v>
      </c>
      <c r="BU86" s="335">
        <f>SUM($H$132:BT132)*BU85+SUM($H$85:BU85)*BU132</f>
        <v>0</v>
      </c>
      <c r="BV86" s="335">
        <f>SUM($H$132:BU132)*BV85+SUM($H$85:BV85)*BV132</f>
        <v>0</v>
      </c>
      <c r="BW86" s="335">
        <f>SUM($H$132:BV132)*BW85+SUM($H$85:BW85)*BW132</f>
        <v>0</v>
      </c>
      <c r="BX86" s="335">
        <f>SUM($H$132:BW132)*BX85+SUM($H$85:BX85)*BX132</f>
        <v>0</v>
      </c>
      <c r="BY86" s="335">
        <f>SUM($H$132:BX132)*BY85+SUM($H$85:BY85)*BY132</f>
        <v>0</v>
      </c>
      <c r="BZ86" s="335">
        <f>SUM($H$132:BY132)*BZ85+SUM($H$85:BZ85)*BZ132</f>
        <v>0</v>
      </c>
      <c r="CA86" s="335">
        <f>SUM($H$132:BZ132)*CA85+SUM($H$85:CA85)*CA132</f>
        <v>0</v>
      </c>
      <c r="CB86" s="335">
        <f>SUM($H$132:CA132)*CB85+SUM($H$85:CB85)*CB132</f>
        <v>0</v>
      </c>
      <c r="CC86" s="335">
        <f>SUM($H$132:CB132)*CC85+SUM($H$85:CC85)*CC132</f>
        <v>0</v>
      </c>
      <c r="CD86" s="335">
        <f>SUM($H$132:CC132)*CD85+SUM($H$85:CD85)*CD132</f>
        <v>0</v>
      </c>
      <c r="CE86" s="335">
        <f>SUM($H$132:CD132)*CE85+SUM($H$85:CE85)*CE132</f>
        <v>0</v>
      </c>
      <c r="CF86" s="335">
        <f>SUM($H$132:CE132)*CF85+SUM($H$85:CF85)*CF132</f>
        <v>0</v>
      </c>
      <c r="CG86" s="335">
        <f>SUM($H$132:CF132)*CG85+SUM($H$85:CG85)*CG132</f>
        <v>0</v>
      </c>
      <c r="CH86" s="335">
        <f>SUM($H$132:CG132)*CH85+SUM($H$85:CH85)*CH132</f>
        <v>0</v>
      </c>
      <c r="CI86" s="335">
        <f>SUM($H$132:CH132)*CI85+SUM($H$85:CI85)*CI132</f>
        <v>0</v>
      </c>
      <c r="CJ86" s="335">
        <f>SUM($H$132:CI132)*CJ85+SUM($H$85:CJ85)*CJ132</f>
        <v>0</v>
      </c>
      <c r="CK86" s="510" t="s">
        <v>623</v>
      </c>
    </row>
    <row r="87" spans="2:89" s="321" customFormat="1" ht="15.75" hidden="1">
      <c r="B87" s="1365"/>
      <c r="C87" s="1366"/>
      <c r="D87" s="1367"/>
      <c r="E87" s="1368"/>
      <c r="F87" s="364"/>
      <c r="G87" s="1377"/>
      <c r="H87" s="1375"/>
      <c r="I87" s="1369"/>
      <c r="J87" s="1369"/>
      <c r="K87" s="1369"/>
      <c r="L87" s="1369"/>
      <c r="M87" s="1369"/>
      <c r="N87" s="1369"/>
      <c r="O87" s="1369"/>
      <c r="P87" s="1369"/>
      <c r="Q87" s="1370"/>
      <c r="R87" s="1371"/>
      <c r="S87" s="1372"/>
      <c r="T87" s="1373"/>
      <c r="U87" s="1369"/>
      <c r="V87" s="1369"/>
      <c r="W87" s="1372"/>
      <c r="X87" s="1373"/>
      <c r="Y87" s="1369"/>
      <c r="Z87" s="1369"/>
      <c r="AA87" s="1369"/>
      <c r="AB87" s="1369"/>
      <c r="AC87" s="1369"/>
      <c r="AD87" s="1369"/>
      <c r="AE87" s="1369"/>
      <c r="AF87" s="1369"/>
      <c r="AG87" s="1369"/>
      <c r="AH87" s="1369"/>
      <c r="AI87" s="1369"/>
      <c r="AJ87" s="1369"/>
      <c r="AK87" s="1369"/>
      <c r="AL87" s="1369"/>
      <c r="AM87" s="1369"/>
      <c r="AN87" s="1369"/>
      <c r="AO87" s="1369"/>
      <c r="AP87" s="1369"/>
      <c r="AQ87" s="1369"/>
      <c r="AR87" s="1369"/>
      <c r="AS87" s="1369"/>
      <c r="AT87" s="1369"/>
      <c r="AU87" s="1369"/>
      <c r="AV87" s="1369"/>
      <c r="AW87" s="1369"/>
      <c r="AX87" s="1369"/>
      <c r="AY87" s="1369"/>
      <c r="AZ87" s="1369"/>
      <c r="BA87" s="1369"/>
      <c r="BB87" s="1369"/>
      <c r="BC87" s="1369"/>
      <c r="BD87" s="1369"/>
      <c r="BE87" s="1369"/>
      <c r="BF87" s="1369"/>
      <c r="BG87" s="1369"/>
      <c r="BH87" s="1369"/>
      <c r="BI87" s="1369"/>
      <c r="BJ87" s="1369"/>
      <c r="BK87" s="1369"/>
      <c r="BL87" s="1369"/>
      <c r="BM87" s="1369"/>
      <c r="BN87" s="1369"/>
      <c r="BO87" s="1369"/>
      <c r="BP87" s="1369"/>
      <c r="BQ87" s="1369"/>
      <c r="BR87" s="1369"/>
      <c r="BS87" s="1369"/>
      <c r="BT87" s="1369"/>
      <c r="BU87" s="1369"/>
      <c r="BV87" s="1369"/>
      <c r="BW87" s="1369"/>
      <c r="BX87" s="1369"/>
      <c r="BY87" s="1369"/>
      <c r="BZ87" s="1369"/>
      <c r="CA87" s="1369"/>
      <c r="CB87" s="1369"/>
      <c r="CC87" s="1369"/>
      <c r="CD87" s="1369"/>
      <c r="CE87" s="1369"/>
      <c r="CF87" s="1369"/>
      <c r="CG87" s="1369"/>
      <c r="CH87" s="1369"/>
      <c r="CI87" s="1369"/>
      <c r="CJ87" s="1369"/>
      <c r="CK87" s="510" t="s">
        <v>623</v>
      </c>
    </row>
    <row r="88" spans="2:89" s="321" customFormat="1" ht="15.75">
      <c r="B88" s="726">
        <v>13</v>
      </c>
      <c r="C88" s="717">
        <f>+'2.Tien do'!C77</f>
        <v>0</v>
      </c>
      <c r="D88" s="717"/>
      <c r="E88" s="718"/>
      <c r="F88" s="719"/>
      <c r="G88" s="720"/>
      <c r="H88" s="721"/>
      <c r="I88" s="721"/>
      <c r="J88" s="722"/>
      <c r="K88" s="722"/>
      <c r="L88" s="722"/>
      <c r="M88" s="722"/>
      <c r="N88" s="722"/>
      <c r="O88" s="722"/>
      <c r="P88" s="722"/>
      <c r="Q88" s="722"/>
      <c r="R88" s="722"/>
      <c r="S88" s="723"/>
      <c r="T88" s="724"/>
      <c r="U88" s="722"/>
      <c r="V88" s="722"/>
      <c r="W88" s="723"/>
      <c r="X88" s="724"/>
      <c r="Y88" s="722"/>
      <c r="Z88" s="722"/>
      <c r="AA88" s="722"/>
      <c r="AB88" s="722"/>
      <c r="AC88" s="722"/>
      <c r="AD88" s="722"/>
      <c r="AE88" s="722"/>
      <c r="AF88" s="722"/>
      <c r="AG88" s="722"/>
      <c r="AH88" s="722"/>
      <c r="AI88" s="722"/>
      <c r="AJ88" s="722"/>
      <c r="AK88" s="722"/>
      <c r="AL88" s="722"/>
      <c r="AM88" s="722"/>
      <c r="AN88" s="722"/>
      <c r="AO88" s="722"/>
      <c r="AP88" s="722"/>
      <c r="AQ88" s="722"/>
      <c r="AR88" s="722"/>
      <c r="AS88" s="722"/>
      <c r="AT88" s="722"/>
      <c r="AU88" s="722"/>
      <c r="AV88" s="722"/>
      <c r="AW88" s="722"/>
      <c r="AX88" s="722"/>
      <c r="AY88" s="722"/>
      <c r="AZ88" s="722"/>
      <c r="BA88" s="722"/>
      <c r="BB88" s="722"/>
      <c r="BC88" s="722"/>
      <c r="BD88" s="722"/>
      <c r="BE88" s="722"/>
      <c r="BF88" s="722"/>
      <c r="BG88" s="722"/>
      <c r="BH88" s="722"/>
      <c r="BI88" s="722"/>
      <c r="BJ88" s="722"/>
      <c r="BK88" s="722"/>
      <c r="BL88" s="722"/>
      <c r="BM88" s="722"/>
      <c r="BN88" s="722"/>
      <c r="BO88" s="722"/>
      <c r="BP88" s="722"/>
      <c r="BQ88" s="722"/>
      <c r="BR88" s="722"/>
      <c r="BS88" s="722"/>
      <c r="BT88" s="722"/>
      <c r="BU88" s="722"/>
      <c r="BV88" s="722"/>
      <c r="BW88" s="722"/>
      <c r="BX88" s="722"/>
      <c r="BY88" s="722"/>
      <c r="BZ88" s="722"/>
      <c r="CA88" s="722"/>
      <c r="CB88" s="722"/>
      <c r="CC88" s="722"/>
      <c r="CD88" s="722"/>
      <c r="CE88" s="722"/>
      <c r="CF88" s="722"/>
      <c r="CG88" s="722"/>
      <c r="CH88" s="722"/>
      <c r="CI88" s="722"/>
      <c r="CJ88" s="722"/>
      <c r="CK88" s="510" t="s">
        <v>623</v>
      </c>
    </row>
    <row r="89" spans="2:89" s="321" customFormat="1" ht="15.75" hidden="1">
      <c r="B89" s="295"/>
      <c r="C89" s="296" t="s">
        <v>137</v>
      </c>
      <c r="D89" s="297" t="s">
        <v>171</v>
      </c>
      <c r="E89" s="342">
        <v>0.1</v>
      </c>
      <c r="F89" s="359">
        <v>0.05</v>
      </c>
      <c r="G89" s="322"/>
      <c r="H89" s="323">
        <f>+'2.Tien do'!E77</f>
        <v>0</v>
      </c>
      <c r="I89" s="323">
        <f>+'2.Tien do'!F77</f>
        <v>0</v>
      </c>
      <c r="J89" s="323">
        <f>+'2.Tien do'!G77</f>
        <v>0</v>
      </c>
      <c r="K89" s="323">
        <f>+'2.Tien do'!H77</f>
        <v>0</v>
      </c>
      <c r="L89" s="323">
        <f>+'2.Tien do'!I77</f>
        <v>0</v>
      </c>
      <c r="M89" s="323">
        <f>+'2.Tien do'!J77</f>
        <v>0</v>
      </c>
      <c r="N89" s="323">
        <f>+'2.Tien do'!K77</f>
        <v>0</v>
      </c>
      <c r="O89" s="323">
        <f>+'2.Tien do'!L77</f>
        <v>0</v>
      </c>
      <c r="P89" s="323">
        <f>+'2.Tien do'!M77</f>
        <v>0</v>
      </c>
      <c r="Q89" s="323">
        <f>+'2.Tien do'!N77</f>
        <v>0</v>
      </c>
      <c r="R89" s="323">
        <f>+'2.Tien do'!O77</f>
        <v>0</v>
      </c>
      <c r="S89" s="323">
        <f>+'2.Tien do'!P77</f>
        <v>0</v>
      </c>
      <c r="T89" s="323">
        <f>+'2.Tien do'!Q77</f>
        <v>0</v>
      </c>
      <c r="U89" s="323">
        <f>+'2.Tien do'!R77</f>
        <v>0</v>
      </c>
      <c r="V89" s="323">
        <f>+'2.Tien do'!S77</f>
        <v>0</v>
      </c>
      <c r="W89" s="323">
        <f>+'2.Tien do'!T77</f>
        <v>0</v>
      </c>
      <c r="X89" s="323">
        <f>+'2.Tien do'!U77</f>
        <v>0</v>
      </c>
      <c r="Y89" s="323">
        <f>+'2.Tien do'!V77</f>
        <v>0</v>
      </c>
      <c r="Z89" s="323">
        <f>+'2.Tien do'!W77</f>
        <v>0</v>
      </c>
      <c r="AA89" s="323">
        <f>+'2.Tien do'!X77</f>
        <v>0</v>
      </c>
      <c r="AB89" s="323">
        <f>+'2.Tien do'!Y77</f>
        <v>0</v>
      </c>
      <c r="AC89" s="323">
        <f>+'2.Tien do'!Z77</f>
        <v>0</v>
      </c>
      <c r="AD89" s="323">
        <f>+'2.Tien do'!AA77</f>
        <v>0</v>
      </c>
      <c r="AE89" s="323">
        <f>+'2.Tien do'!AB77</f>
        <v>0</v>
      </c>
      <c r="AF89" s="323">
        <f>+'2.Tien do'!AC77</f>
        <v>0</v>
      </c>
      <c r="AG89" s="323">
        <f>+'2.Tien do'!AD77</f>
        <v>0</v>
      </c>
      <c r="AH89" s="323">
        <f>+'2.Tien do'!AE77</f>
        <v>0</v>
      </c>
      <c r="AI89" s="323">
        <f>+'2.Tien do'!AF77</f>
        <v>0</v>
      </c>
      <c r="AJ89" s="323">
        <f>+'2.Tien do'!AG77</f>
        <v>0</v>
      </c>
      <c r="AK89" s="323">
        <f>+'2.Tien do'!AH77</f>
        <v>0</v>
      </c>
      <c r="AL89" s="323">
        <f>+'2.Tien do'!AI77</f>
        <v>0</v>
      </c>
      <c r="AM89" s="323">
        <f>+'2.Tien do'!AJ77</f>
        <v>0</v>
      </c>
      <c r="AN89" s="323">
        <f>+'2.Tien do'!AK77</f>
        <v>0</v>
      </c>
      <c r="AO89" s="323">
        <f>+'2.Tien do'!AL77</f>
        <v>0</v>
      </c>
      <c r="AP89" s="323">
        <f>+'2.Tien do'!AM77</f>
        <v>0</v>
      </c>
      <c r="AQ89" s="323">
        <f>+'2.Tien do'!AN77</f>
        <v>0</v>
      </c>
      <c r="AR89" s="323">
        <f>+'2.Tien do'!AO77</f>
        <v>0</v>
      </c>
      <c r="AS89" s="323">
        <f>+'2.Tien do'!AP77</f>
        <v>0</v>
      </c>
      <c r="AT89" s="323">
        <f>+'2.Tien do'!AQ77</f>
        <v>0</v>
      </c>
      <c r="AU89" s="323">
        <f>+'2.Tien do'!AR77</f>
        <v>0</v>
      </c>
      <c r="AV89" s="323">
        <f>+'2.Tien do'!AS77</f>
        <v>0</v>
      </c>
      <c r="AW89" s="323">
        <f>+'2.Tien do'!AT77</f>
        <v>0</v>
      </c>
      <c r="AX89" s="323">
        <f>+'2.Tien do'!AU77</f>
        <v>0</v>
      </c>
      <c r="AY89" s="323">
        <f>+'2.Tien do'!AV77</f>
        <v>0</v>
      </c>
      <c r="AZ89" s="323">
        <f>+'2.Tien do'!AW77</f>
        <v>0</v>
      </c>
      <c r="BA89" s="323">
        <f>+'2.Tien do'!AX77</f>
        <v>0</v>
      </c>
      <c r="BB89" s="323">
        <f>+'2.Tien do'!AY77</f>
        <v>0</v>
      </c>
      <c r="BC89" s="323">
        <f>+'2.Tien do'!AZ77</f>
        <v>0</v>
      </c>
      <c r="BD89" s="323">
        <f>+'2.Tien do'!BA77</f>
        <v>0</v>
      </c>
      <c r="BE89" s="323">
        <f>+'2.Tien do'!BB77</f>
        <v>0</v>
      </c>
      <c r="BF89" s="323">
        <f>+'2.Tien do'!BC77</f>
        <v>0</v>
      </c>
      <c r="BG89" s="323">
        <f>+'2.Tien do'!BD77</f>
        <v>0</v>
      </c>
      <c r="BH89" s="323">
        <f>+'2.Tien do'!BE77</f>
        <v>0</v>
      </c>
      <c r="BI89" s="323">
        <f>+'2.Tien do'!BF77</f>
        <v>0</v>
      </c>
      <c r="BJ89" s="323">
        <f>+'2.Tien do'!BG77</f>
        <v>0</v>
      </c>
      <c r="BK89" s="323">
        <f>+'2.Tien do'!BH77</f>
        <v>0</v>
      </c>
      <c r="BL89" s="323">
        <f>+'2.Tien do'!BI77</f>
        <v>0</v>
      </c>
      <c r="BM89" s="323">
        <f>+'2.Tien do'!BJ77</f>
        <v>0</v>
      </c>
      <c r="BN89" s="323">
        <f>+'2.Tien do'!BK77</f>
        <v>0</v>
      </c>
      <c r="BO89" s="323">
        <f>+'2.Tien do'!BL77</f>
        <v>0</v>
      </c>
      <c r="BP89" s="323">
        <f>+'2.Tien do'!BM77</f>
        <v>0</v>
      </c>
      <c r="BQ89" s="323">
        <f>+'2.Tien do'!BN77</f>
        <v>0</v>
      </c>
      <c r="BR89" s="323">
        <f>+'2.Tien do'!BO77</f>
        <v>0</v>
      </c>
      <c r="BS89" s="323">
        <f>+'2.Tien do'!BP77</f>
        <v>0</v>
      </c>
      <c r="BT89" s="323">
        <f>+'2.Tien do'!BQ77</f>
        <v>0</v>
      </c>
      <c r="BU89" s="323">
        <f>+'2.Tien do'!BR77</f>
        <v>0</v>
      </c>
      <c r="BV89" s="323">
        <f>+'2.Tien do'!BS77</f>
        <v>0</v>
      </c>
      <c r="BW89" s="323">
        <f>+'2.Tien do'!BT77</f>
        <v>0</v>
      </c>
      <c r="BX89" s="323">
        <f>+'2.Tien do'!BU77</f>
        <v>0</v>
      </c>
      <c r="BY89" s="323">
        <f>+'2.Tien do'!BV77</f>
        <v>0</v>
      </c>
      <c r="BZ89" s="323">
        <f>+'2.Tien do'!BW77</f>
        <v>0</v>
      </c>
      <c r="CA89" s="323">
        <f>+'2.Tien do'!BX77</f>
        <v>0</v>
      </c>
      <c r="CB89" s="323">
        <f>+'2.Tien do'!BY77</f>
        <v>0</v>
      </c>
      <c r="CC89" s="323">
        <f>+'2.Tien do'!BZ77</f>
        <v>0</v>
      </c>
      <c r="CD89" s="323">
        <f>+'2.Tien do'!CA77</f>
        <v>0</v>
      </c>
      <c r="CE89" s="323">
        <f>+'2.Tien do'!CB77</f>
        <v>0</v>
      </c>
      <c r="CF89" s="323">
        <f>+'2.Tien do'!CC77</f>
        <v>0</v>
      </c>
      <c r="CG89" s="323">
        <f>+'2.Tien do'!CD77</f>
        <v>0</v>
      </c>
      <c r="CH89" s="323">
        <f>+'2.Tien do'!CE77</f>
        <v>0</v>
      </c>
      <c r="CI89" s="323">
        <f>+'2.Tien do'!CF77</f>
        <v>0</v>
      </c>
      <c r="CJ89" s="323">
        <f>+'2.Tien do'!CG77</f>
        <v>0</v>
      </c>
      <c r="CK89" s="510" t="s">
        <v>623</v>
      </c>
    </row>
    <row r="90" spans="2:89" s="321" customFormat="1" ht="15.75" hidden="1">
      <c r="B90" s="299"/>
      <c r="C90" s="300" t="s">
        <v>68</v>
      </c>
      <c r="D90" s="301" t="s">
        <v>3</v>
      </c>
      <c r="E90" s="302">
        <f>+'1. thong tin quy hoach'!D46</f>
        <v>0</v>
      </c>
      <c r="F90" s="360">
        <v>1966</v>
      </c>
      <c r="G90" s="325"/>
      <c r="H90" s="326">
        <f t="shared" ref="H90:BS90" si="91">$E90*H89</f>
        <v>0</v>
      </c>
      <c r="I90" s="326">
        <f t="shared" si="91"/>
        <v>0</v>
      </c>
      <c r="J90" s="326">
        <f t="shared" si="91"/>
        <v>0</v>
      </c>
      <c r="K90" s="326">
        <f t="shared" si="91"/>
        <v>0</v>
      </c>
      <c r="L90" s="326">
        <f t="shared" si="91"/>
        <v>0</v>
      </c>
      <c r="M90" s="326">
        <f t="shared" si="91"/>
        <v>0</v>
      </c>
      <c r="N90" s="326">
        <f t="shared" si="91"/>
        <v>0</v>
      </c>
      <c r="O90" s="326">
        <f t="shared" si="91"/>
        <v>0</v>
      </c>
      <c r="P90" s="326">
        <f t="shared" si="91"/>
        <v>0</v>
      </c>
      <c r="Q90" s="326">
        <f t="shared" si="91"/>
        <v>0</v>
      </c>
      <c r="R90" s="326">
        <f t="shared" si="91"/>
        <v>0</v>
      </c>
      <c r="S90" s="326">
        <f t="shared" si="91"/>
        <v>0</v>
      </c>
      <c r="T90" s="326">
        <f t="shared" si="91"/>
        <v>0</v>
      </c>
      <c r="U90" s="326">
        <f t="shared" si="91"/>
        <v>0</v>
      </c>
      <c r="V90" s="326">
        <f t="shared" si="91"/>
        <v>0</v>
      </c>
      <c r="W90" s="326">
        <f t="shared" si="91"/>
        <v>0</v>
      </c>
      <c r="X90" s="326">
        <f t="shared" si="91"/>
        <v>0</v>
      </c>
      <c r="Y90" s="326">
        <f t="shared" si="91"/>
        <v>0</v>
      </c>
      <c r="Z90" s="326">
        <f t="shared" si="91"/>
        <v>0</v>
      </c>
      <c r="AA90" s="326">
        <f t="shared" si="91"/>
        <v>0</v>
      </c>
      <c r="AB90" s="326">
        <f t="shared" si="91"/>
        <v>0</v>
      </c>
      <c r="AC90" s="326">
        <f t="shared" si="91"/>
        <v>0</v>
      </c>
      <c r="AD90" s="326">
        <f t="shared" si="91"/>
        <v>0</v>
      </c>
      <c r="AE90" s="326">
        <f t="shared" si="91"/>
        <v>0</v>
      </c>
      <c r="AF90" s="326">
        <f t="shared" si="91"/>
        <v>0</v>
      </c>
      <c r="AG90" s="326">
        <f t="shared" si="91"/>
        <v>0</v>
      </c>
      <c r="AH90" s="326">
        <f t="shared" si="91"/>
        <v>0</v>
      </c>
      <c r="AI90" s="326">
        <f t="shared" si="91"/>
        <v>0</v>
      </c>
      <c r="AJ90" s="326">
        <f t="shared" si="91"/>
        <v>0</v>
      </c>
      <c r="AK90" s="326">
        <f t="shared" si="91"/>
        <v>0</v>
      </c>
      <c r="AL90" s="326">
        <f t="shared" si="91"/>
        <v>0</v>
      </c>
      <c r="AM90" s="326">
        <f t="shared" si="91"/>
        <v>0</v>
      </c>
      <c r="AN90" s="326">
        <f t="shared" si="91"/>
        <v>0</v>
      </c>
      <c r="AO90" s="326">
        <f t="shared" si="91"/>
        <v>0</v>
      </c>
      <c r="AP90" s="326">
        <f t="shared" si="91"/>
        <v>0</v>
      </c>
      <c r="AQ90" s="326">
        <f t="shared" si="91"/>
        <v>0</v>
      </c>
      <c r="AR90" s="326">
        <f t="shared" si="91"/>
        <v>0</v>
      </c>
      <c r="AS90" s="326">
        <f t="shared" si="91"/>
        <v>0</v>
      </c>
      <c r="AT90" s="326">
        <f t="shared" si="91"/>
        <v>0</v>
      </c>
      <c r="AU90" s="326">
        <f t="shared" si="91"/>
        <v>0</v>
      </c>
      <c r="AV90" s="326">
        <f t="shared" si="91"/>
        <v>0</v>
      </c>
      <c r="AW90" s="326">
        <f t="shared" si="91"/>
        <v>0</v>
      </c>
      <c r="AX90" s="326">
        <f t="shared" si="91"/>
        <v>0</v>
      </c>
      <c r="AY90" s="326">
        <f t="shared" si="91"/>
        <v>0</v>
      </c>
      <c r="AZ90" s="326">
        <f t="shared" si="91"/>
        <v>0</v>
      </c>
      <c r="BA90" s="326">
        <f t="shared" si="91"/>
        <v>0</v>
      </c>
      <c r="BB90" s="326">
        <f t="shared" si="91"/>
        <v>0</v>
      </c>
      <c r="BC90" s="326">
        <f t="shared" si="91"/>
        <v>0</v>
      </c>
      <c r="BD90" s="326">
        <f t="shared" si="91"/>
        <v>0</v>
      </c>
      <c r="BE90" s="326">
        <f t="shared" si="91"/>
        <v>0</v>
      </c>
      <c r="BF90" s="326">
        <f t="shared" si="91"/>
        <v>0</v>
      </c>
      <c r="BG90" s="326">
        <f t="shared" si="91"/>
        <v>0</v>
      </c>
      <c r="BH90" s="326">
        <f t="shared" si="91"/>
        <v>0</v>
      </c>
      <c r="BI90" s="326">
        <f t="shared" si="91"/>
        <v>0</v>
      </c>
      <c r="BJ90" s="326">
        <f t="shared" si="91"/>
        <v>0</v>
      </c>
      <c r="BK90" s="326">
        <f t="shared" si="91"/>
        <v>0</v>
      </c>
      <c r="BL90" s="326">
        <f t="shared" si="91"/>
        <v>0</v>
      </c>
      <c r="BM90" s="326">
        <f t="shared" si="91"/>
        <v>0</v>
      </c>
      <c r="BN90" s="326">
        <f t="shared" si="91"/>
        <v>0</v>
      </c>
      <c r="BO90" s="326">
        <f t="shared" si="91"/>
        <v>0</v>
      </c>
      <c r="BP90" s="326">
        <f t="shared" si="91"/>
        <v>0</v>
      </c>
      <c r="BQ90" s="326">
        <f t="shared" si="91"/>
        <v>0</v>
      </c>
      <c r="BR90" s="326">
        <f t="shared" si="91"/>
        <v>0</v>
      </c>
      <c r="BS90" s="326">
        <f t="shared" si="91"/>
        <v>0</v>
      </c>
      <c r="BT90" s="326">
        <f t="shared" ref="BT90:CJ90" si="92">$E90*BT89</f>
        <v>0</v>
      </c>
      <c r="BU90" s="326">
        <f t="shared" si="92"/>
        <v>0</v>
      </c>
      <c r="BV90" s="326">
        <f t="shared" si="92"/>
        <v>0</v>
      </c>
      <c r="BW90" s="326">
        <f t="shared" si="92"/>
        <v>0</v>
      </c>
      <c r="BX90" s="326">
        <f t="shared" si="92"/>
        <v>0</v>
      </c>
      <c r="BY90" s="326">
        <f t="shared" si="92"/>
        <v>0</v>
      </c>
      <c r="BZ90" s="326">
        <f t="shared" si="92"/>
        <v>0</v>
      </c>
      <c r="CA90" s="326">
        <f t="shared" si="92"/>
        <v>0</v>
      </c>
      <c r="CB90" s="326">
        <f t="shared" si="92"/>
        <v>0</v>
      </c>
      <c r="CC90" s="326">
        <f t="shared" si="92"/>
        <v>0</v>
      </c>
      <c r="CD90" s="326">
        <f t="shared" si="92"/>
        <v>0</v>
      </c>
      <c r="CE90" s="326">
        <f t="shared" si="92"/>
        <v>0</v>
      </c>
      <c r="CF90" s="326">
        <f t="shared" si="92"/>
        <v>0</v>
      </c>
      <c r="CG90" s="326">
        <f t="shared" si="92"/>
        <v>0</v>
      </c>
      <c r="CH90" s="326">
        <f t="shared" si="92"/>
        <v>0</v>
      </c>
      <c r="CI90" s="326">
        <f t="shared" si="92"/>
        <v>0</v>
      </c>
      <c r="CJ90" s="326">
        <f t="shared" si="92"/>
        <v>0</v>
      </c>
      <c r="CK90" s="510" t="s">
        <v>623</v>
      </c>
    </row>
    <row r="91" spans="2:89" s="321" customFormat="1" ht="15.75" hidden="1">
      <c r="B91" s="303"/>
      <c r="C91" s="304" t="s">
        <v>343</v>
      </c>
      <c r="D91" s="305" t="s">
        <v>31</v>
      </c>
      <c r="E91" s="306">
        <f>+E77</f>
        <v>0</v>
      </c>
      <c r="F91" s="361">
        <v>12</v>
      </c>
      <c r="G91" s="328"/>
      <c r="H91" s="329">
        <f t="shared" ref="H91:R91" si="93">IF(H90&gt;0,$E91,0)</f>
        <v>0</v>
      </c>
      <c r="I91" s="329">
        <f t="shared" si="93"/>
        <v>0</v>
      </c>
      <c r="J91" s="329">
        <f t="shared" si="93"/>
        <v>0</v>
      </c>
      <c r="K91" s="329">
        <f t="shared" si="93"/>
        <v>0</v>
      </c>
      <c r="L91" s="329">
        <f t="shared" si="93"/>
        <v>0</v>
      </c>
      <c r="M91" s="329">
        <f t="shared" si="93"/>
        <v>0</v>
      </c>
      <c r="N91" s="329">
        <f t="shared" si="93"/>
        <v>0</v>
      </c>
      <c r="O91" s="329">
        <f t="shared" si="93"/>
        <v>0</v>
      </c>
      <c r="P91" s="329">
        <f t="shared" si="93"/>
        <v>0</v>
      </c>
      <c r="Q91" s="329">
        <f t="shared" si="93"/>
        <v>0</v>
      </c>
      <c r="R91" s="329">
        <f t="shared" si="93"/>
        <v>0</v>
      </c>
      <c r="S91" s="329">
        <f t="shared" ref="S91:CD91" si="94">IF(S90&gt;0,$E91,0)</f>
        <v>0</v>
      </c>
      <c r="T91" s="329">
        <f t="shared" si="94"/>
        <v>0</v>
      </c>
      <c r="U91" s="329">
        <f t="shared" si="94"/>
        <v>0</v>
      </c>
      <c r="V91" s="329">
        <f t="shared" si="94"/>
        <v>0</v>
      </c>
      <c r="W91" s="329">
        <f t="shared" si="94"/>
        <v>0</v>
      </c>
      <c r="X91" s="329">
        <f t="shared" si="94"/>
        <v>0</v>
      </c>
      <c r="Y91" s="329">
        <f t="shared" si="94"/>
        <v>0</v>
      </c>
      <c r="Z91" s="329">
        <f t="shared" si="94"/>
        <v>0</v>
      </c>
      <c r="AA91" s="329">
        <f t="shared" si="94"/>
        <v>0</v>
      </c>
      <c r="AB91" s="329">
        <f t="shared" si="94"/>
        <v>0</v>
      </c>
      <c r="AC91" s="329">
        <f t="shared" si="94"/>
        <v>0</v>
      </c>
      <c r="AD91" s="329">
        <f t="shared" si="94"/>
        <v>0</v>
      </c>
      <c r="AE91" s="329">
        <f t="shared" si="94"/>
        <v>0</v>
      </c>
      <c r="AF91" s="329">
        <f t="shared" si="94"/>
        <v>0</v>
      </c>
      <c r="AG91" s="329">
        <f t="shared" si="94"/>
        <v>0</v>
      </c>
      <c r="AH91" s="329">
        <f t="shared" si="94"/>
        <v>0</v>
      </c>
      <c r="AI91" s="329">
        <f t="shared" si="94"/>
        <v>0</v>
      </c>
      <c r="AJ91" s="329">
        <f t="shared" si="94"/>
        <v>0</v>
      </c>
      <c r="AK91" s="329">
        <f t="shared" si="94"/>
        <v>0</v>
      </c>
      <c r="AL91" s="329">
        <f t="shared" si="94"/>
        <v>0</v>
      </c>
      <c r="AM91" s="329">
        <f t="shared" si="94"/>
        <v>0</v>
      </c>
      <c r="AN91" s="329">
        <f t="shared" si="94"/>
        <v>0</v>
      </c>
      <c r="AO91" s="329">
        <f t="shared" si="94"/>
        <v>0</v>
      </c>
      <c r="AP91" s="329">
        <f t="shared" si="94"/>
        <v>0</v>
      </c>
      <c r="AQ91" s="329">
        <f t="shared" si="94"/>
        <v>0</v>
      </c>
      <c r="AR91" s="329">
        <f t="shared" si="94"/>
        <v>0</v>
      </c>
      <c r="AS91" s="329">
        <f t="shared" si="94"/>
        <v>0</v>
      </c>
      <c r="AT91" s="329">
        <f t="shared" si="94"/>
        <v>0</v>
      </c>
      <c r="AU91" s="329">
        <f t="shared" si="94"/>
        <v>0</v>
      </c>
      <c r="AV91" s="329">
        <f t="shared" si="94"/>
        <v>0</v>
      </c>
      <c r="AW91" s="329">
        <f t="shared" si="94"/>
        <v>0</v>
      </c>
      <c r="AX91" s="329">
        <f t="shared" si="94"/>
        <v>0</v>
      </c>
      <c r="AY91" s="329">
        <f t="shared" si="94"/>
        <v>0</v>
      </c>
      <c r="AZ91" s="329">
        <f t="shared" si="94"/>
        <v>0</v>
      </c>
      <c r="BA91" s="329">
        <f t="shared" si="94"/>
        <v>0</v>
      </c>
      <c r="BB91" s="329">
        <f t="shared" si="94"/>
        <v>0</v>
      </c>
      <c r="BC91" s="329">
        <f t="shared" si="94"/>
        <v>0</v>
      </c>
      <c r="BD91" s="329">
        <f t="shared" si="94"/>
        <v>0</v>
      </c>
      <c r="BE91" s="329">
        <f t="shared" si="94"/>
        <v>0</v>
      </c>
      <c r="BF91" s="329">
        <f t="shared" si="94"/>
        <v>0</v>
      </c>
      <c r="BG91" s="329">
        <f t="shared" si="94"/>
        <v>0</v>
      </c>
      <c r="BH91" s="329">
        <f t="shared" si="94"/>
        <v>0</v>
      </c>
      <c r="BI91" s="329">
        <f t="shared" si="94"/>
        <v>0</v>
      </c>
      <c r="BJ91" s="329">
        <f t="shared" si="94"/>
        <v>0</v>
      </c>
      <c r="BK91" s="329">
        <f t="shared" si="94"/>
        <v>0</v>
      </c>
      <c r="BL91" s="329">
        <f t="shared" si="94"/>
        <v>0</v>
      </c>
      <c r="BM91" s="329">
        <f t="shared" si="94"/>
        <v>0</v>
      </c>
      <c r="BN91" s="329">
        <f t="shared" si="94"/>
        <v>0</v>
      </c>
      <c r="BO91" s="329">
        <f t="shared" si="94"/>
        <v>0</v>
      </c>
      <c r="BP91" s="329">
        <f t="shared" si="94"/>
        <v>0</v>
      </c>
      <c r="BQ91" s="329">
        <f t="shared" si="94"/>
        <v>0</v>
      </c>
      <c r="BR91" s="329">
        <f t="shared" si="94"/>
        <v>0</v>
      </c>
      <c r="BS91" s="329">
        <f t="shared" si="94"/>
        <v>0</v>
      </c>
      <c r="BT91" s="329">
        <f t="shared" si="94"/>
        <v>0</v>
      </c>
      <c r="BU91" s="329">
        <f t="shared" si="94"/>
        <v>0</v>
      </c>
      <c r="BV91" s="329">
        <f t="shared" si="94"/>
        <v>0</v>
      </c>
      <c r="BW91" s="329">
        <f t="shared" si="94"/>
        <v>0</v>
      </c>
      <c r="BX91" s="329">
        <f t="shared" si="94"/>
        <v>0</v>
      </c>
      <c r="BY91" s="329">
        <f t="shared" si="94"/>
        <v>0</v>
      </c>
      <c r="BZ91" s="329">
        <f t="shared" si="94"/>
        <v>0</v>
      </c>
      <c r="CA91" s="329">
        <f t="shared" si="94"/>
        <v>0</v>
      </c>
      <c r="CB91" s="329">
        <f t="shared" si="94"/>
        <v>0</v>
      </c>
      <c r="CC91" s="329">
        <f t="shared" si="94"/>
        <v>0</v>
      </c>
      <c r="CD91" s="329">
        <f t="shared" si="94"/>
        <v>0</v>
      </c>
      <c r="CE91" s="329">
        <f t="shared" ref="CE91:CJ91" si="95">IF(CE90&gt;0,$E91,0)</f>
        <v>0</v>
      </c>
      <c r="CF91" s="329">
        <f t="shared" si="95"/>
        <v>0</v>
      </c>
      <c r="CG91" s="329">
        <f t="shared" si="95"/>
        <v>0</v>
      </c>
      <c r="CH91" s="329">
        <f t="shared" si="95"/>
        <v>0</v>
      </c>
      <c r="CI91" s="329">
        <f t="shared" si="95"/>
        <v>0</v>
      </c>
      <c r="CJ91" s="329">
        <f t="shared" si="95"/>
        <v>0</v>
      </c>
      <c r="CK91" s="510" t="s">
        <v>623</v>
      </c>
    </row>
    <row r="92" spans="2:89" s="321" customFormat="1" ht="15.75" hidden="1">
      <c r="B92" s="307"/>
      <c r="C92" s="300" t="s">
        <v>32</v>
      </c>
      <c r="D92" s="308" t="s">
        <v>33</v>
      </c>
      <c r="E92" s="309">
        <f>G92</f>
        <v>0</v>
      </c>
      <c r="F92" s="362">
        <v>2548590.7303800923</v>
      </c>
      <c r="G92" s="331">
        <f>SUM(H92:DL92)</f>
        <v>0</v>
      </c>
      <c r="H92" s="332">
        <f t="shared" ref="H92:S92" si="96">H91*H90</f>
        <v>0</v>
      </c>
      <c r="I92" s="332">
        <f t="shared" si="96"/>
        <v>0</v>
      </c>
      <c r="J92" s="332">
        <f t="shared" si="96"/>
        <v>0</v>
      </c>
      <c r="K92" s="332">
        <f t="shared" si="96"/>
        <v>0</v>
      </c>
      <c r="L92" s="332">
        <f t="shared" si="96"/>
        <v>0</v>
      </c>
      <c r="M92" s="332">
        <f t="shared" si="96"/>
        <v>0</v>
      </c>
      <c r="N92" s="332">
        <f t="shared" si="96"/>
        <v>0</v>
      </c>
      <c r="O92" s="332">
        <f t="shared" si="96"/>
        <v>0</v>
      </c>
      <c r="P92" s="332">
        <f t="shared" si="96"/>
        <v>0</v>
      </c>
      <c r="Q92" s="332">
        <f t="shared" si="96"/>
        <v>0</v>
      </c>
      <c r="R92" s="332">
        <f t="shared" si="96"/>
        <v>0</v>
      </c>
      <c r="S92" s="332">
        <f t="shared" si="96"/>
        <v>0</v>
      </c>
      <c r="T92" s="332">
        <f>T91*T90</f>
        <v>0</v>
      </c>
      <c r="U92" s="332">
        <f t="shared" ref="U92:CF92" si="97">U91*U90</f>
        <v>0</v>
      </c>
      <c r="V92" s="332">
        <f t="shared" si="97"/>
        <v>0</v>
      </c>
      <c r="W92" s="332">
        <f t="shared" si="97"/>
        <v>0</v>
      </c>
      <c r="X92" s="332">
        <f t="shared" si="97"/>
        <v>0</v>
      </c>
      <c r="Y92" s="332">
        <f t="shared" si="97"/>
        <v>0</v>
      </c>
      <c r="Z92" s="332">
        <f t="shared" si="97"/>
        <v>0</v>
      </c>
      <c r="AA92" s="332">
        <f t="shared" si="97"/>
        <v>0</v>
      </c>
      <c r="AB92" s="332">
        <f t="shared" si="97"/>
        <v>0</v>
      </c>
      <c r="AC92" s="332">
        <f t="shared" si="97"/>
        <v>0</v>
      </c>
      <c r="AD92" s="332">
        <f t="shared" si="97"/>
        <v>0</v>
      </c>
      <c r="AE92" s="332">
        <f t="shared" si="97"/>
        <v>0</v>
      </c>
      <c r="AF92" s="332">
        <f t="shared" si="97"/>
        <v>0</v>
      </c>
      <c r="AG92" s="332">
        <f t="shared" si="97"/>
        <v>0</v>
      </c>
      <c r="AH92" s="332">
        <f t="shared" si="97"/>
        <v>0</v>
      </c>
      <c r="AI92" s="332">
        <f t="shared" si="97"/>
        <v>0</v>
      </c>
      <c r="AJ92" s="332">
        <f t="shared" si="97"/>
        <v>0</v>
      </c>
      <c r="AK92" s="332">
        <f t="shared" si="97"/>
        <v>0</v>
      </c>
      <c r="AL92" s="332">
        <f t="shared" si="97"/>
        <v>0</v>
      </c>
      <c r="AM92" s="332">
        <f t="shared" si="97"/>
        <v>0</v>
      </c>
      <c r="AN92" s="332">
        <f t="shared" si="97"/>
        <v>0</v>
      </c>
      <c r="AO92" s="332">
        <f t="shared" si="97"/>
        <v>0</v>
      </c>
      <c r="AP92" s="332">
        <f t="shared" si="97"/>
        <v>0</v>
      </c>
      <c r="AQ92" s="332">
        <f t="shared" si="97"/>
        <v>0</v>
      </c>
      <c r="AR92" s="332">
        <f t="shared" si="97"/>
        <v>0</v>
      </c>
      <c r="AS92" s="332">
        <f t="shared" si="97"/>
        <v>0</v>
      </c>
      <c r="AT92" s="332">
        <f t="shared" si="97"/>
        <v>0</v>
      </c>
      <c r="AU92" s="332">
        <f t="shared" si="97"/>
        <v>0</v>
      </c>
      <c r="AV92" s="332">
        <f t="shared" si="97"/>
        <v>0</v>
      </c>
      <c r="AW92" s="332">
        <f t="shared" si="97"/>
        <v>0</v>
      </c>
      <c r="AX92" s="332">
        <f t="shared" si="97"/>
        <v>0</v>
      </c>
      <c r="AY92" s="332">
        <f t="shared" si="97"/>
        <v>0</v>
      </c>
      <c r="AZ92" s="332">
        <f t="shared" si="97"/>
        <v>0</v>
      </c>
      <c r="BA92" s="332">
        <f t="shared" si="97"/>
        <v>0</v>
      </c>
      <c r="BB92" s="332">
        <f t="shared" si="97"/>
        <v>0</v>
      </c>
      <c r="BC92" s="332">
        <f t="shared" si="97"/>
        <v>0</v>
      </c>
      <c r="BD92" s="332">
        <f t="shared" si="97"/>
        <v>0</v>
      </c>
      <c r="BE92" s="332">
        <f t="shared" si="97"/>
        <v>0</v>
      </c>
      <c r="BF92" s="332">
        <f t="shared" si="97"/>
        <v>0</v>
      </c>
      <c r="BG92" s="332">
        <f t="shared" si="97"/>
        <v>0</v>
      </c>
      <c r="BH92" s="332">
        <f t="shared" si="97"/>
        <v>0</v>
      </c>
      <c r="BI92" s="332">
        <f t="shared" si="97"/>
        <v>0</v>
      </c>
      <c r="BJ92" s="332">
        <f t="shared" si="97"/>
        <v>0</v>
      </c>
      <c r="BK92" s="332">
        <f t="shared" si="97"/>
        <v>0</v>
      </c>
      <c r="BL92" s="332">
        <f t="shared" si="97"/>
        <v>0</v>
      </c>
      <c r="BM92" s="332">
        <f t="shared" si="97"/>
        <v>0</v>
      </c>
      <c r="BN92" s="332">
        <f t="shared" si="97"/>
        <v>0</v>
      </c>
      <c r="BO92" s="332">
        <f t="shared" si="97"/>
        <v>0</v>
      </c>
      <c r="BP92" s="332">
        <f t="shared" si="97"/>
        <v>0</v>
      </c>
      <c r="BQ92" s="332">
        <f t="shared" si="97"/>
        <v>0</v>
      </c>
      <c r="BR92" s="332">
        <f t="shared" si="97"/>
        <v>0</v>
      </c>
      <c r="BS92" s="332">
        <f t="shared" si="97"/>
        <v>0</v>
      </c>
      <c r="BT92" s="332">
        <f t="shared" si="97"/>
        <v>0</v>
      </c>
      <c r="BU92" s="332">
        <f t="shared" si="97"/>
        <v>0</v>
      </c>
      <c r="BV92" s="332">
        <f t="shared" si="97"/>
        <v>0</v>
      </c>
      <c r="BW92" s="332">
        <f t="shared" si="97"/>
        <v>0</v>
      </c>
      <c r="BX92" s="332">
        <f t="shared" si="97"/>
        <v>0</v>
      </c>
      <c r="BY92" s="332">
        <f t="shared" si="97"/>
        <v>0</v>
      </c>
      <c r="BZ92" s="332">
        <f t="shared" si="97"/>
        <v>0</v>
      </c>
      <c r="CA92" s="332">
        <f t="shared" si="97"/>
        <v>0</v>
      </c>
      <c r="CB92" s="332">
        <f t="shared" si="97"/>
        <v>0</v>
      </c>
      <c r="CC92" s="332">
        <f t="shared" si="97"/>
        <v>0</v>
      </c>
      <c r="CD92" s="332">
        <f t="shared" si="97"/>
        <v>0</v>
      </c>
      <c r="CE92" s="332">
        <f t="shared" si="97"/>
        <v>0</v>
      </c>
      <c r="CF92" s="332">
        <f t="shared" si="97"/>
        <v>0</v>
      </c>
      <c r="CG92" s="332">
        <f t="shared" ref="CG92:CJ92" si="98">CG91*CG90</f>
        <v>0</v>
      </c>
      <c r="CH92" s="332">
        <f t="shared" si="98"/>
        <v>0</v>
      </c>
      <c r="CI92" s="332">
        <f t="shared" si="98"/>
        <v>0</v>
      </c>
      <c r="CJ92" s="332">
        <f t="shared" si="98"/>
        <v>0</v>
      </c>
      <c r="CK92" s="510" t="s">
        <v>623</v>
      </c>
    </row>
    <row r="93" spans="2:89" s="321" customFormat="1" ht="15.75" hidden="1">
      <c r="B93" s="343"/>
      <c r="C93" s="310" t="s">
        <v>35</v>
      </c>
      <c r="D93" s="311" t="s">
        <v>33</v>
      </c>
      <c r="E93" s="312"/>
      <c r="F93" s="363"/>
      <c r="G93" s="331">
        <f>SUM(H93:DL93)</f>
        <v>0</v>
      </c>
      <c r="H93" s="1363">
        <v>0</v>
      </c>
      <c r="I93" s="335">
        <f>SUM($H$133:H133)*I92+SUM($H$92:I92)*I133</f>
        <v>0</v>
      </c>
      <c r="J93" s="335">
        <f>SUM($H$133:I133)*J92+SUM($H$92:J92)*J133</f>
        <v>0</v>
      </c>
      <c r="K93" s="335">
        <f>SUM($H$133:J133)*K92+SUM($H$92:K92)*K133</f>
        <v>0</v>
      </c>
      <c r="L93" s="335">
        <f>SUM($H$133:K133)*L92+SUM($H$92:L92)*L133</f>
        <v>0</v>
      </c>
      <c r="M93" s="335">
        <f>SUM($H$133:L133)*M92+SUM($H$92:M92)*M133</f>
        <v>0</v>
      </c>
      <c r="N93" s="335">
        <f>SUM($H$133:M133)*N92+SUM($H$92:N92)*N133</f>
        <v>0</v>
      </c>
      <c r="O93" s="335">
        <f>SUM($H$133:N133)*O92+SUM($H$92:O92)*O133</f>
        <v>0</v>
      </c>
      <c r="P93" s="335">
        <f>SUM($H$133:O133)*P92+SUM($H$92:P92)*P133</f>
        <v>0</v>
      </c>
      <c r="Q93" s="335">
        <f>SUM($H$133:P133)*Q92+SUM($H$92:Q92)*Q133</f>
        <v>0</v>
      </c>
      <c r="R93" s="335">
        <f>SUM($H$133:Q133)*R92+SUM($H$92:R92)*R133</f>
        <v>0</v>
      </c>
      <c r="S93" s="335">
        <f>SUM($H$133:R133)*S92+SUM($H$92:S92)*S133</f>
        <v>0</v>
      </c>
      <c r="T93" s="335">
        <f>SUM($H$133:S133)*T92+SUM($H$92:T92)*T133</f>
        <v>0</v>
      </c>
      <c r="U93" s="335">
        <f>SUM($H$133:T133)*U92+SUM($H$92:U92)*U133</f>
        <v>0</v>
      </c>
      <c r="V93" s="335">
        <f>SUM($H$133:U133)*V92+SUM($H$92:V92)*V133</f>
        <v>0</v>
      </c>
      <c r="W93" s="335">
        <f>SUM($H$133:V133)*W92+SUM($H$92:W92)*W133</f>
        <v>0</v>
      </c>
      <c r="X93" s="335">
        <f>SUM($H$133:W133)*X92+SUM($H$92:X92)*X133</f>
        <v>0</v>
      </c>
      <c r="Y93" s="335">
        <f>SUM($H$133:X133)*Y92+SUM($H$92:Y92)*Y133</f>
        <v>0</v>
      </c>
      <c r="Z93" s="335">
        <f>SUM($H$133:Y133)*Z92+SUM($H$92:Z92)*Z133</f>
        <v>0</v>
      </c>
      <c r="AA93" s="335">
        <f>SUM($H$133:Z133)*AA92+SUM($H$92:AA92)*AA133</f>
        <v>0</v>
      </c>
      <c r="AB93" s="335">
        <f>SUM($H$133:AA133)*AB92+SUM($H$92:AB92)*AB133</f>
        <v>0</v>
      </c>
      <c r="AC93" s="335">
        <f>SUM($H$133:AB133)*AC92+SUM($H$92:AC92)*AC133</f>
        <v>0</v>
      </c>
      <c r="AD93" s="335">
        <f>SUM($H$133:AC133)*AD92+SUM($H$92:AD92)*AD133</f>
        <v>0</v>
      </c>
      <c r="AE93" s="335">
        <f>SUM($H$133:AD133)*AE92+SUM($H$92:AE92)*AE133</f>
        <v>0</v>
      </c>
      <c r="AF93" s="335">
        <f>SUM($H$133:AE133)*AF92+SUM($H$92:AF92)*AF133</f>
        <v>0</v>
      </c>
      <c r="AG93" s="335">
        <f>SUM($H$133:AF133)*AG92+SUM($H$92:AG92)*AG133</f>
        <v>0</v>
      </c>
      <c r="AH93" s="335">
        <f>SUM($H$133:AG133)*AH92+SUM($H$92:AH92)*AH133</f>
        <v>0</v>
      </c>
      <c r="AI93" s="335">
        <f>SUM($H$133:AH133)*AI92+SUM($H$92:AI92)*AI133</f>
        <v>0</v>
      </c>
      <c r="AJ93" s="335">
        <f>SUM($H$133:AI133)*AJ92+SUM($H$92:AJ92)*AJ133</f>
        <v>0</v>
      </c>
      <c r="AK93" s="335">
        <f>SUM($H$133:AJ133)*AK92+SUM($H$92:AK92)*AK133</f>
        <v>0</v>
      </c>
      <c r="AL93" s="335">
        <f>SUM($H$133:AK133)*AL92+SUM($H$92:AL92)*AL133</f>
        <v>0</v>
      </c>
      <c r="AM93" s="335">
        <f>SUM($H$133:AL133)*AM92+SUM($H$92:AM92)*AM133</f>
        <v>0</v>
      </c>
      <c r="AN93" s="335">
        <f>SUM($H$133:AM133)*AN92+SUM($H$92:AN92)*AN133</f>
        <v>0</v>
      </c>
      <c r="AO93" s="335">
        <f>SUM($H$133:AN133)*AO92+SUM($H$92:AO92)*AO133</f>
        <v>0</v>
      </c>
      <c r="AP93" s="335">
        <f>SUM($H$133:AO133)*AP92+SUM($H$92:AP92)*AP133</f>
        <v>0</v>
      </c>
      <c r="AQ93" s="335">
        <f>SUM($H$133:AP133)*AQ92+SUM($H$92:AQ92)*AQ133</f>
        <v>0</v>
      </c>
      <c r="AR93" s="335">
        <f>SUM($H$133:AQ133)*AR92+SUM($H$92:AR92)*AR133</f>
        <v>0</v>
      </c>
      <c r="AS93" s="335">
        <f>SUM($H$133:AR133)*AS92+SUM($H$92:AS92)*AS133</f>
        <v>0</v>
      </c>
      <c r="AT93" s="335">
        <f>SUM($H$133:AS133)*AT92+SUM($H$92:AT92)*AT133</f>
        <v>0</v>
      </c>
      <c r="AU93" s="335">
        <f>SUM($H$133:AT133)*AU92+SUM($H$92:AU92)*AU133</f>
        <v>0</v>
      </c>
      <c r="AV93" s="335">
        <f>SUM($H$133:AU133)*AV92+SUM($H$92:AV92)*AV133</f>
        <v>0</v>
      </c>
      <c r="AW93" s="335">
        <f>SUM($H$133:AV133)*AW92+SUM($H$92:AW92)*AW133</f>
        <v>0</v>
      </c>
      <c r="AX93" s="335">
        <f>SUM($H$133:AW133)*AX92+SUM($H$92:AX92)*AX133</f>
        <v>0</v>
      </c>
      <c r="AY93" s="335">
        <f>SUM($H$133:AX133)*AY92+SUM($H$92:AY92)*AY133</f>
        <v>0</v>
      </c>
      <c r="AZ93" s="335">
        <f>SUM($H$133:AY133)*AZ92+SUM($H$92:AZ92)*AZ133</f>
        <v>0</v>
      </c>
      <c r="BA93" s="335">
        <f>SUM($H$133:AZ133)*BA92+SUM($H$92:BA92)*BA133</f>
        <v>0</v>
      </c>
      <c r="BB93" s="335">
        <f>SUM($H$133:BA133)*BB92+SUM($H$92:BB92)*BB133</f>
        <v>0</v>
      </c>
      <c r="BC93" s="335">
        <f>SUM($H$133:BB133)*BC92+SUM($H$92:BC92)*BC133</f>
        <v>0</v>
      </c>
      <c r="BD93" s="335">
        <f>SUM($H$133:BC133)*BD92+SUM($H$92:BD92)*BD133</f>
        <v>0</v>
      </c>
      <c r="BE93" s="335">
        <f>SUM($H$133:BD133)*BE92+SUM($H$92:BE92)*BE133</f>
        <v>0</v>
      </c>
      <c r="BF93" s="335">
        <f>SUM($H$133:BE133)*BF92+SUM($H$92:BF92)*BF133</f>
        <v>0</v>
      </c>
      <c r="BG93" s="335">
        <f>SUM($H$133:BF133)*BG92+SUM($H$92:BG92)*BG133</f>
        <v>0</v>
      </c>
      <c r="BH93" s="335">
        <f>SUM($H$133:BG133)*BH92+SUM($H$92:BH92)*BH133</f>
        <v>0</v>
      </c>
      <c r="BI93" s="335">
        <f>SUM($H$133:BH133)*BI92+SUM($H$92:BI92)*BI133</f>
        <v>0</v>
      </c>
      <c r="BJ93" s="335">
        <f>SUM($H$133:BI133)*BJ92+SUM($H$92:BJ92)*BJ133</f>
        <v>0</v>
      </c>
      <c r="BK93" s="335">
        <f>SUM($H$133:BJ133)*BK92+SUM($H$92:BK92)*BK133</f>
        <v>0</v>
      </c>
      <c r="BL93" s="335">
        <f>SUM($H$133:BK133)*BL92+SUM($H$92:BL92)*BL133</f>
        <v>0</v>
      </c>
      <c r="BM93" s="335">
        <f>SUM($H$133:BL133)*BM92+SUM($H$92:BM92)*BM133</f>
        <v>0</v>
      </c>
      <c r="BN93" s="335">
        <f>SUM($H$133:BM133)*BN92+SUM($H$92:BN92)*BN133</f>
        <v>0</v>
      </c>
      <c r="BO93" s="335">
        <f>SUM($H$133:BN133)*BO92+SUM($H$92:BO92)*BO133</f>
        <v>0</v>
      </c>
      <c r="BP93" s="335">
        <f>SUM($H$133:BO133)*BP92+SUM($H$92:BP92)*BP133</f>
        <v>0</v>
      </c>
      <c r="BQ93" s="335">
        <f>SUM($H$133:BP133)*BQ92+SUM($H$92:BQ92)*BQ133</f>
        <v>0</v>
      </c>
      <c r="BR93" s="335">
        <f>SUM($H$133:BQ133)*BR92+SUM($H$92:BR92)*BR133</f>
        <v>0</v>
      </c>
      <c r="BS93" s="335">
        <f>SUM($H$133:BR133)*BS92+SUM($H$92:BS92)*BS133</f>
        <v>0</v>
      </c>
      <c r="BT93" s="335">
        <f>SUM($H$133:BS133)*BT92+SUM($H$92:BT92)*BT133</f>
        <v>0</v>
      </c>
      <c r="BU93" s="335">
        <f>SUM($H$133:BT133)*BU92+SUM($H$92:BU92)*BU133</f>
        <v>0</v>
      </c>
      <c r="BV93" s="335">
        <f>SUM($H$133:BU133)*BV92+SUM($H$92:BV92)*BV133</f>
        <v>0</v>
      </c>
      <c r="BW93" s="335">
        <f>SUM($H$133:BV133)*BW92+SUM($H$92:BW92)*BW133</f>
        <v>0</v>
      </c>
      <c r="BX93" s="335">
        <f>SUM($H$133:BW133)*BX92+SUM($H$92:BX92)*BX133</f>
        <v>0</v>
      </c>
      <c r="BY93" s="335">
        <f>SUM($H$133:BX133)*BY92+SUM($H$92:BY92)*BY133</f>
        <v>0</v>
      </c>
      <c r="BZ93" s="335">
        <f>SUM($H$133:BY133)*BZ92+SUM($H$92:BZ92)*BZ133</f>
        <v>0</v>
      </c>
      <c r="CA93" s="335">
        <f>SUM($H$133:BZ133)*CA92+SUM($H$92:CA92)*CA133</f>
        <v>0</v>
      </c>
      <c r="CB93" s="335">
        <f>SUM($H$133:CA133)*CB92+SUM($H$92:CB92)*CB133</f>
        <v>0</v>
      </c>
      <c r="CC93" s="335">
        <f>SUM($H$133:CB133)*CC92+SUM($H$92:CC92)*CC133</f>
        <v>0</v>
      </c>
      <c r="CD93" s="335">
        <f>SUM($H$133:CC133)*CD92+SUM($H$92:CD92)*CD133</f>
        <v>0</v>
      </c>
      <c r="CE93" s="335">
        <f>SUM($H$133:CD133)*CE92+SUM($H$92:CE92)*CE133</f>
        <v>0</v>
      </c>
      <c r="CF93" s="335">
        <f>SUM($H$133:CE133)*CF92+SUM($H$92:CF92)*CF133</f>
        <v>0</v>
      </c>
      <c r="CG93" s="335">
        <f>SUM($H$133:CF133)*CG92+SUM($H$92:CG92)*CG133</f>
        <v>0</v>
      </c>
      <c r="CH93" s="335">
        <f>SUM($H$133:CG133)*CH92+SUM($H$92:CH92)*CH133</f>
        <v>0</v>
      </c>
      <c r="CI93" s="335">
        <f>SUM($H$133:CH133)*CI92+SUM($H$92:CI92)*CI133</f>
        <v>0</v>
      </c>
      <c r="CJ93" s="335">
        <f>SUM($H$133:CI133)*CJ92+SUM($H$92:CJ92)*CJ133</f>
        <v>0</v>
      </c>
      <c r="CK93" s="510" t="s">
        <v>623</v>
      </c>
    </row>
    <row r="94" spans="2:89" s="321" customFormat="1" ht="15.75" hidden="1">
      <c r="B94" s="1378"/>
      <c r="C94" s="1379"/>
      <c r="D94" s="1367"/>
      <c r="E94" s="1380"/>
      <c r="F94" s="1381"/>
      <c r="G94" s="1382"/>
      <c r="H94" s="1383"/>
      <c r="I94" s="1384"/>
      <c r="J94" s="1384"/>
      <c r="K94" s="1384"/>
      <c r="L94" s="1384"/>
      <c r="M94" s="1384"/>
      <c r="N94" s="1384"/>
      <c r="O94" s="1384"/>
      <c r="P94" s="1384"/>
      <c r="Q94" s="1384"/>
      <c r="R94" s="1385"/>
      <c r="S94" s="1385"/>
      <c r="T94" s="1386"/>
      <c r="U94" s="1384"/>
      <c r="V94" s="1384"/>
      <c r="W94" s="1385"/>
      <c r="X94" s="1386"/>
      <c r="Y94" s="1384"/>
      <c r="Z94" s="1384"/>
      <c r="AA94" s="1384"/>
      <c r="AB94" s="1384"/>
      <c r="AC94" s="1384"/>
      <c r="AD94" s="1384"/>
      <c r="AE94" s="1384"/>
      <c r="AF94" s="1384"/>
      <c r="AG94" s="1384"/>
      <c r="AH94" s="1384"/>
      <c r="AI94" s="1384"/>
      <c r="AJ94" s="1384"/>
      <c r="AK94" s="1384"/>
      <c r="AL94" s="1384"/>
      <c r="AM94" s="1384"/>
      <c r="AN94" s="1384"/>
      <c r="AO94" s="1384"/>
      <c r="AP94" s="1384"/>
      <c r="AQ94" s="1384"/>
      <c r="AR94" s="1384"/>
      <c r="AS94" s="1384"/>
      <c r="AT94" s="1384"/>
      <c r="AU94" s="1384"/>
      <c r="AV94" s="1384"/>
      <c r="AW94" s="1384"/>
      <c r="AX94" s="1384"/>
      <c r="AY94" s="1384"/>
      <c r="AZ94" s="1384"/>
      <c r="BA94" s="1384"/>
      <c r="BB94" s="1384"/>
      <c r="BC94" s="1384"/>
      <c r="BD94" s="1384"/>
      <c r="BE94" s="1384"/>
      <c r="BF94" s="1384"/>
      <c r="BG94" s="1384"/>
      <c r="BH94" s="1384"/>
      <c r="BI94" s="1384"/>
      <c r="BJ94" s="1384"/>
      <c r="BK94" s="1384"/>
      <c r="BL94" s="1384"/>
      <c r="BM94" s="1384"/>
      <c r="BN94" s="1384"/>
      <c r="BO94" s="1384"/>
      <c r="BP94" s="1384"/>
      <c r="BQ94" s="1384"/>
      <c r="BR94" s="1384"/>
      <c r="BS94" s="1384"/>
      <c r="BT94" s="1384"/>
      <c r="BU94" s="1384"/>
      <c r="BV94" s="1384"/>
      <c r="BW94" s="1384"/>
      <c r="BX94" s="1384"/>
      <c r="BY94" s="1384"/>
      <c r="BZ94" s="1384"/>
      <c r="CA94" s="1384"/>
      <c r="CB94" s="1384"/>
      <c r="CC94" s="1384"/>
      <c r="CD94" s="1384"/>
      <c r="CE94" s="1384"/>
      <c r="CF94" s="1384"/>
      <c r="CG94" s="1384"/>
      <c r="CH94" s="1384"/>
      <c r="CI94" s="1384"/>
      <c r="CJ94" s="1384"/>
      <c r="CK94" s="510" t="s">
        <v>623</v>
      </c>
    </row>
    <row r="95" spans="2:89" s="321" customFormat="1" ht="15.75">
      <c r="B95" s="726">
        <v>14</v>
      </c>
      <c r="C95" s="717" t="str">
        <f>+'2.Tien do'!C71</f>
        <v>Nhà phố liên kế</v>
      </c>
      <c r="D95" s="717"/>
      <c r="E95" s="718"/>
      <c r="F95" s="719"/>
      <c r="G95" s="720"/>
      <c r="H95" s="721"/>
      <c r="I95" s="721"/>
      <c r="J95" s="722"/>
      <c r="K95" s="722"/>
      <c r="L95" s="722"/>
      <c r="M95" s="722"/>
      <c r="N95" s="722"/>
      <c r="O95" s="722"/>
      <c r="P95" s="722"/>
      <c r="Q95" s="722"/>
      <c r="R95" s="722"/>
      <c r="S95" s="723"/>
      <c r="T95" s="724"/>
      <c r="U95" s="722"/>
      <c r="V95" s="722"/>
      <c r="W95" s="723"/>
      <c r="X95" s="724"/>
      <c r="Y95" s="722"/>
      <c r="Z95" s="722"/>
      <c r="AA95" s="722"/>
      <c r="AB95" s="722"/>
      <c r="AC95" s="722"/>
      <c r="AD95" s="722"/>
      <c r="AE95" s="722"/>
      <c r="AF95" s="722"/>
      <c r="AG95" s="722"/>
      <c r="AH95" s="722"/>
      <c r="AI95" s="722"/>
      <c r="AJ95" s="722"/>
      <c r="AK95" s="722"/>
      <c r="AL95" s="722"/>
      <c r="AM95" s="722"/>
      <c r="AN95" s="722"/>
      <c r="AO95" s="722"/>
      <c r="AP95" s="722"/>
      <c r="AQ95" s="722"/>
      <c r="AR95" s="722"/>
      <c r="AS95" s="722"/>
      <c r="AT95" s="722"/>
      <c r="AU95" s="722"/>
      <c r="AV95" s="722"/>
      <c r="AW95" s="722"/>
      <c r="AX95" s="722"/>
      <c r="AY95" s="722"/>
      <c r="AZ95" s="722"/>
      <c r="BA95" s="722"/>
      <c r="BB95" s="722"/>
      <c r="BC95" s="722"/>
      <c r="BD95" s="722"/>
      <c r="BE95" s="722"/>
      <c r="BF95" s="722"/>
      <c r="BG95" s="722"/>
      <c r="BH95" s="722"/>
      <c r="BI95" s="722"/>
      <c r="BJ95" s="722"/>
      <c r="BK95" s="722"/>
      <c r="BL95" s="722"/>
      <c r="BM95" s="722"/>
      <c r="BN95" s="722"/>
      <c r="BO95" s="722"/>
      <c r="BP95" s="722"/>
      <c r="BQ95" s="722"/>
      <c r="BR95" s="722"/>
      <c r="BS95" s="722"/>
      <c r="BT95" s="722"/>
      <c r="BU95" s="722"/>
      <c r="BV95" s="722"/>
      <c r="BW95" s="722"/>
      <c r="BX95" s="722"/>
      <c r="BY95" s="722"/>
      <c r="BZ95" s="722"/>
      <c r="CA95" s="722"/>
      <c r="CB95" s="722"/>
      <c r="CC95" s="722"/>
      <c r="CD95" s="722"/>
      <c r="CE95" s="722"/>
      <c r="CF95" s="722"/>
      <c r="CG95" s="722"/>
      <c r="CH95" s="722"/>
      <c r="CI95" s="722"/>
      <c r="CJ95" s="722"/>
      <c r="CK95" s="510" t="s">
        <v>623</v>
      </c>
    </row>
    <row r="96" spans="2:89" s="321" customFormat="1" ht="15.75">
      <c r="B96" s="295"/>
      <c r="C96" s="296" t="s">
        <v>137</v>
      </c>
      <c r="D96" s="297" t="s">
        <v>171</v>
      </c>
      <c r="E96" s="342">
        <v>0.1</v>
      </c>
      <c r="F96" s="359">
        <v>0.05</v>
      </c>
      <c r="G96" s="322"/>
      <c r="H96" s="323">
        <f>'2.Tien do'!E71</f>
        <v>0</v>
      </c>
      <c r="I96" s="323">
        <f>'2.Tien do'!F71</f>
        <v>0</v>
      </c>
      <c r="J96" s="323">
        <f>'2.Tien do'!G71</f>
        <v>0</v>
      </c>
      <c r="K96" s="323">
        <f>'2.Tien do'!H71</f>
        <v>0</v>
      </c>
      <c r="L96" s="323">
        <f>'2.Tien do'!I71</f>
        <v>0</v>
      </c>
      <c r="M96" s="323">
        <f>'2.Tien do'!J71</f>
        <v>0</v>
      </c>
      <c r="N96" s="323">
        <f>'2.Tien do'!K71</f>
        <v>0</v>
      </c>
      <c r="O96" s="323">
        <f>'2.Tien do'!L71</f>
        <v>0</v>
      </c>
      <c r="P96" s="323">
        <f>'2.Tien do'!M71</f>
        <v>0</v>
      </c>
      <c r="Q96" s="323">
        <f>'2.Tien do'!N71</f>
        <v>0</v>
      </c>
      <c r="R96" s="323">
        <f>'2.Tien do'!O71</f>
        <v>0.33333333333333331</v>
      </c>
      <c r="S96" s="323">
        <f>'2.Tien do'!P71</f>
        <v>0.33333333333333331</v>
      </c>
      <c r="T96" s="323">
        <f>'2.Tien do'!Q71</f>
        <v>0.33333333333333331</v>
      </c>
      <c r="U96" s="323">
        <f>'2.Tien do'!R71</f>
        <v>0</v>
      </c>
      <c r="V96" s="323">
        <f>'2.Tien do'!S71</f>
        <v>0</v>
      </c>
      <c r="W96" s="323">
        <f>'2.Tien do'!T71</f>
        <v>0</v>
      </c>
      <c r="X96" s="323">
        <f>'2.Tien do'!U71</f>
        <v>0</v>
      </c>
      <c r="Y96" s="323">
        <f>'2.Tien do'!V71</f>
        <v>0</v>
      </c>
      <c r="Z96" s="323">
        <f>'2.Tien do'!W71</f>
        <v>0</v>
      </c>
      <c r="AA96" s="323">
        <f>'2.Tien do'!X71</f>
        <v>0</v>
      </c>
      <c r="AB96" s="323">
        <f>'2.Tien do'!Y71</f>
        <v>0</v>
      </c>
      <c r="AC96" s="323">
        <f>'2.Tien do'!Z71</f>
        <v>0</v>
      </c>
      <c r="AD96" s="323">
        <f>'2.Tien do'!AA71</f>
        <v>0</v>
      </c>
      <c r="AE96" s="323">
        <f>'2.Tien do'!AB71</f>
        <v>0</v>
      </c>
      <c r="AF96" s="323">
        <f>'2.Tien do'!AC71</f>
        <v>0</v>
      </c>
      <c r="AG96" s="323">
        <f>'2.Tien do'!AD71</f>
        <v>0</v>
      </c>
      <c r="AH96" s="323">
        <f>'2.Tien do'!AE71</f>
        <v>0</v>
      </c>
      <c r="AI96" s="323">
        <f>'2.Tien do'!AF71</f>
        <v>0</v>
      </c>
      <c r="AJ96" s="323">
        <f>'2.Tien do'!AG71</f>
        <v>0</v>
      </c>
      <c r="AK96" s="323">
        <f>'2.Tien do'!AH71</f>
        <v>0</v>
      </c>
      <c r="AL96" s="323">
        <f>'2.Tien do'!AI71</f>
        <v>0</v>
      </c>
      <c r="AM96" s="323">
        <f>'2.Tien do'!AJ71</f>
        <v>0</v>
      </c>
      <c r="AN96" s="323">
        <f>'2.Tien do'!AK71</f>
        <v>0</v>
      </c>
      <c r="AO96" s="323">
        <f>'2.Tien do'!AL71</f>
        <v>0</v>
      </c>
      <c r="AP96" s="323">
        <f>'2.Tien do'!AM71</f>
        <v>0</v>
      </c>
      <c r="AQ96" s="323">
        <f>'2.Tien do'!AN71</f>
        <v>0</v>
      </c>
      <c r="AR96" s="323">
        <f>'2.Tien do'!AO71</f>
        <v>0</v>
      </c>
      <c r="AS96" s="323">
        <f>'2.Tien do'!AP71</f>
        <v>0</v>
      </c>
      <c r="AT96" s="323">
        <f>'2.Tien do'!AQ71</f>
        <v>0</v>
      </c>
      <c r="AU96" s="323">
        <f>'2.Tien do'!AR71</f>
        <v>0</v>
      </c>
      <c r="AV96" s="323">
        <f>'2.Tien do'!AS71</f>
        <v>0</v>
      </c>
      <c r="AW96" s="323">
        <f>'2.Tien do'!AT71</f>
        <v>0</v>
      </c>
      <c r="AX96" s="323">
        <f>'2.Tien do'!AU71</f>
        <v>0</v>
      </c>
      <c r="AY96" s="323">
        <f>'2.Tien do'!AV71</f>
        <v>0</v>
      </c>
      <c r="AZ96" s="323">
        <f>'2.Tien do'!AW71</f>
        <v>0</v>
      </c>
      <c r="BA96" s="323">
        <f>'2.Tien do'!AX71</f>
        <v>0</v>
      </c>
      <c r="BB96" s="323">
        <f>'2.Tien do'!AY71</f>
        <v>0</v>
      </c>
      <c r="BC96" s="323">
        <f>'2.Tien do'!AZ71</f>
        <v>0</v>
      </c>
      <c r="BD96" s="323">
        <f>'2.Tien do'!BA71</f>
        <v>0</v>
      </c>
      <c r="BE96" s="323">
        <f>'2.Tien do'!BB71</f>
        <v>0</v>
      </c>
      <c r="BF96" s="323">
        <f>'2.Tien do'!BC71</f>
        <v>0</v>
      </c>
      <c r="BG96" s="323">
        <f>'2.Tien do'!BD71</f>
        <v>0</v>
      </c>
      <c r="BH96" s="323">
        <f>'2.Tien do'!BE71</f>
        <v>0</v>
      </c>
      <c r="BI96" s="323">
        <f>'2.Tien do'!BF71</f>
        <v>0</v>
      </c>
      <c r="BJ96" s="323">
        <f>'2.Tien do'!BG71</f>
        <v>0</v>
      </c>
      <c r="BK96" s="323">
        <f>'2.Tien do'!BH71</f>
        <v>0</v>
      </c>
      <c r="BL96" s="323">
        <f>'2.Tien do'!BI71</f>
        <v>0</v>
      </c>
      <c r="BM96" s="323">
        <f>'2.Tien do'!BJ71</f>
        <v>0</v>
      </c>
      <c r="BN96" s="323">
        <f>'2.Tien do'!BK71</f>
        <v>0</v>
      </c>
      <c r="BO96" s="323">
        <f>'2.Tien do'!BL71</f>
        <v>0</v>
      </c>
      <c r="BP96" s="323">
        <f>'2.Tien do'!BM71</f>
        <v>0</v>
      </c>
      <c r="BQ96" s="323">
        <f>'2.Tien do'!BN71</f>
        <v>0</v>
      </c>
      <c r="BR96" s="323">
        <f>'2.Tien do'!BO71</f>
        <v>0</v>
      </c>
      <c r="BS96" s="323">
        <f>'2.Tien do'!BP71</f>
        <v>0</v>
      </c>
      <c r="BT96" s="323">
        <f>'2.Tien do'!BQ71</f>
        <v>0</v>
      </c>
      <c r="BU96" s="323">
        <f>'2.Tien do'!BR71</f>
        <v>0</v>
      </c>
      <c r="BV96" s="323">
        <f>'2.Tien do'!BS71</f>
        <v>0</v>
      </c>
      <c r="BW96" s="323">
        <f>'2.Tien do'!BT71</f>
        <v>0</v>
      </c>
      <c r="BX96" s="323">
        <f>'2.Tien do'!BU71</f>
        <v>0</v>
      </c>
      <c r="BY96" s="323">
        <f>'2.Tien do'!BV71</f>
        <v>0</v>
      </c>
      <c r="BZ96" s="323">
        <f>'2.Tien do'!BW71</f>
        <v>0</v>
      </c>
      <c r="CA96" s="323">
        <f>'2.Tien do'!BX71</f>
        <v>0</v>
      </c>
      <c r="CB96" s="323">
        <f>'2.Tien do'!BY71</f>
        <v>0</v>
      </c>
      <c r="CC96" s="323">
        <f>'2.Tien do'!BZ71</f>
        <v>0</v>
      </c>
      <c r="CD96" s="323">
        <f>'2.Tien do'!CA71</f>
        <v>0</v>
      </c>
      <c r="CE96" s="323">
        <f>'2.Tien do'!CB71</f>
        <v>0</v>
      </c>
      <c r="CF96" s="323">
        <f>'2.Tien do'!CC71</f>
        <v>0</v>
      </c>
      <c r="CG96" s="323">
        <f>'2.Tien do'!CD71</f>
        <v>0</v>
      </c>
      <c r="CH96" s="323">
        <f>'2.Tien do'!CE71</f>
        <v>0</v>
      </c>
      <c r="CI96" s="323">
        <f>'2.Tien do'!CF71</f>
        <v>0</v>
      </c>
      <c r="CJ96" s="323">
        <f>'2.Tien do'!CG71</f>
        <v>0</v>
      </c>
      <c r="CK96" s="510" t="s">
        <v>623</v>
      </c>
    </row>
    <row r="97" spans="2:89" s="321" customFormat="1" ht="15.75">
      <c r="B97" s="299"/>
      <c r="C97" s="300" t="s">
        <v>68</v>
      </c>
      <c r="D97" s="301" t="s">
        <v>3</v>
      </c>
      <c r="E97" s="302">
        <f>+'1. thong tin quy hoach'!J38</f>
        <v>6572.61</v>
      </c>
      <c r="F97" s="360">
        <v>1966</v>
      </c>
      <c r="G97" s="325"/>
      <c r="H97" s="326">
        <f t="shared" ref="H97:BS97" si="99">$E97*H96</f>
        <v>0</v>
      </c>
      <c r="I97" s="326">
        <f t="shared" si="99"/>
        <v>0</v>
      </c>
      <c r="J97" s="326">
        <f t="shared" si="99"/>
        <v>0</v>
      </c>
      <c r="K97" s="326">
        <f t="shared" si="99"/>
        <v>0</v>
      </c>
      <c r="L97" s="326">
        <f t="shared" si="99"/>
        <v>0</v>
      </c>
      <c r="M97" s="326">
        <f t="shared" si="99"/>
        <v>0</v>
      </c>
      <c r="N97" s="326">
        <f t="shared" si="99"/>
        <v>0</v>
      </c>
      <c r="O97" s="326">
        <f t="shared" si="99"/>
        <v>0</v>
      </c>
      <c r="P97" s="326">
        <f t="shared" si="99"/>
        <v>0</v>
      </c>
      <c r="Q97" s="326">
        <f t="shared" si="99"/>
        <v>0</v>
      </c>
      <c r="R97" s="326">
        <f t="shared" si="99"/>
        <v>2190.87</v>
      </c>
      <c r="S97" s="326">
        <f t="shared" si="99"/>
        <v>2190.87</v>
      </c>
      <c r="T97" s="326">
        <f t="shared" si="99"/>
        <v>2190.87</v>
      </c>
      <c r="U97" s="326">
        <f t="shared" si="99"/>
        <v>0</v>
      </c>
      <c r="V97" s="326">
        <f t="shared" si="99"/>
        <v>0</v>
      </c>
      <c r="W97" s="326">
        <f t="shared" si="99"/>
        <v>0</v>
      </c>
      <c r="X97" s="326">
        <f t="shared" si="99"/>
        <v>0</v>
      </c>
      <c r="Y97" s="326">
        <f t="shared" si="99"/>
        <v>0</v>
      </c>
      <c r="Z97" s="326">
        <f t="shared" si="99"/>
        <v>0</v>
      </c>
      <c r="AA97" s="326">
        <f t="shared" si="99"/>
        <v>0</v>
      </c>
      <c r="AB97" s="326">
        <f t="shared" si="99"/>
        <v>0</v>
      </c>
      <c r="AC97" s="326">
        <f t="shared" si="99"/>
        <v>0</v>
      </c>
      <c r="AD97" s="326">
        <f t="shared" si="99"/>
        <v>0</v>
      </c>
      <c r="AE97" s="326">
        <f t="shared" si="99"/>
        <v>0</v>
      </c>
      <c r="AF97" s="326">
        <f t="shared" si="99"/>
        <v>0</v>
      </c>
      <c r="AG97" s="326">
        <f t="shared" si="99"/>
        <v>0</v>
      </c>
      <c r="AH97" s="326">
        <f t="shared" si="99"/>
        <v>0</v>
      </c>
      <c r="AI97" s="326">
        <f t="shared" si="99"/>
        <v>0</v>
      </c>
      <c r="AJ97" s="326">
        <f t="shared" si="99"/>
        <v>0</v>
      </c>
      <c r="AK97" s="326">
        <f t="shared" si="99"/>
        <v>0</v>
      </c>
      <c r="AL97" s="326">
        <f t="shared" si="99"/>
        <v>0</v>
      </c>
      <c r="AM97" s="326">
        <f t="shared" si="99"/>
        <v>0</v>
      </c>
      <c r="AN97" s="326">
        <f t="shared" si="99"/>
        <v>0</v>
      </c>
      <c r="AO97" s="326">
        <f t="shared" si="99"/>
        <v>0</v>
      </c>
      <c r="AP97" s="326">
        <f t="shared" si="99"/>
        <v>0</v>
      </c>
      <c r="AQ97" s="326">
        <f t="shared" si="99"/>
        <v>0</v>
      </c>
      <c r="AR97" s="326">
        <f t="shared" si="99"/>
        <v>0</v>
      </c>
      <c r="AS97" s="326">
        <f t="shared" si="99"/>
        <v>0</v>
      </c>
      <c r="AT97" s="326">
        <f t="shared" si="99"/>
        <v>0</v>
      </c>
      <c r="AU97" s="326">
        <f t="shared" si="99"/>
        <v>0</v>
      </c>
      <c r="AV97" s="326">
        <f t="shared" si="99"/>
        <v>0</v>
      </c>
      <c r="AW97" s="326">
        <f t="shared" si="99"/>
        <v>0</v>
      </c>
      <c r="AX97" s="326">
        <f t="shared" si="99"/>
        <v>0</v>
      </c>
      <c r="AY97" s="326">
        <f t="shared" si="99"/>
        <v>0</v>
      </c>
      <c r="AZ97" s="326">
        <f t="shared" si="99"/>
        <v>0</v>
      </c>
      <c r="BA97" s="326">
        <f t="shared" si="99"/>
        <v>0</v>
      </c>
      <c r="BB97" s="326">
        <f t="shared" si="99"/>
        <v>0</v>
      </c>
      <c r="BC97" s="326">
        <f t="shared" si="99"/>
        <v>0</v>
      </c>
      <c r="BD97" s="326">
        <f t="shared" si="99"/>
        <v>0</v>
      </c>
      <c r="BE97" s="326">
        <f t="shared" si="99"/>
        <v>0</v>
      </c>
      <c r="BF97" s="326">
        <f t="shared" si="99"/>
        <v>0</v>
      </c>
      <c r="BG97" s="326">
        <f t="shared" si="99"/>
        <v>0</v>
      </c>
      <c r="BH97" s="326">
        <f t="shared" si="99"/>
        <v>0</v>
      </c>
      <c r="BI97" s="326">
        <f t="shared" si="99"/>
        <v>0</v>
      </c>
      <c r="BJ97" s="326">
        <f t="shared" si="99"/>
        <v>0</v>
      </c>
      <c r="BK97" s="326">
        <f t="shared" si="99"/>
        <v>0</v>
      </c>
      <c r="BL97" s="326">
        <f t="shared" si="99"/>
        <v>0</v>
      </c>
      <c r="BM97" s="326">
        <f t="shared" si="99"/>
        <v>0</v>
      </c>
      <c r="BN97" s="326">
        <f t="shared" si="99"/>
        <v>0</v>
      </c>
      <c r="BO97" s="326">
        <f t="shared" si="99"/>
        <v>0</v>
      </c>
      <c r="BP97" s="326">
        <f t="shared" si="99"/>
        <v>0</v>
      </c>
      <c r="BQ97" s="326">
        <f t="shared" si="99"/>
        <v>0</v>
      </c>
      <c r="BR97" s="326">
        <f t="shared" si="99"/>
        <v>0</v>
      </c>
      <c r="BS97" s="326">
        <f t="shared" si="99"/>
        <v>0</v>
      </c>
      <c r="BT97" s="326">
        <f t="shared" ref="BT97:CJ97" si="100">$E97*BT96</f>
        <v>0</v>
      </c>
      <c r="BU97" s="326">
        <f t="shared" si="100"/>
        <v>0</v>
      </c>
      <c r="BV97" s="326">
        <f t="shared" si="100"/>
        <v>0</v>
      </c>
      <c r="BW97" s="326">
        <f t="shared" si="100"/>
        <v>0</v>
      </c>
      <c r="BX97" s="326">
        <f t="shared" si="100"/>
        <v>0</v>
      </c>
      <c r="BY97" s="326">
        <f t="shared" si="100"/>
        <v>0</v>
      </c>
      <c r="BZ97" s="326">
        <f t="shared" si="100"/>
        <v>0</v>
      </c>
      <c r="CA97" s="326">
        <f t="shared" si="100"/>
        <v>0</v>
      </c>
      <c r="CB97" s="326">
        <f t="shared" si="100"/>
        <v>0</v>
      </c>
      <c r="CC97" s="326">
        <f t="shared" si="100"/>
        <v>0</v>
      </c>
      <c r="CD97" s="326">
        <f t="shared" si="100"/>
        <v>0</v>
      </c>
      <c r="CE97" s="326">
        <f t="shared" si="100"/>
        <v>0</v>
      </c>
      <c r="CF97" s="326">
        <f t="shared" si="100"/>
        <v>0</v>
      </c>
      <c r="CG97" s="326">
        <f t="shared" si="100"/>
        <v>0</v>
      </c>
      <c r="CH97" s="326">
        <f t="shared" si="100"/>
        <v>0</v>
      </c>
      <c r="CI97" s="326">
        <f t="shared" si="100"/>
        <v>0</v>
      </c>
      <c r="CJ97" s="326">
        <f t="shared" si="100"/>
        <v>0</v>
      </c>
      <c r="CK97" s="510" t="s">
        <v>623</v>
      </c>
    </row>
    <row r="98" spans="2:89" s="321" customFormat="1" ht="15.75">
      <c r="B98" s="303"/>
      <c r="C98" s="304" t="s">
        <v>343</v>
      </c>
      <c r="D98" s="305" t="s">
        <v>31</v>
      </c>
      <c r="E98" s="306">
        <f>+'8.ĐO NHAY'!C12*(1+'8.ĐO NHAY'!$C$22)-'4.Chi phi hoat dong'!$E$54*('8.ĐO NHAY'!$C$22)</f>
        <v>87.504460817322098</v>
      </c>
      <c r="F98" s="361">
        <v>12</v>
      </c>
      <c r="G98" s="328"/>
      <c r="H98" s="329">
        <f t="shared" ref="H98:R98" si="101">IF(H97&gt;0,$E98,0)</f>
        <v>0</v>
      </c>
      <c r="I98" s="329">
        <f t="shared" si="101"/>
        <v>0</v>
      </c>
      <c r="J98" s="329">
        <f t="shared" si="101"/>
        <v>0</v>
      </c>
      <c r="K98" s="329">
        <f t="shared" si="101"/>
        <v>0</v>
      </c>
      <c r="L98" s="329">
        <f t="shared" si="101"/>
        <v>0</v>
      </c>
      <c r="M98" s="329">
        <f t="shared" si="101"/>
        <v>0</v>
      </c>
      <c r="N98" s="329">
        <f t="shared" si="101"/>
        <v>0</v>
      </c>
      <c r="O98" s="329">
        <f t="shared" si="101"/>
        <v>0</v>
      </c>
      <c r="P98" s="329">
        <f t="shared" si="101"/>
        <v>0</v>
      </c>
      <c r="Q98" s="329">
        <f t="shared" si="101"/>
        <v>0</v>
      </c>
      <c r="R98" s="329">
        <f t="shared" si="101"/>
        <v>87.504460817322098</v>
      </c>
      <c r="S98" s="329">
        <f t="shared" ref="S98:CD98" si="102">IF(S97&gt;0,$E98,0)</f>
        <v>87.504460817322098</v>
      </c>
      <c r="T98" s="329">
        <f t="shared" si="102"/>
        <v>87.504460817322098</v>
      </c>
      <c r="U98" s="329">
        <f t="shared" si="102"/>
        <v>0</v>
      </c>
      <c r="V98" s="329">
        <f t="shared" si="102"/>
        <v>0</v>
      </c>
      <c r="W98" s="329">
        <f t="shared" si="102"/>
        <v>0</v>
      </c>
      <c r="X98" s="329">
        <f t="shared" si="102"/>
        <v>0</v>
      </c>
      <c r="Y98" s="329">
        <f t="shared" si="102"/>
        <v>0</v>
      </c>
      <c r="Z98" s="329">
        <f t="shared" si="102"/>
        <v>0</v>
      </c>
      <c r="AA98" s="329">
        <f t="shared" si="102"/>
        <v>0</v>
      </c>
      <c r="AB98" s="329">
        <f t="shared" si="102"/>
        <v>0</v>
      </c>
      <c r="AC98" s="329">
        <f t="shared" si="102"/>
        <v>0</v>
      </c>
      <c r="AD98" s="329">
        <f t="shared" si="102"/>
        <v>0</v>
      </c>
      <c r="AE98" s="329">
        <f t="shared" si="102"/>
        <v>0</v>
      </c>
      <c r="AF98" s="329">
        <f t="shared" si="102"/>
        <v>0</v>
      </c>
      <c r="AG98" s="329">
        <f t="shared" si="102"/>
        <v>0</v>
      </c>
      <c r="AH98" s="329">
        <f t="shared" si="102"/>
        <v>0</v>
      </c>
      <c r="AI98" s="329">
        <f t="shared" si="102"/>
        <v>0</v>
      </c>
      <c r="AJ98" s="329">
        <f t="shared" si="102"/>
        <v>0</v>
      </c>
      <c r="AK98" s="329">
        <f t="shared" si="102"/>
        <v>0</v>
      </c>
      <c r="AL98" s="329">
        <f t="shared" si="102"/>
        <v>0</v>
      </c>
      <c r="AM98" s="329">
        <f t="shared" si="102"/>
        <v>0</v>
      </c>
      <c r="AN98" s="329">
        <f t="shared" si="102"/>
        <v>0</v>
      </c>
      <c r="AO98" s="329">
        <f t="shared" si="102"/>
        <v>0</v>
      </c>
      <c r="AP98" s="329">
        <f t="shared" si="102"/>
        <v>0</v>
      </c>
      <c r="AQ98" s="329">
        <f t="shared" si="102"/>
        <v>0</v>
      </c>
      <c r="AR98" s="329">
        <f t="shared" si="102"/>
        <v>0</v>
      </c>
      <c r="AS98" s="329">
        <f t="shared" si="102"/>
        <v>0</v>
      </c>
      <c r="AT98" s="329">
        <f t="shared" si="102"/>
        <v>0</v>
      </c>
      <c r="AU98" s="329">
        <f t="shared" si="102"/>
        <v>0</v>
      </c>
      <c r="AV98" s="329">
        <f t="shared" si="102"/>
        <v>0</v>
      </c>
      <c r="AW98" s="329">
        <f t="shared" si="102"/>
        <v>0</v>
      </c>
      <c r="AX98" s="329">
        <f t="shared" si="102"/>
        <v>0</v>
      </c>
      <c r="AY98" s="329">
        <f t="shared" si="102"/>
        <v>0</v>
      </c>
      <c r="AZ98" s="329">
        <f t="shared" si="102"/>
        <v>0</v>
      </c>
      <c r="BA98" s="329">
        <f t="shared" si="102"/>
        <v>0</v>
      </c>
      <c r="BB98" s="329">
        <f t="shared" si="102"/>
        <v>0</v>
      </c>
      <c r="BC98" s="329">
        <f t="shared" si="102"/>
        <v>0</v>
      </c>
      <c r="BD98" s="329">
        <f t="shared" si="102"/>
        <v>0</v>
      </c>
      <c r="BE98" s="329">
        <f t="shared" si="102"/>
        <v>0</v>
      </c>
      <c r="BF98" s="329">
        <f t="shared" si="102"/>
        <v>0</v>
      </c>
      <c r="BG98" s="329">
        <f t="shared" si="102"/>
        <v>0</v>
      </c>
      <c r="BH98" s="329">
        <f t="shared" si="102"/>
        <v>0</v>
      </c>
      <c r="BI98" s="329">
        <f t="shared" si="102"/>
        <v>0</v>
      </c>
      <c r="BJ98" s="329">
        <f t="shared" si="102"/>
        <v>0</v>
      </c>
      <c r="BK98" s="329">
        <f t="shared" si="102"/>
        <v>0</v>
      </c>
      <c r="BL98" s="329">
        <f t="shared" si="102"/>
        <v>0</v>
      </c>
      <c r="BM98" s="329">
        <f t="shared" si="102"/>
        <v>0</v>
      </c>
      <c r="BN98" s="329">
        <f t="shared" si="102"/>
        <v>0</v>
      </c>
      <c r="BO98" s="329">
        <f t="shared" si="102"/>
        <v>0</v>
      </c>
      <c r="BP98" s="329">
        <f t="shared" si="102"/>
        <v>0</v>
      </c>
      <c r="BQ98" s="329">
        <f t="shared" si="102"/>
        <v>0</v>
      </c>
      <c r="BR98" s="329">
        <f t="shared" si="102"/>
        <v>0</v>
      </c>
      <c r="BS98" s="329">
        <f t="shared" si="102"/>
        <v>0</v>
      </c>
      <c r="BT98" s="329">
        <f t="shared" si="102"/>
        <v>0</v>
      </c>
      <c r="BU98" s="329">
        <f t="shared" si="102"/>
        <v>0</v>
      </c>
      <c r="BV98" s="329">
        <f t="shared" si="102"/>
        <v>0</v>
      </c>
      <c r="BW98" s="329">
        <f t="shared" si="102"/>
        <v>0</v>
      </c>
      <c r="BX98" s="329">
        <f t="shared" si="102"/>
        <v>0</v>
      </c>
      <c r="BY98" s="329">
        <f t="shared" si="102"/>
        <v>0</v>
      </c>
      <c r="BZ98" s="329">
        <f t="shared" si="102"/>
        <v>0</v>
      </c>
      <c r="CA98" s="329">
        <f t="shared" si="102"/>
        <v>0</v>
      </c>
      <c r="CB98" s="329">
        <f t="shared" si="102"/>
        <v>0</v>
      </c>
      <c r="CC98" s="329">
        <f t="shared" si="102"/>
        <v>0</v>
      </c>
      <c r="CD98" s="329">
        <f t="shared" si="102"/>
        <v>0</v>
      </c>
      <c r="CE98" s="329">
        <f t="shared" ref="CE98:CJ98" si="103">IF(CE97&gt;0,$E98,0)</f>
        <v>0</v>
      </c>
      <c r="CF98" s="329">
        <f t="shared" si="103"/>
        <v>0</v>
      </c>
      <c r="CG98" s="329">
        <f t="shared" si="103"/>
        <v>0</v>
      </c>
      <c r="CH98" s="329">
        <f t="shared" si="103"/>
        <v>0</v>
      </c>
      <c r="CI98" s="329">
        <f t="shared" si="103"/>
        <v>0</v>
      </c>
      <c r="CJ98" s="329">
        <f t="shared" si="103"/>
        <v>0</v>
      </c>
      <c r="CK98" s="510" t="s">
        <v>623</v>
      </c>
    </row>
    <row r="99" spans="2:89" s="321" customFormat="1" ht="15.75">
      <c r="B99" s="307"/>
      <c r="C99" s="300" t="s">
        <v>32</v>
      </c>
      <c r="D99" s="308" t="s">
        <v>33</v>
      </c>
      <c r="E99" s="309">
        <f>G99</f>
        <v>575132.69421253935</v>
      </c>
      <c r="F99" s="362">
        <v>2548590.7303800923</v>
      </c>
      <c r="G99" s="331">
        <f>SUM(H99:DL99)</f>
        <v>575132.69421253935</v>
      </c>
      <c r="H99" s="332">
        <f t="shared" ref="H99:S99" si="104">H98*H97</f>
        <v>0</v>
      </c>
      <c r="I99" s="332">
        <f t="shared" si="104"/>
        <v>0</v>
      </c>
      <c r="J99" s="332">
        <f t="shared" si="104"/>
        <v>0</v>
      </c>
      <c r="K99" s="332">
        <f t="shared" si="104"/>
        <v>0</v>
      </c>
      <c r="L99" s="332">
        <f t="shared" si="104"/>
        <v>0</v>
      </c>
      <c r="M99" s="332">
        <f t="shared" si="104"/>
        <v>0</v>
      </c>
      <c r="N99" s="332">
        <f t="shared" si="104"/>
        <v>0</v>
      </c>
      <c r="O99" s="332">
        <f t="shared" si="104"/>
        <v>0</v>
      </c>
      <c r="P99" s="332">
        <f t="shared" si="104"/>
        <v>0</v>
      </c>
      <c r="Q99" s="332">
        <f t="shared" si="104"/>
        <v>0</v>
      </c>
      <c r="R99" s="332">
        <f t="shared" si="104"/>
        <v>191710.89807084645</v>
      </c>
      <c r="S99" s="332">
        <f t="shared" si="104"/>
        <v>191710.89807084645</v>
      </c>
      <c r="T99" s="332">
        <f>T98*T97</f>
        <v>191710.89807084645</v>
      </c>
      <c r="U99" s="332">
        <f t="shared" ref="U99:CF99" si="105">U98*U97</f>
        <v>0</v>
      </c>
      <c r="V99" s="332">
        <f t="shared" si="105"/>
        <v>0</v>
      </c>
      <c r="W99" s="332">
        <f t="shared" si="105"/>
        <v>0</v>
      </c>
      <c r="X99" s="332">
        <f t="shared" si="105"/>
        <v>0</v>
      </c>
      <c r="Y99" s="332">
        <f t="shared" si="105"/>
        <v>0</v>
      </c>
      <c r="Z99" s="332">
        <f t="shared" si="105"/>
        <v>0</v>
      </c>
      <c r="AA99" s="332">
        <f t="shared" si="105"/>
        <v>0</v>
      </c>
      <c r="AB99" s="332">
        <f t="shared" si="105"/>
        <v>0</v>
      </c>
      <c r="AC99" s="332">
        <f t="shared" si="105"/>
        <v>0</v>
      </c>
      <c r="AD99" s="332">
        <f t="shared" si="105"/>
        <v>0</v>
      </c>
      <c r="AE99" s="332">
        <f t="shared" si="105"/>
        <v>0</v>
      </c>
      <c r="AF99" s="332">
        <f t="shared" si="105"/>
        <v>0</v>
      </c>
      <c r="AG99" s="332">
        <f t="shared" si="105"/>
        <v>0</v>
      </c>
      <c r="AH99" s="332">
        <f t="shared" si="105"/>
        <v>0</v>
      </c>
      <c r="AI99" s="332">
        <f t="shared" si="105"/>
        <v>0</v>
      </c>
      <c r="AJ99" s="332">
        <f t="shared" si="105"/>
        <v>0</v>
      </c>
      <c r="AK99" s="332">
        <f t="shared" si="105"/>
        <v>0</v>
      </c>
      <c r="AL99" s="332">
        <f t="shared" si="105"/>
        <v>0</v>
      </c>
      <c r="AM99" s="332">
        <f t="shared" si="105"/>
        <v>0</v>
      </c>
      <c r="AN99" s="332">
        <f t="shared" si="105"/>
        <v>0</v>
      </c>
      <c r="AO99" s="332">
        <f t="shared" si="105"/>
        <v>0</v>
      </c>
      <c r="AP99" s="332">
        <f t="shared" si="105"/>
        <v>0</v>
      </c>
      <c r="AQ99" s="332">
        <f t="shared" si="105"/>
        <v>0</v>
      </c>
      <c r="AR99" s="332">
        <f t="shared" si="105"/>
        <v>0</v>
      </c>
      <c r="AS99" s="332">
        <f t="shared" si="105"/>
        <v>0</v>
      </c>
      <c r="AT99" s="332">
        <f t="shared" si="105"/>
        <v>0</v>
      </c>
      <c r="AU99" s="332">
        <f t="shared" si="105"/>
        <v>0</v>
      </c>
      <c r="AV99" s="332">
        <f t="shared" si="105"/>
        <v>0</v>
      </c>
      <c r="AW99" s="332">
        <f t="shared" si="105"/>
        <v>0</v>
      </c>
      <c r="AX99" s="332">
        <f t="shared" si="105"/>
        <v>0</v>
      </c>
      <c r="AY99" s="332">
        <f t="shared" si="105"/>
        <v>0</v>
      </c>
      <c r="AZ99" s="332">
        <f t="shared" si="105"/>
        <v>0</v>
      </c>
      <c r="BA99" s="332">
        <f t="shared" si="105"/>
        <v>0</v>
      </c>
      <c r="BB99" s="332">
        <f t="shared" si="105"/>
        <v>0</v>
      </c>
      <c r="BC99" s="332">
        <f t="shared" si="105"/>
        <v>0</v>
      </c>
      <c r="BD99" s="332">
        <f t="shared" si="105"/>
        <v>0</v>
      </c>
      <c r="BE99" s="332">
        <f t="shared" si="105"/>
        <v>0</v>
      </c>
      <c r="BF99" s="332">
        <f t="shared" si="105"/>
        <v>0</v>
      </c>
      <c r="BG99" s="332">
        <f t="shared" si="105"/>
        <v>0</v>
      </c>
      <c r="BH99" s="332">
        <f t="shared" si="105"/>
        <v>0</v>
      </c>
      <c r="BI99" s="332">
        <f t="shared" si="105"/>
        <v>0</v>
      </c>
      <c r="BJ99" s="332">
        <f t="shared" si="105"/>
        <v>0</v>
      </c>
      <c r="BK99" s="332">
        <f t="shared" si="105"/>
        <v>0</v>
      </c>
      <c r="BL99" s="332">
        <f t="shared" si="105"/>
        <v>0</v>
      </c>
      <c r="BM99" s="332">
        <f t="shared" si="105"/>
        <v>0</v>
      </c>
      <c r="BN99" s="332">
        <f t="shared" si="105"/>
        <v>0</v>
      </c>
      <c r="BO99" s="332">
        <f t="shared" si="105"/>
        <v>0</v>
      </c>
      <c r="BP99" s="332">
        <f t="shared" si="105"/>
        <v>0</v>
      </c>
      <c r="BQ99" s="332">
        <f t="shared" si="105"/>
        <v>0</v>
      </c>
      <c r="BR99" s="332">
        <f t="shared" si="105"/>
        <v>0</v>
      </c>
      <c r="BS99" s="332">
        <f t="shared" si="105"/>
        <v>0</v>
      </c>
      <c r="BT99" s="332">
        <f t="shared" si="105"/>
        <v>0</v>
      </c>
      <c r="BU99" s="332">
        <f t="shared" si="105"/>
        <v>0</v>
      </c>
      <c r="BV99" s="332">
        <f t="shared" si="105"/>
        <v>0</v>
      </c>
      <c r="BW99" s="332">
        <f t="shared" si="105"/>
        <v>0</v>
      </c>
      <c r="BX99" s="332">
        <f t="shared" si="105"/>
        <v>0</v>
      </c>
      <c r="BY99" s="332">
        <f t="shared" si="105"/>
        <v>0</v>
      </c>
      <c r="BZ99" s="332">
        <f t="shared" si="105"/>
        <v>0</v>
      </c>
      <c r="CA99" s="332">
        <f t="shared" si="105"/>
        <v>0</v>
      </c>
      <c r="CB99" s="332">
        <f t="shared" si="105"/>
        <v>0</v>
      </c>
      <c r="CC99" s="332">
        <f t="shared" si="105"/>
        <v>0</v>
      </c>
      <c r="CD99" s="332">
        <f t="shared" si="105"/>
        <v>0</v>
      </c>
      <c r="CE99" s="332">
        <f t="shared" si="105"/>
        <v>0</v>
      </c>
      <c r="CF99" s="332">
        <f t="shared" si="105"/>
        <v>0</v>
      </c>
      <c r="CG99" s="332">
        <f t="shared" ref="CG99:CJ99" si="106">CG98*CG97</f>
        <v>0</v>
      </c>
      <c r="CH99" s="332">
        <f t="shared" si="106"/>
        <v>0</v>
      </c>
      <c r="CI99" s="332">
        <f t="shared" si="106"/>
        <v>0</v>
      </c>
      <c r="CJ99" s="332">
        <f t="shared" si="106"/>
        <v>0</v>
      </c>
      <c r="CK99" s="510" t="s">
        <v>623</v>
      </c>
    </row>
    <row r="100" spans="2:89" s="321" customFormat="1" ht="15.75">
      <c r="B100" s="343"/>
      <c r="C100" s="310" t="s">
        <v>35</v>
      </c>
      <c r="D100" s="311" t="s">
        <v>33</v>
      </c>
      <c r="E100" s="312"/>
      <c r="F100" s="363"/>
      <c r="G100" s="331">
        <f>SUM(H100:DL100)</f>
        <v>575132.69421253935</v>
      </c>
      <c r="H100" s="1363">
        <v>0</v>
      </c>
      <c r="I100" s="335">
        <f>SUM($H$127:H127)*I99+SUM($H$99:I99)*I127</f>
        <v>0</v>
      </c>
      <c r="J100" s="335">
        <f>SUM($H$127:I127)*J99+SUM($H$99:J99)*J127</f>
        <v>0</v>
      </c>
      <c r="K100" s="335">
        <f>SUM($H$127:J127)*K99+SUM($H$99:K99)*K127</f>
        <v>0</v>
      </c>
      <c r="L100" s="335">
        <f>SUM($H$127:K127)*L99+SUM($H$99:L99)*L127</f>
        <v>0</v>
      </c>
      <c r="M100" s="335">
        <f>SUM($H$127:L127)*M99+SUM($H$99:M99)*M127</f>
        <v>0</v>
      </c>
      <c r="N100" s="335">
        <f>SUM($H$127:M127)*N99+SUM($H$99:N99)*N127</f>
        <v>0</v>
      </c>
      <c r="O100" s="335">
        <f>SUM($H$127:N127)*O99+SUM($H$99:O99)*O127</f>
        <v>0</v>
      </c>
      <c r="P100" s="335">
        <f>SUM($H$127:O127)*P99+SUM($H$99:P99)*P127</f>
        <v>0</v>
      </c>
      <c r="Q100" s="335">
        <f>SUM($H$127:P127)*Q99+SUM($H$99:Q99)*Q127</f>
        <v>0</v>
      </c>
      <c r="R100" s="335">
        <f>SUM($H$127:Q127)*R99+SUM($H$99:R99)*R127</f>
        <v>57513.269421253935</v>
      </c>
      <c r="S100" s="335">
        <f>SUM($H$127:R127)*S99+SUM($H$99:S99)*S127</f>
        <v>134197.62864959252</v>
      </c>
      <c r="T100" s="335">
        <f>SUM($H$127:S127)*T99+SUM($H$99:T99)*T127</f>
        <v>210881.9878779311</v>
      </c>
      <c r="U100" s="335">
        <f>SUM($H$127:T127)*U99+SUM($H$99:U99)*U127</f>
        <v>143783.17355313484</v>
      </c>
      <c r="V100" s="335">
        <f>SUM($H$127:U127)*V99+SUM($H$99:V99)*V127</f>
        <v>0</v>
      </c>
      <c r="W100" s="335">
        <f>SUM($H$127:V127)*W99+SUM($H$99:W99)*W127</f>
        <v>0</v>
      </c>
      <c r="X100" s="335">
        <f>SUM($H$127:W127)*X99+SUM($H$99:X99)*X127</f>
        <v>28756.634710626968</v>
      </c>
      <c r="Y100" s="335">
        <f>SUM($H$127:X127)*Y99+SUM($H$99:Y99)*Y127</f>
        <v>0</v>
      </c>
      <c r="Z100" s="335">
        <f>SUM($H$127:Y127)*Z99+SUM($H$99:Z99)*Z127</f>
        <v>0</v>
      </c>
      <c r="AA100" s="335">
        <f>SUM($H$127:Z127)*AA99+SUM($H$99:AA99)*AA127</f>
        <v>0</v>
      </c>
      <c r="AB100" s="335">
        <f>SUM($H$127:AA127)*AB99+SUM($H$99:AB99)*AB127</f>
        <v>0</v>
      </c>
      <c r="AC100" s="335">
        <f>SUM($H$127:AB127)*AC99+SUM($H$99:AC99)*AC127</f>
        <v>0</v>
      </c>
      <c r="AD100" s="335">
        <f>SUM($H$127:AC127)*AD99+SUM($H$99:AD99)*AD127</f>
        <v>0</v>
      </c>
      <c r="AE100" s="335">
        <f>SUM($H$127:AD127)*AE99+SUM($H$99:AE99)*AE127</f>
        <v>0</v>
      </c>
      <c r="AF100" s="335">
        <f>SUM($H$127:AE127)*AF99+SUM($H$99:AF99)*AF127</f>
        <v>0</v>
      </c>
      <c r="AG100" s="335">
        <f>SUM($H$127:AF127)*AG99+SUM($H$99:AG99)*AG127</f>
        <v>0</v>
      </c>
      <c r="AH100" s="335">
        <f>SUM($H$127:AG127)*AH99+SUM($H$99:AH99)*AH127</f>
        <v>0</v>
      </c>
      <c r="AI100" s="335">
        <f>SUM($H$127:AH127)*AI99+SUM($H$99:AI99)*AI127</f>
        <v>0</v>
      </c>
      <c r="AJ100" s="335">
        <f>SUM($H$127:AI127)*AJ99+SUM($H$99:AJ99)*AJ127</f>
        <v>0</v>
      </c>
      <c r="AK100" s="335">
        <f>SUM($H$127:AJ127)*AK99+SUM($H$99:AK99)*AK127</f>
        <v>0</v>
      </c>
      <c r="AL100" s="335">
        <f>SUM($H$127:AK127)*AL99+SUM($H$99:AL99)*AL127</f>
        <v>0</v>
      </c>
      <c r="AM100" s="335">
        <f>SUM($H$127:AL127)*AM99+SUM($H$99:AM99)*AM127</f>
        <v>0</v>
      </c>
      <c r="AN100" s="335">
        <f>SUM($H$127:AM127)*AN99+SUM($H$99:AN99)*AN127</f>
        <v>0</v>
      </c>
      <c r="AO100" s="335">
        <f>SUM($H$127:AN127)*AO99+SUM($H$99:AO99)*AO127</f>
        <v>0</v>
      </c>
      <c r="AP100" s="335">
        <f>SUM($H$127:AO127)*AP99+SUM($H$99:AP99)*AP127</f>
        <v>0</v>
      </c>
      <c r="AQ100" s="335">
        <f>SUM($H$127:AP127)*AQ99+SUM($H$99:AQ99)*AQ127</f>
        <v>0</v>
      </c>
      <c r="AR100" s="335">
        <f>SUM($H$127:AQ127)*AR99+SUM($H$99:AR99)*AR127</f>
        <v>0</v>
      </c>
      <c r="AS100" s="335">
        <f>SUM($H$127:AR127)*AS99+SUM($H$99:AS99)*AS127</f>
        <v>0</v>
      </c>
      <c r="AT100" s="335">
        <f>SUM($H$127:AS127)*AT99+SUM($H$99:AT99)*AT127</f>
        <v>0</v>
      </c>
      <c r="AU100" s="335">
        <f>SUM($H$127:AT127)*AU99+SUM($H$99:AU99)*AU127</f>
        <v>0</v>
      </c>
      <c r="AV100" s="335">
        <f>SUM($H$127:AU127)*AV99+SUM($H$99:AV99)*AV127</f>
        <v>0</v>
      </c>
      <c r="AW100" s="335">
        <f>SUM($H$127:AV127)*AW99+SUM($H$99:AW99)*AW127</f>
        <v>0</v>
      </c>
      <c r="AX100" s="335">
        <f>SUM($H$127:AW127)*AX99+SUM($H$99:AX99)*AX127</f>
        <v>0</v>
      </c>
      <c r="AY100" s="335">
        <f>SUM($H$127:AX127)*AY99+SUM($H$99:AY99)*AY127</f>
        <v>0</v>
      </c>
      <c r="AZ100" s="335">
        <f>SUM($H$127:AY127)*AZ99+SUM($H$99:AZ99)*AZ127</f>
        <v>0</v>
      </c>
      <c r="BA100" s="335">
        <f>SUM($H$127:AZ127)*BA99+SUM($H$99:BA99)*BA127</f>
        <v>0</v>
      </c>
      <c r="BB100" s="335">
        <f>SUM($H$127:BA127)*BB99+SUM($H$99:BB99)*BB127</f>
        <v>0</v>
      </c>
      <c r="BC100" s="335">
        <f>SUM($H$127:BB127)*BC99+SUM($H$99:BC99)*BC127</f>
        <v>0</v>
      </c>
      <c r="BD100" s="335">
        <f>SUM($H$127:BC127)*BD99+SUM($H$99:BD99)*BD127</f>
        <v>0</v>
      </c>
      <c r="BE100" s="335">
        <f>SUM($H$127:BD127)*BE99+SUM($H$99:BE99)*BE127</f>
        <v>0</v>
      </c>
      <c r="BF100" s="335">
        <f>SUM($H$127:BE127)*BF99+SUM($H$99:BF99)*BF127</f>
        <v>0</v>
      </c>
      <c r="BG100" s="335">
        <f>SUM($H$127:BF127)*BG99+SUM($H$99:BG99)*BG127</f>
        <v>0</v>
      </c>
      <c r="BH100" s="335">
        <f>SUM($H$127:BG127)*BH99+SUM($H$99:BH99)*BH127</f>
        <v>0</v>
      </c>
      <c r="BI100" s="335">
        <f>SUM($H$127:BH127)*BI99+SUM($H$99:BI99)*BI127</f>
        <v>0</v>
      </c>
      <c r="BJ100" s="335">
        <f>SUM($H$127:BI127)*BJ99+SUM($H$99:BJ99)*BJ127</f>
        <v>0</v>
      </c>
      <c r="BK100" s="335">
        <f>SUM($H$127:BJ127)*BK99+SUM($H$99:BK99)*BK127</f>
        <v>0</v>
      </c>
      <c r="BL100" s="335">
        <f>SUM($H$127:BK127)*BL99+SUM($H$99:BL99)*BL127</f>
        <v>0</v>
      </c>
      <c r="BM100" s="335">
        <f>SUM($H$127:BL127)*BM99+SUM($H$99:BM99)*BM127</f>
        <v>0</v>
      </c>
      <c r="BN100" s="335">
        <f>SUM($H$127:BM127)*BN99+SUM($H$99:BN99)*BN127</f>
        <v>0</v>
      </c>
      <c r="BO100" s="335">
        <f>SUM($H$127:BN127)*BO99+SUM($H$99:BO99)*BO127</f>
        <v>0</v>
      </c>
      <c r="BP100" s="335">
        <f>SUM($H$127:BO127)*BP99+SUM($H$99:BP99)*BP127</f>
        <v>0</v>
      </c>
      <c r="BQ100" s="335">
        <f>SUM($H$127:BP127)*BQ99+SUM($H$99:BQ99)*BQ127</f>
        <v>0</v>
      </c>
      <c r="BR100" s="335">
        <f>SUM($H$127:BQ127)*BR99+SUM($H$99:BR99)*BR127</f>
        <v>0</v>
      </c>
      <c r="BS100" s="335">
        <f>SUM($H$127:BR127)*BS99+SUM($H$99:BS99)*BS127</f>
        <v>0</v>
      </c>
      <c r="BT100" s="335">
        <f>SUM($H$127:BS127)*BT99+SUM($H$99:BT99)*BT127</f>
        <v>0</v>
      </c>
      <c r="BU100" s="335">
        <f>SUM($H$127:BT127)*BU99+SUM($H$99:BU99)*BU127</f>
        <v>0</v>
      </c>
      <c r="BV100" s="335">
        <f>SUM($H$127:BU127)*BV99+SUM($H$99:BV99)*BV127</f>
        <v>0</v>
      </c>
      <c r="BW100" s="335">
        <f>SUM($H$127:BV127)*BW99+SUM($H$99:BW99)*BW127</f>
        <v>0</v>
      </c>
      <c r="BX100" s="335">
        <f>SUM($H$127:BW127)*BX99+SUM($H$99:BX99)*BX127</f>
        <v>0</v>
      </c>
      <c r="BY100" s="335">
        <f>SUM($H$127:BX127)*BY99+SUM($H$99:BY99)*BY127</f>
        <v>0</v>
      </c>
      <c r="BZ100" s="335">
        <f>SUM($H$127:BY127)*BZ99+SUM($H$99:BZ99)*BZ127</f>
        <v>0</v>
      </c>
      <c r="CA100" s="335">
        <f>SUM($H$127:BZ127)*CA99+SUM($H$99:CA99)*CA127</f>
        <v>0</v>
      </c>
      <c r="CB100" s="335">
        <f>SUM($H$127:CA127)*CB99+SUM($H$99:CB99)*CB127</f>
        <v>0</v>
      </c>
      <c r="CC100" s="335">
        <f>SUM($H$127:CB127)*CC99+SUM($H$99:CC99)*CC127</f>
        <v>0</v>
      </c>
      <c r="CD100" s="335">
        <f>SUM($H$127:CC127)*CD99+SUM($H$99:CD99)*CD127</f>
        <v>0</v>
      </c>
      <c r="CE100" s="335">
        <f>SUM($H$127:CD127)*CE99+SUM($H$99:CE99)*CE127</f>
        <v>0</v>
      </c>
      <c r="CF100" s="335">
        <f>SUM($H$127:CE127)*CF99+SUM($H$99:CF99)*CF127</f>
        <v>0</v>
      </c>
      <c r="CG100" s="335">
        <f>SUM($H$127:CF127)*CG99+SUM($H$99:CG99)*CG127</f>
        <v>0</v>
      </c>
      <c r="CH100" s="335">
        <f>SUM($H$127:CG127)*CH99+SUM($H$99:CH99)*CH127</f>
        <v>0</v>
      </c>
      <c r="CI100" s="335">
        <f>SUM($H$127:CH127)*CI99+SUM($H$99:CI99)*CI127</f>
        <v>0</v>
      </c>
      <c r="CJ100" s="335">
        <f>SUM($H$127:CI127)*CJ99+SUM($H$99:CJ99)*CJ127</f>
        <v>0</v>
      </c>
      <c r="CK100" s="510" t="s">
        <v>623</v>
      </c>
    </row>
    <row r="101" spans="2:89" s="321" customFormat="1" ht="15.75">
      <c r="B101" s="1378"/>
      <c r="C101" s="1379"/>
      <c r="D101" s="1367"/>
      <c r="E101" s="1380"/>
      <c r="F101" s="1381"/>
      <c r="G101" s="1382"/>
      <c r="H101" s="1383"/>
      <c r="I101" s="1384"/>
      <c r="J101" s="1384"/>
      <c r="K101" s="1384"/>
      <c r="L101" s="1384"/>
      <c r="M101" s="1384"/>
      <c r="N101" s="1384"/>
      <c r="O101" s="1384"/>
      <c r="P101" s="1384"/>
      <c r="Q101" s="1384"/>
      <c r="R101" s="1385"/>
      <c r="S101" s="1385"/>
      <c r="T101" s="1386"/>
      <c r="U101" s="1384"/>
      <c r="V101" s="1384"/>
      <c r="W101" s="1385"/>
      <c r="X101" s="1386"/>
      <c r="Y101" s="1384"/>
      <c r="Z101" s="1384"/>
      <c r="AA101" s="1384"/>
      <c r="AB101" s="1384"/>
      <c r="AC101" s="1384"/>
      <c r="AD101" s="1384"/>
      <c r="AE101" s="1384"/>
      <c r="AF101" s="1384"/>
      <c r="AG101" s="1384"/>
      <c r="AH101" s="1384"/>
      <c r="AI101" s="1384"/>
      <c r="AJ101" s="1384"/>
      <c r="AK101" s="1384"/>
      <c r="AL101" s="1384"/>
      <c r="AM101" s="1384"/>
      <c r="AN101" s="1384"/>
      <c r="AO101" s="1384"/>
      <c r="AP101" s="1384"/>
      <c r="AQ101" s="1384"/>
      <c r="AR101" s="1384"/>
      <c r="AS101" s="1384"/>
      <c r="AT101" s="1384"/>
      <c r="AU101" s="1384"/>
      <c r="AV101" s="1384"/>
      <c r="AW101" s="1384"/>
      <c r="AX101" s="1384"/>
      <c r="AY101" s="1384"/>
      <c r="AZ101" s="1384"/>
      <c r="BA101" s="1384"/>
      <c r="BB101" s="1384"/>
      <c r="BC101" s="1384"/>
      <c r="BD101" s="1384"/>
      <c r="BE101" s="1384"/>
      <c r="BF101" s="1384"/>
      <c r="BG101" s="1384"/>
      <c r="BH101" s="1384"/>
      <c r="BI101" s="1384"/>
      <c r="BJ101" s="1384"/>
      <c r="BK101" s="1384"/>
      <c r="BL101" s="1384"/>
      <c r="BM101" s="1384"/>
      <c r="BN101" s="1384"/>
      <c r="BO101" s="1384"/>
      <c r="BP101" s="1384"/>
      <c r="BQ101" s="1384"/>
      <c r="BR101" s="1384"/>
      <c r="BS101" s="1384"/>
      <c r="BT101" s="1384"/>
      <c r="BU101" s="1384"/>
      <c r="BV101" s="1384"/>
      <c r="BW101" s="1384"/>
      <c r="BX101" s="1384"/>
      <c r="BY101" s="1384"/>
      <c r="BZ101" s="1384"/>
      <c r="CA101" s="1384"/>
      <c r="CB101" s="1384"/>
      <c r="CC101" s="1384"/>
      <c r="CD101" s="1384"/>
      <c r="CE101" s="1384"/>
      <c r="CF101" s="1384"/>
      <c r="CG101" s="1384"/>
      <c r="CH101" s="1384"/>
      <c r="CI101" s="1384"/>
      <c r="CJ101" s="1384"/>
      <c r="CK101" s="510" t="s">
        <v>623</v>
      </c>
    </row>
    <row r="102" spans="2:89" s="321" customFormat="1" ht="15.75">
      <c r="B102" s="726">
        <v>15</v>
      </c>
      <c r="C102" s="717" t="str">
        <f>+'2.Tien do'!C69</f>
        <v>TMDV tập trung</v>
      </c>
      <c r="D102" s="717"/>
      <c r="E102" s="718"/>
      <c r="F102" s="719"/>
      <c r="G102" s="720"/>
      <c r="H102" s="721"/>
      <c r="I102" s="721"/>
      <c r="J102" s="722"/>
      <c r="K102" s="722"/>
      <c r="L102" s="722"/>
      <c r="M102" s="722"/>
      <c r="N102" s="722"/>
      <c r="O102" s="722"/>
      <c r="P102" s="722"/>
      <c r="Q102" s="722"/>
      <c r="R102" s="722"/>
      <c r="S102" s="723"/>
      <c r="T102" s="724"/>
      <c r="U102" s="722"/>
      <c r="V102" s="722"/>
      <c r="W102" s="723"/>
      <c r="X102" s="724"/>
      <c r="Y102" s="722"/>
      <c r="Z102" s="722"/>
      <c r="AA102" s="722"/>
      <c r="AB102" s="722"/>
      <c r="AC102" s="722"/>
      <c r="AD102" s="722"/>
      <c r="AE102" s="722"/>
      <c r="AF102" s="722"/>
      <c r="AG102" s="722"/>
      <c r="AH102" s="722"/>
      <c r="AI102" s="722"/>
      <c r="AJ102" s="722"/>
      <c r="AK102" s="722"/>
      <c r="AL102" s="722"/>
      <c r="AM102" s="722"/>
      <c r="AN102" s="722"/>
      <c r="AO102" s="722"/>
      <c r="AP102" s="722"/>
      <c r="AQ102" s="722"/>
      <c r="AR102" s="722"/>
      <c r="AS102" s="722"/>
      <c r="AT102" s="722"/>
      <c r="AU102" s="722"/>
      <c r="AV102" s="722"/>
      <c r="AW102" s="722"/>
      <c r="AX102" s="722"/>
      <c r="AY102" s="722"/>
      <c r="AZ102" s="722"/>
      <c r="BA102" s="722"/>
      <c r="BB102" s="722"/>
      <c r="BC102" s="722"/>
      <c r="BD102" s="722"/>
      <c r="BE102" s="722"/>
      <c r="BF102" s="722"/>
      <c r="BG102" s="722"/>
      <c r="BH102" s="722"/>
      <c r="BI102" s="722"/>
      <c r="BJ102" s="722"/>
      <c r="BK102" s="722"/>
      <c r="BL102" s="722"/>
      <c r="BM102" s="722"/>
      <c r="BN102" s="722"/>
      <c r="BO102" s="722"/>
      <c r="BP102" s="722"/>
      <c r="BQ102" s="722"/>
      <c r="BR102" s="722"/>
      <c r="BS102" s="722"/>
      <c r="BT102" s="722"/>
      <c r="BU102" s="722"/>
      <c r="BV102" s="722"/>
      <c r="BW102" s="722"/>
      <c r="BX102" s="722"/>
      <c r="BY102" s="722"/>
      <c r="BZ102" s="722"/>
      <c r="CA102" s="722"/>
      <c r="CB102" s="722"/>
      <c r="CC102" s="722"/>
      <c r="CD102" s="722"/>
      <c r="CE102" s="722"/>
      <c r="CF102" s="722"/>
      <c r="CG102" s="722"/>
      <c r="CH102" s="722"/>
      <c r="CI102" s="722"/>
      <c r="CJ102" s="722"/>
      <c r="CK102" s="510" t="s">
        <v>623</v>
      </c>
    </row>
    <row r="103" spans="2:89" s="321" customFormat="1" ht="15.75">
      <c r="B103" s="295"/>
      <c r="C103" s="296" t="s">
        <v>137</v>
      </c>
      <c r="D103" s="297" t="s">
        <v>171</v>
      </c>
      <c r="E103" s="342">
        <v>0.1</v>
      </c>
      <c r="F103" s="359">
        <v>0.05</v>
      </c>
      <c r="G103" s="322"/>
      <c r="H103" s="323">
        <f>'2.Tien do'!E69</f>
        <v>0</v>
      </c>
      <c r="I103" s="323">
        <f>'2.Tien do'!F69</f>
        <v>0</v>
      </c>
      <c r="J103" s="323">
        <f>'2.Tien do'!G69</f>
        <v>0</v>
      </c>
      <c r="K103" s="323">
        <f>'2.Tien do'!H69</f>
        <v>0</v>
      </c>
      <c r="L103" s="323">
        <f>'2.Tien do'!I69</f>
        <v>0</v>
      </c>
      <c r="M103" s="323">
        <f>'2.Tien do'!J69</f>
        <v>0</v>
      </c>
      <c r="N103" s="323">
        <f>'2.Tien do'!K69</f>
        <v>0</v>
      </c>
      <c r="O103" s="323">
        <f>'2.Tien do'!L69</f>
        <v>0</v>
      </c>
      <c r="P103" s="323">
        <f>'2.Tien do'!M69</f>
        <v>0</v>
      </c>
      <c r="Q103" s="323">
        <f>'2.Tien do'!N69</f>
        <v>0</v>
      </c>
      <c r="R103" s="323">
        <f>'2.Tien do'!O69</f>
        <v>0</v>
      </c>
      <c r="S103" s="323">
        <f>'2.Tien do'!P69</f>
        <v>0</v>
      </c>
      <c r="T103" s="323">
        <f>'2.Tien do'!Q69</f>
        <v>0</v>
      </c>
      <c r="U103" s="323">
        <f>'2.Tien do'!R69</f>
        <v>0</v>
      </c>
      <c r="V103" s="323">
        <f>'2.Tien do'!S69</f>
        <v>0</v>
      </c>
      <c r="W103" s="323">
        <f>'2.Tien do'!T69</f>
        <v>0</v>
      </c>
      <c r="X103" s="323">
        <f>'2.Tien do'!U69</f>
        <v>0</v>
      </c>
      <c r="Y103" s="323">
        <f>'2.Tien do'!V69</f>
        <v>0</v>
      </c>
      <c r="Z103" s="323">
        <f>'2.Tien do'!W69</f>
        <v>0</v>
      </c>
      <c r="AA103" s="323">
        <f>'2.Tien do'!X69</f>
        <v>0</v>
      </c>
      <c r="AB103" s="323">
        <f>'2.Tien do'!Y69</f>
        <v>0</v>
      </c>
      <c r="AC103" s="323">
        <f>'2.Tien do'!Z69</f>
        <v>0</v>
      </c>
      <c r="AD103" s="323">
        <f>'2.Tien do'!AA69</f>
        <v>0</v>
      </c>
      <c r="AE103" s="323">
        <f>'2.Tien do'!AB69</f>
        <v>0</v>
      </c>
      <c r="AF103" s="323">
        <f>'2.Tien do'!AC69</f>
        <v>0</v>
      </c>
      <c r="AG103" s="323">
        <f>'2.Tien do'!AD69</f>
        <v>0</v>
      </c>
      <c r="AH103" s="323">
        <f>'2.Tien do'!AE69</f>
        <v>0</v>
      </c>
      <c r="AI103" s="323">
        <f>'2.Tien do'!AF69</f>
        <v>0</v>
      </c>
      <c r="AJ103" s="323">
        <f>'2.Tien do'!AG69</f>
        <v>0</v>
      </c>
      <c r="AK103" s="323">
        <f>'2.Tien do'!AH69</f>
        <v>0</v>
      </c>
      <c r="AL103" s="323">
        <f>'2.Tien do'!AI69</f>
        <v>0</v>
      </c>
      <c r="AM103" s="323">
        <f>'2.Tien do'!AJ69</f>
        <v>0</v>
      </c>
      <c r="AN103" s="323">
        <f>'2.Tien do'!AK69</f>
        <v>0</v>
      </c>
      <c r="AO103" s="323">
        <f>'2.Tien do'!AL69</f>
        <v>0</v>
      </c>
      <c r="AP103" s="323">
        <f>'2.Tien do'!AM69</f>
        <v>0</v>
      </c>
      <c r="AQ103" s="323">
        <f>'2.Tien do'!AN69</f>
        <v>0</v>
      </c>
      <c r="AR103" s="323">
        <f>'2.Tien do'!AO69</f>
        <v>0</v>
      </c>
      <c r="AS103" s="323">
        <f>'2.Tien do'!AP69</f>
        <v>0</v>
      </c>
      <c r="AT103" s="323">
        <f>'2.Tien do'!AQ69</f>
        <v>0</v>
      </c>
      <c r="AU103" s="323">
        <f>'2.Tien do'!AR69</f>
        <v>0</v>
      </c>
      <c r="AV103" s="323">
        <f>'2.Tien do'!AS69</f>
        <v>0</v>
      </c>
      <c r="AW103" s="323">
        <f>'2.Tien do'!AT69</f>
        <v>0</v>
      </c>
      <c r="AX103" s="323">
        <f>'2.Tien do'!AU69</f>
        <v>0</v>
      </c>
      <c r="AY103" s="323">
        <f>'2.Tien do'!AV69</f>
        <v>0</v>
      </c>
      <c r="AZ103" s="323">
        <f>'2.Tien do'!AW69</f>
        <v>0</v>
      </c>
      <c r="BA103" s="323">
        <f>'2.Tien do'!AX69</f>
        <v>0</v>
      </c>
      <c r="BB103" s="323">
        <f>'2.Tien do'!AY69</f>
        <v>0</v>
      </c>
      <c r="BC103" s="323">
        <f>'2.Tien do'!AZ69</f>
        <v>0</v>
      </c>
      <c r="BD103" s="323">
        <f>'2.Tien do'!BA69</f>
        <v>0</v>
      </c>
      <c r="BE103" s="323">
        <f>'2.Tien do'!BB69</f>
        <v>0</v>
      </c>
      <c r="BF103" s="323">
        <f>'2.Tien do'!BC69</f>
        <v>0</v>
      </c>
      <c r="BG103" s="323">
        <f>'2.Tien do'!BD69</f>
        <v>0</v>
      </c>
      <c r="BH103" s="323">
        <f>'2.Tien do'!BE69</f>
        <v>0</v>
      </c>
      <c r="BI103" s="323">
        <f>'2.Tien do'!BF69</f>
        <v>0</v>
      </c>
      <c r="BJ103" s="323">
        <f>'2.Tien do'!BG69</f>
        <v>0</v>
      </c>
      <c r="BK103" s="323">
        <f>'2.Tien do'!BH69</f>
        <v>0</v>
      </c>
      <c r="BL103" s="323">
        <f>'2.Tien do'!BI69</f>
        <v>0</v>
      </c>
      <c r="BM103" s="323">
        <f>'2.Tien do'!BJ69</f>
        <v>0</v>
      </c>
      <c r="BN103" s="323">
        <f>'2.Tien do'!BK69</f>
        <v>0</v>
      </c>
      <c r="BO103" s="323">
        <f>'2.Tien do'!BL69</f>
        <v>0</v>
      </c>
      <c r="BP103" s="323">
        <f>'2.Tien do'!BM69</f>
        <v>0</v>
      </c>
      <c r="BQ103" s="323">
        <f>'2.Tien do'!BN69</f>
        <v>0</v>
      </c>
      <c r="BR103" s="323">
        <f>'2.Tien do'!BO69</f>
        <v>0</v>
      </c>
      <c r="BS103" s="323">
        <f>'2.Tien do'!BP69</f>
        <v>0</v>
      </c>
      <c r="BT103" s="323">
        <f>'2.Tien do'!BQ69</f>
        <v>0</v>
      </c>
      <c r="BU103" s="323">
        <f>'2.Tien do'!BR69</f>
        <v>0</v>
      </c>
      <c r="BV103" s="323">
        <f>'2.Tien do'!BS69</f>
        <v>0</v>
      </c>
      <c r="BW103" s="323">
        <f>'2.Tien do'!BT69</f>
        <v>0</v>
      </c>
      <c r="BX103" s="323">
        <f>'2.Tien do'!BU69</f>
        <v>0</v>
      </c>
      <c r="BY103" s="323">
        <f>'2.Tien do'!BV69</f>
        <v>0</v>
      </c>
      <c r="BZ103" s="323">
        <f>'2.Tien do'!BW69</f>
        <v>0</v>
      </c>
      <c r="CA103" s="323">
        <f>'2.Tien do'!BX69</f>
        <v>0</v>
      </c>
      <c r="CB103" s="323">
        <f>'2.Tien do'!BY69</f>
        <v>0</v>
      </c>
      <c r="CC103" s="323">
        <f>'2.Tien do'!BZ69</f>
        <v>0</v>
      </c>
      <c r="CD103" s="323">
        <f>'2.Tien do'!CA69</f>
        <v>0</v>
      </c>
      <c r="CE103" s="323">
        <f>'2.Tien do'!CB69</f>
        <v>0</v>
      </c>
      <c r="CF103" s="323">
        <f>'2.Tien do'!CC69</f>
        <v>0</v>
      </c>
      <c r="CG103" s="323">
        <f>'2.Tien do'!CD69</f>
        <v>0</v>
      </c>
      <c r="CH103" s="323">
        <f>'2.Tien do'!CE69</f>
        <v>0</v>
      </c>
      <c r="CI103" s="323">
        <f>'2.Tien do'!CF69</f>
        <v>0</v>
      </c>
      <c r="CJ103" s="323">
        <f>'2.Tien do'!CG69</f>
        <v>0</v>
      </c>
      <c r="CK103" s="510" t="s">
        <v>623</v>
      </c>
    </row>
    <row r="104" spans="2:89" s="321" customFormat="1" ht="15.75">
      <c r="B104" s="299"/>
      <c r="C104" s="300" t="s">
        <v>68</v>
      </c>
      <c r="D104" s="301" t="s">
        <v>3</v>
      </c>
      <c r="E104" s="302">
        <v>0</v>
      </c>
      <c r="F104" s="360">
        <v>1966</v>
      </c>
      <c r="G104" s="325"/>
      <c r="H104" s="326">
        <f t="shared" ref="H104:BS104" si="107">$E104*H103</f>
        <v>0</v>
      </c>
      <c r="I104" s="326">
        <f t="shared" si="107"/>
        <v>0</v>
      </c>
      <c r="J104" s="326">
        <f t="shared" si="107"/>
        <v>0</v>
      </c>
      <c r="K104" s="326">
        <f t="shared" si="107"/>
        <v>0</v>
      </c>
      <c r="L104" s="326">
        <f t="shared" si="107"/>
        <v>0</v>
      </c>
      <c r="M104" s="326">
        <f t="shared" si="107"/>
        <v>0</v>
      </c>
      <c r="N104" s="326">
        <f t="shared" si="107"/>
        <v>0</v>
      </c>
      <c r="O104" s="326">
        <f t="shared" si="107"/>
        <v>0</v>
      </c>
      <c r="P104" s="326">
        <f t="shared" si="107"/>
        <v>0</v>
      </c>
      <c r="Q104" s="326">
        <f t="shared" si="107"/>
        <v>0</v>
      </c>
      <c r="R104" s="326">
        <f t="shared" si="107"/>
        <v>0</v>
      </c>
      <c r="S104" s="326">
        <f t="shared" si="107"/>
        <v>0</v>
      </c>
      <c r="T104" s="326">
        <f t="shared" si="107"/>
        <v>0</v>
      </c>
      <c r="U104" s="326">
        <f t="shared" si="107"/>
        <v>0</v>
      </c>
      <c r="V104" s="326">
        <f t="shared" si="107"/>
        <v>0</v>
      </c>
      <c r="W104" s="326"/>
      <c r="X104" s="326">
        <f t="shared" si="107"/>
        <v>0</v>
      </c>
      <c r="Y104" s="326">
        <f t="shared" si="107"/>
        <v>0</v>
      </c>
      <c r="Z104" s="326">
        <f t="shared" si="107"/>
        <v>0</v>
      </c>
      <c r="AA104" s="326">
        <f t="shared" si="107"/>
        <v>0</v>
      </c>
      <c r="AB104" s="326">
        <f t="shared" si="107"/>
        <v>0</v>
      </c>
      <c r="AC104" s="326">
        <f t="shared" si="107"/>
        <v>0</v>
      </c>
      <c r="AD104" s="326">
        <f t="shared" si="107"/>
        <v>0</v>
      </c>
      <c r="AE104" s="326">
        <f t="shared" si="107"/>
        <v>0</v>
      </c>
      <c r="AF104" s="326">
        <f t="shared" si="107"/>
        <v>0</v>
      </c>
      <c r="AG104" s="326">
        <f t="shared" si="107"/>
        <v>0</v>
      </c>
      <c r="AH104" s="326">
        <f t="shared" si="107"/>
        <v>0</v>
      </c>
      <c r="AI104" s="326">
        <f t="shared" si="107"/>
        <v>0</v>
      </c>
      <c r="AJ104" s="326">
        <f t="shared" si="107"/>
        <v>0</v>
      </c>
      <c r="AK104" s="326">
        <f t="shared" si="107"/>
        <v>0</v>
      </c>
      <c r="AL104" s="326">
        <f t="shared" si="107"/>
        <v>0</v>
      </c>
      <c r="AM104" s="326">
        <f t="shared" si="107"/>
        <v>0</v>
      </c>
      <c r="AN104" s="326">
        <f t="shared" si="107"/>
        <v>0</v>
      </c>
      <c r="AO104" s="326">
        <f t="shared" si="107"/>
        <v>0</v>
      </c>
      <c r="AP104" s="326">
        <f t="shared" si="107"/>
        <v>0</v>
      </c>
      <c r="AQ104" s="326">
        <f t="shared" si="107"/>
        <v>0</v>
      </c>
      <c r="AR104" s="326">
        <f t="shared" si="107"/>
        <v>0</v>
      </c>
      <c r="AS104" s="326">
        <f t="shared" si="107"/>
        <v>0</v>
      </c>
      <c r="AT104" s="326">
        <f t="shared" si="107"/>
        <v>0</v>
      </c>
      <c r="AU104" s="326">
        <f t="shared" si="107"/>
        <v>0</v>
      </c>
      <c r="AV104" s="326">
        <f t="shared" si="107"/>
        <v>0</v>
      </c>
      <c r="AW104" s="326">
        <f t="shared" si="107"/>
        <v>0</v>
      </c>
      <c r="AX104" s="326">
        <f t="shared" si="107"/>
        <v>0</v>
      </c>
      <c r="AY104" s="326">
        <f t="shared" si="107"/>
        <v>0</v>
      </c>
      <c r="AZ104" s="326">
        <f t="shared" si="107"/>
        <v>0</v>
      </c>
      <c r="BA104" s="326">
        <f t="shared" si="107"/>
        <v>0</v>
      </c>
      <c r="BB104" s="326">
        <f t="shared" si="107"/>
        <v>0</v>
      </c>
      <c r="BC104" s="326">
        <f t="shared" si="107"/>
        <v>0</v>
      </c>
      <c r="BD104" s="326">
        <f t="shared" si="107"/>
        <v>0</v>
      </c>
      <c r="BE104" s="326">
        <f t="shared" si="107"/>
        <v>0</v>
      </c>
      <c r="BF104" s="326">
        <f t="shared" si="107"/>
        <v>0</v>
      </c>
      <c r="BG104" s="326">
        <f t="shared" si="107"/>
        <v>0</v>
      </c>
      <c r="BH104" s="326">
        <f t="shared" si="107"/>
        <v>0</v>
      </c>
      <c r="BI104" s="326">
        <f t="shared" si="107"/>
        <v>0</v>
      </c>
      <c r="BJ104" s="326">
        <f t="shared" si="107"/>
        <v>0</v>
      </c>
      <c r="BK104" s="326">
        <f t="shared" si="107"/>
        <v>0</v>
      </c>
      <c r="BL104" s="326">
        <f t="shared" si="107"/>
        <v>0</v>
      </c>
      <c r="BM104" s="326">
        <f t="shared" si="107"/>
        <v>0</v>
      </c>
      <c r="BN104" s="326">
        <f t="shared" si="107"/>
        <v>0</v>
      </c>
      <c r="BO104" s="326">
        <f t="shared" si="107"/>
        <v>0</v>
      </c>
      <c r="BP104" s="326">
        <f t="shared" si="107"/>
        <v>0</v>
      </c>
      <c r="BQ104" s="326">
        <f t="shared" si="107"/>
        <v>0</v>
      </c>
      <c r="BR104" s="326">
        <f t="shared" si="107"/>
        <v>0</v>
      </c>
      <c r="BS104" s="326">
        <f t="shared" si="107"/>
        <v>0</v>
      </c>
      <c r="BT104" s="326">
        <f t="shared" ref="BT104:CJ104" si="108">$E104*BT103</f>
        <v>0</v>
      </c>
      <c r="BU104" s="326">
        <f t="shared" si="108"/>
        <v>0</v>
      </c>
      <c r="BV104" s="326">
        <f t="shared" si="108"/>
        <v>0</v>
      </c>
      <c r="BW104" s="326">
        <f t="shared" si="108"/>
        <v>0</v>
      </c>
      <c r="BX104" s="326">
        <f t="shared" si="108"/>
        <v>0</v>
      </c>
      <c r="BY104" s="326">
        <f t="shared" si="108"/>
        <v>0</v>
      </c>
      <c r="BZ104" s="326">
        <f t="shared" si="108"/>
        <v>0</v>
      </c>
      <c r="CA104" s="326">
        <f t="shared" si="108"/>
        <v>0</v>
      </c>
      <c r="CB104" s="326">
        <f t="shared" si="108"/>
        <v>0</v>
      </c>
      <c r="CC104" s="326">
        <f t="shared" si="108"/>
        <v>0</v>
      </c>
      <c r="CD104" s="326">
        <f t="shared" si="108"/>
        <v>0</v>
      </c>
      <c r="CE104" s="326">
        <f t="shared" si="108"/>
        <v>0</v>
      </c>
      <c r="CF104" s="326">
        <f t="shared" si="108"/>
        <v>0</v>
      </c>
      <c r="CG104" s="326">
        <f t="shared" si="108"/>
        <v>0</v>
      </c>
      <c r="CH104" s="326">
        <f t="shared" si="108"/>
        <v>0</v>
      </c>
      <c r="CI104" s="326">
        <f t="shared" si="108"/>
        <v>0</v>
      </c>
      <c r="CJ104" s="326">
        <f t="shared" si="108"/>
        <v>0</v>
      </c>
      <c r="CK104" s="510" t="s">
        <v>623</v>
      </c>
    </row>
    <row r="105" spans="2:89" s="321" customFormat="1" ht="15.75">
      <c r="B105" s="303"/>
      <c r="C105" s="304" t="s">
        <v>343</v>
      </c>
      <c r="D105" s="305" t="s">
        <v>31</v>
      </c>
      <c r="E105" s="306">
        <f>+QĐGB!I62/10^6</f>
        <v>42.180459305750986</v>
      </c>
      <c r="F105" s="361">
        <v>12</v>
      </c>
      <c r="G105" s="328"/>
      <c r="H105" s="329">
        <f t="shared" ref="H105:BS105" si="109">IF(H104&gt;0,$E105,0)</f>
        <v>0</v>
      </c>
      <c r="I105" s="329">
        <f t="shared" si="109"/>
        <v>0</v>
      </c>
      <c r="J105" s="329">
        <f t="shared" si="109"/>
        <v>0</v>
      </c>
      <c r="K105" s="329">
        <f t="shared" si="109"/>
        <v>0</v>
      </c>
      <c r="L105" s="329">
        <f t="shared" si="109"/>
        <v>0</v>
      </c>
      <c r="M105" s="329">
        <f t="shared" si="109"/>
        <v>0</v>
      </c>
      <c r="N105" s="329">
        <f t="shared" si="109"/>
        <v>0</v>
      </c>
      <c r="O105" s="329">
        <f t="shared" si="109"/>
        <v>0</v>
      </c>
      <c r="P105" s="329">
        <f t="shared" si="109"/>
        <v>0</v>
      </c>
      <c r="Q105" s="329">
        <f t="shared" si="109"/>
        <v>0</v>
      </c>
      <c r="R105" s="329">
        <f t="shared" si="109"/>
        <v>0</v>
      </c>
      <c r="S105" s="329">
        <f t="shared" si="109"/>
        <v>0</v>
      </c>
      <c r="T105" s="329">
        <f t="shared" si="109"/>
        <v>0</v>
      </c>
      <c r="U105" s="329">
        <f t="shared" si="109"/>
        <v>0</v>
      </c>
      <c r="V105" s="329">
        <f t="shared" si="109"/>
        <v>0</v>
      </c>
      <c r="W105" s="329">
        <f t="shared" si="109"/>
        <v>0</v>
      </c>
      <c r="X105" s="329">
        <f t="shared" si="109"/>
        <v>0</v>
      </c>
      <c r="Y105" s="329">
        <f t="shared" si="109"/>
        <v>0</v>
      </c>
      <c r="Z105" s="329">
        <f t="shared" si="109"/>
        <v>0</v>
      </c>
      <c r="AA105" s="329">
        <f t="shared" si="109"/>
        <v>0</v>
      </c>
      <c r="AB105" s="329">
        <f t="shared" si="109"/>
        <v>0</v>
      </c>
      <c r="AC105" s="329">
        <f t="shared" si="109"/>
        <v>0</v>
      </c>
      <c r="AD105" s="329">
        <f t="shared" si="109"/>
        <v>0</v>
      </c>
      <c r="AE105" s="329">
        <f t="shared" si="109"/>
        <v>0</v>
      </c>
      <c r="AF105" s="329">
        <f t="shared" si="109"/>
        <v>0</v>
      </c>
      <c r="AG105" s="329">
        <f t="shared" si="109"/>
        <v>0</v>
      </c>
      <c r="AH105" s="329">
        <f t="shared" si="109"/>
        <v>0</v>
      </c>
      <c r="AI105" s="329">
        <f t="shared" si="109"/>
        <v>0</v>
      </c>
      <c r="AJ105" s="329">
        <f t="shared" si="109"/>
        <v>0</v>
      </c>
      <c r="AK105" s="329">
        <f t="shared" si="109"/>
        <v>0</v>
      </c>
      <c r="AL105" s="329">
        <f t="shared" si="109"/>
        <v>0</v>
      </c>
      <c r="AM105" s="329">
        <f t="shared" si="109"/>
        <v>0</v>
      </c>
      <c r="AN105" s="329">
        <f t="shared" si="109"/>
        <v>0</v>
      </c>
      <c r="AO105" s="329">
        <f t="shared" si="109"/>
        <v>0</v>
      </c>
      <c r="AP105" s="329">
        <f t="shared" si="109"/>
        <v>0</v>
      </c>
      <c r="AQ105" s="329">
        <f t="shared" si="109"/>
        <v>0</v>
      </c>
      <c r="AR105" s="329">
        <f t="shared" si="109"/>
        <v>0</v>
      </c>
      <c r="AS105" s="329">
        <f t="shared" si="109"/>
        <v>0</v>
      </c>
      <c r="AT105" s="329">
        <f t="shared" si="109"/>
        <v>0</v>
      </c>
      <c r="AU105" s="329">
        <f t="shared" si="109"/>
        <v>0</v>
      </c>
      <c r="AV105" s="329">
        <f t="shared" si="109"/>
        <v>0</v>
      </c>
      <c r="AW105" s="329">
        <f t="shared" si="109"/>
        <v>0</v>
      </c>
      <c r="AX105" s="329">
        <f t="shared" si="109"/>
        <v>0</v>
      </c>
      <c r="AY105" s="329">
        <f t="shared" si="109"/>
        <v>0</v>
      </c>
      <c r="AZ105" s="329">
        <f t="shared" si="109"/>
        <v>0</v>
      </c>
      <c r="BA105" s="329">
        <f t="shared" si="109"/>
        <v>0</v>
      </c>
      <c r="BB105" s="329">
        <f t="shared" si="109"/>
        <v>0</v>
      </c>
      <c r="BC105" s="329">
        <f t="shared" si="109"/>
        <v>0</v>
      </c>
      <c r="BD105" s="329">
        <f t="shared" si="109"/>
        <v>0</v>
      </c>
      <c r="BE105" s="329">
        <f t="shared" si="109"/>
        <v>0</v>
      </c>
      <c r="BF105" s="329">
        <f t="shared" si="109"/>
        <v>0</v>
      </c>
      <c r="BG105" s="329">
        <f t="shared" si="109"/>
        <v>0</v>
      </c>
      <c r="BH105" s="329">
        <f t="shared" si="109"/>
        <v>0</v>
      </c>
      <c r="BI105" s="329">
        <f t="shared" si="109"/>
        <v>0</v>
      </c>
      <c r="BJ105" s="329">
        <f t="shared" si="109"/>
        <v>0</v>
      </c>
      <c r="BK105" s="329">
        <f t="shared" si="109"/>
        <v>0</v>
      </c>
      <c r="BL105" s="329">
        <f t="shared" si="109"/>
        <v>0</v>
      </c>
      <c r="BM105" s="329">
        <f t="shared" si="109"/>
        <v>0</v>
      </c>
      <c r="BN105" s="329">
        <f t="shared" si="109"/>
        <v>0</v>
      </c>
      <c r="BO105" s="329">
        <f t="shared" si="109"/>
        <v>0</v>
      </c>
      <c r="BP105" s="329">
        <f t="shared" si="109"/>
        <v>0</v>
      </c>
      <c r="BQ105" s="329">
        <f t="shared" si="109"/>
        <v>0</v>
      </c>
      <c r="BR105" s="329">
        <f t="shared" si="109"/>
        <v>0</v>
      </c>
      <c r="BS105" s="329">
        <f t="shared" si="109"/>
        <v>0</v>
      </c>
      <c r="BT105" s="329">
        <f t="shared" ref="BT105:CJ105" si="110">IF(BT104&gt;0,$E105,0)</f>
        <v>0</v>
      </c>
      <c r="BU105" s="329">
        <f t="shared" si="110"/>
        <v>0</v>
      </c>
      <c r="BV105" s="329">
        <f t="shared" si="110"/>
        <v>0</v>
      </c>
      <c r="BW105" s="329">
        <f t="shared" si="110"/>
        <v>0</v>
      </c>
      <c r="BX105" s="329">
        <f t="shared" si="110"/>
        <v>0</v>
      </c>
      <c r="BY105" s="329">
        <f t="shared" si="110"/>
        <v>0</v>
      </c>
      <c r="BZ105" s="329">
        <f t="shared" si="110"/>
        <v>0</v>
      </c>
      <c r="CA105" s="329">
        <f t="shared" si="110"/>
        <v>0</v>
      </c>
      <c r="CB105" s="329">
        <f t="shared" si="110"/>
        <v>0</v>
      </c>
      <c r="CC105" s="329">
        <f t="shared" si="110"/>
        <v>0</v>
      </c>
      <c r="CD105" s="329">
        <f t="shared" si="110"/>
        <v>0</v>
      </c>
      <c r="CE105" s="329">
        <f t="shared" si="110"/>
        <v>0</v>
      </c>
      <c r="CF105" s="329">
        <f t="shared" si="110"/>
        <v>0</v>
      </c>
      <c r="CG105" s="329">
        <f t="shared" si="110"/>
        <v>0</v>
      </c>
      <c r="CH105" s="329">
        <f t="shared" si="110"/>
        <v>0</v>
      </c>
      <c r="CI105" s="329">
        <f t="shared" si="110"/>
        <v>0</v>
      </c>
      <c r="CJ105" s="329">
        <f t="shared" si="110"/>
        <v>0</v>
      </c>
      <c r="CK105" s="510" t="s">
        <v>623</v>
      </c>
    </row>
    <row r="106" spans="2:89" s="321" customFormat="1" ht="15.75">
      <c r="B106" s="307"/>
      <c r="C106" s="300" t="s">
        <v>32</v>
      </c>
      <c r="D106" s="308" t="s">
        <v>33</v>
      </c>
      <c r="E106" s="309">
        <f>G106</f>
        <v>0</v>
      </c>
      <c r="F106" s="362">
        <v>2548590.7303800923</v>
      </c>
      <c r="G106" s="331">
        <f>SUM(H106:DL106)</f>
        <v>0</v>
      </c>
      <c r="H106" s="332">
        <f t="shared" ref="H106:S106" si="111">H105*H104</f>
        <v>0</v>
      </c>
      <c r="I106" s="332">
        <f t="shared" si="111"/>
        <v>0</v>
      </c>
      <c r="J106" s="332">
        <f t="shared" si="111"/>
        <v>0</v>
      </c>
      <c r="K106" s="332">
        <f t="shared" si="111"/>
        <v>0</v>
      </c>
      <c r="L106" s="332">
        <f t="shared" si="111"/>
        <v>0</v>
      </c>
      <c r="M106" s="332">
        <f t="shared" si="111"/>
        <v>0</v>
      </c>
      <c r="N106" s="332">
        <f t="shared" si="111"/>
        <v>0</v>
      </c>
      <c r="O106" s="332">
        <f t="shared" si="111"/>
        <v>0</v>
      </c>
      <c r="P106" s="332">
        <f t="shared" si="111"/>
        <v>0</v>
      </c>
      <c r="Q106" s="332">
        <f t="shared" si="111"/>
        <v>0</v>
      </c>
      <c r="R106" s="332">
        <f t="shared" si="111"/>
        <v>0</v>
      </c>
      <c r="S106" s="332">
        <f t="shared" si="111"/>
        <v>0</v>
      </c>
      <c r="T106" s="332">
        <f>T105*T104</f>
        <v>0</v>
      </c>
      <c r="U106" s="332">
        <f t="shared" ref="U106:CF106" si="112">U105*U104</f>
        <v>0</v>
      </c>
      <c r="V106" s="332">
        <f t="shared" si="112"/>
        <v>0</v>
      </c>
      <c r="W106" s="332">
        <f t="shared" si="112"/>
        <v>0</v>
      </c>
      <c r="X106" s="332">
        <f t="shared" si="112"/>
        <v>0</v>
      </c>
      <c r="Y106" s="332">
        <f t="shared" si="112"/>
        <v>0</v>
      </c>
      <c r="Z106" s="332">
        <f t="shared" si="112"/>
        <v>0</v>
      </c>
      <c r="AA106" s="332">
        <f t="shared" si="112"/>
        <v>0</v>
      </c>
      <c r="AB106" s="332">
        <f t="shared" si="112"/>
        <v>0</v>
      </c>
      <c r="AC106" s="332">
        <f t="shared" si="112"/>
        <v>0</v>
      </c>
      <c r="AD106" s="332">
        <f t="shared" si="112"/>
        <v>0</v>
      </c>
      <c r="AE106" s="332">
        <f t="shared" si="112"/>
        <v>0</v>
      </c>
      <c r="AF106" s="332">
        <f t="shared" si="112"/>
        <v>0</v>
      </c>
      <c r="AG106" s="332">
        <f t="shared" si="112"/>
        <v>0</v>
      </c>
      <c r="AH106" s="332">
        <f t="shared" si="112"/>
        <v>0</v>
      </c>
      <c r="AI106" s="332">
        <f t="shared" si="112"/>
        <v>0</v>
      </c>
      <c r="AJ106" s="332">
        <f t="shared" si="112"/>
        <v>0</v>
      </c>
      <c r="AK106" s="332">
        <f t="shared" si="112"/>
        <v>0</v>
      </c>
      <c r="AL106" s="332">
        <f t="shared" si="112"/>
        <v>0</v>
      </c>
      <c r="AM106" s="332">
        <f t="shared" si="112"/>
        <v>0</v>
      </c>
      <c r="AN106" s="332">
        <f t="shared" si="112"/>
        <v>0</v>
      </c>
      <c r="AO106" s="332">
        <f t="shared" si="112"/>
        <v>0</v>
      </c>
      <c r="AP106" s="332">
        <f t="shared" si="112"/>
        <v>0</v>
      </c>
      <c r="AQ106" s="332">
        <f t="shared" si="112"/>
        <v>0</v>
      </c>
      <c r="AR106" s="332">
        <f t="shared" si="112"/>
        <v>0</v>
      </c>
      <c r="AS106" s="332">
        <f t="shared" si="112"/>
        <v>0</v>
      </c>
      <c r="AT106" s="332">
        <f t="shared" si="112"/>
        <v>0</v>
      </c>
      <c r="AU106" s="332">
        <f t="shared" si="112"/>
        <v>0</v>
      </c>
      <c r="AV106" s="332">
        <f t="shared" si="112"/>
        <v>0</v>
      </c>
      <c r="AW106" s="332">
        <f t="shared" si="112"/>
        <v>0</v>
      </c>
      <c r="AX106" s="332">
        <f t="shared" si="112"/>
        <v>0</v>
      </c>
      <c r="AY106" s="332">
        <f t="shared" si="112"/>
        <v>0</v>
      </c>
      <c r="AZ106" s="332">
        <f t="shared" si="112"/>
        <v>0</v>
      </c>
      <c r="BA106" s="332">
        <f t="shared" si="112"/>
        <v>0</v>
      </c>
      <c r="BB106" s="332">
        <f t="shared" si="112"/>
        <v>0</v>
      </c>
      <c r="BC106" s="332">
        <f t="shared" si="112"/>
        <v>0</v>
      </c>
      <c r="BD106" s="332">
        <f t="shared" si="112"/>
        <v>0</v>
      </c>
      <c r="BE106" s="332">
        <f t="shared" si="112"/>
        <v>0</v>
      </c>
      <c r="BF106" s="332">
        <f t="shared" si="112"/>
        <v>0</v>
      </c>
      <c r="BG106" s="332">
        <f t="shared" si="112"/>
        <v>0</v>
      </c>
      <c r="BH106" s="332">
        <f t="shared" si="112"/>
        <v>0</v>
      </c>
      <c r="BI106" s="332">
        <f t="shared" si="112"/>
        <v>0</v>
      </c>
      <c r="BJ106" s="332">
        <f t="shared" si="112"/>
        <v>0</v>
      </c>
      <c r="BK106" s="332">
        <f t="shared" si="112"/>
        <v>0</v>
      </c>
      <c r="BL106" s="332">
        <f t="shared" si="112"/>
        <v>0</v>
      </c>
      <c r="BM106" s="332">
        <f t="shared" si="112"/>
        <v>0</v>
      </c>
      <c r="BN106" s="332">
        <f t="shared" si="112"/>
        <v>0</v>
      </c>
      <c r="BO106" s="332">
        <f t="shared" si="112"/>
        <v>0</v>
      </c>
      <c r="BP106" s="332">
        <f t="shared" si="112"/>
        <v>0</v>
      </c>
      <c r="BQ106" s="332">
        <f t="shared" si="112"/>
        <v>0</v>
      </c>
      <c r="BR106" s="332">
        <f t="shared" si="112"/>
        <v>0</v>
      </c>
      <c r="BS106" s="332">
        <f t="shared" si="112"/>
        <v>0</v>
      </c>
      <c r="BT106" s="332">
        <f t="shared" si="112"/>
        <v>0</v>
      </c>
      <c r="BU106" s="332">
        <f t="shared" si="112"/>
        <v>0</v>
      </c>
      <c r="BV106" s="332">
        <f t="shared" si="112"/>
        <v>0</v>
      </c>
      <c r="BW106" s="332">
        <f t="shared" si="112"/>
        <v>0</v>
      </c>
      <c r="BX106" s="332">
        <f t="shared" si="112"/>
        <v>0</v>
      </c>
      <c r="BY106" s="332">
        <f t="shared" si="112"/>
        <v>0</v>
      </c>
      <c r="BZ106" s="332">
        <f t="shared" si="112"/>
        <v>0</v>
      </c>
      <c r="CA106" s="332">
        <f t="shared" si="112"/>
        <v>0</v>
      </c>
      <c r="CB106" s="332">
        <f t="shared" si="112"/>
        <v>0</v>
      </c>
      <c r="CC106" s="332">
        <f t="shared" si="112"/>
        <v>0</v>
      </c>
      <c r="CD106" s="332">
        <f t="shared" si="112"/>
        <v>0</v>
      </c>
      <c r="CE106" s="332">
        <f t="shared" si="112"/>
        <v>0</v>
      </c>
      <c r="CF106" s="332">
        <f t="shared" si="112"/>
        <v>0</v>
      </c>
      <c r="CG106" s="332">
        <f t="shared" ref="CG106:CJ106" si="113">CG105*CG104</f>
        <v>0</v>
      </c>
      <c r="CH106" s="332">
        <f t="shared" si="113"/>
        <v>0</v>
      </c>
      <c r="CI106" s="332">
        <f t="shared" si="113"/>
        <v>0</v>
      </c>
      <c r="CJ106" s="332">
        <f t="shared" si="113"/>
        <v>0</v>
      </c>
      <c r="CK106" s="510" t="s">
        <v>623</v>
      </c>
    </row>
    <row r="107" spans="2:89" s="321" customFormat="1" ht="15.75">
      <c r="B107" s="343"/>
      <c r="C107" s="310" t="s">
        <v>35</v>
      </c>
      <c r="D107" s="311" t="s">
        <v>33</v>
      </c>
      <c r="E107" s="312"/>
      <c r="F107" s="363"/>
      <c r="G107" s="331">
        <f>SUM(H107:DL107)</f>
        <v>0</v>
      </c>
      <c r="H107" s="1363">
        <v>0</v>
      </c>
      <c r="I107" s="335">
        <f>SUM($H$125:H125)*I106+SUM($H$106:I106)*I125</f>
        <v>0</v>
      </c>
      <c r="J107" s="335">
        <f>SUM($H$125:I125)*J106+SUM($H$106:J106)*J125</f>
        <v>0</v>
      </c>
      <c r="K107" s="335">
        <f>SUM($H$125:J125)*K106+SUM($H$106:K106)*K125</f>
        <v>0</v>
      </c>
      <c r="L107" s="335">
        <f>SUM($H$125:K125)*L106+SUM($H$106:L106)*L125</f>
        <v>0</v>
      </c>
      <c r="M107" s="335">
        <f>SUM($H$125:L125)*M106+SUM($H$106:M106)*M125</f>
        <v>0</v>
      </c>
      <c r="N107" s="335">
        <f>SUM($H$125:M125)*N106+SUM($H$106:N106)*N125</f>
        <v>0</v>
      </c>
      <c r="O107" s="335">
        <f>SUM($H$125:N125)*O106+SUM($H$106:O106)*O125</f>
        <v>0</v>
      </c>
      <c r="P107" s="335">
        <f>SUM($H$125:O125)*P106+SUM($H$106:P106)*P125</f>
        <v>0</v>
      </c>
      <c r="Q107" s="335">
        <f>SUM($H$125:P125)*Q106+SUM($H$106:Q106)*Q125</f>
        <v>0</v>
      </c>
      <c r="R107" s="335">
        <f>SUM($H$125:Q125)*R106+SUM($H$106:R106)*R125</f>
        <v>0</v>
      </c>
      <c r="S107" s="335">
        <f>SUM($H$125:R125)*S106+SUM($H$106:S106)*S125</f>
        <v>0</v>
      </c>
      <c r="T107" s="335">
        <f>SUM($H$125:S125)*T106+SUM($H$106:T106)*T125</f>
        <v>0</v>
      </c>
      <c r="U107" s="335">
        <f>SUM($H$125:T125)*U106+SUM($H$106:U106)*U125</f>
        <v>0</v>
      </c>
      <c r="V107" s="335">
        <f>SUM($H$125:U125)*V106+SUM($H$106:V106)*V125</f>
        <v>0</v>
      </c>
      <c r="W107" s="335">
        <f>SUM($H$125:V125)*W106+SUM($H$106:W106)*W125</f>
        <v>0</v>
      </c>
      <c r="X107" s="335">
        <f>SUM($H$125:W125)*X106+SUM($H$106:X106)*X125</f>
        <v>0</v>
      </c>
      <c r="Y107" s="335">
        <f>SUM($H$125:X125)*Y106+SUM($H$106:Y106)*Y125</f>
        <v>0</v>
      </c>
      <c r="Z107" s="335">
        <f>SUM($H$125:Y125)*Z106+SUM($H$106:Z106)*Z125</f>
        <v>0</v>
      </c>
      <c r="AA107" s="335">
        <f>SUM($H$125:Z125)*AA106+SUM($H$106:AA106)*AA125</f>
        <v>0</v>
      </c>
      <c r="AB107" s="335">
        <f>SUM($H$125:AA125)*AB106+SUM($H$106:AB106)*AB125</f>
        <v>0</v>
      </c>
      <c r="AC107" s="335">
        <f>SUM($H$125:AB125)*AC106+SUM($H$106:AC106)*AC125</f>
        <v>0</v>
      </c>
      <c r="AD107" s="335">
        <f>SUM($H$125:AC125)*AD106+SUM($H$106:AD106)*AD125</f>
        <v>0</v>
      </c>
      <c r="AE107" s="335">
        <f>SUM($H$125:AD125)*AE106+SUM($H$106:AE106)*AE125</f>
        <v>0</v>
      </c>
      <c r="AF107" s="335">
        <f>SUM($H$125:AE125)*AF106+SUM($H$106:AF106)*AF125</f>
        <v>0</v>
      </c>
      <c r="AG107" s="335">
        <f>SUM($H$125:AF125)*AG106+SUM($H$106:AG106)*AG125</f>
        <v>0</v>
      </c>
      <c r="AH107" s="335">
        <f>SUM($H$125:AG125)*AH106+SUM($H$106:AH106)*AH125</f>
        <v>0</v>
      </c>
      <c r="AI107" s="335">
        <f>SUM($H$125:AH125)*AI106+SUM($H$106:AI106)*AI125</f>
        <v>0</v>
      </c>
      <c r="AJ107" s="335">
        <f>SUM($H$125:AI125)*AJ106+SUM($H$106:AJ106)*AJ125</f>
        <v>0</v>
      </c>
      <c r="AK107" s="335">
        <f>SUM($H$125:AJ125)*AK106+SUM($H$106:AK106)*AK125</f>
        <v>0</v>
      </c>
      <c r="AL107" s="335">
        <f>SUM($H$125:AK125)*AL106+SUM($H$106:AL106)*AL125</f>
        <v>0</v>
      </c>
      <c r="AM107" s="335">
        <f>SUM($H$125:AL125)*AM106+SUM($H$106:AM106)*AM125</f>
        <v>0</v>
      </c>
      <c r="AN107" s="335">
        <f>SUM($H$125:AM125)*AN106+SUM($H$106:AN106)*AN125</f>
        <v>0</v>
      </c>
      <c r="AO107" s="335">
        <f>SUM($H$125:AN125)*AO106+SUM($H$106:AO106)*AO125</f>
        <v>0</v>
      </c>
      <c r="AP107" s="335">
        <f>SUM($H$125:AO125)*AP106+SUM($H$106:AP106)*AP125</f>
        <v>0</v>
      </c>
      <c r="AQ107" s="335">
        <f>SUM($H$125:AP125)*AQ106+SUM($H$106:AQ106)*AQ125</f>
        <v>0</v>
      </c>
      <c r="AR107" s="335">
        <f>SUM($H$125:AQ125)*AR106+SUM($H$106:AR106)*AR125</f>
        <v>0</v>
      </c>
      <c r="AS107" s="335">
        <f>SUM($H$125:AR125)*AS106+SUM($H$106:AS106)*AS125</f>
        <v>0</v>
      </c>
      <c r="AT107" s="335">
        <f>SUM($H$125:AS125)*AT106+SUM($H$106:AT106)*AT125</f>
        <v>0</v>
      </c>
      <c r="AU107" s="335">
        <f>SUM($H$125:AT125)*AU106+SUM($H$106:AU106)*AU125</f>
        <v>0</v>
      </c>
      <c r="AV107" s="335">
        <f>SUM($H$125:AU125)*AV106+SUM($H$106:AV106)*AV125</f>
        <v>0</v>
      </c>
      <c r="AW107" s="335">
        <f>SUM($H$125:AV125)*AW106+SUM($H$106:AW106)*AW125</f>
        <v>0</v>
      </c>
      <c r="AX107" s="335">
        <f>SUM($H$125:AW125)*AX106+SUM($H$106:AX106)*AX125</f>
        <v>0</v>
      </c>
      <c r="AY107" s="335">
        <f>SUM($H$125:AX125)*AY106+SUM($H$106:AY106)*AY125</f>
        <v>0</v>
      </c>
      <c r="AZ107" s="335">
        <f>SUM($H$125:AY125)*AZ106+SUM($H$106:AZ106)*AZ125</f>
        <v>0</v>
      </c>
      <c r="BA107" s="335">
        <f>SUM($H$125:AZ125)*BA106+SUM($H$106:BA106)*BA125</f>
        <v>0</v>
      </c>
      <c r="BB107" s="335">
        <f>SUM($H$125:BA125)*BB106+SUM($H$106:BB106)*BB125</f>
        <v>0</v>
      </c>
      <c r="BC107" s="335">
        <f>SUM($H$125:BB125)*BC106+SUM($H$106:BC106)*BC125</f>
        <v>0</v>
      </c>
      <c r="BD107" s="335">
        <f>SUM($H$125:BC125)*BD106+SUM($H$106:BD106)*BD125</f>
        <v>0</v>
      </c>
      <c r="BE107" s="335">
        <f>SUM($H$125:BD125)*BE106+SUM($H$106:BE106)*BE125</f>
        <v>0</v>
      </c>
      <c r="BF107" s="335">
        <f>SUM($H$125:BE125)*BF106+SUM($H$106:BF106)*BF125</f>
        <v>0</v>
      </c>
      <c r="BG107" s="335">
        <f>SUM($H$125:BF125)*BG106+SUM($H$106:BG106)*BG125</f>
        <v>0</v>
      </c>
      <c r="BH107" s="335">
        <f>SUM($H$125:BG125)*BH106+SUM($H$106:BH106)*BH125</f>
        <v>0</v>
      </c>
      <c r="BI107" s="335">
        <f>SUM($H$125:BH125)*BI106+SUM($H$106:BI106)*BI125</f>
        <v>0</v>
      </c>
      <c r="BJ107" s="335">
        <f>SUM($H$125:BI125)*BJ106+SUM($H$106:BJ106)*BJ125</f>
        <v>0</v>
      </c>
      <c r="BK107" s="335">
        <f>SUM($H$125:BJ125)*BK106+SUM($H$106:BK106)*BK125</f>
        <v>0</v>
      </c>
      <c r="BL107" s="335">
        <f>SUM($H$125:BK125)*BL106+SUM($H$106:BL106)*BL125</f>
        <v>0</v>
      </c>
      <c r="BM107" s="335">
        <f>SUM($H$125:BL125)*BM106+SUM($H$106:BM106)*BM125</f>
        <v>0</v>
      </c>
      <c r="BN107" s="335">
        <f>SUM($H$125:BM125)*BN106+SUM($H$106:BN106)*BN125</f>
        <v>0</v>
      </c>
      <c r="BO107" s="335">
        <f>SUM($H$125:BN125)*BO106+SUM($H$106:BO106)*BO125</f>
        <v>0</v>
      </c>
      <c r="BP107" s="335">
        <f>SUM($H$125:BO125)*BP106+SUM($H$106:BP106)*BP125</f>
        <v>0</v>
      </c>
      <c r="BQ107" s="335">
        <f>SUM($H$125:BP125)*BQ106+SUM($H$106:BQ106)*BQ125</f>
        <v>0</v>
      </c>
      <c r="BR107" s="335">
        <f>SUM($H$125:BQ125)*BR106+SUM($H$106:BR106)*BR125</f>
        <v>0</v>
      </c>
      <c r="BS107" s="335">
        <f>SUM($H$125:BR125)*BS106+SUM($H$106:BS106)*BS125</f>
        <v>0</v>
      </c>
      <c r="BT107" s="335">
        <f>SUM($H$125:BS125)*BT106+SUM($H$106:BT106)*BT125</f>
        <v>0</v>
      </c>
      <c r="BU107" s="335">
        <f>SUM($H$125:BT125)*BU106+SUM($H$106:BU106)*BU125</f>
        <v>0</v>
      </c>
      <c r="BV107" s="335">
        <f>SUM($H$125:BU125)*BV106+SUM($H$106:BV106)*BV125</f>
        <v>0</v>
      </c>
      <c r="BW107" s="335">
        <f>SUM($H$125:BV125)*BW106+SUM($H$106:BW106)*BW125</f>
        <v>0</v>
      </c>
      <c r="BX107" s="335">
        <f>SUM($H$125:BW125)*BX106+SUM($H$106:BX106)*BX125</f>
        <v>0</v>
      </c>
      <c r="BY107" s="335">
        <f>SUM($H$125:BX125)*BY106+SUM($H$106:BY106)*BY125</f>
        <v>0</v>
      </c>
      <c r="BZ107" s="335">
        <f>SUM($H$125:BY125)*BZ106+SUM($H$106:BZ106)*BZ125</f>
        <v>0</v>
      </c>
      <c r="CA107" s="335">
        <f>SUM($H$125:BZ125)*CA106+SUM($H$106:CA106)*CA125</f>
        <v>0</v>
      </c>
      <c r="CB107" s="335">
        <f>SUM($H$125:CA125)*CB106+SUM($H$106:CB106)*CB125</f>
        <v>0</v>
      </c>
      <c r="CC107" s="335">
        <f>SUM($H$125:CB125)*CC106+SUM($H$106:CC106)*CC125</f>
        <v>0</v>
      </c>
      <c r="CD107" s="335">
        <f>SUM($H$125:CC125)*CD106+SUM($H$106:CD106)*CD125</f>
        <v>0</v>
      </c>
      <c r="CE107" s="335">
        <f>SUM($H$125:CD125)*CE106+SUM($H$106:CE106)*CE125</f>
        <v>0</v>
      </c>
      <c r="CF107" s="335">
        <f>SUM($H$125:CE125)*CF106+SUM($H$106:CF106)*CF125</f>
        <v>0</v>
      </c>
      <c r="CG107" s="335">
        <f>SUM($H$125:CF125)*CG106+SUM($H$106:CG106)*CG125</f>
        <v>0</v>
      </c>
      <c r="CH107" s="335">
        <f>SUM($H$125:CG125)*CH106+SUM($H$106:CH106)*CH125</f>
        <v>0</v>
      </c>
      <c r="CI107" s="335">
        <f>SUM($H$125:CH125)*CI106+SUM($H$106:CI106)*CI125</f>
        <v>0</v>
      </c>
      <c r="CJ107" s="335">
        <f>SUM($H$125:CI125)*CJ106+SUM($H$106:CJ106)*CJ125</f>
        <v>0</v>
      </c>
      <c r="CK107" s="510" t="s">
        <v>623</v>
      </c>
    </row>
    <row r="108" spans="2:89" s="321" customFormat="1" ht="15.75">
      <c r="B108" s="1378"/>
      <c r="C108" s="1379"/>
      <c r="D108" s="1367"/>
      <c r="E108" s="1380"/>
      <c r="F108" s="1381"/>
      <c r="G108" s="1382"/>
      <c r="H108" s="1383"/>
      <c r="I108" s="1384"/>
      <c r="J108" s="1384"/>
      <c r="K108" s="1384"/>
      <c r="L108" s="1384"/>
      <c r="M108" s="1384"/>
      <c r="N108" s="1384"/>
      <c r="O108" s="1384"/>
      <c r="P108" s="1384"/>
      <c r="Q108" s="1384"/>
      <c r="R108" s="1385"/>
      <c r="S108" s="1385"/>
      <c r="T108" s="1386"/>
      <c r="U108" s="1384"/>
      <c r="V108" s="1384"/>
      <c r="W108" s="1385"/>
      <c r="X108" s="1386"/>
      <c r="Y108" s="1384"/>
      <c r="Z108" s="1384"/>
      <c r="AA108" s="1384"/>
      <c r="AB108" s="1384"/>
      <c r="AC108" s="1384"/>
      <c r="AD108" s="1384"/>
      <c r="AE108" s="1384"/>
      <c r="AF108" s="1384"/>
      <c r="AG108" s="1384"/>
      <c r="AH108" s="1384"/>
      <c r="AI108" s="1384"/>
      <c r="AJ108" s="1384"/>
      <c r="AK108" s="1384"/>
      <c r="AL108" s="1384"/>
      <c r="AM108" s="1384"/>
      <c r="AN108" s="1384"/>
      <c r="AO108" s="1384"/>
      <c r="AP108" s="1384"/>
      <c r="AQ108" s="1384"/>
      <c r="AR108" s="1384"/>
      <c r="AS108" s="1384"/>
      <c r="AT108" s="1384"/>
      <c r="AU108" s="1384"/>
      <c r="AV108" s="1384"/>
      <c r="AW108" s="1384"/>
      <c r="AX108" s="1384"/>
      <c r="AY108" s="1384"/>
      <c r="AZ108" s="1384"/>
      <c r="BA108" s="1384"/>
      <c r="BB108" s="1384"/>
      <c r="BC108" s="1384"/>
      <c r="BD108" s="1384"/>
      <c r="BE108" s="1384"/>
      <c r="BF108" s="1384"/>
      <c r="BG108" s="1384"/>
      <c r="BH108" s="1384"/>
      <c r="BI108" s="1384"/>
      <c r="BJ108" s="1384"/>
      <c r="BK108" s="1384"/>
      <c r="BL108" s="1384"/>
      <c r="BM108" s="1384"/>
      <c r="BN108" s="1384"/>
      <c r="BO108" s="1384"/>
      <c r="BP108" s="1384"/>
      <c r="BQ108" s="1384"/>
      <c r="BR108" s="1384"/>
      <c r="BS108" s="1384"/>
      <c r="BT108" s="1384"/>
      <c r="BU108" s="1384"/>
      <c r="BV108" s="1384"/>
      <c r="BW108" s="1384"/>
      <c r="BX108" s="1384"/>
      <c r="BY108" s="1384"/>
      <c r="BZ108" s="1384"/>
      <c r="CA108" s="1384"/>
      <c r="CB108" s="1384"/>
      <c r="CC108" s="1384"/>
      <c r="CD108" s="1384"/>
      <c r="CE108" s="1384"/>
      <c r="CF108" s="1384"/>
      <c r="CG108" s="1384"/>
      <c r="CH108" s="1384"/>
      <c r="CI108" s="1384"/>
      <c r="CJ108" s="1384"/>
      <c r="CK108" s="510" t="s">
        <v>623</v>
      </c>
    </row>
    <row r="109" spans="2:89" s="321" customFormat="1" ht="15.75">
      <c r="B109" s="726">
        <v>16</v>
      </c>
      <c r="C109" s="717" t="str">
        <f>+'2.Tien do'!C70</f>
        <v>Nhà trẻ</v>
      </c>
      <c r="D109" s="717"/>
      <c r="E109" s="719"/>
      <c r="F109" s="719"/>
      <c r="G109" s="725"/>
      <c r="H109" s="721"/>
      <c r="I109" s="721"/>
      <c r="J109" s="722"/>
      <c r="K109" s="722"/>
      <c r="L109" s="722"/>
      <c r="M109" s="722"/>
      <c r="N109" s="722"/>
      <c r="O109" s="722"/>
      <c r="P109" s="722"/>
      <c r="Q109" s="722"/>
      <c r="R109" s="723"/>
      <c r="S109" s="723"/>
      <c r="T109" s="724"/>
      <c r="U109" s="722"/>
      <c r="V109" s="722"/>
      <c r="W109" s="723"/>
      <c r="X109" s="724"/>
      <c r="Y109" s="722"/>
      <c r="Z109" s="722"/>
      <c r="AA109" s="722"/>
      <c r="AB109" s="722"/>
      <c r="AC109" s="722"/>
      <c r="AD109" s="722"/>
      <c r="AE109" s="722"/>
      <c r="AF109" s="722"/>
      <c r="AG109" s="722"/>
      <c r="AH109" s="722"/>
      <c r="AI109" s="722"/>
      <c r="AJ109" s="722"/>
      <c r="AK109" s="722"/>
      <c r="AL109" s="722"/>
      <c r="AM109" s="722"/>
      <c r="AN109" s="722"/>
      <c r="AO109" s="722"/>
      <c r="AP109" s="722"/>
      <c r="AQ109" s="722"/>
      <c r="AR109" s="722"/>
      <c r="AS109" s="722"/>
      <c r="AT109" s="722"/>
      <c r="AU109" s="722"/>
      <c r="AV109" s="722"/>
      <c r="AW109" s="722"/>
      <c r="AX109" s="722"/>
      <c r="AY109" s="722"/>
      <c r="AZ109" s="722"/>
      <c r="BA109" s="722"/>
      <c r="BB109" s="722"/>
      <c r="BC109" s="722"/>
      <c r="BD109" s="722"/>
      <c r="BE109" s="722"/>
      <c r="BF109" s="722"/>
      <c r="BG109" s="722"/>
      <c r="BH109" s="722"/>
      <c r="BI109" s="722"/>
      <c r="BJ109" s="722"/>
      <c r="BK109" s="722"/>
      <c r="BL109" s="722"/>
      <c r="BM109" s="722"/>
      <c r="BN109" s="722"/>
      <c r="BO109" s="722"/>
      <c r="BP109" s="722"/>
      <c r="BQ109" s="722"/>
      <c r="BR109" s="722"/>
      <c r="BS109" s="722"/>
      <c r="BT109" s="722"/>
      <c r="BU109" s="722"/>
      <c r="BV109" s="722"/>
      <c r="BW109" s="722"/>
      <c r="BX109" s="722"/>
      <c r="BY109" s="722"/>
      <c r="BZ109" s="722"/>
      <c r="CA109" s="722"/>
      <c r="CB109" s="722"/>
      <c r="CC109" s="722"/>
      <c r="CD109" s="722"/>
      <c r="CE109" s="722"/>
      <c r="CF109" s="722"/>
      <c r="CG109" s="722"/>
      <c r="CH109" s="722"/>
      <c r="CI109" s="722"/>
      <c r="CJ109" s="722"/>
      <c r="CK109" s="510" t="s">
        <v>623</v>
      </c>
    </row>
    <row r="110" spans="2:89" s="324" customFormat="1" ht="15.75" customHeight="1">
      <c r="B110" s="295"/>
      <c r="C110" s="296" t="s">
        <v>137</v>
      </c>
      <c r="D110" s="297"/>
      <c r="E110" s="342">
        <v>0.03</v>
      </c>
      <c r="F110" s="359">
        <v>0.05</v>
      </c>
      <c r="G110" s="322"/>
      <c r="H110" s="323">
        <f>'2.Tien do'!E70</f>
        <v>0</v>
      </c>
      <c r="I110" s="323">
        <f>'2.Tien do'!F70</f>
        <v>0</v>
      </c>
      <c r="J110" s="323">
        <f>'2.Tien do'!G70</f>
        <v>0</v>
      </c>
      <c r="K110" s="323">
        <f>'2.Tien do'!H70</f>
        <v>0</v>
      </c>
      <c r="L110" s="323">
        <f>'2.Tien do'!I70</f>
        <v>0</v>
      </c>
      <c r="M110" s="323">
        <f>'2.Tien do'!J70</f>
        <v>0</v>
      </c>
      <c r="N110" s="323">
        <f>'2.Tien do'!K70</f>
        <v>0</v>
      </c>
      <c r="O110" s="323">
        <f>'2.Tien do'!L70</f>
        <v>0</v>
      </c>
      <c r="P110" s="323">
        <f>'2.Tien do'!M70</f>
        <v>0</v>
      </c>
      <c r="Q110" s="323">
        <f>'2.Tien do'!N70</f>
        <v>0</v>
      </c>
      <c r="R110" s="323">
        <f>'2.Tien do'!O70</f>
        <v>0</v>
      </c>
      <c r="S110" s="323">
        <f>'2.Tien do'!P70</f>
        <v>0</v>
      </c>
      <c r="T110" s="323">
        <f>'2.Tien do'!Q70</f>
        <v>0</v>
      </c>
      <c r="U110" s="323">
        <f>'2.Tien do'!R70</f>
        <v>0</v>
      </c>
      <c r="V110" s="323">
        <f>'2.Tien do'!S70</f>
        <v>0</v>
      </c>
      <c r="W110" s="323">
        <f>'2.Tien do'!T70</f>
        <v>0</v>
      </c>
      <c r="X110" s="323">
        <f>'2.Tien do'!U70</f>
        <v>1</v>
      </c>
      <c r="Y110" s="323">
        <f>'2.Tien do'!V70</f>
        <v>0</v>
      </c>
      <c r="Z110" s="323">
        <f>'2.Tien do'!W70</f>
        <v>0</v>
      </c>
      <c r="AA110" s="323">
        <f>'2.Tien do'!X70</f>
        <v>0</v>
      </c>
      <c r="AB110" s="323">
        <f>'2.Tien do'!Y70</f>
        <v>0</v>
      </c>
      <c r="AC110" s="323">
        <f>'2.Tien do'!Z70</f>
        <v>0</v>
      </c>
      <c r="AD110" s="323">
        <f>'2.Tien do'!AA70</f>
        <v>0</v>
      </c>
      <c r="AE110" s="323">
        <f>'2.Tien do'!AB70</f>
        <v>0</v>
      </c>
      <c r="AF110" s="323">
        <f>'2.Tien do'!AC70</f>
        <v>0</v>
      </c>
      <c r="AG110" s="323">
        <f>'2.Tien do'!AD70</f>
        <v>0</v>
      </c>
      <c r="AH110" s="323">
        <f>'2.Tien do'!AE70</f>
        <v>0</v>
      </c>
      <c r="AI110" s="323">
        <f>'2.Tien do'!AF70</f>
        <v>0</v>
      </c>
      <c r="AJ110" s="323">
        <f>'2.Tien do'!AG70</f>
        <v>0</v>
      </c>
      <c r="AK110" s="323">
        <f>'2.Tien do'!AH70</f>
        <v>0</v>
      </c>
      <c r="AL110" s="323">
        <f>'2.Tien do'!AI70</f>
        <v>0</v>
      </c>
      <c r="AM110" s="323">
        <f>'2.Tien do'!AJ70</f>
        <v>0</v>
      </c>
      <c r="AN110" s="323">
        <f>'2.Tien do'!AK70</f>
        <v>0</v>
      </c>
      <c r="AO110" s="323">
        <f>'2.Tien do'!AL70</f>
        <v>0</v>
      </c>
      <c r="AP110" s="323">
        <f>'2.Tien do'!AM70</f>
        <v>0</v>
      </c>
      <c r="AQ110" s="323">
        <f>'2.Tien do'!AN70</f>
        <v>0</v>
      </c>
      <c r="AR110" s="323">
        <f>'2.Tien do'!AO70</f>
        <v>0</v>
      </c>
      <c r="AS110" s="323">
        <f>'2.Tien do'!AP70</f>
        <v>0</v>
      </c>
      <c r="AT110" s="323">
        <f>'2.Tien do'!AQ70</f>
        <v>0</v>
      </c>
      <c r="AU110" s="323">
        <f>'2.Tien do'!AR70</f>
        <v>0</v>
      </c>
      <c r="AV110" s="323">
        <f>'2.Tien do'!AS70</f>
        <v>0</v>
      </c>
      <c r="AW110" s="323">
        <f>'2.Tien do'!AT70</f>
        <v>0</v>
      </c>
      <c r="AX110" s="323">
        <f>'2.Tien do'!AU70</f>
        <v>0</v>
      </c>
      <c r="AY110" s="323">
        <f>'2.Tien do'!AV70</f>
        <v>0</v>
      </c>
      <c r="AZ110" s="323">
        <f>'2.Tien do'!AW70</f>
        <v>0</v>
      </c>
      <c r="BA110" s="323">
        <f>'2.Tien do'!AX70</f>
        <v>0</v>
      </c>
      <c r="BB110" s="323">
        <f>'2.Tien do'!AY70</f>
        <v>0</v>
      </c>
      <c r="BC110" s="323">
        <f>'2.Tien do'!AZ70</f>
        <v>0</v>
      </c>
      <c r="BD110" s="323">
        <f>'2.Tien do'!BA70</f>
        <v>0</v>
      </c>
      <c r="BE110" s="323">
        <f>'2.Tien do'!BB70</f>
        <v>0</v>
      </c>
      <c r="BF110" s="323">
        <f>'2.Tien do'!BC70</f>
        <v>0</v>
      </c>
      <c r="BG110" s="323">
        <f>'2.Tien do'!BD70</f>
        <v>0</v>
      </c>
      <c r="BH110" s="323">
        <f>'2.Tien do'!BE70</f>
        <v>0</v>
      </c>
      <c r="BI110" s="323">
        <f>'2.Tien do'!BF70</f>
        <v>0</v>
      </c>
      <c r="BJ110" s="323">
        <f>'2.Tien do'!BG70</f>
        <v>0</v>
      </c>
      <c r="BK110" s="323">
        <f>'2.Tien do'!BH70</f>
        <v>0</v>
      </c>
      <c r="BL110" s="323">
        <f>'2.Tien do'!BI70</f>
        <v>0</v>
      </c>
      <c r="BM110" s="323">
        <f>'2.Tien do'!BJ70</f>
        <v>0</v>
      </c>
      <c r="BN110" s="323">
        <f>'2.Tien do'!BK70</f>
        <v>0</v>
      </c>
      <c r="BO110" s="323">
        <f>'2.Tien do'!BL70</f>
        <v>0</v>
      </c>
      <c r="BP110" s="323">
        <f>'2.Tien do'!BM70</f>
        <v>0</v>
      </c>
      <c r="BQ110" s="323">
        <f>'2.Tien do'!BN70</f>
        <v>0</v>
      </c>
      <c r="BR110" s="323">
        <f>'2.Tien do'!BO70</f>
        <v>0</v>
      </c>
      <c r="BS110" s="323">
        <f>'2.Tien do'!BP70</f>
        <v>0</v>
      </c>
      <c r="BT110" s="323">
        <f>'2.Tien do'!BQ70</f>
        <v>0</v>
      </c>
      <c r="BU110" s="323">
        <f>'2.Tien do'!BR70</f>
        <v>0</v>
      </c>
      <c r="BV110" s="323">
        <f>'2.Tien do'!BS70</f>
        <v>0</v>
      </c>
      <c r="BW110" s="323">
        <f>'2.Tien do'!BT70</f>
        <v>0</v>
      </c>
      <c r="BX110" s="323">
        <f>'2.Tien do'!BU70</f>
        <v>0</v>
      </c>
      <c r="BY110" s="323">
        <f>'2.Tien do'!BV70</f>
        <v>0</v>
      </c>
      <c r="BZ110" s="323">
        <f>'2.Tien do'!BW70</f>
        <v>0</v>
      </c>
      <c r="CA110" s="323">
        <f>'2.Tien do'!BX70</f>
        <v>0</v>
      </c>
      <c r="CB110" s="323">
        <f>'2.Tien do'!BY70</f>
        <v>0</v>
      </c>
      <c r="CC110" s="323">
        <f>'2.Tien do'!BZ70</f>
        <v>0</v>
      </c>
      <c r="CD110" s="323">
        <f>'2.Tien do'!CA70</f>
        <v>0</v>
      </c>
      <c r="CE110" s="323">
        <f>'2.Tien do'!CB70</f>
        <v>0</v>
      </c>
      <c r="CF110" s="323">
        <f>'2.Tien do'!CC70</f>
        <v>0</v>
      </c>
      <c r="CG110" s="323">
        <f>'2.Tien do'!CD70</f>
        <v>0</v>
      </c>
      <c r="CH110" s="323">
        <f>'2.Tien do'!CE70</f>
        <v>0</v>
      </c>
      <c r="CI110" s="323">
        <f>'2.Tien do'!CF70</f>
        <v>0</v>
      </c>
      <c r="CJ110" s="323">
        <f>'2.Tien do'!CG70</f>
        <v>0</v>
      </c>
      <c r="CK110" s="510" t="s">
        <v>623</v>
      </c>
    </row>
    <row r="111" spans="2:89" s="327" customFormat="1" ht="15.75">
      <c r="B111" s="295"/>
      <c r="C111" s="300" t="s">
        <v>68</v>
      </c>
      <c r="D111" s="301" t="s">
        <v>3</v>
      </c>
      <c r="E111" s="302">
        <f>+'1. thong tin quy hoach'!J16</f>
        <v>1700</v>
      </c>
      <c r="F111" s="360">
        <v>621</v>
      </c>
      <c r="G111" s="325"/>
      <c r="H111" s="326">
        <f t="shared" ref="H111:AB111" si="114">$E111*H110</f>
        <v>0</v>
      </c>
      <c r="I111" s="326">
        <f t="shared" si="114"/>
        <v>0</v>
      </c>
      <c r="J111" s="326">
        <f t="shared" si="114"/>
        <v>0</v>
      </c>
      <c r="K111" s="326">
        <f t="shared" si="114"/>
        <v>0</v>
      </c>
      <c r="L111" s="326">
        <f t="shared" si="114"/>
        <v>0</v>
      </c>
      <c r="M111" s="326">
        <f t="shared" si="114"/>
        <v>0</v>
      </c>
      <c r="N111" s="326">
        <f t="shared" si="114"/>
        <v>0</v>
      </c>
      <c r="O111" s="326">
        <f t="shared" si="114"/>
        <v>0</v>
      </c>
      <c r="P111" s="326">
        <f t="shared" si="114"/>
        <v>0</v>
      </c>
      <c r="Q111" s="326">
        <f t="shared" si="114"/>
        <v>0</v>
      </c>
      <c r="R111" s="326">
        <f t="shared" si="114"/>
        <v>0</v>
      </c>
      <c r="S111" s="326">
        <f t="shared" si="114"/>
        <v>0</v>
      </c>
      <c r="T111" s="326">
        <f t="shared" si="114"/>
        <v>0</v>
      </c>
      <c r="U111" s="326">
        <f t="shared" si="114"/>
        <v>0</v>
      </c>
      <c r="V111" s="326">
        <f t="shared" si="114"/>
        <v>0</v>
      </c>
      <c r="W111" s="326">
        <f t="shared" si="114"/>
        <v>0</v>
      </c>
      <c r="X111" s="326">
        <f t="shared" si="114"/>
        <v>1700</v>
      </c>
      <c r="Y111" s="326">
        <f t="shared" si="114"/>
        <v>0</v>
      </c>
      <c r="Z111" s="326">
        <f t="shared" si="114"/>
        <v>0</v>
      </c>
      <c r="AA111" s="326">
        <f t="shared" si="114"/>
        <v>0</v>
      </c>
      <c r="AB111" s="326">
        <f t="shared" si="114"/>
        <v>0</v>
      </c>
      <c r="AC111" s="326">
        <f t="shared" ref="AC111:BY111" si="115">$E111*AC110</f>
        <v>0</v>
      </c>
      <c r="AD111" s="326">
        <f t="shared" si="115"/>
        <v>0</v>
      </c>
      <c r="AE111" s="326">
        <f t="shared" si="115"/>
        <v>0</v>
      </c>
      <c r="AF111" s="326">
        <f t="shared" si="115"/>
        <v>0</v>
      </c>
      <c r="AG111" s="326">
        <f t="shared" si="115"/>
        <v>0</v>
      </c>
      <c r="AH111" s="326">
        <f t="shared" si="115"/>
        <v>0</v>
      </c>
      <c r="AI111" s="326">
        <f t="shared" si="115"/>
        <v>0</v>
      </c>
      <c r="AJ111" s="326">
        <f t="shared" si="115"/>
        <v>0</v>
      </c>
      <c r="AK111" s="326">
        <f t="shared" si="115"/>
        <v>0</v>
      </c>
      <c r="AL111" s="326">
        <f t="shared" si="115"/>
        <v>0</v>
      </c>
      <c r="AM111" s="326">
        <f t="shared" si="115"/>
        <v>0</v>
      </c>
      <c r="AN111" s="326">
        <f t="shared" si="115"/>
        <v>0</v>
      </c>
      <c r="AO111" s="326">
        <f t="shared" si="115"/>
        <v>0</v>
      </c>
      <c r="AP111" s="326">
        <f t="shared" si="115"/>
        <v>0</v>
      </c>
      <c r="AQ111" s="326">
        <f t="shared" si="115"/>
        <v>0</v>
      </c>
      <c r="AR111" s="326">
        <f t="shared" si="115"/>
        <v>0</v>
      </c>
      <c r="AS111" s="326">
        <f t="shared" si="115"/>
        <v>0</v>
      </c>
      <c r="AT111" s="326">
        <f t="shared" si="115"/>
        <v>0</v>
      </c>
      <c r="AU111" s="326">
        <f t="shared" si="115"/>
        <v>0</v>
      </c>
      <c r="AV111" s="326">
        <f t="shared" si="115"/>
        <v>0</v>
      </c>
      <c r="AW111" s="326">
        <f t="shared" si="115"/>
        <v>0</v>
      </c>
      <c r="AX111" s="326">
        <f t="shared" si="115"/>
        <v>0</v>
      </c>
      <c r="AY111" s="326">
        <f t="shared" si="115"/>
        <v>0</v>
      </c>
      <c r="AZ111" s="326">
        <f t="shared" si="115"/>
        <v>0</v>
      </c>
      <c r="BA111" s="326">
        <f t="shared" si="115"/>
        <v>0</v>
      </c>
      <c r="BB111" s="326">
        <f t="shared" si="115"/>
        <v>0</v>
      </c>
      <c r="BC111" s="326">
        <f t="shared" si="115"/>
        <v>0</v>
      </c>
      <c r="BD111" s="326">
        <f t="shared" si="115"/>
        <v>0</v>
      </c>
      <c r="BE111" s="326">
        <f t="shared" si="115"/>
        <v>0</v>
      </c>
      <c r="BF111" s="326">
        <f t="shared" si="115"/>
        <v>0</v>
      </c>
      <c r="BG111" s="326">
        <f t="shared" si="115"/>
        <v>0</v>
      </c>
      <c r="BH111" s="326">
        <f t="shared" si="115"/>
        <v>0</v>
      </c>
      <c r="BI111" s="326">
        <f t="shared" si="115"/>
        <v>0</v>
      </c>
      <c r="BJ111" s="326">
        <f t="shared" si="115"/>
        <v>0</v>
      </c>
      <c r="BK111" s="326">
        <f t="shared" si="115"/>
        <v>0</v>
      </c>
      <c r="BL111" s="326">
        <f t="shared" si="115"/>
        <v>0</v>
      </c>
      <c r="BM111" s="326">
        <f t="shared" si="115"/>
        <v>0</v>
      </c>
      <c r="BN111" s="326">
        <f t="shared" si="115"/>
        <v>0</v>
      </c>
      <c r="BO111" s="326">
        <f t="shared" si="115"/>
        <v>0</v>
      </c>
      <c r="BP111" s="326">
        <f t="shared" si="115"/>
        <v>0</v>
      </c>
      <c r="BQ111" s="326">
        <f t="shared" si="115"/>
        <v>0</v>
      </c>
      <c r="BR111" s="326">
        <f t="shared" si="115"/>
        <v>0</v>
      </c>
      <c r="BS111" s="326">
        <f t="shared" si="115"/>
        <v>0</v>
      </c>
      <c r="BT111" s="326">
        <f t="shared" si="115"/>
        <v>0</v>
      </c>
      <c r="BU111" s="326">
        <f t="shared" si="115"/>
        <v>0</v>
      </c>
      <c r="BV111" s="326">
        <f t="shared" si="115"/>
        <v>0</v>
      </c>
      <c r="BW111" s="326">
        <f t="shared" si="115"/>
        <v>0</v>
      </c>
      <c r="BX111" s="326">
        <f t="shared" si="115"/>
        <v>0</v>
      </c>
      <c r="BY111" s="326">
        <f t="shared" si="115"/>
        <v>0</v>
      </c>
      <c r="BZ111" s="326">
        <f t="shared" ref="BZ111:CJ111" si="116">$E111*BZ110</f>
        <v>0</v>
      </c>
      <c r="CA111" s="326">
        <f t="shared" si="116"/>
        <v>0</v>
      </c>
      <c r="CB111" s="326">
        <f t="shared" si="116"/>
        <v>0</v>
      </c>
      <c r="CC111" s="326">
        <f t="shared" si="116"/>
        <v>0</v>
      </c>
      <c r="CD111" s="326">
        <f t="shared" si="116"/>
        <v>0</v>
      </c>
      <c r="CE111" s="326">
        <f t="shared" si="116"/>
        <v>0</v>
      </c>
      <c r="CF111" s="326">
        <f t="shared" si="116"/>
        <v>0</v>
      </c>
      <c r="CG111" s="326">
        <f t="shared" si="116"/>
        <v>0</v>
      </c>
      <c r="CH111" s="326">
        <f t="shared" si="116"/>
        <v>0</v>
      </c>
      <c r="CI111" s="326">
        <f t="shared" si="116"/>
        <v>0</v>
      </c>
      <c r="CJ111" s="326">
        <f t="shared" si="116"/>
        <v>0</v>
      </c>
      <c r="CK111" s="510" t="s">
        <v>623</v>
      </c>
    </row>
    <row r="112" spans="2:89" s="330" customFormat="1" ht="15.75" customHeight="1">
      <c r="B112" s="295"/>
      <c r="C112" s="304" t="s">
        <v>80</v>
      </c>
      <c r="D112" s="305" t="s">
        <v>129</v>
      </c>
      <c r="E112" s="306">
        <f>+QĐGB!H63*(1+'8.ĐO NHAY'!$C$22)-'4.Chi phi hoat dong'!$E$54*('8.ĐO NHAY'!$C$22)</f>
        <v>18.063862911852532</v>
      </c>
      <c r="F112" s="361">
        <v>8</v>
      </c>
      <c r="G112" s="328"/>
      <c r="H112" s="329">
        <f t="shared" ref="H112:BS112" si="117">IF(H111&gt;0,$E112,0)</f>
        <v>0</v>
      </c>
      <c r="I112" s="329">
        <f t="shared" si="117"/>
        <v>0</v>
      </c>
      <c r="J112" s="329">
        <f t="shared" si="117"/>
        <v>0</v>
      </c>
      <c r="K112" s="329">
        <f t="shared" si="117"/>
        <v>0</v>
      </c>
      <c r="L112" s="329">
        <f t="shared" si="117"/>
        <v>0</v>
      </c>
      <c r="M112" s="329">
        <f t="shared" si="117"/>
        <v>0</v>
      </c>
      <c r="N112" s="329">
        <f t="shared" si="117"/>
        <v>0</v>
      </c>
      <c r="O112" s="329">
        <f t="shared" si="117"/>
        <v>0</v>
      </c>
      <c r="P112" s="329">
        <f t="shared" si="117"/>
        <v>0</v>
      </c>
      <c r="Q112" s="329">
        <f t="shared" si="117"/>
        <v>0</v>
      </c>
      <c r="R112" s="329">
        <f t="shared" si="117"/>
        <v>0</v>
      </c>
      <c r="S112" s="329">
        <f t="shared" si="117"/>
        <v>0</v>
      </c>
      <c r="T112" s="329">
        <f t="shared" si="117"/>
        <v>0</v>
      </c>
      <c r="U112" s="329">
        <f t="shared" si="117"/>
        <v>0</v>
      </c>
      <c r="V112" s="329">
        <f t="shared" si="117"/>
        <v>0</v>
      </c>
      <c r="W112" s="329">
        <f t="shared" si="117"/>
        <v>0</v>
      </c>
      <c r="X112" s="329">
        <f t="shared" si="117"/>
        <v>18.063862911852532</v>
      </c>
      <c r="Y112" s="329">
        <f t="shared" si="117"/>
        <v>0</v>
      </c>
      <c r="Z112" s="329">
        <f t="shared" si="117"/>
        <v>0</v>
      </c>
      <c r="AA112" s="329">
        <f t="shared" si="117"/>
        <v>0</v>
      </c>
      <c r="AB112" s="329">
        <f t="shared" si="117"/>
        <v>0</v>
      </c>
      <c r="AC112" s="329">
        <f t="shared" si="117"/>
        <v>0</v>
      </c>
      <c r="AD112" s="329">
        <f t="shared" si="117"/>
        <v>0</v>
      </c>
      <c r="AE112" s="329">
        <f t="shared" si="117"/>
        <v>0</v>
      </c>
      <c r="AF112" s="329">
        <f t="shared" si="117"/>
        <v>0</v>
      </c>
      <c r="AG112" s="329">
        <f t="shared" si="117"/>
        <v>0</v>
      </c>
      <c r="AH112" s="329">
        <f t="shared" si="117"/>
        <v>0</v>
      </c>
      <c r="AI112" s="329">
        <f t="shared" si="117"/>
        <v>0</v>
      </c>
      <c r="AJ112" s="329">
        <f t="shared" si="117"/>
        <v>0</v>
      </c>
      <c r="AK112" s="329">
        <f t="shared" si="117"/>
        <v>0</v>
      </c>
      <c r="AL112" s="329">
        <f t="shared" si="117"/>
        <v>0</v>
      </c>
      <c r="AM112" s="329">
        <f t="shared" si="117"/>
        <v>0</v>
      </c>
      <c r="AN112" s="329">
        <f t="shared" si="117"/>
        <v>0</v>
      </c>
      <c r="AO112" s="329">
        <f t="shared" si="117"/>
        <v>0</v>
      </c>
      <c r="AP112" s="329">
        <f t="shared" si="117"/>
        <v>0</v>
      </c>
      <c r="AQ112" s="329">
        <f t="shared" si="117"/>
        <v>0</v>
      </c>
      <c r="AR112" s="329">
        <f t="shared" si="117"/>
        <v>0</v>
      </c>
      <c r="AS112" s="329">
        <f t="shared" si="117"/>
        <v>0</v>
      </c>
      <c r="AT112" s="329">
        <f t="shared" si="117"/>
        <v>0</v>
      </c>
      <c r="AU112" s="329">
        <f t="shared" si="117"/>
        <v>0</v>
      </c>
      <c r="AV112" s="329">
        <f t="shared" si="117"/>
        <v>0</v>
      </c>
      <c r="AW112" s="329">
        <f t="shared" si="117"/>
        <v>0</v>
      </c>
      <c r="AX112" s="329">
        <f t="shared" si="117"/>
        <v>0</v>
      </c>
      <c r="AY112" s="329">
        <f t="shared" si="117"/>
        <v>0</v>
      </c>
      <c r="AZ112" s="329">
        <f t="shared" si="117"/>
        <v>0</v>
      </c>
      <c r="BA112" s="329">
        <f t="shared" si="117"/>
        <v>0</v>
      </c>
      <c r="BB112" s="329">
        <f t="shared" si="117"/>
        <v>0</v>
      </c>
      <c r="BC112" s="329">
        <f t="shared" si="117"/>
        <v>0</v>
      </c>
      <c r="BD112" s="329">
        <f t="shared" si="117"/>
        <v>0</v>
      </c>
      <c r="BE112" s="329">
        <f t="shared" si="117"/>
        <v>0</v>
      </c>
      <c r="BF112" s="329">
        <f t="shared" si="117"/>
        <v>0</v>
      </c>
      <c r="BG112" s="329">
        <f t="shared" si="117"/>
        <v>0</v>
      </c>
      <c r="BH112" s="329">
        <f t="shared" si="117"/>
        <v>0</v>
      </c>
      <c r="BI112" s="329">
        <f t="shared" si="117"/>
        <v>0</v>
      </c>
      <c r="BJ112" s="329">
        <f t="shared" si="117"/>
        <v>0</v>
      </c>
      <c r="BK112" s="329">
        <f t="shared" si="117"/>
        <v>0</v>
      </c>
      <c r="BL112" s="329">
        <f t="shared" si="117"/>
        <v>0</v>
      </c>
      <c r="BM112" s="329">
        <f t="shared" si="117"/>
        <v>0</v>
      </c>
      <c r="BN112" s="329">
        <f t="shared" si="117"/>
        <v>0</v>
      </c>
      <c r="BO112" s="329">
        <f t="shared" si="117"/>
        <v>0</v>
      </c>
      <c r="BP112" s="329">
        <f t="shared" si="117"/>
        <v>0</v>
      </c>
      <c r="BQ112" s="329">
        <f t="shared" si="117"/>
        <v>0</v>
      </c>
      <c r="BR112" s="329">
        <f t="shared" si="117"/>
        <v>0</v>
      </c>
      <c r="BS112" s="329">
        <f t="shared" si="117"/>
        <v>0</v>
      </c>
      <c r="BT112" s="329">
        <f t="shared" ref="BT112:CJ112" si="118">IF(BT111&gt;0,$E112,0)</f>
        <v>0</v>
      </c>
      <c r="BU112" s="329">
        <f t="shared" si="118"/>
        <v>0</v>
      </c>
      <c r="BV112" s="329">
        <f t="shared" si="118"/>
        <v>0</v>
      </c>
      <c r="BW112" s="329">
        <f t="shared" si="118"/>
        <v>0</v>
      </c>
      <c r="BX112" s="329">
        <f t="shared" si="118"/>
        <v>0</v>
      </c>
      <c r="BY112" s="329">
        <f t="shared" si="118"/>
        <v>0</v>
      </c>
      <c r="BZ112" s="329">
        <f t="shared" si="118"/>
        <v>0</v>
      </c>
      <c r="CA112" s="329">
        <f t="shared" si="118"/>
        <v>0</v>
      </c>
      <c r="CB112" s="329">
        <f t="shared" si="118"/>
        <v>0</v>
      </c>
      <c r="CC112" s="329">
        <f t="shared" si="118"/>
        <v>0</v>
      </c>
      <c r="CD112" s="329">
        <f t="shared" si="118"/>
        <v>0</v>
      </c>
      <c r="CE112" s="329">
        <f t="shared" si="118"/>
        <v>0</v>
      </c>
      <c r="CF112" s="329">
        <f t="shared" si="118"/>
        <v>0</v>
      </c>
      <c r="CG112" s="329">
        <f t="shared" si="118"/>
        <v>0</v>
      </c>
      <c r="CH112" s="329">
        <f t="shared" si="118"/>
        <v>0</v>
      </c>
      <c r="CI112" s="329">
        <f t="shared" si="118"/>
        <v>0</v>
      </c>
      <c r="CJ112" s="329">
        <f t="shared" si="118"/>
        <v>0</v>
      </c>
      <c r="CK112" s="510" t="s">
        <v>623</v>
      </c>
    </row>
    <row r="113" spans="1:89" s="333" customFormat="1" ht="15.75">
      <c r="B113" s="295"/>
      <c r="C113" s="300" t="s">
        <v>32</v>
      </c>
      <c r="D113" s="308" t="s">
        <v>33</v>
      </c>
      <c r="E113" s="309">
        <f>G113</f>
        <v>30708.566950149303</v>
      </c>
      <c r="F113" s="362">
        <v>536681.87303019257</v>
      </c>
      <c r="G113" s="325">
        <f>SUM(H113:XFD113)</f>
        <v>30708.566950149303</v>
      </c>
      <c r="H113" s="332">
        <f t="shared" ref="H113:S113" si="119">H111*H112</f>
        <v>0</v>
      </c>
      <c r="I113" s="332">
        <f t="shared" si="119"/>
        <v>0</v>
      </c>
      <c r="J113" s="332">
        <f t="shared" si="119"/>
        <v>0</v>
      </c>
      <c r="K113" s="332">
        <f t="shared" si="119"/>
        <v>0</v>
      </c>
      <c r="L113" s="332">
        <f t="shared" si="119"/>
        <v>0</v>
      </c>
      <c r="M113" s="332">
        <f t="shared" si="119"/>
        <v>0</v>
      </c>
      <c r="N113" s="332">
        <f t="shared" si="119"/>
        <v>0</v>
      </c>
      <c r="O113" s="332">
        <f t="shared" si="119"/>
        <v>0</v>
      </c>
      <c r="P113" s="332">
        <f t="shared" si="119"/>
        <v>0</v>
      </c>
      <c r="Q113" s="332">
        <f t="shared" si="119"/>
        <v>0</v>
      </c>
      <c r="R113" s="332">
        <f t="shared" si="119"/>
        <v>0</v>
      </c>
      <c r="S113" s="332">
        <f t="shared" si="119"/>
        <v>0</v>
      </c>
      <c r="T113" s="332">
        <f>T111*T112</f>
        <v>0</v>
      </c>
      <c r="U113" s="332">
        <f t="shared" ref="U113:CF113" si="120">U111*U112</f>
        <v>0</v>
      </c>
      <c r="V113" s="332">
        <f t="shared" si="120"/>
        <v>0</v>
      </c>
      <c r="W113" s="332">
        <f t="shared" si="120"/>
        <v>0</v>
      </c>
      <c r="X113" s="332">
        <f t="shared" si="120"/>
        <v>30708.566950149303</v>
      </c>
      <c r="Y113" s="332">
        <f t="shared" si="120"/>
        <v>0</v>
      </c>
      <c r="Z113" s="332">
        <f t="shared" si="120"/>
        <v>0</v>
      </c>
      <c r="AA113" s="332">
        <f t="shared" si="120"/>
        <v>0</v>
      </c>
      <c r="AB113" s="332">
        <f t="shared" si="120"/>
        <v>0</v>
      </c>
      <c r="AC113" s="332">
        <f t="shared" si="120"/>
        <v>0</v>
      </c>
      <c r="AD113" s="332">
        <f t="shared" si="120"/>
        <v>0</v>
      </c>
      <c r="AE113" s="332">
        <f t="shared" si="120"/>
        <v>0</v>
      </c>
      <c r="AF113" s="332">
        <f t="shared" si="120"/>
        <v>0</v>
      </c>
      <c r="AG113" s="332">
        <f t="shared" si="120"/>
        <v>0</v>
      </c>
      <c r="AH113" s="332">
        <f t="shared" si="120"/>
        <v>0</v>
      </c>
      <c r="AI113" s="332">
        <f t="shared" si="120"/>
        <v>0</v>
      </c>
      <c r="AJ113" s="332">
        <f t="shared" si="120"/>
        <v>0</v>
      </c>
      <c r="AK113" s="332">
        <f t="shared" si="120"/>
        <v>0</v>
      </c>
      <c r="AL113" s="332">
        <f t="shared" si="120"/>
        <v>0</v>
      </c>
      <c r="AM113" s="332">
        <f t="shared" si="120"/>
        <v>0</v>
      </c>
      <c r="AN113" s="332">
        <f t="shared" si="120"/>
        <v>0</v>
      </c>
      <c r="AO113" s="332">
        <f t="shared" si="120"/>
        <v>0</v>
      </c>
      <c r="AP113" s="332">
        <f t="shared" si="120"/>
        <v>0</v>
      </c>
      <c r="AQ113" s="332">
        <f t="shared" si="120"/>
        <v>0</v>
      </c>
      <c r="AR113" s="332">
        <f t="shared" si="120"/>
        <v>0</v>
      </c>
      <c r="AS113" s="332">
        <f t="shared" si="120"/>
        <v>0</v>
      </c>
      <c r="AT113" s="332">
        <f t="shared" si="120"/>
        <v>0</v>
      </c>
      <c r="AU113" s="332">
        <f t="shared" si="120"/>
        <v>0</v>
      </c>
      <c r="AV113" s="332">
        <f t="shared" si="120"/>
        <v>0</v>
      </c>
      <c r="AW113" s="332">
        <f t="shared" si="120"/>
        <v>0</v>
      </c>
      <c r="AX113" s="332">
        <f t="shared" si="120"/>
        <v>0</v>
      </c>
      <c r="AY113" s="332">
        <f t="shared" si="120"/>
        <v>0</v>
      </c>
      <c r="AZ113" s="332">
        <f t="shared" si="120"/>
        <v>0</v>
      </c>
      <c r="BA113" s="332">
        <f t="shared" si="120"/>
        <v>0</v>
      </c>
      <c r="BB113" s="332">
        <f t="shared" si="120"/>
        <v>0</v>
      </c>
      <c r="BC113" s="332">
        <f t="shared" si="120"/>
        <v>0</v>
      </c>
      <c r="BD113" s="332">
        <f t="shared" si="120"/>
        <v>0</v>
      </c>
      <c r="BE113" s="332">
        <f t="shared" si="120"/>
        <v>0</v>
      </c>
      <c r="BF113" s="332">
        <f t="shared" si="120"/>
        <v>0</v>
      </c>
      <c r="BG113" s="332">
        <f t="shared" si="120"/>
        <v>0</v>
      </c>
      <c r="BH113" s="332">
        <f t="shared" si="120"/>
        <v>0</v>
      </c>
      <c r="BI113" s="332">
        <f t="shared" si="120"/>
        <v>0</v>
      </c>
      <c r="BJ113" s="332">
        <f t="shared" si="120"/>
        <v>0</v>
      </c>
      <c r="BK113" s="332">
        <f t="shared" si="120"/>
        <v>0</v>
      </c>
      <c r="BL113" s="332">
        <f t="shared" si="120"/>
        <v>0</v>
      </c>
      <c r="BM113" s="332">
        <f t="shared" si="120"/>
        <v>0</v>
      </c>
      <c r="BN113" s="332">
        <f t="shared" si="120"/>
        <v>0</v>
      </c>
      <c r="BO113" s="332">
        <f t="shared" si="120"/>
        <v>0</v>
      </c>
      <c r="BP113" s="332">
        <f t="shared" si="120"/>
        <v>0</v>
      </c>
      <c r="BQ113" s="332">
        <f t="shared" si="120"/>
        <v>0</v>
      </c>
      <c r="BR113" s="332">
        <f t="shared" si="120"/>
        <v>0</v>
      </c>
      <c r="BS113" s="332">
        <f t="shared" si="120"/>
        <v>0</v>
      </c>
      <c r="BT113" s="332">
        <f t="shared" si="120"/>
        <v>0</v>
      </c>
      <c r="BU113" s="332">
        <f t="shared" si="120"/>
        <v>0</v>
      </c>
      <c r="BV113" s="332">
        <f t="shared" si="120"/>
        <v>0</v>
      </c>
      <c r="BW113" s="332">
        <f t="shared" si="120"/>
        <v>0</v>
      </c>
      <c r="BX113" s="332">
        <f t="shared" si="120"/>
        <v>0</v>
      </c>
      <c r="BY113" s="332">
        <f t="shared" si="120"/>
        <v>0</v>
      </c>
      <c r="BZ113" s="332">
        <f t="shared" si="120"/>
        <v>0</v>
      </c>
      <c r="CA113" s="332">
        <f t="shared" si="120"/>
        <v>0</v>
      </c>
      <c r="CB113" s="332">
        <f t="shared" si="120"/>
        <v>0</v>
      </c>
      <c r="CC113" s="332">
        <f t="shared" si="120"/>
        <v>0</v>
      </c>
      <c r="CD113" s="332">
        <f t="shared" si="120"/>
        <v>0</v>
      </c>
      <c r="CE113" s="332">
        <f t="shared" si="120"/>
        <v>0</v>
      </c>
      <c r="CF113" s="332">
        <f t="shared" si="120"/>
        <v>0</v>
      </c>
      <c r="CG113" s="332">
        <f t="shared" ref="CG113:CJ113" si="121">CG111*CG112</f>
        <v>0</v>
      </c>
      <c r="CH113" s="332">
        <f t="shared" si="121"/>
        <v>0</v>
      </c>
      <c r="CI113" s="332">
        <f t="shared" si="121"/>
        <v>0</v>
      </c>
      <c r="CJ113" s="332">
        <f t="shared" si="121"/>
        <v>0</v>
      </c>
      <c r="CK113" s="510" t="s">
        <v>623</v>
      </c>
    </row>
    <row r="114" spans="1:89" s="320" customFormat="1" ht="15" customHeight="1">
      <c r="B114" s="295"/>
      <c r="C114" s="310" t="s">
        <v>35</v>
      </c>
      <c r="D114" s="311" t="s">
        <v>33</v>
      </c>
      <c r="E114" s="312"/>
      <c r="F114" s="363"/>
      <c r="G114" s="334">
        <f>SUM(H114:XFD114)</f>
        <v>30708.566950149303</v>
      </c>
      <c r="H114" s="1363">
        <v>0</v>
      </c>
      <c r="I114" s="335">
        <f>SUM($H$126:H126)*I113+SUM($H$113:I113)*I126</f>
        <v>0</v>
      </c>
      <c r="J114" s="335">
        <f>SUM($H$126:I126)*J113+SUM($H$113:J113)*J126</f>
        <v>0</v>
      </c>
      <c r="K114" s="335">
        <f>SUM($H$126:J126)*K113+SUM($H$113:K113)*K126</f>
        <v>0</v>
      </c>
      <c r="L114" s="335">
        <f>SUM($H$126:K126)*L113+SUM($H$113:L113)*L126</f>
        <v>0</v>
      </c>
      <c r="M114" s="335">
        <f>SUM($H$126:L126)*M113+SUM($H$113:M113)*M126</f>
        <v>0</v>
      </c>
      <c r="N114" s="335">
        <f>SUM($H$126:M126)*N113+SUM($H$113:N113)*N126</f>
        <v>0</v>
      </c>
      <c r="O114" s="335">
        <f>SUM($H$126:N126)*O113+SUM($H$113:O113)*O126</f>
        <v>0</v>
      </c>
      <c r="P114" s="335">
        <f>SUM($H$126:O126)*P113+SUM($H$113:P113)*P126</f>
        <v>0</v>
      </c>
      <c r="Q114" s="335">
        <f>SUM($H$126:P126)*Q113+SUM($H$113:Q113)*Q126</f>
        <v>0</v>
      </c>
      <c r="R114" s="335">
        <f>SUM($H$126:Q126)*R113+SUM($H$113:R113)*R126</f>
        <v>0</v>
      </c>
      <c r="S114" s="335">
        <f>SUM($H$126:R126)*S113+SUM($H$113:S113)*S126</f>
        <v>0</v>
      </c>
      <c r="T114" s="335">
        <f>SUM($H$126:S126)*T113+SUM($H$113:T113)*T126</f>
        <v>0</v>
      </c>
      <c r="U114" s="335">
        <f>SUM($H$126:T126)*U113+SUM($H$113:U113)*U126</f>
        <v>0</v>
      </c>
      <c r="V114" s="335">
        <f>SUM($H$126:U126)*V113+SUM($H$113:V113)*V126</f>
        <v>0</v>
      </c>
      <c r="W114" s="335">
        <f>SUM($H$126:V126)*W113+SUM($H$113:W113)*W126</f>
        <v>0</v>
      </c>
      <c r="X114" s="335">
        <f>SUM($H$126:W126)*X113+SUM($H$113:X113)*X126</f>
        <v>30708.566950149303</v>
      </c>
      <c r="Y114" s="335">
        <f>SUM($H$126:X126)*Y113+SUM($H$113:Y113)*Y126</f>
        <v>0</v>
      </c>
      <c r="Z114" s="335">
        <f>SUM($H$126:Y126)*Z113+SUM($H$113:Z113)*Z126</f>
        <v>0</v>
      </c>
      <c r="AA114" s="335">
        <f>SUM($H$126:Z126)*AA113+SUM($H$113:AA113)*AA126</f>
        <v>0</v>
      </c>
      <c r="AB114" s="335">
        <f>SUM($H$126:AA126)*AB113+SUM($H$113:AB113)*AB126</f>
        <v>0</v>
      </c>
      <c r="AC114" s="335">
        <f>SUM($H$126:AB126)*AC113+SUM($H$113:AC113)*AC126</f>
        <v>0</v>
      </c>
      <c r="AD114" s="335">
        <f>SUM($H$126:AC126)*AD113+SUM($H$113:AD113)*AD126</f>
        <v>0</v>
      </c>
      <c r="AE114" s="335">
        <f>SUM($H$126:AD126)*AE113+SUM($H$113:AE113)*AE126</f>
        <v>0</v>
      </c>
      <c r="AF114" s="335">
        <f>SUM($H$126:AE126)*AF113+SUM($H$113:AF113)*AF126</f>
        <v>0</v>
      </c>
      <c r="AG114" s="335">
        <f>SUM($H$126:AF126)*AG113+SUM($H$113:AG113)*AG126</f>
        <v>0</v>
      </c>
      <c r="AH114" s="335">
        <f>SUM($H$126:AG126)*AH113+SUM($H$113:AH113)*AH126</f>
        <v>0</v>
      </c>
      <c r="AI114" s="335">
        <f>SUM($H$126:AH126)*AI113+SUM($H$113:AI113)*AI126</f>
        <v>0</v>
      </c>
      <c r="AJ114" s="335">
        <f>SUM($H$126:AI126)*AJ113+SUM($H$113:AJ113)*AJ126</f>
        <v>0</v>
      </c>
      <c r="AK114" s="335">
        <f>SUM($H$126:AJ126)*AK113+SUM($H$113:AK113)*AK126</f>
        <v>0</v>
      </c>
      <c r="AL114" s="335">
        <f>SUM($H$126:AK126)*AL113+SUM($H$113:AL113)*AL126</f>
        <v>0</v>
      </c>
      <c r="AM114" s="335">
        <f>SUM($H$126:AL126)*AM113+SUM($H$113:AM113)*AM126</f>
        <v>0</v>
      </c>
      <c r="AN114" s="335">
        <f>SUM($H$126:AM126)*AN113+SUM($H$113:AN113)*AN126</f>
        <v>0</v>
      </c>
      <c r="AO114" s="335">
        <f>SUM($H$126:AN126)*AO113+SUM($H$113:AO113)*AO126</f>
        <v>0</v>
      </c>
      <c r="AP114" s="335">
        <f>SUM($H$126:AO126)*AP113+SUM($H$113:AP113)*AP126</f>
        <v>0</v>
      </c>
      <c r="AQ114" s="335">
        <f>SUM($H$126:AP126)*AQ113+SUM($H$113:AQ113)*AQ126</f>
        <v>0</v>
      </c>
      <c r="AR114" s="335">
        <f>SUM($H$126:AQ126)*AR113+SUM($H$113:AR113)*AR126</f>
        <v>0</v>
      </c>
      <c r="AS114" s="335">
        <f>SUM($H$126:AR126)*AS113+SUM($H$113:AS113)*AS126</f>
        <v>0</v>
      </c>
      <c r="AT114" s="335">
        <f>SUM($H$126:AS126)*AT113+SUM($H$113:AT113)*AT126</f>
        <v>0</v>
      </c>
      <c r="AU114" s="335">
        <f>SUM($H$126:AT126)*AU113+SUM($H$113:AU113)*AU126</f>
        <v>0</v>
      </c>
      <c r="AV114" s="335">
        <f>SUM($H$126:AU126)*AV113+SUM($H$113:AV113)*AV126</f>
        <v>0</v>
      </c>
      <c r="AW114" s="335">
        <f>SUM($H$126:AV126)*AW113+SUM($H$113:AW113)*AW126</f>
        <v>0</v>
      </c>
      <c r="AX114" s="335">
        <f>SUM($H$126:AW126)*AX113+SUM($H$113:AX113)*AX126</f>
        <v>0</v>
      </c>
      <c r="AY114" s="335">
        <f>SUM($H$126:AX126)*AY113+SUM($H$113:AY113)*AY126</f>
        <v>0</v>
      </c>
      <c r="AZ114" s="335">
        <f>SUM($H$126:AY126)*AZ113+SUM($H$113:AZ113)*AZ126</f>
        <v>0</v>
      </c>
      <c r="BA114" s="335">
        <f>SUM($H$126:AZ126)*BA113+SUM($H$113:BA113)*BA126</f>
        <v>0</v>
      </c>
      <c r="BB114" s="335">
        <f>SUM($H$126:BA126)*BB113+SUM($H$113:BB113)*BB126</f>
        <v>0</v>
      </c>
      <c r="BC114" s="335">
        <f>SUM($H$126:BB126)*BC113+SUM($H$113:BC113)*BC126</f>
        <v>0</v>
      </c>
      <c r="BD114" s="335">
        <f>SUM($H$126:BC126)*BD113+SUM($H$113:BD113)*BD126</f>
        <v>0</v>
      </c>
      <c r="BE114" s="335">
        <f>SUM($H$126:BD126)*BE113+SUM($H$113:BE113)*BE126</f>
        <v>0</v>
      </c>
      <c r="BF114" s="335">
        <f>SUM($H$126:BE126)*BF113+SUM($H$113:BF113)*BF126</f>
        <v>0</v>
      </c>
      <c r="BG114" s="335">
        <f>SUM($H$126:BF126)*BG113+SUM($H$113:BG113)*BG126</f>
        <v>0</v>
      </c>
      <c r="BH114" s="335">
        <f>SUM($H$126:BG126)*BH113+SUM($H$113:BH113)*BH126</f>
        <v>0</v>
      </c>
      <c r="BI114" s="335">
        <f>SUM($H$126:BH126)*BI113+SUM($H$113:BI113)*BI126</f>
        <v>0</v>
      </c>
      <c r="BJ114" s="335">
        <f>SUM($H$126:BI126)*BJ113+SUM($H$113:BJ113)*BJ126</f>
        <v>0</v>
      </c>
      <c r="BK114" s="335">
        <f>SUM($H$126:BJ126)*BK113+SUM($H$113:BK113)*BK126</f>
        <v>0</v>
      </c>
      <c r="BL114" s="335">
        <f>SUM($H$126:BK126)*BL113+SUM($H$113:BL113)*BL126</f>
        <v>0</v>
      </c>
      <c r="BM114" s="335">
        <f>SUM($H$126:BL126)*BM113+SUM($H$113:BM113)*BM126</f>
        <v>0</v>
      </c>
      <c r="BN114" s="335">
        <f>SUM($H$126:BM126)*BN113+SUM($H$113:BN113)*BN126</f>
        <v>0</v>
      </c>
      <c r="BO114" s="335">
        <f>SUM($H$126:BN126)*BO113+SUM($H$113:BO113)*BO126</f>
        <v>0</v>
      </c>
      <c r="BP114" s="335">
        <f>SUM($H$126:BO126)*BP113+SUM($H$113:BP113)*BP126</f>
        <v>0</v>
      </c>
      <c r="BQ114" s="335">
        <f>SUM($H$126:BP126)*BQ113+SUM($H$113:BQ113)*BQ126</f>
        <v>0</v>
      </c>
      <c r="BR114" s="335">
        <f>SUM($H$126:BQ126)*BR113+SUM($H$113:BR113)*BR126</f>
        <v>0</v>
      </c>
      <c r="BS114" s="335">
        <f>SUM($H$126:BR126)*BS113+SUM($H$113:BS113)*BS126</f>
        <v>0</v>
      </c>
      <c r="BT114" s="335">
        <f>SUM($H$126:BS126)*BT113+SUM($H$113:BT113)*BT126</f>
        <v>0</v>
      </c>
      <c r="BU114" s="335">
        <f>SUM($H$126:BT126)*BU113+SUM($H$113:BU113)*BU126</f>
        <v>0</v>
      </c>
      <c r="BV114" s="335">
        <f>SUM($H$126:BU126)*BV113+SUM($H$113:BV113)*BV126</f>
        <v>0</v>
      </c>
      <c r="BW114" s="335">
        <f>SUM($H$126:BV126)*BW113+SUM($H$113:BW113)*BW126</f>
        <v>0</v>
      </c>
      <c r="BX114" s="335">
        <f>SUM($H$126:BW126)*BX113+SUM($H$113:BX113)*BX126</f>
        <v>0</v>
      </c>
      <c r="BY114" s="335">
        <f>SUM($H$126:BX126)*BY113+SUM($H$113:BY113)*BY126</f>
        <v>0</v>
      </c>
      <c r="BZ114" s="335">
        <f>SUM($H$126:BY126)*BZ113+SUM($H$113:BZ113)*BZ126</f>
        <v>0</v>
      </c>
      <c r="CA114" s="335">
        <f>SUM($H$126:BZ126)*CA113+SUM($H$113:CA113)*CA126</f>
        <v>0</v>
      </c>
      <c r="CB114" s="335">
        <f>SUM($H$126:CA126)*CB113+SUM($H$113:CB113)*CB126</f>
        <v>0</v>
      </c>
      <c r="CC114" s="335">
        <f>SUM($H$126:CB126)*CC113+SUM($H$113:CC113)*CC126</f>
        <v>0</v>
      </c>
      <c r="CD114" s="335">
        <f>SUM($H$126:CC126)*CD113+SUM($H$113:CD113)*CD126</f>
        <v>0</v>
      </c>
      <c r="CE114" s="335">
        <f>SUM($H$126:CD126)*CE113+SUM($H$113:CE113)*CE126</f>
        <v>0</v>
      </c>
      <c r="CF114" s="335">
        <f>SUM($H$126:CE126)*CF113+SUM($H$113:CF113)*CF126</f>
        <v>0</v>
      </c>
      <c r="CG114" s="335">
        <f>SUM($H$126:CF126)*CG113+SUM($H$113:CG113)*CG126</f>
        <v>0</v>
      </c>
      <c r="CH114" s="335">
        <f>SUM($H$126:CG126)*CH113+SUM($H$113:CH113)*CH126</f>
        <v>0</v>
      </c>
      <c r="CI114" s="335">
        <f>SUM($H$126:CH126)*CI113+SUM($H$113:CI113)*CI126</f>
        <v>0</v>
      </c>
      <c r="CJ114" s="335">
        <f>SUM($H$126:CI126)*CJ113+SUM($H$113:CJ113)*CJ126</f>
        <v>0</v>
      </c>
      <c r="CK114" s="510" t="s">
        <v>623</v>
      </c>
    </row>
    <row r="115" spans="1:89" s="321" customFormat="1" ht="15.75">
      <c r="B115" s="344"/>
      <c r="C115" s="345"/>
      <c r="D115" s="346"/>
      <c r="E115" s="347"/>
      <c r="F115" s="364"/>
      <c r="G115" s="351"/>
      <c r="H115" s="352">
        <f>G114-G113</f>
        <v>0</v>
      </c>
      <c r="I115" s="353"/>
      <c r="J115" s="353"/>
      <c r="K115" s="353"/>
      <c r="L115" s="353"/>
      <c r="M115" s="353"/>
      <c r="N115" s="353"/>
      <c r="O115" s="353"/>
      <c r="P115" s="353"/>
      <c r="Q115" s="354"/>
      <c r="R115" s="353"/>
      <c r="S115" s="355"/>
      <c r="T115" s="356"/>
      <c r="U115" s="353"/>
      <c r="V115" s="353"/>
      <c r="W115" s="355"/>
      <c r="X115" s="356"/>
      <c r="Y115" s="353"/>
      <c r="Z115" s="353"/>
      <c r="AA115" s="353"/>
      <c r="AB115" s="353"/>
      <c r="AC115" s="353"/>
      <c r="AD115" s="353"/>
      <c r="AE115" s="353"/>
      <c r="AF115" s="353"/>
      <c r="AG115" s="353"/>
      <c r="AH115" s="353"/>
      <c r="AI115" s="353"/>
      <c r="AJ115" s="353"/>
      <c r="AK115" s="353"/>
      <c r="AL115" s="353"/>
      <c r="AM115" s="353"/>
      <c r="AN115" s="353"/>
      <c r="AO115" s="353"/>
      <c r="AP115" s="353"/>
      <c r="AQ115" s="353"/>
      <c r="AR115" s="353"/>
      <c r="AS115" s="353"/>
      <c r="AT115" s="353"/>
      <c r="AU115" s="353"/>
      <c r="AV115" s="353"/>
      <c r="AW115" s="353"/>
      <c r="AX115" s="353"/>
      <c r="AY115" s="353"/>
      <c r="AZ115" s="353"/>
      <c r="BA115" s="353"/>
      <c r="BB115" s="353"/>
      <c r="BC115" s="353"/>
      <c r="BD115" s="353"/>
      <c r="BE115" s="353"/>
      <c r="BF115" s="353"/>
      <c r="BG115" s="353"/>
      <c r="BH115" s="353"/>
      <c r="BI115" s="353"/>
      <c r="BJ115" s="353"/>
      <c r="BK115" s="353"/>
      <c r="BL115" s="353"/>
      <c r="BM115" s="353"/>
      <c r="BN115" s="353"/>
      <c r="BO115" s="353"/>
      <c r="BP115" s="353"/>
      <c r="BQ115" s="353"/>
      <c r="BR115" s="353"/>
      <c r="BS115" s="353"/>
      <c r="BT115" s="353"/>
      <c r="BU115" s="353"/>
      <c r="BV115" s="353"/>
      <c r="BW115" s="353"/>
      <c r="BX115" s="353"/>
      <c r="BY115" s="353"/>
      <c r="BZ115" s="353"/>
      <c r="CA115" s="353"/>
      <c r="CB115" s="353"/>
      <c r="CC115" s="353"/>
      <c r="CD115" s="353"/>
      <c r="CE115" s="353"/>
      <c r="CF115" s="353"/>
      <c r="CG115" s="353"/>
      <c r="CH115" s="353"/>
      <c r="CI115" s="353"/>
      <c r="CJ115" s="353"/>
      <c r="CK115" s="510" t="s">
        <v>623</v>
      </c>
    </row>
    <row r="116" spans="1:89" s="657" customFormat="1" ht="21.75" customHeight="1">
      <c r="B116" s="703"/>
      <c r="C116" s="704" t="s">
        <v>7</v>
      </c>
      <c r="D116" s="705"/>
      <c r="E116" s="706">
        <f>SUM(G14,G78,G113,G20,G26,G32,G85,G92,G106,G99)</f>
        <v>5230427.2563588815</v>
      </c>
      <c r="F116" s="707">
        <v>49539737.894503392</v>
      </c>
      <c r="G116" s="708">
        <f>SUM(H116:DL116)</f>
        <v>5230427.2563588805</v>
      </c>
      <c r="H116" s="709">
        <f>SUM(H14,H44,H50,H56,H62,H68,H78,H113,H20,H26,H32,H85,H92,H38,H106,H99)</f>
        <v>0</v>
      </c>
      <c r="I116" s="709">
        <f>SUM(I14,I44,I50,I56,I38,I62,I68,I78,I113,I20,I26,I32,I85,I92,I106,I99)</f>
        <v>0</v>
      </c>
      <c r="J116" s="709">
        <f t="shared" ref="J116:BU116" si="122">SUM(J14,J44,J50,J56,J38,J62,J68,J78,J113,J20,J26,J32,J85,J92,J106,J99)</f>
        <v>0</v>
      </c>
      <c r="K116" s="709">
        <f t="shared" si="122"/>
        <v>0</v>
      </c>
      <c r="L116" s="709">
        <f t="shared" si="122"/>
        <v>0</v>
      </c>
      <c r="M116" s="709">
        <f t="shared" si="122"/>
        <v>0</v>
      </c>
      <c r="N116" s="709">
        <f t="shared" si="122"/>
        <v>0</v>
      </c>
      <c r="O116" s="709">
        <f t="shared" si="122"/>
        <v>0</v>
      </c>
      <c r="P116" s="709">
        <f t="shared" si="122"/>
        <v>0</v>
      </c>
      <c r="Q116" s="709">
        <f t="shared" si="122"/>
        <v>1689597.6074001242</v>
      </c>
      <c r="R116" s="709">
        <f t="shared" si="122"/>
        <v>1891610.9299063382</v>
      </c>
      <c r="S116" s="709">
        <f t="shared" si="122"/>
        <v>641926.8458963678</v>
      </c>
      <c r="T116" s="709">
        <f t="shared" si="122"/>
        <v>478032.13045409659</v>
      </c>
      <c r="U116" s="709">
        <f t="shared" si="122"/>
        <v>261835.92899505436</v>
      </c>
      <c r="V116" s="709">
        <f t="shared" si="122"/>
        <v>236715.2467567503</v>
      </c>
      <c r="W116" s="709">
        <f t="shared" si="122"/>
        <v>0</v>
      </c>
      <c r="X116" s="709">
        <f t="shared" si="122"/>
        <v>30708.566950149303</v>
      </c>
      <c r="Y116" s="709">
        <f t="shared" si="122"/>
        <v>0</v>
      </c>
      <c r="Z116" s="709">
        <f t="shared" si="122"/>
        <v>0</v>
      </c>
      <c r="AA116" s="709">
        <f t="shared" si="122"/>
        <v>0</v>
      </c>
      <c r="AB116" s="709">
        <f t="shared" si="122"/>
        <v>0</v>
      </c>
      <c r="AC116" s="709">
        <f t="shared" si="122"/>
        <v>0</v>
      </c>
      <c r="AD116" s="709">
        <f t="shared" si="122"/>
        <v>0</v>
      </c>
      <c r="AE116" s="709">
        <f t="shared" si="122"/>
        <v>0</v>
      </c>
      <c r="AF116" s="709">
        <f t="shared" si="122"/>
        <v>0</v>
      </c>
      <c r="AG116" s="709">
        <f t="shared" si="122"/>
        <v>0</v>
      </c>
      <c r="AH116" s="709">
        <f t="shared" si="122"/>
        <v>0</v>
      </c>
      <c r="AI116" s="709">
        <f t="shared" si="122"/>
        <v>0</v>
      </c>
      <c r="AJ116" s="709">
        <f t="shared" si="122"/>
        <v>0</v>
      </c>
      <c r="AK116" s="709">
        <f t="shared" si="122"/>
        <v>0</v>
      </c>
      <c r="AL116" s="709">
        <f t="shared" si="122"/>
        <v>0</v>
      </c>
      <c r="AM116" s="709">
        <f t="shared" si="122"/>
        <v>0</v>
      </c>
      <c r="AN116" s="709">
        <f t="shared" si="122"/>
        <v>0</v>
      </c>
      <c r="AO116" s="709">
        <f t="shared" si="122"/>
        <v>0</v>
      </c>
      <c r="AP116" s="709">
        <f t="shared" si="122"/>
        <v>0</v>
      </c>
      <c r="AQ116" s="709">
        <f t="shared" si="122"/>
        <v>0</v>
      </c>
      <c r="AR116" s="709">
        <f t="shared" si="122"/>
        <v>0</v>
      </c>
      <c r="AS116" s="709">
        <f t="shared" si="122"/>
        <v>0</v>
      </c>
      <c r="AT116" s="709">
        <f t="shared" si="122"/>
        <v>0</v>
      </c>
      <c r="AU116" s="709">
        <f t="shared" si="122"/>
        <v>0</v>
      </c>
      <c r="AV116" s="709">
        <f t="shared" si="122"/>
        <v>0</v>
      </c>
      <c r="AW116" s="709">
        <f t="shared" si="122"/>
        <v>0</v>
      </c>
      <c r="AX116" s="709">
        <f t="shared" si="122"/>
        <v>0</v>
      </c>
      <c r="AY116" s="709">
        <f t="shared" si="122"/>
        <v>0</v>
      </c>
      <c r="AZ116" s="709">
        <f t="shared" si="122"/>
        <v>0</v>
      </c>
      <c r="BA116" s="709">
        <f t="shared" si="122"/>
        <v>0</v>
      </c>
      <c r="BB116" s="709">
        <f t="shared" si="122"/>
        <v>0</v>
      </c>
      <c r="BC116" s="709">
        <f t="shared" si="122"/>
        <v>0</v>
      </c>
      <c r="BD116" s="709">
        <f t="shared" si="122"/>
        <v>0</v>
      </c>
      <c r="BE116" s="709">
        <f t="shared" si="122"/>
        <v>0</v>
      </c>
      <c r="BF116" s="709">
        <f t="shared" si="122"/>
        <v>0</v>
      </c>
      <c r="BG116" s="709">
        <f t="shared" si="122"/>
        <v>0</v>
      </c>
      <c r="BH116" s="709">
        <f t="shared" si="122"/>
        <v>0</v>
      </c>
      <c r="BI116" s="709">
        <f t="shared" si="122"/>
        <v>0</v>
      </c>
      <c r="BJ116" s="709">
        <f t="shared" si="122"/>
        <v>0</v>
      </c>
      <c r="BK116" s="709">
        <f t="shared" si="122"/>
        <v>0</v>
      </c>
      <c r="BL116" s="709">
        <f t="shared" si="122"/>
        <v>0</v>
      </c>
      <c r="BM116" s="709">
        <f t="shared" si="122"/>
        <v>0</v>
      </c>
      <c r="BN116" s="709">
        <f t="shared" si="122"/>
        <v>0</v>
      </c>
      <c r="BO116" s="709">
        <f t="shared" si="122"/>
        <v>0</v>
      </c>
      <c r="BP116" s="709">
        <f t="shared" si="122"/>
        <v>0</v>
      </c>
      <c r="BQ116" s="709">
        <f t="shared" si="122"/>
        <v>0</v>
      </c>
      <c r="BR116" s="709">
        <f t="shared" si="122"/>
        <v>0</v>
      </c>
      <c r="BS116" s="709">
        <f t="shared" si="122"/>
        <v>0</v>
      </c>
      <c r="BT116" s="709">
        <f t="shared" si="122"/>
        <v>0</v>
      </c>
      <c r="BU116" s="709">
        <f t="shared" si="122"/>
        <v>0</v>
      </c>
      <c r="BV116" s="709">
        <f t="shared" ref="BV116:CJ116" si="123">SUM(BV14,BV44,BV50,BV56,BV38,BV62,BV68,BV78,BV113,BV20,BV26,BV32,BV85,BV92,BV106,BV99)</f>
        <v>0</v>
      </c>
      <c r="BW116" s="709">
        <f t="shared" si="123"/>
        <v>0</v>
      </c>
      <c r="BX116" s="709">
        <f t="shared" si="123"/>
        <v>0</v>
      </c>
      <c r="BY116" s="709">
        <f t="shared" si="123"/>
        <v>0</v>
      </c>
      <c r="BZ116" s="709">
        <f t="shared" si="123"/>
        <v>0</v>
      </c>
      <c r="CA116" s="709">
        <f t="shared" si="123"/>
        <v>0</v>
      </c>
      <c r="CB116" s="709">
        <f t="shared" si="123"/>
        <v>0</v>
      </c>
      <c r="CC116" s="709">
        <f t="shared" si="123"/>
        <v>0</v>
      </c>
      <c r="CD116" s="709">
        <f t="shared" si="123"/>
        <v>0</v>
      </c>
      <c r="CE116" s="709">
        <f t="shared" si="123"/>
        <v>0</v>
      </c>
      <c r="CF116" s="709">
        <f t="shared" si="123"/>
        <v>0</v>
      </c>
      <c r="CG116" s="709">
        <f t="shared" si="123"/>
        <v>0</v>
      </c>
      <c r="CH116" s="709">
        <f t="shared" si="123"/>
        <v>0</v>
      </c>
      <c r="CI116" s="709">
        <f t="shared" si="123"/>
        <v>0</v>
      </c>
      <c r="CJ116" s="709">
        <f t="shared" si="123"/>
        <v>0</v>
      </c>
      <c r="CK116" s="510" t="s">
        <v>623</v>
      </c>
    </row>
    <row r="117" spans="1:89" s="658" customFormat="1" ht="24.75" customHeight="1">
      <c r="A117" s="657"/>
      <c r="B117" s="1004"/>
      <c r="C117" s="1005" t="s">
        <v>509</v>
      </c>
      <c r="D117" s="1006"/>
      <c r="E117" s="1006">
        <f>G117-SUM(H117:XFD117)</f>
        <v>0</v>
      </c>
      <c r="F117" s="1007">
        <v>0</v>
      </c>
      <c r="G117" s="1008">
        <f>SUM(H117:DL117)</f>
        <v>5230427.2563588815</v>
      </c>
      <c r="H117" s="1009">
        <f>SUM(H15,H21,H27,H33,H39,H45,H51,H57,H63,H69,H79,H86,H93,H107,H100,H114,)</f>
        <v>0</v>
      </c>
      <c r="I117" s="1009">
        <f t="shared" ref="I117:BT117" si="124">SUM(I15,I21,I27,I33,I39,I45,I51,I57,I63,I69,I79,I86,I93,I107,I100,I114,)</f>
        <v>0</v>
      </c>
      <c r="J117" s="1009">
        <f t="shared" si="124"/>
        <v>0</v>
      </c>
      <c r="K117" s="1009">
        <f t="shared" si="124"/>
        <v>0</v>
      </c>
      <c r="L117" s="1009">
        <f t="shared" si="124"/>
        <v>0</v>
      </c>
      <c r="M117" s="1009">
        <f t="shared" si="124"/>
        <v>0</v>
      </c>
      <c r="N117" s="1009">
        <f t="shared" si="124"/>
        <v>0</v>
      </c>
      <c r="O117" s="1009">
        <f t="shared" si="124"/>
        <v>0</v>
      </c>
      <c r="P117" s="1009">
        <f t="shared" si="124"/>
        <v>0</v>
      </c>
      <c r="Q117" s="1009">
        <f t="shared" si="124"/>
        <v>506879.28222003719</v>
      </c>
      <c r="R117" s="1009">
        <f t="shared" si="124"/>
        <v>567483.2789719014</v>
      </c>
      <c r="S117" s="1009">
        <f t="shared" si="124"/>
        <v>269262.41299724893</v>
      </c>
      <c r="T117" s="1009">
        <f t="shared" si="124"/>
        <v>709381.83953734511</v>
      </c>
      <c r="U117" s="1009">
        <f t="shared" si="124"/>
        <v>687304.61999510089</v>
      </c>
      <c r="V117" s="1009">
        <f t="shared" si="124"/>
        <v>580816.22289799445</v>
      </c>
      <c r="W117" s="1009">
        <f t="shared" si="124"/>
        <v>462458.59951961931</v>
      </c>
      <c r="X117" s="1009">
        <f t="shared" si="124"/>
        <v>1215611.7004598246</v>
      </c>
      <c r="Y117" s="1009">
        <f t="shared" si="124"/>
        <v>0</v>
      </c>
      <c r="Z117" s="1009">
        <f t="shared" si="124"/>
        <v>0</v>
      </c>
      <c r="AA117" s="1009">
        <f t="shared" si="124"/>
        <v>231229.29975980966</v>
      </c>
      <c r="AB117" s="1009">
        <f t="shared" si="124"/>
        <v>0</v>
      </c>
      <c r="AC117" s="1009">
        <f t="shared" si="124"/>
        <v>0</v>
      </c>
      <c r="AD117" s="1009">
        <f t="shared" si="124"/>
        <v>0</v>
      </c>
      <c r="AE117" s="1009">
        <f t="shared" si="124"/>
        <v>0</v>
      </c>
      <c r="AF117" s="1009">
        <f t="shared" si="124"/>
        <v>0</v>
      </c>
      <c r="AG117" s="1009">
        <f t="shared" si="124"/>
        <v>0</v>
      </c>
      <c r="AH117" s="1009">
        <f t="shared" si="124"/>
        <v>0</v>
      </c>
      <c r="AI117" s="1009">
        <f t="shared" si="124"/>
        <v>0</v>
      </c>
      <c r="AJ117" s="1009">
        <f t="shared" si="124"/>
        <v>0</v>
      </c>
      <c r="AK117" s="1009">
        <f t="shared" si="124"/>
        <v>0</v>
      </c>
      <c r="AL117" s="1009">
        <f t="shared" si="124"/>
        <v>0</v>
      </c>
      <c r="AM117" s="1009">
        <f t="shared" si="124"/>
        <v>0</v>
      </c>
      <c r="AN117" s="1009">
        <f t="shared" si="124"/>
        <v>0</v>
      </c>
      <c r="AO117" s="1009">
        <f t="shared" si="124"/>
        <v>0</v>
      </c>
      <c r="AP117" s="1009">
        <f t="shared" si="124"/>
        <v>0</v>
      </c>
      <c r="AQ117" s="1009">
        <f t="shared" si="124"/>
        <v>0</v>
      </c>
      <c r="AR117" s="1009">
        <f t="shared" si="124"/>
        <v>0</v>
      </c>
      <c r="AS117" s="1009">
        <f t="shared" si="124"/>
        <v>0</v>
      </c>
      <c r="AT117" s="1009">
        <f t="shared" si="124"/>
        <v>0</v>
      </c>
      <c r="AU117" s="1009">
        <f t="shared" si="124"/>
        <v>0</v>
      </c>
      <c r="AV117" s="1009">
        <f t="shared" si="124"/>
        <v>0</v>
      </c>
      <c r="AW117" s="1009">
        <f t="shared" si="124"/>
        <v>0</v>
      </c>
      <c r="AX117" s="1009">
        <f t="shared" si="124"/>
        <v>0</v>
      </c>
      <c r="AY117" s="1009">
        <f t="shared" si="124"/>
        <v>0</v>
      </c>
      <c r="AZ117" s="1009">
        <f t="shared" si="124"/>
        <v>0</v>
      </c>
      <c r="BA117" s="1009">
        <f t="shared" si="124"/>
        <v>0</v>
      </c>
      <c r="BB117" s="1009">
        <f t="shared" si="124"/>
        <v>0</v>
      </c>
      <c r="BC117" s="1009">
        <f t="shared" si="124"/>
        <v>0</v>
      </c>
      <c r="BD117" s="1009">
        <f t="shared" si="124"/>
        <v>0</v>
      </c>
      <c r="BE117" s="1009">
        <f t="shared" si="124"/>
        <v>0</v>
      </c>
      <c r="BF117" s="1009">
        <f t="shared" si="124"/>
        <v>0</v>
      </c>
      <c r="BG117" s="1009">
        <f t="shared" si="124"/>
        <v>0</v>
      </c>
      <c r="BH117" s="1009">
        <f t="shared" si="124"/>
        <v>0</v>
      </c>
      <c r="BI117" s="1009">
        <f t="shared" si="124"/>
        <v>0</v>
      </c>
      <c r="BJ117" s="1009">
        <f t="shared" si="124"/>
        <v>0</v>
      </c>
      <c r="BK117" s="1009">
        <f t="shared" si="124"/>
        <v>0</v>
      </c>
      <c r="BL117" s="1009">
        <f t="shared" si="124"/>
        <v>0</v>
      </c>
      <c r="BM117" s="1009">
        <f t="shared" si="124"/>
        <v>0</v>
      </c>
      <c r="BN117" s="1009">
        <f t="shared" si="124"/>
        <v>0</v>
      </c>
      <c r="BO117" s="1009">
        <f t="shared" si="124"/>
        <v>0</v>
      </c>
      <c r="BP117" s="1009">
        <f t="shared" si="124"/>
        <v>0</v>
      </c>
      <c r="BQ117" s="1009">
        <f t="shared" si="124"/>
        <v>0</v>
      </c>
      <c r="BR117" s="1009">
        <f t="shared" si="124"/>
        <v>0</v>
      </c>
      <c r="BS117" s="1009">
        <f t="shared" si="124"/>
        <v>0</v>
      </c>
      <c r="BT117" s="1009">
        <f t="shared" si="124"/>
        <v>0</v>
      </c>
      <c r="BU117" s="1009">
        <f t="shared" ref="BU117:CJ117" si="125">SUM(BU15,BU21,BU27,BU33,BU39,BU45,BU51,BU57,BU63,BU69,BU79,BU86,BU93,BU107,BU100,BU114,)</f>
        <v>0</v>
      </c>
      <c r="BV117" s="1009">
        <f t="shared" si="125"/>
        <v>0</v>
      </c>
      <c r="BW117" s="1009">
        <f t="shared" si="125"/>
        <v>0</v>
      </c>
      <c r="BX117" s="1009">
        <f t="shared" si="125"/>
        <v>0</v>
      </c>
      <c r="BY117" s="1009">
        <f t="shared" si="125"/>
        <v>0</v>
      </c>
      <c r="BZ117" s="1009">
        <f t="shared" si="125"/>
        <v>0</v>
      </c>
      <c r="CA117" s="1009">
        <f t="shared" si="125"/>
        <v>0</v>
      </c>
      <c r="CB117" s="1009">
        <f t="shared" si="125"/>
        <v>0</v>
      </c>
      <c r="CC117" s="1009">
        <f t="shared" si="125"/>
        <v>0</v>
      </c>
      <c r="CD117" s="1009">
        <f t="shared" si="125"/>
        <v>0</v>
      </c>
      <c r="CE117" s="1009">
        <f t="shared" si="125"/>
        <v>0</v>
      </c>
      <c r="CF117" s="1009">
        <f t="shared" si="125"/>
        <v>0</v>
      </c>
      <c r="CG117" s="1009">
        <f t="shared" si="125"/>
        <v>0</v>
      </c>
      <c r="CH117" s="1009">
        <f t="shared" si="125"/>
        <v>0</v>
      </c>
      <c r="CI117" s="1009">
        <f t="shared" si="125"/>
        <v>0</v>
      </c>
      <c r="CJ117" s="1009">
        <f t="shared" si="125"/>
        <v>0</v>
      </c>
      <c r="CK117" s="510" t="s">
        <v>623</v>
      </c>
    </row>
    <row r="118" spans="1:89" s="510" customFormat="1" ht="15.75">
      <c r="B118" s="691"/>
      <c r="C118" s="1010"/>
      <c r="D118" s="1364"/>
      <c r="E118" s="1011">
        <f>G116-SUM(H116:XFD116)</f>
        <v>0</v>
      </c>
      <c r="F118" s="1011"/>
      <c r="G118" s="1012">
        <f>G117-SUM(H117:XFD117)</f>
        <v>0</v>
      </c>
      <c r="H118" s="661"/>
      <c r="I118" s="661"/>
      <c r="J118" s="1013"/>
      <c r="K118" s="1013"/>
      <c r="L118" s="1013"/>
      <c r="M118" s="1013"/>
      <c r="N118" s="1013"/>
      <c r="O118" s="1013"/>
      <c r="P118" s="1013"/>
      <c r="Q118" s="1014"/>
      <c r="R118" s="1013"/>
      <c r="S118" s="1013"/>
      <c r="T118" s="1013"/>
      <c r="U118" s="1013"/>
      <c r="V118" s="1013"/>
      <c r="W118" s="1013"/>
      <c r="X118" s="1013"/>
      <c r="Y118" s="1013"/>
      <c r="Z118" s="1013"/>
      <c r="AA118" s="1013"/>
      <c r="AB118" s="1013"/>
      <c r="AC118" s="1013"/>
      <c r="AD118" s="1013"/>
      <c r="AE118" s="1015">
        <f>SUM(AD117:AE117)</f>
        <v>0</v>
      </c>
      <c r="AF118" s="1017">
        <f>AF117</f>
        <v>0</v>
      </c>
      <c r="AG118" s="1017">
        <f t="shared" ref="AG118:BY118" si="126">AG117</f>
        <v>0</v>
      </c>
      <c r="AH118" s="1017">
        <f t="shared" si="126"/>
        <v>0</v>
      </c>
      <c r="AI118" s="1017">
        <f t="shared" si="126"/>
        <v>0</v>
      </c>
      <c r="AJ118" s="1017">
        <f t="shared" si="126"/>
        <v>0</v>
      </c>
      <c r="AK118" s="1017">
        <f t="shared" si="126"/>
        <v>0</v>
      </c>
      <c r="AL118" s="1017">
        <f t="shared" si="126"/>
        <v>0</v>
      </c>
      <c r="AM118" s="1017">
        <f t="shared" si="126"/>
        <v>0</v>
      </c>
      <c r="AN118" s="1017">
        <f t="shared" si="126"/>
        <v>0</v>
      </c>
      <c r="AO118" s="1017">
        <f t="shared" si="126"/>
        <v>0</v>
      </c>
      <c r="AP118" s="1017">
        <f t="shared" si="126"/>
        <v>0</v>
      </c>
      <c r="AQ118" s="1017">
        <f t="shared" si="126"/>
        <v>0</v>
      </c>
      <c r="AR118" s="1017">
        <f t="shared" si="126"/>
        <v>0</v>
      </c>
      <c r="AS118" s="1017">
        <f t="shared" si="126"/>
        <v>0</v>
      </c>
      <c r="AT118" s="1017">
        <f t="shared" si="126"/>
        <v>0</v>
      </c>
      <c r="AU118" s="1017">
        <f t="shared" si="126"/>
        <v>0</v>
      </c>
      <c r="AV118" s="1017">
        <f t="shared" si="126"/>
        <v>0</v>
      </c>
      <c r="AW118" s="1017">
        <f t="shared" si="126"/>
        <v>0</v>
      </c>
      <c r="AX118" s="1017">
        <f t="shared" si="126"/>
        <v>0</v>
      </c>
      <c r="AY118" s="1017">
        <f t="shared" si="126"/>
        <v>0</v>
      </c>
      <c r="AZ118" s="1017">
        <f t="shared" si="126"/>
        <v>0</v>
      </c>
      <c r="BA118" s="1017">
        <f t="shared" si="126"/>
        <v>0</v>
      </c>
      <c r="BB118" s="1017">
        <f t="shared" si="126"/>
        <v>0</v>
      </c>
      <c r="BC118" s="1017">
        <f t="shared" si="126"/>
        <v>0</v>
      </c>
      <c r="BD118" s="1017">
        <f t="shared" si="126"/>
        <v>0</v>
      </c>
      <c r="BE118" s="1017">
        <f t="shared" si="126"/>
        <v>0</v>
      </c>
      <c r="BF118" s="1017">
        <f t="shared" si="126"/>
        <v>0</v>
      </c>
      <c r="BG118" s="1017">
        <f t="shared" si="126"/>
        <v>0</v>
      </c>
      <c r="BH118" s="1017">
        <f t="shared" si="126"/>
        <v>0</v>
      </c>
      <c r="BI118" s="1017">
        <f t="shared" si="126"/>
        <v>0</v>
      </c>
      <c r="BJ118" s="1017">
        <f t="shared" si="126"/>
        <v>0</v>
      </c>
      <c r="BK118" s="1017">
        <f t="shared" si="126"/>
        <v>0</v>
      </c>
      <c r="BL118" s="1017">
        <f t="shared" si="126"/>
        <v>0</v>
      </c>
      <c r="BM118" s="1017">
        <f t="shared" si="126"/>
        <v>0</v>
      </c>
      <c r="BN118" s="1017">
        <f t="shared" si="126"/>
        <v>0</v>
      </c>
      <c r="BO118" s="1017">
        <f t="shared" si="126"/>
        <v>0</v>
      </c>
      <c r="BP118" s="1017">
        <f t="shared" si="126"/>
        <v>0</v>
      </c>
      <c r="BQ118" s="1017">
        <f t="shared" si="126"/>
        <v>0</v>
      </c>
      <c r="BR118" s="1017">
        <f t="shared" si="126"/>
        <v>0</v>
      </c>
      <c r="BS118" s="1017">
        <f t="shared" si="126"/>
        <v>0</v>
      </c>
      <c r="BT118" s="1017">
        <f t="shared" si="126"/>
        <v>0</v>
      </c>
      <c r="BU118" s="1017">
        <f t="shared" si="126"/>
        <v>0</v>
      </c>
      <c r="BV118" s="1017">
        <f t="shared" si="126"/>
        <v>0</v>
      </c>
      <c r="BW118" s="1017">
        <f t="shared" si="126"/>
        <v>0</v>
      </c>
      <c r="BX118" s="1017">
        <f t="shared" si="126"/>
        <v>0</v>
      </c>
      <c r="BY118" s="1017">
        <f t="shared" si="126"/>
        <v>0</v>
      </c>
      <c r="BZ118" s="1017">
        <f t="shared" ref="BZ118:CJ118" si="127">BZ117</f>
        <v>0</v>
      </c>
      <c r="CA118" s="1017">
        <f t="shared" si="127"/>
        <v>0</v>
      </c>
      <c r="CB118" s="1017">
        <f t="shared" si="127"/>
        <v>0</v>
      </c>
      <c r="CC118" s="1017">
        <f t="shared" si="127"/>
        <v>0</v>
      </c>
      <c r="CD118" s="1017">
        <f t="shared" si="127"/>
        <v>0</v>
      </c>
      <c r="CE118" s="1017">
        <f t="shared" si="127"/>
        <v>0</v>
      </c>
      <c r="CF118" s="1017">
        <f t="shared" si="127"/>
        <v>0</v>
      </c>
      <c r="CG118" s="1017">
        <f t="shared" si="127"/>
        <v>0</v>
      </c>
      <c r="CH118" s="1017">
        <f t="shared" si="127"/>
        <v>0</v>
      </c>
      <c r="CI118" s="1017">
        <f t="shared" si="127"/>
        <v>0</v>
      </c>
      <c r="CJ118" s="1017">
        <f t="shared" si="127"/>
        <v>0</v>
      </c>
      <c r="CK118" s="656" t="s">
        <v>623</v>
      </c>
    </row>
    <row r="119" spans="1:89" s="510" customFormat="1" ht="15.75">
      <c r="B119" s="691"/>
      <c r="C119" s="659"/>
      <c r="D119" s="660"/>
      <c r="E119" s="1016"/>
      <c r="F119" s="1016"/>
      <c r="G119" s="661"/>
      <c r="H119" s="661"/>
      <c r="I119" s="661"/>
      <c r="J119" s="659"/>
      <c r="K119" s="659"/>
      <c r="L119" s="659"/>
      <c r="M119" s="659"/>
      <c r="N119" s="659"/>
      <c r="O119" s="659"/>
      <c r="P119" s="659"/>
      <c r="Q119" s="662"/>
      <c r="R119" s="659"/>
      <c r="S119" s="659"/>
      <c r="T119" s="659"/>
      <c r="U119" s="659"/>
      <c r="V119" s="659"/>
      <c r="W119" s="659"/>
      <c r="X119" s="659"/>
      <c r="Y119" s="659"/>
      <c r="Z119" s="659"/>
      <c r="AA119" s="659"/>
    </row>
    <row r="120" spans="1:89" s="1003" customFormat="1" ht="51.75" customHeight="1">
      <c r="B120" s="663" t="s">
        <v>0</v>
      </c>
      <c r="C120" s="664" t="s">
        <v>590</v>
      </c>
      <c r="D120" s="665"/>
      <c r="E120" s="665"/>
      <c r="F120" s="666"/>
      <c r="G120" s="1387" t="s">
        <v>589</v>
      </c>
      <c r="H120" s="665"/>
      <c r="I120" s="665"/>
      <c r="J120" s="665"/>
      <c r="K120" s="665" t="str">
        <f>'2.Tien do'!H9</f>
        <v>Chấp thuận CTĐT</v>
      </c>
      <c r="L120" s="665" t="str">
        <f>'2.Tien do'!I9</f>
        <v>QH 1/500</v>
      </c>
      <c r="M120" s="665" t="str">
        <f>'2.Tien do'!J9</f>
        <v>Đóng LUR</v>
      </c>
      <c r="N120" s="665" t="str">
        <f>'2.Tien do'!K9</f>
        <v>GPXD</v>
      </c>
      <c r="O120" s="665">
        <f>'2.Tien do'!L9</f>
        <v>0</v>
      </c>
      <c r="P120" s="665">
        <f>'2.Tien do'!M9</f>
        <v>0</v>
      </c>
      <c r="Q120" s="665" t="str">
        <f>'2.Tien do'!N9</f>
        <v>Ký HĐMB</v>
      </c>
      <c r="R120" s="665" t="str">
        <f>'2.Tien do'!O9</f>
        <v>Bán thấp tầng</v>
      </c>
      <c r="S120" s="665">
        <f>'2.Tien do'!P9</f>
        <v>0</v>
      </c>
      <c r="T120" s="665">
        <f>'2.Tien do'!Q9</f>
        <v>0</v>
      </c>
      <c r="U120" s="665">
        <f>'2.Tien do'!R9</f>
        <v>0</v>
      </c>
      <c r="V120" s="665">
        <f>'2.Tien do'!S9</f>
        <v>0</v>
      </c>
      <c r="W120" s="665" t="str">
        <f>'2.Tien do'!T9</f>
        <v>Bàn giao thấp tầng</v>
      </c>
      <c r="X120" s="665" t="str">
        <f>'2.Tien do'!U9</f>
        <v>Bàn giao chung cư</v>
      </c>
      <c r="Y120" s="665">
        <f>'2.Tien do'!V9</f>
        <v>0</v>
      </c>
      <c r="Z120" s="665">
        <f>'2.Tien do'!W9</f>
        <v>0</v>
      </c>
      <c r="AA120" s="665" t="str">
        <f>'2.Tien do'!X9</f>
        <v>Cấp sổ</v>
      </c>
      <c r="AB120" s="665">
        <f>'2.Tien do'!Y9</f>
        <v>0</v>
      </c>
      <c r="AC120" s="665">
        <f>'2.Tien do'!Z9</f>
        <v>0</v>
      </c>
      <c r="AD120" s="665">
        <f>'2.Tien do'!AA9</f>
        <v>0</v>
      </c>
      <c r="AE120" s="665">
        <f>'2.Tien do'!AB9</f>
        <v>0</v>
      </c>
      <c r="AF120" s="665">
        <f>'2.Tien do'!AC9</f>
        <v>0</v>
      </c>
      <c r="AG120" s="665">
        <f>'2.Tien do'!AD9</f>
        <v>0</v>
      </c>
      <c r="AH120" s="665">
        <f>'2.Tien do'!AE9</f>
        <v>0</v>
      </c>
      <c r="AI120" s="665">
        <f>'2.Tien do'!AF9</f>
        <v>0</v>
      </c>
      <c r="AJ120" s="665">
        <f>'2.Tien do'!AG9</f>
        <v>0</v>
      </c>
      <c r="AK120" s="665">
        <f>'2.Tien do'!AH9</f>
        <v>0</v>
      </c>
      <c r="AL120" s="665">
        <f>'2.Tien do'!AI9</f>
        <v>0</v>
      </c>
      <c r="AM120" s="665">
        <f>'2.Tien do'!AJ9</f>
        <v>0</v>
      </c>
      <c r="AN120" s="665">
        <f>'2.Tien do'!AK9</f>
        <v>0</v>
      </c>
      <c r="AO120" s="665">
        <f>'2.Tien do'!AL9</f>
        <v>0</v>
      </c>
      <c r="AP120" s="665">
        <f>'2.Tien do'!AM9</f>
        <v>0</v>
      </c>
      <c r="AQ120" s="1018">
        <f>'2.Tien do'!AN9</f>
        <v>0</v>
      </c>
    </row>
    <row r="121" spans="1:89" s="510" customFormat="1" ht="15.75" customHeight="1">
      <c r="B121" s="1389">
        <v>1</v>
      </c>
      <c r="C121" s="1388" t="str">
        <f>+'2.Tien do'!C65</f>
        <v>Căn hộ khối tháp</v>
      </c>
      <c r="D121" s="667"/>
      <c r="E121" s="668"/>
      <c r="F121" s="669"/>
      <c r="G121" s="670">
        <f t="shared" ref="G121:G157" si="128">SUM(H121:AF121)</f>
        <v>1</v>
      </c>
      <c r="H121" s="671">
        <v>0</v>
      </c>
      <c r="I121" s="671">
        <v>0</v>
      </c>
      <c r="J121" s="671">
        <v>0</v>
      </c>
      <c r="K121" s="671">
        <v>0</v>
      </c>
      <c r="L121" s="671">
        <v>0</v>
      </c>
      <c r="M121" s="671">
        <v>0</v>
      </c>
      <c r="N121" s="671"/>
      <c r="O121" s="671">
        <v>0</v>
      </c>
      <c r="P121" s="671">
        <v>0</v>
      </c>
      <c r="Q121" s="671">
        <v>0.3</v>
      </c>
      <c r="R121" s="671"/>
      <c r="S121" s="671"/>
      <c r="T121" s="671">
        <v>0.1</v>
      </c>
      <c r="U121" s="671">
        <v>0.1</v>
      </c>
      <c r="V121" s="671">
        <v>0.1</v>
      </c>
      <c r="W121" s="671">
        <v>0.1</v>
      </c>
      <c r="X121" s="671">
        <v>0.25</v>
      </c>
      <c r="Y121" s="671"/>
      <c r="Z121" s="671"/>
      <c r="AA121" s="671">
        <v>0.05</v>
      </c>
      <c r="AB121" s="671"/>
      <c r="AC121" s="671">
        <v>0</v>
      </c>
      <c r="AD121" s="671">
        <v>0</v>
      </c>
      <c r="AE121" s="671">
        <v>0</v>
      </c>
      <c r="AF121" s="671">
        <v>0</v>
      </c>
      <c r="AG121" s="671">
        <v>0</v>
      </c>
      <c r="AH121" s="671">
        <v>0</v>
      </c>
      <c r="AI121" s="671">
        <v>0</v>
      </c>
      <c r="AJ121" s="671">
        <v>0</v>
      </c>
      <c r="AK121" s="671">
        <v>0</v>
      </c>
      <c r="AL121" s="671">
        <v>0</v>
      </c>
      <c r="AM121" s="671">
        <v>0</v>
      </c>
      <c r="AN121" s="671">
        <v>0</v>
      </c>
      <c r="AO121" s="671">
        <v>0</v>
      </c>
      <c r="AP121" s="671">
        <v>0</v>
      </c>
      <c r="AQ121" s="671">
        <v>0</v>
      </c>
    </row>
    <row r="122" spans="1:89" s="510" customFormat="1" ht="15.75" customHeight="1">
      <c r="B122" s="1390">
        <f>+B121+1</f>
        <v>2</v>
      </c>
      <c r="C122" s="1388" t="str">
        <f>+'2.Tien do'!C66</f>
        <v>Căn hộ shop TM</v>
      </c>
      <c r="D122" s="667"/>
      <c r="E122" s="673"/>
      <c r="F122" s="674"/>
      <c r="G122" s="670">
        <f t="shared" si="128"/>
        <v>1</v>
      </c>
      <c r="H122" s="671">
        <v>0</v>
      </c>
      <c r="I122" s="671">
        <v>0</v>
      </c>
      <c r="J122" s="671">
        <v>0</v>
      </c>
      <c r="K122" s="671">
        <v>0</v>
      </c>
      <c r="L122" s="671">
        <v>0</v>
      </c>
      <c r="M122" s="671">
        <v>0</v>
      </c>
      <c r="N122" s="671"/>
      <c r="O122" s="671">
        <v>0</v>
      </c>
      <c r="P122" s="671">
        <v>0</v>
      </c>
      <c r="Q122" s="671">
        <v>0.3</v>
      </c>
      <c r="R122" s="671"/>
      <c r="S122" s="671"/>
      <c r="T122" s="671">
        <v>0.1</v>
      </c>
      <c r="U122" s="671">
        <v>0.1</v>
      </c>
      <c r="V122" s="671">
        <v>0.1</v>
      </c>
      <c r="W122" s="671">
        <v>0.1</v>
      </c>
      <c r="X122" s="671">
        <v>0.25</v>
      </c>
      <c r="Y122" s="671"/>
      <c r="Z122" s="671"/>
      <c r="AA122" s="671">
        <v>0.05</v>
      </c>
      <c r="AB122" s="671"/>
      <c r="AC122" s="671">
        <v>0</v>
      </c>
      <c r="AD122" s="671">
        <v>0</v>
      </c>
      <c r="AE122" s="671">
        <v>0</v>
      </c>
      <c r="AF122" s="671">
        <v>0</v>
      </c>
      <c r="AG122" s="671">
        <v>0</v>
      </c>
      <c r="AH122" s="671">
        <v>0</v>
      </c>
      <c r="AI122" s="671">
        <v>0</v>
      </c>
      <c r="AJ122" s="671">
        <v>0</v>
      </c>
      <c r="AK122" s="671">
        <v>0</v>
      </c>
      <c r="AL122" s="671">
        <v>0</v>
      </c>
      <c r="AM122" s="671">
        <v>0</v>
      </c>
      <c r="AN122" s="671">
        <v>0</v>
      </c>
      <c r="AO122" s="671">
        <v>0</v>
      </c>
      <c r="AP122" s="671">
        <v>0</v>
      </c>
      <c r="AQ122" s="671">
        <v>0</v>
      </c>
    </row>
    <row r="123" spans="1:89" s="510" customFormat="1" ht="15.75" customHeight="1">
      <c r="B123" s="1390">
        <f t="shared" ref="B123:B136" si="129">+B122+1</f>
        <v>3</v>
      </c>
      <c r="C123" s="1388" t="str">
        <f>+'2.Tien do'!C67</f>
        <v>Căn TMDV</v>
      </c>
      <c r="D123" s="667"/>
      <c r="E123" s="673"/>
      <c r="F123" s="674"/>
      <c r="G123" s="670">
        <f t="shared" si="128"/>
        <v>0</v>
      </c>
      <c r="H123" s="671">
        <v>0</v>
      </c>
      <c r="I123" s="671">
        <v>0</v>
      </c>
      <c r="J123" s="671">
        <v>0</v>
      </c>
      <c r="K123" s="671">
        <v>0</v>
      </c>
      <c r="L123" s="671">
        <v>0</v>
      </c>
      <c r="M123" s="671">
        <v>0</v>
      </c>
      <c r="N123" s="671"/>
      <c r="O123" s="671">
        <v>0</v>
      </c>
      <c r="P123" s="671">
        <v>0</v>
      </c>
      <c r="Q123" s="671">
        <v>0</v>
      </c>
      <c r="R123" s="671"/>
      <c r="S123" s="671"/>
      <c r="T123" s="671"/>
      <c r="U123" s="671"/>
      <c r="V123" s="671"/>
      <c r="W123" s="671"/>
      <c r="X123" s="671"/>
      <c r="Y123" s="671"/>
      <c r="Z123" s="671"/>
      <c r="AA123" s="671"/>
      <c r="AB123" s="671"/>
      <c r="AC123" s="671">
        <v>0</v>
      </c>
      <c r="AD123" s="671">
        <v>0</v>
      </c>
      <c r="AE123" s="671">
        <v>0</v>
      </c>
      <c r="AF123" s="671">
        <v>0</v>
      </c>
      <c r="AG123" s="671">
        <v>0</v>
      </c>
      <c r="AH123" s="671">
        <v>0</v>
      </c>
      <c r="AI123" s="671">
        <v>0</v>
      </c>
      <c r="AJ123" s="671">
        <v>0</v>
      </c>
      <c r="AK123" s="671">
        <v>0</v>
      </c>
      <c r="AL123" s="671">
        <v>0</v>
      </c>
      <c r="AM123" s="671">
        <v>0</v>
      </c>
      <c r="AN123" s="671">
        <v>0</v>
      </c>
      <c r="AO123" s="671">
        <v>0</v>
      </c>
      <c r="AP123" s="671">
        <v>0</v>
      </c>
      <c r="AQ123" s="671">
        <v>0</v>
      </c>
    </row>
    <row r="124" spans="1:89" s="510" customFormat="1" ht="15.75" customHeight="1">
      <c r="B124" s="1390">
        <f t="shared" si="129"/>
        <v>4</v>
      </c>
      <c r="C124" s="1388" t="str">
        <f>+'2.Tien do'!C68</f>
        <v>Căn officetel</v>
      </c>
      <c r="D124" s="667"/>
      <c r="E124" s="673"/>
      <c r="F124" s="674"/>
      <c r="G124" s="670">
        <f t="shared" si="128"/>
        <v>1</v>
      </c>
      <c r="H124" s="671">
        <v>0</v>
      </c>
      <c r="I124" s="671">
        <v>0</v>
      </c>
      <c r="J124" s="671">
        <v>0</v>
      </c>
      <c r="K124" s="671">
        <v>0</v>
      </c>
      <c r="L124" s="671">
        <v>0</v>
      </c>
      <c r="M124" s="671">
        <v>0</v>
      </c>
      <c r="N124" s="671"/>
      <c r="O124" s="671">
        <v>0</v>
      </c>
      <c r="P124" s="671">
        <v>0</v>
      </c>
      <c r="Q124" s="671">
        <v>0.3</v>
      </c>
      <c r="R124" s="671"/>
      <c r="S124" s="671"/>
      <c r="T124" s="671">
        <v>0.1</v>
      </c>
      <c r="U124" s="671">
        <v>0.1</v>
      </c>
      <c r="V124" s="671">
        <v>0.1</v>
      </c>
      <c r="W124" s="671">
        <v>0.1</v>
      </c>
      <c r="X124" s="671">
        <v>0.25</v>
      </c>
      <c r="Y124" s="671"/>
      <c r="Z124" s="671"/>
      <c r="AA124" s="671">
        <v>0.05</v>
      </c>
      <c r="AB124" s="671"/>
      <c r="AC124" s="671">
        <v>0</v>
      </c>
      <c r="AD124" s="671">
        <v>0</v>
      </c>
      <c r="AE124" s="671">
        <v>0</v>
      </c>
      <c r="AF124" s="671">
        <v>0</v>
      </c>
      <c r="AG124" s="671">
        <v>0</v>
      </c>
      <c r="AH124" s="671">
        <v>0</v>
      </c>
      <c r="AI124" s="671">
        <v>0</v>
      </c>
      <c r="AJ124" s="671">
        <v>0</v>
      </c>
      <c r="AK124" s="671">
        <v>0</v>
      </c>
      <c r="AL124" s="671">
        <v>0</v>
      </c>
      <c r="AM124" s="671">
        <v>0</v>
      </c>
      <c r="AN124" s="671">
        <v>0</v>
      </c>
      <c r="AO124" s="671">
        <v>0</v>
      </c>
      <c r="AP124" s="671">
        <v>0</v>
      </c>
      <c r="AQ124" s="671">
        <v>0</v>
      </c>
    </row>
    <row r="125" spans="1:89" s="679" customFormat="1" ht="15.75" customHeight="1">
      <c r="B125" s="1390">
        <f t="shared" si="129"/>
        <v>5</v>
      </c>
      <c r="C125" s="1388" t="str">
        <f>+'2.Tien do'!C69</f>
        <v>TMDV tập trung</v>
      </c>
      <c r="D125" s="667"/>
      <c r="E125" s="676"/>
      <c r="F125" s="677"/>
      <c r="G125" s="670">
        <f t="shared" si="128"/>
        <v>0</v>
      </c>
      <c r="H125" s="678">
        <v>0</v>
      </c>
      <c r="I125" s="671">
        <v>0</v>
      </c>
      <c r="J125" s="671">
        <v>0</v>
      </c>
      <c r="K125" s="671">
        <v>0</v>
      </c>
      <c r="L125" s="671">
        <v>0</v>
      </c>
      <c r="M125" s="671">
        <v>0</v>
      </c>
      <c r="N125" s="671">
        <v>0</v>
      </c>
      <c r="O125" s="671">
        <v>0</v>
      </c>
      <c r="P125" s="671">
        <v>0</v>
      </c>
      <c r="Q125" s="671">
        <v>0</v>
      </c>
      <c r="R125" s="671">
        <v>0</v>
      </c>
      <c r="S125" s="671"/>
      <c r="T125" s="671"/>
      <c r="U125" s="671"/>
      <c r="V125" s="671"/>
      <c r="W125" s="671"/>
      <c r="X125" s="671"/>
      <c r="Y125" s="671"/>
      <c r="Z125" s="671"/>
      <c r="AA125" s="671"/>
      <c r="AB125" s="671"/>
      <c r="AC125" s="671">
        <v>0</v>
      </c>
      <c r="AD125" s="671">
        <v>0</v>
      </c>
      <c r="AE125" s="671">
        <v>0</v>
      </c>
      <c r="AF125" s="671">
        <v>0</v>
      </c>
      <c r="AG125" s="671">
        <v>0</v>
      </c>
      <c r="AH125" s="671">
        <v>0</v>
      </c>
      <c r="AI125" s="671">
        <v>0</v>
      </c>
      <c r="AJ125" s="671">
        <v>0</v>
      </c>
      <c r="AK125" s="671">
        <v>0</v>
      </c>
      <c r="AL125" s="671">
        <v>0</v>
      </c>
      <c r="AM125" s="671">
        <v>0</v>
      </c>
      <c r="AN125" s="671">
        <v>0</v>
      </c>
      <c r="AO125" s="671">
        <v>0</v>
      </c>
      <c r="AP125" s="671">
        <v>0</v>
      </c>
      <c r="AQ125" s="671">
        <v>0</v>
      </c>
    </row>
    <row r="126" spans="1:89" s="510" customFormat="1" ht="15.75" customHeight="1">
      <c r="B126" s="1390">
        <f t="shared" si="129"/>
        <v>6</v>
      </c>
      <c r="C126" s="1388" t="str">
        <f>+'2.Tien do'!C70</f>
        <v>Nhà trẻ</v>
      </c>
      <c r="D126" s="667"/>
      <c r="E126" s="676"/>
      <c r="F126" s="677"/>
      <c r="G126" s="670">
        <f t="shared" si="128"/>
        <v>1</v>
      </c>
      <c r="H126" s="680">
        <v>0</v>
      </c>
      <c r="I126" s="671">
        <v>0</v>
      </c>
      <c r="J126" s="671">
        <v>0</v>
      </c>
      <c r="K126" s="671">
        <v>0</v>
      </c>
      <c r="L126" s="671">
        <v>0</v>
      </c>
      <c r="M126" s="671">
        <v>0</v>
      </c>
      <c r="N126" s="671">
        <v>0</v>
      </c>
      <c r="O126" s="671">
        <v>0</v>
      </c>
      <c r="P126" s="671">
        <v>0</v>
      </c>
      <c r="Q126" s="671">
        <v>0</v>
      </c>
      <c r="R126" s="671">
        <v>0</v>
      </c>
      <c r="S126" s="671">
        <v>0</v>
      </c>
      <c r="T126" s="671">
        <v>0</v>
      </c>
      <c r="U126" s="671">
        <v>0</v>
      </c>
      <c r="V126" s="671"/>
      <c r="W126" s="671"/>
      <c r="X126" s="671">
        <v>1</v>
      </c>
      <c r="Y126" s="671"/>
      <c r="Z126" s="671"/>
      <c r="AA126" s="671"/>
      <c r="AB126" s="671"/>
      <c r="AC126" s="671">
        <v>0</v>
      </c>
      <c r="AD126" s="671">
        <v>0</v>
      </c>
      <c r="AE126" s="671">
        <v>0</v>
      </c>
      <c r="AF126" s="671">
        <v>0</v>
      </c>
      <c r="AG126" s="671">
        <v>0</v>
      </c>
      <c r="AH126" s="671">
        <v>0</v>
      </c>
      <c r="AI126" s="671">
        <v>0</v>
      </c>
      <c r="AJ126" s="671">
        <v>0</v>
      </c>
      <c r="AK126" s="671">
        <v>0</v>
      </c>
      <c r="AL126" s="671">
        <v>0</v>
      </c>
      <c r="AM126" s="671">
        <v>0</v>
      </c>
      <c r="AN126" s="671">
        <v>0</v>
      </c>
      <c r="AO126" s="671">
        <v>0</v>
      </c>
      <c r="AP126" s="671">
        <v>0</v>
      </c>
      <c r="AQ126" s="671">
        <v>0</v>
      </c>
    </row>
    <row r="127" spans="1:89" s="510" customFormat="1" ht="15.75" customHeight="1">
      <c r="B127" s="1390">
        <f t="shared" si="129"/>
        <v>7</v>
      </c>
      <c r="C127" s="1388" t="str">
        <f>+'2.Tien do'!C71</f>
        <v>Nhà phố liên kế</v>
      </c>
      <c r="D127" s="667"/>
      <c r="E127" s="676"/>
      <c r="F127" s="677"/>
      <c r="G127" s="670">
        <f t="shared" si="128"/>
        <v>1</v>
      </c>
      <c r="H127" s="678">
        <v>0</v>
      </c>
      <c r="I127" s="671">
        <v>0</v>
      </c>
      <c r="J127" s="671">
        <v>0</v>
      </c>
      <c r="K127" s="671">
        <v>0</v>
      </c>
      <c r="L127" s="671">
        <v>0</v>
      </c>
      <c r="M127" s="671">
        <v>0</v>
      </c>
      <c r="N127" s="671">
        <v>0</v>
      </c>
      <c r="O127" s="671">
        <v>0</v>
      </c>
      <c r="P127" s="671">
        <v>0</v>
      </c>
      <c r="Q127" s="671">
        <v>0</v>
      </c>
      <c r="R127" s="671">
        <v>0.3</v>
      </c>
      <c r="S127" s="671">
        <v>0.2</v>
      </c>
      <c r="T127" s="671">
        <v>0.2</v>
      </c>
      <c r="U127" s="671">
        <v>0.25</v>
      </c>
      <c r="V127" s="671"/>
      <c r="W127" s="671"/>
      <c r="X127" s="671">
        <v>0.05</v>
      </c>
      <c r="Y127" s="671"/>
      <c r="Z127" s="671"/>
      <c r="AA127" s="671"/>
      <c r="AB127" s="671"/>
      <c r="AC127" s="671">
        <v>0</v>
      </c>
      <c r="AD127" s="671">
        <v>0</v>
      </c>
      <c r="AE127" s="671">
        <v>0</v>
      </c>
      <c r="AF127" s="671">
        <v>0</v>
      </c>
      <c r="AG127" s="671">
        <v>0</v>
      </c>
      <c r="AH127" s="671">
        <v>0</v>
      </c>
      <c r="AI127" s="671">
        <v>0</v>
      </c>
      <c r="AJ127" s="671">
        <v>0</v>
      </c>
      <c r="AK127" s="671">
        <v>0</v>
      </c>
      <c r="AL127" s="671">
        <v>0</v>
      </c>
      <c r="AM127" s="671">
        <v>0</v>
      </c>
      <c r="AN127" s="671">
        <v>0</v>
      </c>
      <c r="AO127" s="671">
        <v>0</v>
      </c>
      <c r="AP127" s="671">
        <v>0</v>
      </c>
      <c r="AQ127" s="671">
        <v>0</v>
      </c>
    </row>
    <row r="128" spans="1:89" s="510" customFormat="1" ht="15.75" customHeight="1">
      <c r="B128" s="1390">
        <f t="shared" si="129"/>
        <v>8</v>
      </c>
      <c r="C128" s="1388">
        <f>+'2.Tien do'!C72</f>
        <v>0</v>
      </c>
      <c r="D128" s="667"/>
      <c r="E128" s="676"/>
      <c r="F128" s="677"/>
      <c r="G128" s="670">
        <f t="shared" si="128"/>
        <v>0</v>
      </c>
      <c r="H128" s="678">
        <v>0</v>
      </c>
      <c r="I128" s="671">
        <v>0</v>
      </c>
      <c r="J128" s="671">
        <v>0</v>
      </c>
      <c r="K128" s="671">
        <v>0</v>
      </c>
      <c r="L128" s="671">
        <v>0</v>
      </c>
      <c r="M128" s="671">
        <v>0</v>
      </c>
      <c r="N128" s="671">
        <v>0</v>
      </c>
      <c r="O128" s="671">
        <v>0</v>
      </c>
      <c r="P128" s="671">
        <v>0</v>
      </c>
      <c r="Q128" s="671">
        <v>0</v>
      </c>
      <c r="R128" s="671">
        <v>0</v>
      </c>
      <c r="S128" s="671">
        <v>0</v>
      </c>
      <c r="T128" s="671">
        <v>0</v>
      </c>
      <c r="U128" s="671">
        <v>0</v>
      </c>
      <c r="V128" s="671">
        <v>0</v>
      </c>
      <c r="W128" s="671">
        <v>0</v>
      </c>
      <c r="X128" s="671">
        <v>0</v>
      </c>
      <c r="Y128" s="671">
        <v>0</v>
      </c>
      <c r="Z128" s="671">
        <v>0</v>
      </c>
      <c r="AA128" s="671">
        <v>0</v>
      </c>
      <c r="AB128" s="671">
        <v>0</v>
      </c>
      <c r="AC128" s="671">
        <v>0</v>
      </c>
      <c r="AD128" s="671">
        <v>0</v>
      </c>
      <c r="AE128" s="671">
        <v>0</v>
      </c>
      <c r="AF128" s="671">
        <v>0</v>
      </c>
      <c r="AG128" s="671">
        <v>0</v>
      </c>
      <c r="AH128" s="671">
        <v>0</v>
      </c>
      <c r="AI128" s="671">
        <v>0</v>
      </c>
      <c r="AJ128" s="671">
        <v>0</v>
      </c>
      <c r="AK128" s="671">
        <v>0</v>
      </c>
      <c r="AL128" s="671">
        <v>0</v>
      </c>
      <c r="AM128" s="671">
        <v>0</v>
      </c>
      <c r="AN128" s="671">
        <v>0</v>
      </c>
      <c r="AO128" s="671">
        <v>0</v>
      </c>
      <c r="AP128" s="671">
        <v>0</v>
      </c>
      <c r="AQ128" s="671">
        <v>0</v>
      </c>
    </row>
    <row r="129" spans="2:43" s="510" customFormat="1" ht="15.75" customHeight="1">
      <c r="B129" s="1390">
        <f t="shared" si="129"/>
        <v>9</v>
      </c>
      <c r="C129" s="1405">
        <f>+'2.Tien do'!C73</f>
        <v>0</v>
      </c>
      <c r="D129" s="1406"/>
      <c r="E129" s="1407"/>
      <c r="F129" s="1407"/>
      <c r="G129" s="670">
        <f t="shared" si="128"/>
        <v>0</v>
      </c>
      <c r="H129" s="1408"/>
      <c r="I129" s="1409"/>
      <c r="J129" s="1409"/>
      <c r="K129" s="1409"/>
      <c r="L129" s="1409"/>
      <c r="M129" s="1409"/>
      <c r="N129" s="1409"/>
      <c r="O129" s="1409"/>
      <c r="P129" s="1409"/>
      <c r="Q129" s="1409"/>
      <c r="R129" s="1409"/>
      <c r="S129" s="1409"/>
      <c r="T129" s="1409"/>
      <c r="U129" s="1409"/>
      <c r="V129" s="1409"/>
      <c r="W129" s="1409"/>
      <c r="X129" s="1409"/>
      <c r="Y129" s="1409"/>
      <c r="Z129" s="1409"/>
      <c r="AA129" s="1409"/>
      <c r="AB129" s="1409"/>
      <c r="AC129" s="1409"/>
      <c r="AD129" s="1409"/>
      <c r="AE129" s="1409"/>
      <c r="AF129" s="1409"/>
      <c r="AG129" s="1409"/>
      <c r="AH129" s="1409"/>
      <c r="AI129" s="1409"/>
      <c r="AJ129" s="1409"/>
      <c r="AK129" s="1409"/>
      <c r="AL129" s="1409"/>
      <c r="AM129" s="1409"/>
      <c r="AN129" s="1409"/>
      <c r="AO129" s="1409"/>
      <c r="AP129" s="1409"/>
      <c r="AQ129" s="1409"/>
    </row>
    <row r="130" spans="2:43" s="510" customFormat="1" ht="15.75" customHeight="1">
      <c r="B130" s="1390">
        <f t="shared" si="129"/>
        <v>10</v>
      </c>
      <c r="C130" s="1388">
        <f>+'2.Tien do'!C74</f>
        <v>0</v>
      </c>
      <c r="D130" s="667"/>
      <c r="E130" s="676"/>
      <c r="F130" s="677"/>
      <c r="G130" s="670">
        <f t="shared" si="128"/>
        <v>0</v>
      </c>
      <c r="H130" s="678">
        <v>0</v>
      </c>
      <c r="I130" s="671">
        <v>0</v>
      </c>
      <c r="J130" s="671">
        <v>0</v>
      </c>
      <c r="K130" s="671">
        <v>0</v>
      </c>
      <c r="L130" s="671">
        <v>0</v>
      </c>
      <c r="M130" s="671">
        <v>0</v>
      </c>
      <c r="N130" s="671">
        <v>0</v>
      </c>
      <c r="O130" s="671">
        <v>0</v>
      </c>
      <c r="P130" s="671">
        <v>0</v>
      </c>
      <c r="Q130" s="671">
        <v>0</v>
      </c>
      <c r="R130" s="671">
        <v>0</v>
      </c>
      <c r="S130" s="671">
        <v>0</v>
      </c>
      <c r="T130" s="671">
        <v>0</v>
      </c>
      <c r="U130" s="671">
        <v>0</v>
      </c>
      <c r="V130" s="671">
        <v>0</v>
      </c>
      <c r="W130" s="671">
        <v>0</v>
      </c>
      <c r="X130" s="671">
        <v>0</v>
      </c>
      <c r="Y130" s="671">
        <v>0</v>
      </c>
      <c r="Z130" s="671">
        <v>0</v>
      </c>
      <c r="AA130" s="671">
        <v>0</v>
      </c>
      <c r="AB130" s="671">
        <v>0</v>
      </c>
      <c r="AC130" s="671">
        <v>0</v>
      </c>
      <c r="AD130" s="671">
        <v>0</v>
      </c>
      <c r="AE130" s="671">
        <v>0</v>
      </c>
      <c r="AF130" s="671">
        <v>0</v>
      </c>
      <c r="AG130" s="675">
        <v>0</v>
      </c>
      <c r="AH130" s="675">
        <v>0</v>
      </c>
      <c r="AI130" s="675">
        <v>0</v>
      </c>
      <c r="AJ130" s="675">
        <v>0</v>
      </c>
      <c r="AK130" s="675">
        <v>0</v>
      </c>
      <c r="AL130" s="675">
        <v>0</v>
      </c>
      <c r="AM130" s="675">
        <v>0</v>
      </c>
      <c r="AN130" s="675">
        <v>0</v>
      </c>
      <c r="AO130" s="675">
        <v>0</v>
      </c>
      <c r="AP130" s="675">
        <v>0</v>
      </c>
      <c r="AQ130" s="675">
        <v>0</v>
      </c>
    </row>
    <row r="131" spans="2:43" s="510" customFormat="1" ht="15.75">
      <c r="B131" s="1390">
        <f t="shared" si="129"/>
        <v>11</v>
      </c>
      <c r="C131" s="1388">
        <f>+'2.Tien do'!C75</f>
        <v>0</v>
      </c>
      <c r="D131" s="667"/>
      <c r="E131" s="676"/>
      <c r="F131" s="677"/>
      <c r="G131" s="670">
        <f t="shared" si="128"/>
        <v>0</v>
      </c>
      <c r="H131" s="678">
        <v>0</v>
      </c>
      <c r="I131" s="671">
        <v>0</v>
      </c>
      <c r="J131" s="671">
        <v>0</v>
      </c>
      <c r="K131" s="671">
        <v>0</v>
      </c>
      <c r="L131" s="671">
        <v>0</v>
      </c>
      <c r="M131" s="671">
        <v>0</v>
      </c>
      <c r="N131" s="671">
        <v>0</v>
      </c>
      <c r="O131" s="671">
        <v>0</v>
      </c>
      <c r="P131" s="671">
        <v>0</v>
      </c>
      <c r="Q131" s="671">
        <v>0</v>
      </c>
      <c r="R131" s="671">
        <v>0</v>
      </c>
      <c r="S131" s="671">
        <v>0</v>
      </c>
      <c r="T131" s="671">
        <v>0</v>
      </c>
      <c r="U131" s="671">
        <v>0</v>
      </c>
      <c r="V131" s="671">
        <v>0</v>
      </c>
      <c r="W131" s="671">
        <v>0</v>
      </c>
      <c r="X131" s="671">
        <v>0</v>
      </c>
      <c r="Y131" s="671">
        <v>0</v>
      </c>
      <c r="Z131" s="671">
        <v>0</v>
      </c>
      <c r="AA131" s="671">
        <v>0</v>
      </c>
      <c r="AB131" s="671">
        <v>0</v>
      </c>
      <c r="AC131" s="671">
        <v>0</v>
      </c>
      <c r="AD131" s="671">
        <v>0</v>
      </c>
      <c r="AE131" s="671">
        <v>0</v>
      </c>
      <c r="AF131" s="671">
        <v>0</v>
      </c>
      <c r="AG131" s="675">
        <v>0</v>
      </c>
      <c r="AH131" s="675">
        <v>0</v>
      </c>
      <c r="AI131" s="675">
        <v>0</v>
      </c>
      <c r="AJ131" s="675">
        <v>0</v>
      </c>
      <c r="AK131" s="675">
        <v>0</v>
      </c>
      <c r="AL131" s="675">
        <v>0</v>
      </c>
      <c r="AM131" s="675">
        <v>0</v>
      </c>
      <c r="AN131" s="675">
        <v>0</v>
      </c>
      <c r="AO131" s="675">
        <v>0</v>
      </c>
      <c r="AP131" s="675">
        <v>0</v>
      </c>
      <c r="AQ131" s="675">
        <v>0</v>
      </c>
    </row>
    <row r="132" spans="2:43" s="510" customFormat="1" ht="15.75">
      <c r="B132" s="1390">
        <f t="shared" si="129"/>
        <v>12</v>
      </c>
      <c r="C132" s="1388">
        <f>+'2.Tien do'!C76</f>
        <v>0</v>
      </c>
      <c r="D132" s="667"/>
      <c r="E132" s="676"/>
      <c r="F132" s="677"/>
      <c r="G132" s="670">
        <f t="shared" si="128"/>
        <v>0</v>
      </c>
      <c r="H132" s="678">
        <v>0</v>
      </c>
      <c r="I132" s="671">
        <v>0</v>
      </c>
      <c r="J132" s="671">
        <v>0</v>
      </c>
      <c r="K132" s="671">
        <v>0</v>
      </c>
      <c r="L132" s="671">
        <v>0</v>
      </c>
      <c r="M132" s="671">
        <v>0</v>
      </c>
      <c r="N132" s="671">
        <v>0</v>
      </c>
      <c r="O132" s="671">
        <v>0</v>
      </c>
      <c r="P132" s="671">
        <v>0</v>
      </c>
      <c r="Q132" s="671">
        <v>0</v>
      </c>
      <c r="R132" s="671">
        <v>0</v>
      </c>
      <c r="S132" s="671">
        <v>0</v>
      </c>
      <c r="T132" s="671">
        <v>0</v>
      </c>
      <c r="U132" s="671">
        <v>0</v>
      </c>
      <c r="V132" s="671">
        <v>0</v>
      </c>
      <c r="W132" s="671">
        <v>0</v>
      </c>
      <c r="X132" s="671">
        <v>0</v>
      </c>
      <c r="Y132" s="671">
        <v>0</v>
      </c>
      <c r="Z132" s="671">
        <v>0</v>
      </c>
      <c r="AA132" s="671">
        <v>0</v>
      </c>
      <c r="AB132" s="671">
        <v>0</v>
      </c>
      <c r="AC132" s="671">
        <v>0</v>
      </c>
      <c r="AD132" s="671">
        <v>0</v>
      </c>
      <c r="AE132" s="671">
        <v>0</v>
      </c>
      <c r="AF132" s="671">
        <v>0</v>
      </c>
      <c r="AG132" s="675">
        <v>0</v>
      </c>
      <c r="AH132" s="675">
        <v>0</v>
      </c>
      <c r="AI132" s="675">
        <v>0</v>
      </c>
      <c r="AJ132" s="675">
        <v>0</v>
      </c>
      <c r="AK132" s="675">
        <v>0</v>
      </c>
      <c r="AL132" s="675">
        <v>0</v>
      </c>
      <c r="AM132" s="675">
        <v>0</v>
      </c>
      <c r="AN132" s="675">
        <v>0</v>
      </c>
      <c r="AO132" s="675">
        <v>0</v>
      </c>
      <c r="AP132" s="675">
        <v>0</v>
      </c>
      <c r="AQ132" s="675">
        <v>0</v>
      </c>
    </row>
    <row r="133" spans="2:43" s="510" customFormat="1" ht="15.75">
      <c r="B133" s="1390">
        <f t="shared" si="129"/>
        <v>13</v>
      </c>
      <c r="C133" s="1388">
        <f>+'2.Tien do'!C77</f>
        <v>0</v>
      </c>
      <c r="D133" s="667"/>
      <c r="E133" s="676"/>
      <c r="F133" s="677"/>
      <c r="G133" s="670">
        <f t="shared" si="128"/>
        <v>0</v>
      </c>
      <c r="H133" s="678">
        <v>0</v>
      </c>
      <c r="I133" s="671">
        <v>0</v>
      </c>
      <c r="J133" s="671">
        <v>0</v>
      </c>
      <c r="K133" s="671">
        <v>0</v>
      </c>
      <c r="L133" s="671">
        <v>0</v>
      </c>
      <c r="M133" s="671">
        <v>0</v>
      </c>
      <c r="N133" s="671">
        <v>0</v>
      </c>
      <c r="O133" s="671">
        <v>0</v>
      </c>
      <c r="P133" s="671">
        <v>0</v>
      </c>
      <c r="Q133" s="671">
        <v>0</v>
      </c>
      <c r="R133" s="671">
        <v>0</v>
      </c>
      <c r="S133" s="671">
        <v>0</v>
      </c>
      <c r="T133" s="671">
        <v>0</v>
      </c>
      <c r="U133" s="671">
        <v>0</v>
      </c>
      <c r="V133" s="671">
        <v>0</v>
      </c>
      <c r="W133" s="671">
        <v>0</v>
      </c>
      <c r="X133" s="671">
        <v>0</v>
      </c>
      <c r="Y133" s="671">
        <v>0</v>
      </c>
      <c r="Z133" s="671">
        <v>0</v>
      </c>
      <c r="AA133" s="671">
        <v>0</v>
      </c>
      <c r="AB133" s="671">
        <v>0</v>
      </c>
      <c r="AC133" s="671">
        <v>0</v>
      </c>
      <c r="AD133" s="671">
        <v>0</v>
      </c>
      <c r="AE133" s="671">
        <v>0</v>
      </c>
      <c r="AF133" s="671">
        <v>0</v>
      </c>
      <c r="AG133" s="671">
        <v>0</v>
      </c>
      <c r="AH133" s="671">
        <v>0</v>
      </c>
      <c r="AI133" s="671">
        <v>0</v>
      </c>
      <c r="AJ133" s="671">
        <v>0</v>
      </c>
      <c r="AK133" s="671">
        <v>0</v>
      </c>
      <c r="AL133" s="671">
        <v>0</v>
      </c>
      <c r="AM133" s="671">
        <v>0</v>
      </c>
      <c r="AN133" s="671">
        <v>0</v>
      </c>
      <c r="AO133" s="671">
        <v>0</v>
      </c>
      <c r="AP133" s="671">
        <v>0</v>
      </c>
      <c r="AQ133" s="671">
        <v>0</v>
      </c>
    </row>
    <row r="134" spans="2:43" s="510" customFormat="1" ht="15.75">
      <c r="B134" s="1390">
        <f t="shared" si="129"/>
        <v>14</v>
      </c>
      <c r="C134" s="1388">
        <f>+'2.Tien do'!C78</f>
        <v>0</v>
      </c>
      <c r="D134" s="667"/>
      <c r="E134" s="676"/>
      <c r="F134" s="677"/>
      <c r="G134" s="670">
        <f t="shared" si="128"/>
        <v>0</v>
      </c>
      <c r="H134" s="678">
        <v>0</v>
      </c>
      <c r="I134" s="671">
        <v>0</v>
      </c>
      <c r="J134" s="671">
        <v>0</v>
      </c>
      <c r="K134" s="671">
        <v>0</v>
      </c>
      <c r="L134" s="671">
        <v>0</v>
      </c>
      <c r="M134" s="671">
        <v>0</v>
      </c>
      <c r="N134" s="671">
        <v>0</v>
      </c>
      <c r="O134" s="671">
        <v>0</v>
      </c>
      <c r="P134" s="671">
        <v>0</v>
      </c>
      <c r="Q134" s="671">
        <v>0</v>
      </c>
      <c r="R134" s="671">
        <v>0</v>
      </c>
      <c r="S134" s="671">
        <v>0</v>
      </c>
      <c r="T134" s="671">
        <v>0</v>
      </c>
      <c r="U134" s="671">
        <v>0</v>
      </c>
      <c r="V134" s="671">
        <v>0</v>
      </c>
      <c r="W134" s="671">
        <v>0</v>
      </c>
      <c r="X134" s="671">
        <v>0</v>
      </c>
      <c r="Y134" s="671">
        <v>0</v>
      </c>
      <c r="Z134" s="671">
        <v>0</v>
      </c>
      <c r="AA134" s="671">
        <v>0</v>
      </c>
      <c r="AB134" s="671">
        <v>0</v>
      </c>
      <c r="AC134" s="671">
        <v>0</v>
      </c>
      <c r="AD134" s="671">
        <v>0</v>
      </c>
      <c r="AE134" s="671">
        <v>0</v>
      </c>
      <c r="AF134" s="671">
        <v>0</v>
      </c>
      <c r="AG134" s="671">
        <v>0</v>
      </c>
      <c r="AH134" s="671">
        <v>0</v>
      </c>
      <c r="AI134" s="671">
        <v>0</v>
      </c>
      <c r="AJ134" s="671">
        <v>0</v>
      </c>
      <c r="AK134" s="671">
        <v>0</v>
      </c>
      <c r="AL134" s="671">
        <v>0</v>
      </c>
      <c r="AM134" s="671">
        <v>0</v>
      </c>
      <c r="AN134" s="671">
        <v>0</v>
      </c>
      <c r="AO134" s="671">
        <v>0</v>
      </c>
      <c r="AP134" s="671">
        <v>0</v>
      </c>
      <c r="AQ134" s="671">
        <v>0</v>
      </c>
    </row>
    <row r="135" spans="2:43" s="510" customFormat="1" ht="15.75">
      <c r="B135" s="1390">
        <f t="shared" si="129"/>
        <v>15</v>
      </c>
      <c r="C135" s="1388">
        <f>+'2.Tien do'!C79</f>
        <v>0</v>
      </c>
      <c r="D135" s="667"/>
      <c r="E135" s="676"/>
      <c r="F135" s="677"/>
      <c r="G135" s="670">
        <f t="shared" si="128"/>
        <v>0</v>
      </c>
      <c r="H135" s="678">
        <v>0</v>
      </c>
      <c r="I135" s="671">
        <v>0</v>
      </c>
      <c r="J135" s="671">
        <v>0</v>
      </c>
      <c r="K135" s="671">
        <v>0</v>
      </c>
      <c r="L135" s="671">
        <v>0</v>
      </c>
      <c r="M135" s="671">
        <v>0</v>
      </c>
      <c r="N135" s="671">
        <v>0</v>
      </c>
      <c r="O135" s="671">
        <v>0</v>
      </c>
      <c r="P135" s="671">
        <v>0</v>
      </c>
      <c r="Q135" s="671">
        <v>0</v>
      </c>
      <c r="R135" s="671">
        <v>0</v>
      </c>
      <c r="S135" s="671">
        <v>0</v>
      </c>
      <c r="T135" s="671">
        <v>0</v>
      </c>
      <c r="U135" s="671">
        <v>0</v>
      </c>
      <c r="V135" s="671">
        <v>0</v>
      </c>
      <c r="W135" s="671">
        <v>0</v>
      </c>
      <c r="X135" s="671">
        <v>0</v>
      </c>
      <c r="Y135" s="671">
        <v>0</v>
      </c>
      <c r="Z135" s="671">
        <v>0</v>
      </c>
      <c r="AA135" s="671">
        <v>0</v>
      </c>
      <c r="AB135" s="671">
        <v>0</v>
      </c>
      <c r="AC135" s="671">
        <v>0</v>
      </c>
      <c r="AD135" s="671">
        <v>0</v>
      </c>
      <c r="AE135" s="671">
        <v>0</v>
      </c>
      <c r="AF135" s="671">
        <v>0</v>
      </c>
      <c r="AG135" s="671">
        <v>0</v>
      </c>
      <c r="AH135" s="671">
        <v>0</v>
      </c>
      <c r="AI135" s="671">
        <v>0</v>
      </c>
      <c r="AJ135" s="671">
        <v>0</v>
      </c>
      <c r="AK135" s="671">
        <v>0</v>
      </c>
      <c r="AL135" s="671">
        <v>0</v>
      </c>
      <c r="AM135" s="671">
        <v>0</v>
      </c>
      <c r="AN135" s="671">
        <v>0</v>
      </c>
      <c r="AO135" s="671">
        <v>0</v>
      </c>
      <c r="AP135" s="671">
        <v>0</v>
      </c>
      <c r="AQ135" s="671">
        <v>0</v>
      </c>
    </row>
    <row r="136" spans="2:43" s="510" customFormat="1" ht="15.75">
      <c r="B136" s="1390">
        <f t="shared" si="129"/>
        <v>16</v>
      </c>
      <c r="C136" s="1388">
        <f>+'2.Tien do'!C80</f>
        <v>0</v>
      </c>
      <c r="D136" s="667"/>
      <c r="E136" s="676"/>
      <c r="F136" s="677"/>
      <c r="G136" s="670">
        <f t="shared" si="128"/>
        <v>0</v>
      </c>
      <c r="H136" s="678">
        <v>0</v>
      </c>
      <c r="I136" s="671">
        <v>0</v>
      </c>
      <c r="J136" s="671">
        <v>0</v>
      </c>
      <c r="K136" s="671">
        <v>0</v>
      </c>
      <c r="L136" s="671">
        <v>0</v>
      </c>
      <c r="M136" s="671">
        <v>0</v>
      </c>
      <c r="N136" s="671">
        <v>0</v>
      </c>
      <c r="O136" s="671">
        <v>0</v>
      </c>
      <c r="P136" s="671">
        <v>0</v>
      </c>
      <c r="Q136" s="671">
        <v>0</v>
      </c>
      <c r="R136" s="671">
        <v>0</v>
      </c>
      <c r="S136" s="671">
        <v>0</v>
      </c>
      <c r="T136" s="671">
        <v>0</v>
      </c>
      <c r="U136" s="671">
        <v>0</v>
      </c>
      <c r="V136" s="671">
        <v>0</v>
      </c>
      <c r="W136" s="671">
        <v>0</v>
      </c>
      <c r="X136" s="671">
        <v>0</v>
      </c>
      <c r="Y136" s="671">
        <v>0</v>
      </c>
      <c r="Z136" s="671">
        <v>0</v>
      </c>
      <c r="AA136" s="671">
        <v>0</v>
      </c>
      <c r="AB136" s="671">
        <v>0</v>
      </c>
      <c r="AC136" s="671">
        <v>0</v>
      </c>
      <c r="AD136" s="671">
        <v>0</v>
      </c>
      <c r="AE136" s="671">
        <v>0</v>
      </c>
      <c r="AF136" s="671">
        <v>0</v>
      </c>
      <c r="AG136" s="671">
        <v>0</v>
      </c>
      <c r="AH136" s="671">
        <v>0</v>
      </c>
      <c r="AI136" s="671">
        <v>0</v>
      </c>
      <c r="AJ136" s="671">
        <v>0</v>
      </c>
      <c r="AK136" s="671">
        <v>0</v>
      </c>
      <c r="AL136" s="671">
        <v>0</v>
      </c>
      <c r="AM136" s="671">
        <v>0</v>
      </c>
      <c r="AN136" s="671">
        <v>0</v>
      </c>
      <c r="AO136" s="671">
        <v>0</v>
      </c>
      <c r="AP136" s="671">
        <v>0</v>
      </c>
      <c r="AQ136" s="671">
        <v>0</v>
      </c>
    </row>
    <row r="137" spans="2:43" s="510" customFormat="1" ht="15.75">
      <c r="B137" s="672"/>
      <c r="C137" s="681"/>
      <c r="D137" s="667"/>
      <c r="E137" s="676"/>
      <c r="F137" s="677"/>
      <c r="G137" s="670">
        <f t="shared" si="128"/>
        <v>0</v>
      </c>
      <c r="H137" s="678">
        <v>0</v>
      </c>
      <c r="I137" s="671">
        <v>0</v>
      </c>
      <c r="J137" s="671">
        <v>0</v>
      </c>
      <c r="K137" s="671">
        <v>0</v>
      </c>
      <c r="L137" s="671">
        <v>0</v>
      </c>
      <c r="M137" s="671">
        <v>0</v>
      </c>
      <c r="N137" s="671">
        <v>0</v>
      </c>
      <c r="O137" s="671">
        <v>0</v>
      </c>
      <c r="P137" s="671">
        <v>0</v>
      </c>
      <c r="Q137" s="671">
        <v>0</v>
      </c>
      <c r="R137" s="671">
        <v>0</v>
      </c>
      <c r="S137" s="671">
        <v>0</v>
      </c>
      <c r="T137" s="671">
        <v>0</v>
      </c>
      <c r="U137" s="671">
        <v>0</v>
      </c>
      <c r="V137" s="671">
        <v>0</v>
      </c>
      <c r="W137" s="671">
        <v>0</v>
      </c>
      <c r="X137" s="671">
        <v>0</v>
      </c>
      <c r="Y137" s="671">
        <v>0</v>
      </c>
      <c r="Z137" s="671">
        <v>0</v>
      </c>
      <c r="AA137" s="671">
        <v>0</v>
      </c>
      <c r="AB137" s="671">
        <v>0</v>
      </c>
      <c r="AC137" s="671">
        <v>0</v>
      </c>
      <c r="AD137" s="671">
        <v>0</v>
      </c>
      <c r="AE137" s="671">
        <v>0</v>
      </c>
      <c r="AF137" s="671">
        <v>0</v>
      </c>
      <c r="AG137" s="671">
        <v>0</v>
      </c>
      <c r="AH137" s="671">
        <v>0</v>
      </c>
      <c r="AI137" s="671">
        <v>0</v>
      </c>
      <c r="AJ137" s="671">
        <v>0</v>
      </c>
      <c r="AK137" s="671">
        <v>0</v>
      </c>
      <c r="AL137" s="671">
        <v>0</v>
      </c>
      <c r="AM137" s="671">
        <v>0</v>
      </c>
      <c r="AN137" s="671">
        <v>0</v>
      </c>
      <c r="AO137" s="671">
        <v>0</v>
      </c>
      <c r="AP137" s="671">
        <v>0</v>
      </c>
      <c r="AQ137" s="671">
        <v>0</v>
      </c>
    </row>
    <row r="138" spans="2:43" s="510" customFormat="1" ht="15.75">
      <c r="B138" s="672"/>
      <c r="C138" s="681"/>
      <c r="D138" s="667"/>
      <c r="E138" s="676"/>
      <c r="F138" s="677"/>
      <c r="G138" s="670">
        <f>SUM(H138:AQ138)</f>
        <v>0</v>
      </c>
      <c r="H138" s="671">
        <v>0</v>
      </c>
      <c r="I138" s="671">
        <v>0</v>
      </c>
      <c r="J138" s="671">
        <v>0</v>
      </c>
      <c r="K138" s="671">
        <v>0</v>
      </c>
      <c r="L138" s="671">
        <v>0</v>
      </c>
      <c r="M138" s="671">
        <v>0</v>
      </c>
      <c r="N138" s="671">
        <v>0</v>
      </c>
      <c r="O138" s="671">
        <v>0</v>
      </c>
      <c r="P138" s="671">
        <v>0</v>
      </c>
      <c r="Q138" s="671">
        <v>0</v>
      </c>
      <c r="R138" s="671">
        <v>0</v>
      </c>
      <c r="S138" s="671">
        <v>0</v>
      </c>
      <c r="T138" s="671">
        <v>0</v>
      </c>
      <c r="U138" s="671">
        <v>0</v>
      </c>
      <c r="V138" s="671">
        <v>0</v>
      </c>
      <c r="W138" s="671">
        <v>0</v>
      </c>
      <c r="X138" s="671">
        <v>0</v>
      </c>
      <c r="Y138" s="671">
        <v>0</v>
      </c>
      <c r="Z138" s="671">
        <v>0</v>
      </c>
      <c r="AA138" s="671">
        <v>0</v>
      </c>
      <c r="AB138" s="671">
        <v>0</v>
      </c>
      <c r="AC138" s="671">
        <v>0</v>
      </c>
      <c r="AD138" s="671">
        <v>0</v>
      </c>
      <c r="AE138" s="671">
        <v>0</v>
      </c>
      <c r="AF138" s="671">
        <v>0</v>
      </c>
      <c r="AG138" s="671">
        <v>0</v>
      </c>
      <c r="AH138" s="671">
        <v>0</v>
      </c>
      <c r="AI138" s="671">
        <v>0</v>
      </c>
      <c r="AJ138" s="671">
        <v>0</v>
      </c>
      <c r="AK138" s="671">
        <v>0</v>
      </c>
      <c r="AL138" s="671">
        <v>0</v>
      </c>
      <c r="AM138" s="671">
        <v>0</v>
      </c>
      <c r="AN138" s="671">
        <v>0</v>
      </c>
      <c r="AO138" s="671">
        <v>0</v>
      </c>
      <c r="AP138" s="671">
        <v>0</v>
      </c>
      <c r="AQ138" s="671">
        <v>0</v>
      </c>
    </row>
    <row r="139" spans="2:43" s="510" customFormat="1" ht="15.75">
      <c r="B139" s="672"/>
      <c r="C139" s="681"/>
      <c r="D139" s="667"/>
      <c r="E139" s="676"/>
      <c r="F139" s="677"/>
      <c r="G139" s="670">
        <f t="shared" si="128"/>
        <v>0</v>
      </c>
      <c r="H139" s="671">
        <v>0</v>
      </c>
      <c r="I139" s="671">
        <v>0</v>
      </c>
      <c r="J139" s="671">
        <v>0</v>
      </c>
      <c r="K139" s="671">
        <v>0</v>
      </c>
      <c r="L139" s="671">
        <v>0</v>
      </c>
      <c r="M139" s="671">
        <v>0</v>
      </c>
      <c r="N139" s="671">
        <v>0</v>
      </c>
      <c r="O139" s="671">
        <v>0</v>
      </c>
      <c r="P139" s="671">
        <v>0</v>
      </c>
      <c r="Q139" s="671">
        <v>0</v>
      </c>
      <c r="R139" s="671">
        <v>0</v>
      </c>
      <c r="S139" s="671">
        <v>0</v>
      </c>
      <c r="T139" s="671">
        <v>0</v>
      </c>
      <c r="U139" s="671">
        <v>0</v>
      </c>
      <c r="V139" s="671">
        <v>0</v>
      </c>
      <c r="W139" s="671">
        <v>0</v>
      </c>
      <c r="X139" s="671">
        <v>0</v>
      </c>
      <c r="Y139" s="671">
        <v>0</v>
      </c>
      <c r="Z139" s="671">
        <v>0</v>
      </c>
      <c r="AA139" s="671">
        <v>0</v>
      </c>
      <c r="AB139" s="671">
        <v>0</v>
      </c>
      <c r="AC139" s="671">
        <v>0</v>
      </c>
      <c r="AD139" s="671">
        <v>0</v>
      </c>
      <c r="AE139" s="671">
        <v>0</v>
      </c>
      <c r="AF139" s="671">
        <v>0</v>
      </c>
      <c r="AG139" s="671">
        <v>0</v>
      </c>
      <c r="AH139" s="671">
        <v>0</v>
      </c>
      <c r="AI139" s="671">
        <v>0</v>
      </c>
      <c r="AJ139" s="671">
        <v>0</v>
      </c>
      <c r="AK139" s="671">
        <v>0</v>
      </c>
      <c r="AL139" s="671">
        <v>0</v>
      </c>
      <c r="AM139" s="671">
        <v>0</v>
      </c>
      <c r="AN139" s="671">
        <v>0</v>
      </c>
      <c r="AO139" s="671">
        <v>0</v>
      </c>
      <c r="AP139" s="671">
        <v>0</v>
      </c>
      <c r="AQ139" s="671">
        <v>0</v>
      </c>
    </row>
    <row r="140" spans="2:43" s="510" customFormat="1" ht="15.75">
      <c r="B140" s="682"/>
      <c r="C140" s="683"/>
      <c r="D140" s="667"/>
      <c r="E140" s="676"/>
      <c r="F140" s="677"/>
      <c r="G140" s="670">
        <f t="shared" si="128"/>
        <v>0</v>
      </c>
      <c r="H140" s="671">
        <v>0</v>
      </c>
      <c r="I140" s="671">
        <v>0</v>
      </c>
      <c r="J140" s="671">
        <v>0</v>
      </c>
      <c r="K140" s="671">
        <v>0</v>
      </c>
      <c r="L140" s="671">
        <v>0</v>
      </c>
      <c r="M140" s="671">
        <v>0</v>
      </c>
      <c r="N140" s="671">
        <v>0</v>
      </c>
      <c r="O140" s="671">
        <v>0</v>
      </c>
      <c r="P140" s="671">
        <v>0</v>
      </c>
      <c r="Q140" s="671">
        <v>0</v>
      </c>
      <c r="R140" s="671">
        <v>0</v>
      </c>
      <c r="S140" s="671">
        <v>0</v>
      </c>
      <c r="T140" s="671">
        <v>0</v>
      </c>
      <c r="U140" s="671">
        <v>0</v>
      </c>
      <c r="V140" s="671">
        <v>0</v>
      </c>
      <c r="W140" s="671">
        <v>0</v>
      </c>
      <c r="X140" s="671">
        <v>0</v>
      </c>
      <c r="Y140" s="671">
        <v>0</v>
      </c>
      <c r="Z140" s="671">
        <v>0</v>
      </c>
      <c r="AA140" s="671">
        <v>0</v>
      </c>
      <c r="AB140" s="671">
        <v>0</v>
      </c>
      <c r="AC140" s="671">
        <v>0</v>
      </c>
      <c r="AD140" s="671">
        <v>0</v>
      </c>
      <c r="AE140" s="671">
        <v>0</v>
      </c>
      <c r="AF140" s="671">
        <v>0</v>
      </c>
      <c r="AG140" s="671">
        <v>0</v>
      </c>
      <c r="AH140" s="671">
        <v>0</v>
      </c>
      <c r="AI140" s="671">
        <v>0</v>
      </c>
      <c r="AJ140" s="671">
        <v>0</v>
      </c>
      <c r="AK140" s="671">
        <v>0</v>
      </c>
      <c r="AL140" s="671">
        <v>0</v>
      </c>
      <c r="AM140" s="671">
        <v>0</v>
      </c>
      <c r="AN140" s="671">
        <v>0</v>
      </c>
      <c r="AO140" s="671">
        <v>0</v>
      </c>
      <c r="AP140" s="671">
        <v>0</v>
      </c>
      <c r="AQ140" s="671">
        <v>0</v>
      </c>
    </row>
    <row r="141" spans="2:43" s="510" customFormat="1" ht="15.75">
      <c r="B141" s="682"/>
      <c r="C141" s="683"/>
      <c r="D141" s="667"/>
      <c r="E141" s="676"/>
      <c r="F141" s="677"/>
      <c r="G141" s="670">
        <f t="shared" si="128"/>
        <v>0</v>
      </c>
      <c r="H141" s="671">
        <v>0</v>
      </c>
      <c r="I141" s="671">
        <v>0</v>
      </c>
      <c r="J141" s="671">
        <v>0</v>
      </c>
      <c r="K141" s="671">
        <v>0</v>
      </c>
      <c r="L141" s="671">
        <v>0</v>
      </c>
      <c r="M141" s="671">
        <v>0</v>
      </c>
      <c r="N141" s="671">
        <v>0</v>
      </c>
      <c r="O141" s="671">
        <v>0</v>
      </c>
      <c r="P141" s="671">
        <v>0</v>
      </c>
      <c r="Q141" s="671">
        <v>0</v>
      </c>
      <c r="R141" s="671">
        <v>0</v>
      </c>
      <c r="S141" s="671">
        <v>0</v>
      </c>
      <c r="T141" s="671">
        <v>0</v>
      </c>
      <c r="U141" s="671">
        <v>0</v>
      </c>
      <c r="V141" s="671">
        <v>0</v>
      </c>
      <c r="W141" s="671">
        <v>0</v>
      </c>
      <c r="X141" s="671">
        <v>0</v>
      </c>
      <c r="Y141" s="671">
        <v>0</v>
      </c>
      <c r="Z141" s="671">
        <v>0</v>
      </c>
      <c r="AA141" s="671">
        <v>0</v>
      </c>
      <c r="AB141" s="671">
        <v>0</v>
      </c>
      <c r="AC141" s="671">
        <v>0</v>
      </c>
      <c r="AD141" s="671">
        <v>0</v>
      </c>
      <c r="AE141" s="671">
        <v>0</v>
      </c>
      <c r="AF141" s="671">
        <v>0</v>
      </c>
      <c r="AG141" s="671">
        <v>0</v>
      </c>
      <c r="AH141" s="671">
        <v>0</v>
      </c>
      <c r="AI141" s="671">
        <v>0</v>
      </c>
      <c r="AJ141" s="671">
        <v>0</v>
      </c>
      <c r="AK141" s="671">
        <v>0</v>
      </c>
      <c r="AL141" s="671">
        <v>0</v>
      </c>
      <c r="AM141" s="671">
        <v>0</v>
      </c>
      <c r="AN141" s="671">
        <v>0</v>
      </c>
      <c r="AO141" s="671">
        <v>0</v>
      </c>
      <c r="AP141" s="671">
        <v>0</v>
      </c>
      <c r="AQ141" s="671">
        <v>0</v>
      </c>
    </row>
    <row r="142" spans="2:43" s="510" customFormat="1" ht="15.75">
      <c r="B142" s="684"/>
      <c r="C142" s="685"/>
      <c r="D142" s="667"/>
      <c r="E142" s="676"/>
      <c r="F142" s="686"/>
      <c r="G142" s="670">
        <f t="shared" si="128"/>
        <v>0</v>
      </c>
      <c r="H142" s="671">
        <v>0</v>
      </c>
      <c r="I142" s="671">
        <v>0</v>
      </c>
      <c r="J142" s="671">
        <v>0</v>
      </c>
      <c r="K142" s="671">
        <v>0</v>
      </c>
      <c r="L142" s="671">
        <v>0</v>
      </c>
      <c r="M142" s="671">
        <v>0</v>
      </c>
      <c r="N142" s="671">
        <v>0</v>
      </c>
      <c r="O142" s="671">
        <v>0</v>
      </c>
      <c r="P142" s="671">
        <v>0</v>
      </c>
      <c r="Q142" s="671">
        <v>0</v>
      </c>
      <c r="R142" s="671">
        <v>0</v>
      </c>
      <c r="S142" s="671">
        <v>0</v>
      </c>
      <c r="T142" s="671">
        <v>0</v>
      </c>
      <c r="U142" s="671">
        <v>0</v>
      </c>
      <c r="V142" s="671">
        <v>0</v>
      </c>
      <c r="W142" s="671">
        <v>0</v>
      </c>
      <c r="X142" s="671">
        <v>0</v>
      </c>
      <c r="Y142" s="671">
        <v>0</v>
      </c>
      <c r="Z142" s="671">
        <v>0</v>
      </c>
      <c r="AA142" s="671">
        <v>0</v>
      </c>
      <c r="AB142" s="671">
        <v>0</v>
      </c>
      <c r="AC142" s="671">
        <v>0</v>
      </c>
      <c r="AD142" s="671">
        <v>0</v>
      </c>
      <c r="AE142" s="671">
        <v>0</v>
      </c>
      <c r="AF142" s="671">
        <v>0</v>
      </c>
      <c r="AG142" s="671">
        <v>0</v>
      </c>
      <c r="AH142" s="671">
        <v>0</v>
      </c>
      <c r="AI142" s="671">
        <v>0</v>
      </c>
      <c r="AJ142" s="671">
        <v>0</v>
      </c>
      <c r="AK142" s="671">
        <v>0</v>
      </c>
      <c r="AL142" s="671">
        <v>0</v>
      </c>
      <c r="AM142" s="671">
        <v>0</v>
      </c>
      <c r="AN142" s="671">
        <v>0</v>
      </c>
      <c r="AO142" s="671">
        <v>0</v>
      </c>
      <c r="AP142" s="671">
        <v>0</v>
      </c>
      <c r="AQ142" s="671">
        <v>0</v>
      </c>
    </row>
    <row r="143" spans="2:43" s="510" customFormat="1" ht="15.75">
      <c r="B143" s="684"/>
      <c r="C143" s="685"/>
      <c r="D143" s="667"/>
      <c r="E143" s="676"/>
      <c r="F143" s="686"/>
      <c r="G143" s="670">
        <f t="shared" si="128"/>
        <v>0</v>
      </c>
      <c r="H143" s="671">
        <v>0</v>
      </c>
      <c r="I143" s="671">
        <v>0</v>
      </c>
      <c r="J143" s="671">
        <v>0</v>
      </c>
      <c r="K143" s="671">
        <v>0</v>
      </c>
      <c r="L143" s="671">
        <v>0</v>
      </c>
      <c r="M143" s="671">
        <v>0</v>
      </c>
      <c r="N143" s="671">
        <v>0</v>
      </c>
      <c r="O143" s="671">
        <v>0</v>
      </c>
      <c r="P143" s="671">
        <v>0</v>
      </c>
      <c r="Q143" s="671">
        <v>0</v>
      </c>
      <c r="R143" s="671">
        <v>0</v>
      </c>
      <c r="S143" s="671">
        <v>0</v>
      </c>
      <c r="T143" s="671">
        <v>0</v>
      </c>
      <c r="U143" s="671">
        <v>0</v>
      </c>
      <c r="V143" s="671">
        <v>0</v>
      </c>
      <c r="W143" s="671">
        <v>0</v>
      </c>
      <c r="X143" s="671">
        <v>0</v>
      </c>
      <c r="Y143" s="671">
        <v>0</v>
      </c>
      <c r="Z143" s="671">
        <v>0</v>
      </c>
      <c r="AA143" s="671">
        <v>0</v>
      </c>
      <c r="AB143" s="671">
        <v>0</v>
      </c>
      <c r="AC143" s="671">
        <v>0</v>
      </c>
      <c r="AD143" s="671">
        <v>0</v>
      </c>
      <c r="AE143" s="671">
        <v>0</v>
      </c>
      <c r="AF143" s="671">
        <v>0</v>
      </c>
      <c r="AG143" s="671">
        <v>0</v>
      </c>
      <c r="AH143" s="671">
        <v>0</v>
      </c>
      <c r="AI143" s="671">
        <v>0</v>
      </c>
      <c r="AJ143" s="671">
        <v>0</v>
      </c>
      <c r="AK143" s="671">
        <v>0</v>
      </c>
      <c r="AL143" s="671">
        <v>0</v>
      </c>
      <c r="AM143" s="671">
        <v>0</v>
      </c>
      <c r="AN143" s="671">
        <v>0</v>
      </c>
      <c r="AO143" s="671">
        <v>0</v>
      </c>
      <c r="AP143" s="671">
        <v>0</v>
      </c>
      <c r="AQ143" s="671">
        <v>0</v>
      </c>
    </row>
    <row r="144" spans="2:43" s="510" customFormat="1" ht="15.75">
      <c r="B144" s="684"/>
      <c r="C144" s="685"/>
      <c r="D144" s="667"/>
      <c r="E144" s="676"/>
      <c r="F144" s="686"/>
      <c r="G144" s="670">
        <f t="shared" si="128"/>
        <v>0</v>
      </c>
      <c r="H144" s="671">
        <v>0</v>
      </c>
      <c r="I144" s="671">
        <v>0</v>
      </c>
      <c r="J144" s="671">
        <v>0</v>
      </c>
      <c r="K144" s="671">
        <v>0</v>
      </c>
      <c r="L144" s="671">
        <v>0</v>
      </c>
      <c r="M144" s="671">
        <v>0</v>
      </c>
      <c r="N144" s="671">
        <v>0</v>
      </c>
      <c r="O144" s="671">
        <v>0</v>
      </c>
      <c r="P144" s="671">
        <v>0</v>
      </c>
      <c r="Q144" s="671">
        <v>0</v>
      </c>
      <c r="R144" s="671">
        <v>0</v>
      </c>
      <c r="S144" s="671">
        <v>0</v>
      </c>
      <c r="T144" s="671">
        <v>0</v>
      </c>
      <c r="U144" s="671">
        <v>0</v>
      </c>
      <c r="V144" s="671">
        <v>0</v>
      </c>
      <c r="W144" s="671">
        <v>0</v>
      </c>
      <c r="X144" s="671">
        <v>0</v>
      </c>
      <c r="Y144" s="671">
        <v>0</v>
      </c>
      <c r="Z144" s="671">
        <v>0</v>
      </c>
      <c r="AA144" s="671">
        <v>0</v>
      </c>
      <c r="AB144" s="671">
        <v>0</v>
      </c>
      <c r="AC144" s="671">
        <v>0</v>
      </c>
      <c r="AD144" s="671">
        <v>0</v>
      </c>
      <c r="AE144" s="671">
        <v>0</v>
      </c>
      <c r="AF144" s="671">
        <v>0</v>
      </c>
      <c r="AG144" s="671">
        <v>0</v>
      </c>
      <c r="AH144" s="671">
        <v>0</v>
      </c>
      <c r="AI144" s="671">
        <v>0</v>
      </c>
      <c r="AJ144" s="671">
        <v>0</v>
      </c>
      <c r="AK144" s="671">
        <v>0</v>
      </c>
      <c r="AL144" s="671">
        <v>0</v>
      </c>
      <c r="AM144" s="671">
        <v>0</v>
      </c>
      <c r="AN144" s="671">
        <v>0</v>
      </c>
      <c r="AO144" s="671">
        <v>0</v>
      </c>
      <c r="AP144" s="671">
        <v>0</v>
      </c>
      <c r="AQ144" s="671">
        <v>0</v>
      </c>
    </row>
    <row r="145" spans="2:43" s="510" customFormat="1" ht="15.75">
      <c r="B145" s="684"/>
      <c r="C145" s="685"/>
      <c r="D145" s="667"/>
      <c r="E145" s="676"/>
      <c r="F145" s="686"/>
      <c r="G145" s="670">
        <f t="shared" si="128"/>
        <v>0</v>
      </c>
      <c r="H145" s="671">
        <v>0</v>
      </c>
      <c r="I145" s="671">
        <v>0</v>
      </c>
      <c r="J145" s="671">
        <v>0</v>
      </c>
      <c r="K145" s="671">
        <v>0</v>
      </c>
      <c r="L145" s="671">
        <v>0</v>
      </c>
      <c r="M145" s="671">
        <v>0</v>
      </c>
      <c r="N145" s="671">
        <v>0</v>
      </c>
      <c r="O145" s="671">
        <v>0</v>
      </c>
      <c r="P145" s="671">
        <v>0</v>
      </c>
      <c r="Q145" s="671">
        <v>0</v>
      </c>
      <c r="R145" s="671">
        <v>0</v>
      </c>
      <c r="S145" s="671">
        <v>0</v>
      </c>
      <c r="T145" s="671">
        <v>0</v>
      </c>
      <c r="U145" s="671">
        <v>0</v>
      </c>
      <c r="V145" s="671">
        <v>0</v>
      </c>
      <c r="W145" s="671">
        <v>0</v>
      </c>
      <c r="X145" s="671">
        <v>0</v>
      </c>
      <c r="Y145" s="671">
        <v>0</v>
      </c>
      <c r="Z145" s="671">
        <v>0</v>
      </c>
      <c r="AA145" s="671">
        <v>0</v>
      </c>
      <c r="AB145" s="671">
        <v>0</v>
      </c>
      <c r="AC145" s="671">
        <v>0</v>
      </c>
      <c r="AD145" s="671">
        <v>0</v>
      </c>
      <c r="AE145" s="671">
        <v>0</v>
      </c>
      <c r="AF145" s="671">
        <v>0</v>
      </c>
      <c r="AG145" s="671">
        <v>0</v>
      </c>
      <c r="AH145" s="671">
        <v>0</v>
      </c>
      <c r="AI145" s="671">
        <v>0</v>
      </c>
      <c r="AJ145" s="671">
        <v>0</v>
      </c>
      <c r="AK145" s="671">
        <v>0</v>
      </c>
      <c r="AL145" s="671">
        <v>0</v>
      </c>
      <c r="AM145" s="671">
        <v>0</v>
      </c>
      <c r="AN145" s="671">
        <v>0</v>
      </c>
      <c r="AO145" s="671">
        <v>0</v>
      </c>
      <c r="AP145" s="671">
        <v>0</v>
      </c>
      <c r="AQ145" s="671">
        <v>0</v>
      </c>
    </row>
    <row r="146" spans="2:43" s="510" customFormat="1" ht="15.75">
      <c r="B146" s="684"/>
      <c r="C146" s="685"/>
      <c r="D146" s="667"/>
      <c r="E146" s="676"/>
      <c r="F146" s="686"/>
      <c r="G146" s="670">
        <f t="shared" si="128"/>
        <v>0</v>
      </c>
      <c r="H146" s="671">
        <v>0</v>
      </c>
      <c r="I146" s="671">
        <v>0</v>
      </c>
      <c r="J146" s="671">
        <v>0</v>
      </c>
      <c r="K146" s="671">
        <v>0</v>
      </c>
      <c r="L146" s="671">
        <v>0</v>
      </c>
      <c r="M146" s="671">
        <v>0</v>
      </c>
      <c r="N146" s="671">
        <v>0</v>
      </c>
      <c r="O146" s="671">
        <v>0</v>
      </c>
      <c r="P146" s="671">
        <v>0</v>
      </c>
      <c r="Q146" s="671">
        <v>0</v>
      </c>
      <c r="R146" s="671">
        <v>0</v>
      </c>
      <c r="S146" s="671">
        <v>0</v>
      </c>
      <c r="T146" s="671">
        <v>0</v>
      </c>
      <c r="U146" s="671">
        <v>0</v>
      </c>
      <c r="V146" s="671">
        <v>0</v>
      </c>
      <c r="W146" s="671">
        <v>0</v>
      </c>
      <c r="X146" s="671">
        <v>0</v>
      </c>
      <c r="Y146" s="671">
        <v>0</v>
      </c>
      <c r="Z146" s="671">
        <v>0</v>
      </c>
      <c r="AA146" s="671">
        <v>0</v>
      </c>
      <c r="AB146" s="671">
        <v>0</v>
      </c>
      <c r="AC146" s="671">
        <v>0</v>
      </c>
      <c r="AD146" s="671">
        <v>0</v>
      </c>
      <c r="AE146" s="671">
        <v>0</v>
      </c>
      <c r="AF146" s="671">
        <v>0</v>
      </c>
      <c r="AG146" s="671">
        <v>0</v>
      </c>
      <c r="AH146" s="671">
        <v>0</v>
      </c>
      <c r="AI146" s="671">
        <v>0</v>
      </c>
      <c r="AJ146" s="671">
        <v>0</v>
      </c>
      <c r="AK146" s="671">
        <v>0</v>
      </c>
      <c r="AL146" s="671">
        <v>0</v>
      </c>
      <c r="AM146" s="671">
        <v>0</v>
      </c>
      <c r="AN146" s="671">
        <v>0</v>
      </c>
      <c r="AO146" s="671">
        <v>0</v>
      </c>
      <c r="AP146" s="671">
        <v>0</v>
      </c>
      <c r="AQ146" s="671">
        <v>0</v>
      </c>
    </row>
    <row r="147" spans="2:43" s="510" customFormat="1" ht="15.75">
      <c r="B147" s="684"/>
      <c r="C147" s="685"/>
      <c r="D147" s="667"/>
      <c r="E147" s="676"/>
      <c r="F147" s="686"/>
      <c r="G147" s="670">
        <f t="shared" si="128"/>
        <v>0</v>
      </c>
      <c r="H147" s="671">
        <v>0</v>
      </c>
      <c r="I147" s="671">
        <v>0</v>
      </c>
      <c r="J147" s="671">
        <v>0</v>
      </c>
      <c r="K147" s="671">
        <v>0</v>
      </c>
      <c r="L147" s="671">
        <v>0</v>
      </c>
      <c r="M147" s="671">
        <v>0</v>
      </c>
      <c r="N147" s="671">
        <v>0</v>
      </c>
      <c r="O147" s="671">
        <v>0</v>
      </c>
      <c r="P147" s="671">
        <v>0</v>
      </c>
      <c r="Q147" s="671">
        <v>0</v>
      </c>
      <c r="R147" s="671">
        <v>0</v>
      </c>
      <c r="S147" s="671">
        <v>0</v>
      </c>
      <c r="T147" s="671">
        <v>0</v>
      </c>
      <c r="U147" s="671">
        <v>0</v>
      </c>
      <c r="V147" s="671">
        <v>0</v>
      </c>
      <c r="W147" s="671">
        <v>0</v>
      </c>
      <c r="X147" s="671">
        <v>0</v>
      </c>
      <c r="Y147" s="671">
        <v>0</v>
      </c>
      <c r="Z147" s="671">
        <v>0</v>
      </c>
      <c r="AA147" s="671">
        <v>0</v>
      </c>
      <c r="AB147" s="671">
        <v>0</v>
      </c>
      <c r="AC147" s="671">
        <v>0</v>
      </c>
      <c r="AD147" s="671">
        <v>0</v>
      </c>
      <c r="AE147" s="671">
        <v>0</v>
      </c>
      <c r="AF147" s="671">
        <v>0</v>
      </c>
      <c r="AG147" s="671">
        <v>0</v>
      </c>
      <c r="AH147" s="671">
        <v>0</v>
      </c>
      <c r="AI147" s="671">
        <v>0</v>
      </c>
      <c r="AJ147" s="671">
        <v>0</v>
      </c>
      <c r="AK147" s="671">
        <v>0</v>
      </c>
      <c r="AL147" s="671">
        <v>0</v>
      </c>
      <c r="AM147" s="671">
        <v>0</v>
      </c>
      <c r="AN147" s="671">
        <v>0</v>
      </c>
      <c r="AO147" s="671">
        <v>0</v>
      </c>
      <c r="AP147" s="671">
        <v>0</v>
      </c>
      <c r="AQ147" s="671">
        <v>0</v>
      </c>
    </row>
    <row r="148" spans="2:43" s="510" customFormat="1" ht="15.75">
      <c r="B148" s="684"/>
      <c r="C148" s="685"/>
      <c r="D148" s="667"/>
      <c r="E148" s="676"/>
      <c r="F148" s="686"/>
      <c r="G148" s="670">
        <f t="shared" si="128"/>
        <v>0</v>
      </c>
      <c r="H148" s="671">
        <v>0</v>
      </c>
      <c r="I148" s="671">
        <v>0</v>
      </c>
      <c r="J148" s="671">
        <v>0</v>
      </c>
      <c r="K148" s="671">
        <v>0</v>
      </c>
      <c r="L148" s="671">
        <v>0</v>
      </c>
      <c r="M148" s="671">
        <v>0</v>
      </c>
      <c r="N148" s="671">
        <v>0</v>
      </c>
      <c r="O148" s="671">
        <v>0</v>
      </c>
      <c r="P148" s="671">
        <v>0</v>
      </c>
      <c r="Q148" s="671">
        <v>0</v>
      </c>
      <c r="R148" s="671">
        <v>0</v>
      </c>
      <c r="S148" s="671">
        <v>0</v>
      </c>
      <c r="T148" s="671">
        <v>0</v>
      </c>
      <c r="U148" s="671">
        <v>0</v>
      </c>
      <c r="V148" s="671">
        <v>0</v>
      </c>
      <c r="W148" s="671">
        <v>0</v>
      </c>
      <c r="X148" s="671">
        <v>0</v>
      </c>
      <c r="Y148" s="671">
        <v>0</v>
      </c>
      <c r="Z148" s="671">
        <v>0</v>
      </c>
      <c r="AA148" s="671">
        <v>0</v>
      </c>
      <c r="AB148" s="671">
        <v>0</v>
      </c>
      <c r="AC148" s="671">
        <v>0</v>
      </c>
      <c r="AD148" s="671">
        <v>0</v>
      </c>
      <c r="AE148" s="671">
        <v>0</v>
      </c>
      <c r="AF148" s="671">
        <v>0</v>
      </c>
      <c r="AG148" s="671">
        <v>0</v>
      </c>
      <c r="AH148" s="671">
        <v>0</v>
      </c>
      <c r="AI148" s="671">
        <v>0</v>
      </c>
      <c r="AJ148" s="671">
        <v>0</v>
      </c>
      <c r="AK148" s="671">
        <v>0</v>
      </c>
      <c r="AL148" s="671">
        <v>0</v>
      </c>
      <c r="AM148" s="671">
        <v>0</v>
      </c>
      <c r="AN148" s="671">
        <v>0</v>
      </c>
      <c r="AO148" s="671">
        <v>0</v>
      </c>
      <c r="AP148" s="671">
        <v>0</v>
      </c>
      <c r="AQ148" s="671">
        <v>0</v>
      </c>
    </row>
    <row r="149" spans="2:43" s="510" customFormat="1" ht="15.75">
      <c r="B149" s="684"/>
      <c r="C149" s="685"/>
      <c r="D149" s="667"/>
      <c r="E149" s="676"/>
      <c r="F149" s="686"/>
      <c r="G149" s="670">
        <f t="shared" si="128"/>
        <v>0</v>
      </c>
      <c r="H149" s="671">
        <v>0</v>
      </c>
      <c r="I149" s="671">
        <v>0</v>
      </c>
      <c r="J149" s="671">
        <v>0</v>
      </c>
      <c r="K149" s="671">
        <v>0</v>
      </c>
      <c r="L149" s="671">
        <v>0</v>
      </c>
      <c r="M149" s="671">
        <v>0</v>
      </c>
      <c r="N149" s="671">
        <v>0</v>
      </c>
      <c r="O149" s="671">
        <v>0</v>
      </c>
      <c r="P149" s="671">
        <v>0</v>
      </c>
      <c r="Q149" s="671">
        <v>0</v>
      </c>
      <c r="R149" s="671">
        <v>0</v>
      </c>
      <c r="S149" s="671">
        <v>0</v>
      </c>
      <c r="T149" s="671">
        <v>0</v>
      </c>
      <c r="U149" s="671">
        <v>0</v>
      </c>
      <c r="V149" s="671">
        <v>0</v>
      </c>
      <c r="W149" s="671">
        <v>0</v>
      </c>
      <c r="X149" s="671">
        <v>0</v>
      </c>
      <c r="Y149" s="671">
        <v>0</v>
      </c>
      <c r="Z149" s="671">
        <v>0</v>
      </c>
      <c r="AA149" s="671">
        <v>0</v>
      </c>
      <c r="AB149" s="671">
        <v>0</v>
      </c>
      <c r="AC149" s="671">
        <v>0</v>
      </c>
      <c r="AD149" s="671">
        <v>0</v>
      </c>
      <c r="AE149" s="671">
        <v>0</v>
      </c>
      <c r="AF149" s="671">
        <v>0</v>
      </c>
      <c r="AG149" s="671">
        <v>0</v>
      </c>
      <c r="AH149" s="671">
        <v>0</v>
      </c>
      <c r="AI149" s="671">
        <v>0</v>
      </c>
      <c r="AJ149" s="671">
        <v>0</v>
      </c>
      <c r="AK149" s="671">
        <v>0</v>
      </c>
      <c r="AL149" s="671">
        <v>0</v>
      </c>
      <c r="AM149" s="671">
        <v>0</v>
      </c>
      <c r="AN149" s="671">
        <v>0</v>
      </c>
      <c r="AO149" s="671">
        <v>0</v>
      </c>
      <c r="AP149" s="671">
        <v>0</v>
      </c>
      <c r="AQ149" s="671">
        <v>0</v>
      </c>
    </row>
    <row r="150" spans="2:43" s="510" customFormat="1" ht="15.75">
      <c r="B150" s="682"/>
      <c r="C150" s="683"/>
      <c r="D150" s="667"/>
      <c r="E150" s="676"/>
      <c r="F150" s="677"/>
      <c r="G150" s="670">
        <f t="shared" si="128"/>
        <v>0</v>
      </c>
      <c r="H150" s="671">
        <v>0</v>
      </c>
      <c r="I150" s="671">
        <v>0</v>
      </c>
      <c r="J150" s="671">
        <v>0</v>
      </c>
      <c r="K150" s="671">
        <v>0</v>
      </c>
      <c r="L150" s="671">
        <v>0</v>
      </c>
      <c r="M150" s="671">
        <v>0</v>
      </c>
      <c r="N150" s="671">
        <v>0</v>
      </c>
      <c r="O150" s="671">
        <v>0</v>
      </c>
      <c r="P150" s="671">
        <v>0</v>
      </c>
      <c r="Q150" s="671">
        <v>0</v>
      </c>
      <c r="R150" s="671">
        <v>0</v>
      </c>
      <c r="S150" s="671">
        <v>0</v>
      </c>
      <c r="T150" s="671">
        <v>0</v>
      </c>
      <c r="U150" s="671">
        <v>0</v>
      </c>
      <c r="V150" s="671">
        <v>0</v>
      </c>
      <c r="W150" s="671">
        <v>0</v>
      </c>
      <c r="X150" s="671">
        <v>0</v>
      </c>
      <c r="Y150" s="671">
        <v>0</v>
      </c>
      <c r="Z150" s="671">
        <v>0</v>
      </c>
      <c r="AA150" s="671">
        <v>0</v>
      </c>
      <c r="AB150" s="671">
        <v>0</v>
      </c>
      <c r="AC150" s="671">
        <v>0</v>
      </c>
      <c r="AD150" s="671">
        <v>0</v>
      </c>
      <c r="AE150" s="671">
        <v>0</v>
      </c>
      <c r="AF150" s="671">
        <v>0</v>
      </c>
      <c r="AG150" s="671">
        <v>0</v>
      </c>
      <c r="AH150" s="671">
        <v>0</v>
      </c>
      <c r="AI150" s="671">
        <v>0</v>
      </c>
      <c r="AJ150" s="671">
        <v>0</v>
      </c>
      <c r="AK150" s="671">
        <v>0</v>
      </c>
      <c r="AL150" s="671">
        <v>0</v>
      </c>
      <c r="AM150" s="671">
        <v>0</v>
      </c>
      <c r="AN150" s="671">
        <v>0</v>
      </c>
      <c r="AO150" s="671">
        <v>0</v>
      </c>
      <c r="AP150" s="671">
        <v>0</v>
      </c>
      <c r="AQ150" s="671">
        <v>0</v>
      </c>
    </row>
    <row r="151" spans="2:43" s="510" customFormat="1" ht="15.75">
      <c r="B151" s="682"/>
      <c r="C151" s="683"/>
      <c r="D151" s="667"/>
      <c r="E151" s="676"/>
      <c r="F151" s="677"/>
      <c r="G151" s="670">
        <f t="shared" si="128"/>
        <v>0</v>
      </c>
      <c r="H151" s="671">
        <v>0</v>
      </c>
      <c r="I151" s="671">
        <v>0</v>
      </c>
      <c r="J151" s="671">
        <v>0</v>
      </c>
      <c r="K151" s="671">
        <v>0</v>
      </c>
      <c r="L151" s="671">
        <v>0</v>
      </c>
      <c r="M151" s="671">
        <v>0</v>
      </c>
      <c r="N151" s="671">
        <v>0</v>
      </c>
      <c r="O151" s="671">
        <v>0</v>
      </c>
      <c r="P151" s="671">
        <v>0</v>
      </c>
      <c r="Q151" s="671">
        <v>0</v>
      </c>
      <c r="R151" s="671">
        <v>0</v>
      </c>
      <c r="S151" s="671">
        <v>0</v>
      </c>
      <c r="T151" s="671">
        <v>0</v>
      </c>
      <c r="U151" s="671">
        <v>0</v>
      </c>
      <c r="V151" s="671">
        <v>0</v>
      </c>
      <c r="W151" s="671">
        <v>0</v>
      </c>
      <c r="X151" s="671">
        <v>0</v>
      </c>
      <c r="Y151" s="671">
        <v>0</v>
      </c>
      <c r="Z151" s="671">
        <v>0</v>
      </c>
      <c r="AA151" s="671">
        <v>0</v>
      </c>
      <c r="AB151" s="671">
        <v>0</v>
      </c>
      <c r="AC151" s="671">
        <v>0</v>
      </c>
      <c r="AD151" s="671">
        <v>0</v>
      </c>
      <c r="AE151" s="671">
        <v>0</v>
      </c>
      <c r="AF151" s="671">
        <v>0</v>
      </c>
      <c r="AG151" s="671">
        <v>0</v>
      </c>
      <c r="AH151" s="671">
        <v>0</v>
      </c>
      <c r="AI151" s="671">
        <v>0</v>
      </c>
      <c r="AJ151" s="671">
        <v>0</v>
      </c>
      <c r="AK151" s="671">
        <v>0</v>
      </c>
      <c r="AL151" s="671">
        <v>0</v>
      </c>
      <c r="AM151" s="671">
        <v>0</v>
      </c>
      <c r="AN151" s="671">
        <v>0</v>
      </c>
      <c r="AO151" s="671">
        <v>0</v>
      </c>
      <c r="AP151" s="671">
        <v>0</v>
      </c>
      <c r="AQ151" s="671">
        <v>0</v>
      </c>
    </row>
    <row r="152" spans="2:43" s="510" customFormat="1" ht="15.75">
      <c r="B152" s="682"/>
      <c r="C152" s="683"/>
      <c r="D152" s="667"/>
      <c r="E152" s="676"/>
      <c r="F152" s="677"/>
      <c r="G152" s="670">
        <f t="shared" si="128"/>
        <v>0</v>
      </c>
      <c r="H152" s="671">
        <v>0</v>
      </c>
      <c r="I152" s="671">
        <v>0</v>
      </c>
      <c r="J152" s="671">
        <v>0</v>
      </c>
      <c r="K152" s="671">
        <v>0</v>
      </c>
      <c r="L152" s="671">
        <v>0</v>
      </c>
      <c r="M152" s="671">
        <v>0</v>
      </c>
      <c r="N152" s="671">
        <v>0</v>
      </c>
      <c r="O152" s="671">
        <v>0</v>
      </c>
      <c r="P152" s="671">
        <v>0</v>
      </c>
      <c r="Q152" s="671">
        <v>0</v>
      </c>
      <c r="R152" s="671">
        <v>0</v>
      </c>
      <c r="S152" s="671">
        <v>0</v>
      </c>
      <c r="T152" s="671">
        <v>0</v>
      </c>
      <c r="U152" s="671">
        <v>0</v>
      </c>
      <c r="V152" s="671">
        <v>0</v>
      </c>
      <c r="W152" s="671">
        <v>0</v>
      </c>
      <c r="X152" s="671">
        <v>0</v>
      </c>
      <c r="Y152" s="671">
        <v>0</v>
      </c>
      <c r="Z152" s="671">
        <v>0</v>
      </c>
      <c r="AA152" s="671">
        <v>0</v>
      </c>
      <c r="AB152" s="671">
        <v>0</v>
      </c>
      <c r="AC152" s="671">
        <v>0</v>
      </c>
      <c r="AD152" s="671">
        <v>0</v>
      </c>
      <c r="AE152" s="671">
        <v>0</v>
      </c>
      <c r="AF152" s="671">
        <v>0</v>
      </c>
      <c r="AG152" s="671">
        <v>0</v>
      </c>
      <c r="AH152" s="671">
        <v>0</v>
      </c>
      <c r="AI152" s="671">
        <v>0</v>
      </c>
      <c r="AJ152" s="671">
        <v>0</v>
      </c>
      <c r="AK152" s="671">
        <v>0</v>
      </c>
      <c r="AL152" s="671">
        <v>0</v>
      </c>
      <c r="AM152" s="671">
        <v>0</v>
      </c>
      <c r="AN152" s="671">
        <v>0</v>
      </c>
      <c r="AO152" s="671">
        <v>0</v>
      </c>
      <c r="AP152" s="671">
        <v>0</v>
      </c>
      <c r="AQ152" s="671">
        <v>0</v>
      </c>
    </row>
    <row r="153" spans="2:43" s="510" customFormat="1" ht="15.75">
      <c r="B153" s="682"/>
      <c r="C153" s="683"/>
      <c r="D153" s="667"/>
      <c r="E153" s="676"/>
      <c r="F153" s="677"/>
      <c r="G153" s="670">
        <f t="shared" si="128"/>
        <v>0</v>
      </c>
      <c r="H153" s="671">
        <v>0</v>
      </c>
      <c r="I153" s="671">
        <v>0</v>
      </c>
      <c r="J153" s="671">
        <v>0</v>
      </c>
      <c r="K153" s="671">
        <v>0</v>
      </c>
      <c r="L153" s="671">
        <v>0</v>
      </c>
      <c r="M153" s="671">
        <v>0</v>
      </c>
      <c r="N153" s="671">
        <v>0</v>
      </c>
      <c r="O153" s="671">
        <v>0</v>
      </c>
      <c r="P153" s="671">
        <v>0</v>
      </c>
      <c r="Q153" s="671">
        <v>0</v>
      </c>
      <c r="R153" s="671">
        <v>0</v>
      </c>
      <c r="S153" s="671">
        <v>0</v>
      </c>
      <c r="T153" s="671">
        <v>0</v>
      </c>
      <c r="U153" s="671">
        <v>0</v>
      </c>
      <c r="V153" s="671">
        <v>0</v>
      </c>
      <c r="W153" s="671">
        <v>0</v>
      </c>
      <c r="X153" s="671">
        <v>0</v>
      </c>
      <c r="Y153" s="671">
        <v>0</v>
      </c>
      <c r="Z153" s="671">
        <v>0</v>
      </c>
      <c r="AA153" s="671">
        <v>0</v>
      </c>
      <c r="AB153" s="671">
        <v>0</v>
      </c>
      <c r="AC153" s="671">
        <v>0</v>
      </c>
      <c r="AD153" s="671">
        <v>0</v>
      </c>
      <c r="AE153" s="671">
        <v>0</v>
      </c>
      <c r="AF153" s="671">
        <v>0</v>
      </c>
      <c r="AG153" s="671">
        <v>0</v>
      </c>
      <c r="AH153" s="671">
        <v>0</v>
      </c>
      <c r="AI153" s="671">
        <v>0</v>
      </c>
      <c r="AJ153" s="671">
        <v>0</v>
      </c>
      <c r="AK153" s="671">
        <v>0</v>
      </c>
      <c r="AL153" s="671">
        <v>0</v>
      </c>
      <c r="AM153" s="671">
        <v>0</v>
      </c>
      <c r="AN153" s="671">
        <v>0</v>
      </c>
      <c r="AO153" s="671">
        <v>0</v>
      </c>
      <c r="AP153" s="671">
        <v>0</v>
      </c>
      <c r="AQ153" s="671">
        <v>0</v>
      </c>
    </row>
    <row r="154" spans="2:43" s="510" customFormat="1" ht="15.75">
      <c r="B154" s="682"/>
      <c r="C154" s="683"/>
      <c r="D154" s="667"/>
      <c r="E154" s="676"/>
      <c r="F154" s="677"/>
      <c r="G154" s="670">
        <f t="shared" si="128"/>
        <v>0</v>
      </c>
      <c r="H154" s="671">
        <v>0</v>
      </c>
      <c r="I154" s="671">
        <v>0</v>
      </c>
      <c r="J154" s="671">
        <v>0</v>
      </c>
      <c r="K154" s="671">
        <v>0</v>
      </c>
      <c r="L154" s="671">
        <v>0</v>
      </c>
      <c r="M154" s="671">
        <v>0</v>
      </c>
      <c r="N154" s="671">
        <v>0</v>
      </c>
      <c r="O154" s="671">
        <v>0</v>
      </c>
      <c r="P154" s="671">
        <v>0</v>
      </c>
      <c r="Q154" s="671">
        <v>0</v>
      </c>
      <c r="R154" s="671">
        <v>0</v>
      </c>
      <c r="S154" s="671">
        <v>0</v>
      </c>
      <c r="T154" s="671">
        <v>0</v>
      </c>
      <c r="U154" s="671">
        <v>0</v>
      </c>
      <c r="V154" s="671">
        <v>0</v>
      </c>
      <c r="W154" s="671">
        <v>0</v>
      </c>
      <c r="X154" s="671">
        <v>0</v>
      </c>
      <c r="Y154" s="671">
        <v>0</v>
      </c>
      <c r="Z154" s="671">
        <v>0</v>
      </c>
      <c r="AA154" s="671">
        <v>0</v>
      </c>
      <c r="AB154" s="671">
        <v>0</v>
      </c>
      <c r="AC154" s="671">
        <v>0</v>
      </c>
      <c r="AD154" s="671">
        <v>0</v>
      </c>
      <c r="AE154" s="671">
        <v>0</v>
      </c>
      <c r="AF154" s="671">
        <v>0</v>
      </c>
      <c r="AG154" s="671">
        <v>0</v>
      </c>
      <c r="AH154" s="671">
        <v>0</v>
      </c>
      <c r="AI154" s="671">
        <v>0</v>
      </c>
      <c r="AJ154" s="671">
        <v>0</v>
      </c>
      <c r="AK154" s="671">
        <v>0</v>
      </c>
      <c r="AL154" s="671">
        <v>0</v>
      </c>
      <c r="AM154" s="671">
        <v>0</v>
      </c>
      <c r="AN154" s="671">
        <v>0</v>
      </c>
      <c r="AO154" s="671">
        <v>0</v>
      </c>
      <c r="AP154" s="671">
        <v>0</v>
      </c>
      <c r="AQ154" s="671">
        <v>0</v>
      </c>
    </row>
    <row r="155" spans="2:43" s="510" customFormat="1" ht="15.75">
      <c r="B155" s="682"/>
      <c r="C155" s="683"/>
      <c r="D155" s="667"/>
      <c r="E155" s="676"/>
      <c r="F155" s="677"/>
      <c r="G155" s="670">
        <f t="shared" si="128"/>
        <v>0</v>
      </c>
      <c r="H155" s="671">
        <v>0</v>
      </c>
      <c r="I155" s="671">
        <v>0</v>
      </c>
      <c r="J155" s="671">
        <v>0</v>
      </c>
      <c r="K155" s="671">
        <v>0</v>
      </c>
      <c r="L155" s="671">
        <v>0</v>
      </c>
      <c r="M155" s="671">
        <v>0</v>
      </c>
      <c r="N155" s="671">
        <v>0</v>
      </c>
      <c r="O155" s="671">
        <v>0</v>
      </c>
      <c r="P155" s="671">
        <v>0</v>
      </c>
      <c r="Q155" s="671">
        <v>0</v>
      </c>
      <c r="R155" s="671">
        <v>0</v>
      </c>
      <c r="S155" s="671">
        <v>0</v>
      </c>
      <c r="T155" s="671">
        <v>0</v>
      </c>
      <c r="U155" s="671">
        <v>0</v>
      </c>
      <c r="V155" s="671">
        <v>0</v>
      </c>
      <c r="W155" s="671">
        <v>0</v>
      </c>
      <c r="X155" s="671">
        <v>0</v>
      </c>
      <c r="Y155" s="671">
        <v>0</v>
      </c>
      <c r="Z155" s="671">
        <v>0</v>
      </c>
      <c r="AA155" s="671">
        <v>0</v>
      </c>
      <c r="AB155" s="671">
        <v>0</v>
      </c>
      <c r="AC155" s="671">
        <v>0</v>
      </c>
      <c r="AD155" s="671">
        <v>0</v>
      </c>
      <c r="AE155" s="671">
        <v>0</v>
      </c>
      <c r="AF155" s="671">
        <v>0</v>
      </c>
      <c r="AG155" s="671">
        <v>0</v>
      </c>
      <c r="AH155" s="671">
        <v>0</v>
      </c>
      <c r="AI155" s="671">
        <v>0</v>
      </c>
      <c r="AJ155" s="671">
        <v>0</v>
      </c>
      <c r="AK155" s="671">
        <v>0</v>
      </c>
      <c r="AL155" s="671">
        <v>0</v>
      </c>
      <c r="AM155" s="671">
        <v>0</v>
      </c>
      <c r="AN155" s="671">
        <v>0</v>
      </c>
      <c r="AO155" s="671">
        <v>0</v>
      </c>
      <c r="AP155" s="671">
        <v>0</v>
      </c>
      <c r="AQ155" s="671">
        <v>0</v>
      </c>
    </row>
    <row r="156" spans="2:43" s="510" customFormat="1" ht="15.75">
      <c r="B156" s="682"/>
      <c r="C156" s="683"/>
      <c r="D156" s="667"/>
      <c r="E156" s="676"/>
      <c r="F156" s="677"/>
      <c r="G156" s="670">
        <f t="shared" si="128"/>
        <v>0</v>
      </c>
      <c r="H156" s="671">
        <v>0</v>
      </c>
      <c r="I156" s="671">
        <v>0</v>
      </c>
      <c r="J156" s="671">
        <v>0</v>
      </c>
      <c r="K156" s="671">
        <v>0</v>
      </c>
      <c r="L156" s="671">
        <v>0</v>
      </c>
      <c r="M156" s="671">
        <v>0</v>
      </c>
      <c r="N156" s="671">
        <v>0</v>
      </c>
      <c r="O156" s="671">
        <v>0</v>
      </c>
      <c r="P156" s="671">
        <v>0</v>
      </c>
      <c r="Q156" s="671">
        <v>0</v>
      </c>
      <c r="R156" s="671">
        <v>0</v>
      </c>
      <c r="S156" s="671">
        <v>0</v>
      </c>
      <c r="T156" s="671">
        <v>0</v>
      </c>
      <c r="U156" s="671">
        <v>0</v>
      </c>
      <c r="V156" s="671">
        <v>0</v>
      </c>
      <c r="W156" s="671">
        <v>0</v>
      </c>
      <c r="X156" s="671">
        <v>0</v>
      </c>
      <c r="Y156" s="671">
        <v>0</v>
      </c>
      <c r="Z156" s="671">
        <v>0</v>
      </c>
      <c r="AA156" s="671">
        <v>0</v>
      </c>
      <c r="AB156" s="671">
        <v>0</v>
      </c>
      <c r="AC156" s="671">
        <v>0</v>
      </c>
      <c r="AD156" s="671">
        <v>0</v>
      </c>
      <c r="AE156" s="671">
        <v>0</v>
      </c>
      <c r="AF156" s="671">
        <v>0</v>
      </c>
      <c r="AG156" s="671">
        <v>0</v>
      </c>
      <c r="AH156" s="671">
        <v>0</v>
      </c>
      <c r="AI156" s="671">
        <v>0</v>
      </c>
      <c r="AJ156" s="671">
        <v>0</v>
      </c>
      <c r="AK156" s="671">
        <v>0</v>
      </c>
      <c r="AL156" s="671">
        <v>0</v>
      </c>
      <c r="AM156" s="671">
        <v>0</v>
      </c>
      <c r="AN156" s="671">
        <v>0</v>
      </c>
      <c r="AO156" s="671">
        <v>0</v>
      </c>
      <c r="AP156" s="671">
        <v>0</v>
      </c>
      <c r="AQ156" s="671">
        <v>0</v>
      </c>
    </row>
    <row r="157" spans="2:43" s="510" customFormat="1" ht="15.75">
      <c r="B157" s="687"/>
      <c r="C157" s="688"/>
      <c r="D157" s="689"/>
      <c r="E157" s="676"/>
      <c r="F157" s="690"/>
      <c r="G157" s="670">
        <f t="shared" si="128"/>
        <v>0</v>
      </c>
      <c r="H157" s="671">
        <v>0</v>
      </c>
      <c r="I157" s="671">
        <v>0</v>
      </c>
      <c r="J157" s="671">
        <v>0</v>
      </c>
      <c r="K157" s="671">
        <v>0</v>
      </c>
      <c r="L157" s="671">
        <v>0</v>
      </c>
      <c r="M157" s="671">
        <v>0</v>
      </c>
      <c r="N157" s="671">
        <v>0</v>
      </c>
      <c r="O157" s="671">
        <v>0</v>
      </c>
      <c r="P157" s="671">
        <v>0</v>
      </c>
      <c r="Q157" s="671">
        <v>0</v>
      </c>
      <c r="R157" s="671">
        <v>0</v>
      </c>
      <c r="S157" s="671">
        <v>0</v>
      </c>
      <c r="T157" s="671">
        <v>0</v>
      </c>
      <c r="U157" s="671">
        <v>0</v>
      </c>
      <c r="V157" s="671">
        <v>0</v>
      </c>
      <c r="W157" s="671">
        <v>0</v>
      </c>
      <c r="X157" s="671">
        <v>0</v>
      </c>
      <c r="Y157" s="671">
        <v>0</v>
      </c>
      <c r="Z157" s="671">
        <v>0</v>
      </c>
      <c r="AA157" s="671">
        <v>0</v>
      </c>
      <c r="AB157" s="671">
        <v>0</v>
      </c>
      <c r="AC157" s="671">
        <v>0</v>
      </c>
      <c r="AD157" s="671">
        <v>0</v>
      </c>
      <c r="AE157" s="671">
        <v>0</v>
      </c>
      <c r="AF157" s="671">
        <v>0</v>
      </c>
      <c r="AG157" s="671">
        <v>0</v>
      </c>
      <c r="AH157" s="671">
        <v>0</v>
      </c>
      <c r="AI157" s="671">
        <v>0</v>
      </c>
      <c r="AJ157" s="671">
        <v>0</v>
      </c>
      <c r="AK157" s="671">
        <v>0</v>
      </c>
      <c r="AL157" s="671">
        <v>0</v>
      </c>
      <c r="AM157" s="671">
        <v>0</v>
      </c>
      <c r="AN157" s="671">
        <v>0</v>
      </c>
      <c r="AO157" s="671">
        <v>0</v>
      </c>
      <c r="AP157" s="671">
        <v>0</v>
      </c>
      <c r="AQ157" s="671">
        <v>0</v>
      </c>
    </row>
    <row r="158" spans="2:43" s="510" customFormat="1" ht="15.75">
      <c r="B158" s="691"/>
      <c r="C158" s="659"/>
      <c r="D158" s="660"/>
      <c r="E158" s="660"/>
      <c r="F158" s="660"/>
      <c r="G158" s="692"/>
      <c r="H158" s="692"/>
      <c r="I158" s="692"/>
      <c r="J158" s="659"/>
      <c r="K158" s="659"/>
      <c r="L158" s="659"/>
      <c r="M158" s="659"/>
      <c r="N158" s="659"/>
      <c r="O158" s="659"/>
      <c r="P158" s="659"/>
      <c r="Q158" s="662"/>
      <c r="R158" s="659"/>
      <c r="S158" s="659"/>
      <c r="T158" s="659"/>
      <c r="U158" s="659"/>
      <c r="V158" s="659"/>
      <c r="W158" s="659"/>
      <c r="X158" s="659"/>
      <c r="Y158" s="659"/>
      <c r="Z158" s="659"/>
      <c r="AA158" s="659"/>
    </row>
    <row r="159" spans="2:43" s="510" customFormat="1" ht="15.75">
      <c r="B159" s="691"/>
      <c r="C159" s="659"/>
      <c r="D159" s="660"/>
      <c r="E159" s="660"/>
      <c r="F159" s="660"/>
      <c r="G159" s="692"/>
      <c r="H159" s="692"/>
      <c r="I159" s="692"/>
      <c r="J159" s="659"/>
      <c r="K159" s="659"/>
      <c r="L159" s="659"/>
      <c r="M159" s="659"/>
      <c r="N159" s="659"/>
      <c r="O159" s="659"/>
      <c r="P159" s="659"/>
      <c r="Q159" s="662"/>
      <c r="R159" s="659"/>
      <c r="S159" s="659"/>
      <c r="T159" s="659"/>
      <c r="U159" s="659"/>
      <c r="V159" s="659"/>
      <c r="W159" s="659"/>
      <c r="X159" s="659"/>
      <c r="Y159" s="659"/>
      <c r="Z159" s="659"/>
      <c r="AA159" s="659"/>
    </row>
    <row r="160" spans="2:43" s="510" customFormat="1" ht="15.75">
      <c r="B160" s="691"/>
      <c r="C160" s="659"/>
      <c r="D160" s="660"/>
      <c r="E160" s="660"/>
      <c r="F160" s="660"/>
      <c r="G160" s="692"/>
      <c r="H160" s="692"/>
      <c r="I160" s="692"/>
      <c r="J160" s="659"/>
      <c r="K160" s="659"/>
      <c r="L160" s="659"/>
      <c r="M160" s="659"/>
      <c r="N160" s="659"/>
      <c r="O160" s="659"/>
      <c r="P160" s="659"/>
      <c r="Q160" s="662"/>
      <c r="R160" s="659"/>
      <c r="S160" s="659"/>
      <c r="T160" s="659"/>
      <c r="U160" s="659"/>
      <c r="V160" s="659"/>
      <c r="W160" s="659"/>
      <c r="X160" s="659"/>
      <c r="Y160" s="659"/>
      <c r="Z160" s="659"/>
      <c r="AA160" s="659"/>
    </row>
    <row r="161" spans="2:27" s="510" customFormat="1" ht="15.75">
      <c r="B161" s="691"/>
      <c r="C161" s="659"/>
      <c r="D161" s="660"/>
      <c r="E161" s="660"/>
      <c r="F161" s="660"/>
      <c r="G161" s="692"/>
      <c r="H161" s="692"/>
      <c r="I161" s="692"/>
      <c r="J161" s="659"/>
      <c r="K161" s="659"/>
      <c r="L161" s="659"/>
      <c r="M161" s="659"/>
      <c r="N161" s="659"/>
      <c r="O161" s="659"/>
      <c r="P161" s="659"/>
      <c r="Q161" s="662"/>
      <c r="R161" s="659"/>
      <c r="S161" s="659"/>
      <c r="T161" s="659"/>
      <c r="U161" s="659"/>
      <c r="V161" s="659"/>
      <c r="W161" s="659"/>
      <c r="X161" s="659"/>
      <c r="Y161" s="659"/>
      <c r="Z161" s="659"/>
      <c r="AA161" s="659"/>
    </row>
    <row r="162" spans="2:27" s="510" customFormat="1" ht="15.75">
      <c r="B162" s="691"/>
      <c r="C162" s="659"/>
      <c r="D162" s="660"/>
      <c r="E162" s="660" t="s">
        <v>173</v>
      </c>
      <c r="F162" s="660"/>
      <c r="G162" s="692">
        <f>NPV('7.CF'!$D$40,'5.Doanh thu'!AF118:BY118)+SUM('5.Doanh thu'!AE118)</f>
        <v>0</v>
      </c>
      <c r="H162" s="693">
        <f>G162/SUM($G$162:$G$163)</f>
        <v>0</v>
      </c>
      <c r="I162" s="692"/>
      <c r="J162" s="659"/>
      <c r="K162" s="659"/>
      <c r="L162" s="659"/>
      <c r="M162" s="659"/>
      <c r="N162" s="659"/>
      <c r="O162" s="659"/>
      <c r="P162" s="659"/>
      <c r="Q162" s="662"/>
      <c r="R162" s="659"/>
      <c r="S162" s="659"/>
      <c r="T162" s="659"/>
      <c r="U162" s="659"/>
      <c r="V162" s="659"/>
      <c r="W162" s="659"/>
      <c r="X162" s="659"/>
      <c r="Y162" s="659"/>
      <c r="Z162" s="659"/>
      <c r="AA162" s="659"/>
    </row>
    <row r="163" spans="2:27" s="510" customFormat="1" ht="15.75">
      <c r="B163" s="691"/>
      <c r="C163" s="659"/>
      <c r="D163" s="660"/>
      <c r="E163" s="660" t="s">
        <v>174</v>
      </c>
      <c r="F163" s="660"/>
      <c r="G163" s="692">
        <v>2399827.2000000002</v>
      </c>
      <c r="H163" s="693">
        <f>1-H162</f>
        <v>1</v>
      </c>
      <c r="I163" s="692"/>
      <c r="J163" s="659"/>
      <c r="K163" s="659"/>
      <c r="L163" s="659"/>
      <c r="M163" s="659"/>
      <c r="N163" s="659"/>
      <c r="O163" s="659"/>
      <c r="P163" s="659"/>
      <c r="Q163" s="662"/>
      <c r="R163" s="659"/>
      <c r="S163" s="659"/>
      <c r="T163" s="659"/>
      <c r="U163" s="659"/>
      <c r="V163" s="659"/>
      <c r="W163" s="659"/>
      <c r="X163" s="659"/>
      <c r="Y163" s="659"/>
      <c r="Z163" s="659"/>
      <c r="AA163" s="659"/>
    </row>
    <row r="167" spans="2:27" customFormat="1" ht="12.75"/>
    <row r="168" spans="2:27" customFormat="1" ht="12.75"/>
    <row r="169" spans="2:27" customFormat="1" ht="12.75"/>
    <row r="170" spans="2:27" customFormat="1" ht="12.75"/>
    <row r="171" spans="2:27" customFormat="1" ht="12.75"/>
    <row r="172" spans="2:27" customFormat="1" ht="12.75"/>
    <row r="173" spans="2:27" customFormat="1" ht="12.75"/>
    <row r="174" spans="2:27" customFormat="1" ht="12.75"/>
    <row r="175" spans="2:27" customFormat="1" ht="12.75"/>
    <row r="176" spans="2:27" customFormat="1" ht="12.75"/>
    <row r="177" customFormat="1" ht="12.75"/>
    <row r="178" customFormat="1" ht="12.75"/>
    <row r="179" customFormat="1" ht="12.75"/>
    <row r="180" customFormat="1" ht="12.75"/>
    <row r="181" customFormat="1" ht="12.75"/>
    <row r="182" customFormat="1" ht="12.75"/>
    <row r="183" customFormat="1" ht="12.75"/>
    <row r="184" customFormat="1" ht="12.75"/>
    <row r="185" customFormat="1" ht="12.75"/>
    <row r="186" customFormat="1" ht="12.75"/>
    <row r="187" customFormat="1" ht="12.75"/>
    <row r="188" customFormat="1" ht="12.75"/>
    <row r="189" customFormat="1" ht="12.75"/>
    <row r="190" customFormat="1" ht="12.75"/>
    <row r="191" customFormat="1" ht="12.75"/>
    <row r="192" customFormat="1" ht="12.75"/>
  </sheetData>
  <sheetProtection selectLockedCells="1" selectUnlockedCells="1"/>
  <mergeCells count="6">
    <mergeCell ref="B7:B8"/>
    <mergeCell ref="C7:C8"/>
    <mergeCell ref="D7:D8"/>
    <mergeCell ref="E7:E8"/>
    <mergeCell ref="G7:G8"/>
    <mergeCell ref="F7:F8"/>
  </mergeCells>
  <phoneticPr fontId="77" type="noConversion"/>
  <conditionalFormatting sqref="H121:AQ157">
    <cfRule type="cellIs" dxfId="45" priority="32" stopIfTrue="1" operator="equal">
      <formula>0</formula>
    </cfRule>
  </conditionalFormatting>
  <conditionalFormatting sqref="H11:CJ11">
    <cfRule type="cellIs" dxfId="44" priority="4053" operator="greaterThan">
      <formula>0</formula>
    </cfRule>
  </conditionalFormatting>
  <conditionalFormatting sqref="H11:CJ12">
    <cfRule type="cellIs" dxfId="43" priority="4054" stopIfTrue="1" operator="lessThanOrEqual">
      <formula>0</formula>
    </cfRule>
  </conditionalFormatting>
  <conditionalFormatting sqref="H17:CJ17">
    <cfRule type="cellIs" dxfId="42" priority="4051" operator="greaterThan">
      <formula>0</formula>
    </cfRule>
  </conditionalFormatting>
  <conditionalFormatting sqref="H17:CJ18">
    <cfRule type="cellIs" dxfId="41" priority="4052" stopIfTrue="1" operator="lessThanOrEqual">
      <formula>0</formula>
    </cfRule>
  </conditionalFormatting>
  <conditionalFormatting sqref="H23:CJ23">
    <cfRule type="cellIs" dxfId="40" priority="4049" operator="greaterThan">
      <formula>0</formula>
    </cfRule>
  </conditionalFormatting>
  <conditionalFormatting sqref="H23:CJ24">
    <cfRule type="cellIs" dxfId="39" priority="4050" stopIfTrue="1" operator="lessThanOrEqual">
      <formula>0</formula>
    </cfRule>
  </conditionalFormatting>
  <conditionalFormatting sqref="H29:CJ29">
    <cfRule type="cellIs" dxfId="38" priority="29" operator="greaterThan">
      <formula>0</formula>
    </cfRule>
  </conditionalFormatting>
  <conditionalFormatting sqref="H29:CJ30">
    <cfRule type="cellIs" dxfId="37" priority="30" stopIfTrue="1" operator="lessThanOrEqual">
      <formula>0</formula>
    </cfRule>
  </conditionalFormatting>
  <conditionalFormatting sqref="H35:CJ35">
    <cfRule type="cellIs" dxfId="36" priority="17" operator="greaterThan">
      <formula>0</formula>
    </cfRule>
  </conditionalFormatting>
  <conditionalFormatting sqref="H35:CJ36">
    <cfRule type="cellIs" dxfId="35" priority="18" stopIfTrue="1" operator="lessThanOrEqual">
      <formula>0</formula>
    </cfRule>
  </conditionalFormatting>
  <conditionalFormatting sqref="H41:CJ41">
    <cfRule type="cellIs" dxfId="34" priority="15" operator="greaterThan">
      <formula>0</formula>
    </cfRule>
  </conditionalFormatting>
  <conditionalFormatting sqref="H41:CJ42">
    <cfRule type="cellIs" dxfId="33" priority="16" stopIfTrue="1" operator="lessThanOrEqual">
      <formula>0</formula>
    </cfRule>
  </conditionalFormatting>
  <conditionalFormatting sqref="H47:CJ47">
    <cfRule type="cellIs" dxfId="32" priority="13" operator="greaterThan">
      <formula>0</formula>
    </cfRule>
  </conditionalFormatting>
  <conditionalFormatting sqref="H47:CJ48">
    <cfRule type="cellIs" dxfId="31" priority="14" stopIfTrue="1" operator="lessThanOrEqual">
      <formula>0</formula>
    </cfRule>
  </conditionalFormatting>
  <conditionalFormatting sqref="H53:CJ53">
    <cfRule type="cellIs" dxfId="30" priority="11" operator="greaterThan">
      <formula>0</formula>
    </cfRule>
  </conditionalFormatting>
  <conditionalFormatting sqref="H53:CJ54">
    <cfRule type="cellIs" dxfId="29" priority="12" stopIfTrue="1" operator="lessThanOrEqual">
      <formula>0</formula>
    </cfRule>
  </conditionalFormatting>
  <conditionalFormatting sqref="H59:CJ59">
    <cfRule type="cellIs" dxfId="28" priority="9" operator="greaterThan">
      <formula>0</formula>
    </cfRule>
  </conditionalFormatting>
  <conditionalFormatting sqref="H59:CJ60">
    <cfRule type="cellIs" dxfId="27" priority="10" stopIfTrue="1" operator="lessThanOrEqual">
      <formula>0</formula>
    </cfRule>
  </conditionalFormatting>
  <conditionalFormatting sqref="H65:CJ65">
    <cfRule type="cellIs" dxfId="26" priority="7" operator="greaterThan">
      <formula>0</formula>
    </cfRule>
  </conditionalFormatting>
  <conditionalFormatting sqref="H65:CJ66">
    <cfRule type="cellIs" dxfId="25" priority="8" stopIfTrue="1" operator="lessThanOrEqual">
      <formula>0</formula>
    </cfRule>
  </conditionalFormatting>
  <conditionalFormatting sqref="H75:CJ75">
    <cfRule type="cellIs" dxfId="24" priority="4047" operator="greaterThan">
      <formula>0</formula>
    </cfRule>
  </conditionalFormatting>
  <conditionalFormatting sqref="H75:CJ76">
    <cfRule type="cellIs" dxfId="23" priority="4048" stopIfTrue="1" operator="lessThanOrEqual">
      <formula>0</formula>
    </cfRule>
  </conditionalFormatting>
  <conditionalFormatting sqref="H82:CJ82">
    <cfRule type="cellIs" dxfId="22" priority="27" operator="greaterThan">
      <formula>0</formula>
    </cfRule>
  </conditionalFormatting>
  <conditionalFormatting sqref="H82:CJ83">
    <cfRule type="cellIs" dxfId="21" priority="28" stopIfTrue="1" operator="lessThanOrEqual">
      <formula>0</formula>
    </cfRule>
  </conditionalFormatting>
  <conditionalFormatting sqref="H89:CJ89">
    <cfRule type="cellIs" dxfId="20" priority="25" operator="greaterThan">
      <formula>0</formula>
    </cfRule>
  </conditionalFormatting>
  <conditionalFormatting sqref="H89:CJ90">
    <cfRule type="cellIs" dxfId="19" priority="26" stopIfTrue="1" operator="lessThanOrEqual">
      <formula>0</formula>
    </cfRule>
  </conditionalFormatting>
  <conditionalFormatting sqref="H96:CJ96">
    <cfRule type="cellIs" dxfId="18" priority="23" operator="greaterThan">
      <formula>0</formula>
    </cfRule>
  </conditionalFormatting>
  <conditionalFormatting sqref="H96:CJ97">
    <cfRule type="cellIs" dxfId="17" priority="24" stopIfTrue="1" operator="lessThanOrEqual">
      <formula>0</formula>
    </cfRule>
  </conditionalFormatting>
  <conditionalFormatting sqref="H103:CJ103">
    <cfRule type="cellIs" dxfId="16" priority="19" operator="greaterThan">
      <formula>0</formula>
    </cfRule>
  </conditionalFormatting>
  <conditionalFormatting sqref="H103:CJ104">
    <cfRule type="cellIs" dxfId="15" priority="20" stopIfTrue="1" operator="lessThanOrEqual">
      <formula>0</formula>
    </cfRule>
  </conditionalFormatting>
  <conditionalFormatting sqref="H110:CJ110">
    <cfRule type="cellIs" dxfId="14" priority="21" operator="greaterThan">
      <formula>0</formula>
    </cfRule>
  </conditionalFormatting>
  <conditionalFormatting sqref="H110:CJ111">
    <cfRule type="cellIs" dxfId="13" priority="22" stopIfTrue="1" operator="lessThanOrEqual">
      <formula>0</formula>
    </cfRule>
  </conditionalFormatting>
  <conditionalFormatting sqref="I131:AF132">
    <cfRule type="cellIs" dxfId="12" priority="13250" stopIfTrue="1" operator="equal">
      <formula>0</formula>
    </cfRule>
  </conditionalFormatting>
  <conditionalFormatting sqref="L124:AD124">
    <cfRule type="cellIs" dxfId="11" priority="13390" stopIfTrue="1" operator="equal">
      <formula>0</formula>
    </cfRule>
  </conditionalFormatting>
  <conditionalFormatting sqref="Q118:R118">
    <cfRule type="cellIs" dxfId="10" priority="13524" stopIfTrue="1" operator="equal">
      <formula>0</formula>
    </cfRule>
  </conditionalFormatting>
  <conditionalFormatting sqref="Q138:R138 Q138:Q139">
    <cfRule type="cellIs" dxfId="9" priority="2630" stopIfTrue="1" operator="equal">
      <formula>0</formula>
    </cfRule>
  </conditionalFormatting>
  <conditionalFormatting sqref="Q140:R150">
    <cfRule type="cellIs" dxfId="8" priority="5649" stopIfTrue="1" operator="equal">
      <formula>0</formula>
    </cfRule>
  </conditionalFormatting>
  <conditionalFormatting sqref="R138:R141">
    <cfRule type="cellIs" dxfId="7" priority="1" stopIfTrue="1" operator="equal">
      <formula>0</formula>
    </cfRule>
  </conditionalFormatting>
  <conditionalFormatting sqref="W126:Y126">
    <cfRule type="cellIs" dxfId="6" priority="3681" stopIfTrue="1" operator="equal">
      <formula>0</formula>
    </cfRule>
  </conditionalFormatting>
  <conditionalFormatting sqref="X125:Y126">
    <cfRule type="cellIs" dxfId="5" priority="3916" stopIfTrue="1" operator="equal">
      <formula>0</formula>
    </cfRule>
  </conditionalFormatting>
  <pageMargins left="0.25" right="0.35" top="0.31" bottom="0.33" header="0.2" footer="0.2"/>
  <pageSetup paperSize="9" scale="12" firstPageNumber="0" orientation="landscape" horizontalDpi="300" verticalDpi="300" r:id="rId1"/>
  <headerFooter alignWithMargins="0">
    <oddFooter>&amp;L181 Cao Thắng_x000D_&amp;1#&amp;"Calibri"&amp;10&amp;K000000 Internal Use&amp;R01-10-2013</oddFooter>
  </headerFooter>
  <rowBreaks count="1" manualBreakCount="1">
    <brk id="117" min="1" max="3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9">
    <pageSetUpPr fitToPage="1"/>
  </sheetPr>
  <dimension ref="A1:CI78"/>
  <sheetViews>
    <sheetView zoomScale="70" zoomScaleNormal="70" zoomScaleSheetLayoutView="100" workbookViewId="0">
      <selection activeCell="J69" sqref="J69"/>
    </sheetView>
  </sheetViews>
  <sheetFormatPr defaultColWidth="9.140625" defaultRowHeight="17.25"/>
  <cols>
    <col min="1" max="1" width="14.140625" style="742" bestFit="1" customWidth="1"/>
    <col min="2" max="2" width="6.140625" style="510" customWidth="1"/>
    <col min="3" max="3" width="48" style="511" customWidth="1"/>
    <col min="4" max="4" width="14.5703125" style="586" bestFit="1" customWidth="1"/>
    <col min="5" max="5" width="13.85546875" style="565" customWidth="1"/>
    <col min="6" max="6" width="8.85546875" style="511" customWidth="1"/>
    <col min="7" max="8" width="12.42578125" style="511" customWidth="1"/>
    <col min="9" max="22" width="12.42578125" style="516" customWidth="1"/>
    <col min="23" max="82" width="12.42578125" style="747" customWidth="1"/>
    <col min="83" max="87" width="12.42578125" style="742" customWidth="1"/>
    <col min="88" max="16384" width="9.140625" style="742"/>
  </cols>
  <sheetData>
    <row r="1" spans="1:87" s="313" customFormat="1" ht="25.15" customHeight="1">
      <c r="B1" s="348"/>
      <c r="C1" s="349"/>
      <c r="D1" s="350"/>
      <c r="E1" s="350"/>
      <c r="F1" s="357"/>
      <c r="G1" s="357"/>
      <c r="H1" s="357"/>
      <c r="I1" s="349"/>
      <c r="J1" s="349"/>
      <c r="K1" s="349"/>
      <c r="L1" s="349"/>
      <c r="M1" s="349"/>
      <c r="N1" s="349"/>
      <c r="O1" s="349"/>
      <c r="P1" s="358"/>
      <c r="Q1" s="349"/>
      <c r="R1" s="349"/>
      <c r="S1" s="349"/>
      <c r="T1" s="349"/>
      <c r="U1" s="349"/>
      <c r="V1" s="349"/>
      <c r="W1" s="349"/>
      <c r="X1" s="349"/>
      <c r="Y1" s="349"/>
      <c r="Z1" s="349"/>
    </row>
    <row r="2" spans="1:87" s="384" customFormat="1" ht="40.15" customHeight="1">
      <c r="C2" s="1" t="str">
        <f>+Summary!B2</f>
        <v>Dự án Trần Đức 1</v>
      </c>
      <c r="D2" s="1"/>
      <c r="E2" s="1"/>
      <c r="F2" s="1"/>
      <c r="G2" s="1"/>
    </row>
    <row r="3" spans="1:87" s="382" customFormat="1" ht="19.899999999999999" customHeight="1" thickBot="1">
      <c r="C3" s="1444" t="s">
        <v>605</v>
      </c>
      <c r="D3" s="386"/>
      <c r="E3" s="386"/>
      <c r="F3" s="386"/>
      <c r="G3" s="386"/>
    </row>
    <row r="4" spans="1:87" s="380" customFormat="1" ht="19.899999999999999" customHeight="1" thickTop="1">
      <c r="C4" s="381"/>
      <c r="D4" s="655"/>
      <c r="E4" s="655"/>
      <c r="F4" s="655"/>
      <c r="G4" s="655"/>
    </row>
    <row r="5" spans="1:87" ht="18.75">
      <c r="B5" s="828" t="s">
        <v>519</v>
      </c>
      <c r="C5" s="829" t="s">
        <v>511</v>
      </c>
      <c r="D5" s="745"/>
      <c r="E5" s="746"/>
      <c r="F5" s="744"/>
      <c r="G5" s="744"/>
      <c r="H5" s="744"/>
      <c r="I5" s="747"/>
      <c r="J5" s="747"/>
      <c r="K5" s="747"/>
      <c r="L5" s="747"/>
      <c r="M5" s="747"/>
      <c r="N5" s="747"/>
      <c r="O5" s="747"/>
      <c r="P5" s="747"/>
      <c r="Q5" s="747"/>
      <c r="R5" s="747"/>
      <c r="S5" s="747"/>
      <c r="T5" s="747"/>
      <c r="U5" s="747"/>
      <c r="V5" s="747"/>
    </row>
    <row r="6" spans="1:87" ht="18" thickBot="1">
      <c r="B6" s="743"/>
      <c r="C6" s="744"/>
      <c r="D6" s="745"/>
      <c r="E6" s="746"/>
      <c r="F6" s="744"/>
      <c r="G6" s="744"/>
      <c r="H6" s="744"/>
      <c r="I6" s="747"/>
      <c r="J6" s="747"/>
      <c r="K6" s="747"/>
      <c r="L6" s="747"/>
      <c r="M6" s="747"/>
      <c r="N6" s="747"/>
      <c r="O6" s="747"/>
      <c r="P6" s="747"/>
      <c r="Q6" s="747"/>
      <c r="R6" s="747"/>
      <c r="S6" s="747"/>
      <c r="T6" s="747"/>
      <c r="U6" s="747"/>
      <c r="V6" s="747"/>
    </row>
    <row r="7" spans="1:87" s="748" customFormat="1" ht="20.25" customHeight="1">
      <c r="B7" s="2322" t="s">
        <v>0</v>
      </c>
      <c r="C7" s="2325" t="s">
        <v>513</v>
      </c>
      <c r="D7" s="2329" t="s">
        <v>512</v>
      </c>
      <c r="E7" s="2329" t="s">
        <v>141</v>
      </c>
      <c r="F7" s="2370" t="s">
        <v>514</v>
      </c>
      <c r="G7" s="2370"/>
      <c r="H7" s="2370"/>
      <c r="I7" s="2370"/>
      <c r="J7" s="2370"/>
      <c r="K7" s="2370"/>
      <c r="L7" s="2370"/>
      <c r="M7" s="2370"/>
      <c r="N7" s="2370"/>
      <c r="O7" s="2370"/>
      <c r="P7" s="2370"/>
      <c r="Q7" s="2370"/>
      <c r="R7" s="2370"/>
      <c r="S7" s="2370"/>
      <c r="T7" s="2370"/>
      <c r="U7" s="2370"/>
      <c r="V7" s="2370"/>
      <c r="W7" s="919"/>
      <c r="X7" s="919"/>
      <c r="Y7" s="919"/>
      <c r="Z7" s="919"/>
      <c r="AA7" s="920"/>
      <c r="AB7" s="920"/>
      <c r="AC7" s="920"/>
      <c r="AD7" s="920"/>
      <c r="AE7" s="920"/>
      <c r="AF7" s="920"/>
      <c r="AG7" s="920"/>
      <c r="AH7" s="920"/>
      <c r="AI7" s="920"/>
      <c r="AJ7" s="920"/>
      <c r="AK7" s="920"/>
      <c r="AL7" s="920"/>
      <c r="AM7" s="920"/>
      <c r="AN7" s="920"/>
      <c r="AO7" s="920"/>
      <c r="AP7" s="920"/>
      <c r="AQ7" s="920"/>
      <c r="AR7" s="920"/>
      <c r="AS7" s="920"/>
      <c r="AT7" s="920"/>
      <c r="AU7" s="920"/>
      <c r="AV7" s="920"/>
      <c r="AW7" s="920"/>
      <c r="AX7" s="920"/>
      <c r="AY7" s="920"/>
      <c r="AZ7" s="920"/>
      <c r="BA7" s="920"/>
      <c r="BB7" s="920"/>
      <c r="BC7" s="920"/>
      <c r="BD7" s="920"/>
      <c r="BE7" s="920"/>
      <c r="BF7" s="920"/>
      <c r="BG7" s="920"/>
      <c r="BH7" s="920"/>
      <c r="BI7" s="920"/>
      <c r="BJ7" s="920"/>
      <c r="BK7" s="920"/>
      <c r="BL7" s="920"/>
      <c r="BM7" s="920"/>
      <c r="BN7" s="920"/>
      <c r="BO7" s="920"/>
      <c r="BP7" s="920"/>
      <c r="BQ7" s="920"/>
      <c r="BR7" s="920"/>
      <c r="BS7" s="920"/>
      <c r="BT7" s="920"/>
      <c r="BU7" s="920"/>
      <c r="BV7" s="920"/>
      <c r="BW7" s="920"/>
      <c r="BX7" s="920"/>
      <c r="BY7" s="920"/>
      <c r="BZ7" s="920"/>
      <c r="CA7" s="920"/>
      <c r="CB7" s="920"/>
      <c r="CC7" s="920"/>
      <c r="CD7" s="920"/>
      <c r="CE7" s="920"/>
      <c r="CF7" s="920"/>
      <c r="CG7" s="920"/>
      <c r="CH7" s="920"/>
      <c r="CI7" s="921"/>
    </row>
    <row r="8" spans="1:87" s="748" customFormat="1" ht="20.25" customHeight="1">
      <c r="B8" s="2323"/>
      <c r="C8" s="2326"/>
      <c r="D8" s="2330"/>
      <c r="E8" s="2330"/>
      <c r="F8" s="2365" t="s">
        <v>17</v>
      </c>
      <c r="G8" s="922">
        <f>'5.Doanh thu'!H7</f>
        <v>2026</v>
      </c>
      <c r="H8" s="922">
        <f>'5.Doanh thu'!I7</f>
        <v>2026</v>
      </c>
      <c r="I8" s="922">
        <f>'5.Doanh thu'!J7</f>
        <v>2026</v>
      </c>
      <c r="J8" s="922">
        <f>'5.Doanh thu'!K7</f>
        <v>2026</v>
      </c>
      <c r="K8" s="922">
        <f>'5.Doanh thu'!L7</f>
        <v>2027</v>
      </c>
      <c r="L8" s="922">
        <f>'5.Doanh thu'!M7</f>
        <v>2027</v>
      </c>
      <c r="M8" s="922">
        <f>'5.Doanh thu'!N7</f>
        <v>2027</v>
      </c>
      <c r="N8" s="922">
        <f>'5.Doanh thu'!O7</f>
        <v>2027</v>
      </c>
      <c r="O8" s="922">
        <f>'5.Doanh thu'!P7</f>
        <v>2028</v>
      </c>
      <c r="P8" s="922">
        <f>'5.Doanh thu'!Q7</f>
        <v>2028</v>
      </c>
      <c r="Q8" s="922">
        <f>'5.Doanh thu'!R7</f>
        <v>2028</v>
      </c>
      <c r="R8" s="922">
        <f>'5.Doanh thu'!S7</f>
        <v>2028</v>
      </c>
      <c r="S8" s="922">
        <f>'5.Doanh thu'!T7</f>
        <v>2029</v>
      </c>
      <c r="T8" s="922">
        <f>'5.Doanh thu'!U7</f>
        <v>2029</v>
      </c>
      <c r="U8" s="922">
        <f>'5.Doanh thu'!V7</f>
        <v>2029</v>
      </c>
      <c r="V8" s="922">
        <f>'5.Doanh thu'!W7</f>
        <v>2029</v>
      </c>
      <c r="W8" s="923">
        <f>'5.Doanh thu'!X7</f>
        <v>2030</v>
      </c>
      <c r="X8" s="923">
        <f>'5.Doanh thu'!Y7</f>
        <v>2030</v>
      </c>
      <c r="Y8" s="923">
        <f>'5.Doanh thu'!Z7</f>
        <v>2030</v>
      </c>
      <c r="Z8" s="923">
        <f>'5.Doanh thu'!AA7</f>
        <v>2030</v>
      </c>
      <c r="AA8" s="924">
        <f>'5.Doanh thu'!AB7</f>
        <v>2031</v>
      </c>
      <c r="AB8" s="924">
        <f>'5.Doanh thu'!AC7</f>
        <v>2031</v>
      </c>
      <c r="AC8" s="924">
        <f>'5.Doanh thu'!AD7</f>
        <v>2031</v>
      </c>
      <c r="AD8" s="924">
        <f>'5.Doanh thu'!AE7</f>
        <v>2031</v>
      </c>
      <c r="AE8" s="924">
        <f>'5.Doanh thu'!AF7</f>
        <v>2032</v>
      </c>
      <c r="AF8" s="924">
        <f>'5.Doanh thu'!AG7</f>
        <v>2032</v>
      </c>
      <c r="AG8" s="924">
        <f>'5.Doanh thu'!AH7</f>
        <v>2032</v>
      </c>
      <c r="AH8" s="924">
        <f>'5.Doanh thu'!AI7</f>
        <v>2032</v>
      </c>
      <c r="AI8" s="924">
        <f>'5.Doanh thu'!AJ7</f>
        <v>2033</v>
      </c>
      <c r="AJ8" s="924">
        <f>'5.Doanh thu'!AK7</f>
        <v>2033</v>
      </c>
      <c r="AK8" s="924">
        <f>'5.Doanh thu'!AL7</f>
        <v>2033</v>
      </c>
      <c r="AL8" s="924">
        <f>'5.Doanh thu'!AM7</f>
        <v>2033</v>
      </c>
      <c r="AM8" s="924">
        <f>'5.Doanh thu'!AN7</f>
        <v>2034</v>
      </c>
      <c r="AN8" s="924">
        <f>'5.Doanh thu'!AO7</f>
        <v>2034</v>
      </c>
      <c r="AO8" s="924">
        <f>'5.Doanh thu'!AP7</f>
        <v>2034</v>
      </c>
      <c r="AP8" s="924">
        <f>'5.Doanh thu'!AQ7</f>
        <v>2034</v>
      </c>
      <c r="AQ8" s="924">
        <f>'5.Doanh thu'!AR7</f>
        <v>2035</v>
      </c>
      <c r="AR8" s="924">
        <f>'5.Doanh thu'!AS7</f>
        <v>2036</v>
      </c>
      <c r="AS8" s="924">
        <f>'5.Doanh thu'!AT7</f>
        <v>2037</v>
      </c>
      <c r="AT8" s="924">
        <f>'5.Doanh thu'!AU7</f>
        <v>2038</v>
      </c>
      <c r="AU8" s="924">
        <f>'5.Doanh thu'!AV7</f>
        <v>2039</v>
      </c>
      <c r="AV8" s="924">
        <f>'5.Doanh thu'!AW7</f>
        <v>2040</v>
      </c>
      <c r="AW8" s="924">
        <f>'5.Doanh thu'!AX7</f>
        <v>2041</v>
      </c>
      <c r="AX8" s="924">
        <f>'5.Doanh thu'!AY7</f>
        <v>2042</v>
      </c>
      <c r="AY8" s="924">
        <f>'5.Doanh thu'!AZ7</f>
        <v>2043</v>
      </c>
      <c r="AZ8" s="924">
        <f>'5.Doanh thu'!BA7</f>
        <v>2044</v>
      </c>
      <c r="BA8" s="924">
        <f>'5.Doanh thu'!BB7</f>
        <v>2045</v>
      </c>
      <c r="BB8" s="924">
        <f>'5.Doanh thu'!BC7</f>
        <v>2046</v>
      </c>
      <c r="BC8" s="924">
        <f>'5.Doanh thu'!BD7</f>
        <v>2047</v>
      </c>
      <c r="BD8" s="924">
        <f>'5.Doanh thu'!BE7</f>
        <v>2048</v>
      </c>
      <c r="BE8" s="924">
        <f>'5.Doanh thu'!BF7</f>
        <v>2049</v>
      </c>
      <c r="BF8" s="924">
        <f>'5.Doanh thu'!BG7</f>
        <v>2050</v>
      </c>
      <c r="BG8" s="924">
        <f>'5.Doanh thu'!BH7</f>
        <v>2051</v>
      </c>
      <c r="BH8" s="924">
        <f>'5.Doanh thu'!BI7</f>
        <v>2052</v>
      </c>
      <c r="BI8" s="924">
        <f>'5.Doanh thu'!BJ7</f>
        <v>2053</v>
      </c>
      <c r="BJ8" s="924">
        <f>'5.Doanh thu'!BK7</f>
        <v>2054</v>
      </c>
      <c r="BK8" s="924">
        <f>'5.Doanh thu'!BL7</f>
        <v>2055</v>
      </c>
      <c r="BL8" s="924">
        <f>'5.Doanh thu'!BM7</f>
        <v>2056</v>
      </c>
      <c r="BM8" s="924">
        <f>'5.Doanh thu'!BN7</f>
        <v>2057</v>
      </c>
      <c r="BN8" s="924">
        <f>'5.Doanh thu'!BO7</f>
        <v>2058</v>
      </c>
      <c r="BO8" s="924">
        <f>'5.Doanh thu'!BP7</f>
        <v>2059</v>
      </c>
      <c r="BP8" s="924">
        <f>'5.Doanh thu'!BQ7</f>
        <v>2060</v>
      </c>
      <c r="BQ8" s="924">
        <f>'5.Doanh thu'!BR7</f>
        <v>2061</v>
      </c>
      <c r="BR8" s="924">
        <f>'5.Doanh thu'!BS7</f>
        <v>2062</v>
      </c>
      <c r="BS8" s="924">
        <f>'5.Doanh thu'!BT7</f>
        <v>2063</v>
      </c>
      <c r="BT8" s="924">
        <f>'5.Doanh thu'!BU7</f>
        <v>2064</v>
      </c>
      <c r="BU8" s="924">
        <f>'5.Doanh thu'!BV7</f>
        <v>2065</v>
      </c>
      <c r="BV8" s="924">
        <f>'5.Doanh thu'!BW7</f>
        <v>2066</v>
      </c>
      <c r="BW8" s="924">
        <f>'5.Doanh thu'!BX7</f>
        <v>2067</v>
      </c>
      <c r="BX8" s="924">
        <f>'5.Doanh thu'!BY7</f>
        <v>2068</v>
      </c>
      <c r="BY8" s="924">
        <f>'5.Doanh thu'!BZ7</f>
        <v>2069</v>
      </c>
      <c r="BZ8" s="924">
        <f>'5.Doanh thu'!CA7</f>
        <v>2070</v>
      </c>
      <c r="CA8" s="924">
        <f>'5.Doanh thu'!CB7</f>
        <v>2071</v>
      </c>
      <c r="CB8" s="924">
        <f>'5.Doanh thu'!CC7</f>
        <v>2072</v>
      </c>
      <c r="CC8" s="924">
        <f>'5.Doanh thu'!CD7</f>
        <v>2073</v>
      </c>
      <c r="CD8" s="924">
        <f>'5.Doanh thu'!CE7</f>
        <v>2074</v>
      </c>
      <c r="CE8" s="924">
        <f>'5.Doanh thu'!CF7</f>
        <v>2075</v>
      </c>
      <c r="CF8" s="924">
        <f>'5.Doanh thu'!CG7</f>
        <v>2076</v>
      </c>
      <c r="CG8" s="924">
        <f>'5.Doanh thu'!CH7</f>
        <v>2077</v>
      </c>
      <c r="CH8" s="924">
        <f>'5.Doanh thu'!CI7</f>
        <v>2078</v>
      </c>
      <c r="CI8" s="925">
        <f>'5.Doanh thu'!CJ7</f>
        <v>2079</v>
      </c>
    </row>
    <row r="9" spans="1:87" s="748" customFormat="1" ht="20.25" customHeight="1" thickBot="1">
      <c r="B9" s="2367"/>
      <c r="C9" s="2368"/>
      <c r="D9" s="2369"/>
      <c r="E9" s="2369"/>
      <c r="F9" s="2366"/>
      <c r="G9" s="926" t="str">
        <f>'5.Doanh thu'!H8</f>
        <v>Q1</v>
      </c>
      <c r="H9" s="926" t="str">
        <f>'5.Doanh thu'!I8</f>
        <v>Q2</v>
      </c>
      <c r="I9" s="926" t="str">
        <f>'5.Doanh thu'!J8</f>
        <v>Q3</v>
      </c>
      <c r="J9" s="926" t="str">
        <f>'5.Doanh thu'!K8</f>
        <v>Q4</v>
      </c>
      <c r="K9" s="926" t="str">
        <f>'5.Doanh thu'!L8</f>
        <v>Q1</v>
      </c>
      <c r="L9" s="926" t="str">
        <f>'5.Doanh thu'!M8</f>
        <v>Q2</v>
      </c>
      <c r="M9" s="926" t="str">
        <f>'5.Doanh thu'!N8</f>
        <v>Q3</v>
      </c>
      <c r="N9" s="926" t="str">
        <f>'5.Doanh thu'!O8</f>
        <v>Q4</v>
      </c>
      <c r="O9" s="926" t="str">
        <f>'5.Doanh thu'!P8</f>
        <v>Q1</v>
      </c>
      <c r="P9" s="926" t="str">
        <f>'5.Doanh thu'!Q8</f>
        <v>Q2</v>
      </c>
      <c r="Q9" s="926" t="str">
        <f>'5.Doanh thu'!R8</f>
        <v>Q3</v>
      </c>
      <c r="R9" s="926" t="str">
        <f>'5.Doanh thu'!S8</f>
        <v>Q4</v>
      </c>
      <c r="S9" s="926" t="str">
        <f>'5.Doanh thu'!T8</f>
        <v>Q1</v>
      </c>
      <c r="T9" s="926" t="str">
        <f>'5.Doanh thu'!U8</f>
        <v>Q2</v>
      </c>
      <c r="U9" s="926" t="str">
        <f>'5.Doanh thu'!V8</f>
        <v>Q3</v>
      </c>
      <c r="V9" s="926" t="str">
        <f>'5.Doanh thu'!W8</f>
        <v>Q4</v>
      </c>
      <c r="W9" s="927" t="str">
        <f>'5.Doanh thu'!X8</f>
        <v>Q1</v>
      </c>
      <c r="X9" s="927" t="str">
        <f>'5.Doanh thu'!Y8</f>
        <v>Q2</v>
      </c>
      <c r="Y9" s="927" t="str">
        <f>'5.Doanh thu'!Z8</f>
        <v>Q3</v>
      </c>
      <c r="Z9" s="927" t="str">
        <f>'5.Doanh thu'!AA8</f>
        <v>Q4</v>
      </c>
      <c r="AA9" s="927" t="str">
        <f>'5.Doanh thu'!AB8</f>
        <v>Q1</v>
      </c>
      <c r="AB9" s="927" t="str">
        <f>'5.Doanh thu'!AC8</f>
        <v>Q2</v>
      </c>
      <c r="AC9" s="927" t="str">
        <f>'5.Doanh thu'!AD8</f>
        <v>Q3</v>
      </c>
      <c r="AD9" s="927" t="str">
        <f>'5.Doanh thu'!AE8</f>
        <v>Q4</v>
      </c>
      <c r="AE9" s="928"/>
      <c r="AF9" s="928"/>
      <c r="AG9" s="928"/>
      <c r="AH9" s="928"/>
      <c r="AI9" s="928"/>
      <c r="AJ9" s="928"/>
      <c r="AK9" s="928"/>
      <c r="AL9" s="928"/>
      <c r="AM9" s="928"/>
      <c r="AN9" s="928"/>
      <c r="AO9" s="928"/>
      <c r="AP9" s="928"/>
      <c r="AQ9" s="928"/>
      <c r="AR9" s="928"/>
      <c r="AS9" s="928"/>
      <c r="AT9" s="928"/>
      <c r="AU9" s="928"/>
      <c r="AV9" s="928"/>
      <c r="AW9" s="928"/>
      <c r="AX9" s="928"/>
      <c r="AY9" s="928"/>
      <c r="AZ9" s="928"/>
      <c r="BA9" s="928"/>
      <c r="BB9" s="928"/>
      <c r="BC9" s="928"/>
      <c r="BD9" s="928"/>
      <c r="BE9" s="928"/>
      <c r="BF9" s="928"/>
      <c r="BG9" s="928"/>
      <c r="BH9" s="928"/>
      <c r="BI9" s="928"/>
      <c r="BJ9" s="928"/>
      <c r="BK9" s="928"/>
      <c r="BL9" s="928"/>
      <c r="BM9" s="928"/>
      <c r="BN9" s="928"/>
      <c r="BO9" s="928"/>
      <c r="BP9" s="928"/>
      <c r="BQ9" s="928"/>
      <c r="BR9" s="928"/>
      <c r="BS9" s="928"/>
      <c r="BT9" s="928"/>
      <c r="BU9" s="928"/>
      <c r="BV9" s="928"/>
      <c r="BW9" s="928"/>
      <c r="BX9" s="928"/>
      <c r="BY9" s="928"/>
      <c r="BZ9" s="928"/>
      <c r="CA9" s="928"/>
      <c r="CB9" s="928"/>
      <c r="CC9" s="928"/>
      <c r="CD9" s="928"/>
      <c r="CE9" s="928"/>
      <c r="CF9" s="928"/>
      <c r="CG9" s="929"/>
      <c r="CH9" s="929"/>
      <c r="CI9" s="930"/>
    </row>
    <row r="10" spans="1:87" s="749" customFormat="1" ht="19.5" customHeight="1">
      <c r="A10" s="742"/>
      <c r="B10" s="764">
        <v>1</v>
      </c>
      <c r="C10" s="765" t="s">
        <v>582</v>
      </c>
      <c r="D10" s="766">
        <f>+E10/SUM(D33:D36,D39)</f>
        <v>0.17501771743941416</v>
      </c>
      <c r="E10" s="767">
        <f t="shared" ref="E10" si="0">SUM(F10:XFD10)</f>
        <v>910042.8963473785</v>
      </c>
      <c r="F10" s="768">
        <f>SUM(F11:F15)</f>
        <v>0</v>
      </c>
      <c r="G10" s="768">
        <f>SUM(G11:G17)</f>
        <v>0</v>
      </c>
      <c r="H10" s="768">
        <f t="shared" ref="H10:BS10" si="1">SUM(H11:H17)</f>
        <v>0</v>
      </c>
      <c r="I10" s="768">
        <f t="shared" si="1"/>
        <v>0</v>
      </c>
      <c r="J10" s="768">
        <f t="shared" si="1"/>
        <v>0</v>
      </c>
      <c r="K10" s="768">
        <f t="shared" si="1"/>
        <v>0</v>
      </c>
      <c r="L10" s="768">
        <f t="shared" si="1"/>
        <v>0</v>
      </c>
      <c r="M10" s="768">
        <f t="shared" si="1"/>
        <v>0</v>
      </c>
      <c r="N10" s="768">
        <f t="shared" si="1"/>
        <v>0</v>
      </c>
      <c r="O10" s="768">
        <f t="shared" si="1"/>
        <v>0</v>
      </c>
      <c r="P10" s="768">
        <f t="shared" si="1"/>
        <v>289765.98966912128</v>
      </c>
      <c r="Q10" s="768">
        <f t="shared" si="1"/>
        <v>324411.27447893703</v>
      </c>
      <c r="R10" s="768">
        <f t="shared" si="1"/>
        <v>110473.87586736877</v>
      </c>
      <c r="S10" s="768">
        <f t="shared" si="1"/>
        <v>84812.371374883136</v>
      </c>
      <c r="T10" s="768">
        <f t="shared" si="1"/>
        <v>47948.631029134754</v>
      </c>
      <c r="U10" s="768">
        <f t="shared" si="1"/>
        <v>43145.673063137525</v>
      </c>
      <c r="V10" s="768">
        <f t="shared" si="1"/>
        <v>2312.2929975980965</v>
      </c>
      <c r="W10" s="768">
        <f t="shared" si="1"/>
        <v>6016.6413683988249</v>
      </c>
      <c r="X10" s="768">
        <f t="shared" si="1"/>
        <v>0</v>
      </c>
      <c r="Y10" s="768">
        <f t="shared" si="1"/>
        <v>0</v>
      </c>
      <c r="Z10" s="768">
        <f t="shared" si="1"/>
        <v>1156.1464987990482</v>
      </c>
      <c r="AA10" s="768">
        <f t="shared" si="1"/>
        <v>0</v>
      </c>
      <c r="AB10" s="768">
        <f t="shared" si="1"/>
        <v>0</v>
      </c>
      <c r="AC10" s="768">
        <f t="shared" si="1"/>
        <v>0</v>
      </c>
      <c r="AD10" s="768">
        <f t="shared" si="1"/>
        <v>0</v>
      </c>
      <c r="AE10" s="768">
        <f t="shared" si="1"/>
        <v>0</v>
      </c>
      <c r="AF10" s="768">
        <f t="shared" si="1"/>
        <v>0</v>
      </c>
      <c r="AG10" s="768">
        <f t="shared" si="1"/>
        <v>0</v>
      </c>
      <c r="AH10" s="768">
        <f t="shared" si="1"/>
        <v>0</v>
      </c>
      <c r="AI10" s="768">
        <f t="shared" si="1"/>
        <v>0</v>
      </c>
      <c r="AJ10" s="768">
        <f t="shared" si="1"/>
        <v>0</v>
      </c>
      <c r="AK10" s="768">
        <f t="shared" si="1"/>
        <v>0</v>
      </c>
      <c r="AL10" s="768">
        <f t="shared" si="1"/>
        <v>0</v>
      </c>
      <c r="AM10" s="768">
        <f t="shared" si="1"/>
        <v>0</v>
      </c>
      <c r="AN10" s="768">
        <f t="shared" si="1"/>
        <v>0</v>
      </c>
      <c r="AO10" s="768">
        <f t="shared" si="1"/>
        <v>0</v>
      </c>
      <c r="AP10" s="768">
        <f t="shared" si="1"/>
        <v>0</v>
      </c>
      <c r="AQ10" s="768">
        <f t="shared" si="1"/>
        <v>0</v>
      </c>
      <c r="AR10" s="768">
        <f t="shared" si="1"/>
        <v>0</v>
      </c>
      <c r="AS10" s="768">
        <f t="shared" si="1"/>
        <v>0</v>
      </c>
      <c r="AT10" s="768">
        <f t="shared" si="1"/>
        <v>0</v>
      </c>
      <c r="AU10" s="768">
        <f t="shared" si="1"/>
        <v>0</v>
      </c>
      <c r="AV10" s="768">
        <f t="shared" si="1"/>
        <v>0</v>
      </c>
      <c r="AW10" s="768">
        <f t="shared" si="1"/>
        <v>0</v>
      </c>
      <c r="AX10" s="768">
        <f t="shared" si="1"/>
        <v>0</v>
      </c>
      <c r="AY10" s="768">
        <f t="shared" si="1"/>
        <v>0</v>
      </c>
      <c r="AZ10" s="768">
        <f t="shared" si="1"/>
        <v>0</v>
      </c>
      <c r="BA10" s="768">
        <f t="shared" si="1"/>
        <v>0</v>
      </c>
      <c r="BB10" s="768">
        <f t="shared" si="1"/>
        <v>0</v>
      </c>
      <c r="BC10" s="768">
        <f t="shared" si="1"/>
        <v>0</v>
      </c>
      <c r="BD10" s="768">
        <f t="shared" si="1"/>
        <v>0</v>
      </c>
      <c r="BE10" s="768">
        <f t="shared" si="1"/>
        <v>0</v>
      </c>
      <c r="BF10" s="768">
        <f t="shared" si="1"/>
        <v>0</v>
      </c>
      <c r="BG10" s="768">
        <f t="shared" si="1"/>
        <v>0</v>
      </c>
      <c r="BH10" s="768">
        <f t="shared" si="1"/>
        <v>0</v>
      </c>
      <c r="BI10" s="768">
        <f t="shared" si="1"/>
        <v>0</v>
      </c>
      <c r="BJ10" s="768">
        <f t="shared" si="1"/>
        <v>0</v>
      </c>
      <c r="BK10" s="768">
        <f t="shared" si="1"/>
        <v>0</v>
      </c>
      <c r="BL10" s="768">
        <f t="shared" si="1"/>
        <v>0</v>
      </c>
      <c r="BM10" s="768">
        <f t="shared" si="1"/>
        <v>0</v>
      </c>
      <c r="BN10" s="768">
        <f t="shared" si="1"/>
        <v>0</v>
      </c>
      <c r="BO10" s="768">
        <f t="shared" si="1"/>
        <v>0</v>
      </c>
      <c r="BP10" s="768">
        <f t="shared" si="1"/>
        <v>0</v>
      </c>
      <c r="BQ10" s="768">
        <f t="shared" si="1"/>
        <v>0</v>
      </c>
      <c r="BR10" s="768">
        <f t="shared" si="1"/>
        <v>0</v>
      </c>
      <c r="BS10" s="768">
        <f t="shared" si="1"/>
        <v>0</v>
      </c>
      <c r="BT10" s="768">
        <f t="shared" ref="BT10:CI10" si="2">SUM(BT11:BT17)</f>
        <v>0</v>
      </c>
      <c r="BU10" s="768">
        <f t="shared" si="2"/>
        <v>0</v>
      </c>
      <c r="BV10" s="768">
        <f t="shared" si="2"/>
        <v>0</v>
      </c>
      <c r="BW10" s="768">
        <f t="shared" si="2"/>
        <v>0</v>
      </c>
      <c r="BX10" s="768">
        <f t="shared" si="2"/>
        <v>0</v>
      </c>
      <c r="BY10" s="768">
        <f t="shared" si="2"/>
        <v>0</v>
      </c>
      <c r="BZ10" s="768">
        <f t="shared" si="2"/>
        <v>0</v>
      </c>
      <c r="CA10" s="768">
        <f t="shared" si="2"/>
        <v>0</v>
      </c>
      <c r="CB10" s="768">
        <f t="shared" si="2"/>
        <v>0</v>
      </c>
      <c r="CC10" s="768">
        <f t="shared" si="2"/>
        <v>0</v>
      </c>
      <c r="CD10" s="768">
        <f t="shared" si="2"/>
        <v>0</v>
      </c>
      <c r="CE10" s="768">
        <f t="shared" si="2"/>
        <v>0</v>
      </c>
      <c r="CF10" s="768">
        <f t="shared" si="2"/>
        <v>0</v>
      </c>
      <c r="CG10" s="768">
        <f t="shared" si="2"/>
        <v>0</v>
      </c>
      <c r="CH10" s="768">
        <f t="shared" si="2"/>
        <v>0</v>
      </c>
      <c r="CI10" s="1398">
        <f t="shared" si="2"/>
        <v>0</v>
      </c>
    </row>
    <row r="11" spans="1:87" ht="19.5" customHeight="1">
      <c r="B11" s="769"/>
      <c r="C11" s="770" t="s">
        <v>348</v>
      </c>
      <c r="D11" s="2092">
        <v>7.0000000000000007E-2</v>
      </c>
      <c r="E11" s="771">
        <f t="shared" ref="E11:E24" si="3">SUM(F11:XFD11)</f>
        <v>363980.30825861124</v>
      </c>
      <c r="F11" s="772"/>
      <c r="G11" s="772">
        <f t="shared" ref="G11:P13" si="4">$D11*SUM(G$33:G$36,G$39)</f>
        <v>0</v>
      </c>
      <c r="H11" s="772">
        <f t="shared" si="4"/>
        <v>0</v>
      </c>
      <c r="I11" s="772">
        <f t="shared" si="4"/>
        <v>0</v>
      </c>
      <c r="J11" s="772">
        <f t="shared" si="4"/>
        <v>0</v>
      </c>
      <c r="K11" s="772">
        <f t="shared" si="4"/>
        <v>0</v>
      </c>
      <c r="L11" s="772">
        <f t="shared" si="4"/>
        <v>0</v>
      </c>
      <c r="M11" s="772">
        <f t="shared" si="4"/>
        <v>0</v>
      </c>
      <c r="N11" s="772">
        <f t="shared" si="4"/>
        <v>0</v>
      </c>
      <c r="O11" s="772">
        <f t="shared" si="4"/>
        <v>0</v>
      </c>
      <c r="P11" s="772">
        <f t="shared" si="4"/>
        <v>118271.8325180087</v>
      </c>
      <c r="Q11" s="772">
        <f t="shared" ref="Q11:Z13" si="5">$D11*SUM(Q$33:Q$36,Q$39)</f>
        <v>132412.76509344368</v>
      </c>
      <c r="R11" s="772">
        <f t="shared" si="5"/>
        <v>44934.879212745749</v>
      </c>
      <c r="S11" s="772">
        <f t="shared" si="5"/>
        <v>33462.249131786768</v>
      </c>
      <c r="T11" s="772">
        <f t="shared" si="5"/>
        <v>18328.515029653809</v>
      </c>
      <c r="U11" s="772">
        <f t="shared" si="5"/>
        <v>16570.067272972523</v>
      </c>
      <c r="V11" s="772">
        <f t="shared" si="5"/>
        <v>0</v>
      </c>
      <c r="W11" s="772">
        <f t="shared" si="5"/>
        <v>0</v>
      </c>
      <c r="X11" s="772">
        <f t="shared" si="5"/>
        <v>0</v>
      </c>
      <c r="Y11" s="772">
        <f t="shared" si="5"/>
        <v>0</v>
      </c>
      <c r="Z11" s="772">
        <f t="shared" si="5"/>
        <v>0</v>
      </c>
      <c r="AA11" s="772">
        <f t="shared" ref="AA11:AJ13" si="6">$D11*SUM(AA$33:AA$36,AA$39)</f>
        <v>0</v>
      </c>
      <c r="AB11" s="772">
        <f t="shared" si="6"/>
        <v>0</v>
      </c>
      <c r="AC11" s="772">
        <f t="shared" si="6"/>
        <v>0</v>
      </c>
      <c r="AD11" s="772">
        <f t="shared" si="6"/>
        <v>0</v>
      </c>
      <c r="AE11" s="772">
        <f t="shared" si="6"/>
        <v>0</v>
      </c>
      <c r="AF11" s="772">
        <f t="shared" si="6"/>
        <v>0</v>
      </c>
      <c r="AG11" s="772">
        <f t="shared" si="6"/>
        <v>0</v>
      </c>
      <c r="AH11" s="772">
        <f t="shared" si="6"/>
        <v>0</v>
      </c>
      <c r="AI11" s="772">
        <f t="shared" si="6"/>
        <v>0</v>
      </c>
      <c r="AJ11" s="772">
        <f t="shared" si="6"/>
        <v>0</v>
      </c>
      <c r="AK11" s="772">
        <f t="shared" ref="AK11:AT13" si="7">$D11*SUM(AK$33:AK$36,AK$39)</f>
        <v>0</v>
      </c>
      <c r="AL11" s="772">
        <f t="shared" si="7"/>
        <v>0</v>
      </c>
      <c r="AM11" s="772">
        <f t="shared" si="7"/>
        <v>0</v>
      </c>
      <c r="AN11" s="772">
        <f t="shared" si="7"/>
        <v>0</v>
      </c>
      <c r="AO11" s="772">
        <f t="shared" si="7"/>
        <v>0</v>
      </c>
      <c r="AP11" s="772">
        <f t="shared" si="7"/>
        <v>0</v>
      </c>
      <c r="AQ11" s="772">
        <f t="shared" si="7"/>
        <v>0</v>
      </c>
      <c r="AR11" s="772">
        <f t="shared" si="7"/>
        <v>0</v>
      </c>
      <c r="AS11" s="772">
        <f t="shared" si="7"/>
        <v>0</v>
      </c>
      <c r="AT11" s="772">
        <f t="shared" si="7"/>
        <v>0</v>
      </c>
      <c r="AU11" s="772">
        <f t="shared" ref="AU11:BD13" si="8">$D11*SUM(AU$33:AU$36,AU$39)</f>
        <v>0</v>
      </c>
      <c r="AV11" s="772">
        <f t="shared" si="8"/>
        <v>0</v>
      </c>
      <c r="AW11" s="772">
        <f t="shared" si="8"/>
        <v>0</v>
      </c>
      <c r="AX11" s="772">
        <f t="shared" si="8"/>
        <v>0</v>
      </c>
      <c r="AY11" s="772">
        <f t="shared" si="8"/>
        <v>0</v>
      </c>
      <c r="AZ11" s="772">
        <f t="shared" si="8"/>
        <v>0</v>
      </c>
      <c r="BA11" s="772">
        <f t="shared" si="8"/>
        <v>0</v>
      </c>
      <c r="BB11" s="772">
        <f t="shared" si="8"/>
        <v>0</v>
      </c>
      <c r="BC11" s="772">
        <f t="shared" si="8"/>
        <v>0</v>
      </c>
      <c r="BD11" s="772">
        <f t="shared" si="8"/>
        <v>0</v>
      </c>
      <c r="BE11" s="772">
        <f t="shared" ref="BE11:BN13" si="9">$D11*SUM(BE$33:BE$36,BE$39)</f>
        <v>0</v>
      </c>
      <c r="BF11" s="772">
        <f t="shared" si="9"/>
        <v>0</v>
      </c>
      <c r="BG11" s="772">
        <f t="shared" si="9"/>
        <v>0</v>
      </c>
      <c r="BH11" s="772">
        <f t="shared" si="9"/>
        <v>0</v>
      </c>
      <c r="BI11" s="772">
        <f t="shared" si="9"/>
        <v>0</v>
      </c>
      <c r="BJ11" s="772">
        <f t="shared" si="9"/>
        <v>0</v>
      </c>
      <c r="BK11" s="772">
        <f t="shared" si="9"/>
        <v>0</v>
      </c>
      <c r="BL11" s="772">
        <f t="shared" si="9"/>
        <v>0</v>
      </c>
      <c r="BM11" s="772">
        <f t="shared" si="9"/>
        <v>0</v>
      </c>
      <c r="BN11" s="772">
        <f t="shared" si="9"/>
        <v>0</v>
      </c>
      <c r="BO11" s="772">
        <f t="shared" ref="BO11:BX13" si="10">$D11*SUM(BO$33:BO$36,BO$39)</f>
        <v>0</v>
      </c>
      <c r="BP11" s="772">
        <f t="shared" si="10"/>
        <v>0</v>
      </c>
      <c r="BQ11" s="772">
        <f t="shared" si="10"/>
        <v>0</v>
      </c>
      <c r="BR11" s="772">
        <f t="shared" si="10"/>
        <v>0</v>
      </c>
      <c r="BS11" s="772">
        <f t="shared" si="10"/>
        <v>0</v>
      </c>
      <c r="BT11" s="772">
        <f t="shared" si="10"/>
        <v>0</v>
      </c>
      <c r="BU11" s="772">
        <f t="shared" si="10"/>
        <v>0</v>
      </c>
      <c r="BV11" s="772">
        <f t="shared" si="10"/>
        <v>0</v>
      </c>
      <c r="BW11" s="772">
        <f t="shared" si="10"/>
        <v>0</v>
      </c>
      <c r="BX11" s="772">
        <f t="shared" si="10"/>
        <v>0</v>
      </c>
      <c r="BY11" s="772">
        <f t="shared" ref="BY11:CI13" si="11">$D11*SUM(BY$33:BY$36,BY$39)</f>
        <v>0</v>
      </c>
      <c r="BZ11" s="772">
        <f t="shared" si="11"/>
        <v>0</v>
      </c>
      <c r="CA11" s="772">
        <f t="shared" si="11"/>
        <v>0</v>
      </c>
      <c r="CB11" s="772">
        <f t="shared" si="11"/>
        <v>0</v>
      </c>
      <c r="CC11" s="772">
        <f t="shared" si="11"/>
        <v>0</v>
      </c>
      <c r="CD11" s="772">
        <f t="shared" si="11"/>
        <v>0</v>
      </c>
      <c r="CE11" s="772">
        <f t="shared" si="11"/>
        <v>0</v>
      </c>
      <c r="CF11" s="772">
        <f t="shared" si="11"/>
        <v>0</v>
      </c>
      <c r="CG11" s="772">
        <f t="shared" si="11"/>
        <v>0</v>
      </c>
      <c r="CH11" s="772">
        <f t="shared" si="11"/>
        <v>0</v>
      </c>
      <c r="CI11" s="1399">
        <f t="shared" si="11"/>
        <v>0</v>
      </c>
    </row>
    <row r="12" spans="1:87" ht="19.5" customHeight="1">
      <c r="B12" s="769"/>
      <c r="C12" s="770" t="s">
        <v>21</v>
      </c>
      <c r="D12" s="2092">
        <v>0.02</v>
      </c>
      <c r="E12" s="771">
        <f t="shared" si="3"/>
        <v>103994.37378817463</v>
      </c>
      <c r="F12" s="773"/>
      <c r="G12" s="772">
        <f t="shared" si="4"/>
        <v>0</v>
      </c>
      <c r="H12" s="772">
        <f t="shared" si="4"/>
        <v>0</v>
      </c>
      <c r="I12" s="772">
        <f t="shared" si="4"/>
        <v>0</v>
      </c>
      <c r="J12" s="772">
        <f t="shared" si="4"/>
        <v>0</v>
      </c>
      <c r="K12" s="772">
        <f t="shared" si="4"/>
        <v>0</v>
      </c>
      <c r="L12" s="772">
        <f t="shared" si="4"/>
        <v>0</v>
      </c>
      <c r="M12" s="772">
        <f t="shared" si="4"/>
        <v>0</v>
      </c>
      <c r="N12" s="772">
        <f t="shared" si="4"/>
        <v>0</v>
      </c>
      <c r="O12" s="772">
        <f t="shared" si="4"/>
        <v>0</v>
      </c>
      <c r="P12" s="772">
        <f t="shared" si="4"/>
        <v>33791.952148002485</v>
      </c>
      <c r="Q12" s="772">
        <f t="shared" si="5"/>
        <v>37832.218598126768</v>
      </c>
      <c r="R12" s="772">
        <f t="shared" si="5"/>
        <v>12838.536917927357</v>
      </c>
      <c r="S12" s="772">
        <f t="shared" si="5"/>
        <v>9560.6426090819314</v>
      </c>
      <c r="T12" s="772">
        <f t="shared" si="5"/>
        <v>5236.7185799010877</v>
      </c>
      <c r="U12" s="772">
        <f t="shared" si="5"/>
        <v>4734.3049351350064</v>
      </c>
      <c r="V12" s="772">
        <f t="shared" si="5"/>
        <v>0</v>
      </c>
      <c r="W12" s="772">
        <f t="shared" si="5"/>
        <v>0</v>
      </c>
      <c r="X12" s="772">
        <f t="shared" si="5"/>
        <v>0</v>
      </c>
      <c r="Y12" s="772">
        <f t="shared" si="5"/>
        <v>0</v>
      </c>
      <c r="Z12" s="772">
        <f t="shared" si="5"/>
        <v>0</v>
      </c>
      <c r="AA12" s="772">
        <f t="shared" si="6"/>
        <v>0</v>
      </c>
      <c r="AB12" s="772">
        <f t="shared" si="6"/>
        <v>0</v>
      </c>
      <c r="AC12" s="772">
        <f t="shared" si="6"/>
        <v>0</v>
      </c>
      <c r="AD12" s="772">
        <f t="shared" si="6"/>
        <v>0</v>
      </c>
      <c r="AE12" s="772">
        <f t="shared" si="6"/>
        <v>0</v>
      </c>
      <c r="AF12" s="772">
        <f t="shared" si="6"/>
        <v>0</v>
      </c>
      <c r="AG12" s="772">
        <f t="shared" si="6"/>
        <v>0</v>
      </c>
      <c r="AH12" s="772">
        <f t="shared" si="6"/>
        <v>0</v>
      </c>
      <c r="AI12" s="772">
        <f t="shared" si="6"/>
        <v>0</v>
      </c>
      <c r="AJ12" s="772">
        <f t="shared" si="6"/>
        <v>0</v>
      </c>
      <c r="AK12" s="772">
        <f t="shared" si="7"/>
        <v>0</v>
      </c>
      <c r="AL12" s="772">
        <f t="shared" si="7"/>
        <v>0</v>
      </c>
      <c r="AM12" s="772">
        <f t="shared" si="7"/>
        <v>0</v>
      </c>
      <c r="AN12" s="772">
        <f t="shared" si="7"/>
        <v>0</v>
      </c>
      <c r="AO12" s="772">
        <f t="shared" si="7"/>
        <v>0</v>
      </c>
      <c r="AP12" s="772">
        <f t="shared" si="7"/>
        <v>0</v>
      </c>
      <c r="AQ12" s="772">
        <f t="shared" si="7"/>
        <v>0</v>
      </c>
      <c r="AR12" s="772">
        <f t="shared" si="7"/>
        <v>0</v>
      </c>
      <c r="AS12" s="772">
        <f t="shared" si="7"/>
        <v>0</v>
      </c>
      <c r="AT12" s="772">
        <f t="shared" si="7"/>
        <v>0</v>
      </c>
      <c r="AU12" s="772">
        <f t="shared" si="8"/>
        <v>0</v>
      </c>
      <c r="AV12" s="772">
        <f t="shared" si="8"/>
        <v>0</v>
      </c>
      <c r="AW12" s="772">
        <f t="shared" si="8"/>
        <v>0</v>
      </c>
      <c r="AX12" s="772">
        <f t="shared" si="8"/>
        <v>0</v>
      </c>
      <c r="AY12" s="772">
        <f t="shared" si="8"/>
        <v>0</v>
      </c>
      <c r="AZ12" s="772">
        <f t="shared" si="8"/>
        <v>0</v>
      </c>
      <c r="BA12" s="772">
        <f t="shared" si="8"/>
        <v>0</v>
      </c>
      <c r="BB12" s="772">
        <f t="shared" si="8"/>
        <v>0</v>
      </c>
      <c r="BC12" s="772">
        <f t="shared" si="8"/>
        <v>0</v>
      </c>
      <c r="BD12" s="772">
        <f t="shared" si="8"/>
        <v>0</v>
      </c>
      <c r="BE12" s="772">
        <f t="shared" si="9"/>
        <v>0</v>
      </c>
      <c r="BF12" s="772">
        <f t="shared" si="9"/>
        <v>0</v>
      </c>
      <c r="BG12" s="772">
        <f t="shared" si="9"/>
        <v>0</v>
      </c>
      <c r="BH12" s="772">
        <f t="shared" si="9"/>
        <v>0</v>
      </c>
      <c r="BI12" s="772">
        <f t="shared" si="9"/>
        <v>0</v>
      </c>
      <c r="BJ12" s="772">
        <f t="shared" si="9"/>
        <v>0</v>
      </c>
      <c r="BK12" s="772">
        <f t="shared" si="9"/>
        <v>0</v>
      </c>
      <c r="BL12" s="772">
        <f t="shared" si="9"/>
        <v>0</v>
      </c>
      <c r="BM12" s="772">
        <f t="shared" si="9"/>
        <v>0</v>
      </c>
      <c r="BN12" s="772">
        <f t="shared" si="9"/>
        <v>0</v>
      </c>
      <c r="BO12" s="772">
        <f t="shared" si="10"/>
        <v>0</v>
      </c>
      <c r="BP12" s="772">
        <f t="shared" si="10"/>
        <v>0</v>
      </c>
      <c r="BQ12" s="772">
        <f t="shared" si="10"/>
        <v>0</v>
      </c>
      <c r="BR12" s="772">
        <f t="shared" si="10"/>
        <v>0</v>
      </c>
      <c r="BS12" s="772">
        <f t="shared" si="10"/>
        <v>0</v>
      </c>
      <c r="BT12" s="772">
        <f t="shared" si="10"/>
        <v>0</v>
      </c>
      <c r="BU12" s="772">
        <f t="shared" si="10"/>
        <v>0</v>
      </c>
      <c r="BV12" s="772">
        <f t="shared" si="10"/>
        <v>0</v>
      </c>
      <c r="BW12" s="772">
        <f t="shared" si="10"/>
        <v>0</v>
      </c>
      <c r="BX12" s="772">
        <f t="shared" si="10"/>
        <v>0</v>
      </c>
      <c r="BY12" s="772">
        <f t="shared" si="11"/>
        <v>0</v>
      </c>
      <c r="BZ12" s="772">
        <f t="shared" si="11"/>
        <v>0</v>
      </c>
      <c r="CA12" s="772">
        <f t="shared" si="11"/>
        <v>0</v>
      </c>
      <c r="CB12" s="772">
        <f t="shared" si="11"/>
        <v>0</v>
      </c>
      <c r="CC12" s="772">
        <f t="shared" si="11"/>
        <v>0</v>
      </c>
      <c r="CD12" s="772">
        <f t="shared" si="11"/>
        <v>0</v>
      </c>
      <c r="CE12" s="772">
        <f t="shared" si="11"/>
        <v>0</v>
      </c>
      <c r="CF12" s="772">
        <f t="shared" si="11"/>
        <v>0</v>
      </c>
      <c r="CG12" s="772">
        <f t="shared" si="11"/>
        <v>0</v>
      </c>
      <c r="CH12" s="772">
        <f t="shared" si="11"/>
        <v>0</v>
      </c>
      <c r="CI12" s="1399">
        <f t="shared" si="11"/>
        <v>0</v>
      </c>
    </row>
    <row r="13" spans="1:87" ht="19.5" customHeight="1">
      <c r="B13" s="769"/>
      <c r="C13" s="770" t="s">
        <v>349</v>
      </c>
      <c r="D13" s="2092">
        <v>6.7000000000000004E-2</v>
      </c>
      <c r="E13" s="771">
        <f t="shared" si="3"/>
        <v>348381.1521903851</v>
      </c>
      <c r="F13" s="773"/>
      <c r="G13" s="772">
        <f t="shared" si="4"/>
        <v>0</v>
      </c>
      <c r="H13" s="772">
        <f t="shared" si="4"/>
        <v>0</v>
      </c>
      <c r="I13" s="772">
        <f t="shared" si="4"/>
        <v>0</v>
      </c>
      <c r="J13" s="772">
        <f t="shared" si="4"/>
        <v>0</v>
      </c>
      <c r="K13" s="772">
        <f t="shared" si="4"/>
        <v>0</v>
      </c>
      <c r="L13" s="772">
        <f t="shared" si="4"/>
        <v>0</v>
      </c>
      <c r="M13" s="772">
        <f t="shared" si="4"/>
        <v>0</v>
      </c>
      <c r="N13" s="772">
        <f t="shared" si="4"/>
        <v>0</v>
      </c>
      <c r="O13" s="772">
        <f t="shared" si="4"/>
        <v>0</v>
      </c>
      <c r="P13" s="772">
        <f t="shared" si="4"/>
        <v>113203.03969580833</v>
      </c>
      <c r="Q13" s="772">
        <f t="shared" si="5"/>
        <v>126737.93230372466</v>
      </c>
      <c r="R13" s="772">
        <f t="shared" si="5"/>
        <v>43009.098675056644</v>
      </c>
      <c r="S13" s="772">
        <f t="shared" si="5"/>
        <v>32028.152740424473</v>
      </c>
      <c r="T13" s="772">
        <f t="shared" si="5"/>
        <v>17543.007242668642</v>
      </c>
      <c r="U13" s="772">
        <f t="shared" si="5"/>
        <v>15859.921532702272</v>
      </c>
      <c r="V13" s="772">
        <f t="shared" si="5"/>
        <v>0</v>
      </c>
      <c r="W13" s="772">
        <f t="shared" si="5"/>
        <v>0</v>
      </c>
      <c r="X13" s="772">
        <f t="shared" si="5"/>
        <v>0</v>
      </c>
      <c r="Y13" s="772">
        <f t="shared" si="5"/>
        <v>0</v>
      </c>
      <c r="Z13" s="772">
        <f t="shared" si="5"/>
        <v>0</v>
      </c>
      <c r="AA13" s="772">
        <f t="shared" si="6"/>
        <v>0</v>
      </c>
      <c r="AB13" s="772">
        <f t="shared" si="6"/>
        <v>0</v>
      </c>
      <c r="AC13" s="772">
        <f t="shared" si="6"/>
        <v>0</v>
      </c>
      <c r="AD13" s="772">
        <f t="shared" si="6"/>
        <v>0</v>
      </c>
      <c r="AE13" s="772">
        <f t="shared" si="6"/>
        <v>0</v>
      </c>
      <c r="AF13" s="772">
        <f t="shared" si="6"/>
        <v>0</v>
      </c>
      <c r="AG13" s="772">
        <f t="shared" si="6"/>
        <v>0</v>
      </c>
      <c r="AH13" s="772">
        <f t="shared" si="6"/>
        <v>0</v>
      </c>
      <c r="AI13" s="772">
        <f t="shared" si="6"/>
        <v>0</v>
      </c>
      <c r="AJ13" s="772">
        <f t="shared" si="6"/>
        <v>0</v>
      </c>
      <c r="AK13" s="772">
        <f t="shared" si="7"/>
        <v>0</v>
      </c>
      <c r="AL13" s="772">
        <f t="shared" si="7"/>
        <v>0</v>
      </c>
      <c r="AM13" s="772">
        <f t="shared" si="7"/>
        <v>0</v>
      </c>
      <c r="AN13" s="772">
        <f t="shared" si="7"/>
        <v>0</v>
      </c>
      <c r="AO13" s="772">
        <f t="shared" si="7"/>
        <v>0</v>
      </c>
      <c r="AP13" s="772">
        <f t="shared" si="7"/>
        <v>0</v>
      </c>
      <c r="AQ13" s="772">
        <f t="shared" si="7"/>
        <v>0</v>
      </c>
      <c r="AR13" s="772">
        <f t="shared" si="7"/>
        <v>0</v>
      </c>
      <c r="AS13" s="772">
        <f t="shared" si="7"/>
        <v>0</v>
      </c>
      <c r="AT13" s="772">
        <f t="shared" si="7"/>
        <v>0</v>
      </c>
      <c r="AU13" s="772">
        <f t="shared" si="8"/>
        <v>0</v>
      </c>
      <c r="AV13" s="772">
        <f t="shared" si="8"/>
        <v>0</v>
      </c>
      <c r="AW13" s="772">
        <f t="shared" si="8"/>
        <v>0</v>
      </c>
      <c r="AX13" s="772">
        <f t="shared" si="8"/>
        <v>0</v>
      </c>
      <c r="AY13" s="772">
        <f t="shared" si="8"/>
        <v>0</v>
      </c>
      <c r="AZ13" s="772">
        <f t="shared" si="8"/>
        <v>0</v>
      </c>
      <c r="BA13" s="772">
        <f t="shared" si="8"/>
        <v>0</v>
      </c>
      <c r="BB13" s="772">
        <f t="shared" si="8"/>
        <v>0</v>
      </c>
      <c r="BC13" s="772">
        <f t="shared" si="8"/>
        <v>0</v>
      </c>
      <c r="BD13" s="772">
        <f t="shared" si="8"/>
        <v>0</v>
      </c>
      <c r="BE13" s="772">
        <f t="shared" si="9"/>
        <v>0</v>
      </c>
      <c r="BF13" s="772">
        <f t="shared" si="9"/>
        <v>0</v>
      </c>
      <c r="BG13" s="772">
        <f t="shared" si="9"/>
        <v>0</v>
      </c>
      <c r="BH13" s="772">
        <f t="shared" si="9"/>
        <v>0</v>
      </c>
      <c r="BI13" s="772">
        <f t="shared" si="9"/>
        <v>0</v>
      </c>
      <c r="BJ13" s="772">
        <f t="shared" si="9"/>
        <v>0</v>
      </c>
      <c r="BK13" s="772">
        <f t="shared" si="9"/>
        <v>0</v>
      </c>
      <c r="BL13" s="772">
        <f t="shared" si="9"/>
        <v>0</v>
      </c>
      <c r="BM13" s="772">
        <f t="shared" si="9"/>
        <v>0</v>
      </c>
      <c r="BN13" s="772">
        <f t="shared" si="9"/>
        <v>0</v>
      </c>
      <c r="BO13" s="772">
        <f t="shared" si="10"/>
        <v>0</v>
      </c>
      <c r="BP13" s="772">
        <f t="shared" si="10"/>
        <v>0</v>
      </c>
      <c r="BQ13" s="772">
        <f t="shared" si="10"/>
        <v>0</v>
      </c>
      <c r="BR13" s="772">
        <f t="shared" si="10"/>
        <v>0</v>
      </c>
      <c r="BS13" s="772">
        <f t="shared" si="10"/>
        <v>0</v>
      </c>
      <c r="BT13" s="772">
        <f t="shared" si="10"/>
        <v>0</v>
      </c>
      <c r="BU13" s="772">
        <f t="shared" si="10"/>
        <v>0</v>
      </c>
      <c r="BV13" s="772">
        <f t="shared" si="10"/>
        <v>0</v>
      </c>
      <c r="BW13" s="772">
        <f t="shared" si="10"/>
        <v>0</v>
      </c>
      <c r="BX13" s="772">
        <f t="shared" si="10"/>
        <v>0</v>
      </c>
      <c r="BY13" s="772">
        <f t="shared" si="11"/>
        <v>0</v>
      </c>
      <c r="BZ13" s="772">
        <f t="shared" si="11"/>
        <v>0</v>
      </c>
      <c r="CA13" s="772">
        <f t="shared" si="11"/>
        <v>0</v>
      </c>
      <c r="CB13" s="772">
        <f t="shared" si="11"/>
        <v>0</v>
      </c>
      <c r="CC13" s="772">
        <f t="shared" si="11"/>
        <v>0</v>
      </c>
      <c r="CD13" s="772">
        <f t="shared" si="11"/>
        <v>0</v>
      </c>
      <c r="CE13" s="772">
        <f t="shared" si="11"/>
        <v>0</v>
      </c>
      <c r="CF13" s="772">
        <f t="shared" si="11"/>
        <v>0</v>
      </c>
      <c r="CG13" s="772">
        <f t="shared" si="11"/>
        <v>0</v>
      </c>
      <c r="CH13" s="772">
        <f t="shared" si="11"/>
        <v>0</v>
      </c>
      <c r="CI13" s="1399">
        <f t="shared" si="11"/>
        <v>0</v>
      </c>
    </row>
    <row r="14" spans="1:87" ht="19.5" customHeight="1">
      <c r="B14" s="769"/>
      <c r="C14" s="770" t="s">
        <v>350</v>
      </c>
      <c r="D14" s="2092">
        <v>0.01</v>
      </c>
      <c r="E14" s="771">
        <f t="shared" si="3"/>
        <v>51997.186894087317</v>
      </c>
      <c r="F14" s="773"/>
      <c r="G14" s="772">
        <f t="shared" ref="G14:AL14" si="12">$D14*SUM(G$33:G$36,G$39)</f>
        <v>0</v>
      </c>
      <c r="H14" s="772">
        <f t="shared" si="12"/>
        <v>0</v>
      </c>
      <c r="I14" s="772">
        <f t="shared" si="12"/>
        <v>0</v>
      </c>
      <c r="J14" s="772">
        <f t="shared" si="12"/>
        <v>0</v>
      </c>
      <c r="K14" s="772">
        <f t="shared" si="12"/>
        <v>0</v>
      </c>
      <c r="L14" s="772">
        <f t="shared" si="12"/>
        <v>0</v>
      </c>
      <c r="M14" s="772">
        <f t="shared" si="12"/>
        <v>0</v>
      </c>
      <c r="N14" s="772">
        <f t="shared" si="12"/>
        <v>0</v>
      </c>
      <c r="O14" s="772">
        <f t="shared" si="12"/>
        <v>0</v>
      </c>
      <c r="P14" s="772">
        <f t="shared" si="12"/>
        <v>16895.976074001243</v>
      </c>
      <c r="Q14" s="772">
        <f t="shared" si="12"/>
        <v>18916.109299063384</v>
      </c>
      <c r="R14" s="772">
        <f t="shared" si="12"/>
        <v>6419.2684589636783</v>
      </c>
      <c r="S14" s="772">
        <f t="shared" si="12"/>
        <v>4780.3213045409657</v>
      </c>
      <c r="T14" s="772">
        <f t="shared" si="12"/>
        <v>2618.3592899505438</v>
      </c>
      <c r="U14" s="772">
        <f t="shared" si="12"/>
        <v>2367.1524675675032</v>
      </c>
      <c r="V14" s="772">
        <f t="shared" si="12"/>
        <v>0</v>
      </c>
      <c r="W14" s="772">
        <f t="shared" si="12"/>
        <v>0</v>
      </c>
      <c r="X14" s="772">
        <f t="shared" si="12"/>
        <v>0</v>
      </c>
      <c r="Y14" s="772">
        <f t="shared" si="12"/>
        <v>0</v>
      </c>
      <c r="Z14" s="772">
        <f t="shared" si="12"/>
        <v>0</v>
      </c>
      <c r="AA14" s="772">
        <f t="shared" si="12"/>
        <v>0</v>
      </c>
      <c r="AB14" s="772">
        <f t="shared" si="12"/>
        <v>0</v>
      </c>
      <c r="AC14" s="772">
        <f t="shared" si="12"/>
        <v>0</v>
      </c>
      <c r="AD14" s="772">
        <f t="shared" si="12"/>
        <v>0</v>
      </c>
      <c r="AE14" s="772">
        <f t="shared" si="12"/>
        <v>0</v>
      </c>
      <c r="AF14" s="772">
        <f t="shared" si="12"/>
        <v>0</v>
      </c>
      <c r="AG14" s="772">
        <f t="shared" si="12"/>
        <v>0</v>
      </c>
      <c r="AH14" s="772">
        <f t="shared" si="12"/>
        <v>0</v>
      </c>
      <c r="AI14" s="772">
        <f t="shared" si="12"/>
        <v>0</v>
      </c>
      <c r="AJ14" s="772">
        <f t="shared" si="12"/>
        <v>0</v>
      </c>
      <c r="AK14" s="772">
        <f t="shared" si="12"/>
        <v>0</v>
      </c>
      <c r="AL14" s="772">
        <f t="shared" si="12"/>
        <v>0</v>
      </c>
      <c r="AM14" s="772">
        <f t="shared" ref="AM14:BR14" si="13">$D14*SUM(AM$33:AM$36,AM$39)</f>
        <v>0</v>
      </c>
      <c r="AN14" s="772">
        <f t="shared" si="13"/>
        <v>0</v>
      </c>
      <c r="AO14" s="772">
        <f t="shared" si="13"/>
        <v>0</v>
      </c>
      <c r="AP14" s="772">
        <f t="shared" si="13"/>
        <v>0</v>
      </c>
      <c r="AQ14" s="772">
        <f t="shared" si="13"/>
        <v>0</v>
      </c>
      <c r="AR14" s="772">
        <f t="shared" si="13"/>
        <v>0</v>
      </c>
      <c r="AS14" s="772">
        <f t="shared" si="13"/>
        <v>0</v>
      </c>
      <c r="AT14" s="772">
        <f t="shared" si="13"/>
        <v>0</v>
      </c>
      <c r="AU14" s="772">
        <f t="shared" si="13"/>
        <v>0</v>
      </c>
      <c r="AV14" s="772">
        <f t="shared" si="13"/>
        <v>0</v>
      </c>
      <c r="AW14" s="772">
        <f t="shared" si="13"/>
        <v>0</v>
      </c>
      <c r="AX14" s="772">
        <f t="shared" si="13"/>
        <v>0</v>
      </c>
      <c r="AY14" s="772">
        <f t="shared" si="13"/>
        <v>0</v>
      </c>
      <c r="AZ14" s="772">
        <f t="shared" si="13"/>
        <v>0</v>
      </c>
      <c r="BA14" s="772">
        <f t="shared" si="13"/>
        <v>0</v>
      </c>
      <c r="BB14" s="772">
        <f t="shared" si="13"/>
        <v>0</v>
      </c>
      <c r="BC14" s="772">
        <f t="shared" si="13"/>
        <v>0</v>
      </c>
      <c r="BD14" s="772">
        <f t="shared" si="13"/>
        <v>0</v>
      </c>
      <c r="BE14" s="772">
        <f t="shared" si="13"/>
        <v>0</v>
      </c>
      <c r="BF14" s="772">
        <f t="shared" si="13"/>
        <v>0</v>
      </c>
      <c r="BG14" s="772">
        <f t="shared" si="13"/>
        <v>0</v>
      </c>
      <c r="BH14" s="772">
        <f t="shared" si="13"/>
        <v>0</v>
      </c>
      <c r="BI14" s="772">
        <f t="shared" si="13"/>
        <v>0</v>
      </c>
      <c r="BJ14" s="772">
        <f t="shared" si="13"/>
        <v>0</v>
      </c>
      <c r="BK14" s="772">
        <f t="shared" si="13"/>
        <v>0</v>
      </c>
      <c r="BL14" s="772">
        <f t="shared" si="13"/>
        <v>0</v>
      </c>
      <c r="BM14" s="772">
        <f t="shared" si="13"/>
        <v>0</v>
      </c>
      <c r="BN14" s="772">
        <f t="shared" si="13"/>
        <v>0</v>
      </c>
      <c r="BO14" s="772">
        <f t="shared" si="13"/>
        <v>0</v>
      </c>
      <c r="BP14" s="772">
        <f t="shared" si="13"/>
        <v>0</v>
      </c>
      <c r="BQ14" s="772">
        <f t="shared" si="13"/>
        <v>0</v>
      </c>
      <c r="BR14" s="772">
        <f t="shared" si="13"/>
        <v>0</v>
      </c>
      <c r="BS14" s="772">
        <f t="shared" ref="BS14" si="14">$D14*SUM(BS$33:BS$36,BS$39)</f>
        <v>0</v>
      </c>
      <c r="BT14" s="772">
        <f t="shared" ref="BT14:CI14" si="15">$D14*SUM(BT$33:BT$36,BT$39)</f>
        <v>0</v>
      </c>
      <c r="BU14" s="772">
        <f t="shared" si="15"/>
        <v>0</v>
      </c>
      <c r="BV14" s="772">
        <f t="shared" si="15"/>
        <v>0</v>
      </c>
      <c r="BW14" s="772">
        <f t="shared" si="15"/>
        <v>0</v>
      </c>
      <c r="BX14" s="772">
        <f t="shared" si="15"/>
        <v>0</v>
      </c>
      <c r="BY14" s="772">
        <f t="shared" si="15"/>
        <v>0</v>
      </c>
      <c r="BZ14" s="772">
        <f t="shared" si="15"/>
        <v>0</v>
      </c>
      <c r="CA14" s="772">
        <f t="shared" si="15"/>
        <v>0</v>
      </c>
      <c r="CB14" s="772">
        <f t="shared" si="15"/>
        <v>0</v>
      </c>
      <c r="CC14" s="772">
        <f t="shared" si="15"/>
        <v>0</v>
      </c>
      <c r="CD14" s="772">
        <f t="shared" si="15"/>
        <v>0</v>
      </c>
      <c r="CE14" s="772">
        <f t="shared" si="15"/>
        <v>0</v>
      </c>
      <c r="CF14" s="772">
        <f t="shared" si="15"/>
        <v>0</v>
      </c>
      <c r="CG14" s="772">
        <f t="shared" si="15"/>
        <v>0</v>
      </c>
      <c r="CH14" s="772">
        <f t="shared" si="15"/>
        <v>0</v>
      </c>
      <c r="CI14" s="1399">
        <f t="shared" si="15"/>
        <v>0</v>
      </c>
    </row>
    <row r="15" spans="1:87" ht="19.5" customHeight="1">
      <c r="B15" s="769"/>
      <c r="C15" s="770" t="s">
        <v>22</v>
      </c>
      <c r="D15" s="2092">
        <v>5.0000000000000001E-3</v>
      </c>
      <c r="E15" s="771">
        <f t="shared" si="3"/>
        <v>25998.593447043659</v>
      </c>
      <c r="F15" s="772"/>
      <c r="G15" s="772">
        <f>$D15*SUM(G$43:G$46,G$49)</f>
        <v>0</v>
      </c>
      <c r="H15" s="772">
        <f t="shared" ref="H15:BS15" si="16">$D15*SUM(H$43:H$46,H$49)</f>
        <v>0</v>
      </c>
      <c r="I15" s="772">
        <f t="shared" si="16"/>
        <v>0</v>
      </c>
      <c r="J15" s="772">
        <f t="shared" si="16"/>
        <v>0</v>
      </c>
      <c r="K15" s="772">
        <f t="shared" si="16"/>
        <v>0</v>
      </c>
      <c r="L15" s="772">
        <f t="shared" si="16"/>
        <v>0</v>
      </c>
      <c r="M15" s="772">
        <f t="shared" si="16"/>
        <v>0</v>
      </c>
      <c r="N15" s="772">
        <f t="shared" si="16"/>
        <v>0</v>
      </c>
      <c r="O15" s="772">
        <f t="shared" si="16"/>
        <v>0</v>
      </c>
      <c r="P15" s="772">
        <f t="shared" si="16"/>
        <v>2534.396411100186</v>
      </c>
      <c r="Q15" s="772">
        <f t="shared" si="16"/>
        <v>2837.4163948595069</v>
      </c>
      <c r="R15" s="772">
        <f t="shared" si="16"/>
        <v>1346.3120649862446</v>
      </c>
      <c r="S15" s="772">
        <f t="shared" si="16"/>
        <v>3546.9091976867257</v>
      </c>
      <c r="T15" s="772">
        <f t="shared" si="16"/>
        <v>3436.5230999755045</v>
      </c>
      <c r="U15" s="772">
        <f t="shared" si="16"/>
        <v>2904.0811144899722</v>
      </c>
      <c r="V15" s="772">
        <f t="shared" si="16"/>
        <v>2312.2929975980965</v>
      </c>
      <c r="W15" s="772">
        <f t="shared" si="16"/>
        <v>5924.5156675483768</v>
      </c>
      <c r="X15" s="772">
        <f t="shared" si="16"/>
        <v>0</v>
      </c>
      <c r="Y15" s="772">
        <f t="shared" si="16"/>
        <v>0</v>
      </c>
      <c r="Z15" s="772">
        <f t="shared" si="16"/>
        <v>1156.1464987990482</v>
      </c>
      <c r="AA15" s="772">
        <f t="shared" si="16"/>
        <v>0</v>
      </c>
      <c r="AB15" s="772">
        <f t="shared" si="16"/>
        <v>0</v>
      </c>
      <c r="AC15" s="772">
        <f t="shared" si="16"/>
        <v>0</v>
      </c>
      <c r="AD15" s="772">
        <f t="shared" si="16"/>
        <v>0</v>
      </c>
      <c r="AE15" s="772">
        <f t="shared" si="16"/>
        <v>0</v>
      </c>
      <c r="AF15" s="772">
        <f t="shared" si="16"/>
        <v>0</v>
      </c>
      <c r="AG15" s="772">
        <f t="shared" si="16"/>
        <v>0</v>
      </c>
      <c r="AH15" s="772">
        <f t="shared" si="16"/>
        <v>0</v>
      </c>
      <c r="AI15" s="772">
        <f t="shared" si="16"/>
        <v>0</v>
      </c>
      <c r="AJ15" s="772">
        <f t="shared" si="16"/>
        <v>0</v>
      </c>
      <c r="AK15" s="772">
        <f t="shared" si="16"/>
        <v>0</v>
      </c>
      <c r="AL15" s="772">
        <f t="shared" si="16"/>
        <v>0</v>
      </c>
      <c r="AM15" s="772">
        <f t="shared" si="16"/>
        <v>0</v>
      </c>
      <c r="AN15" s="772">
        <f t="shared" si="16"/>
        <v>0</v>
      </c>
      <c r="AO15" s="772">
        <f t="shared" si="16"/>
        <v>0</v>
      </c>
      <c r="AP15" s="772">
        <f t="shared" si="16"/>
        <v>0</v>
      </c>
      <c r="AQ15" s="772">
        <f t="shared" si="16"/>
        <v>0</v>
      </c>
      <c r="AR15" s="772">
        <f t="shared" si="16"/>
        <v>0</v>
      </c>
      <c r="AS15" s="772">
        <f t="shared" si="16"/>
        <v>0</v>
      </c>
      <c r="AT15" s="772">
        <f t="shared" si="16"/>
        <v>0</v>
      </c>
      <c r="AU15" s="772">
        <f t="shared" si="16"/>
        <v>0</v>
      </c>
      <c r="AV15" s="772">
        <f t="shared" si="16"/>
        <v>0</v>
      </c>
      <c r="AW15" s="772">
        <f t="shared" si="16"/>
        <v>0</v>
      </c>
      <c r="AX15" s="772">
        <f t="shared" si="16"/>
        <v>0</v>
      </c>
      <c r="AY15" s="772">
        <f t="shared" si="16"/>
        <v>0</v>
      </c>
      <c r="AZ15" s="772">
        <f t="shared" si="16"/>
        <v>0</v>
      </c>
      <c r="BA15" s="772">
        <f t="shared" si="16"/>
        <v>0</v>
      </c>
      <c r="BB15" s="772">
        <f t="shared" si="16"/>
        <v>0</v>
      </c>
      <c r="BC15" s="772">
        <f t="shared" si="16"/>
        <v>0</v>
      </c>
      <c r="BD15" s="772">
        <f t="shared" si="16"/>
        <v>0</v>
      </c>
      <c r="BE15" s="772">
        <f t="shared" si="16"/>
        <v>0</v>
      </c>
      <c r="BF15" s="772">
        <f t="shared" si="16"/>
        <v>0</v>
      </c>
      <c r="BG15" s="772">
        <f t="shared" si="16"/>
        <v>0</v>
      </c>
      <c r="BH15" s="772">
        <f t="shared" si="16"/>
        <v>0</v>
      </c>
      <c r="BI15" s="772">
        <f t="shared" si="16"/>
        <v>0</v>
      </c>
      <c r="BJ15" s="772">
        <f t="shared" si="16"/>
        <v>0</v>
      </c>
      <c r="BK15" s="772">
        <f t="shared" si="16"/>
        <v>0</v>
      </c>
      <c r="BL15" s="772">
        <f t="shared" si="16"/>
        <v>0</v>
      </c>
      <c r="BM15" s="772">
        <f t="shared" si="16"/>
        <v>0</v>
      </c>
      <c r="BN15" s="772">
        <f t="shared" si="16"/>
        <v>0</v>
      </c>
      <c r="BO15" s="772">
        <f t="shared" si="16"/>
        <v>0</v>
      </c>
      <c r="BP15" s="772">
        <f t="shared" si="16"/>
        <v>0</v>
      </c>
      <c r="BQ15" s="772">
        <f t="shared" si="16"/>
        <v>0</v>
      </c>
      <c r="BR15" s="772">
        <f t="shared" si="16"/>
        <v>0</v>
      </c>
      <c r="BS15" s="772">
        <f t="shared" si="16"/>
        <v>0</v>
      </c>
      <c r="BT15" s="772">
        <f t="shared" ref="BT15:CI15" si="17">$D15*SUM(BT$43:BT$46,BT$49)</f>
        <v>0</v>
      </c>
      <c r="BU15" s="772">
        <f t="shared" si="17"/>
        <v>0</v>
      </c>
      <c r="BV15" s="772">
        <f t="shared" si="17"/>
        <v>0</v>
      </c>
      <c r="BW15" s="772">
        <f t="shared" si="17"/>
        <v>0</v>
      </c>
      <c r="BX15" s="772">
        <f t="shared" si="17"/>
        <v>0</v>
      </c>
      <c r="BY15" s="772">
        <f t="shared" si="17"/>
        <v>0</v>
      </c>
      <c r="BZ15" s="772">
        <f t="shared" si="17"/>
        <v>0</v>
      </c>
      <c r="CA15" s="772">
        <f t="shared" si="17"/>
        <v>0</v>
      </c>
      <c r="CB15" s="772">
        <f t="shared" si="17"/>
        <v>0</v>
      </c>
      <c r="CC15" s="772">
        <f t="shared" si="17"/>
        <v>0</v>
      </c>
      <c r="CD15" s="772">
        <f t="shared" si="17"/>
        <v>0</v>
      </c>
      <c r="CE15" s="772">
        <f t="shared" si="17"/>
        <v>0</v>
      </c>
      <c r="CF15" s="772">
        <f t="shared" si="17"/>
        <v>0</v>
      </c>
      <c r="CG15" s="772">
        <f t="shared" si="17"/>
        <v>0</v>
      </c>
      <c r="CH15" s="772">
        <f t="shared" si="17"/>
        <v>0</v>
      </c>
      <c r="CI15" s="1399">
        <f t="shared" si="17"/>
        <v>0</v>
      </c>
    </row>
    <row r="16" spans="1:87" s="749" customFormat="1" ht="19.5" customHeight="1">
      <c r="A16" s="742"/>
      <c r="B16" s="554"/>
      <c r="C16" s="770" t="s">
        <v>369</v>
      </c>
      <c r="D16" s="2092">
        <v>0</v>
      </c>
      <c r="E16" s="771">
        <f t="shared" si="3"/>
        <v>0</v>
      </c>
      <c r="F16" s="772"/>
      <c r="G16" s="772">
        <f t="shared" ref="G16:AL16" si="18">$D16*SUM(G$33:G$36)</f>
        <v>0</v>
      </c>
      <c r="H16" s="772">
        <f t="shared" si="18"/>
        <v>0</v>
      </c>
      <c r="I16" s="772">
        <f t="shared" si="18"/>
        <v>0</v>
      </c>
      <c r="J16" s="772">
        <f t="shared" si="18"/>
        <v>0</v>
      </c>
      <c r="K16" s="772">
        <f t="shared" si="18"/>
        <v>0</v>
      </c>
      <c r="L16" s="772">
        <f t="shared" si="18"/>
        <v>0</v>
      </c>
      <c r="M16" s="772">
        <f t="shared" si="18"/>
        <v>0</v>
      </c>
      <c r="N16" s="772">
        <f t="shared" si="18"/>
        <v>0</v>
      </c>
      <c r="O16" s="772">
        <f t="shared" si="18"/>
        <v>0</v>
      </c>
      <c r="P16" s="772">
        <f t="shared" si="18"/>
        <v>0</v>
      </c>
      <c r="Q16" s="772">
        <f t="shared" si="18"/>
        <v>0</v>
      </c>
      <c r="R16" s="772">
        <f t="shared" si="18"/>
        <v>0</v>
      </c>
      <c r="S16" s="772">
        <f t="shared" si="18"/>
        <v>0</v>
      </c>
      <c r="T16" s="772">
        <f t="shared" si="18"/>
        <v>0</v>
      </c>
      <c r="U16" s="772">
        <f t="shared" si="18"/>
        <v>0</v>
      </c>
      <c r="V16" s="772">
        <f t="shared" si="18"/>
        <v>0</v>
      </c>
      <c r="W16" s="750">
        <f t="shared" si="18"/>
        <v>0</v>
      </c>
      <c r="X16" s="750">
        <f t="shared" si="18"/>
        <v>0</v>
      </c>
      <c r="Y16" s="750">
        <f t="shared" si="18"/>
        <v>0</v>
      </c>
      <c r="Z16" s="750">
        <f t="shared" si="18"/>
        <v>0</v>
      </c>
      <c r="AA16" s="750">
        <f t="shared" si="18"/>
        <v>0</v>
      </c>
      <c r="AB16" s="750">
        <f t="shared" si="18"/>
        <v>0</v>
      </c>
      <c r="AC16" s="750">
        <f t="shared" si="18"/>
        <v>0</v>
      </c>
      <c r="AD16" s="750">
        <f t="shared" si="18"/>
        <v>0</v>
      </c>
      <c r="AE16" s="750">
        <f t="shared" si="18"/>
        <v>0</v>
      </c>
      <c r="AF16" s="750">
        <f t="shared" si="18"/>
        <v>0</v>
      </c>
      <c r="AG16" s="750">
        <f t="shared" si="18"/>
        <v>0</v>
      </c>
      <c r="AH16" s="750">
        <f t="shared" si="18"/>
        <v>0</v>
      </c>
      <c r="AI16" s="750">
        <f t="shared" si="18"/>
        <v>0</v>
      </c>
      <c r="AJ16" s="750">
        <f t="shared" si="18"/>
        <v>0</v>
      </c>
      <c r="AK16" s="750">
        <f t="shared" si="18"/>
        <v>0</v>
      </c>
      <c r="AL16" s="750">
        <f t="shared" si="18"/>
        <v>0</v>
      </c>
      <c r="AM16" s="750">
        <f t="shared" ref="AM16:BR16" si="19">$D16*SUM(AM$33:AM$36)</f>
        <v>0</v>
      </c>
      <c r="AN16" s="750">
        <f t="shared" si="19"/>
        <v>0</v>
      </c>
      <c r="AO16" s="750">
        <f t="shared" si="19"/>
        <v>0</v>
      </c>
      <c r="AP16" s="750">
        <f t="shared" si="19"/>
        <v>0</v>
      </c>
      <c r="AQ16" s="750">
        <f t="shared" si="19"/>
        <v>0</v>
      </c>
      <c r="AR16" s="750">
        <f t="shared" si="19"/>
        <v>0</v>
      </c>
      <c r="AS16" s="750">
        <f t="shared" si="19"/>
        <v>0</v>
      </c>
      <c r="AT16" s="750">
        <f t="shared" si="19"/>
        <v>0</v>
      </c>
      <c r="AU16" s="750">
        <f t="shared" si="19"/>
        <v>0</v>
      </c>
      <c r="AV16" s="750">
        <f t="shared" si="19"/>
        <v>0</v>
      </c>
      <c r="AW16" s="750">
        <f t="shared" si="19"/>
        <v>0</v>
      </c>
      <c r="AX16" s="750">
        <f t="shared" si="19"/>
        <v>0</v>
      </c>
      <c r="AY16" s="750">
        <f t="shared" si="19"/>
        <v>0</v>
      </c>
      <c r="AZ16" s="750">
        <f t="shared" si="19"/>
        <v>0</v>
      </c>
      <c r="BA16" s="750">
        <f t="shared" si="19"/>
        <v>0</v>
      </c>
      <c r="BB16" s="750">
        <f t="shared" si="19"/>
        <v>0</v>
      </c>
      <c r="BC16" s="750">
        <f t="shared" si="19"/>
        <v>0</v>
      </c>
      <c r="BD16" s="750">
        <f t="shared" si="19"/>
        <v>0</v>
      </c>
      <c r="BE16" s="750">
        <f t="shared" si="19"/>
        <v>0</v>
      </c>
      <c r="BF16" s="750">
        <f t="shared" si="19"/>
        <v>0</v>
      </c>
      <c r="BG16" s="750">
        <f t="shared" si="19"/>
        <v>0</v>
      </c>
      <c r="BH16" s="750">
        <f t="shared" si="19"/>
        <v>0</v>
      </c>
      <c r="BI16" s="750">
        <f t="shared" si="19"/>
        <v>0</v>
      </c>
      <c r="BJ16" s="750">
        <f t="shared" si="19"/>
        <v>0</v>
      </c>
      <c r="BK16" s="750">
        <f t="shared" si="19"/>
        <v>0</v>
      </c>
      <c r="BL16" s="750">
        <f t="shared" si="19"/>
        <v>0</v>
      </c>
      <c r="BM16" s="750">
        <f t="shared" si="19"/>
        <v>0</v>
      </c>
      <c r="BN16" s="750">
        <f t="shared" si="19"/>
        <v>0</v>
      </c>
      <c r="BO16" s="750">
        <f t="shared" si="19"/>
        <v>0</v>
      </c>
      <c r="BP16" s="750">
        <f t="shared" si="19"/>
        <v>0</v>
      </c>
      <c r="BQ16" s="750">
        <f t="shared" si="19"/>
        <v>0</v>
      </c>
      <c r="BR16" s="750">
        <f t="shared" si="19"/>
        <v>0</v>
      </c>
      <c r="BS16" s="750">
        <f t="shared" ref="BS16:CI16" si="20">$D16*SUM(BS$33:BS$36)</f>
        <v>0</v>
      </c>
      <c r="BT16" s="750">
        <f t="shared" si="20"/>
        <v>0</v>
      </c>
      <c r="BU16" s="750">
        <f t="shared" si="20"/>
        <v>0</v>
      </c>
      <c r="BV16" s="750">
        <f t="shared" si="20"/>
        <v>0</v>
      </c>
      <c r="BW16" s="750">
        <f t="shared" si="20"/>
        <v>0</v>
      </c>
      <c r="BX16" s="750">
        <f t="shared" si="20"/>
        <v>0</v>
      </c>
      <c r="BY16" s="750">
        <f t="shared" si="20"/>
        <v>0</v>
      </c>
      <c r="BZ16" s="750">
        <f t="shared" si="20"/>
        <v>0</v>
      </c>
      <c r="CA16" s="750">
        <f t="shared" si="20"/>
        <v>0</v>
      </c>
      <c r="CB16" s="750">
        <f t="shared" si="20"/>
        <v>0</v>
      </c>
      <c r="CC16" s="750">
        <f t="shared" si="20"/>
        <v>0</v>
      </c>
      <c r="CD16" s="750">
        <f t="shared" si="20"/>
        <v>0</v>
      </c>
      <c r="CE16" s="750">
        <f t="shared" si="20"/>
        <v>0</v>
      </c>
      <c r="CF16" s="750">
        <f t="shared" si="20"/>
        <v>0</v>
      </c>
      <c r="CG16" s="750">
        <f t="shared" si="20"/>
        <v>0</v>
      </c>
      <c r="CH16" s="750">
        <f t="shared" si="20"/>
        <v>0</v>
      </c>
      <c r="CI16" s="1400">
        <f t="shared" si="20"/>
        <v>0</v>
      </c>
    </row>
    <row r="17" spans="1:87" ht="19.5" customHeight="1">
      <c r="B17" s="769"/>
      <c r="C17" s="770" t="s">
        <v>370</v>
      </c>
      <c r="D17" s="2092">
        <v>3.0000000000000001E-3</v>
      </c>
      <c r="E17" s="771">
        <f t="shared" si="3"/>
        <v>15691.281769076641</v>
      </c>
      <c r="F17" s="772"/>
      <c r="G17" s="772">
        <f>$D17*SUM(G$33:G$39)</f>
        <v>0</v>
      </c>
      <c r="H17" s="772">
        <f t="shared" ref="H17:BS17" si="21">$D17*SUM(H$33:H$39)</f>
        <v>0</v>
      </c>
      <c r="I17" s="772">
        <f t="shared" si="21"/>
        <v>0</v>
      </c>
      <c r="J17" s="772">
        <f t="shared" si="21"/>
        <v>0</v>
      </c>
      <c r="K17" s="772">
        <f t="shared" si="21"/>
        <v>0</v>
      </c>
      <c r="L17" s="772">
        <f t="shared" si="21"/>
        <v>0</v>
      </c>
      <c r="M17" s="772">
        <f t="shared" si="21"/>
        <v>0</v>
      </c>
      <c r="N17" s="772">
        <f t="shared" si="21"/>
        <v>0</v>
      </c>
      <c r="O17" s="772">
        <f t="shared" si="21"/>
        <v>0</v>
      </c>
      <c r="P17" s="772">
        <f t="shared" si="21"/>
        <v>5068.7928222003729</v>
      </c>
      <c r="Q17" s="772">
        <f t="shared" si="21"/>
        <v>5674.8327897190147</v>
      </c>
      <c r="R17" s="772">
        <f t="shared" si="21"/>
        <v>1925.7805376891035</v>
      </c>
      <c r="S17" s="772">
        <f t="shared" si="21"/>
        <v>1434.0963913622898</v>
      </c>
      <c r="T17" s="772">
        <f t="shared" si="21"/>
        <v>785.50778698516308</v>
      </c>
      <c r="U17" s="772">
        <f t="shared" si="21"/>
        <v>710.14574027025094</v>
      </c>
      <c r="V17" s="772">
        <f t="shared" si="21"/>
        <v>0</v>
      </c>
      <c r="W17" s="772">
        <f t="shared" si="21"/>
        <v>92.125700850447913</v>
      </c>
      <c r="X17" s="772">
        <f t="shared" si="21"/>
        <v>0</v>
      </c>
      <c r="Y17" s="772">
        <f t="shared" si="21"/>
        <v>0</v>
      </c>
      <c r="Z17" s="772">
        <f t="shared" si="21"/>
        <v>0</v>
      </c>
      <c r="AA17" s="772">
        <f t="shared" si="21"/>
        <v>0</v>
      </c>
      <c r="AB17" s="772">
        <f t="shared" si="21"/>
        <v>0</v>
      </c>
      <c r="AC17" s="772">
        <f t="shared" si="21"/>
        <v>0</v>
      </c>
      <c r="AD17" s="772">
        <f t="shared" si="21"/>
        <v>0</v>
      </c>
      <c r="AE17" s="772">
        <f t="shared" si="21"/>
        <v>0</v>
      </c>
      <c r="AF17" s="772">
        <f t="shared" si="21"/>
        <v>0</v>
      </c>
      <c r="AG17" s="772">
        <f t="shared" si="21"/>
        <v>0</v>
      </c>
      <c r="AH17" s="772">
        <f t="shared" si="21"/>
        <v>0</v>
      </c>
      <c r="AI17" s="772">
        <f t="shared" si="21"/>
        <v>0</v>
      </c>
      <c r="AJ17" s="772">
        <f t="shared" si="21"/>
        <v>0</v>
      </c>
      <c r="AK17" s="772">
        <f t="shared" si="21"/>
        <v>0</v>
      </c>
      <c r="AL17" s="772">
        <f t="shared" si="21"/>
        <v>0</v>
      </c>
      <c r="AM17" s="772">
        <f t="shared" si="21"/>
        <v>0</v>
      </c>
      <c r="AN17" s="772">
        <f t="shared" si="21"/>
        <v>0</v>
      </c>
      <c r="AO17" s="772">
        <f t="shared" si="21"/>
        <v>0</v>
      </c>
      <c r="AP17" s="772">
        <f t="shared" si="21"/>
        <v>0</v>
      </c>
      <c r="AQ17" s="772">
        <f t="shared" si="21"/>
        <v>0</v>
      </c>
      <c r="AR17" s="772">
        <f t="shared" si="21"/>
        <v>0</v>
      </c>
      <c r="AS17" s="772">
        <f t="shared" si="21"/>
        <v>0</v>
      </c>
      <c r="AT17" s="772">
        <f t="shared" si="21"/>
        <v>0</v>
      </c>
      <c r="AU17" s="772">
        <f t="shared" si="21"/>
        <v>0</v>
      </c>
      <c r="AV17" s="772">
        <f t="shared" si="21"/>
        <v>0</v>
      </c>
      <c r="AW17" s="772">
        <f t="shared" si="21"/>
        <v>0</v>
      </c>
      <c r="AX17" s="772">
        <f t="shared" si="21"/>
        <v>0</v>
      </c>
      <c r="AY17" s="772">
        <f t="shared" si="21"/>
        <v>0</v>
      </c>
      <c r="AZ17" s="772">
        <f t="shared" si="21"/>
        <v>0</v>
      </c>
      <c r="BA17" s="772">
        <f t="shared" si="21"/>
        <v>0</v>
      </c>
      <c r="BB17" s="772">
        <f t="shared" si="21"/>
        <v>0</v>
      </c>
      <c r="BC17" s="772">
        <f t="shared" si="21"/>
        <v>0</v>
      </c>
      <c r="BD17" s="772">
        <f t="shared" si="21"/>
        <v>0</v>
      </c>
      <c r="BE17" s="772">
        <f t="shared" si="21"/>
        <v>0</v>
      </c>
      <c r="BF17" s="772">
        <f t="shared" si="21"/>
        <v>0</v>
      </c>
      <c r="BG17" s="772">
        <f t="shared" si="21"/>
        <v>0</v>
      </c>
      <c r="BH17" s="772">
        <f t="shared" si="21"/>
        <v>0</v>
      </c>
      <c r="BI17" s="772">
        <f t="shared" si="21"/>
        <v>0</v>
      </c>
      <c r="BJ17" s="772">
        <f t="shared" si="21"/>
        <v>0</v>
      </c>
      <c r="BK17" s="772">
        <f t="shared" si="21"/>
        <v>0</v>
      </c>
      <c r="BL17" s="772">
        <f t="shared" si="21"/>
        <v>0</v>
      </c>
      <c r="BM17" s="772">
        <f t="shared" si="21"/>
        <v>0</v>
      </c>
      <c r="BN17" s="772">
        <f t="shared" si="21"/>
        <v>0</v>
      </c>
      <c r="BO17" s="772">
        <f t="shared" si="21"/>
        <v>0</v>
      </c>
      <c r="BP17" s="772">
        <f t="shared" si="21"/>
        <v>0</v>
      </c>
      <c r="BQ17" s="772">
        <f t="shared" si="21"/>
        <v>0</v>
      </c>
      <c r="BR17" s="772">
        <f t="shared" si="21"/>
        <v>0</v>
      </c>
      <c r="BS17" s="772">
        <f t="shared" si="21"/>
        <v>0</v>
      </c>
      <c r="BT17" s="772">
        <f t="shared" ref="BT17:CI17" si="22">$D17*SUM(BT$33:BT$39)</f>
        <v>0</v>
      </c>
      <c r="BU17" s="772">
        <f t="shared" si="22"/>
        <v>0</v>
      </c>
      <c r="BV17" s="772">
        <f t="shared" si="22"/>
        <v>0</v>
      </c>
      <c r="BW17" s="772">
        <f t="shared" si="22"/>
        <v>0</v>
      </c>
      <c r="BX17" s="772">
        <f t="shared" si="22"/>
        <v>0</v>
      </c>
      <c r="BY17" s="772">
        <f t="shared" si="22"/>
        <v>0</v>
      </c>
      <c r="BZ17" s="772">
        <f t="shared" si="22"/>
        <v>0</v>
      </c>
      <c r="CA17" s="772">
        <f t="shared" si="22"/>
        <v>0</v>
      </c>
      <c r="CB17" s="772">
        <f t="shared" si="22"/>
        <v>0</v>
      </c>
      <c r="CC17" s="772">
        <f t="shared" si="22"/>
        <v>0</v>
      </c>
      <c r="CD17" s="772">
        <f t="shared" si="22"/>
        <v>0</v>
      </c>
      <c r="CE17" s="772">
        <f t="shared" si="22"/>
        <v>0</v>
      </c>
      <c r="CF17" s="772">
        <f t="shared" si="22"/>
        <v>0</v>
      </c>
      <c r="CG17" s="772">
        <f t="shared" si="22"/>
        <v>0</v>
      </c>
      <c r="CH17" s="772">
        <f t="shared" si="22"/>
        <v>0</v>
      </c>
      <c r="CI17" s="1399">
        <f t="shared" si="22"/>
        <v>0</v>
      </c>
    </row>
    <row r="18" spans="1:87" s="751" customFormat="1" ht="19.5" customHeight="1">
      <c r="B18" s="554">
        <v>2</v>
      </c>
      <c r="C18" s="774" t="s">
        <v>368</v>
      </c>
      <c r="D18" s="775">
        <v>0.05</v>
      </c>
      <c r="E18" s="633">
        <f t="shared" si="3"/>
        <v>1535.4283475074653</v>
      </c>
      <c r="F18" s="636"/>
      <c r="G18" s="1539">
        <f>$D$18*SUM(G37:G38)</f>
        <v>0</v>
      </c>
      <c r="H18" s="1539">
        <f t="shared" ref="H18:BS18" si="23">$D$18*SUM(H37:H38)</f>
        <v>0</v>
      </c>
      <c r="I18" s="1539">
        <f t="shared" si="23"/>
        <v>0</v>
      </c>
      <c r="J18" s="1539">
        <f t="shared" si="23"/>
        <v>0</v>
      </c>
      <c r="K18" s="1539">
        <f t="shared" si="23"/>
        <v>0</v>
      </c>
      <c r="L18" s="1539">
        <f t="shared" si="23"/>
        <v>0</v>
      </c>
      <c r="M18" s="1539">
        <f t="shared" si="23"/>
        <v>0</v>
      </c>
      <c r="N18" s="1539">
        <f t="shared" si="23"/>
        <v>0</v>
      </c>
      <c r="O18" s="1539">
        <f t="shared" si="23"/>
        <v>0</v>
      </c>
      <c r="P18" s="1539">
        <f t="shared" si="23"/>
        <v>0</v>
      </c>
      <c r="Q18" s="1539">
        <f>$D$18*SUM(Q37:Q38)</f>
        <v>0</v>
      </c>
      <c r="R18" s="1539">
        <f t="shared" si="23"/>
        <v>0</v>
      </c>
      <c r="S18" s="1539">
        <f t="shared" si="23"/>
        <v>0</v>
      </c>
      <c r="T18" s="1539">
        <f t="shared" si="23"/>
        <v>0</v>
      </c>
      <c r="U18" s="1539">
        <f t="shared" si="23"/>
        <v>0</v>
      </c>
      <c r="V18" s="1539">
        <f t="shared" si="23"/>
        <v>0</v>
      </c>
      <c r="W18" s="1539">
        <f t="shared" si="23"/>
        <v>1535.4283475074653</v>
      </c>
      <c r="X18" s="1539">
        <f t="shared" si="23"/>
        <v>0</v>
      </c>
      <c r="Y18" s="1539">
        <f t="shared" si="23"/>
        <v>0</v>
      </c>
      <c r="Z18" s="1539">
        <f t="shared" si="23"/>
        <v>0</v>
      </c>
      <c r="AA18" s="1539">
        <f t="shared" si="23"/>
        <v>0</v>
      </c>
      <c r="AB18" s="1539">
        <f t="shared" si="23"/>
        <v>0</v>
      </c>
      <c r="AC18" s="1539">
        <f t="shared" si="23"/>
        <v>0</v>
      </c>
      <c r="AD18" s="1539">
        <f t="shared" si="23"/>
        <v>0</v>
      </c>
      <c r="AE18" s="1539">
        <f t="shared" si="23"/>
        <v>0</v>
      </c>
      <c r="AF18" s="1539">
        <f t="shared" si="23"/>
        <v>0</v>
      </c>
      <c r="AG18" s="1539">
        <f t="shared" si="23"/>
        <v>0</v>
      </c>
      <c r="AH18" s="1539">
        <f t="shared" si="23"/>
        <v>0</v>
      </c>
      <c r="AI18" s="1539">
        <f t="shared" si="23"/>
        <v>0</v>
      </c>
      <c r="AJ18" s="1539">
        <f t="shared" si="23"/>
        <v>0</v>
      </c>
      <c r="AK18" s="1539">
        <f t="shared" si="23"/>
        <v>0</v>
      </c>
      <c r="AL18" s="1539">
        <f t="shared" si="23"/>
        <v>0</v>
      </c>
      <c r="AM18" s="1539">
        <f t="shared" si="23"/>
        <v>0</v>
      </c>
      <c r="AN18" s="1539">
        <f t="shared" si="23"/>
        <v>0</v>
      </c>
      <c r="AO18" s="1539">
        <f t="shared" si="23"/>
        <v>0</v>
      </c>
      <c r="AP18" s="1539">
        <f t="shared" si="23"/>
        <v>0</v>
      </c>
      <c r="AQ18" s="1539">
        <f t="shared" si="23"/>
        <v>0</v>
      </c>
      <c r="AR18" s="1539">
        <f t="shared" si="23"/>
        <v>0</v>
      </c>
      <c r="AS18" s="1539">
        <f t="shared" si="23"/>
        <v>0</v>
      </c>
      <c r="AT18" s="1539">
        <f t="shared" si="23"/>
        <v>0</v>
      </c>
      <c r="AU18" s="1539">
        <f t="shared" si="23"/>
        <v>0</v>
      </c>
      <c r="AV18" s="1539">
        <f t="shared" si="23"/>
        <v>0</v>
      </c>
      <c r="AW18" s="1539">
        <f t="shared" si="23"/>
        <v>0</v>
      </c>
      <c r="AX18" s="1539">
        <f t="shared" si="23"/>
        <v>0</v>
      </c>
      <c r="AY18" s="1539">
        <f t="shared" si="23"/>
        <v>0</v>
      </c>
      <c r="AZ18" s="1539">
        <f t="shared" si="23"/>
        <v>0</v>
      </c>
      <c r="BA18" s="1539">
        <f t="shared" si="23"/>
        <v>0</v>
      </c>
      <c r="BB18" s="1539">
        <f t="shared" si="23"/>
        <v>0</v>
      </c>
      <c r="BC18" s="1539">
        <f t="shared" si="23"/>
        <v>0</v>
      </c>
      <c r="BD18" s="1539">
        <f t="shared" si="23"/>
        <v>0</v>
      </c>
      <c r="BE18" s="1539">
        <f t="shared" si="23"/>
        <v>0</v>
      </c>
      <c r="BF18" s="1539">
        <f t="shared" si="23"/>
        <v>0</v>
      </c>
      <c r="BG18" s="1539">
        <f t="shared" si="23"/>
        <v>0</v>
      </c>
      <c r="BH18" s="1539">
        <f t="shared" si="23"/>
        <v>0</v>
      </c>
      <c r="BI18" s="1539">
        <f t="shared" si="23"/>
        <v>0</v>
      </c>
      <c r="BJ18" s="1539">
        <f t="shared" si="23"/>
        <v>0</v>
      </c>
      <c r="BK18" s="1539">
        <f t="shared" si="23"/>
        <v>0</v>
      </c>
      <c r="BL18" s="1539">
        <f t="shared" si="23"/>
        <v>0</v>
      </c>
      <c r="BM18" s="1539">
        <f t="shared" si="23"/>
        <v>0</v>
      </c>
      <c r="BN18" s="1539">
        <f t="shared" si="23"/>
        <v>0</v>
      </c>
      <c r="BO18" s="1539">
        <f t="shared" si="23"/>
        <v>0</v>
      </c>
      <c r="BP18" s="1539">
        <f t="shared" si="23"/>
        <v>0</v>
      </c>
      <c r="BQ18" s="1539">
        <f t="shared" si="23"/>
        <v>0</v>
      </c>
      <c r="BR18" s="1539">
        <f t="shared" si="23"/>
        <v>0</v>
      </c>
      <c r="BS18" s="1539">
        <f t="shared" si="23"/>
        <v>0</v>
      </c>
      <c r="BT18" s="1539">
        <f t="shared" ref="BT18:CI18" si="24">$D$18*SUM(BT37:BT38)</f>
        <v>0</v>
      </c>
      <c r="BU18" s="1539">
        <f t="shared" si="24"/>
        <v>0</v>
      </c>
      <c r="BV18" s="1539">
        <f t="shared" si="24"/>
        <v>0</v>
      </c>
      <c r="BW18" s="1539">
        <f t="shared" si="24"/>
        <v>0</v>
      </c>
      <c r="BX18" s="1539">
        <f t="shared" si="24"/>
        <v>0</v>
      </c>
      <c r="BY18" s="1539">
        <f t="shared" si="24"/>
        <v>0</v>
      </c>
      <c r="BZ18" s="1539">
        <f t="shared" si="24"/>
        <v>0</v>
      </c>
      <c r="CA18" s="1539">
        <f t="shared" si="24"/>
        <v>0</v>
      </c>
      <c r="CB18" s="1539">
        <f t="shared" si="24"/>
        <v>0</v>
      </c>
      <c r="CC18" s="1539">
        <f t="shared" si="24"/>
        <v>0</v>
      </c>
      <c r="CD18" s="1539">
        <f t="shared" si="24"/>
        <v>0</v>
      </c>
      <c r="CE18" s="1539">
        <f t="shared" si="24"/>
        <v>0</v>
      </c>
      <c r="CF18" s="1539">
        <f t="shared" si="24"/>
        <v>0</v>
      </c>
      <c r="CG18" s="1539">
        <f t="shared" si="24"/>
        <v>0</v>
      </c>
      <c r="CH18" s="1539">
        <f t="shared" si="24"/>
        <v>0</v>
      </c>
      <c r="CI18" s="1539">
        <f t="shared" si="24"/>
        <v>0</v>
      </c>
    </row>
    <row r="19" spans="1:87" s="751" customFormat="1" ht="19.5" customHeight="1">
      <c r="B19" s="554">
        <v>3</v>
      </c>
      <c r="C19" s="774" t="s">
        <v>599</v>
      </c>
      <c r="D19" s="775"/>
      <c r="E19" s="633">
        <f t="shared" si="3"/>
        <v>0</v>
      </c>
      <c r="F19" s="636"/>
      <c r="G19" s="636">
        <f>'6.Vay von'!F23-'3.Du toan'!AU78</f>
        <v>0</v>
      </c>
      <c r="H19" s="636">
        <f>'6.Vay von'!G23-'3.Du toan'!AV78</f>
        <v>0</v>
      </c>
      <c r="I19" s="636">
        <f>'6.Vay von'!H23-'3.Du toan'!AW78</f>
        <v>0</v>
      </c>
      <c r="J19" s="636">
        <f>'6.Vay von'!I23-'3.Du toan'!AX78</f>
        <v>0</v>
      </c>
      <c r="K19" s="636">
        <f>'6.Vay von'!J23-'3.Du toan'!AY78</f>
        <v>0</v>
      </c>
      <c r="L19" s="636">
        <f>'6.Vay von'!K23-'3.Du toan'!AZ78</f>
        <v>0</v>
      </c>
      <c r="M19" s="636">
        <f>'6.Vay von'!L23-'3.Du toan'!BA78</f>
        <v>0</v>
      </c>
      <c r="N19" s="636">
        <f>'6.Vay von'!M23-'3.Du toan'!BB78</f>
        <v>0</v>
      </c>
      <c r="O19" s="636">
        <f>'6.Vay von'!N23-'3.Du toan'!BC78</f>
        <v>0</v>
      </c>
      <c r="P19" s="636">
        <f>'6.Vay von'!O23-'3.Du toan'!BD78</f>
        <v>0</v>
      </c>
      <c r="Q19" s="636">
        <f>'6.Vay von'!P23-'3.Du toan'!BE78</f>
        <v>0</v>
      </c>
      <c r="R19" s="636">
        <f>'6.Vay von'!Q23-'3.Du toan'!BF78</f>
        <v>0</v>
      </c>
      <c r="S19" s="636">
        <f>'6.Vay von'!R23-'3.Du toan'!BG78</f>
        <v>0</v>
      </c>
      <c r="T19" s="636">
        <f>'6.Vay von'!S23-'3.Du toan'!BH78</f>
        <v>0</v>
      </c>
      <c r="U19" s="636">
        <f>'6.Vay von'!T23-'3.Du toan'!BI78</f>
        <v>0</v>
      </c>
      <c r="V19" s="636">
        <f>'6.Vay von'!U23-'3.Du toan'!BJ78</f>
        <v>0</v>
      </c>
      <c r="W19" s="752">
        <f>'6.Vay von'!V23-'3.Du toan'!BK78</f>
        <v>0</v>
      </c>
      <c r="X19" s="752">
        <f>'6.Vay von'!W23-'3.Du toan'!BL78</f>
        <v>0</v>
      </c>
      <c r="Y19" s="752">
        <f>'6.Vay von'!X23-'3.Du toan'!BM78</f>
        <v>0</v>
      </c>
      <c r="Z19" s="752">
        <f>'6.Vay von'!Y23-'3.Du toan'!BN78</f>
        <v>0</v>
      </c>
      <c r="AA19" s="752">
        <f>'6.Vay von'!Z23-'3.Du toan'!BO78</f>
        <v>0</v>
      </c>
      <c r="AB19" s="752">
        <f>'6.Vay von'!AA23-'3.Du toan'!BP78</f>
        <v>0</v>
      </c>
      <c r="AC19" s="752">
        <f>'6.Vay von'!AB23-'3.Du toan'!BQ78</f>
        <v>0</v>
      </c>
      <c r="AD19" s="752">
        <f>'6.Vay von'!AC23-'3.Du toan'!BR78</f>
        <v>0</v>
      </c>
      <c r="AE19" s="752">
        <f>'6.Vay von'!AD23-'3.Du toan'!BS78</f>
        <v>0</v>
      </c>
      <c r="AF19" s="752">
        <f>'6.Vay von'!AE23-'3.Du toan'!BT78</f>
        <v>0</v>
      </c>
      <c r="AG19" s="752">
        <f>'6.Vay von'!AF23-'3.Du toan'!BU78</f>
        <v>0</v>
      </c>
      <c r="AH19" s="752">
        <f>'6.Vay von'!AG23-'3.Du toan'!BV78</f>
        <v>0</v>
      </c>
      <c r="AI19" s="752">
        <f>'6.Vay von'!AH23-'3.Du toan'!BW78</f>
        <v>0</v>
      </c>
      <c r="AJ19" s="752">
        <f>'6.Vay von'!AI23-'3.Du toan'!BX78</f>
        <v>0</v>
      </c>
      <c r="AK19" s="752">
        <f>'6.Vay von'!AJ23-'3.Du toan'!BY78</f>
        <v>0</v>
      </c>
      <c r="AL19" s="752">
        <f>'6.Vay von'!AK23-'3.Du toan'!BZ78</f>
        <v>0</v>
      </c>
      <c r="AM19" s="752">
        <f>'6.Vay von'!AL23-'3.Du toan'!CA78</f>
        <v>0</v>
      </c>
      <c r="AN19" s="752">
        <f>'6.Vay von'!AM23-'3.Du toan'!CB78</f>
        <v>0</v>
      </c>
      <c r="AO19" s="752">
        <f>'6.Vay von'!AN23-'3.Du toan'!CC78</f>
        <v>0</v>
      </c>
      <c r="AP19" s="752">
        <f>'6.Vay von'!AO23-'3.Du toan'!CD78</f>
        <v>0</v>
      </c>
      <c r="AQ19" s="752">
        <f>'6.Vay von'!AP23-'3.Du toan'!CE78</f>
        <v>0</v>
      </c>
      <c r="AR19" s="752">
        <f>'6.Vay von'!AQ23-'3.Du toan'!CF78</f>
        <v>0</v>
      </c>
      <c r="AS19" s="752">
        <f>'6.Vay von'!AR23-'3.Du toan'!CG78</f>
        <v>0</v>
      </c>
      <c r="AT19" s="752">
        <f>'6.Vay von'!AS23-'3.Du toan'!CH78</f>
        <v>0</v>
      </c>
      <c r="AU19" s="752">
        <f>'6.Vay von'!AT23-'3.Du toan'!CI78</f>
        <v>0</v>
      </c>
      <c r="AV19" s="752">
        <f>'6.Vay von'!AU23-'3.Du toan'!CJ78</f>
        <v>0</v>
      </c>
      <c r="AW19" s="752">
        <f>'6.Vay von'!AV23-'3.Du toan'!CK78</f>
        <v>0</v>
      </c>
      <c r="AX19" s="752">
        <f>'6.Vay von'!AW23-'3.Du toan'!CL78</f>
        <v>0</v>
      </c>
      <c r="AY19" s="752">
        <f>'6.Vay von'!AX23-'3.Du toan'!CM78</f>
        <v>0</v>
      </c>
      <c r="AZ19" s="752">
        <f>'6.Vay von'!AY23-'3.Du toan'!CN78</f>
        <v>0</v>
      </c>
      <c r="BA19" s="752">
        <f>'6.Vay von'!AZ23-'3.Du toan'!CO78</f>
        <v>0</v>
      </c>
      <c r="BB19" s="752">
        <f>'6.Vay von'!BA23-'3.Du toan'!CP78</f>
        <v>0</v>
      </c>
      <c r="BC19" s="752">
        <f>'6.Vay von'!BB23-'3.Du toan'!CQ78</f>
        <v>0</v>
      </c>
      <c r="BD19" s="752">
        <f>'6.Vay von'!BC23-'3.Du toan'!CR78</f>
        <v>0</v>
      </c>
      <c r="BE19" s="752">
        <f>'6.Vay von'!BD23-'3.Du toan'!CS78</f>
        <v>0</v>
      </c>
      <c r="BF19" s="752">
        <f>'6.Vay von'!BE23-'3.Du toan'!CT78</f>
        <v>0</v>
      </c>
      <c r="BG19" s="752">
        <f>'6.Vay von'!BF23-'3.Du toan'!CU78</f>
        <v>0</v>
      </c>
      <c r="BH19" s="752">
        <f>'6.Vay von'!BG23-'3.Du toan'!CV78</f>
        <v>0</v>
      </c>
      <c r="BI19" s="752">
        <f>'6.Vay von'!BH23-'3.Du toan'!CW78</f>
        <v>0</v>
      </c>
      <c r="BJ19" s="752">
        <f>'6.Vay von'!BI23-'3.Du toan'!CX78</f>
        <v>0</v>
      </c>
      <c r="BK19" s="752">
        <f>'6.Vay von'!BJ23-'3.Du toan'!CY78</f>
        <v>0</v>
      </c>
      <c r="BL19" s="752">
        <f>'6.Vay von'!BK23-'3.Du toan'!CZ78</f>
        <v>0</v>
      </c>
      <c r="BM19" s="752">
        <f>'6.Vay von'!BL23-'3.Du toan'!DA78</f>
        <v>0</v>
      </c>
      <c r="BN19" s="752">
        <f>'6.Vay von'!BM23-'3.Du toan'!DB78</f>
        <v>0</v>
      </c>
      <c r="BO19" s="752">
        <f>'6.Vay von'!BN23-'3.Du toan'!DC78</f>
        <v>0</v>
      </c>
      <c r="BP19" s="752">
        <f>'6.Vay von'!BO23-'3.Du toan'!DD78</f>
        <v>0</v>
      </c>
      <c r="BQ19" s="752">
        <f>'6.Vay von'!BP23-'3.Du toan'!DE78</f>
        <v>0</v>
      </c>
      <c r="BR19" s="752">
        <f>'6.Vay von'!BQ23-'3.Du toan'!DF78</f>
        <v>0</v>
      </c>
      <c r="BS19" s="752">
        <f>'6.Vay von'!BR23-'3.Du toan'!DG78</f>
        <v>0</v>
      </c>
      <c r="BT19" s="752">
        <f>'6.Vay von'!BS23-'3.Du toan'!DH78</f>
        <v>0</v>
      </c>
      <c r="BU19" s="752">
        <f>'6.Vay von'!BT23-'3.Du toan'!DI78</f>
        <v>0</v>
      </c>
      <c r="BV19" s="752">
        <f>'6.Vay von'!BU23-'3.Du toan'!DJ78</f>
        <v>0</v>
      </c>
      <c r="BW19" s="752">
        <f>'6.Vay von'!BV23-'3.Du toan'!DK78</f>
        <v>0</v>
      </c>
      <c r="BX19" s="752">
        <f>'6.Vay von'!BW23-'3.Du toan'!DL78</f>
        <v>0</v>
      </c>
      <c r="BY19" s="752">
        <f>'6.Vay von'!BX23-'3.Du toan'!DM78</f>
        <v>0</v>
      </c>
      <c r="BZ19" s="752">
        <f>'6.Vay von'!BY23-'3.Du toan'!DN78</f>
        <v>0</v>
      </c>
      <c r="CA19" s="752">
        <f>'6.Vay von'!BZ23-'3.Du toan'!DO78</f>
        <v>0</v>
      </c>
      <c r="CB19" s="752">
        <f>'6.Vay von'!CA23-'3.Du toan'!DP78</f>
        <v>0</v>
      </c>
      <c r="CC19" s="752">
        <f>'6.Vay von'!CB23-'3.Du toan'!DQ78</f>
        <v>0</v>
      </c>
      <c r="CD19" s="752">
        <f>'6.Vay von'!CC23-'3.Du toan'!DR78</f>
        <v>0</v>
      </c>
      <c r="CE19" s="752">
        <f>'6.Vay von'!CD23-'3.Du toan'!DS78</f>
        <v>0</v>
      </c>
      <c r="CF19" s="752">
        <f>'6.Vay von'!CE23-'3.Du toan'!DT78</f>
        <v>0</v>
      </c>
      <c r="CG19" s="752">
        <f>'6.Vay von'!CF23-'3.Du toan'!DU78</f>
        <v>0</v>
      </c>
      <c r="CH19" s="752">
        <f>'6.Vay von'!CG23-'3.Du toan'!DV78</f>
        <v>0</v>
      </c>
      <c r="CI19" s="753">
        <f>'6.Vay von'!CH23-'3.Du toan'!DW78</f>
        <v>0</v>
      </c>
    </row>
    <row r="20" spans="1:87" s="751" customFormat="1" ht="19.5" customHeight="1">
      <c r="B20" s="554">
        <v>4</v>
      </c>
      <c r="C20" s="774" t="s">
        <v>100</v>
      </c>
      <c r="D20" s="776"/>
      <c r="E20" s="633">
        <f t="shared" si="3"/>
        <v>46994.826546980956</v>
      </c>
      <c r="F20" s="636"/>
      <c r="G20" s="636">
        <f>'5.Doanh thu'!H72</f>
        <v>0</v>
      </c>
      <c r="H20" s="636">
        <f>'5.Doanh thu'!I72</f>
        <v>0</v>
      </c>
      <c r="I20" s="636">
        <f>'5.Doanh thu'!J72</f>
        <v>0</v>
      </c>
      <c r="J20" s="636">
        <f>'5.Doanh thu'!K72</f>
        <v>0</v>
      </c>
      <c r="K20" s="636">
        <f>'5.Doanh thu'!L72</f>
        <v>0</v>
      </c>
      <c r="L20" s="636">
        <f>'5.Doanh thu'!M72</f>
        <v>0</v>
      </c>
      <c r="M20" s="636">
        <f>'5.Doanh thu'!N72</f>
        <v>0</v>
      </c>
      <c r="N20" s="636">
        <f>'5.Doanh thu'!O72</f>
        <v>0</v>
      </c>
      <c r="O20" s="636">
        <f>'5.Doanh thu'!P72</f>
        <v>0</v>
      </c>
      <c r="P20" s="636">
        <f>'5.Doanh thu'!Q72</f>
        <v>1900.7973083251393</v>
      </c>
      <c r="Q20" s="636">
        <f>'5.Doanh thu'!R72</f>
        <v>3813.1848441400675</v>
      </c>
      <c r="R20" s="636">
        <f>'5.Doanh thu'!S72</f>
        <v>4319.6777854437787</v>
      </c>
      <c r="S20" s="636">
        <f>'5.Doanh thu'!T72</f>
        <v>6189.0522291665802</v>
      </c>
      <c r="T20" s="636">
        <f>'5.Doanh thu'!U72</f>
        <v>8227.2576533239535</v>
      </c>
      <c r="U20" s="636">
        <f>'5.Doanh thu'!V72</f>
        <v>10405.318489191432</v>
      </c>
      <c r="V20" s="636">
        <f>'5.Doanh thu'!W72</f>
        <v>12139.538237390005</v>
      </c>
      <c r="W20" s="752">
        <f>'5.Doanh thu'!X72</f>
        <v>0</v>
      </c>
      <c r="X20" s="752">
        <f>'5.Doanh thu'!Y72</f>
        <v>0</v>
      </c>
      <c r="Y20" s="752">
        <f>'5.Doanh thu'!Z72</f>
        <v>0</v>
      </c>
      <c r="Z20" s="752">
        <f>'5.Doanh thu'!AA72</f>
        <v>0</v>
      </c>
      <c r="AA20" s="752">
        <f>'5.Doanh thu'!AB72</f>
        <v>0</v>
      </c>
      <c r="AB20" s="752">
        <f>'5.Doanh thu'!AC72</f>
        <v>0</v>
      </c>
      <c r="AC20" s="752">
        <f>'5.Doanh thu'!AD72</f>
        <v>0</v>
      </c>
      <c r="AD20" s="752">
        <f>'5.Doanh thu'!AE72</f>
        <v>0</v>
      </c>
      <c r="AE20" s="752">
        <f>'5.Doanh thu'!AF72</f>
        <v>0</v>
      </c>
      <c r="AF20" s="752">
        <f>'5.Doanh thu'!AG72</f>
        <v>0</v>
      </c>
      <c r="AG20" s="752">
        <f>'5.Doanh thu'!AH72</f>
        <v>0</v>
      </c>
      <c r="AH20" s="752">
        <f>'5.Doanh thu'!AI72</f>
        <v>0</v>
      </c>
      <c r="AI20" s="752">
        <f>'5.Doanh thu'!AJ72</f>
        <v>0</v>
      </c>
      <c r="AJ20" s="752">
        <f>'5.Doanh thu'!AK72</f>
        <v>0</v>
      </c>
      <c r="AK20" s="752">
        <f>'5.Doanh thu'!AL72</f>
        <v>0</v>
      </c>
      <c r="AL20" s="752">
        <f>'5.Doanh thu'!AM72</f>
        <v>0</v>
      </c>
      <c r="AM20" s="752">
        <f>'5.Doanh thu'!AN72</f>
        <v>0</v>
      </c>
      <c r="AN20" s="752">
        <f>'5.Doanh thu'!AO72</f>
        <v>0</v>
      </c>
      <c r="AO20" s="752">
        <f>'5.Doanh thu'!AP72</f>
        <v>0</v>
      </c>
      <c r="AP20" s="752">
        <f>'5.Doanh thu'!AQ72</f>
        <v>0</v>
      </c>
      <c r="AQ20" s="752">
        <f>'5.Doanh thu'!AR72</f>
        <v>0</v>
      </c>
      <c r="AR20" s="752">
        <f>'5.Doanh thu'!AS72</f>
        <v>0</v>
      </c>
      <c r="AS20" s="752">
        <f>'5.Doanh thu'!AT72</f>
        <v>0</v>
      </c>
      <c r="AT20" s="752">
        <f>'5.Doanh thu'!AU72</f>
        <v>0</v>
      </c>
      <c r="AU20" s="752">
        <f>'5.Doanh thu'!AV72</f>
        <v>0</v>
      </c>
      <c r="AV20" s="752">
        <f>'5.Doanh thu'!AW72</f>
        <v>0</v>
      </c>
      <c r="AW20" s="752">
        <f>'5.Doanh thu'!AX72</f>
        <v>0</v>
      </c>
      <c r="AX20" s="752">
        <f>'5.Doanh thu'!AY72</f>
        <v>0</v>
      </c>
      <c r="AY20" s="752">
        <f>'5.Doanh thu'!AZ72</f>
        <v>0</v>
      </c>
      <c r="AZ20" s="752">
        <f>'5.Doanh thu'!BA72</f>
        <v>0</v>
      </c>
      <c r="BA20" s="752">
        <f>'5.Doanh thu'!BB72</f>
        <v>0</v>
      </c>
      <c r="BB20" s="752">
        <f>'5.Doanh thu'!BC72</f>
        <v>0</v>
      </c>
      <c r="BC20" s="752">
        <f>'5.Doanh thu'!BD72</f>
        <v>0</v>
      </c>
      <c r="BD20" s="752">
        <f>'5.Doanh thu'!BE72</f>
        <v>0</v>
      </c>
      <c r="BE20" s="752">
        <f>'5.Doanh thu'!BF72</f>
        <v>0</v>
      </c>
      <c r="BF20" s="752">
        <f>'5.Doanh thu'!BG72</f>
        <v>0</v>
      </c>
      <c r="BG20" s="752">
        <f>'5.Doanh thu'!BH72</f>
        <v>0</v>
      </c>
      <c r="BH20" s="752">
        <f>'5.Doanh thu'!BI72</f>
        <v>0</v>
      </c>
      <c r="BI20" s="752">
        <f>'5.Doanh thu'!BJ72</f>
        <v>0</v>
      </c>
      <c r="BJ20" s="752">
        <f>'5.Doanh thu'!BK72</f>
        <v>0</v>
      </c>
      <c r="BK20" s="752">
        <f>'5.Doanh thu'!BL72</f>
        <v>0</v>
      </c>
      <c r="BL20" s="752">
        <f>'5.Doanh thu'!BM72</f>
        <v>0</v>
      </c>
      <c r="BM20" s="752">
        <f>'5.Doanh thu'!BN72</f>
        <v>0</v>
      </c>
      <c r="BN20" s="752">
        <f>'5.Doanh thu'!BO72</f>
        <v>0</v>
      </c>
      <c r="BO20" s="752">
        <f>'5.Doanh thu'!BP72</f>
        <v>0</v>
      </c>
      <c r="BP20" s="752">
        <f>'5.Doanh thu'!BQ72</f>
        <v>0</v>
      </c>
      <c r="BQ20" s="752">
        <f>'5.Doanh thu'!BR72</f>
        <v>0</v>
      </c>
      <c r="BR20" s="752">
        <f>'5.Doanh thu'!BS72</f>
        <v>0</v>
      </c>
      <c r="BS20" s="752">
        <f>'5.Doanh thu'!BT72</f>
        <v>0</v>
      </c>
      <c r="BT20" s="752">
        <f>'5.Doanh thu'!BU72</f>
        <v>0</v>
      </c>
      <c r="BU20" s="752">
        <f>'5.Doanh thu'!BV72</f>
        <v>0</v>
      </c>
      <c r="BV20" s="752">
        <f>'5.Doanh thu'!BW72</f>
        <v>0</v>
      </c>
      <c r="BW20" s="752">
        <f>'5.Doanh thu'!BX72</f>
        <v>0</v>
      </c>
      <c r="BX20" s="752">
        <f>'5.Doanh thu'!BY72</f>
        <v>0</v>
      </c>
      <c r="BY20" s="752">
        <f>'5.Doanh thu'!BZ72</f>
        <v>0</v>
      </c>
      <c r="BZ20" s="752">
        <f>'5.Doanh thu'!CA72</f>
        <v>0</v>
      </c>
      <c r="CA20" s="752">
        <f>'5.Doanh thu'!CB72</f>
        <v>0</v>
      </c>
      <c r="CB20" s="752">
        <f>'5.Doanh thu'!CC72</f>
        <v>0</v>
      </c>
      <c r="CC20" s="752">
        <f>'5.Doanh thu'!CD72</f>
        <v>0</v>
      </c>
      <c r="CD20" s="752">
        <f>'5.Doanh thu'!CE72</f>
        <v>0</v>
      </c>
      <c r="CE20" s="752">
        <f>'5.Doanh thu'!CF72</f>
        <v>0</v>
      </c>
      <c r="CF20" s="752">
        <f>'5.Doanh thu'!CG72</f>
        <v>0</v>
      </c>
      <c r="CG20" s="752">
        <f>'5.Doanh thu'!CH72</f>
        <v>0</v>
      </c>
      <c r="CH20" s="752">
        <f>'5.Doanh thu'!CI72</f>
        <v>0</v>
      </c>
      <c r="CI20" s="753">
        <f>'5.Doanh thu'!CJ72</f>
        <v>0</v>
      </c>
    </row>
    <row r="21" spans="1:87" s="751" customFormat="1" ht="19.5" customHeight="1">
      <c r="B21" s="554">
        <v>5</v>
      </c>
      <c r="C21" s="777" t="s">
        <v>23</v>
      </c>
      <c r="D21" s="775"/>
      <c r="E21" s="633">
        <f t="shared" si="3"/>
        <v>129826.60879066808</v>
      </c>
      <c r="F21" s="636">
        <v>0</v>
      </c>
      <c r="G21" s="636">
        <f>IF(SUM($F$22:G22)-SUM($F$21:F21)&gt;0,SUM($F$22:G22)-SUM($F$21:F21),0)</f>
        <v>0</v>
      </c>
      <c r="H21" s="636">
        <f>IF(SUM($F$22:H22)-SUM($F$21:G21)&gt;0,SUM($F$22:H22)-SUM($F$21:G21),0)</f>
        <v>0</v>
      </c>
      <c r="I21" s="636">
        <f>IF(SUM($F$22:I22)-SUM($F$21:H21)&gt;0,SUM($F$22:I22)-SUM($F$21:H21),0)</f>
        <v>0</v>
      </c>
      <c r="J21" s="636">
        <f>IF(SUM($F$22:J22)-SUM($F$21:I21)&gt;0,SUM($F$22:J22)-SUM($F$21:I21),0)</f>
        <v>0</v>
      </c>
      <c r="K21" s="636">
        <f>IF(SUM($F$22:K22)-SUM($F$21:J21)&gt;0,SUM($F$22:K22)-SUM($F$21:J21),0)</f>
        <v>0</v>
      </c>
      <c r="L21" s="636">
        <f>IF(SUM($F$22:L22)-SUM($F$21:K21)&gt;0,SUM($F$22:L22)-SUM($F$21:K21),0)</f>
        <v>1.0748573748225514E-12</v>
      </c>
      <c r="M21" s="636">
        <f>IF(SUM($F$22:M22)-SUM($F$21:L21)&gt;0,SUM($F$22:M22)-SUM($F$21:L21),0)</f>
        <v>0</v>
      </c>
      <c r="N21" s="636">
        <f>IF(SUM($F$22:N22)-SUM($F$21:M21)&gt;0,SUM($F$22:N22)-SUM($F$21:M21),0)</f>
        <v>0</v>
      </c>
      <c r="O21" s="636">
        <f>IF(SUM($F$22:O22)-SUM($F$21:N21)&gt;0,SUM($F$22:O22)-SUM($F$21:N21),0)</f>
        <v>0</v>
      </c>
      <c r="P21" s="636">
        <f>IF(SUM($F$22:P22)-SUM($F$21:O21)&gt;0,SUM($F$22:P22)-SUM($F$21:O21),0)</f>
        <v>0</v>
      </c>
      <c r="Q21" s="636">
        <f>IF(SUM($F$22:Q22)-SUM($F$21:P21)&gt;0,SUM($F$22:Q22)-SUM($F$21:P21),0)</f>
        <v>0</v>
      </c>
      <c r="R21" s="636">
        <f>IF(SUM($F$22:R22)-SUM($F$21:Q21)&gt;0,SUM($F$22:R22)-SUM($F$21:Q21),0)</f>
        <v>0</v>
      </c>
      <c r="S21" s="636">
        <f>IF(SUM($F$22:S22)-SUM($F$21:R21)&gt;0,SUM($F$22:S22)-SUM($F$21:R21),0)</f>
        <v>0</v>
      </c>
      <c r="T21" s="636">
        <f>IF(SUM($F$22:T22)-SUM($F$21:S21)&gt;0,SUM($F$22:T22)-SUM($F$21:S21),0)</f>
        <v>18114.316184247837</v>
      </c>
      <c r="U21" s="636">
        <f>IF(SUM($F$22:U22)-SUM($F$21:T21)&gt;0,SUM($F$22:U22)-SUM($F$21:T21),0)</f>
        <v>8844.5088986538321</v>
      </c>
      <c r="V21" s="636">
        <f>IF(SUM($F$22:V22)-SUM($F$21:U21)&gt;0,SUM($F$22:V22)-SUM($F$21:U21),0)</f>
        <v>8493.5351538650502</v>
      </c>
      <c r="W21" s="752">
        <f>IF(SUM($F$22:W22)-SUM($F$21:V21)&gt;0,SUM($F$22:W22)-SUM($F$21:V21),0)</f>
        <v>75406.646727676911</v>
      </c>
      <c r="X21" s="752">
        <f>IF(SUM($F$22:X22)-SUM($F$21:W21)&gt;0,SUM($F$22:X22)-SUM($F$21:W21),0)</f>
        <v>0</v>
      </c>
      <c r="Y21" s="752">
        <f>IF(SUM($F$22:Y22)-SUM($F$21:X21)&gt;0,SUM($F$22:Y22)-SUM($F$21:X21),0)</f>
        <v>0</v>
      </c>
      <c r="Z21" s="752">
        <f>IF(SUM($F$22:Z22)-SUM($F$21:Y21)&gt;0,SUM($F$22:Z22)-SUM($F$21:Y21),0)</f>
        <v>18967.601826224447</v>
      </c>
      <c r="AA21" s="752">
        <f>IF(SUM($F$22:AA22)-SUM($F$21:Z21)&gt;0,SUM($F$22:AA22)-SUM($F$21:Z21),0)</f>
        <v>0</v>
      </c>
      <c r="AB21" s="752">
        <f>IF(SUM($F$22:AB22)-SUM($F$21:AA21)&gt;0,SUM($F$22:AB22)-SUM($F$21:AA21),0)</f>
        <v>0</v>
      </c>
      <c r="AC21" s="752">
        <f>IF(SUM($F$22:AC22)-SUM($F$21:AB21)&gt;0,SUM($F$22:AC22)-SUM($F$21:AB21),0)</f>
        <v>0</v>
      </c>
      <c r="AD21" s="752">
        <f>IF(SUM($F$22:AD22)-SUM($F$21:AC21)&gt;0,SUM($F$22:AD22)-SUM($F$21:AC21),0)</f>
        <v>0</v>
      </c>
      <c r="AE21" s="752">
        <f>IF(SUM($F$22:AE22)-SUM($F$21:AD21)&gt;0,SUM($F$22:AE22)-SUM($F$21:AD21),0)</f>
        <v>0</v>
      </c>
      <c r="AF21" s="752">
        <f>IF(SUM($F$22:AF22)-SUM($F$21:AE21)&gt;0,SUM($F$22:AF22)-SUM($F$21:AE21),0)</f>
        <v>0</v>
      </c>
      <c r="AG21" s="752">
        <f>IF(SUM($F$22:AG22)-SUM($F$21:AF21)&gt;0,SUM($F$22:AG22)-SUM($F$21:AF21),0)</f>
        <v>0</v>
      </c>
      <c r="AH21" s="752">
        <f>IF(SUM($F$22:AH22)-SUM($F$21:AG21)&gt;0,SUM($F$22:AH22)-SUM($F$21:AG21),0)</f>
        <v>0</v>
      </c>
      <c r="AI21" s="752">
        <f>IF(SUM($F$22:AI22)-SUM($F$21:AH21)&gt;0,SUM($F$22:AI22)-SUM($F$21:AH21),0)</f>
        <v>0</v>
      </c>
      <c r="AJ21" s="752">
        <f>IF(SUM($F$22:AJ22)-SUM($F$21:AI21)&gt;0,SUM($F$22:AJ22)-SUM($F$21:AI21),0)</f>
        <v>0</v>
      </c>
      <c r="AK21" s="752">
        <f>IF(SUM($F$22:AK22)-SUM($F$21:AJ21)&gt;0,SUM($F$22:AK22)-SUM($F$21:AJ21),0)</f>
        <v>0</v>
      </c>
      <c r="AL21" s="752">
        <f>IF(SUM($F$22:AL22)-SUM($F$21:AK21)&gt;0,SUM($F$22:AL22)-SUM($F$21:AK21),0)</f>
        <v>0</v>
      </c>
      <c r="AM21" s="752">
        <f>IF(SUM($F$22:AM22)-SUM($F$21:AL21)&gt;0,SUM($F$22:AM22)-SUM($F$21:AL21),0)</f>
        <v>0</v>
      </c>
      <c r="AN21" s="752">
        <f>IF(SUM($F$22:AN22)-SUM($F$21:AM21)&gt;0,SUM($F$22:AN22)-SUM($F$21:AM21),0)</f>
        <v>0</v>
      </c>
      <c r="AO21" s="752">
        <f>IF(SUM($F$22:AO22)-SUM($F$21:AN21)&gt;0,SUM($F$22:AO22)-SUM($F$21:AN21),0)</f>
        <v>0</v>
      </c>
      <c r="AP21" s="752">
        <f>IF(SUM($F$22:AP22)-SUM($F$21:AO21)&gt;0,SUM($F$22:AP22)-SUM($F$21:AO21),0)</f>
        <v>0</v>
      </c>
      <c r="AQ21" s="752">
        <f>IF(SUM($F$22:AQ22)-SUM($F$21:AP21)&gt;0,SUM($F$22:AQ22)-SUM($F$21:AP21),0)</f>
        <v>0</v>
      </c>
      <c r="AR21" s="752">
        <f>IF(SUM($F$22:AR22)-SUM($F$21:AQ21)&gt;0,SUM($F$22:AR22)-SUM($F$21:AQ21),0)</f>
        <v>0</v>
      </c>
      <c r="AS21" s="752">
        <f>IF(SUM($F$22:AS22)-SUM($F$21:AR21)&gt;0,SUM($F$22:AS22)-SUM($F$21:AR21),0)</f>
        <v>0</v>
      </c>
      <c r="AT21" s="752">
        <f>IF(SUM($F$22:AT22)-SUM($F$21:AS21)&gt;0,SUM($F$22:AT22)-SUM($F$21:AS21),0)</f>
        <v>0</v>
      </c>
      <c r="AU21" s="752">
        <f>IF(SUM($F$22:AU22)-SUM($F$21:AT21)&gt;0,SUM($F$22:AU22)-SUM($F$21:AT21),0)</f>
        <v>0</v>
      </c>
      <c r="AV21" s="752">
        <f>IF(SUM($F$22:AV22)-SUM($F$21:AU21)&gt;0,SUM($F$22:AV22)-SUM($F$21:AU21),0)</f>
        <v>0</v>
      </c>
      <c r="AW21" s="752">
        <f>IF(SUM($F$22:AW22)-SUM($F$21:AV21)&gt;0,SUM($F$22:AW22)-SUM($F$21:AV21),0)</f>
        <v>0</v>
      </c>
      <c r="AX21" s="752">
        <f>IF(SUM($F$22:AX22)-SUM($F$21:AW21)&gt;0,SUM($F$22:AX22)-SUM($F$21:AW21),0)</f>
        <v>0</v>
      </c>
      <c r="AY21" s="752">
        <f>IF(SUM($F$22:AY22)-SUM($F$21:AX21)&gt;0,SUM($F$22:AY22)-SUM($F$21:AX21),0)</f>
        <v>0</v>
      </c>
      <c r="AZ21" s="752">
        <f>IF(SUM($F$22:AZ22)-SUM($F$21:AY21)&gt;0,SUM($F$22:AZ22)-SUM($F$21:AY21),0)</f>
        <v>0</v>
      </c>
      <c r="BA21" s="752">
        <f>IF(SUM($F$22:BA22)-SUM($F$21:AZ21)&gt;0,SUM($F$22:BA22)-SUM($F$21:AZ21),0)</f>
        <v>0</v>
      </c>
      <c r="BB21" s="752">
        <f>IF(SUM($F$22:BB22)-SUM($F$21:BA21)&gt;0,SUM($F$22:BB22)-SUM($F$21:BA21),0)</f>
        <v>0</v>
      </c>
      <c r="BC21" s="752">
        <f>IF(SUM($F$22:BC22)-SUM($F$21:BB21)&gt;0,SUM($F$22:BC22)-SUM($F$21:BB21),0)</f>
        <v>0</v>
      </c>
      <c r="BD21" s="752">
        <f>IF(SUM($F$22:BD22)-SUM($F$21:BC21)&gt;0,SUM($F$22:BD22)-SUM($F$21:BC21),0)</f>
        <v>0</v>
      </c>
      <c r="BE21" s="752">
        <f>IF(SUM($F$22:BE22)-SUM($F$21:BD21)&gt;0,SUM($F$22:BE22)-SUM($F$21:BD21),0)</f>
        <v>0</v>
      </c>
      <c r="BF21" s="752">
        <f>IF(SUM($F$22:BF22)-SUM($F$21:BE21)&gt;0,SUM($F$22:BF22)-SUM($F$21:BE21),0)</f>
        <v>0</v>
      </c>
      <c r="BG21" s="752">
        <f>IF(SUM($F$22:BG22)-SUM($F$21:BF21)&gt;0,SUM($F$22:BG22)-SUM($F$21:BF21),0)</f>
        <v>0</v>
      </c>
      <c r="BH21" s="752">
        <f>IF(SUM($F$22:BH22)-SUM($F$21:BG21)&gt;0,SUM($F$22:BH22)-SUM($F$21:BG21),0)</f>
        <v>0</v>
      </c>
      <c r="BI21" s="752">
        <f>IF(SUM($F$22:BI22)-SUM($F$21:BH21)&gt;0,SUM($F$22:BI22)-SUM($F$21:BH21),0)</f>
        <v>0</v>
      </c>
      <c r="BJ21" s="752">
        <f>IF(SUM($F$22:BJ22)-SUM($F$21:BI21)&gt;0,SUM($F$22:BJ22)-SUM($F$21:BI21),0)</f>
        <v>0</v>
      </c>
      <c r="BK21" s="752">
        <f>IF(SUM($F$22:BK22)-SUM($F$21:BJ21)&gt;0,SUM($F$22:BK22)-SUM($F$21:BJ21),0)</f>
        <v>0</v>
      </c>
      <c r="BL21" s="752">
        <f>IF(SUM($F$22:BL22)-SUM($F$21:BK21)&gt;0,SUM($F$22:BL22)-SUM($F$21:BK21),0)</f>
        <v>0</v>
      </c>
      <c r="BM21" s="752">
        <f>IF(SUM($F$22:BM22)-SUM($F$21:BL21)&gt;0,SUM($F$22:BM22)-SUM($F$21:BL21),0)</f>
        <v>0</v>
      </c>
      <c r="BN21" s="752">
        <f>IF(SUM($F$22:BN22)-SUM($F$21:BM21)&gt;0,SUM($F$22:BN22)-SUM($F$21:BM21),0)</f>
        <v>0</v>
      </c>
      <c r="BO21" s="752">
        <f>IF(SUM($F$22:BO22)-SUM($F$21:BN21)&gt;0,SUM($F$22:BO22)-SUM($F$21:BN21),0)</f>
        <v>0</v>
      </c>
      <c r="BP21" s="752">
        <f>IF(SUM($F$22:BP22)-SUM($F$21:BO21)&gt;0,SUM($F$22:BP22)-SUM($F$21:BO21),0)</f>
        <v>0</v>
      </c>
      <c r="BQ21" s="752">
        <f>IF(SUM($F$22:BQ22)-SUM($F$21:BP21)&gt;0,SUM($F$22:BQ22)-SUM($F$21:BP21),0)</f>
        <v>0</v>
      </c>
      <c r="BR21" s="752">
        <f>IF(SUM($F$22:BR22)-SUM($F$21:BQ21)&gt;0,SUM($F$22:BR22)-SUM($F$21:BQ21),0)</f>
        <v>0</v>
      </c>
      <c r="BS21" s="752">
        <f>IF(SUM($F$22:BS22)-SUM($F$21:BR21)&gt;0,SUM($F$22:BS22)-SUM($F$21:BR21),0)</f>
        <v>0</v>
      </c>
      <c r="BT21" s="752">
        <f>IF(SUM($F$22:BT22)-SUM($F$21:BS21)&gt;0,SUM($F$22:BT22)-SUM($F$21:BS21),0)</f>
        <v>0</v>
      </c>
      <c r="BU21" s="752">
        <f>IF(SUM($F$22:BU22)-SUM($F$21:BT21)&gt;0,SUM($F$22:BU22)-SUM($F$21:BT21),0)</f>
        <v>0</v>
      </c>
      <c r="BV21" s="752">
        <f>IF(SUM($F$22:BV22)-SUM($F$21:BU21)&gt;0,SUM($F$22:BV22)-SUM($F$21:BU21),0)</f>
        <v>0</v>
      </c>
      <c r="BW21" s="752">
        <f>IF(SUM($F$22:BW22)-SUM($F$21:BV21)&gt;0,SUM($F$22:BW22)-SUM($F$21:BV21),0)</f>
        <v>0</v>
      </c>
      <c r="BX21" s="752">
        <f>IF(SUM($F$22:BX22)-SUM($F$21:BW21)&gt;0,SUM($F$22:BX22)-SUM($F$21:BW21),0)</f>
        <v>0</v>
      </c>
      <c r="BY21" s="752">
        <f>IF(SUM($F$22:BY22)-SUM($F$21:BX21)&gt;0,SUM($F$22:BY22)-SUM($F$21:BX21),0)</f>
        <v>0</v>
      </c>
      <c r="BZ21" s="752">
        <f>IF(SUM($F$22:BZ22)-SUM($F$21:BY21)&gt;0,SUM($F$22:BZ22)-SUM($F$21:BY21),0)</f>
        <v>0</v>
      </c>
      <c r="CA21" s="752">
        <f>IF(SUM($F$22:CA22)-SUM($F$21:BZ21)&gt;0,SUM($F$22:CA22)-SUM($F$21:BZ21),0)</f>
        <v>0</v>
      </c>
      <c r="CB21" s="752">
        <f>IF(SUM($F$22:CB22)-SUM($F$21:CA21)&gt;0,SUM($F$22:CB22)-SUM($F$21:CA21),0)</f>
        <v>0</v>
      </c>
      <c r="CC21" s="752">
        <f>IF(SUM($F$22:CC22)-SUM($F$21:CB21)&gt;0,SUM($F$22:CC22)-SUM($F$21:CB21),0)</f>
        <v>0</v>
      </c>
      <c r="CD21" s="752">
        <f>IF(SUM($F$22:CD22)-SUM($F$21:CC21)&gt;0,SUM($F$22:CD22)-SUM($F$21:CC21),0)</f>
        <v>0</v>
      </c>
      <c r="CE21" s="752">
        <f>IF(SUM($F$22:CE22)-SUM($F$21:CD21)&gt;0,SUM($F$22:CE22)-SUM($F$21:CD21),0)</f>
        <v>0</v>
      </c>
      <c r="CF21" s="752">
        <f>IF(SUM($F$22:CF22)-SUM($F$21:CE21)&gt;0,SUM($F$22:CF22)-SUM($F$21:CE21),0)</f>
        <v>0</v>
      </c>
      <c r="CG21" s="752">
        <f>IF(SUM($F$22:CG22)-SUM($F$21:CF21)&gt;0,SUM($F$22:CG22)-SUM($F$21:CF21),0)</f>
        <v>0</v>
      </c>
      <c r="CH21" s="752">
        <f>IF(SUM($F$22:CH22)-SUM($F$21:CG21)&gt;0,SUM($F$22:CH22)-SUM($F$21:CG21),0)</f>
        <v>0</v>
      </c>
      <c r="CI21" s="753">
        <f>IF(SUM($F$22:CI22)-SUM($F$21:CH21)&gt;0,SUM($F$22:CI22)-SUM($F$21:CH21),0)</f>
        <v>0</v>
      </c>
    </row>
    <row r="22" spans="1:87" s="754" customFormat="1" ht="19.5" customHeight="1">
      <c r="B22" s="778"/>
      <c r="C22" s="808" t="s">
        <v>24</v>
      </c>
      <c r="D22" s="779">
        <v>0.1</v>
      </c>
      <c r="E22" s="780">
        <f t="shared" si="3"/>
        <v>129826.60879066808</v>
      </c>
      <c r="F22" s="781">
        <f>F24-F23</f>
        <v>0</v>
      </c>
      <c r="G22" s="781">
        <f>G24-G23</f>
        <v>0</v>
      </c>
      <c r="H22" s="781">
        <f>H24-H23</f>
        <v>0</v>
      </c>
      <c r="I22" s="781">
        <f>I24-I23</f>
        <v>0</v>
      </c>
      <c r="J22" s="781">
        <f t="shared" ref="J22:Q22" si="25">J24-J23</f>
        <v>0</v>
      </c>
      <c r="K22" s="781">
        <f t="shared" si="25"/>
        <v>0</v>
      </c>
      <c r="L22" s="781">
        <f t="shared" si="25"/>
        <v>1.0748573748225514E-12</v>
      </c>
      <c r="M22" s="781">
        <f t="shared" si="25"/>
        <v>-129.9279280608288</v>
      </c>
      <c r="N22" s="781">
        <f t="shared" si="25"/>
        <v>-4475.2391064131807</v>
      </c>
      <c r="O22" s="781">
        <f t="shared" si="25"/>
        <v>-24365.817442340776</v>
      </c>
      <c r="P22" s="781">
        <f t="shared" si="25"/>
        <v>-6697.1742765459639</v>
      </c>
      <c r="Q22" s="781">
        <f t="shared" si="25"/>
        <v>2751.5077703741263</v>
      </c>
      <c r="R22" s="781">
        <f t="shared" ref="R22:W22" si="26">R24-R23</f>
        <v>-2398.0728773569645</v>
      </c>
      <c r="S22" s="781">
        <f t="shared" si="26"/>
        <v>33604.374033241387</v>
      </c>
      <c r="T22" s="781">
        <f t="shared" si="26"/>
        <v>19824.66601135004</v>
      </c>
      <c r="U22" s="781">
        <f t="shared" si="26"/>
        <v>8844.5088986538321</v>
      </c>
      <c r="V22" s="781">
        <f t="shared" si="26"/>
        <v>8493.5351538650539</v>
      </c>
      <c r="W22" s="755">
        <f t="shared" si="26"/>
        <v>75406.646727676911</v>
      </c>
      <c r="X22" s="755">
        <f>X24-X23</f>
        <v>0</v>
      </c>
      <c r="Y22" s="755">
        <f>Y24-Y23</f>
        <v>0</v>
      </c>
      <c r="Z22" s="755">
        <f>Z24-Z23</f>
        <v>18967.601826224447</v>
      </c>
      <c r="AA22" s="755">
        <f t="shared" ref="AA22:CD22" si="27">AA24-AA23</f>
        <v>0</v>
      </c>
      <c r="AB22" s="755">
        <f t="shared" si="27"/>
        <v>0</v>
      </c>
      <c r="AC22" s="755">
        <f t="shared" si="27"/>
        <v>0</v>
      </c>
      <c r="AD22" s="755">
        <f t="shared" si="27"/>
        <v>0</v>
      </c>
      <c r="AE22" s="755">
        <f t="shared" si="27"/>
        <v>0</v>
      </c>
      <c r="AF22" s="755">
        <f t="shared" si="27"/>
        <v>0</v>
      </c>
      <c r="AG22" s="755">
        <f t="shared" si="27"/>
        <v>0</v>
      </c>
      <c r="AH22" s="755">
        <f t="shared" si="27"/>
        <v>0</v>
      </c>
      <c r="AI22" s="755">
        <f t="shared" si="27"/>
        <v>0</v>
      </c>
      <c r="AJ22" s="755">
        <f t="shared" si="27"/>
        <v>0</v>
      </c>
      <c r="AK22" s="755">
        <f t="shared" si="27"/>
        <v>0</v>
      </c>
      <c r="AL22" s="755">
        <f t="shared" si="27"/>
        <v>0</v>
      </c>
      <c r="AM22" s="755">
        <f t="shared" si="27"/>
        <v>0</v>
      </c>
      <c r="AN22" s="755">
        <f t="shared" si="27"/>
        <v>0</v>
      </c>
      <c r="AO22" s="755">
        <f t="shared" si="27"/>
        <v>0</v>
      </c>
      <c r="AP22" s="755">
        <f t="shared" si="27"/>
        <v>0</v>
      </c>
      <c r="AQ22" s="755">
        <f t="shared" si="27"/>
        <v>0</v>
      </c>
      <c r="AR22" s="755">
        <f t="shared" si="27"/>
        <v>0</v>
      </c>
      <c r="AS22" s="755">
        <f t="shared" si="27"/>
        <v>0</v>
      </c>
      <c r="AT22" s="755">
        <f t="shared" si="27"/>
        <v>0</v>
      </c>
      <c r="AU22" s="755">
        <f t="shared" si="27"/>
        <v>0</v>
      </c>
      <c r="AV22" s="755">
        <f t="shared" si="27"/>
        <v>0</v>
      </c>
      <c r="AW22" s="755">
        <f t="shared" si="27"/>
        <v>0</v>
      </c>
      <c r="AX22" s="755">
        <f t="shared" si="27"/>
        <v>0</v>
      </c>
      <c r="AY22" s="755">
        <f t="shared" si="27"/>
        <v>0</v>
      </c>
      <c r="AZ22" s="755">
        <f t="shared" si="27"/>
        <v>0</v>
      </c>
      <c r="BA22" s="755">
        <f t="shared" si="27"/>
        <v>0</v>
      </c>
      <c r="BB22" s="755">
        <f t="shared" si="27"/>
        <v>0</v>
      </c>
      <c r="BC22" s="755">
        <f t="shared" si="27"/>
        <v>0</v>
      </c>
      <c r="BD22" s="755">
        <f t="shared" si="27"/>
        <v>0</v>
      </c>
      <c r="BE22" s="755">
        <f t="shared" si="27"/>
        <v>0</v>
      </c>
      <c r="BF22" s="755">
        <f t="shared" si="27"/>
        <v>0</v>
      </c>
      <c r="BG22" s="755">
        <f t="shared" si="27"/>
        <v>0</v>
      </c>
      <c r="BH22" s="755">
        <f t="shared" si="27"/>
        <v>0</v>
      </c>
      <c r="BI22" s="755">
        <f t="shared" si="27"/>
        <v>0</v>
      </c>
      <c r="BJ22" s="755">
        <f t="shared" si="27"/>
        <v>0</v>
      </c>
      <c r="BK22" s="755">
        <f t="shared" si="27"/>
        <v>0</v>
      </c>
      <c r="BL22" s="755">
        <f t="shared" si="27"/>
        <v>0</v>
      </c>
      <c r="BM22" s="755">
        <f t="shared" si="27"/>
        <v>0</v>
      </c>
      <c r="BN22" s="755">
        <f t="shared" si="27"/>
        <v>0</v>
      </c>
      <c r="BO22" s="755">
        <f t="shared" si="27"/>
        <v>0</v>
      </c>
      <c r="BP22" s="755">
        <f t="shared" si="27"/>
        <v>0</v>
      </c>
      <c r="BQ22" s="755">
        <f t="shared" si="27"/>
        <v>0</v>
      </c>
      <c r="BR22" s="755">
        <f t="shared" si="27"/>
        <v>0</v>
      </c>
      <c r="BS22" s="755">
        <f t="shared" si="27"/>
        <v>0</v>
      </c>
      <c r="BT22" s="755">
        <f t="shared" si="27"/>
        <v>0</v>
      </c>
      <c r="BU22" s="755">
        <f t="shared" si="27"/>
        <v>0</v>
      </c>
      <c r="BV22" s="755">
        <f t="shared" si="27"/>
        <v>0</v>
      </c>
      <c r="BW22" s="755">
        <f t="shared" si="27"/>
        <v>0</v>
      </c>
      <c r="BX22" s="755">
        <f t="shared" si="27"/>
        <v>0</v>
      </c>
      <c r="BY22" s="755">
        <f t="shared" si="27"/>
        <v>0</v>
      </c>
      <c r="BZ22" s="755">
        <f t="shared" si="27"/>
        <v>0</v>
      </c>
      <c r="CA22" s="755">
        <f t="shared" si="27"/>
        <v>0</v>
      </c>
      <c r="CB22" s="755">
        <f t="shared" si="27"/>
        <v>0</v>
      </c>
      <c r="CC22" s="755">
        <f t="shared" si="27"/>
        <v>0</v>
      </c>
      <c r="CD22" s="755">
        <f t="shared" si="27"/>
        <v>0</v>
      </c>
      <c r="CE22" s="755">
        <f>CE24-CE23</f>
        <v>0</v>
      </c>
      <c r="CF22" s="755">
        <f>CF24-CF23</f>
        <v>0</v>
      </c>
      <c r="CG22" s="755">
        <f>CG24-CG23</f>
        <v>0</v>
      </c>
      <c r="CH22" s="755">
        <f>CH24-CH23</f>
        <v>0</v>
      </c>
      <c r="CI22" s="756">
        <f>CI24-CI23</f>
        <v>0</v>
      </c>
    </row>
    <row r="23" spans="1:87" s="754" customFormat="1" ht="19.5" customHeight="1">
      <c r="B23" s="778"/>
      <c r="C23" s="808" t="s">
        <v>25</v>
      </c>
      <c r="D23" s="779">
        <v>0.1</v>
      </c>
      <c r="E23" s="780">
        <f t="shared" si="3"/>
        <v>301599.69271085458</v>
      </c>
      <c r="F23" s="782">
        <f>('3.Du toan'!AT77-'3.Du toan'!AT13-'3.Du toan'!AT12+F10+F18)/1.1*0.1</f>
        <v>0</v>
      </c>
      <c r="G23" s="782">
        <f>('3.Du toan'!AU77-'3.Du toan'!AU13-'3.Du toan'!AU12-'3.Du toan'!AU14-'3.Du toan'!AU15+G10+G18)/1.1*0.1</f>
        <v>0</v>
      </c>
      <c r="H23" s="782">
        <f>('3.Du toan'!AV77-'3.Du toan'!AV13-'3.Du toan'!AV12-'3.Du toan'!AV14-'3.Du toan'!AV15+H10+H18)/1.1*0.1</f>
        <v>0</v>
      </c>
      <c r="I23" s="782">
        <f>('3.Du toan'!AW77-'3.Du toan'!AW13-'3.Du toan'!AW12-'3.Du toan'!AW14-'3.Du toan'!AW15+I10+I18)/1.1*0.1</f>
        <v>0</v>
      </c>
      <c r="J23" s="782">
        <f>('3.Du toan'!AX77-'3.Du toan'!AX13-'3.Du toan'!AX12-'3.Du toan'!AX14-'3.Du toan'!AX15+J10+J18)/1.1*0.1</f>
        <v>0</v>
      </c>
      <c r="K23" s="782">
        <f>('3.Du toan'!AY77-'3.Du toan'!AY13-'3.Du toan'!AY12-'3.Du toan'!AY14-'3.Du toan'!AY15+K10+K18)/1.1*0.1</f>
        <v>0</v>
      </c>
      <c r="L23" s="782">
        <f>('3.Du toan'!AZ77-'3.Du toan'!AZ13-'3.Du toan'!AZ12-'3.Du toan'!AZ14-'3.Du toan'!AZ15+L10+L18)/1.1*0.1</f>
        <v>-1.0748573748225514E-12</v>
      </c>
      <c r="M23" s="782">
        <f>('3.Du toan'!BA77-'3.Du toan'!BA13-'3.Du toan'!BA12-'3.Du toan'!BA14-'3.Du toan'!BA15+M10+M18)/1.1*0.1</f>
        <v>129.9279280608288</v>
      </c>
      <c r="N23" s="782">
        <f>('3.Du toan'!BB77-'3.Du toan'!BB13-'3.Du toan'!BB12-'3.Du toan'!BB14-'3.Du toan'!BB15+N10+N18)/1.1*0.1</f>
        <v>4475.2391064131807</v>
      </c>
      <c r="O23" s="782">
        <f>('3.Du toan'!BC77-'3.Du toan'!BC13-'3.Du toan'!BC12-'3.Du toan'!BC14-'3.Du toan'!BC15+O10+O18)/1.1*0.1</f>
        <v>24365.817442340776</v>
      </c>
      <c r="P23" s="782">
        <f>('3.Du toan'!BD77-'3.Du toan'!BD13-'3.Du toan'!BD12-'3.Du toan'!BD14-'3.Du toan'!BD15+P10+P18)/1.1*0.1</f>
        <v>48506.579764420043</v>
      </c>
      <c r="Q23" s="782">
        <f>('3.Du toan'!BE77-'3.Du toan'!BE13-'3.Du toan'!BE12-'3.Du toan'!BE14-'3.Du toan'!BE15+Q10+Q18)/1.1*0.1</f>
        <v>44056.754769393738</v>
      </c>
      <c r="R23" s="782">
        <f>('3.Du toan'!BF77-'3.Du toan'!BF13-'3.Du toan'!BF12-'3.Du toan'!BF14-'3.Du toan'!BF15+R10+R18)/1.1*0.1</f>
        <v>24607.90035016026</v>
      </c>
      <c r="S23" s="782">
        <f>('3.Du toan'!BG77-'3.Du toan'!BG13-'3.Du toan'!BG12-'3.Du toan'!BG14-'3.Du toan'!BG15+S10+S18)/1.1*0.1</f>
        <v>24908.242314088304</v>
      </c>
      <c r="T23" s="782">
        <f>('3.Du toan'!BH77-'3.Du toan'!BH13-'3.Du toan'!BH12-'3.Du toan'!BH14-'3.Du toan'!BH15+T10+T18)/1.1*0.1</f>
        <v>36866.934058013459</v>
      </c>
      <c r="U23" s="782">
        <f>('3.Du toan'!BI77-'3.Du toan'!BI13-'3.Du toan'!BI12-'3.Du toan'!BI14-'3.Du toan'!BI15+U10+U18)/1.1*0.1</f>
        <v>39063.507524349545</v>
      </c>
      <c r="V23" s="782">
        <f>('3.Du toan'!BJ77-'3.Du toan'!BJ13-'3.Du toan'!BJ12-'3.Du toan'!BJ14-'3.Du toan'!BJ15+V10+V18)/1.1*0.1</f>
        <v>29651.876952910938</v>
      </c>
      <c r="W23" s="757">
        <f>('3.Du toan'!BK77-'3.Du toan'!BK13-'3.Du toan'!BK12-'3.Du toan'!BK14-'3.Du toan'!BK15+W10+W18)/1.1*0.1</f>
        <v>24861.80827354002</v>
      </c>
      <c r="X23" s="757">
        <f>('3.Du toan'!BL77-'3.Du toan'!BL13-'3.Du toan'!BL12-'3.Du toan'!BL14-'3.Du toan'!BL15+X10+X18)/1.1*0.1</f>
        <v>0</v>
      </c>
      <c r="Y23" s="757">
        <f>('3.Du toan'!BM77-'3.Du toan'!BM13-'3.Du toan'!BM12-'3.Du toan'!BM14-'3.Du toan'!BM15+Y10+Y18)/1.1*0.1</f>
        <v>0</v>
      </c>
      <c r="Z23" s="757">
        <f>('3.Du toan'!BN77-'3.Du toan'!BN13-'3.Du toan'!BN12-'3.Du toan'!BN14-'3.Du toan'!BN15+Z10+Z18)/1.1*0.1</f>
        <v>105.10422716354984</v>
      </c>
      <c r="AA23" s="757">
        <f>('3.Du toan'!BO77-'3.Du toan'!BO13-'3.Du toan'!BO12-'3.Du toan'!BO14-'3.Du toan'!BO15+AA10+AA18)/1.1*0.1</f>
        <v>0</v>
      </c>
      <c r="AB23" s="757">
        <f>('3.Du toan'!BP77-'3.Du toan'!BP13-'3.Du toan'!BP12-'3.Du toan'!BP14-'3.Du toan'!BP15+AB10+AB18)/1.1*0.1</f>
        <v>0</v>
      </c>
      <c r="AC23" s="757">
        <f>('3.Du toan'!BQ77-'3.Du toan'!BQ13-'3.Du toan'!BQ12-'3.Du toan'!BQ14-'3.Du toan'!BQ15+AC10+AC18)/1.1*0.1</f>
        <v>0</v>
      </c>
      <c r="AD23" s="757">
        <f>('3.Du toan'!BR77-'3.Du toan'!BR13-'3.Du toan'!BR12-'3.Du toan'!BR14-'3.Du toan'!BR15+AD10+AD18)/1.1*0.1</f>
        <v>0</v>
      </c>
      <c r="AE23" s="757">
        <f>('3.Du toan'!BS77-'3.Du toan'!BS13-'3.Du toan'!BS12-'3.Du toan'!BS14-'3.Du toan'!BS15+AE10+AE18)/1.1*0.1</f>
        <v>0</v>
      </c>
      <c r="AF23" s="757">
        <f>('3.Du toan'!BT77-'3.Du toan'!BT13-'3.Du toan'!BT12-'3.Du toan'!BT14-'3.Du toan'!BT15+AF10+AF18)/1.1*0.1</f>
        <v>0</v>
      </c>
      <c r="AG23" s="757">
        <f>('3.Du toan'!BU77-'3.Du toan'!BU13-'3.Du toan'!BU12-'3.Du toan'!BU14-'3.Du toan'!BU15+AG10+AG18)/1.1*0.1</f>
        <v>0</v>
      </c>
      <c r="AH23" s="757">
        <f>('3.Du toan'!BV77-'3.Du toan'!BV13-'3.Du toan'!BV12-'3.Du toan'!BV14-'3.Du toan'!BV15+AH10+AH18)/1.1*0.1</f>
        <v>0</v>
      </c>
      <c r="AI23" s="757">
        <f>('3.Du toan'!BW77-'3.Du toan'!BW13-'3.Du toan'!BW12-'3.Du toan'!BW14-'3.Du toan'!BW15+AI10+AI18)/1.1*0.1</f>
        <v>0</v>
      </c>
      <c r="AJ23" s="757">
        <f>('3.Du toan'!BX77-'3.Du toan'!BX13-'3.Du toan'!BX12-'3.Du toan'!BX14-'3.Du toan'!BX15+AJ10+AJ18)/1.1*0.1</f>
        <v>0</v>
      </c>
      <c r="AK23" s="757">
        <f>('3.Du toan'!BY77-'3.Du toan'!BY13-'3.Du toan'!BY12-'3.Du toan'!BY14-'3.Du toan'!BY15+AK10+AK18)/1.1*0.1</f>
        <v>0</v>
      </c>
      <c r="AL23" s="757">
        <f>('3.Du toan'!BZ77-'3.Du toan'!BZ13-'3.Du toan'!BZ12-'3.Du toan'!BZ14-'3.Du toan'!BZ15+AL10+AL18)/1.1*0.1</f>
        <v>0</v>
      </c>
      <c r="AM23" s="757">
        <f>('3.Du toan'!CA77-'3.Du toan'!CA13-'3.Du toan'!CA12-'3.Du toan'!CA14-'3.Du toan'!CA15+AM10+AM18)/1.1*0.1</f>
        <v>0</v>
      </c>
      <c r="AN23" s="757">
        <f>('3.Du toan'!CB77-'3.Du toan'!CB13-'3.Du toan'!CB12-'3.Du toan'!CB14-'3.Du toan'!CB15+AN10+AN18)/1.1*0.1</f>
        <v>0</v>
      </c>
      <c r="AO23" s="757">
        <f>('3.Du toan'!CC77-'3.Du toan'!CC13-'3.Du toan'!CC12-'3.Du toan'!CC14-'3.Du toan'!CC15+AO10+AO18)/1.1*0.1</f>
        <v>0</v>
      </c>
      <c r="AP23" s="757">
        <f>('3.Du toan'!CD77-'3.Du toan'!CD13-'3.Du toan'!CD12-'3.Du toan'!CD14-'3.Du toan'!CD15+AP10+AP18)/1.1*0.1</f>
        <v>0</v>
      </c>
      <c r="AQ23" s="757">
        <f>('3.Du toan'!CE77-'3.Du toan'!CE13-'3.Du toan'!CE12-'3.Du toan'!CE14-'3.Du toan'!CE15+AQ10+AQ18)/1.1*0.1</f>
        <v>0</v>
      </c>
      <c r="AR23" s="757">
        <f>('3.Du toan'!CF77-'3.Du toan'!CF13-'3.Du toan'!CF12-'3.Du toan'!CF14-'3.Du toan'!CF15+AR10+AR18)/1.1*0.1</f>
        <v>0</v>
      </c>
      <c r="AS23" s="757">
        <f>('3.Du toan'!CG77-'3.Du toan'!CG13-'3.Du toan'!CG12-'3.Du toan'!CG14-'3.Du toan'!CG15+AS10+AS18)/1.1*0.1</f>
        <v>0</v>
      </c>
      <c r="AT23" s="757">
        <f>('3.Du toan'!CH77-'3.Du toan'!CH13-'3.Du toan'!CH12-'3.Du toan'!CH14-'3.Du toan'!CH15+AT10+AT18)/1.1*0.1</f>
        <v>0</v>
      </c>
      <c r="AU23" s="757">
        <f>('3.Du toan'!CI77-'3.Du toan'!CI13-'3.Du toan'!CI12-'3.Du toan'!CI14-'3.Du toan'!CI15+AU10+AU18)/1.1*0.1</f>
        <v>0</v>
      </c>
      <c r="AV23" s="757">
        <f>('3.Du toan'!CJ77-'3.Du toan'!CJ13-'3.Du toan'!CJ12-'3.Du toan'!CJ14-'3.Du toan'!CJ15+AV10+AV18)/1.1*0.1</f>
        <v>0</v>
      </c>
      <c r="AW23" s="757">
        <f>('3.Du toan'!CK77-'3.Du toan'!CK13-'3.Du toan'!CK12-'3.Du toan'!CK14-'3.Du toan'!CK15+AW10+AW18)/1.1*0.1</f>
        <v>0</v>
      </c>
      <c r="AX23" s="757">
        <f>('3.Du toan'!CL77-'3.Du toan'!CL13-'3.Du toan'!CL12-'3.Du toan'!CL14-'3.Du toan'!CL15+AX10+AX18)/1.1*0.1</f>
        <v>0</v>
      </c>
      <c r="AY23" s="757">
        <f>('3.Du toan'!CM77-'3.Du toan'!CM13-'3.Du toan'!CM12-'3.Du toan'!CM14-'3.Du toan'!CM15+AY10+AY18)/1.1*0.1</f>
        <v>0</v>
      </c>
      <c r="AZ23" s="757">
        <f>('3.Du toan'!CN77-'3.Du toan'!CN13-'3.Du toan'!CN12-'3.Du toan'!CN14-'3.Du toan'!CN15+AZ10+AZ18)/1.1*0.1</f>
        <v>0</v>
      </c>
      <c r="BA23" s="757">
        <f>('3.Du toan'!CO77-'3.Du toan'!CO13-'3.Du toan'!CO12-'3.Du toan'!CO14-'3.Du toan'!CO15+BA10+BA18)/1.1*0.1</f>
        <v>0</v>
      </c>
      <c r="BB23" s="757">
        <f>('3.Du toan'!CP77-'3.Du toan'!CP13-'3.Du toan'!CP12-'3.Du toan'!CP14-'3.Du toan'!CP15+BB10+BB18)/1.1*0.1</f>
        <v>0</v>
      </c>
      <c r="BC23" s="757">
        <f>('3.Du toan'!CQ77-'3.Du toan'!CQ13-'3.Du toan'!CQ12-'3.Du toan'!CQ14-'3.Du toan'!CQ15+BC10+BC18)/1.1*0.1</f>
        <v>0</v>
      </c>
      <c r="BD23" s="757">
        <f>('3.Du toan'!CR77-'3.Du toan'!CR13-'3.Du toan'!CR12-'3.Du toan'!CR14-'3.Du toan'!CR15+BD10+BD18)/1.1*0.1</f>
        <v>0</v>
      </c>
      <c r="BE23" s="757">
        <f>('3.Du toan'!CS77-'3.Du toan'!CS13-'3.Du toan'!CS12-'3.Du toan'!CS14-'3.Du toan'!CS15+BE10+BE18)/1.1*0.1</f>
        <v>0</v>
      </c>
      <c r="BF23" s="757">
        <f>('3.Du toan'!CT77-'3.Du toan'!CT13-'3.Du toan'!CT12-'3.Du toan'!CT14-'3.Du toan'!CT15+BF10+BF18)/1.1*0.1</f>
        <v>0</v>
      </c>
      <c r="BG23" s="757">
        <f>('3.Du toan'!CU77-'3.Du toan'!CU13-'3.Du toan'!CU12-'3.Du toan'!CU14-'3.Du toan'!CU15+BG10+BG18)/1.1*0.1</f>
        <v>0</v>
      </c>
      <c r="BH23" s="757">
        <f>('3.Du toan'!CV77-'3.Du toan'!CV13-'3.Du toan'!CV12-'3.Du toan'!CV14-'3.Du toan'!CV15+BH10+BH18)/1.1*0.1</f>
        <v>0</v>
      </c>
      <c r="BI23" s="757">
        <f>('3.Du toan'!CW77-'3.Du toan'!CW13-'3.Du toan'!CW12-'3.Du toan'!CW14-'3.Du toan'!CW15+BI10+BI18)/1.1*0.1</f>
        <v>0</v>
      </c>
      <c r="BJ23" s="757">
        <f>('3.Du toan'!CX77-'3.Du toan'!CX13-'3.Du toan'!CX12-'3.Du toan'!CX14-'3.Du toan'!CX15+BJ10+BJ18)/1.1*0.1</f>
        <v>0</v>
      </c>
      <c r="BK23" s="757">
        <f>('3.Du toan'!CY77-'3.Du toan'!CY13-'3.Du toan'!CY12-'3.Du toan'!CY14-'3.Du toan'!CY15+BK10+BK18)/1.1*0.1</f>
        <v>0</v>
      </c>
      <c r="BL23" s="757">
        <f>('3.Du toan'!CZ77-'3.Du toan'!CZ13-'3.Du toan'!CZ12-'3.Du toan'!CZ14-'3.Du toan'!CZ15+BL10+BL18)/1.1*0.1</f>
        <v>0</v>
      </c>
      <c r="BM23" s="757">
        <f>('3.Du toan'!DA77-'3.Du toan'!DA13-'3.Du toan'!DA12-'3.Du toan'!DA14-'3.Du toan'!DA15+BM10+BM18)/1.1*0.1</f>
        <v>0</v>
      </c>
      <c r="BN23" s="757">
        <f>('3.Du toan'!DB77-'3.Du toan'!DB13-'3.Du toan'!DB12-'3.Du toan'!DB14-'3.Du toan'!DB15+BN10+BN18)/1.1*0.1</f>
        <v>0</v>
      </c>
      <c r="BO23" s="757">
        <f>('3.Du toan'!DC77-'3.Du toan'!DC13-'3.Du toan'!DC12-'3.Du toan'!DC14-'3.Du toan'!DC15+BO10+BO18)/1.1*0.1</f>
        <v>0</v>
      </c>
      <c r="BP23" s="757">
        <f>('3.Du toan'!DD77-'3.Du toan'!DD13-'3.Du toan'!DD12-'3.Du toan'!DD14-'3.Du toan'!DD15+BP10+BP18)/1.1*0.1</f>
        <v>0</v>
      </c>
      <c r="BQ23" s="757">
        <f>('3.Du toan'!DE77-'3.Du toan'!DE13-'3.Du toan'!DE12-'3.Du toan'!DE14-'3.Du toan'!DE15+BQ10+BQ18)/1.1*0.1</f>
        <v>0</v>
      </c>
      <c r="BR23" s="757">
        <f>('3.Du toan'!DF77-'3.Du toan'!DF13-'3.Du toan'!DF12-'3.Du toan'!DF14-'3.Du toan'!DF15+BR10+BR18)/1.1*0.1</f>
        <v>0</v>
      </c>
      <c r="BS23" s="757">
        <f>('3.Du toan'!DG77-'3.Du toan'!DG13-'3.Du toan'!DG12-'3.Du toan'!DG14-'3.Du toan'!DG15+BS10+BS18)/1.1*0.1</f>
        <v>0</v>
      </c>
      <c r="BT23" s="757">
        <f>('3.Du toan'!DH77-'3.Du toan'!DH13-'3.Du toan'!DH12-'3.Du toan'!DH14-'3.Du toan'!DH15+BT10+BT18)/1.1*0.1</f>
        <v>0</v>
      </c>
      <c r="BU23" s="757">
        <f>('3.Du toan'!DI77-'3.Du toan'!DI13-'3.Du toan'!DI12-'3.Du toan'!DI14-'3.Du toan'!DI15+BU10+BU18)/1.1*0.1</f>
        <v>0</v>
      </c>
      <c r="BV23" s="757">
        <f>('3.Du toan'!DJ77-'3.Du toan'!DJ13-'3.Du toan'!DJ12-'3.Du toan'!DJ14-'3.Du toan'!DJ15+BV10+BV18)/1.1*0.1</f>
        <v>0</v>
      </c>
      <c r="BW23" s="757">
        <f>('3.Du toan'!DK77-'3.Du toan'!DK13-'3.Du toan'!DK12-'3.Du toan'!DK14-'3.Du toan'!DK15+BW10+BW18)/1.1*0.1</f>
        <v>0</v>
      </c>
      <c r="BX23" s="757">
        <f>('3.Du toan'!DL77-'3.Du toan'!DL13-'3.Du toan'!DL12-'3.Du toan'!DL14-'3.Du toan'!DL15+BX10+BX18)/1.1*0.1</f>
        <v>0</v>
      </c>
      <c r="BY23" s="757">
        <f>('3.Du toan'!DM77-'3.Du toan'!DM11+BY10+BY16++BY18)/1.1*0.1</f>
        <v>0</v>
      </c>
      <c r="BZ23" s="757">
        <f>('3.Du toan'!DN77-'3.Du toan'!DN13-'3.Du toan'!DN12-'3.Du toan'!DN14-'3.Du toan'!DN15+BZ10+BZ18)/1.1*0.1</f>
        <v>0</v>
      </c>
      <c r="CA23" s="757">
        <f>('3.Du toan'!DO77-'3.Du toan'!DO13-'3.Du toan'!DO12-'3.Du toan'!DO14-'3.Du toan'!DO15+CA10+CA18)/1.1*0.1</f>
        <v>0</v>
      </c>
      <c r="CB23" s="757">
        <f>('3.Du toan'!DP77-'3.Du toan'!DP13-'3.Du toan'!DP12-'3.Du toan'!DP14-'3.Du toan'!DP15+CB10+CB18)/1.1*0.1</f>
        <v>0</v>
      </c>
      <c r="CC23" s="757">
        <f>('3.Du toan'!DQ77-'3.Du toan'!DQ13-'3.Du toan'!DQ12-'3.Du toan'!DQ14-'3.Du toan'!DQ15+CC10+CC18)/1.1*0.1</f>
        <v>0</v>
      </c>
      <c r="CD23" s="757">
        <f>('3.Du toan'!DR77-'3.Du toan'!DR13-'3.Du toan'!DR12-'3.Du toan'!DR14-'3.Du toan'!DR15+CD10+CD18)/1.1*0.1</f>
        <v>0</v>
      </c>
      <c r="CE23" s="757">
        <f>('3.Du toan'!DS77-'3.Du toan'!DS13-'3.Du toan'!DS12-'3.Du toan'!DS14-'3.Du toan'!DS15+CE10+CE18)/1.1*0.1</f>
        <v>0</v>
      </c>
      <c r="CF23" s="757">
        <f>('3.Du toan'!DT77-'3.Du toan'!DT13-'3.Du toan'!DT12-'3.Du toan'!DT14-'3.Du toan'!DT15+CF10+CF18)/1.1*0.1</f>
        <v>0</v>
      </c>
      <c r="CG23" s="757">
        <f>('3.Du toan'!DU77-'3.Du toan'!DU13-'3.Du toan'!DU12-'3.Du toan'!DU14-'3.Du toan'!DU15+CG10+CG18)/1.1*0.1</f>
        <v>0</v>
      </c>
      <c r="CH23" s="757">
        <f>('3.Du toan'!DV77-'3.Du toan'!DV13-'3.Du toan'!DV12-'3.Du toan'!DV14-'3.Du toan'!DV15+CH10+CH18)/1.1*0.1</f>
        <v>0</v>
      </c>
      <c r="CI23" s="758">
        <f>('3.Du toan'!DW77-'3.Du toan'!DW13-'3.Du toan'!DW12-'3.Du toan'!DW14-'3.Du toan'!DW15+CI10+CI18)/1.1*0.1</f>
        <v>0</v>
      </c>
    </row>
    <row r="24" spans="1:87" s="754" customFormat="1" ht="19.5" customHeight="1" thickBot="1">
      <c r="A24" s="1401"/>
      <c r="B24" s="783"/>
      <c r="C24" s="809" t="s">
        <v>26</v>
      </c>
      <c r="D24" s="784"/>
      <c r="E24" s="785">
        <f t="shared" si="3"/>
        <v>431426.30150152271</v>
      </c>
      <c r="F24" s="786">
        <f>F66</f>
        <v>0</v>
      </c>
      <c r="G24" s="786">
        <f>G66</f>
        <v>0</v>
      </c>
      <c r="H24" s="786">
        <f t="shared" ref="H24:BS24" si="28">H66</f>
        <v>0</v>
      </c>
      <c r="I24" s="786">
        <f t="shared" si="28"/>
        <v>0</v>
      </c>
      <c r="J24" s="786">
        <f t="shared" si="28"/>
        <v>0</v>
      </c>
      <c r="K24" s="786">
        <f t="shared" si="28"/>
        <v>0</v>
      </c>
      <c r="L24" s="786">
        <f t="shared" si="28"/>
        <v>0</v>
      </c>
      <c r="M24" s="786">
        <f t="shared" si="28"/>
        <v>0</v>
      </c>
      <c r="N24" s="786">
        <f t="shared" si="28"/>
        <v>0</v>
      </c>
      <c r="O24" s="786">
        <f t="shared" si="28"/>
        <v>0</v>
      </c>
      <c r="P24" s="786">
        <f t="shared" si="28"/>
        <v>41809.405487874079</v>
      </c>
      <c r="Q24" s="786">
        <f t="shared" si="28"/>
        <v>46808.262539767864</v>
      </c>
      <c r="R24" s="786">
        <f t="shared" si="28"/>
        <v>22209.827472803296</v>
      </c>
      <c r="S24" s="786">
        <f t="shared" si="28"/>
        <v>58512.616347329691</v>
      </c>
      <c r="T24" s="786">
        <f t="shared" si="28"/>
        <v>56691.6000693635</v>
      </c>
      <c r="U24" s="786">
        <f t="shared" si="28"/>
        <v>47908.016423003377</v>
      </c>
      <c r="V24" s="786">
        <f t="shared" si="28"/>
        <v>38145.412106775992</v>
      </c>
      <c r="W24" s="786">
        <f t="shared" si="28"/>
        <v>100268.45500121693</v>
      </c>
      <c r="X24" s="786">
        <f t="shared" si="28"/>
        <v>0</v>
      </c>
      <c r="Y24" s="786">
        <f t="shared" si="28"/>
        <v>0</v>
      </c>
      <c r="Z24" s="786">
        <f t="shared" si="28"/>
        <v>19072.706053387996</v>
      </c>
      <c r="AA24" s="786">
        <f t="shared" si="28"/>
        <v>0</v>
      </c>
      <c r="AB24" s="786">
        <f t="shared" si="28"/>
        <v>0</v>
      </c>
      <c r="AC24" s="786">
        <f t="shared" si="28"/>
        <v>0</v>
      </c>
      <c r="AD24" s="786">
        <f t="shared" si="28"/>
        <v>0</v>
      </c>
      <c r="AE24" s="786">
        <f t="shared" si="28"/>
        <v>0</v>
      </c>
      <c r="AF24" s="786">
        <f t="shared" si="28"/>
        <v>0</v>
      </c>
      <c r="AG24" s="786">
        <f t="shared" si="28"/>
        <v>0</v>
      </c>
      <c r="AH24" s="786">
        <f t="shared" si="28"/>
        <v>0</v>
      </c>
      <c r="AI24" s="786">
        <f t="shared" si="28"/>
        <v>0</v>
      </c>
      <c r="AJ24" s="786">
        <f t="shared" si="28"/>
        <v>0</v>
      </c>
      <c r="AK24" s="786">
        <f t="shared" si="28"/>
        <v>0</v>
      </c>
      <c r="AL24" s="786">
        <f t="shared" si="28"/>
        <v>0</v>
      </c>
      <c r="AM24" s="786">
        <f t="shared" si="28"/>
        <v>0</v>
      </c>
      <c r="AN24" s="786">
        <f t="shared" si="28"/>
        <v>0</v>
      </c>
      <c r="AO24" s="786">
        <f t="shared" si="28"/>
        <v>0</v>
      </c>
      <c r="AP24" s="786">
        <f t="shared" si="28"/>
        <v>0</v>
      </c>
      <c r="AQ24" s="786">
        <f t="shared" si="28"/>
        <v>0</v>
      </c>
      <c r="AR24" s="786">
        <f t="shared" si="28"/>
        <v>0</v>
      </c>
      <c r="AS24" s="786">
        <f t="shared" si="28"/>
        <v>0</v>
      </c>
      <c r="AT24" s="786">
        <f t="shared" si="28"/>
        <v>0</v>
      </c>
      <c r="AU24" s="786">
        <f t="shared" si="28"/>
        <v>0</v>
      </c>
      <c r="AV24" s="786">
        <f t="shared" si="28"/>
        <v>0</v>
      </c>
      <c r="AW24" s="786">
        <f t="shared" si="28"/>
        <v>0</v>
      </c>
      <c r="AX24" s="786">
        <f t="shared" si="28"/>
        <v>0</v>
      </c>
      <c r="AY24" s="786">
        <f t="shared" si="28"/>
        <v>0</v>
      </c>
      <c r="AZ24" s="786">
        <f t="shared" si="28"/>
        <v>0</v>
      </c>
      <c r="BA24" s="786">
        <f t="shared" si="28"/>
        <v>0</v>
      </c>
      <c r="BB24" s="786">
        <f t="shared" si="28"/>
        <v>0</v>
      </c>
      <c r="BC24" s="786">
        <f t="shared" si="28"/>
        <v>0</v>
      </c>
      <c r="BD24" s="786">
        <f t="shared" si="28"/>
        <v>0</v>
      </c>
      <c r="BE24" s="786">
        <f t="shared" si="28"/>
        <v>0</v>
      </c>
      <c r="BF24" s="786">
        <f t="shared" si="28"/>
        <v>0</v>
      </c>
      <c r="BG24" s="786">
        <f t="shared" si="28"/>
        <v>0</v>
      </c>
      <c r="BH24" s="786">
        <f t="shared" si="28"/>
        <v>0</v>
      </c>
      <c r="BI24" s="786">
        <f t="shared" si="28"/>
        <v>0</v>
      </c>
      <c r="BJ24" s="786">
        <f t="shared" si="28"/>
        <v>0</v>
      </c>
      <c r="BK24" s="786">
        <f t="shared" si="28"/>
        <v>0</v>
      </c>
      <c r="BL24" s="786">
        <f t="shared" si="28"/>
        <v>0</v>
      </c>
      <c r="BM24" s="786">
        <f t="shared" si="28"/>
        <v>0</v>
      </c>
      <c r="BN24" s="786">
        <f t="shared" si="28"/>
        <v>0</v>
      </c>
      <c r="BO24" s="786">
        <f t="shared" si="28"/>
        <v>0</v>
      </c>
      <c r="BP24" s="786">
        <f t="shared" si="28"/>
        <v>0</v>
      </c>
      <c r="BQ24" s="786">
        <f t="shared" si="28"/>
        <v>0</v>
      </c>
      <c r="BR24" s="786">
        <f t="shared" si="28"/>
        <v>0</v>
      </c>
      <c r="BS24" s="786">
        <f t="shared" si="28"/>
        <v>0</v>
      </c>
      <c r="BT24" s="786">
        <f t="shared" ref="BT24:CI24" si="29">BT66</f>
        <v>0</v>
      </c>
      <c r="BU24" s="786">
        <f t="shared" si="29"/>
        <v>0</v>
      </c>
      <c r="BV24" s="786">
        <f t="shared" si="29"/>
        <v>0</v>
      </c>
      <c r="BW24" s="786">
        <f t="shared" si="29"/>
        <v>0</v>
      </c>
      <c r="BX24" s="786">
        <f t="shared" si="29"/>
        <v>0</v>
      </c>
      <c r="BY24" s="786">
        <f t="shared" si="29"/>
        <v>0</v>
      </c>
      <c r="BZ24" s="786">
        <f t="shared" si="29"/>
        <v>0</v>
      </c>
      <c r="CA24" s="786">
        <f t="shared" si="29"/>
        <v>0</v>
      </c>
      <c r="CB24" s="786">
        <f t="shared" si="29"/>
        <v>0</v>
      </c>
      <c r="CC24" s="786">
        <f t="shared" si="29"/>
        <v>0</v>
      </c>
      <c r="CD24" s="786">
        <f t="shared" si="29"/>
        <v>0</v>
      </c>
      <c r="CE24" s="786">
        <f t="shared" si="29"/>
        <v>0</v>
      </c>
      <c r="CF24" s="786">
        <f t="shared" si="29"/>
        <v>0</v>
      </c>
      <c r="CG24" s="786">
        <f t="shared" si="29"/>
        <v>0</v>
      </c>
      <c r="CH24" s="786">
        <f t="shared" si="29"/>
        <v>0</v>
      </c>
      <c r="CI24" s="786">
        <f t="shared" si="29"/>
        <v>0</v>
      </c>
    </row>
    <row r="25" spans="1:87" s="759" customFormat="1" ht="28.5" customHeight="1" thickBot="1">
      <c r="A25" s="2"/>
      <c r="B25" s="2360" t="s">
        <v>18</v>
      </c>
      <c r="C25" s="2361"/>
      <c r="D25" s="2361"/>
      <c r="E25" s="931">
        <f t="shared" ref="E25:AJ25" si="30">SUM(E10,E18:E21)</f>
        <v>1088399.7600325351</v>
      </c>
      <c r="F25" s="931">
        <f t="shared" si="30"/>
        <v>0</v>
      </c>
      <c r="G25" s="931">
        <f t="shared" si="30"/>
        <v>0</v>
      </c>
      <c r="H25" s="931">
        <f t="shared" si="30"/>
        <v>0</v>
      </c>
      <c r="I25" s="931">
        <f t="shared" si="30"/>
        <v>0</v>
      </c>
      <c r="J25" s="931">
        <f t="shared" si="30"/>
        <v>0</v>
      </c>
      <c r="K25" s="931">
        <f t="shared" si="30"/>
        <v>0</v>
      </c>
      <c r="L25" s="931">
        <f t="shared" si="30"/>
        <v>1.0748573748225514E-12</v>
      </c>
      <c r="M25" s="931">
        <f t="shared" si="30"/>
        <v>0</v>
      </c>
      <c r="N25" s="931">
        <f t="shared" si="30"/>
        <v>0</v>
      </c>
      <c r="O25" s="931">
        <f t="shared" si="30"/>
        <v>0</v>
      </c>
      <c r="P25" s="931">
        <f t="shared" si="30"/>
        <v>291666.78697744641</v>
      </c>
      <c r="Q25" s="931">
        <f t="shared" si="30"/>
        <v>328224.45932307711</v>
      </c>
      <c r="R25" s="931">
        <f t="shared" si="30"/>
        <v>114793.55365281255</v>
      </c>
      <c r="S25" s="931">
        <f t="shared" si="30"/>
        <v>91001.42360404972</v>
      </c>
      <c r="T25" s="931">
        <f t="shared" si="30"/>
        <v>74290.204866706539</v>
      </c>
      <c r="U25" s="931">
        <f t="shared" si="30"/>
        <v>62395.500450982785</v>
      </c>
      <c r="V25" s="931">
        <f t="shared" si="30"/>
        <v>22945.366388853152</v>
      </c>
      <c r="W25" s="932">
        <f t="shared" si="30"/>
        <v>82958.716443583195</v>
      </c>
      <c r="X25" s="932">
        <f t="shared" si="30"/>
        <v>0</v>
      </c>
      <c r="Y25" s="932">
        <f t="shared" si="30"/>
        <v>0</v>
      </c>
      <c r="Z25" s="932">
        <f t="shared" si="30"/>
        <v>20123.748325023495</v>
      </c>
      <c r="AA25" s="932">
        <f t="shared" si="30"/>
        <v>0</v>
      </c>
      <c r="AB25" s="932">
        <f t="shared" si="30"/>
        <v>0</v>
      </c>
      <c r="AC25" s="932">
        <f t="shared" si="30"/>
        <v>0</v>
      </c>
      <c r="AD25" s="932">
        <f t="shared" si="30"/>
        <v>0</v>
      </c>
      <c r="AE25" s="932">
        <f t="shared" si="30"/>
        <v>0</v>
      </c>
      <c r="AF25" s="932">
        <f t="shared" si="30"/>
        <v>0</v>
      </c>
      <c r="AG25" s="932">
        <f t="shared" si="30"/>
        <v>0</v>
      </c>
      <c r="AH25" s="932">
        <f t="shared" si="30"/>
        <v>0</v>
      </c>
      <c r="AI25" s="932">
        <f t="shared" si="30"/>
        <v>0</v>
      </c>
      <c r="AJ25" s="932">
        <f t="shared" si="30"/>
        <v>0</v>
      </c>
      <c r="AK25" s="932">
        <f t="shared" ref="AK25:BP25" si="31">SUM(AK10,AK18:AK21)</f>
        <v>0</v>
      </c>
      <c r="AL25" s="932">
        <f t="shared" si="31"/>
        <v>0</v>
      </c>
      <c r="AM25" s="932">
        <f t="shared" si="31"/>
        <v>0</v>
      </c>
      <c r="AN25" s="932">
        <f t="shared" si="31"/>
        <v>0</v>
      </c>
      <c r="AO25" s="932">
        <f t="shared" si="31"/>
        <v>0</v>
      </c>
      <c r="AP25" s="932">
        <f t="shared" si="31"/>
        <v>0</v>
      </c>
      <c r="AQ25" s="932">
        <f t="shared" si="31"/>
        <v>0</v>
      </c>
      <c r="AR25" s="932">
        <f t="shared" si="31"/>
        <v>0</v>
      </c>
      <c r="AS25" s="932">
        <f t="shared" si="31"/>
        <v>0</v>
      </c>
      <c r="AT25" s="932">
        <f t="shared" si="31"/>
        <v>0</v>
      </c>
      <c r="AU25" s="932">
        <f t="shared" si="31"/>
        <v>0</v>
      </c>
      <c r="AV25" s="932">
        <f t="shared" si="31"/>
        <v>0</v>
      </c>
      <c r="AW25" s="932">
        <f t="shared" si="31"/>
        <v>0</v>
      </c>
      <c r="AX25" s="932">
        <f t="shared" si="31"/>
        <v>0</v>
      </c>
      <c r="AY25" s="932">
        <f t="shared" si="31"/>
        <v>0</v>
      </c>
      <c r="AZ25" s="932">
        <f t="shared" si="31"/>
        <v>0</v>
      </c>
      <c r="BA25" s="932">
        <f t="shared" si="31"/>
        <v>0</v>
      </c>
      <c r="BB25" s="932">
        <f t="shared" si="31"/>
        <v>0</v>
      </c>
      <c r="BC25" s="932">
        <f t="shared" si="31"/>
        <v>0</v>
      </c>
      <c r="BD25" s="932">
        <f t="shared" si="31"/>
        <v>0</v>
      </c>
      <c r="BE25" s="932">
        <f t="shared" si="31"/>
        <v>0</v>
      </c>
      <c r="BF25" s="932">
        <f t="shared" si="31"/>
        <v>0</v>
      </c>
      <c r="BG25" s="932">
        <f t="shared" si="31"/>
        <v>0</v>
      </c>
      <c r="BH25" s="932">
        <f t="shared" si="31"/>
        <v>0</v>
      </c>
      <c r="BI25" s="932">
        <f t="shared" si="31"/>
        <v>0</v>
      </c>
      <c r="BJ25" s="932">
        <f t="shared" si="31"/>
        <v>0</v>
      </c>
      <c r="BK25" s="932">
        <f t="shared" si="31"/>
        <v>0</v>
      </c>
      <c r="BL25" s="932">
        <f t="shared" si="31"/>
        <v>0</v>
      </c>
      <c r="BM25" s="932">
        <f t="shared" si="31"/>
        <v>0</v>
      </c>
      <c r="BN25" s="932">
        <f t="shared" si="31"/>
        <v>0</v>
      </c>
      <c r="BO25" s="932">
        <f t="shared" si="31"/>
        <v>0</v>
      </c>
      <c r="BP25" s="932">
        <f t="shared" si="31"/>
        <v>0</v>
      </c>
      <c r="BQ25" s="932">
        <f t="shared" ref="BQ25:CI25" si="32">SUM(BQ10,BQ18:BQ21)</f>
        <v>0</v>
      </c>
      <c r="BR25" s="932">
        <f t="shared" si="32"/>
        <v>0</v>
      </c>
      <c r="BS25" s="932">
        <f t="shared" si="32"/>
        <v>0</v>
      </c>
      <c r="BT25" s="932">
        <f t="shared" si="32"/>
        <v>0</v>
      </c>
      <c r="BU25" s="932">
        <f t="shared" si="32"/>
        <v>0</v>
      </c>
      <c r="BV25" s="932">
        <f t="shared" si="32"/>
        <v>0</v>
      </c>
      <c r="BW25" s="932">
        <f t="shared" si="32"/>
        <v>0</v>
      </c>
      <c r="BX25" s="932">
        <f t="shared" si="32"/>
        <v>0</v>
      </c>
      <c r="BY25" s="932">
        <f t="shared" si="32"/>
        <v>0</v>
      </c>
      <c r="BZ25" s="932">
        <f t="shared" si="32"/>
        <v>0</v>
      </c>
      <c r="CA25" s="932">
        <f t="shared" si="32"/>
        <v>0</v>
      </c>
      <c r="CB25" s="932">
        <f t="shared" si="32"/>
        <v>0</v>
      </c>
      <c r="CC25" s="932">
        <f t="shared" si="32"/>
        <v>0</v>
      </c>
      <c r="CD25" s="932">
        <f t="shared" si="32"/>
        <v>0</v>
      </c>
      <c r="CE25" s="932">
        <f t="shared" si="32"/>
        <v>0</v>
      </c>
      <c r="CF25" s="932">
        <f t="shared" si="32"/>
        <v>0</v>
      </c>
      <c r="CG25" s="932">
        <f t="shared" si="32"/>
        <v>0</v>
      </c>
      <c r="CH25" s="932">
        <f t="shared" si="32"/>
        <v>0</v>
      </c>
      <c r="CI25" s="933">
        <f t="shared" si="32"/>
        <v>0</v>
      </c>
    </row>
    <row r="26" spans="1:87" s="751" customFormat="1" ht="19.5" hidden="1" customHeight="1" thickBot="1">
      <c r="B26" s="2362" t="s">
        <v>19</v>
      </c>
      <c r="C26" s="2362"/>
      <c r="D26" s="2362"/>
      <c r="E26" s="787"/>
      <c r="F26" s="788">
        <f>F25</f>
        <v>0</v>
      </c>
      <c r="G26" s="2363">
        <f>SUM(G25:J25)</f>
        <v>0</v>
      </c>
      <c r="H26" s="2363"/>
      <c r="I26" s="2363"/>
      <c r="J26" s="2363"/>
      <c r="K26" s="2364">
        <f>SUM(K25:N25)</f>
        <v>1.0748573748225514E-12</v>
      </c>
      <c r="L26" s="2364"/>
      <c r="M26" s="2364"/>
      <c r="N26" s="2364"/>
      <c r="O26" s="2357">
        <f>SUM(O25:R25)</f>
        <v>734684.79995333613</v>
      </c>
      <c r="P26" s="2357"/>
      <c r="Q26" s="2357"/>
      <c r="R26" s="2357"/>
      <c r="S26" s="2358">
        <f>SUM(S25:V25)</f>
        <v>250632.4953105922</v>
      </c>
      <c r="T26" s="2359"/>
      <c r="U26" s="2359"/>
      <c r="V26" s="2359"/>
      <c r="W26" s="2349"/>
      <c r="X26" s="2349"/>
      <c r="Y26" s="2349"/>
      <c r="Z26" s="2349"/>
    </row>
    <row r="27" spans="1:87" s="751" customFormat="1" ht="18" hidden="1" customHeight="1">
      <c r="B27" s="2350" t="s">
        <v>20</v>
      </c>
      <c r="C27" s="2350"/>
      <c r="D27" s="2350"/>
      <c r="E27" s="789">
        <f>D10*'5.Doanh thu'!G116</f>
        <v>915417.43964082876</v>
      </c>
      <c r="F27" s="790">
        <f>F26/$E$25</f>
        <v>0</v>
      </c>
      <c r="G27" s="2351">
        <f>G26/$E$25</f>
        <v>0</v>
      </c>
      <c r="H27" s="2351"/>
      <c r="I27" s="2351"/>
      <c r="J27" s="2351"/>
      <c r="K27" s="2352">
        <f>K26/$E$25</f>
        <v>9.8755752646474416E-19</v>
      </c>
      <c r="L27" s="2352"/>
      <c r="M27" s="2352"/>
      <c r="N27" s="2352"/>
      <c r="O27" s="2353">
        <f>O26/$E$25</f>
        <v>0.67501374672425007</v>
      </c>
      <c r="P27" s="2353"/>
      <c r="Q27" s="2353"/>
      <c r="R27" s="2353"/>
      <c r="S27" s="2355">
        <f>S26/$E$25</f>
        <v>0.23027613981015593</v>
      </c>
      <c r="T27" s="2355"/>
      <c r="U27" s="2355"/>
      <c r="V27" s="2356"/>
      <c r="W27" s="2354"/>
      <c r="X27" s="2354"/>
      <c r="Y27" s="2354"/>
      <c r="Z27" s="2354"/>
    </row>
    <row r="28" spans="1:87">
      <c r="A28" s="1402"/>
      <c r="C28" s="791">
        <f>E25-SUM(F25:XFD25)</f>
        <v>0</v>
      </c>
      <c r="D28" s="791">
        <f>E21-E22</f>
        <v>0</v>
      </c>
      <c r="E28" s="565">
        <f>E25-E19</f>
        <v>1088399.7600325351</v>
      </c>
    </row>
    <row r="29" spans="1:87">
      <c r="A29" s="1402"/>
      <c r="D29" s="586">
        <f>E21-E29</f>
        <v>0</v>
      </c>
      <c r="E29" s="565">
        <f>('5.Doanh thu'!G116-'3.Du toan'!F77+'3.Du toan'!F15+'3.Du toan'!F12-'4.Chi phi hoat dong'!E10-'4.Chi phi hoat dong'!E18)/1.1*0.1</f>
        <v>129826.60879066802</v>
      </c>
    </row>
    <row r="31" spans="1:87">
      <c r="B31" s="828" t="s">
        <v>462</v>
      </c>
      <c r="C31" s="830" t="s">
        <v>518</v>
      </c>
    </row>
    <row r="32" spans="1:87" ht="18" thickBot="1">
      <c r="C32" s="503" t="s">
        <v>7</v>
      </c>
    </row>
    <row r="33" spans="2:87" s="760" customFormat="1">
      <c r="B33" s="579"/>
      <c r="C33" s="810" t="str">
        <f>+'5.Doanh thu'!C10</f>
        <v>Căn hộ khối tháp</v>
      </c>
      <c r="D33" s="831">
        <f t="shared" ref="D33:D37" si="33">SUM(F33:XFD33)</f>
        <v>4199620.7693177816</v>
      </c>
      <c r="E33" s="832"/>
      <c r="F33" s="833"/>
      <c r="G33" s="833">
        <f>'5.Doanh thu'!H14</f>
        <v>0</v>
      </c>
      <c r="H33" s="833">
        <f>'5.Doanh thu'!I14</f>
        <v>0</v>
      </c>
      <c r="I33" s="833">
        <f>'5.Doanh thu'!J14</f>
        <v>0</v>
      </c>
      <c r="J33" s="833">
        <f>'5.Doanh thu'!K14</f>
        <v>0</v>
      </c>
      <c r="K33" s="833">
        <f>'5.Doanh thu'!L14</f>
        <v>0</v>
      </c>
      <c r="L33" s="833">
        <f>'5.Doanh thu'!M14</f>
        <v>0</v>
      </c>
      <c r="M33" s="833">
        <f>'5.Doanh thu'!N14</f>
        <v>0</v>
      </c>
      <c r="N33" s="833">
        <f>'5.Doanh thu'!O14</f>
        <v>0</v>
      </c>
      <c r="O33" s="833">
        <f>'5.Doanh thu'!P14</f>
        <v>0</v>
      </c>
      <c r="P33" s="833">
        <f>'5.Doanh thu'!Q14</f>
        <v>1576059.0530162824</v>
      </c>
      <c r="Q33" s="833">
        <f>'5.Doanh thu'!R14</f>
        <v>1585669.1691932119</v>
      </c>
      <c r="R33" s="833">
        <f>'5.Doanh thu'!S14</f>
        <v>419962.07693177811</v>
      </c>
      <c r="S33" s="833">
        <f>'5.Doanh thu'!T14</f>
        <v>209981.03846588905</v>
      </c>
      <c r="T33" s="833">
        <f>'5.Doanh thu'!U14</f>
        <v>209981.03846588905</v>
      </c>
      <c r="U33" s="833">
        <f>'5.Doanh thu'!V14</f>
        <v>197968.39324473034</v>
      </c>
      <c r="V33" s="833">
        <f>'5.Doanh thu'!W14</f>
        <v>0</v>
      </c>
      <c r="W33" s="834">
        <f>'5.Doanh thu'!X14</f>
        <v>0</v>
      </c>
      <c r="X33" s="834">
        <f>'5.Doanh thu'!Y14</f>
        <v>0</v>
      </c>
      <c r="Y33" s="834">
        <f>'5.Doanh thu'!Z14</f>
        <v>0</v>
      </c>
      <c r="Z33" s="834">
        <f>'5.Doanh thu'!AA14</f>
        <v>0</v>
      </c>
      <c r="AA33" s="834">
        <f>'5.Doanh thu'!AB14</f>
        <v>0</v>
      </c>
      <c r="AB33" s="834">
        <f>'5.Doanh thu'!AC14</f>
        <v>0</v>
      </c>
      <c r="AC33" s="834">
        <f>'5.Doanh thu'!AD14</f>
        <v>0</v>
      </c>
      <c r="AD33" s="834">
        <f>'5.Doanh thu'!AE14</f>
        <v>0</v>
      </c>
      <c r="AE33" s="834">
        <f>'5.Doanh thu'!AF14</f>
        <v>0</v>
      </c>
      <c r="AF33" s="834">
        <f>'5.Doanh thu'!AG14</f>
        <v>0</v>
      </c>
      <c r="AG33" s="834">
        <f>'5.Doanh thu'!AH14</f>
        <v>0</v>
      </c>
      <c r="AH33" s="834">
        <f>'5.Doanh thu'!AI14</f>
        <v>0</v>
      </c>
      <c r="AI33" s="834">
        <f>'5.Doanh thu'!AJ14</f>
        <v>0</v>
      </c>
      <c r="AJ33" s="834">
        <f>'5.Doanh thu'!AK14</f>
        <v>0</v>
      </c>
      <c r="AK33" s="834">
        <f>'5.Doanh thu'!AL14</f>
        <v>0</v>
      </c>
      <c r="AL33" s="834">
        <f>'5.Doanh thu'!AM14</f>
        <v>0</v>
      </c>
      <c r="AM33" s="834">
        <f>'5.Doanh thu'!AN14</f>
        <v>0</v>
      </c>
      <c r="AN33" s="834">
        <f>'5.Doanh thu'!AO14</f>
        <v>0</v>
      </c>
      <c r="AO33" s="834">
        <f>'5.Doanh thu'!AP14</f>
        <v>0</v>
      </c>
      <c r="AP33" s="834">
        <f>'5.Doanh thu'!AQ14</f>
        <v>0</v>
      </c>
      <c r="AQ33" s="834">
        <f>'5.Doanh thu'!AR14</f>
        <v>0</v>
      </c>
      <c r="AR33" s="834">
        <f>'5.Doanh thu'!AS14</f>
        <v>0</v>
      </c>
      <c r="AS33" s="834">
        <f>'5.Doanh thu'!AT14</f>
        <v>0</v>
      </c>
      <c r="AT33" s="834">
        <f>'5.Doanh thu'!AU14</f>
        <v>0</v>
      </c>
      <c r="AU33" s="834">
        <f>'5.Doanh thu'!AV14</f>
        <v>0</v>
      </c>
      <c r="AV33" s="834">
        <f>'5.Doanh thu'!AW14</f>
        <v>0</v>
      </c>
      <c r="AW33" s="834">
        <f>'5.Doanh thu'!AX14</f>
        <v>0</v>
      </c>
      <c r="AX33" s="834">
        <f>'5.Doanh thu'!AY14</f>
        <v>0</v>
      </c>
      <c r="AY33" s="834">
        <f>'5.Doanh thu'!AZ14</f>
        <v>0</v>
      </c>
      <c r="AZ33" s="834">
        <f>'5.Doanh thu'!BA14</f>
        <v>0</v>
      </c>
      <c r="BA33" s="834">
        <f>'5.Doanh thu'!BB14</f>
        <v>0</v>
      </c>
      <c r="BB33" s="834">
        <f>'5.Doanh thu'!BC14</f>
        <v>0</v>
      </c>
      <c r="BC33" s="834">
        <f>'5.Doanh thu'!BD14</f>
        <v>0</v>
      </c>
      <c r="BD33" s="834">
        <f>'5.Doanh thu'!BE14</f>
        <v>0</v>
      </c>
      <c r="BE33" s="834">
        <f>'5.Doanh thu'!BF14</f>
        <v>0</v>
      </c>
      <c r="BF33" s="834">
        <f>'5.Doanh thu'!BG14</f>
        <v>0</v>
      </c>
      <c r="BG33" s="834">
        <f>'5.Doanh thu'!BH14</f>
        <v>0</v>
      </c>
      <c r="BH33" s="834">
        <f>'5.Doanh thu'!BI14</f>
        <v>0</v>
      </c>
      <c r="BI33" s="834">
        <f>'5.Doanh thu'!BJ14</f>
        <v>0</v>
      </c>
      <c r="BJ33" s="834">
        <f>'5.Doanh thu'!BK14</f>
        <v>0</v>
      </c>
      <c r="BK33" s="834">
        <f>'5.Doanh thu'!BL14</f>
        <v>0</v>
      </c>
      <c r="BL33" s="834">
        <f>'5.Doanh thu'!BM14</f>
        <v>0</v>
      </c>
      <c r="BM33" s="834">
        <f>'5.Doanh thu'!BN14</f>
        <v>0</v>
      </c>
      <c r="BN33" s="834">
        <f>'5.Doanh thu'!BO14</f>
        <v>0</v>
      </c>
      <c r="BO33" s="834">
        <f>'5.Doanh thu'!BP14</f>
        <v>0</v>
      </c>
      <c r="BP33" s="834">
        <f>'5.Doanh thu'!BQ14</f>
        <v>0</v>
      </c>
      <c r="BQ33" s="834">
        <f>'5.Doanh thu'!BR14</f>
        <v>0</v>
      </c>
      <c r="BR33" s="834">
        <f>'5.Doanh thu'!BS14</f>
        <v>0</v>
      </c>
      <c r="BS33" s="834">
        <f>'5.Doanh thu'!BT14</f>
        <v>0</v>
      </c>
      <c r="BT33" s="834">
        <f>'5.Doanh thu'!BU14</f>
        <v>0</v>
      </c>
      <c r="BU33" s="834">
        <f>'5.Doanh thu'!BV14</f>
        <v>0</v>
      </c>
      <c r="BV33" s="834">
        <f>'5.Doanh thu'!BW14</f>
        <v>0</v>
      </c>
      <c r="BW33" s="834">
        <f>'5.Doanh thu'!BX14</f>
        <v>0</v>
      </c>
      <c r="BX33" s="834">
        <f>'5.Doanh thu'!BY14</f>
        <v>0</v>
      </c>
      <c r="BY33" s="834">
        <f>'5.Doanh thu'!BZ14</f>
        <v>0</v>
      </c>
      <c r="BZ33" s="834">
        <f>'5.Doanh thu'!CA14</f>
        <v>0</v>
      </c>
      <c r="CA33" s="834">
        <f>'5.Doanh thu'!CB14</f>
        <v>0</v>
      </c>
      <c r="CB33" s="834">
        <f>'5.Doanh thu'!CC14</f>
        <v>0</v>
      </c>
      <c r="CC33" s="834">
        <f>'5.Doanh thu'!CD14</f>
        <v>0</v>
      </c>
      <c r="CD33" s="834">
        <f>'5.Doanh thu'!CE14</f>
        <v>0</v>
      </c>
      <c r="CE33" s="834">
        <f>'5.Doanh thu'!CF14</f>
        <v>0</v>
      </c>
      <c r="CF33" s="834">
        <f>'5.Doanh thu'!CG14</f>
        <v>0</v>
      </c>
      <c r="CG33" s="834">
        <f>'5.Doanh thu'!CH14</f>
        <v>0</v>
      </c>
      <c r="CH33" s="834">
        <f>'5.Doanh thu'!CI14</f>
        <v>0</v>
      </c>
      <c r="CI33" s="835">
        <f>'5.Doanh thu'!CJ14</f>
        <v>0</v>
      </c>
    </row>
    <row r="34" spans="2:87" s="760" customFormat="1">
      <c r="B34" s="579"/>
      <c r="C34" s="813" t="str">
        <f>+'5.Doanh thu'!C16</f>
        <v>Căn hộ shop TM</v>
      </c>
      <c r="D34" s="792">
        <f t="shared" si="33"/>
        <v>122426.51694097898</v>
      </c>
      <c r="E34" s="793"/>
      <c r="F34" s="579"/>
      <c r="G34" s="579">
        <f>+'5.Doanh thu'!H20</f>
        <v>0</v>
      </c>
      <c r="H34" s="579">
        <f>+'5.Doanh thu'!I20</f>
        <v>0</v>
      </c>
      <c r="I34" s="579">
        <f>+'5.Doanh thu'!J20</f>
        <v>0</v>
      </c>
      <c r="J34" s="579">
        <f>+'5.Doanh thu'!K20</f>
        <v>0</v>
      </c>
      <c r="K34" s="579">
        <f>+'5.Doanh thu'!L20</f>
        <v>0</v>
      </c>
      <c r="L34" s="579">
        <f>+'5.Doanh thu'!M20</f>
        <v>0</v>
      </c>
      <c r="M34" s="579">
        <f>+'5.Doanh thu'!N20</f>
        <v>0</v>
      </c>
      <c r="N34" s="579">
        <f>+'5.Doanh thu'!O20</f>
        <v>0</v>
      </c>
      <c r="O34" s="579">
        <f>+'5.Doanh thu'!P20</f>
        <v>0</v>
      </c>
      <c r="P34" s="579">
        <f>+'5.Doanh thu'!Q20</f>
        <v>0</v>
      </c>
      <c r="Q34" s="579">
        <f>+'5.Doanh thu'!R20</f>
        <v>0</v>
      </c>
      <c r="R34" s="579">
        <f>+'5.Doanh thu'!S20</f>
        <v>0</v>
      </c>
      <c r="S34" s="579">
        <f>+'5.Doanh thu'!T20</f>
        <v>61213.258470489483</v>
      </c>
      <c r="T34" s="579">
        <f>+'5.Doanh thu'!U20</f>
        <v>36727.955082293694</v>
      </c>
      <c r="U34" s="579">
        <f>+'5.Doanh thu'!V20</f>
        <v>24485.303388195796</v>
      </c>
      <c r="V34" s="579">
        <f>+'5.Doanh thu'!W20</f>
        <v>0</v>
      </c>
      <c r="W34" s="761">
        <f>+'5.Doanh thu'!X20</f>
        <v>0</v>
      </c>
      <c r="X34" s="761">
        <f>+'5.Doanh thu'!Y20</f>
        <v>0</v>
      </c>
      <c r="Y34" s="761">
        <f>+'5.Doanh thu'!Z20</f>
        <v>0</v>
      </c>
      <c r="Z34" s="761">
        <f>+'5.Doanh thu'!AA20</f>
        <v>0</v>
      </c>
      <c r="AA34" s="761">
        <f>+'5.Doanh thu'!AB20</f>
        <v>0</v>
      </c>
      <c r="AB34" s="761">
        <f>+'5.Doanh thu'!AC20</f>
        <v>0</v>
      </c>
      <c r="AC34" s="761">
        <f>+'5.Doanh thu'!AD20</f>
        <v>0</v>
      </c>
      <c r="AD34" s="761">
        <f>+'5.Doanh thu'!AE20</f>
        <v>0</v>
      </c>
      <c r="AE34" s="761">
        <f>+'5.Doanh thu'!AF20</f>
        <v>0</v>
      </c>
      <c r="AF34" s="761">
        <f>+'5.Doanh thu'!AG20</f>
        <v>0</v>
      </c>
      <c r="AG34" s="761">
        <f>+'5.Doanh thu'!AH20</f>
        <v>0</v>
      </c>
      <c r="AH34" s="761">
        <f>+'5.Doanh thu'!AI20</f>
        <v>0</v>
      </c>
      <c r="AI34" s="761">
        <f>+'5.Doanh thu'!AJ20</f>
        <v>0</v>
      </c>
      <c r="AJ34" s="761">
        <f>+'5.Doanh thu'!AK20</f>
        <v>0</v>
      </c>
      <c r="AK34" s="761">
        <f>+'5.Doanh thu'!AL20</f>
        <v>0</v>
      </c>
      <c r="AL34" s="761">
        <f>+'5.Doanh thu'!AM20</f>
        <v>0</v>
      </c>
      <c r="AM34" s="761">
        <f>+'5.Doanh thu'!AN20</f>
        <v>0</v>
      </c>
      <c r="AN34" s="761">
        <f>+'5.Doanh thu'!AO20</f>
        <v>0</v>
      </c>
      <c r="AO34" s="761">
        <f>+'5.Doanh thu'!AP20</f>
        <v>0</v>
      </c>
      <c r="AP34" s="761">
        <f>+'5.Doanh thu'!AQ20</f>
        <v>0</v>
      </c>
      <c r="AQ34" s="761">
        <f>+'5.Doanh thu'!AR20</f>
        <v>0</v>
      </c>
      <c r="AR34" s="761">
        <f>+'5.Doanh thu'!AS20</f>
        <v>0</v>
      </c>
      <c r="AS34" s="761">
        <f>+'5.Doanh thu'!AT20</f>
        <v>0</v>
      </c>
      <c r="AT34" s="761">
        <f>+'5.Doanh thu'!AU20</f>
        <v>0</v>
      </c>
      <c r="AU34" s="761">
        <f>+'5.Doanh thu'!AV20</f>
        <v>0</v>
      </c>
      <c r="AV34" s="761">
        <f>+'5.Doanh thu'!AW20</f>
        <v>0</v>
      </c>
      <c r="AW34" s="761">
        <f>+'5.Doanh thu'!AX20</f>
        <v>0</v>
      </c>
      <c r="AX34" s="761">
        <f>+'5.Doanh thu'!AY20</f>
        <v>0</v>
      </c>
      <c r="AY34" s="761">
        <f>+'5.Doanh thu'!AZ20</f>
        <v>0</v>
      </c>
      <c r="AZ34" s="761">
        <f>+'5.Doanh thu'!BA20</f>
        <v>0</v>
      </c>
      <c r="BA34" s="761">
        <f>+'5.Doanh thu'!BB20</f>
        <v>0</v>
      </c>
      <c r="BB34" s="761">
        <f>+'5.Doanh thu'!BC20</f>
        <v>0</v>
      </c>
      <c r="BC34" s="761">
        <f>+'5.Doanh thu'!BD20</f>
        <v>0</v>
      </c>
      <c r="BD34" s="761">
        <f>+'5.Doanh thu'!BE20</f>
        <v>0</v>
      </c>
      <c r="BE34" s="761">
        <f>+'5.Doanh thu'!BF20</f>
        <v>0</v>
      </c>
      <c r="BF34" s="761">
        <f>+'5.Doanh thu'!BG20</f>
        <v>0</v>
      </c>
      <c r="BG34" s="761">
        <f>+'5.Doanh thu'!BH20</f>
        <v>0</v>
      </c>
      <c r="BH34" s="761">
        <f>+'5.Doanh thu'!BI20</f>
        <v>0</v>
      </c>
      <c r="BI34" s="761">
        <f>+'5.Doanh thu'!BJ20</f>
        <v>0</v>
      </c>
      <c r="BJ34" s="761">
        <f>+'5.Doanh thu'!BK20</f>
        <v>0</v>
      </c>
      <c r="BK34" s="761">
        <f>+'5.Doanh thu'!BL20</f>
        <v>0</v>
      </c>
      <c r="BL34" s="761">
        <f>+'5.Doanh thu'!BM20</f>
        <v>0</v>
      </c>
      <c r="BM34" s="761">
        <f>+'5.Doanh thu'!BN20</f>
        <v>0</v>
      </c>
      <c r="BN34" s="761">
        <f>+'5.Doanh thu'!BO20</f>
        <v>0</v>
      </c>
      <c r="BO34" s="761">
        <f>+'5.Doanh thu'!BP20</f>
        <v>0</v>
      </c>
      <c r="BP34" s="761">
        <f>+'5.Doanh thu'!BQ20</f>
        <v>0</v>
      </c>
      <c r="BQ34" s="761">
        <f>+'5.Doanh thu'!BR20</f>
        <v>0</v>
      </c>
      <c r="BR34" s="761">
        <f>+'5.Doanh thu'!BS20</f>
        <v>0</v>
      </c>
      <c r="BS34" s="761">
        <f>+'5.Doanh thu'!BT20</f>
        <v>0</v>
      </c>
      <c r="BT34" s="761">
        <f>+'5.Doanh thu'!BU20</f>
        <v>0</v>
      </c>
      <c r="BU34" s="761">
        <f>+'5.Doanh thu'!BV20</f>
        <v>0</v>
      </c>
      <c r="BV34" s="761">
        <f>+'5.Doanh thu'!BW20</f>
        <v>0</v>
      </c>
      <c r="BW34" s="761">
        <f>+'5.Doanh thu'!BX20</f>
        <v>0</v>
      </c>
      <c r="BX34" s="761">
        <f>+'5.Doanh thu'!BY20</f>
        <v>0</v>
      </c>
      <c r="BY34" s="761">
        <f>+'5.Doanh thu'!BZ20</f>
        <v>0</v>
      </c>
      <c r="BZ34" s="761">
        <f>+'5.Doanh thu'!CA20</f>
        <v>0</v>
      </c>
      <c r="CA34" s="761">
        <f>+'5.Doanh thu'!CB20</f>
        <v>0</v>
      </c>
      <c r="CB34" s="761">
        <f>+'5.Doanh thu'!CC20</f>
        <v>0</v>
      </c>
      <c r="CC34" s="761">
        <f>+'5.Doanh thu'!CD20</f>
        <v>0</v>
      </c>
      <c r="CD34" s="761">
        <f>+'5.Doanh thu'!CE20</f>
        <v>0</v>
      </c>
      <c r="CE34" s="761">
        <f>+'5.Doanh thu'!CF20</f>
        <v>0</v>
      </c>
      <c r="CF34" s="761">
        <f>+'5.Doanh thu'!CG20</f>
        <v>0</v>
      </c>
      <c r="CG34" s="761">
        <f>+'5.Doanh thu'!CH20</f>
        <v>0</v>
      </c>
      <c r="CH34" s="761">
        <f>+'5.Doanh thu'!CI20</f>
        <v>0</v>
      </c>
      <c r="CI34" s="836">
        <f>+'5.Doanh thu'!CJ20</f>
        <v>0</v>
      </c>
    </row>
    <row r="35" spans="2:87" s="760" customFormat="1">
      <c r="B35" s="579"/>
      <c r="C35" s="813" t="str">
        <f>+'5.Doanh thu'!C22</f>
        <v>Căn TMDV</v>
      </c>
      <c r="D35" s="792">
        <f t="shared" si="33"/>
        <v>0</v>
      </c>
      <c r="E35" s="793"/>
      <c r="F35" s="579"/>
      <c r="G35" s="579">
        <f>+'5.Doanh thu'!H26</f>
        <v>0</v>
      </c>
      <c r="H35" s="579">
        <f>+'5.Doanh thu'!I26</f>
        <v>0</v>
      </c>
      <c r="I35" s="579">
        <f>+'5.Doanh thu'!J26</f>
        <v>0</v>
      </c>
      <c r="J35" s="579">
        <f>+'5.Doanh thu'!K26</f>
        <v>0</v>
      </c>
      <c r="K35" s="579">
        <f>+'5.Doanh thu'!L26</f>
        <v>0</v>
      </c>
      <c r="L35" s="579">
        <f>+'5.Doanh thu'!M26</f>
        <v>0</v>
      </c>
      <c r="M35" s="579">
        <f>+'5.Doanh thu'!N26</f>
        <v>0</v>
      </c>
      <c r="N35" s="579">
        <f>+'5.Doanh thu'!O26</f>
        <v>0</v>
      </c>
      <c r="O35" s="579">
        <f>+'5.Doanh thu'!P26</f>
        <v>0</v>
      </c>
      <c r="P35" s="579">
        <f>+'5.Doanh thu'!Q26</f>
        <v>0</v>
      </c>
      <c r="Q35" s="579">
        <f>+'5.Doanh thu'!R26</f>
        <v>0</v>
      </c>
      <c r="R35" s="579">
        <f>+'5.Doanh thu'!S26</f>
        <v>0</v>
      </c>
      <c r="S35" s="579">
        <f>+'5.Doanh thu'!T26</f>
        <v>0</v>
      </c>
      <c r="T35" s="579">
        <f>+'5.Doanh thu'!U26</f>
        <v>0</v>
      </c>
      <c r="U35" s="579">
        <f>+'5.Doanh thu'!V26</f>
        <v>0</v>
      </c>
      <c r="V35" s="579">
        <f>+'5.Doanh thu'!W26</f>
        <v>0</v>
      </c>
      <c r="W35" s="761">
        <f>+'5.Doanh thu'!X26</f>
        <v>0</v>
      </c>
      <c r="X35" s="761">
        <f>+'5.Doanh thu'!Y26</f>
        <v>0</v>
      </c>
      <c r="Y35" s="761">
        <f>+'5.Doanh thu'!Z26</f>
        <v>0</v>
      </c>
      <c r="Z35" s="761">
        <f>+'5.Doanh thu'!AA26</f>
        <v>0</v>
      </c>
      <c r="AA35" s="761">
        <f>+'5.Doanh thu'!AB26</f>
        <v>0</v>
      </c>
      <c r="AB35" s="761">
        <f>+'5.Doanh thu'!AC26</f>
        <v>0</v>
      </c>
      <c r="AC35" s="761">
        <f>+'5.Doanh thu'!AD26</f>
        <v>0</v>
      </c>
      <c r="AD35" s="761">
        <f>+'5.Doanh thu'!AE26</f>
        <v>0</v>
      </c>
      <c r="AE35" s="761">
        <f>+'5.Doanh thu'!AF26</f>
        <v>0</v>
      </c>
      <c r="AF35" s="761">
        <f>+'5.Doanh thu'!AG26</f>
        <v>0</v>
      </c>
      <c r="AG35" s="761">
        <f>+'5.Doanh thu'!AH26</f>
        <v>0</v>
      </c>
      <c r="AH35" s="761">
        <f>+'5.Doanh thu'!AI26</f>
        <v>0</v>
      </c>
      <c r="AI35" s="761">
        <f>+'5.Doanh thu'!AJ26</f>
        <v>0</v>
      </c>
      <c r="AJ35" s="761">
        <f>+'5.Doanh thu'!AK26</f>
        <v>0</v>
      </c>
      <c r="AK35" s="761">
        <f>+'5.Doanh thu'!AL26</f>
        <v>0</v>
      </c>
      <c r="AL35" s="761">
        <f>+'5.Doanh thu'!AM26</f>
        <v>0</v>
      </c>
      <c r="AM35" s="761">
        <f>+'5.Doanh thu'!AN26</f>
        <v>0</v>
      </c>
      <c r="AN35" s="761">
        <f>+'5.Doanh thu'!AO26</f>
        <v>0</v>
      </c>
      <c r="AO35" s="761">
        <f>+'5.Doanh thu'!AP26</f>
        <v>0</v>
      </c>
      <c r="AP35" s="761">
        <f>+'5.Doanh thu'!AQ26</f>
        <v>0</v>
      </c>
      <c r="AQ35" s="761">
        <f>+'5.Doanh thu'!AR26</f>
        <v>0</v>
      </c>
      <c r="AR35" s="761">
        <f>+'5.Doanh thu'!AS26</f>
        <v>0</v>
      </c>
      <c r="AS35" s="761">
        <f>+'5.Doanh thu'!AT26</f>
        <v>0</v>
      </c>
      <c r="AT35" s="761">
        <f>+'5.Doanh thu'!AU26</f>
        <v>0</v>
      </c>
      <c r="AU35" s="761">
        <f>+'5.Doanh thu'!AV26</f>
        <v>0</v>
      </c>
      <c r="AV35" s="761">
        <f>+'5.Doanh thu'!AW26</f>
        <v>0</v>
      </c>
      <c r="AW35" s="761">
        <f>+'5.Doanh thu'!AX26</f>
        <v>0</v>
      </c>
      <c r="AX35" s="761">
        <f>+'5.Doanh thu'!AY26</f>
        <v>0</v>
      </c>
      <c r="AY35" s="761">
        <f>+'5.Doanh thu'!AZ26</f>
        <v>0</v>
      </c>
      <c r="AZ35" s="761">
        <f>+'5.Doanh thu'!BA26</f>
        <v>0</v>
      </c>
      <c r="BA35" s="761">
        <f>+'5.Doanh thu'!BB26</f>
        <v>0</v>
      </c>
      <c r="BB35" s="761">
        <f>+'5.Doanh thu'!BC26</f>
        <v>0</v>
      </c>
      <c r="BC35" s="761">
        <f>+'5.Doanh thu'!BD26</f>
        <v>0</v>
      </c>
      <c r="BD35" s="761">
        <f>+'5.Doanh thu'!BE26</f>
        <v>0</v>
      </c>
      <c r="BE35" s="761">
        <f>+'5.Doanh thu'!BF26</f>
        <v>0</v>
      </c>
      <c r="BF35" s="761">
        <f>+'5.Doanh thu'!BG26</f>
        <v>0</v>
      </c>
      <c r="BG35" s="761">
        <f>+'5.Doanh thu'!BH26</f>
        <v>0</v>
      </c>
      <c r="BH35" s="761">
        <f>+'5.Doanh thu'!BI26</f>
        <v>0</v>
      </c>
      <c r="BI35" s="761">
        <f>+'5.Doanh thu'!BJ26</f>
        <v>0</v>
      </c>
      <c r="BJ35" s="761">
        <f>+'5.Doanh thu'!BK26</f>
        <v>0</v>
      </c>
      <c r="BK35" s="761">
        <f>+'5.Doanh thu'!BL26</f>
        <v>0</v>
      </c>
      <c r="BL35" s="761">
        <f>+'5.Doanh thu'!BM26</f>
        <v>0</v>
      </c>
      <c r="BM35" s="761">
        <f>+'5.Doanh thu'!BN26</f>
        <v>0</v>
      </c>
      <c r="BN35" s="761">
        <f>+'5.Doanh thu'!BO26</f>
        <v>0</v>
      </c>
      <c r="BO35" s="761">
        <f>+'5.Doanh thu'!BP26</f>
        <v>0</v>
      </c>
      <c r="BP35" s="761">
        <f>+'5.Doanh thu'!BQ26</f>
        <v>0</v>
      </c>
      <c r="BQ35" s="761">
        <f>+'5.Doanh thu'!BR26</f>
        <v>0</v>
      </c>
      <c r="BR35" s="761">
        <f>+'5.Doanh thu'!BS26</f>
        <v>0</v>
      </c>
      <c r="BS35" s="761">
        <f>+'5.Doanh thu'!BT26</f>
        <v>0</v>
      </c>
      <c r="BT35" s="761">
        <f>+'5.Doanh thu'!BU26</f>
        <v>0</v>
      </c>
      <c r="BU35" s="761">
        <f>+'5.Doanh thu'!BV26</f>
        <v>0</v>
      </c>
      <c r="BV35" s="761">
        <f>+'5.Doanh thu'!BW26</f>
        <v>0</v>
      </c>
      <c r="BW35" s="761">
        <f>+'5.Doanh thu'!BX26</f>
        <v>0</v>
      </c>
      <c r="BX35" s="761">
        <f>+'5.Doanh thu'!BY26</f>
        <v>0</v>
      </c>
      <c r="BY35" s="761">
        <f>+'5.Doanh thu'!BZ26</f>
        <v>0</v>
      </c>
      <c r="BZ35" s="761">
        <f>+'5.Doanh thu'!CA26</f>
        <v>0</v>
      </c>
      <c r="CA35" s="761">
        <f>+'5.Doanh thu'!CB26</f>
        <v>0</v>
      </c>
      <c r="CB35" s="761">
        <f>+'5.Doanh thu'!CC26</f>
        <v>0</v>
      </c>
      <c r="CC35" s="761">
        <f>+'5.Doanh thu'!CD26</f>
        <v>0</v>
      </c>
      <c r="CD35" s="761">
        <f>+'5.Doanh thu'!CE26</f>
        <v>0</v>
      </c>
      <c r="CE35" s="761">
        <f>+'5.Doanh thu'!CF26</f>
        <v>0</v>
      </c>
      <c r="CF35" s="761">
        <f>+'5.Doanh thu'!CG26</f>
        <v>0</v>
      </c>
      <c r="CG35" s="761">
        <f>+'5.Doanh thu'!CH26</f>
        <v>0</v>
      </c>
      <c r="CH35" s="761">
        <f>+'5.Doanh thu'!CI26</f>
        <v>0</v>
      </c>
      <c r="CI35" s="836">
        <f>+'5.Doanh thu'!CJ26</f>
        <v>0</v>
      </c>
    </row>
    <row r="36" spans="2:87" s="760" customFormat="1">
      <c r="B36" s="579"/>
      <c r="C36" s="813" t="str">
        <f>+'5.Doanh thu'!C28</f>
        <v>Căn officetel</v>
      </c>
      <c r="D36" s="792">
        <f t="shared" si="33"/>
        <v>302538.70893743238</v>
      </c>
      <c r="E36" s="793"/>
      <c r="F36" s="579"/>
      <c r="G36" s="579">
        <f>+'5.Doanh thu'!H32</f>
        <v>0</v>
      </c>
      <c r="H36" s="579">
        <f>+'5.Doanh thu'!I32</f>
        <v>0</v>
      </c>
      <c r="I36" s="579">
        <f>+'5.Doanh thu'!J32</f>
        <v>0</v>
      </c>
      <c r="J36" s="579">
        <f>+'5.Doanh thu'!K32</f>
        <v>0</v>
      </c>
      <c r="K36" s="579">
        <f>+'5.Doanh thu'!L32</f>
        <v>0</v>
      </c>
      <c r="L36" s="579">
        <f>+'5.Doanh thu'!M32</f>
        <v>0</v>
      </c>
      <c r="M36" s="579">
        <f>+'5.Doanh thu'!N32</f>
        <v>0</v>
      </c>
      <c r="N36" s="579">
        <f>+'5.Doanh thu'!O32</f>
        <v>0</v>
      </c>
      <c r="O36" s="579">
        <f>+'5.Doanh thu'!P32</f>
        <v>0</v>
      </c>
      <c r="P36" s="579">
        <f>+'5.Doanh thu'!Q32</f>
        <v>113538.55438384178</v>
      </c>
      <c r="Q36" s="579">
        <f>+'5.Doanh thu'!R32</f>
        <v>114230.86264227991</v>
      </c>
      <c r="R36" s="579">
        <f>+'5.Doanh thu'!S32</f>
        <v>30253.870893743242</v>
      </c>
      <c r="S36" s="579">
        <f>+'5.Doanh thu'!T32</f>
        <v>15126.935446871621</v>
      </c>
      <c r="T36" s="579">
        <f>+'5.Doanh thu'!U32</f>
        <v>15126.935446871621</v>
      </c>
      <c r="U36" s="579">
        <f>+'5.Doanh thu'!V32</f>
        <v>14261.550123824185</v>
      </c>
      <c r="V36" s="579">
        <f>+'5.Doanh thu'!W32</f>
        <v>0</v>
      </c>
      <c r="W36" s="761">
        <f>+'5.Doanh thu'!X32</f>
        <v>0</v>
      </c>
      <c r="X36" s="761">
        <f>+'5.Doanh thu'!Y32</f>
        <v>0</v>
      </c>
      <c r="Y36" s="761">
        <f>+'5.Doanh thu'!Z32</f>
        <v>0</v>
      </c>
      <c r="Z36" s="761">
        <f>+'5.Doanh thu'!AA32</f>
        <v>0</v>
      </c>
      <c r="AA36" s="761">
        <f>+'5.Doanh thu'!AB32</f>
        <v>0</v>
      </c>
      <c r="AB36" s="761">
        <f>+'5.Doanh thu'!AC32</f>
        <v>0</v>
      </c>
      <c r="AC36" s="761">
        <f>+'5.Doanh thu'!AD32</f>
        <v>0</v>
      </c>
      <c r="AD36" s="761">
        <f>+'5.Doanh thu'!AE32</f>
        <v>0</v>
      </c>
      <c r="AE36" s="761">
        <f>+'5.Doanh thu'!AF32</f>
        <v>0</v>
      </c>
      <c r="AF36" s="761">
        <f>+'5.Doanh thu'!AG32</f>
        <v>0</v>
      </c>
      <c r="AG36" s="761">
        <f>+'5.Doanh thu'!AH32</f>
        <v>0</v>
      </c>
      <c r="AH36" s="761">
        <f>+'5.Doanh thu'!AI32</f>
        <v>0</v>
      </c>
      <c r="AI36" s="761">
        <f>+'5.Doanh thu'!AJ32</f>
        <v>0</v>
      </c>
      <c r="AJ36" s="761">
        <f>+'5.Doanh thu'!AK32</f>
        <v>0</v>
      </c>
      <c r="AK36" s="761">
        <f>+'5.Doanh thu'!AL32</f>
        <v>0</v>
      </c>
      <c r="AL36" s="761">
        <f>+'5.Doanh thu'!AM32</f>
        <v>0</v>
      </c>
      <c r="AM36" s="761">
        <f>+'5.Doanh thu'!AN32</f>
        <v>0</v>
      </c>
      <c r="AN36" s="761">
        <f>+'5.Doanh thu'!AO32</f>
        <v>0</v>
      </c>
      <c r="AO36" s="761">
        <f>+'5.Doanh thu'!AP32</f>
        <v>0</v>
      </c>
      <c r="AP36" s="761">
        <f>+'5.Doanh thu'!AQ32</f>
        <v>0</v>
      </c>
      <c r="AQ36" s="761">
        <f>+'5.Doanh thu'!AR32</f>
        <v>0</v>
      </c>
      <c r="AR36" s="761">
        <f>+'5.Doanh thu'!AS32</f>
        <v>0</v>
      </c>
      <c r="AS36" s="761">
        <f>+'5.Doanh thu'!AT32</f>
        <v>0</v>
      </c>
      <c r="AT36" s="761">
        <f>+'5.Doanh thu'!AU32</f>
        <v>0</v>
      </c>
      <c r="AU36" s="761">
        <f>+'5.Doanh thu'!AV32</f>
        <v>0</v>
      </c>
      <c r="AV36" s="761">
        <f>+'5.Doanh thu'!AW32</f>
        <v>0</v>
      </c>
      <c r="AW36" s="761">
        <f>+'5.Doanh thu'!AX32</f>
        <v>0</v>
      </c>
      <c r="AX36" s="761">
        <f>+'5.Doanh thu'!AY32</f>
        <v>0</v>
      </c>
      <c r="AY36" s="761">
        <f>+'5.Doanh thu'!AZ32</f>
        <v>0</v>
      </c>
      <c r="AZ36" s="761">
        <f>+'5.Doanh thu'!BA32</f>
        <v>0</v>
      </c>
      <c r="BA36" s="761">
        <f>+'5.Doanh thu'!BB32</f>
        <v>0</v>
      </c>
      <c r="BB36" s="761">
        <f>+'5.Doanh thu'!BC32</f>
        <v>0</v>
      </c>
      <c r="BC36" s="761">
        <f>+'5.Doanh thu'!BD32</f>
        <v>0</v>
      </c>
      <c r="BD36" s="761">
        <f>+'5.Doanh thu'!BE32</f>
        <v>0</v>
      </c>
      <c r="BE36" s="761">
        <f>+'5.Doanh thu'!BF32</f>
        <v>0</v>
      </c>
      <c r="BF36" s="761">
        <f>+'5.Doanh thu'!BG32</f>
        <v>0</v>
      </c>
      <c r="BG36" s="761">
        <f>+'5.Doanh thu'!BH32</f>
        <v>0</v>
      </c>
      <c r="BH36" s="761">
        <f>+'5.Doanh thu'!BI32</f>
        <v>0</v>
      </c>
      <c r="BI36" s="761">
        <f>+'5.Doanh thu'!BJ32</f>
        <v>0</v>
      </c>
      <c r="BJ36" s="761">
        <f>+'5.Doanh thu'!BK32</f>
        <v>0</v>
      </c>
      <c r="BK36" s="761">
        <f>+'5.Doanh thu'!BL32</f>
        <v>0</v>
      </c>
      <c r="BL36" s="761">
        <f>+'5.Doanh thu'!BM32</f>
        <v>0</v>
      </c>
      <c r="BM36" s="761">
        <f>+'5.Doanh thu'!BN32</f>
        <v>0</v>
      </c>
      <c r="BN36" s="761">
        <f>+'5.Doanh thu'!BO32</f>
        <v>0</v>
      </c>
      <c r="BO36" s="761">
        <f>+'5.Doanh thu'!BP32</f>
        <v>0</v>
      </c>
      <c r="BP36" s="761">
        <f>+'5.Doanh thu'!BQ32</f>
        <v>0</v>
      </c>
      <c r="BQ36" s="761">
        <f>+'5.Doanh thu'!BR32</f>
        <v>0</v>
      </c>
      <c r="BR36" s="761">
        <f>+'5.Doanh thu'!BS32</f>
        <v>0</v>
      </c>
      <c r="BS36" s="761">
        <f>+'5.Doanh thu'!BT32</f>
        <v>0</v>
      </c>
      <c r="BT36" s="761">
        <f>+'5.Doanh thu'!BU32</f>
        <v>0</v>
      </c>
      <c r="BU36" s="761">
        <f>+'5.Doanh thu'!BV32</f>
        <v>0</v>
      </c>
      <c r="BV36" s="761">
        <f>+'5.Doanh thu'!BW32</f>
        <v>0</v>
      </c>
      <c r="BW36" s="761">
        <f>+'5.Doanh thu'!BX32</f>
        <v>0</v>
      </c>
      <c r="BX36" s="761">
        <f>+'5.Doanh thu'!BY32</f>
        <v>0</v>
      </c>
      <c r="BY36" s="761">
        <f>+'5.Doanh thu'!BZ32</f>
        <v>0</v>
      </c>
      <c r="BZ36" s="761">
        <f>+'5.Doanh thu'!CA32</f>
        <v>0</v>
      </c>
      <c r="CA36" s="761">
        <f>+'5.Doanh thu'!CB32</f>
        <v>0</v>
      </c>
      <c r="CB36" s="761">
        <f>+'5.Doanh thu'!CC32</f>
        <v>0</v>
      </c>
      <c r="CC36" s="761">
        <f>+'5.Doanh thu'!CD32</f>
        <v>0</v>
      </c>
      <c r="CD36" s="761">
        <f>+'5.Doanh thu'!CE32</f>
        <v>0</v>
      </c>
      <c r="CE36" s="761">
        <f>+'5.Doanh thu'!CF32</f>
        <v>0</v>
      </c>
      <c r="CF36" s="761">
        <f>+'5.Doanh thu'!CG32</f>
        <v>0</v>
      </c>
      <c r="CG36" s="761">
        <f>+'5.Doanh thu'!CH32</f>
        <v>0</v>
      </c>
      <c r="CH36" s="761">
        <f>+'5.Doanh thu'!CI32</f>
        <v>0</v>
      </c>
      <c r="CI36" s="836">
        <f>+'5.Doanh thu'!CJ32</f>
        <v>0</v>
      </c>
    </row>
    <row r="37" spans="2:87" s="760" customFormat="1">
      <c r="B37" s="579"/>
      <c r="C37" s="813" t="s">
        <v>704</v>
      </c>
      <c r="D37" s="792">
        <f t="shared" si="33"/>
        <v>0</v>
      </c>
      <c r="E37" s="793"/>
      <c r="F37" s="579"/>
      <c r="G37" s="579">
        <f>+'5.Doanh thu'!H106</f>
        <v>0</v>
      </c>
      <c r="H37" s="579">
        <f>+'5.Doanh thu'!I106</f>
        <v>0</v>
      </c>
      <c r="I37" s="579">
        <f>+'5.Doanh thu'!J106</f>
        <v>0</v>
      </c>
      <c r="J37" s="579">
        <f>+'5.Doanh thu'!K106</f>
        <v>0</v>
      </c>
      <c r="K37" s="579">
        <f>+'5.Doanh thu'!L106</f>
        <v>0</v>
      </c>
      <c r="L37" s="579">
        <f>+'5.Doanh thu'!M106</f>
        <v>0</v>
      </c>
      <c r="M37" s="579">
        <f>+'5.Doanh thu'!N106</f>
        <v>0</v>
      </c>
      <c r="N37" s="579">
        <f>+'5.Doanh thu'!O106</f>
        <v>0</v>
      </c>
      <c r="O37" s="579">
        <f>+'5.Doanh thu'!P106</f>
        <v>0</v>
      </c>
      <c r="P37" s="579">
        <f>+'5.Doanh thu'!Q106</f>
        <v>0</v>
      </c>
      <c r="Q37" s="579">
        <f>+'5.Doanh thu'!R106</f>
        <v>0</v>
      </c>
      <c r="R37" s="579">
        <f>+'5.Doanh thu'!S106</f>
        <v>0</v>
      </c>
      <c r="S37" s="579">
        <f>+'5.Doanh thu'!T106</f>
        <v>0</v>
      </c>
      <c r="T37" s="579">
        <f>+'5.Doanh thu'!U106</f>
        <v>0</v>
      </c>
      <c r="U37" s="579">
        <f>+'5.Doanh thu'!V106</f>
        <v>0</v>
      </c>
      <c r="V37" s="579">
        <f>+'5.Doanh thu'!W106</f>
        <v>0</v>
      </c>
      <c r="W37" s="761">
        <f>+'5.Doanh thu'!X106</f>
        <v>0</v>
      </c>
      <c r="X37" s="761">
        <f>+'5.Doanh thu'!Y106</f>
        <v>0</v>
      </c>
      <c r="Y37" s="761">
        <f>+'5.Doanh thu'!Z106</f>
        <v>0</v>
      </c>
      <c r="Z37" s="761">
        <f>+'5.Doanh thu'!AA106</f>
        <v>0</v>
      </c>
      <c r="AA37" s="761">
        <f>+'5.Doanh thu'!AB106</f>
        <v>0</v>
      </c>
      <c r="AB37" s="761">
        <f>+'5.Doanh thu'!AC106</f>
        <v>0</v>
      </c>
      <c r="AC37" s="761">
        <f>+'5.Doanh thu'!AD106</f>
        <v>0</v>
      </c>
      <c r="AD37" s="761">
        <f>+'5.Doanh thu'!AE106</f>
        <v>0</v>
      </c>
      <c r="AE37" s="761">
        <f>+'5.Doanh thu'!AF106</f>
        <v>0</v>
      </c>
      <c r="AF37" s="761">
        <f>+'5.Doanh thu'!AG106</f>
        <v>0</v>
      </c>
      <c r="AG37" s="761">
        <f>+'5.Doanh thu'!AH106</f>
        <v>0</v>
      </c>
      <c r="AH37" s="761">
        <f>+'5.Doanh thu'!AI106</f>
        <v>0</v>
      </c>
      <c r="AI37" s="761">
        <f>+'5.Doanh thu'!AJ106</f>
        <v>0</v>
      </c>
      <c r="AJ37" s="761">
        <f>+'5.Doanh thu'!AK106</f>
        <v>0</v>
      </c>
      <c r="AK37" s="761">
        <f>+'5.Doanh thu'!AL106</f>
        <v>0</v>
      </c>
      <c r="AL37" s="761">
        <f>+'5.Doanh thu'!AM106</f>
        <v>0</v>
      </c>
      <c r="AM37" s="761">
        <f>+'5.Doanh thu'!AN106</f>
        <v>0</v>
      </c>
      <c r="AN37" s="761">
        <f>+'5.Doanh thu'!AO106</f>
        <v>0</v>
      </c>
      <c r="AO37" s="761">
        <f>+'5.Doanh thu'!AP106</f>
        <v>0</v>
      </c>
      <c r="AP37" s="761">
        <f>+'5.Doanh thu'!AQ106</f>
        <v>0</v>
      </c>
      <c r="AQ37" s="761">
        <f>+'5.Doanh thu'!AR106</f>
        <v>0</v>
      </c>
      <c r="AR37" s="761">
        <f>+'5.Doanh thu'!AS106</f>
        <v>0</v>
      </c>
      <c r="AS37" s="761">
        <f>+'5.Doanh thu'!AT106</f>
        <v>0</v>
      </c>
      <c r="AT37" s="761">
        <f>+'5.Doanh thu'!AU106</f>
        <v>0</v>
      </c>
      <c r="AU37" s="761">
        <f>+'5.Doanh thu'!AV106</f>
        <v>0</v>
      </c>
      <c r="AV37" s="761">
        <f>+'5.Doanh thu'!AW106</f>
        <v>0</v>
      </c>
      <c r="AW37" s="761">
        <f>+'5.Doanh thu'!AX106</f>
        <v>0</v>
      </c>
      <c r="AX37" s="761">
        <f>+'5.Doanh thu'!AY106</f>
        <v>0</v>
      </c>
      <c r="AY37" s="761">
        <f>+'5.Doanh thu'!AZ106</f>
        <v>0</v>
      </c>
      <c r="AZ37" s="761">
        <f>+'5.Doanh thu'!BA106</f>
        <v>0</v>
      </c>
      <c r="BA37" s="761">
        <f>+'5.Doanh thu'!BB106</f>
        <v>0</v>
      </c>
      <c r="BB37" s="761">
        <f>+'5.Doanh thu'!BC106</f>
        <v>0</v>
      </c>
      <c r="BC37" s="761">
        <f>+'5.Doanh thu'!BD106</f>
        <v>0</v>
      </c>
      <c r="BD37" s="761">
        <f>+'5.Doanh thu'!BE106</f>
        <v>0</v>
      </c>
      <c r="BE37" s="761">
        <f>+'5.Doanh thu'!BF106</f>
        <v>0</v>
      </c>
      <c r="BF37" s="761">
        <f>+'5.Doanh thu'!BG106</f>
        <v>0</v>
      </c>
      <c r="BG37" s="761">
        <f>+'5.Doanh thu'!BH106</f>
        <v>0</v>
      </c>
      <c r="BH37" s="761">
        <f>+'5.Doanh thu'!BI106</f>
        <v>0</v>
      </c>
      <c r="BI37" s="761">
        <f>+'5.Doanh thu'!BJ106</f>
        <v>0</v>
      </c>
      <c r="BJ37" s="761">
        <f>+'5.Doanh thu'!BK106</f>
        <v>0</v>
      </c>
      <c r="BK37" s="761">
        <f>+'5.Doanh thu'!BL106</f>
        <v>0</v>
      </c>
      <c r="BL37" s="761">
        <f>+'5.Doanh thu'!BM106</f>
        <v>0</v>
      </c>
      <c r="BM37" s="761">
        <f>+'5.Doanh thu'!BN106</f>
        <v>0</v>
      </c>
      <c r="BN37" s="761">
        <f>+'5.Doanh thu'!BO106</f>
        <v>0</v>
      </c>
      <c r="BO37" s="761">
        <f>+'5.Doanh thu'!BP106</f>
        <v>0</v>
      </c>
      <c r="BP37" s="761">
        <f>+'5.Doanh thu'!BQ106</f>
        <v>0</v>
      </c>
      <c r="BQ37" s="761">
        <f>+'5.Doanh thu'!BR106</f>
        <v>0</v>
      </c>
      <c r="BR37" s="761">
        <f>+'5.Doanh thu'!BS106</f>
        <v>0</v>
      </c>
      <c r="BS37" s="761">
        <f>+'5.Doanh thu'!BT106</f>
        <v>0</v>
      </c>
      <c r="BT37" s="761">
        <f>+'5.Doanh thu'!BU106</f>
        <v>0</v>
      </c>
      <c r="BU37" s="761">
        <f>+'5.Doanh thu'!BV106</f>
        <v>0</v>
      </c>
      <c r="BV37" s="761">
        <f>+'5.Doanh thu'!BW106</f>
        <v>0</v>
      </c>
      <c r="BW37" s="761">
        <f>+'5.Doanh thu'!BX106</f>
        <v>0</v>
      </c>
      <c r="BX37" s="761">
        <f>+'5.Doanh thu'!BY106</f>
        <v>0</v>
      </c>
      <c r="BY37" s="761">
        <f>+'5.Doanh thu'!BZ106</f>
        <v>0</v>
      </c>
      <c r="BZ37" s="761">
        <f>+'5.Doanh thu'!CA106</f>
        <v>0</v>
      </c>
      <c r="CA37" s="761">
        <f>+'5.Doanh thu'!CB106</f>
        <v>0</v>
      </c>
      <c r="CB37" s="761">
        <f>+'5.Doanh thu'!CC106</f>
        <v>0</v>
      </c>
      <c r="CC37" s="761">
        <f>+'5.Doanh thu'!CD106</f>
        <v>0</v>
      </c>
      <c r="CD37" s="761">
        <f>+'5.Doanh thu'!CE106</f>
        <v>0</v>
      </c>
      <c r="CE37" s="761">
        <f>+'5.Doanh thu'!CF106</f>
        <v>0</v>
      </c>
      <c r="CF37" s="761">
        <f>+'5.Doanh thu'!CG106</f>
        <v>0</v>
      </c>
      <c r="CG37" s="761">
        <f>+'5.Doanh thu'!CH106</f>
        <v>0</v>
      </c>
      <c r="CH37" s="761">
        <f>+'5.Doanh thu'!CI106</f>
        <v>0</v>
      </c>
      <c r="CI37" s="836">
        <f>+'5.Doanh thu'!CJ106</f>
        <v>0</v>
      </c>
    </row>
    <row r="38" spans="2:87" s="760" customFormat="1">
      <c r="B38" s="579"/>
      <c r="C38" s="813" t="s">
        <v>153</v>
      </c>
      <c r="D38" s="792">
        <f>SUM(F38:XFD38)</f>
        <v>30708.566950149303</v>
      </c>
      <c r="E38" s="793"/>
      <c r="F38" s="579"/>
      <c r="G38" s="579">
        <f>+'5.Doanh thu'!H113</f>
        <v>0</v>
      </c>
      <c r="H38" s="579">
        <f>+'5.Doanh thu'!I113</f>
        <v>0</v>
      </c>
      <c r="I38" s="579">
        <f>+'5.Doanh thu'!J113</f>
        <v>0</v>
      </c>
      <c r="J38" s="579">
        <f>+'5.Doanh thu'!K113</f>
        <v>0</v>
      </c>
      <c r="K38" s="579">
        <f>+'5.Doanh thu'!L113</f>
        <v>0</v>
      </c>
      <c r="L38" s="579">
        <f>+'5.Doanh thu'!M113</f>
        <v>0</v>
      </c>
      <c r="M38" s="579">
        <f>+'5.Doanh thu'!N113</f>
        <v>0</v>
      </c>
      <c r="N38" s="579">
        <f>+'5.Doanh thu'!O113</f>
        <v>0</v>
      </c>
      <c r="O38" s="579">
        <f>+'5.Doanh thu'!P113</f>
        <v>0</v>
      </c>
      <c r="P38" s="579">
        <f>+'5.Doanh thu'!Q113</f>
        <v>0</v>
      </c>
      <c r="Q38" s="579">
        <f>+'5.Doanh thu'!R113</f>
        <v>0</v>
      </c>
      <c r="R38" s="579">
        <f>+'5.Doanh thu'!S113</f>
        <v>0</v>
      </c>
      <c r="S38" s="579">
        <f>+'5.Doanh thu'!T113</f>
        <v>0</v>
      </c>
      <c r="T38" s="579">
        <f>+'5.Doanh thu'!U113</f>
        <v>0</v>
      </c>
      <c r="U38" s="579">
        <f>+'5.Doanh thu'!V113</f>
        <v>0</v>
      </c>
      <c r="V38" s="579">
        <f>+'5.Doanh thu'!W113</f>
        <v>0</v>
      </c>
      <c r="W38" s="761">
        <f>+'5.Doanh thu'!X113</f>
        <v>30708.566950149303</v>
      </c>
      <c r="X38" s="761">
        <f>+'5.Doanh thu'!Y113</f>
        <v>0</v>
      </c>
      <c r="Y38" s="761">
        <f>+'5.Doanh thu'!Z113</f>
        <v>0</v>
      </c>
      <c r="Z38" s="761">
        <f>+'5.Doanh thu'!AA113</f>
        <v>0</v>
      </c>
      <c r="AA38" s="761">
        <f>+'5.Doanh thu'!AB113</f>
        <v>0</v>
      </c>
      <c r="AB38" s="761">
        <f>+'5.Doanh thu'!AC113</f>
        <v>0</v>
      </c>
      <c r="AC38" s="761">
        <f>+'5.Doanh thu'!AD113</f>
        <v>0</v>
      </c>
      <c r="AD38" s="761">
        <f>+'5.Doanh thu'!AE113</f>
        <v>0</v>
      </c>
      <c r="AE38" s="761">
        <f>+'5.Doanh thu'!AF113</f>
        <v>0</v>
      </c>
      <c r="AF38" s="761">
        <f>+'5.Doanh thu'!AG113</f>
        <v>0</v>
      </c>
      <c r="AG38" s="761">
        <f>+'5.Doanh thu'!AH113</f>
        <v>0</v>
      </c>
      <c r="AH38" s="761">
        <f>+'5.Doanh thu'!AI113</f>
        <v>0</v>
      </c>
      <c r="AI38" s="761">
        <f>+'5.Doanh thu'!AJ113</f>
        <v>0</v>
      </c>
      <c r="AJ38" s="761">
        <f>+'5.Doanh thu'!AK113</f>
        <v>0</v>
      </c>
      <c r="AK38" s="761">
        <f>+'5.Doanh thu'!AL113</f>
        <v>0</v>
      </c>
      <c r="AL38" s="761">
        <f>+'5.Doanh thu'!AM113</f>
        <v>0</v>
      </c>
      <c r="AM38" s="761">
        <f>+'5.Doanh thu'!AN113</f>
        <v>0</v>
      </c>
      <c r="AN38" s="761">
        <f>+'5.Doanh thu'!AO113</f>
        <v>0</v>
      </c>
      <c r="AO38" s="761">
        <f>+'5.Doanh thu'!AP113</f>
        <v>0</v>
      </c>
      <c r="AP38" s="761">
        <f>+'5.Doanh thu'!AQ113</f>
        <v>0</v>
      </c>
      <c r="AQ38" s="761">
        <f>+'5.Doanh thu'!AR113</f>
        <v>0</v>
      </c>
      <c r="AR38" s="761">
        <f>+'5.Doanh thu'!AS113</f>
        <v>0</v>
      </c>
      <c r="AS38" s="761">
        <f>+'5.Doanh thu'!AT113</f>
        <v>0</v>
      </c>
      <c r="AT38" s="761">
        <f>+'5.Doanh thu'!AU113</f>
        <v>0</v>
      </c>
      <c r="AU38" s="761">
        <f>+'5.Doanh thu'!AV113</f>
        <v>0</v>
      </c>
      <c r="AV38" s="761">
        <f>+'5.Doanh thu'!AW113</f>
        <v>0</v>
      </c>
      <c r="AW38" s="761">
        <f>+'5.Doanh thu'!AX113</f>
        <v>0</v>
      </c>
      <c r="AX38" s="761">
        <f>+'5.Doanh thu'!AY113</f>
        <v>0</v>
      </c>
      <c r="AY38" s="761">
        <f>+'5.Doanh thu'!AZ113</f>
        <v>0</v>
      </c>
      <c r="AZ38" s="761">
        <f>+'5.Doanh thu'!BA113</f>
        <v>0</v>
      </c>
      <c r="BA38" s="761">
        <f>+'5.Doanh thu'!BB113</f>
        <v>0</v>
      </c>
      <c r="BB38" s="761">
        <f>+'5.Doanh thu'!BC113</f>
        <v>0</v>
      </c>
      <c r="BC38" s="761">
        <f>+'5.Doanh thu'!BD113</f>
        <v>0</v>
      </c>
      <c r="BD38" s="761">
        <f>+'5.Doanh thu'!BE113</f>
        <v>0</v>
      </c>
      <c r="BE38" s="761">
        <f>+'5.Doanh thu'!BF113</f>
        <v>0</v>
      </c>
      <c r="BF38" s="761">
        <f>+'5.Doanh thu'!BG113</f>
        <v>0</v>
      </c>
      <c r="BG38" s="761">
        <f>+'5.Doanh thu'!BH113</f>
        <v>0</v>
      </c>
      <c r="BH38" s="761">
        <f>+'5.Doanh thu'!BI113</f>
        <v>0</v>
      </c>
      <c r="BI38" s="761">
        <f>+'5.Doanh thu'!BJ113</f>
        <v>0</v>
      </c>
      <c r="BJ38" s="761">
        <f>+'5.Doanh thu'!BK113</f>
        <v>0</v>
      </c>
      <c r="BK38" s="761">
        <f>+'5.Doanh thu'!BL113</f>
        <v>0</v>
      </c>
      <c r="BL38" s="761">
        <f>+'5.Doanh thu'!BM113</f>
        <v>0</v>
      </c>
      <c r="BM38" s="761">
        <f>+'5.Doanh thu'!BN113</f>
        <v>0</v>
      </c>
      <c r="BN38" s="761">
        <f>+'5.Doanh thu'!BO113</f>
        <v>0</v>
      </c>
      <c r="BO38" s="761">
        <f>+'5.Doanh thu'!BP113</f>
        <v>0</v>
      </c>
      <c r="BP38" s="761">
        <f>+'5.Doanh thu'!BQ113</f>
        <v>0</v>
      </c>
      <c r="BQ38" s="761">
        <f>+'5.Doanh thu'!BR113</f>
        <v>0</v>
      </c>
      <c r="BR38" s="761">
        <f>+'5.Doanh thu'!BS113</f>
        <v>0</v>
      </c>
      <c r="BS38" s="761">
        <f>+'5.Doanh thu'!BT113</f>
        <v>0</v>
      </c>
      <c r="BT38" s="761">
        <f>+'5.Doanh thu'!BU113</f>
        <v>0</v>
      </c>
      <c r="BU38" s="761">
        <f>+'5.Doanh thu'!BV113</f>
        <v>0</v>
      </c>
      <c r="BV38" s="761">
        <f>+'5.Doanh thu'!BW113</f>
        <v>0</v>
      </c>
      <c r="BW38" s="761">
        <f>+'5.Doanh thu'!BX113</f>
        <v>0</v>
      </c>
      <c r="BX38" s="761">
        <f>+'5.Doanh thu'!BY113</f>
        <v>0</v>
      </c>
      <c r="BY38" s="761">
        <f>+'5.Doanh thu'!BZ113</f>
        <v>0</v>
      </c>
      <c r="BZ38" s="761">
        <f>+'5.Doanh thu'!CA113</f>
        <v>0</v>
      </c>
      <c r="CA38" s="761">
        <f>+'5.Doanh thu'!CB113</f>
        <v>0</v>
      </c>
      <c r="CB38" s="761">
        <f>+'5.Doanh thu'!CC113</f>
        <v>0</v>
      </c>
      <c r="CC38" s="761">
        <f>+'5.Doanh thu'!CD113</f>
        <v>0</v>
      </c>
      <c r="CD38" s="761">
        <f>+'5.Doanh thu'!CE113</f>
        <v>0</v>
      </c>
      <c r="CE38" s="761">
        <f>+'5.Doanh thu'!CF113</f>
        <v>0</v>
      </c>
      <c r="CF38" s="761">
        <f>+'5.Doanh thu'!CG113</f>
        <v>0</v>
      </c>
      <c r="CG38" s="761">
        <f>+'5.Doanh thu'!CH113</f>
        <v>0</v>
      </c>
      <c r="CH38" s="761">
        <f>+'5.Doanh thu'!CI113</f>
        <v>0</v>
      </c>
      <c r="CI38" s="836">
        <f>+'5.Doanh thu'!CJ113</f>
        <v>0</v>
      </c>
    </row>
    <row r="39" spans="2:87" s="760" customFormat="1">
      <c r="B39" s="579"/>
      <c r="C39" s="813" t="str">
        <f>+'5.Doanh thu'!C95</f>
        <v>Nhà phố liên kế</v>
      </c>
      <c r="D39" s="792">
        <f>SUM(F39:XFD39)</f>
        <v>575132.69421253935</v>
      </c>
      <c r="E39" s="793"/>
      <c r="F39" s="579"/>
      <c r="G39" s="579">
        <f>+'5.Doanh thu'!H99</f>
        <v>0</v>
      </c>
      <c r="H39" s="579">
        <f>+'5.Doanh thu'!I99</f>
        <v>0</v>
      </c>
      <c r="I39" s="579">
        <f>+'5.Doanh thu'!J99</f>
        <v>0</v>
      </c>
      <c r="J39" s="579">
        <f>+'5.Doanh thu'!K99</f>
        <v>0</v>
      </c>
      <c r="K39" s="579">
        <f>+'5.Doanh thu'!L99</f>
        <v>0</v>
      </c>
      <c r="L39" s="579">
        <f>+'5.Doanh thu'!M99</f>
        <v>0</v>
      </c>
      <c r="M39" s="579">
        <f>+'5.Doanh thu'!N99</f>
        <v>0</v>
      </c>
      <c r="N39" s="579">
        <f>+'5.Doanh thu'!O99</f>
        <v>0</v>
      </c>
      <c r="O39" s="579">
        <f>+'5.Doanh thu'!P99</f>
        <v>0</v>
      </c>
      <c r="P39" s="579">
        <f>+'5.Doanh thu'!Q99</f>
        <v>0</v>
      </c>
      <c r="Q39" s="579">
        <f>+'5.Doanh thu'!R99</f>
        <v>191710.89807084645</v>
      </c>
      <c r="R39" s="579">
        <f>+'5.Doanh thu'!S99</f>
        <v>191710.89807084645</v>
      </c>
      <c r="S39" s="579">
        <f>+'5.Doanh thu'!T99</f>
        <v>191710.89807084645</v>
      </c>
      <c r="T39" s="579">
        <f>+'5.Doanh thu'!U99</f>
        <v>0</v>
      </c>
      <c r="U39" s="579">
        <f>+'5.Doanh thu'!V99</f>
        <v>0</v>
      </c>
      <c r="V39" s="579">
        <f>+'5.Doanh thu'!W99</f>
        <v>0</v>
      </c>
      <c r="W39" s="761">
        <f>+'5.Doanh thu'!X99</f>
        <v>0</v>
      </c>
      <c r="X39" s="761">
        <f>+'5.Doanh thu'!Y99</f>
        <v>0</v>
      </c>
      <c r="Y39" s="761">
        <f>+'5.Doanh thu'!Z99</f>
        <v>0</v>
      </c>
      <c r="Z39" s="761">
        <f>+'5.Doanh thu'!AA99</f>
        <v>0</v>
      </c>
      <c r="AA39" s="761">
        <f>+'5.Doanh thu'!AB99</f>
        <v>0</v>
      </c>
      <c r="AB39" s="761">
        <f>+'5.Doanh thu'!AC99</f>
        <v>0</v>
      </c>
      <c r="AC39" s="761">
        <f>+'5.Doanh thu'!AD99</f>
        <v>0</v>
      </c>
      <c r="AD39" s="761">
        <f>+'5.Doanh thu'!AE99</f>
        <v>0</v>
      </c>
      <c r="AE39" s="761">
        <f>+'5.Doanh thu'!AF99</f>
        <v>0</v>
      </c>
      <c r="AF39" s="761">
        <f>+'5.Doanh thu'!AG99</f>
        <v>0</v>
      </c>
      <c r="AG39" s="761">
        <f>+'5.Doanh thu'!AH99</f>
        <v>0</v>
      </c>
      <c r="AH39" s="761">
        <f>+'5.Doanh thu'!AI99</f>
        <v>0</v>
      </c>
      <c r="AI39" s="761">
        <f>+'5.Doanh thu'!AJ99</f>
        <v>0</v>
      </c>
      <c r="AJ39" s="761">
        <f>+'5.Doanh thu'!AK99</f>
        <v>0</v>
      </c>
      <c r="AK39" s="761">
        <f>+'5.Doanh thu'!AL99</f>
        <v>0</v>
      </c>
      <c r="AL39" s="761">
        <f>+'5.Doanh thu'!AM99</f>
        <v>0</v>
      </c>
      <c r="AM39" s="761">
        <f>+'5.Doanh thu'!AN99</f>
        <v>0</v>
      </c>
      <c r="AN39" s="761">
        <f>+'5.Doanh thu'!AO99</f>
        <v>0</v>
      </c>
      <c r="AO39" s="761">
        <f>+'5.Doanh thu'!AP99</f>
        <v>0</v>
      </c>
      <c r="AP39" s="761">
        <f>+'5.Doanh thu'!AQ99</f>
        <v>0</v>
      </c>
      <c r="AQ39" s="761">
        <f>+'5.Doanh thu'!AR99</f>
        <v>0</v>
      </c>
      <c r="AR39" s="761">
        <f>+'5.Doanh thu'!AS99</f>
        <v>0</v>
      </c>
      <c r="AS39" s="761">
        <f>+'5.Doanh thu'!AT99</f>
        <v>0</v>
      </c>
      <c r="AT39" s="761">
        <f>+'5.Doanh thu'!AU99</f>
        <v>0</v>
      </c>
      <c r="AU39" s="761">
        <f>+'5.Doanh thu'!AV99</f>
        <v>0</v>
      </c>
      <c r="AV39" s="761">
        <f>+'5.Doanh thu'!AW99</f>
        <v>0</v>
      </c>
      <c r="AW39" s="761">
        <f>+'5.Doanh thu'!AX99</f>
        <v>0</v>
      </c>
      <c r="AX39" s="761">
        <f>+'5.Doanh thu'!AY99</f>
        <v>0</v>
      </c>
      <c r="AY39" s="761">
        <f>+'5.Doanh thu'!AZ99</f>
        <v>0</v>
      </c>
      <c r="AZ39" s="761">
        <f>+'5.Doanh thu'!BA99</f>
        <v>0</v>
      </c>
      <c r="BA39" s="761">
        <f>+'5.Doanh thu'!BB99</f>
        <v>0</v>
      </c>
      <c r="BB39" s="761">
        <f>+'5.Doanh thu'!BC99</f>
        <v>0</v>
      </c>
      <c r="BC39" s="761">
        <f>+'5.Doanh thu'!BD99</f>
        <v>0</v>
      </c>
      <c r="BD39" s="761">
        <f>+'5.Doanh thu'!BE99</f>
        <v>0</v>
      </c>
      <c r="BE39" s="761">
        <f>+'5.Doanh thu'!BF99</f>
        <v>0</v>
      </c>
      <c r="BF39" s="761">
        <f>+'5.Doanh thu'!BG99</f>
        <v>0</v>
      </c>
      <c r="BG39" s="761">
        <f>+'5.Doanh thu'!BH99</f>
        <v>0</v>
      </c>
      <c r="BH39" s="761">
        <f>+'5.Doanh thu'!BI99</f>
        <v>0</v>
      </c>
      <c r="BI39" s="761">
        <f>+'5.Doanh thu'!BJ99</f>
        <v>0</v>
      </c>
      <c r="BJ39" s="761">
        <f>+'5.Doanh thu'!BK99</f>
        <v>0</v>
      </c>
      <c r="BK39" s="761">
        <f>+'5.Doanh thu'!BL99</f>
        <v>0</v>
      </c>
      <c r="BL39" s="761">
        <f>+'5.Doanh thu'!BM99</f>
        <v>0</v>
      </c>
      <c r="BM39" s="761">
        <f>+'5.Doanh thu'!BN99</f>
        <v>0</v>
      </c>
      <c r="BN39" s="761">
        <f>+'5.Doanh thu'!BO99</f>
        <v>0</v>
      </c>
      <c r="BO39" s="761">
        <f>+'5.Doanh thu'!BP99</f>
        <v>0</v>
      </c>
      <c r="BP39" s="761">
        <f>+'5.Doanh thu'!BQ99</f>
        <v>0</v>
      </c>
      <c r="BQ39" s="761">
        <f>+'5.Doanh thu'!BR99</f>
        <v>0</v>
      </c>
      <c r="BR39" s="761">
        <f>+'5.Doanh thu'!BS99</f>
        <v>0</v>
      </c>
      <c r="BS39" s="761">
        <f>+'5.Doanh thu'!BT99</f>
        <v>0</v>
      </c>
      <c r="BT39" s="761">
        <f>+'5.Doanh thu'!BU99</f>
        <v>0</v>
      </c>
      <c r="BU39" s="761">
        <f>+'5.Doanh thu'!BV99</f>
        <v>0</v>
      </c>
      <c r="BV39" s="761">
        <f>+'5.Doanh thu'!BW99</f>
        <v>0</v>
      </c>
      <c r="BW39" s="761">
        <f>+'5.Doanh thu'!BX99</f>
        <v>0</v>
      </c>
      <c r="BX39" s="761">
        <f>+'5.Doanh thu'!BY99</f>
        <v>0</v>
      </c>
      <c r="BY39" s="761">
        <f>+'5.Doanh thu'!BZ99</f>
        <v>0</v>
      </c>
      <c r="BZ39" s="761">
        <f>+'5.Doanh thu'!CA99</f>
        <v>0</v>
      </c>
      <c r="CA39" s="761">
        <f>+'5.Doanh thu'!CB99</f>
        <v>0</v>
      </c>
      <c r="CB39" s="761">
        <f>+'5.Doanh thu'!CC99</f>
        <v>0</v>
      </c>
      <c r="CC39" s="761">
        <f>+'5.Doanh thu'!CD99</f>
        <v>0</v>
      </c>
      <c r="CD39" s="761">
        <f>+'5.Doanh thu'!CE99</f>
        <v>0</v>
      </c>
      <c r="CE39" s="761">
        <f>+'5.Doanh thu'!CF99</f>
        <v>0</v>
      </c>
      <c r="CF39" s="761">
        <f>+'5.Doanh thu'!CG99</f>
        <v>0</v>
      </c>
      <c r="CG39" s="761">
        <f>+'5.Doanh thu'!CH99</f>
        <v>0</v>
      </c>
      <c r="CH39" s="761">
        <f>+'5.Doanh thu'!CI99</f>
        <v>0</v>
      </c>
      <c r="CI39" s="836">
        <f>+'5.Doanh thu'!CJ99</f>
        <v>0</v>
      </c>
    </row>
    <row r="40" spans="2:87" ht="18" thickBot="1">
      <c r="C40" s="853" t="s">
        <v>53</v>
      </c>
      <c r="D40" s="837">
        <f>SUM(D33:D39)</f>
        <v>5230427.2563588815</v>
      </c>
      <c r="E40" s="838">
        <f>D40-'5.Doanh thu'!G116</f>
        <v>0</v>
      </c>
      <c r="F40" s="839"/>
      <c r="G40" s="840">
        <f>SUM(G33:G39)</f>
        <v>0</v>
      </c>
      <c r="H40" s="840">
        <f t="shared" ref="H40:BS40" si="34">SUM(H33:H39)</f>
        <v>0</v>
      </c>
      <c r="I40" s="840">
        <f t="shared" si="34"/>
        <v>0</v>
      </c>
      <c r="J40" s="840">
        <f t="shared" si="34"/>
        <v>0</v>
      </c>
      <c r="K40" s="840">
        <f t="shared" si="34"/>
        <v>0</v>
      </c>
      <c r="L40" s="840">
        <f t="shared" si="34"/>
        <v>0</v>
      </c>
      <c r="M40" s="840">
        <f t="shared" si="34"/>
        <v>0</v>
      </c>
      <c r="N40" s="840">
        <f t="shared" si="34"/>
        <v>0</v>
      </c>
      <c r="O40" s="840">
        <f t="shared" si="34"/>
        <v>0</v>
      </c>
      <c r="P40" s="840">
        <f t="shared" si="34"/>
        <v>1689597.6074001242</v>
      </c>
      <c r="Q40" s="840">
        <f t="shared" si="34"/>
        <v>1891610.9299063382</v>
      </c>
      <c r="R40" s="840">
        <f t="shared" si="34"/>
        <v>641926.8458963678</v>
      </c>
      <c r="S40" s="840">
        <f t="shared" si="34"/>
        <v>478032.13045409659</v>
      </c>
      <c r="T40" s="840">
        <f t="shared" si="34"/>
        <v>261835.92899505436</v>
      </c>
      <c r="U40" s="840">
        <f t="shared" si="34"/>
        <v>236715.2467567503</v>
      </c>
      <c r="V40" s="840">
        <f t="shared" si="34"/>
        <v>0</v>
      </c>
      <c r="W40" s="841">
        <f t="shared" si="34"/>
        <v>30708.566950149303</v>
      </c>
      <c r="X40" s="841">
        <f t="shared" si="34"/>
        <v>0</v>
      </c>
      <c r="Y40" s="841">
        <f t="shared" si="34"/>
        <v>0</v>
      </c>
      <c r="Z40" s="841">
        <f t="shared" si="34"/>
        <v>0</v>
      </c>
      <c r="AA40" s="841">
        <f t="shared" si="34"/>
        <v>0</v>
      </c>
      <c r="AB40" s="841">
        <f t="shared" si="34"/>
        <v>0</v>
      </c>
      <c r="AC40" s="841">
        <f t="shared" si="34"/>
        <v>0</v>
      </c>
      <c r="AD40" s="841">
        <f t="shared" si="34"/>
        <v>0</v>
      </c>
      <c r="AE40" s="841">
        <f t="shared" si="34"/>
        <v>0</v>
      </c>
      <c r="AF40" s="841">
        <f t="shared" si="34"/>
        <v>0</v>
      </c>
      <c r="AG40" s="841">
        <f t="shared" si="34"/>
        <v>0</v>
      </c>
      <c r="AH40" s="841">
        <f t="shared" si="34"/>
        <v>0</v>
      </c>
      <c r="AI40" s="841">
        <f t="shared" si="34"/>
        <v>0</v>
      </c>
      <c r="AJ40" s="841">
        <f t="shared" si="34"/>
        <v>0</v>
      </c>
      <c r="AK40" s="841">
        <f t="shared" si="34"/>
        <v>0</v>
      </c>
      <c r="AL40" s="841">
        <f t="shared" si="34"/>
        <v>0</v>
      </c>
      <c r="AM40" s="841">
        <f t="shared" si="34"/>
        <v>0</v>
      </c>
      <c r="AN40" s="841">
        <f t="shared" si="34"/>
        <v>0</v>
      </c>
      <c r="AO40" s="841">
        <f t="shared" si="34"/>
        <v>0</v>
      </c>
      <c r="AP40" s="841">
        <f t="shared" si="34"/>
        <v>0</v>
      </c>
      <c r="AQ40" s="841">
        <f t="shared" si="34"/>
        <v>0</v>
      </c>
      <c r="AR40" s="841">
        <f t="shared" si="34"/>
        <v>0</v>
      </c>
      <c r="AS40" s="841">
        <f t="shared" si="34"/>
        <v>0</v>
      </c>
      <c r="AT40" s="841">
        <f t="shared" si="34"/>
        <v>0</v>
      </c>
      <c r="AU40" s="841">
        <f t="shared" si="34"/>
        <v>0</v>
      </c>
      <c r="AV40" s="841">
        <f t="shared" si="34"/>
        <v>0</v>
      </c>
      <c r="AW40" s="841">
        <f t="shared" si="34"/>
        <v>0</v>
      </c>
      <c r="AX40" s="841">
        <f t="shared" si="34"/>
        <v>0</v>
      </c>
      <c r="AY40" s="841">
        <f t="shared" si="34"/>
        <v>0</v>
      </c>
      <c r="AZ40" s="841">
        <f t="shared" si="34"/>
        <v>0</v>
      </c>
      <c r="BA40" s="841">
        <f t="shared" si="34"/>
        <v>0</v>
      </c>
      <c r="BB40" s="841">
        <f t="shared" si="34"/>
        <v>0</v>
      </c>
      <c r="BC40" s="841">
        <f t="shared" si="34"/>
        <v>0</v>
      </c>
      <c r="BD40" s="841">
        <f t="shared" si="34"/>
        <v>0</v>
      </c>
      <c r="BE40" s="841">
        <f t="shared" si="34"/>
        <v>0</v>
      </c>
      <c r="BF40" s="841">
        <f t="shared" si="34"/>
        <v>0</v>
      </c>
      <c r="BG40" s="841">
        <f t="shared" si="34"/>
        <v>0</v>
      </c>
      <c r="BH40" s="841">
        <f t="shared" si="34"/>
        <v>0</v>
      </c>
      <c r="BI40" s="841">
        <f t="shared" si="34"/>
        <v>0</v>
      </c>
      <c r="BJ40" s="841">
        <f t="shared" si="34"/>
        <v>0</v>
      </c>
      <c r="BK40" s="841">
        <f t="shared" si="34"/>
        <v>0</v>
      </c>
      <c r="BL40" s="841">
        <f t="shared" si="34"/>
        <v>0</v>
      </c>
      <c r="BM40" s="841">
        <f t="shared" si="34"/>
        <v>0</v>
      </c>
      <c r="BN40" s="841">
        <f t="shared" si="34"/>
        <v>0</v>
      </c>
      <c r="BO40" s="841">
        <f t="shared" si="34"/>
        <v>0</v>
      </c>
      <c r="BP40" s="841">
        <f t="shared" si="34"/>
        <v>0</v>
      </c>
      <c r="BQ40" s="841">
        <f t="shared" si="34"/>
        <v>0</v>
      </c>
      <c r="BR40" s="841">
        <f t="shared" si="34"/>
        <v>0</v>
      </c>
      <c r="BS40" s="841">
        <f t="shared" si="34"/>
        <v>0</v>
      </c>
      <c r="BT40" s="841">
        <f t="shared" ref="BT40:CI40" si="35">SUM(BT33:BT39)</f>
        <v>0</v>
      </c>
      <c r="BU40" s="841">
        <f t="shared" si="35"/>
        <v>0</v>
      </c>
      <c r="BV40" s="841">
        <f t="shared" si="35"/>
        <v>0</v>
      </c>
      <c r="BW40" s="841">
        <f t="shared" si="35"/>
        <v>0</v>
      </c>
      <c r="BX40" s="841">
        <f t="shared" si="35"/>
        <v>0</v>
      </c>
      <c r="BY40" s="841">
        <f t="shared" si="35"/>
        <v>0</v>
      </c>
      <c r="BZ40" s="841">
        <f t="shared" si="35"/>
        <v>0</v>
      </c>
      <c r="CA40" s="841">
        <f t="shared" si="35"/>
        <v>0</v>
      </c>
      <c r="CB40" s="841">
        <f t="shared" si="35"/>
        <v>0</v>
      </c>
      <c r="CC40" s="841">
        <f t="shared" si="35"/>
        <v>0</v>
      </c>
      <c r="CD40" s="841">
        <f t="shared" si="35"/>
        <v>0</v>
      </c>
      <c r="CE40" s="841">
        <f t="shared" si="35"/>
        <v>0</v>
      </c>
      <c r="CF40" s="841">
        <f t="shared" si="35"/>
        <v>0</v>
      </c>
      <c r="CG40" s="841">
        <f t="shared" si="35"/>
        <v>0</v>
      </c>
      <c r="CH40" s="841">
        <f t="shared" si="35"/>
        <v>0</v>
      </c>
      <c r="CI40" s="842">
        <f t="shared" si="35"/>
        <v>0</v>
      </c>
    </row>
    <row r="41" spans="2:87">
      <c r="D41" s="795"/>
      <c r="E41" s="794"/>
      <c r="F41" s="495"/>
    </row>
    <row r="42" spans="2:87" ht="18" thickBot="1">
      <c r="C42" s="503" t="s">
        <v>36</v>
      </c>
    </row>
    <row r="43" spans="2:87" s="760" customFormat="1">
      <c r="B43" s="579"/>
      <c r="C43" s="810" t="str">
        <f t="shared" ref="C43:C48" si="36">C33</f>
        <v>Căn hộ khối tháp</v>
      </c>
      <c r="D43" s="831">
        <f>SUM(F43:XFD43)</f>
        <v>4199620.7693177816</v>
      </c>
      <c r="E43" s="832"/>
      <c r="F43" s="833"/>
      <c r="G43" s="833">
        <f>+'5.Doanh thu'!H15</f>
        <v>0</v>
      </c>
      <c r="H43" s="833">
        <f>+'5.Doanh thu'!I15</f>
        <v>0</v>
      </c>
      <c r="I43" s="833">
        <f>+'5.Doanh thu'!J15</f>
        <v>0</v>
      </c>
      <c r="J43" s="833">
        <f>+'5.Doanh thu'!K15</f>
        <v>0</v>
      </c>
      <c r="K43" s="833">
        <f>+'5.Doanh thu'!L15</f>
        <v>0</v>
      </c>
      <c r="L43" s="833">
        <f>+'5.Doanh thu'!M15</f>
        <v>0</v>
      </c>
      <c r="M43" s="833">
        <f>+'5.Doanh thu'!N15</f>
        <v>0</v>
      </c>
      <c r="N43" s="833">
        <f>+'5.Doanh thu'!O15</f>
        <v>0</v>
      </c>
      <c r="O43" s="833">
        <f>+'5.Doanh thu'!P15</f>
        <v>0</v>
      </c>
      <c r="P43" s="833">
        <f>+'5.Doanh thu'!Q15</f>
        <v>472817.71590488468</v>
      </c>
      <c r="Q43" s="833">
        <f>+'5.Doanh thu'!R15</f>
        <v>475700.75075796357</v>
      </c>
      <c r="R43" s="833">
        <f>+'5.Doanh thu'!S15</f>
        <v>125988.62307953343</v>
      </c>
      <c r="S43" s="833">
        <f>+'5.Doanh thu'!T15</f>
        <v>442161.44530048297</v>
      </c>
      <c r="T43" s="833">
        <f>+'5.Doanh thu'!U15</f>
        <v>484157.65299366077</v>
      </c>
      <c r="U43" s="833">
        <f>+'5.Doanh thu'!V15</f>
        <v>518946.27355414332</v>
      </c>
      <c r="V43" s="833">
        <f>+'5.Doanh thu'!W15</f>
        <v>419962.07693177817</v>
      </c>
      <c r="W43" s="834">
        <f>+'5.Doanh thu'!X15</f>
        <v>1049905.1923294454</v>
      </c>
      <c r="X43" s="834">
        <f>+'5.Doanh thu'!Y15</f>
        <v>0</v>
      </c>
      <c r="Y43" s="834">
        <f>+'5.Doanh thu'!Z15</f>
        <v>0</v>
      </c>
      <c r="Z43" s="834">
        <f>+'5.Doanh thu'!AA15</f>
        <v>209981.03846588908</v>
      </c>
      <c r="AA43" s="834">
        <f>+'5.Doanh thu'!AB15</f>
        <v>0</v>
      </c>
      <c r="AB43" s="834">
        <f>+'5.Doanh thu'!AC15</f>
        <v>0</v>
      </c>
      <c r="AC43" s="834">
        <f>+'5.Doanh thu'!AD15</f>
        <v>0</v>
      </c>
      <c r="AD43" s="834">
        <f>+'5.Doanh thu'!AE15</f>
        <v>0</v>
      </c>
      <c r="AE43" s="834">
        <f>+'5.Doanh thu'!AF15</f>
        <v>0</v>
      </c>
      <c r="AF43" s="834">
        <f>+'5.Doanh thu'!AG15</f>
        <v>0</v>
      </c>
      <c r="AG43" s="834">
        <f>+'5.Doanh thu'!AH15</f>
        <v>0</v>
      </c>
      <c r="AH43" s="834">
        <f>+'5.Doanh thu'!AI15</f>
        <v>0</v>
      </c>
      <c r="AI43" s="834">
        <f>+'5.Doanh thu'!AJ15</f>
        <v>0</v>
      </c>
      <c r="AJ43" s="834">
        <f>+'5.Doanh thu'!AK15</f>
        <v>0</v>
      </c>
      <c r="AK43" s="834">
        <f>+'5.Doanh thu'!AL15</f>
        <v>0</v>
      </c>
      <c r="AL43" s="834">
        <f>+'5.Doanh thu'!AM15</f>
        <v>0</v>
      </c>
      <c r="AM43" s="834">
        <f>+'5.Doanh thu'!AN15</f>
        <v>0</v>
      </c>
      <c r="AN43" s="834">
        <f>+'5.Doanh thu'!AO15</f>
        <v>0</v>
      </c>
      <c r="AO43" s="834">
        <f>+'5.Doanh thu'!AP15</f>
        <v>0</v>
      </c>
      <c r="AP43" s="834">
        <f>+'5.Doanh thu'!AQ15</f>
        <v>0</v>
      </c>
      <c r="AQ43" s="834">
        <f>+'5.Doanh thu'!AR15</f>
        <v>0</v>
      </c>
      <c r="AR43" s="834">
        <f>+'5.Doanh thu'!AS15</f>
        <v>0</v>
      </c>
      <c r="AS43" s="834">
        <f>+'5.Doanh thu'!AT15</f>
        <v>0</v>
      </c>
      <c r="AT43" s="834">
        <f>+'5.Doanh thu'!AU15</f>
        <v>0</v>
      </c>
      <c r="AU43" s="834">
        <f>+'5.Doanh thu'!AV15</f>
        <v>0</v>
      </c>
      <c r="AV43" s="834">
        <f>+'5.Doanh thu'!AW15</f>
        <v>0</v>
      </c>
      <c r="AW43" s="834">
        <f>+'5.Doanh thu'!AX15</f>
        <v>0</v>
      </c>
      <c r="AX43" s="834">
        <f>+'5.Doanh thu'!AY15</f>
        <v>0</v>
      </c>
      <c r="AY43" s="834">
        <f>+'5.Doanh thu'!AZ15</f>
        <v>0</v>
      </c>
      <c r="AZ43" s="834">
        <f>+'5.Doanh thu'!BA15</f>
        <v>0</v>
      </c>
      <c r="BA43" s="834">
        <f>+'5.Doanh thu'!BB15</f>
        <v>0</v>
      </c>
      <c r="BB43" s="834">
        <f>+'5.Doanh thu'!BC15</f>
        <v>0</v>
      </c>
      <c r="BC43" s="834">
        <f>+'5.Doanh thu'!BD15</f>
        <v>0</v>
      </c>
      <c r="BD43" s="834">
        <f>+'5.Doanh thu'!BE15</f>
        <v>0</v>
      </c>
      <c r="BE43" s="834">
        <f>+'5.Doanh thu'!BF15</f>
        <v>0</v>
      </c>
      <c r="BF43" s="834">
        <f>+'5.Doanh thu'!BG15</f>
        <v>0</v>
      </c>
      <c r="BG43" s="834">
        <f>+'5.Doanh thu'!BH15</f>
        <v>0</v>
      </c>
      <c r="BH43" s="834">
        <f>+'5.Doanh thu'!BI15</f>
        <v>0</v>
      </c>
      <c r="BI43" s="834">
        <f>+'5.Doanh thu'!BJ15</f>
        <v>0</v>
      </c>
      <c r="BJ43" s="834">
        <f>+'5.Doanh thu'!BK15</f>
        <v>0</v>
      </c>
      <c r="BK43" s="834">
        <f>+'5.Doanh thu'!BL15</f>
        <v>0</v>
      </c>
      <c r="BL43" s="834">
        <f>+'5.Doanh thu'!BM15</f>
        <v>0</v>
      </c>
      <c r="BM43" s="834">
        <f>+'5.Doanh thu'!BN15</f>
        <v>0</v>
      </c>
      <c r="BN43" s="834">
        <f>+'5.Doanh thu'!BO15</f>
        <v>0</v>
      </c>
      <c r="BO43" s="834">
        <f>+'5.Doanh thu'!BP15</f>
        <v>0</v>
      </c>
      <c r="BP43" s="834">
        <f>+'5.Doanh thu'!BQ15</f>
        <v>0</v>
      </c>
      <c r="BQ43" s="834">
        <f>+'5.Doanh thu'!BR15</f>
        <v>0</v>
      </c>
      <c r="BR43" s="834">
        <f>+'5.Doanh thu'!BS15</f>
        <v>0</v>
      </c>
      <c r="BS43" s="834">
        <f>+'5.Doanh thu'!BT15</f>
        <v>0</v>
      </c>
      <c r="BT43" s="834">
        <f>+'5.Doanh thu'!BU15</f>
        <v>0</v>
      </c>
      <c r="BU43" s="834">
        <f>+'5.Doanh thu'!BV15</f>
        <v>0</v>
      </c>
      <c r="BV43" s="834">
        <f>+'5.Doanh thu'!BW15</f>
        <v>0</v>
      </c>
      <c r="BW43" s="834">
        <f>+'5.Doanh thu'!BX15</f>
        <v>0</v>
      </c>
      <c r="BX43" s="834">
        <f>+'5.Doanh thu'!BY15</f>
        <v>0</v>
      </c>
      <c r="BY43" s="834">
        <f>+'5.Doanh thu'!BZ15</f>
        <v>0</v>
      </c>
      <c r="BZ43" s="834">
        <f>+'5.Doanh thu'!CA15</f>
        <v>0</v>
      </c>
      <c r="CA43" s="834">
        <f>+'5.Doanh thu'!CB15</f>
        <v>0</v>
      </c>
      <c r="CB43" s="834">
        <f>+'5.Doanh thu'!CC15</f>
        <v>0</v>
      </c>
      <c r="CC43" s="834">
        <f>+'5.Doanh thu'!CD15</f>
        <v>0</v>
      </c>
      <c r="CD43" s="834">
        <f>+'5.Doanh thu'!CE15</f>
        <v>0</v>
      </c>
      <c r="CE43" s="834">
        <f>+'5.Doanh thu'!CF15</f>
        <v>0</v>
      </c>
      <c r="CF43" s="834">
        <f>+'5.Doanh thu'!CG15</f>
        <v>0</v>
      </c>
      <c r="CG43" s="834">
        <f>+'5.Doanh thu'!CH15</f>
        <v>0</v>
      </c>
      <c r="CH43" s="834">
        <f>+'5.Doanh thu'!CI15</f>
        <v>0</v>
      </c>
      <c r="CI43" s="835">
        <f>+'5.Doanh thu'!CJ15</f>
        <v>0</v>
      </c>
    </row>
    <row r="44" spans="2:87" s="760" customFormat="1">
      <c r="B44" s="579"/>
      <c r="C44" s="813" t="str">
        <f t="shared" si="36"/>
        <v>Căn hộ shop TM</v>
      </c>
      <c r="D44" s="792">
        <f t="shared" ref="D44:D47" si="37">SUM(F44:XFD44)</f>
        <v>122426.51694097898</v>
      </c>
      <c r="E44" s="793"/>
      <c r="F44" s="579"/>
      <c r="G44" s="579">
        <f>+'5.Doanh thu'!H21</f>
        <v>0</v>
      </c>
      <c r="H44" s="579">
        <f>+'5.Doanh thu'!I21</f>
        <v>0</v>
      </c>
      <c r="I44" s="579">
        <f>+'5.Doanh thu'!J21</f>
        <v>0</v>
      </c>
      <c r="J44" s="579">
        <f>+'5.Doanh thu'!K21</f>
        <v>0</v>
      </c>
      <c r="K44" s="579">
        <f>+'5.Doanh thu'!L21</f>
        <v>0</v>
      </c>
      <c r="L44" s="579">
        <f>+'5.Doanh thu'!M21</f>
        <v>0</v>
      </c>
      <c r="M44" s="579">
        <f>+'5.Doanh thu'!N21</f>
        <v>0</v>
      </c>
      <c r="N44" s="579">
        <f>+'5.Doanh thu'!O21</f>
        <v>0</v>
      </c>
      <c r="O44" s="579">
        <f>+'5.Doanh thu'!P21</f>
        <v>0</v>
      </c>
      <c r="P44" s="579">
        <f>+'5.Doanh thu'!Q21</f>
        <v>0</v>
      </c>
      <c r="Q44" s="579">
        <f>+'5.Doanh thu'!R21</f>
        <v>0</v>
      </c>
      <c r="R44" s="579">
        <f>+'5.Doanh thu'!S21</f>
        <v>0</v>
      </c>
      <c r="S44" s="579">
        <f>+'5.Doanh thu'!T21</f>
        <v>24485.303388195793</v>
      </c>
      <c r="T44" s="579">
        <f>+'5.Doanh thu'!U21</f>
        <v>24485.303388195796</v>
      </c>
      <c r="U44" s="579">
        <f>+'5.Doanh thu'!V21</f>
        <v>24485.303388195796</v>
      </c>
      <c r="V44" s="579">
        <f>+'5.Doanh thu'!W21</f>
        <v>12242.651694097898</v>
      </c>
      <c r="W44" s="761">
        <f>+'5.Doanh thu'!X21</f>
        <v>30606.629235244745</v>
      </c>
      <c r="X44" s="761">
        <f>+'5.Doanh thu'!Y21</f>
        <v>0</v>
      </c>
      <c r="Y44" s="761">
        <f>+'5.Doanh thu'!Z21</f>
        <v>0</v>
      </c>
      <c r="Z44" s="761">
        <f>+'5.Doanh thu'!AA21</f>
        <v>6121.3258470489491</v>
      </c>
      <c r="AA44" s="761">
        <f>+'5.Doanh thu'!AB21</f>
        <v>0</v>
      </c>
      <c r="AB44" s="761">
        <f>+'5.Doanh thu'!AC21</f>
        <v>0</v>
      </c>
      <c r="AC44" s="761">
        <f>+'5.Doanh thu'!AD21</f>
        <v>0</v>
      </c>
      <c r="AD44" s="761">
        <f>+'5.Doanh thu'!AE21</f>
        <v>0</v>
      </c>
      <c r="AE44" s="761">
        <f>+'5.Doanh thu'!AF21</f>
        <v>0</v>
      </c>
      <c r="AF44" s="761">
        <f>+'5.Doanh thu'!AG21</f>
        <v>0</v>
      </c>
      <c r="AG44" s="761">
        <f>+'5.Doanh thu'!AH21</f>
        <v>0</v>
      </c>
      <c r="AH44" s="761">
        <f>+'5.Doanh thu'!AI21</f>
        <v>0</v>
      </c>
      <c r="AI44" s="761">
        <f>+'5.Doanh thu'!AJ21</f>
        <v>0</v>
      </c>
      <c r="AJ44" s="761">
        <f>+'5.Doanh thu'!AK21</f>
        <v>0</v>
      </c>
      <c r="AK44" s="761">
        <f>+'5.Doanh thu'!AL21</f>
        <v>0</v>
      </c>
      <c r="AL44" s="761">
        <f>+'5.Doanh thu'!AM21</f>
        <v>0</v>
      </c>
      <c r="AM44" s="761">
        <f>+'5.Doanh thu'!AN21</f>
        <v>0</v>
      </c>
      <c r="AN44" s="761">
        <f>+'5.Doanh thu'!AO21</f>
        <v>0</v>
      </c>
      <c r="AO44" s="761">
        <f>+'5.Doanh thu'!AP21</f>
        <v>0</v>
      </c>
      <c r="AP44" s="761">
        <f>+'5.Doanh thu'!AQ21</f>
        <v>0</v>
      </c>
      <c r="AQ44" s="761">
        <f>+'5.Doanh thu'!AR21</f>
        <v>0</v>
      </c>
      <c r="AR44" s="761">
        <f>+'5.Doanh thu'!AS21</f>
        <v>0</v>
      </c>
      <c r="AS44" s="761">
        <f>+'5.Doanh thu'!AT21</f>
        <v>0</v>
      </c>
      <c r="AT44" s="761">
        <f>+'5.Doanh thu'!AU21</f>
        <v>0</v>
      </c>
      <c r="AU44" s="761">
        <f>+'5.Doanh thu'!AV21</f>
        <v>0</v>
      </c>
      <c r="AV44" s="761">
        <f>+'5.Doanh thu'!AW21</f>
        <v>0</v>
      </c>
      <c r="AW44" s="761">
        <f>+'5.Doanh thu'!AX21</f>
        <v>0</v>
      </c>
      <c r="AX44" s="761">
        <f>+'5.Doanh thu'!AY21</f>
        <v>0</v>
      </c>
      <c r="AY44" s="761">
        <f>+'5.Doanh thu'!AZ21</f>
        <v>0</v>
      </c>
      <c r="AZ44" s="761">
        <f>+'5.Doanh thu'!BA21</f>
        <v>0</v>
      </c>
      <c r="BA44" s="761">
        <f>+'5.Doanh thu'!BB21</f>
        <v>0</v>
      </c>
      <c r="BB44" s="761">
        <f>+'5.Doanh thu'!BC21</f>
        <v>0</v>
      </c>
      <c r="BC44" s="761">
        <f>+'5.Doanh thu'!BD21</f>
        <v>0</v>
      </c>
      <c r="BD44" s="761">
        <f>+'5.Doanh thu'!BE21</f>
        <v>0</v>
      </c>
      <c r="BE44" s="761">
        <f>+'5.Doanh thu'!BF21</f>
        <v>0</v>
      </c>
      <c r="BF44" s="761">
        <f>+'5.Doanh thu'!BG21</f>
        <v>0</v>
      </c>
      <c r="BG44" s="761">
        <f>+'5.Doanh thu'!BH21</f>
        <v>0</v>
      </c>
      <c r="BH44" s="761">
        <f>+'5.Doanh thu'!BI21</f>
        <v>0</v>
      </c>
      <c r="BI44" s="761">
        <f>+'5.Doanh thu'!BJ21</f>
        <v>0</v>
      </c>
      <c r="BJ44" s="761">
        <f>+'5.Doanh thu'!BK21</f>
        <v>0</v>
      </c>
      <c r="BK44" s="761">
        <f>+'5.Doanh thu'!BL21</f>
        <v>0</v>
      </c>
      <c r="BL44" s="761">
        <f>+'5.Doanh thu'!BM21</f>
        <v>0</v>
      </c>
      <c r="BM44" s="761">
        <f>+'5.Doanh thu'!BN21</f>
        <v>0</v>
      </c>
      <c r="BN44" s="761">
        <f>+'5.Doanh thu'!BO21</f>
        <v>0</v>
      </c>
      <c r="BO44" s="761">
        <f>+'5.Doanh thu'!BP21</f>
        <v>0</v>
      </c>
      <c r="BP44" s="761">
        <f>+'5.Doanh thu'!BQ21</f>
        <v>0</v>
      </c>
      <c r="BQ44" s="761">
        <f>+'5.Doanh thu'!BR21</f>
        <v>0</v>
      </c>
      <c r="BR44" s="761">
        <f>+'5.Doanh thu'!BS21</f>
        <v>0</v>
      </c>
      <c r="BS44" s="761">
        <f>+'5.Doanh thu'!BT21</f>
        <v>0</v>
      </c>
      <c r="BT44" s="761">
        <f>+'5.Doanh thu'!BU21</f>
        <v>0</v>
      </c>
      <c r="BU44" s="761">
        <f>+'5.Doanh thu'!BV21</f>
        <v>0</v>
      </c>
      <c r="BV44" s="761">
        <f>+'5.Doanh thu'!BW21</f>
        <v>0</v>
      </c>
      <c r="BW44" s="761">
        <f>+'5.Doanh thu'!BX21</f>
        <v>0</v>
      </c>
      <c r="BX44" s="761">
        <f>+'5.Doanh thu'!BY21</f>
        <v>0</v>
      </c>
      <c r="BY44" s="761">
        <f>+'5.Doanh thu'!BZ21</f>
        <v>0</v>
      </c>
      <c r="BZ44" s="761">
        <f>+'5.Doanh thu'!CA21</f>
        <v>0</v>
      </c>
      <c r="CA44" s="761">
        <f>+'5.Doanh thu'!CB21</f>
        <v>0</v>
      </c>
      <c r="CB44" s="761">
        <f>+'5.Doanh thu'!CC21</f>
        <v>0</v>
      </c>
      <c r="CC44" s="761">
        <f>+'5.Doanh thu'!CD21</f>
        <v>0</v>
      </c>
      <c r="CD44" s="761">
        <f>+'5.Doanh thu'!CE21</f>
        <v>0</v>
      </c>
      <c r="CE44" s="761">
        <f>+'5.Doanh thu'!CF21</f>
        <v>0</v>
      </c>
      <c r="CF44" s="761">
        <f>+'5.Doanh thu'!CG21</f>
        <v>0</v>
      </c>
      <c r="CG44" s="761">
        <f>+'5.Doanh thu'!CH21</f>
        <v>0</v>
      </c>
      <c r="CH44" s="761">
        <f>+'5.Doanh thu'!CI21</f>
        <v>0</v>
      </c>
      <c r="CI44" s="836">
        <f>+'5.Doanh thu'!CJ21</f>
        <v>0</v>
      </c>
    </row>
    <row r="45" spans="2:87" s="760" customFormat="1">
      <c r="B45" s="579"/>
      <c r="C45" s="813" t="str">
        <f t="shared" si="36"/>
        <v>Căn TMDV</v>
      </c>
      <c r="D45" s="792">
        <f t="shared" si="37"/>
        <v>0</v>
      </c>
      <c r="E45" s="793"/>
      <c r="F45" s="579"/>
      <c r="G45" s="579">
        <f>+'5.Doanh thu'!H27</f>
        <v>0</v>
      </c>
      <c r="H45" s="579">
        <f>+'5.Doanh thu'!I27</f>
        <v>0</v>
      </c>
      <c r="I45" s="579">
        <f>+'5.Doanh thu'!J27</f>
        <v>0</v>
      </c>
      <c r="J45" s="579">
        <f>+'5.Doanh thu'!K27</f>
        <v>0</v>
      </c>
      <c r="K45" s="579">
        <f>+'5.Doanh thu'!L27</f>
        <v>0</v>
      </c>
      <c r="L45" s="579">
        <f>+'5.Doanh thu'!M27</f>
        <v>0</v>
      </c>
      <c r="M45" s="579">
        <f>+'5.Doanh thu'!N27</f>
        <v>0</v>
      </c>
      <c r="N45" s="579">
        <f>+'5.Doanh thu'!O27</f>
        <v>0</v>
      </c>
      <c r="O45" s="579">
        <f>+'5.Doanh thu'!P27</f>
        <v>0</v>
      </c>
      <c r="P45" s="579">
        <f>+'5.Doanh thu'!Q27</f>
        <v>0</v>
      </c>
      <c r="Q45" s="579">
        <f>+'5.Doanh thu'!R27</f>
        <v>0</v>
      </c>
      <c r="R45" s="579">
        <f>+'5.Doanh thu'!S27</f>
        <v>0</v>
      </c>
      <c r="S45" s="579">
        <f>+'5.Doanh thu'!T27</f>
        <v>0</v>
      </c>
      <c r="T45" s="579">
        <f>+'5.Doanh thu'!U27</f>
        <v>0</v>
      </c>
      <c r="U45" s="579">
        <f>+'5.Doanh thu'!V27</f>
        <v>0</v>
      </c>
      <c r="V45" s="579">
        <f>+'5.Doanh thu'!W27</f>
        <v>0</v>
      </c>
      <c r="W45" s="761">
        <f>+'5.Doanh thu'!X27</f>
        <v>0</v>
      </c>
      <c r="X45" s="761">
        <f>+'5.Doanh thu'!Y27</f>
        <v>0</v>
      </c>
      <c r="Y45" s="761">
        <f>+'5.Doanh thu'!Z27</f>
        <v>0</v>
      </c>
      <c r="Z45" s="761">
        <f>+'5.Doanh thu'!AA27</f>
        <v>0</v>
      </c>
      <c r="AA45" s="761">
        <f>+'5.Doanh thu'!AB27</f>
        <v>0</v>
      </c>
      <c r="AB45" s="761">
        <f>+'5.Doanh thu'!AC27</f>
        <v>0</v>
      </c>
      <c r="AC45" s="761">
        <f>+'5.Doanh thu'!AD27</f>
        <v>0</v>
      </c>
      <c r="AD45" s="761">
        <f>+'5.Doanh thu'!AE27</f>
        <v>0</v>
      </c>
      <c r="AE45" s="761">
        <f>+'5.Doanh thu'!AF27</f>
        <v>0</v>
      </c>
      <c r="AF45" s="761">
        <f>+'5.Doanh thu'!AG27</f>
        <v>0</v>
      </c>
      <c r="AG45" s="761">
        <f>+'5.Doanh thu'!AH27</f>
        <v>0</v>
      </c>
      <c r="AH45" s="761">
        <f>+'5.Doanh thu'!AI27</f>
        <v>0</v>
      </c>
      <c r="AI45" s="761">
        <f>+'5.Doanh thu'!AJ27</f>
        <v>0</v>
      </c>
      <c r="AJ45" s="761">
        <f>+'5.Doanh thu'!AK27</f>
        <v>0</v>
      </c>
      <c r="AK45" s="761">
        <f>+'5.Doanh thu'!AL27</f>
        <v>0</v>
      </c>
      <c r="AL45" s="761">
        <f>+'5.Doanh thu'!AM27</f>
        <v>0</v>
      </c>
      <c r="AM45" s="761">
        <f>+'5.Doanh thu'!AN27</f>
        <v>0</v>
      </c>
      <c r="AN45" s="761">
        <f>+'5.Doanh thu'!AO27</f>
        <v>0</v>
      </c>
      <c r="AO45" s="761">
        <f>+'5.Doanh thu'!AP27</f>
        <v>0</v>
      </c>
      <c r="AP45" s="761">
        <f>+'5.Doanh thu'!AQ27</f>
        <v>0</v>
      </c>
      <c r="AQ45" s="761">
        <f>+'5.Doanh thu'!AR27</f>
        <v>0</v>
      </c>
      <c r="AR45" s="761">
        <f>+'5.Doanh thu'!AS27</f>
        <v>0</v>
      </c>
      <c r="AS45" s="761">
        <f>+'5.Doanh thu'!AT27</f>
        <v>0</v>
      </c>
      <c r="AT45" s="761">
        <f>+'5.Doanh thu'!AU27</f>
        <v>0</v>
      </c>
      <c r="AU45" s="761">
        <f>+'5.Doanh thu'!AV27</f>
        <v>0</v>
      </c>
      <c r="AV45" s="761">
        <f>+'5.Doanh thu'!AW27</f>
        <v>0</v>
      </c>
      <c r="AW45" s="761">
        <f>+'5.Doanh thu'!AX27</f>
        <v>0</v>
      </c>
      <c r="AX45" s="761">
        <f>+'5.Doanh thu'!AY27</f>
        <v>0</v>
      </c>
      <c r="AY45" s="761">
        <f>+'5.Doanh thu'!AZ27</f>
        <v>0</v>
      </c>
      <c r="AZ45" s="761">
        <f>+'5.Doanh thu'!BA27</f>
        <v>0</v>
      </c>
      <c r="BA45" s="761">
        <f>+'5.Doanh thu'!BB27</f>
        <v>0</v>
      </c>
      <c r="BB45" s="761">
        <f>+'5.Doanh thu'!BC27</f>
        <v>0</v>
      </c>
      <c r="BC45" s="761">
        <f>+'5.Doanh thu'!BD27</f>
        <v>0</v>
      </c>
      <c r="BD45" s="761">
        <f>+'5.Doanh thu'!BE27</f>
        <v>0</v>
      </c>
      <c r="BE45" s="761">
        <f>+'5.Doanh thu'!BF27</f>
        <v>0</v>
      </c>
      <c r="BF45" s="761">
        <f>+'5.Doanh thu'!BG27</f>
        <v>0</v>
      </c>
      <c r="BG45" s="761">
        <f>+'5.Doanh thu'!BH27</f>
        <v>0</v>
      </c>
      <c r="BH45" s="761">
        <f>+'5.Doanh thu'!BI27</f>
        <v>0</v>
      </c>
      <c r="BI45" s="761">
        <f>+'5.Doanh thu'!BJ27</f>
        <v>0</v>
      </c>
      <c r="BJ45" s="761">
        <f>+'5.Doanh thu'!BK27</f>
        <v>0</v>
      </c>
      <c r="BK45" s="761">
        <f>+'5.Doanh thu'!BL27</f>
        <v>0</v>
      </c>
      <c r="BL45" s="761">
        <f>+'5.Doanh thu'!BM27</f>
        <v>0</v>
      </c>
      <c r="BM45" s="761">
        <f>+'5.Doanh thu'!BN27</f>
        <v>0</v>
      </c>
      <c r="BN45" s="761">
        <f>+'5.Doanh thu'!BO27</f>
        <v>0</v>
      </c>
      <c r="BO45" s="761">
        <f>+'5.Doanh thu'!BP27</f>
        <v>0</v>
      </c>
      <c r="BP45" s="761">
        <f>+'5.Doanh thu'!BQ27</f>
        <v>0</v>
      </c>
      <c r="BQ45" s="761">
        <f>+'5.Doanh thu'!BR27</f>
        <v>0</v>
      </c>
      <c r="BR45" s="761">
        <f>+'5.Doanh thu'!BS27</f>
        <v>0</v>
      </c>
      <c r="BS45" s="761">
        <f>+'5.Doanh thu'!BT27</f>
        <v>0</v>
      </c>
      <c r="BT45" s="761">
        <f>+'5.Doanh thu'!BU27</f>
        <v>0</v>
      </c>
      <c r="BU45" s="761">
        <f>+'5.Doanh thu'!BV27</f>
        <v>0</v>
      </c>
      <c r="BV45" s="761">
        <f>+'5.Doanh thu'!BW27</f>
        <v>0</v>
      </c>
      <c r="BW45" s="761">
        <f>+'5.Doanh thu'!BX27</f>
        <v>0</v>
      </c>
      <c r="BX45" s="761">
        <f>+'5.Doanh thu'!BY27</f>
        <v>0</v>
      </c>
      <c r="BY45" s="761">
        <f>+'5.Doanh thu'!BZ27</f>
        <v>0</v>
      </c>
      <c r="BZ45" s="761">
        <f>+'5.Doanh thu'!CA27</f>
        <v>0</v>
      </c>
      <c r="CA45" s="761">
        <f>+'5.Doanh thu'!CB27</f>
        <v>0</v>
      </c>
      <c r="CB45" s="761">
        <f>+'5.Doanh thu'!CC27</f>
        <v>0</v>
      </c>
      <c r="CC45" s="761">
        <f>+'5.Doanh thu'!CD27</f>
        <v>0</v>
      </c>
      <c r="CD45" s="761">
        <f>+'5.Doanh thu'!CE27</f>
        <v>0</v>
      </c>
      <c r="CE45" s="761">
        <f>+'5.Doanh thu'!CF27</f>
        <v>0</v>
      </c>
      <c r="CF45" s="761">
        <f>+'5.Doanh thu'!CG27</f>
        <v>0</v>
      </c>
      <c r="CG45" s="761">
        <f>+'5.Doanh thu'!CH27</f>
        <v>0</v>
      </c>
      <c r="CH45" s="761">
        <f>+'5.Doanh thu'!CI27</f>
        <v>0</v>
      </c>
      <c r="CI45" s="836">
        <f>+'5.Doanh thu'!CJ27</f>
        <v>0</v>
      </c>
    </row>
    <row r="46" spans="2:87" s="760" customFormat="1">
      <c r="B46" s="579"/>
      <c r="C46" s="813" t="str">
        <f t="shared" si="36"/>
        <v>Căn officetel</v>
      </c>
      <c r="D46" s="792">
        <f t="shared" si="37"/>
        <v>302538.70893743238</v>
      </c>
      <c r="E46" s="793"/>
      <c r="F46" s="579"/>
      <c r="G46" s="579">
        <f>+'5.Doanh thu'!H33</f>
        <v>0</v>
      </c>
      <c r="H46" s="579">
        <f>+'5.Doanh thu'!I33</f>
        <v>0</v>
      </c>
      <c r="I46" s="579">
        <f>+'5.Doanh thu'!J33</f>
        <v>0</v>
      </c>
      <c r="J46" s="579">
        <f>+'5.Doanh thu'!K33</f>
        <v>0</v>
      </c>
      <c r="K46" s="579">
        <f>+'5.Doanh thu'!L33</f>
        <v>0</v>
      </c>
      <c r="L46" s="579">
        <f>+'5.Doanh thu'!M33</f>
        <v>0</v>
      </c>
      <c r="M46" s="579">
        <f>+'5.Doanh thu'!N33</f>
        <v>0</v>
      </c>
      <c r="N46" s="579">
        <f>+'5.Doanh thu'!O33</f>
        <v>0</v>
      </c>
      <c r="O46" s="579">
        <f>+'5.Doanh thu'!P33</f>
        <v>0</v>
      </c>
      <c r="P46" s="579">
        <f>+'5.Doanh thu'!Q33</f>
        <v>34061.56631515253</v>
      </c>
      <c r="Q46" s="579">
        <f>+'5.Doanh thu'!R33</f>
        <v>34269.25879268397</v>
      </c>
      <c r="R46" s="579">
        <f>+'5.Doanh thu'!S33</f>
        <v>9076.1612681229726</v>
      </c>
      <c r="S46" s="579">
        <f>+'5.Doanh thu'!T33</f>
        <v>31853.102970735144</v>
      </c>
      <c r="T46" s="579">
        <f>+'5.Doanh thu'!U33</f>
        <v>34878.490060109471</v>
      </c>
      <c r="U46" s="579">
        <f>+'5.Doanh thu'!V33</f>
        <v>37384.645955655331</v>
      </c>
      <c r="V46" s="579">
        <f>+'5.Doanh thu'!W33</f>
        <v>30253.870893743238</v>
      </c>
      <c r="W46" s="761">
        <f>+'5.Doanh thu'!X33</f>
        <v>75634.677234358096</v>
      </c>
      <c r="X46" s="761">
        <f>+'5.Doanh thu'!Y33</f>
        <v>0</v>
      </c>
      <c r="Y46" s="761">
        <f>+'5.Doanh thu'!Z33</f>
        <v>0</v>
      </c>
      <c r="Z46" s="761">
        <f>+'5.Doanh thu'!AA33</f>
        <v>15126.935446871619</v>
      </c>
      <c r="AA46" s="761">
        <f>+'5.Doanh thu'!AB33</f>
        <v>0</v>
      </c>
      <c r="AB46" s="761">
        <f>+'5.Doanh thu'!AC33</f>
        <v>0</v>
      </c>
      <c r="AC46" s="761">
        <f>+'5.Doanh thu'!AD33</f>
        <v>0</v>
      </c>
      <c r="AD46" s="761">
        <f>+'5.Doanh thu'!AE33</f>
        <v>0</v>
      </c>
      <c r="AE46" s="761">
        <f>+'5.Doanh thu'!AF33</f>
        <v>0</v>
      </c>
      <c r="AF46" s="761">
        <f>+'5.Doanh thu'!AG33</f>
        <v>0</v>
      </c>
      <c r="AG46" s="761">
        <f>+'5.Doanh thu'!AH33</f>
        <v>0</v>
      </c>
      <c r="AH46" s="761">
        <f>+'5.Doanh thu'!AI33</f>
        <v>0</v>
      </c>
      <c r="AI46" s="761">
        <f>+'5.Doanh thu'!AJ33</f>
        <v>0</v>
      </c>
      <c r="AJ46" s="761">
        <f>+'5.Doanh thu'!AK33</f>
        <v>0</v>
      </c>
      <c r="AK46" s="761">
        <f>+'5.Doanh thu'!AL33</f>
        <v>0</v>
      </c>
      <c r="AL46" s="761">
        <f>+'5.Doanh thu'!AM33</f>
        <v>0</v>
      </c>
      <c r="AM46" s="761">
        <f>+'5.Doanh thu'!AN33</f>
        <v>0</v>
      </c>
      <c r="AN46" s="761">
        <f>+'5.Doanh thu'!AO33</f>
        <v>0</v>
      </c>
      <c r="AO46" s="761">
        <f>+'5.Doanh thu'!AP33</f>
        <v>0</v>
      </c>
      <c r="AP46" s="761">
        <f>+'5.Doanh thu'!AQ33</f>
        <v>0</v>
      </c>
      <c r="AQ46" s="761">
        <f>+'5.Doanh thu'!AR33</f>
        <v>0</v>
      </c>
      <c r="AR46" s="761">
        <f>+'5.Doanh thu'!AS33</f>
        <v>0</v>
      </c>
      <c r="AS46" s="761">
        <f>+'5.Doanh thu'!AT33</f>
        <v>0</v>
      </c>
      <c r="AT46" s="761">
        <f>+'5.Doanh thu'!AU33</f>
        <v>0</v>
      </c>
      <c r="AU46" s="761">
        <f>+'5.Doanh thu'!AV33</f>
        <v>0</v>
      </c>
      <c r="AV46" s="761">
        <f>+'5.Doanh thu'!AW33</f>
        <v>0</v>
      </c>
      <c r="AW46" s="761">
        <f>+'5.Doanh thu'!AX33</f>
        <v>0</v>
      </c>
      <c r="AX46" s="761">
        <f>+'5.Doanh thu'!AY33</f>
        <v>0</v>
      </c>
      <c r="AY46" s="761">
        <f>+'5.Doanh thu'!AZ33</f>
        <v>0</v>
      </c>
      <c r="AZ46" s="761">
        <f>+'5.Doanh thu'!BA33</f>
        <v>0</v>
      </c>
      <c r="BA46" s="761">
        <f>+'5.Doanh thu'!BB33</f>
        <v>0</v>
      </c>
      <c r="BB46" s="761">
        <f>+'5.Doanh thu'!BC33</f>
        <v>0</v>
      </c>
      <c r="BC46" s="761">
        <f>+'5.Doanh thu'!BD33</f>
        <v>0</v>
      </c>
      <c r="BD46" s="761">
        <f>+'5.Doanh thu'!BE33</f>
        <v>0</v>
      </c>
      <c r="BE46" s="761">
        <f>+'5.Doanh thu'!BF33</f>
        <v>0</v>
      </c>
      <c r="BF46" s="761">
        <f>+'5.Doanh thu'!BG33</f>
        <v>0</v>
      </c>
      <c r="BG46" s="761">
        <f>+'5.Doanh thu'!BH33</f>
        <v>0</v>
      </c>
      <c r="BH46" s="761">
        <f>+'5.Doanh thu'!BI33</f>
        <v>0</v>
      </c>
      <c r="BI46" s="761">
        <f>+'5.Doanh thu'!BJ33</f>
        <v>0</v>
      </c>
      <c r="BJ46" s="761">
        <f>+'5.Doanh thu'!BK33</f>
        <v>0</v>
      </c>
      <c r="BK46" s="761">
        <f>+'5.Doanh thu'!BL33</f>
        <v>0</v>
      </c>
      <c r="BL46" s="761">
        <f>+'5.Doanh thu'!BM33</f>
        <v>0</v>
      </c>
      <c r="BM46" s="761">
        <f>+'5.Doanh thu'!BN33</f>
        <v>0</v>
      </c>
      <c r="BN46" s="761">
        <f>+'5.Doanh thu'!BO33</f>
        <v>0</v>
      </c>
      <c r="BO46" s="761">
        <f>+'5.Doanh thu'!BP33</f>
        <v>0</v>
      </c>
      <c r="BP46" s="761">
        <f>+'5.Doanh thu'!BQ33</f>
        <v>0</v>
      </c>
      <c r="BQ46" s="761">
        <f>+'5.Doanh thu'!BR33</f>
        <v>0</v>
      </c>
      <c r="BR46" s="761">
        <f>+'5.Doanh thu'!BS33</f>
        <v>0</v>
      </c>
      <c r="BS46" s="761">
        <f>+'5.Doanh thu'!BT33</f>
        <v>0</v>
      </c>
      <c r="BT46" s="761">
        <f>+'5.Doanh thu'!BU33</f>
        <v>0</v>
      </c>
      <c r="BU46" s="761">
        <f>+'5.Doanh thu'!BV33</f>
        <v>0</v>
      </c>
      <c r="BV46" s="761">
        <f>+'5.Doanh thu'!BW33</f>
        <v>0</v>
      </c>
      <c r="BW46" s="761">
        <f>+'5.Doanh thu'!BX33</f>
        <v>0</v>
      </c>
      <c r="BX46" s="761">
        <f>+'5.Doanh thu'!BY33</f>
        <v>0</v>
      </c>
      <c r="BY46" s="761">
        <f>+'5.Doanh thu'!BZ33</f>
        <v>0</v>
      </c>
      <c r="BZ46" s="761">
        <f>+'5.Doanh thu'!CA33</f>
        <v>0</v>
      </c>
      <c r="CA46" s="761">
        <f>+'5.Doanh thu'!CB33</f>
        <v>0</v>
      </c>
      <c r="CB46" s="761">
        <f>+'5.Doanh thu'!CC33</f>
        <v>0</v>
      </c>
      <c r="CC46" s="761">
        <f>+'5.Doanh thu'!CD33</f>
        <v>0</v>
      </c>
      <c r="CD46" s="761">
        <f>+'5.Doanh thu'!CE33</f>
        <v>0</v>
      </c>
      <c r="CE46" s="761">
        <f>+'5.Doanh thu'!CF33</f>
        <v>0</v>
      </c>
      <c r="CF46" s="761">
        <f>+'5.Doanh thu'!CG33</f>
        <v>0</v>
      </c>
      <c r="CG46" s="761">
        <f>+'5.Doanh thu'!CH33</f>
        <v>0</v>
      </c>
      <c r="CH46" s="761">
        <f>+'5.Doanh thu'!CI33</f>
        <v>0</v>
      </c>
      <c r="CI46" s="836">
        <f>+'5.Doanh thu'!CJ33</f>
        <v>0</v>
      </c>
    </row>
    <row r="47" spans="2:87" s="760" customFormat="1">
      <c r="B47" s="579"/>
      <c r="C47" s="813" t="str">
        <f t="shared" si="36"/>
        <v>Trung tâm thương mại</v>
      </c>
      <c r="D47" s="792">
        <f t="shared" si="37"/>
        <v>0</v>
      </c>
      <c r="E47" s="793"/>
      <c r="F47" s="579"/>
      <c r="G47" s="579">
        <f>+'5.Doanh thu'!H107</f>
        <v>0</v>
      </c>
      <c r="H47" s="579">
        <f>+'5.Doanh thu'!I107</f>
        <v>0</v>
      </c>
      <c r="I47" s="579">
        <f>+'5.Doanh thu'!J107</f>
        <v>0</v>
      </c>
      <c r="J47" s="579">
        <f>+'5.Doanh thu'!K107</f>
        <v>0</v>
      </c>
      <c r="K47" s="579">
        <f>+'5.Doanh thu'!L107</f>
        <v>0</v>
      </c>
      <c r="L47" s="579">
        <f>+'5.Doanh thu'!M107</f>
        <v>0</v>
      </c>
      <c r="M47" s="579">
        <f>+'5.Doanh thu'!N107</f>
        <v>0</v>
      </c>
      <c r="N47" s="579">
        <f>+'5.Doanh thu'!O107</f>
        <v>0</v>
      </c>
      <c r="O47" s="579">
        <f>+'5.Doanh thu'!P107</f>
        <v>0</v>
      </c>
      <c r="P47" s="579">
        <f>+'5.Doanh thu'!Q107</f>
        <v>0</v>
      </c>
      <c r="Q47" s="579">
        <f>+'5.Doanh thu'!R107</f>
        <v>0</v>
      </c>
      <c r="R47" s="579">
        <f>+'5.Doanh thu'!S107</f>
        <v>0</v>
      </c>
      <c r="S47" s="579">
        <f>+'5.Doanh thu'!T107</f>
        <v>0</v>
      </c>
      <c r="T47" s="579">
        <f>+'5.Doanh thu'!U107</f>
        <v>0</v>
      </c>
      <c r="U47" s="579">
        <f>+'5.Doanh thu'!V107</f>
        <v>0</v>
      </c>
      <c r="V47" s="579">
        <f>+'5.Doanh thu'!W107</f>
        <v>0</v>
      </c>
      <c r="W47" s="761">
        <f>+'5.Doanh thu'!X107</f>
        <v>0</v>
      </c>
      <c r="X47" s="761">
        <f>+'5.Doanh thu'!Y107</f>
        <v>0</v>
      </c>
      <c r="Y47" s="761">
        <f>+'5.Doanh thu'!Z107</f>
        <v>0</v>
      </c>
      <c r="Z47" s="761">
        <f>+'5.Doanh thu'!AA107</f>
        <v>0</v>
      </c>
      <c r="AA47" s="761">
        <f>+'5.Doanh thu'!AB107</f>
        <v>0</v>
      </c>
      <c r="AB47" s="761">
        <f>+'5.Doanh thu'!AC107</f>
        <v>0</v>
      </c>
      <c r="AC47" s="761">
        <f>+'5.Doanh thu'!AD107</f>
        <v>0</v>
      </c>
      <c r="AD47" s="761">
        <f>+'5.Doanh thu'!AE107</f>
        <v>0</v>
      </c>
      <c r="AE47" s="761">
        <f>+'5.Doanh thu'!AF107</f>
        <v>0</v>
      </c>
      <c r="AF47" s="761">
        <f>+'5.Doanh thu'!AG107</f>
        <v>0</v>
      </c>
      <c r="AG47" s="761">
        <f>+'5.Doanh thu'!AH107</f>
        <v>0</v>
      </c>
      <c r="AH47" s="761">
        <f>+'5.Doanh thu'!AI107</f>
        <v>0</v>
      </c>
      <c r="AI47" s="761">
        <f>+'5.Doanh thu'!AJ107</f>
        <v>0</v>
      </c>
      <c r="AJ47" s="761">
        <f>+'5.Doanh thu'!AK107</f>
        <v>0</v>
      </c>
      <c r="AK47" s="761">
        <f>+'5.Doanh thu'!AL107</f>
        <v>0</v>
      </c>
      <c r="AL47" s="761">
        <f>+'5.Doanh thu'!AM107</f>
        <v>0</v>
      </c>
      <c r="AM47" s="761">
        <f>+'5.Doanh thu'!AN107</f>
        <v>0</v>
      </c>
      <c r="AN47" s="761">
        <f>+'5.Doanh thu'!AO107</f>
        <v>0</v>
      </c>
      <c r="AO47" s="761">
        <f>+'5.Doanh thu'!AP107</f>
        <v>0</v>
      </c>
      <c r="AP47" s="761">
        <f>+'5.Doanh thu'!AQ107</f>
        <v>0</v>
      </c>
      <c r="AQ47" s="761">
        <f>+'5.Doanh thu'!AR107</f>
        <v>0</v>
      </c>
      <c r="AR47" s="761">
        <f>+'5.Doanh thu'!AS107</f>
        <v>0</v>
      </c>
      <c r="AS47" s="761">
        <f>+'5.Doanh thu'!AT107</f>
        <v>0</v>
      </c>
      <c r="AT47" s="761">
        <f>+'5.Doanh thu'!AU107</f>
        <v>0</v>
      </c>
      <c r="AU47" s="761">
        <f>+'5.Doanh thu'!AV107</f>
        <v>0</v>
      </c>
      <c r="AV47" s="761">
        <f>+'5.Doanh thu'!AW107</f>
        <v>0</v>
      </c>
      <c r="AW47" s="761">
        <f>+'5.Doanh thu'!AX107</f>
        <v>0</v>
      </c>
      <c r="AX47" s="761">
        <f>+'5.Doanh thu'!AY107</f>
        <v>0</v>
      </c>
      <c r="AY47" s="761">
        <f>+'5.Doanh thu'!AZ107</f>
        <v>0</v>
      </c>
      <c r="AZ47" s="761">
        <f>+'5.Doanh thu'!BA107</f>
        <v>0</v>
      </c>
      <c r="BA47" s="761">
        <f>+'5.Doanh thu'!BB107</f>
        <v>0</v>
      </c>
      <c r="BB47" s="761">
        <f>+'5.Doanh thu'!BC107</f>
        <v>0</v>
      </c>
      <c r="BC47" s="761">
        <f>+'5.Doanh thu'!BD107</f>
        <v>0</v>
      </c>
      <c r="BD47" s="761">
        <f>+'5.Doanh thu'!BE107</f>
        <v>0</v>
      </c>
      <c r="BE47" s="761">
        <f>+'5.Doanh thu'!BF107</f>
        <v>0</v>
      </c>
      <c r="BF47" s="761">
        <f>+'5.Doanh thu'!BG107</f>
        <v>0</v>
      </c>
      <c r="BG47" s="761">
        <f>+'5.Doanh thu'!BH107</f>
        <v>0</v>
      </c>
      <c r="BH47" s="761">
        <f>+'5.Doanh thu'!BI107</f>
        <v>0</v>
      </c>
      <c r="BI47" s="761">
        <f>+'5.Doanh thu'!BJ107</f>
        <v>0</v>
      </c>
      <c r="BJ47" s="761">
        <f>+'5.Doanh thu'!BK107</f>
        <v>0</v>
      </c>
      <c r="BK47" s="761">
        <f>+'5.Doanh thu'!BL107</f>
        <v>0</v>
      </c>
      <c r="BL47" s="761">
        <f>+'5.Doanh thu'!BM107</f>
        <v>0</v>
      </c>
      <c r="BM47" s="761">
        <f>+'5.Doanh thu'!BN107</f>
        <v>0</v>
      </c>
      <c r="BN47" s="761">
        <f>+'5.Doanh thu'!BO107</f>
        <v>0</v>
      </c>
      <c r="BO47" s="761">
        <f>+'5.Doanh thu'!BP107</f>
        <v>0</v>
      </c>
      <c r="BP47" s="761">
        <f>+'5.Doanh thu'!BQ107</f>
        <v>0</v>
      </c>
      <c r="BQ47" s="761">
        <f>+'5.Doanh thu'!BR107</f>
        <v>0</v>
      </c>
      <c r="BR47" s="761">
        <f>+'5.Doanh thu'!BS107</f>
        <v>0</v>
      </c>
      <c r="BS47" s="761">
        <f>+'5.Doanh thu'!BT107</f>
        <v>0</v>
      </c>
      <c r="BT47" s="761">
        <f>+'5.Doanh thu'!BU107</f>
        <v>0</v>
      </c>
      <c r="BU47" s="761">
        <f>+'5.Doanh thu'!BV107</f>
        <v>0</v>
      </c>
      <c r="BV47" s="761">
        <f>+'5.Doanh thu'!BW107</f>
        <v>0</v>
      </c>
      <c r="BW47" s="761">
        <f>+'5.Doanh thu'!BX107</f>
        <v>0</v>
      </c>
      <c r="BX47" s="761">
        <f>+'5.Doanh thu'!BY107</f>
        <v>0</v>
      </c>
      <c r="BY47" s="761">
        <f>+'5.Doanh thu'!BZ107</f>
        <v>0</v>
      </c>
      <c r="BZ47" s="761">
        <f>+'5.Doanh thu'!CA107</f>
        <v>0</v>
      </c>
      <c r="CA47" s="761">
        <f>+'5.Doanh thu'!CB107</f>
        <v>0</v>
      </c>
      <c r="CB47" s="761">
        <f>+'5.Doanh thu'!CC107</f>
        <v>0</v>
      </c>
      <c r="CC47" s="761">
        <f>+'5.Doanh thu'!CD107</f>
        <v>0</v>
      </c>
      <c r="CD47" s="761">
        <f>+'5.Doanh thu'!CE107</f>
        <v>0</v>
      </c>
      <c r="CE47" s="761">
        <f>+'5.Doanh thu'!CF107</f>
        <v>0</v>
      </c>
      <c r="CF47" s="761">
        <f>+'5.Doanh thu'!CG107</f>
        <v>0</v>
      </c>
      <c r="CG47" s="761">
        <f>+'5.Doanh thu'!CH107</f>
        <v>0</v>
      </c>
      <c r="CH47" s="761">
        <f>+'5.Doanh thu'!CI107</f>
        <v>0</v>
      </c>
      <c r="CI47" s="836">
        <f>+'5.Doanh thu'!CJ107</f>
        <v>0</v>
      </c>
    </row>
    <row r="48" spans="2:87" s="760" customFormat="1">
      <c r="B48" s="579"/>
      <c r="C48" s="813" t="str">
        <f t="shared" si="36"/>
        <v>Nhà trẻ</v>
      </c>
      <c r="D48" s="792">
        <f>SUM(F48:XFD48)</f>
        <v>30708.566950149303</v>
      </c>
      <c r="E48" s="793"/>
      <c r="F48" s="579"/>
      <c r="G48" s="579">
        <f>'5.Doanh thu'!H114</f>
        <v>0</v>
      </c>
      <c r="H48" s="579">
        <f>'5.Doanh thu'!I114</f>
        <v>0</v>
      </c>
      <c r="I48" s="579">
        <f>'5.Doanh thu'!J114</f>
        <v>0</v>
      </c>
      <c r="J48" s="579">
        <f>'5.Doanh thu'!K114</f>
        <v>0</v>
      </c>
      <c r="K48" s="579">
        <f>'5.Doanh thu'!L114</f>
        <v>0</v>
      </c>
      <c r="L48" s="579">
        <f>'5.Doanh thu'!M114</f>
        <v>0</v>
      </c>
      <c r="M48" s="579">
        <f>'5.Doanh thu'!N114</f>
        <v>0</v>
      </c>
      <c r="N48" s="579">
        <f>'5.Doanh thu'!O114</f>
        <v>0</v>
      </c>
      <c r="O48" s="579">
        <f>'5.Doanh thu'!P114</f>
        <v>0</v>
      </c>
      <c r="P48" s="579">
        <f>'5.Doanh thu'!Q114</f>
        <v>0</v>
      </c>
      <c r="Q48" s="579">
        <f>'5.Doanh thu'!R114</f>
        <v>0</v>
      </c>
      <c r="R48" s="579">
        <f>'5.Doanh thu'!S114</f>
        <v>0</v>
      </c>
      <c r="S48" s="579">
        <f>'5.Doanh thu'!T114</f>
        <v>0</v>
      </c>
      <c r="T48" s="579">
        <f>'5.Doanh thu'!U114</f>
        <v>0</v>
      </c>
      <c r="U48" s="579">
        <f>'5.Doanh thu'!V114</f>
        <v>0</v>
      </c>
      <c r="V48" s="579">
        <f>'5.Doanh thu'!W114</f>
        <v>0</v>
      </c>
      <c r="W48" s="761">
        <f>'5.Doanh thu'!X114</f>
        <v>30708.566950149303</v>
      </c>
      <c r="X48" s="761">
        <f>'5.Doanh thu'!Y114</f>
        <v>0</v>
      </c>
      <c r="Y48" s="761">
        <f>'5.Doanh thu'!Z114</f>
        <v>0</v>
      </c>
      <c r="Z48" s="761">
        <f>'5.Doanh thu'!AA114</f>
        <v>0</v>
      </c>
      <c r="AA48" s="761">
        <f>'5.Doanh thu'!AB114</f>
        <v>0</v>
      </c>
      <c r="AB48" s="761">
        <f>'5.Doanh thu'!AC114</f>
        <v>0</v>
      </c>
      <c r="AC48" s="761">
        <f>'5.Doanh thu'!AD114</f>
        <v>0</v>
      </c>
      <c r="AD48" s="761">
        <f>'5.Doanh thu'!AE114</f>
        <v>0</v>
      </c>
      <c r="AE48" s="761">
        <f>'5.Doanh thu'!AF114</f>
        <v>0</v>
      </c>
      <c r="AF48" s="761">
        <f>'5.Doanh thu'!AG114</f>
        <v>0</v>
      </c>
      <c r="AG48" s="761">
        <f>'5.Doanh thu'!AH114</f>
        <v>0</v>
      </c>
      <c r="AH48" s="761">
        <f>'5.Doanh thu'!AI114</f>
        <v>0</v>
      </c>
      <c r="AI48" s="761">
        <f>'5.Doanh thu'!AJ114</f>
        <v>0</v>
      </c>
      <c r="AJ48" s="761">
        <f>'5.Doanh thu'!AK114</f>
        <v>0</v>
      </c>
      <c r="AK48" s="761">
        <f>'5.Doanh thu'!AL114</f>
        <v>0</v>
      </c>
      <c r="AL48" s="761">
        <f>'5.Doanh thu'!AM114</f>
        <v>0</v>
      </c>
      <c r="AM48" s="761">
        <f>'5.Doanh thu'!AN114</f>
        <v>0</v>
      </c>
      <c r="AN48" s="761">
        <f>'5.Doanh thu'!AO114</f>
        <v>0</v>
      </c>
      <c r="AO48" s="761">
        <f>'5.Doanh thu'!AP114</f>
        <v>0</v>
      </c>
      <c r="AP48" s="761">
        <f>'5.Doanh thu'!AQ114</f>
        <v>0</v>
      </c>
      <c r="AQ48" s="761">
        <f>'5.Doanh thu'!AR114</f>
        <v>0</v>
      </c>
      <c r="AR48" s="761">
        <f>'5.Doanh thu'!AS114</f>
        <v>0</v>
      </c>
      <c r="AS48" s="761">
        <f>'5.Doanh thu'!AT114</f>
        <v>0</v>
      </c>
      <c r="AT48" s="761">
        <f>'5.Doanh thu'!AU114</f>
        <v>0</v>
      </c>
      <c r="AU48" s="761">
        <f>'5.Doanh thu'!AV114</f>
        <v>0</v>
      </c>
      <c r="AV48" s="761">
        <f>'5.Doanh thu'!AW114</f>
        <v>0</v>
      </c>
      <c r="AW48" s="761">
        <f>'5.Doanh thu'!AX114</f>
        <v>0</v>
      </c>
      <c r="AX48" s="761">
        <f>'5.Doanh thu'!AY114</f>
        <v>0</v>
      </c>
      <c r="AY48" s="761">
        <f>'5.Doanh thu'!AZ114</f>
        <v>0</v>
      </c>
      <c r="AZ48" s="761">
        <f>'5.Doanh thu'!BA114</f>
        <v>0</v>
      </c>
      <c r="BA48" s="761">
        <f>'5.Doanh thu'!BB114</f>
        <v>0</v>
      </c>
      <c r="BB48" s="761">
        <f>'5.Doanh thu'!BC114</f>
        <v>0</v>
      </c>
      <c r="BC48" s="761">
        <f>'5.Doanh thu'!BD114</f>
        <v>0</v>
      </c>
      <c r="BD48" s="761">
        <f>'5.Doanh thu'!BE114</f>
        <v>0</v>
      </c>
      <c r="BE48" s="761">
        <f>'5.Doanh thu'!BF114</f>
        <v>0</v>
      </c>
      <c r="BF48" s="761">
        <f>'5.Doanh thu'!BG114</f>
        <v>0</v>
      </c>
      <c r="BG48" s="761">
        <f>'5.Doanh thu'!BH114</f>
        <v>0</v>
      </c>
      <c r="BH48" s="761">
        <f>'5.Doanh thu'!BI114</f>
        <v>0</v>
      </c>
      <c r="BI48" s="761">
        <f>'5.Doanh thu'!BJ114</f>
        <v>0</v>
      </c>
      <c r="BJ48" s="761">
        <f>'5.Doanh thu'!BK114</f>
        <v>0</v>
      </c>
      <c r="BK48" s="761">
        <f>'5.Doanh thu'!BL114</f>
        <v>0</v>
      </c>
      <c r="BL48" s="761">
        <f>'5.Doanh thu'!BM114</f>
        <v>0</v>
      </c>
      <c r="BM48" s="761">
        <f>'5.Doanh thu'!BN114</f>
        <v>0</v>
      </c>
      <c r="BN48" s="761">
        <f>'5.Doanh thu'!BO114</f>
        <v>0</v>
      </c>
      <c r="BO48" s="761">
        <f>'5.Doanh thu'!BP114</f>
        <v>0</v>
      </c>
      <c r="BP48" s="761">
        <f>'5.Doanh thu'!BQ114</f>
        <v>0</v>
      </c>
      <c r="BQ48" s="761">
        <f>'5.Doanh thu'!BR114</f>
        <v>0</v>
      </c>
      <c r="BR48" s="761">
        <f>'5.Doanh thu'!BS114</f>
        <v>0</v>
      </c>
      <c r="BS48" s="761">
        <f>'5.Doanh thu'!BT114</f>
        <v>0</v>
      </c>
      <c r="BT48" s="761">
        <f>'5.Doanh thu'!BU114</f>
        <v>0</v>
      </c>
      <c r="BU48" s="761">
        <f>'5.Doanh thu'!BV114</f>
        <v>0</v>
      </c>
      <c r="BV48" s="761">
        <f>'5.Doanh thu'!BW114</f>
        <v>0</v>
      </c>
      <c r="BW48" s="761">
        <f>'5.Doanh thu'!BX114</f>
        <v>0</v>
      </c>
      <c r="BX48" s="761">
        <f>'5.Doanh thu'!BY114</f>
        <v>0</v>
      </c>
      <c r="BY48" s="761">
        <f>'5.Doanh thu'!BZ114</f>
        <v>0</v>
      </c>
      <c r="BZ48" s="761">
        <f>'5.Doanh thu'!CA114</f>
        <v>0</v>
      </c>
      <c r="CA48" s="761">
        <f>'5.Doanh thu'!CB114</f>
        <v>0</v>
      </c>
      <c r="CB48" s="761">
        <f>'5.Doanh thu'!CC114</f>
        <v>0</v>
      </c>
      <c r="CC48" s="761">
        <f>'5.Doanh thu'!CD114</f>
        <v>0</v>
      </c>
      <c r="CD48" s="761">
        <f>'5.Doanh thu'!CE114</f>
        <v>0</v>
      </c>
      <c r="CE48" s="761">
        <f>'5.Doanh thu'!CF114</f>
        <v>0</v>
      </c>
      <c r="CF48" s="761">
        <f>'5.Doanh thu'!CG114</f>
        <v>0</v>
      </c>
      <c r="CG48" s="761">
        <f>'5.Doanh thu'!CH114</f>
        <v>0</v>
      </c>
      <c r="CH48" s="761">
        <f>'5.Doanh thu'!CI114</f>
        <v>0</v>
      </c>
      <c r="CI48" s="836">
        <f>'5.Doanh thu'!CJ114</f>
        <v>0</v>
      </c>
    </row>
    <row r="49" spans="2:87" s="760" customFormat="1">
      <c r="B49" s="579"/>
      <c r="C49" s="813" t="str">
        <f>+C39</f>
        <v>Nhà phố liên kế</v>
      </c>
      <c r="D49" s="792">
        <f>SUM(F49:XFD49)</f>
        <v>575132.69421253935</v>
      </c>
      <c r="E49" s="793"/>
      <c r="F49" s="579"/>
      <c r="G49" s="579">
        <f>+'5.Doanh thu'!H100</f>
        <v>0</v>
      </c>
      <c r="H49" s="579">
        <f>+'5.Doanh thu'!I100</f>
        <v>0</v>
      </c>
      <c r="I49" s="579">
        <f>+'5.Doanh thu'!J100</f>
        <v>0</v>
      </c>
      <c r="J49" s="579">
        <f>+'5.Doanh thu'!K100</f>
        <v>0</v>
      </c>
      <c r="K49" s="579">
        <f>+'5.Doanh thu'!L100</f>
        <v>0</v>
      </c>
      <c r="L49" s="579">
        <f>+'5.Doanh thu'!M100</f>
        <v>0</v>
      </c>
      <c r="M49" s="579">
        <f>+'5.Doanh thu'!N100</f>
        <v>0</v>
      </c>
      <c r="N49" s="579">
        <f>+'5.Doanh thu'!O100</f>
        <v>0</v>
      </c>
      <c r="O49" s="579">
        <f>+'5.Doanh thu'!P100</f>
        <v>0</v>
      </c>
      <c r="P49" s="579">
        <f>+'5.Doanh thu'!Q100</f>
        <v>0</v>
      </c>
      <c r="Q49" s="579">
        <f>+'5.Doanh thu'!R100</f>
        <v>57513.269421253935</v>
      </c>
      <c r="R49" s="579">
        <f>+'5.Doanh thu'!S100</f>
        <v>134197.62864959252</v>
      </c>
      <c r="S49" s="579">
        <f>+'5.Doanh thu'!T100</f>
        <v>210881.9878779311</v>
      </c>
      <c r="T49" s="579">
        <f>+'5.Doanh thu'!U100</f>
        <v>143783.17355313484</v>
      </c>
      <c r="U49" s="579">
        <f>+'5.Doanh thu'!V100</f>
        <v>0</v>
      </c>
      <c r="V49" s="579">
        <f>+'5.Doanh thu'!W100</f>
        <v>0</v>
      </c>
      <c r="W49" s="761">
        <f>+'5.Doanh thu'!X100</f>
        <v>28756.634710626968</v>
      </c>
      <c r="X49" s="761">
        <f>+'5.Doanh thu'!Y100</f>
        <v>0</v>
      </c>
      <c r="Y49" s="761">
        <f>+'5.Doanh thu'!Z100</f>
        <v>0</v>
      </c>
      <c r="Z49" s="761">
        <f>+'5.Doanh thu'!AA100</f>
        <v>0</v>
      </c>
      <c r="AA49" s="761">
        <f>+'5.Doanh thu'!AB100</f>
        <v>0</v>
      </c>
      <c r="AB49" s="761">
        <f>+'5.Doanh thu'!AC100</f>
        <v>0</v>
      </c>
      <c r="AC49" s="761">
        <f>+'5.Doanh thu'!AD100</f>
        <v>0</v>
      </c>
      <c r="AD49" s="761">
        <f>+'5.Doanh thu'!AE100</f>
        <v>0</v>
      </c>
      <c r="AE49" s="761">
        <f>+'5.Doanh thu'!AF100</f>
        <v>0</v>
      </c>
      <c r="AF49" s="761">
        <f>+'5.Doanh thu'!AG100</f>
        <v>0</v>
      </c>
      <c r="AG49" s="761">
        <f>+'5.Doanh thu'!AH100</f>
        <v>0</v>
      </c>
      <c r="AH49" s="761">
        <f>+'5.Doanh thu'!AI100</f>
        <v>0</v>
      </c>
      <c r="AI49" s="761">
        <f>+'5.Doanh thu'!AJ100</f>
        <v>0</v>
      </c>
      <c r="AJ49" s="761">
        <f>+'5.Doanh thu'!AK100</f>
        <v>0</v>
      </c>
      <c r="AK49" s="761">
        <f>+'5.Doanh thu'!AL100</f>
        <v>0</v>
      </c>
      <c r="AL49" s="761">
        <f>+'5.Doanh thu'!AM100</f>
        <v>0</v>
      </c>
      <c r="AM49" s="761">
        <f>+'5.Doanh thu'!AN100</f>
        <v>0</v>
      </c>
      <c r="AN49" s="761">
        <f>+'5.Doanh thu'!AO100</f>
        <v>0</v>
      </c>
      <c r="AO49" s="761">
        <f>+'5.Doanh thu'!AP100</f>
        <v>0</v>
      </c>
      <c r="AP49" s="761">
        <f>+'5.Doanh thu'!AQ100</f>
        <v>0</v>
      </c>
      <c r="AQ49" s="761">
        <f>+'5.Doanh thu'!AR100</f>
        <v>0</v>
      </c>
      <c r="AR49" s="761">
        <f>+'5.Doanh thu'!AS100</f>
        <v>0</v>
      </c>
      <c r="AS49" s="761">
        <f>+'5.Doanh thu'!AT100</f>
        <v>0</v>
      </c>
      <c r="AT49" s="761">
        <f>+'5.Doanh thu'!AU100</f>
        <v>0</v>
      </c>
      <c r="AU49" s="761">
        <f>+'5.Doanh thu'!AV100</f>
        <v>0</v>
      </c>
      <c r="AV49" s="761">
        <f>+'5.Doanh thu'!AW100</f>
        <v>0</v>
      </c>
      <c r="AW49" s="761">
        <f>+'5.Doanh thu'!AX100</f>
        <v>0</v>
      </c>
      <c r="AX49" s="761">
        <f>+'5.Doanh thu'!AY100</f>
        <v>0</v>
      </c>
      <c r="AY49" s="761">
        <f>+'5.Doanh thu'!AZ100</f>
        <v>0</v>
      </c>
      <c r="AZ49" s="761">
        <f>+'5.Doanh thu'!BA100</f>
        <v>0</v>
      </c>
      <c r="BA49" s="761">
        <f>+'5.Doanh thu'!BB100</f>
        <v>0</v>
      </c>
      <c r="BB49" s="761">
        <f>+'5.Doanh thu'!BC100</f>
        <v>0</v>
      </c>
      <c r="BC49" s="761">
        <f>+'5.Doanh thu'!BD100</f>
        <v>0</v>
      </c>
      <c r="BD49" s="761">
        <f>+'5.Doanh thu'!BE100</f>
        <v>0</v>
      </c>
      <c r="BE49" s="761">
        <f>+'5.Doanh thu'!BF100</f>
        <v>0</v>
      </c>
      <c r="BF49" s="761">
        <f>+'5.Doanh thu'!BG100</f>
        <v>0</v>
      </c>
      <c r="BG49" s="761">
        <f>+'5.Doanh thu'!BH100</f>
        <v>0</v>
      </c>
      <c r="BH49" s="761">
        <f>+'5.Doanh thu'!BI100</f>
        <v>0</v>
      </c>
      <c r="BI49" s="761">
        <f>+'5.Doanh thu'!BJ100</f>
        <v>0</v>
      </c>
      <c r="BJ49" s="761">
        <f>+'5.Doanh thu'!BK100</f>
        <v>0</v>
      </c>
      <c r="BK49" s="761">
        <f>+'5.Doanh thu'!BL100</f>
        <v>0</v>
      </c>
      <c r="BL49" s="761">
        <f>+'5.Doanh thu'!BM100</f>
        <v>0</v>
      </c>
      <c r="BM49" s="761">
        <f>+'5.Doanh thu'!BN100</f>
        <v>0</v>
      </c>
      <c r="BN49" s="761">
        <f>+'5.Doanh thu'!BO100</f>
        <v>0</v>
      </c>
      <c r="BO49" s="761">
        <f>+'5.Doanh thu'!BP100</f>
        <v>0</v>
      </c>
      <c r="BP49" s="761">
        <f>+'5.Doanh thu'!BQ100</f>
        <v>0</v>
      </c>
      <c r="BQ49" s="761">
        <f>+'5.Doanh thu'!BR100</f>
        <v>0</v>
      </c>
      <c r="BR49" s="761">
        <f>+'5.Doanh thu'!BS100</f>
        <v>0</v>
      </c>
      <c r="BS49" s="761">
        <f>+'5.Doanh thu'!BT100</f>
        <v>0</v>
      </c>
      <c r="BT49" s="761">
        <f>+'5.Doanh thu'!BU100</f>
        <v>0</v>
      </c>
      <c r="BU49" s="761">
        <f>+'5.Doanh thu'!BV100</f>
        <v>0</v>
      </c>
      <c r="BV49" s="761">
        <f>+'5.Doanh thu'!BW100</f>
        <v>0</v>
      </c>
      <c r="BW49" s="761">
        <f>+'5.Doanh thu'!BX100</f>
        <v>0</v>
      </c>
      <c r="BX49" s="761">
        <f>+'5.Doanh thu'!BY100</f>
        <v>0</v>
      </c>
      <c r="BY49" s="761">
        <f>+'5.Doanh thu'!BZ100</f>
        <v>0</v>
      </c>
      <c r="BZ49" s="761">
        <f>+'5.Doanh thu'!CA100</f>
        <v>0</v>
      </c>
      <c r="CA49" s="761">
        <f>+'5.Doanh thu'!CB100</f>
        <v>0</v>
      </c>
      <c r="CB49" s="761">
        <f>+'5.Doanh thu'!CC100</f>
        <v>0</v>
      </c>
      <c r="CC49" s="761">
        <f>+'5.Doanh thu'!CD100</f>
        <v>0</v>
      </c>
      <c r="CD49" s="761">
        <f>+'5.Doanh thu'!CE100</f>
        <v>0</v>
      </c>
      <c r="CE49" s="761">
        <f>+'5.Doanh thu'!CF100</f>
        <v>0</v>
      </c>
      <c r="CF49" s="761">
        <f>+'5.Doanh thu'!CG100</f>
        <v>0</v>
      </c>
      <c r="CG49" s="761">
        <f>+'5.Doanh thu'!CH100</f>
        <v>0</v>
      </c>
      <c r="CH49" s="761">
        <f>+'5.Doanh thu'!CI100</f>
        <v>0</v>
      </c>
      <c r="CI49" s="836">
        <f>+'5.Doanh thu'!CJ100</f>
        <v>0</v>
      </c>
    </row>
    <row r="50" spans="2:87" ht="18" thickBot="1">
      <c r="C50" s="853" t="s">
        <v>53</v>
      </c>
      <c r="D50" s="837">
        <f>SUM(D43:D49)</f>
        <v>5230427.2563588815</v>
      </c>
      <c r="E50" s="838">
        <f>D50-'5.Doanh thu'!G117</f>
        <v>0</v>
      </c>
      <c r="F50" s="839"/>
      <c r="G50" s="840">
        <f>SUM(G43:G49)</f>
        <v>0</v>
      </c>
      <c r="H50" s="840">
        <f t="shared" ref="H50:BS50" si="38">SUM(H43:H49)</f>
        <v>0</v>
      </c>
      <c r="I50" s="840">
        <f t="shared" si="38"/>
        <v>0</v>
      </c>
      <c r="J50" s="840">
        <f t="shared" si="38"/>
        <v>0</v>
      </c>
      <c r="K50" s="840">
        <f t="shared" si="38"/>
        <v>0</v>
      </c>
      <c r="L50" s="840">
        <f t="shared" si="38"/>
        <v>0</v>
      </c>
      <c r="M50" s="840">
        <f t="shared" si="38"/>
        <v>0</v>
      </c>
      <c r="N50" s="840">
        <f t="shared" si="38"/>
        <v>0</v>
      </c>
      <c r="O50" s="840">
        <f t="shared" si="38"/>
        <v>0</v>
      </c>
      <c r="P50" s="840">
        <f t="shared" si="38"/>
        <v>506879.28222003719</v>
      </c>
      <c r="Q50" s="840">
        <f t="shared" si="38"/>
        <v>567483.2789719014</v>
      </c>
      <c r="R50" s="840">
        <f t="shared" si="38"/>
        <v>269262.41299724893</v>
      </c>
      <c r="S50" s="840">
        <f t="shared" si="38"/>
        <v>709381.83953734511</v>
      </c>
      <c r="T50" s="840">
        <f t="shared" si="38"/>
        <v>687304.61999510089</v>
      </c>
      <c r="U50" s="840">
        <f t="shared" si="38"/>
        <v>580816.22289799445</v>
      </c>
      <c r="V50" s="840">
        <f t="shared" si="38"/>
        <v>462458.59951961931</v>
      </c>
      <c r="W50" s="841">
        <f t="shared" si="38"/>
        <v>1215611.7004598246</v>
      </c>
      <c r="X50" s="841">
        <f t="shared" si="38"/>
        <v>0</v>
      </c>
      <c r="Y50" s="841">
        <f t="shared" si="38"/>
        <v>0</v>
      </c>
      <c r="Z50" s="841">
        <f t="shared" si="38"/>
        <v>231229.29975980966</v>
      </c>
      <c r="AA50" s="841">
        <f t="shared" si="38"/>
        <v>0</v>
      </c>
      <c r="AB50" s="841">
        <f t="shared" si="38"/>
        <v>0</v>
      </c>
      <c r="AC50" s="841">
        <f t="shared" si="38"/>
        <v>0</v>
      </c>
      <c r="AD50" s="841">
        <f t="shared" si="38"/>
        <v>0</v>
      </c>
      <c r="AE50" s="841">
        <f t="shared" si="38"/>
        <v>0</v>
      </c>
      <c r="AF50" s="841">
        <f t="shared" si="38"/>
        <v>0</v>
      </c>
      <c r="AG50" s="841">
        <f t="shared" si="38"/>
        <v>0</v>
      </c>
      <c r="AH50" s="841">
        <f t="shared" si="38"/>
        <v>0</v>
      </c>
      <c r="AI50" s="841">
        <f t="shared" si="38"/>
        <v>0</v>
      </c>
      <c r="AJ50" s="841">
        <f t="shared" si="38"/>
        <v>0</v>
      </c>
      <c r="AK50" s="841">
        <f t="shared" si="38"/>
        <v>0</v>
      </c>
      <c r="AL50" s="841">
        <f t="shared" si="38"/>
        <v>0</v>
      </c>
      <c r="AM50" s="841">
        <f t="shared" si="38"/>
        <v>0</v>
      </c>
      <c r="AN50" s="841">
        <f t="shared" si="38"/>
        <v>0</v>
      </c>
      <c r="AO50" s="841">
        <f t="shared" si="38"/>
        <v>0</v>
      </c>
      <c r="AP50" s="841">
        <f t="shared" si="38"/>
        <v>0</v>
      </c>
      <c r="AQ50" s="841">
        <f t="shared" si="38"/>
        <v>0</v>
      </c>
      <c r="AR50" s="841">
        <f t="shared" si="38"/>
        <v>0</v>
      </c>
      <c r="AS50" s="841">
        <f t="shared" si="38"/>
        <v>0</v>
      </c>
      <c r="AT50" s="841">
        <f t="shared" si="38"/>
        <v>0</v>
      </c>
      <c r="AU50" s="841">
        <f t="shared" si="38"/>
        <v>0</v>
      </c>
      <c r="AV50" s="841">
        <f t="shared" si="38"/>
        <v>0</v>
      </c>
      <c r="AW50" s="841">
        <f t="shared" si="38"/>
        <v>0</v>
      </c>
      <c r="AX50" s="841">
        <f t="shared" si="38"/>
        <v>0</v>
      </c>
      <c r="AY50" s="841">
        <f t="shared" si="38"/>
        <v>0</v>
      </c>
      <c r="AZ50" s="841">
        <f t="shared" si="38"/>
        <v>0</v>
      </c>
      <c r="BA50" s="841">
        <f t="shared" si="38"/>
        <v>0</v>
      </c>
      <c r="BB50" s="841">
        <f t="shared" si="38"/>
        <v>0</v>
      </c>
      <c r="BC50" s="841">
        <f t="shared" si="38"/>
        <v>0</v>
      </c>
      <c r="BD50" s="841">
        <f t="shared" si="38"/>
        <v>0</v>
      </c>
      <c r="BE50" s="841">
        <f t="shared" si="38"/>
        <v>0</v>
      </c>
      <c r="BF50" s="841">
        <f t="shared" si="38"/>
        <v>0</v>
      </c>
      <c r="BG50" s="841">
        <f t="shared" si="38"/>
        <v>0</v>
      </c>
      <c r="BH50" s="841">
        <f t="shared" si="38"/>
        <v>0</v>
      </c>
      <c r="BI50" s="841">
        <f t="shared" si="38"/>
        <v>0</v>
      </c>
      <c r="BJ50" s="841">
        <f t="shared" si="38"/>
        <v>0</v>
      </c>
      <c r="BK50" s="841">
        <f t="shared" si="38"/>
        <v>0</v>
      </c>
      <c r="BL50" s="841">
        <f t="shared" si="38"/>
        <v>0</v>
      </c>
      <c r="BM50" s="841">
        <f t="shared" si="38"/>
        <v>0</v>
      </c>
      <c r="BN50" s="841">
        <f t="shared" si="38"/>
        <v>0</v>
      </c>
      <c r="BO50" s="841">
        <f t="shared" si="38"/>
        <v>0</v>
      </c>
      <c r="BP50" s="841">
        <f t="shared" si="38"/>
        <v>0</v>
      </c>
      <c r="BQ50" s="841">
        <f t="shared" si="38"/>
        <v>0</v>
      </c>
      <c r="BR50" s="841">
        <f t="shared" si="38"/>
        <v>0</v>
      </c>
      <c r="BS50" s="841">
        <f t="shared" si="38"/>
        <v>0</v>
      </c>
      <c r="BT50" s="841">
        <f t="shared" ref="BT50:CI50" si="39">SUM(BT43:BT49)</f>
        <v>0</v>
      </c>
      <c r="BU50" s="841">
        <f t="shared" si="39"/>
        <v>0</v>
      </c>
      <c r="BV50" s="841">
        <f t="shared" si="39"/>
        <v>0</v>
      </c>
      <c r="BW50" s="841">
        <f t="shared" si="39"/>
        <v>0</v>
      </c>
      <c r="BX50" s="841">
        <f t="shared" si="39"/>
        <v>0</v>
      </c>
      <c r="BY50" s="841">
        <f t="shared" si="39"/>
        <v>0</v>
      </c>
      <c r="BZ50" s="841">
        <f t="shared" si="39"/>
        <v>0</v>
      </c>
      <c r="CA50" s="841">
        <f t="shared" si="39"/>
        <v>0</v>
      </c>
      <c r="CB50" s="841">
        <f t="shared" si="39"/>
        <v>0</v>
      </c>
      <c r="CC50" s="841">
        <f t="shared" si="39"/>
        <v>0</v>
      </c>
      <c r="CD50" s="841">
        <f t="shared" si="39"/>
        <v>0</v>
      </c>
      <c r="CE50" s="841">
        <f t="shared" si="39"/>
        <v>0</v>
      </c>
      <c r="CF50" s="841">
        <f t="shared" si="39"/>
        <v>0</v>
      </c>
      <c r="CG50" s="841">
        <f t="shared" si="39"/>
        <v>0</v>
      </c>
      <c r="CH50" s="841">
        <f t="shared" si="39"/>
        <v>0</v>
      </c>
      <c r="CI50" s="842">
        <f t="shared" si="39"/>
        <v>0</v>
      </c>
    </row>
    <row r="51" spans="2:87">
      <c r="D51" s="795"/>
      <c r="E51" s="794"/>
      <c r="F51" s="495"/>
      <c r="G51" s="843"/>
      <c r="H51" s="843"/>
      <c r="I51" s="843"/>
      <c r="J51" s="843"/>
      <c r="K51" s="843"/>
      <c r="L51" s="843"/>
      <c r="M51" s="843"/>
      <c r="N51" s="843"/>
      <c r="O51" s="843"/>
      <c r="P51" s="843"/>
      <c r="Q51" s="843"/>
      <c r="R51" s="843"/>
      <c r="S51" s="843"/>
      <c r="T51" s="843"/>
      <c r="U51" s="843"/>
      <c r="V51" s="843"/>
      <c r="W51" s="844"/>
      <c r="X51" s="844"/>
      <c r="Y51" s="844"/>
      <c r="Z51" s="844"/>
      <c r="AA51" s="844"/>
      <c r="AB51" s="844"/>
      <c r="AC51" s="844"/>
      <c r="AD51" s="844"/>
      <c r="AE51" s="844"/>
      <c r="AF51" s="844"/>
      <c r="AG51" s="844"/>
      <c r="AH51" s="844"/>
      <c r="AI51" s="844"/>
      <c r="AJ51" s="844"/>
      <c r="AK51" s="844"/>
      <c r="AL51" s="844"/>
      <c r="AM51" s="844"/>
      <c r="AN51" s="844"/>
      <c r="AO51" s="844"/>
      <c r="AP51" s="844"/>
      <c r="AQ51" s="844"/>
      <c r="AR51" s="844"/>
      <c r="AS51" s="844"/>
      <c r="AT51" s="844"/>
      <c r="AU51" s="844"/>
      <c r="AV51" s="844"/>
      <c r="AW51" s="844"/>
      <c r="AX51" s="844"/>
      <c r="AY51" s="844"/>
      <c r="AZ51" s="844"/>
      <c r="BA51" s="844"/>
      <c r="BB51" s="844"/>
      <c r="BC51" s="844"/>
      <c r="BD51" s="844"/>
      <c r="BE51" s="844"/>
      <c r="BF51" s="844"/>
      <c r="BG51" s="844"/>
      <c r="BH51" s="844"/>
      <c r="BI51" s="844"/>
      <c r="BJ51" s="844"/>
      <c r="BK51" s="844"/>
      <c r="BL51" s="844"/>
      <c r="BM51" s="844"/>
      <c r="BN51" s="844"/>
      <c r="BO51" s="844"/>
      <c r="BP51" s="844"/>
      <c r="BQ51" s="844"/>
      <c r="BR51" s="844"/>
      <c r="BS51" s="844"/>
      <c r="BT51" s="844"/>
      <c r="BU51" s="844"/>
      <c r="BV51" s="844"/>
      <c r="BW51" s="844"/>
      <c r="BX51" s="844"/>
      <c r="BY51" s="844"/>
      <c r="BZ51" s="844"/>
      <c r="CA51" s="844"/>
      <c r="CB51" s="844"/>
      <c r="CC51" s="844"/>
      <c r="CD51" s="844"/>
      <c r="CE51" s="844"/>
      <c r="CF51" s="844"/>
      <c r="CG51" s="844"/>
      <c r="CH51" s="844"/>
      <c r="CI51" s="844"/>
    </row>
    <row r="52" spans="2:87" s="754" customFormat="1">
      <c r="B52" s="846"/>
      <c r="C52" s="845" t="s">
        <v>520</v>
      </c>
      <c r="D52" s="847"/>
      <c r="E52" s="848"/>
      <c r="F52" s="849"/>
      <c r="G52" s="850">
        <f>SUM(G43:G49)*1%</f>
        <v>0</v>
      </c>
      <c r="H52" s="850">
        <f t="shared" ref="H52:AL52" si="40">SUM(H43:H49)*1%</f>
        <v>0</v>
      </c>
      <c r="I52" s="850">
        <f t="shared" si="40"/>
        <v>0</v>
      </c>
      <c r="J52" s="850">
        <f t="shared" si="40"/>
        <v>0</v>
      </c>
      <c r="K52" s="850">
        <f t="shared" si="40"/>
        <v>0</v>
      </c>
      <c r="L52" s="850">
        <f t="shared" si="40"/>
        <v>0</v>
      </c>
      <c r="M52" s="850">
        <f t="shared" si="40"/>
        <v>0</v>
      </c>
      <c r="N52" s="850">
        <f t="shared" si="40"/>
        <v>0</v>
      </c>
      <c r="O52" s="850">
        <f t="shared" si="40"/>
        <v>0</v>
      </c>
      <c r="P52" s="850">
        <f t="shared" si="40"/>
        <v>5068.792822200372</v>
      </c>
      <c r="Q52" s="850">
        <f t="shared" si="40"/>
        <v>5674.8327897190138</v>
      </c>
      <c r="R52" s="850">
        <f t="shared" si="40"/>
        <v>2692.6241299724893</v>
      </c>
      <c r="S52" s="850">
        <f t="shared" si="40"/>
        <v>7093.8183953734515</v>
      </c>
      <c r="T52" s="850">
        <f t="shared" si="40"/>
        <v>6873.0461999510089</v>
      </c>
      <c r="U52" s="850">
        <f t="shared" si="40"/>
        <v>5808.1622289799443</v>
      </c>
      <c r="V52" s="850">
        <f t="shared" si="40"/>
        <v>4624.5859951961929</v>
      </c>
      <c r="W52" s="850">
        <f t="shared" si="40"/>
        <v>12156.117004598247</v>
      </c>
      <c r="X52" s="850">
        <f t="shared" si="40"/>
        <v>0</v>
      </c>
      <c r="Y52" s="850">
        <f t="shared" si="40"/>
        <v>0</v>
      </c>
      <c r="Z52" s="850">
        <f t="shared" si="40"/>
        <v>2312.2929975980965</v>
      </c>
      <c r="AA52" s="850">
        <f t="shared" si="40"/>
        <v>0</v>
      </c>
      <c r="AB52" s="850">
        <f t="shared" si="40"/>
        <v>0</v>
      </c>
      <c r="AC52" s="850">
        <f t="shared" si="40"/>
        <v>0</v>
      </c>
      <c r="AD52" s="850">
        <f t="shared" si="40"/>
        <v>0</v>
      </c>
      <c r="AE52" s="850">
        <f t="shared" si="40"/>
        <v>0</v>
      </c>
      <c r="AF52" s="850">
        <f t="shared" si="40"/>
        <v>0</v>
      </c>
      <c r="AG52" s="850">
        <f t="shared" si="40"/>
        <v>0</v>
      </c>
      <c r="AH52" s="850">
        <f t="shared" si="40"/>
        <v>0</v>
      </c>
      <c r="AI52" s="850">
        <f t="shared" si="40"/>
        <v>0</v>
      </c>
      <c r="AJ52" s="850">
        <f t="shared" si="40"/>
        <v>0</v>
      </c>
      <c r="AK52" s="850">
        <f t="shared" si="40"/>
        <v>0</v>
      </c>
      <c r="AL52" s="850">
        <f t="shared" si="40"/>
        <v>0</v>
      </c>
      <c r="AM52" s="852"/>
      <c r="AN52" s="852"/>
      <c r="AO52" s="852"/>
      <c r="AP52" s="852"/>
      <c r="AQ52" s="852"/>
      <c r="AR52" s="852"/>
      <c r="AS52" s="852"/>
      <c r="AT52" s="852"/>
      <c r="AU52" s="852"/>
      <c r="AV52" s="852"/>
      <c r="AW52" s="852"/>
      <c r="AX52" s="852"/>
      <c r="AY52" s="852"/>
      <c r="AZ52" s="852"/>
      <c r="BA52" s="852"/>
      <c r="BB52" s="852"/>
      <c r="BC52" s="852"/>
      <c r="BD52" s="852"/>
      <c r="BE52" s="852"/>
      <c r="BF52" s="852"/>
      <c r="BG52" s="852"/>
      <c r="BH52" s="852"/>
      <c r="BI52" s="852"/>
      <c r="BJ52" s="852"/>
      <c r="BK52" s="852"/>
      <c r="BL52" s="852"/>
      <c r="BM52" s="852"/>
      <c r="BN52" s="852"/>
      <c r="BO52" s="852"/>
      <c r="BP52" s="852"/>
      <c r="BQ52" s="852"/>
      <c r="BR52" s="852"/>
      <c r="BS52" s="852"/>
      <c r="BT52" s="852"/>
      <c r="BU52" s="852"/>
      <c r="BV52" s="852"/>
      <c r="BW52" s="852"/>
      <c r="BX52" s="852"/>
      <c r="BY52" s="852"/>
      <c r="BZ52" s="852"/>
      <c r="CA52" s="852"/>
      <c r="CB52" s="852"/>
      <c r="CC52" s="852"/>
      <c r="CD52" s="852"/>
    </row>
    <row r="53" spans="2:87" s="754" customFormat="1">
      <c r="B53" s="846"/>
      <c r="C53" s="845"/>
      <c r="D53" s="847"/>
      <c r="E53" s="848"/>
      <c r="F53" s="849"/>
      <c r="G53" s="850"/>
      <c r="H53" s="850"/>
      <c r="I53" s="850"/>
      <c r="J53" s="850"/>
      <c r="K53" s="850"/>
      <c r="L53" s="850"/>
      <c r="M53" s="850"/>
      <c r="N53" s="850"/>
      <c r="O53" s="850"/>
      <c r="P53" s="850"/>
      <c r="Q53" s="850"/>
      <c r="R53" s="850"/>
      <c r="S53" s="850"/>
      <c r="T53" s="850"/>
      <c r="U53" s="850"/>
      <c r="V53" s="850"/>
      <c r="W53" s="851"/>
      <c r="X53" s="851"/>
      <c r="Y53" s="851"/>
      <c r="Z53" s="851"/>
      <c r="AA53" s="851"/>
      <c r="AB53" s="851"/>
      <c r="AC53" s="851"/>
      <c r="AD53" s="851"/>
      <c r="AE53" s="851"/>
      <c r="AF53" s="851"/>
      <c r="AG53" s="851"/>
      <c r="AH53" s="851"/>
      <c r="AI53" s="851"/>
      <c r="AJ53" s="851"/>
      <c r="AK53" s="851"/>
      <c r="AL53" s="851"/>
      <c r="AM53" s="852"/>
      <c r="AN53" s="852"/>
      <c r="AO53" s="852"/>
      <c r="AP53" s="852"/>
      <c r="AQ53" s="852"/>
      <c r="AR53" s="852"/>
      <c r="AS53" s="852"/>
      <c r="AT53" s="852"/>
      <c r="AU53" s="852"/>
      <c r="AV53" s="852"/>
      <c r="AW53" s="852"/>
      <c r="AX53" s="852"/>
      <c r="AY53" s="852"/>
      <c r="AZ53" s="852"/>
      <c r="BA53" s="852"/>
      <c r="BB53" s="852"/>
      <c r="BC53" s="852"/>
      <c r="BD53" s="852"/>
      <c r="BE53" s="852"/>
      <c r="BF53" s="852"/>
      <c r="BG53" s="852"/>
      <c r="BH53" s="852"/>
      <c r="BI53" s="852"/>
      <c r="BJ53" s="852"/>
      <c r="BK53" s="852"/>
      <c r="BL53" s="852"/>
      <c r="BM53" s="852"/>
      <c r="BN53" s="852"/>
      <c r="BO53" s="852"/>
      <c r="BP53" s="852"/>
      <c r="BQ53" s="852"/>
      <c r="BR53" s="852"/>
      <c r="BS53" s="852"/>
      <c r="BT53" s="852"/>
      <c r="BU53" s="852"/>
      <c r="BV53" s="852"/>
      <c r="BW53" s="852"/>
      <c r="BX53" s="852"/>
      <c r="BY53" s="852"/>
      <c r="BZ53" s="852"/>
      <c r="CA53" s="852"/>
      <c r="CB53" s="852"/>
      <c r="CC53" s="852"/>
      <c r="CD53" s="852"/>
    </row>
    <row r="54" spans="2:87" s="754" customFormat="1">
      <c r="B54" s="846"/>
      <c r="C54" s="845" t="s">
        <v>736</v>
      </c>
      <c r="D54" s="847"/>
      <c r="E54" s="2148">
        <f>('3.Du toan'!F13/'1. thong tin quy hoach'!K10)</f>
        <v>4.9553918267790493</v>
      </c>
      <c r="F54" s="849"/>
      <c r="G54" s="850"/>
      <c r="H54" s="850"/>
      <c r="I54" s="850"/>
      <c r="J54" s="850"/>
      <c r="K54" s="850"/>
      <c r="L54" s="850"/>
      <c r="M54" s="850"/>
      <c r="N54" s="850"/>
      <c r="O54" s="850"/>
      <c r="P54" s="850"/>
      <c r="Q54" s="850"/>
      <c r="R54" s="850"/>
      <c r="S54" s="850"/>
      <c r="T54" s="850"/>
      <c r="U54" s="850"/>
      <c r="V54" s="850"/>
      <c r="W54" s="851"/>
      <c r="X54" s="851"/>
      <c r="Y54" s="851"/>
      <c r="Z54" s="851"/>
      <c r="AA54" s="851"/>
      <c r="AB54" s="851"/>
      <c r="AC54" s="851"/>
      <c r="AD54" s="851"/>
      <c r="AE54" s="851"/>
      <c r="AF54" s="851"/>
      <c r="AG54" s="851"/>
      <c r="AH54" s="851"/>
      <c r="AI54" s="851"/>
      <c r="AJ54" s="851"/>
      <c r="AK54" s="851"/>
      <c r="AL54" s="851"/>
      <c r="AM54" s="852"/>
      <c r="AN54" s="852"/>
      <c r="AO54" s="852"/>
      <c r="AP54" s="852"/>
      <c r="AQ54" s="852"/>
      <c r="AR54" s="852"/>
      <c r="AS54" s="852"/>
      <c r="AT54" s="852"/>
      <c r="AU54" s="852"/>
      <c r="AV54" s="852"/>
      <c r="AW54" s="852"/>
      <c r="AX54" s="852"/>
      <c r="AY54" s="852"/>
      <c r="AZ54" s="852"/>
      <c r="BA54" s="852"/>
      <c r="BB54" s="852"/>
      <c r="BC54" s="852"/>
      <c r="BD54" s="852"/>
      <c r="BE54" s="852"/>
      <c r="BF54" s="852"/>
      <c r="BG54" s="852"/>
      <c r="BH54" s="852"/>
      <c r="BI54" s="852"/>
      <c r="BJ54" s="852"/>
      <c r="BK54" s="852"/>
      <c r="BL54" s="852"/>
      <c r="BM54" s="852"/>
      <c r="BN54" s="852"/>
      <c r="BO54" s="852"/>
      <c r="BP54" s="852"/>
      <c r="BQ54" s="852"/>
      <c r="BR54" s="852"/>
      <c r="BS54" s="852"/>
      <c r="BT54" s="852"/>
      <c r="BU54" s="852"/>
      <c r="BV54" s="852"/>
      <c r="BW54" s="852"/>
      <c r="BX54" s="852"/>
      <c r="BY54" s="852"/>
      <c r="BZ54" s="852"/>
      <c r="CA54" s="852"/>
      <c r="CB54" s="852"/>
      <c r="CC54" s="852"/>
      <c r="CD54" s="852"/>
    </row>
    <row r="55" spans="2:87" ht="18" thickBot="1">
      <c r="C55" s="503" t="s">
        <v>7</v>
      </c>
    </row>
    <row r="56" spans="2:87" s="762" customFormat="1">
      <c r="B56" s="796"/>
      <c r="C56" s="1525" t="s">
        <v>685</v>
      </c>
      <c r="D56" s="797">
        <f>+SUM(D33:D39)</f>
        <v>5230427.2563588815</v>
      </c>
      <c r="E56" s="1523">
        <f t="shared" ref="E56:E59" si="41">D56-SUM(F56:XFD56)</f>
        <v>0</v>
      </c>
      <c r="F56" s="798"/>
      <c r="G56" s="799">
        <f>'5.Doanh thu'!H116</f>
        <v>0</v>
      </c>
      <c r="H56" s="799">
        <f>'5.Doanh thu'!I116</f>
        <v>0</v>
      </c>
      <c r="I56" s="799">
        <f>'5.Doanh thu'!J116</f>
        <v>0</v>
      </c>
      <c r="J56" s="799">
        <f>'5.Doanh thu'!K116</f>
        <v>0</v>
      </c>
      <c r="K56" s="799">
        <f>'5.Doanh thu'!L116</f>
        <v>0</v>
      </c>
      <c r="L56" s="799">
        <f>'5.Doanh thu'!M116</f>
        <v>0</v>
      </c>
      <c r="M56" s="799">
        <f>'5.Doanh thu'!N116</f>
        <v>0</v>
      </c>
      <c r="N56" s="799">
        <f>'5.Doanh thu'!O116</f>
        <v>0</v>
      </c>
      <c r="O56" s="799">
        <f>'5.Doanh thu'!P116</f>
        <v>0</v>
      </c>
      <c r="P56" s="799">
        <f>'5.Doanh thu'!Q116</f>
        <v>1689597.6074001242</v>
      </c>
      <c r="Q56" s="799">
        <f>'5.Doanh thu'!R116</f>
        <v>1891610.9299063382</v>
      </c>
      <c r="R56" s="799">
        <f>'5.Doanh thu'!S116</f>
        <v>641926.8458963678</v>
      </c>
      <c r="S56" s="799">
        <f>'5.Doanh thu'!T116</f>
        <v>478032.13045409659</v>
      </c>
      <c r="T56" s="799">
        <f>'5.Doanh thu'!U116</f>
        <v>261835.92899505436</v>
      </c>
      <c r="U56" s="799">
        <f>'5.Doanh thu'!V116</f>
        <v>236715.2467567503</v>
      </c>
      <c r="V56" s="799">
        <f>'5.Doanh thu'!W116</f>
        <v>0</v>
      </c>
      <c r="W56" s="799">
        <f>'5.Doanh thu'!X116</f>
        <v>30708.566950149303</v>
      </c>
      <c r="X56" s="799">
        <f>'5.Doanh thu'!Y116</f>
        <v>0</v>
      </c>
      <c r="Y56" s="799">
        <f>'5.Doanh thu'!Z116</f>
        <v>0</v>
      </c>
      <c r="Z56" s="799">
        <f>'5.Doanh thu'!AA116</f>
        <v>0</v>
      </c>
      <c r="AA56" s="799">
        <f>'5.Doanh thu'!AB116</f>
        <v>0</v>
      </c>
      <c r="AB56" s="799">
        <f>'5.Doanh thu'!AC116</f>
        <v>0</v>
      </c>
      <c r="AC56" s="799">
        <f>'5.Doanh thu'!AD116</f>
        <v>0</v>
      </c>
      <c r="AD56" s="799">
        <f>'5.Doanh thu'!AE116</f>
        <v>0</v>
      </c>
      <c r="AE56" s="799">
        <f>'5.Doanh thu'!AF116</f>
        <v>0</v>
      </c>
      <c r="AF56" s="799">
        <f>'5.Doanh thu'!AG116</f>
        <v>0</v>
      </c>
      <c r="AG56" s="799">
        <f>'5.Doanh thu'!AH116</f>
        <v>0</v>
      </c>
      <c r="AH56" s="799">
        <f>'5.Doanh thu'!AI116</f>
        <v>0</v>
      </c>
      <c r="AI56" s="799">
        <f>'5.Doanh thu'!AJ116</f>
        <v>0</v>
      </c>
      <c r="AJ56" s="799">
        <f>'5.Doanh thu'!AK116</f>
        <v>0</v>
      </c>
      <c r="AK56" s="799">
        <f>'5.Doanh thu'!AL116</f>
        <v>0</v>
      </c>
      <c r="AL56" s="799">
        <f>'5.Doanh thu'!AM116</f>
        <v>0</v>
      </c>
      <c r="AM56" s="799">
        <f>'5.Doanh thu'!AN116</f>
        <v>0</v>
      </c>
      <c r="AN56" s="799">
        <f>'5.Doanh thu'!AO116</f>
        <v>0</v>
      </c>
      <c r="AO56" s="799">
        <f>'5.Doanh thu'!AP116</f>
        <v>0</v>
      </c>
      <c r="AP56" s="799">
        <f>'5.Doanh thu'!AQ116</f>
        <v>0</v>
      </c>
      <c r="AQ56" s="799">
        <f>'5.Doanh thu'!AR116</f>
        <v>0</v>
      </c>
      <c r="AR56" s="799">
        <f>'5.Doanh thu'!AS116</f>
        <v>0</v>
      </c>
      <c r="AS56" s="799">
        <f>'5.Doanh thu'!AT116</f>
        <v>0</v>
      </c>
      <c r="AT56" s="799">
        <f>'5.Doanh thu'!AU116</f>
        <v>0</v>
      </c>
      <c r="AU56" s="799">
        <f>'5.Doanh thu'!AV116</f>
        <v>0</v>
      </c>
      <c r="AV56" s="799">
        <f>'5.Doanh thu'!AW116</f>
        <v>0</v>
      </c>
      <c r="AW56" s="799">
        <f>'5.Doanh thu'!AX116</f>
        <v>0</v>
      </c>
      <c r="AX56" s="799">
        <f>'5.Doanh thu'!AY116</f>
        <v>0</v>
      </c>
      <c r="AY56" s="799">
        <f>'5.Doanh thu'!AZ116</f>
        <v>0</v>
      </c>
      <c r="AZ56" s="799">
        <f>'5.Doanh thu'!BA116</f>
        <v>0</v>
      </c>
      <c r="BA56" s="799">
        <f>'5.Doanh thu'!BB116</f>
        <v>0</v>
      </c>
      <c r="BB56" s="799">
        <f>'5.Doanh thu'!BC116</f>
        <v>0</v>
      </c>
      <c r="BC56" s="799">
        <f>'5.Doanh thu'!BD116</f>
        <v>0</v>
      </c>
      <c r="BD56" s="799">
        <f>'5.Doanh thu'!BE116</f>
        <v>0</v>
      </c>
      <c r="BE56" s="799">
        <f>'5.Doanh thu'!BF116</f>
        <v>0</v>
      </c>
      <c r="BF56" s="799">
        <f>'5.Doanh thu'!BG116</f>
        <v>0</v>
      </c>
      <c r="BG56" s="799">
        <f>'5.Doanh thu'!BH116</f>
        <v>0</v>
      </c>
      <c r="BH56" s="799">
        <f>'5.Doanh thu'!BI116</f>
        <v>0</v>
      </c>
      <c r="BI56" s="799">
        <f>'5.Doanh thu'!BJ116</f>
        <v>0</v>
      </c>
      <c r="BJ56" s="799">
        <f>'5.Doanh thu'!BK116</f>
        <v>0</v>
      </c>
      <c r="BK56" s="799">
        <f>'5.Doanh thu'!BL116</f>
        <v>0</v>
      </c>
      <c r="BL56" s="799">
        <f>'5.Doanh thu'!BM116</f>
        <v>0</v>
      </c>
      <c r="BM56" s="799">
        <f>'5.Doanh thu'!BN116</f>
        <v>0</v>
      </c>
      <c r="BN56" s="799">
        <f>'5.Doanh thu'!BO116</f>
        <v>0</v>
      </c>
      <c r="BO56" s="799">
        <f>'5.Doanh thu'!BP116</f>
        <v>0</v>
      </c>
      <c r="BP56" s="799">
        <f>'5.Doanh thu'!BQ116</f>
        <v>0</v>
      </c>
      <c r="BQ56" s="799">
        <f>'5.Doanh thu'!BR116</f>
        <v>0</v>
      </c>
      <c r="BR56" s="799">
        <f>'5.Doanh thu'!BS116</f>
        <v>0</v>
      </c>
      <c r="BS56" s="799">
        <f>'5.Doanh thu'!BT116</f>
        <v>0</v>
      </c>
      <c r="BT56" s="799">
        <f>'5.Doanh thu'!BU116</f>
        <v>0</v>
      </c>
      <c r="BU56" s="799">
        <f>'5.Doanh thu'!BV116</f>
        <v>0</v>
      </c>
      <c r="BV56" s="799">
        <f>'5.Doanh thu'!BW116</f>
        <v>0</v>
      </c>
      <c r="BW56" s="799">
        <f>'5.Doanh thu'!BX116</f>
        <v>0</v>
      </c>
      <c r="BX56" s="799">
        <f>'5.Doanh thu'!BY116</f>
        <v>0</v>
      </c>
      <c r="BY56" s="799">
        <f>'5.Doanh thu'!BZ116</f>
        <v>0</v>
      </c>
      <c r="BZ56" s="799">
        <f>'5.Doanh thu'!CA116</f>
        <v>0</v>
      </c>
      <c r="CA56" s="799">
        <f>'5.Doanh thu'!CB116</f>
        <v>0</v>
      </c>
      <c r="CB56" s="799">
        <f>'5.Doanh thu'!CC116</f>
        <v>0</v>
      </c>
      <c r="CC56" s="799">
        <f>'5.Doanh thu'!CD116</f>
        <v>0</v>
      </c>
      <c r="CD56" s="799">
        <f>'5.Doanh thu'!CE116</f>
        <v>0</v>
      </c>
      <c r="CE56" s="799">
        <f>'5.Doanh thu'!CF116</f>
        <v>0</v>
      </c>
      <c r="CF56" s="799">
        <f>'5.Doanh thu'!CG116</f>
        <v>0</v>
      </c>
      <c r="CG56" s="799">
        <f>'5.Doanh thu'!CH116</f>
        <v>0</v>
      </c>
      <c r="CH56" s="799">
        <f>'5.Doanh thu'!CI116</f>
        <v>0</v>
      </c>
      <c r="CI56" s="799">
        <f>'5.Doanh thu'!CJ116</f>
        <v>0</v>
      </c>
    </row>
    <row r="57" spans="2:87" s="762" customFormat="1">
      <c r="B57" s="796"/>
      <c r="C57" s="800" t="s">
        <v>720</v>
      </c>
      <c r="D57" s="801">
        <f>+'3.Du toan'!F13</f>
        <v>484737.93984213157</v>
      </c>
      <c r="E57" s="794">
        <f t="shared" si="41"/>
        <v>0</v>
      </c>
      <c r="F57" s="802"/>
      <c r="G57" s="803">
        <f>G56*$D$57/$D$56</f>
        <v>0</v>
      </c>
      <c r="H57" s="803">
        <f>H56*$D$57/$D$56</f>
        <v>0</v>
      </c>
      <c r="I57" s="803">
        <f>I56*$D$57/$D$56</f>
        <v>0</v>
      </c>
      <c r="J57" s="803">
        <f>J56*$D$57/$D$56</f>
        <v>0</v>
      </c>
      <c r="K57" s="803">
        <f t="shared" ref="K57:BV57" si="42">K56*$D$57/$D$56</f>
        <v>0</v>
      </c>
      <c r="L57" s="803">
        <f t="shared" si="42"/>
        <v>0</v>
      </c>
      <c r="M57" s="803">
        <f t="shared" si="42"/>
        <v>0</v>
      </c>
      <c r="N57" s="803">
        <f t="shared" si="42"/>
        <v>0</v>
      </c>
      <c r="O57" s="803">
        <f t="shared" si="42"/>
        <v>0</v>
      </c>
      <c r="P57" s="803">
        <f t="shared" si="42"/>
        <v>156586.07284474102</v>
      </c>
      <c r="Q57" s="803">
        <f t="shared" si="42"/>
        <v>175307.97011484951</v>
      </c>
      <c r="R57" s="803">
        <f t="shared" si="42"/>
        <v>59491.56379736722</v>
      </c>
      <c r="S57" s="803">
        <f t="shared" si="42"/>
        <v>44302.367423798962</v>
      </c>
      <c r="T57" s="803">
        <f t="shared" si="42"/>
        <v>24266.049899347774</v>
      </c>
      <c r="U57" s="803">
        <f t="shared" si="42"/>
        <v>21937.951799747931</v>
      </c>
      <c r="V57" s="803">
        <f t="shared" si="42"/>
        <v>0</v>
      </c>
      <c r="W57" s="763">
        <f t="shared" si="42"/>
        <v>2845.9639622790651</v>
      </c>
      <c r="X57" s="763">
        <f t="shared" si="42"/>
        <v>0</v>
      </c>
      <c r="Y57" s="763">
        <f t="shared" si="42"/>
        <v>0</v>
      </c>
      <c r="Z57" s="763">
        <f t="shared" si="42"/>
        <v>0</v>
      </c>
      <c r="AA57" s="763">
        <f t="shared" si="42"/>
        <v>0</v>
      </c>
      <c r="AB57" s="763">
        <f t="shared" si="42"/>
        <v>0</v>
      </c>
      <c r="AC57" s="763">
        <f t="shared" si="42"/>
        <v>0</v>
      </c>
      <c r="AD57" s="763">
        <f t="shared" si="42"/>
        <v>0</v>
      </c>
      <c r="AE57" s="763">
        <f t="shared" si="42"/>
        <v>0</v>
      </c>
      <c r="AF57" s="763">
        <f t="shared" si="42"/>
        <v>0</v>
      </c>
      <c r="AG57" s="763">
        <f t="shared" si="42"/>
        <v>0</v>
      </c>
      <c r="AH57" s="763">
        <f t="shared" si="42"/>
        <v>0</v>
      </c>
      <c r="AI57" s="763">
        <f t="shared" si="42"/>
        <v>0</v>
      </c>
      <c r="AJ57" s="763">
        <f t="shared" si="42"/>
        <v>0</v>
      </c>
      <c r="AK57" s="763">
        <f t="shared" si="42"/>
        <v>0</v>
      </c>
      <c r="AL57" s="763">
        <f t="shared" si="42"/>
        <v>0</v>
      </c>
      <c r="AM57" s="763">
        <f t="shared" si="42"/>
        <v>0</v>
      </c>
      <c r="AN57" s="763">
        <f t="shared" si="42"/>
        <v>0</v>
      </c>
      <c r="AO57" s="763">
        <f t="shared" si="42"/>
        <v>0</v>
      </c>
      <c r="AP57" s="763">
        <f t="shared" si="42"/>
        <v>0</v>
      </c>
      <c r="AQ57" s="763">
        <f t="shared" si="42"/>
        <v>0</v>
      </c>
      <c r="AR57" s="763">
        <f t="shared" si="42"/>
        <v>0</v>
      </c>
      <c r="AS57" s="763">
        <f t="shared" si="42"/>
        <v>0</v>
      </c>
      <c r="AT57" s="763">
        <f t="shared" si="42"/>
        <v>0</v>
      </c>
      <c r="AU57" s="763">
        <f t="shared" si="42"/>
        <v>0</v>
      </c>
      <c r="AV57" s="763">
        <f t="shared" si="42"/>
        <v>0</v>
      </c>
      <c r="AW57" s="763">
        <f t="shared" si="42"/>
        <v>0</v>
      </c>
      <c r="AX57" s="763">
        <f t="shared" si="42"/>
        <v>0</v>
      </c>
      <c r="AY57" s="763">
        <f t="shared" si="42"/>
        <v>0</v>
      </c>
      <c r="AZ57" s="763">
        <f t="shared" si="42"/>
        <v>0</v>
      </c>
      <c r="BA57" s="763">
        <f t="shared" si="42"/>
        <v>0</v>
      </c>
      <c r="BB57" s="763">
        <f t="shared" si="42"/>
        <v>0</v>
      </c>
      <c r="BC57" s="763">
        <f t="shared" si="42"/>
        <v>0</v>
      </c>
      <c r="BD57" s="763">
        <f t="shared" si="42"/>
        <v>0</v>
      </c>
      <c r="BE57" s="763">
        <f t="shared" si="42"/>
        <v>0</v>
      </c>
      <c r="BF57" s="763">
        <f t="shared" si="42"/>
        <v>0</v>
      </c>
      <c r="BG57" s="763">
        <f t="shared" si="42"/>
        <v>0</v>
      </c>
      <c r="BH57" s="763">
        <f t="shared" si="42"/>
        <v>0</v>
      </c>
      <c r="BI57" s="763">
        <f t="shared" si="42"/>
        <v>0</v>
      </c>
      <c r="BJ57" s="763">
        <f t="shared" si="42"/>
        <v>0</v>
      </c>
      <c r="BK57" s="763">
        <f t="shared" si="42"/>
        <v>0</v>
      </c>
      <c r="BL57" s="763">
        <f t="shared" si="42"/>
        <v>0</v>
      </c>
      <c r="BM57" s="763">
        <f t="shared" si="42"/>
        <v>0</v>
      </c>
      <c r="BN57" s="763">
        <f t="shared" si="42"/>
        <v>0</v>
      </c>
      <c r="BO57" s="763">
        <f t="shared" si="42"/>
        <v>0</v>
      </c>
      <c r="BP57" s="763">
        <f t="shared" si="42"/>
        <v>0</v>
      </c>
      <c r="BQ57" s="763">
        <f t="shared" si="42"/>
        <v>0</v>
      </c>
      <c r="BR57" s="763">
        <f t="shared" si="42"/>
        <v>0</v>
      </c>
      <c r="BS57" s="763">
        <f t="shared" si="42"/>
        <v>0</v>
      </c>
      <c r="BT57" s="763">
        <f t="shared" si="42"/>
        <v>0</v>
      </c>
      <c r="BU57" s="763">
        <f t="shared" si="42"/>
        <v>0</v>
      </c>
      <c r="BV57" s="763">
        <f t="shared" si="42"/>
        <v>0</v>
      </c>
      <c r="BW57" s="763">
        <f>BW56*$D$57/$D$56</f>
        <v>0</v>
      </c>
      <c r="BX57" s="763">
        <f>BX56*$D$57/$D$56</f>
        <v>0</v>
      </c>
      <c r="BY57" s="763">
        <f t="shared" ref="BY57:CD57" si="43">BY56*$D$57/$D$56</f>
        <v>0</v>
      </c>
      <c r="BZ57" s="763">
        <f t="shared" si="43"/>
        <v>0</v>
      </c>
      <c r="CA57" s="763">
        <f t="shared" si="43"/>
        <v>0</v>
      </c>
      <c r="CB57" s="763">
        <f t="shared" si="43"/>
        <v>0</v>
      </c>
      <c r="CC57" s="763">
        <f t="shared" si="43"/>
        <v>0</v>
      </c>
      <c r="CD57" s="763">
        <f t="shared" si="43"/>
        <v>0</v>
      </c>
      <c r="CE57" s="763">
        <f>CE56*$D$57/$D$56</f>
        <v>0</v>
      </c>
      <c r="CF57" s="763">
        <f>CF56*$D$57/$D$56</f>
        <v>0</v>
      </c>
      <c r="CG57" s="763">
        <f>CG56*$D$57/$D$56</f>
        <v>0</v>
      </c>
      <c r="CH57" s="763">
        <f>CH56*$D$57/$D$56</f>
        <v>0</v>
      </c>
      <c r="CI57" s="763">
        <f>CI56*$D$57/$D$56</f>
        <v>0</v>
      </c>
    </row>
    <row r="58" spans="2:87" s="762" customFormat="1">
      <c r="B58" s="796"/>
      <c r="C58" s="800" t="s">
        <v>79</v>
      </c>
      <c r="D58" s="801">
        <f>SUM(F58:XFD58)</f>
        <v>4745689.3165167496</v>
      </c>
      <c r="E58" s="794">
        <f t="shared" si="41"/>
        <v>0</v>
      </c>
      <c r="F58" s="802"/>
      <c r="G58" s="803">
        <f>G56-G57</f>
        <v>0</v>
      </c>
      <c r="H58" s="803">
        <f>H56-H57</f>
        <v>0</v>
      </c>
      <c r="I58" s="803">
        <f>I56-I57</f>
        <v>0</v>
      </c>
      <c r="J58" s="803">
        <f>J56-J57</f>
        <v>0</v>
      </c>
      <c r="K58" s="803">
        <f t="shared" ref="K58:BV58" si="44">K56-K57</f>
        <v>0</v>
      </c>
      <c r="L58" s="803">
        <f t="shared" si="44"/>
        <v>0</v>
      </c>
      <c r="M58" s="803">
        <f t="shared" si="44"/>
        <v>0</v>
      </c>
      <c r="N58" s="803">
        <f t="shared" si="44"/>
        <v>0</v>
      </c>
      <c r="O58" s="803">
        <f t="shared" si="44"/>
        <v>0</v>
      </c>
      <c r="P58" s="803">
        <f t="shared" si="44"/>
        <v>1533011.5345553833</v>
      </c>
      <c r="Q58" s="803">
        <f t="shared" si="44"/>
        <v>1716302.9597914887</v>
      </c>
      <c r="R58" s="803">
        <f t="shared" si="44"/>
        <v>582435.28209900053</v>
      </c>
      <c r="S58" s="803">
        <f t="shared" si="44"/>
        <v>433729.76303029765</v>
      </c>
      <c r="T58" s="803">
        <f t="shared" si="44"/>
        <v>237569.87909570659</v>
      </c>
      <c r="U58" s="803">
        <f t="shared" si="44"/>
        <v>214777.29495700236</v>
      </c>
      <c r="V58" s="803">
        <f t="shared" si="44"/>
        <v>0</v>
      </c>
      <c r="W58" s="763">
        <f t="shared" si="44"/>
        <v>27862.602987870239</v>
      </c>
      <c r="X58" s="763">
        <f t="shared" si="44"/>
        <v>0</v>
      </c>
      <c r="Y58" s="763">
        <f t="shared" si="44"/>
        <v>0</v>
      </c>
      <c r="Z58" s="763">
        <f t="shared" si="44"/>
        <v>0</v>
      </c>
      <c r="AA58" s="763">
        <f t="shared" si="44"/>
        <v>0</v>
      </c>
      <c r="AB58" s="763">
        <f t="shared" si="44"/>
        <v>0</v>
      </c>
      <c r="AC58" s="763">
        <f t="shared" si="44"/>
        <v>0</v>
      </c>
      <c r="AD58" s="763">
        <f t="shared" si="44"/>
        <v>0</v>
      </c>
      <c r="AE58" s="763">
        <f t="shared" si="44"/>
        <v>0</v>
      </c>
      <c r="AF58" s="763">
        <f t="shared" si="44"/>
        <v>0</v>
      </c>
      <c r="AG58" s="763">
        <f t="shared" si="44"/>
        <v>0</v>
      </c>
      <c r="AH58" s="763">
        <f t="shared" si="44"/>
        <v>0</v>
      </c>
      <c r="AI58" s="763">
        <f t="shared" si="44"/>
        <v>0</v>
      </c>
      <c r="AJ58" s="763">
        <f t="shared" si="44"/>
        <v>0</v>
      </c>
      <c r="AK58" s="763">
        <f t="shared" si="44"/>
        <v>0</v>
      </c>
      <c r="AL58" s="763">
        <f t="shared" si="44"/>
        <v>0</v>
      </c>
      <c r="AM58" s="763">
        <f t="shared" si="44"/>
        <v>0</v>
      </c>
      <c r="AN58" s="763">
        <f t="shared" si="44"/>
        <v>0</v>
      </c>
      <c r="AO58" s="763">
        <f t="shared" si="44"/>
        <v>0</v>
      </c>
      <c r="AP58" s="763">
        <f t="shared" si="44"/>
        <v>0</v>
      </c>
      <c r="AQ58" s="763">
        <f t="shared" si="44"/>
        <v>0</v>
      </c>
      <c r="AR58" s="763">
        <f t="shared" si="44"/>
        <v>0</v>
      </c>
      <c r="AS58" s="763">
        <f t="shared" si="44"/>
        <v>0</v>
      </c>
      <c r="AT58" s="763">
        <f t="shared" si="44"/>
        <v>0</v>
      </c>
      <c r="AU58" s="763">
        <f t="shared" si="44"/>
        <v>0</v>
      </c>
      <c r="AV58" s="763">
        <f t="shared" si="44"/>
        <v>0</v>
      </c>
      <c r="AW58" s="763">
        <f t="shared" si="44"/>
        <v>0</v>
      </c>
      <c r="AX58" s="763">
        <f t="shared" si="44"/>
        <v>0</v>
      </c>
      <c r="AY58" s="763">
        <f t="shared" si="44"/>
        <v>0</v>
      </c>
      <c r="AZ58" s="763">
        <f t="shared" si="44"/>
        <v>0</v>
      </c>
      <c r="BA58" s="763">
        <f t="shared" si="44"/>
        <v>0</v>
      </c>
      <c r="BB58" s="763">
        <f t="shared" si="44"/>
        <v>0</v>
      </c>
      <c r="BC58" s="763">
        <f t="shared" si="44"/>
        <v>0</v>
      </c>
      <c r="BD58" s="763">
        <f t="shared" si="44"/>
        <v>0</v>
      </c>
      <c r="BE58" s="763">
        <f t="shared" si="44"/>
        <v>0</v>
      </c>
      <c r="BF58" s="763">
        <f t="shared" si="44"/>
        <v>0</v>
      </c>
      <c r="BG58" s="763">
        <f t="shared" si="44"/>
        <v>0</v>
      </c>
      <c r="BH58" s="763">
        <f t="shared" si="44"/>
        <v>0</v>
      </c>
      <c r="BI58" s="763">
        <f t="shared" si="44"/>
        <v>0</v>
      </c>
      <c r="BJ58" s="763">
        <f t="shared" si="44"/>
        <v>0</v>
      </c>
      <c r="BK58" s="763">
        <f t="shared" si="44"/>
        <v>0</v>
      </c>
      <c r="BL58" s="763">
        <f t="shared" si="44"/>
        <v>0</v>
      </c>
      <c r="BM58" s="763">
        <f t="shared" si="44"/>
        <v>0</v>
      </c>
      <c r="BN58" s="763">
        <f t="shared" si="44"/>
        <v>0</v>
      </c>
      <c r="BO58" s="763">
        <f t="shared" si="44"/>
        <v>0</v>
      </c>
      <c r="BP58" s="763">
        <f t="shared" si="44"/>
        <v>0</v>
      </c>
      <c r="BQ58" s="763">
        <f t="shared" si="44"/>
        <v>0</v>
      </c>
      <c r="BR58" s="763">
        <f t="shared" si="44"/>
        <v>0</v>
      </c>
      <c r="BS58" s="763">
        <f t="shared" si="44"/>
        <v>0</v>
      </c>
      <c r="BT58" s="763">
        <f t="shared" si="44"/>
        <v>0</v>
      </c>
      <c r="BU58" s="763">
        <f t="shared" si="44"/>
        <v>0</v>
      </c>
      <c r="BV58" s="763">
        <f t="shared" si="44"/>
        <v>0</v>
      </c>
      <c r="BW58" s="763">
        <f>BW56-BW57</f>
        <v>0</v>
      </c>
      <c r="BX58" s="763">
        <f>BX56-BX57</f>
        <v>0</v>
      </c>
      <c r="BY58" s="763">
        <f t="shared" ref="BY58:CD58" si="45">BY56-BY57</f>
        <v>0</v>
      </c>
      <c r="BZ58" s="763">
        <f t="shared" si="45"/>
        <v>0</v>
      </c>
      <c r="CA58" s="763">
        <f t="shared" si="45"/>
        <v>0</v>
      </c>
      <c r="CB58" s="763">
        <f t="shared" si="45"/>
        <v>0</v>
      </c>
      <c r="CC58" s="763">
        <f t="shared" si="45"/>
        <v>0</v>
      </c>
      <c r="CD58" s="763">
        <f t="shared" si="45"/>
        <v>0</v>
      </c>
      <c r="CE58" s="763">
        <f>CE56-CE57</f>
        <v>0</v>
      </c>
      <c r="CF58" s="763">
        <f>CF56-CF57</f>
        <v>0</v>
      </c>
      <c r="CG58" s="763">
        <f>CG56-CG57</f>
        <v>0</v>
      </c>
      <c r="CH58" s="763">
        <f>CH56-CH57</f>
        <v>0</v>
      </c>
      <c r="CI58" s="763">
        <f>CI56-CI57</f>
        <v>0</v>
      </c>
    </row>
    <row r="59" spans="2:87" s="762" customFormat="1">
      <c r="B59" s="796"/>
      <c r="C59" s="1518" t="s">
        <v>113</v>
      </c>
      <c r="D59" s="1519">
        <f>SUM(F59:XFD59)</f>
        <v>431426.3015015226</v>
      </c>
      <c r="E59" s="1520">
        <f t="shared" si="41"/>
        <v>0</v>
      </c>
      <c r="F59" s="1521"/>
      <c r="G59" s="1519">
        <f>G58/1.1*0.1</f>
        <v>0</v>
      </c>
      <c r="H59" s="1519">
        <f>H58/1.1*0.1</f>
        <v>0</v>
      </c>
      <c r="I59" s="1519">
        <f>I58/1.1*0.1</f>
        <v>0</v>
      </c>
      <c r="J59" s="1519">
        <f>J58/1.1*0.1</f>
        <v>0</v>
      </c>
      <c r="K59" s="1519">
        <f t="shared" ref="K59:BV59" si="46">K58/1.1*0.1</f>
        <v>0</v>
      </c>
      <c r="L59" s="1519">
        <f t="shared" si="46"/>
        <v>0</v>
      </c>
      <c r="M59" s="1519">
        <f t="shared" si="46"/>
        <v>0</v>
      </c>
      <c r="N59" s="1519">
        <f t="shared" si="46"/>
        <v>0</v>
      </c>
      <c r="O59" s="1519">
        <f t="shared" si="46"/>
        <v>0</v>
      </c>
      <c r="P59" s="1519">
        <f t="shared" si="46"/>
        <v>139364.68495958028</v>
      </c>
      <c r="Q59" s="1519">
        <f t="shared" si="46"/>
        <v>156027.54179922625</v>
      </c>
      <c r="R59" s="1519">
        <f t="shared" si="46"/>
        <v>52948.662009000051</v>
      </c>
      <c r="S59" s="1519">
        <f t="shared" si="46"/>
        <v>39429.978457299789</v>
      </c>
      <c r="T59" s="1519">
        <f t="shared" si="46"/>
        <v>21597.261735973327</v>
      </c>
      <c r="U59" s="1519">
        <f t="shared" si="46"/>
        <v>19525.20863245476</v>
      </c>
      <c r="V59" s="1519">
        <f t="shared" si="46"/>
        <v>0</v>
      </c>
      <c r="W59" s="1522">
        <f t="shared" si="46"/>
        <v>2532.9639079882036</v>
      </c>
      <c r="X59" s="1522">
        <f t="shared" si="46"/>
        <v>0</v>
      </c>
      <c r="Y59" s="1522">
        <f t="shared" si="46"/>
        <v>0</v>
      </c>
      <c r="Z59" s="1522">
        <f t="shared" si="46"/>
        <v>0</v>
      </c>
      <c r="AA59" s="1522">
        <f t="shared" si="46"/>
        <v>0</v>
      </c>
      <c r="AB59" s="1522">
        <f t="shared" si="46"/>
        <v>0</v>
      </c>
      <c r="AC59" s="1522">
        <f t="shared" si="46"/>
        <v>0</v>
      </c>
      <c r="AD59" s="1522">
        <f t="shared" si="46"/>
        <v>0</v>
      </c>
      <c r="AE59" s="1522">
        <f t="shared" si="46"/>
        <v>0</v>
      </c>
      <c r="AF59" s="1522">
        <f t="shared" si="46"/>
        <v>0</v>
      </c>
      <c r="AG59" s="1522">
        <f t="shared" si="46"/>
        <v>0</v>
      </c>
      <c r="AH59" s="1522">
        <f t="shared" si="46"/>
        <v>0</v>
      </c>
      <c r="AI59" s="1522">
        <f t="shared" si="46"/>
        <v>0</v>
      </c>
      <c r="AJ59" s="1522">
        <f t="shared" si="46"/>
        <v>0</v>
      </c>
      <c r="AK59" s="1522">
        <f t="shared" si="46"/>
        <v>0</v>
      </c>
      <c r="AL59" s="1522">
        <f t="shared" si="46"/>
        <v>0</v>
      </c>
      <c r="AM59" s="1522">
        <f t="shared" si="46"/>
        <v>0</v>
      </c>
      <c r="AN59" s="1522">
        <f t="shared" si="46"/>
        <v>0</v>
      </c>
      <c r="AO59" s="1522">
        <f t="shared" si="46"/>
        <v>0</v>
      </c>
      <c r="AP59" s="1522">
        <f t="shared" si="46"/>
        <v>0</v>
      </c>
      <c r="AQ59" s="1522">
        <f t="shared" si="46"/>
        <v>0</v>
      </c>
      <c r="AR59" s="1522">
        <f t="shared" si="46"/>
        <v>0</v>
      </c>
      <c r="AS59" s="1522">
        <f t="shared" si="46"/>
        <v>0</v>
      </c>
      <c r="AT59" s="1522">
        <f t="shared" si="46"/>
        <v>0</v>
      </c>
      <c r="AU59" s="1522">
        <f t="shared" si="46"/>
        <v>0</v>
      </c>
      <c r="AV59" s="1522">
        <f t="shared" si="46"/>
        <v>0</v>
      </c>
      <c r="AW59" s="1522">
        <f t="shared" si="46"/>
        <v>0</v>
      </c>
      <c r="AX59" s="1522">
        <f t="shared" si="46"/>
        <v>0</v>
      </c>
      <c r="AY59" s="1522">
        <f t="shared" si="46"/>
        <v>0</v>
      </c>
      <c r="AZ59" s="1522">
        <f t="shared" si="46"/>
        <v>0</v>
      </c>
      <c r="BA59" s="1522">
        <f t="shared" si="46"/>
        <v>0</v>
      </c>
      <c r="BB59" s="1522">
        <f t="shared" si="46"/>
        <v>0</v>
      </c>
      <c r="BC59" s="1522">
        <f t="shared" si="46"/>
        <v>0</v>
      </c>
      <c r="BD59" s="1522">
        <f t="shared" si="46"/>
        <v>0</v>
      </c>
      <c r="BE59" s="1522">
        <f t="shared" si="46"/>
        <v>0</v>
      </c>
      <c r="BF59" s="1522">
        <f t="shared" si="46"/>
        <v>0</v>
      </c>
      <c r="BG59" s="1522">
        <f t="shared" si="46"/>
        <v>0</v>
      </c>
      <c r="BH59" s="1522">
        <f t="shared" si="46"/>
        <v>0</v>
      </c>
      <c r="BI59" s="1522">
        <f t="shared" si="46"/>
        <v>0</v>
      </c>
      <c r="BJ59" s="1522">
        <f t="shared" si="46"/>
        <v>0</v>
      </c>
      <c r="BK59" s="1522">
        <f t="shared" si="46"/>
        <v>0</v>
      </c>
      <c r="BL59" s="1522">
        <f t="shared" si="46"/>
        <v>0</v>
      </c>
      <c r="BM59" s="1522">
        <f t="shared" si="46"/>
        <v>0</v>
      </c>
      <c r="BN59" s="1522">
        <f t="shared" si="46"/>
        <v>0</v>
      </c>
      <c r="BO59" s="1522">
        <f t="shared" si="46"/>
        <v>0</v>
      </c>
      <c r="BP59" s="1522">
        <f t="shared" si="46"/>
        <v>0</v>
      </c>
      <c r="BQ59" s="1522">
        <f t="shared" si="46"/>
        <v>0</v>
      </c>
      <c r="BR59" s="1522">
        <f t="shared" si="46"/>
        <v>0</v>
      </c>
      <c r="BS59" s="1522">
        <f t="shared" si="46"/>
        <v>0</v>
      </c>
      <c r="BT59" s="1522">
        <f t="shared" si="46"/>
        <v>0</v>
      </c>
      <c r="BU59" s="1522">
        <f t="shared" si="46"/>
        <v>0</v>
      </c>
      <c r="BV59" s="1522">
        <f t="shared" si="46"/>
        <v>0</v>
      </c>
      <c r="BW59" s="1522">
        <f>BW58/1.1*0.1</f>
        <v>0</v>
      </c>
      <c r="BX59" s="1522">
        <f>BX58/1.1*0.1</f>
        <v>0</v>
      </c>
      <c r="BY59" s="1522">
        <f t="shared" ref="BY59:CD59" si="47">BY58/1.1*0.1</f>
        <v>0</v>
      </c>
      <c r="BZ59" s="1522">
        <f t="shared" si="47"/>
        <v>0</v>
      </c>
      <c r="CA59" s="1522">
        <f t="shared" si="47"/>
        <v>0</v>
      </c>
      <c r="CB59" s="1522">
        <f t="shared" si="47"/>
        <v>0</v>
      </c>
      <c r="CC59" s="1522">
        <f t="shared" si="47"/>
        <v>0</v>
      </c>
      <c r="CD59" s="1522">
        <f t="shared" si="47"/>
        <v>0</v>
      </c>
      <c r="CE59" s="1522">
        <f>CE58/1.1*0.1</f>
        <v>0</v>
      </c>
      <c r="CF59" s="1522">
        <f>CF58/1.1*0.1</f>
        <v>0</v>
      </c>
      <c r="CG59" s="1522">
        <f>CG58/1.1*0.1</f>
        <v>0</v>
      </c>
      <c r="CH59" s="1522">
        <f>CH58/1.1*0.1</f>
        <v>0</v>
      </c>
      <c r="CI59" s="1522">
        <f>CI58/1.1*0.1</f>
        <v>0</v>
      </c>
    </row>
    <row r="60" spans="2:87" s="1412" customFormat="1">
      <c r="B60" s="1411"/>
      <c r="C60" s="1524" t="s">
        <v>718</v>
      </c>
      <c r="D60" s="1527">
        <f>SUM(F60:XFD60)</f>
        <v>4799000.9548573587</v>
      </c>
      <c r="E60" s="1528">
        <f>D60-SUM(F60:XFD60)</f>
        <v>0</v>
      </c>
      <c r="F60" s="1529"/>
      <c r="G60" s="1530">
        <f t="shared" ref="G60:AL60" si="48">G56-G59</f>
        <v>0</v>
      </c>
      <c r="H60" s="1530">
        <f t="shared" si="48"/>
        <v>0</v>
      </c>
      <c r="I60" s="1530">
        <f t="shared" si="48"/>
        <v>0</v>
      </c>
      <c r="J60" s="1530">
        <f t="shared" si="48"/>
        <v>0</v>
      </c>
      <c r="K60" s="1530">
        <f t="shared" si="48"/>
        <v>0</v>
      </c>
      <c r="L60" s="1530">
        <f t="shared" si="48"/>
        <v>0</v>
      </c>
      <c r="M60" s="1530">
        <f t="shared" si="48"/>
        <v>0</v>
      </c>
      <c r="N60" s="1530">
        <f t="shared" si="48"/>
        <v>0</v>
      </c>
      <c r="O60" s="1530">
        <f t="shared" si="48"/>
        <v>0</v>
      </c>
      <c r="P60" s="1530">
        <f t="shared" si="48"/>
        <v>1550232.922440544</v>
      </c>
      <c r="Q60" s="1530">
        <f t="shared" si="48"/>
        <v>1735583.3881071119</v>
      </c>
      <c r="R60" s="1530">
        <f t="shared" si="48"/>
        <v>588978.18388736772</v>
      </c>
      <c r="S60" s="1530">
        <f t="shared" si="48"/>
        <v>438602.15199679683</v>
      </c>
      <c r="T60" s="1530">
        <f t="shared" si="48"/>
        <v>240238.66725908103</v>
      </c>
      <c r="U60" s="1530">
        <f t="shared" si="48"/>
        <v>217190.03812429553</v>
      </c>
      <c r="V60" s="1530">
        <f t="shared" si="48"/>
        <v>0</v>
      </c>
      <c r="W60" s="1531">
        <f t="shared" si="48"/>
        <v>28175.603042161099</v>
      </c>
      <c r="X60" s="1531">
        <f t="shared" si="48"/>
        <v>0</v>
      </c>
      <c r="Y60" s="1531">
        <f t="shared" si="48"/>
        <v>0</v>
      </c>
      <c r="Z60" s="1531">
        <f t="shared" si="48"/>
        <v>0</v>
      </c>
      <c r="AA60" s="1531">
        <f t="shared" si="48"/>
        <v>0</v>
      </c>
      <c r="AB60" s="1531">
        <f t="shared" si="48"/>
        <v>0</v>
      </c>
      <c r="AC60" s="1531">
        <f t="shared" si="48"/>
        <v>0</v>
      </c>
      <c r="AD60" s="1531">
        <f t="shared" si="48"/>
        <v>0</v>
      </c>
      <c r="AE60" s="1531">
        <f t="shared" si="48"/>
        <v>0</v>
      </c>
      <c r="AF60" s="1531">
        <f t="shared" si="48"/>
        <v>0</v>
      </c>
      <c r="AG60" s="1531">
        <f t="shared" si="48"/>
        <v>0</v>
      </c>
      <c r="AH60" s="1531">
        <f t="shared" si="48"/>
        <v>0</v>
      </c>
      <c r="AI60" s="1531">
        <f t="shared" si="48"/>
        <v>0</v>
      </c>
      <c r="AJ60" s="1531">
        <f t="shared" si="48"/>
        <v>0</v>
      </c>
      <c r="AK60" s="1531">
        <f t="shared" si="48"/>
        <v>0</v>
      </c>
      <c r="AL60" s="1531">
        <f t="shared" si="48"/>
        <v>0</v>
      </c>
      <c r="AM60" s="1531">
        <f t="shared" ref="AM60:BR60" si="49">AM56-AM59</f>
        <v>0</v>
      </c>
      <c r="AN60" s="1531">
        <f t="shared" si="49"/>
        <v>0</v>
      </c>
      <c r="AO60" s="1531">
        <f t="shared" si="49"/>
        <v>0</v>
      </c>
      <c r="AP60" s="1531">
        <f t="shared" si="49"/>
        <v>0</v>
      </c>
      <c r="AQ60" s="1531">
        <f t="shared" si="49"/>
        <v>0</v>
      </c>
      <c r="AR60" s="1531">
        <f t="shared" si="49"/>
        <v>0</v>
      </c>
      <c r="AS60" s="1531">
        <f t="shared" si="49"/>
        <v>0</v>
      </c>
      <c r="AT60" s="1531">
        <f t="shared" si="49"/>
        <v>0</v>
      </c>
      <c r="AU60" s="1531">
        <f t="shared" si="49"/>
        <v>0</v>
      </c>
      <c r="AV60" s="1531">
        <f t="shared" si="49"/>
        <v>0</v>
      </c>
      <c r="AW60" s="1531">
        <f t="shared" si="49"/>
        <v>0</v>
      </c>
      <c r="AX60" s="1531">
        <f t="shared" si="49"/>
        <v>0</v>
      </c>
      <c r="AY60" s="1531">
        <f t="shared" si="49"/>
        <v>0</v>
      </c>
      <c r="AZ60" s="1531">
        <f t="shared" si="49"/>
        <v>0</v>
      </c>
      <c r="BA60" s="1531">
        <f t="shared" si="49"/>
        <v>0</v>
      </c>
      <c r="BB60" s="1531">
        <f t="shared" si="49"/>
        <v>0</v>
      </c>
      <c r="BC60" s="1531">
        <f t="shared" si="49"/>
        <v>0</v>
      </c>
      <c r="BD60" s="1531">
        <f t="shared" si="49"/>
        <v>0</v>
      </c>
      <c r="BE60" s="1531">
        <f t="shared" si="49"/>
        <v>0</v>
      </c>
      <c r="BF60" s="1531">
        <f t="shared" si="49"/>
        <v>0</v>
      </c>
      <c r="BG60" s="1531">
        <f t="shared" si="49"/>
        <v>0</v>
      </c>
      <c r="BH60" s="1531">
        <f t="shared" si="49"/>
        <v>0</v>
      </c>
      <c r="BI60" s="1531">
        <f t="shared" si="49"/>
        <v>0</v>
      </c>
      <c r="BJ60" s="1531">
        <f t="shared" si="49"/>
        <v>0</v>
      </c>
      <c r="BK60" s="1531">
        <f t="shared" si="49"/>
        <v>0</v>
      </c>
      <c r="BL60" s="1531">
        <f t="shared" si="49"/>
        <v>0</v>
      </c>
      <c r="BM60" s="1531">
        <f t="shared" si="49"/>
        <v>0</v>
      </c>
      <c r="BN60" s="1531">
        <f t="shared" si="49"/>
        <v>0</v>
      </c>
      <c r="BO60" s="1531">
        <f t="shared" si="49"/>
        <v>0</v>
      </c>
      <c r="BP60" s="1531">
        <f t="shared" si="49"/>
        <v>0</v>
      </c>
      <c r="BQ60" s="1531">
        <f t="shared" si="49"/>
        <v>0</v>
      </c>
      <c r="BR60" s="1531">
        <f t="shared" si="49"/>
        <v>0</v>
      </c>
      <c r="BS60" s="1531">
        <f t="shared" ref="BS60:CI60" si="50">BS56-BS59</f>
        <v>0</v>
      </c>
      <c r="BT60" s="1531">
        <f t="shared" si="50"/>
        <v>0</v>
      </c>
      <c r="BU60" s="1531">
        <f t="shared" si="50"/>
        <v>0</v>
      </c>
      <c r="BV60" s="1531">
        <f t="shared" si="50"/>
        <v>0</v>
      </c>
      <c r="BW60" s="1531">
        <f t="shared" si="50"/>
        <v>0</v>
      </c>
      <c r="BX60" s="1531">
        <f t="shared" si="50"/>
        <v>0</v>
      </c>
      <c r="BY60" s="1531">
        <f t="shared" si="50"/>
        <v>0</v>
      </c>
      <c r="BZ60" s="1531">
        <f t="shared" si="50"/>
        <v>0</v>
      </c>
      <c r="CA60" s="1531">
        <f t="shared" si="50"/>
        <v>0</v>
      </c>
      <c r="CB60" s="1531">
        <f t="shared" si="50"/>
        <v>0</v>
      </c>
      <c r="CC60" s="1531">
        <f t="shared" si="50"/>
        <v>0</v>
      </c>
      <c r="CD60" s="1531">
        <f t="shared" si="50"/>
        <v>0</v>
      </c>
      <c r="CE60" s="1531">
        <f t="shared" si="50"/>
        <v>0</v>
      </c>
      <c r="CF60" s="1531">
        <f t="shared" si="50"/>
        <v>0</v>
      </c>
      <c r="CG60" s="1531">
        <f t="shared" si="50"/>
        <v>0</v>
      </c>
      <c r="CH60" s="1531">
        <f t="shared" si="50"/>
        <v>0</v>
      </c>
      <c r="CI60" s="1531">
        <f t="shared" si="50"/>
        <v>0</v>
      </c>
    </row>
    <row r="61" spans="2:87">
      <c r="D61" s="586">
        <f>+D60*1.1</f>
        <v>5278901.0503430953</v>
      </c>
      <c r="CE61" s="747"/>
      <c r="CF61" s="747"/>
    </row>
    <row r="62" spans="2:87" ht="18" thickBot="1">
      <c r="C62" s="503" t="s">
        <v>36</v>
      </c>
      <c r="CE62" s="747"/>
      <c r="CF62" s="747"/>
    </row>
    <row r="63" spans="2:87">
      <c r="C63" s="1525" t="s">
        <v>685</v>
      </c>
      <c r="D63" s="797">
        <f>+SUM(D43:D49)</f>
        <v>5230427.2563588815</v>
      </c>
      <c r="E63" s="1523">
        <f t="shared" ref="E63:E66" si="51">D63-SUM(F63:XFD63)</f>
        <v>0</v>
      </c>
      <c r="F63" s="804"/>
      <c r="G63" s="799">
        <f>'5.Doanh thu'!H117</f>
        <v>0</v>
      </c>
      <c r="H63" s="799">
        <f>'5.Doanh thu'!I117</f>
        <v>0</v>
      </c>
      <c r="I63" s="799">
        <f>'5.Doanh thu'!J117</f>
        <v>0</v>
      </c>
      <c r="J63" s="799">
        <f>'5.Doanh thu'!K117</f>
        <v>0</v>
      </c>
      <c r="K63" s="799">
        <f>'5.Doanh thu'!L117</f>
        <v>0</v>
      </c>
      <c r="L63" s="799">
        <f>'5.Doanh thu'!M117</f>
        <v>0</v>
      </c>
      <c r="M63" s="799">
        <f>'5.Doanh thu'!N117</f>
        <v>0</v>
      </c>
      <c r="N63" s="799">
        <f>'5.Doanh thu'!O117</f>
        <v>0</v>
      </c>
      <c r="O63" s="799">
        <f>'5.Doanh thu'!P117</f>
        <v>0</v>
      </c>
      <c r="P63" s="799">
        <f>'5.Doanh thu'!Q117</f>
        <v>506879.28222003719</v>
      </c>
      <c r="Q63" s="799">
        <f>'5.Doanh thu'!R117</f>
        <v>567483.2789719014</v>
      </c>
      <c r="R63" s="799">
        <f>'5.Doanh thu'!S117</f>
        <v>269262.41299724893</v>
      </c>
      <c r="S63" s="799">
        <f>'5.Doanh thu'!T117</f>
        <v>709381.83953734511</v>
      </c>
      <c r="T63" s="799">
        <f>'5.Doanh thu'!U117</f>
        <v>687304.61999510089</v>
      </c>
      <c r="U63" s="799">
        <f>'5.Doanh thu'!V117</f>
        <v>580816.22289799445</v>
      </c>
      <c r="V63" s="799">
        <f>'5.Doanh thu'!W117</f>
        <v>462458.59951961931</v>
      </c>
      <c r="W63" s="799">
        <f>'5.Doanh thu'!X117</f>
        <v>1215611.7004598246</v>
      </c>
      <c r="X63" s="799">
        <f>'5.Doanh thu'!Y117</f>
        <v>0</v>
      </c>
      <c r="Y63" s="799">
        <f>'5.Doanh thu'!Z117</f>
        <v>0</v>
      </c>
      <c r="Z63" s="799">
        <f>'5.Doanh thu'!AA117</f>
        <v>231229.29975980966</v>
      </c>
      <c r="AA63" s="799">
        <f>'5.Doanh thu'!AB117</f>
        <v>0</v>
      </c>
      <c r="AB63" s="799">
        <f>'5.Doanh thu'!AC117</f>
        <v>0</v>
      </c>
      <c r="AC63" s="799">
        <f>'5.Doanh thu'!AD117</f>
        <v>0</v>
      </c>
      <c r="AD63" s="799">
        <f>'5.Doanh thu'!AE117</f>
        <v>0</v>
      </c>
      <c r="AE63" s="799">
        <f>'5.Doanh thu'!AF117</f>
        <v>0</v>
      </c>
      <c r="AF63" s="799">
        <f>'5.Doanh thu'!AG117</f>
        <v>0</v>
      </c>
      <c r="AG63" s="799">
        <f>'5.Doanh thu'!AH117</f>
        <v>0</v>
      </c>
      <c r="AH63" s="799">
        <f>'5.Doanh thu'!AI117</f>
        <v>0</v>
      </c>
      <c r="AI63" s="799">
        <f>'5.Doanh thu'!AJ117</f>
        <v>0</v>
      </c>
      <c r="AJ63" s="799">
        <f>'5.Doanh thu'!AK117</f>
        <v>0</v>
      </c>
      <c r="AK63" s="799">
        <f>'5.Doanh thu'!AL117</f>
        <v>0</v>
      </c>
      <c r="AL63" s="799">
        <f>'5.Doanh thu'!AM117</f>
        <v>0</v>
      </c>
      <c r="AM63" s="799">
        <f>'5.Doanh thu'!AN117</f>
        <v>0</v>
      </c>
      <c r="AN63" s="799">
        <f>'5.Doanh thu'!AO117</f>
        <v>0</v>
      </c>
      <c r="AO63" s="799">
        <f>'5.Doanh thu'!AP117</f>
        <v>0</v>
      </c>
      <c r="AP63" s="799">
        <f>'5.Doanh thu'!AQ117</f>
        <v>0</v>
      </c>
      <c r="AQ63" s="799">
        <f>'5.Doanh thu'!AR117</f>
        <v>0</v>
      </c>
      <c r="AR63" s="799">
        <f>'5.Doanh thu'!AS117</f>
        <v>0</v>
      </c>
      <c r="AS63" s="799">
        <f>'5.Doanh thu'!AT117</f>
        <v>0</v>
      </c>
      <c r="AT63" s="799">
        <f>'5.Doanh thu'!AU117</f>
        <v>0</v>
      </c>
      <c r="AU63" s="799">
        <f>'5.Doanh thu'!AV117</f>
        <v>0</v>
      </c>
      <c r="AV63" s="799">
        <f>'5.Doanh thu'!AW117</f>
        <v>0</v>
      </c>
      <c r="AW63" s="799">
        <f>'5.Doanh thu'!AX117</f>
        <v>0</v>
      </c>
      <c r="AX63" s="799">
        <f>'5.Doanh thu'!AY117</f>
        <v>0</v>
      </c>
      <c r="AY63" s="799">
        <f>'5.Doanh thu'!AZ117</f>
        <v>0</v>
      </c>
      <c r="AZ63" s="799">
        <f>'5.Doanh thu'!BA117</f>
        <v>0</v>
      </c>
      <c r="BA63" s="799">
        <f>'5.Doanh thu'!BB117</f>
        <v>0</v>
      </c>
      <c r="BB63" s="799">
        <f>'5.Doanh thu'!BC117</f>
        <v>0</v>
      </c>
      <c r="BC63" s="799">
        <f>'5.Doanh thu'!BD117</f>
        <v>0</v>
      </c>
      <c r="BD63" s="799">
        <f>'5.Doanh thu'!BE117</f>
        <v>0</v>
      </c>
      <c r="BE63" s="799">
        <f>'5.Doanh thu'!BF117</f>
        <v>0</v>
      </c>
      <c r="BF63" s="799">
        <f>'5.Doanh thu'!BG117</f>
        <v>0</v>
      </c>
      <c r="BG63" s="799">
        <f>'5.Doanh thu'!BH117</f>
        <v>0</v>
      </c>
      <c r="BH63" s="799">
        <f>'5.Doanh thu'!BI117</f>
        <v>0</v>
      </c>
      <c r="BI63" s="799">
        <f>'5.Doanh thu'!BJ117</f>
        <v>0</v>
      </c>
      <c r="BJ63" s="799">
        <f>'5.Doanh thu'!BK117</f>
        <v>0</v>
      </c>
      <c r="BK63" s="799">
        <f>'5.Doanh thu'!BL117</f>
        <v>0</v>
      </c>
      <c r="BL63" s="799">
        <f>'5.Doanh thu'!BM117</f>
        <v>0</v>
      </c>
      <c r="BM63" s="799">
        <f>'5.Doanh thu'!BN117</f>
        <v>0</v>
      </c>
      <c r="BN63" s="799">
        <f>'5.Doanh thu'!BO117</f>
        <v>0</v>
      </c>
      <c r="BO63" s="799">
        <f>'5.Doanh thu'!BP117</f>
        <v>0</v>
      </c>
      <c r="BP63" s="799">
        <f>'5.Doanh thu'!BQ117</f>
        <v>0</v>
      </c>
      <c r="BQ63" s="799">
        <f>'5.Doanh thu'!BR117</f>
        <v>0</v>
      </c>
      <c r="BR63" s="799">
        <f>'5.Doanh thu'!BS117</f>
        <v>0</v>
      </c>
      <c r="BS63" s="799">
        <f>'5.Doanh thu'!BT117</f>
        <v>0</v>
      </c>
      <c r="BT63" s="799">
        <f>'5.Doanh thu'!BU117</f>
        <v>0</v>
      </c>
      <c r="BU63" s="799">
        <f>'5.Doanh thu'!BV117</f>
        <v>0</v>
      </c>
      <c r="BV63" s="799">
        <f>'5.Doanh thu'!BW117</f>
        <v>0</v>
      </c>
      <c r="BW63" s="799">
        <f>'5.Doanh thu'!BX117</f>
        <v>0</v>
      </c>
      <c r="BX63" s="799">
        <f>'5.Doanh thu'!BY117</f>
        <v>0</v>
      </c>
      <c r="BY63" s="799">
        <f>'5.Doanh thu'!BZ117</f>
        <v>0</v>
      </c>
      <c r="BZ63" s="799">
        <f>'5.Doanh thu'!CA117</f>
        <v>0</v>
      </c>
      <c r="CA63" s="799">
        <f>'5.Doanh thu'!CB117</f>
        <v>0</v>
      </c>
      <c r="CB63" s="799">
        <f>'5.Doanh thu'!CC117</f>
        <v>0</v>
      </c>
      <c r="CC63" s="799">
        <f>'5.Doanh thu'!CD117</f>
        <v>0</v>
      </c>
      <c r="CD63" s="799">
        <f>'5.Doanh thu'!CE117</f>
        <v>0</v>
      </c>
      <c r="CE63" s="799">
        <f>'5.Doanh thu'!CF117</f>
        <v>0</v>
      </c>
      <c r="CF63" s="799">
        <f>'5.Doanh thu'!CG117</f>
        <v>0</v>
      </c>
      <c r="CG63" s="799">
        <f>'5.Doanh thu'!CH117</f>
        <v>0</v>
      </c>
      <c r="CH63" s="799">
        <f>'5.Doanh thu'!CI117</f>
        <v>0</v>
      </c>
      <c r="CI63" s="799">
        <f>'5.Doanh thu'!CJ117</f>
        <v>0</v>
      </c>
    </row>
    <row r="64" spans="2:87">
      <c r="C64" s="800" t="s">
        <v>720</v>
      </c>
      <c r="D64" s="805">
        <f>D57</f>
        <v>484737.93984213157</v>
      </c>
      <c r="E64" s="794">
        <f t="shared" si="51"/>
        <v>0</v>
      </c>
      <c r="F64" s="806"/>
      <c r="G64" s="803">
        <f>G63*$D$64/$D$63</f>
        <v>0</v>
      </c>
      <c r="H64" s="803">
        <f t="shared" ref="H64:BS64" si="52">H63*$D$64/$D$63</f>
        <v>0</v>
      </c>
      <c r="I64" s="803">
        <f t="shared" si="52"/>
        <v>0</v>
      </c>
      <c r="J64" s="803">
        <f t="shared" si="52"/>
        <v>0</v>
      </c>
      <c r="K64" s="803">
        <f t="shared" si="52"/>
        <v>0</v>
      </c>
      <c r="L64" s="803">
        <f t="shared" si="52"/>
        <v>0</v>
      </c>
      <c r="M64" s="803">
        <f t="shared" si="52"/>
        <v>0</v>
      </c>
      <c r="N64" s="803">
        <f t="shared" si="52"/>
        <v>0</v>
      </c>
      <c r="O64" s="803">
        <f t="shared" si="52"/>
        <v>0</v>
      </c>
      <c r="P64" s="803">
        <f t="shared" si="52"/>
        <v>46975.821853422305</v>
      </c>
      <c r="Q64" s="803">
        <f t="shared" si="52"/>
        <v>52592.391034454842</v>
      </c>
      <c r="R64" s="803">
        <f t="shared" si="52"/>
        <v>24954.31079641269</v>
      </c>
      <c r="S64" s="803">
        <f t="shared" si="52"/>
        <v>65743.059716718533</v>
      </c>
      <c r="T64" s="803">
        <f t="shared" si="52"/>
        <v>63697.019232102408</v>
      </c>
      <c r="U64" s="803">
        <f t="shared" si="52"/>
        <v>53828.042244957323</v>
      </c>
      <c r="V64" s="803">
        <f t="shared" si="52"/>
        <v>42859.06634508336</v>
      </c>
      <c r="W64" s="763">
        <f t="shared" si="52"/>
        <v>112658.69544643842</v>
      </c>
      <c r="X64" s="763">
        <f t="shared" si="52"/>
        <v>0</v>
      </c>
      <c r="Y64" s="763">
        <f t="shared" si="52"/>
        <v>0</v>
      </c>
      <c r="Z64" s="763">
        <f t="shared" si="52"/>
        <v>21429.53317254168</v>
      </c>
      <c r="AA64" s="763">
        <f t="shared" si="52"/>
        <v>0</v>
      </c>
      <c r="AB64" s="763">
        <f t="shared" si="52"/>
        <v>0</v>
      </c>
      <c r="AC64" s="763">
        <f t="shared" si="52"/>
        <v>0</v>
      </c>
      <c r="AD64" s="763">
        <f t="shared" si="52"/>
        <v>0</v>
      </c>
      <c r="AE64" s="763">
        <f t="shared" si="52"/>
        <v>0</v>
      </c>
      <c r="AF64" s="763">
        <f t="shared" si="52"/>
        <v>0</v>
      </c>
      <c r="AG64" s="763">
        <f t="shared" si="52"/>
        <v>0</v>
      </c>
      <c r="AH64" s="763">
        <f t="shared" si="52"/>
        <v>0</v>
      </c>
      <c r="AI64" s="763">
        <f t="shared" si="52"/>
        <v>0</v>
      </c>
      <c r="AJ64" s="763">
        <f t="shared" si="52"/>
        <v>0</v>
      </c>
      <c r="AK64" s="763">
        <f t="shared" si="52"/>
        <v>0</v>
      </c>
      <c r="AL64" s="763">
        <f t="shared" si="52"/>
        <v>0</v>
      </c>
      <c r="AM64" s="763">
        <f t="shared" si="52"/>
        <v>0</v>
      </c>
      <c r="AN64" s="763">
        <f t="shared" si="52"/>
        <v>0</v>
      </c>
      <c r="AO64" s="763">
        <f t="shared" si="52"/>
        <v>0</v>
      </c>
      <c r="AP64" s="763">
        <f t="shared" si="52"/>
        <v>0</v>
      </c>
      <c r="AQ64" s="763">
        <f t="shared" si="52"/>
        <v>0</v>
      </c>
      <c r="AR64" s="763">
        <f t="shared" si="52"/>
        <v>0</v>
      </c>
      <c r="AS64" s="763">
        <f t="shared" si="52"/>
        <v>0</v>
      </c>
      <c r="AT64" s="763">
        <f t="shared" si="52"/>
        <v>0</v>
      </c>
      <c r="AU64" s="763">
        <f t="shared" si="52"/>
        <v>0</v>
      </c>
      <c r="AV64" s="763">
        <f t="shared" si="52"/>
        <v>0</v>
      </c>
      <c r="AW64" s="763">
        <f t="shared" si="52"/>
        <v>0</v>
      </c>
      <c r="AX64" s="763">
        <f t="shared" si="52"/>
        <v>0</v>
      </c>
      <c r="AY64" s="763">
        <f t="shared" si="52"/>
        <v>0</v>
      </c>
      <c r="AZ64" s="763">
        <f t="shared" si="52"/>
        <v>0</v>
      </c>
      <c r="BA64" s="763">
        <f t="shared" si="52"/>
        <v>0</v>
      </c>
      <c r="BB64" s="763">
        <f t="shared" si="52"/>
        <v>0</v>
      </c>
      <c r="BC64" s="763">
        <f t="shared" si="52"/>
        <v>0</v>
      </c>
      <c r="BD64" s="763">
        <f t="shared" si="52"/>
        <v>0</v>
      </c>
      <c r="BE64" s="763">
        <f t="shared" si="52"/>
        <v>0</v>
      </c>
      <c r="BF64" s="763">
        <f t="shared" si="52"/>
        <v>0</v>
      </c>
      <c r="BG64" s="763">
        <f t="shared" si="52"/>
        <v>0</v>
      </c>
      <c r="BH64" s="763">
        <f t="shared" si="52"/>
        <v>0</v>
      </c>
      <c r="BI64" s="763">
        <f t="shared" si="52"/>
        <v>0</v>
      </c>
      <c r="BJ64" s="763">
        <f t="shared" si="52"/>
        <v>0</v>
      </c>
      <c r="BK64" s="763">
        <f t="shared" si="52"/>
        <v>0</v>
      </c>
      <c r="BL64" s="763">
        <f t="shared" si="52"/>
        <v>0</v>
      </c>
      <c r="BM64" s="763">
        <f t="shared" si="52"/>
        <v>0</v>
      </c>
      <c r="BN64" s="763">
        <f t="shared" si="52"/>
        <v>0</v>
      </c>
      <c r="BO64" s="763">
        <f t="shared" si="52"/>
        <v>0</v>
      </c>
      <c r="BP64" s="763">
        <f t="shared" si="52"/>
        <v>0</v>
      </c>
      <c r="BQ64" s="763">
        <f t="shared" si="52"/>
        <v>0</v>
      </c>
      <c r="BR64" s="763">
        <f t="shared" si="52"/>
        <v>0</v>
      </c>
      <c r="BS64" s="763">
        <f t="shared" si="52"/>
        <v>0</v>
      </c>
      <c r="BT64" s="763">
        <f>BT63*$D$64/$D$63</f>
        <v>0</v>
      </c>
      <c r="BU64" s="763">
        <f>BU63*$D$64/$D$63</f>
        <v>0</v>
      </c>
      <c r="BV64" s="763">
        <f>BV63*$D$64/$D$63</f>
        <v>0</v>
      </c>
      <c r="BW64" s="763">
        <f>BW63*$D$64/$D$63</f>
        <v>0</v>
      </c>
      <c r="BX64" s="763">
        <f>BX63*$D$64/$D$63</f>
        <v>0</v>
      </c>
      <c r="BY64" s="763">
        <f t="shared" ref="BY64:CF64" si="53">BY63*$D$64/$D$63</f>
        <v>0</v>
      </c>
      <c r="BZ64" s="763">
        <f t="shared" si="53"/>
        <v>0</v>
      </c>
      <c r="CA64" s="763">
        <f t="shared" si="53"/>
        <v>0</v>
      </c>
      <c r="CB64" s="763">
        <f t="shared" si="53"/>
        <v>0</v>
      </c>
      <c r="CC64" s="763">
        <f t="shared" si="53"/>
        <v>0</v>
      </c>
      <c r="CD64" s="763">
        <f t="shared" si="53"/>
        <v>0</v>
      </c>
      <c r="CE64" s="763">
        <f t="shared" si="53"/>
        <v>0</v>
      </c>
      <c r="CF64" s="763">
        <f t="shared" si="53"/>
        <v>0</v>
      </c>
      <c r="CG64" s="763">
        <f>CG63*$D$64/$D$63</f>
        <v>0</v>
      </c>
      <c r="CH64" s="763">
        <f>CH63*$D$64/$D$63</f>
        <v>0</v>
      </c>
      <c r="CI64" s="763">
        <f>CI63*$D$64/$D$63</f>
        <v>0</v>
      </c>
    </row>
    <row r="65" spans="2:87">
      <c r="C65" s="800" t="s">
        <v>79</v>
      </c>
      <c r="D65" s="801">
        <f>SUM(F65:XFD65)</f>
        <v>4745689.3165167486</v>
      </c>
      <c r="E65" s="794">
        <f t="shared" si="51"/>
        <v>0</v>
      </c>
      <c r="F65" s="806"/>
      <c r="G65" s="803">
        <f>G63-G64</f>
        <v>0</v>
      </c>
      <c r="H65" s="803">
        <f t="shared" ref="H65:BS65" si="54">H63-H64</f>
        <v>0</v>
      </c>
      <c r="I65" s="803">
        <f t="shared" si="54"/>
        <v>0</v>
      </c>
      <c r="J65" s="803">
        <f t="shared" si="54"/>
        <v>0</v>
      </c>
      <c r="K65" s="803">
        <f t="shared" si="54"/>
        <v>0</v>
      </c>
      <c r="L65" s="803">
        <f t="shared" si="54"/>
        <v>0</v>
      </c>
      <c r="M65" s="803">
        <f t="shared" si="54"/>
        <v>0</v>
      </c>
      <c r="N65" s="803">
        <f t="shared" si="54"/>
        <v>0</v>
      </c>
      <c r="O65" s="803">
        <f t="shared" si="54"/>
        <v>0</v>
      </c>
      <c r="P65" s="803">
        <f t="shared" si="54"/>
        <v>459903.46036661486</v>
      </c>
      <c r="Q65" s="803">
        <f t="shared" si="54"/>
        <v>514890.88793744653</v>
      </c>
      <c r="R65" s="803">
        <f t="shared" si="54"/>
        <v>244308.10220083623</v>
      </c>
      <c r="S65" s="803">
        <f t="shared" si="54"/>
        <v>643638.7798206266</v>
      </c>
      <c r="T65" s="803">
        <f t="shared" si="54"/>
        <v>623607.60076299845</v>
      </c>
      <c r="U65" s="803">
        <f t="shared" si="54"/>
        <v>526988.18065303715</v>
      </c>
      <c r="V65" s="803">
        <f t="shared" si="54"/>
        <v>419599.53317453596</v>
      </c>
      <c r="W65" s="763">
        <f t="shared" si="54"/>
        <v>1102953.0050133863</v>
      </c>
      <c r="X65" s="763">
        <f t="shared" si="54"/>
        <v>0</v>
      </c>
      <c r="Y65" s="763">
        <f t="shared" si="54"/>
        <v>0</v>
      </c>
      <c r="Z65" s="763">
        <f t="shared" si="54"/>
        <v>209799.76658726798</v>
      </c>
      <c r="AA65" s="763">
        <f t="shared" si="54"/>
        <v>0</v>
      </c>
      <c r="AB65" s="763">
        <f t="shared" si="54"/>
        <v>0</v>
      </c>
      <c r="AC65" s="763">
        <f t="shared" si="54"/>
        <v>0</v>
      </c>
      <c r="AD65" s="763">
        <f t="shared" si="54"/>
        <v>0</v>
      </c>
      <c r="AE65" s="763">
        <f t="shared" si="54"/>
        <v>0</v>
      </c>
      <c r="AF65" s="763">
        <f t="shared" si="54"/>
        <v>0</v>
      </c>
      <c r="AG65" s="763">
        <f t="shared" si="54"/>
        <v>0</v>
      </c>
      <c r="AH65" s="763">
        <f t="shared" si="54"/>
        <v>0</v>
      </c>
      <c r="AI65" s="763">
        <f t="shared" si="54"/>
        <v>0</v>
      </c>
      <c r="AJ65" s="763">
        <f t="shared" si="54"/>
        <v>0</v>
      </c>
      <c r="AK65" s="763">
        <f t="shared" si="54"/>
        <v>0</v>
      </c>
      <c r="AL65" s="763">
        <f t="shared" si="54"/>
        <v>0</v>
      </c>
      <c r="AM65" s="763">
        <f t="shared" si="54"/>
        <v>0</v>
      </c>
      <c r="AN65" s="763">
        <f t="shared" si="54"/>
        <v>0</v>
      </c>
      <c r="AO65" s="763">
        <f t="shared" si="54"/>
        <v>0</v>
      </c>
      <c r="AP65" s="763">
        <f t="shared" si="54"/>
        <v>0</v>
      </c>
      <c r="AQ65" s="763">
        <f t="shared" si="54"/>
        <v>0</v>
      </c>
      <c r="AR65" s="763">
        <f t="shared" si="54"/>
        <v>0</v>
      </c>
      <c r="AS65" s="763">
        <f t="shared" si="54"/>
        <v>0</v>
      </c>
      <c r="AT65" s="763">
        <f t="shared" si="54"/>
        <v>0</v>
      </c>
      <c r="AU65" s="763">
        <f t="shared" si="54"/>
        <v>0</v>
      </c>
      <c r="AV65" s="763">
        <f t="shared" si="54"/>
        <v>0</v>
      </c>
      <c r="AW65" s="763">
        <f t="shared" si="54"/>
        <v>0</v>
      </c>
      <c r="AX65" s="763">
        <f t="shared" si="54"/>
        <v>0</v>
      </c>
      <c r="AY65" s="763">
        <f t="shared" si="54"/>
        <v>0</v>
      </c>
      <c r="AZ65" s="763">
        <f t="shared" si="54"/>
        <v>0</v>
      </c>
      <c r="BA65" s="763">
        <f t="shared" si="54"/>
        <v>0</v>
      </c>
      <c r="BB65" s="763">
        <f t="shared" si="54"/>
        <v>0</v>
      </c>
      <c r="BC65" s="763">
        <f t="shared" si="54"/>
        <v>0</v>
      </c>
      <c r="BD65" s="763">
        <f t="shared" si="54"/>
        <v>0</v>
      </c>
      <c r="BE65" s="763">
        <f t="shared" si="54"/>
        <v>0</v>
      </c>
      <c r="BF65" s="763">
        <f t="shared" si="54"/>
        <v>0</v>
      </c>
      <c r="BG65" s="763">
        <f t="shared" si="54"/>
        <v>0</v>
      </c>
      <c r="BH65" s="763">
        <f t="shared" si="54"/>
        <v>0</v>
      </c>
      <c r="BI65" s="763">
        <f t="shared" si="54"/>
        <v>0</v>
      </c>
      <c r="BJ65" s="763">
        <f t="shared" si="54"/>
        <v>0</v>
      </c>
      <c r="BK65" s="763">
        <f t="shared" si="54"/>
        <v>0</v>
      </c>
      <c r="BL65" s="763">
        <f t="shared" si="54"/>
        <v>0</v>
      </c>
      <c r="BM65" s="763">
        <f t="shared" si="54"/>
        <v>0</v>
      </c>
      <c r="BN65" s="763">
        <f t="shared" si="54"/>
        <v>0</v>
      </c>
      <c r="BO65" s="763">
        <f t="shared" si="54"/>
        <v>0</v>
      </c>
      <c r="BP65" s="763">
        <f t="shared" si="54"/>
        <v>0</v>
      </c>
      <c r="BQ65" s="763">
        <f t="shared" si="54"/>
        <v>0</v>
      </c>
      <c r="BR65" s="763">
        <f t="shared" si="54"/>
        <v>0</v>
      </c>
      <c r="BS65" s="763">
        <f t="shared" si="54"/>
        <v>0</v>
      </c>
      <c r="BT65" s="763">
        <f>BT63-BT64</f>
        <v>0</v>
      </c>
      <c r="BU65" s="763">
        <f>BU63-BU64</f>
        <v>0</v>
      </c>
      <c r="BV65" s="763">
        <f>BV63-BV64</f>
        <v>0</v>
      </c>
      <c r="BW65" s="763">
        <f>BW63-BW64</f>
        <v>0</v>
      </c>
      <c r="BX65" s="763">
        <f>BX63-BX64</f>
        <v>0</v>
      </c>
      <c r="BY65" s="763">
        <f t="shared" ref="BY65:CD65" si="55">BY63-BY64</f>
        <v>0</v>
      </c>
      <c r="BZ65" s="763">
        <f t="shared" si="55"/>
        <v>0</v>
      </c>
      <c r="CA65" s="763">
        <f t="shared" si="55"/>
        <v>0</v>
      </c>
      <c r="CB65" s="763">
        <f t="shared" si="55"/>
        <v>0</v>
      </c>
      <c r="CC65" s="763">
        <f t="shared" si="55"/>
        <v>0</v>
      </c>
      <c r="CD65" s="763">
        <f t="shared" si="55"/>
        <v>0</v>
      </c>
      <c r="CE65" s="763">
        <f>CE63-CE64</f>
        <v>0</v>
      </c>
      <c r="CF65" s="763">
        <f>CF63-CF64</f>
        <v>0</v>
      </c>
      <c r="CG65" s="763">
        <f>CG63-CG64</f>
        <v>0</v>
      </c>
      <c r="CH65" s="763">
        <f>CH63-CH64</f>
        <v>0</v>
      </c>
      <c r="CI65" s="763">
        <f>CI63-CI64</f>
        <v>0</v>
      </c>
    </row>
    <row r="66" spans="2:87">
      <c r="C66" s="1518" t="s">
        <v>113</v>
      </c>
      <c r="D66" s="1519">
        <f>SUM(F66:XFD66)</f>
        <v>431426.30150152271</v>
      </c>
      <c r="E66" s="1520">
        <f t="shared" si="51"/>
        <v>0</v>
      </c>
      <c r="F66" s="1532"/>
      <c r="G66" s="1519">
        <f>G65/1.1*0.1</f>
        <v>0</v>
      </c>
      <c r="H66" s="1519">
        <f t="shared" ref="H66:BS66" si="56">H65/1.1*0.1</f>
        <v>0</v>
      </c>
      <c r="I66" s="1519">
        <f t="shared" si="56"/>
        <v>0</v>
      </c>
      <c r="J66" s="1519">
        <f t="shared" si="56"/>
        <v>0</v>
      </c>
      <c r="K66" s="1519">
        <f t="shared" si="56"/>
        <v>0</v>
      </c>
      <c r="L66" s="1519">
        <f t="shared" si="56"/>
        <v>0</v>
      </c>
      <c r="M66" s="1519">
        <f t="shared" si="56"/>
        <v>0</v>
      </c>
      <c r="N66" s="1519">
        <f t="shared" si="56"/>
        <v>0</v>
      </c>
      <c r="O66" s="1519">
        <f t="shared" si="56"/>
        <v>0</v>
      </c>
      <c r="P66" s="1519">
        <f t="shared" si="56"/>
        <v>41809.405487874079</v>
      </c>
      <c r="Q66" s="1519">
        <f t="shared" si="56"/>
        <v>46808.262539767864</v>
      </c>
      <c r="R66" s="1519">
        <f t="shared" si="56"/>
        <v>22209.827472803296</v>
      </c>
      <c r="S66" s="1519">
        <f t="shared" si="56"/>
        <v>58512.616347329691</v>
      </c>
      <c r="T66" s="1519">
        <f t="shared" si="56"/>
        <v>56691.6000693635</v>
      </c>
      <c r="U66" s="1519">
        <f t="shared" si="56"/>
        <v>47908.016423003377</v>
      </c>
      <c r="V66" s="1519">
        <f t="shared" si="56"/>
        <v>38145.412106775992</v>
      </c>
      <c r="W66" s="1522">
        <f t="shared" si="56"/>
        <v>100268.45500121693</v>
      </c>
      <c r="X66" s="1522">
        <f t="shared" si="56"/>
        <v>0</v>
      </c>
      <c r="Y66" s="1522">
        <f t="shared" si="56"/>
        <v>0</v>
      </c>
      <c r="Z66" s="1522">
        <f t="shared" si="56"/>
        <v>19072.706053387996</v>
      </c>
      <c r="AA66" s="1522">
        <f t="shared" si="56"/>
        <v>0</v>
      </c>
      <c r="AB66" s="1522">
        <f t="shared" si="56"/>
        <v>0</v>
      </c>
      <c r="AC66" s="1522">
        <f t="shared" si="56"/>
        <v>0</v>
      </c>
      <c r="AD66" s="1522">
        <f t="shared" si="56"/>
        <v>0</v>
      </c>
      <c r="AE66" s="1522">
        <f t="shared" si="56"/>
        <v>0</v>
      </c>
      <c r="AF66" s="1522">
        <f t="shared" si="56"/>
        <v>0</v>
      </c>
      <c r="AG66" s="1522">
        <f t="shared" si="56"/>
        <v>0</v>
      </c>
      <c r="AH66" s="1522">
        <f t="shared" si="56"/>
        <v>0</v>
      </c>
      <c r="AI66" s="1522">
        <f t="shared" si="56"/>
        <v>0</v>
      </c>
      <c r="AJ66" s="1522">
        <f t="shared" si="56"/>
        <v>0</v>
      </c>
      <c r="AK66" s="1522">
        <f t="shared" si="56"/>
        <v>0</v>
      </c>
      <c r="AL66" s="1522">
        <f t="shared" si="56"/>
        <v>0</v>
      </c>
      <c r="AM66" s="1522">
        <f t="shared" si="56"/>
        <v>0</v>
      </c>
      <c r="AN66" s="1522">
        <f t="shared" si="56"/>
        <v>0</v>
      </c>
      <c r="AO66" s="1522">
        <f t="shared" si="56"/>
        <v>0</v>
      </c>
      <c r="AP66" s="1522">
        <f t="shared" si="56"/>
        <v>0</v>
      </c>
      <c r="AQ66" s="1522">
        <f t="shared" si="56"/>
        <v>0</v>
      </c>
      <c r="AR66" s="1522">
        <f t="shared" si="56"/>
        <v>0</v>
      </c>
      <c r="AS66" s="1522">
        <f t="shared" si="56"/>
        <v>0</v>
      </c>
      <c r="AT66" s="1522">
        <f t="shared" si="56"/>
        <v>0</v>
      </c>
      <c r="AU66" s="1522">
        <f t="shared" si="56"/>
        <v>0</v>
      </c>
      <c r="AV66" s="1522">
        <f t="shared" si="56"/>
        <v>0</v>
      </c>
      <c r="AW66" s="1522">
        <f t="shared" si="56"/>
        <v>0</v>
      </c>
      <c r="AX66" s="1522">
        <f t="shared" si="56"/>
        <v>0</v>
      </c>
      <c r="AY66" s="1522">
        <f t="shared" si="56"/>
        <v>0</v>
      </c>
      <c r="AZ66" s="1522">
        <f t="shared" si="56"/>
        <v>0</v>
      </c>
      <c r="BA66" s="1522">
        <f t="shared" si="56"/>
        <v>0</v>
      </c>
      <c r="BB66" s="1522">
        <f t="shared" si="56"/>
        <v>0</v>
      </c>
      <c r="BC66" s="1522">
        <f t="shared" si="56"/>
        <v>0</v>
      </c>
      <c r="BD66" s="1522">
        <f t="shared" si="56"/>
        <v>0</v>
      </c>
      <c r="BE66" s="1522">
        <f t="shared" si="56"/>
        <v>0</v>
      </c>
      <c r="BF66" s="1522">
        <f t="shared" si="56"/>
        <v>0</v>
      </c>
      <c r="BG66" s="1522">
        <f t="shared" si="56"/>
        <v>0</v>
      </c>
      <c r="BH66" s="1522">
        <f t="shared" si="56"/>
        <v>0</v>
      </c>
      <c r="BI66" s="1522">
        <f t="shared" si="56"/>
        <v>0</v>
      </c>
      <c r="BJ66" s="1522">
        <f t="shared" si="56"/>
        <v>0</v>
      </c>
      <c r="BK66" s="1522">
        <f t="shared" si="56"/>
        <v>0</v>
      </c>
      <c r="BL66" s="1522">
        <f t="shared" si="56"/>
        <v>0</v>
      </c>
      <c r="BM66" s="1522">
        <f t="shared" si="56"/>
        <v>0</v>
      </c>
      <c r="BN66" s="1522">
        <f t="shared" si="56"/>
        <v>0</v>
      </c>
      <c r="BO66" s="1522">
        <f t="shared" si="56"/>
        <v>0</v>
      </c>
      <c r="BP66" s="1522">
        <f t="shared" si="56"/>
        <v>0</v>
      </c>
      <c r="BQ66" s="1522">
        <f t="shared" si="56"/>
        <v>0</v>
      </c>
      <c r="BR66" s="1522">
        <f t="shared" si="56"/>
        <v>0</v>
      </c>
      <c r="BS66" s="1522">
        <f t="shared" si="56"/>
        <v>0</v>
      </c>
      <c r="BT66" s="1522">
        <f>BT65/1.1*0.1</f>
        <v>0</v>
      </c>
      <c r="BU66" s="1522">
        <f>BU65/1.1*0.1</f>
        <v>0</v>
      </c>
      <c r="BV66" s="1522">
        <f>BV65/1.1*0.1</f>
        <v>0</v>
      </c>
      <c r="BW66" s="1522">
        <f>BW65/1.1*0.1</f>
        <v>0</v>
      </c>
      <c r="BX66" s="1522">
        <f>BX65/1.1*0.1</f>
        <v>0</v>
      </c>
      <c r="BY66" s="1522">
        <f t="shared" ref="BY66:CD66" si="57">BY65/1.1*0.1</f>
        <v>0</v>
      </c>
      <c r="BZ66" s="1522">
        <f t="shared" si="57"/>
        <v>0</v>
      </c>
      <c r="CA66" s="1522">
        <f t="shared" si="57"/>
        <v>0</v>
      </c>
      <c r="CB66" s="1522">
        <f t="shared" si="57"/>
        <v>0</v>
      </c>
      <c r="CC66" s="1522">
        <f t="shared" si="57"/>
        <v>0</v>
      </c>
      <c r="CD66" s="1522">
        <f t="shared" si="57"/>
        <v>0</v>
      </c>
      <c r="CE66" s="1522">
        <f>CE65/1.1*0.1</f>
        <v>0</v>
      </c>
      <c r="CF66" s="1522">
        <f>CF65/1.1*0.1</f>
        <v>0</v>
      </c>
      <c r="CG66" s="1522">
        <f>CG65/1.1*0.1</f>
        <v>0</v>
      </c>
      <c r="CH66" s="1522">
        <f>CH65/1.1*0.1</f>
        <v>0</v>
      </c>
      <c r="CI66" s="1522">
        <f>CI65/1.1*0.1</f>
        <v>0</v>
      </c>
    </row>
    <row r="67" spans="2:87" s="751" customFormat="1">
      <c r="B67" s="679"/>
      <c r="C67" s="1524" t="s">
        <v>719</v>
      </c>
      <c r="D67" s="1526">
        <f>SUM(F67:XFD67)</f>
        <v>4799000.9548573587</v>
      </c>
      <c r="E67" s="1528">
        <f>D67-SUM(F67:XFD67)</f>
        <v>0</v>
      </c>
      <c r="F67" s="1533"/>
      <c r="G67" s="1530">
        <f t="shared" ref="G67:AL67" si="58">G63-G66</f>
        <v>0</v>
      </c>
      <c r="H67" s="1530">
        <f t="shared" si="58"/>
        <v>0</v>
      </c>
      <c r="I67" s="1530">
        <f t="shared" si="58"/>
        <v>0</v>
      </c>
      <c r="J67" s="1530">
        <f t="shared" si="58"/>
        <v>0</v>
      </c>
      <c r="K67" s="1530">
        <f t="shared" si="58"/>
        <v>0</v>
      </c>
      <c r="L67" s="1530">
        <f t="shared" si="58"/>
        <v>0</v>
      </c>
      <c r="M67" s="1530">
        <f t="shared" si="58"/>
        <v>0</v>
      </c>
      <c r="N67" s="1530">
        <f t="shared" si="58"/>
        <v>0</v>
      </c>
      <c r="O67" s="1530">
        <f t="shared" si="58"/>
        <v>0</v>
      </c>
      <c r="P67" s="1530">
        <f t="shared" si="58"/>
        <v>465069.87673216313</v>
      </c>
      <c r="Q67" s="1530">
        <f t="shared" si="58"/>
        <v>520675.0164321335</v>
      </c>
      <c r="R67" s="1530">
        <f t="shared" si="58"/>
        <v>247052.58552444563</v>
      </c>
      <c r="S67" s="1530">
        <f t="shared" si="58"/>
        <v>650869.22319001541</v>
      </c>
      <c r="T67" s="1530">
        <f t="shared" si="58"/>
        <v>630613.0199257374</v>
      </c>
      <c r="U67" s="1530">
        <f t="shared" si="58"/>
        <v>532908.20647499105</v>
      </c>
      <c r="V67" s="1530">
        <f t="shared" si="58"/>
        <v>424313.18741284334</v>
      </c>
      <c r="W67" s="1530">
        <f t="shared" si="58"/>
        <v>1115343.2454586078</v>
      </c>
      <c r="X67" s="1530">
        <f t="shared" si="58"/>
        <v>0</v>
      </c>
      <c r="Y67" s="1530">
        <f t="shared" si="58"/>
        <v>0</v>
      </c>
      <c r="Z67" s="1530">
        <f t="shared" si="58"/>
        <v>212156.59370642167</v>
      </c>
      <c r="AA67" s="1530">
        <f t="shared" si="58"/>
        <v>0</v>
      </c>
      <c r="AB67" s="1530">
        <f t="shared" si="58"/>
        <v>0</v>
      </c>
      <c r="AC67" s="1530">
        <f t="shared" si="58"/>
        <v>0</v>
      </c>
      <c r="AD67" s="1530">
        <f t="shared" si="58"/>
        <v>0</v>
      </c>
      <c r="AE67" s="1530">
        <f t="shared" si="58"/>
        <v>0</v>
      </c>
      <c r="AF67" s="1530">
        <f t="shared" si="58"/>
        <v>0</v>
      </c>
      <c r="AG67" s="1530">
        <f t="shared" si="58"/>
        <v>0</v>
      </c>
      <c r="AH67" s="1530">
        <f t="shared" si="58"/>
        <v>0</v>
      </c>
      <c r="AI67" s="1530">
        <f t="shared" si="58"/>
        <v>0</v>
      </c>
      <c r="AJ67" s="1530">
        <f t="shared" si="58"/>
        <v>0</v>
      </c>
      <c r="AK67" s="1530">
        <f t="shared" si="58"/>
        <v>0</v>
      </c>
      <c r="AL67" s="1530">
        <f t="shared" si="58"/>
        <v>0</v>
      </c>
      <c r="AM67" s="1530">
        <f t="shared" ref="AM67:BR67" si="59">AM63-AM66</f>
        <v>0</v>
      </c>
      <c r="AN67" s="1530">
        <f t="shared" si="59"/>
        <v>0</v>
      </c>
      <c r="AO67" s="1530">
        <f t="shared" si="59"/>
        <v>0</v>
      </c>
      <c r="AP67" s="1530">
        <f t="shared" si="59"/>
        <v>0</v>
      </c>
      <c r="AQ67" s="1530">
        <f t="shared" si="59"/>
        <v>0</v>
      </c>
      <c r="AR67" s="1530">
        <f t="shared" si="59"/>
        <v>0</v>
      </c>
      <c r="AS67" s="1530">
        <f t="shared" si="59"/>
        <v>0</v>
      </c>
      <c r="AT67" s="1530">
        <f t="shared" si="59"/>
        <v>0</v>
      </c>
      <c r="AU67" s="1530">
        <f t="shared" si="59"/>
        <v>0</v>
      </c>
      <c r="AV67" s="1530">
        <f t="shared" si="59"/>
        <v>0</v>
      </c>
      <c r="AW67" s="1530">
        <f t="shared" si="59"/>
        <v>0</v>
      </c>
      <c r="AX67" s="1530">
        <f t="shared" si="59"/>
        <v>0</v>
      </c>
      <c r="AY67" s="1530">
        <f t="shared" si="59"/>
        <v>0</v>
      </c>
      <c r="AZ67" s="1530">
        <f t="shared" si="59"/>
        <v>0</v>
      </c>
      <c r="BA67" s="1530">
        <f t="shared" si="59"/>
        <v>0</v>
      </c>
      <c r="BB67" s="1530">
        <f t="shared" si="59"/>
        <v>0</v>
      </c>
      <c r="BC67" s="1530">
        <f t="shared" si="59"/>
        <v>0</v>
      </c>
      <c r="BD67" s="1530">
        <f t="shared" si="59"/>
        <v>0</v>
      </c>
      <c r="BE67" s="1530">
        <f t="shared" si="59"/>
        <v>0</v>
      </c>
      <c r="BF67" s="1530">
        <f t="shared" si="59"/>
        <v>0</v>
      </c>
      <c r="BG67" s="1530">
        <f t="shared" si="59"/>
        <v>0</v>
      </c>
      <c r="BH67" s="1530">
        <f t="shared" si="59"/>
        <v>0</v>
      </c>
      <c r="BI67" s="1530">
        <f t="shared" si="59"/>
        <v>0</v>
      </c>
      <c r="BJ67" s="1530">
        <f t="shared" si="59"/>
        <v>0</v>
      </c>
      <c r="BK67" s="1530">
        <f t="shared" si="59"/>
        <v>0</v>
      </c>
      <c r="BL67" s="1530">
        <f t="shared" si="59"/>
        <v>0</v>
      </c>
      <c r="BM67" s="1530">
        <f t="shared" si="59"/>
        <v>0</v>
      </c>
      <c r="BN67" s="1530">
        <f t="shared" si="59"/>
        <v>0</v>
      </c>
      <c r="BO67" s="1530">
        <f t="shared" si="59"/>
        <v>0</v>
      </c>
      <c r="BP67" s="1530">
        <f t="shared" si="59"/>
        <v>0</v>
      </c>
      <c r="BQ67" s="1530">
        <f t="shared" si="59"/>
        <v>0</v>
      </c>
      <c r="BR67" s="1530">
        <f t="shared" si="59"/>
        <v>0</v>
      </c>
      <c r="BS67" s="1530">
        <f t="shared" ref="BS67:CI67" si="60">BS63-BS66</f>
        <v>0</v>
      </c>
      <c r="BT67" s="1530">
        <f t="shared" si="60"/>
        <v>0</v>
      </c>
      <c r="BU67" s="1530">
        <f t="shared" si="60"/>
        <v>0</v>
      </c>
      <c r="BV67" s="1530">
        <f t="shared" si="60"/>
        <v>0</v>
      </c>
      <c r="BW67" s="1530">
        <f t="shared" si="60"/>
        <v>0</v>
      </c>
      <c r="BX67" s="1530">
        <f t="shared" si="60"/>
        <v>0</v>
      </c>
      <c r="BY67" s="1530">
        <f t="shared" si="60"/>
        <v>0</v>
      </c>
      <c r="BZ67" s="1530">
        <f t="shared" si="60"/>
        <v>0</v>
      </c>
      <c r="CA67" s="1530">
        <f t="shared" si="60"/>
        <v>0</v>
      </c>
      <c r="CB67" s="1530">
        <f t="shared" si="60"/>
        <v>0</v>
      </c>
      <c r="CC67" s="1530">
        <f t="shared" si="60"/>
        <v>0</v>
      </c>
      <c r="CD67" s="1530">
        <f t="shared" si="60"/>
        <v>0</v>
      </c>
      <c r="CE67" s="1530">
        <f t="shared" si="60"/>
        <v>0</v>
      </c>
      <c r="CF67" s="1530">
        <f t="shared" si="60"/>
        <v>0</v>
      </c>
      <c r="CG67" s="1530">
        <f t="shared" si="60"/>
        <v>0</v>
      </c>
      <c r="CH67" s="1530">
        <f t="shared" si="60"/>
        <v>0</v>
      </c>
      <c r="CI67" s="1534">
        <f t="shared" si="60"/>
        <v>0</v>
      </c>
    </row>
    <row r="68" spans="2:87">
      <c r="D68" s="586">
        <f>+D67*1.1</f>
        <v>5278901.0503430953</v>
      </c>
    </row>
    <row r="69" spans="2:87" ht="18" thickBot="1">
      <c r="C69" s="503" t="s">
        <v>515</v>
      </c>
    </row>
    <row r="70" spans="2:87">
      <c r="C70" s="810" t="str">
        <f t="shared" ref="C70:C76" si="61">+C33</f>
        <v>Căn hộ khối tháp</v>
      </c>
      <c r="D70" s="811">
        <f>('5.Doanh thu'!E13+'4.Chi phi hoat dong'!$E$54*'8.ĐO NHAY'!$C$22)/(1+'8.ĐO NHAY'!$C$22)*'5.Doanh thu'!E12</f>
        <v>3854392.1314668283</v>
      </c>
      <c r="E70" s="812">
        <f>+D70-SUM(G70:CI70)</f>
        <v>3854392.1314668283</v>
      </c>
      <c r="F70" s="811"/>
      <c r="G70" s="811"/>
      <c r="H70" s="811"/>
      <c r="I70" s="811"/>
      <c r="J70" s="811"/>
      <c r="K70" s="811"/>
      <c r="L70" s="811"/>
      <c r="M70" s="811"/>
      <c r="N70" s="811"/>
      <c r="O70" s="811"/>
      <c r="P70" s="811"/>
      <c r="Q70" s="811"/>
      <c r="R70" s="811"/>
      <c r="S70" s="811"/>
      <c r="T70" s="811"/>
      <c r="U70" s="811"/>
      <c r="V70" s="811"/>
      <c r="W70" s="811"/>
      <c r="X70" s="811"/>
      <c r="Y70" s="811"/>
      <c r="Z70" s="811"/>
      <c r="AA70" s="811"/>
      <c r="AB70" s="811"/>
      <c r="AC70" s="811"/>
      <c r="AD70" s="811"/>
      <c r="AE70" s="811"/>
      <c r="AF70" s="811"/>
      <c r="AG70" s="811"/>
      <c r="AH70" s="811"/>
      <c r="AI70" s="811"/>
      <c r="AJ70" s="811"/>
      <c r="AK70" s="811"/>
      <c r="AL70" s="811"/>
      <c r="AM70" s="811"/>
      <c r="AN70" s="811"/>
      <c r="AO70" s="811"/>
      <c r="AP70" s="811"/>
      <c r="AQ70" s="811"/>
      <c r="AR70" s="811"/>
      <c r="AS70" s="811"/>
      <c r="AT70" s="811"/>
      <c r="AU70" s="811"/>
      <c r="AV70" s="811"/>
      <c r="AW70" s="811"/>
      <c r="AX70" s="811"/>
      <c r="AY70" s="811"/>
      <c r="AZ70" s="811"/>
      <c r="BA70" s="811"/>
      <c r="BB70" s="811"/>
      <c r="BC70" s="811"/>
      <c r="BD70" s="811"/>
      <c r="BE70" s="811"/>
      <c r="BF70" s="811"/>
      <c r="BG70" s="811"/>
      <c r="BH70" s="811"/>
      <c r="BI70" s="811"/>
      <c r="BJ70" s="811"/>
      <c r="BK70" s="811"/>
      <c r="BL70" s="811"/>
      <c r="BM70" s="811"/>
      <c r="BN70" s="811"/>
      <c r="BO70" s="811"/>
      <c r="BP70" s="811"/>
      <c r="BQ70" s="811"/>
      <c r="BR70" s="811"/>
      <c r="BS70" s="811"/>
      <c r="BT70" s="811"/>
      <c r="BU70" s="811"/>
      <c r="BV70" s="811"/>
      <c r="BW70" s="811"/>
      <c r="BX70" s="811"/>
      <c r="BY70" s="811"/>
      <c r="BZ70" s="811"/>
      <c r="CA70" s="811"/>
      <c r="CB70" s="811"/>
      <c r="CC70" s="811"/>
      <c r="CD70" s="811"/>
      <c r="CE70" s="811"/>
      <c r="CF70" s="811"/>
      <c r="CG70" s="811"/>
      <c r="CH70" s="811"/>
      <c r="CI70" s="811"/>
    </row>
    <row r="71" spans="2:87">
      <c r="C71" s="813" t="str">
        <f t="shared" si="61"/>
        <v>Căn hộ shop TM</v>
      </c>
      <c r="D71" s="807">
        <f>('5.Doanh thu'!E19+'4.Chi phi hoat dong'!$E$54*'8.ĐO NHAY'!$C$22)/(1+'8.ĐO NHAY'!$C$22)*'5.Doanh thu'!E18</f>
        <v>112308.71299810245</v>
      </c>
      <c r="E71" s="565">
        <f>+D71-SUM(G71:CI71)</f>
        <v>112308.71299810245</v>
      </c>
      <c r="F71" s="807"/>
      <c r="G71" s="807"/>
      <c r="H71" s="807"/>
      <c r="I71" s="807"/>
      <c r="J71" s="807"/>
      <c r="K71" s="807"/>
      <c r="L71" s="807"/>
      <c r="M71" s="807"/>
      <c r="N71" s="807"/>
      <c r="O71" s="807"/>
      <c r="P71" s="807"/>
      <c r="Q71" s="807"/>
      <c r="R71" s="807"/>
      <c r="S71" s="807"/>
      <c r="T71" s="807"/>
      <c r="U71" s="807"/>
      <c r="V71" s="807"/>
      <c r="W71" s="807"/>
      <c r="X71" s="807"/>
      <c r="Y71" s="807"/>
      <c r="Z71" s="807"/>
      <c r="AA71" s="807"/>
      <c r="AB71" s="807"/>
      <c r="AC71" s="807"/>
      <c r="AD71" s="807"/>
      <c r="AE71" s="807"/>
      <c r="AF71" s="807"/>
      <c r="AG71" s="807"/>
      <c r="AH71" s="807"/>
      <c r="AI71" s="807"/>
      <c r="AJ71" s="807"/>
      <c r="AK71" s="807"/>
      <c r="AL71" s="807"/>
      <c r="AM71" s="807"/>
      <c r="AN71" s="807"/>
      <c r="AO71" s="807"/>
      <c r="AP71" s="807"/>
      <c r="AQ71" s="807"/>
      <c r="AR71" s="807"/>
      <c r="AS71" s="807"/>
      <c r="AT71" s="807"/>
      <c r="AU71" s="807"/>
      <c r="AV71" s="807"/>
      <c r="AW71" s="807"/>
      <c r="AX71" s="807"/>
      <c r="AY71" s="807"/>
      <c r="AZ71" s="807"/>
      <c r="BA71" s="807"/>
      <c r="BB71" s="807"/>
      <c r="BC71" s="807"/>
      <c r="BD71" s="807"/>
      <c r="BE71" s="807"/>
      <c r="BF71" s="807"/>
      <c r="BG71" s="807"/>
      <c r="BH71" s="807"/>
      <c r="BI71" s="807"/>
      <c r="BJ71" s="807"/>
      <c r="BK71" s="807"/>
      <c r="BL71" s="807"/>
      <c r="BM71" s="807"/>
      <c r="BN71" s="807"/>
      <c r="BO71" s="807"/>
      <c r="BP71" s="807"/>
      <c r="BQ71" s="807"/>
      <c r="BR71" s="807"/>
      <c r="BS71" s="807"/>
      <c r="BT71" s="807"/>
      <c r="BU71" s="807"/>
      <c r="BV71" s="807"/>
      <c r="BW71" s="807"/>
      <c r="BX71" s="807"/>
      <c r="BY71" s="807"/>
      <c r="BZ71" s="807"/>
      <c r="CA71" s="807"/>
      <c r="CB71" s="807"/>
      <c r="CC71" s="807"/>
      <c r="CD71" s="807"/>
      <c r="CE71" s="807"/>
      <c r="CF71" s="807"/>
      <c r="CG71" s="807"/>
      <c r="CH71" s="807"/>
      <c r="CI71" s="807"/>
    </row>
    <row r="72" spans="2:87">
      <c r="C72" s="813" t="str">
        <f t="shared" si="61"/>
        <v>Căn TMDV</v>
      </c>
      <c r="D72" s="807">
        <f>('5.Doanh thu'!E25+'4.Chi phi hoat dong'!$E$54*'8.ĐO NHAY'!$C$22)/(1+'8.ĐO NHAY'!$C$22)*'5.Doanh thu'!E24</f>
        <v>0</v>
      </c>
      <c r="E72" s="565">
        <f t="shared" ref="E72:E76" si="62">+D72-SUM(G72:CI72)</f>
        <v>0</v>
      </c>
      <c r="F72" s="807"/>
      <c r="G72" s="807"/>
      <c r="H72" s="807"/>
      <c r="I72" s="807"/>
      <c r="J72" s="807"/>
      <c r="K72" s="807"/>
      <c r="L72" s="807"/>
      <c r="M72" s="807"/>
      <c r="N72" s="807"/>
      <c r="O72" s="807"/>
      <c r="P72" s="807"/>
      <c r="Q72" s="807"/>
      <c r="R72" s="807"/>
      <c r="S72" s="807"/>
      <c r="T72" s="807"/>
      <c r="U72" s="807"/>
      <c r="V72" s="807"/>
      <c r="W72" s="807"/>
      <c r="X72" s="807"/>
      <c r="Y72" s="807"/>
      <c r="Z72" s="807"/>
      <c r="AA72" s="807"/>
      <c r="AB72" s="807"/>
      <c r="AC72" s="807"/>
      <c r="AD72" s="807"/>
      <c r="AE72" s="807"/>
      <c r="AF72" s="807"/>
      <c r="AG72" s="807"/>
      <c r="AH72" s="807"/>
      <c r="AI72" s="807"/>
      <c r="AJ72" s="807"/>
      <c r="AK72" s="807"/>
      <c r="AL72" s="807"/>
      <c r="AM72" s="807"/>
      <c r="AN72" s="807"/>
      <c r="AO72" s="807"/>
      <c r="AP72" s="807"/>
      <c r="AQ72" s="807"/>
      <c r="AR72" s="807"/>
      <c r="AS72" s="807"/>
      <c r="AT72" s="807"/>
      <c r="AU72" s="807"/>
      <c r="AV72" s="807"/>
      <c r="AW72" s="807"/>
      <c r="AX72" s="807"/>
      <c r="AY72" s="807"/>
      <c r="AZ72" s="807"/>
      <c r="BA72" s="807"/>
      <c r="BB72" s="807"/>
      <c r="BC72" s="807"/>
      <c r="BD72" s="807"/>
      <c r="BE72" s="807"/>
      <c r="BF72" s="807"/>
      <c r="BG72" s="807"/>
      <c r="BH72" s="807"/>
      <c r="BI72" s="807"/>
      <c r="BJ72" s="807"/>
      <c r="BK72" s="807"/>
      <c r="BL72" s="807"/>
      <c r="BM72" s="807"/>
      <c r="BN72" s="807"/>
      <c r="BO72" s="807"/>
      <c r="BP72" s="807"/>
      <c r="BQ72" s="807"/>
      <c r="BR72" s="807"/>
      <c r="BS72" s="807"/>
      <c r="BT72" s="807"/>
      <c r="BU72" s="807"/>
      <c r="BV72" s="807"/>
      <c r="BW72" s="807"/>
      <c r="BX72" s="807"/>
      <c r="BY72" s="807"/>
      <c r="BZ72" s="807"/>
      <c r="CA72" s="807"/>
      <c r="CB72" s="807"/>
      <c r="CC72" s="807"/>
      <c r="CD72" s="807"/>
      <c r="CE72" s="807"/>
      <c r="CF72" s="807"/>
      <c r="CG72" s="807"/>
      <c r="CH72" s="807"/>
      <c r="CI72" s="807"/>
    </row>
    <row r="73" spans="2:87">
      <c r="C73" s="813" t="str">
        <f t="shared" si="61"/>
        <v>Căn officetel</v>
      </c>
      <c r="D73" s="807">
        <f>('5.Doanh thu'!E31+'4.Chi phi hoat dong'!$E$54*'8.ĐO NHAY'!$C$22)/(1+'8.ĐO NHAY'!$C$22)*'5.Doanh thu'!E30</f>
        <v>277808.59806451609</v>
      </c>
      <c r="E73" s="565">
        <f t="shared" si="62"/>
        <v>277808.59806451609</v>
      </c>
      <c r="F73" s="807"/>
      <c r="G73" s="807"/>
      <c r="H73" s="807"/>
      <c r="I73" s="807"/>
      <c r="J73" s="807"/>
      <c r="K73" s="807"/>
      <c r="L73" s="807"/>
      <c r="M73" s="807"/>
      <c r="N73" s="807"/>
      <c r="O73" s="807"/>
      <c r="P73" s="807"/>
      <c r="Q73" s="807"/>
      <c r="R73" s="807"/>
      <c r="S73" s="807"/>
      <c r="T73" s="807"/>
      <c r="U73" s="807"/>
      <c r="V73" s="807"/>
      <c r="W73" s="807"/>
      <c r="X73" s="807"/>
      <c r="Y73" s="807"/>
      <c r="Z73" s="807"/>
      <c r="AA73" s="807"/>
      <c r="AB73" s="807"/>
      <c r="AC73" s="807"/>
      <c r="AD73" s="807"/>
      <c r="AE73" s="807"/>
      <c r="AF73" s="807"/>
      <c r="AG73" s="807"/>
      <c r="AH73" s="807"/>
      <c r="AI73" s="807"/>
      <c r="AJ73" s="807"/>
      <c r="AK73" s="807"/>
      <c r="AL73" s="807"/>
      <c r="AM73" s="807"/>
      <c r="AN73" s="807"/>
      <c r="AO73" s="807"/>
      <c r="AP73" s="807"/>
      <c r="AQ73" s="807"/>
      <c r="AR73" s="807"/>
      <c r="AS73" s="807"/>
      <c r="AT73" s="807"/>
      <c r="AU73" s="807"/>
      <c r="AV73" s="807"/>
      <c r="AW73" s="807"/>
      <c r="AX73" s="807"/>
      <c r="AY73" s="807"/>
      <c r="AZ73" s="807"/>
      <c r="BA73" s="807"/>
      <c r="BB73" s="807"/>
      <c r="BC73" s="807"/>
      <c r="BD73" s="807"/>
      <c r="BE73" s="807"/>
      <c r="BF73" s="807"/>
      <c r="BG73" s="807"/>
      <c r="BH73" s="807"/>
      <c r="BI73" s="807"/>
      <c r="BJ73" s="807"/>
      <c r="BK73" s="807"/>
      <c r="BL73" s="807"/>
      <c r="BM73" s="807"/>
      <c r="BN73" s="807"/>
      <c r="BO73" s="807"/>
      <c r="BP73" s="807"/>
      <c r="BQ73" s="807"/>
      <c r="BR73" s="807"/>
      <c r="BS73" s="807"/>
      <c r="BT73" s="807"/>
      <c r="BU73" s="807"/>
      <c r="BV73" s="807"/>
      <c r="BW73" s="807"/>
      <c r="BX73" s="807"/>
      <c r="BY73" s="807"/>
      <c r="BZ73" s="807"/>
      <c r="CA73" s="807"/>
      <c r="CB73" s="807"/>
      <c r="CC73" s="807"/>
      <c r="CD73" s="807"/>
      <c r="CE73" s="807"/>
      <c r="CF73" s="807"/>
      <c r="CG73" s="807"/>
      <c r="CH73" s="807"/>
      <c r="CI73" s="807"/>
    </row>
    <row r="74" spans="2:87">
      <c r="C74" s="813" t="str">
        <f t="shared" si="61"/>
        <v>Trung tâm thương mại</v>
      </c>
      <c r="D74" s="807">
        <f>('5.Doanh thu'!E105+'4.Chi phi hoat dong'!$E$54*'8.ĐO NHAY'!$C$22)/(1+'8.ĐO NHAY'!$C$22)*'5.Doanh thu'!E104</f>
        <v>0</v>
      </c>
      <c r="E74" s="565">
        <f t="shared" si="62"/>
        <v>0</v>
      </c>
      <c r="F74" s="807"/>
      <c r="G74" s="807"/>
      <c r="H74" s="807"/>
      <c r="I74" s="807"/>
      <c r="J74" s="807"/>
      <c r="K74" s="807"/>
      <c r="L74" s="807"/>
      <c r="M74" s="807"/>
      <c r="N74" s="807"/>
      <c r="O74" s="807"/>
      <c r="P74" s="807"/>
      <c r="Q74" s="807"/>
      <c r="R74" s="807"/>
      <c r="S74" s="807"/>
      <c r="T74" s="807"/>
      <c r="U74" s="807"/>
      <c r="V74" s="807"/>
      <c r="W74" s="807"/>
      <c r="X74" s="807"/>
      <c r="Y74" s="807"/>
      <c r="Z74" s="807"/>
      <c r="AA74" s="807"/>
      <c r="AB74" s="807"/>
      <c r="AC74" s="807"/>
      <c r="AD74" s="807"/>
      <c r="AE74" s="807"/>
      <c r="AF74" s="807"/>
      <c r="AG74" s="807"/>
      <c r="AH74" s="807"/>
      <c r="AI74" s="807"/>
      <c r="AJ74" s="807"/>
      <c r="AK74" s="807"/>
      <c r="AL74" s="807"/>
      <c r="AM74" s="807"/>
      <c r="AN74" s="807"/>
      <c r="AO74" s="807"/>
      <c r="AP74" s="807"/>
      <c r="AQ74" s="807"/>
      <c r="AR74" s="807"/>
      <c r="AS74" s="807"/>
      <c r="AT74" s="807"/>
      <c r="AU74" s="807"/>
      <c r="AV74" s="807"/>
      <c r="AW74" s="807"/>
      <c r="AX74" s="807"/>
      <c r="AY74" s="807"/>
      <c r="AZ74" s="807"/>
      <c r="BA74" s="807"/>
      <c r="BB74" s="807"/>
      <c r="BC74" s="807"/>
      <c r="BD74" s="807"/>
      <c r="BE74" s="807"/>
      <c r="BF74" s="807"/>
      <c r="BG74" s="807"/>
      <c r="BH74" s="807"/>
      <c r="BI74" s="807"/>
      <c r="BJ74" s="807"/>
      <c r="BK74" s="807"/>
      <c r="BL74" s="807"/>
      <c r="BM74" s="807"/>
      <c r="BN74" s="807"/>
      <c r="BO74" s="807"/>
      <c r="BP74" s="807"/>
      <c r="BQ74" s="807"/>
      <c r="BR74" s="807"/>
      <c r="BS74" s="807"/>
      <c r="BT74" s="807"/>
      <c r="BU74" s="807"/>
      <c r="BV74" s="807"/>
      <c r="BW74" s="807"/>
      <c r="BX74" s="807"/>
      <c r="BY74" s="807"/>
      <c r="BZ74" s="807"/>
      <c r="CA74" s="807"/>
      <c r="CB74" s="807"/>
      <c r="CC74" s="807"/>
      <c r="CD74" s="807"/>
      <c r="CE74" s="807"/>
      <c r="CF74" s="807"/>
      <c r="CG74" s="807"/>
      <c r="CH74" s="807"/>
      <c r="CI74" s="807"/>
    </row>
    <row r="75" spans="2:87">
      <c r="C75" s="813" t="str">
        <f t="shared" si="61"/>
        <v>Nhà trẻ</v>
      </c>
      <c r="D75" s="807">
        <f>('5.Doanh thu'!E112+'4.Chi phi hoat dong'!$E$54*'8.ĐO NHAY'!$C$22)/(1+'8.ĐO NHAY'!$C$22)*'5.Doanh thu'!E111</f>
        <v>28682.712327910671</v>
      </c>
      <c r="E75" s="565">
        <f t="shared" si="62"/>
        <v>28682.712327910671</v>
      </c>
      <c r="F75" s="807"/>
      <c r="G75" s="807"/>
      <c r="H75" s="807"/>
      <c r="I75" s="807"/>
      <c r="J75" s="807"/>
      <c r="K75" s="807"/>
      <c r="L75" s="807"/>
      <c r="M75" s="807"/>
      <c r="N75" s="807"/>
      <c r="O75" s="807"/>
      <c r="P75" s="807"/>
      <c r="Q75" s="807"/>
      <c r="R75" s="807"/>
      <c r="S75" s="807"/>
      <c r="T75" s="807"/>
      <c r="U75" s="807"/>
      <c r="V75" s="807"/>
      <c r="W75" s="807"/>
      <c r="X75" s="807"/>
      <c r="Y75" s="807"/>
      <c r="Z75" s="807"/>
      <c r="AA75" s="807"/>
      <c r="AB75" s="807"/>
      <c r="AC75" s="807"/>
      <c r="AD75" s="807"/>
      <c r="AE75" s="807"/>
      <c r="AF75" s="807"/>
      <c r="AG75" s="807"/>
      <c r="AH75" s="807"/>
      <c r="AI75" s="807"/>
      <c r="AJ75" s="807"/>
      <c r="AK75" s="807"/>
      <c r="AL75" s="807"/>
      <c r="AM75" s="807"/>
      <c r="AN75" s="807"/>
      <c r="AO75" s="807"/>
      <c r="AP75" s="807"/>
      <c r="AQ75" s="807"/>
      <c r="AR75" s="807"/>
      <c r="AS75" s="807"/>
      <c r="AT75" s="807"/>
      <c r="AU75" s="807"/>
      <c r="AV75" s="807"/>
      <c r="AW75" s="807"/>
      <c r="AX75" s="807"/>
      <c r="AY75" s="807"/>
      <c r="AZ75" s="807"/>
      <c r="BA75" s="807"/>
      <c r="BB75" s="807"/>
      <c r="BC75" s="807"/>
      <c r="BD75" s="807"/>
      <c r="BE75" s="807"/>
      <c r="BF75" s="807"/>
      <c r="BG75" s="807"/>
      <c r="BH75" s="807"/>
      <c r="BI75" s="807"/>
      <c r="BJ75" s="807"/>
      <c r="BK75" s="807"/>
      <c r="BL75" s="807"/>
      <c r="BM75" s="807"/>
      <c r="BN75" s="807"/>
      <c r="BO75" s="807"/>
      <c r="BP75" s="807"/>
      <c r="BQ75" s="807"/>
      <c r="BR75" s="807"/>
      <c r="BS75" s="807"/>
      <c r="BT75" s="807"/>
      <c r="BU75" s="807"/>
      <c r="BV75" s="807"/>
      <c r="BW75" s="807"/>
      <c r="BX75" s="807"/>
      <c r="BY75" s="807"/>
      <c r="BZ75" s="807"/>
      <c r="CA75" s="807"/>
      <c r="CB75" s="807"/>
      <c r="CC75" s="807"/>
      <c r="CD75" s="807"/>
      <c r="CE75" s="807"/>
      <c r="CF75" s="807"/>
      <c r="CG75" s="807"/>
      <c r="CH75" s="807"/>
      <c r="CI75" s="807"/>
    </row>
    <row r="76" spans="2:87">
      <c r="C76" s="813" t="str">
        <f t="shared" si="61"/>
        <v>Nhà phố liên kế</v>
      </c>
      <c r="D76" s="807">
        <f>('5.Doanh thu'!E98+'4.Chi phi hoat dong'!$E$54*'8.ĐO NHAY'!$C$22)/(1+'8.ĐO NHAY'!$C$22)*'5.Doanh thu'!E97</f>
        <v>525808.79999999993</v>
      </c>
      <c r="E76" s="565">
        <f t="shared" si="62"/>
        <v>525808.79999999993</v>
      </c>
      <c r="F76" s="807"/>
      <c r="G76" s="807"/>
      <c r="H76" s="807"/>
      <c r="I76" s="807"/>
      <c r="J76" s="807"/>
      <c r="K76" s="807"/>
      <c r="L76" s="807"/>
      <c r="M76" s="807"/>
      <c r="N76" s="807"/>
      <c r="O76" s="807"/>
      <c r="P76" s="807"/>
      <c r="Q76" s="807"/>
      <c r="R76" s="807"/>
      <c r="S76" s="807"/>
      <c r="T76" s="807"/>
      <c r="U76" s="807"/>
      <c r="V76" s="807"/>
      <c r="W76" s="807"/>
      <c r="X76" s="807"/>
      <c r="Y76" s="807"/>
      <c r="Z76" s="807"/>
      <c r="AA76" s="807"/>
      <c r="AB76" s="807"/>
      <c r="AC76" s="807"/>
      <c r="AD76" s="807"/>
      <c r="AE76" s="807"/>
      <c r="AF76" s="807"/>
      <c r="AG76" s="807"/>
      <c r="AH76" s="807"/>
      <c r="AI76" s="807"/>
      <c r="AJ76" s="807"/>
      <c r="AK76" s="807"/>
      <c r="AL76" s="807"/>
      <c r="AM76" s="807"/>
      <c r="AN76" s="807"/>
      <c r="AO76" s="807"/>
      <c r="AP76" s="807"/>
      <c r="AQ76" s="807"/>
      <c r="AR76" s="807"/>
      <c r="AS76" s="807"/>
      <c r="AT76" s="807"/>
      <c r="AU76" s="807"/>
      <c r="AV76" s="807"/>
      <c r="AW76" s="807"/>
      <c r="AX76" s="807"/>
      <c r="AY76" s="807"/>
      <c r="AZ76" s="807"/>
      <c r="BA76" s="807"/>
      <c r="BB76" s="807"/>
      <c r="BC76" s="807"/>
      <c r="BD76" s="807"/>
      <c r="BE76" s="807"/>
      <c r="BF76" s="807"/>
      <c r="BG76" s="807"/>
      <c r="BH76" s="807"/>
      <c r="BI76" s="807"/>
      <c r="BJ76" s="807"/>
      <c r="BK76" s="807"/>
      <c r="BL76" s="807"/>
      <c r="BM76" s="807"/>
      <c r="BN76" s="807"/>
      <c r="BO76" s="807"/>
      <c r="BP76" s="807"/>
      <c r="BQ76" s="807"/>
      <c r="BR76" s="807"/>
      <c r="BS76" s="807"/>
      <c r="BT76" s="807"/>
      <c r="BU76" s="807"/>
      <c r="BV76" s="807"/>
      <c r="BW76" s="807"/>
      <c r="BX76" s="807"/>
      <c r="BY76" s="807"/>
      <c r="BZ76" s="807"/>
      <c r="CA76" s="807"/>
      <c r="CB76" s="807"/>
      <c r="CC76" s="807"/>
      <c r="CD76" s="807"/>
      <c r="CE76" s="807"/>
      <c r="CF76" s="807"/>
      <c r="CG76" s="807"/>
      <c r="CH76" s="807"/>
      <c r="CI76" s="807"/>
    </row>
    <row r="77" spans="2:87">
      <c r="C77" s="814" t="s">
        <v>516</v>
      </c>
      <c r="D77" s="815">
        <f>SUM(D70:D76)</f>
        <v>4799000.9548573568</v>
      </c>
      <c r="E77" s="816"/>
      <c r="F77" s="817"/>
      <c r="G77" s="817">
        <f>SUM(G70:G76)</f>
        <v>0</v>
      </c>
      <c r="H77" s="817">
        <f t="shared" ref="H77:BS77" si="63">SUM(H70:H76)</f>
        <v>0</v>
      </c>
      <c r="I77" s="817">
        <f t="shared" si="63"/>
        <v>0</v>
      </c>
      <c r="J77" s="817">
        <f t="shared" si="63"/>
        <v>0</v>
      </c>
      <c r="K77" s="817">
        <f t="shared" si="63"/>
        <v>0</v>
      </c>
      <c r="L77" s="817">
        <f t="shared" si="63"/>
        <v>0</v>
      </c>
      <c r="M77" s="817">
        <f t="shared" si="63"/>
        <v>0</v>
      </c>
      <c r="N77" s="817">
        <f t="shared" si="63"/>
        <v>0</v>
      </c>
      <c r="O77" s="817">
        <f t="shared" si="63"/>
        <v>0</v>
      </c>
      <c r="P77" s="817">
        <f t="shared" si="63"/>
        <v>0</v>
      </c>
      <c r="Q77" s="817">
        <f t="shared" si="63"/>
        <v>0</v>
      </c>
      <c r="R77" s="817">
        <f t="shared" si="63"/>
        <v>0</v>
      </c>
      <c r="S77" s="817">
        <f t="shared" si="63"/>
        <v>0</v>
      </c>
      <c r="T77" s="817">
        <f t="shared" si="63"/>
        <v>0</v>
      </c>
      <c r="U77" s="817">
        <f t="shared" si="63"/>
        <v>0</v>
      </c>
      <c r="V77" s="817">
        <f t="shared" si="63"/>
        <v>0</v>
      </c>
      <c r="W77" s="818">
        <f t="shared" si="63"/>
        <v>0</v>
      </c>
      <c r="X77" s="818">
        <f t="shared" si="63"/>
        <v>0</v>
      </c>
      <c r="Y77" s="818">
        <f t="shared" si="63"/>
        <v>0</v>
      </c>
      <c r="Z77" s="818">
        <f t="shared" si="63"/>
        <v>0</v>
      </c>
      <c r="AA77" s="818">
        <f t="shared" si="63"/>
        <v>0</v>
      </c>
      <c r="AB77" s="818">
        <f t="shared" si="63"/>
        <v>0</v>
      </c>
      <c r="AC77" s="818">
        <f t="shared" si="63"/>
        <v>0</v>
      </c>
      <c r="AD77" s="818">
        <f t="shared" si="63"/>
        <v>0</v>
      </c>
      <c r="AE77" s="818">
        <f t="shared" si="63"/>
        <v>0</v>
      </c>
      <c r="AF77" s="818">
        <f t="shared" si="63"/>
        <v>0</v>
      </c>
      <c r="AG77" s="818">
        <f t="shared" si="63"/>
        <v>0</v>
      </c>
      <c r="AH77" s="818">
        <f t="shared" si="63"/>
        <v>0</v>
      </c>
      <c r="AI77" s="818">
        <f t="shared" si="63"/>
        <v>0</v>
      </c>
      <c r="AJ77" s="818">
        <f t="shared" si="63"/>
        <v>0</v>
      </c>
      <c r="AK77" s="818">
        <f t="shared" si="63"/>
        <v>0</v>
      </c>
      <c r="AL77" s="818">
        <f t="shared" si="63"/>
        <v>0</v>
      </c>
      <c r="AM77" s="818">
        <f t="shared" si="63"/>
        <v>0</v>
      </c>
      <c r="AN77" s="818">
        <f t="shared" si="63"/>
        <v>0</v>
      </c>
      <c r="AO77" s="818">
        <f t="shared" si="63"/>
        <v>0</v>
      </c>
      <c r="AP77" s="818">
        <f t="shared" si="63"/>
        <v>0</v>
      </c>
      <c r="AQ77" s="818">
        <f t="shared" si="63"/>
        <v>0</v>
      </c>
      <c r="AR77" s="818">
        <f t="shared" si="63"/>
        <v>0</v>
      </c>
      <c r="AS77" s="818">
        <f t="shared" si="63"/>
        <v>0</v>
      </c>
      <c r="AT77" s="818">
        <f t="shared" si="63"/>
        <v>0</v>
      </c>
      <c r="AU77" s="818">
        <f t="shared" si="63"/>
        <v>0</v>
      </c>
      <c r="AV77" s="818">
        <f t="shared" si="63"/>
        <v>0</v>
      </c>
      <c r="AW77" s="818">
        <f t="shared" si="63"/>
        <v>0</v>
      </c>
      <c r="AX77" s="818">
        <f t="shared" si="63"/>
        <v>0</v>
      </c>
      <c r="AY77" s="818">
        <f t="shared" si="63"/>
        <v>0</v>
      </c>
      <c r="AZ77" s="818">
        <f t="shared" si="63"/>
        <v>0</v>
      </c>
      <c r="BA77" s="818">
        <f t="shared" si="63"/>
        <v>0</v>
      </c>
      <c r="BB77" s="818">
        <f t="shared" si="63"/>
        <v>0</v>
      </c>
      <c r="BC77" s="818">
        <f t="shared" si="63"/>
        <v>0</v>
      </c>
      <c r="BD77" s="818">
        <f t="shared" si="63"/>
        <v>0</v>
      </c>
      <c r="BE77" s="818">
        <f t="shared" si="63"/>
        <v>0</v>
      </c>
      <c r="BF77" s="818">
        <f t="shared" si="63"/>
        <v>0</v>
      </c>
      <c r="BG77" s="818">
        <f t="shared" si="63"/>
        <v>0</v>
      </c>
      <c r="BH77" s="818">
        <f t="shared" si="63"/>
        <v>0</v>
      </c>
      <c r="BI77" s="818">
        <f t="shared" si="63"/>
        <v>0</v>
      </c>
      <c r="BJ77" s="818">
        <f t="shared" si="63"/>
        <v>0</v>
      </c>
      <c r="BK77" s="818">
        <f t="shared" si="63"/>
        <v>0</v>
      </c>
      <c r="BL77" s="818">
        <f t="shared" si="63"/>
        <v>0</v>
      </c>
      <c r="BM77" s="818">
        <f t="shared" si="63"/>
        <v>0</v>
      </c>
      <c r="BN77" s="818">
        <f t="shared" si="63"/>
        <v>0</v>
      </c>
      <c r="BO77" s="818">
        <f t="shared" si="63"/>
        <v>0</v>
      </c>
      <c r="BP77" s="818">
        <f t="shared" si="63"/>
        <v>0</v>
      </c>
      <c r="BQ77" s="818">
        <f t="shared" si="63"/>
        <v>0</v>
      </c>
      <c r="BR77" s="818">
        <f t="shared" si="63"/>
        <v>0</v>
      </c>
      <c r="BS77" s="818">
        <f t="shared" si="63"/>
        <v>0</v>
      </c>
      <c r="BT77" s="818">
        <f t="shared" ref="BT77:CI77" si="64">SUM(BT70:BT76)</f>
        <v>0</v>
      </c>
      <c r="BU77" s="818">
        <f t="shared" si="64"/>
        <v>0</v>
      </c>
      <c r="BV77" s="818">
        <f t="shared" si="64"/>
        <v>0</v>
      </c>
      <c r="BW77" s="818">
        <f t="shared" si="64"/>
        <v>0</v>
      </c>
      <c r="BX77" s="818">
        <f t="shared" si="64"/>
        <v>0</v>
      </c>
      <c r="BY77" s="818">
        <f t="shared" si="64"/>
        <v>0</v>
      </c>
      <c r="BZ77" s="818">
        <f t="shared" si="64"/>
        <v>0</v>
      </c>
      <c r="CA77" s="818">
        <f t="shared" si="64"/>
        <v>0</v>
      </c>
      <c r="CB77" s="818">
        <f t="shared" si="64"/>
        <v>0</v>
      </c>
      <c r="CC77" s="818">
        <f t="shared" si="64"/>
        <v>0</v>
      </c>
      <c r="CD77" s="818">
        <f t="shared" si="64"/>
        <v>0</v>
      </c>
      <c r="CE77" s="818">
        <f t="shared" si="64"/>
        <v>0</v>
      </c>
      <c r="CF77" s="818">
        <f t="shared" si="64"/>
        <v>0</v>
      </c>
      <c r="CG77" s="818">
        <f t="shared" si="64"/>
        <v>0</v>
      </c>
      <c r="CH77" s="818">
        <f t="shared" si="64"/>
        <v>0</v>
      </c>
      <c r="CI77" s="819">
        <f t="shared" si="64"/>
        <v>0</v>
      </c>
    </row>
    <row r="78" spans="2:87" ht="18" thickBot="1">
      <c r="C78" s="820" t="s">
        <v>517</v>
      </c>
      <c r="D78" s="821">
        <f>D77+E24</f>
        <v>5230427.2563588796</v>
      </c>
      <c r="E78" s="822"/>
      <c r="F78" s="823"/>
      <c r="G78" s="823"/>
      <c r="H78" s="823"/>
      <c r="I78" s="824"/>
      <c r="J78" s="824"/>
      <c r="K78" s="824"/>
      <c r="L78" s="824"/>
      <c r="M78" s="824"/>
      <c r="N78" s="824"/>
      <c r="O78" s="824"/>
      <c r="P78" s="824"/>
      <c r="Q78" s="824"/>
      <c r="R78" s="824"/>
      <c r="S78" s="824"/>
      <c r="T78" s="824"/>
      <c r="U78" s="824"/>
      <c r="V78" s="824"/>
      <c r="W78" s="825"/>
      <c r="X78" s="825"/>
      <c r="Y78" s="825"/>
      <c r="Z78" s="825"/>
      <c r="AA78" s="825"/>
      <c r="AB78" s="825"/>
      <c r="AC78" s="825"/>
      <c r="AD78" s="825"/>
      <c r="AE78" s="825"/>
      <c r="AF78" s="825"/>
      <c r="AG78" s="825"/>
      <c r="AH78" s="825"/>
      <c r="AI78" s="825"/>
      <c r="AJ78" s="825"/>
      <c r="AK78" s="825"/>
      <c r="AL78" s="825"/>
      <c r="AM78" s="825"/>
      <c r="AN78" s="825"/>
      <c r="AO78" s="825"/>
      <c r="AP78" s="825"/>
      <c r="AQ78" s="825"/>
      <c r="AR78" s="825"/>
      <c r="AS78" s="825"/>
      <c r="AT78" s="825"/>
      <c r="AU78" s="825"/>
      <c r="AV78" s="825"/>
      <c r="AW78" s="825"/>
      <c r="AX78" s="825"/>
      <c r="AY78" s="825"/>
      <c r="AZ78" s="825"/>
      <c r="BA78" s="825"/>
      <c r="BB78" s="825"/>
      <c r="BC78" s="825"/>
      <c r="BD78" s="825"/>
      <c r="BE78" s="825"/>
      <c r="BF78" s="825"/>
      <c r="BG78" s="825"/>
      <c r="BH78" s="825"/>
      <c r="BI78" s="825"/>
      <c r="BJ78" s="825"/>
      <c r="BK78" s="825"/>
      <c r="BL78" s="825"/>
      <c r="BM78" s="825"/>
      <c r="BN78" s="825"/>
      <c r="BO78" s="825"/>
      <c r="BP78" s="825"/>
      <c r="BQ78" s="825"/>
      <c r="BR78" s="825"/>
      <c r="BS78" s="825"/>
      <c r="BT78" s="825"/>
      <c r="BU78" s="825"/>
      <c r="BV78" s="825"/>
      <c r="BW78" s="825"/>
      <c r="BX78" s="825"/>
      <c r="BY78" s="825"/>
      <c r="BZ78" s="825"/>
      <c r="CA78" s="825"/>
      <c r="CB78" s="825"/>
      <c r="CC78" s="825"/>
      <c r="CD78" s="825"/>
      <c r="CE78" s="826"/>
      <c r="CF78" s="826"/>
      <c r="CG78" s="826"/>
      <c r="CH78" s="826"/>
      <c r="CI78" s="827"/>
    </row>
  </sheetData>
  <sheetProtection selectLockedCells="1" selectUnlockedCells="1"/>
  <mergeCells count="19">
    <mergeCell ref="B25:D25"/>
    <mergeCell ref="B26:D26"/>
    <mergeCell ref="G26:J26"/>
    <mergeCell ref="K26:N26"/>
    <mergeCell ref="F8:F9"/>
    <mergeCell ref="B7:B9"/>
    <mergeCell ref="C7:C9"/>
    <mergeCell ref="D7:D9"/>
    <mergeCell ref="E7:E9"/>
    <mergeCell ref="F7:V7"/>
    <mergeCell ref="W26:Z26"/>
    <mergeCell ref="B27:D27"/>
    <mergeCell ref="G27:J27"/>
    <mergeCell ref="K27:N27"/>
    <mergeCell ref="O27:R27"/>
    <mergeCell ref="W27:Z27"/>
    <mergeCell ref="S27:V27"/>
    <mergeCell ref="O26:R26"/>
    <mergeCell ref="S26:V26"/>
  </mergeCells>
  <phoneticPr fontId="77" type="noConversion"/>
  <pageMargins left="0.2" right="0.2" top="0.44" bottom="0.4597222222222222" header="0.28999999999999998" footer="0.51180555555555551"/>
  <pageSetup paperSize="8" scale="18" firstPageNumber="0" orientation="landscape" horizontalDpi="300" verticalDpi="300" r:id="rId1"/>
  <headerFooter alignWithMargins="0">
    <oddFooter>&amp;LBinh Tay_x000D_&amp;1#&amp;"Calibri"&amp;10&amp;K000000 Internal Use&amp;R20-08-2012</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pageSetUpPr fitToPage="1"/>
  </sheetPr>
  <dimension ref="A1:CH82"/>
  <sheetViews>
    <sheetView zoomScale="70" zoomScaleNormal="70" zoomScaleSheetLayoutView="100" workbookViewId="0">
      <selection activeCell="D42" sqref="D42"/>
    </sheetView>
  </sheetViews>
  <sheetFormatPr defaultColWidth="14.28515625" defaultRowHeight="15.75"/>
  <cols>
    <col min="1" max="1" width="8.85546875" style="854" customWidth="1"/>
    <col min="2" max="2" width="36.5703125" style="495" bestFit="1" customWidth="1"/>
    <col min="3" max="3" width="23.28515625" style="495" bestFit="1" customWidth="1"/>
    <col min="4" max="4" width="10.28515625" style="495" bestFit="1" customWidth="1"/>
    <col min="5" max="5" width="9.140625" style="870" bestFit="1" customWidth="1"/>
    <col min="6" max="8" width="13" style="870" customWidth="1"/>
    <col min="9" max="9" width="12.85546875" style="870" customWidth="1"/>
    <col min="10" max="10" width="12" style="870" customWidth="1"/>
    <col min="11" max="11" width="12.85546875" style="870" bestFit="1" customWidth="1"/>
    <col min="12" max="13" width="12.85546875" style="495" bestFit="1" customWidth="1"/>
    <col min="14" max="18" width="12.28515625" style="495" bestFit="1" customWidth="1"/>
    <col min="19" max="19" width="11.7109375" style="495" bestFit="1" customWidth="1"/>
    <col min="20" max="21" width="10.28515625" style="495" bestFit="1" customWidth="1"/>
    <col min="22" max="25" width="10.42578125" style="495" customWidth="1"/>
    <col min="26" max="86" width="12.28515625" style="495" bestFit="1" customWidth="1"/>
    <col min="87" max="16384" width="14.28515625" style="495"/>
  </cols>
  <sheetData>
    <row r="1" spans="1:86" s="854" customFormat="1" ht="25.15" customHeight="1">
      <c r="B1" s="855"/>
      <c r="E1" s="856"/>
      <c r="F1" s="856"/>
      <c r="G1" s="856"/>
      <c r="H1" s="856"/>
      <c r="I1" s="856"/>
      <c r="J1" s="856"/>
      <c r="K1" s="856"/>
    </row>
    <row r="2" spans="1:86" s="384" customFormat="1" ht="40.15" customHeight="1">
      <c r="B2" s="1" t="str">
        <f>+Summary!B2</f>
        <v>Dự án Trần Đức 1</v>
      </c>
      <c r="C2" s="1"/>
      <c r="D2" s="1"/>
      <c r="E2" s="1"/>
      <c r="F2" s="1"/>
      <c r="G2" s="1"/>
    </row>
    <row r="3" spans="1:86" s="382" customFormat="1" ht="19.899999999999999" customHeight="1" thickBot="1">
      <c r="B3" s="1444" t="s">
        <v>605</v>
      </c>
      <c r="C3" s="385"/>
      <c r="D3" s="386"/>
      <c r="E3" s="386"/>
      <c r="F3" s="386"/>
      <c r="G3" s="386"/>
    </row>
    <row r="4" spans="1:86" s="857" customFormat="1" ht="27" thickTop="1">
      <c r="B4" s="858"/>
      <c r="C4" s="859"/>
      <c r="D4" s="859"/>
      <c r="E4" s="859"/>
      <c r="F4" s="859"/>
      <c r="G4" s="859"/>
      <c r="H4" s="859"/>
      <c r="I4" s="859"/>
      <c r="J4" s="859"/>
      <c r="K4" s="859"/>
      <c r="L4" s="859"/>
      <c r="M4" s="859"/>
      <c r="N4" s="859"/>
      <c r="O4" s="859"/>
    </row>
    <row r="5" spans="1:86" s="854" customFormat="1" ht="18" customHeight="1">
      <c r="B5" s="860" t="s">
        <v>461</v>
      </c>
      <c r="C5" s="861"/>
      <c r="E5" s="862"/>
      <c r="F5" s="862"/>
      <c r="G5" s="862"/>
      <c r="H5" s="862"/>
      <c r="I5" s="862"/>
      <c r="J5" s="862"/>
      <c r="K5" s="862"/>
      <c r="L5" s="862"/>
      <c r="M5" s="862"/>
      <c r="N5" s="862"/>
      <c r="O5" s="862"/>
      <c r="P5" s="862"/>
      <c r="Q5" s="862"/>
      <c r="R5" s="862"/>
      <c r="S5" s="862"/>
      <c r="T5" s="862"/>
      <c r="U5" s="862"/>
      <c r="V5" s="862"/>
      <c r="W5" s="862"/>
    </row>
    <row r="6" spans="1:86" s="854" customFormat="1" ht="21" customHeight="1">
      <c r="D6" s="863"/>
      <c r="E6" s="864"/>
      <c r="F6" s="864"/>
      <c r="G6" s="864"/>
      <c r="H6" s="864"/>
      <c r="I6" s="864"/>
      <c r="J6" s="864"/>
      <c r="K6" s="864"/>
      <c r="L6" s="864"/>
      <c r="M6" s="864"/>
      <c r="N6" s="864"/>
      <c r="O6" s="864"/>
      <c r="P6" s="864"/>
      <c r="Q6" s="864"/>
      <c r="R6" s="864"/>
      <c r="S6" s="864"/>
      <c r="T6" s="864"/>
      <c r="U6" s="864"/>
      <c r="V6" s="864"/>
      <c r="W6" s="864"/>
    </row>
    <row r="7" spans="1:86" ht="18" customHeight="1">
      <c r="B7" s="868" t="s">
        <v>521</v>
      </c>
      <c r="C7" s="869"/>
      <c r="D7" s="869"/>
      <c r="L7" s="870"/>
      <c r="M7" s="870"/>
      <c r="N7" s="870"/>
      <c r="O7" s="870"/>
      <c r="P7" s="870"/>
      <c r="Q7" s="870"/>
      <c r="R7" s="870"/>
      <c r="S7" s="870"/>
      <c r="T7" s="870"/>
      <c r="U7" s="870"/>
      <c r="V7" s="870"/>
      <c r="W7" s="870"/>
    </row>
    <row r="8" spans="1:86" s="502" customFormat="1" ht="17.25">
      <c r="A8" s="748"/>
      <c r="B8" s="2373" t="s">
        <v>9</v>
      </c>
      <c r="C8" s="2373" t="s">
        <v>522</v>
      </c>
      <c r="D8" s="2373"/>
      <c r="E8" s="2372" t="s">
        <v>17</v>
      </c>
      <c r="F8" s="934">
        <f>F14</f>
        <v>2026</v>
      </c>
      <c r="G8" s="934">
        <f t="shared" ref="G8:BR8" si="0">G14</f>
        <v>2026</v>
      </c>
      <c r="H8" s="934">
        <f t="shared" si="0"/>
        <v>2026</v>
      </c>
      <c r="I8" s="934">
        <f t="shared" si="0"/>
        <v>2026</v>
      </c>
      <c r="J8" s="934">
        <f t="shared" si="0"/>
        <v>2027</v>
      </c>
      <c r="K8" s="934">
        <f t="shared" si="0"/>
        <v>2027</v>
      </c>
      <c r="L8" s="934">
        <f t="shared" si="0"/>
        <v>2027</v>
      </c>
      <c r="M8" s="934">
        <f t="shared" si="0"/>
        <v>2027</v>
      </c>
      <c r="N8" s="934">
        <f t="shared" si="0"/>
        <v>2028</v>
      </c>
      <c r="O8" s="934">
        <f t="shared" si="0"/>
        <v>2028</v>
      </c>
      <c r="P8" s="934">
        <f t="shared" si="0"/>
        <v>2028</v>
      </c>
      <c r="Q8" s="934">
        <f t="shared" si="0"/>
        <v>2028</v>
      </c>
      <c r="R8" s="934">
        <f t="shared" si="0"/>
        <v>2029</v>
      </c>
      <c r="S8" s="934">
        <f t="shared" si="0"/>
        <v>2029</v>
      </c>
      <c r="T8" s="934">
        <f t="shared" si="0"/>
        <v>2029</v>
      </c>
      <c r="U8" s="934">
        <f t="shared" si="0"/>
        <v>2029</v>
      </c>
      <c r="V8" s="934">
        <f t="shared" si="0"/>
        <v>2030</v>
      </c>
      <c r="W8" s="934">
        <f t="shared" si="0"/>
        <v>2030</v>
      </c>
      <c r="X8" s="934">
        <f t="shared" si="0"/>
        <v>2030</v>
      </c>
      <c r="Y8" s="934">
        <f t="shared" si="0"/>
        <v>2030</v>
      </c>
      <c r="Z8" s="934">
        <f t="shared" si="0"/>
        <v>2031</v>
      </c>
      <c r="AA8" s="934">
        <f t="shared" si="0"/>
        <v>2031</v>
      </c>
      <c r="AB8" s="934">
        <f t="shared" si="0"/>
        <v>2031</v>
      </c>
      <c r="AC8" s="934">
        <f t="shared" si="0"/>
        <v>2031</v>
      </c>
      <c r="AD8" s="934">
        <f t="shared" si="0"/>
        <v>2032</v>
      </c>
      <c r="AE8" s="934">
        <f t="shared" si="0"/>
        <v>2032</v>
      </c>
      <c r="AF8" s="934">
        <f t="shared" si="0"/>
        <v>2032</v>
      </c>
      <c r="AG8" s="934">
        <f t="shared" si="0"/>
        <v>2032</v>
      </c>
      <c r="AH8" s="934">
        <f t="shared" si="0"/>
        <v>2033</v>
      </c>
      <c r="AI8" s="934">
        <f t="shared" si="0"/>
        <v>2033</v>
      </c>
      <c r="AJ8" s="934">
        <f t="shared" si="0"/>
        <v>2033</v>
      </c>
      <c r="AK8" s="934">
        <f t="shared" si="0"/>
        <v>2033</v>
      </c>
      <c r="AL8" s="934">
        <f t="shared" si="0"/>
        <v>2034</v>
      </c>
      <c r="AM8" s="934">
        <f t="shared" si="0"/>
        <v>2034</v>
      </c>
      <c r="AN8" s="934">
        <f t="shared" si="0"/>
        <v>2034</v>
      </c>
      <c r="AO8" s="934">
        <f t="shared" si="0"/>
        <v>2034</v>
      </c>
      <c r="AP8" s="934">
        <f t="shared" si="0"/>
        <v>2035</v>
      </c>
      <c r="AQ8" s="934">
        <f t="shared" si="0"/>
        <v>2036</v>
      </c>
      <c r="AR8" s="934">
        <f t="shared" si="0"/>
        <v>2037</v>
      </c>
      <c r="AS8" s="934">
        <f t="shared" si="0"/>
        <v>2038</v>
      </c>
      <c r="AT8" s="934">
        <f t="shared" si="0"/>
        <v>2039</v>
      </c>
      <c r="AU8" s="934">
        <f t="shared" si="0"/>
        <v>2040</v>
      </c>
      <c r="AV8" s="934">
        <f t="shared" si="0"/>
        <v>2041</v>
      </c>
      <c r="AW8" s="934">
        <f t="shared" si="0"/>
        <v>2042</v>
      </c>
      <c r="AX8" s="934">
        <f t="shared" si="0"/>
        <v>2043</v>
      </c>
      <c r="AY8" s="934">
        <f t="shared" si="0"/>
        <v>2044</v>
      </c>
      <c r="AZ8" s="934">
        <f t="shared" si="0"/>
        <v>2045</v>
      </c>
      <c r="BA8" s="934">
        <f t="shared" si="0"/>
        <v>2046</v>
      </c>
      <c r="BB8" s="934">
        <f t="shared" si="0"/>
        <v>2047</v>
      </c>
      <c r="BC8" s="934">
        <f t="shared" si="0"/>
        <v>2048</v>
      </c>
      <c r="BD8" s="934">
        <f t="shared" si="0"/>
        <v>2049</v>
      </c>
      <c r="BE8" s="934">
        <f t="shared" si="0"/>
        <v>2050</v>
      </c>
      <c r="BF8" s="934">
        <f t="shared" si="0"/>
        <v>2051</v>
      </c>
      <c r="BG8" s="934">
        <f t="shared" si="0"/>
        <v>2052</v>
      </c>
      <c r="BH8" s="934">
        <f t="shared" si="0"/>
        <v>2053</v>
      </c>
      <c r="BI8" s="934">
        <f t="shared" si="0"/>
        <v>2054</v>
      </c>
      <c r="BJ8" s="934">
        <f t="shared" si="0"/>
        <v>2055</v>
      </c>
      <c r="BK8" s="934">
        <f t="shared" si="0"/>
        <v>2056</v>
      </c>
      <c r="BL8" s="934">
        <f t="shared" si="0"/>
        <v>2057</v>
      </c>
      <c r="BM8" s="934">
        <f t="shared" si="0"/>
        <v>2058</v>
      </c>
      <c r="BN8" s="934">
        <f t="shared" si="0"/>
        <v>2059</v>
      </c>
      <c r="BO8" s="934">
        <f t="shared" si="0"/>
        <v>2060</v>
      </c>
      <c r="BP8" s="934">
        <f t="shared" si="0"/>
        <v>2061</v>
      </c>
      <c r="BQ8" s="934">
        <f t="shared" si="0"/>
        <v>2062</v>
      </c>
      <c r="BR8" s="934">
        <f t="shared" si="0"/>
        <v>2063</v>
      </c>
      <c r="BS8" s="934">
        <f>BS14</f>
        <v>2064</v>
      </c>
      <c r="BT8" s="934">
        <f>BT14</f>
        <v>2065</v>
      </c>
      <c r="BU8" s="934">
        <f>BU14</f>
        <v>2066</v>
      </c>
      <c r="BV8" s="934">
        <f>BV14</f>
        <v>2067</v>
      </c>
      <c r="BW8" s="934">
        <f>BW14</f>
        <v>2068</v>
      </c>
      <c r="BX8" s="934">
        <f t="shared" ref="BX8:CH8" si="1">BX14</f>
        <v>2069</v>
      </c>
      <c r="BY8" s="934">
        <f t="shared" si="1"/>
        <v>2070</v>
      </c>
      <c r="BZ8" s="934">
        <f t="shared" si="1"/>
        <v>2071</v>
      </c>
      <c r="CA8" s="934">
        <f t="shared" si="1"/>
        <v>2072</v>
      </c>
      <c r="CB8" s="934">
        <f t="shared" si="1"/>
        <v>2073</v>
      </c>
      <c r="CC8" s="934">
        <f t="shared" si="1"/>
        <v>2074</v>
      </c>
      <c r="CD8" s="934">
        <f t="shared" si="1"/>
        <v>2075</v>
      </c>
      <c r="CE8" s="934">
        <f t="shared" si="1"/>
        <v>2076</v>
      </c>
      <c r="CF8" s="934">
        <f t="shared" si="1"/>
        <v>2077</v>
      </c>
      <c r="CG8" s="934">
        <f t="shared" si="1"/>
        <v>2078</v>
      </c>
      <c r="CH8" s="934">
        <f t="shared" si="1"/>
        <v>2079</v>
      </c>
    </row>
    <row r="9" spans="1:86" s="502" customFormat="1" ht="17.25">
      <c r="A9" s="748"/>
      <c r="B9" s="2373"/>
      <c r="C9" s="2373"/>
      <c r="D9" s="2373"/>
      <c r="E9" s="2372"/>
      <c r="F9" s="935" t="s">
        <v>11</v>
      </c>
      <c r="G9" s="935" t="s">
        <v>12</v>
      </c>
      <c r="H9" s="935" t="s">
        <v>13</v>
      </c>
      <c r="I9" s="935" t="s">
        <v>14</v>
      </c>
      <c r="J9" s="935" t="s">
        <v>11</v>
      </c>
      <c r="K9" s="935" t="s">
        <v>12</v>
      </c>
      <c r="L9" s="935" t="s">
        <v>13</v>
      </c>
      <c r="M9" s="935" t="s">
        <v>14</v>
      </c>
      <c r="N9" s="935" t="s">
        <v>11</v>
      </c>
      <c r="O9" s="935" t="s">
        <v>12</v>
      </c>
      <c r="P9" s="935" t="s">
        <v>13</v>
      </c>
      <c r="Q9" s="935" t="s">
        <v>14</v>
      </c>
      <c r="R9" s="935" t="s">
        <v>11</v>
      </c>
      <c r="S9" s="935" t="s">
        <v>12</v>
      </c>
      <c r="T9" s="935" t="s">
        <v>13</v>
      </c>
      <c r="U9" s="935" t="s">
        <v>14</v>
      </c>
      <c r="V9" s="936" t="s">
        <v>11</v>
      </c>
      <c r="W9" s="936" t="s">
        <v>12</v>
      </c>
      <c r="X9" s="936" t="s">
        <v>13</v>
      </c>
      <c r="Y9" s="937" t="s">
        <v>14</v>
      </c>
      <c r="Z9" s="936" t="s">
        <v>11</v>
      </c>
      <c r="AA9" s="936" t="s">
        <v>12</v>
      </c>
      <c r="AB9" s="936" t="s">
        <v>13</v>
      </c>
      <c r="AC9" s="937" t="s">
        <v>14</v>
      </c>
      <c r="AD9" s="937"/>
      <c r="AE9" s="937"/>
      <c r="AF9" s="937"/>
      <c r="AG9" s="937"/>
      <c r="AH9" s="937"/>
      <c r="AI9" s="937"/>
      <c r="AJ9" s="937"/>
      <c r="AK9" s="937"/>
      <c r="AL9" s="937"/>
      <c r="AM9" s="937"/>
      <c r="AN9" s="937"/>
      <c r="AO9" s="937"/>
      <c r="AP9" s="937"/>
      <c r="AQ9" s="937"/>
      <c r="AR9" s="937"/>
      <c r="AS9" s="937"/>
      <c r="AT9" s="937"/>
      <c r="AU9" s="937"/>
      <c r="AV9" s="937"/>
      <c r="AW9" s="937"/>
      <c r="AX9" s="937"/>
      <c r="AY9" s="937"/>
      <c r="AZ9" s="937"/>
      <c r="BA9" s="937"/>
      <c r="BB9" s="937"/>
      <c r="BC9" s="937"/>
      <c r="BD9" s="937"/>
      <c r="BE9" s="937"/>
      <c r="BF9" s="937"/>
      <c r="BG9" s="937"/>
      <c r="BH9" s="937"/>
      <c r="BI9" s="937"/>
      <c r="BJ9" s="937"/>
      <c r="BK9" s="937"/>
      <c r="BL9" s="937"/>
      <c r="BM9" s="937"/>
      <c r="BN9" s="937"/>
      <c r="BO9" s="937"/>
      <c r="BP9" s="937"/>
      <c r="BQ9" s="937"/>
      <c r="BR9" s="937"/>
      <c r="BS9" s="937"/>
      <c r="BT9" s="937"/>
      <c r="BU9" s="937"/>
      <c r="BV9" s="937"/>
      <c r="BW9" s="937"/>
      <c r="BX9" s="937"/>
      <c r="BY9" s="937"/>
      <c r="BZ9" s="937"/>
      <c r="CA9" s="937"/>
      <c r="CB9" s="937"/>
      <c r="CC9" s="937"/>
      <c r="CD9" s="937"/>
      <c r="CE9" s="937"/>
      <c r="CF9" s="937"/>
      <c r="CG9" s="937"/>
      <c r="CH9" s="937"/>
    </row>
    <row r="10" spans="1:86">
      <c r="B10" s="871"/>
      <c r="C10" s="872"/>
      <c r="D10" s="873"/>
      <c r="E10" s="874"/>
      <c r="F10" s="874"/>
      <c r="G10" s="874"/>
      <c r="H10" s="874"/>
      <c r="I10" s="874"/>
      <c r="J10" s="874"/>
      <c r="K10" s="874"/>
      <c r="L10" s="874"/>
      <c r="M10" s="874"/>
      <c r="N10" s="874"/>
      <c r="O10" s="874"/>
      <c r="P10" s="874"/>
      <c r="Q10" s="874"/>
      <c r="R10" s="874"/>
      <c r="S10" s="874"/>
      <c r="T10" s="874"/>
      <c r="U10" s="874"/>
      <c r="V10" s="874"/>
      <c r="W10" s="874"/>
      <c r="X10" s="874"/>
      <c r="Y10" s="874"/>
      <c r="Z10" s="874"/>
      <c r="AA10" s="874"/>
      <c r="AB10" s="874"/>
      <c r="AC10" s="874"/>
      <c r="AD10" s="874"/>
      <c r="AE10" s="874"/>
      <c r="AF10" s="874"/>
      <c r="AG10" s="874"/>
      <c r="AH10" s="874"/>
      <c r="AI10" s="874"/>
      <c r="AJ10" s="874"/>
      <c r="AK10" s="874"/>
      <c r="AL10" s="874"/>
      <c r="AM10" s="874"/>
      <c r="AN10" s="874"/>
      <c r="AO10" s="874"/>
      <c r="AP10" s="874"/>
      <c r="AQ10" s="874"/>
      <c r="AR10" s="874"/>
      <c r="AS10" s="874"/>
      <c r="AT10" s="874"/>
      <c r="AU10" s="874"/>
      <c r="AV10" s="874"/>
      <c r="AW10" s="874"/>
      <c r="AX10" s="874"/>
      <c r="AY10" s="874"/>
      <c r="AZ10" s="874"/>
      <c r="BA10" s="874"/>
      <c r="BB10" s="874"/>
      <c r="BC10" s="874"/>
      <c r="BD10" s="874"/>
      <c r="BE10" s="874"/>
      <c r="BF10" s="874"/>
      <c r="BG10" s="874"/>
      <c r="BH10" s="874"/>
      <c r="BI10" s="874"/>
      <c r="BJ10" s="874"/>
      <c r="BK10" s="874"/>
      <c r="BL10" s="874"/>
      <c r="BM10" s="874"/>
      <c r="BN10" s="874"/>
      <c r="BO10" s="874"/>
      <c r="BP10" s="874"/>
      <c r="BQ10" s="874"/>
      <c r="BR10" s="874"/>
      <c r="BS10" s="874"/>
      <c r="BT10" s="874"/>
      <c r="BU10" s="874"/>
      <c r="BV10" s="874"/>
      <c r="BW10" s="874"/>
      <c r="BX10" s="874"/>
      <c r="BY10" s="874"/>
      <c r="BZ10" s="874"/>
      <c r="CA10" s="874"/>
      <c r="CB10" s="874"/>
      <c r="CC10" s="874"/>
      <c r="CD10" s="874"/>
      <c r="CE10" s="874"/>
    </row>
    <row r="11" spans="1:86">
      <c r="B11" s="875" t="s">
        <v>37</v>
      </c>
      <c r="C11" s="876">
        <v>0.12</v>
      </c>
      <c r="D11" s="877"/>
      <c r="E11" s="878">
        <f>$C$11/4</f>
        <v>0.03</v>
      </c>
      <c r="F11" s="878">
        <f>E11</f>
        <v>0.03</v>
      </c>
      <c r="G11" s="878">
        <f t="shared" ref="G11:AC11" si="2">F11</f>
        <v>0.03</v>
      </c>
      <c r="H11" s="878">
        <f t="shared" si="2"/>
        <v>0.03</v>
      </c>
      <c r="I11" s="878">
        <f t="shared" si="2"/>
        <v>0.03</v>
      </c>
      <c r="J11" s="878">
        <f t="shared" si="2"/>
        <v>0.03</v>
      </c>
      <c r="K11" s="878">
        <f t="shared" si="2"/>
        <v>0.03</v>
      </c>
      <c r="L11" s="878">
        <f t="shared" si="2"/>
        <v>0.03</v>
      </c>
      <c r="M11" s="878">
        <f t="shared" si="2"/>
        <v>0.03</v>
      </c>
      <c r="N11" s="878">
        <f t="shared" si="2"/>
        <v>0.03</v>
      </c>
      <c r="O11" s="878">
        <f t="shared" si="2"/>
        <v>0.03</v>
      </c>
      <c r="P11" s="878">
        <f t="shared" si="2"/>
        <v>0.03</v>
      </c>
      <c r="Q11" s="878">
        <f t="shared" si="2"/>
        <v>0.03</v>
      </c>
      <c r="R11" s="878">
        <f t="shared" si="2"/>
        <v>0.03</v>
      </c>
      <c r="S11" s="878">
        <f t="shared" si="2"/>
        <v>0.03</v>
      </c>
      <c r="T11" s="878">
        <f t="shared" si="2"/>
        <v>0.03</v>
      </c>
      <c r="U11" s="878">
        <f t="shared" si="2"/>
        <v>0.03</v>
      </c>
      <c r="V11" s="878">
        <f t="shared" si="2"/>
        <v>0.03</v>
      </c>
      <c r="W11" s="878">
        <f t="shared" si="2"/>
        <v>0.03</v>
      </c>
      <c r="X11" s="878">
        <f t="shared" si="2"/>
        <v>0.03</v>
      </c>
      <c r="Y11" s="878">
        <f t="shared" si="2"/>
        <v>0.03</v>
      </c>
      <c r="Z11" s="878">
        <f t="shared" si="2"/>
        <v>0.03</v>
      </c>
      <c r="AA11" s="878">
        <f t="shared" si="2"/>
        <v>0.03</v>
      </c>
      <c r="AB11" s="878">
        <f t="shared" si="2"/>
        <v>0.03</v>
      </c>
      <c r="AC11" s="878">
        <f t="shared" si="2"/>
        <v>0.03</v>
      </c>
      <c r="AD11" s="879">
        <f>AC11*4</f>
        <v>0.12</v>
      </c>
      <c r="AE11" s="878">
        <f>AD11</f>
        <v>0.12</v>
      </c>
      <c r="AF11" s="878">
        <f t="shared" ref="AF11:BW11" si="3">AE11</f>
        <v>0.12</v>
      </c>
      <c r="AG11" s="878">
        <f t="shared" si="3"/>
        <v>0.12</v>
      </c>
      <c r="AH11" s="878">
        <f t="shared" si="3"/>
        <v>0.12</v>
      </c>
      <c r="AI11" s="878">
        <f t="shared" si="3"/>
        <v>0.12</v>
      </c>
      <c r="AJ11" s="878">
        <f t="shared" si="3"/>
        <v>0.12</v>
      </c>
      <c r="AK11" s="878">
        <f t="shared" si="3"/>
        <v>0.12</v>
      </c>
      <c r="AL11" s="878">
        <f t="shared" si="3"/>
        <v>0.12</v>
      </c>
      <c r="AM11" s="878">
        <f t="shared" si="3"/>
        <v>0.12</v>
      </c>
      <c r="AN11" s="878">
        <f t="shared" si="3"/>
        <v>0.12</v>
      </c>
      <c r="AO11" s="878">
        <f t="shared" si="3"/>
        <v>0.12</v>
      </c>
      <c r="AP11" s="878">
        <f t="shared" si="3"/>
        <v>0.12</v>
      </c>
      <c r="AQ11" s="878">
        <f t="shared" si="3"/>
        <v>0.12</v>
      </c>
      <c r="AR11" s="878">
        <f t="shared" si="3"/>
        <v>0.12</v>
      </c>
      <c r="AS11" s="878">
        <f t="shared" si="3"/>
        <v>0.12</v>
      </c>
      <c r="AT11" s="878">
        <f t="shared" si="3"/>
        <v>0.12</v>
      </c>
      <c r="AU11" s="878">
        <f t="shared" si="3"/>
        <v>0.12</v>
      </c>
      <c r="AV11" s="878">
        <f t="shared" si="3"/>
        <v>0.12</v>
      </c>
      <c r="AW11" s="878">
        <f t="shared" si="3"/>
        <v>0.12</v>
      </c>
      <c r="AX11" s="878">
        <f t="shared" si="3"/>
        <v>0.12</v>
      </c>
      <c r="AY11" s="878">
        <f t="shared" si="3"/>
        <v>0.12</v>
      </c>
      <c r="AZ11" s="878">
        <f t="shared" si="3"/>
        <v>0.12</v>
      </c>
      <c r="BA11" s="878">
        <f t="shared" si="3"/>
        <v>0.12</v>
      </c>
      <c r="BB11" s="878">
        <f t="shared" si="3"/>
        <v>0.12</v>
      </c>
      <c r="BC11" s="878">
        <f t="shared" si="3"/>
        <v>0.12</v>
      </c>
      <c r="BD11" s="878">
        <f t="shared" si="3"/>
        <v>0.12</v>
      </c>
      <c r="BE11" s="878">
        <f t="shared" si="3"/>
        <v>0.12</v>
      </c>
      <c r="BF11" s="878">
        <f t="shared" si="3"/>
        <v>0.12</v>
      </c>
      <c r="BG11" s="878">
        <f t="shared" si="3"/>
        <v>0.12</v>
      </c>
      <c r="BH11" s="878">
        <f t="shared" si="3"/>
        <v>0.12</v>
      </c>
      <c r="BI11" s="878">
        <f t="shared" si="3"/>
        <v>0.12</v>
      </c>
      <c r="BJ11" s="878">
        <f t="shared" si="3"/>
        <v>0.12</v>
      </c>
      <c r="BK11" s="878">
        <f t="shared" si="3"/>
        <v>0.12</v>
      </c>
      <c r="BL11" s="878">
        <f t="shared" si="3"/>
        <v>0.12</v>
      </c>
      <c r="BM11" s="878">
        <f t="shared" si="3"/>
        <v>0.12</v>
      </c>
      <c r="BN11" s="878">
        <f t="shared" si="3"/>
        <v>0.12</v>
      </c>
      <c r="BO11" s="878">
        <f t="shared" si="3"/>
        <v>0.12</v>
      </c>
      <c r="BP11" s="878">
        <f t="shared" si="3"/>
        <v>0.12</v>
      </c>
      <c r="BQ11" s="878">
        <f t="shared" si="3"/>
        <v>0.12</v>
      </c>
      <c r="BR11" s="878">
        <f t="shared" si="3"/>
        <v>0.12</v>
      </c>
      <c r="BS11" s="878">
        <f t="shared" si="3"/>
        <v>0.12</v>
      </c>
      <c r="BT11" s="878">
        <f t="shared" si="3"/>
        <v>0.12</v>
      </c>
      <c r="BU11" s="878">
        <f t="shared" si="3"/>
        <v>0.12</v>
      </c>
      <c r="BV11" s="878">
        <f t="shared" si="3"/>
        <v>0.12</v>
      </c>
      <c r="BW11" s="878">
        <f t="shared" si="3"/>
        <v>0.12</v>
      </c>
      <c r="BX11" s="878">
        <f t="shared" ref="BX11:CH11" si="4">BW11</f>
        <v>0.12</v>
      </c>
      <c r="BY11" s="878">
        <f t="shared" si="4"/>
        <v>0.12</v>
      </c>
      <c r="BZ11" s="878">
        <f t="shared" si="4"/>
        <v>0.12</v>
      </c>
      <c r="CA11" s="878">
        <f t="shared" si="4"/>
        <v>0.12</v>
      </c>
      <c r="CB11" s="878">
        <f t="shared" si="4"/>
        <v>0.12</v>
      </c>
      <c r="CC11" s="878">
        <f t="shared" si="4"/>
        <v>0.12</v>
      </c>
      <c r="CD11" s="878">
        <f t="shared" si="4"/>
        <v>0.12</v>
      </c>
      <c r="CE11" s="878">
        <f t="shared" si="4"/>
        <v>0.12</v>
      </c>
      <c r="CF11" s="878">
        <f t="shared" si="4"/>
        <v>0.12</v>
      </c>
      <c r="CG11" s="878">
        <f t="shared" si="4"/>
        <v>0.12</v>
      </c>
      <c r="CH11" s="878">
        <f t="shared" si="4"/>
        <v>0.12</v>
      </c>
    </row>
    <row r="12" spans="1:86">
      <c r="B12" s="880"/>
      <c r="C12" s="881"/>
      <c r="D12" s="882"/>
      <c r="E12" s="883"/>
      <c r="F12" s="883"/>
      <c r="G12" s="883"/>
      <c r="H12" s="883"/>
      <c r="I12" s="883"/>
      <c r="J12" s="883"/>
      <c r="K12" s="883"/>
      <c r="L12" s="883"/>
      <c r="M12" s="883"/>
      <c r="N12" s="883"/>
      <c r="O12" s="883"/>
      <c r="P12" s="883"/>
      <c r="Q12" s="883"/>
      <c r="R12" s="883"/>
      <c r="S12" s="883"/>
      <c r="T12" s="883"/>
      <c r="U12" s="883"/>
      <c r="V12" s="883"/>
      <c r="W12" s="883"/>
    </row>
    <row r="13" spans="1:86" ht="18" customHeight="1">
      <c r="B13" s="868" t="s">
        <v>38</v>
      </c>
      <c r="C13" s="869"/>
      <c r="D13" s="869"/>
      <c r="L13" s="870"/>
      <c r="M13" s="870"/>
      <c r="N13" s="870"/>
      <c r="O13" s="870"/>
      <c r="P13" s="870"/>
      <c r="Q13" s="870"/>
      <c r="R13" s="870"/>
      <c r="S13" s="870"/>
      <c r="T13" s="870"/>
      <c r="U13" s="870"/>
      <c r="V13" s="870"/>
      <c r="W13" s="870"/>
    </row>
    <row r="14" spans="1:86" s="502" customFormat="1" ht="17.25">
      <c r="A14" s="748"/>
      <c r="B14" s="2373" t="s">
        <v>9</v>
      </c>
      <c r="C14" s="2373" t="s">
        <v>18</v>
      </c>
      <c r="D14" s="2373" t="s">
        <v>523</v>
      </c>
      <c r="E14" s="2372" t="s">
        <v>17</v>
      </c>
      <c r="F14" s="934">
        <f>'5.Doanh thu'!H7</f>
        <v>2026</v>
      </c>
      <c r="G14" s="934">
        <f>'5.Doanh thu'!I7</f>
        <v>2026</v>
      </c>
      <c r="H14" s="934">
        <f>'5.Doanh thu'!J7</f>
        <v>2026</v>
      </c>
      <c r="I14" s="934">
        <f>'5.Doanh thu'!K7</f>
        <v>2026</v>
      </c>
      <c r="J14" s="934">
        <f>'5.Doanh thu'!L7</f>
        <v>2027</v>
      </c>
      <c r="K14" s="934">
        <f>'5.Doanh thu'!M7</f>
        <v>2027</v>
      </c>
      <c r="L14" s="934">
        <f>'5.Doanh thu'!N7</f>
        <v>2027</v>
      </c>
      <c r="M14" s="934">
        <f>'5.Doanh thu'!O7</f>
        <v>2027</v>
      </c>
      <c r="N14" s="934">
        <f>'5.Doanh thu'!P7</f>
        <v>2028</v>
      </c>
      <c r="O14" s="934">
        <f>'5.Doanh thu'!Q7</f>
        <v>2028</v>
      </c>
      <c r="P14" s="934">
        <f>'5.Doanh thu'!R7</f>
        <v>2028</v>
      </c>
      <c r="Q14" s="934">
        <f>'5.Doanh thu'!S7</f>
        <v>2028</v>
      </c>
      <c r="R14" s="934">
        <f>'5.Doanh thu'!T7</f>
        <v>2029</v>
      </c>
      <c r="S14" s="934">
        <f>'5.Doanh thu'!U7</f>
        <v>2029</v>
      </c>
      <c r="T14" s="934">
        <f>'5.Doanh thu'!V7</f>
        <v>2029</v>
      </c>
      <c r="U14" s="934">
        <f>'5.Doanh thu'!W7</f>
        <v>2029</v>
      </c>
      <c r="V14" s="934">
        <f>'5.Doanh thu'!X7</f>
        <v>2030</v>
      </c>
      <c r="W14" s="934">
        <f>'5.Doanh thu'!Y7</f>
        <v>2030</v>
      </c>
      <c r="X14" s="934">
        <f>'5.Doanh thu'!Z7</f>
        <v>2030</v>
      </c>
      <c r="Y14" s="934">
        <f>'5.Doanh thu'!AA7</f>
        <v>2030</v>
      </c>
      <c r="Z14" s="938">
        <f>'5.Doanh thu'!AB7</f>
        <v>2031</v>
      </c>
      <c r="AA14" s="938">
        <f>'5.Doanh thu'!AC7</f>
        <v>2031</v>
      </c>
      <c r="AB14" s="938">
        <f>'5.Doanh thu'!AD7</f>
        <v>2031</v>
      </c>
      <c r="AC14" s="938">
        <f>'5.Doanh thu'!AE7</f>
        <v>2031</v>
      </c>
      <c r="AD14" s="938">
        <f>'5.Doanh thu'!AF7</f>
        <v>2032</v>
      </c>
      <c r="AE14" s="938">
        <f>'5.Doanh thu'!AG7</f>
        <v>2032</v>
      </c>
      <c r="AF14" s="938">
        <f>'5.Doanh thu'!AH7</f>
        <v>2032</v>
      </c>
      <c r="AG14" s="938">
        <f>'5.Doanh thu'!AI7</f>
        <v>2032</v>
      </c>
      <c r="AH14" s="938">
        <f>'5.Doanh thu'!AJ7</f>
        <v>2033</v>
      </c>
      <c r="AI14" s="938">
        <f>'5.Doanh thu'!AK7</f>
        <v>2033</v>
      </c>
      <c r="AJ14" s="938">
        <f>'5.Doanh thu'!AL7</f>
        <v>2033</v>
      </c>
      <c r="AK14" s="938">
        <f>'5.Doanh thu'!AM7</f>
        <v>2033</v>
      </c>
      <c r="AL14" s="938">
        <f>'5.Doanh thu'!AN7</f>
        <v>2034</v>
      </c>
      <c r="AM14" s="938">
        <f>'5.Doanh thu'!AO7</f>
        <v>2034</v>
      </c>
      <c r="AN14" s="938">
        <f>'5.Doanh thu'!AP7</f>
        <v>2034</v>
      </c>
      <c r="AO14" s="938">
        <f>'5.Doanh thu'!AQ7</f>
        <v>2034</v>
      </c>
      <c r="AP14" s="938">
        <f>'5.Doanh thu'!AR7</f>
        <v>2035</v>
      </c>
      <c r="AQ14" s="938">
        <f>'5.Doanh thu'!AS7</f>
        <v>2036</v>
      </c>
      <c r="AR14" s="938">
        <f>'5.Doanh thu'!AT7</f>
        <v>2037</v>
      </c>
      <c r="AS14" s="938">
        <f>'5.Doanh thu'!AU7</f>
        <v>2038</v>
      </c>
      <c r="AT14" s="938">
        <f>'5.Doanh thu'!AV7</f>
        <v>2039</v>
      </c>
      <c r="AU14" s="938">
        <f>'5.Doanh thu'!AW7</f>
        <v>2040</v>
      </c>
      <c r="AV14" s="938">
        <f>'5.Doanh thu'!AX7</f>
        <v>2041</v>
      </c>
      <c r="AW14" s="938">
        <f>'5.Doanh thu'!AY7</f>
        <v>2042</v>
      </c>
      <c r="AX14" s="938">
        <f>'5.Doanh thu'!AZ7</f>
        <v>2043</v>
      </c>
      <c r="AY14" s="938">
        <f>'5.Doanh thu'!BA7</f>
        <v>2044</v>
      </c>
      <c r="AZ14" s="938">
        <f>'5.Doanh thu'!BB7</f>
        <v>2045</v>
      </c>
      <c r="BA14" s="938">
        <f>'5.Doanh thu'!BC7</f>
        <v>2046</v>
      </c>
      <c r="BB14" s="938">
        <f>'5.Doanh thu'!BD7</f>
        <v>2047</v>
      </c>
      <c r="BC14" s="938">
        <f>'5.Doanh thu'!BE7</f>
        <v>2048</v>
      </c>
      <c r="BD14" s="938">
        <f>'5.Doanh thu'!BF7</f>
        <v>2049</v>
      </c>
      <c r="BE14" s="938">
        <f>'5.Doanh thu'!BG7</f>
        <v>2050</v>
      </c>
      <c r="BF14" s="938">
        <f>'5.Doanh thu'!BH7</f>
        <v>2051</v>
      </c>
      <c r="BG14" s="938">
        <f>'5.Doanh thu'!BI7</f>
        <v>2052</v>
      </c>
      <c r="BH14" s="938">
        <f>'5.Doanh thu'!BJ7</f>
        <v>2053</v>
      </c>
      <c r="BI14" s="938">
        <f>'5.Doanh thu'!BK7</f>
        <v>2054</v>
      </c>
      <c r="BJ14" s="938">
        <f>'5.Doanh thu'!BL7</f>
        <v>2055</v>
      </c>
      <c r="BK14" s="938">
        <f>'5.Doanh thu'!BM7</f>
        <v>2056</v>
      </c>
      <c r="BL14" s="938">
        <f>'5.Doanh thu'!BN7</f>
        <v>2057</v>
      </c>
      <c r="BM14" s="938">
        <f>'5.Doanh thu'!BO7</f>
        <v>2058</v>
      </c>
      <c r="BN14" s="938">
        <f>'5.Doanh thu'!BP7</f>
        <v>2059</v>
      </c>
      <c r="BO14" s="938">
        <f>'5.Doanh thu'!BQ7</f>
        <v>2060</v>
      </c>
      <c r="BP14" s="938">
        <f>'5.Doanh thu'!BR7</f>
        <v>2061</v>
      </c>
      <c r="BQ14" s="938">
        <f>'5.Doanh thu'!BS7</f>
        <v>2062</v>
      </c>
      <c r="BR14" s="938">
        <f>'5.Doanh thu'!BT7</f>
        <v>2063</v>
      </c>
      <c r="BS14" s="938">
        <f>'5.Doanh thu'!BU7</f>
        <v>2064</v>
      </c>
      <c r="BT14" s="938">
        <f>'5.Doanh thu'!BV7</f>
        <v>2065</v>
      </c>
      <c r="BU14" s="938">
        <f>'5.Doanh thu'!BW7</f>
        <v>2066</v>
      </c>
      <c r="BV14" s="938">
        <f>'5.Doanh thu'!BX7</f>
        <v>2067</v>
      </c>
      <c r="BW14" s="938">
        <f>'5.Doanh thu'!BY7</f>
        <v>2068</v>
      </c>
      <c r="BX14" s="938">
        <f>'5.Doanh thu'!BZ7</f>
        <v>2069</v>
      </c>
      <c r="BY14" s="938">
        <f>'5.Doanh thu'!CA7</f>
        <v>2070</v>
      </c>
      <c r="BZ14" s="938">
        <f>'5.Doanh thu'!CB7</f>
        <v>2071</v>
      </c>
      <c r="CA14" s="938">
        <f>'5.Doanh thu'!CC7</f>
        <v>2072</v>
      </c>
      <c r="CB14" s="938">
        <f>'5.Doanh thu'!CD7</f>
        <v>2073</v>
      </c>
      <c r="CC14" s="938">
        <f>'5.Doanh thu'!CE7</f>
        <v>2074</v>
      </c>
      <c r="CD14" s="938">
        <f>'5.Doanh thu'!CF7</f>
        <v>2075</v>
      </c>
      <c r="CE14" s="938">
        <f>'5.Doanh thu'!CG7</f>
        <v>2076</v>
      </c>
      <c r="CF14" s="938">
        <f>'5.Doanh thu'!CH7</f>
        <v>2077</v>
      </c>
      <c r="CG14" s="938">
        <f>'5.Doanh thu'!CI7</f>
        <v>2078</v>
      </c>
      <c r="CH14" s="938">
        <f>'5.Doanh thu'!CJ7</f>
        <v>2079</v>
      </c>
    </row>
    <row r="15" spans="1:86" s="502" customFormat="1" ht="17.25">
      <c r="A15" s="748"/>
      <c r="B15" s="2373"/>
      <c r="C15" s="2373"/>
      <c r="D15" s="2373"/>
      <c r="E15" s="2372"/>
      <c r="F15" s="934" t="str">
        <f>'5.Doanh thu'!H8</f>
        <v>Q1</v>
      </c>
      <c r="G15" s="934" t="str">
        <f>'5.Doanh thu'!I8</f>
        <v>Q2</v>
      </c>
      <c r="H15" s="934" t="str">
        <f>'5.Doanh thu'!J8</f>
        <v>Q3</v>
      </c>
      <c r="I15" s="934" t="str">
        <f>'5.Doanh thu'!K8</f>
        <v>Q4</v>
      </c>
      <c r="J15" s="934" t="str">
        <f>'5.Doanh thu'!L8</f>
        <v>Q1</v>
      </c>
      <c r="K15" s="934" t="str">
        <f>'5.Doanh thu'!M8</f>
        <v>Q2</v>
      </c>
      <c r="L15" s="934" t="str">
        <f>'5.Doanh thu'!N8</f>
        <v>Q3</v>
      </c>
      <c r="M15" s="934" t="str">
        <f>'5.Doanh thu'!O8</f>
        <v>Q4</v>
      </c>
      <c r="N15" s="934" t="str">
        <f>'5.Doanh thu'!P8</f>
        <v>Q1</v>
      </c>
      <c r="O15" s="934" t="str">
        <f>'5.Doanh thu'!Q8</f>
        <v>Q2</v>
      </c>
      <c r="P15" s="934" t="str">
        <f>'5.Doanh thu'!R8</f>
        <v>Q3</v>
      </c>
      <c r="Q15" s="934" t="str">
        <f>'5.Doanh thu'!S8</f>
        <v>Q4</v>
      </c>
      <c r="R15" s="934" t="str">
        <f>'5.Doanh thu'!T8</f>
        <v>Q1</v>
      </c>
      <c r="S15" s="934" t="str">
        <f>'5.Doanh thu'!U8</f>
        <v>Q2</v>
      </c>
      <c r="T15" s="934" t="str">
        <f>'5.Doanh thu'!V8</f>
        <v>Q3</v>
      </c>
      <c r="U15" s="934" t="str">
        <f>'5.Doanh thu'!W8</f>
        <v>Q4</v>
      </c>
      <c r="V15" s="934" t="str">
        <f>'5.Doanh thu'!X8</f>
        <v>Q1</v>
      </c>
      <c r="W15" s="934" t="str">
        <f>'5.Doanh thu'!Y8</f>
        <v>Q2</v>
      </c>
      <c r="X15" s="934" t="str">
        <f>'5.Doanh thu'!Z8</f>
        <v>Q3</v>
      </c>
      <c r="Y15" s="934" t="str">
        <f>'5.Doanh thu'!AA8</f>
        <v>Q4</v>
      </c>
      <c r="Z15" s="934" t="str">
        <f>'5.Doanh thu'!AB8</f>
        <v>Q1</v>
      </c>
      <c r="AA15" s="934" t="str">
        <f>'5.Doanh thu'!AC8</f>
        <v>Q2</v>
      </c>
      <c r="AB15" s="934" t="str">
        <f>'5.Doanh thu'!AD8</f>
        <v>Q3</v>
      </c>
      <c r="AC15" s="934" t="str">
        <f>'5.Doanh thu'!AE8</f>
        <v>Q4</v>
      </c>
      <c r="AD15" s="934" t="str">
        <f>'5.Doanh thu'!AF8</f>
        <v>Q1</v>
      </c>
      <c r="AE15" s="934" t="str">
        <f>'5.Doanh thu'!AG8</f>
        <v>Q2</v>
      </c>
      <c r="AF15" s="934" t="str">
        <f>'5.Doanh thu'!AH8</f>
        <v>Q3</v>
      </c>
      <c r="AG15" s="934" t="str">
        <f>'5.Doanh thu'!AI8</f>
        <v>Q4</v>
      </c>
      <c r="AH15" s="934" t="str">
        <f>'5.Doanh thu'!AJ8</f>
        <v>Q1</v>
      </c>
      <c r="AI15" s="934" t="str">
        <f>'5.Doanh thu'!AK8</f>
        <v>Q2</v>
      </c>
      <c r="AJ15" s="934" t="str">
        <f>'5.Doanh thu'!AL8</f>
        <v>Q3</v>
      </c>
      <c r="AK15" s="934" t="str">
        <f>'5.Doanh thu'!AM8</f>
        <v>Q4</v>
      </c>
      <c r="AL15" s="934" t="str">
        <f>'5.Doanh thu'!AN8</f>
        <v>Q1</v>
      </c>
      <c r="AM15" s="934" t="str">
        <f>'5.Doanh thu'!AO8</f>
        <v>Q2</v>
      </c>
      <c r="AN15" s="934" t="str">
        <f>'5.Doanh thu'!AP8</f>
        <v>Q3</v>
      </c>
      <c r="AO15" s="934" t="str">
        <f>'5.Doanh thu'!AQ8</f>
        <v>Q4</v>
      </c>
      <c r="AP15" s="937"/>
      <c r="AQ15" s="937"/>
      <c r="AR15" s="937"/>
      <c r="AS15" s="937"/>
      <c r="AT15" s="937"/>
      <c r="AU15" s="937"/>
      <c r="AV15" s="937"/>
      <c r="AW15" s="937"/>
      <c r="AX15" s="937"/>
      <c r="AY15" s="937"/>
      <c r="AZ15" s="937"/>
      <c r="BA15" s="937"/>
      <c r="BB15" s="937"/>
      <c r="BC15" s="937"/>
      <c r="BD15" s="937"/>
      <c r="BE15" s="937"/>
      <c r="BF15" s="937"/>
      <c r="BG15" s="937"/>
      <c r="BH15" s="937"/>
      <c r="BI15" s="937"/>
      <c r="BJ15" s="937"/>
      <c r="BK15" s="937"/>
      <c r="BL15" s="937"/>
      <c r="BM15" s="937"/>
      <c r="BN15" s="937"/>
      <c r="BO15" s="937"/>
      <c r="BP15" s="937"/>
      <c r="BQ15" s="937"/>
      <c r="BR15" s="937"/>
      <c r="BS15" s="937"/>
      <c r="BT15" s="937"/>
      <c r="BU15" s="937"/>
      <c r="BV15" s="937"/>
      <c r="BW15" s="937"/>
      <c r="BX15" s="937"/>
      <c r="BY15" s="937"/>
      <c r="BZ15" s="937"/>
      <c r="CA15" s="937"/>
      <c r="CB15" s="937"/>
      <c r="CC15" s="937"/>
      <c r="CD15" s="937"/>
      <c r="CE15" s="937"/>
      <c r="CF15" s="937"/>
      <c r="CG15" s="937"/>
      <c r="CH15" s="937"/>
    </row>
    <row r="16" spans="1:86">
      <c r="B16" s="871" t="s">
        <v>39</v>
      </c>
      <c r="C16" s="872">
        <f>SUM(C17:C19)</f>
        <v>4800623.2064022664</v>
      </c>
      <c r="D16" s="873"/>
      <c r="E16" s="874"/>
      <c r="F16" s="874"/>
      <c r="G16" s="874"/>
      <c r="H16" s="874"/>
      <c r="I16" s="874"/>
      <c r="J16" s="874"/>
      <c r="K16" s="874"/>
      <c r="L16" s="874"/>
      <c r="M16" s="874"/>
      <c r="N16" s="874"/>
      <c r="O16" s="874"/>
      <c r="P16" s="874"/>
      <c r="Q16" s="874"/>
      <c r="R16" s="874"/>
      <c r="S16" s="874"/>
      <c r="T16" s="874"/>
      <c r="U16" s="874"/>
      <c r="V16" s="884"/>
      <c r="W16" s="884"/>
      <c r="X16" s="884"/>
      <c r="Y16" s="884"/>
      <c r="Z16" s="884"/>
      <c r="AA16" s="884"/>
      <c r="AB16" s="884"/>
      <c r="AC16" s="884"/>
      <c r="AD16" s="884"/>
      <c r="AE16" s="884"/>
      <c r="AF16" s="884"/>
      <c r="AG16" s="884"/>
      <c r="AH16" s="884"/>
      <c r="AI16" s="884"/>
      <c r="AJ16" s="884"/>
      <c r="AK16" s="884"/>
      <c r="AL16" s="884"/>
      <c r="AM16" s="884"/>
      <c r="AN16" s="884"/>
      <c r="AO16" s="884"/>
      <c r="AP16" s="884"/>
      <c r="AQ16" s="884"/>
      <c r="AR16" s="884"/>
      <c r="AS16" s="884"/>
      <c r="AT16" s="884"/>
      <c r="AU16" s="884"/>
      <c r="AV16" s="884"/>
      <c r="AW16" s="884"/>
      <c r="AX16" s="884"/>
      <c r="AY16" s="884"/>
      <c r="AZ16" s="884"/>
      <c r="BA16" s="884"/>
      <c r="BB16" s="884"/>
      <c r="BC16" s="884"/>
      <c r="BD16" s="884"/>
      <c r="BE16" s="884"/>
      <c r="BF16" s="884"/>
      <c r="BG16" s="884"/>
      <c r="BH16" s="884"/>
      <c r="BI16" s="884"/>
      <c r="BJ16" s="884"/>
      <c r="BK16" s="884"/>
      <c r="BL16" s="884"/>
      <c r="BM16" s="884"/>
      <c r="BN16" s="884"/>
      <c r="BO16" s="884"/>
      <c r="BP16" s="884"/>
      <c r="BQ16" s="884"/>
      <c r="BR16" s="884"/>
      <c r="BS16" s="884"/>
      <c r="BT16" s="884"/>
      <c r="BU16" s="884"/>
      <c r="BV16" s="884"/>
      <c r="BW16" s="884"/>
      <c r="BX16" s="884"/>
      <c r="BY16" s="884"/>
      <c r="BZ16" s="884"/>
      <c r="CA16" s="884"/>
      <c r="CB16" s="884"/>
      <c r="CC16" s="884"/>
      <c r="CD16" s="884"/>
      <c r="CE16" s="884"/>
      <c r="CF16" s="884"/>
      <c r="CG16" s="884"/>
      <c r="CH16" s="884"/>
    </row>
    <row r="17" spans="1:86">
      <c r="B17" s="901" t="s">
        <v>40</v>
      </c>
      <c r="C17" s="902">
        <f>SUM(E17:BZ17)</f>
        <v>813975.15434106963</v>
      </c>
      <c r="D17" s="959">
        <f>C17/$C$16</f>
        <v>0.16955614288901616</v>
      </c>
      <c r="E17" s="887">
        <f t="shared" ref="E17:AJ17" si="5">E32+E63+E72+E33</f>
        <v>0</v>
      </c>
      <c r="F17" s="887">
        <f t="shared" si="5"/>
        <v>0</v>
      </c>
      <c r="G17" s="887">
        <f t="shared" si="5"/>
        <v>156000</v>
      </c>
      <c r="H17" s="887">
        <f t="shared" si="5"/>
        <v>364000</v>
      </c>
      <c r="I17" s="887">
        <f t="shared" si="5"/>
        <v>4263.4452937083088</v>
      </c>
      <c r="J17" s="887">
        <f t="shared" si="5"/>
        <v>4263.4452937083088</v>
      </c>
      <c r="K17" s="887">
        <f t="shared" si="5"/>
        <v>149684.82724634779</v>
      </c>
      <c r="L17" s="887">
        <f t="shared" si="5"/>
        <v>19135.149486702114</v>
      </c>
      <c r="M17" s="887">
        <f t="shared" si="5"/>
        <v>24977.799139230316</v>
      </c>
      <c r="N17" s="887">
        <f t="shared" si="5"/>
        <v>91650.487881372799</v>
      </c>
      <c r="O17" s="887">
        <f t="shared" si="5"/>
        <v>0</v>
      </c>
      <c r="P17" s="887">
        <f t="shared" si="5"/>
        <v>0</v>
      </c>
      <c r="Q17" s="887">
        <f t="shared" si="5"/>
        <v>0</v>
      </c>
      <c r="R17" s="887">
        <f t="shared" si="5"/>
        <v>0</v>
      </c>
      <c r="S17" s="887">
        <f t="shared" si="5"/>
        <v>0</v>
      </c>
      <c r="T17" s="887">
        <f t="shared" si="5"/>
        <v>0</v>
      </c>
      <c r="U17" s="887">
        <f t="shared" si="5"/>
        <v>0</v>
      </c>
      <c r="V17" s="887">
        <f t="shared" si="5"/>
        <v>0</v>
      </c>
      <c r="W17" s="887">
        <f t="shared" si="5"/>
        <v>0</v>
      </c>
      <c r="X17" s="887">
        <f t="shared" si="5"/>
        <v>0</v>
      </c>
      <c r="Y17" s="887">
        <f t="shared" si="5"/>
        <v>0</v>
      </c>
      <c r="Z17" s="887">
        <f t="shared" si="5"/>
        <v>0</v>
      </c>
      <c r="AA17" s="887">
        <f t="shared" si="5"/>
        <v>0</v>
      </c>
      <c r="AB17" s="887">
        <f t="shared" si="5"/>
        <v>0</v>
      </c>
      <c r="AC17" s="887">
        <f t="shared" si="5"/>
        <v>0</v>
      </c>
      <c r="AD17" s="887">
        <f t="shared" si="5"/>
        <v>0</v>
      </c>
      <c r="AE17" s="887">
        <f t="shared" si="5"/>
        <v>0</v>
      </c>
      <c r="AF17" s="887">
        <f t="shared" si="5"/>
        <v>0</v>
      </c>
      <c r="AG17" s="887">
        <f t="shared" si="5"/>
        <v>0</v>
      </c>
      <c r="AH17" s="887">
        <f t="shared" si="5"/>
        <v>0</v>
      </c>
      <c r="AI17" s="887">
        <f t="shared" si="5"/>
        <v>0</v>
      </c>
      <c r="AJ17" s="887">
        <f t="shared" si="5"/>
        <v>0</v>
      </c>
      <c r="AK17" s="887">
        <f t="shared" ref="AK17:BP17" si="6">AK32+AK63+AK72+AK33</f>
        <v>0</v>
      </c>
      <c r="AL17" s="887">
        <f t="shared" si="6"/>
        <v>0</v>
      </c>
      <c r="AM17" s="887">
        <f t="shared" si="6"/>
        <v>0</v>
      </c>
      <c r="AN17" s="887">
        <f t="shared" si="6"/>
        <v>0</v>
      </c>
      <c r="AO17" s="887">
        <f t="shared" si="6"/>
        <v>0</v>
      </c>
      <c r="AP17" s="887">
        <f t="shared" si="6"/>
        <v>0</v>
      </c>
      <c r="AQ17" s="887">
        <f t="shared" si="6"/>
        <v>0</v>
      </c>
      <c r="AR17" s="887">
        <f t="shared" si="6"/>
        <v>0</v>
      </c>
      <c r="AS17" s="887">
        <f t="shared" si="6"/>
        <v>0</v>
      </c>
      <c r="AT17" s="887">
        <f t="shared" si="6"/>
        <v>0</v>
      </c>
      <c r="AU17" s="887">
        <f t="shared" si="6"/>
        <v>0</v>
      </c>
      <c r="AV17" s="887">
        <f t="shared" si="6"/>
        <v>0</v>
      </c>
      <c r="AW17" s="887">
        <f t="shared" si="6"/>
        <v>0</v>
      </c>
      <c r="AX17" s="887">
        <f t="shared" si="6"/>
        <v>0</v>
      </c>
      <c r="AY17" s="887">
        <f t="shared" si="6"/>
        <v>0</v>
      </c>
      <c r="AZ17" s="887">
        <f t="shared" si="6"/>
        <v>0</v>
      </c>
      <c r="BA17" s="887">
        <f t="shared" si="6"/>
        <v>0</v>
      </c>
      <c r="BB17" s="887">
        <f t="shared" si="6"/>
        <v>0</v>
      </c>
      <c r="BC17" s="887">
        <f t="shared" si="6"/>
        <v>0</v>
      </c>
      <c r="BD17" s="887">
        <f t="shared" si="6"/>
        <v>0</v>
      </c>
      <c r="BE17" s="887">
        <f t="shared" si="6"/>
        <v>0</v>
      </c>
      <c r="BF17" s="887">
        <f t="shared" si="6"/>
        <v>0</v>
      </c>
      <c r="BG17" s="887">
        <f t="shared" si="6"/>
        <v>0</v>
      </c>
      <c r="BH17" s="887">
        <f t="shared" si="6"/>
        <v>0</v>
      </c>
      <c r="BI17" s="887">
        <f t="shared" si="6"/>
        <v>0</v>
      </c>
      <c r="BJ17" s="887">
        <f t="shared" si="6"/>
        <v>0</v>
      </c>
      <c r="BK17" s="887">
        <f t="shared" si="6"/>
        <v>0</v>
      </c>
      <c r="BL17" s="887">
        <f t="shared" si="6"/>
        <v>0</v>
      </c>
      <c r="BM17" s="887">
        <f t="shared" si="6"/>
        <v>0</v>
      </c>
      <c r="BN17" s="887">
        <f t="shared" si="6"/>
        <v>0</v>
      </c>
      <c r="BO17" s="887">
        <f t="shared" si="6"/>
        <v>0</v>
      </c>
      <c r="BP17" s="887">
        <f t="shared" si="6"/>
        <v>0</v>
      </c>
      <c r="BQ17" s="887">
        <f t="shared" ref="BQ17:CH17" si="7">BQ32+BQ63+BQ72+BQ33</f>
        <v>0</v>
      </c>
      <c r="BR17" s="887">
        <f t="shared" si="7"/>
        <v>0</v>
      </c>
      <c r="BS17" s="887">
        <f t="shared" si="7"/>
        <v>0</v>
      </c>
      <c r="BT17" s="887">
        <f t="shared" si="7"/>
        <v>0</v>
      </c>
      <c r="BU17" s="887">
        <f t="shared" si="7"/>
        <v>0</v>
      </c>
      <c r="BV17" s="887">
        <f t="shared" si="7"/>
        <v>0</v>
      </c>
      <c r="BW17" s="887">
        <f t="shared" si="7"/>
        <v>0</v>
      </c>
      <c r="BX17" s="887">
        <f t="shared" si="7"/>
        <v>0</v>
      </c>
      <c r="BY17" s="887">
        <f t="shared" si="7"/>
        <v>0</v>
      </c>
      <c r="BZ17" s="887">
        <f t="shared" si="7"/>
        <v>0</v>
      </c>
      <c r="CA17" s="887">
        <f t="shared" si="7"/>
        <v>0</v>
      </c>
      <c r="CB17" s="887">
        <f t="shared" si="7"/>
        <v>0</v>
      </c>
      <c r="CC17" s="887">
        <f t="shared" si="7"/>
        <v>0</v>
      </c>
      <c r="CD17" s="887">
        <f t="shared" si="7"/>
        <v>0</v>
      </c>
      <c r="CE17" s="887">
        <f t="shared" si="7"/>
        <v>0</v>
      </c>
      <c r="CF17" s="887">
        <f t="shared" si="7"/>
        <v>0</v>
      </c>
      <c r="CG17" s="887">
        <f t="shared" si="7"/>
        <v>0</v>
      </c>
      <c r="CH17" s="887">
        <f t="shared" si="7"/>
        <v>0</v>
      </c>
    </row>
    <row r="18" spans="1:86">
      <c r="B18" s="905" t="s">
        <v>41</v>
      </c>
      <c r="C18" s="902">
        <f>SUM(E18:BZ18)</f>
        <v>655683.48823870323</v>
      </c>
      <c r="D18" s="959">
        <f>C18/$C$16</f>
        <v>0.13658299350889747</v>
      </c>
      <c r="E18" s="887">
        <f t="shared" ref="E18:AJ18" si="8">E35+E64+E73</f>
        <v>0</v>
      </c>
      <c r="F18" s="887">
        <f t="shared" si="8"/>
        <v>0</v>
      </c>
      <c r="G18" s="887">
        <f t="shared" si="8"/>
        <v>0</v>
      </c>
      <c r="H18" s="887">
        <f t="shared" si="8"/>
        <v>0</v>
      </c>
      <c r="I18" s="887">
        <f t="shared" si="8"/>
        <v>0</v>
      </c>
      <c r="J18" s="887">
        <f t="shared" si="8"/>
        <v>0</v>
      </c>
      <c r="K18" s="887">
        <f t="shared" si="8"/>
        <v>339316.55788949208</v>
      </c>
      <c r="L18" s="887">
        <f t="shared" si="8"/>
        <v>1000.4450460683823</v>
      </c>
      <c r="M18" s="887">
        <f t="shared" si="8"/>
        <v>34459.34111938149</v>
      </c>
      <c r="N18" s="887">
        <f t="shared" si="8"/>
        <v>187616.79430602398</v>
      </c>
      <c r="O18" s="887">
        <f t="shared" si="8"/>
        <v>67588.260644771042</v>
      </c>
      <c r="P18" s="887">
        <f t="shared" si="8"/>
        <v>0</v>
      </c>
      <c r="Q18" s="887">
        <f t="shared" si="8"/>
        <v>25702.089232966187</v>
      </c>
      <c r="R18" s="887">
        <f t="shared" si="8"/>
        <v>0</v>
      </c>
      <c r="S18" s="887">
        <f t="shared" si="8"/>
        <v>0</v>
      </c>
      <c r="T18" s="887">
        <f t="shared" si="8"/>
        <v>0</v>
      </c>
      <c r="U18" s="887">
        <f t="shared" si="8"/>
        <v>0</v>
      </c>
      <c r="V18" s="887">
        <f t="shared" si="8"/>
        <v>0</v>
      </c>
      <c r="W18" s="887">
        <f t="shared" si="8"/>
        <v>0</v>
      </c>
      <c r="X18" s="887">
        <f t="shared" si="8"/>
        <v>0</v>
      </c>
      <c r="Y18" s="887">
        <f t="shared" si="8"/>
        <v>0</v>
      </c>
      <c r="Z18" s="887">
        <f t="shared" si="8"/>
        <v>0</v>
      </c>
      <c r="AA18" s="887">
        <f t="shared" si="8"/>
        <v>0</v>
      </c>
      <c r="AB18" s="887">
        <f t="shared" si="8"/>
        <v>0</v>
      </c>
      <c r="AC18" s="887">
        <f t="shared" si="8"/>
        <v>0</v>
      </c>
      <c r="AD18" s="887">
        <f t="shared" si="8"/>
        <v>0</v>
      </c>
      <c r="AE18" s="887">
        <f t="shared" si="8"/>
        <v>0</v>
      </c>
      <c r="AF18" s="887">
        <f t="shared" si="8"/>
        <v>0</v>
      </c>
      <c r="AG18" s="887">
        <f t="shared" si="8"/>
        <v>0</v>
      </c>
      <c r="AH18" s="887">
        <f t="shared" si="8"/>
        <v>0</v>
      </c>
      <c r="AI18" s="887">
        <f t="shared" si="8"/>
        <v>0</v>
      </c>
      <c r="AJ18" s="887">
        <f t="shared" si="8"/>
        <v>0</v>
      </c>
      <c r="AK18" s="887">
        <f t="shared" ref="AK18:BP18" si="9">AK35+AK64+AK73</f>
        <v>0</v>
      </c>
      <c r="AL18" s="887">
        <f t="shared" si="9"/>
        <v>0</v>
      </c>
      <c r="AM18" s="887">
        <f t="shared" si="9"/>
        <v>0</v>
      </c>
      <c r="AN18" s="887">
        <f t="shared" si="9"/>
        <v>0</v>
      </c>
      <c r="AO18" s="887">
        <f t="shared" si="9"/>
        <v>0</v>
      </c>
      <c r="AP18" s="887">
        <f t="shared" si="9"/>
        <v>0</v>
      </c>
      <c r="AQ18" s="887">
        <f t="shared" si="9"/>
        <v>0</v>
      </c>
      <c r="AR18" s="887">
        <f t="shared" si="9"/>
        <v>0</v>
      </c>
      <c r="AS18" s="887">
        <f t="shared" si="9"/>
        <v>0</v>
      </c>
      <c r="AT18" s="887">
        <f t="shared" si="9"/>
        <v>0</v>
      </c>
      <c r="AU18" s="887">
        <f t="shared" si="9"/>
        <v>0</v>
      </c>
      <c r="AV18" s="887">
        <f t="shared" si="9"/>
        <v>0</v>
      </c>
      <c r="AW18" s="887">
        <f t="shared" si="9"/>
        <v>0</v>
      </c>
      <c r="AX18" s="887">
        <f t="shared" si="9"/>
        <v>0</v>
      </c>
      <c r="AY18" s="887">
        <f t="shared" si="9"/>
        <v>0</v>
      </c>
      <c r="AZ18" s="887">
        <f t="shared" si="9"/>
        <v>0</v>
      </c>
      <c r="BA18" s="887">
        <f t="shared" si="9"/>
        <v>0</v>
      </c>
      <c r="BB18" s="887">
        <f t="shared" si="9"/>
        <v>0</v>
      </c>
      <c r="BC18" s="887">
        <f t="shared" si="9"/>
        <v>0</v>
      </c>
      <c r="BD18" s="887">
        <f t="shared" si="9"/>
        <v>0</v>
      </c>
      <c r="BE18" s="887">
        <f t="shared" si="9"/>
        <v>0</v>
      </c>
      <c r="BF18" s="887">
        <f t="shared" si="9"/>
        <v>0</v>
      </c>
      <c r="BG18" s="887">
        <f t="shared" si="9"/>
        <v>0</v>
      </c>
      <c r="BH18" s="887">
        <f t="shared" si="9"/>
        <v>0</v>
      </c>
      <c r="BI18" s="887">
        <f t="shared" si="9"/>
        <v>0</v>
      </c>
      <c r="BJ18" s="887">
        <f t="shared" si="9"/>
        <v>0</v>
      </c>
      <c r="BK18" s="887">
        <f t="shared" si="9"/>
        <v>0</v>
      </c>
      <c r="BL18" s="887">
        <f t="shared" si="9"/>
        <v>0</v>
      </c>
      <c r="BM18" s="887">
        <f t="shared" si="9"/>
        <v>0</v>
      </c>
      <c r="BN18" s="887">
        <f t="shared" si="9"/>
        <v>0</v>
      </c>
      <c r="BO18" s="887">
        <f t="shared" si="9"/>
        <v>0</v>
      </c>
      <c r="BP18" s="887">
        <f t="shared" si="9"/>
        <v>0</v>
      </c>
      <c r="BQ18" s="887">
        <f t="shared" ref="BQ18:CH18" si="10">BQ35+BQ64+BQ73</f>
        <v>0</v>
      </c>
      <c r="BR18" s="887">
        <f t="shared" si="10"/>
        <v>0</v>
      </c>
      <c r="BS18" s="887">
        <f t="shared" si="10"/>
        <v>0</v>
      </c>
      <c r="BT18" s="887">
        <f t="shared" si="10"/>
        <v>0</v>
      </c>
      <c r="BU18" s="887">
        <f t="shared" si="10"/>
        <v>0</v>
      </c>
      <c r="BV18" s="887">
        <f t="shared" si="10"/>
        <v>0</v>
      </c>
      <c r="BW18" s="887">
        <f t="shared" si="10"/>
        <v>0</v>
      </c>
      <c r="BX18" s="887">
        <f t="shared" si="10"/>
        <v>0</v>
      </c>
      <c r="BY18" s="887">
        <f t="shared" si="10"/>
        <v>0</v>
      </c>
      <c r="BZ18" s="887">
        <f t="shared" si="10"/>
        <v>0</v>
      </c>
      <c r="CA18" s="887">
        <f t="shared" si="10"/>
        <v>0</v>
      </c>
      <c r="CB18" s="887">
        <f t="shared" si="10"/>
        <v>0</v>
      </c>
      <c r="CC18" s="887">
        <f t="shared" si="10"/>
        <v>0</v>
      </c>
      <c r="CD18" s="887">
        <f t="shared" si="10"/>
        <v>0</v>
      </c>
      <c r="CE18" s="887">
        <f t="shared" si="10"/>
        <v>0</v>
      </c>
      <c r="CF18" s="887">
        <f t="shared" si="10"/>
        <v>0</v>
      </c>
      <c r="CG18" s="887">
        <f t="shared" si="10"/>
        <v>0</v>
      </c>
      <c r="CH18" s="887">
        <f t="shared" si="10"/>
        <v>0</v>
      </c>
    </row>
    <row r="19" spans="1:86">
      <c r="B19" s="905" t="s">
        <v>42</v>
      </c>
      <c r="C19" s="902">
        <f>SUM(E19:BZ19)</f>
        <v>3330964.563822493</v>
      </c>
      <c r="D19" s="959">
        <f>C19/$C$16</f>
        <v>0.69386086360208621</v>
      </c>
      <c r="E19" s="887">
        <f t="shared" ref="E19:AJ19" si="11">E30+E65+E74</f>
        <v>0</v>
      </c>
      <c r="F19" s="887">
        <f t="shared" si="11"/>
        <v>0</v>
      </c>
      <c r="G19" s="887">
        <f t="shared" si="11"/>
        <v>0</v>
      </c>
      <c r="H19" s="887">
        <f t="shared" si="11"/>
        <v>0</v>
      </c>
      <c r="I19" s="887">
        <f t="shared" si="11"/>
        <v>0</v>
      </c>
      <c r="J19" s="887">
        <f t="shared" si="11"/>
        <v>0</v>
      </c>
      <c r="K19" s="887">
        <f t="shared" si="11"/>
        <v>0</v>
      </c>
      <c r="L19" s="887">
        <f t="shared" si="11"/>
        <v>0</v>
      </c>
      <c r="M19" s="887">
        <f t="shared" si="11"/>
        <v>0</v>
      </c>
      <c r="N19" s="887">
        <f t="shared" si="11"/>
        <v>0</v>
      </c>
      <c r="O19" s="887">
        <f t="shared" si="11"/>
        <v>506879.28222003719</v>
      </c>
      <c r="P19" s="887">
        <f t="shared" si="11"/>
        <v>513011.76206736232</v>
      </c>
      <c r="Q19" s="887">
        <f t="shared" si="11"/>
        <v>269262.41299724893</v>
      </c>
      <c r="R19" s="887">
        <f t="shared" si="11"/>
        <v>309573.34051324468</v>
      </c>
      <c r="S19" s="887">
        <f t="shared" si="11"/>
        <v>444792.99884497287</v>
      </c>
      <c r="T19" s="887">
        <f t="shared" si="11"/>
        <v>454756.57238467014</v>
      </c>
      <c r="U19" s="887">
        <f t="shared" si="11"/>
        <v>355691.75116217986</v>
      </c>
      <c r="V19" s="887">
        <f t="shared" si="11"/>
        <v>382359.88120975689</v>
      </c>
      <c r="W19" s="887">
        <f t="shared" si="11"/>
        <v>0</v>
      </c>
      <c r="X19" s="887">
        <f t="shared" si="11"/>
        <v>0</v>
      </c>
      <c r="Y19" s="887">
        <f t="shared" si="11"/>
        <v>94636.562423020019</v>
      </c>
      <c r="Z19" s="887">
        <f t="shared" si="11"/>
        <v>0</v>
      </c>
      <c r="AA19" s="887">
        <f t="shared" si="11"/>
        <v>0</v>
      </c>
      <c r="AB19" s="887">
        <f t="shared" si="11"/>
        <v>0</v>
      </c>
      <c r="AC19" s="887">
        <f t="shared" si="11"/>
        <v>0</v>
      </c>
      <c r="AD19" s="887">
        <f t="shared" si="11"/>
        <v>0</v>
      </c>
      <c r="AE19" s="887">
        <f t="shared" si="11"/>
        <v>0</v>
      </c>
      <c r="AF19" s="887">
        <f t="shared" si="11"/>
        <v>0</v>
      </c>
      <c r="AG19" s="887">
        <f t="shared" si="11"/>
        <v>0</v>
      </c>
      <c r="AH19" s="887">
        <f t="shared" si="11"/>
        <v>0</v>
      </c>
      <c r="AI19" s="887">
        <f t="shared" si="11"/>
        <v>0</v>
      </c>
      <c r="AJ19" s="887">
        <f t="shared" si="11"/>
        <v>0</v>
      </c>
      <c r="AK19" s="887">
        <f t="shared" ref="AK19:BP19" si="12">AK30+AK65+AK74</f>
        <v>0</v>
      </c>
      <c r="AL19" s="887">
        <f t="shared" si="12"/>
        <v>0</v>
      </c>
      <c r="AM19" s="887">
        <f t="shared" si="12"/>
        <v>0</v>
      </c>
      <c r="AN19" s="887">
        <f t="shared" si="12"/>
        <v>0</v>
      </c>
      <c r="AO19" s="887">
        <f t="shared" si="12"/>
        <v>0</v>
      </c>
      <c r="AP19" s="887">
        <f t="shared" si="12"/>
        <v>0</v>
      </c>
      <c r="AQ19" s="887">
        <f t="shared" si="12"/>
        <v>0</v>
      </c>
      <c r="AR19" s="887">
        <f t="shared" si="12"/>
        <v>0</v>
      </c>
      <c r="AS19" s="887">
        <f t="shared" si="12"/>
        <v>0</v>
      </c>
      <c r="AT19" s="887">
        <f t="shared" si="12"/>
        <v>0</v>
      </c>
      <c r="AU19" s="887">
        <f t="shared" si="12"/>
        <v>0</v>
      </c>
      <c r="AV19" s="887">
        <f t="shared" si="12"/>
        <v>0</v>
      </c>
      <c r="AW19" s="887">
        <f t="shared" si="12"/>
        <v>0</v>
      </c>
      <c r="AX19" s="887">
        <f t="shared" si="12"/>
        <v>0</v>
      </c>
      <c r="AY19" s="887">
        <f t="shared" si="12"/>
        <v>0</v>
      </c>
      <c r="AZ19" s="887">
        <f t="shared" si="12"/>
        <v>0</v>
      </c>
      <c r="BA19" s="887">
        <f t="shared" si="12"/>
        <v>0</v>
      </c>
      <c r="BB19" s="887">
        <f t="shared" si="12"/>
        <v>0</v>
      </c>
      <c r="BC19" s="887">
        <f t="shared" si="12"/>
        <v>0</v>
      </c>
      <c r="BD19" s="887">
        <f t="shared" si="12"/>
        <v>0</v>
      </c>
      <c r="BE19" s="887">
        <f t="shared" si="12"/>
        <v>0</v>
      </c>
      <c r="BF19" s="887">
        <f t="shared" si="12"/>
        <v>0</v>
      </c>
      <c r="BG19" s="887">
        <f t="shared" si="12"/>
        <v>0</v>
      </c>
      <c r="BH19" s="887">
        <f t="shared" si="12"/>
        <v>0</v>
      </c>
      <c r="BI19" s="887">
        <f t="shared" si="12"/>
        <v>0</v>
      </c>
      <c r="BJ19" s="887">
        <f t="shared" si="12"/>
        <v>0</v>
      </c>
      <c r="BK19" s="887">
        <f t="shared" si="12"/>
        <v>0</v>
      </c>
      <c r="BL19" s="887">
        <f t="shared" si="12"/>
        <v>0</v>
      </c>
      <c r="BM19" s="887">
        <f t="shared" si="12"/>
        <v>0</v>
      </c>
      <c r="BN19" s="887">
        <f t="shared" si="12"/>
        <v>0</v>
      </c>
      <c r="BO19" s="887">
        <f t="shared" si="12"/>
        <v>0</v>
      </c>
      <c r="BP19" s="887">
        <f t="shared" si="12"/>
        <v>0</v>
      </c>
      <c r="BQ19" s="887">
        <f t="shared" ref="BQ19:CH19" si="13">BQ30+BQ65+BQ74</f>
        <v>0</v>
      </c>
      <c r="BR19" s="887">
        <f t="shared" si="13"/>
        <v>0</v>
      </c>
      <c r="BS19" s="887">
        <f t="shared" si="13"/>
        <v>0</v>
      </c>
      <c r="BT19" s="887">
        <f t="shared" si="13"/>
        <v>0</v>
      </c>
      <c r="BU19" s="887">
        <f t="shared" si="13"/>
        <v>0</v>
      </c>
      <c r="BV19" s="887">
        <f t="shared" si="13"/>
        <v>0</v>
      </c>
      <c r="BW19" s="887">
        <f t="shared" si="13"/>
        <v>0</v>
      </c>
      <c r="BX19" s="887">
        <f t="shared" si="13"/>
        <v>0</v>
      </c>
      <c r="BY19" s="887">
        <f t="shared" si="13"/>
        <v>0</v>
      </c>
      <c r="BZ19" s="887">
        <f t="shared" si="13"/>
        <v>0</v>
      </c>
      <c r="CA19" s="887">
        <f t="shared" si="13"/>
        <v>0</v>
      </c>
      <c r="CB19" s="887">
        <f t="shared" si="13"/>
        <v>0</v>
      </c>
      <c r="CC19" s="887">
        <f t="shared" si="13"/>
        <v>0</v>
      </c>
      <c r="CD19" s="887">
        <f t="shared" si="13"/>
        <v>0</v>
      </c>
      <c r="CE19" s="887">
        <f t="shared" si="13"/>
        <v>0</v>
      </c>
      <c r="CF19" s="887">
        <f t="shared" si="13"/>
        <v>0</v>
      </c>
      <c r="CG19" s="887">
        <f t="shared" si="13"/>
        <v>0</v>
      </c>
      <c r="CH19" s="887">
        <f t="shared" si="13"/>
        <v>0</v>
      </c>
    </row>
    <row r="20" spans="1:86">
      <c r="B20" s="889" t="s">
        <v>43</v>
      </c>
      <c r="C20" s="886">
        <f>SUM(E20:XFD20)</f>
        <v>0</v>
      </c>
      <c r="D20" s="886"/>
      <c r="E20" s="890"/>
      <c r="F20" s="890"/>
      <c r="G20" s="890"/>
      <c r="H20" s="890"/>
      <c r="I20" s="890"/>
      <c r="J20" s="890"/>
      <c r="K20" s="890"/>
      <c r="L20" s="890"/>
      <c r="M20" s="890"/>
      <c r="N20" s="890"/>
      <c r="O20" s="890"/>
      <c r="P20" s="890"/>
      <c r="Q20" s="890"/>
      <c r="R20" s="890"/>
      <c r="S20" s="890"/>
      <c r="T20" s="890"/>
      <c r="U20" s="890"/>
      <c r="V20" s="890"/>
      <c r="W20" s="890"/>
      <c r="X20" s="890"/>
      <c r="Y20" s="890"/>
      <c r="Z20" s="890"/>
      <c r="AA20" s="890"/>
      <c r="AB20" s="890"/>
      <c r="AC20" s="890"/>
      <c r="AD20" s="890"/>
      <c r="AE20" s="890"/>
      <c r="AF20" s="890"/>
      <c r="AG20" s="890"/>
      <c r="AH20" s="890"/>
      <c r="AI20" s="890"/>
      <c r="AJ20" s="890"/>
      <c r="AK20" s="890"/>
      <c r="AL20" s="890"/>
      <c r="AM20" s="890"/>
      <c r="AN20" s="890"/>
      <c r="AO20" s="890"/>
      <c r="AP20" s="890"/>
      <c r="AQ20" s="890"/>
      <c r="AR20" s="890"/>
      <c r="AS20" s="890"/>
      <c r="AT20" s="890"/>
      <c r="AU20" s="890"/>
      <c r="AV20" s="890"/>
      <c r="AW20" s="890"/>
      <c r="AX20" s="890"/>
      <c r="AY20" s="890"/>
      <c r="AZ20" s="890"/>
      <c r="BA20" s="890"/>
      <c r="BB20" s="890"/>
      <c r="BC20" s="890"/>
      <c r="BD20" s="890"/>
      <c r="BE20" s="890"/>
      <c r="BF20" s="890"/>
      <c r="BG20" s="890"/>
      <c r="BH20" s="890"/>
      <c r="BI20" s="890"/>
      <c r="BJ20" s="890"/>
      <c r="BK20" s="890"/>
      <c r="BL20" s="890"/>
      <c r="BM20" s="890"/>
      <c r="BN20" s="890"/>
      <c r="BO20" s="890"/>
      <c r="BP20" s="890"/>
      <c r="BQ20" s="890"/>
      <c r="BR20" s="890"/>
      <c r="BS20" s="890"/>
      <c r="BT20" s="890"/>
      <c r="BU20" s="890"/>
      <c r="BV20" s="890"/>
      <c r="BW20" s="890"/>
      <c r="BX20" s="890"/>
      <c r="BY20" s="890"/>
      <c r="BZ20" s="890"/>
      <c r="CA20" s="890"/>
      <c r="CB20" s="890"/>
      <c r="CC20" s="890"/>
      <c r="CD20" s="890"/>
      <c r="CE20" s="890"/>
      <c r="CF20" s="890"/>
      <c r="CG20" s="890"/>
      <c r="CH20" s="890"/>
    </row>
    <row r="21" spans="1:86">
      <c r="B21" s="905" t="s">
        <v>44</v>
      </c>
      <c r="C21" s="902">
        <f>SUM(E21:BZ21)</f>
        <v>655683.48823870323</v>
      </c>
      <c r="D21" s="886"/>
      <c r="E21" s="891">
        <f>E46</f>
        <v>0</v>
      </c>
      <c r="F21" s="891">
        <f>F46</f>
        <v>0</v>
      </c>
      <c r="G21" s="891">
        <f t="shared" ref="G21:BR21" si="14">G46</f>
        <v>0</v>
      </c>
      <c r="H21" s="891">
        <f t="shared" si="14"/>
        <v>0</v>
      </c>
      <c r="I21" s="891">
        <f t="shared" si="14"/>
        <v>0</v>
      </c>
      <c r="J21" s="891">
        <f t="shared" si="14"/>
        <v>0</v>
      </c>
      <c r="K21" s="891">
        <f t="shared" si="14"/>
        <v>0</v>
      </c>
      <c r="L21" s="891">
        <f t="shared" si="14"/>
        <v>0</v>
      </c>
      <c r="M21" s="891">
        <f t="shared" si="14"/>
        <v>0</v>
      </c>
      <c r="N21" s="891">
        <f t="shared" si="14"/>
        <v>0</v>
      </c>
      <c r="O21" s="891">
        <f t="shared" si="14"/>
        <v>0</v>
      </c>
      <c r="P21" s="891">
        <f t="shared" si="14"/>
        <v>54471.51690453905</v>
      </c>
      <c r="Q21" s="891">
        <f t="shared" si="14"/>
        <v>0</v>
      </c>
      <c r="R21" s="891">
        <f t="shared" si="14"/>
        <v>399808.49902410049</v>
      </c>
      <c r="S21" s="891">
        <f t="shared" si="14"/>
        <v>201403.47231006366</v>
      </c>
      <c r="T21" s="891">
        <f t="shared" si="14"/>
        <v>0</v>
      </c>
      <c r="U21" s="891">
        <f t="shared" si="14"/>
        <v>0</v>
      </c>
      <c r="V21" s="891">
        <f t="shared" si="14"/>
        <v>0</v>
      </c>
      <c r="W21" s="891">
        <f t="shared" si="14"/>
        <v>0</v>
      </c>
      <c r="X21" s="891">
        <f t="shared" si="14"/>
        <v>0</v>
      </c>
      <c r="Y21" s="891">
        <f t="shared" si="14"/>
        <v>0</v>
      </c>
      <c r="Z21" s="891">
        <f t="shared" si="14"/>
        <v>0</v>
      </c>
      <c r="AA21" s="891">
        <f t="shared" si="14"/>
        <v>0</v>
      </c>
      <c r="AB21" s="891">
        <f t="shared" si="14"/>
        <v>0</v>
      </c>
      <c r="AC21" s="891">
        <f t="shared" si="14"/>
        <v>0</v>
      </c>
      <c r="AD21" s="891">
        <f t="shared" si="14"/>
        <v>0</v>
      </c>
      <c r="AE21" s="891">
        <f t="shared" si="14"/>
        <v>0</v>
      </c>
      <c r="AF21" s="891">
        <f t="shared" si="14"/>
        <v>0</v>
      </c>
      <c r="AG21" s="891">
        <f t="shared" si="14"/>
        <v>0</v>
      </c>
      <c r="AH21" s="891">
        <f t="shared" si="14"/>
        <v>0</v>
      </c>
      <c r="AI21" s="891">
        <f t="shared" si="14"/>
        <v>0</v>
      </c>
      <c r="AJ21" s="891">
        <f t="shared" si="14"/>
        <v>0</v>
      </c>
      <c r="AK21" s="891">
        <f t="shared" si="14"/>
        <v>0</v>
      </c>
      <c r="AL21" s="891">
        <f t="shared" si="14"/>
        <v>0</v>
      </c>
      <c r="AM21" s="891">
        <f t="shared" si="14"/>
        <v>0</v>
      </c>
      <c r="AN21" s="891">
        <f t="shared" si="14"/>
        <v>0</v>
      </c>
      <c r="AO21" s="891">
        <f t="shared" si="14"/>
        <v>0</v>
      </c>
      <c r="AP21" s="891">
        <f t="shared" si="14"/>
        <v>0</v>
      </c>
      <c r="AQ21" s="891">
        <f t="shared" si="14"/>
        <v>0</v>
      </c>
      <c r="AR21" s="891">
        <f t="shared" si="14"/>
        <v>0</v>
      </c>
      <c r="AS21" s="891">
        <f t="shared" si="14"/>
        <v>0</v>
      </c>
      <c r="AT21" s="891">
        <f t="shared" si="14"/>
        <v>0</v>
      </c>
      <c r="AU21" s="891">
        <f t="shared" si="14"/>
        <v>0</v>
      </c>
      <c r="AV21" s="891">
        <f t="shared" si="14"/>
        <v>0</v>
      </c>
      <c r="AW21" s="891">
        <f t="shared" si="14"/>
        <v>0</v>
      </c>
      <c r="AX21" s="891">
        <f t="shared" si="14"/>
        <v>0</v>
      </c>
      <c r="AY21" s="891">
        <f t="shared" si="14"/>
        <v>0</v>
      </c>
      <c r="AZ21" s="891">
        <f t="shared" si="14"/>
        <v>0</v>
      </c>
      <c r="BA21" s="891">
        <f t="shared" si="14"/>
        <v>0</v>
      </c>
      <c r="BB21" s="891">
        <f t="shared" si="14"/>
        <v>0</v>
      </c>
      <c r="BC21" s="891">
        <f t="shared" si="14"/>
        <v>0</v>
      </c>
      <c r="BD21" s="891">
        <f t="shared" si="14"/>
        <v>0</v>
      </c>
      <c r="BE21" s="891">
        <f t="shared" si="14"/>
        <v>0</v>
      </c>
      <c r="BF21" s="891">
        <f t="shared" si="14"/>
        <v>0</v>
      </c>
      <c r="BG21" s="891">
        <f t="shared" si="14"/>
        <v>0</v>
      </c>
      <c r="BH21" s="891">
        <f t="shared" si="14"/>
        <v>0</v>
      </c>
      <c r="BI21" s="891">
        <f t="shared" si="14"/>
        <v>0</v>
      </c>
      <c r="BJ21" s="891">
        <f t="shared" si="14"/>
        <v>0</v>
      </c>
      <c r="BK21" s="891">
        <f t="shared" si="14"/>
        <v>0</v>
      </c>
      <c r="BL21" s="891">
        <f t="shared" si="14"/>
        <v>0</v>
      </c>
      <c r="BM21" s="891">
        <f t="shared" si="14"/>
        <v>0</v>
      </c>
      <c r="BN21" s="891">
        <f t="shared" si="14"/>
        <v>0</v>
      </c>
      <c r="BO21" s="891">
        <f t="shared" si="14"/>
        <v>0</v>
      </c>
      <c r="BP21" s="891">
        <f t="shared" si="14"/>
        <v>0</v>
      </c>
      <c r="BQ21" s="891">
        <f t="shared" si="14"/>
        <v>0</v>
      </c>
      <c r="BR21" s="891">
        <f t="shared" si="14"/>
        <v>0</v>
      </c>
      <c r="BS21" s="891">
        <f t="shared" ref="BS21:CH21" si="15">BS46</f>
        <v>0</v>
      </c>
      <c r="BT21" s="891">
        <f t="shared" si="15"/>
        <v>0</v>
      </c>
      <c r="BU21" s="891">
        <f t="shared" si="15"/>
        <v>0</v>
      </c>
      <c r="BV21" s="891">
        <f t="shared" si="15"/>
        <v>0</v>
      </c>
      <c r="BW21" s="891">
        <f t="shared" si="15"/>
        <v>0</v>
      </c>
      <c r="BX21" s="891">
        <f t="shared" si="15"/>
        <v>0</v>
      </c>
      <c r="BY21" s="891">
        <f t="shared" si="15"/>
        <v>0</v>
      </c>
      <c r="BZ21" s="891">
        <f t="shared" si="15"/>
        <v>0</v>
      </c>
      <c r="CA21" s="891">
        <f t="shared" si="15"/>
        <v>0</v>
      </c>
      <c r="CB21" s="891">
        <f t="shared" si="15"/>
        <v>0</v>
      </c>
      <c r="CC21" s="891">
        <f t="shared" si="15"/>
        <v>0</v>
      </c>
      <c r="CD21" s="891">
        <f t="shared" si="15"/>
        <v>0</v>
      </c>
      <c r="CE21" s="891">
        <f t="shared" si="15"/>
        <v>0</v>
      </c>
      <c r="CF21" s="891">
        <f t="shared" si="15"/>
        <v>0</v>
      </c>
      <c r="CG21" s="891">
        <f t="shared" si="15"/>
        <v>0</v>
      </c>
      <c r="CH21" s="891">
        <f t="shared" si="15"/>
        <v>0</v>
      </c>
    </row>
    <row r="22" spans="1:86">
      <c r="B22" s="905" t="s">
        <v>45</v>
      </c>
      <c r="C22" s="902">
        <f>SUM(E22:BZ22)</f>
        <v>3624909.767992123</v>
      </c>
      <c r="D22" s="886"/>
      <c r="E22" s="891">
        <f>E48</f>
        <v>0</v>
      </c>
      <c r="F22" s="891">
        <f>F48</f>
        <v>0</v>
      </c>
      <c r="G22" s="891">
        <f t="shared" ref="G22:BR22" si="16">G48</f>
        <v>0</v>
      </c>
      <c r="H22" s="891">
        <f t="shared" si="16"/>
        <v>0</v>
      </c>
      <c r="I22" s="891">
        <f t="shared" si="16"/>
        <v>0</v>
      </c>
      <c r="J22" s="891">
        <f t="shared" si="16"/>
        <v>0</v>
      </c>
      <c r="K22" s="891">
        <f t="shared" si="16"/>
        <v>339316.55788949208</v>
      </c>
      <c r="L22" s="891">
        <f t="shared" si="16"/>
        <v>340317.00293556048</v>
      </c>
      <c r="M22" s="891">
        <f t="shared" si="16"/>
        <v>374776.34405494196</v>
      </c>
      <c r="N22" s="891">
        <f t="shared" si="16"/>
        <v>562393.138360966</v>
      </c>
      <c r="O22" s="891">
        <f t="shared" si="16"/>
        <v>629981.39900573704</v>
      </c>
      <c r="P22" s="891">
        <f t="shared" si="16"/>
        <v>575509.88210119796</v>
      </c>
      <c r="Q22" s="891">
        <f t="shared" si="16"/>
        <v>601211.97133416415</v>
      </c>
      <c r="R22" s="891">
        <f t="shared" si="16"/>
        <v>201403.47231006366</v>
      </c>
      <c r="S22" s="891">
        <f t="shared" si="16"/>
        <v>0</v>
      </c>
      <c r="T22" s="891">
        <f t="shared" si="16"/>
        <v>0</v>
      </c>
      <c r="U22" s="891">
        <f t="shared" si="16"/>
        <v>0</v>
      </c>
      <c r="V22" s="891">
        <f t="shared" si="16"/>
        <v>0</v>
      </c>
      <c r="W22" s="891">
        <f t="shared" si="16"/>
        <v>0</v>
      </c>
      <c r="X22" s="891">
        <f t="shared" si="16"/>
        <v>0</v>
      </c>
      <c r="Y22" s="891">
        <f t="shared" si="16"/>
        <v>0</v>
      </c>
      <c r="Z22" s="891">
        <f t="shared" si="16"/>
        <v>0</v>
      </c>
      <c r="AA22" s="891">
        <f t="shared" si="16"/>
        <v>0</v>
      </c>
      <c r="AB22" s="891">
        <f t="shared" si="16"/>
        <v>0</v>
      </c>
      <c r="AC22" s="891">
        <f t="shared" si="16"/>
        <v>0</v>
      </c>
      <c r="AD22" s="891">
        <f t="shared" si="16"/>
        <v>0</v>
      </c>
      <c r="AE22" s="891">
        <f t="shared" si="16"/>
        <v>0</v>
      </c>
      <c r="AF22" s="891">
        <f t="shared" si="16"/>
        <v>0</v>
      </c>
      <c r="AG22" s="891">
        <f t="shared" si="16"/>
        <v>0</v>
      </c>
      <c r="AH22" s="891">
        <f t="shared" si="16"/>
        <v>0</v>
      </c>
      <c r="AI22" s="891">
        <f t="shared" si="16"/>
        <v>0</v>
      </c>
      <c r="AJ22" s="891">
        <f t="shared" si="16"/>
        <v>0</v>
      </c>
      <c r="AK22" s="891">
        <f t="shared" si="16"/>
        <v>0</v>
      </c>
      <c r="AL22" s="891">
        <f t="shared" si="16"/>
        <v>0</v>
      </c>
      <c r="AM22" s="891">
        <f t="shared" si="16"/>
        <v>0</v>
      </c>
      <c r="AN22" s="891">
        <f t="shared" si="16"/>
        <v>0</v>
      </c>
      <c r="AO22" s="891">
        <f t="shared" si="16"/>
        <v>0</v>
      </c>
      <c r="AP22" s="891">
        <f t="shared" si="16"/>
        <v>0</v>
      </c>
      <c r="AQ22" s="891">
        <f t="shared" si="16"/>
        <v>0</v>
      </c>
      <c r="AR22" s="891">
        <f t="shared" si="16"/>
        <v>0</v>
      </c>
      <c r="AS22" s="891">
        <f t="shared" si="16"/>
        <v>0</v>
      </c>
      <c r="AT22" s="891">
        <f t="shared" si="16"/>
        <v>0</v>
      </c>
      <c r="AU22" s="891">
        <f t="shared" si="16"/>
        <v>0</v>
      </c>
      <c r="AV22" s="891">
        <f t="shared" si="16"/>
        <v>0</v>
      </c>
      <c r="AW22" s="891">
        <f t="shared" si="16"/>
        <v>0</v>
      </c>
      <c r="AX22" s="891">
        <f t="shared" si="16"/>
        <v>0</v>
      </c>
      <c r="AY22" s="891">
        <f t="shared" si="16"/>
        <v>0</v>
      </c>
      <c r="AZ22" s="891">
        <f t="shared" si="16"/>
        <v>0</v>
      </c>
      <c r="BA22" s="891">
        <f t="shared" si="16"/>
        <v>0</v>
      </c>
      <c r="BB22" s="891">
        <f t="shared" si="16"/>
        <v>0</v>
      </c>
      <c r="BC22" s="891">
        <f t="shared" si="16"/>
        <v>0</v>
      </c>
      <c r="BD22" s="891">
        <f t="shared" si="16"/>
        <v>0</v>
      </c>
      <c r="BE22" s="891">
        <f t="shared" si="16"/>
        <v>0</v>
      </c>
      <c r="BF22" s="891">
        <f t="shared" si="16"/>
        <v>0</v>
      </c>
      <c r="BG22" s="891">
        <f t="shared" si="16"/>
        <v>0</v>
      </c>
      <c r="BH22" s="891">
        <f t="shared" si="16"/>
        <v>0</v>
      </c>
      <c r="BI22" s="891">
        <f t="shared" si="16"/>
        <v>0</v>
      </c>
      <c r="BJ22" s="891">
        <f t="shared" si="16"/>
        <v>0</v>
      </c>
      <c r="BK22" s="891">
        <f t="shared" si="16"/>
        <v>0</v>
      </c>
      <c r="BL22" s="891">
        <f t="shared" si="16"/>
        <v>0</v>
      </c>
      <c r="BM22" s="891">
        <f t="shared" si="16"/>
        <v>0</v>
      </c>
      <c r="BN22" s="891">
        <f t="shared" si="16"/>
        <v>0</v>
      </c>
      <c r="BO22" s="891">
        <f t="shared" si="16"/>
        <v>0</v>
      </c>
      <c r="BP22" s="891">
        <f t="shared" si="16"/>
        <v>0</v>
      </c>
      <c r="BQ22" s="891">
        <f t="shared" si="16"/>
        <v>0</v>
      </c>
      <c r="BR22" s="891">
        <f t="shared" si="16"/>
        <v>0</v>
      </c>
      <c r="BS22" s="891">
        <f t="shared" ref="BS22:CH22" si="17">BS48</f>
        <v>0</v>
      </c>
      <c r="BT22" s="891">
        <f t="shared" si="17"/>
        <v>0</v>
      </c>
      <c r="BU22" s="891">
        <f t="shared" si="17"/>
        <v>0</v>
      </c>
      <c r="BV22" s="891">
        <f t="shared" si="17"/>
        <v>0</v>
      </c>
      <c r="BW22" s="891">
        <f t="shared" si="17"/>
        <v>0</v>
      </c>
      <c r="BX22" s="891">
        <f t="shared" si="17"/>
        <v>0</v>
      </c>
      <c r="BY22" s="891">
        <f t="shared" si="17"/>
        <v>0</v>
      </c>
      <c r="BZ22" s="891">
        <f t="shared" si="17"/>
        <v>0</v>
      </c>
      <c r="CA22" s="891">
        <f t="shared" si="17"/>
        <v>0</v>
      </c>
      <c r="CB22" s="891">
        <f t="shared" si="17"/>
        <v>0</v>
      </c>
      <c r="CC22" s="891">
        <f t="shared" si="17"/>
        <v>0</v>
      </c>
      <c r="CD22" s="891">
        <f t="shared" si="17"/>
        <v>0</v>
      </c>
      <c r="CE22" s="891">
        <f t="shared" si="17"/>
        <v>0</v>
      </c>
      <c r="CF22" s="891">
        <f t="shared" si="17"/>
        <v>0</v>
      </c>
      <c r="CG22" s="891">
        <f t="shared" si="17"/>
        <v>0</v>
      </c>
      <c r="CH22" s="891">
        <f t="shared" si="17"/>
        <v>0</v>
      </c>
    </row>
    <row r="23" spans="1:86" s="893" customFormat="1">
      <c r="A23" s="854"/>
      <c r="B23" s="960" t="s">
        <v>46</v>
      </c>
      <c r="C23" s="961">
        <f>SUM(E23:BZ23)</f>
        <v>108747.2930397637</v>
      </c>
      <c r="D23" s="961"/>
      <c r="E23" s="892"/>
      <c r="F23" s="892">
        <f>F49+F55</f>
        <v>0</v>
      </c>
      <c r="G23" s="892">
        <f t="shared" ref="G23:Y23" si="18">G49+G55</f>
        <v>0</v>
      </c>
      <c r="H23" s="892">
        <f t="shared" si="18"/>
        <v>0</v>
      </c>
      <c r="I23" s="892">
        <f t="shared" si="18"/>
        <v>0</v>
      </c>
      <c r="J23" s="892">
        <f t="shared" si="18"/>
        <v>0</v>
      </c>
      <c r="K23" s="892">
        <f t="shared" si="18"/>
        <v>0</v>
      </c>
      <c r="L23" s="892">
        <f t="shared" si="18"/>
        <v>10179.496736684761</v>
      </c>
      <c r="M23" s="892">
        <f t="shared" si="18"/>
        <v>10209.510088066814</v>
      </c>
      <c r="N23" s="892">
        <f t="shared" si="18"/>
        <v>11243.290321648259</v>
      </c>
      <c r="O23" s="892">
        <f t="shared" si="18"/>
        <v>16871.79415082898</v>
      </c>
      <c r="P23" s="892">
        <f t="shared" si="18"/>
        <v>18899.441970172109</v>
      </c>
      <c r="Q23" s="892">
        <f t="shared" si="18"/>
        <v>17265.296463035938</v>
      </c>
      <c r="R23" s="892">
        <f t="shared" si="18"/>
        <v>18036.359140024924</v>
      </c>
      <c r="S23" s="892">
        <f t="shared" si="18"/>
        <v>6042.1041693019097</v>
      </c>
      <c r="T23" s="892">
        <f t="shared" si="18"/>
        <v>0</v>
      </c>
      <c r="U23" s="892">
        <f t="shared" si="18"/>
        <v>0</v>
      </c>
      <c r="V23" s="892">
        <f t="shared" si="18"/>
        <v>0</v>
      </c>
      <c r="W23" s="892">
        <f t="shared" si="18"/>
        <v>0</v>
      </c>
      <c r="X23" s="892">
        <f t="shared" si="18"/>
        <v>0</v>
      </c>
      <c r="Y23" s="892">
        <f t="shared" si="18"/>
        <v>0</v>
      </c>
      <c r="Z23" s="892"/>
      <c r="AA23" s="892"/>
      <c r="AB23" s="892"/>
      <c r="AC23" s="892"/>
      <c r="AD23" s="892"/>
      <c r="AE23" s="892"/>
      <c r="AF23" s="892"/>
      <c r="AG23" s="892"/>
      <c r="AH23" s="892"/>
      <c r="AI23" s="892"/>
      <c r="AJ23" s="892"/>
      <c r="AK23" s="892"/>
      <c r="AL23" s="892"/>
      <c r="AM23" s="892"/>
      <c r="AN23" s="892"/>
      <c r="AO23" s="892"/>
      <c r="AP23" s="892"/>
      <c r="AQ23" s="892"/>
      <c r="AR23" s="892"/>
      <c r="AS23" s="892"/>
      <c r="AT23" s="892"/>
      <c r="AU23" s="892"/>
      <c r="AV23" s="892"/>
      <c r="AW23" s="892"/>
      <c r="AX23" s="892"/>
      <c r="AY23" s="892"/>
      <c r="AZ23" s="892"/>
      <c r="BA23" s="892"/>
      <c r="BB23" s="892"/>
      <c r="BC23" s="892"/>
      <c r="BD23" s="892"/>
      <c r="BE23" s="892"/>
      <c r="BF23" s="892"/>
      <c r="BG23" s="892"/>
      <c r="BH23" s="892"/>
      <c r="BI23" s="892"/>
      <c r="BJ23" s="892"/>
      <c r="BK23" s="892"/>
      <c r="BL23" s="892"/>
      <c r="BM23" s="892"/>
      <c r="BN23" s="892"/>
      <c r="BO23" s="892"/>
      <c r="BP23" s="892"/>
      <c r="BQ23" s="892"/>
      <c r="BR23" s="892"/>
      <c r="BS23" s="892"/>
      <c r="BT23" s="892"/>
      <c r="BU23" s="892"/>
      <c r="BV23" s="892"/>
      <c r="BW23" s="892"/>
      <c r="BX23" s="892"/>
      <c r="BY23" s="892"/>
      <c r="BZ23" s="892"/>
      <c r="CA23" s="892"/>
      <c r="CB23" s="892"/>
      <c r="CC23" s="892"/>
      <c r="CD23" s="892"/>
      <c r="CE23" s="892"/>
      <c r="CF23" s="892"/>
      <c r="CG23" s="892"/>
      <c r="CH23" s="892"/>
    </row>
    <row r="24" spans="1:86" ht="15.75" customHeight="1">
      <c r="B24" s="894"/>
      <c r="C24" s="881"/>
      <c r="D24" s="881"/>
      <c r="E24" s="895"/>
      <c r="F24" s="895"/>
      <c r="G24" s="895"/>
      <c r="H24" s="895"/>
      <c r="I24" s="895"/>
      <c r="J24" s="895"/>
      <c r="K24" s="895"/>
      <c r="L24" s="895"/>
      <c r="M24" s="895"/>
      <c r="N24" s="895"/>
      <c r="O24" s="895"/>
      <c r="P24" s="895"/>
      <c r="Q24" s="895"/>
      <c r="R24" s="895"/>
      <c r="S24" s="895"/>
      <c r="T24" s="895"/>
      <c r="U24" s="895"/>
      <c r="V24" s="895"/>
      <c r="W24" s="895"/>
    </row>
    <row r="25" spans="1:86">
      <c r="B25" s="939" t="s">
        <v>8</v>
      </c>
      <c r="C25" s="940"/>
      <c r="D25" s="941" t="s">
        <v>175</v>
      </c>
      <c r="E25" s="941">
        <f>C32/(C32+C35)*15%+C35/(C32+C35)*11%*(1-20%)</f>
        <v>0.12173043706751539</v>
      </c>
      <c r="F25" s="896"/>
      <c r="G25" s="896"/>
      <c r="H25" s="897"/>
      <c r="I25" s="897"/>
      <c r="J25" s="897"/>
      <c r="K25" s="897"/>
      <c r="L25" s="897"/>
      <c r="M25" s="897"/>
      <c r="N25" s="897"/>
      <c r="O25" s="897"/>
      <c r="P25" s="897"/>
      <c r="Q25" s="897"/>
      <c r="R25" s="897"/>
      <c r="S25" s="897"/>
      <c r="T25" s="897"/>
      <c r="U25" s="897"/>
      <c r="V25" s="897"/>
      <c r="W25" s="897"/>
    </row>
    <row r="26" spans="1:86">
      <c r="B26" s="2371" t="s">
        <v>741</v>
      </c>
      <c r="C26" s="2371"/>
      <c r="D26" s="2371"/>
      <c r="E26" s="2146">
        <v>1</v>
      </c>
      <c r="F26" s="898"/>
      <c r="G26" s="898"/>
      <c r="H26" s="898"/>
      <c r="I26" s="898"/>
      <c r="J26" s="898"/>
      <c r="K26" s="898"/>
      <c r="L26" s="898"/>
      <c r="M26" s="898"/>
      <c r="N26" s="898"/>
      <c r="O26" s="898"/>
      <c r="P26" s="898"/>
      <c r="Q26" s="898"/>
      <c r="R26" s="898"/>
      <c r="S26" s="898"/>
      <c r="T26" s="898"/>
      <c r="U26" s="898"/>
      <c r="V26" s="898"/>
      <c r="W26" s="898"/>
    </row>
    <row r="27" spans="1:86">
      <c r="B27" s="871" t="str">
        <f>B16</f>
        <v>CƠ CẤU VỐN TÀI TRỢ</v>
      </c>
      <c r="C27" s="872">
        <f>C32+C35+C30+C33</f>
        <v>3604772.4338805773</v>
      </c>
      <c r="D27" s="899">
        <f>C27-C37</f>
        <v>0</v>
      </c>
      <c r="E27" s="900"/>
      <c r="F27" s="900"/>
      <c r="G27" s="900"/>
      <c r="H27" s="900"/>
      <c r="I27" s="900"/>
      <c r="J27" s="900"/>
      <c r="K27" s="900"/>
      <c r="L27" s="900"/>
      <c r="M27" s="900"/>
      <c r="N27" s="900"/>
      <c r="O27" s="900"/>
      <c r="P27" s="900"/>
      <c r="Q27" s="900"/>
      <c r="R27" s="900"/>
      <c r="S27" s="900"/>
      <c r="T27" s="900"/>
      <c r="U27" s="900"/>
      <c r="V27" s="900"/>
      <c r="W27" s="900"/>
      <c r="X27" s="900"/>
      <c r="Y27" s="900"/>
      <c r="Z27" s="900"/>
      <c r="AA27" s="900"/>
      <c r="AB27" s="900"/>
      <c r="AC27" s="900"/>
      <c r="AD27" s="900"/>
      <c r="AE27" s="900"/>
      <c r="AF27" s="900"/>
      <c r="AG27" s="900"/>
      <c r="AH27" s="900"/>
      <c r="AI27" s="900"/>
      <c r="AJ27" s="900"/>
      <c r="AK27" s="900"/>
      <c r="AL27" s="900"/>
      <c r="AM27" s="900"/>
      <c r="AN27" s="900"/>
      <c r="AO27" s="900"/>
      <c r="AP27" s="900"/>
      <c r="AQ27" s="900"/>
      <c r="AR27" s="900"/>
      <c r="AS27" s="900"/>
      <c r="AT27" s="900"/>
      <c r="AU27" s="900"/>
      <c r="AV27" s="900"/>
      <c r="AW27" s="900"/>
      <c r="AX27" s="900"/>
      <c r="AY27" s="900"/>
      <c r="AZ27" s="900"/>
      <c r="BA27" s="900"/>
      <c r="BB27" s="900"/>
      <c r="BC27" s="900"/>
      <c r="BD27" s="900"/>
      <c r="BE27" s="900"/>
      <c r="BF27" s="900"/>
      <c r="BG27" s="900"/>
      <c r="BH27" s="900"/>
      <c r="BI27" s="900"/>
      <c r="BJ27" s="900"/>
      <c r="BK27" s="900"/>
      <c r="BL27" s="900"/>
      <c r="BM27" s="900"/>
      <c r="BN27" s="900"/>
      <c r="BO27" s="900"/>
      <c r="BP27" s="900"/>
      <c r="BQ27" s="900"/>
      <c r="BR27" s="900"/>
      <c r="BS27" s="900"/>
      <c r="BT27" s="900"/>
      <c r="BU27" s="900"/>
      <c r="BV27" s="900"/>
      <c r="BW27" s="900"/>
      <c r="BX27" s="900"/>
      <c r="BY27" s="900"/>
      <c r="BZ27" s="900"/>
      <c r="CA27" s="900"/>
      <c r="CB27" s="900"/>
      <c r="CC27" s="900"/>
      <c r="CD27" s="900"/>
      <c r="CE27" s="900"/>
      <c r="CF27" s="900"/>
      <c r="CG27" s="900"/>
      <c r="CH27" s="900"/>
    </row>
    <row r="28" spans="1:86" s="908" customFormat="1" ht="31.5">
      <c r="A28" s="865"/>
      <c r="B28" s="905" t="s">
        <v>47</v>
      </c>
      <c r="C28" s="902"/>
      <c r="D28" s="903"/>
      <c r="E28" s="907">
        <f t="shared" ref="E28:AJ28" si="19">E66-E30</f>
        <v>0</v>
      </c>
      <c r="F28" s="907">
        <f t="shared" si="19"/>
        <v>0</v>
      </c>
      <c r="G28" s="907">
        <f t="shared" si="19"/>
        <v>0</v>
      </c>
      <c r="H28" s="907">
        <f t="shared" si="19"/>
        <v>0</v>
      </c>
      <c r="I28" s="907">
        <f t="shared" si="19"/>
        <v>0</v>
      </c>
      <c r="J28" s="907">
        <f t="shared" si="19"/>
        <v>0</v>
      </c>
      <c r="K28" s="907">
        <f t="shared" si="19"/>
        <v>0</v>
      </c>
      <c r="L28" s="907">
        <f t="shared" si="19"/>
        <v>0</v>
      </c>
      <c r="M28" s="907">
        <f t="shared" si="19"/>
        <v>0</v>
      </c>
      <c r="N28" s="907">
        <f t="shared" si="19"/>
        <v>0</v>
      </c>
      <c r="O28" s="907">
        <f t="shared" si="19"/>
        <v>0</v>
      </c>
      <c r="P28" s="907">
        <f t="shared" si="19"/>
        <v>54471.51690453905</v>
      </c>
      <c r="Q28" s="907">
        <f t="shared" si="19"/>
        <v>0</v>
      </c>
      <c r="R28" s="907">
        <f t="shared" si="19"/>
        <v>399808.49902410049</v>
      </c>
      <c r="S28" s="907">
        <f t="shared" si="19"/>
        <v>242511.62115012814</v>
      </c>
      <c r="T28" s="907">
        <f t="shared" si="19"/>
        <v>167167.7993533886</v>
      </c>
      <c r="U28" s="907">
        <f t="shared" si="19"/>
        <v>273934.64771082805</v>
      </c>
      <c r="V28" s="907">
        <f t="shared" si="19"/>
        <v>1107186.4669608958</v>
      </c>
      <c r="W28" s="907">
        <f t="shared" si="19"/>
        <v>1107186.4669608958</v>
      </c>
      <c r="X28" s="907">
        <f t="shared" si="19"/>
        <v>1107186.4669608958</v>
      </c>
      <c r="Y28" s="907">
        <f t="shared" si="19"/>
        <v>1243779.2042976855</v>
      </c>
      <c r="Z28" s="907">
        <f t="shared" si="19"/>
        <v>1243779.2042976855</v>
      </c>
      <c r="AA28" s="907">
        <f t="shared" si="19"/>
        <v>1243779.2042976855</v>
      </c>
      <c r="AB28" s="907">
        <f t="shared" si="19"/>
        <v>1243779.2042976855</v>
      </c>
      <c r="AC28" s="907">
        <f t="shared" si="19"/>
        <v>1243779.2042976855</v>
      </c>
      <c r="AD28" s="907">
        <f t="shared" si="19"/>
        <v>1243779.2042976855</v>
      </c>
      <c r="AE28" s="907">
        <f t="shared" si="19"/>
        <v>1243779.2042976855</v>
      </c>
      <c r="AF28" s="907">
        <f t="shared" si="19"/>
        <v>1243779.2042976855</v>
      </c>
      <c r="AG28" s="907">
        <f t="shared" si="19"/>
        <v>1243779.2042976855</v>
      </c>
      <c r="AH28" s="907">
        <f t="shared" si="19"/>
        <v>1243779.2042976855</v>
      </c>
      <c r="AI28" s="907">
        <f t="shared" si="19"/>
        <v>1243779.2042976855</v>
      </c>
      <c r="AJ28" s="907">
        <f t="shared" si="19"/>
        <v>1243779.2042976855</v>
      </c>
      <c r="AK28" s="907">
        <f t="shared" ref="AK28:BP28" si="20">AK66-AK30</f>
        <v>1243779.2042976855</v>
      </c>
      <c r="AL28" s="907">
        <f t="shared" si="20"/>
        <v>1243779.2042976855</v>
      </c>
      <c r="AM28" s="907">
        <f t="shared" si="20"/>
        <v>1243779.2042976855</v>
      </c>
      <c r="AN28" s="907">
        <f t="shared" si="20"/>
        <v>1243779.2042976855</v>
      </c>
      <c r="AO28" s="907">
        <f t="shared" si="20"/>
        <v>1243779.2042976855</v>
      </c>
      <c r="AP28" s="907">
        <f t="shared" si="20"/>
        <v>1243779.2042976855</v>
      </c>
      <c r="AQ28" s="907">
        <f t="shared" si="20"/>
        <v>1243779.2042976855</v>
      </c>
      <c r="AR28" s="907">
        <f t="shared" si="20"/>
        <v>1243779.2042976855</v>
      </c>
      <c r="AS28" s="907">
        <f t="shared" si="20"/>
        <v>1243779.2042976855</v>
      </c>
      <c r="AT28" s="907">
        <f t="shared" si="20"/>
        <v>1243779.2042976855</v>
      </c>
      <c r="AU28" s="907">
        <f t="shared" si="20"/>
        <v>1243779.2042976855</v>
      </c>
      <c r="AV28" s="907">
        <f t="shared" si="20"/>
        <v>1243779.2042976855</v>
      </c>
      <c r="AW28" s="907">
        <f t="shared" si="20"/>
        <v>1243779.2042976855</v>
      </c>
      <c r="AX28" s="907">
        <f t="shared" si="20"/>
        <v>1243779.2042976855</v>
      </c>
      <c r="AY28" s="907">
        <f t="shared" si="20"/>
        <v>1243779.2042976855</v>
      </c>
      <c r="AZ28" s="907">
        <f t="shared" si="20"/>
        <v>1243779.2042976855</v>
      </c>
      <c r="BA28" s="907">
        <f t="shared" si="20"/>
        <v>1243779.2042976855</v>
      </c>
      <c r="BB28" s="907">
        <f t="shared" si="20"/>
        <v>1243779.2042976855</v>
      </c>
      <c r="BC28" s="907">
        <f t="shared" si="20"/>
        <v>1243779.2042976855</v>
      </c>
      <c r="BD28" s="907">
        <f t="shared" si="20"/>
        <v>1243779.2042976855</v>
      </c>
      <c r="BE28" s="907">
        <f t="shared" si="20"/>
        <v>1243779.2042976855</v>
      </c>
      <c r="BF28" s="907">
        <f t="shared" si="20"/>
        <v>1243779.2042976855</v>
      </c>
      <c r="BG28" s="907">
        <f t="shared" si="20"/>
        <v>1243779.2042976855</v>
      </c>
      <c r="BH28" s="907">
        <f t="shared" si="20"/>
        <v>1243779.2042976855</v>
      </c>
      <c r="BI28" s="907">
        <f t="shared" si="20"/>
        <v>1243779.2042976855</v>
      </c>
      <c r="BJ28" s="907">
        <f t="shared" si="20"/>
        <v>1243779.2042976855</v>
      </c>
      <c r="BK28" s="907">
        <f t="shared" si="20"/>
        <v>1243779.2042976855</v>
      </c>
      <c r="BL28" s="907">
        <f t="shared" si="20"/>
        <v>1243779.2042976855</v>
      </c>
      <c r="BM28" s="907">
        <f t="shared" si="20"/>
        <v>1243779.2042976855</v>
      </c>
      <c r="BN28" s="907">
        <f t="shared" si="20"/>
        <v>1243779.2042976855</v>
      </c>
      <c r="BO28" s="907">
        <f t="shared" si="20"/>
        <v>1243779.2042976855</v>
      </c>
      <c r="BP28" s="907">
        <f t="shared" si="20"/>
        <v>1243779.2042976855</v>
      </c>
      <c r="BQ28" s="907">
        <f t="shared" ref="BQ28:CH28" si="21">BQ66-BQ30</f>
        <v>1243779.2042976855</v>
      </c>
      <c r="BR28" s="907">
        <f t="shared" si="21"/>
        <v>1243779.2042976855</v>
      </c>
      <c r="BS28" s="907">
        <f t="shared" si="21"/>
        <v>1243779.2042976855</v>
      </c>
      <c r="BT28" s="907">
        <f t="shared" si="21"/>
        <v>1243779.2042976855</v>
      </c>
      <c r="BU28" s="907">
        <f t="shared" si="21"/>
        <v>1243779.2042976855</v>
      </c>
      <c r="BV28" s="907">
        <f t="shared" si="21"/>
        <v>1243779.2042976855</v>
      </c>
      <c r="BW28" s="907">
        <f t="shared" si="21"/>
        <v>1243779.2042976855</v>
      </c>
      <c r="BX28" s="907">
        <f t="shared" si="21"/>
        <v>1243779.2042976855</v>
      </c>
      <c r="BY28" s="907">
        <f t="shared" si="21"/>
        <v>1243779.2042976855</v>
      </c>
      <c r="BZ28" s="907">
        <f t="shared" si="21"/>
        <v>1243779.2042976855</v>
      </c>
      <c r="CA28" s="907">
        <f t="shared" si="21"/>
        <v>1243779.2042976855</v>
      </c>
      <c r="CB28" s="907">
        <f t="shared" si="21"/>
        <v>1243779.2042976855</v>
      </c>
      <c r="CC28" s="907">
        <f t="shared" si="21"/>
        <v>1243779.2042976855</v>
      </c>
      <c r="CD28" s="907">
        <f t="shared" si="21"/>
        <v>1243779.2042976855</v>
      </c>
      <c r="CE28" s="907">
        <f t="shared" si="21"/>
        <v>1243779.2042976855</v>
      </c>
      <c r="CF28" s="907">
        <f t="shared" si="21"/>
        <v>1243779.2042976855</v>
      </c>
      <c r="CG28" s="907">
        <f t="shared" si="21"/>
        <v>1243779.2042976855</v>
      </c>
      <c r="CH28" s="907">
        <f t="shared" si="21"/>
        <v>1243779.2042976855</v>
      </c>
    </row>
    <row r="29" spans="1:86" s="908" customFormat="1">
      <c r="A29" s="865"/>
      <c r="B29" s="1548" t="s">
        <v>651</v>
      </c>
      <c r="C29" s="1544"/>
      <c r="D29" s="2145"/>
      <c r="E29" s="1547"/>
      <c r="F29" s="1547"/>
      <c r="G29" s="1547"/>
      <c r="H29" s="1547"/>
      <c r="I29" s="1547"/>
      <c r="J29" s="1547"/>
      <c r="K29" s="1547"/>
      <c r="L29" s="1547"/>
      <c r="M29" s="1547"/>
      <c r="N29" s="1547"/>
      <c r="O29" s="1547"/>
      <c r="P29" s="1547"/>
      <c r="Q29" s="1547"/>
      <c r="R29" s="1547"/>
      <c r="S29" s="1547"/>
      <c r="T29" s="1547"/>
      <c r="U29" s="1547"/>
      <c r="V29" s="1547"/>
      <c r="W29" s="1547"/>
      <c r="X29" s="1547"/>
      <c r="Y29" s="1547"/>
      <c r="Z29" s="1547"/>
      <c r="AA29" s="1547"/>
      <c r="AB29" s="1547"/>
      <c r="AC29" s="1547"/>
      <c r="AD29" s="1547"/>
      <c r="AE29" s="1547"/>
      <c r="AF29" s="1547"/>
      <c r="AG29" s="1547"/>
      <c r="AH29" s="1547"/>
      <c r="AI29" s="1547"/>
      <c r="AJ29" s="1547"/>
      <c r="AK29" s="1547"/>
      <c r="AL29" s="1547"/>
      <c r="AM29" s="1547"/>
      <c r="AN29" s="1547"/>
      <c r="AO29" s="1547"/>
      <c r="AP29" s="1547"/>
      <c r="AQ29" s="1547"/>
      <c r="AR29" s="1547"/>
      <c r="AS29" s="1547"/>
      <c r="AT29" s="1547"/>
      <c r="AU29" s="1547"/>
      <c r="AV29" s="1547"/>
      <c r="AW29" s="1547"/>
      <c r="AX29" s="1547"/>
      <c r="AY29" s="1547"/>
      <c r="AZ29" s="1547"/>
      <c r="BA29" s="1547"/>
      <c r="BB29" s="1547"/>
      <c r="BC29" s="1547"/>
      <c r="BD29" s="1547"/>
      <c r="BE29" s="1547"/>
      <c r="BF29" s="1547"/>
      <c r="BG29" s="1547"/>
      <c r="BH29" s="1547"/>
      <c r="BI29" s="1547"/>
      <c r="BJ29" s="1547"/>
      <c r="BK29" s="1547"/>
      <c r="BL29" s="1547"/>
      <c r="BM29" s="1547"/>
      <c r="BN29" s="1547"/>
      <c r="BO29" s="1547"/>
      <c r="BP29" s="1547"/>
      <c r="BQ29" s="1547"/>
      <c r="BR29" s="1547"/>
      <c r="BS29" s="1547"/>
      <c r="BT29" s="1547"/>
      <c r="BU29" s="1547"/>
      <c r="BV29" s="1547"/>
      <c r="BW29" s="1547"/>
      <c r="BX29" s="1547"/>
      <c r="BY29" s="1547"/>
      <c r="BZ29" s="1547"/>
      <c r="CA29" s="1547"/>
      <c r="CB29" s="1547"/>
      <c r="CC29" s="1547"/>
      <c r="CD29" s="1547"/>
      <c r="CE29" s="1547"/>
      <c r="CF29" s="1547"/>
      <c r="CG29" s="1547"/>
      <c r="CH29" s="1547"/>
    </row>
    <row r="30" spans="1:86">
      <c r="B30" s="905" t="s">
        <v>42</v>
      </c>
      <c r="C30" s="902">
        <f>SUM(E30:BZ30)</f>
        <v>2135113.7913008044</v>
      </c>
      <c r="D30" s="903">
        <f>C30/$C$27</f>
        <v>0.59230196370602262</v>
      </c>
      <c r="E30" s="907">
        <f t="shared" ref="E30" si="22">IF(E66&gt;E37,E37,IF(E66&gt;0,E66,0))</f>
        <v>0</v>
      </c>
      <c r="F30" s="907">
        <f>IF(F66&gt;F37,F37,IF(F66&gt;0,F66*$E$26,0))</f>
        <v>0</v>
      </c>
      <c r="G30" s="907">
        <f t="shared" ref="G30:BR30" si="23">IF(G66&gt;G37,G37,IF(G66&gt;0,G66*$E$26,0))</f>
        <v>0</v>
      </c>
      <c r="H30" s="907">
        <f t="shared" si="23"/>
        <v>0</v>
      </c>
      <c r="I30" s="907">
        <f t="shared" si="23"/>
        <v>0</v>
      </c>
      <c r="J30" s="907">
        <f t="shared" si="23"/>
        <v>0</v>
      </c>
      <c r="K30" s="907">
        <f t="shared" si="23"/>
        <v>0</v>
      </c>
      <c r="L30" s="907">
        <f t="shared" si="23"/>
        <v>0</v>
      </c>
      <c r="M30" s="907">
        <f t="shared" si="23"/>
        <v>0</v>
      </c>
      <c r="N30" s="907">
        <f t="shared" si="23"/>
        <v>0</v>
      </c>
      <c r="O30" s="907">
        <f t="shared" si="23"/>
        <v>210143.70242039039</v>
      </c>
      <c r="P30" s="907">
        <f t="shared" si="23"/>
        <v>179112.46995456624</v>
      </c>
      <c r="Q30" s="907">
        <f t="shared" si="23"/>
        <v>151776.2352144639</v>
      </c>
      <c r="R30" s="907">
        <f t="shared" si="23"/>
        <v>211478.09851382149</v>
      </c>
      <c r="S30" s="907">
        <f t="shared" si="23"/>
        <v>363629.74777831527</v>
      </c>
      <c r="T30" s="907">
        <f t="shared" si="23"/>
        <v>386552.90970470745</v>
      </c>
      <c r="U30" s="907">
        <f t="shared" si="23"/>
        <v>328121.7987781305</v>
      </c>
      <c r="V30" s="907">
        <f t="shared" si="23"/>
        <v>287245.04776157544</v>
      </c>
      <c r="W30" s="907">
        <f t="shared" si="23"/>
        <v>0</v>
      </c>
      <c r="X30" s="907">
        <f t="shared" si="23"/>
        <v>0</v>
      </c>
      <c r="Y30" s="907">
        <f t="shared" si="23"/>
        <v>17053.781174833235</v>
      </c>
      <c r="Z30" s="907">
        <f t="shared" si="23"/>
        <v>0</v>
      </c>
      <c r="AA30" s="907">
        <f t="shared" si="23"/>
        <v>0</v>
      </c>
      <c r="AB30" s="907">
        <f t="shared" si="23"/>
        <v>0</v>
      </c>
      <c r="AC30" s="907">
        <f t="shared" si="23"/>
        <v>0</v>
      </c>
      <c r="AD30" s="907">
        <f t="shared" si="23"/>
        <v>0</v>
      </c>
      <c r="AE30" s="907">
        <f t="shared" si="23"/>
        <v>0</v>
      </c>
      <c r="AF30" s="907">
        <f t="shared" si="23"/>
        <v>0</v>
      </c>
      <c r="AG30" s="907">
        <f t="shared" si="23"/>
        <v>0</v>
      </c>
      <c r="AH30" s="907">
        <f t="shared" si="23"/>
        <v>0</v>
      </c>
      <c r="AI30" s="907">
        <f t="shared" si="23"/>
        <v>0</v>
      </c>
      <c r="AJ30" s="907">
        <f t="shared" si="23"/>
        <v>0</v>
      </c>
      <c r="AK30" s="907">
        <f t="shared" si="23"/>
        <v>0</v>
      </c>
      <c r="AL30" s="907">
        <f t="shared" si="23"/>
        <v>0</v>
      </c>
      <c r="AM30" s="907">
        <f t="shared" si="23"/>
        <v>0</v>
      </c>
      <c r="AN30" s="907">
        <f t="shared" si="23"/>
        <v>0</v>
      </c>
      <c r="AO30" s="907">
        <f t="shared" si="23"/>
        <v>0</v>
      </c>
      <c r="AP30" s="907">
        <f t="shared" si="23"/>
        <v>0</v>
      </c>
      <c r="AQ30" s="907">
        <f t="shared" si="23"/>
        <v>0</v>
      </c>
      <c r="AR30" s="907">
        <f t="shared" si="23"/>
        <v>0</v>
      </c>
      <c r="AS30" s="907">
        <f t="shared" si="23"/>
        <v>0</v>
      </c>
      <c r="AT30" s="907">
        <f t="shared" si="23"/>
        <v>0</v>
      </c>
      <c r="AU30" s="907">
        <f t="shared" si="23"/>
        <v>0</v>
      </c>
      <c r="AV30" s="907">
        <f t="shared" si="23"/>
        <v>0</v>
      </c>
      <c r="AW30" s="907">
        <f t="shared" si="23"/>
        <v>0</v>
      </c>
      <c r="AX30" s="907">
        <f t="shared" si="23"/>
        <v>0</v>
      </c>
      <c r="AY30" s="907">
        <f t="shared" si="23"/>
        <v>0</v>
      </c>
      <c r="AZ30" s="907">
        <f t="shared" si="23"/>
        <v>0</v>
      </c>
      <c r="BA30" s="907">
        <f t="shared" si="23"/>
        <v>0</v>
      </c>
      <c r="BB30" s="907">
        <f t="shared" si="23"/>
        <v>0</v>
      </c>
      <c r="BC30" s="907">
        <f t="shared" si="23"/>
        <v>0</v>
      </c>
      <c r="BD30" s="907">
        <f t="shared" si="23"/>
        <v>0</v>
      </c>
      <c r="BE30" s="907">
        <f t="shared" si="23"/>
        <v>0</v>
      </c>
      <c r="BF30" s="907">
        <f t="shared" si="23"/>
        <v>0</v>
      </c>
      <c r="BG30" s="907">
        <f t="shared" si="23"/>
        <v>0</v>
      </c>
      <c r="BH30" s="907">
        <f t="shared" si="23"/>
        <v>0</v>
      </c>
      <c r="BI30" s="907">
        <f t="shared" si="23"/>
        <v>0</v>
      </c>
      <c r="BJ30" s="907">
        <f t="shared" si="23"/>
        <v>0</v>
      </c>
      <c r="BK30" s="907">
        <f t="shared" si="23"/>
        <v>0</v>
      </c>
      <c r="BL30" s="907">
        <f t="shared" si="23"/>
        <v>0</v>
      </c>
      <c r="BM30" s="907">
        <f t="shared" si="23"/>
        <v>0</v>
      </c>
      <c r="BN30" s="907">
        <f t="shared" si="23"/>
        <v>0</v>
      </c>
      <c r="BO30" s="907">
        <f t="shared" si="23"/>
        <v>0</v>
      </c>
      <c r="BP30" s="907">
        <f t="shared" si="23"/>
        <v>0</v>
      </c>
      <c r="BQ30" s="907">
        <f t="shared" si="23"/>
        <v>0</v>
      </c>
      <c r="BR30" s="907">
        <f t="shared" si="23"/>
        <v>0</v>
      </c>
      <c r="BS30" s="907">
        <f t="shared" ref="BS30:CH30" si="24">IF(BS66&gt;BS37,BS37,IF(BS66&gt;0,BS66*$E$26,0))</f>
        <v>0</v>
      </c>
      <c r="BT30" s="907">
        <f t="shared" si="24"/>
        <v>0</v>
      </c>
      <c r="BU30" s="907">
        <f t="shared" si="24"/>
        <v>0</v>
      </c>
      <c r="BV30" s="907">
        <f t="shared" si="24"/>
        <v>0</v>
      </c>
      <c r="BW30" s="907">
        <f t="shared" si="24"/>
        <v>0</v>
      </c>
      <c r="BX30" s="907">
        <f t="shared" si="24"/>
        <v>0</v>
      </c>
      <c r="BY30" s="907">
        <f t="shared" si="24"/>
        <v>0</v>
      </c>
      <c r="BZ30" s="907">
        <f t="shared" si="24"/>
        <v>0</v>
      </c>
      <c r="CA30" s="907">
        <f t="shared" si="24"/>
        <v>0</v>
      </c>
      <c r="CB30" s="907">
        <f t="shared" si="24"/>
        <v>0</v>
      </c>
      <c r="CC30" s="907">
        <f t="shared" si="24"/>
        <v>0</v>
      </c>
      <c r="CD30" s="907">
        <f t="shared" si="24"/>
        <v>0</v>
      </c>
      <c r="CE30" s="907">
        <f t="shared" si="24"/>
        <v>0</v>
      </c>
      <c r="CF30" s="907">
        <f t="shared" si="24"/>
        <v>0</v>
      </c>
      <c r="CG30" s="907">
        <f t="shared" si="24"/>
        <v>0</v>
      </c>
      <c r="CH30" s="907">
        <f t="shared" si="24"/>
        <v>0</v>
      </c>
    </row>
    <row r="31" spans="1:86">
      <c r="B31" s="1548" t="s">
        <v>652</v>
      </c>
      <c r="C31" s="1544"/>
      <c r="D31" s="1545"/>
      <c r="E31" s="1547"/>
      <c r="F31" s="1547"/>
      <c r="G31" s="1547"/>
      <c r="H31" s="1547"/>
      <c r="I31" s="1547"/>
      <c r="J31" s="1547"/>
      <c r="K31" s="1547"/>
      <c r="L31" s="1547"/>
      <c r="M31" s="1547"/>
      <c r="N31" s="1547"/>
      <c r="O31" s="1547"/>
      <c r="P31" s="1547"/>
      <c r="Q31" s="1547"/>
      <c r="R31" s="1547"/>
      <c r="S31" s="1547"/>
      <c r="T31" s="1547"/>
      <c r="U31" s="1547"/>
      <c r="V31" s="1547"/>
      <c r="W31" s="1547"/>
      <c r="X31" s="1547"/>
      <c r="Y31" s="1547"/>
      <c r="Z31" s="1547"/>
      <c r="AA31" s="1547"/>
      <c r="AB31" s="1547"/>
      <c r="AC31" s="1547"/>
      <c r="AD31" s="1547"/>
      <c r="AE31" s="1547"/>
      <c r="AF31" s="1547"/>
      <c r="AG31" s="1547"/>
      <c r="AH31" s="1547"/>
      <c r="AI31" s="1547"/>
      <c r="AJ31" s="1547"/>
      <c r="AK31" s="1547"/>
      <c r="AL31" s="1547"/>
      <c r="AM31" s="1547"/>
      <c r="AN31" s="1547"/>
      <c r="AO31" s="1547"/>
      <c r="AP31" s="1547"/>
      <c r="AQ31" s="1547"/>
      <c r="AR31" s="1547"/>
      <c r="AS31" s="1547"/>
      <c r="AT31" s="1547"/>
      <c r="AU31" s="1547"/>
      <c r="AV31" s="1547"/>
      <c r="AW31" s="1547"/>
      <c r="AX31" s="1547"/>
      <c r="AY31" s="1547"/>
      <c r="AZ31" s="1547"/>
      <c r="BA31" s="1547"/>
      <c r="BB31" s="1547"/>
      <c r="BC31" s="1547"/>
      <c r="BD31" s="1547"/>
      <c r="BE31" s="1547"/>
      <c r="BF31" s="1547"/>
      <c r="BG31" s="1547"/>
      <c r="BH31" s="1547"/>
      <c r="BI31" s="1547"/>
      <c r="BJ31" s="1547"/>
      <c r="BK31" s="1547"/>
      <c r="BL31" s="1547"/>
      <c r="BM31" s="1547"/>
      <c r="BN31" s="1547"/>
      <c r="BO31" s="1547"/>
      <c r="BP31" s="1547"/>
      <c r="BQ31" s="1547"/>
      <c r="BR31" s="1547"/>
      <c r="BS31" s="1547"/>
      <c r="BT31" s="1547"/>
      <c r="BU31" s="1547"/>
      <c r="BV31" s="1547"/>
      <c r="BW31" s="1547"/>
      <c r="BX31" s="1547"/>
      <c r="BY31" s="1547"/>
      <c r="BZ31" s="1547"/>
      <c r="CA31" s="1547"/>
      <c r="CB31" s="1547"/>
      <c r="CC31" s="1547"/>
      <c r="CD31" s="1547"/>
      <c r="CE31" s="1547"/>
      <c r="CF31" s="1547"/>
      <c r="CG31" s="1547"/>
      <c r="CH31" s="1547"/>
    </row>
    <row r="32" spans="1:86">
      <c r="B32" s="901" t="s">
        <v>40</v>
      </c>
      <c r="C32" s="902">
        <f>SUM(E32:BZ32)</f>
        <v>782342.85719466978</v>
      </c>
      <c r="D32" s="903">
        <f>C32/$C$27</f>
        <v>0.21702974918515705</v>
      </c>
      <c r="E32" s="904">
        <f t="shared" ref="E32:AJ32" si="25">E37-E35-E30-E33</f>
        <v>0</v>
      </c>
      <c r="F32" s="1543">
        <f t="shared" si="25"/>
        <v>0</v>
      </c>
      <c r="G32" s="904">
        <f t="shared" si="25"/>
        <v>156000</v>
      </c>
      <c r="H32" s="904">
        <f t="shared" si="25"/>
        <v>364000</v>
      </c>
      <c r="I32" s="904">
        <f t="shared" si="25"/>
        <v>4263.4452937083088</v>
      </c>
      <c r="J32" s="904">
        <f t="shared" si="25"/>
        <v>4263.4452937083088</v>
      </c>
      <c r="K32" s="904">
        <f t="shared" si="25"/>
        <v>149684.82724634779</v>
      </c>
      <c r="L32" s="904">
        <f t="shared" si="25"/>
        <v>8955.6527500173506</v>
      </c>
      <c r="M32" s="904">
        <f t="shared" si="25"/>
        <v>14768.289051163498</v>
      </c>
      <c r="N32" s="904">
        <f t="shared" si="25"/>
        <v>80407.197559724562</v>
      </c>
      <c r="O32" s="904">
        <f t="shared" si="25"/>
        <v>0</v>
      </c>
      <c r="P32" s="904">
        <f t="shared" si="25"/>
        <v>0</v>
      </c>
      <c r="Q32" s="904">
        <f t="shared" si="25"/>
        <v>0</v>
      </c>
      <c r="R32" s="904">
        <f t="shared" si="25"/>
        <v>0</v>
      </c>
      <c r="S32" s="904">
        <f t="shared" si="25"/>
        <v>0</v>
      </c>
      <c r="T32" s="904">
        <f t="shared" si="25"/>
        <v>0</v>
      </c>
      <c r="U32" s="904">
        <f t="shared" si="25"/>
        <v>0</v>
      </c>
      <c r="V32" s="904">
        <f t="shared" si="25"/>
        <v>0</v>
      </c>
      <c r="W32" s="904">
        <f t="shared" si="25"/>
        <v>0</v>
      </c>
      <c r="X32" s="904">
        <f t="shared" si="25"/>
        <v>0</v>
      </c>
      <c r="Y32" s="904">
        <f t="shared" si="25"/>
        <v>0</v>
      </c>
      <c r="Z32" s="904">
        <f t="shared" si="25"/>
        <v>0</v>
      </c>
      <c r="AA32" s="904">
        <f t="shared" si="25"/>
        <v>0</v>
      </c>
      <c r="AB32" s="904">
        <f t="shared" si="25"/>
        <v>0</v>
      </c>
      <c r="AC32" s="904">
        <f t="shared" si="25"/>
        <v>0</v>
      </c>
      <c r="AD32" s="904">
        <f t="shared" si="25"/>
        <v>0</v>
      </c>
      <c r="AE32" s="904">
        <f t="shared" si="25"/>
        <v>0</v>
      </c>
      <c r="AF32" s="904">
        <f t="shared" si="25"/>
        <v>0</v>
      </c>
      <c r="AG32" s="904">
        <f t="shared" si="25"/>
        <v>0</v>
      </c>
      <c r="AH32" s="904">
        <f t="shared" si="25"/>
        <v>0</v>
      </c>
      <c r="AI32" s="904">
        <f t="shared" si="25"/>
        <v>0</v>
      </c>
      <c r="AJ32" s="904">
        <f t="shared" si="25"/>
        <v>0</v>
      </c>
      <c r="AK32" s="904">
        <f t="shared" ref="AK32:BP32" si="26">AK37-AK35-AK30-AK33</f>
        <v>0</v>
      </c>
      <c r="AL32" s="904">
        <f t="shared" si="26"/>
        <v>0</v>
      </c>
      <c r="AM32" s="904">
        <f t="shared" si="26"/>
        <v>0</v>
      </c>
      <c r="AN32" s="904">
        <f t="shared" si="26"/>
        <v>0</v>
      </c>
      <c r="AO32" s="904">
        <f t="shared" si="26"/>
        <v>0</v>
      </c>
      <c r="AP32" s="904">
        <f t="shared" si="26"/>
        <v>0</v>
      </c>
      <c r="AQ32" s="904">
        <f t="shared" si="26"/>
        <v>0</v>
      </c>
      <c r="AR32" s="904">
        <f t="shared" si="26"/>
        <v>0</v>
      </c>
      <c r="AS32" s="904">
        <f t="shared" si="26"/>
        <v>0</v>
      </c>
      <c r="AT32" s="904">
        <f t="shared" si="26"/>
        <v>0</v>
      </c>
      <c r="AU32" s="904">
        <f t="shared" si="26"/>
        <v>0</v>
      </c>
      <c r="AV32" s="904">
        <f t="shared" si="26"/>
        <v>0</v>
      </c>
      <c r="AW32" s="904">
        <f t="shared" si="26"/>
        <v>0</v>
      </c>
      <c r="AX32" s="904">
        <f t="shared" si="26"/>
        <v>0</v>
      </c>
      <c r="AY32" s="904">
        <f t="shared" si="26"/>
        <v>0</v>
      </c>
      <c r="AZ32" s="904">
        <f t="shared" si="26"/>
        <v>0</v>
      </c>
      <c r="BA32" s="904">
        <f t="shared" si="26"/>
        <v>0</v>
      </c>
      <c r="BB32" s="904">
        <f t="shared" si="26"/>
        <v>0</v>
      </c>
      <c r="BC32" s="904">
        <f t="shared" si="26"/>
        <v>0</v>
      </c>
      <c r="BD32" s="904">
        <f t="shared" si="26"/>
        <v>0</v>
      </c>
      <c r="BE32" s="904">
        <f t="shared" si="26"/>
        <v>0</v>
      </c>
      <c r="BF32" s="904">
        <f t="shared" si="26"/>
        <v>0</v>
      </c>
      <c r="BG32" s="904">
        <f t="shared" si="26"/>
        <v>0</v>
      </c>
      <c r="BH32" s="904">
        <f t="shared" si="26"/>
        <v>0</v>
      </c>
      <c r="BI32" s="904">
        <f t="shared" si="26"/>
        <v>0</v>
      </c>
      <c r="BJ32" s="904">
        <f t="shared" si="26"/>
        <v>0</v>
      </c>
      <c r="BK32" s="904">
        <f t="shared" si="26"/>
        <v>0</v>
      </c>
      <c r="BL32" s="904">
        <f t="shared" si="26"/>
        <v>0</v>
      </c>
      <c r="BM32" s="904">
        <f t="shared" si="26"/>
        <v>0</v>
      </c>
      <c r="BN32" s="904">
        <f t="shared" si="26"/>
        <v>0</v>
      </c>
      <c r="BO32" s="904">
        <f t="shared" si="26"/>
        <v>0</v>
      </c>
      <c r="BP32" s="904">
        <f t="shared" si="26"/>
        <v>0</v>
      </c>
      <c r="BQ32" s="904">
        <f t="shared" ref="BQ32:CH32" si="27">BQ37-BQ35-BQ30-BQ33</f>
        <v>0</v>
      </c>
      <c r="BR32" s="904">
        <f t="shared" si="27"/>
        <v>0</v>
      </c>
      <c r="BS32" s="904">
        <f t="shared" si="27"/>
        <v>0</v>
      </c>
      <c r="BT32" s="904">
        <f t="shared" si="27"/>
        <v>0</v>
      </c>
      <c r="BU32" s="904">
        <f t="shared" si="27"/>
        <v>0</v>
      </c>
      <c r="BV32" s="904">
        <f t="shared" si="27"/>
        <v>0</v>
      </c>
      <c r="BW32" s="904">
        <f t="shared" si="27"/>
        <v>0</v>
      </c>
      <c r="BX32" s="904">
        <f t="shared" si="27"/>
        <v>0</v>
      </c>
      <c r="BY32" s="904">
        <f t="shared" si="27"/>
        <v>0</v>
      </c>
      <c r="BZ32" s="904">
        <f t="shared" si="27"/>
        <v>0</v>
      </c>
      <c r="CA32" s="904">
        <f t="shared" si="27"/>
        <v>0</v>
      </c>
      <c r="CB32" s="904">
        <f t="shared" si="27"/>
        <v>0</v>
      </c>
      <c r="CC32" s="904">
        <f t="shared" si="27"/>
        <v>0</v>
      </c>
      <c r="CD32" s="904">
        <f t="shared" si="27"/>
        <v>0</v>
      </c>
      <c r="CE32" s="904">
        <f t="shared" si="27"/>
        <v>0</v>
      </c>
      <c r="CF32" s="904">
        <f t="shared" si="27"/>
        <v>0</v>
      </c>
      <c r="CG32" s="904">
        <f t="shared" si="27"/>
        <v>0</v>
      </c>
      <c r="CH32" s="904">
        <f t="shared" si="27"/>
        <v>0</v>
      </c>
    </row>
    <row r="33" spans="1:86">
      <c r="B33" s="901" t="s">
        <v>446</v>
      </c>
      <c r="C33" s="902">
        <f>SUM(E33:BZ33)</f>
        <v>31632.297146399818</v>
      </c>
      <c r="D33" s="903">
        <f>C33/$C$27</f>
        <v>8.7751162456453039E-3</v>
      </c>
      <c r="E33" s="906"/>
      <c r="F33" s="906">
        <f t="shared" ref="F33:AK33" si="28">IF((F43-F55)&gt;F30,(F43-F55-F30),0)</f>
        <v>0</v>
      </c>
      <c r="G33" s="906">
        <f t="shared" si="28"/>
        <v>0</v>
      </c>
      <c r="H33" s="906">
        <f t="shared" si="28"/>
        <v>0</v>
      </c>
      <c r="I33" s="906">
        <f t="shared" si="28"/>
        <v>0</v>
      </c>
      <c r="J33" s="906">
        <f t="shared" si="28"/>
        <v>0</v>
      </c>
      <c r="K33" s="906">
        <f t="shared" si="28"/>
        <v>0</v>
      </c>
      <c r="L33" s="906">
        <f t="shared" si="28"/>
        <v>10179.496736684763</v>
      </c>
      <c r="M33" s="906">
        <f t="shared" si="28"/>
        <v>10209.510088066818</v>
      </c>
      <c r="N33" s="906">
        <f t="shared" si="28"/>
        <v>11243.290321648237</v>
      </c>
      <c r="O33" s="906">
        <f t="shared" si="28"/>
        <v>0</v>
      </c>
      <c r="P33" s="906">
        <f t="shared" si="28"/>
        <v>0</v>
      </c>
      <c r="Q33" s="906">
        <f t="shared" si="28"/>
        <v>0</v>
      </c>
      <c r="R33" s="906">
        <f t="shared" si="28"/>
        <v>0</v>
      </c>
      <c r="S33" s="906">
        <f t="shared" si="28"/>
        <v>0</v>
      </c>
      <c r="T33" s="906">
        <f t="shared" si="28"/>
        <v>0</v>
      </c>
      <c r="U33" s="906">
        <f t="shared" si="28"/>
        <v>0</v>
      </c>
      <c r="V33" s="906">
        <f t="shared" si="28"/>
        <v>0</v>
      </c>
      <c r="W33" s="906">
        <f t="shared" si="28"/>
        <v>0</v>
      </c>
      <c r="X33" s="906">
        <f t="shared" si="28"/>
        <v>0</v>
      </c>
      <c r="Y33" s="906">
        <f t="shared" si="28"/>
        <v>0</v>
      </c>
      <c r="Z33" s="906">
        <f t="shared" si="28"/>
        <v>0</v>
      </c>
      <c r="AA33" s="906">
        <f t="shared" si="28"/>
        <v>0</v>
      </c>
      <c r="AB33" s="906">
        <f t="shared" si="28"/>
        <v>0</v>
      </c>
      <c r="AC33" s="906">
        <f t="shared" si="28"/>
        <v>0</v>
      </c>
      <c r="AD33" s="906">
        <f t="shared" si="28"/>
        <v>0</v>
      </c>
      <c r="AE33" s="906">
        <f t="shared" si="28"/>
        <v>0</v>
      </c>
      <c r="AF33" s="906">
        <f t="shared" si="28"/>
        <v>0</v>
      </c>
      <c r="AG33" s="906">
        <f t="shared" si="28"/>
        <v>0</v>
      </c>
      <c r="AH33" s="906">
        <f t="shared" si="28"/>
        <v>0</v>
      </c>
      <c r="AI33" s="906">
        <f t="shared" si="28"/>
        <v>0</v>
      </c>
      <c r="AJ33" s="906">
        <f t="shared" si="28"/>
        <v>0</v>
      </c>
      <c r="AK33" s="906">
        <f t="shared" si="28"/>
        <v>0</v>
      </c>
      <c r="AL33" s="906">
        <f t="shared" ref="AL33:BQ33" si="29">IF((AL43-AL55)&gt;AL30,(AL43-AL55-AL30),0)</f>
        <v>0</v>
      </c>
      <c r="AM33" s="906">
        <f t="shared" si="29"/>
        <v>0</v>
      </c>
      <c r="AN33" s="906">
        <f t="shared" si="29"/>
        <v>0</v>
      </c>
      <c r="AO33" s="906">
        <f t="shared" si="29"/>
        <v>0</v>
      </c>
      <c r="AP33" s="906">
        <f t="shared" si="29"/>
        <v>0</v>
      </c>
      <c r="AQ33" s="906">
        <f t="shared" si="29"/>
        <v>0</v>
      </c>
      <c r="AR33" s="906">
        <f t="shared" si="29"/>
        <v>0</v>
      </c>
      <c r="AS33" s="906">
        <f t="shared" si="29"/>
        <v>0</v>
      </c>
      <c r="AT33" s="906">
        <f t="shared" si="29"/>
        <v>0</v>
      </c>
      <c r="AU33" s="906">
        <f t="shared" si="29"/>
        <v>0</v>
      </c>
      <c r="AV33" s="906">
        <f t="shared" si="29"/>
        <v>0</v>
      </c>
      <c r="AW33" s="906">
        <f t="shared" si="29"/>
        <v>0</v>
      </c>
      <c r="AX33" s="906">
        <f t="shared" si="29"/>
        <v>0</v>
      </c>
      <c r="AY33" s="906">
        <f t="shared" si="29"/>
        <v>0</v>
      </c>
      <c r="AZ33" s="906">
        <f t="shared" si="29"/>
        <v>0</v>
      </c>
      <c r="BA33" s="906">
        <f t="shared" si="29"/>
        <v>0</v>
      </c>
      <c r="BB33" s="906">
        <f t="shared" si="29"/>
        <v>0</v>
      </c>
      <c r="BC33" s="906">
        <f t="shared" si="29"/>
        <v>0</v>
      </c>
      <c r="BD33" s="906">
        <f t="shared" si="29"/>
        <v>0</v>
      </c>
      <c r="BE33" s="906">
        <f t="shared" si="29"/>
        <v>0</v>
      </c>
      <c r="BF33" s="906">
        <f t="shared" si="29"/>
        <v>0</v>
      </c>
      <c r="BG33" s="906">
        <f t="shared" si="29"/>
        <v>0</v>
      </c>
      <c r="BH33" s="906">
        <f t="shared" si="29"/>
        <v>0</v>
      </c>
      <c r="BI33" s="906">
        <f t="shared" si="29"/>
        <v>0</v>
      </c>
      <c r="BJ33" s="906">
        <f t="shared" si="29"/>
        <v>0</v>
      </c>
      <c r="BK33" s="906">
        <f t="shared" si="29"/>
        <v>0</v>
      </c>
      <c r="BL33" s="906">
        <f t="shared" si="29"/>
        <v>0</v>
      </c>
      <c r="BM33" s="906">
        <f t="shared" si="29"/>
        <v>0</v>
      </c>
      <c r="BN33" s="906">
        <f t="shared" si="29"/>
        <v>0</v>
      </c>
      <c r="BO33" s="906">
        <f t="shared" si="29"/>
        <v>0</v>
      </c>
      <c r="BP33" s="906">
        <f t="shared" si="29"/>
        <v>0</v>
      </c>
      <c r="BQ33" s="906">
        <f t="shared" si="29"/>
        <v>0</v>
      </c>
      <c r="BR33" s="906">
        <f t="shared" ref="BR33:CH33" si="30">IF((BR43-BR55)&gt;BR30,(BR43-BR55-BR30),0)</f>
        <v>0</v>
      </c>
      <c r="BS33" s="906">
        <f t="shared" si="30"/>
        <v>0</v>
      </c>
      <c r="BT33" s="906">
        <f t="shared" si="30"/>
        <v>0</v>
      </c>
      <c r="BU33" s="906">
        <f t="shared" si="30"/>
        <v>0</v>
      </c>
      <c r="BV33" s="906">
        <f t="shared" si="30"/>
        <v>0</v>
      </c>
      <c r="BW33" s="906">
        <f t="shared" si="30"/>
        <v>0</v>
      </c>
      <c r="BX33" s="906">
        <f t="shared" si="30"/>
        <v>0</v>
      </c>
      <c r="BY33" s="906">
        <f t="shared" si="30"/>
        <v>0</v>
      </c>
      <c r="BZ33" s="906">
        <f t="shared" si="30"/>
        <v>0</v>
      </c>
      <c r="CA33" s="906">
        <f t="shared" si="30"/>
        <v>0</v>
      </c>
      <c r="CB33" s="906">
        <f t="shared" si="30"/>
        <v>0</v>
      </c>
      <c r="CC33" s="906">
        <f t="shared" si="30"/>
        <v>0</v>
      </c>
      <c r="CD33" s="906">
        <f t="shared" si="30"/>
        <v>0</v>
      </c>
      <c r="CE33" s="906">
        <f t="shared" si="30"/>
        <v>0</v>
      </c>
      <c r="CF33" s="906">
        <f t="shared" si="30"/>
        <v>0</v>
      </c>
      <c r="CG33" s="906">
        <f t="shared" si="30"/>
        <v>0</v>
      </c>
      <c r="CH33" s="906">
        <f t="shared" si="30"/>
        <v>0</v>
      </c>
    </row>
    <row r="34" spans="1:86">
      <c r="B34" s="1549" t="s">
        <v>653</v>
      </c>
      <c r="C34" s="1544"/>
      <c r="D34" s="1545"/>
      <c r="E34" s="1546"/>
      <c r="F34" s="1546"/>
      <c r="G34" s="1546"/>
      <c r="H34" s="1546"/>
      <c r="I34" s="1546"/>
      <c r="J34" s="1546"/>
      <c r="K34" s="1546"/>
      <c r="L34" s="1546"/>
      <c r="M34" s="1546"/>
      <c r="N34" s="1546"/>
      <c r="O34" s="1546"/>
      <c r="P34" s="1546"/>
      <c r="Q34" s="1546"/>
      <c r="R34" s="1546"/>
      <c r="S34" s="1546"/>
      <c r="T34" s="1546"/>
      <c r="U34" s="1546"/>
      <c r="V34" s="1546"/>
      <c r="W34" s="1546"/>
      <c r="X34" s="1546"/>
      <c r="Y34" s="1546"/>
      <c r="Z34" s="1546"/>
      <c r="AA34" s="1546"/>
      <c r="AB34" s="1546"/>
      <c r="AC34" s="1546"/>
      <c r="AD34" s="1546"/>
      <c r="AE34" s="1546"/>
      <c r="AF34" s="1546"/>
      <c r="AG34" s="1546"/>
      <c r="AH34" s="1546"/>
      <c r="AI34" s="1546"/>
      <c r="AJ34" s="1546"/>
      <c r="AK34" s="1546"/>
      <c r="AL34" s="1546"/>
      <c r="AM34" s="1546"/>
      <c r="AN34" s="1546"/>
      <c r="AO34" s="1546"/>
      <c r="AP34" s="1546"/>
      <c r="AQ34" s="1546"/>
      <c r="AR34" s="1546"/>
      <c r="AS34" s="1546"/>
      <c r="AT34" s="1546"/>
      <c r="AU34" s="1546"/>
      <c r="AV34" s="1546"/>
      <c r="AW34" s="1546"/>
      <c r="AX34" s="1546"/>
      <c r="AY34" s="1546"/>
      <c r="AZ34" s="1546"/>
      <c r="BA34" s="1546"/>
      <c r="BB34" s="1546"/>
      <c r="BC34" s="1546"/>
      <c r="BD34" s="1546"/>
      <c r="BE34" s="1546"/>
      <c r="BF34" s="1546"/>
      <c r="BG34" s="1546"/>
      <c r="BH34" s="1546"/>
      <c r="BI34" s="1546"/>
      <c r="BJ34" s="1546"/>
      <c r="BK34" s="1546"/>
      <c r="BL34" s="1546"/>
      <c r="BM34" s="1546"/>
      <c r="BN34" s="1546"/>
      <c r="BO34" s="1546"/>
      <c r="BP34" s="1546"/>
      <c r="BQ34" s="1546"/>
      <c r="BR34" s="1546"/>
      <c r="BS34" s="1546"/>
      <c r="BT34" s="1546"/>
      <c r="BU34" s="1546"/>
      <c r="BV34" s="1546"/>
      <c r="BW34" s="1546"/>
      <c r="BX34" s="1546"/>
      <c r="BY34" s="1546"/>
      <c r="BZ34" s="1546"/>
      <c r="CA34" s="1546"/>
      <c r="CB34" s="1546"/>
      <c r="CC34" s="1546"/>
      <c r="CD34" s="1546"/>
      <c r="CE34" s="1546"/>
      <c r="CF34" s="1546"/>
      <c r="CG34" s="1546"/>
      <c r="CH34" s="1546"/>
    </row>
    <row r="35" spans="1:86">
      <c r="B35" s="905" t="s">
        <v>41</v>
      </c>
      <c r="C35" s="902">
        <f>SUM(E35:BZ35)</f>
        <v>655683.48823870323</v>
      </c>
      <c r="D35" s="903">
        <f>C35/$C$27</f>
        <v>0.18189317086317505</v>
      </c>
      <c r="E35" s="887">
        <f>IF(AND(E37&gt;(E30+E33),E37&gt;E38),(E37-E30-E33)*0.7,0)</f>
        <v>0</v>
      </c>
      <c r="F35" s="887">
        <f t="shared" ref="F35:AK35" si="31">IF((F37-F30-F33)&gt;F36,F36,IF(F37-F33-F30&gt;0,F37-F33-F30,0))</f>
        <v>0</v>
      </c>
      <c r="G35" s="887">
        <f t="shared" si="31"/>
        <v>0</v>
      </c>
      <c r="H35" s="887">
        <f t="shared" si="31"/>
        <v>0</v>
      </c>
      <c r="I35" s="887">
        <f t="shared" si="31"/>
        <v>0</v>
      </c>
      <c r="J35" s="887">
        <f t="shared" si="31"/>
        <v>0</v>
      </c>
      <c r="K35" s="887">
        <f t="shared" si="31"/>
        <v>339316.55788949208</v>
      </c>
      <c r="L35" s="887">
        <f t="shared" si="31"/>
        <v>1000.4450460683823</v>
      </c>
      <c r="M35" s="887">
        <f t="shared" si="31"/>
        <v>34459.34111938149</v>
      </c>
      <c r="N35" s="887">
        <f t="shared" si="31"/>
        <v>187616.79430602398</v>
      </c>
      <c r="O35" s="887">
        <f t="shared" si="31"/>
        <v>67588.260644771042</v>
      </c>
      <c r="P35" s="887">
        <f t="shared" si="31"/>
        <v>0</v>
      </c>
      <c r="Q35" s="887">
        <f t="shared" si="31"/>
        <v>25702.089232966187</v>
      </c>
      <c r="R35" s="887">
        <f t="shared" si="31"/>
        <v>0</v>
      </c>
      <c r="S35" s="887">
        <f t="shared" si="31"/>
        <v>0</v>
      </c>
      <c r="T35" s="887">
        <f t="shared" si="31"/>
        <v>0</v>
      </c>
      <c r="U35" s="887">
        <f t="shared" si="31"/>
        <v>0</v>
      </c>
      <c r="V35" s="887">
        <f t="shared" si="31"/>
        <v>0</v>
      </c>
      <c r="W35" s="887">
        <f t="shared" si="31"/>
        <v>0</v>
      </c>
      <c r="X35" s="887">
        <f t="shared" si="31"/>
        <v>0</v>
      </c>
      <c r="Y35" s="887">
        <f t="shared" si="31"/>
        <v>0</v>
      </c>
      <c r="Z35" s="887">
        <f t="shared" si="31"/>
        <v>0</v>
      </c>
      <c r="AA35" s="887">
        <f t="shared" si="31"/>
        <v>0</v>
      </c>
      <c r="AB35" s="887">
        <f t="shared" si="31"/>
        <v>0</v>
      </c>
      <c r="AC35" s="887">
        <f t="shared" si="31"/>
        <v>0</v>
      </c>
      <c r="AD35" s="887">
        <f t="shared" si="31"/>
        <v>0</v>
      </c>
      <c r="AE35" s="887">
        <f t="shared" si="31"/>
        <v>0</v>
      </c>
      <c r="AF35" s="887">
        <f t="shared" si="31"/>
        <v>0</v>
      </c>
      <c r="AG35" s="887">
        <f t="shared" si="31"/>
        <v>0</v>
      </c>
      <c r="AH35" s="887">
        <f t="shared" si="31"/>
        <v>0</v>
      </c>
      <c r="AI35" s="887">
        <f t="shared" si="31"/>
        <v>0</v>
      </c>
      <c r="AJ35" s="887">
        <f t="shared" si="31"/>
        <v>0</v>
      </c>
      <c r="AK35" s="887">
        <f t="shared" si="31"/>
        <v>0</v>
      </c>
      <c r="AL35" s="887">
        <f t="shared" ref="AL35:BQ35" si="32">IF((AL37-AL30-AL33)&gt;AL36,AL36,IF(AL37-AL33-AL30&gt;0,AL37-AL33-AL30,0))</f>
        <v>0</v>
      </c>
      <c r="AM35" s="887">
        <f t="shared" si="32"/>
        <v>0</v>
      </c>
      <c r="AN35" s="887">
        <f t="shared" si="32"/>
        <v>0</v>
      </c>
      <c r="AO35" s="887">
        <f t="shared" si="32"/>
        <v>0</v>
      </c>
      <c r="AP35" s="887">
        <f t="shared" si="32"/>
        <v>0</v>
      </c>
      <c r="AQ35" s="887">
        <f t="shared" si="32"/>
        <v>0</v>
      </c>
      <c r="AR35" s="887">
        <f t="shared" si="32"/>
        <v>0</v>
      </c>
      <c r="AS35" s="887">
        <f t="shared" si="32"/>
        <v>0</v>
      </c>
      <c r="AT35" s="887">
        <f t="shared" si="32"/>
        <v>0</v>
      </c>
      <c r="AU35" s="887">
        <f t="shared" si="32"/>
        <v>0</v>
      </c>
      <c r="AV35" s="887">
        <f t="shared" si="32"/>
        <v>0</v>
      </c>
      <c r="AW35" s="887">
        <f t="shared" si="32"/>
        <v>0</v>
      </c>
      <c r="AX35" s="887">
        <f t="shared" si="32"/>
        <v>0</v>
      </c>
      <c r="AY35" s="887">
        <f t="shared" si="32"/>
        <v>0</v>
      </c>
      <c r="AZ35" s="887">
        <f t="shared" si="32"/>
        <v>0</v>
      </c>
      <c r="BA35" s="887">
        <f t="shared" si="32"/>
        <v>0</v>
      </c>
      <c r="BB35" s="887">
        <f t="shared" si="32"/>
        <v>0</v>
      </c>
      <c r="BC35" s="887">
        <f t="shared" si="32"/>
        <v>0</v>
      </c>
      <c r="BD35" s="887">
        <f t="shared" si="32"/>
        <v>0</v>
      </c>
      <c r="BE35" s="887">
        <f t="shared" si="32"/>
        <v>0</v>
      </c>
      <c r="BF35" s="887">
        <f t="shared" si="32"/>
        <v>0</v>
      </c>
      <c r="BG35" s="887">
        <f t="shared" si="32"/>
        <v>0</v>
      </c>
      <c r="BH35" s="887">
        <f t="shared" si="32"/>
        <v>0</v>
      </c>
      <c r="BI35" s="887">
        <f t="shared" si="32"/>
        <v>0</v>
      </c>
      <c r="BJ35" s="887">
        <f t="shared" si="32"/>
        <v>0</v>
      </c>
      <c r="BK35" s="887">
        <f t="shared" si="32"/>
        <v>0</v>
      </c>
      <c r="BL35" s="887">
        <f t="shared" si="32"/>
        <v>0</v>
      </c>
      <c r="BM35" s="887">
        <f t="shared" si="32"/>
        <v>0</v>
      </c>
      <c r="BN35" s="887">
        <f t="shared" si="32"/>
        <v>0</v>
      </c>
      <c r="BO35" s="887">
        <f t="shared" si="32"/>
        <v>0</v>
      </c>
      <c r="BP35" s="887">
        <f t="shared" si="32"/>
        <v>0</v>
      </c>
      <c r="BQ35" s="887">
        <f t="shared" si="32"/>
        <v>0</v>
      </c>
      <c r="BR35" s="887">
        <f t="shared" ref="BR35:CH35" si="33">IF((BR37-BR30-BR33)&gt;BR36,BR36,IF(BR37-BR33-BR30&gt;0,BR37-BR33-BR30,0))</f>
        <v>0</v>
      </c>
      <c r="BS35" s="887">
        <f t="shared" si="33"/>
        <v>0</v>
      </c>
      <c r="BT35" s="887">
        <f t="shared" si="33"/>
        <v>0</v>
      </c>
      <c r="BU35" s="887">
        <f t="shared" si="33"/>
        <v>0</v>
      </c>
      <c r="BV35" s="887">
        <f t="shared" si="33"/>
        <v>0</v>
      </c>
      <c r="BW35" s="887">
        <f t="shared" si="33"/>
        <v>0</v>
      </c>
      <c r="BX35" s="887">
        <f t="shared" si="33"/>
        <v>0</v>
      </c>
      <c r="BY35" s="887">
        <f t="shared" si="33"/>
        <v>0</v>
      </c>
      <c r="BZ35" s="887">
        <f t="shared" si="33"/>
        <v>0</v>
      </c>
      <c r="CA35" s="887">
        <f t="shared" si="33"/>
        <v>0</v>
      </c>
      <c r="CB35" s="887">
        <f t="shared" si="33"/>
        <v>0</v>
      </c>
      <c r="CC35" s="887">
        <f t="shared" si="33"/>
        <v>0</v>
      </c>
      <c r="CD35" s="887">
        <f t="shared" si="33"/>
        <v>0</v>
      </c>
      <c r="CE35" s="887">
        <f t="shared" si="33"/>
        <v>0</v>
      </c>
      <c r="CF35" s="887">
        <f t="shared" si="33"/>
        <v>0</v>
      </c>
      <c r="CG35" s="887">
        <f t="shared" si="33"/>
        <v>0</v>
      </c>
      <c r="CH35" s="887">
        <f t="shared" si="33"/>
        <v>0</v>
      </c>
    </row>
    <row r="36" spans="1:86" s="909" customFormat="1">
      <c r="A36" s="866"/>
      <c r="B36" s="942" t="s">
        <v>111</v>
      </c>
      <c r="C36" s="943">
        <f t="shared" ref="C36:C42" si="34">SUM(E36:BZ36)</f>
        <v>2023529.3644766528</v>
      </c>
      <c r="D36" s="944"/>
      <c r="E36" s="943">
        <f t="shared" ref="E36:AJ36" si="35">SUMPRODUCT($D$38:$D$42,E38:E42)</f>
        <v>0</v>
      </c>
      <c r="F36" s="943">
        <f t="shared" si="35"/>
        <v>0</v>
      </c>
      <c r="G36" s="943">
        <f t="shared" si="35"/>
        <v>0</v>
      </c>
      <c r="H36" s="943">
        <f t="shared" si="35"/>
        <v>0</v>
      </c>
      <c r="I36" s="943">
        <f t="shared" si="35"/>
        <v>0</v>
      </c>
      <c r="J36" s="943">
        <f t="shared" si="35"/>
        <v>0</v>
      </c>
      <c r="K36" s="943">
        <f t="shared" si="35"/>
        <v>339316.55788949208</v>
      </c>
      <c r="L36" s="943">
        <f t="shared" si="35"/>
        <v>1000.4450460683823</v>
      </c>
      <c r="M36" s="943">
        <f t="shared" si="35"/>
        <v>34459.34111938149</v>
      </c>
      <c r="N36" s="943">
        <f t="shared" si="35"/>
        <v>187616.79430602398</v>
      </c>
      <c r="O36" s="943">
        <f t="shared" si="35"/>
        <v>170664.47141764942</v>
      </c>
      <c r="P36" s="943">
        <f t="shared" si="35"/>
        <v>112149.1195890759</v>
      </c>
      <c r="Q36" s="943">
        <f t="shared" si="35"/>
        <v>112149.1195890759</v>
      </c>
      <c r="R36" s="943">
        <f t="shared" si="35"/>
        <v>132424.80585606178</v>
      </c>
      <c r="S36" s="943">
        <f t="shared" si="35"/>
        <v>250311.35052630934</v>
      </c>
      <c r="T36" s="943">
        <f t="shared" si="35"/>
        <v>270587.03679329518</v>
      </c>
      <c r="U36" s="943">
        <f t="shared" si="35"/>
        <v>226700.84743909552</v>
      </c>
      <c r="V36" s="943">
        <f t="shared" si="35"/>
        <v>186149.4749051237</v>
      </c>
      <c r="W36" s="943">
        <f t="shared" si="35"/>
        <v>0</v>
      </c>
      <c r="X36" s="943">
        <f t="shared" si="35"/>
        <v>0</v>
      </c>
      <c r="Y36" s="943">
        <f t="shared" si="35"/>
        <v>0</v>
      </c>
      <c r="Z36" s="943">
        <f t="shared" si="35"/>
        <v>0</v>
      </c>
      <c r="AA36" s="943">
        <f t="shared" si="35"/>
        <v>0</v>
      </c>
      <c r="AB36" s="943">
        <f t="shared" si="35"/>
        <v>0</v>
      </c>
      <c r="AC36" s="943">
        <f t="shared" si="35"/>
        <v>0</v>
      </c>
      <c r="AD36" s="943">
        <f t="shared" si="35"/>
        <v>0</v>
      </c>
      <c r="AE36" s="943">
        <f t="shared" si="35"/>
        <v>0</v>
      </c>
      <c r="AF36" s="943">
        <f t="shared" si="35"/>
        <v>0</v>
      </c>
      <c r="AG36" s="943">
        <f t="shared" si="35"/>
        <v>0</v>
      </c>
      <c r="AH36" s="943">
        <f t="shared" si="35"/>
        <v>0</v>
      </c>
      <c r="AI36" s="943">
        <f t="shared" si="35"/>
        <v>0</v>
      </c>
      <c r="AJ36" s="943">
        <f t="shared" si="35"/>
        <v>0</v>
      </c>
      <c r="AK36" s="943">
        <f t="shared" ref="AK36:BP36" si="36">SUMPRODUCT($D$38:$D$42,AK38:AK42)</f>
        <v>0</v>
      </c>
      <c r="AL36" s="943">
        <f t="shared" si="36"/>
        <v>0</v>
      </c>
      <c r="AM36" s="943">
        <f t="shared" si="36"/>
        <v>0</v>
      </c>
      <c r="AN36" s="943">
        <f t="shared" si="36"/>
        <v>0</v>
      </c>
      <c r="AO36" s="943">
        <f t="shared" si="36"/>
        <v>0</v>
      </c>
      <c r="AP36" s="943">
        <f t="shared" si="36"/>
        <v>0</v>
      </c>
      <c r="AQ36" s="943">
        <f t="shared" si="36"/>
        <v>0</v>
      </c>
      <c r="AR36" s="943">
        <f t="shared" si="36"/>
        <v>0</v>
      </c>
      <c r="AS36" s="943">
        <f t="shared" si="36"/>
        <v>0</v>
      </c>
      <c r="AT36" s="943">
        <f t="shared" si="36"/>
        <v>0</v>
      </c>
      <c r="AU36" s="943">
        <f t="shared" si="36"/>
        <v>0</v>
      </c>
      <c r="AV36" s="943">
        <f t="shared" si="36"/>
        <v>0</v>
      </c>
      <c r="AW36" s="943">
        <f t="shared" si="36"/>
        <v>0</v>
      </c>
      <c r="AX36" s="943">
        <f t="shared" si="36"/>
        <v>0</v>
      </c>
      <c r="AY36" s="943">
        <f t="shared" si="36"/>
        <v>0</v>
      </c>
      <c r="AZ36" s="943">
        <f t="shared" si="36"/>
        <v>0</v>
      </c>
      <c r="BA36" s="943">
        <f t="shared" si="36"/>
        <v>0</v>
      </c>
      <c r="BB36" s="943">
        <f t="shared" si="36"/>
        <v>0</v>
      </c>
      <c r="BC36" s="943">
        <f t="shared" si="36"/>
        <v>0</v>
      </c>
      <c r="BD36" s="943">
        <f t="shared" si="36"/>
        <v>0</v>
      </c>
      <c r="BE36" s="943">
        <f t="shared" si="36"/>
        <v>0</v>
      </c>
      <c r="BF36" s="943">
        <f t="shared" si="36"/>
        <v>0</v>
      </c>
      <c r="BG36" s="943">
        <f t="shared" si="36"/>
        <v>0</v>
      </c>
      <c r="BH36" s="943">
        <f t="shared" si="36"/>
        <v>0</v>
      </c>
      <c r="BI36" s="943">
        <f t="shared" si="36"/>
        <v>0</v>
      </c>
      <c r="BJ36" s="943">
        <f t="shared" si="36"/>
        <v>0</v>
      </c>
      <c r="BK36" s="943">
        <f t="shared" si="36"/>
        <v>0</v>
      </c>
      <c r="BL36" s="943">
        <f t="shared" si="36"/>
        <v>0</v>
      </c>
      <c r="BM36" s="943">
        <f t="shared" si="36"/>
        <v>0</v>
      </c>
      <c r="BN36" s="943">
        <f t="shared" si="36"/>
        <v>0</v>
      </c>
      <c r="BO36" s="943">
        <f t="shared" si="36"/>
        <v>0</v>
      </c>
      <c r="BP36" s="943">
        <f t="shared" si="36"/>
        <v>0</v>
      </c>
      <c r="BQ36" s="943">
        <f t="shared" ref="BQ36:CH36" si="37">SUMPRODUCT($D$38:$D$42,BQ38:BQ42)</f>
        <v>0</v>
      </c>
      <c r="BR36" s="943">
        <f t="shared" si="37"/>
        <v>0</v>
      </c>
      <c r="BS36" s="943">
        <f t="shared" si="37"/>
        <v>0</v>
      </c>
      <c r="BT36" s="943">
        <f t="shared" si="37"/>
        <v>0</v>
      </c>
      <c r="BU36" s="943">
        <f t="shared" si="37"/>
        <v>0</v>
      </c>
      <c r="BV36" s="943">
        <f t="shared" si="37"/>
        <v>0</v>
      </c>
      <c r="BW36" s="943">
        <f t="shared" si="37"/>
        <v>0</v>
      </c>
      <c r="BX36" s="943">
        <f t="shared" si="37"/>
        <v>0</v>
      </c>
      <c r="BY36" s="943">
        <f t="shared" si="37"/>
        <v>0</v>
      </c>
      <c r="BZ36" s="943">
        <f t="shared" si="37"/>
        <v>0</v>
      </c>
      <c r="CA36" s="943">
        <f t="shared" si="37"/>
        <v>0</v>
      </c>
      <c r="CB36" s="943">
        <f t="shared" si="37"/>
        <v>0</v>
      </c>
      <c r="CC36" s="943">
        <f t="shared" si="37"/>
        <v>0</v>
      </c>
      <c r="CD36" s="943">
        <f t="shared" si="37"/>
        <v>0</v>
      </c>
      <c r="CE36" s="943">
        <f t="shared" si="37"/>
        <v>0</v>
      </c>
      <c r="CF36" s="943">
        <f t="shared" si="37"/>
        <v>0</v>
      </c>
      <c r="CG36" s="943">
        <f t="shared" si="37"/>
        <v>0</v>
      </c>
      <c r="CH36" s="943">
        <f t="shared" si="37"/>
        <v>0</v>
      </c>
    </row>
    <row r="37" spans="1:86" s="964" customFormat="1">
      <c r="A37" s="962"/>
      <c r="B37" s="888" t="s">
        <v>48</v>
      </c>
      <c r="C37" s="945">
        <f t="shared" si="34"/>
        <v>3604772.4338805769</v>
      </c>
      <c r="D37" s="946" t="s">
        <v>110</v>
      </c>
      <c r="E37" s="963">
        <f>'3.Du toan'!AT79</f>
        <v>0</v>
      </c>
      <c r="F37" s="963">
        <f>'3.Du toan'!AU79</f>
        <v>0</v>
      </c>
      <c r="G37" s="963">
        <f>'3.Du toan'!AV79</f>
        <v>156000</v>
      </c>
      <c r="H37" s="963">
        <f>'3.Du toan'!AW79</f>
        <v>364000</v>
      </c>
      <c r="I37" s="963">
        <f>'3.Du toan'!AX79</f>
        <v>4263.4452937083088</v>
      </c>
      <c r="J37" s="963">
        <f>'3.Du toan'!AY79</f>
        <v>4263.4452937083088</v>
      </c>
      <c r="K37" s="963">
        <f>'3.Du toan'!AZ79</f>
        <v>489001.38513583987</v>
      </c>
      <c r="L37" s="963">
        <f>'3.Du toan'!BA79</f>
        <v>20135.594532770498</v>
      </c>
      <c r="M37" s="963">
        <f>'3.Du toan'!BB79</f>
        <v>59437.140258611806</v>
      </c>
      <c r="N37" s="963">
        <f>'3.Du toan'!BC79</f>
        <v>279267.28218739678</v>
      </c>
      <c r="O37" s="963">
        <f>'3.Du toan'!BD79</f>
        <v>277731.96306516143</v>
      </c>
      <c r="P37" s="963">
        <f>'3.Du toan'!BE79</f>
        <v>179112.46995456624</v>
      </c>
      <c r="Q37" s="963">
        <f>'3.Du toan'!BF79</f>
        <v>177478.32444743009</v>
      </c>
      <c r="R37" s="963">
        <f>'3.Du toan'!BG79</f>
        <v>211478.09851382149</v>
      </c>
      <c r="S37" s="963">
        <f>'3.Du toan'!BH79</f>
        <v>363629.74777831527</v>
      </c>
      <c r="T37" s="963">
        <f>'3.Du toan'!BI79</f>
        <v>386552.90970470745</v>
      </c>
      <c r="U37" s="963">
        <f>'3.Du toan'!BJ79</f>
        <v>328121.7987781305</v>
      </c>
      <c r="V37" s="963">
        <f>'3.Du toan'!BK79</f>
        <v>287245.04776157544</v>
      </c>
      <c r="W37" s="963">
        <f>'3.Du toan'!BL79</f>
        <v>0</v>
      </c>
      <c r="X37" s="963">
        <f>'3.Du toan'!BM79</f>
        <v>0</v>
      </c>
      <c r="Y37" s="963">
        <f>'3.Du toan'!BN79</f>
        <v>17053.781174833235</v>
      </c>
      <c r="Z37" s="963">
        <f>'3.Du toan'!BO79</f>
        <v>0</v>
      </c>
      <c r="AA37" s="963">
        <f>'3.Du toan'!BP79</f>
        <v>0</v>
      </c>
      <c r="AB37" s="963">
        <f>'3.Du toan'!BQ79</f>
        <v>0</v>
      </c>
      <c r="AC37" s="963">
        <f>'3.Du toan'!BR79</f>
        <v>0</v>
      </c>
      <c r="AD37" s="963">
        <f>'3.Du toan'!BS79</f>
        <v>0</v>
      </c>
      <c r="AE37" s="963">
        <f>'3.Du toan'!BT79</f>
        <v>0</v>
      </c>
      <c r="AF37" s="963">
        <f>'3.Du toan'!BU79</f>
        <v>0</v>
      </c>
      <c r="AG37" s="963">
        <f>'3.Du toan'!BV79</f>
        <v>0</v>
      </c>
      <c r="AH37" s="963">
        <f>'3.Du toan'!BW79</f>
        <v>0</v>
      </c>
      <c r="AI37" s="963">
        <f>'3.Du toan'!BX79</f>
        <v>0</v>
      </c>
      <c r="AJ37" s="963">
        <f>'3.Du toan'!BY79</f>
        <v>0</v>
      </c>
      <c r="AK37" s="963">
        <f>'3.Du toan'!BZ79</f>
        <v>0</v>
      </c>
      <c r="AL37" s="963">
        <f>'3.Du toan'!CA79</f>
        <v>0</v>
      </c>
      <c r="AM37" s="963">
        <f>'3.Du toan'!CB79</f>
        <v>0</v>
      </c>
      <c r="AN37" s="963">
        <f>'3.Du toan'!CC79</f>
        <v>0</v>
      </c>
      <c r="AO37" s="963">
        <f>'3.Du toan'!CD79</f>
        <v>0</v>
      </c>
      <c r="AP37" s="963">
        <f>'3.Du toan'!CE79</f>
        <v>0</v>
      </c>
      <c r="AQ37" s="963">
        <f>'3.Du toan'!CF79</f>
        <v>0</v>
      </c>
      <c r="AR37" s="963">
        <f>'3.Du toan'!CG79</f>
        <v>0</v>
      </c>
      <c r="AS37" s="963">
        <f>'3.Du toan'!CH79</f>
        <v>0</v>
      </c>
      <c r="AT37" s="963">
        <f>'3.Du toan'!CI79</f>
        <v>0</v>
      </c>
      <c r="AU37" s="963">
        <f>'3.Du toan'!CJ79</f>
        <v>0</v>
      </c>
      <c r="AV37" s="963">
        <f>'3.Du toan'!CK79</f>
        <v>0</v>
      </c>
      <c r="AW37" s="963">
        <f>'3.Du toan'!CL79</f>
        <v>0</v>
      </c>
      <c r="AX37" s="963">
        <f>'3.Du toan'!CM79</f>
        <v>0</v>
      </c>
      <c r="AY37" s="963">
        <f>'3.Du toan'!CN79</f>
        <v>0</v>
      </c>
      <c r="AZ37" s="963">
        <f>'3.Du toan'!CO79</f>
        <v>0</v>
      </c>
      <c r="BA37" s="963">
        <f>'3.Du toan'!CP79</f>
        <v>0</v>
      </c>
      <c r="BB37" s="963">
        <f>'3.Du toan'!CQ79</f>
        <v>0</v>
      </c>
      <c r="BC37" s="963">
        <f>'3.Du toan'!CR79</f>
        <v>0</v>
      </c>
      <c r="BD37" s="963">
        <f>'3.Du toan'!CS79</f>
        <v>0</v>
      </c>
      <c r="BE37" s="963">
        <f>'3.Du toan'!CT79</f>
        <v>0</v>
      </c>
      <c r="BF37" s="963">
        <f>'3.Du toan'!CU79</f>
        <v>0</v>
      </c>
      <c r="BG37" s="963">
        <f>'3.Du toan'!CV79</f>
        <v>0</v>
      </c>
      <c r="BH37" s="963">
        <f>'3.Du toan'!CW79</f>
        <v>0</v>
      </c>
      <c r="BI37" s="963">
        <f>'3.Du toan'!CX79</f>
        <v>0</v>
      </c>
      <c r="BJ37" s="963">
        <f>'3.Du toan'!CY79</f>
        <v>0</v>
      </c>
      <c r="BK37" s="963">
        <f>'3.Du toan'!CZ79</f>
        <v>0</v>
      </c>
      <c r="BL37" s="963">
        <f>'3.Du toan'!DA79</f>
        <v>0</v>
      </c>
      <c r="BM37" s="963">
        <f>'3.Du toan'!DB79</f>
        <v>0</v>
      </c>
      <c r="BN37" s="963">
        <f>'3.Du toan'!DC79</f>
        <v>0</v>
      </c>
      <c r="BO37" s="963">
        <f>'3.Du toan'!DD79</f>
        <v>0</v>
      </c>
      <c r="BP37" s="963">
        <f>'3.Du toan'!DE79</f>
        <v>0</v>
      </c>
      <c r="BQ37" s="963">
        <f>'3.Du toan'!DF79</f>
        <v>0</v>
      </c>
      <c r="BR37" s="963">
        <f>'3.Du toan'!DG79</f>
        <v>0</v>
      </c>
      <c r="BS37" s="963">
        <f>'3.Du toan'!DH79</f>
        <v>0</v>
      </c>
      <c r="BT37" s="963">
        <f>'3.Du toan'!DI79</f>
        <v>0</v>
      </c>
      <c r="BU37" s="963">
        <f>'3.Du toan'!DJ79</f>
        <v>0</v>
      </c>
      <c r="BV37" s="963">
        <f>'3.Du toan'!DK79</f>
        <v>0</v>
      </c>
      <c r="BW37" s="963">
        <f>'3.Du toan'!DL79</f>
        <v>0</v>
      </c>
      <c r="BX37" s="963">
        <f>'3.Du toan'!DM79</f>
        <v>0</v>
      </c>
      <c r="BY37" s="963">
        <f>'3.Du toan'!DN79</f>
        <v>0</v>
      </c>
      <c r="BZ37" s="963">
        <f>'3.Du toan'!DO79</f>
        <v>0</v>
      </c>
      <c r="CA37" s="963">
        <f>'3.Du toan'!DP79</f>
        <v>0</v>
      </c>
      <c r="CB37" s="963">
        <f>'3.Du toan'!DQ79</f>
        <v>0</v>
      </c>
      <c r="CC37" s="963">
        <f>'3.Du toan'!DR79</f>
        <v>0</v>
      </c>
      <c r="CD37" s="963">
        <f>'3.Du toan'!DS79</f>
        <v>0</v>
      </c>
      <c r="CE37" s="963">
        <f>'3.Du toan'!DT79</f>
        <v>0</v>
      </c>
      <c r="CF37" s="963">
        <f>'3.Du toan'!DU79</f>
        <v>0</v>
      </c>
      <c r="CG37" s="963">
        <f>'3.Du toan'!DV79</f>
        <v>0</v>
      </c>
      <c r="CH37" s="963">
        <f>'3.Du toan'!DW79</f>
        <v>0</v>
      </c>
    </row>
    <row r="38" spans="1:86" s="910" customFormat="1">
      <c r="A38" s="867"/>
      <c r="B38" s="948" t="s">
        <v>554</v>
      </c>
      <c r="C38" s="949">
        <f t="shared" si="34"/>
        <v>520000</v>
      </c>
      <c r="D38" s="1414">
        <v>0</v>
      </c>
      <c r="E38" s="950">
        <f>SUM('3.Du toan'!AT12)</f>
        <v>0</v>
      </c>
      <c r="F38" s="950">
        <f>SUM('3.Du toan'!AU12)</f>
        <v>0</v>
      </c>
      <c r="G38" s="950">
        <f>SUM('3.Du toan'!AV12)</f>
        <v>156000</v>
      </c>
      <c r="H38" s="950">
        <f>SUM('3.Du toan'!AW12)</f>
        <v>364000</v>
      </c>
      <c r="I38" s="950">
        <f>SUM('3.Du toan'!AX12)</f>
        <v>0</v>
      </c>
      <c r="J38" s="950">
        <f>SUM('3.Du toan'!AY12)</f>
        <v>0</v>
      </c>
      <c r="K38" s="950">
        <f>SUM('3.Du toan'!AZ12)</f>
        <v>0</v>
      </c>
      <c r="L38" s="950">
        <f>SUM('3.Du toan'!BA12)</f>
        <v>0</v>
      </c>
      <c r="M38" s="950">
        <f>SUM('3.Du toan'!BB12)</f>
        <v>0</v>
      </c>
      <c r="N38" s="950">
        <f>SUM('3.Du toan'!BC12)</f>
        <v>0</v>
      </c>
      <c r="O38" s="950">
        <f>SUM('3.Du toan'!BD12)</f>
        <v>0</v>
      </c>
      <c r="P38" s="950">
        <f>SUM('3.Du toan'!BE12)</f>
        <v>0</v>
      </c>
      <c r="Q38" s="950">
        <f>SUM('3.Du toan'!BF12)</f>
        <v>0</v>
      </c>
      <c r="R38" s="950">
        <f>SUM('3.Du toan'!BG12)</f>
        <v>0</v>
      </c>
      <c r="S38" s="950">
        <f>SUM('3.Du toan'!BH12)</f>
        <v>0</v>
      </c>
      <c r="T38" s="950">
        <f>SUM('3.Du toan'!BI12)</f>
        <v>0</v>
      </c>
      <c r="U38" s="950">
        <f>SUM('3.Du toan'!BJ12)</f>
        <v>0</v>
      </c>
      <c r="V38" s="950">
        <f>SUM('3.Du toan'!BK12)</f>
        <v>0</v>
      </c>
      <c r="W38" s="950">
        <f>SUM('3.Du toan'!BL12)</f>
        <v>0</v>
      </c>
      <c r="X38" s="950">
        <f>SUM('3.Du toan'!BM12)</f>
        <v>0</v>
      </c>
      <c r="Y38" s="950">
        <f>SUM('3.Du toan'!BN12)</f>
        <v>0</v>
      </c>
      <c r="Z38" s="950">
        <f>SUM('3.Du toan'!BO12)</f>
        <v>0</v>
      </c>
      <c r="AA38" s="950">
        <f>SUM('3.Du toan'!BP12)</f>
        <v>0</v>
      </c>
      <c r="AB38" s="950">
        <f>SUM('3.Du toan'!BQ12)</f>
        <v>0</v>
      </c>
      <c r="AC38" s="950">
        <f>SUM('3.Du toan'!BR12)</f>
        <v>0</v>
      </c>
      <c r="AD38" s="950">
        <f>SUM('3.Du toan'!BS12)</f>
        <v>0</v>
      </c>
      <c r="AE38" s="950">
        <f>SUM('3.Du toan'!BT12)</f>
        <v>0</v>
      </c>
      <c r="AF38" s="950">
        <f>SUM('3.Du toan'!BU12)</f>
        <v>0</v>
      </c>
      <c r="AG38" s="950">
        <f>SUM('3.Du toan'!BV12)</f>
        <v>0</v>
      </c>
      <c r="AH38" s="950">
        <f>SUM('3.Du toan'!BW12)</f>
        <v>0</v>
      </c>
      <c r="AI38" s="950">
        <f>SUM('3.Du toan'!BX12)</f>
        <v>0</v>
      </c>
      <c r="AJ38" s="950">
        <f>SUM('3.Du toan'!BY12)</f>
        <v>0</v>
      </c>
      <c r="AK38" s="950">
        <f>SUM('3.Du toan'!BZ12)</f>
        <v>0</v>
      </c>
      <c r="AL38" s="950">
        <f>SUM('3.Du toan'!CA12)</f>
        <v>0</v>
      </c>
      <c r="AM38" s="950">
        <f>SUM('3.Du toan'!CB12)</f>
        <v>0</v>
      </c>
      <c r="AN38" s="950">
        <f>SUM('3.Du toan'!CC12)</f>
        <v>0</v>
      </c>
      <c r="AO38" s="950">
        <f>SUM('3.Du toan'!CD12)</f>
        <v>0</v>
      </c>
      <c r="AP38" s="950">
        <f>SUM('3.Du toan'!CE12)</f>
        <v>0</v>
      </c>
      <c r="AQ38" s="950">
        <f>SUM('3.Du toan'!CF12)</f>
        <v>0</v>
      </c>
      <c r="AR38" s="950">
        <f>SUM('3.Du toan'!CG12)</f>
        <v>0</v>
      </c>
      <c r="AS38" s="950">
        <f>SUM('3.Du toan'!CH12)</f>
        <v>0</v>
      </c>
      <c r="AT38" s="950">
        <f>SUM('3.Du toan'!CI12)</f>
        <v>0</v>
      </c>
      <c r="AU38" s="950">
        <f>SUM('3.Du toan'!CJ12)</f>
        <v>0</v>
      </c>
      <c r="AV38" s="950">
        <f>SUM('3.Du toan'!CK12)</f>
        <v>0</v>
      </c>
      <c r="AW38" s="950">
        <f>SUM('3.Du toan'!CL12)</f>
        <v>0</v>
      </c>
      <c r="AX38" s="950">
        <f>SUM('3.Du toan'!CM12)</f>
        <v>0</v>
      </c>
      <c r="AY38" s="950">
        <f>SUM('3.Du toan'!CN12)</f>
        <v>0</v>
      </c>
      <c r="AZ38" s="950">
        <f>SUM('3.Du toan'!CO12)</f>
        <v>0</v>
      </c>
      <c r="BA38" s="950">
        <f>SUM('3.Du toan'!CP12)</f>
        <v>0</v>
      </c>
      <c r="BB38" s="950">
        <f>SUM('3.Du toan'!CQ12)</f>
        <v>0</v>
      </c>
      <c r="BC38" s="950">
        <f>SUM('3.Du toan'!CR12)</f>
        <v>0</v>
      </c>
      <c r="BD38" s="950">
        <f>SUM('3.Du toan'!CS12)</f>
        <v>0</v>
      </c>
      <c r="BE38" s="950">
        <f>SUM('3.Du toan'!CT12)</f>
        <v>0</v>
      </c>
      <c r="BF38" s="950">
        <f>SUM('3.Du toan'!CU12)</f>
        <v>0</v>
      </c>
      <c r="BG38" s="950">
        <f>SUM('3.Du toan'!CV12)</f>
        <v>0</v>
      </c>
      <c r="BH38" s="950">
        <f>SUM('3.Du toan'!CW12)</f>
        <v>0</v>
      </c>
      <c r="BI38" s="950">
        <f>SUM('3.Du toan'!CX12)</f>
        <v>0</v>
      </c>
      <c r="BJ38" s="950">
        <f>SUM('3.Du toan'!CY12)</f>
        <v>0</v>
      </c>
      <c r="BK38" s="950">
        <f>SUM('3.Du toan'!CZ12)</f>
        <v>0</v>
      </c>
      <c r="BL38" s="950">
        <f>SUM('3.Du toan'!DA12)</f>
        <v>0</v>
      </c>
      <c r="BM38" s="950">
        <f>SUM('3.Du toan'!DB12)</f>
        <v>0</v>
      </c>
      <c r="BN38" s="950">
        <f>SUM('3.Du toan'!DC12)</f>
        <v>0</v>
      </c>
      <c r="BO38" s="950">
        <f>SUM('3.Du toan'!DD12)</f>
        <v>0</v>
      </c>
      <c r="BP38" s="950">
        <f>SUM('3.Du toan'!DE12)</f>
        <v>0</v>
      </c>
      <c r="BQ38" s="950">
        <f>SUM('3.Du toan'!DF12)</f>
        <v>0</v>
      </c>
      <c r="BR38" s="950">
        <f>SUM('3.Du toan'!DG12)</f>
        <v>0</v>
      </c>
      <c r="BS38" s="950">
        <f>SUM('3.Du toan'!DH12)</f>
        <v>0</v>
      </c>
      <c r="BT38" s="950">
        <f>SUM('3.Du toan'!DI12)</f>
        <v>0</v>
      </c>
      <c r="BU38" s="950">
        <f>SUM('3.Du toan'!DJ12)</f>
        <v>0</v>
      </c>
      <c r="BV38" s="950">
        <f>SUM('3.Du toan'!DK12)</f>
        <v>0</v>
      </c>
      <c r="BW38" s="950">
        <f>SUM('3.Du toan'!DL12)</f>
        <v>0</v>
      </c>
      <c r="BX38" s="950">
        <f>SUM('3.Du toan'!DM12)</f>
        <v>0</v>
      </c>
      <c r="BY38" s="950">
        <f>SUM('3.Du toan'!DN12)</f>
        <v>0</v>
      </c>
      <c r="BZ38" s="950">
        <f>SUM('3.Du toan'!DO12)</f>
        <v>0</v>
      </c>
      <c r="CA38" s="950">
        <f>SUM('3.Du toan'!DP12)</f>
        <v>0</v>
      </c>
      <c r="CB38" s="950">
        <f>SUM('3.Du toan'!DQ12)</f>
        <v>0</v>
      </c>
      <c r="CC38" s="950">
        <f>SUM('3.Du toan'!DR12)</f>
        <v>0</v>
      </c>
      <c r="CD38" s="950">
        <f>SUM('3.Du toan'!DS12)</f>
        <v>0</v>
      </c>
      <c r="CE38" s="950">
        <f>SUM('3.Du toan'!DT12)</f>
        <v>0</v>
      </c>
      <c r="CF38" s="950">
        <f>SUM('3.Du toan'!DU12)</f>
        <v>0</v>
      </c>
      <c r="CG38" s="950">
        <f>SUM('3.Du toan'!DV12)</f>
        <v>0</v>
      </c>
      <c r="CH38" s="950">
        <f>SUM('3.Du toan'!DW12)</f>
        <v>0</v>
      </c>
    </row>
    <row r="39" spans="1:86" s="910" customFormat="1">
      <c r="A39" s="867"/>
      <c r="B39" s="951" t="s">
        <v>463</v>
      </c>
      <c r="C39" s="952">
        <f t="shared" si="34"/>
        <v>484737.93984213157</v>
      </c>
      <c r="D39" s="1415">
        <v>0.7</v>
      </c>
      <c r="E39" s="953">
        <f>SUM('3.Du toan'!AT13)</f>
        <v>0</v>
      </c>
      <c r="F39" s="953">
        <f>SUM('3.Du toan'!AU13)</f>
        <v>0</v>
      </c>
      <c r="G39" s="953">
        <f>SUM('3.Du toan'!AV13)</f>
        <v>0</v>
      </c>
      <c r="H39" s="953">
        <f>SUM('3.Du toan'!AW13)</f>
        <v>0</v>
      </c>
      <c r="I39" s="953">
        <f>SUM('3.Du toan'!AX13)</f>
        <v>0</v>
      </c>
      <c r="J39" s="953">
        <f>SUM('3.Du toan'!AY13)</f>
        <v>0</v>
      </c>
      <c r="K39" s="953">
        <f>SUM('3.Du toan'!AZ13)</f>
        <v>484737.93984213157</v>
      </c>
      <c r="L39" s="953">
        <f>SUM('3.Du toan'!BA13)</f>
        <v>0</v>
      </c>
      <c r="M39" s="953">
        <f>SUM('3.Du toan'!BB13)</f>
        <v>0</v>
      </c>
      <c r="N39" s="953">
        <f>SUM('3.Du toan'!BC13)</f>
        <v>0</v>
      </c>
      <c r="O39" s="953">
        <f>SUM('3.Du toan'!BD13)</f>
        <v>0</v>
      </c>
      <c r="P39" s="953">
        <f>SUM('3.Du toan'!BE13)</f>
        <v>0</v>
      </c>
      <c r="Q39" s="953">
        <f>SUM('3.Du toan'!BF13)</f>
        <v>0</v>
      </c>
      <c r="R39" s="953">
        <f>SUM('3.Du toan'!BG13)</f>
        <v>0</v>
      </c>
      <c r="S39" s="953">
        <f>SUM('3.Du toan'!BH13)</f>
        <v>0</v>
      </c>
      <c r="T39" s="953">
        <f>SUM('3.Du toan'!BI13)</f>
        <v>0</v>
      </c>
      <c r="U39" s="953">
        <f>SUM('3.Du toan'!BJ13)</f>
        <v>0</v>
      </c>
      <c r="V39" s="953">
        <f>SUM('3.Du toan'!BK13)</f>
        <v>0</v>
      </c>
      <c r="W39" s="953">
        <f>SUM('3.Du toan'!BL13)</f>
        <v>0</v>
      </c>
      <c r="X39" s="953">
        <f>SUM('3.Du toan'!BM13)</f>
        <v>0</v>
      </c>
      <c r="Y39" s="953">
        <f>SUM('3.Du toan'!BN13)</f>
        <v>0</v>
      </c>
      <c r="Z39" s="953">
        <f>SUM('3.Du toan'!BO13)</f>
        <v>0</v>
      </c>
      <c r="AA39" s="953">
        <f>SUM('3.Du toan'!BP13)</f>
        <v>0</v>
      </c>
      <c r="AB39" s="953">
        <f>SUM('3.Du toan'!BQ13)</f>
        <v>0</v>
      </c>
      <c r="AC39" s="953">
        <f>SUM('3.Du toan'!BR13)</f>
        <v>0</v>
      </c>
      <c r="AD39" s="953">
        <f>SUM('3.Du toan'!BS13)</f>
        <v>0</v>
      </c>
      <c r="AE39" s="953">
        <f>SUM('3.Du toan'!BT13)</f>
        <v>0</v>
      </c>
      <c r="AF39" s="953">
        <f>SUM('3.Du toan'!BU13)</f>
        <v>0</v>
      </c>
      <c r="AG39" s="953">
        <f>SUM('3.Du toan'!BV13)</f>
        <v>0</v>
      </c>
      <c r="AH39" s="953">
        <f>SUM('3.Du toan'!BW13)</f>
        <v>0</v>
      </c>
      <c r="AI39" s="953">
        <f>SUM('3.Du toan'!BX13)</f>
        <v>0</v>
      </c>
      <c r="AJ39" s="953">
        <f>SUM('3.Du toan'!BY13)</f>
        <v>0</v>
      </c>
      <c r="AK39" s="953">
        <f>SUM('3.Du toan'!BZ13)</f>
        <v>0</v>
      </c>
      <c r="AL39" s="953">
        <f>SUM('3.Du toan'!CA13)</f>
        <v>0</v>
      </c>
      <c r="AM39" s="953">
        <f>SUM('3.Du toan'!CB13)</f>
        <v>0</v>
      </c>
      <c r="AN39" s="953">
        <f>SUM('3.Du toan'!CC13)</f>
        <v>0</v>
      </c>
      <c r="AO39" s="953">
        <f>SUM('3.Du toan'!CD13)</f>
        <v>0</v>
      </c>
      <c r="AP39" s="953">
        <f>SUM('3.Du toan'!CE13)</f>
        <v>0</v>
      </c>
      <c r="AQ39" s="953">
        <f>SUM('3.Du toan'!CF13)</f>
        <v>0</v>
      </c>
      <c r="AR39" s="953">
        <f>SUM('3.Du toan'!CG13)</f>
        <v>0</v>
      </c>
      <c r="AS39" s="953">
        <f>SUM('3.Du toan'!CH13)</f>
        <v>0</v>
      </c>
      <c r="AT39" s="953">
        <f>SUM('3.Du toan'!CI13)</f>
        <v>0</v>
      </c>
      <c r="AU39" s="953">
        <f>SUM('3.Du toan'!CJ13)</f>
        <v>0</v>
      </c>
      <c r="AV39" s="953">
        <f>SUM('3.Du toan'!CK13)</f>
        <v>0</v>
      </c>
      <c r="AW39" s="953">
        <f>SUM('3.Du toan'!CL13)</f>
        <v>0</v>
      </c>
      <c r="AX39" s="953">
        <f>SUM('3.Du toan'!CM13)</f>
        <v>0</v>
      </c>
      <c r="AY39" s="953">
        <f>SUM('3.Du toan'!CN13)</f>
        <v>0</v>
      </c>
      <c r="AZ39" s="953">
        <f>SUM('3.Du toan'!CO13)</f>
        <v>0</v>
      </c>
      <c r="BA39" s="953">
        <f>SUM('3.Du toan'!CP13)</f>
        <v>0</v>
      </c>
      <c r="BB39" s="953">
        <f>SUM('3.Du toan'!CQ13)</f>
        <v>0</v>
      </c>
      <c r="BC39" s="953">
        <f>SUM('3.Du toan'!CR13)</f>
        <v>0</v>
      </c>
      <c r="BD39" s="953">
        <f>SUM('3.Du toan'!CS13)</f>
        <v>0</v>
      </c>
      <c r="BE39" s="953">
        <f>SUM('3.Du toan'!CT13)</f>
        <v>0</v>
      </c>
      <c r="BF39" s="953">
        <f>SUM('3.Du toan'!CU13)</f>
        <v>0</v>
      </c>
      <c r="BG39" s="953">
        <f>SUM('3.Du toan'!CV13)</f>
        <v>0</v>
      </c>
      <c r="BH39" s="953">
        <f>SUM('3.Du toan'!CW13)</f>
        <v>0</v>
      </c>
      <c r="BI39" s="953">
        <f>SUM('3.Du toan'!CX13)</f>
        <v>0</v>
      </c>
      <c r="BJ39" s="953">
        <f>SUM('3.Du toan'!CY13)</f>
        <v>0</v>
      </c>
      <c r="BK39" s="953">
        <f>SUM('3.Du toan'!CZ13)</f>
        <v>0</v>
      </c>
      <c r="BL39" s="953">
        <f>SUM('3.Du toan'!DA13)</f>
        <v>0</v>
      </c>
      <c r="BM39" s="953">
        <f>SUM('3.Du toan'!DB13)</f>
        <v>0</v>
      </c>
      <c r="BN39" s="953">
        <f>SUM('3.Du toan'!DC13)</f>
        <v>0</v>
      </c>
      <c r="BO39" s="953">
        <f>SUM('3.Du toan'!DD13)</f>
        <v>0</v>
      </c>
      <c r="BP39" s="953">
        <f>SUM('3.Du toan'!DE13)</f>
        <v>0</v>
      </c>
      <c r="BQ39" s="953">
        <f>SUM('3.Du toan'!DF13)</f>
        <v>0</v>
      </c>
      <c r="BR39" s="953">
        <f>SUM('3.Du toan'!DG13)</f>
        <v>0</v>
      </c>
      <c r="BS39" s="953">
        <f>SUM('3.Du toan'!DH13)</f>
        <v>0</v>
      </c>
      <c r="BT39" s="953">
        <f>SUM('3.Du toan'!DI13)</f>
        <v>0</v>
      </c>
      <c r="BU39" s="953">
        <f>SUM('3.Du toan'!DJ13)</f>
        <v>0</v>
      </c>
      <c r="BV39" s="953">
        <f>SUM('3.Du toan'!DK13)</f>
        <v>0</v>
      </c>
      <c r="BW39" s="953">
        <f>SUM('3.Du toan'!DL13)</f>
        <v>0</v>
      </c>
      <c r="BX39" s="953">
        <f>SUM('3.Du toan'!DM13)</f>
        <v>0</v>
      </c>
      <c r="BY39" s="953">
        <f>SUM('3.Du toan'!DN13)</f>
        <v>0</v>
      </c>
      <c r="BZ39" s="953">
        <f>SUM('3.Du toan'!DO13)</f>
        <v>0</v>
      </c>
      <c r="CA39" s="953">
        <f>SUM('3.Du toan'!DP13)</f>
        <v>0</v>
      </c>
      <c r="CB39" s="953">
        <f>SUM('3.Du toan'!DQ13)</f>
        <v>0</v>
      </c>
      <c r="CC39" s="953">
        <f>SUM('3.Du toan'!DR13)</f>
        <v>0</v>
      </c>
      <c r="CD39" s="953">
        <f>SUM('3.Du toan'!DS13)</f>
        <v>0</v>
      </c>
      <c r="CE39" s="953">
        <f>SUM('3.Du toan'!DT13)</f>
        <v>0</v>
      </c>
      <c r="CF39" s="953">
        <f>SUM('3.Du toan'!DU13)</f>
        <v>0</v>
      </c>
      <c r="CG39" s="953">
        <f>SUM('3.Du toan'!DV13)</f>
        <v>0</v>
      </c>
      <c r="CH39" s="953">
        <f>SUM('3.Du toan'!DW13)</f>
        <v>0</v>
      </c>
    </row>
    <row r="40" spans="1:86" s="910" customFormat="1">
      <c r="A40" s="867"/>
      <c r="B40" s="951" t="s">
        <v>101</v>
      </c>
      <c r="C40" s="952">
        <f t="shared" si="34"/>
        <v>85268.905874166172</v>
      </c>
      <c r="D40" s="1415">
        <v>0</v>
      </c>
      <c r="E40" s="953">
        <f>SUM('3.Du toan'!AT15)</f>
        <v>0</v>
      </c>
      <c r="F40" s="953">
        <f>SUM('3.Du toan'!AU15)</f>
        <v>0</v>
      </c>
      <c r="G40" s="953">
        <f>SUM('3.Du toan'!AV15)</f>
        <v>0</v>
      </c>
      <c r="H40" s="953">
        <f>SUM('3.Du toan'!AW15)</f>
        <v>0</v>
      </c>
      <c r="I40" s="953">
        <f>SUM('3.Du toan'!AX15)</f>
        <v>4263.4452937083088</v>
      </c>
      <c r="J40" s="953">
        <f>SUM('3.Du toan'!AY15)</f>
        <v>4263.4452937083088</v>
      </c>
      <c r="K40" s="953">
        <f>SUM('3.Du toan'!AZ15)</f>
        <v>4263.4452937083088</v>
      </c>
      <c r="L40" s="953">
        <f>SUM('3.Du toan'!BA15)</f>
        <v>8526.8905874166176</v>
      </c>
      <c r="M40" s="953">
        <f>SUM('3.Du toan'!BB15)</f>
        <v>0</v>
      </c>
      <c r="N40" s="953">
        <f>SUM('3.Du toan'!BC15)</f>
        <v>0</v>
      </c>
      <c r="O40" s="953">
        <f>SUM('3.Du toan'!BD15)</f>
        <v>17053.781174833235</v>
      </c>
      <c r="P40" s="953">
        <f>SUM('3.Du toan'!BE15)</f>
        <v>0</v>
      </c>
      <c r="Q40" s="953">
        <f>SUM('3.Du toan'!BF15)</f>
        <v>0</v>
      </c>
      <c r="R40" s="953">
        <f>SUM('3.Du toan'!BG15)</f>
        <v>4263.4452937083088</v>
      </c>
      <c r="S40" s="953">
        <f>SUM('3.Du toan'!BH15)</f>
        <v>0</v>
      </c>
      <c r="T40" s="953">
        <f>SUM('3.Du toan'!BI15)</f>
        <v>0</v>
      </c>
      <c r="U40" s="953">
        <f>SUM('3.Du toan'!BJ15)</f>
        <v>4263.4452937083088</v>
      </c>
      <c r="V40" s="953">
        <f>SUM('3.Du toan'!BK15)</f>
        <v>21317.226468541543</v>
      </c>
      <c r="W40" s="953">
        <f>SUM('3.Du toan'!BL15)</f>
        <v>0</v>
      </c>
      <c r="X40" s="953">
        <f>SUM('3.Du toan'!BM15)</f>
        <v>0</v>
      </c>
      <c r="Y40" s="953">
        <f>SUM('3.Du toan'!BN15)</f>
        <v>17053.781174833235</v>
      </c>
      <c r="Z40" s="953">
        <f>SUM('3.Du toan'!BO15)</f>
        <v>0</v>
      </c>
      <c r="AA40" s="953">
        <f>SUM('3.Du toan'!BP15)</f>
        <v>0</v>
      </c>
      <c r="AB40" s="953">
        <f>SUM('3.Du toan'!BQ15)</f>
        <v>0</v>
      </c>
      <c r="AC40" s="953">
        <f>SUM('3.Du toan'!BR15)</f>
        <v>0</v>
      </c>
      <c r="AD40" s="953">
        <f>SUM('3.Du toan'!BS15)</f>
        <v>0</v>
      </c>
      <c r="AE40" s="953">
        <f>SUM('3.Du toan'!BT15)</f>
        <v>0</v>
      </c>
      <c r="AF40" s="953">
        <f>SUM('3.Du toan'!BU15)</f>
        <v>0</v>
      </c>
      <c r="AG40" s="953">
        <f>SUM('3.Du toan'!BV15)</f>
        <v>0</v>
      </c>
      <c r="AH40" s="953">
        <f>SUM('3.Du toan'!BW15)</f>
        <v>0</v>
      </c>
      <c r="AI40" s="953">
        <f>SUM('3.Du toan'!BX15)</f>
        <v>0</v>
      </c>
      <c r="AJ40" s="953">
        <f>SUM('3.Du toan'!BY15)</f>
        <v>0</v>
      </c>
      <c r="AK40" s="953">
        <f>SUM('3.Du toan'!BZ15)</f>
        <v>0</v>
      </c>
      <c r="AL40" s="953">
        <f>SUM('3.Du toan'!CA15)</f>
        <v>0</v>
      </c>
      <c r="AM40" s="953">
        <f>SUM('3.Du toan'!CB15)</f>
        <v>0</v>
      </c>
      <c r="AN40" s="953">
        <f>SUM('3.Du toan'!CC15)</f>
        <v>0</v>
      </c>
      <c r="AO40" s="953">
        <f>SUM('3.Du toan'!CD15)</f>
        <v>0</v>
      </c>
      <c r="AP40" s="953">
        <f>SUM('3.Du toan'!CE15)</f>
        <v>0</v>
      </c>
      <c r="AQ40" s="953">
        <f>SUM('3.Du toan'!CF15)</f>
        <v>0</v>
      </c>
      <c r="AR40" s="953">
        <f>SUM('3.Du toan'!CG15)</f>
        <v>0</v>
      </c>
      <c r="AS40" s="953">
        <f>SUM('3.Du toan'!CH15)</f>
        <v>0</v>
      </c>
      <c r="AT40" s="953">
        <f>SUM('3.Du toan'!CI15)</f>
        <v>0</v>
      </c>
      <c r="AU40" s="953">
        <f>SUM('3.Du toan'!CJ15)</f>
        <v>0</v>
      </c>
      <c r="AV40" s="953">
        <f>SUM('3.Du toan'!CK15)</f>
        <v>0</v>
      </c>
      <c r="AW40" s="953">
        <f>SUM('3.Du toan'!CL15)</f>
        <v>0</v>
      </c>
      <c r="AX40" s="953">
        <f>SUM('3.Du toan'!CM15)</f>
        <v>0</v>
      </c>
      <c r="AY40" s="953">
        <f>SUM('3.Du toan'!CN15)</f>
        <v>0</v>
      </c>
      <c r="AZ40" s="953">
        <f>SUM('3.Du toan'!CO15)</f>
        <v>0</v>
      </c>
      <c r="BA40" s="953">
        <f>SUM('3.Du toan'!CP15)</f>
        <v>0</v>
      </c>
      <c r="BB40" s="953">
        <f>SUM('3.Du toan'!CQ15)</f>
        <v>0</v>
      </c>
      <c r="BC40" s="953">
        <f>SUM('3.Du toan'!CR15)</f>
        <v>0</v>
      </c>
      <c r="BD40" s="953">
        <f>SUM('3.Du toan'!CS15)</f>
        <v>0</v>
      </c>
      <c r="BE40" s="953">
        <f>SUM('3.Du toan'!CT15)</f>
        <v>0</v>
      </c>
      <c r="BF40" s="953">
        <f>SUM('3.Du toan'!CU15)</f>
        <v>0</v>
      </c>
      <c r="BG40" s="953">
        <f>SUM('3.Du toan'!CV15)</f>
        <v>0</v>
      </c>
      <c r="BH40" s="953">
        <f>SUM('3.Du toan'!CW15)</f>
        <v>0</v>
      </c>
      <c r="BI40" s="953">
        <f>SUM('3.Du toan'!CX15)</f>
        <v>0</v>
      </c>
      <c r="BJ40" s="953">
        <f>SUM('3.Du toan'!CY15)</f>
        <v>0</v>
      </c>
      <c r="BK40" s="953">
        <f>SUM('3.Du toan'!CZ15)</f>
        <v>0</v>
      </c>
      <c r="BL40" s="953">
        <f>SUM('3.Du toan'!DA15)</f>
        <v>0</v>
      </c>
      <c r="BM40" s="953">
        <f>SUM('3.Du toan'!DB15)</f>
        <v>0</v>
      </c>
      <c r="BN40" s="953">
        <f>SUM('3.Du toan'!DC15)</f>
        <v>0</v>
      </c>
      <c r="BO40" s="953">
        <f>SUM('3.Du toan'!DD15)</f>
        <v>0</v>
      </c>
      <c r="BP40" s="953">
        <f>SUM('3.Du toan'!DE15)</f>
        <v>0</v>
      </c>
      <c r="BQ40" s="953">
        <f>SUM('3.Du toan'!DF15)</f>
        <v>0</v>
      </c>
      <c r="BR40" s="953">
        <f>SUM('3.Du toan'!DG15)</f>
        <v>0</v>
      </c>
      <c r="BS40" s="953">
        <f>SUM('3.Du toan'!DH15)</f>
        <v>0</v>
      </c>
      <c r="BT40" s="953">
        <f>SUM('3.Du toan'!DI15)</f>
        <v>0</v>
      </c>
      <c r="BU40" s="953">
        <f>SUM('3.Du toan'!DJ15)</f>
        <v>0</v>
      </c>
      <c r="BV40" s="953">
        <f>SUM('3.Du toan'!DK15)</f>
        <v>0</v>
      </c>
      <c r="BW40" s="953">
        <f>SUM('3.Du toan'!DL15)</f>
        <v>0</v>
      </c>
      <c r="BX40" s="953">
        <f>SUM('3.Du toan'!DM15)</f>
        <v>0</v>
      </c>
      <c r="BY40" s="953">
        <f>SUM('3.Du toan'!DN15)</f>
        <v>0</v>
      </c>
      <c r="BZ40" s="953">
        <f>SUM('3.Du toan'!DO15)</f>
        <v>0</v>
      </c>
      <c r="CA40" s="953">
        <f>SUM('3.Du toan'!DP15)</f>
        <v>0</v>
      </c>
      <c r="CB40" s="953">
        <f>SUM('3.Du toan'!DQ15)</f>
        <v>0</v>
      </c>
      <c r="CC40" s="953">
        <f>SUM('3.Du toan'!DR15)</f>
        <v>0</v>
      </c>
      <c r="CD40" s="953">
        <f>SUM('3.Du toan'!DS15)</f>
        <v>0</v>
      </c>
      <c r="CE40" s="953">
        <f>SUM('3.Du toan'!DT15)</f>
        <v>0</v>
      </c>
      <c r="CF40" s="953">
        <f>SUM('3.Du toan'!DU15)</f>
        <v>0</v>
      </c>
      <c r="CG40" s="953">
        <f>SUM('3.Du toan'!DV15)</f>
        <v>0</v>
      </c>
      <c r="CH40" s="953">
        <f>SUM('3.Du toan'!DW15)</f>
        <v>0</v>
      </c>
    </row>
    <row r="41" spans="1:86" s="910" customFormat="1">
      <c r="A41" s="867"/>
      <c r="B41" s="951" t="s">
        <v>105</v>
      </c>
      <c r="C41" s="952">
        <f t="shared" si="34"/>
        <v>2406018.295124515</v>
      </c>
      <c r="D41" s="1415">
        <v>0.7</v>
      </c>
      <c r="E41" s="953">
        <f>+SUM('3.Du toan'!AT21:AT27)</f>
        <v>0</v>
      </c>
      <c r="F41" s="953">
        <f>+'3.Du toan'!AU16</f>
        <v>0</v>
      </c>
      <c r="G41" s="953">
        <f>+'3.Du toan'!AV16</f>
        <v>0</v>
      </c>
      <c r="H41" s="953">
        <f>+'3.Du toan'!AW16</f>
        <v>0</v>
      </c>
      <c r="I41" s="953">
        <f>+'3.Du toan'!AX16</f>
        <v>0</v>
      </c>
      <c r="J41" s="953">
        <f>+'3.Du toan'!AY16</f>
        <v>0</v>
      </c>
      <c r="K41" s="953">
        <f>+'3.Du toan'!AZ16</f>
        <v>0</v>
      </c>
      <c r="L41" s="953">
        <f>+'3.Du toan'!BA16</f>
        <v>1429.2072086691178</v>
      </c>
      <c r="M41" s="953">
        <f>+'3.Du toan'!BB16</f>
        <v>49227.630170544988</v>
      </c>
      <c r="N41" s="953">
        <f>+'3.Du toan'!BC16</f>
        <v>268023.99186574854</v>
      </c>
      <c r="O41" s="953">
        <f>+'3.Du toan'!BD16</f>
        <v>243806.38773949919</v>
      </c>
      <c r="P41" s="953">
        <f>+'3.Du toan'!BE16</f>
        <v>160213.02798439414</v>
      </c>
      <c r="Q41" s="953">
        <f>+'3.Du toan'!BF16</f>
        <v>160213.02798439414</v>
      </c>
      <c r="R41" s="953">
        <f>+'3.Du toan'!BG16</f>
        <v>189178.29408008826</v>
      </c>
      <c r="S41" s="953">
        <f>+'3.Du toan'!BH16</f>
        <v>357587.64360901335</v>
      </c>
      <c r="T41" s="953">
        <f>+'3.Du toan'!BI16</f>
        <v>386552.90970470745</v>
      </c>
      <c r="U41" s="953">
        <f>+'3.Du toan'!BJ16</f>
        <v>323858.3534844222</v>
      </c>
      <c r="V41" s="953">
        <f>+'3.Du toan'!BK16</f>
        <v>265927.82129303389</v>
      </c>
      <c r="W41" s="953">
        <f>+'3.Du toan'!BL16</f>
        <v>0</v>
      </c>
      <c r="X41" s="953">
        <f>+'3.Du toan'!BM16</f>
        <v>0</v>
      </c>
      <c r="Y41" s="953">
        <f>+'3.Du toan'!BN16</f>
        <v>0</v>
      </c>
      <c r="Z41" s="953">
        <f>+'3.Du toan'!BO16</f>
        <v>0</v>
      </c>
      <c r="AA41" s="953">
        <f>+'3.Du toan'!BP16</f>
        <v>0</v>
      </c>
      <c r="AB41" s="953">
        <f>+'3.Du toan'!BQ16</f>
        <v>0</v>
      </c>
      <c r="AC41" s="953">
        <f>+'3.Du toan'!BR16</f>
        <v>0</v>
      </c>
      <c r="AD41" s="953">
        <f>+'3.Du toan'!BS16</f>
        <v>0</v>
      </c>
      <c r="AE41" s="953">
        <f>+'3.Du toan'!BT16</f>
        <v>0</v>
      </c>
      <c r="AF41" s="953">
        <f>+'3.Du toan'!BU16</f>
        <v>0</v>
      </c>
      <c r="AG41" s="953">
        <f>+'3.Du toan'!BV16</f>
        <v>0</v>
      </c>
      <c r="AH41" s="953">
        <f>+'3.Du toan'!BW16</f>
        <v>0</v>
      </c>
      <c r="AI41" s="953">
        <f>+'3.Du toan'!BX16</f>
        <v>0</v>
      </c>
      <c r="AJ41" s="953">
        <f>+'3.Du toan'!BY16</f>
        <v>0</v>
      </c>
      <c r="AK41" s="953">
        <f>+'3.Du toan'!BZ16</f>
        <v>0</v>
      </c>
      <c r="AL41" s="953">
        <f>+'3.Du toan'!CA16</f>
        <v>0</v>
      </c>
      <c r="AM41" s="953">
        <f>+'3.Du toan'!CB16</f>
        <v>0</v>
      </c>
      <c r="AN41" s="953">
        <f>+'3.Du toan'!CC16</f>
        <v>0</v>
      </c>
      <c r="AO41" s="953">
        <f>+'3.Du toan'!CD16</f>
        <v>0</v>
      </c>
      <c r="AP41" s="953">
        <f>+'3.Du toan'!CE16</f>
        <v>0</v>
      </c>
      <c r="AQ41" s="953">
        <f>+'3.Du toan'!CF16</f>
        <v>0</v>
      </c>
      <c r="AR41" s="953">
        <f>+'3.Du toan'!CG16</f>
        <v>0</v>
      </c>
      <c r="AS41" s="953">
        <f>+'3.Du toan'!CH16</f>
        <v>0</v>
      </c>
      <c r="AT41" s="953">
        <f>+'3.Du toan'!CI16</f>
        <v>0</v>
      </c>
      <c r="AU41" s="953">
        <f>+'3.Du toan'!CJ16</f>
        <v>0</v>
      </c>
      <c r="AV41" s="953">
        <f>+'3.Du toan'!CK16</f>
        <v>0</v>
      </c>
      <c r="AW41" s="953">
        <f>+'3.Du toan'!CL16</f>
        <v>0</v>
      </c>
      <c r="AX41" s="953">
        <f>+'3.Du toan'!CM16</f>
        <v>0</v>
      </c>
      <c r="AY41" s="953">
        <f>+'3.Du toan'!CN16</f>
        <v>0</v>
      </c>
      <c r="AZ41" s="953">
        <f>+'3.Du toan'!CO16</f>
        <v>0</v>
      </c>
      <c r="BA41" s="953">
        <f>+'3.Du toan'!CP16</f>
        <v>0</v>
      </c>
      <c r="BB41" s="953">
        <f>+'3.Du toan'!CQ16</f>
        <v>0</v>
      </c>
      <c r="BC41" s="953">
        <f>+'3.Du toan'!CR16</f>
        <v>0</v>
      </c>
      <c r="BD41" s="953">
        <f>+'3.Du toan'!CS16</f>
        <v>0</v>
      </c>
      <c r="BE41" s="953">
        <f>+'3.Du toan'!CT16</f>
        <v>0</v>
      </c>
      <c r="BF41" s="953">
        <f>+'3.Du toan'!CU16</f>
        <v>0</v>
      </c>
      <c r="BG41" s="953">
        <f>+'3.Du toan'!CV16</f>
        <v>0</v>
      </c>
      <c r="BH41" s="953">
        <f>+'3.Du toan'!CW16</f>
        <v>0</v>
      </c>
      <c r="BI41" s="953">
        <f>+'3.Du toan'!CX16</f>
        <v>0</v>
      </c>
      <c r="BJ41" s="953">
        <f>+'3.Du toan'!CY16</f>
        <v>0</v>
      </c>
      <c r="BK41" s="953">
        <f>+'3.Du toan'!CZ16</f>
        <v>0</v>
      </c>
      <c r="BL41" s="953">
        <f>+'3.Du toan'!DA16</f>
        <v>0</v>
      </c>
      <c r="BM41" s="953">
        <f>+'3.Du toan'!DB16</f>
        <v>0</v>
      </c>
      <c r="BN41" s="953">
        <f>+'3.Du toan'!DC16</f>
        <v>0</v>
      </c>
      <c r="BO41" s="953">
        <f>+'3.Du toan'!DD16</f>
        <v>0</v>
      </c>
      <c r="BP41" s="953">
        <f>+'3.Du toan'!DE16</f>
        <v>0</v>
      </c>
      <c r="BQ41" s="953">
        <f>+'3.Du toan'!DF16</f>
        <v>0</v>
      </c>
      <c r="BR41" s="953">
        <f>+'3.Du toan'!DG16</f>
        <v>0</v>
      </c>
      <c r="BS41" s="953">
        <f>+'3.Du toan'!DH16</f>
        <v>0</v>
      </c>
      <c r="BT41" s="953">
        <f>+'3.Du toan'!DI16</f>
        <v>0</v>
      </c>
      <c r="BU41" s="953">
        <f>+'3.Du toan'!DJ16</f>
        <v>0</v>
      </c>
      <c r="BV41" s="953">
        <f>+'3.Du toan'!DK16</f>
        <v>0</v>
      </c>
      <c r="BW41" s="953">
        <f>+'3.Du toan'!DL16</f>
        <v>0</v>
      </c>
      <c r="BX41" s="953">
        <f>+'3.Du toan'!DM16</f>
        <v>0</v>
      </c>
      <c r="BY41" s="953">
        <f>+'3.Du toan'!DN16</f>
        <v>0</v>
      </c>
      <c r="BZ41" s="953">
        <f>+'3.Du toan'!DO16</f>
        <v>0</v>
      </c>
      <c r="CA41" s="953">
        <f>+'3.Du toan'!DP16</f>
        <v>0</v>
      </c>
      <c r="CB41" s="953">
        <f>+'3.Du toan'!DQ16</f>
        <v>0</v>
      </c>
      <c r="CC41" s="953">
        <f>+'3.Du toan'!DR16</f>
        <v>0</v>
      </c>
      <c r="CD41" s="953">
        <f>+'3.Du toan'!DS16</f>
        <v>0</v>
      </c>
      <c r="CE41" s="953">
        <f>+'3.Du toan'!DT16</f>
        <v>0</v>
      </c>
      <c r="CF41" s="953">
        <f>+'3.Du toan'!DU16</f>
        <v>0</v>
      </c>
      <c r="CG41" s="953">
        <f>+'3.Du toan'!DV16</f>
        <v>0</v>
      </c>
      <c r="CH41" s="953">
        <f>+'3.Du toan'!DW16</f>
        <v>0</v>
      </c>
    </row>
    <row r="42" spans="1:86" s="910" customFormat="1">
      <c r="A42" s="867"/>
      <c r="B42" s="954" t="s">
        <v>109</v>
      </c>
      <c r="C42" s="955">
        <f t="shared" si="34"/>
        <v>0</v>
      </c>
      <c r="D42" s="1416">
        <v>0.7</v>
      </c>
      <c r="E42" s="956">
        <f>+SUM('3.Du toan'!AT28:AT32)</f>
        <v>0</v>
      </c>
      <c r="F42" s="956"/>
      <c r="G42" s="956"/>
      <c r="H42" s="956"/>
      <c r="I42" s="956"/>
      <c r="J42" s="956"/>
      <c r="K42" s="956"/>
      <c r="L42" s="956"/>
      <c r="M42" s="956"/>
      <c r="N42" s="956"/>
      <c r="O42" s="956"/>
      <c r="P42" s="956"/>
      <c r="Q42" s="956"/>
      <c r="R42" s="956"/>
      <c r="S42" s="956"/>
      <c r="T42" s="956"/>
      <c r="U42" s="956"/>
      <c r="V42" s="956"/>
      <c r="W42" s="956"/>
      <c r="X42" s="956"/>
      <c r="Y42" s="956"/>
      <c r="Z42" s="956"/>
      <c r="AA42" s="956"/>
      <c r="AB42" s="956"/>
      <c r="AC42" s="956"/>
      <c r="AD42" s="956"/>
      <c r="AE42" s="956"/>
      <c r="AF42" s="956"/>
      <c r="AG42" s="956"/>
      <c r="AH42" s="956"/>
      <c r="AI42" s="956"/>
      <c r="AJ42" s="956"/>
      <c r="AK42" s="956"/>
      <c r="AL42" s="956"/>
      <c r="AM42" s="956"/>
      <c r="AN42" s="956"/>
      <c r="AO42" s="956"/>
      <c r="AP42" s="956"/>
      <c r="AQ42" s="956"/>
      <c r="AR42" s="956"/>
      <c r="AS42" s="956"/>
      <c r="AT42" s="956"/>
      <c r="AU42" s="956"/>
      <c r="AV42" s="956"/>
      <c r="AW42" s="956"/>
      <c r="AX42" s="956"/>
      <c r="AY42" s="956"/>
      <c r="AZ42" s="956"/>
      <c r="BA42" s="956"/>
      <c r="BB42" s="956"/>
      <c r="BC42" s="956"/>
      <c r="BD42" s="956"/>
      <c r="BE42" s="956"/>
      <c r="BF42" s="956"/>
      <c r="BG42" s="956"/>
      <c r="BH42" s="956"/>
      <c r="BI42" s="956"/>
      <c r="BJ42" s="956"/>
      <c r="BK42" s="956"/>
      <c r="BL42" s="956"/>
      <c r="BM42" s="956"/>
      <c r="BN42" s="956"/>
      <c r="BO42" s="956"/>
      <c r="BP42" s="956"/>
      <c r="BQ42" s="956"/>
      <c r="BR42" s="956"/>
      <c r="BS42" s="956"/>
      <c r="BT42" s="956"/>
      <c r="BU42" s="956"/>
      <c r="BV42" s="956"/>
      <c r="BW42" s="956"/>
      <c r="BX42" s="956"/>
      <c r="BY42" s="956"/>
      <c r="BZ42" s="956"/>
      <c r="CA42" s="956"/>
      <c r="CB42" s="956"/>
      <c r="CC42" s="956"/>
      <c r="CD42" s="956"/>
      <c r="CE42" s="956"/>
      <c r="CF42" s="956"/>
      <c r="CG42" s="956"/>
      <c r="CH42" s="956"/>
    </row>
    <row r="43" spans="1:86" s="908" customFormat="1">
      <c r="A43" s="865"/>
      <c r="B43" s="974" t="s">
        <v>594</v>
      </c>
      <c r="C43" s="975">
        <f>C37-SUM(C38:C42)</f>
        <v>108747.29303976428</v>
      </c>
      <c r="D43" s="975"/>
      <c r="E43" s="975">
        <f t="shared" ref="E43:AJ43" si="38">E37-SUM(E38:E42)</f>
        <v>0</v>
      </c>
      <c r="F43" s="975">
        <f t="shared" si="38"/>
        <v>0</v>
      </c>
      <c r="G43" s="975">
        <f t="shared" si="38"/>
        <v>0</v>
      </c>
      <c r="H43" s="975">
        <f t="shared" si="38"/>
        <v>0</v>
      </c>
      <c r="I43" s="975">
        <f t="shared" si="38"/>
        <v>0</v>
      </c>
      <c r="J43" s="975">
        <f t="shared" si="38"/>
        <v>0</v>
      </c>
      <c r="K43" s="975">
        <f t="shared" si="38"/>
        <v>0</v>
      </c>
      <c r="L43" s="975">
        <f t="shared" si="38"/>
        <v>10179.496736684763</v>
      </c>
      <c r="M43" s="975">
        <f t="shared" si="38"/>
        <v>10209.510088066818</v>
      </c>
      <c r="N43" s="975">
        <f t="shared" si="38"/>
        <v>11243.290321648237</v>
      </c>
      <c r="O43" s="975">
        <f t="shared" si="38"/>
        <v>16871.794150828995</v>
      </c>
      <c r="P43" s="975">
        <f t="shared" si="38"/>
        <v>18899.441970172105</v>
      </c>
      <c r="Q43" s="975">
        <f t="shared" si="38"/>
        <v>17265.296463035949</v>
      </c>
      <c r="R43" s="975">
        <f t="shared" si="38"/>
        <v>18036.359140024928</v>
      </c>
      <c r="S43" s="975">
        <f t="shared" si="38"/>
        <v>6042.1041693019215</v>
      </c>
      <c r="T43" s="975">
        <f t="shared" si="38"/>
        <v>0</v>
      </c>
      <c r="U43" s="975">
        <f t="shared" si="38"/>
        <v>0</v>
      </c>
      <c r="V43" s="975">
        <f t="shared" si="38"/>
        <v>0</v>
      </c>
      <c r="W43" s="975">
        <f t="shared" si="38"/>
        <v>0</v>
      </c>
      <c r="X43" s="975">
        <f t="shared" si="38"/>
        <v>0</v>
      </c>
      <c r="Y43" s="975">
        <f t="shared" si="38"/>
        <v>0</v>
      </c>
      <c r="Z43" s="975">
        <f t="shared" si="38"/>
        <v>0</v>
      </c>
      <c r="AA43" s="975">
        <f t="shared" si="38"/>
        <v>0</v>
      </c>
      <c r="AB43" s="975">
        <f t="shared" si="38"/>
        <v>0</v>
      </c>
      <c r="AC43" s="975">
        <f t="shared" si="38"/>
        <v>0</v>
      </c>
      <c r="AD43" s="975">
        <f t="shared" si="38"/>
        <v>0</v>
      </c>
      <c r="AE43" s="975">
        <f t="shared" si="38"/>
        <v>0</v>
      </c>
      <c r="AF43" s="975">
        <f t="shared" si="38"/>
        <v>0</v>
      </c>
      <c r="AG43" s="975">
        <f t="shared" si="38"/>
        <v>0</v>
      </c>
      <c r="AH43" s="975">
        <f t="shared" si="38"/>
        <v>0</v>
      </c>
      <c r="AI43" s="975">
        <f t="shared" si="38"/>
        <v>0</v>
      </c>
      <c r="AJ43" s="975">
        <f t="shared" si="38"/>
        <v>0</v>
      </c>
      <c r="AK43" s="975">
        <f t="shared" ref="AK43:BP43" si="39">AK37-SUM(AK38:AK42)</f>
        <v>0</v>
      </c>
      <c r="AL43" s="975">
        <f t="shared" si="39"/>
        <v>0</v>
      </c>
      <c r="AM43" s="975">
        <f t="shared" si="39"/>
        <v>0</v>
      </c>
      <c r="AN43" s="975">
        <f t="shared" si="39"/>
        <v>0</v>
      </c>
      <c r="AO43" s="975">
        <f t="shared" si="39"/>
        <v>0</v>
      </c>
      <c r="AP43" s="975">
        <f t="shared" si="39"/>
        <v>0</v>
      </c>
      <c r="AQ43" s="975">
        <f t="shared" si="39"/>
        <v>0</v>
      </c>
      <c r="AR43" s="975">
        <f t="shared" si="39"/>
        <v>0</v>
      </c>
      <c r="AS43" s="975">
        <f t="shared" si="39"/>
        <v>0</v>
      </c>
      <c r="AT43" s="975">
        <f t="shared" si="39"/>
        <v>0</v>
      </c>
      <c r="AU43" s="975">
        <f t="shared" si="39"/>
        <v>0</v>
      </c>
      <c r="AV43" s="975">
        <f t="shared" si="39"/>
        <v>0</v>
      </c>
      <c r="AW43" s="975">
        <f t="shared" si="39"/>
        <v>0</v>
      </c>
      <c r="AX43" s="975">
        <f t="shared" si="39"/>
        <v>0</v>
      </c>
      <c r="AY43" s="975">
        <f t="shared" si="39"/>
        <v>0</v>
      </c>
      <c r="AZ43" s="975">
        <f t="shared" si="39"/>
        <v>0</v>
      </c>
      <c r="BA43" s="975">
        <f t="shared" si="39"/>
        <v>0</v>
      </c>
      <c r="BB43" s="975">
        <f t="shared" si="39"/>
        <v>0</v>
      </c>
      <c r="BC43" s="975">
        <f t="shared" si="39"/>
        <v>0</v>
      </c>
      <c r="BD43" s="975">
        <f t="shared" si="39"/>
        <v>0</v>
      </c>
      <c r="BE43" s="975">
        <f t="shared" si="39"/>
        <v>0</v>
      </c>
      <c r="BF43" s="975">
        <f t="shared" si="39"/>
        <v>0</v>
      </c>
      <c r="BG43" s="975">
        <f t="shared" si="39"/>
        <v>0</v>
      </c>
      <c r="BH43" s="975">
        <f t="shared" si="39"/>
        <v>0</v>
      </c>
      <c r="BI43" s="975">
        <f t="shared" si="39"/>
        <v>0</v>
      </c>
      <c r="BJ43" s="975">
        <f t="shared" si="39"/>
        <v>0</v>
      </c>
      <c r="BK43" s="975">
        <f t="shared" si="39"/>
        <v>0</v>
      </c>
      <c r="BL43" s="975">
        <f t="shared" si="39"/>
        <v>0</v>
      </c>
      <c r="BM43" s="975">
        <f t="shared" si="39"/>
        <v>0</v>
      </c>
      <c r="BN43" s="975">
        <f t="shared" si="39"/>
        <v>0</v>
      </c>
      <c r="BO43" s="975">
        <f t="shared" si="39"/>
        <v>0</v>
      </c>
      <c r="BP43" s="975">
        <f t="shared" si="39"/>
        <v>0</v>
      </c>
      <c r="BQ43" s="975">
        <f t="shared" ref="BQ43:CH43" si="40">BQ37-SUM(BQ38:BQ42)</f>
        <v>0</v>
      </c>
      <c r="BR43" s="975">
        <f t="shared" si="40"/>
        <v>0</v>
      </c>
      <c r="BS43" s="975">
        <f t="shared" si="40"/>
        <v>0</v>
      </c>
      <c r="BT43" s="975">
        <f t="shared" si="40"/>
        <v>0</v>
      </c>
      <c r="BU43" s="975">
        <f t="shared" si="40"/>
        <v>0</v>
      </c>
      <c r="BV43" s="975">
        <f t="shared" si="40"/>
        <v>0</v>
      </c>
      <c r="BW43" s="975">
        <f t="shared" si="40"/>
        <v>0</v>
      </c>
      <c r="BX43" s="975">
        <f t="shared" si="40"/>
        <v>0</v>
      </c>
      <c r="BY43" s="975">
        <f t="shared" si="40"/>
        <v>0</v>
      </c>
      <c r="BZ43" s="975">
        <f t="shared" si="40"/>
        <v>0</v>
      </c>
      <c r="CA43" s="975">
        <f t="shared" si="40"/>
        <v>0</v>
      </c>
      <c r="CB43" s="975">
        <f t="shared" si="40"/>
        <v>0</v>
      </c>
      <c r="CC43" s="975">
        <f t="shared" si="40"/>
        <v>0</v>
      </c>
      <c r="CD43" s="975">
        <f t="shared" si="40"/>
        <v>0</v>
      </c>
      <c r="CE43" s="975">
        <f t="shared" si="40"/>
        <v>0</v>
      </c>
      <c r="CF43" s="975">
        <f t="shared" si="40"/>
        <v>0</v>
      </c>
      <c r="CG43" s="975">
        <f t="shared" si="40"/>
        <v>0</v>
      </c>
      <c r="CH43" s="975">
        <f t="shared" si="40"/>
        <v>0</v>
      </c>
    </row>
    <row r="44" spans="1:86" s="908" customFormat="1">
      <c r="A44" s="865"/>
      <c r="B44" s="979"/>
      <c r="C44" s="980"/>
      <c r="D44" s="981"/>
      <c r="E44" s="982"/>
      <c r="F44" s="982"/>
      <c r="G44" s="982"/>
      <c r="H44" s="982"/>
      <c r="I44" s="982"/>
      <c r="J44" s="982"/>
      <c r="K44" s="982"/>
      <c r="L44" s="982"/>
      <c r="M44" s="982"/>
      <c r="N44" s="982"/>
      <c r="O44" s="982"/>
      <c r="P44" s="982"/>
      <c r="Q44" s="982"/>
      <c r="R44" s="982"/>
      <c r="S44" s="982"/>
      <c r="T44" s="982"/>
      <c r="U44" s="982"/>
      <c r="V44" s="982"/>
      <c r="W44" s="982"/>
      <c r="X44" s="982"/>
      <c r="Y44" s="982"/>
      <c r="Z44" s="982"/>
      <c r="AA44" s="982"/>
      <c r="AB44" s="982"/>
      <c r="AC44" s="982"/>
      <c r="AD44" s="982"/>
      <c r="AE44" s="982"/>
      <c r="AF44" s="982"/>
      <c r="AG44" s="982"/>
      <c r="AH44" s="982"/>
      <c r="AI44" s="982"/>
      <c r="AJ44" s="982"/>
      <c r="AK44" s="982"/>
      <c r="AL44" s="982"/>
      <c r="AM44" s="982"/>
      <c r="AN44" s="982"/>
      <c r="AO44" s="982"/>
      <c r="AP44" s="982"/>
      <c r="AQ44" s="982"/>
      <c r="AR44" s="982"/>
      <c r="AS44" s="982"/>
      <c r="AT44" s="982"/>
      <c r="AU44" s="982"/>
      <c r="AV44" s="982"/>
      <c r="AW44" s="982"/>
      <c r="AX44" s="982"/>
      <c r="AY44" s="982"/>
      <c r="AZ44" s="982"/>
      <c r="BA44" s="982"/>
      <c r="BB44" s="982"/>
      <c r="BC44" s="982"/>
      <c r="BD44" s="982"/>
      <c r="BE44" s="982"/>
      <c r="BF44" s="982"/>
      <c r="BG44" s="982"/>
      <c r="BH44" s="982"/>
      <c r="BI44" s="982"/>
      <c r="BJ44" s="982"/>
      <c r="BK44" s="982"/>
      <c r="BL44" s="982"/>
      <c r="BM44" s="982"/>
      <c r="BN44" s="982"/>
      <c r="BO44" s="982"/>
      <c r="BP44" s="982"/>
      <c r="BQ44" s="982"/>
      <c r="BR44" s="982"/>
      <c r="BS44" s="982"/>
      <c r="BT44" s="982"/>
      <c r="BU44" s="982"/>
      <c r="BV44" s="982"/>
      <c r="BW44" s="982"/>
      <c r="BX44" s="982"/>
      <c r="BY44" s="982"/>
      <c r="BZ44" s="982"/>
      <c r="CA44" s="982"/>
      <c r="CB44" s="982"/>
      <c r="CC44" s="982"/>
      <c r="CD44" s="982"/>
      <c r="CE44" s="982"/>
      <c r="CF44" s="982"/>
      <c r="CG44" s="982"/>
      <c r="CH44" s="982"/>
    </row>
    <row r="45" spans="1:86">
      <c r="B45" s="976" t="str">
        <f>B20</f>
        <v xml:space="preserve"> KẾ HOẠCH TRẢ NỢ</v>
      </c>
      <c r="C45" s="977"/>
      <c r="D45" s="977"/>
      <c r="E45" s="978"/>
      <c r="F45" s="978"/>
      <c r="G45" s="978"/>
      <c r="H45" s="978"/>
      <c r="I45" s="978"/>
      <c r="J45" s="978"/>
      <c r="K45" s="978"/>
      <c r="L45" s="978"/>
      <c r="M45" s="978"/>
      <c r="N45" s="978"/>
      <c r="O45" s="978"/>
      <c r="P45" s="978"/>
      <c r="Q45" s="978"/>
      <c r="R45" s="978"/>
      <c r="S45" s="978"/>
      <c r="T45" s="978"/>
      <c r="U45" s="978"/>
      <c r="V45" s="978"/>
      <c r="W45" s="978"/>
      <c r="X45" s="978"/>
      <c r="Y45" s="978"/>
      <c r="Z45" s="978"/>
      <c r="AA45" s="978"/>
      <c r="AB45" s="978"/>
      <c r="AC45" s="978"/>
      <c r="AD45" s="978"/>
      <c r="AE45" s="978"/>
      <c r="AF45" s="978"/>
      <c r="AG45" s="978"/>
      <c r="AH45" s="978"/>
      <c r="AI45" s="978"/>
      <c r="AJ45" s="978"/>
      <c r="AK45" s="978"/>
      <c r="AL45" s="978"/>
      <c r="AM45" s="978"/>
      <c r="AN45" s="978"/>
      <c r="AO45" s="978"/>
      <c r="AP45" s="978"/>
      <c r="AQ45" s="978"/>
      <c r="AR45" s="978"/>
      <c r="AS45" s="978"/>
      <c r="AT45" s="978"/>
      <c r="AU45" s="978"/>
      <c r="AV45" s="978"/>
      <c r="AW45" s="978"/>
      <c r="AX45" s="978"/>
      <c r="AY45" s="978"/>
      <c r="AZ45" s="978"/>
      <c r="BA45" s="978"/>
      <c r="BB45" s="978"/>
      <c r="BC45" s="978"/>
      <c r="BD45" s="978"/>
      <c r="BE45" s="978"/>
      <c r="BF45" s="978"/>
      <c r="BG45" s="978"/>
      <c r="BH45" s="978"/>
      <c r="BI45" s="978"/>
      <c r="BJ45" s="978"/>
      <c r="BK45" s="978"/>
      <c r="BL45" s="978"/>
      <c r="BM45" s="978"/>
      <c r="BN45" s="978"/>
      <c r="BO45" s="978"/>
      <c r="BP45" s="978"/>
      <c r="BQ45" s="978"/>
      <c r="BR45" s="978"/>
      <c r="BS45" s="978"/>
      <c r="BT45" s="978"/>
      <c r="BU45" s="978"/>
      <c r="BV45" s="978"/>
      <c r="BW45" s="978"/>
      <c r="BX45" s="978"/>
      <c r="BY45" s="978"/>
      <c r="BZ45" s="978"/>
      <c r="CA45" s="978"/>
      <c r="CB45" s="978"/>
      <c r="CC45" s="978"/>
      <c r="CD45" s="978"/>
      <c r="CE45" s="978"/>
      <c r="CF45" s="978"/>
      <c r="CG45" s="978"/>
      <c r="CH45" s="978"/>
    </row>
    <row r="46" spans="1:86">
      <c r="B46" s="965" t="s">
        <v>344</v>
      </c>
      <c r="C46" s="966">
        <f>SUM(E46:BZ46)</f>
        <v>655683.48823870323</v>
      </c>
      <c r="D46" s="967">
        <f>D28</f>
        <v>0</v>
      </c>
      <c r="E46" s="967">
        <f>E28</f>
        <v>0</v>
      </c>
      <c r="F46" s="968">
        <f t="shared" ref="F46:AK46" si="41">IF(E48&gt;F28,F28,IF(E48&gt;0,E48,0))</f>
        <v>0</v>
      </c>
      <c r="G46" s="968">
        <f t="shared" si="41"/>
        <v>0</v>
      </c>
      <c r="H46" s="968">
        <f t="shared" si="41"/>
        <v>0</v>
      </c>
      <c r="I46" s="968">
        <f t="shared" si="41"/>
        <v>0</v>
      </c>
      <c r="J46" s="968">
        <f t="shared" si="41"/>
        <v>0</v>
      </c>
      <c r="K46" s="968">
        <f t="shared" si="41"/>
        <v>0</v>
      </c>
      <c r="L46" s="968">
        <f t="shared" si="41"/>
        <v>0</v>
      </c>
      <c r="M46" s="968">
        <f t="shared" si="41"/>
        <v>0</v>
      </c>
      <c r="N46" s="968">
        <f t="shared" si="41"/>
        <v>0</v>
      </c>
      <c r="O46" s="968">
        <f t="shared" si="41"/>
        <v>0</v>
      </c>
      <c r="P46" s="968">
        <f t="shared" si="41"/>
        <v>54471.51690453905</v>
      </c>
      <c r="Q46" s="968">
        <f t="shared" si="41"/>
        <v>0</v>
      </c>
      <c r="R46" s="968">
        <f t="shared" si="41"/>
        <v>399808.49902410049</v>
      </c>
      <c r="S46" s="968">
        <f t="shared" si="41"/>
        <v>201403.47231006366</v>
      </c>
      <c r="T46" s="968">
        <f t="shared" si="41"/>
        <v>0</v>
      </c>
      <c r="U46" s="968">
        <f t="shared" si="41"/>
        <v>0</v>
      </c>
      <c r="V46" s="968">
        <f t="shared" si="41"/>
        <v>0</v>
      </c>
      <c r="W46" s="968">
        <f t="shared" si="41"/>
        <v>0</v>
      </c>
      <c r="X46" s="968">
        <f t="shared" si="41"/>
        <v>0</v>
      </c>
      <c r="Y46" s="968">
        <f t="shared" si="41"/>
        <v>0</v>
      </c>
      <c r="Z46" s="968">
        <f t="shared" si="41"/>
        <v>0</v>
      </c>
      <c r="AA46" s="968">
        <f t="shared" si="41"/>
        <v>0</v>
      </c>
      <c r="AB46" s="968">
        <f t="shared" si="41"/>
        <v>0</v>
      </c>
      <c r="AC46" s="968">
        <f t="shared" si="41"/>
        <v>0</v>
      </c>
      <c r="AD46" s="968">
        <f t="shared" si="41"/>
        <v>0</v>
      </c>
      <c r="AE46" s="968">
        <f t="shared" si="41"/>
        <v>0</v>
      </c>
      <c r="AF46" s="968">
        <f t="shared" si="41"/>
        <v>0</v>
      </c>
      <c r="AG46" s="968">
        <f t="shared" si="41"/>
        <v>0</v>
      </c>
      <c r="AH46" s="968">
        <f t="shared" si="41"/>
        <v>0</v>
      </c>
      <c r="AI46" s="968">
        <f t="shared" si="41"/>
        <v>0</v>
      </c>
      <c r="AJ46" s="968">
        <f t="shared" si="41"/>
        <v>0</v>
      </c>
      <c r="AK46" s="968">
        <f t="shared" si="41"/>
        <v>0</v>
      </c>
      <c r="AL46" s="968">
        <f t="shared" ref="AL46:BQ46" si="42">IF(AK48&gt;AL28,AL28,IF(AK48&gt;0,AK48,0))</f>
        <v>0</v>
      </c>
      <c r="AM46" s="968">
        <f t="shared" si="42"/>
        <v>0</v>
      </c>
      <c r="AN46" s="968">
        <f t="shared" si="42"/>
        <v>0</v>
      </c>
      <c r="AO46" s="968">
        <f t="shared" si="42"/>
        <v>0</v>
      </c>
      <c r="AP46" s="968">
        <f t="shared" si="42"/>
        <v>0</v>
      </c>
      <c r="AQ46" s="968">
        <f t="shared" si="42"/>
        <v>0</v>
      </c>
      <c r="AR46" s="968">
        <f t="shared" si="42"/>
        <v>0</v>
      </c>
      <c r="AS46" s="968">
        <f t="shared" si="42"/>
        <v>0</v>
      </c>
      <c r="AT46" s="968">
        <f t="shared" si="42"/>
        <v>0</v>
      </c>
      <c r="AU46" s="968">
        <f t="shared" si="42"/>
        <v>0</v>
      </c>
      <c r="AV46" s="968">
        <f t="shared" si="42"/>
        <v>0</v>
      </c>
      <c r="AW46" s="968">
        <f t="shared" si="42"/>
        <v>0</v>
      </c>
      <c r="AX46" s="968">
        <f t="shared" si="42"/>
        <v>0</v>
      </c>
      <c r="AY46" s="968">
        <f t="shared" si="42"/>
        <v>0</v>
      </c>
      <c r="AZ46" s="968">
        <f t="shared" si="42"/>
        <v>0</v>
      </c>
      <c r="BA46" s="968">
        <f t="shared" si="42"/>
        <v>0</v>
      </c>
      <c r="BB46" s="968">
        <f t="shared" si="42"/>
        <v>0</v>
      </c>
      <c r="BC46" s="968">
        <f t="shared" si="42"/>
        <v>0</v>
      </c>
      <c r="BD46" s="968">
        <f t="shared" si="42"/>
        <v>0</v>
      </c>
      <c r="BE46" s="968">
        <f t="shared" si="42"/>
        <v>0</v>
      </c>
      <c r="BF46" s="968">
        <f t="shared" si="42"/>
        <v>0</v>
      </c>
      <c r="BG46" s="968">
        <f t="shared" si="42"/>
        <v>0</v>
      </c>
      <c r="BH46" s="968">
        <f t="shared" si="42"/>
        <v>0</v>
      </c>
      <c r="BI46" s="968">
        <f t="shared" si="42"/>
        <v>0</v>
      </c>
      <c r="BJ46" s="968">
        <f t="shared" si="42"/>
        <v>0</v>
      </c>
      <c r="BK46" s="968">
        <f t="shared" si="42"/>
        <v>0</v>
      </c>
      <c r="BL46" s="968">
        <f t="shared" si="42"/>
        <v>0</v>
      </c>
      <c r="BM46" s="968">
        <f t="shared" si="42"/>
        <v>0</v>
      </c>
      <c r="BN46" s="968">
        <f t="shared" si="42"/>
        <v>0</v>
      </c>
      <c r="BO46" s="968">
        <f t="shared" si="42"/>
        <v>0</v>
      </c>
      <c r="BP46" s="968">
        <f t="shared" si="42"/>
        <v>0</v>
      </c>
      <c r="BQ46" s="968">
        <f t="shared" si="42"/>
        <v>0</v>
      </c>
      <c r="BR46" s="968">
        <f t="shared" ref="BR46:CH46" si="43">IF(BQ48&gt;BR28,BR28,IF(BQ48&gt;0,BQ48,0))</f>
        <v>0</v>
      </c>
      <c r="BS46" s="968">
        <f t="shared" si="43"/>
        <v>0</v>
      </c>
      <c r="BT46" s="968">
        <f t="shared" si="43"/>
        <v>0</v>
      </c>
      <c r="BU46" s="968">
        <f t="shared" si="43"/>
        <v>0</v>
      </c>
      <c r="BV46" s="968">
        <f t="shared" si="43"/>
        <v>0</v>
      </c>
      <c r="BW46" s="968">
        <f t="shared" si="43"/>
        <v>0</v>
      </c>
      <c r="BX46" s="968">
        <f t="shared" si="43"/>
        <v>0</v>
      </c>
      <c r="BY46" s="968">
        <f t="shared" si="43"/>
        <v>0</v>
      </c>
      <c r="BZ46" s="968">
        <f t="shared" si="43"/>
        <v>0</v>
      </c>
      <c r="CA46" s="968">
        <f t="shared" si="43"/>
        <v>0</v>
      </c>
      <c r="CB46" s="968">
        <f t="shared" si="43"/>
        <v>0</v>
      </c>
      <c r="CC46" s="968">
        <f t="shared" si="43"/>
        <v>0</v>
      </c>
      <c r="CD46" s="968">
        <f t="shared" si="43"/>
        <v>0</v>
      </c>
      <c r="CE46" s="968">
        <f t="shared" si="43"/>
        <v>0</v>
      </c>
      <c r="CF46" s="968">
        <f t="shared" si="43"/>
        <v>0</v>
      </c>
      <c r="CG46" s="968">
        <f t="shared" si="43"/>
        <v>0</v>
      </c>
      <c r="CH46" s="968">
        <f t="shared" si="43"/>
        <v>0</v>
      </c>
    </row>
    <row r="47" spans="1:86" s="913" customFormat="1" ht="31.5">
      <c r="A47" s="957"/>
      <c r="B47" s="969" t="s">
        <v>49</v>
      </c>
      <c r="C47" s="966"/>
      <c r="D47" s="966"/>
      <c r="E47" s="968">
        <f t="shared" ref="E47:AJ47" si="44">E28-E46</f>
        <v>0</v>
      </c>
      <c r="F47" s="968">
        <f t="shared" si="44"/>
        <v>0</v>
      </c>
      <c r="G47" s="968">
        <f t="shared" si="44"/>
        <v>0</v>
      </c>
      <c r="H47" s="968">
        <f t="shared" si="44"/>
        <v>0</v>
      </c>
      <c r="I47" s="968">
        <f t="shared" si="44"/>
        <v>0</v>
      </c>
      <c r="J47" s="968">
        <f t="shared" si="44"/>
        <v>0</v>
      </c>
      <c r="K47" s="968">
        <f t="shared" si="44"/>
        <v>0</v>
      </c>
      <c r="L47" s="968">
        <f t="shared" si="44"/>
        <v>0</v>
      </c>
      <c r="M47" s="968">
        <f t="shared" si="44"/>
        <v>0</v>
      </c>
      <c r="N47" s="968">
        <f t="shared" si="44"/>
        <v>0</v>
      </c>
      <c r="O47" s="968">
        <f t="shared" si="44"/>
        <v>0</v>
      </c>
      <c r="P47" s="968">
        <f t="shared" si="44"/>
        <v>0</v>
      </c>
      <c r="Q47" s="968">
        <f t="shared" si="44"/>
        <v>0</v>
      </c>
      <c r="R47" s="968">
        <f t="shared" si="44"/>
        <v>0</v>
      </c>
      <c r="S47" s="968">
        <f t="shared" si="44"/>
        <v>41108.148840064474</v>
      </c>
      <c r="T47" s="968">
        <f t="shared" si="44"/>
        <v>167167.7993533886</v>
      </c>
      <c r="U47" s="968">
        <f t="shared" si="44"/>
        <v>273934.64771082805</v>
      </c>
      <c r="V47" s="968">
        <f t="shared" si="44"/>
        <v>1107186.4669608958</v>
      </c>
      <c r="W47" s="968">
        <f t="shared" si="44"/>
        <v>1107186.4669608958</v>
      </c>
      <c r="X47" s="968">
        <f t="shared" si="44"/>
        <v>1107186.4669608958</v>
      </c>
      <c r="Y47" s="968">
        <f t="shared" si="44"/>
        <v>1243779.2042976855</v>
      </c>
      <c r="Z47" s="968">
        <f t="shared" si="44"/>
        <v>1243779.2042976855</v>
      </c>
      <c r="AA47" s="968">
        <f t="shared" si="44"/>
        <v>1243779.2042976855</v>
      </c>
      <c r="AB47" s="968">
        <f t="shared" si="44"/>
        <v>1243779.2042976855</v>
      </c>
      <c r="AC47" s="968">
        <f t="shared" si="44"/>
        <v>1243779.2042976855</v>
      </c>
      <c r="AD47" s="968">
        <f t="shared" si="44"/>
        <v>1243779.2042976855</v>
      </c>
      <c r="AE47" s="968">
        <f t="shared" si="44"/>
        <v>1243779.2042976855</v>
      </c>
      <c r="AF47" s="968">
        <f t="shared" si="44"/>
        <v>1243779.2042976855</v>
      </c>
      <c r="AG47" s="968">
        <f t="shared" si="44"/>
        <v>1243779.2042976855</v>
      </c>
      <c r="AH47" s="968">
        <f t="shared" si="44"/>
        <v>1243779.2042976855</v>
      </c>
      <c r="AI47" s="968">
        <f t="shared" si="44"/>
        <v>1243779.2042976855</v>
      </c>
      <c r="AJ47" s="968">
        <f t="shared" si="44"/>
        <v>1243779.2042976855</v>
      </c>
      <c r="AK47" s="968">
        <f t="shared" ref="AK47:BP47" si="45">AK28-AK46</f>
        <v>1243779.2042976855</v>
      </c>
      <c r="AL47" s="968">
        <f t="shared" si="45"/>
        <v>1243779.2042976855</v>
      </c>
      <c r="AM47" s="968">
        <f t="shared" si="45"/>
        <v>1243779.2042976855</v>
      </c>
      <c r="AN47" s="968">
        <f t="shared" si="45"/>
        <v>1243779.2042976855</v>
      </c>
      <c r="AO47" s="968">
        <f t="shared" si="45"/>
        <v>1243779.2042976855</v>
      </c>
      <c r="AP47" s="968">
        <f t="shared" si="45"/>
        <v>1243779.2042976855</v>
      </c>
      <c r="AQ47" s="968">
        <f t="shared" si="45"/>
        <v>1243779.2042976855</v>
      </c>
      <c r="AR47" s="968">
        <f t="shared" si="45"/>
        <v>1243779.2042976855</v>
      </c>
      <c r="AS47" s="968">
        <f t="shared" si="45"/>
        <v>1243779.2042976855</v>
      </c>
      <c r="AT47" s="968">
        <f t="shared" si="45"/>
        <v>1243779.2042976855</v>
      </c>
      <c r="AU47" s="968">
        <f t="shared" si="45"/>
        <v>1243779.2042976855</v>
      </c>
      <c r="AV47" s="968">
        <f t="shared" si="45"/>
        <v>1243779.2042976855</v>
      </c>
      <c r="AW47" s="968">
        <f t="shared" si="45"/>
        <v>1243779.2042976855</v>
      </c>
      <c r="AX47" s="968">
        <f t="shared" si="45"/>
        <v>1243779.2042976855</v>
      </c>
      <c r="AY47" s="968">
        <f t="shared" si="45"/>
        <v>1243779.2042976855</v>
      </c>
      <c r="AZ47" s="968">
        <f t="shared" si="45"/>
        <v>1243779.2042976855</v>
      </c>
      <c r="BA47" s="968">
        <f t="shared" si="45"/>
        <v>1243779.2042976855</v>
      </c>
      <c r="BB47" s="968">
        <f t="shared" si="45"/>
        <v>1243779.2042976855</v>
      </c>
      <c r="BC47" s="968">
        <f t="shared" si="45"/>
        <v>1243779.2042976855</v>
      </c>
      <c r="BD47" s="968">
        <f t="shared" si="45"/>
        <v>1243779.2042976855</v>
      </c>
      <c r="BE47" s="968">
        <f t="shared" si="45"/>
        <v>1243779.2042976855</v>
      </c>
      <c r="BF47" s="968">
        <f t="shared" si="45"/>
        <v>1243779.2042976855</v>
      </c>
      <c r="BG47" s="968">
        <f t="shared" si="45"/>
        <v>1243779.2042976855</v>
      </c>
      <c r="BH47" s="968">
        <f t="shared" si="45"/>
        <v>1243779.2042976855</v>
      </c>
      <c r="BI47" s="968">
        <f t="shared" si="45"/>
        <v>1243779.2042976855</v>
      </c>
      <c r="BJ47" s="968">
        <f t="shared" si="45"/>
        <v>1243779.2042976855</v>
      </c>
      <c r="BK47" s="968">
        <f t="shared" si="45"/>
        <v>1243779.2042976855</v>
      </c>
      <c r="BL47" s="968">
        <f t="shared" si="45"/>
        <v>1243779.2042976855</v>
      </c>
      <c r="BM47" s="968">
        <f t="shared" si="45"/>
        <v>1243779.2042976855</v>
      </c>
      <c r="BN47" s="968">
        <f t="shared" si="45"/>
        <v>1243779.2042976855</v>
      </c>
      <c r="BO47" s="968">
        <f t="shared" si="45"/>
        <v>1243779.2042976855</v>
      </c>
      <c r="BP47" s="968">
        <f t="shared" si="45"/>
        <v>1243779.2042976855</v>
      </c>
      <c r="BQ47" s="968">
        <f t="shared" ref="BQ47:CH47" si="46">BQ28-BQ46</f>
        <v>1243779.2042976855</v>
      </c>
      <c r="BR47" s="968">
        <f t="shared" si="46"/>
        <v>1243779.2042976855</v>
      </c>
      <c r="BS47" s="968">
        <f t="shared" si="46"/>
        <v>1243779.2042976855</v>
      </c>
      <c r="BT47" s="968">
        <f t="shared" si="46"/>
        <v>1243779.2042976855</v>
      </c>
      <c r="BU47" s="968">
        <f t="shared" si="46"/>
        <v>1243779.2042976855</v>
      </c>
      <c r="BV47" s="968">
        <f t="shared" si="46"/>
        <v>1243779.2042976855</v>
      </c>
      <c r="BW47" s="968">
        <f t="shared" si="46"/>
        <v>1243779.2042976855</v>
      </c>
      <c r="BX47" s="968">
        <f t="shared" si="46"/>
        <v>1243779.2042976855</v>
      </c>
      <c r="BY47" s="968">
        <f t="shared" si="46"/>
        <v>1243779.2042976855</v>
      </c>
      <c r="BZ47" s="968">
        <f t="shared" si="46"/>
        <v>1243779.2042976855</v>
      </c>
      <c r="CA47" s="968">
        <f t="shared" si="46"/>
        <v>1243779.2042976855</v>
      </c>
      <c r="CB47" s="968">
        <f t="shared" si="46"/>
        <v>1243779.2042976855</v>
      </c>
      <c r="CC47" s="968">
        <f t="shared" si="46"/>
        <v>1243779.2042976855</v>
      </c>
      <c r="CD47" s="968">
        <f t="shared" si="46"/>
        <v>1243779.2042976855</v>
      </c>
      <c r="CE47" s="968">
        <f t="shared" si="46"/>
        <v>1243779.2042976855</v>
      </c>
      <c r="CF47" s="968">
        <f t="shared" si="46"/>
        <v>1243779.2042976855</v>
      </c>
      <c r="CG47" s="968">
        <f t="shared" si="46"/>
        <v>1243779.2042976855</v>
      </c>
      <c r="CH47" s="968">
        <f t="shared" si="46"/>
        <v>1243779.2042976855</v>
      </c>
    </row>
    <row r="48" spans="1:86">
      <c r="B48" s="965" t="str">
        <f>B22</f>
        <v xml:space="preserve">  Dư nợ vay</v>
      </c>
      <c r="C48" s="966"/>
      <c r="D48" s="966"/>
      <c r="E48" s="970">
        <f>+D48+E35-E46</f>
        <v>0</v>
      </c>
      <c r="F48" s="970">
        <f>+E48+F35-F46</f>
        <v>0</v>
      </c>
      <c r="G48" s="970">
        <f>+F48+G35-G46</f>
        <v>0</v>
      </c>
      <c r="H48" s="970">
        <f t="shared" ref="H48:AM48" si="47">+G48+H35-H46+H64</f>
        <v>0</v>
      </c>
      <c r="I48" s="970">
        <f t="shared" si="47"/>
        <v>0</v>
      </c>
      <c r="J48" s="970">
        <f t="shared" si="47"/>
        <v>0</v>
      </c>
      <c r="K48" s="970">
        <f t="shared" si="47"/>
        <v>339316.55788949208</v>
      </c>
      <c r="L48" s="970">
        <f t="shared" si="47"/>
        <v>340317.00293556048</v>
      </c>
      <c r="M48" s="970">
        <f t="shared" si="47"/>
        <v>374776.34405494196</v>
      </c>
      <c r="N48" s="970">
        <f t="shared" si="47"/>
        <v>562393.138360966</v>
      </c>
      <c r="O48" s="970">
        <f t="shared" si="47"/>
        <v>629981.39900573704</v>
      </c>
      <c r="P48" s="970">
        <f t="shared" si="47"/>
        <v>575509.88210119796</v>
      </c>
      <c r="Q48" s="970">
        <f t="shared" si="47"/>
        <v>601211.97133416415</v>
      </c>
      <c r="R48" s="970">
        <f t="shared" si="47"/>
        <v>201403.47231006366</v>
      </c>
      <c r="S48" s="970">
        <f t="shared" si="47"/>
        <v>0</v>
      </c>
      <c r="T48" s="970">
        <f t="shared" si="47"/>
        <v>0</v>
      </c>
      <c r="U48" s="970">
        <f t="shared" si="47"/>
        <v>0</v>
      </c>
      <c r="V48" s="970">
        <f t="shared" si="47"/>
        <v>0</v>
      </c>
      <c r="W48" s="970">
        <f t="shared" si="47"/>
        <v>0</v>
      </c>
      <c r="X48" s="970">
        <f t="shared" si="47"/>
        <v>0</v>
      </c>
      <c r="Y48" s="970">
        <f t="shared" si="47"/>
        <v>0</v>
      </c>
      <c r="Z48" s="970">
        <f t="shared" si="47"/>
        <v>0</v>
      </c>
      <c r="AA48" s="970">
        <f t="shared" si="47"/>
        <v>0</v>
      </c>
      <c r="AB48" s="970">
        <f t="shared" si="47"/>
        <v>0</v>
      </c>
      <c r="AC48" s="970">
        <f t="shared" si="47"/>
        <v>0</v>
      </c>
      <c r="AD48" s="970">
        <f t="shared" si="47"/>
        <v>0</v>
      </c>
      <c r="AE48" s="970">
        <f t="shared" si="47"/>
        <v>0</v>
      </c>
      <c r="AF48" s="970">
        <f t="shared" si="47"/>
        <v>0</v>
      </c>
      <c r="AG48" s="970">
        <f t="shared" si="47"/>
        <v>0</v>
      </c>
      <c r="AH48" s="970">
        <f t="shared" si="47"/>
        <v>0</v>
      </c>
      <c r="AI48" s="970">
        <f t="shared" si="47"/>
        <v>0</v>
      </c>
      <c r="AJ48" s="970">
        <f t="shared" si="47"/>
        <v>0</v>
      </c>
      <c r="AK48" s="970">
        <f t="shared" si="47"/>
        <v>0</v>
      </c>
      <c r="AL48" s="970">
        <f t="shared" si="47"/>
        <v>0</v>
      </c>
      <c r="AM48" s="970">
        <f t="shared" si="47"/>
        <v>0</v>
      </c>
      <c r="AN48" s="970">
        <f t="shared" ref="AN48:BS48" si="48">+AM48+AN35-AN46+AN64</f>
        <v>0</v>
      </c>
      <c r="AO48" s="970">
        <f t="shared" si="48"/>
        <v>0</v>
      </c>
      <c r="AP48" s="970">
        <f t="shared" si="48"/>
        <v>0</v>
      </c>
      <c r="AQ48" s="970">
        <f t="shared" si="48"/>
        <v>0</v>
      </c>
      <c r="AR48" s="970">
        <f t="shared" si="48"/>
        <v>0</v>
      </c>
      <c r="AS48" s="970">
        <f t="shared" si="48"/>
        <v>0</v>
      </c>
      <c r="AT48" s="970">
        <f t="shared" si="48"/>
        <v>0</v>
      </c>
      <c r="AU48" s="970">
        <f t="shared" si="48"/>
        <v>0</v>
      </c>
      <c r="AV48" s="970">
        <f t="shared" si="48"/>
        <v>0</v>
      </c>
      <c r="AW48" s="970">
        <f t="shared" si="48"/>
        <v>0</v>
      </c>
      <c r="AX48" s="970">
        <f t="shared" si="48"/>
        <v>0</v>
      </c>
      <c r="AY48" s="970">
        <f t="shared" si="48"/>
        <v>0</v>
      </c>
      <c r="AZ48" s="970">
        <f t="shared" si="48"/>
        <v>0</v>
      </c>
      <c r="BA48" s="970">
        <f t="shared" si="48"/>
        <v>0</v>
      </c>
      <c r="BB48" s="970">
        <f t="shared" si="48"/>
        <v>0</v>
      </c>
      <c r="BC48" s="970">
        <f t="shared" si="48"/>
        <v>0</v>
      </c>
      <c r="BD48" s="970">
        <f t="shared" si="48"/>
        <v>0</v>
      </c>
      <c r="BE48" s="970">
        <f t="shared" si="48"/>
        <v>0</v>
      </c>
      <c r="BF48" s="970">
        <f t="shared" si="48"/>
        <v>0</v>
      </c>
      <c r="BG48" s="970">
        <f t="shared" si="48"/>
        <v>0</v>
      </c>
      <c r="BH48" s="970">
        <f t="shared" si="48"/>
        <v>0</v>
      </c>
      <c r="BI48" s="970">
        <f t="shared" si="48"/>
        <v>0</v>
      </c>
      <c r="BJ48" s="970">
        <f t="shared" si="48"/>
        <v>0</v>
      </c>
      <c r="BK48" s="970">
        <f t="shared" si="48"/>
        <v>0</v>
      </c>
      <c r="BL48" s="970">
        <f t="shared" si="48"/>
        <v>0</v>
      </c>
      <c r="BM48" s="970">
        <f t="shared" si="48"/>
        <v>0</v>
      </c>
      <c r="BN48" s="970">
        <f t="shared" si="48"/>
        <v>0</v>
      </c>
      <c r="BO48" s="970">
        <f t="shared" si="48"/>
        <v>0</v>
      </c>
      <c r="BP48" s="970">
        <f t="shared" si="48"/>
        <v>0</v>
      </c>
      <c r="BQ48" s="970">
        <f t="shared" si="48"/>
        <v>0</v>
      </c>
      <c r="BR48" s="970">
        <f t="shared" si="48"/>
        <v>0</v>
      </c>
      <c r="BS48" s="970">
        <f t="shared" si="48"/>
        <v>0</v>
      </c>
      <c r="BT48" s="970">
        <f t="shared" ref="BT48:CH48" si="49">+BS48+BT35-BT46+BT64</f>
        <v>0</v>
      </c>
      <c r="BU48" s="970">
        <f t="shared" si="49"/>
        <v>0</v>
      </c>
      <c r="BV48" s="970">
        <f t="shared" si="49"/>
        <v>0</v>
      </c>
      <c r="BW48" s="970">
        <f t="shared" si="49"/>
        <v>0</v>
      </c>
      <c r="BX48" s="970">
        <f t="shared" si="49"/>
        <v>0</v>
      </c>
      <c r="BY48" s="970">
        <f t="shared" si="49"/>
        <v>0</v>
      </c>
      <c r="BZ48" s="970">
        <f t="shared" si="49"/>
        <v>0</v>
      </c>
      <c r="CA48" s="970">
        <f t="shared" si="49"/>
        <v>0</v>
      </c>
      <c r="CB48" s="970">
        <f t="shared" si="49"/>
        <v>0</v>
      </c>
      <c r="CC48" s="970">
        <f t="shared" si="49"/>
        <v>0</v>
      </c>
      <c r="CD48" s="970">
        <f t="shared" si="49"/>
        <v>0</v>
      </c>
      <c r="CE48" s="970">
        <f t="shared" si="49"/>
        <v>0</v>
      </c>
      <c r="CF48" s="970">
        <f t="shared" si="49"/>
        <v>0</v>
      </c>
      <c r="CG48" s="970">
        <f t="shared" si="49"/>
        <v>0</v>
      </c>
      <c r="CH48" s="970">
        <f t="shared" si="49"/>
        <v>0</v>
      </c>
    </row>
    <row r="49" spans="2:86">
      <c r="B49" s="971" t="str">
        <f>B23</f>
        <v xml:space="preserve">   Trả lãi vay ngân hàng</v>
      </c>
      <c r="C49" s="972">
        <f>SUM(E49:BZ49)</f>
        <v>108747.2930397637</v>
      </c>
      <c r="D49" s="972"/>
      <c r="E49" s="973">
        <f>E48*E11</f>
        <v>0</v>
      </c>
      <c r="F49" s="973">
        <f t="shared" ref="F49:S49" si="50">E48*F11</f>
        <v>0</v>
      </c>
      <c r="G49" s="973">
        <f t="shared" si="50"/>
        <v>0</v>
      </c>
      <c r="H49" s="973">
        <f t="shared" si="50"/>
        <v>0</v>
      </c>
      <c r="I49" s="973">
        <f t="shared" si="50"/>
        <v>0</v>
      </c>
      <c r="J49" s="973">
        <f t="shared" si="50"/>
        <v>0</v>
      </c>
      <c r="K49" s="973">
        <f t="shared" si="50"/>
        <v>0</v>
      </c>
      <c r="L49" s="973">
        <f t="shared" si="50"/>
        <v>10179.496736684761</v>
      </c>
      <c r="M49" s="973">
        <f t="shared" si="50"/>
        <v>10209.510088066814</v>
      </c>
      <c r="N49" s="973">
        <f t="shared" si="50"/>
        <v>11243.290321648259</v>
      </c>
      <c r="O49" s="973">
        <f t="shared" si="50"/>
        <v>16871.79415082898</v>
      </c>
      <c r="P49" s="973">
        <f t="shared" si="50"/>
        <v>18899.441970172109</v>
      </c>
      <c r="Q49" s="973">
        <f t="shared" si="50"/>
        <v>17265.296463035938</v>
      </c>
      <c r="R49" s="973">
        <f t="shared" si="50"/>
        <v>18036.359140024924</v>
      </c>
      <c r="S49" s="973">
        <f t="shared" si="50"/>
        <v>6042.1041693019097</v>
      </c>
      <c r="T49" s="973"/>
      <c r="U49" s="973"/>
      <c r="V49" s="973"/>
      <c r="W49" s="973"/>
      <c r="X49" s="973"/>
      <c r="Y49" s="973"/>
      <c r="Z49" s="973"/>
      <c r="AA49" s="973"/>
      <c r="AB49" s="973"/>
      <c r="AC49" s="973"/>
      <c r="AD49" s="973"/>
      <c r="AE49" s="973"/>
      <c r="AF49" s="973"/>
      <c r="AG49" s="973"/>
      <c r="AH49" s="973"/>
      <c r="AI49" s="973"/>
      <c r="AJ49" s="973"/>
      <c r="AK49" s="973"/>
      <c r="AL49" s="973"/>
      <c r="AM49" s="973"/>
      <c r="AN49" s="973"/>
      <c r="AO49" s="973"/>
      <c r="AP49" s="973"/>
      <c r="AQ49" s="973"/>
      <c r="AR49" s="973"/>
      <c r="AS49" s="973"/>
      <c r="AT49" s="973"/>
      <c r="AU49" s="973"/>
      <c r="AV49" s="973"/>
      <c r="AW49" s="973"/>
      <c r="AX49" s="973"/>
      <c r="AY49" s="973"/>
      <c r="AZ49" s="973"/>
      <c r="BA49" s="973"/>
      <c r="BB49" s="973"/>
      <c r="BC49" s="973"/>
      <c r="BD49" s="973"/>
      <c r="BE49" s="973"/>
      <c r="BF49" s="973"/>
      <c r="BG49" s="973"/>
      <c r="BH49" s="973"/>
      <c r="BI49" s="973"/>
      <c r="BJ49" s="973"/>
      <c r="BK49" s="973"/>
      <c r="BL49" s="973"/>
      <c r="BM49" s="973"/>
      <c r="BN49" s="973"/>
      <c r="BO49" s="973"/>
      <c r="BP49" s="973"/>
      <c r="BQ49" s="973"/>
      <c r="BR49" s="973"/>
      <c r="BS49" s="973"/>
      <c r="BT49" s="973"/>
      <c r="BU49" s="973"/>
      <c r="BV49" s="973"/>
      <c r="BW49" s="973"/>
      <c r="BX49" s="973"/>
      <c r="BY49" s="973"/>
      <c r="BZ49" s="973"/>
      <c r="CA49" s="973"/>
      <c r="CB49" s="973"/>
      <c r="CC49" s="973"/>
      <c r="CD49" s="973"/>
      <c r="CE49" s="973"/>
      <c r="CF49" s="973"/>
      <c r="CG49" s="973"/>
      <c r="CH49" s="973"/>
    </row>
    <row r="50" spans="2:86">
      <c r="B50" s="983"/>
      <c r="C50" s="984"/>
      <c r="D50" s="984"/>
      <c r="E50" s="498"/>
      <c r="F50" s="498"/>
      <c r="G50" s="498"/>
      <c r="H50" s="498"/>
      <c r="I50" s="498"/>
      <c r="J50" s="498"/>
      <c r="K50" s="498"/>
      <c r="L50" s="498"/>
      <c r="M50" s="498"/>
      <c r="N50" s="498"/>
      <c r="O50" s="498"/>
      <c r="P50" s="498"/>
      <c r="Q50" s="498"/>
      <c r="R50" s="498"/>
      <c r="S50" s="498"/>
      <c r="T50" s="498"/>
      <c r="U50" s="498"/>
      <c r="V50" s="498"/>
      <c r="W50" s="498"/>
      <c r="X50" s="498"/>
      <c r="Y50" s="498"/>
      <c r="Z50" s="498"/>
      <c r="AA50" s="498"/>
      <c r="AB50" s="498"/>
      <c r="AC50" s="498"/>
      <c r="AD50" s="498"/>
      <c r="AE50" s="498"/>
      <c r="AF50" s="498"/>
      <c r="AG50" s="498"/>
      <c r="AH50" s="498"/>
      <c r="AI50" s="498"/>
      <c r="AJ50" s="498"/>
      <c r="AK50" s="498"/>
      <c r="AL50" s="498"/>
      <c r="AM50" s="498"/>
      <c r="AN50" s="498"/>
      <c r="AO50" s="498"/>
      <c r="AP50" s="498"/>
      <c r="AQ50" s="498"/>
      <c r="AR50" s="498"/>
      <c r="AS50" s="498"/>
      <c r="AT50" s="498"/>
      <c r="AU50" s="498"/>
      <c r="AV50" s="498"/>
      <c r="AW50" s="498"/>
      <c r="AX50" s="498"/>
      <c r="AY50" s="498"/>
      <c r="AZ50" s="498"/>
      <c r="BA50" s="498"/>
      <c r="BB50" s="498"/>
      <c r="BC50" s="498"/>
      <c r="BD50" s="498"/>
      <c r="BE50" s="498"/>
      <c r="BF50" s="498"/>
      <c r="BG50" s="498"/>
      <c r="BH50" s="498"/>
      <c r="BI50" s="498"/>
      <c r="BJ50" s="498"/>
      <c r="BK50" s="498"/>
      <c r="BL50" s="498"/>
      <c r="BM50" s="498"/>
      <c r="BN50" s="498"/>
      <c r="BO50" s="498"/>
      <c r="BP50" s="498"/>
      <c r="BQ50" s="498"/>
      <c r="BR50" s="498"/>
      <c r="BS50" s="498"/>
      <c r="BT50" s="498"/>
      <c r="BU50" s="498"/>
      <c r="BV50" s="498"/>
      <c r="BW50" s="498"/>
      <c r="BX50" s="498"/>
      <c r="BY50" s="498"/>
      <c r="BZ50" s="498"/>
      <c r="CA50" s="498"/>
      <c r="CB50" s="498"/>
      <c r="CC50" s="498"/>
      <c r="CD50" s="498"/>
      <c r="CE50" s="498"/>
      <c r="CF50" s="498"/>
      <c r="CG50" s="498"/>
      <c r="CH50" s="498"/>
    </row>
    <row r="51" spans="2:86">
      <c r="B51" s="983"/>
      <c r="C51" s="984"/>
      <c r="D51" s="984"/>
      <c r="E51" s="498"/>
      <c r="F51" s="498"/>
      <c r="G51" s="498"/>
      <c r="H51" s="498"/>
      <c r="I51" s="498"/>
      <c r="J51" s="498"/>
      <c r="K51" s="498"/>
      <c r="L51" s="498"/>
      <c r="M51" s="498">
        <f>871*0.2</f>
        <v>174.20000000000002</v>
      </c>
      <c r="N51" s="498"/>
      <c r="O51" s="498"/>
      <c r="P51" s="498"/>
      <c r="Q51" s="498"/>
      <c r="R51" s="498"/>
      <c r="S51" s="498"/>
      <c r="T51" s="498"/>
      <c r="U51" s="498"/>
      <c r="V51" s="498"/>
      <c r="W51" s="498"/>
      <c r="X51" s="498"/>
      <c r="Y51" s="498"/>
      <c r="Z51" s="498"/>
      <c r="AA51" s="498"/>
      <c r="AB51" s="498"/>
      <c r="AC51" s="498"/>
      <c r="AD51" s="498"/>
      <c r="AE51" s="498"/>
      <c r="AF51" s="498"/>
      <c r="AG51" s="498"/>
      <c r="AH51" s="498"/>
      <c r="AI51" s="498"/>
      <c r="AJ51" s="498"/>
      <c r="AK51" s="498"/>
      <c r="AL51" s="498"/>
      <c r="AM51" s="498"/>
      <c r="AN51" s="498"/>
      <c r="AO51" s="498"/>
      <c r="AP51" s="498"/>
      <c r="AQ51" s="498"/>
      <c r="AR51" s="498"/>
      <c r="AS51" s="498"/>
      <c r="AT51" s="498"/>
      <c r="AU51" s="498"/>
      <c r="AV51" s="498"/>
      <c r="AW51" s="498"/>
      <c r="AX51" s="498"/>
      <c r="AY51" s="498"/>
      <c r="AZ51" s="498"/>
      <c r="BA51" s="498"/>
      <c r="BB51" s="498"/>
      <c r="BC51" s="498"/>
      <c r="BD51" s="498"/>
      <c r="BE51" s="498"/>
      <c r="BF51" s="498"/>
      <c r="BG51" s="498"/>
      <c r="BH51" s="498"/>
      <c r="BI51" s="498"/>
      <c r="BJ51" s="498"/>
      <c r="BK51" s="498"/>
      <c r="BL51" s="498"/>
      <c r="BM51" s="498"/>
      <c r="BN51" s="498"/>
      <c r="BO51" s="498"/>
      <c r="BP51" s="498"/>
      <c r="BQ51" s="498"/>
      <c r="BR51" s="498"/>
      <c r="BS51" s="498"/>
      <c r="BT51" s="498"/>
      <c r="BU51" s="498"/>
      <c r="BV51" s="498"/>
      <c r="BW51" s="498"/>
      <c r="BX51" s="498"/>
      <c r="BY51" s="498"/>
      <c r="BZ51" s="498"/>
      <c r="CA51" s="498"/>
      <c r="CB51" s="498"/>
      <c r="CC51" s="498"/>
      <c r="CD51" s="498"/>
      <c r="CE51" s="498"/>
      <c r="CF51" s="498"/>
      <c r="CG51" s="498"/>
      <c r="CH51" s="498"/>
    </row>
    <row r="52" spans="2:86">
      <c r="B52" s="868" t="s">
        <v>524</v>
      </c>
      <c r="C52" s="984"/>
      <c r="D52" s="984"/>
      <c r="E52" s="498"/>
      <c r="F52" s="498"/>
      <c r="G52" s="498"/>
      <c r="H52" s="498"/>
      <c r="I52" s="498"/>
      <c r="J52" s="498"/>
      <c r="K52" s="498"/>
      <c r="L52" s="498"/>
      <c r="M52" s="498"/>
      <c r="N52" s="498"/>
      <c r="O52" s="498"/>
      <c r="P52" s="498"/>
      <c r="Q52" s="498"/>
      <c r="R52" s="498"/>
      <c r="S52" s="498"/>
      <c r="T52" s="498"/>
      <c r="U52" s="498"/>
      <c r="V52" s="498"/>
      <c r="W52" s="498"/>
      <c r="X52" s="498"/>
      <c r="Y52" s="498"/>
      <c r="Z52" s="498"/>
      <c r="AA52" s="498"/>
      <c r="AB52" s="498"/>
      <c r="AC52" s="498"/>
      <c r="AD52" s="498"/>
      <c r="AE52" s="498"/>
      <c r="AF52" s="498"/>
      <c r="AG52" s="498"/>
      <c r="AH52" s="498"/>
      <c r="AI52" s="498"/>
      <c r="AJ52" s="498"/>
      <c r="AK52" s="498"/>
      <c r="AL52" s="498"/>
      <c r="AM52" s="498"/>
      <c r="AN52" s="498"/>
      <c r="AO52" s="498"/>
      <c r="AP52" s="498"/>
      <c r="AQ52" s="498"/>
      <c r="AR52" s="498"/>
      <c r="AS52" s="498"/>
      <c r="AT52" s="498"/>
      <c r="AU52" s="498"/>
      <c r="AV52" s="498"/>
      <c r="AW52" s="498"/>
      <c r="AX52" s="498"/>
      <c r="AY52" s="498"/>
      <c r="AZ52" s="498"/>
      <c r="BA52" s="498"/>
      <c r="BB52" s="498"/>
      <c r="BC52" s="498"/>
      <c r="BD52" s="498"/>
      <c r="BE52" s="498"/>
      <c r="BF52" s="498"/>
      <c r="BG52" s="498"/>
      <c r="BH52" s="498"/>
      <c r="BI52" s="498"/>
      <c r="BJ52" s="498"/>
      <c r="BK52" s="498"/>
      <c r="BL52" s="498"/>
      <c r="BM52" s="498"/>
      <c r="BN52" s="498"/>
      <c r="BO52" s="498"/>
      <c r="BP52" s="498"/>
      <c r="BQ52" s="498"/>
      <c r="BR52" s="498"/>
      <c r="BS52" s="498"/>
      <c r="BT52" s="498"/>
      <c r="BU52" s="498"/>
      <c r="BV52" s="498"/>
      <c r="BW52" s="498"/>
      <c r="BX52" s="498"/>
      <c r="BY52" s="498"/>
      <c r="BZ52" s="498"/>
      <c r="CA52" s="498"/>
      <c r="CB52" s="498"/>
      <c r="CC52" s="498"/>
      <c r="CD52" s="498"/>
      <c r="CE52" s="498"/>
      <c r="CF52" s="498"/>
      <c r="CG52" s="498"/>
      <c r="CH52" s="498"/>
    </row>
    <row r="53" spans="2:86">
      <c r="B53" s="986" t="s">
        <v>376</v>
      </c>
      <c r="C53" s="987">
        <v>9.5000000000000001E-2</v>
      </c>
      <c r="D53" s="988"/>
      <c r="E53" s="988"/>
      <c r="F53" s="988"/>
      <c r="G53" s="988"/>
      <c r="H53" s="988"/>
      <c r="I53" s="988"/>
      <c r="J53" s="988"/>
      <c r="K53" s="988"/>
      <c r="L53" s="988"/>
      <c r="M53" s="988"/>
      <c r="N53" s="988"/>
      <c r="O53" s="988"/>
      <c r="P53" s="988"/>
      <c r="Q53" s="988"/>
      <c r="R53" s="988"/>
      <c r="S53" s="988"/>
      <c r="T53" s="988"/>
      <c r="U53" s="988"/>
      <c r="V53" s="988"/>
      <c r="W53" s="988"/>
      <c r="X53" s="986"/>
      <c r="Y53" s="986"/>
      <c r="Z53" s="986"/>
      <c r="AA53" s="986"/>
      <c r="AB53" s="986"/>
      <c r="AC53" s="986"/>
      <c r="AD53" s="986"/>
      <c r="AE53" s="986"/>
      <c r="AF53" s="986"/>
      <c r="AG53" s="986"/>
      <c r="AH53" s="986"/>
      <c r="AI53" s="986"/>
      <c r="AJ53" s="986"/>
      <c r="AK53" s="986"/>
      <c r="AL53" s="986"/>
      <c r="AM53" s="986"/>
      <c r="AN53" s="986"/>
      <c r="AO53" s="986"/>
      <c r="AP53" s="986"/>
      <c r="AQ53" s="986"/>
      <c r="AR53" s="986"/>
      <c r="AS53" s="986"/>
      <c r="AT53" s="986"/>
      <c r="AU53" s="986"/>
      <c r="AV53" s="986"/>
      <c r="AW53" s="986"/>
      <c r="AX53" s="986"/>
      <c r="AY53" s="986"/>
      <c r="AZ53" s="986"/>
      <c r="BA53" s="986"/>
      <c r="BB53" s="986"/>
      <c r="BC53" s="986"/>
      <c r="BD53" s="986"/>
      <c r="BE53" s="986"/>
      <c r="BF53" s="986"/>
      <c r="BG53" s="986"/>
      <c r="BH53" s="986"/>
      <c r="BI53" s="986"/>
      <c r="BJ53" s="986"/>
      <c r="BK53" s="986"/>
      <c r="BL53" s="986"/>
      <c r="BM53" s="986"/>
      <c r="BN53" s="986"/>
      <c r="BO53" s="986"/>
      <c r="BP53" s="986"/>
      <c r="BQ53" s="986"/>
      <c r="BR53" s="986"/>
      <c r="BS53" s="986"/>
      <c r="BT53" s="986"/>
      <c r="BU53" s="986"/>
      <c r="BV53" s="986"/>
      <c r="BW53" s="986"/>
      <c r="BX53" s="986"/>
      <c r="BY53" s="986"/>
      <c r="BZ53" s="986"/>
      <c r="CA53" s="986"/>
      <c r="CB53" s="986"/>
      <c r="CC53" s="986"/>
      <c r="CD53" s="986"/>
      <c r="CE53" s="986"/>
      <c r="CF53" s="986"/>
      <c r="CG53" s="986"/>
    </row>
    <row r="54" spans="2:86">
      <c r="B54" s="989" t="s">
        <v>444</v>
      </c>
      <c r="C54" s="990">
        <v>0</v>
      </c>
      <c r="D54" s="991"/>
      <c r="E54" s="989"/>
      <c r="F54" s="989"/>
      <c r="G54" s="989"/>
      <c r="H54" s="989"/>
      <c r="I54" s="989"/>
      <c r="J54" s="989"/>
      <c r="K54" s="989"/>
      <c r="L54" s="989"/>
      <c r="M54" s="989"/>
      <c r="N54" s="989"/>
      <c r="O54" s="989"/>
      <c r="P54" s="989"/>
      <c r="Q54" s="989"/>
      <c r="R54" s="989"/>
      <c r="S54" s="989"/>
      <c r="T54" s="989"/>
      <c r="U54" s="989"/>
      <c r="V54" s="989"/>
      <c r="W54" s="989"/>
      <c r="X54" s="989"/>
      <c r="Y54" s="989"/>
      <c r="Z54" s="989"/>
      <c r="AA54" s="991"/>
      <c r="AB54" s="989"/>
      <c r="AC54" s="989"/>
      <c r="AD54" s="989"/>
      <c r="AE54" s="989"/>
      <c r="AF54" s="989"/>
      <c r="AG54" s="989"/>
      <c r="AH54" s="989"/>
      <c r="AI54" s="989"/>
      <c r="AJ54" s="989"/>
      <c r="AK54" s="989"/>
      <c r="AL54" s="989"/>
      <c r="AM54" s="989"/>
      <c r="AN54" s="989"/>
      <c r="AO54" s="989"/>
      <c r="AP54" s="989"/>
      <c r="AQ54" s="989"/>
      <c r="AR54" s="989"/>
      <c r="AS54" s="989"/>
      <c r="AT54" s="989"/>
      <c r="AU54" s="989"/>
      <c r="AV54" s="989"/>
      <c r="AW54" s="989"/>
      <c r="AX54" s="989"/>
      <c r="AY54" s="989"/>
      <c r="AZ54" s="989"/>
      <c r="BA54" s="989"/>
      <c r="BB54" s="989"/>
      <c r="BC54" s="989"/>
      <c r="BD54" s="989"/>
      <c r="BE54" s="989"/>
      <c r="BF54" s="989"/>
      <c r="BG54" s="989"/>
      <c r="BH54" s="989"/>
      <c r="BI54" s="989"/>
      <c r="BJ54" s="989"/>
      <c r="BK54" s="989"/>
      <c r="BL54" s="989"/>
      <c r="BM54" s="989"/>
      <c r="BN54" s="989"/>
      <c r="BO54" s="989"/>
      <c r="BP54" s="989"/>
      <c r="BQ54" s="989"/>
      <c r="BR54" s="989"/>
      <c r="BS54" s="989"/>
      <c r="BT54" s="989"/>
      <c r="BU54" s="989"/>
      <c r="BV54" s="989"/>
      <c r="BW54" s="989"/>
      <c r="BX54" s="989"/>
      <c r="BY54" s="989"/>
      <c r="BZ54" s="989"/>
      <c r="CA54" s="989"/>
      <c r="CB54" s="989"/>
      <c r="CC54" s="989"/>
      <c r="CD54" s="989"/>
      <c r="CE54" s="989"/>
      <c r="CF54" s="989"/>
      <c r="CG54" s="989"/>
    </row>
    <row r="55" spans="2:86">
      <c r="B55" s="992" t="s">
        <v>64</v>
      </c>
      <c r="C55" s="993">
        <f>SUM(E55:Z55)</f>
        <v>0</v>
      </c>
      <c r="D55" s="989"/>
      <c r="E55" s="994"/>
      <c r="F55" s="994"/>
      <c r="G55" s="994"/>
      <c r="H55" s="994"/>
      <c r="I55" s="994"/>
      <c r="J55" s="994"/>
      <c r="K55" s="994">
        <f>$C$53*SUM($E$56:K56)*3/12*$C$54</f>
        <v>0</v>
      </c>
      <c r="L55" s="994">
        <f>$C$53*SUM($E$56:L56)*3/12*$C$54</f>
        <v>0</v>
      </c>
      <c r="M55" s="994">
        <f>$C$53*SUM($E$56:M56)*3/12*$C$54</f>
        <v>0</v>
      </c>
      <c r="N55" s="994"/>
      <c r="O55" s="994"/>
      <c r="P55" s="994"/>
      <c r="Q55" s="994"/>
      <c r="R55" s="994"/>
      <c r="S55" s="994"/>
      <c r="T55" s="994"/>
      <c r="U55" s="994"/>
      <c r="V55" s="994"/>
      <c r="W55" s="994"/>
      <c r="X55" s="994"/>
      <c r="Y55" s="994"/>
      <c r="Z55" s="994"/>
      <c r="AA55" s="994"/>
      <c r="AB55" s="989"/>
      <c r="AC55" s="989"/>
      <c r="AD55" s="989"/>
      <c r="AE55" s="989"/>
      <c r="AF55" s="989"/>
      <c r="AG55" s="989"/>
      <c r="AH55" s="989"/>
      <c r="AI55" s="989"/>
      <c r="AJ55" s="989"/>
      <c r="AK55" s="989"/>
      <c r="AL55" s="989"/>
      <c r="AM55" s="989"/>
      <c r="AN55" s="989"/>
      <c r="AO55" s="989"/>
      <c r="AP55" s="989"/>
      <c r="AQ55" s="989"/>
      <c r="AR55" s="989"/>
      <c r="AS55" s="989"/>
      <c r="AT55" s="989"/>
      <c r="AU55" s="989"/>
      <c r="AV55" s="989"/>
      <c r="AW55" s="989"/>
      <c r="AX55" s="989"/>
      <c r="AY55" s="989"/>
      <c r="AZ55" s="989"/>
      <c r="BA55" s="989"/>
      <c r="BB55" s="989"/>
      <c r="BC55" s="989"/>
      <c r="BD55" s="989"/>
      <c r="BE55" s="989"/>
      <c r="BF55" s="989"/>
      <c r="BG55" s="989"/>
      <c r="BH55" s="989"/>
      <c r="BI55" s="989"/>
      <c r="BJ55" s="989"/>
      <c r="BK55" s="989"/>
      <c r="BL55" s="989"/>
      <c r="BM55" s="989"/>
      <c r="BN55" s="989"/>
      <c r="BO55" s="989"/>
      <c r="BP55" s="989"/>
      <c r="BQ55" s="989"/>
      <c r="BR55" s="989"/>
      <c r="BS55" s="989"/>
      <c r="BT55" s="989"/>
      <c r="BU55" s="989"/>
      <c r="BV55" s="989"/>
      <c r="BW55" s="989"/>
      <c r="BX55" s="989"/>
      <c r="BY55" s="989"/>
      <c r="BZ55" s="989"/>
      <c r="CA55" s="989"/>
      <c r="CB55" s="989"/>
      <c r="CC55" s="989"/>
      <c r="CD55" s="989"/>
      <c r="CE55" s="989"/>
      <c r="CF55" s="989"/>
      <c r="CG55" s="989"/>
    </row>
    <row r="56" spans="2:86">
      <c r="B56" s="1420" t="s">
        <v>525</v>
      </c>
      <c r="C56" s="1421">
        <f>SUM(E56:Z56)</f>
        <v>0</v>
      </c>
      <c r="D56" s="1422"/>
      <c r="E56" s="1425">
        <f>+E57+E58</f>
        <v>0</v>
      </c>
      <c r="F56" s="1425">
        <f t="shared" ref="F56:O56" si="51">+F57+F58</f>
        <v>0</v>
      </c>
      <c r="G56" s="1425">
        <f t="shared" si="51"/>
        <v>0</v>
      </c>
      <c r="H56" s="1425">
        <f t="shared" si="51"/>
        <v>0</v>
      </c>
      <c r="I56" s="1425">
        <f t="shared" si="51"/>
        <v>0</v>
      </c>
      <c r="J56" s="1425">
        <f t="shared" si="51"/>
        <v>0</v>
      </c>
      <c r="K56" s="1425">
        <f t="shared" si="51"/>
        <v>0</v>
      </c>
      <c r="L56" s="1425">
        <f t="shared" si="51"/>
        <v>0</v>
      </c>
      <c r="M56" s="1425">
        <f t="shared" si="51"/>
        <v>0</v>
      </c>
      <c r="N56" s="1425">
        <f t="shared" si="51"/>
        <v>0</v>
      </c>
      <c r="O56" s="1425">
        <f t="shared" si="51"/>
        <v>0</v>
      </c>
      <c r="P56" s="1423"/>
      <c r="Q56" s="1423"/>
      <c r="R56" s="1423"/>
      <c r="S56" s="1423"/>
      <c r="T56" s="1423"/>
      <c r="U56" s="1423"/>
      <c r="V56" s="1423"/>
      <c r="W56" s="1423"/>
      <c r="X56" s="1423"/>
      <c r="Y56" s="1423"/>
      <c r="Z56" s="1423"/>
      <c r="AA56" s="1424"/>
      <c r="AB56" s="1422"/>
      <c r="AC56" s="1422"/>
      <c r="AD56" s="1422"/>
      <c r="AE56" s="1422"/>
      <c r="AF56" s="1422"/>
      <c r="AG56" s="1422"/>
      <c r="AH56" s="1422"/>
      <c r="AI56" s="1422"/>
      <c r="AJ56" s="1422"/>
      <c r="AK56" s="1422"/>
      <c r="AL56" s="1422"/>
      <c r="AM56" s="1422"/>
      <c r="AN56" s="1422"/>
      <c r="AO56" s="1422"/>
      <c r="AP56" s="1422"/>
      <c r="AQ56" s="1422"/>
      <c r="AR56" s="1422"/>
      <c r="AS56" s="1422"/>
      <c r="AT56" s="1422"/>
      <c r="AU56" s="1422"/>
      <c r="AV56" s="1422"/>
      <c r="AW56" s="1422"/>
      <c r="AX56" s="1422"/>
      <c r="AY56" s="1422"/>
      <c r="AZ56" s="1422"/>
      <c r="BA56" s="1422"/>
      <c r="BB56" s="1422"/>
      <c r="BC56" s="1422"/>
      <c r="BD56" s="1422"/>
      <c r="BE56" s="1422"/>
      <c r="BF56" s="1422"/>
      <c r="BG56" s="1422"/>
      <c r="BH56" s="1422"/>
      <c r="BI56" s="1422"/>
      <c r="BJ56" s="1422"/>
      <c r="BK56" s="1422"/>
      <c r="BL56" s="1422"/>
      <c r="BM56" s="1422"/>
      <c r="BN56" s="1422"/>
      <c r="BO56" s="1422"/>
      <c r="BP56" s="1422"/>
      <c r="BQ56" s="1422"/>
      <c r="BR56" s="1422"/>
      <c r="BS56" s="1422"/>
      <c r="BT56" s="1422"/>
      <c r="BU56" s="1422"/>
      <c r="BV56" s="1422"/>
      <c r="BW56" s="1422"/>
      <c r="BX56" s="1422"/>
      <c r="BY56" s="1422"/>
      <c r="BZ56" s="1422"/>
      <c r="CA56" s="1422"/>
      <c r="CB56" s="1422"/>
      <c r="CC56" s="1422"/>
      <c r="CD56" s="1422"/>
      <c r="CE56" s="1422"/>
      <c r="CF56" s="1422"/>
      <c r="CG56" s="1422"/>
    </row>
    <row r="57" spans="2:86">
      <c r="B57" s="1426" t="s">
        <v>597</v>
      </c>
      <c r="C57" s="1428">
        <f t="shared" ref="C57:C58" si="52">SUM(E57:Z57)</f>
        <v>0</v>
      </c>
      <c r="D57" s="1422"/>
      <c r="E57" s="994"/>
      <c r="F57" s="994"/>
      <c r="G57" s="994"/>
      <c r="H57" s="994"/>
      <c r="I57" s="994"/>
      <c r="J57" s="994"/>
      <c r="K57" s="994"/>
      <c r="L57" s="994">
        <f>+'5.Doanh thu'!N21</f>
        <v>0</v>
      </c>
      <c r="M57" s="994">
        <f>+'5.Doanh thu'!O21</f>
        <v>0</v>
      </c>
      <c r="N57" s="994"/>
      <c r="O57" s="994"/>
      <c r="P57" s="994"/>
      <c r="Q57" s="1423"/>
      <c r="R57" s="1423"/>
      <c r="S57" s="1423"/>
      <c r="T57" s="1423"/>
      <c r="U57" s="1423"/>
      <c r="V57" s="1423"/>
      <c r="W57" s="1423"/>
      <c r="X57" s="1423"/>
      <c r="Y57" s="1423"/>
      <c r="Z57" s="1423"/>
      <c r="AA57" s="1424"/>
      <c r="AB57" s="1422"/>
      <c r="AC57" s="1422"/>
      <c r="AD57" s="1422"/>
      <c r="AE57" s="1422"/>
      <c r="AF57" s="1422"/>
      <c r="AG57" s="1422"/>
      <c r="AH57" s="1422"/>
      <c r="AI57" s="1422"/>
      <c r="AJ57" s="1422"/>
      <c r="AK57" s="1422"/>
      <c r="AL57" s="1422"/>
      <c r="AM57" s="1422"/>
      <c r="AN57" s="1422"/>
      <c r="AO57" s="1422"/>
      <c r="AP57" s="1422"/>
      <c r="AQ57" s="1422"/>
      <c r="AR57" s="1422"/>
      <c r="AS57" s="1422"/>
      <c r="AT57" s="1422"/>
      <c r="AU57" s="1422"/>
      <c r="AV57" s="1422"/>
      <c r="AW57" s="1422"/>
      <c r="AX57" s="1422"/>
      <c r="AY57" s="1422"/>
      <c r="AZ57" s="1422"/>
      <c r="BA57" s="1422"/>
      <c r="BB57" s="1422"/>
      <c r="BC57" s="1422"/>
      <c r="BD57" s="1422"/>
      <c r="BE57" s="1422"/>
      <c r="BF57" s="1422"/>
      <c r="BG57" s="1422"/>
      <c r="BH57" s="1422"/>
      <c r="BI57" s="1422"/>
      <c r="BJ57" s="1422"/>
      <c r="BK57" s="1422"/>
      <c r="BL57" s="1422"/>
      <c r="BM57" s="1422"/>
      <c r="BN57" s="1422"/>
      <c r="BO57" s="1422"/>
      <c r="BP57" s="1422"/>
      <c r="BQ57" s="1422"/>
      <c r="BR57" s="1422"/>
      <c r="BS57" s="1422"/>
      <c r="BT57" s="1422"/>
      <c r="BU57" s="1422"/>
      <c r="BV57" s="1422"/>
      <c r="BW57" s="1422"/>
      <c r="BX57" s="1422"/>
      <c r="BY57" s="1422"/>
      <c r="BZ57" s="1422"/>
      <c r="CA57" s="1422"/>
      <c r="CB57" s="1422"/>
      <c r="CC57" s="1422"/>
      <c r="CD57" s="1422"/>
      <c r="CE57" s="1422"/>
      <c r="CF57" s="1422"/>
      <c r="CG57" s="1422"/>
    </row>
    <row r="58" spans="2:86">
      <c r="B58" s="1427" t="s">
        <v>598</v>
      </c>
      <c r="C58" s="1429">
        <f t="shared" si="52"/>
        <v>0</v>
      </c>
      <c r="D58" s="1417"/>
      <c r="E58" s="1419"/>
      <c r="F58" s="1419"/>
      <c r="G58" s="1419"/>
      <c r="H58" s="1419"/>
      <c r="I58" s="1419"/>
      <c r="J58" s="1419"/>
      <c r="K58" s="1419"/>
      <c r="L58" s="1419"/>
      <c r="M58" s="1419">
        <f>+'5.Doanh thu'!P27</f>
        <v>0</v>
      </c>
      <c r="N58" s="1419"/>
      <c r="O58" s="1419"/>
      <c r="P58" s="1419"/>
      <c r="Q58" s="1418"/>
      <c r="R58" s="1418"/>
      <c r="S58" s="1418"/>
      <c r="T58" s="1418"/>
      <c r="U58" s="1418"/>
      <c r="V58" s="1418"/>
      <c r="W58" s="1418"/>
      <c r="X58" s="1418"/>
      <c r="Y58" s="1418"/>
      <c r="Z58" s="1418"/>
      <c r="AA58" s="1419"/>
      <c r="AB58" s="1417"/>
      <c r="AC58" s="1417"/>
      <c r="AD58" s="1417"/>
      <c r="AE58" s="1417"/>
      <c r="AF58" s="1417"/>
      <c r="AG58" s="1417"/>
      <c r="AH58" s="1417"/>
      <c r="AI58" s="1417"/>
      <c r="AJ58" s="1417"/>
      <c r="AK58" s="1417"/>
      <c r="AL58" s="1417"/>
      <c r="AM58" s="1417"/>
      <c r="AN58" s="1417"/>
      <c r="AO58" s="1417"/>
      <c r="AP58" s="1417"/>
      <c r="AQ58" s="1417"/>
      <c r="AR58" s="1417"/>
      <c r="AS58" s="1417"/>
      <c r="AT58" s="1417"/>
      <c r="AU58" s="1417"/>
      <c r="AV58" s="1417"/>
      <c r="AW58" s="1417"/>
      <c r="AX58" s="1417"/>
      <c r="AY58" s="1417"/>
      <c r="AZ58" s="1417"/>
      <c r="BA58" s="1417"/>
      <c r="BB58" s="1417"/>
      <c r="BC58" s="1417"/>
      <c r="BD58" s="1417"/>
      <c r="BE58" s="1417"/>
      <c r="BF58" s="1417"/>
      <c r="BG58" s="1417"/>
      <c r="BH58" s="1417"/>
      <c r="BI58" s="1417"/>
      <c r="BJ58" s="1417"/>
      <c r="BK58" s="1417"/>
      <c r="BL58" s="1417"/>
      <c r="BM58" s="1417"/>
      <c r="BN58" s="1417"/>
      <c r="BO58" s="1417"/>
      <c r="BP58" s="1417"/>
      <c r="BQ58" s="1417"/>
      <c r="BR58" s="1417"/>
      <c r="BS58" s="1417"/>
      <c r="BT58" s="1417"/>
      <c r="BU58" s="1417"/>
      <c r="BV58" s="1417"/>
      <c r="BW58" s="1417"/>
      <c r="BX58" s="1417"/>
      <c r="BY58" s="1417"/>
      <c r="BZ58" s="1417"/>
      <c r="CA58" s="1417"/>
      <c r="CB58" s="1417"/>
      <c r="CC58" s="1417"/>
      <c r="CD58" s="1417"/>
      <c r="CE58" s="1417"/>
      <c r="CF58" s="1417"/>
      <c r="CG58" s="1417"/>
    </row>
    <row r="59" spans="2:86">
      <c r="C59" s="913"/>
      <c r="AA59" s="565"/>
    </row>
    <row r="60" spans="2:86">
      <c r="C60" s="913"/>
      <c r="E60" s="565"/>
      <c r="F60" s="565"/>
      <c r="G60" s="565"/>
      <c r="H60" s="565"/>
      <c r="I60" s="565"/>
      <c r="J60" s="565"/>
      <c r="K60" s="565"/>
      <c r="L60" s="565"/>
      <c r="M60" s="565"/>
      <c r="N60" s="565"/>
      <c r="O60" s="565"/>
      <c r="P60" s="565"/>
      <c r="Q60" s="565"/>
      <c r="R60" s="565"/>
      <c r="S60" s="565"/>
      <c r="T60" s="565"/>
      <c r="U60" s="565"/>
      <c r="V60" s="565"/>
      <c r="W60" s="565"/>
      <c r="X60" s="565"/>
      <c r="Y60" s="565"/>
      <c r="Z60" s="565"/>
      <c r="AA60" s="565"/>
    </row>
    <row r="61" spans="2:86">
      <c r="B61" s="868" t="s">
        <v>67</v>
      </c>
      <c r="E61" s="898"/>
      <c r="F61" s="898"/>
      <c r="G61" s="898"/>
      <c r="H61" s="898"/>
      <c r="I61" s="898"/>
      <c r="J61" s="898"/>
      <c r="K61" s="898"/>
      <c r="L61" s="898"/>
      <c r="M61" s="898"/>
      <c r="N61" s="898"/>
      <c r="O61" s="898"/>
      <c r="P61" s="898"/>
      <c r="Q61" s="898"/>
      <c r="R61" s="898"/>
      <c r="S61" s="898"/>
      <c r="T61" s="898"/>
      <c r="U61" s="898"/>
      <c r="V61" s="898"/>
      <c r="W61" s="898"/>
    </row>
    <row r="62" spans="2:86">
      <c r="B62" s="871" t="s">
        <v>39</v>
      </c>
      <c r="C62" s="914">
        <f>SUM(C63:C65)</f>
        <v>1088399.7600325351</v>
      </c>
      <c r="D62" s="915"/>
      <c r="E62" s="874"/>
      <c r="F62" s="874"/>
      <c r="G62" s="874"/>
      <c r="H62" s="874"/>
      <c r="I62" s="874"/>
      <c r="J62" s="874"/>
      <c r="K62" s="874"/>
      <c r="L62" s="874"/>
      <c r="M62" s="874"/>
      <c r="N62" s="874"/>
      <c r="O62" s="874"/>
      <c r="P62" s="874"/>
      <c r="Q62" s="874"/>
      <c r="R62" s="874"/>
      <c r="S62" s="874"/>
      <c r="T62" s="874"/>
      <c r="U62" s="874"/>
      <c r="V62" s="874"/>
      <c r="W62" s="874"/>
      <c r="X62" s="874"/>
      <c r="Y62" s="874"/>
      <c r="Z62" s="874"/>
      <c r="AA62" s="874"/>
      <c r="AB62" s="874"/>
      <c r="AC62" s="874"/>
      <c r="AD62" s="874"/>
      <c r="AE62" s="874"/>
      <c r="AF62" s="874"/>
      <c r="AG62" s="874"/>
      <c r="AH62" s="874"/>
      <c r="AI62" s="874"/>
      <c r="AJ62" s="874"/>
      <c r="AK62" s="874"/>
      <c r="AL62" s="874"/>
      <c r="AM62" s="874"/>
      <c r="AN62" s="874"/>
      <c r="AO62" s="874"/>
      <c r="AP62" s="874"/>
      <c r="AQ62" s="874"/>
      <c r="AR62" s="874"/>
      <c r="AS62" s="874"/>
      <c r="AT62" s="874"/>
      <c r="AU62" s="874"/>
      <c r="AV62" s="874"/>
      <c r="AW62" s="874"/>
      <c r="AX62" s="874"/>
      <c r="AY62" s="874"/>
      <c r="AZ62" s="874"/>
      <c r="BA62" s="874"/>
      <c r="BB62" s="874"/>
      <c r="BC62" s="874"/>
      <c r="BD62" s="874"/>
      <c r="BE62" s="874"/>
      <c r="BF62" s="874"/>
      <c r="BG62" s="874"/>
      <c r="BH62" s="874"/>
      <c r="BI62" s="874"/>
      <c r="BJ62" s="874"/>
      <c r="BK62" s="874"/>
      <c r="BL62" s="874"/>
      <c r="BM62" s="874"/>
      <c r="BN62" s="874"/>
      <c r="BO62" s="874"/>
      <c r="BP62" s="874"/>
      <c r="BQ62" s="874"/>
      <c r="BR62" s="874"/>
      <c r="BS62" s="874"/>
      <c r="BT62" s="874"/>
      <c r="BU62" s="874"/>
      <c r="BV62" s="874"/>
      <c r="BW62" s="874"/>
      <c r="BX62" s="874"/>
      <c r="BY62" s="874"/>
      <c r="BZ62" s="874"/>
      <c r="CA62" s="874"/>
      <c r="CB62" s="874"/>
      <c r="CC62" s="874"/>
      <c r="CD62" s="874"/>
      <c r="CE62" s="874"/>
      <c r="CF62" s="874"/>
      <c r="CG62" s="874"/>
      <c r="CH62" s="874"/>
    </row>
    <row r="63" spans="2:86">
      <c r="B63" s="885" t="s">
        <v>40</v>
      </c>
      <c r="C63" s="911">
        <f>SUM(E63:BZ63)</f>
        <v>3.2245721244676542E-13</v>
      </c>
      <c r="D63" s="903">
        <f>C63/$C$62</f>
        <v>2.9626725793942324E-19</v>
      </c>
      <c r="E63" s="887">
        <f t="shared" ref="E63:H63" si="53">IF(E67-E65-E64&gt;0,E67-E65-E64,0)</f>
        <v>0</v>
      </c>
      <c r="F63" s="887">
        <f t="shared" si="53"/>
        <v>0</v>
      </c>
      <c r="G63" s="887">
        <f t="shared" si="53"/>
        <v>0</v>
      </c>
      <c r="H63" s="887">
        <f t="shared" si="53"/>
        <v>0</v>
      </c>
      <c r="I63" s="887">
        <f>IF(I67-I65-I64&gt;0,I67-I65-I64,0)</f>
        <v>0</v>
      </c>
      <c r="J63" s="887">
        <f t="shared" ref="J63:BU63" si="54">IF(J67-J65-J64&gt;0,J67-J65-J64,0)</f>
        <v>0</v>
      </c>
      <c r="K63" s="887">
        <f t="shared" si="54"/>
        <v>3.2245721244676542E-13</v>
      </c>
      <c r="L63" s="887">
        <f t="shared" si="54"/>
        <v>0</v>
      </c>
      <c r="M63" s="887">
        <f t="shared" si="54"/>
        <v>0</v>
      </c>
      <c r="N63" s="887">
        <f t="shared" si="54"/>
        <v>0</v>
      </c>
      <c r="O63" s="887">
        <f t="shared" si="54"/>
        <v>0</v>
      </c>
      <c r="P63" s="887">
        <f t="shared" si="54"/>
        <v>0</v>
      </c>
      <c r="Q63" s="887">
        <f t="shared" si="54"/>
        <v>0</v>
      </c>
      <c r="R63" s="887">
        <f t="shared" si="54"/>
        <v>0</v>
      </c>
      <c r="S63" s="887">
        <f t="shared" si="54"/>
        <v>0</v>
      </c>
      <c r="T63" s="887">
        <f t="shared" si="54"/>
        <v>0</v>
      </c>
      <c r="U63" s="887">
        <f t="shared" si="54"/>
        <v>0</v>
      </c>
      <c r="V63" s="887">
        <f t="shared" si="54"/>
        <v>0</v>
      </c>
      <c r="W63" s="887">
        <f t="shared" si="54"/>
        <v>0</v>
      </c>
      <c r="X63" s="887">
        <f t="shared" si="54"/>
        <v>0</v>
      </c>
      <c r="Y63" s="887">
        <f t="shared" si="54"/>
        <v>0</v>
      </c>
      <c r="Z63" s="887">
        <f t="shared" si="54"/>
        <v>0</v>
      </c>
      <c r="AA63" s="887">
        <f t="shared" si="54"/>
        <v>0</v>
      </c>
      <c r="AB63" s="887">
        <f t="shared" si="54"/>
        <v>0</v>
      </c>
      <c r="AC63" s="887">
        <f t="shared" si="54"/>
        <v>0</v>
      </c>
      <c r="AD63" s="887">
        <f t="shared" si="54"/>
        <v>0</v>
      </c>
      <c r="AE63" s="887">
        <f t="shared" si="54"/>
        <v>0</v>
      </c>
      <c r="AF63" s="887">
        <f t="shared" si="54"/>
        <v>0</v>
      </c>
      <c r="AG63" s="887">
        <f t="shared" si="54"/>
        <v>0</v>
      </c>
      <c r="AH63" s="887">
        <f t="shared" si="54"/>
        <v>0</v>
      </c>
      <c r="AI63" s="887">
        <f t="shared" si="54"/>
        <v>0</v>
      </c>
      <c r="AJ63" s="887">
        <f t="shared" si="54"/>
        <v>0</v>
      </c>
      <c r="AK63" s="887">
        <f t="shared" si="54"/>
        <v>0</v>
      </c>
      <c r="AL63" s="887">
        <f t="shared" si="54"/>
        <v>0</v>
      </c>
      <c r="AM63" s="887">
        <f t="shared" si="54"/>
        <v>0</v>
      </c>
      <c r="AN63" s="887">
        <f t="shared" si="54"/>
        <v>0</v>
      </c>
      <c r="AO63" s="887">
        <f t="shared" si="54"/>
        <v>0</v>
      </c>
      <c r="AP63" s="887">
        <f t="shared" si="54"/>
        <v>0</v>
      </c>
      <c r="AQ63" s="887">
        <f t="shared" si="54"/>
        <v>0</v>
      </c>
      <c r="AR63" s="887">
        <f t="shared" si="54"/>
        <v>0</v>
      </c>
      <c r="AS63" s="887">
        <f t="shared" si="54"/>
        <v>0</v>
      </c>
      <c r="AT63" s="887">
        <f t="shared" si="54"/>
        <v>0</v>
      </c>
      <c r="AU63" s="887">
        <f t="shared" si="54"/>
        <v>0</v>
      </c>
      <c r="AV63" s="887">
        <f t="shared" si="54"/>
        <v>0</v>
      </c>
      <c r="AW63" s="887">
        <f t="shared" si="54"/>
        <v>0</v>
      </c>
      <c r="AX63" s="887">
        <f t="shared" si="54"/>
        <v>0</v>
      </c>
      <c r="AY63" s="887">
        <f t="shared" si="54"/>
        <v>0</v>
      </c>
      <c r="AZ63" s="887">
        <f t="shared" si="54"/>
        <v>0</v>
      </c>
      <c r="BA63" s="887">
        <f t="shared" si="54"/>
        <v>0</v>
      </c>
      <c r="BB63" s="887">
        <f t="shared" si="54"/>
        <v>0</v>
      </c>
      <c r="BC63" s="887">
        <f t="shared" si="54"/>
        <v>0</v>
      </c>
      <c r="BD63" s="887">
        <f t="shared" si="54"/>
        <v>0</v>
      </c>
      <c r="BE63" s="887">
        <f t="shared" si="54"/>
        <v>0</v>
      </c>
      <c r="BF63" s="887">
        <f t="shared" si="54"/>
        <v>0</v>
      </c>
      <c r="BG63" s="887">
        <f t="shared" si="54"/>
        <v>0</v>
      </c>
      <c r="BH63" s="887">
        <f t="shared" si="54"/>
        <v>0</v>
      </c>
      <c r="BI63" s="887">
        <f t="shared" si="54"/>
        <v>0</v>
      </c>
      <c r="BJ63" s="887">
        <f t="shared" si="54"/>
        <v>0</v>
      </c>
      <c r="BK63" s="887">
        <f t="shared" si="54"/>
        <v>0</v>
      </c>
      <c r="BL63" s="887">
        <f t="shared" si="54"/>
        <v>0</v>
      </c>
      <c r="BM63" s="887">
        <f t="shared" si="54"/>
        <v>0</v>
      </c>
      <c r="BN63" s="887">
        <f t="shared" si="54"/>
        <v>0</v>
      </c>
      <c r="BO63" s="887">
        <f t="shared" si="54"/>
        <v>0</v>
      </c>
      <c r="BP63" s="887">
        <f t="shared" si="54"/>
        <v>0</v>
      </c>
      <c r="BQ63" s="887">
        <f t="shared" si="54"/>
        <v>0</v>
      </c>
      <c r="BR63" s="887">
        <f t="shared" si="54"/>
        <v>0</v>
      </c>
      <c r="BS63" s="887">
        <f t="shared" si="54"/>
        <v>0</v>
      </c>
      <c r="BT63" s="887">
        <f t="shared" si="54"/>
        <v>0</v>
      </c>
      <c r="BU63" s="887">
        <f t="shared" si="54"/>
        <v>0</v>
      </c>
      <c r="BV63" s="887">
        <f t="shared" ref="BV63:CH63" si="55">IF(BV67-BV65-BV64&gt;0,BV67-BV65-BV64,0)</f>
        <v>0</v>
      </c>
      <c r="BW63" s="887">
        <f t="shared" si="55"/>
        <v>0</v>
      </c>
      <c r="BX63" s="887">
        <f t="shared" si="55"/>
        <v>0</v>
      </c>
      <c r="BY63" s="887">
        <f t="shared" si="55"/>
        <v>0</v>
      </c>
      <c r="BZ63" s="887">
        <f t="shared" si="55"/>
        <v>0</v>
      </c>
      <c r="CA63" s="887">
        <f t="shared" si="55"/>
        <v>0</v>
      </c>
      <c r="CB63" s="887">
        <f t="shared" si="55"/>
        <v>0</v>
      </c>
      <c r="CC63" s="887">
        <f t="shared" si="55"/>
        <v>0</v>
      </c>
      <c r="CD63" s="887">
        <f t="shared" si="55"/>
        <v>0</v>
      </c>
      <c r="CE63" s="887">
        <f t="shared" si="55"/>
        <v>0</v>
      </c>
      <c r="CF63" s="887">
        <f t="shared" si="55"/>
        <v>0</v>
      </c>
      <c r="CG63" s="887">
        <f t="shared" si="55"/>
        <v>0</v>
      </c>
      <c r="CH63" s="887">
        <f t="shared" si="55"/>
        <v>0</v>
      </c>
    </row>
    <row r="64" spans="2:86">
      <c r="B64" s="888" t="s">
        <v>41</v>
      </c>
      <c r="C64" s="911">
        <f>SUM(E64:BZ64)</f>
        <v>7.5240016237578598E-13</v>
      </c>
      <c r="D64" s="903">
        <f>C64/$C$62</f>
        <v>6.9129026852532087E-19</v>
      </c>
      <c r="E64" s="887">
        <f t="shared" ref="E64:H64" si="56">IF(E67&gt;E65,(E67-E65)*0.7,0)</f>
        <v>0</v>
      </c>
      <c r="F64" s="887">
        <f t="shared" si="56"/>
        <v>0</v>
      </c>
      <c r="G64" s="887">
        <f t="shared" si="56"/>
        <v>0</v>
      </c>
      <c r="H64" s="887">
        <f t="shared" si="56"/>
        <v>0</v>
      </c>
      <c r="I64" s="887">
        <f t="shared" ref="I64" si="57">IF(I67&gt;I65,(I67-I65)*0.7,0)</f>
        <v>0</v>
      </c>
      <c r="J64" s="887">
        <f t="shared" ref="J64" si="58">IF(J67&gt;J65,(J67-J65)*0.7,0)</f>
        <v>0</v>
      </c>
      <c r="K64" s="887">
        <f t="shared" ref="K64:BU64" si="59">IF(K67&gt;K65,(K67-K65)*0.7,0)</f>
        <v>7.5240016237578598E-13</v>
      </c>
      <c r="L64" s="887">
        <f t="shared" si="59"/>
        <v>0</v>
      </c>
      <c r="M64" s="887">
        <f t="shared" si="59"/>
        <v>0</v>
      </c>
      <c r="N64" s="887">
        <f t="shared" si="59"/>
        <v>0</v>
      </c>
      <c r="O64" s="887">
        <f t="shared" si="59"/>
        <v>0</v>
      </c>
      <c r="P64" s="887">
        <f t="shared" si="59"/>
        <v>0</v>
      </c>
      <c r="Q64" s="887">
        <f t="shared" si="59"/>
        <v>0</v>
      </c>
      <c r="R64" s="887">
        <f t="shared" si="59"/>
        <v>0</v>
      </c>
      <c r="S64" s="887">
        <f t="shared" si="59"/>
        <v>0</v>
      </c>
      <c r="T64" s="887">
        <f t="shared" si="59"/>
        <v>0</v>
      </c>
      <c r="U64" s="887">
        <f t="shared" si="59"/>
        <v>0</v>
      </c>
      <c r="V64" s="887">
        <f t="shared" si="59"/>
        <v>0</v>
      </c>
      <c r="W64" s="887">
        <f t="shared" si="59"/>
        <v>0</v>
      </c>
      <c r="X64" s="887">
        <f t="shared" si="59"/>
        <v>0</v>
      </c>
      <c r="Y64" s="887">
        <f t="shared" si="59"/>
        <v>0</v>
      </c>
      <c r="Z64" s="887">
        <f t="shared" si="59"/>
        <v>0</v>
      </c>
      <c r="AA64" s="887">
        <f t="shared" si="59"/>
        <v>0</v>
      </c>
      <c r="AB64" s="887">
        <f t="shared" si="59"/>
        <v>0</v>
      </c>
      <c r="AC64" s="887">
        <f t="shared" si="59"/>
        <v>0</v>
      </c>
      <c r="AD64" s="887">
        <f t="shared" si="59"/>
        <v>0</v>
      </c>
      <c r="AE64" s="887">
        <f t="shared" si="59"/>
        <v>0</v>
      </c>
      <c r="AF64" s="887">
        <f t="shared" si="59"/>
        <v>0</v>
      </c>
      <c r="AG64" s="887">
        <f t="shared" si="59"/>
        <v>0</v>
      </c>
      <c r="AH64" s="887">
        <f t="shared" si="59"/>
        <v>0</v>
      </c>
      <c r="AI64" s="887">
        <f t="shared" si="59"/>
        <v>0</v>
      </c>
      <c r="AJ64" s="887">
        <f t="shared" si="59"/>
        <v>0</v>
      </c>
      <c r="AK64" s="887">
        <f t="shared" si="59"/>
        <v>0</v>
      </c>
      <c r="AL64" s="887">
        <f t="shared" si="59"/>
        <v>0</v>
      </c>
      <c r="AM64" s="887">
        <f t="shared" si="59"/>
        <v>0</v>
      </c>
      <c r="AN64" s="887">
        <f t="shared" si="59"/>
        <v>0</v>
      </c>
      <c r="AO64" s="887">
        <f t="shared" si="59"/>
        <v>0</v>
      </c>
      <c r="AP64" s="887">
        <f t="shared" si="59"/>
        <v>0</v>
      </c>
      <c r="AQ64" s="887">
        <f t="shared" si="59"/>
        <v>0</v>
      </c>
      <c r="AR64" s="887">
        <f t="shared" si="59"/>
        <v>0</v>
      </c>
      <c r="AS64" s="887">
        <f t="shared" si="59"/>
        <v>0</v>
      </c>
      <c r="AT64" s="887">
        <f t="shared" si="59"/>
        <v>0</v>
      </c>
      <c r="AU64" s="887">
        <f t="shared" si="59"/>
        <v>0</v>
      </c>
      <c r="AV64" s="887">
        <f t="shared" si="59"/>
        <v>0</v>
      </c>
      <c r="AW64" s="887">
        <f t="shared" si="59"/>
        <v>0</v>
      </c>
      <c r="AX64" s="887">
        <f t="shared" si="59"/>
        <v>0</v>
      </c>
      <c r="AY64" s="887">
        <f t="shared" si="59"/>
        <v>0</v>
      </c>
      <c r="AZ64" s="887">
        <f t="shared" si="59"/>
        <v>0</v>
      </c>
      <c r="BA64" s="887">
        <f t="shared" si="59"/>
        <v>0</v>
      </c>
      <c r="BB64" s="887">
        <f t="shared" si="59"/>
        <v>0</v>
      </c>
      <c r="BC64" s="887">
        <f t="shared" si="59"/>
        <v>0</v>
      </c>
      <c r="BD64" s="887">
        <f t="shared" si="59"/>
        <v>0</v>
      </c>
      <c r="BE64" s="887">
        <f t="shared" si="59"/>
        <v>0</v>
      </c>
      <c r="BF64" s="887">
        <f t="shared" si="59"/>
        <v>0</v>
      </c>
      <c r="BG64" s="887">
        <f t="shared" si="59"/>
        <v>0</v>
      </c>
      <c r="BH64" s="887">
        <f t="shared" si="59"/>
        <v>0</v>
      </c>
      <c r="BI64" s="887">
        <f t="shared" si="59"/>
        <v>0</v>
      </c>
      <c r="BJ64" s="887">
        <f t="shared" si="59"/>
        <v>0</v>
      </c>
      <c r="BK64" s="887">
        <f t="shared" si="59"/>
        <v>0</v>
      </c>
      <c r="BL64" s="887">
        <f t="shared" si="59"/>
        <v>0</v>
      </c>
      <c r="BM64" s="887">
        <f t="shared" si="59"/>
        <v>0</v>
      </c>
      <c r="BN64" s="887">
        <f t="shared" si="59"/>
        <v>0</v>
      </c>
      <c r="BO64" s="887">
        <f t="shared" si="59"/>
        <v>0</v>
      </c>
      <c r="BP64" s="887">
        <f t="shared" si="59"/>
        <v>0</v>
      </c>
      <c r="BQ64" s="887">
        <f t="shared" si="59"/>
        <v>0</v>
      </c>
      <c r="BR64" s="887">
        <f t="shared" si="59"/>
        <v>0</v>
      </c>
      <c r="BS64" s="887">
        <f t="shared" si="59"/>
        <v>0</v>
      </c>
      <c r="BT64" s="887">
        <f t="shared" si="59"/>
        <v>0</v>
      </c>
      <c r="BU64" s="887">
        <f t="shared" si="59"/>
        <v>0</v>
      </c>
      <c r="BV64" s="887">
        <f t="shared" ref="BV64:CH64" si="60">IF(BV67&gt;BV65,(BV67-BV65)*0.7,0)</f>
        <v>0</v>
      </c>
      <c r="BW64" s="887">
        <f t="shared" si="60"/>
        <v>0</v>
      </c>
      <c r="BX64" s="887">
        <f t="shared" si="60"/>
        <v>0</v>
      </c>
      <c r="BY64" s="887">
        <f t="shared" si="60"/>
        <v>0</v>
      </c>
      <c r="BZ64" s="887">
        <f t="shared" si="60"/>
        <v>0</v>
      </c>
      <c r="CA64" s="887">
        <f t="shared" si="60"/>
        <v>0</v>
      </c>
      <c r="CB64" s="887">
        <f t="shared" si="60"/>
        <v>0</v>
      </c>
      <c r="CC64" s="887">
        <f t="shared" si="60"/>
        <v>0</v>
      </c>
      <c r="CD64" s="887">
        <f t="shared" si="60"/>
        <v>0</v>
      </c>
      <c r="CE64" s="887">
        <f t="shared" si="60"/>
        <v>0</v>
      </c>
      <c r="CF64" s="887">
        <f t="shared" si="60"/>
        <v>0</v>
      </c>
      <c r="CG64" s="887">
        <f t="shared" si="60"/>
        <v>0</v>
      </c>
      <c r="CH64" s="887">
        <f t="shared" si="60"/>
        <v>0</v>
      </c>
    </row>
    <row r="65" spans="2:86">
      <c r="B65" s="888" t="s">
        <v>42</v>
      </c>
      <c r="C65" s="911">
        <f>SUM(E65:BZ65)</f>
        <v>1088399.7600325351</v>
      </c>
      <c r="D65" s="903">
        <f>C65/$C$62</f>
        <v>1</v>
      </c>
      <c r="E65" s="887">
        <f t="shared" ref="E65:AJ65" si="61">IF(E76&gt;E67,E67,IF(E76&gt;0,E76,0))</f>
        <v>0</v>
      </c>
      <c r="F65" s="887">
        <f t="shared" si="61"/>
        <v>0</v>
      </c>
      <c r="G65" s="887">
        <f t="shared" si="61"/>
        <v>0</v>
      </c>
      <c r="H65" s="887">
        <f t="shared" si="61"/>
        <v>0</v>
      </c>
      <c r="I65" s="887">
        <f t="shared" si="61"/>
        <v>0</v>
      </c>
      <c r="J65" s="887">
        <f t="shared" si="61"/>
        <v>0</v>
      </c>
      <c r="K65" s="887">
        <f t="shared" si="61"/>
        <v>0</v>
      </c>
      <c r="L65" s="887">
        <f t="shared" si="61"/>
        <v>0</v>
      </c>
      <c r="M65" s="887">
        <f t="shared" si="61"/>
        <v>0</v>
      </c>
      <c r="N65" s="887">
        <f t="shared" si="61"/>
        <v>0</v>
      </c>
      <c r="O65" s="887">
        <f t="shared" si="61"/>
        <v>291666.78697744641</v>
      </c>
      <c r="P65" s="887">
        <f t="shared" si="61"/>
        <v>328224.45932307711</v>
      </c>
      <c r="Q65" s="887">
        <f t="shared" si="61"/>
        <v>114793.55365281255</v>
      </c>
      <c r="R65" s="887">
        <f t="shared" si="61"/>
        <v>91001.42360404972</v>
      </c>
      <c r="S65" s="887">
        <f t="shared" si="61"/>
        <v>74290.204866706539</v>
      </c>
      <c r="T65" s="887">
        <f t="shared" si="61"/>
        <v>62395.500450982785</v>
      </c>
      <c r="U65" s="887">
        <f t="shared" si="61"/>
        <v>22945.366388853152</v>
      </c>
      <c r="V65" s="887">
        <f t="shared" si="61"/>
        <v>82958.716443583195</v>
      </c>
      <c r="W65" s="887">
        <f t="shared" si="61"/>
        <v>0</v>
      </c>
      <c r="X65" s="887">
        <f t="shared" si="61"/>
        <v>0</v>
      </c>
      <c r="Y65" s="887">
        <f t="shared" si="61"/>
        <v>20123.748325023495</v>
      </c>
      <c r="Z65" s="887">
        <f t="shared" si="61"/>
        <v>0</v>
      </c>
      <c r="AA65" s="887">
        <f t="shared" si="61"/>
        <v>0</v>
      </c>
      <c r="AB65" s="887">
        <f t="shared" si="61"/>
        <v>0</v>
      </c>
      <c r="AC65" s="887">
        <f t="shared" si="61"/>
        <v>0</v>
      </c>
      <c r="AD65" s="887">
        <f t="shared" si="61"/>
        <v>0</v>
      </c>
      <c r="AE65" s="887">
        <f t="shared" si="61"/>
        <v>0</v>
      </c>
      <c r="AF65" s="887">
        <f t="shared" si="61"/>
        <v>0</v>
      </c>
      <c r="AG65" s="887">
        <f t="shared" si="61"/>
        <v>0</v>
      </c>
      <c r="AH65" s="887">
        <f t="shared" si="61"/>
        <v>0</v>
      </c>
      <c r="AI65" s="887">
        <f t="shared" si="61"/>
        <v>0</v>
      </c>
      <c r="AJ65" s="887">
        <f t="shared" si="61"/>
        <v>0</v>
      </c>
      <c r="AK65" s="887">
        <f t="shared" ref="AK65:BP65" si="62">IF(AK76&gt;AK67,AK67,IF(AK76&gt;0,AK76,0))</f>
        <v>0</v>
      </c>
      <c r="AL65" s="887">
        <f t="shared" si="62"/>
        <v>0</v>
      </c>
      <c r="AM65" s="887">
        <f t="shared" si="62"/>
        <v>0</v>
      </c>
      <c r="AN65" s="887">
        <f t="shared" si="62"/>
        <v>0</v>
      </c>
      <c r="AO65" s="887">
        <f t="shared" si="62"/>
        <v>0</v>
      </c>
      <c r="AP65" s="887">
        <f t="shared" si="62"/>
        <v>0</v>
      </c>
      <c r="AQ65" s="887">
        <f t="shared" si="62"/>
        <v>0</v>
      </c>
      <c r="AR65" s="887">
        <f t="shared" si="62"/>
        <v>0</v>
      </c>
      <c r="AS65" s="887">
        <f t="shared" si="62"/>
        <v>0</v>
      </c>
      <c r="AT65" s="887">
        <f t="shared" si="62"/>
        <v>0</v>
      </c>
      <c r="AU65" s="887">
        <f t="shared" si="62"/>
        <v>0</v>
      </c>
      <c r="AV65" s="887">
        <f t="shared" si="62"/>
        <v>0</v>
      </c>
      <c r="AW65" s="887">
        <f t="shared" si="62"/>
        <v>0</v>
      </c>
      <c r="AX65" s="887">
        <f t="shared" si="62"/>
        <v>0</v>
      </c>
      <c r="AY65" s="887">
        <f t="shared" si="62"/>
        <v>0</v>
      </c>
      <c r="AZ65" s="887">
        <f t="shared" si="62"/>
        <v>0</v>
      </c>
      <c r="BA65" s="887">
        <f t="shared" si="62"/>
        <v>0</v>
      </c>
      <c r="BB65" s="887">
        <f t="shared" si="62"/>
        <v>0</v>
      </c>
      <c r="BC65" s="887">
        <f t="shared" si="62"/>
        <v>0</v>
      </c>
      <c r="BD65" s="887">
        <f t="shared" si="62"/>
        <v>0</v>
      </c>
      <c r="BE65" s="887">
        <f t="shared" si="62"/>
        <v>0</v>
      </c>
      <c r="BF65" s="887">
        <f t="shared" si="62"/>
        <v>0</v>
      </c>
      <c r="BG65" s="887">
        <f t="shared" si="62"/>
        <v>0</v>
      </c>
      <c r="BH65" s="887">
        <f t="shared" si="62"/>
        <v>0</v>
      </c>
      <c r="BI65" s="887">
        <f t="shared" si="62"/>
        <v>0</v>
      </c>
      <c r="BJ65" s="887">
        <f t="shared" si="62"/>
        <v>0</v>
      </c>
      <c r="BK65" s="887">
        <f t="shared" si="62"/>
        <v>0</v>
      </c>
      <c r="BL65" s="887">
        <f t="shared" si="62"/>
        <v>0</v>
      </c>
      <c r="BM65" s="887">
        <f t="shared" si="62"/>
        <v>0</v>
      </c>
      <c r="BN65" s="887">
        <f t="shared" si="62"/>
        <v>0</v>
      </c>
      <c r="BO65" s="887">
        <f t="shared" si="62"/>
        <v>0</v>
      </c>
      <c r="BP65" s="887">
        <f t="shared" si="62"/>
        <v>0</v>
      </c>
      <c r="BQ65" s="887">
        <f t="shared" ref="BQ65:CH65" si="63">IF(BQ76&gt;BQ67,BQ67,IF(BQ76&gt;0,BQ76,0))</f>
        <v>0</v>
      </c>
      <c r="BR65" s="887">
        <f t="shared" si="63"/>
        <v>0</v>
      </c>
      <c r="BS65" s="887">
        <f t="shared" si="63"/>
        <v>0</v>
      </c>
      <c r="BT65" s="887">
        <f t="shared" si="63"/>
        <v>0</v>
      </c>
      <c r="BU65" s="887">
        <f t="shared" si="63"/>
        <v>0</v>
      </c>
      <c r="BV65" s="887">
        <f t="shared" si="63"/>
        <v>0</v>
      </c>
      <c r="BW65" s="887">
        <f t="shared" si="63"/>
        <v>0</v>
      </c>
      <c r="BX65" s="887">
        <f t="shared" si="63"/>
        <v>0</v>
      </c>
      <c r="BY65" s="887">
        <f t="shared" si="63"/>
        <v>0</v>
      </c>
      <c r="BZ65" s="887">
        <f t="shared" si="63"/>
        <v>0</v>
      </c>
      <c r="CA65" s="887">
        <f t="shared" si="63"/>
        <v>0</v>
      </c>
      <c r="CB65" s="887">
        <f t="shared" si="63"/>
        <v>0</v>
      </c>
      <c r="CC65" s="887">
        <f t="shared" si="63"/>
        <v>0</v>
      </c>
      <c r="CD65" s="887">
        <f t="shared" si="63"/>
        <v>0</v>
      </c>
      <c r="CE65" s="887">
        <f t="shared" si="63"/>
        <v>0</v>
      </c>
      <c r="CF65" s="887">
        <f t="shared" si="63"/>
        <v>0</v>
      </c>
      <c r="CG65" s="887">
        <f t="shared" si="63"/>
        <v>0</v>
      </c>
      <c r="CH65" s="887">
        <f t="shared" si="63"/>
        <v>0</v>
      </c>
    </row>
    <row r="66" spans="2:86">
      <c r="B66" s="905" t="s">
        <v>50</v>
      </c>
      <c r="C66" s="945"/>
      <c r="D66" s="903"/>
      <c r="E66" s="887">
        <f t="shared" ref="E66:AJ66" si="64">E76-E65</f>
        <v>0</v>
      </c>
      <c r="F66" s="887">
        <f t="shared" si="64"/>
        <v>0</v>
      </c>
      <c r="G66" s="887">
        <f t="shared" si="64"/>
        <v>0</v>
      </c>
      <c r="H66" s="887">
        <f t="shared" si="64"/>
        <v>0</v>
      </c>
      <c r="I66" s="887">
        <f t="shared" si="64"/>
        <v>0</v>
      </c>
      <c r="J66" s="887">
        <f t="shared" si="64"/>
        <v>0</v>
      </c>
      <c r="K66" s="887">
        <f t="shared" si="64"/>
        <v>0</v>
      </c>
      <c r="L66" s="887">
        <f t="shared" si="64"/>
        <v>0</v>
      </c>
      <c r="M66" s="887">
        <f t="shared" si="64"/>
        <v>0</v>
      </c>
      <c r="N66" s="887">
        <f t="shared" si="64"/>
        <v>0</v>
      </c>
      <c r="O66" s="887">
        <f t="shared" si="64"/>
        <v>210143.70242039039</v>
      </c>
      <c r="P66" s="887">
        <f t="shared" si="64"/>
        <v>233583.98685910529</v>
      </c>
      <c r="Q66" s="887">
        <f t="shared" si="64"/>
        <v>151776.2352144639</v>
      </c>
      <c r="R66" s="887">
        <f t="shared" si="64"/>
        <v>611286.59753792197</v>
      </c>
      <c r="S66" s="887">
        <f t="shared" si="64"/>
        <v>606141.36892844341</v>
      </c>
      <c r="T66" s="887">
        <f t="shared" si="64"/>
        <v>553720.70905809605</v>
      </c>
      <c r="U66" s="887">
        <f t="shared" si="64"/>
        <v>602056.44648895855</v>
      </c>
      <c r="V66" s="887">
        <f t="shared" si="64"/>
        <v>1394431.5147224714</v>
      </c>
      <c r="W66" s="887">
        <f t="shared" si="64"/>
        <v>1107186.4669608958</v>
      </c>
      <c r="X66" s="887">
        <f t="shared" si="64"/>
        <v>1107186.4669608958</v>
      </c>
      <c r="Y66" s="887">
        <f t="shared" si="64"/>
        <v>1260832.9854725187</v>
      </c>
      <c r="Z66" s="887">
        <f t="shared" si="64"/>
        <v>1243779.2042976855</v>
      </c>
      <c r="AA66" s="887">
        <f t="shared" si="64"/>
        <v>1243779.2042976855</v>
      </c>
      <c r="AB66" s="887">
        <f t="shared" si="64"/>
        <v>1243779.2042976855</v>
      </c>
      <c r="AC66" s="887">
        <f t="shared" si="64"/>
        <v>1243779.2042976855</v>
      </c>
      <c r="AD66" s="887">
        <f t="shared" si="64"/>
        <v>1243779.2042976855</v>
      </c>
      <c r="AE66" s="887">
        <f t="shared" si="64"/>
        <v>1243779.2042976855</v>
      </c>
      <c r="AF66" s="887">
        <f t="shared" si="64"/>
        <v>1243779.2042976855</v>
      </c>
      <c r="AG66" s="887">
        <f t="shared" si="64"/>
        <v>1243779.2042976855</v>
      </c>
      <c r="AH66" s="887">
        <f t="shared" si="64"/>
        <v>1243779.2042976855</v>
      </c>
      <c r="AI66" s="887">
        <f t="shared" si="64"/>
        <v>1243779.2042976855</v>
      </c>
      <c r="AJ66" s="887">
        <f t="shared" si="64"/>
        <v>1243779.2042976855</v>
      </c>
      <c r="AK66" s="887">
        <f t="shared" ref="AK66:BP66" si="65">AK76-AK65</f>
        <v>1243779.2042976855</v>
      </c>
      <c r="AL66" s="887">
        <f t="shared" si="65"/>
        <v>1243779.2042976855</v>
      </c>
      <c r="AM66" s="887">
        <f t="shared" si="65"/>
        <v>1243779.2042976855</v>
      </c>
      <c r="AN66" s="887">
        <f t="shared" si="65"/>
        <v>1243779.2042976855</v>
      </c>
      <c r="AO66" s="887">
        <f t="shared" si="65"/>
        <v>1243779.2042976855</v>
      </c>
      <c r="AP66" s="887">
        <f t="shared" si="65"/>
        <v>1243779.2042976855</v>
      </c>
      <c r="AQ66" s="887">
        <f t="shared" si="65"/>
        <v>1243779.2042976855</v>
      </c>
      <c r="AR66" s="887">
        <f t="shared" si="65"/>
        <v>1243779.2042976855</v>
      </c>
      <c r="AS66" s="887">
        <f t="shared" si="65"/>
        <v>1243779.2042976855</v>
      </c>
      <c r="AT66" s="887">
        <f t="shared" si="65"/>
        <v>1243779.2042976855</v>
      </c>
      <c r="AU66" s="887">
        <f t="shared" si="65"/>
        <v>1243779.2042976855</v>
      </c>
      <c r="AV66" s="887">
        <f t="shared" si="65"/>
        <v>1243779.2042976855</v>
      </c>
      <c r="AW66" s="887">
        <f t="shared" si="65"/>
        <v>1243779.2042976855</v>
      </c>
      <c r="AX66" s="887">
        <f t="shared" si="65"/>
        <v>1243779.2042976855</v>
      </c>
      <c r="AY66" s="887">
        <f t="shared" si="65"/>
        <v>1243779.2042976855</v>
      </c>
      <c r="AZ66" s="887">
        <f t="shared" si="65"/>
        <v>1243779.2042976855</v>
      </c>
      <c r="BA66" s="887">
        <f t="shared" si="65"/>
        <v>1243779.2042976855</v>
      </c>
      <c r="BB66" s="887">
        <f t="shared" si="65"/>
        <v>1243779.2042976855</v>
      </c>
      <c r="BC66" s="887">
        <f t="shared" si="65"/>
        <v>1243779.2042976855</v>
      </c>
      <c r="BD66" s="887">
        <f t="shared" si="65"/>
        <v>1243779.2042976855</v>
      </c>
      <c r="BE66" s="887">
        <f t="shared" si="65"/>
        <v>1243779.2042976855</v>
      </c>
      <c r="BF66" s="887">
        <f t="shared" si="65"/>
        <v>1243779.2042976855</v>
      </c>
      <c r="BG66" s="887">
        <f t="shared" si="65"/>
        <v>1243779.2042976855</v>
      </c>
      <c r="BH66" s="887">
        <f t="shared" si="65"/>
        <v>1243779.2042976855</v>
      </c>
      <c r="BI66" s="887">
        <f t="shared" si="65"/>
        <v>1243779.2042976855</v>
      </c>
      <c r="BJ66" s="887">
        <f t="shared" si="65"/>
        <v>1243779.2042976855</v>
      </c>
      <c r="BK66" s="887">
        <f t="shared" si="65"/>
        <v>1243779.2042976855</v>
      </c>
      <c r="BL66" s="887">
        <f t="shared" si="65"/>
        <v>1243779.2042976855</v>
      </c>
      <c r="BM66" s="887">
        <f t="shared" si="65"/>
        <v>1243779.2042976855</v>
      </c>
      <c r="BN66" s="887">
        <f t="shared" si="65"/>
        <v>1243779.2042976855</v>
      </c>
      <c r="BO66" s="887">
        <f t="shared" si="65"/>
        <v>1243779.2042976855</v>
      </c>
      <c r="BP66" s="887">
        <f t="shared" si="65"/>
        <v>1243779.2042976855</v>
      </c>
      <c r="BQ66" s="887">
        <f t="shared" ref="BQ66:CH66" si="66">BQ76-BQ65</f>
        <v>1243779.2042976855</v>
      </c>
      <c r="BR66" s="887">
        <f t="shared" si="66"/>
        <v>1243779.2042976855</v>
      </c>
      <c r="BS66" s="887">
        <f t="shared" si="66"/>
        <v>1243779.2042976855</v>
      </c>
      <c r="BT66" s="887">
        <f t="shared" si="66"/>
        <v>1243779.2042976855</v>
      </c>
      <c r="BU66" s="887">
        <f t="shared" si="66"/>
        <v>1243779.2042976855</v>
      </c>
      <c r="BV66" s="887">
        <f t="shared" si="66"/>
        <v>1243779.2042976855</v>
      </c>
      <c r="BW66" s="887">
        <f t="shared" si="66"/>
        <v>1243779.2042976855</v>
      </c>
      <c r="BX66" s="887">
        <f t="shared" si="66"/>
        <v>1243779.2042976855</v>
      </c>
      <c r="BY66" s="887">
        <f t="shared" si="66"/>
        <v>1243779.2042976855</v>
      </c>
      <c r="BZ66" s="887">
        <f t="shared" si="66"/>
        <v>1243779.2042976855</v>
      </c>
      <c r="CA66" s="887">
        <f t="shared" si="66"/>
        <v>1243779.2042976855</v>
      </c>
      <c r="CB66" s="887">
        <f t="shared" si="66"/>
        <v>1243779.2042976855</v>
      </c>
      <c r="CC66" s="887">
        <f t="shared" si="66"/>
        <v>1243779.2042976855</v>
      </c>
      <c r="CD66" s="887">
        <f t="shared" si="66"/>
        <v>1243779.2042976855</v>
      </c>
      <c r="CE66" s="887">
        <f t="shared" si="66"/>
        <v>1243779.2042976855</v>
      </c>
      <c r="CF66" s="887">
        <f t="shared" si="66"/>
        <v>1243779.2042976855</v>
      </c>
      <c r="CG66" s="887">
        <f t="shared" si="66"/>
        <v>1243779.2042976855</v>
      </c>
      <c r="CH66" s="887">
        <f t="shared" si="66"/>
        <v>1243779.2042976855</v>
      </c>
    </row>
    <row r="67" spans="2:86">
      <c r="B67" s="996" t="s">
        <v>69</v>
      </c>
      <c r="C67" s="997">
        <f>SUM(E67:BZ67)</f>
        <v>1088399.7600325351</v>
      </c>
      <c r="D67" s="998">
        <f>C67-'4.Chi phi hoat dong'!E25</f>
        <v>0</v>
      </c>
      <c r="E67" s="999">
        <f>'4.Chi phi hoat dong'!F25</f>
        <v>0</v>
      </c>
      <c r="F67" s="999">
        <f>'4.Chi phi hoat dong'!G25</f>
        <v>0</v>
      </c>
      <c r="G67" s="999">
        <f>'4.Chi phi hoat dong'!H25</f>
        <v>0</v>
      </c>
      <c r="H67" s="999">
        <f>'4.Chi phi hoat dong'!I25</f>
        <v>0</v>
      </c>
      <c r="I67" s="999">
        <f>'4.Chi phi hoat dong'!J25</f>
        <v>0</v>
      </c>
      <c r="J67" s="999">
        <f>'4.Chi phi hoat dong'!K25</f>
        <v>0</v>
      </c>
      <c r="K67" s="999">
        <f>'4.Chi phi hoat dong'!L25</f>
        <v>1.0748573748225514E-12</v>
      </c>
      <c r="L67" s="999">
        <f>'4.Chi phi hoat dong'!M25</f>
        <v>0</v>
      </c>
      <c r="M67" s="999">
        <f>'4.Chi phi hoat dong'!N25</f>
        <v>0</v>
      </c>
      <c r="N67" s="999">
        <f>'4.Chi phi hoat dong'!O25</f>
        <v>0</v>
      </c>
      <c r="O67" s="999">
        <f>'4.Chi phi hoat dong'!P25</f>
        <v>291666.78697744641</v>
      </c>
      <c r="P67" s="999">
        <f>'4.Chi phi hoat dong'!Q25</f>
        <v>328224.45932307711</v>
      </c>
      <c r="Q67" s="999">
        <f>'4.Chi phi hoat dong'!R25</f>
        <v>114793.55365281255</v>
      </c>
      <c r="R67" s="999">
        <f>'4.Chi phi hoat dong'!S25</f>
        <v>91001.42360404972</v>
      </c>
      <c r="S67" s="999">
        <f>'4.Chi phi hoat dong'!T25</f>
        <v>74290.204866706539</v>
      </c>
      <c r="T67" s="999">
        <f>'4.Chi phi hoat dong'!U25</f>
        <v>62395.500450982785</v>
      </c>
      <c r="U67" s="999">
        <f>'4.Chi phi hoat dong'!V25</f>
        <v>22945.366388853152</v>
      </c>
      <c r="V67" s="999">
        <f>'4.Chi phi hoat dong'!W25</f>
        <v>82958.716443583195</v>
      </c>
      <c r="W67" s="999">
        <f>'4.Chi phi hoat dong'!X25</f>
        <v>0</v>
      </c>
      <c r="X67" s="999">
        <f>'4.Chi phi hoat dong'!Y25</f>
        <v>0</v>
      </c>
      <c r="Y67" s="999">
        <f>'4.Chi phi hoat dong'!Z25</f>
        <v>20123.748325023495</v>
      </c>
      <c r="Z67" s="999">
        <f>'4.Chi phi hoat dong'!AA25</f>
        <v>0</v>
      </c>
      <c r="AA67" s="999">
        <f>'4.Chi phi hoat dong'!AB25</f>
        <v>0</v>
      </c>
      <c r="AB67" s="999">
        <f>'4.Chi phi hoat dong'!AC25</f>
        <v>0</v>
      </c>
      <c r="AC67" s="999">
        <f>'4.Chi phi hoat dong'!AD25</f>
        <v>0</v>
      </c>
      <c r="AD67" s="999">
        <f>'4.Chi phi hoat dong'!AE25</f>
        <v>0</v>
      </c>
      <c r="AE67" s="999">
        <f>'4.Chi phi hoat dong'!AF25</f>
        <v>0</v>
      </c>
      <c r="AF67" s="999">
        <f>'4.Chi phi hoat dong'!AG25</f>
        <v>0</v>
      </c>
      <c r="AG67" s="999">
        <f>'4.Chi phi hoat dong'!AH25</f>
        <v>0</v>
      </c>
      <c r="AH67" s="999">
        <f>'4.Chi phi hoat dong'!AI25</f>
        <v>0</v>
      </c>
      <c r="AI67" s="999">
        <f>'4.Chi phi hoat dong'!AJ25</f>
        <v>0</v>
      </c>
      <c r="AJ67" s="999">
        <f>'4.Chi phi hoat dong'!AK25</f>
        <v>0</v>
      </c>
      <c r="AK67" s="999">
        <f>'4.Chi phi hoat dong'!AL25</f>
        <v>0</v>
      </c>
      <c r="AL67" s="999">
        <f>'4.Chi phi hoat dong'!AM25</f>
        <v>0</v>
      </c>
      <c r="AM67" s="999">
        <f>'4.Chi phi hoat dong'!AN25</f>
        <v>0</v>
      </c>
      <c r="AN67" s="999">
        <f>'4.Chi phi hoat dong'!AO25</f>
        <v>0</v>
      </c>
      <c r="AO67" s="999">
        <f>'4.Chi phi hoat dong'!AP25</f>
        <v>0</v>
      </c>
      <c r="AP67" s="999">
        <f>'4.Chi phi hoat dong'!AQ25</f>
        <v>0</v>
      </c>
      <c r="AQ67" s="999">
        <f>'4.Chi phi hoat dong'!AR25</f>
        <v>0</v>
      </c>
      <c r="AR67" s="999">
        <f>'4.Chi phi hoat dong'!AS25</f>
        <v>0</v>
      </c>
      <c r="AS67" s="999">
        <f>'4.Chi phi hoat dong'!AT25</f>
        <v>0</v>
      </c>
      <c r="AT67" s="999">
        <f>'4.Chi phi hoat dong'!AU25</f>
        <v>0</v>
      </c>
      <c r="AU67" s="999">
        <f>'4.Chi phi hoat dong'!AV25</f>
        <v>0</v>
      </c>
      <c r="AV67" s="999">
        <f>'4.Chi phi hoat dong'!AW25</f>
        <v>0</v>
      </c>
      <c r="AW67" s="999">
        <f>'4.Chi phi hoat dong'!AX25</f>
        <v>0</v>
      </c>
      <c r="AX67" s="999">
        <f>'4.Chi phi hoat dong'!AY25</f>
        <v>0</v>
      </c>
      <c r="AY67" s="999">
        <f>'4.Chi phi hoat dong'!AZ25</f>
        <v>0</v>
      </c>
      <c r="AZ67" s="999">
        <f>'4.Chi phi hoat dong'!BA25</f>
        <v>0</v>
      </c>
      <c r="BA67" s="999">
        <f>'4.Chi phi hoat dong'!BB25</f>
        <v>0</v>
      </c>
      <c r="BB67" s="999">
        <f>'4.Chi phi hoat dong'!BC25</f>
        <v>0</v>
      </c>
      <c r="BC67" s="999">
        <f>'4.Chi phi hoat dong'!BD25</f>
        <v>0</v>
      </c>
      <c r="BD67" s="999">
        <f>'4.Chi phi hoat dong'!BE25</f>
        <v>0</v>
      </c>
      <c r="BE67" s="999">
        <f>'4.Chi phi hoat dong'!BF25</f>
        <v>0</v>
      </c>
      <c r="BF67" s="999">
        <f>'4.Chi phi hoat dong'!BG25</f>
        <v>0</v>
      </c>
      <c r="BG67" s="999">
        <f>'4.Chi phi hoat dong'!BH25</f>
        <v>0</v>
      </c>
      <c r="BH67" s="999">
        <f>'4.Chi phi hoat dong'!BI25</f>
        <v>0</v>
      </c>
      <c r="BI67" s="999">
        <f>'4.Chi phi hoat dong'!BJ25</f>
        <v>0</v>
      </c>
      <c r="BJ67" s="999">
        <f>'4.Chi phi hoat dong'!BK25</f>
        <v>0</v>
      </c>
      <c r="BK67" s="999">
        <f>'4.Chi phi hoat dong'!BL25</f>
        <v>0</v>
      </c>
      <c r="BL67" s="999">
        <f>'4.Chi phi hoat dong'!BM25</f>
        <v>0</v>
      </c>
      <c r="BM67" s="999">
        <f>'4.Chi phi hoat dong'!BN25</f>
        <v>0</v>
      </c>
      <c r="BN67" s="999">
        <f>'4.Chi phi hoat dong'!BO25</f>
        <v>0</v>
      </c>
      <c r="BO67" s="999">
        <f>'4.Chi phi hoat dong'!BP25</f>
        <v>0</v>
      </c>
      <c r="BP67" s="999">
        <f>'4.Chi phi hoat dong'!BQ25</f>
        <v>0</v>
      </c>
      <c r="BQ67" s="999">
        <f>'4.Chi phi hoat dong'!BR25</f>
        <v>0</v>
      </c>
      <c r="BR67" s="999">
        <f>'4.Chi phi hoat dong'!BS25</f>
        <v>0</v>
      </c>
      <c r="BS67" s="999">
        <f>'4.Chi phi hoat dong'!BT25</f>
        <v>0</v>
      </c>
      <c r="BT67" s="999">
        <f>'4.Chi phi hoat dong'!BU25</f>
        <v>0</v>
      </c>
      <c r="BU67" s="999">
        <f>'4.Chi phi hoat dong'!BV25</f>
        <v>0</v>
      </c>
      <c r="BV67" s="999">
        <f>'4.Chi phi hoat dong'!BW25</f>
        <v>0</v>
      </c>
      <c r="BW67" s="999">
        <f>'4.Chi phi hoat dong'!BX25</f>
        <v>0</v>
      </c>
      <c r="BX67" s="999">
        <f>'4.Chi phi hoat dong'!BY25</f>
        <v>0</v>
      </c>
      <c r="BY67" s="999">
        <f>'4.Chi phi hoat dong'!BZ25</f>
        <v>0</v>
      </c>
      <c r="BZ67" s="999">
        <f>'4.Chi phi hoat dong'!CA25</f>
        <v>0</v>
      </c>
      <c r="CA67" s="999">
        <f>'4.Chi phi hoat dong'!CB25</f>
        <v>0</v>
      </c>
      <c r="CB67" s="999">
        <f>'4.Chi phi hoat dong'!CC25</f>
        <v>0</v>
      </c>
      <c r="CC67" s="999">
        <f>'4.Chi phi hoat dong'!CD25</f>
        <v>0</v>
      </c>
      <c r="CD67" s="999">
        <f>'4.Chi phi hoat dong'!CE25</f>
        <v>0</v>
      </c>
      <c r="CE67" s="999">
        <f>'4.Chi phi hoat dong'!CF25</f>
        <v>0</v>
      </c>
      <c r="CF67" s="999">
        <f>'4.Chi phi hoat dong'!CG25</f>
        <v>0</v>
      </c>
      <c r="CG67" s="999">
        <f>'4.Chi phi hoat dong'!CH25</f>
        <v>0</v>
      </c>
      <c r="CH67" s="999">
        <f>'4.Chi phi hoat dong'!CI25</f>
        <v>0</v>
      </c>
    </row>
    <row r="68" spans="2:86">
      <c r="C68" s="912">
        <f>SUM(C63:C65)-C67</f>
        <v>0</v>
      </c>
      <c r="D68" s="912"/>
    </row>
    <row r="69" spans="2:86" ht="18" customHeight="1">
      <c r="C69" s="520"/>
      <c r="L69" s="870"/>
      <c r="M69" s="870"/>
      <c r="N69" s="870"/>
      <c r="O69" s="870"/>
      <c r="P69" s="870"/>
      <c r="Q69" s="870"/>
      <c r="R69" s="870"/>
      <c r="S69" s="870"/>
      <c r="T69" s="870"/>
      <c r="U69" s="870"/>
      <c r="V69" s="870"/>
      <c r="W69" s="870"/>
    </row>
    <row r="70" spans="2:86" ht="18" customHeight="1">
      <c r="B70" s="868" t="s">
        <v>51</v>
      </c>
      <c r="C70" s="916"/>
      <c r="E70" s="898"/>
      <c r="F70" s="898"/>
      <c r="G70" s="898"/>
      <c r="H70" s="898"/>
      <c r="I70" s="898"/>
      <c r="J70" s="898"/>
      <c r="K70" s="898"/>
      <c r="L70" s="898"/>
      <c r="M70" s="898"/>
      <c r="N70" s="898"/>
      <c r="O70" s="898"/>
      <c r="P70" s="898"/>
      <c r="Q70" s="898"/>
      <c r="R70" s="898"/>
      <c r="S70" s="898"/>
      <c r="T70" s="898"/>
      <c r="U70" s="898"/>
      <c r="V70" s="898"/>
      <c r="W70" s="898"/>
    </row>
    <row r="71" spans="2:86">
      <c r="B71" s="871" t="s">
        <v>39</v>
      </c>
      <c r="C71" s="914">
        <f>SUM(C72:C74)</f>
        <v>107451.012489154</v>
      </c>
      <c r="D71" s="890"/>
      <c r="E71" s="890"/>
      <c r="F71" s="890"/>
      <c r="G71" s="890"/>
      <c r="H71" s="890"/>
      <c r="I71" s="890"/>
      <c r="J71" s="890"/>
      <c r="K71" s="890"/>
      <c r="L71" s="890"/>
      <c r="M71" s="890"/>
      <c r="N71" s="890"/>
      <c r="O71" s="890"/>
      <c r="P71" s="890"/>
      <c r="Q71" s="890"/>
      <c r="R71" s="890"/>
      <c r="S71" s="890"/>
      <c r="T71" s="890"/>
      <c r="U71" s="890"/>
      <c r="V71" s="890"/>
      <c r="W71" s="890"/>
      <c r="X71" s="890"/>
      <c r="Y71" s="890"/>
      <c r="Z71" s="890"/>
      <c r="AA71" s="890"/>
      <c r="AB71" s="890"/>
      <c r="AC71" s="890"/>
      <c r="AD71" s="890"/>
      <c r="AE71" s="890"/>
      <c r="AF71" s="890"/>
      <c r="AG71" s="890"/>
      <c r="AH71" s="890"/>
      <c r="AI71" s="890"/>
      <c r="AJ71" s="890"/>
      <c r="AK71" s="890"/>
      <c r="AL71" s="890"/>
      <c r="AM71" s="890"/>
      <c r="AN71" s="890"/>
      <c r="AO71" s="890"/>
      <c r="AP71" s="890"/>
      <c r="AQ71" s="890"/>
      <c r="AR71" s="890"/>
      <c r="AS71" s="890"/>
      <c r="AT71" s="890"/>
      <c r="AU71" s="890"/>
      <c r="AV71" s="890"/>
      <c r="AW71" s="890"/>
      <c r="AX71" s="890"/>
      <c r="AY71" s="890"/>
      <c r="AZ71" s="890"/>
      <c r="BA71" s="890"/>
      <c r="BB71" s="890"/>
      <c r="BC71" s="890"/>
      <c r="BD71" s="890"/>
      <c r="BE71" s="890"/>
      <c r="BF71" s="890"/>
      <c r="BG71" s="890"/>
      <c r="BH71" s="890"/>
      <c r="BI71" s="890"/>
      <c r="BJ71" s="890"/>
      <c r="BK71" s="890"/>
      <c r="BL71" s="890"/>
      <c r="BM71" s="890"/>
      <c r="BN71" s="890"/>
      <c r="BO71" s="890"/>
      <c r="BP71" s="890"/>
      <c r="BQ71" s="890"/>
      <c r="BR71" s="890"/>
      <c r="BS71" s="890"/>
      <c r="BT71" s="890"/>
      <c r="BU71" s="890"/>
      <c r="BV71" s="890"/>
      <c r="BW71" s="890"/>
      <c r="BX71" s="890"/>
      <c r="BY71" s="890"/>
      <c r="BZ71" s="890"/>
      <c r="CA71" s="890"/>
      <c r="CB71" s="890"/>
      <c r="CC71" s="890"/>
      <c r="CD71" s="890"/>
      <c r="CE71" s="890"/>
      <c r="CF71" s="890"/>
      <c r="CG71" s="890"/>
      <c r="CH71" s="890"/>
    </row>
    <row r="72" spans="2:86">
      <c r="B72" s="885" t="s">
        <v>40</v>
      </c>
      <c r="C72" s="911">
        <f>SUM(E72:BZ72)</f>
        <v>0</v>
      </c>
      <c r="D72" s="917">
        <f>C72/$C$71</f>
        <v>0</v>
      </c>
      <c r="E72" s="891"/>
      <c r="F72" s="891"/>
      <c r="G72" s="891"/>
      <c r="H72" s="891"/>
      <c r="I72" s="891"/>
      <c r="J72" s="891"/>
      <c r="K72" s="891"/>
      <c r="L72" s="891"/>
      <c r="M72" s="891"/>
      <c r="N72" s="891"/>
      <c r="O72" s="891"/>
      <c r="P72" s="891"/>
      <c r="Q72" s="891"/>
      <c r="R72" s="891"/>
      <c r="S72" s="891"/>
      <c r="T72" s="891"/>
      <c r="U72" s="891"/>
      <c r="V72" s="891"/>
      <c r="W72" s="891"/>
      <c r="X72" s="891"/>
      <c r="Y72" s="891"/>
      <c r="Z72" s="891"/>
      <c r="AA72" s="891"/>
      <c r="AB72" s="891"/>
      <c r="AC72" s="891"/>
      <c r="AD72" s="891"/>
      <c r="AE72" s="891"/>
      <c r="AF72" s="891"/>
      <c r="AG72" s="891"/>
      <c r="AH72" s="891"/>
      <c r="AI72" s="891"/>
      <c r="AJ72" s="891"/>
      <c r="AK72" s="891"/>
      <c r="AL72" s="891"/>
      <c r="AM72" s="891"/>
      <c r="AN72" s="891"/>
      <c r="AO72" s="891"/>
      <c r="AP72" s="891"/>
      <c r="AQ72" s="891"/>
      <c r="AR72" s="891"/>
      <c r="AS72" s="891"/>
      <c r="AT72" s="891"/>
      <c r="AU72" s="891"/>
      <c r="AV72" s="891"/>
      <c r="AW72" s="891"/>
      <c r="AX72" s="891"/>
      <c r="AY72" s="891"/>
      <c r="AZ72" s="891"/>
      <c r="BA72" s="891"/>
      <c r="BB72" s="891"/>
      <c r="BC72" s="891"/>
      <c r="BD72" s="891"/>
      <c r="BE72" s="891"/>
      <c r="BF72" s="891"/>
      <c r="BG72" s="891"/>
      <c r="BH72" s="891"/>
      <c r="BI72" s="891"/>
      <c r="BJ72" s="891"/>
      <c r="BK72" s="891"/>
      <c r="BL72" s="891"/>
      <c r="BM72" s="891"/>
      <c r="BN72" s="891"/>
      <c r="BO72" s="891"/>
      <c r="BP72" s="891"/>
      <c r="BQ72" s="891"/>
      <c r="BR72" s="891"/>
      <c r="BS72" s="891"/>
      <c r="BT72" s="891"/>
      <c r="BU72" s="891"/>
      <c r="BV72" s="891"/>
      <c r="BW72" s="891"/>
      <c r="BX72" s="891"/>
      <c r="BY72" s="891"/>
      <c r="BZ72" s="891"/>
      <c r="CA72" s="891"/>
      <c r="CB72" s="891"/>
      <c r="CC72" s="891"/>
      <c r="CD72" s="891"/>
      <c r="CE72" s="891"/>
      <c r="CF72" s="891"/>
      <c r="CG72" s="891"/>
      <c r="CH72" s="891"/>
    </row>
    <row r="73" spans="2:86">
      <c r="B73" s="888" t="s">
        <v>41</v>
      </c>
      <c r="C73" s="911">
        <f>SUM(E73:BZ73)</f>
        <v>0</v>
      </c>
      <c r="D73" s="903">
        <f>C73/$C$71</f>
        <v>0</v>
      </c>
      <c r="E73" s="918"/>
      <c r="F73" s="918"/>
      <c r="G73" s="918"/>
      <c r="H73" s="918"/>
      <c r="I73" s="918"/>
      <c r="J73" s="918"/>
      <c r="K73" s="918"/>
      <c r="L73" s="918"/>
      <c r="M73" s="918"/>
      <c r="N73" s="918"/>
      <c r="O73" s="918"/>
      <c r="P73" s="918"/>
      <c r="Q73" s="918"/>
      <c r="R73" s="918"/>
      <c r="S73" s="918"/>
      <c r="T73" s="918"/>
      <c r="U73" s="918"/>
      <c r="V73" s="918"/>
      <c r="W73" s="918"/>
      <c r="X73" s="918"/>
      <c r="Y73" s="918"/>
      <c r="Z73" s="918"/>
      <c r="AA73" s="918"/>
      <c r="AB73" s="918"/>
      <c r="AC73" s="918"/>
      <c r="AD73" s="918"/>
      <c r="AE73" s="918"/>
      <c r="AF73" s="918"/>
      <c r="AG73" s="918"/>
      <c r="AH73" s="918"/>
      <c r="AI73" s="918"/>
      <c r="AJ73" s="918"/>
      <c r="AK73" s="918"/>
      <c r="AL73" s="918"/>
      <c r="AM73" s="918"/>
      <c r="AN73" s="918"/>
      <c r="AO73" s="918"/>
      <c r="AP73" s="918"/>
      <c r="AQ73" s="918"/>
      <c r="AR73" s="918"/>
      <c r="AS73" s="918"/>
      <c r="AT73" s="918"/>
      <c r="AU73" s="918"/>
      <c r="AV73" s="918"/>
      <c r="AW73" s="918"/>
      <c r="AX73" s="918"/>
      <c r="AY73" s="918"/>
      <c r="AZ73" s="918"/>
      <c r="BA73" s="918"/>
      <c r="BB73" s="918"/>
      <c r="BC73" s="918"/>
      <c r="BD73" s="918"/>
      <c r="BE73" s="918"/>
      <c r="BF73" s="918"/>
      <c r="BG73" s="918"/>
      <c r="BH73" s="918"/>
      <c r="BI73" s="918"/>
      <c r="BJ73" s="918"/>
      <c r="BK73" s="918"/>
      <c r="BL73" s="918"/>
      <c r="BM73" s="918"/>
      <c r="BN73" s="918"/>
      <c r="BO73" s="918"/>
      <c r="BP73" s="918"/>
      <c r="BQ73" s="918"/>
      <c r="BR73" s="918"/>
      <c r="BS73" s="918"/>
      <c r="BT73" s="918"/>
      <c r="BU73" s="918"/>
      <c r="BV73" s="918"/>
      <c r="BW73" s="918"/>
      <c r="BX73" s="918"/>
      <c r="BY73" s="918"/>
      <c r="BZ73" s="918"/>
      <c r="CA73" s="918"/>
      <c r="CB73" s="918"/>
      <c r="CC73" s="918"/>
      <c r="CD73" s="918"/>
      <c r="CE73" s="918"/>
      <c r="CF73" s="918"/>
      <c r="CG73" s="918"/>
      <c r="CH73" s="918"/>
    </row>
    <row r="74" spans="2:86" ht="15.75" customHeight="1">
      <c r="B74" s="888" t="s">
        <v>42</v>
      </c>
      <c r="C74" s="911">
        <f>SUM(E74:BZ74)</f>
        <v>107451.012489154</v>
      </c>
      <c r="D74" s="903">
        <f>C74/$C$71</f>
        <v>1</v>
      </c>
      <c r="E74" s="907"/>
      <c r="F74" s="907">
        <f>F75</f>
        <v>0</v>
      </c>
      <c r="G74" s="907">
        <f t="shared" ref="G74:BR74" si="67">G75</f>
        <v>0</v>
      </c>
      <c r="H74" s="907">
        <f t="shared" si="67"/>
        <v>0</v>
      </c>
      <c r="I74" s="907">
        <f t="shared" si="67"/>
        <v>0</v>
      </c>
      <c r="J74" s="907">
        <f t="shared" si="67"/>
        <v>0</v>
      </c>
      <c r="K74" s="907">
        <f t="shared" si="67"/>
        <v>0</v>
      </c>
      <c r="L74" s="907">
        <f t="shared" si="67"/>
        <v>0</v>
      </c>
      <c r="M74" s="907">
        <f t="shared" si="67"/>
        <v>0</v>
      </c>
      <c r="N74" s="907">
        <f t="shared" si="67"/>
        <v>0</v>
      </c>
      <c r="O74" s="907">
        <f t="shared" si="67"/>
        <v>5068.792822200372</v>
      </c>
      <c r="P74" s="907">
        <f t="shared" si="67"/>
        <v>5674.8327897190138</v>
      </c>
      <c r="Q74" s="907">
        <f t="shared" si="67"/>
        <v>2692.6241299724893</v>
      </c>
      <c r="R74" s="907">
        <f t="shared" si="67"/>
        <v>7093.8183953734515</v>
      </c>
      <c r="S74" s="907">
        <f t="shared" si="67"/>
        <v>6873.0461999510089</v>
      </c>
      <c r="T74" s="907">
        <f t="shared" si="67"/>
        <v>5808.1622289799443</v>
      </c>
      <c r="U74" s="907">
        <f t="shared" si="67"/>
        <v>4624.5859951961929</v>
      </c>
      <c r="V74" s="907">
        <f t="shared" si="67"/>
        <v>12156.117004598247</v>
      </c>
      <c r="W74" s="907">
        <f t="shared" si="67"/>
        <v>0</v>
      </c>
      <c r="X74" s="907">
        <f t="shared" si="67"/>
        <v>0</v>
      </c>
      <c r="Y74" s="907">
        <f t="shared" si="67"/>
        <v>57459.032923163293</v>
      </c>
      <c r="Z74" s="907">
        <f t="shared" si="67"/>
        <v>0</v>
      </c>
      <c r="AA74" s="907">
        <f t="shared" si="67"/>
        <v>0</v>
      </c>
      <c r="AB74" s="907">
        <f t="shared" si="67"/>
        <v>0</v>
      </c>
      <c r="AC74" s="907">
        <f t="shared" si="67"/>
        <v>0</v>
      </c>
      <c r="AD74" s="907">
        <f t="shared" si="67"/>
        <v>0</v>
      </c>
      <c r="AE74" s="907">
        <f t="shared" si="67"/>
        <v>0</v>
      </c>
      <c r="AF74" s="907">
        <f t="shared" si="67"/>
        <v>0</v>
      </c>
      <c r="AG74" s="907">
        <f t="shared" si="67"/>
        <v>0</v>
      </c>
      <c r="AH74" s="907">
        <f t="shared" si="67"/>
        <v>0</v>
      </c>
      <c r="AI74" s="907">
        <f t="shared" si="67"/>
        <v>0</v>
      </c>
      <c r="AJ74" s="907">
        <f t="shared" si="67"/>
        <v>0</v>
      </c>
      <c r="AK74" s="907">
        <f t="shared" si="67"/>
        <v>0</v>
      </c>
      <c r="AL74" s="907">
        <f t="shared" si="67"/>
        <v>0</v>
      </c>
      <c r="AM74" s="907">
        <f t="shared" si="67"/>
        <v>0</v>
      </c>
      <c r="AN74" s="907">
        <f t="shared" si="67"/>
        <v>0</v>
      </c>
      <c r="AO74" s="907">
        <f t="shared" si="67"/>
        <v>0</v>
      </c>
      <c r="AP74" s="907">
        <f t="shared" si="67"/>
        <v>0</v>
      </c>
      <c r="AQ74" s="907">
        <f t="shared" si="67"/>
        <v>0</v>
      </c>
      <c r="AR74" s="907">
        <f t="shared" si="67"/>
        <v>0</v>
      </c>
      <c r="AS74" s="907">
        <f t="shared" si="67"/>
        <v>0</v>
      </c>
      <c r="AT74" s="907">
        <f t="shared" si="67"/>
        <v>0</v>
      </c>
      <c r="AU74" s="907">
        <f t="shared" si="67"/>
        <v>0</v>
      </c>
      <c r="AV74" s="907">
        <f t="shared" si="67"/>
        <v>0</v>
      </c>
      <c r="AW74" s="907">
        <f t="shared" si="67"/>
        <v>0</v>
      </c>
      <c r="AX74" s="907">
        <f t="shared" si="67"/>
        <v>0</v>
      </c>
      <c r="AY74" s="907">
        <f t="shared" si="67"/>
        <v>0</v>
      </c>
      <c r="AZ74" s="907">
        <f t="shared" si="67"/>
        <v>0</v>
      </c>
      <c r="BA74" s="907">
        <f t="shared" si="67"/>
        <v>0</v>
      </c>
      <c r="BB74" s="907">
        <f t="shared" si="67"/>
        <v>0</v>
      </c>
      <c r="BC74" s="907">
        <f t="shared" si="67"/>
        <v>0</v>
      </c>
      <c r="BD74" s="907">
        <f t="shared" si="67"/>
        <v>0</v>
      </c>
      <c r="BE74" s="907">
        <f t="shared" si="67"/>
        <v>0</v>
      </c>
      <c r="BF74" s="907">
        <f t="shared" si="67"/>
        <v>0</v>
      </c>
      <c r="BG74" s="907">
        <f t="shared" si="67"/>
        <v>0</v>
      </c>
      <c r="BH74" s="907">
        <f t="shared" si="67"/>
        <v>0</v>
      </c>
      <c r="BI74" s="907">
        <f t="shared" si="67"/>
        <v>0</v>
      </c>
      <c r="BJ74" s="907">
        <f t="shared" si="67"/>
        <v>0</v>
      </c>
      <c r="BK74" s="907">
        <f t="shared" si="67"/>
        <v>0</v>
      </c>
      <c r="BL74" s="907">
        <f t="shared" si="67"/>
        <v>0</v>
      </c>
      <c r="BM74" s="907">
        <f t="shared" si="67"/>
        <v>0</v>
      </c>
      <c r="BN74" s="907">
        <f t="shared" si="67"/>
        <v>0</v>
      </c>
      <c r="BO74" s="907">
        <f t="shared" si="67"/>
        <v>0</v>
      </c>
      <c r="BP74" s="907">
        <f t="shared" si="67"/>
        <v>0</v>
      </c>
      <c r="BQ74" s="907">
        <f t="shared" si="67"/>
        <v>0</v>
      </c>
      <c r="BR74" s="907">
        <f t="shared" si="67"/>
        <v>0</v>
      </c>
      <c r="BS74" s="907">
        <f t="shared" ref="BS74:CH74" si="68">BS75</f>
        <v>0</v>
      </c>
      <c r="BT74" s="907">
        <f t="shared" si="68"/>
        <v>0</v>
      </c>
      <c r="BU74" s="907">
        <f t="shared" si="68"/>
        <v>0</v>
      </c>
      <c r="BV74" s="907">
        <f t="shared" si="68"/>
        <v>0</v>
      </c>
      <c r="BW74" s="907">
        <f t="shared" si="68"/>
        <v>0</v>
      </c>
      <c r="BX74" s="907">
        <f t="shared" si="68"/>
        <v>0</v>
      </c>
      <c r="BY74" s="907">
        <f t="shared" si="68"/>
        <v>0</v>
      </c>
      <c r="BZ74" s="907">
        <f t="shared" si="68"/>
        <v>0</v>
      </c>
      <c r="CA74" s="907">
        <f t="shared" si="68"/>
        <v>0</v>
      </c>
      <c r="CB74" s="907">
        <f t="shared" si="68"/>
        <v>0</v>
      </c>
      <c r="CC74" s="907">
        <f t="shared" si="68"/>
        <v>0</v>
      </c>
      <c r="CD74" s="907">
        <f t="shared" si="68"/>
        <v>0</v>
      </c>
      <c r="CE74" s="907">
        <f t="shared" si="68"/>
        <v>0</v>
      </c>
      <c r="CF74" s="907">
        <f t="shared" si="68"/>
        <v>0</v>
      </c>
      <c r="CG74" s="907">
        <f t="shared" si="68"/>
        <v>0</v>
      </c>
      <c r="CH74" s="907">
        <f t="shared" si="68"/>
        <v>0</v>
      </c>
    </row>
    <row r="75" spans="2:86">
      <c r="B75" s="888" t="s">
        <v>140</v>
      </c>
      <c r="C75" s="945">
        <f>SUM(E75:BZ75)</f>
        <v>107451.012489154</v>
      </c>
      <c r="D75" s="958">
        <f>C75-'7.CF'!D33</f>
        <v>0</v>
      </c>
      <c r="E75" s="947"/>
      <c r="F75" s="947">
        <f>'7.CF'!F33</f>
        <v>0</v>
      </c>
      <c r="G75" s="947">
        <f>'7.CF'!G33</f>
        <v>0</v>
      </c>
      <c r="H75" s="947">
        <f>'7.CF'!H33</f>
        <v>0</v>
      </c>
      <c r="I75" s="947">
        <f>'7.CF'!I33</f>
        <v>0</v>
      </c>
      <c r="J75" s="947">
        <f>'7.CF'!J33</f>
        <v>0</v>
      </c>
      <c r="K75" s="947">
        <f>'7.CF'!K33</f>
        <v>0</v>
      </c>
      <c r="L75" s="947">
        <f>'7.CF'!L33</f>
        <v>0</v>
      </c>
      <c r="M75" s="947">
        <f>'7.CF'!M33</f>
        <v>0</v>
      </c>
      <c r="N75" s="947">
        <f>'7.CF'!N33</f>
        <v>0</v>
      </c>
      <c r="O75" s="947">
        <f>'7.CF'!O33</f>
        <v>5068.792822200372</v>
      </c>
      <c r="P75" s="947">
        <f>'7.CF'!P33</f>
        <v>5674.8327897190138</v>
      </c>
      <c r="Q75" s="947">
        <f>'7.CF'!Q33</f>
        <v>2692.6241299724893</v>
      </c>
      <c r="R75" s="947">
        <f>'7.CF'!R33</f>
        <v>7093.8183953734515</v>
      </c>
      <c r="S75" s="947">
        <f>'7.CF'!S33</f>
        <v>6873.0461999510089</v>
      </c>
      <c r="T75" s="947">
        <f>'7.CF'!T33</f>
        <v>5808.1622289799443</v>
      </c>
      <c r="U75" s="947">
        <f>'7.CF'!U33</f>
        <v>4624.5859951961929</v>
      </c>
      <c r="V75" s="947">
        <f>'7.CF'!V33</f>
        <v>12156.117004598247</v>
      </c>
      <c r="W75" s="947">
        <f>'7.CF'!W33</f>
        <v>0</v>
      </c>
      <c r="X75" s="947">
        <f>'7.CF'!X33</f>
        <v>0</v>
      </c>
      <c r="Y75" s="947">
        <f>'7.CF'!Y33</f>
        <v>57459.032923163293</v>
      </c>
      <c r="Z75" s="947">
        <f>'7.CF'!Z33</f>
        <v>0</v>
      </c>
      <c r="AA75" s="947">
        <f>'7.CF'!AA33</f>
        <v>0</v>
      </c>
      <c r="AB75" s="947">
        <f>'7.CF'!AB33</f>
        <v>0</v>
      </c>
      <c r="AC75" s="947">
        <f>'7.CF'!AC33</f>
        <v>0</v>
      </c>
      <c r="AD75" s="947">
        <f>'7.CF'!AD33</f>
        <v>0</v>
      </c>
      <c r="AE75" s="947">
        <f>'7.CF'!AE33</f>
        <v>0</v>
      </c>
      <c r="AF75" s="947">
        <f>'7.CF'!AF33</f>
        <v>0</v>
      </c>
      <c r="AG75" s="947">
        <f>'7.CF'!AG33</f>
        <v>0</v>
      </c>
      <c r="AH75" s="947">
        <f>'7.CF'!AH33</f>
        <v>0</v>
      </c>
      <c r="AI75" s="947">
        <f>'7.CF'!AI33</f>
        <v>0</v>
      </c>
      <c r="AJ75" s="947">
        <f>'7.CF'!AJ33</f>
        <v>0</v>
      </c>
      <c r="AK75" s="947">
        <f>'7.CF'!AK33</f>
        <v>0</v>
      </c>
      <c r="AL75" s="947">
        <f>'7.CF'!AL33</f>
        <v>0</v>
      </c>
      <c r="AM75" s="947">
        <f>'7.CF'!AM33</f>
        <v>0</v>
      </c>
      <c r="AN75" s="947">
        <f>'7.CF'!AN33</f>
        <v>0</v>
      </c>
      <c r="AO75" s="947">
        <f>'7.CF'!AO33</f>
        <v>0</v>
      </c>
      <c r="AP75" s="947">
        <f>'7.CF'!AP33</f>
        <v>0</v>
      </c>
      <c r="AQ75" s="947">
        <f>'7.CF'!AQ33</f>
        <v>0</v>
      </c>
      <c r="AR75" s="947">
        <f>'7.CF'!AR33</f>
        <v>0</v>
      </c>
      <c r="AS75" s="947">
        <f>'7.CF'!AS33</f>
        <v>0</v>
      </c>
      <c r="AT75" s="947">
        <f>'7.CF'!AT33</f>
        <v>0</v>
      </c>
      <c r="AU75" s="947">
        <f>'7.CF'!AU33</f>
        <v>0</v>
      </c>
      <c r="AV75" s="947">
        <f>'7.CF'!AV33</f>
        <v>0</v>
      </c>
      <c r="AW75" s="947">
        <f>'7.CF'!AW33</f>
        <v>0</v>
      </c>
      <c r="AX75" s="947">
        <f>'7.CF'!AX33</f>
        <v>0</v>
      </c>
      <c r="AY75" s="947">
        <f>'7.CF'!AY33</f>
        <v>0</v>
      </c>
      <c r="AZ75" s="947">
        <f>'7.CF'!AZ33</f>
        <v>0</v>
      </c>
      <c r="BA75" s="947">
        <f>'7.CF'!BA33</f>
        <v>0</v>
      </c>
      <c r="BB75" s="947">
        <f>'7.CF'!BB33</f>
        <v>0</v>
      </c>
      <c r="BC75" s="947">
        <f>'7.CF'!BC33</f>
        <v>0</v>
      </c>
      <c r="BD75" s="947">
        <f>'7.CF'!BD33</f>
        <v>0</v>
      </c>
      <c r="BE75" s="947">
        <f>'7.CF'!BE33</f>
        <v>0</v>
      </c>
      <c r="BF75" s="947">
        <f>'7.CF'!BF33</f>
        <v>0</v>
      </c>
      <c r="BG75" s="947">
        <f>'7.CF'!BG33</f>
        <v>0</v>
      </c>
      <c r="BH75" s="947">
        <f>'7.CF'!BH33</f>
        <v>0</v>
      </c>
      <c r="BI75" s="947">
        <f>'7.CF'!BI33</f>
        <v>0</v>
      </c>
      <c r="BJ75" s="947">
        <f>'7.CF'!BJ33</f>
        <v>0</v>
      </c>
      <c r="BK75" s="947">
        <f>'7.CF'!BK33</f>
        <v>0</v>
      </c>
      <c r="BL75" s="947">
        <f>'7.CF'!BL33</f>
        <v>0</v>
      </c>
      <c r="BM75" s="947">
        <f>'7.CF'!BM33</f>
        <v>0</v>
      </c>
      <c r="BN75" s="947">
        <f>'7.CF'!BN33</f>
        <v>0</v>
      </c>
      <c r="BO75" s="947">
        <f>'7.CF'!BO33</f>
        <v>0</v>
      </c>
      <c r="BP75" s="947">
        <f>'7.CF'!BP33</f>
        <v>0</v>
      </c>
      <c r="BQ75" s="947">
        <f>'7.CF'!BQ33</f>
        <v>0</v>
      </c>
      <c r="BR75" s="947">
        <f>'7.CF'!BR33</f>
        <v>0</v>
      </c>
      <c r="BS75" s="947">
        <f>'7.CF'!BS33</f>
        <v>0</v>
      </c>
      <c r="BT75" s="947">
        <f>'7.CF'!BT33</f>
        <v>0</v>
      </c>
      <c r="BU75" s="947">
        <f>'7.CF'!BU33</f>
        <v>0</v>
      </c>
      <c r="BV75" s="947">
        <f>'7.CF'!BV33</f>
        <v>0</v>
      </c>
      <c r="BW75" s="947">
        <f>'7.CF'!BW33</f>
        <v>0</v>
      </c>
      <c r="BX75" s="947">
        <f>'7.CF'!BX33</f>
        <v>0</v>
      </c>
      <c r="BY75" s="947">
        <f>'7.CF'!BY33</f>
        <v>0</v>
      </c>
      <c r="BZ75" s="947">
        <f>'7.CF'!BZ33</f>
        <v>0</v>
      </c>
      <c r="CA75" s="947">
        <f>'7.CF'!CA33</f>
        <v>0</v>
      </c>
      <c r="CB75" s="947">
        <f>'7.CF'!CB33</f>
        <v>0</v>
      </c>
      <c r="CC75" s="947">
        <f>'7.CF'!CC33</f>
        <v>0</v>
      </c>
      <c r="CD75" s="947">
        <f>'7.CF'!CD33</f>
        <v>0</v>
      </c>
      <c r="CE75" s="947">
        <f>'7.CF'!CE33</f>
        <v>0</v>
      </c>
      <c r="CF75" s="947">
        <f>'7.CF'!CF33</f>
        <v>0</v>
      </c>
      <c r="CG75" s="947">
        <f>'7.CF'!CG33</f>
        <v>0</v>
      </c>
      <c r="CH75" s="947">
        <f>'7.CF'!CH33</f>
        <v>0</v>
      </c>
    </row>
    <row r="76" spans="2:86" ht="15.75" customHeight="1">
      <c r="B76" s="1000" t="s">
        <v>52</v>
      </c>
      <c r="C76" s="997"/>
      <c r="D76" s="1001"/>
      <c r="E76" s="1002"/>
      <c r="F76" s="1002">
        <f>'5.Doanh thu'!H117-F74+E47</f>
        <v>0</v>
      </c>
      <c r="G76" s="1002">
        <f>'5.Doanh thu'!I117-G74+F47</f>
        <v>0</v>
      </c>
      <c r="H76" s="1002">
        <f>'5.Doanh thu'!J117-H74+G47</f>
        <v>0</v>
      </c>
      <c r="I76" s="1002">
        <f>'5.Doanh thu'!K117-I74+H47</f>
        <v>0</v>
      </c>
      <c r="J76" s="1002">
        <f>'5.Doanh thu'!L117-J74+I47</f>
        <v>0</v>
      </c>
      <c r="K76" s="1002">
        <f>'5.Doanh thu'!M117-K74+J47</f>
        <v>0</v>
      </c>
      <c r="L76" s="1002">
        <f>'5.Doanh thu'!N117-L74+K47</f>
        <v>0</v>
      </c>
      <c r="M76" s="1002">
        <f>'5.Doanh thu'!O117-M74+L47</f>
        <v>0</v>
      </c>
      <c r="N76" s="1002">
        <f>'5.Doanh thu'!P117-N74+M47</f>
        <v>0</v>
      </c>
      <c r="O76" s="1002">
        <f>'5.Doanh thu'!Q117-O74+N47</f>
        <v>501810.48939783679</v>
      </c>
      <c r="P76" s="1002">
        <f>'5.Doanh thu'!R117-P74+O47</f>
        <v>561808.44618218241</v>
      </c>
      <c r="Q76" s="1002">
        <f>'5.Doanh thu'!S117-Q74+P47</f>
        <v>266569.78886727645</v>
      </c>
      <c r="R76" s="1002">
        <f>'5.Doanh thu'!T117-R74+Q47</f>
        <v>702288.02114197169</v>
      </c>
      <c r="S76" s="1002">
        <f>'5.Doanh thu'!U117-S74+R47</f>
        <v>680431.57379514992</v>
      </c>
      <c r="T76" s="1002">
        <f>'5.Doanh thu'!V117-T74+S47</f>
        <v>616116.20950907888</v>
      </c>
      <c r="U76" s="1002">
        <f>'5.Doanh thu'!W117-U74+T47</f>
        <v>625001.81287781172</v>
      </c>
      <c r="V76" s="1002">
        <f>'5.Doanh thu'!X117-V74+U47</f>
        <v>1477390.2311660545</v>
      </c>
      <c r="W76" s="1002">
        <f>'5.Doanh thu'!Y117-W74+V47</f>
        <v>1107186.4669608958</v>
      </c>
      <c r="X76" s="1002">
        <f>'5.Doanh thu'!Z117-X74+W47</f>
        <v>1107186.4669608958</v>
      </c>
      <c r="Y76" s="1002">
        <f>'5.Doanh thu'!AA117-Y74+X47</f>
        <v>1280956.7337975423</v>
      </c>
      <c r="Z76" s="1002">
        <f>'5.Doanh thu'!AB117-Z74+Y47</f>
        <v>1243779.2042976855</v>
      </c>
      <c r="AA76" s="1002">
        <f>'5.Doanh thu'!AC117-AA74+Z47</f>
        <v>1243779.2042976855</v>
      </c>
      <c r="AB76" s="1002">
        <f>'5.Doanh thu'!AD117-AB74+AA47</f>
        <v>1243779.2042976855</v>
      </c>
      <c r="AC76" s="1002">
        <f>'5.Doanh thu'!AE117-AC74+AB47</f>
        <v>1243779.2042976855</v>
      </c>
      <c r="AD76" s="1002">
        <f>'5.Doanh thu'!AF117-AD74+AC47</f>
        <v>1243779.2042976855</v>
      </c>
      <c r="AE76" s="1002">
        <f>'5.Doanh thu'!AG117-AE74+AD47</f>
        <v>1243779.2042976855</v>
      </c>
      <c r="AF76" s="1002">
        <f>'5.Doanh thu'!AH117-AF74+AE47</f>
        <v>1243779.2042976855</v>
      </c>
      <c r="AG76" s="1002">
        <f>'5.Doanh thu'!AI117-AG74+AF47</f>
        <v>1243779.2042976855</v>
      </c>
      <c r="AH76" s="1002">
        <f>'5.Doanh thu'!AJ117-AH74+AG47</f>
        <v>1243779.2042976855</v>
      </c>
      <c r="AI76" s="1002">
        <f>'5.Doanh thu'!AK117-AI74+AH47</f>
        <v>1243779.2042976855</v>
      </c>
      <c r="AJ76" s="1002">
        <f>'5.Doanh thu'!AL117-AJ74+AI47</f>
        <v>1243779.2042976855</v>
      </c>
      <c r="AK76" s="1002">
        <f>'5.Doanh thu'!AM117-AK74+AJ47</f>
        <v>1243779.2042976855</v>
      </c>
      <c r="AL76" s="1002">
        <f>'5.Doanh thu'!AN117-AL74+AK47</f>
        <v>1243779.2042976855</v>
      </c>
      <c r="AM76" s="1002">
        <f>'5.Doanh thu'!AO117-AM74+AL47</f>
        <v>1243779.2042976855</v>
      </c>
      <c r="AN76" s="1002">
        <f>'5.Doanh thu'!AP117-AN74+AM47</f>
        <v>1243779.2042976855</v>
      </c>
      <c r="AO76" s="1002">
        <f>'5.Doanh thu'!AQ117-AO74+AN47</f>
        <v>1243779.2042976855</v>
      </c>
      <c r="AP76" s="1002">
        <f>'5.Doanh thu'!AR117-AP74+AO47</f>
        <v>1243779.2042976855</v>
      </c>
      <c r="AQ76" s="1002">
        <f>'5.Doanh thu'!AS117-AQ74+AP47</f>
        <v>1243779.2042976855</v>
      </c>
      <c r="AR76" s="1002">
        <f>'5.Doanh thu'!AT117-AR74+AQ47</f>
        <v>1243779.2042976855</v>
      </c>
      <c r="AS76" s="1002">
        <f>'5.Doanh thu'!AU117-AS74+AR47</f>
        <v>1243779.2042976855</v>
      </c>
      <c r="AT76" s="1002">
        <f>'5.Doanh thu'!AV117-AT74+AS47</f>
        <v>1243779.2042976855</v>
      </c>
      <c r="AU76" s="1002">
        <f>'5.Doanh thu'!AW117-AU74+AT47</f>
        <v>1243779.2042976855</v>
      </c>
      <c r="AV76" s="1002">
        <f>'5.Doanh thu'!AX117-AV74+AU47</f>
        <v>1243779.2042976855</v>
      </c>
      <c r="AW76" s="1002">
        <f>'5.Doanh thu'!AY117-AW74+AV47</f>
        <v>1243779.2042976855</v>
      </c>
      <c r="AX76" s="1002">
        <f>'5.Doanh thu'!AZ117-AX74+AW47</f>
        <v>1243779.2042976855</v>
      </c>
      <c r="AY76" s="1002">
        <f>'5.Doanh thu'!BA117-AY74+AX47</f>
        <v>1243779.2042976855</v>
      </c>
      <c r="AZ76" s="1002">
        <f>'5.Doanh thu'!BB117-AZ74+AY47</f>
        <v>1243779.2042976855</v>
      </c>
      <c r="BA76" s="1002">
        <f>'5.Doanh thu'!BC117-BA74+AZ47</f>
        <v>1243779.2042976855</v>
      </c>
      <c r="BB76" s="1002">
        <f>'5.Doanh thu'!BD117-BB74+BA47</f>
        <v>1243779.2042976855</v>
      </c>
      <c r="BC76" s="1002">
        <f>'5.Doanh thu'!BE117-BC74+BB47</f>
        <v>1243779.2042976855</v>
      </c>
      <c r="BD76" s="1002">
        <f>'5.Doanh thu'!BF117-BD74+BC47</f>
        <v>1243779.2042976855</v>
      </c>
      <c r="BE76" s="1002">
        <f>'5.Doanh thu'!BG117-BE74+BD47</f>
        <v>1243779.2042976855</v>
      </c>
      <c r="BF76" s="1002">
        <f>'5.Doanh thu'!BH117-BF74+BE47</f>
        <v>1243779.2042976855</v>
      </c>
      <c r="BG76" s="1002">
        <f>'5.Doanh thu'!BI117-BG74+BF47</f>
        <v>1243779.2042976855</v>
      </c>
      <c r="BH76" s="1002">
        <f>'5.Doanh thu'!BJ117-BH74+BG47</f>
        <v>1243779.2042976855</v>
      </c>
      <c r="BI76" s="1002">
        <f>'5.Doanh thu'!BK117-BI74+BH47</f>
        <v>1243779.2042976855</v>
      </c>
      <c r="BJ76" s="1002">
        <f>'5.Doanh thu'!BL117-BJ74+BI47</f>
        <v>1243779.2042976855</v>
      </c>
      <c r="BK76" s="1002">
        <f>'5.Doanh thu'!BM117-BK74+BJ47</f>
        <v>1243779.2042976855</v>
      </c>
      <c r="BL76" s="1002">
        <f>'5.Doanh thu'!BN117-BL74+BK47</f>
        <v>1243779.2042976855</v>
      </c>
      <c r="BM76" s="1002">
        <f>'5.Doanh thu'!BO117-BM74+BL47</f>
        <v>1243779.2042976855</v>
      </c>
      <c r="BN76" s="1002">
        <f>'5.Doanh thu'!BP117-BN74+BM47</f>
        <v>1243779.2042976855</v>
      </c>
      <c r="BO76" s="1002">
        <f>'5.Doanh thu'!BQ117-BO74+BN47</f>
        <v>1243779.2042976855</v>
      </c>
      <c r="BP76" s="1002">
        <f>'5.Doanh thu'!BR117-BP74+BO47</f>
        <v>1243779.2042976855</v>
      </c>
      <c r="BQ76" s="1002">
        <f>'5.Doanh thu'!BS117-BQ74+BP47</f>
        <v>1243779.2042976855</v>
      </c>
      <c r="BR76" s="1002">
        <f>'5.Doanh thu'!BT117-BR74+BQ47</f>
        <v>1243779.2042976855</v>
      </c>
      <c r="BS76" s="1002">
        <f>'5.Doanh thu'!BU117-BS74+BR47</f>
        <v>1243779.2042976855</v>
      </c>
      <c r="BT76" s="1002">
        <f>'5.Doanh thu'!BV117-BT74+BS47</f>
        <v>1243779.2042976855</v>
      </c>
      <c r="BU76" s="1002">
        <f>'5.Doanh thu'!BW117-BU74+BT47</f>
        <v>1243779.2042976855</v>
      </c>
      <c r="BV76" s="1002">
        <f>'5.Doanh thu'!BX117-BV74+BU47</f>
        <v>1243779.2042976855</v>
      </c>
      <c r="BW76" s="1002">
        <f>'5.Doanh thu'!BY117-BW74+BV47</f>
        <v>1243779.2042976855</v>
      </c>
      <c r="BX76" s="1002">
        <f>'5.Doanh thu'!BZ117-BX74+BW47</f>
        <v>1243779.2042976855</v>
      </c>
      <c r="BY76" s="1002">
        <f>'5.Doanh thu'!CA117-BY74+BX47</f>
        <v>1243779.2042976855</v>
      </c>
      <c r="BZ76" s="1002">
        <f>'5.Doanh thu'!CB117-BZ74+BY47</f>
        <v>1243779.2042976855</v>
      </c>
      <c r="CA76" s="1002">
        <f>'5.Doanh thu'!CC117-CA74+BZ47</f>
        <v>1243779.2042976855</v>
      </c>
      <c r="CB76" s="1002">
        <f>'5.Doanh thu'!CD117-CB74+CA47</f>
        <v>1243779.2042976855</v>
      </c>
      <c r="CC76" s="1002">
        <f>'5.Doanh thu'!CE117-CC74+CB47</f>
        <v>1243779.2042976855</v>
      </c>
      <c r="CD76" s="1002">
        <f>'5.Doanh thu'!CF117-CD74+CC47</f>
        <v>1243779.2042976855</v>
      </c>
      <c r="CE76" s="1002">
        <f>'5.Doanh thu'!CG117-CE74+CD47</f>
        <v>1243779.2042976855</v>
      </c>
      <c r="CF76" s="1002">
        <f>'5.Doanh thu'!CH117-CF74+CE47</f>
        <v>1243779.2042976855</v>
      </c>
      <c r="CG76" s="1002">
        <f>'5.Doanh thu'!CI117-CG74+CF47</f>
        <v>1243779.2042976855</v>
      </c>
      <c r="CH76" s="1002">
        <f>'5.Doanh thu'!CJ117-CH74+CG47</f>
        <v>1243779.2042976855</v>
      </c>
    </row>
    <row r="77" spans="2:86" ht="18" customHeight="1">
      <c r="C77" s="912"/>
      <c r="L77" s="870"/>
      <c r="M77" s="870"/>
      <c r="N77" s="870"/>
      <c r="O77" s="870"/>
    </row>
    <row r="78" spans="2:86">
      <c r="C78" s="913"/>
      <c r="D78" s="913"/>
    </row>
    <row r="79" spans="2:86">
      <c r="D79" s="913"/>
    </row>
    <row r="80" spans="2:86">
      <c r="D80" s="913"/>
    </row>
    <row r="81" spans="4:4">
      <c r="D81" s="913"/>
    </row>
    <row r="82" spans="4:4">
      <c r="D82" s="913"/>
    </row>
  </sheetData>
  <sheetProtection selectLockedCells="1" selectUnlockedCells="1"/>
  <mergeCells count="9">
    <mergeCell ref="B26:D26"/>
    <mergeCell ref="E14:E15"/>
    <mergeCell ref="B8:B9"/>
    <mergeCell ref="C8:C9"/>
    <mergeCell ref="D8:D9"/>
    <mergeCell ref="B14:B15"/>
    <mergeCell ref="C14:C15"/>
    <mergeCell ref="D14:D15"/>
    <mergeCell ref="E8:E9"/>
  </mergeCells>
  <phoneticPr fontId="77" type="noConversion"/>
  <pageMargins left="0.2" right="0.35" top="0.28000000000000003" bottom="0.51" header="0.2" footer="0.31"/>
  <pageSetup paperSize="9" scale="14" firstPageNumber="0" orientation="landscape" horizontalDpi="300" verticalDpi="300" r:id="rId1"/>
  <headerFooter alignWithMargins="0">
    <oddFooter>&amp;LBinh Tay_x000D_&amp;1#&amp;"Calibri"&amp;10&amp;K000000 Internal Use&amp;R20-08-2012</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4">
    <pageSetUpPr fitToPage="1"/>
  </sheetPr>
  <dimension ref="A1:CH63"/>
  <sheetViews>
    <sheetView topLeftCell="B25" zoomScale="70" zoomScaleNormal="70" zoomScaleSheetLayoutView="100" workbookViewId="0">
      <selection activeCell="Y18" sqref="Y18"/>
    </sheetView>
  </sheetViews>
  <sheetFormatPr defaultColWidth="8.85546875" defaultRowHeight="15.75"/>
  <cols>
    <col min="1" max="1" width="10.5703125" style="1019" customWidth="1"/>
    <col min="2" max="2" width="6" style="1028" customWidth="1"/>
    <col min="3" max="3" width="51" style="495" customWidth="1"/>
    <col min="4" max="4" width="16.5703125" style="495" customWidth="1"/>
    <col min="5" max="5" width="8.28515625" style="495" customWidth="1"/>
    <col min="6" max="6" width="14.42578125" style="495" customWidth="1"/>
    <col min="7" max="8" width="14.28515625" style="495" customWidth="1"/>
    <col min="9" max="9" width="13.28515625" style="495" customWidth="1"/>
    <col min="10" max="13" width="13.42578125" style="495" customWidth="1"/>
    <col min="14" max="14" width="11.140625" style="495" customWidth="1"/>
    <col min="15" max="16" width="10.28515625" style="495" bestFit="1" customWidth="1"/>
    <col min="17" max="17" width="10.28515625" style="495" customWidth="1"/>
    <col min="18" max="18" width="11.28515625" style="495" customWidth="1"/>
    <col min="19" max="81" width="10.7109375" style="495" customWidth="1"/>
    <col min="82" max="83" width="10.5703125" style="1029" customWidth="1"/>
    <col min="84" max="86" width="9" style="1029" bestFit="1" customWidth="1"/>
    <col min="87" max="16384" width="8.85546875" style="1029"/>
  </cols>
  <sheetData>
    <row r="1" spans="1:86" s="854" customFormat="1" ht="25.15" customHeight="1">
      <c r="C1" s="855"/>
      <c r="F1" s="856"/>
      <c r="G1" s="856"/>
      <c r="H1" s="856"/>
      <c r="I1" s="856"/>
      <c r="J1" s="856"/>
      <c r="K1" s="856"/>
      <c r="L1" s="856"/>
    </row>
    <row r="2" spans="1:86" s="384" customFormat="1" ht="40.15" customHeight="1">
      <c r="C2" s="1" t="str">
        <f>+Summary!B2</f>
        <v>Dự án Trần Đức 1</v>
      </c>
      <c r="D2" s="1"/>
      <c r="E2" s="1"/>
      <c r="F2" s="1"/>
      <c r="G2" s="1"/>
      <c r="H2" s="1"/>
    </row>
    <row r="3" spans="1:86" s="382" customFormat="1" ht="19.899999999999999" customHeight="1" thickBot="1">
      <c r="C3" s="1444" t="s">
        <v>605</v>
      </c>
      <c r="D3" s="385"/>
      <c r="E3" s="386"/>
      <c r="F3" s="386"/>
      <c r="G3" s="386"/>
      <c r="H3" s="386"/>
    </row>
    <row r="4" spans="1:86" s="1019" customFormat="1" ht="14.25" thickTop="1">
      <c r="B4" s="1020"/>
      <c r="C4" s="1021"/>
      <c r="D4" s="1021"/>
      <c r="E4" s="1021"/>
      <c r="F4" s="1021"/>
      <c r="G4" s="1021"/>
      <c r="H4" s="1021"/>
      <c r="I4" s="1021"/>
      <c r="J4" s="1021"/>
      <c r="K4" s="1021"/>
      <c r="L4" s="1021"/>
      <c r="M4" s="1021"/>
      <c r="N4" s="1021"/>
      <c r="O4" s="1021"/>
      <c r="P4" s="1021"/>
      <c r="Q4" s="1021"/>
      <c r="R4" s="1021"/>
      <c r="S4" s="1021"/>
      <c r="T4" s="1021"/>
      <c r="U4" s="1021"/>
      <c r="V4" s="1021"/>
      <c r="W4" s="1021"/>
      <c r="X4" s="1021"/>
      <c r="Y4" s="1021"/>
      <c r="Z4" s="1021"/>
      <c r="AA4" s="1021"/>
      <c r="AB4" s="1021"/>
      <c r="AC4" s="1021"/>
      <c r="AD4" s="1021"/>
      <c r="AE4" s="1021"/>
      <c r="AF4" s="1021"/>
      <c r="AG4" s="1021"/>
      <c r="AH4" s="1021"/>
      <c r="AI4" s="1021"/>
      <c r="AJ4" s="1021"/>
      <c r="AK4" s="1021"/>
      <c r="AL4" s="1021"/>
      <c r="AM4" s="1021"/>
      <c r="AN4" s="1021"/>
      <c r="AO4" s="1021"/>
      <c r="AP4" s="1021"/>
      <c r="AQ4" s="1021"/>
      <c r="AR4" s="1021"/>
      <c r="AS4" s="1021"/>
      <c r="AT4" s="1021"/>
      <c r="AU4" s="1021"/>
      <c r="AV4" s="1021"/>
      <c r="AW4" s="1021"/>
      <c r="AX4" s="1021"/>
      <c r="AY4" s="1021"/>
      <c r="AZ4" s="1021"/>
      <c r="BA4" s="1021"/>
      <c r="BB4" s="1021"/>
      <c r="BC4" s="1021"/>
      <c r="BD4" s="1021"/>
      <c r="BE4" s="1021"/>
      <c r="BF4" s="1021"/>
      <c r="BG4" s="1021"/>
      <c r="BH4" s="1021"/>
      <c r="BI4" s="1021"/>
      <c r="BJ4" s="1021"/>
      <c r="BK4" s="1021"/>
      <c r="BL4" s="1021"/>
      <c r="BM4" s="1021"/>
      <c r="BN4" s="1021"/>
      <c r="BO4" s="1021"/>
      <c r="BP4" s="1021"/>
      <c r="BQ4" s="1021"/>
      <c r="BR4" s="1021"/>
      <c r="BS4" s="1021"/>
      <c r="BT4" s="1021"/>
      <c r="BU4" s="1021"/>
      <c r="BV4" s="1021"/>
      <c r="BW4" s="1021"/>
      <c r="BX4" s="1021"/>
      <c r="BY4" s="1021"/>
      <c r="BZ4" s="1021"/>
      <c r="CA4" s="1021"/>
      <c r="CB4" s="1021"/>
      <c r="CC4" s="1021"/>
    </row>
    <row r="5" spans="1:86" ht="18.75">
      <c r="C5" s="860" t="s">
        <v>526</v>
      </c>
      <c r="S5" s="2"/>
    </row>
    <row r="6" spans="1:86">
      <c r="D6" s="1030"/>
      <c r="S6" s="2"/>
      <c r="T6" s="2"/>
    </row>
    <row r="7" spans="1:86" s="1031" customFormat="1" ht="17.25">
      <c r="A7" s="1022"/>
      <c r="B7" s="2252" t="s">
        <v>0</v>
      </c>
      <c r="C7" s="2252" t="s">
        <v>1</v>
      </c>
      <c r="D7" s="2253" t="s">
        <v>53</v>
      </c>
      <c r="E7" s="2255" t="s">
        <v>17</v>
      </c>
      <c r="F7" s="934">
        <f>'5.Doanh thu'!H7</f>
        <v>2026</v>
      </c>
      <c r="G7" s="934">
        <f>'5.Doanh thu'!I7</f>
        <v>2026</v>
      </c>
      <c r="H7" s="934">
        <f>'5.Doanh thu'!J7</f>
        <v>2026</v>
      </c>
      <c r="I7" s="934">
        <f>'5.Doanh thu'!K7</f>
        <v>2026</v>
      </c>
      <c r="J7" s="934">
        <f>'5.Doanh thu'!L7</f>
        <v>2027</v>
      </c>
      <c r="K7" s="934">
        <f>'5.Doanh thu'!M7</f>
        <v>2027</v>
      </c>
      <c r="L7" s="934">
        <f>'5.Doanh thu'!N7</f>
        <v>2027</v>
      </c>
      <c r="M7" s="934">
        <f>'5.Doanh thu'!O7</f>
        <v>2027</v>
      </c>
      <c r="N7" s="934">
        <f>'5.Doanh thu'!P7</f>
        <v>2028</v>
      </c>
      <c r="O7" s="934">
        <f>'5.Doanh thu'!Q7</f>
        <v>2028</v>
      </c>
      <c r="P7" s="934">
        <f>'5.Doanh thu'!R7</f>
        <v>2028</v>
      </c>
      <c r="Q7" s="934">
        <f>'5.Doanh thu'!S7</f>
        <v>2028</v>
      </c>
      <c r="R7" s="934">
        <f>'5.Doanh thu'!T7</f>
        <v>2029</v>
      </c>
      <c r="S7" s="934">
        <f>'5.Doanh thu'!U7</f>
        <v>2029</v>
      </c>
      <c r="T7" s="934">
        <f>'5.Doanh thu'!V7</f>
        <v>2029</v>
      </c>
      <c r="U7" s="934">
        <f>'5.Doanh thu'!W7</f>
        <v>2029</v>
      </c>
      <c r="V7" s="934">
        <f>'5.Doanh thu'!X7</f>
        <v>2030</v>
      </c>
      <c r="W7" s="934">
        <f>'5.Doanh thu'!Y7</f>
        <v>2030</v>
      </c>
      <c r="X7" s="934">
        <f>'5.Doanh thu'!Z7</f>
        <v>2030</v>
      </c>
      <c r="Y7" s="934">
        <f>'5.Doanh thu'!AA7</f>
        <v>2030</v>
      </c>
      <c r="Z7" s="938">
        <f>'5.Doanh thu'!AB7</f>
        <v>2031</v>
      </c>
      <c r="AA7" s="938">
        <f>'5.Doanh thu'!AC7</f>
        <v>2031</v>
      </c>
      <c r="AB7" s="938">
        <f>'5.Doanh thu'!AD7</f>
        <v>2031</v>
      </c>
      <c r="AC7" s="938">
        <f>'5.Doanh thu'!AE7</f>
        <v>2031</v>
      </c>
      <c r="AD7" s="938">
        <f>'5.Doanh thu'!AF7</f>
        <v>2032</v>
      </c>
      <c r="AE7" s="938">
        <f>'5.Doanh thu'!AG7</f>
        <v>2032</v>
      </c>
      <c r="AF7" s="938">
        <f>'5.Doanh thu'!AH7</f>
        <v>2032</v>
      </c>
      <c r="AG7" s="938">
        <f>'5.Doanh thu'!AI7</f>
        <v>2032</v>
      </c>
      <c r="AH7" s="938">
        <f>'5.Doanh thu'!AJ7</f>
        <v>2033</v>
      </c>
      <c r="AI7" s="938">
        <f>'5.Doanh thu'!AK7</f>
        <v>2033</v>
      </c>
      <c r="AJ7" s="938">
        <f>'5.Doanh thu'!AL7</f>
        <v>2033</v>
      </c>
      <c r="AK7" s="938">
        <f>'5.Doanh thu'!AM7</f>
        <v>2033</v>
      </c>
      <c r="AL7" s="938">
        <f>'5.Doanh thu'!AN7</f>
        <v>2034</v>
      </c>
      <c r="AM7" s="938">
        <f>'5.Doanh thu'!AO7</f>
        <v>2034</v>
      </c>
      <c r="AN7" s="938">
        <f>'5.Doanh thu'!AP7</f>
        <v>2034</v>
      </c>
      <c r="AO7" s="938">
        <f>'5.Doanh thu'!AQ7</f>
        <v>2034</v>
      </c>
      <c r="AP7" s="938">
        <f>'5.Doanh thu'!AR7</f>
        <v>2035</v>
      </c>
      <c r="AQ7" s="938">
        <f>'5.Doanh thu'!AS7</f>
        <v>2036</v>
      </c>
      <c r="AR7" s="938">
        <f>'5.Doanh thu'!AT7</f>
        <v>2037</v>
      </c>
      <c r="AS7" s="938">
        <f>'5.Doanh thu'!AU7</f>
        <v>2038</v>
      </c>
      <c r="AT7" s="938">
        <f>'5.Doanh thu'!AV7</f>
        <v>2039</v>
      </c>
      <c r="AU7" s="938">
        <f>'5.Doanh thu'!AW7</f>
        <v>2040</v>
      </c>
      <c r="AV7" s="938">
        <f>'5.Doanh thu'!AX7</f>
        <v>2041</v>
      </c>
      <c r="AW7" s="938">
        <f>'5.Doanh thu'!AY7</f>
        <v>2042</v>
      </c>
      <c r="AX7" s="938">
        <f>'5.Doanh thu'!AZ7</f>
        <v>2043</v>
      </c>
      <c r="AY7" s="938">
        <f>'5.Doanh thu'!BA7</f>
        <v>2044</v>
      </c>
      <c r="AZ7" s="938">
        <f>'5.Doanh thu'!BB7</f>
        <v>2045</v>
      </c>
      <c r="BA7" s="938">
        <f>'5.Doanh thu'!BC7</f>
        <v>2046</v>
      </c>
      <c r="BB7" s="938">
        <f>'5.Doanh thu'!BD7</f>
        <v>2047</v>
      </c>
      <c r="BC7" s="938">
        <f>'5.Doanh thu'!BE7</f>
        <v>2048</v>
      </c>
      <c r="BD7" s="938">
        <f>'5.Doanh thu'!BF7</f>
        <v>2049</v>
      </c>
      <c r="BE7" s="938">
        <f>'5.Doanh thu'!BG7</f>
        <v>2050</v>
      </c>
      <c r="BF7" s="938">
        <f>'5.Doanh thu'!BH7</f>
        <v>2051</v>
      </c>
      <c r="BG7" s="938">
        <f>'5.Doanh thu'!BI7</f>
        <v>2052</v>
      </c>
      <c r="BH7" s="938">
        <f>'5.Doanh thu'!BJ7</f>
        <v>2053</v>
      </c>
      <c r="BI7" s="938">
        <f>'5.Doanh thu'!BK7</f>
        <v>2054</v>
      </c>
      <c r="BJ7" s="938">
        <f>'5.Doanh thu'!BL7</f>
        <v>2055</v>
      </c>
      <c r="BK7" s="938">
        <f>'5.Doanh thu'!BM7</f>
        <v>2056</v>
      </c>
      <c r="BL7" s="938">
        <f>'5.Doanh thu'!BN7</f>
        <v>2057</v>
      </c>
      <c r="BM7" s="938">
        <f>'5.Doanh thu'!BO7</f>
        <v>2058</v>
      </c>
      <c r="BN7" s="938">
        <f>'5.Doanh thu'!BP7</f>
        <v>2059</v>
      </c>
      <c r="BO7" s="938">
        <f>'5.Doanh thu'!BQ7</f>
        <v>2060</v>
      </c>
      <c r="BP7" s="938">
        <f>'5.Doanh thu'!BR7</f>
        <v>2061</v>
      </c>
      <c r="BQ7" s="938">
        <f>'5.Doanh thu'!BS7</f>
        <v>2062</v>
      </c>
      <c r="BR7" s="938">
        <f>'5.Doanh thu'!BT7</f>
        <v>2063</v>
      </c>
      <c r="BS7" s="938">
        <f>'5.Doanh thu'!BU7</f>
        <v>2064</v>
      </c>
      <c r="BT7" s="938">
        <f>'5.Doanh thu'!BV7</f>
        <v>2065</v>
      </c>
      <c r="BU7" s="938">
        <f>'5.Doanh thu'!BW7</f>
        <v>2066</v>
      </c>
      <c r="BV7" s="938">
        <f>'5.Doanh thu'!BX7</f>
        <v>2067</v>
      </c>
      <c r="BW7" s="938">
        <f>'5.Doanh thu'!BY7</f>
        <v>2068</v>
      </c>
      <c r="BX7" s="938">
        <f>'5.Doanh thu'!BZ7</f>
        <v>2069</v>
      </c>
      <c r="BY7" s="938">
        <f>'5.Doanh thu'!CA7</f>
        <v>2070</v>
      </c>
      <c r="BZ7" s="938">
        <f>'5.Doanh thu'!CB7</f>
        <v>2071</v>
      </c>
      <c r="CA7" s="938">
        <f>'5.Doanh thu'!CC7</f>
        <v>2072</v>
      </c>
      <c r="CB7" s="938">
        <f>'5.Doanh thu'!CD7</f>
        <v>2073</v>
      </c>
      <c r="CC7" s="938">
        <f>'5.Doanh thu'!CE7</f>
        <v>2074</v>
      </c>
      <c r="CD7" s="938">
        <f>'5.Doanh thu'!CF7</f>
        <v>2075</v>
      </c>
      <c r="CE7" s="938">
        <f>'5.Doanh thu'!CG7</f>
        <v>2076</v>
      </c>
      <c r="CF7" s="938">
        <f>'5.Doanh thu'!CH7</f>
        <v>2077</v>
      </c>
      <c r="CG7" s="938">
        <f>'5.Doanh thu'!CI7</f>
        <v>2078</v>
      </c>
      <c r="CH7" s="938">
        <f>'5.Doanh thu'!CJ7</f>
        <v>2079</v>
      </c>
    </row>
    <row r="8" spans="1:86" s="1031" customFormat="1" ht="17.25">
      <c r="A8" s="1022"/>
      <c r="B8" s="2252"/>
      <c r="C8" s="2252"/>
      <c r="D8" s="2254"/>
      <c r="E8" s="2256"/>
      <c r="F8" s="934" t="str">
        <f>'5.Doanh thu'!H8</f>
        <v>Q1</v>
      </c>
      <c r="G8" s="934" t="str">
        <f>'5.Doanh thu'!I8</f>
        <v>Q2</v>
      </c>
      <c r="H8" s="934" t="str">
        <f>'5.Doanh thu'!J8</f>
        <v>Q3</v>
      </c>
      <c r="I8" s="934" t="str">
        <f>'5.Doanh thu'!K8</f>
        <v>Q4</v>
      </c>
      <c r="J8" s="934" t="str">
        <f>'5.Doanh thu'!L8</f>
        <v>Q1</v>
      </c>
      <c r="K8" s="934" t="str">
        <f>'5.Doanh thu'!M8</f>
        <v>Q2</v>
      </c>
      <c r="L8" s="934" t="str">
        <f>'5.Doanh thu'!N8</f>
        <v>Q3</v>
      </c>
      <c r="M8" s="934" t="str">
        <f>'5.Doanh thu'!O8</f>
        <v>Q4</v>
      </c>
      <c r="N8" s="934" t="str">
        <f>'5.Doanh thu'!P8</f>
        <v>Q1</v>
      </c>
      <c r="O8" s="934" t="str">
        <f>'5.Doanh thu'!Q8</f>
        <v>Q2</v>
      </c>
      <c r="P8" s="934" t="str">
        <f>'5.Doanh thu'!R8</f>
        <v>Q3</v>
      </c>
      <c r="Q8" s="934" t="str">
        <f>'5.Doanh thu'!S8</f>
        <v>Q4</v>
      </c>
      <c r="R8" s="934" t="str">
        <f>'5.Doanh thu'!T8</f>
        <v>Q1</v>
      </c>
      <c r="S8" s="934" t="str">
        <f>'5.Doanh thu'!U8</f>
        <v>Q2</v>
      </c>
      <c r="T8" s="934" t="str">
        <f>'5.Doanh thu'!V8</f>
        <v>Q3</v>
      </c>
      <c r="U8" s="934" t="str">
        <f>'5.Doanh thu'!W8</f>
        <v>Q4</v>
      </c>
      <c r="V8" s="934" t="str">
        <f>'5.Doanh thu'!X8</f>
        <v>Q1</v>
      </c>
      <c r="W8" s="934" t="str">
        <f>'5.Doanh thu'!Y8</f>
        <v>Q2</v>
      </c>
      <c r="X8" s="934" t="str">
        <f>'5.Doanh thu'!Z8</f>
        <v>Q3</v>
      </c>
      <c r="Y8" s="934" t="str">
        <f>'5.Doanh thu'!AA8</f>
        <v>Q4</v>
      </c>
      <c r="Z8" s="934" t="str">
        <f>'5.Doanh thu'!AB8</f>
        <v>Q1</v>
      </c>
      <c r="AA8" s="934" t="str">
        <f>'5.Doanh thu'!AC8</f>
        <v>Q2</v>
      </c>
      <c r="AB8" s="934" t="str">
        <f>'5.Doanh thu'!AD8</f>
        <v>Q3</v>
      </c>
      <c r="AC8" s="934" t="str">
        <f>'5.Doanh thu'!AE8</f>
        <v>Q4</v>
      </c>
      <c r="AD8" s="934" t="str">
        <f>'5.Doanh thu'!AF8</f>
        <v>Q1</v>
      </c>
      <c r="AE8" s="934" t="str">
        <f>'5.Doanh thu'!AG8</f>
        <v>Q2</v>
      </c>
      <c r="AF8" s="934" t="str">
        <f>'5.Doanh thu'!AH8</f>
        <v>Q3</v>
      </c>
      <c r="AG8" s="934" t="str">
        <f>'5.Doanh thu'!AI8</f>
        <v>Q4</v>
      </c>
      <c r="AH8" s="934" t="str">
        <f>'5.Doanh thu'!AJ8</f>
        <v>Q1</v>
      </c>
      <c r="AI8" s="934" t="str">
        <f>'5.Doanh thu'!AK8</f>
        <v>Q2</v>
      </c>
      <c r="AJ8" s="934" t="str">
        <f>'5.Doanh thu'!AL8</f>
        <v>Q3</v>
      </c>
      <c r="AK8" s="934" t="str">
        <f>'5.Doanh thu'!AM8</f>
        <v>Q4</v>
      </c>
      <c r="AL8" s="934" t="str">
        <f>'5.Doanh thu'!AN8</f>
        <v>Q1</v>
      </c>
      <c r="AM8" s="934" t="str">
        <f>'5.Doanh thu'!AO8</f>
        <v>Q2</v>
      </c>
      <c r="AN8" s="934" t="str">
        <f>'5.Doanh thu'!AP8</f>
        <v>Q3</v>
      </c>
      <c r="AO8" s="934" t="str">
        <f>'5.Doanh thu'!AQ8</f>
        <v>Q4</v>
      </c>
      <c r="AP8" s="934"/>
      <c r="AQ8" s="934"/>
      <c r="AR8" s="934"/>
      <c r="AS8" s="934"/>
      <c r="AT8" s="934"/>
      <c r="AU8" s="934"/>
      <c r="AV8" s="934"/>
      <c r="AW8" s="934"/>
      <c r="AX8" s="934"/>
      <c r="AY8" s="934"/>
      <c r="AZ8" s="934"/>
      <c r="BA8" s="934"/>
      <c r="BB8" s="934"/>
      <c r="BC8" s="934"/>
      <c r="BD8" s="934"/>
      <c r="BE8" s="934"/>
      <c r="BF8" s="934"/>
      <c r="BG8" s="934"/>
      <c r="BH8" s="934"/>
      <c r="BI8" s="934"/>
      <c r="BJ8" s="934"/>
      <c r="BK8" s="934"/>
      <c r="BL8" s="934"/>
      <c r="BM8" s="934"/>
      <c r="BN8" s="934"/>
      <c r="BO8" s="934"/>
      <c r="BP8" s="934"/>
      <c r="BQ8" s="934"/>
      <c r="BR8" s="934"/>
      <c r="BS8" s="934"/>
      <c r="BT8" s="934"/>
      <c r="BU8" s="934"/>
      <c r="BV8" s="934"/>
      <c r="BW8" s="934"/>
      <c r="BX8" s="934"/>
      <c r="BY8" s="934"/>
      <c r="BZ8" s="934"/>
      <c r="CA8" s="934"/>
      <c r="CB8" s="934"/>
      <c r="CC8" s="934"/>
      <c r="CD8" s="934"/>
      <c r="CE8" s="934"/>
      <c r="CF8" s="934"/>
      <c r="CG8" s="934"/>
      <c r="CH8" s="934"/>
    </row>
    <row r="9" spans="1:86" s="520" customFormat="1" ht="19.5" customHeight="1">
      <c r="A9" s="1023"/>
      <c r="B9" s="1032">
        <v>1</v>
      </c>
      <c r="C9" s="1033" t="s">
        <v>54</v>
      </c>
      <c r="D9" s="1034">
        <f t="shared" ref="D9:D34" si="0">SUM(E9:CT9)</f>
        <v>460951.34299637959</v>
      </c>
      <c r="E9" s="1035">
        <f>E10-E12</f>
        <v>0</v>
      </c>
      <c r="F9" s="1036">
        <f>F10-F12</f>
        <v>0</v>
      </c>
      <c r="G9" s="1036">
        <f>G10-G12</f>
        <v>-156000</v>
      </c>
      <c r="H9" s="1036">
        <f t="shared" ref="H9:BS9" si="1">H10-H12</f>
        <v>-364000</v>
      </c>
      <c r="I9" s="1036">
        <f t="shared" si="1"/>
        <v>-4263.4452937083088</v>
      </c>
      <c r="J9" s="1036">
        <f t="shared" si="1"/>
        <v>-4263.4452937083088</v>
      </c>
      <c r="K9" s="1036">
        <f t="shared" si="1"/>
        <v>-489001.38513583987</v>
      </c>
      <c r="L9" s="1036">
        <f t="shared" si="1"/>
        <v>-9956.0977960857344</v>
      </c>
      <c r="M9" s="1036">
        <f t="shared" si="1"/>
        <v>-49227.630170544988</v>
      </c>
      <c r="N9" s="1036">
        <f t="shared" si="1"/>
        <v>-268023.99186574854</v>
      </c>
      <c r="O9" s="1036">
        <f t="shared" si="1"/>
        <v>-50716.46649394196</v>
      </c>
      <c r="P9" s="1036">
        <f t="shared" si="1"/>
        <v>73370.958874711185</v>
      </c>
      <c r="Q9" s="1036">
        <f t="shared" si="1"/>
        <v>-8436.7927699302672</v>
      </c>
      <c r="R9" s="1036">
        <f t="shared" si="1"/>
        <v>417844.85816412535</v>
      </c>
      <c r="S9" s="1036">
        <f t="shared" si="1"/>
        <v>248553.72531942994</v>
      </c>
      <c r="T9" s="1036">
        <f t="shared" si="1"/>
        <v>126059.6505133243</v>
      </c>
      <c r="U9" s="1036">
        <f t="shared" si="1"/>
        <v>106766.84835743945</v>
      </c>
      <c r="V9" s="1036">
        <f t="shared" si="1"/>
        <v>833251.8192500677</v>
      </c>
      <c r="W9" s="1036">
        <f t="shared" si="1"/>
        <v>0</v>
      </c>
      <c r="X9" s="1036">
        <f t="shared" si="1"/>
        <v>0</v>
      </c>
      <c r="Y9" s="1036">
        <f t="shared" si="1"/>
        <v>58992.737336789636</v>
      </c>
      <c r="Z9" s="1036">
        <f t="shared" si="1"/>
        <v>0</v>
      </c>
      <c r="AA9" s="1036">
        <f t="shared" si="1"/>
        <v>0</v>
      </c>
      <c r="AB9" s="1036">
        <f t="shared" si="1"/>
        <v>0</v>
      </c>
      <c r="AC9" s="1036">
        <f t="shared" si="1"/>
        <v>0</v>
      </c>
      <c r="AD9" s="1036">
        <f t="shared" si="1"/>
        <v>0</v>
      </c>
      <c r="AE9" s="1036">
        <f t="shared" si="1"/>
        <v>0</v>
      </c>
      <c r="AF9" s="1036">
        <f t="shared" si="1"/>
        <v>0</v>
      </c>
      <c r="AG9" s="1036">
        <f t="shared" si="1"/>
        <v>0</v>
      </c>
      <c r="AH9" s="1036">
        <f t="shared" si="1"/>
        <v>0</v>
      </c>
      <c r="AI9" s="1036">
        <f t="shared" si="1"/>
        <v>0</v>
      </c>
      <c r="AJ9" s="1036">
        <f t="shared" si="1"/>
        <v>0</v>
      </c>
      <c r="AK9" s="1036">
        <f t="shared" si="1"/>
        <v>0</v>
      </c>
      <c r="AL9" s="1036">
        <f t="shared" si="1"/>
        <v>0</v>
      </c>
      <c r="AM9" s="1036">
        <f t="shared" si="1"/>
        <v>0</v>
      </c>
      <c r="AN9" s="1036">
        <f t="shared" si="1"/>
        <v>0</v>
      </c>
      <c r="AO9" s="1036">
        <f t="shared" si="1"/>
        <v>0</v>
      </c>
      <c r="AP9" s="1036">
        <f t="shared" si="1"/>
        <v>0</v>
      </c>
      <c r="AQ9" s="1036">
        <f t="shared" si="1"/>
        <v>0</v>
      </c>
      <c r="AR9" s="1036">
        <f t="shared" si="1"/>
        <v>0</v>
      </c>
      <c r="AS9" s="1036">
        <f t="shared" si="1"/>
        <v>0</v>
      </c>
      <c r="AT9" s="1036">
        <f t="shared" si="1"/>
        <v>0</v>
      </c>
      <c r="AU9" s="1036">
        <f t="shared" si="1"/>
        <v>0</v>
      </c>
      <c r="AV9" s="1036">
        <f t="shared" si="1"/>
        <v>0</v>
      </c>
      <c r="AW9" s="1036">
        <f t="shared" si="1"/>
        <v>0</v>
      </c>
      <c r="AX9" s="1036">
        <f t="shared" si="1"/>
        <v>0</v>
      </c>
      <c r="AY9" s="1036">
        <f t="shared" si="1"/>
        <v>0</v>
      </c>
      <c r="AZ9" s="1036">
        <f t="shared" si="1"/>
        <v>0</v>
      </c>
      <c r="BA9" s="1036">
        <f t="shared" si="1"/>
        <v>0</v>
      </c>
      <c r="BB9" s="1036">
        <f t="shared" si="1"/>
        <v>0</v>
      </c>
      <c r="BC9" s="1036">
        <f t="shared" si="1"/>
        <v>0</v>
      </c>
      <c r="BD9" s="1036">
        <f t="shared" si="1"/>
        <v>0</v>
      </c>
      <c r="BE9" s="1036">
        <f t="shared" si="1"/>
        <v>0</v>
      </c>
      <c r="BF9" s="1036">
        <f t="shared" si="1"/>
        <v>0</v>
      </c>
      <c r="BG9" s="1036">
        <f t="shared" si="1"/>
        <v>0</v>
      </c>
      <c r="BH9" s="1036">
        <f t="shared" si="1"/>
        <v>0</v>
      </c>
      <c r="BI9" s="1036">
        <f t="shared" si="1"/>
        <v>0</v>
      </c>
      <c r="BJ9" s="1036">
        <f t="shared" si="1"/>
        <v>0</v>
      </c>
      <c r="BK9" s="1036">
        <f t="shared" si="1"/>
        <v>0</v>
      </c>
      <c r="BL9" s="1036">
        <f t="shared" si="1"/>
        <v>0</v>
      </c>
      <c r="BM9" s="1036">
        <f t="shared" si="1"/>
        <v>0</v>
      </c>
      <c r="BN9" s="1036">
        <f t="shared" si="1"/>
        <v>0</v>
      </c>
      <c r="BO9" s="1036">
        <f t="shared" si="1"/>
        <v>0</v>
      </c>
      <c r="BP9" s="1036">
        <f t="shared" si="1"/>
        <v>0</v>
      </c>
      <c r="BQ9" s="1036">
        <f t="shared" si="1"/>
        <v>0</v>
      </c>
      <c r="BR9" s="1036">
        <f t="shared" si="1"/>
        <v>0</v>
      </c>
      <c r="BS9" s="1036">
        <f t="shared" si="1"/>
        <v>0</v>
      </c>
      <c r="BT9" s="1036">
        <f>BT10-BT12</f>
        <v>0</v>
      </c>
      <c r="BU9" s="1036">
        <f>BU10-BU12</f>
        <v>0</v>
      </c>
      <c r="BV9" s="1036">
        <f>BV10-BV12</f>
        <v>0</v>
      </c>
      <c r="BW9" s="1036">
        <f>BW10-BW12</f>
        <v>0</v>
      </c>
      <c r="BX9" s="1036">
        <f t="shared" ref="BX9:CH9" si="2">BX10-BX12</f>
        <v>0</v>
      </c>
      <c r="BY9" s="1036">
        <f t="shared" si="2"/>
        <v>0</v>
      </c>
      <c r="BZ9" s="1036">
        <f t="shared" si="2"/>
        <v>0</v>
      </c>
      <c r="CA9" s="1036">
        <f t="shared" si="2"/>
        <v>0</v>
      </c>
      <c r="CB9" s="1036">
        <f t="shared" si="2"/>
        <v>0</v>
      </c>
      <c r="CC9" s="1036">
        <f t="shared" si="2"/>
        <v>0</v>
      </c>
      <c r="CD9" s="1036">
        <f t="shared" si="2"/>
        <v>0</v>
      </c>
      <c r="CE9" s="1036">
        <f t="shared" si="2"/>
        <v>0</v>
      </c>
      <c r="CF9" s="1036">
        <f t="shared" si="2"/>
        <v>0</v>
      </c>
      <c r="CG9" s="1036">
        <f t="shared" si="2"/>
        <v>0</v>
      </c>
      <c r="CH9" s="1036">
        <f t="shared" si="2"/>
        <v>0</v>
      </c>
    </row>
    <row r="10" spans="1:86" s="520" customFormat="1" ht="19.5" customHeight="1">
      <c r="A10" s="1023"/>
      <c r="B10" s="1037" t="s">
        <v>15</v>
      </c>
      <c r="C10" s="1038" t="s">
        <v>55</v>
      </c>
      <c r="D10" s="1034">
        <f t="shared" si="0"/>
        <v>5230427.2563588815</v>
      </c>
      <c r="E10" s="1039">
        <f>E11</f>
        <v>0</v>
      </c>
      <c r="F10" s="1039">
        <f>F11</f>
        <v>0</v>
      </c>
      <c r="G10" s="1039">
        <f>G11</f>
        <v>0</v>
      </c>
      <c r="H10" s="1039">
        <f t="shared" ref="H10:BS10" si="3">H11</f>
        <v>0</v>
      </c>
      <c r="I10" s="1039">
        <f t="shared" si="3"/>
        <v>0</v>
      </c>
      <c r="J10" s="1039">
        <f t="shared" si="3"/>
        <v>0</v>
      </c>
      <c r="K10" s="1039">
        <f t="shared" si="3"/>
        <v>0</v>
      </c>
      <c r="L10" s="1039">
        <f t="shared" si="3"/>
        <v>0</v>
      </c>
      <c r="M10" s="1039">
        <f t="shared" si="3"/>
        <v>0</v>
      </c>
      <c r="N10" s="1039">
        <f t="shared" si="3"/>
        <v>0</v>
      </c>
      <c r="O10" s="1039">
        <f t="shared" si="3"/>
        <v>506879.28222003719</v>
      </c>
      <c r="P10" s="1039">
        <f t="shared" si="3"/>
        <v>567483.2789719014</v>
      </c>
      <c r="Q10" s="1039">
        <f t="shared" si="3"/>
        <v>269262.41299724893</v>
      </c>
      <c r="R10" s="1039">
        <f t="shared" si="3"/>
        <v>709381.83953734511</v>
      </c>
      <c r="S10" s="1039">
        <f t="shared" si="3"/>
        <v>687304.61999510089</v>
      </c>
      <c r="T10" s="1039">
        <f t="shared" si="3"/>
        <v>580816.22289799445</v>
      </c>
      <c r="U10" s="1039">
        <f t="shared" si="3"/>
        <v>462458.59951961931</v>
      </c>
      <c r="V10" s="1039">
        <f t="shared" si="3"/>
        <v>1215611.7004598246</v>
      </c>
      <c r="W10" s="1039">
        <f t="shared" si="3"/>
        <v>0</v>
      </c>
      <c r="X10" s="1039">
        <f t="shared" si="3"/>
        <v>0</v>
      </c>
      <c r="Y10" s="1039">
        <f t="shared" si="3"/>
        <v>231229.29975980966</v>
      </c>
      <c r="Z10" s="1039">
        <f t="shared" si="3"/>
        <v>0</v>
      </c>
      <c r="AA10" s="1039">
        <f t="shared" si="3"/>
        <v>0</v>
      </c>
      <c r="AB10" s="1039">
        <f t="shared" si="3"/>
        <v>0</v>
      </c>
      <c r="AC10" s="1039">
        <f t="shared" si="3"/>
        <v>0</v>
      </c>
      <c r="AD10" s="1039">
        <f t="shared" si="3"/>
        <v>0</v>
      </c>
      <c r="AE10" s="1039">
        <f t="shared" si="3"/>
        <v>0</v>
      </c>
      <c r="AF10" s="1039">
        <f t="shared" si="3"/>
        <v>0</v>
      </c>
      <c r="AG10" s="1039">
        <f t="shared" si="3"/>
        <v>0</v>
      </c>
      <c r="AH10" s="1039">
        <f t="shared" si="3"/>
        <v>0</v>
      </c>
      <c r="AI10" s="1039">
        <f t="shared" si="3"/>
        <v>0</v>
      </c>
      <c r="AJ10" s="1039">
        <f t="shared" si="3"/>
        <v>0</v>
      </c>
      <c r="AK10" s="1039">
        <f t="shared" si="3"/>
        <v>0</v>
      </c>
      <c r="AL10" s="1039">
        <f t="shared" si="3"/>
        <v>0</v>
      </c>
      <c r="AM10" s="1039">
        <f t="shared" si="3"/>
        <v>0</v>
      </c>
      <c r="AN10" s="1039">
        <f t="shared" si="3"/>
        <v>0</v>
      </c>
      <c r="AO10" s="1039">
        <f t="shared" si="3"/>
        <v>0</v>
      </c>
      <c r="AP10" s="1039">
        <f t="shared" si="3"/>
        <v>0</v>
      </c>
      <c r="AQ10" s="1039">
        <f t="shared" si="3"/>
        <v>0</v>
      </c>
      <c r="AR10" s="1039">
        <f t="shared" si="3"/>
        <v>0</v>
      </c>
      <c r="AS10" s="1039">
        <f t="shared" si="3"/>
        <v>0</v>
      </c>
      <c r="AT10" s="1039">
        <f t="shared" si="3"/>
        <v>0</v>
      </c>
      <c r="AU10" s="1039">
        <f t="shared" si="3"/>
        <v>0</v>
      </c>
      <c r="AV10" s="1039">
        <f t="shared" si="3"/>
        <v>0</v>
      </c>
      <c r="AW10" s="1039">
        <f t="shared" si="3"/>
        <v>0</v>
      </c>
      <c r="AX10" s="1039">
        <f t="shared" si="3"/>
        <v>0</v>
      </c>
      <c r="AY10" s="1039">
        <f t="shared" si="3"/>
        <v>0</v>
      </c>
      <c r="AZ10" s="1039">
        <f t="shared" si="3"/>
        <v>0</v>
      </c>
      <c r="BA10" s="1039">
        <f t="shared" si="3"/>
        <v>0</v>
      </c>
      <c r="BB10" s="1039">
        <f t="shared" si="3"/>
        <v>0</v>
      </c>
      <c r="BC10" s="1039">
        <f t="shared" si="3"/>
        <v>0</v>
      </c>
      <c r="BD10" s="1039">
        <f t="shared" si="3"/>
        <v>0</v>
      </c>
      <c r="BE10" s="1039">
        <f t="shared" si="3"/>
        <v>0</v>
      </c>
      <c r="BF10" s="1039">
        <f t="shared" si="3"/>
        <v>0</v>
      </c>
      <c r="BG10" s="1039">
        <f t="shared" si="3"/>
        <v>0</v>
      </c>
      <c r="BH10" s="1039">
        <f t="shared" si="3"/>
        <v>0</v>
      </c>
      <c r="BI10" s="1039">
        <f t="shared" si="3"/>
        <v>0</v>
      </c>
      <c r="BJ10" s="1039">
        <f t="shared" si="3"/>
        <v>0</v>
      </c>
      <c r="BK10" s="1039">
        <f t="shared" si="3"/>
        <v>0</v>
      </c>
      <c r="BL10" s="1039">
        <f t="shared" si="3"/>
        <v>0</v>
      </c>
      <c r="BM10" s="1039">
        <f t="shared" si="3"/>
        <v>0</v>
      </c>
      <c r="BN10" s="1039">
        <f t="shared" si="3"/>
        <v>0</v>
      </c>
      <c r="BO10" s="1039">
        <f t="shared" si="3"/>
        <v>0</v>
      </c>
      <c r="BP10" s="1039">
        <f t="shared" si="3"/>
        <v>0</v>
      </c>
      <c r="BQ10" s="1039">
        <f t="shared" si="3"/>
        <v>0</v>
      </c>
      <c r="BR10" s="1039">
        <f t="shared" si="3"/>
        <v>0</v>
      </c>
      <c r="BS10" s="1039">
        <f t="shared" si="3"/>
        <v>0</v>
      </c>
      <c r="BT10" s="1039">
        <f t="shared" ref="BT10:CH10" si="4">BT11</f>
        <v>0</v>
      </c>
      <c r="BU10" s="1039">
        <f t="shared" si="4"/>
        <v>0</v>
      </c>
      <c r="BV10" s="1039">
        <f t="shared" si="4"/>
        <v>0</v>
      </c>
      <c r="BW10" s="1039">
        <f t="shared" si="4"/>
        <v>0</v>
      </c>
      <c r="BX10" s="1039">
        <f t="shared" si="4"/>
        <v>0</v>
      </c>
      <c r="BY10" s="1039">
        <f t="shared" si="4"/>
        <v>0</v>
      </c>
      <c r="BZ10" s="1039">
        <f t="shared" si="4"/>
        <v>0</v>
      </c>
      <c r="CA10" s="1039">
        <f t="shared" si="4"/>
        <v>0</v>
      </c>
      <c r="CB10" s="1039">
        <f t="shared" si="4"/>
        <v>0</v>
      </c>
      <c r="CC10" s="1039">
        <f t="shared" si="4"/>
        <v>0</v>
      </c>
      <c r="CD10" s="1039">
        <f t="shared" si="4"/>
        <v>0</v>
      </c>
      <c r="CE10" s="1039">
        <f t="shared" si="4"/>
        <v>0</v>
      </c>
      <c r="CF10" s="1039">
        <f t="shared" si="4"/>
        <v>0</v>
      </c>
      <c r="CG10" s="1039">
        <f t="shared" si="4"/>
        <v>0</v>
      </c>
      <c r="CH10" s="1039">
        <f t="shared" si="4"/>
        <v>0</v>
      </c>
    </row>
    <row r="11" spans="1:86" ht="19.5" customHeight="1">
      <c r="B11" s="1040"/>
      <c r="C11" s="1041" t="s">
        <v>56</v>
      </c>
      <c r="D11" s="1042">
        <f t="shared" si="0"/>
        <v>5230427.2563588815</v>
      </c>
      <c r="E11" s="1043"/>
      <c r="F11" s="1043">
        <f>'5.Doanh thu'!H117</f>
        <v>0</v>
      </c>
      <c r="G11" s="1043">
        <f>'5.Doanh thu'!I117</f>
        <v>0</v>
      </c>
      <c r="H11" s="1043">
        <f>'5.Doanh thu'!J117</f>
        <v>0</v>
      </c>
      <c r="I11" s="1043">
        <f>'5.Doanh thu'!K117</f>
        <v>0</v>
      </c>
      <c r="J11" s="1043">
        <f>'5.Doanh thu'!L117</f>
        <v>0</v>
      </c>
      <c r="K11" s="1043">
        <f>'5.Doanh thu'!M117</f>
        <v>0</v>
      </c>
      <c r="L11" s="1043">
        <f>'5.Doanh thu'!N117</f>
        <v>0</v>
      </c>
      <c r="M11" s="1043">
        <f>'5.Doanh thu'!O117</f>
        <v>0</v>
      </c>
      <c r="N11" s="1043">
        <f>'5.Doanh thu'!P117</f>
        <v>0</v>
      </c>
      <c r="O11" s="1043">
        <f>'5.Doanh thu'!Q117</f>
        <v>506879.28222003719</v>
      </c>
      <c r="P11" s="1043">
        <f>'5.Doanh thu'!R117</f>
        <v>567483.2789719014</v>
      </c>
      <c r="Q11" s="1043">
        <f>'5.Doanh thu'!S117</f>
        <v>269262.41299724893</v>
      </c>
      <c r="R11" s="1043">
        <f>'5.Doanh thu'!T117</f>
        <v>709381.83953734511</v>
      </c>
      <c r="S11" s="1043">
        <f>'5.Doanh thu'!U117</f>
        <v>687304.61999510089</v>
      </c>
      <c r="T11" s="1043">
        <f>'5.Doanh thu'!V117</f>
        <v>580816.22289799445</v>
      </c>
      <c r="U11" s="1043">
        <f>'5.Doanh thu'!W117</f>
        <v>462458.59951961931</v>
      </c>
      <c r="V11" s="1043">
        <f>'5.Doanh thu'!X117</f>
        <v>1215611.7004598246</v>
      </c>
      <c r="W11" s="1043">
        <f>'5.Doanh thu'!Y117</f>
        <v>0</v>
      </c>
      <c r="X11" s="1043">
        <f>'5.Doanh thu'!Z117</f>
        <v>0</v>
      </c>
      <c r="Y11" s="1043">
        <f>'5.Doanh thu'!AA117</f>
        <v>231229.29975980966</v>
      </c>
      <c r="Z11" s="1043">
        <f>'5.Doanh thu'!AB117</f>
        <v>0</v>
      </c>
      <c r="AA11" s="1043">
        <f>'5.Doanh thu'!AC117</f>
        <v>0</v>
      </c>
      <c r="AB11" s="1043">
        <f>'5.Doanh thu'!AD117</f>
        <v>0</v>
      </c>
      <c r="AC11" s="1043">
        <f>'5.Doanh thu'!AE117</f>
        <v>0</v>
      </c>
      <c r="AD11" s="1043">
        <f>'5.Doanh thu'!AF117</f>
        <v>0</v>
      </c>
      <c r="AE11" s="1043">
        <f>'5.Doanh thu'!AG117</f>
        <v>0</v>
      </c>
      <c r="AF11" s="1043">
        <f>'5.Doanh thu'!AH117</f>
        <v>0</v>
      </c>
      <c r="AG11" s="1043">
        <f>'5.Doanh thu'!AI117</f>
        <v>0</v>
      </c>
      <c r="AH11" s="1043">
        <f>'5.Doanh thu'!AJ117</f>
        <v>0</v>
      </c>
      <c r="AI11" s="1043">
        <f>'5.Doanh thu'!AK117</f>
        <v>0</v>
      </c>
      <c r="AJ11" s="1043">
        <f>'5.Doanh thu'!AL117</f>
        <v>0</v>
      </c>
      <c r="AK11" s="1043">
        <f>'5.Doanh thu'!AM117</f>
        <v>0</v>
      </c>
      <c r="AL11" s="1043">
        <f>'5.Doanh thu'!AN117</f>
        <v>0</v>
      </c>
      <c r="AM11" s="1043">
        <f>'5.Doanh thu'!AO117</f>
        <v>0</v>
      </c>
      <c r="AN11" s="1043">
        <f>'5.Doanh thu'!AP117</f>
        <v>0</v>
      </c>
      <c r="AO11" s="1043">
        <f>'5.Doanh thu'!AQ117</f>
        <v>0</v>
      </c>
      <c r="AP11" s="1043">
        <f>'5.Doanh thu'!AR117</f>
        <v>0</v>
      </c>
      <c r="AQ11" s="1043">
        <f>'5.Doanh thu'!AS117</f>
        <v>0</v>
      </c>
      <c r="AR11" s="1043">
        <f>'5.Doanh thu'!AT117</f>
        <v>0</v>
      </c>
      <c r="AS11" s="1043">
        <f>'5.Doanh thu'!AU117</f>
        <v>0</v>
      </c>
      <c r="AT11" s="1043">
        <f>'5.Doanh thu'!AV117</f>
        <v>0</v>
      </c>
      <c r="AU11" s="1043">
        <f>'5.Doanh thu'!AW117</f>
        <v>0</v>
      </c>
      <c r="AV11" s="1043">
        <f>'5.Doanh thu'!AX117</f>
        <v>0</v>
      </c>
      <c r="AW11" s="1043">
        <f>'5.Doanh thu'!AY117</f>
        <v>0</v>
      </c>
      <c r="AX11" s="1043">
        <f>'5.Doanh thu'!AZ117</f>
        <v>0</v>
      </c>
      <c r="AY11" s="1043">
        <f>'5.Doanh thu'!BA117</f>
        <v>0</v>
      </c>
      <c r="AZ11" s="1043">
        <f>'5.Doanh thu'!BB117</f>
        <v>0</v>
      </c>
      <c r="BA11" s="1043">
        <f>'5.Doanh thu'!BC117</f>
        <v>0</v>
      </c>
      <c r="BB11" s="1043">
        <f>'5.Doanh thu'!BD117</f>
        <v>0</v>
      </c>
      <c r="BC11" s="1043">
        <f>'5.Doanh thu'!BE117</f>
        <v>0</v>
      </c>
      <c r="BD11" s="1043">
        <f>'5.Doanh thu'!BF117</f>
        <v>0</v>
      </c>
      <c r="BE11" s="1043">
        <f>'5.Doanh thu'!BG117</f>
        <v>0</v>
      </c>
      <c r="BF11" s="1043">
        <f>'5.Doanh thu'!BH117</f>
        <v>0</v>
      </c>
      <c r="BG11" s="1043">
        <f>'5.Doanh thu'!BI117</f>
        <v>0</v>
      </c>
      <c r="BH11" s="1043">
        <f>'5.Doanh thu'!BJ117</f>
        <v>0</v>
      </c>
      <c r="BI11" s="1043">
        <f>'5.Doanh thu'!BK117</f>
        <v>0</v>
      </c>
      <c r="BJ11" s="1043">
        <f>'5.Doanh thu'!BL117</f>
        <v>0</v>
      </c>
      <c r="BK11" s="1043">
        <f>'5.Doanh thu'!BM117</f>
        <v>0</v>
      </c>
      <c r="BL11" s="1043">
        <f>'5.Doanh thu'!BN117</f>
        <v>0</v>
      </c>
      <c r="BM11" s="1043">
        <f>'5.Doanh thu'!BO117</f>
        <v>0</v>
      </c>
      <c r="BN11" s="1043">
        <f>'5.Doanh thu'!BP117</f>
        <v>0</v>
      </c>
      <c r="BO11" s="1043">
        <f>'5.Doanh thu'!BQ117</f>
        <v>0</v>
      </c>
      <c r="BP11" s="1043">
        <f>'5.Doanh thu'!BR117</f>
        <v>0</v>
      </c>
      <c r="BQ11" s="1043">
        <f>'5.Doanh thu'!BS117</f>
        <v>0</v>
      </c>
      <c r="BR11" s="1043">
        <f>'5.Doanh thu'!BT117</f>
        <v>0</v>
      </c>
      <c r="BS11" s="1043">
        <f>'5.Doanh thu'!BU117</f>
        <v>0</v>
      </c>
      <c r="BT11" s="1043">
        <f>'5.Doanh thu'!BV117</f>
        <v>0</v>
      </c>
      <c r="BU11" s="1043">
        <f>'5.Doanh thu'!BW117</f>
        <v>0</v>
      </c>
      <c r="BV11" s="1043">
        <f>'5.Doanh thu'!BX117</f>
        <v>0</v>
      </c>
      <c r="BW11" s="1043">
        <f>'5.Doanh thu'!BY117</f>
        <v>0</v>
      </c>
      <c r="BX11" s="1043">
        <f>'5.Doanh thu'!BZ117</f>
        <v>0</v>
      </c>
      <c r="BY11" s="1043">
        <f>'5.Doanh thu'!CA117</f>
        <v>0</v>
      </c>
      <c r="BZ11" s="1043">
        <f>'5.Doanh thu'!CB117</f>
        <v>0</v>
      </c>
      <c r="CA11" s="1043">
        <f>'5.Doanh thu'!CC117</f>
        <v>0</v>
      </c>
      <c r="CB11" s="1043">
        <f>'5.Doanh thu'!CD117</f>
        <v>0</v>
      </c>
      <c r="CC11" s="1043">
        <f>'5.Doanh thu'!CE117</f>
        <v>0</v>
      </c>
      <c r="CD11" s="1043">
        <f>'5.Doanh thu'!CF117</f>
        <v>0</v>
      </c>
      <c r="CE11" s="1043">
        <f>'5.Doanh thu'!CG117</f>
        <v>0</v>
      </c>
      <c r="CF11" s="1043">
        <f>'5.Doanh thu'!CH117</f>
        <v>0</v>
      </c>
      <c r="CG11" s="1043">
        <f>'5.Doanh thu'!CI117</f>
        <v>0</v>
      </c>
      <c r="CH11" s="1043">
        <f>'5.Doanh thu'!CJ117</f>
        <v>0</v>
      </c>
    </row>
    <row r="12" spans="1:86" s="520" customFormat="1" ht="19.5" customHeight="1">
      <c r="A12" s="1023"/>
      <c r="B12" s="1037" t="s">
        <v>15</v>
      </c>
      <c r="C12" s="1038" t="s">
        <v>57</v>
      </c>
      <c r="D12" s="1034">
        <f t="shared" si="0"/>
        <v>4769475.9133625021</v>
      </c>
      <c r="E12" s="1039">
        <f>E16+E13+E17</f>
        <v>0</v>
      </c>
      <c r="F12" s="1039">
        <f>F16+F13+F17+F18</f>
        <v>0</v>
      </c>
      <c r="G12" s="1039">
        <f t="shared" ref="G12:BR12" si="5">G16+G13+G17+G18</f>
        <v>156000</v>
      </c>
      <c r="H12" s="1039">
        <f t="shared" si="5"/>
        <v>364000</v>
      </c>
      <c r="I12" s="1039">
        <f t="shared" si="5"/>
        <v>4263.4452937083088</v>
      </c>
      <c r="J12" s="1039">
        <f t="shared" si="5"/>
        <v>4263.4452937083088</v>
      </c>
      <c r="K12" s="1039">
        <f t="shared" si="5"/>
        <v>489001.38513583987</v>
      </c>
      <c r="L12" s="1039">
        <f t="shared" si="5"/>
        <v>9956.0977960857344</v>
      </c>
      <c r="M12" s="1039">
        <f t="shared" si="5"/>
        <v>49227.630170544988</v>
      </c>
      <c r="N12" s="1039">
        <f t="shared" si="5"/>
        <v>268023.99186574854</v>
      </c>
      <c r="O12" s="1039">
        <f t="shared" si="5"/>
        <v>557595.74871397915</v>
      </c>
      <c r="P12" s="1039">
        <f t="shared" si="5"/>
        <v>494112.32009719021</v>
      </c>
      <c r="Q12" s="1039">
        <f t="shared" si="5"/>
        <v>277699.2057671792</v>
      </c>
      <c r="R12" s="1039">
        <f t="shared" si="5"/>
        <v>291536.98137321975</v>
      </c>
      <c r="S12" s="1039">
        <f t="shared" si="5"/>
        <v>438750.89467567095</v>
      </c>
      <c r="T12" s="1039">
        <f t="shared" si="5"/>
        <v>454756.57238467014</v>
      </c>
      <c r="U12" s="1039">
        <f t="shared" si="5"/>
        <v>355691.75116217986</v>
      </c>
      <c r="V12" s="1039">
        <f t="shared" si="5"/>
        <v>382359.88120975689</v>
      </c>
      <c r="W12" s="1039">
        <f t="shared" si="5"/>
        <v>0</v>
      </c>
      <c r="X12" s="1039">
        <f t="shared" si="5"/>
        <v>0</v>
      </c>
      <c r="Y12" s="1039">
        <f t="shared" si="5"/>
        <v>172236.56242302002</v>
      </c>
      <c r="Z12" s="1039">
        <f t="shared" si="5"/>
        <v>0</v>
      </c>
      <c r="AA12" s="1039">
        <f t="shared" si="5"/>
        <v>0</v>
      </c>
      <c r="AB12" s="1039">
        <f t="shared" si="5"/>
        <v>0</v>
      </c>
      <c r="AC12" s="1039">
        <f t="shared" si="5"/>
        <v>0</v>
      </c>
      <c r="AD12" s="1039">
        <f t="shared" si="5"/>
        <v>0</v>
      </c>
      <c r="AE12" s="1039">
        <f t="shared" si="5"/>
        <v>0</v>
      </c>
      <c r="AF12" s="1039">
        <f t="shared" si="5"/>
        <v>0</v>
      </c>
      <c r="AG12" s="1039">
        <f t="shared" si="5"/>
        <v>0</v>
      </c>
      <c r="AH12" s="1039">
        <f t="shared" si="5"/>
        <v>0</v>
      </c>
      <c r="AI12" s="1039">
        <f t="shared" si="5"/>
        <v>0</v>
      </c>
      <c r="AJ12" s="1039">
        <f t="shared" si="5"/>
        <v>0</v>
      </c>
      <c r="AK12" s="1039">
        <f t="shared" si="5"/>
        <v>0</v>
      </c>
      <c r="AL12" s="1039">
        <f t="shared" si="5"/>
        <v>0</v>
      </c>
      <c r="AM12" s="1039">
        <f t="shared" si="5"/>
        <v>0</v>
      </c>
      <c r="AN12" s="1039">
        <f t="shared" si="5"/>
        <v>0</v>
      </c>
      <c r="AO12" s="1039">
        <f t="shared" si="5"/>
        <v>0</v>
      </c>
      <c r="AP12" s="1039">
        <f t="shared" si="5"/>
        <v>0</v>
      </c>
      <c r="AQ12" s="1039">
        <f t="shared" si="5"/>
        <v>0</v>
      </c>
      <c r="AR12" s="1039">
        <f t="shared" si="5"/>
        <v>0</v>
      </c>
      <c r="AS12" s="1039">
        <f t="shared" si="5"/>
        <v>0</v>
      </c>
      <c r="AT12" s="1039">
        <f t="shared" si="5"/>
        <v>0</v>
      </c>
      <c r="AU12" s="1039">
        <f t="shared" si="5"/>
        <v>0</v>
      </c>
      <c r="AV12" s="1039">
        <f t="shared" si="5"/>
        <v>0</v>
      </c>
      <c r="AW12" s="1039">
        <f t="shared" si="5"/>
        <v>0</v>
      </c>
      <c r="AX12" s="1039">
        <f t="shared" si="5"/>
        <v>0</v>
      </c>
      <c r="AY12" s="1039">
        <f t="shared" si="5"/>
        <v>0</v>
      </c>
      <c r="AZ12" s="1039">
        <f t="shared" si="5"/>
        <v>0</v>
      </c>
      <c r="BA12" s="1039">
        <f t="shared" si="5"/>
        <v>0</v>
      </c>
      <c r="BB12" s="1039">
        <f t="shared" si="5"/>
        <v>0</v>
      </c>
      <c r="BC12" s="1039">
        <f t="shared" si="5"/>
        <v>0</v>
      </c>
      <c r="BD12" s="1039">
        <f t="shared" si="5"/>
        <v>0</v>
      </c>
      <c r="BE12" s="1039">
        <f t="shared" si="5"/>
        <v>0</v>
      </c>
      <c r="BF12" s="1039">
        <f t="shared" si="5"/>
        <v>0</v>
      </c>
      <c r="BG12" s="1039">
        <f t="shared" si="5"/>
        <v>0</v>
      </c>
      <c r="BH12" s="1039">
        <f t="shared" si="5"/>
        <v>0</v>
      </c>
      <c r="BI12" s="1039">
        <f t="shared" si="5"/>
        <v>0</v>
      </c>
      <c r="BJ12" s="1039">
        <f t="shared" si="5"/>
        <v>0</v>
      </c>
      <c r="BK12" s="1039">
        <f t="shared" si="5"/>
        <v>0</v>
      </c>
      <c r="BL12" s="1039">
        <f t="shared" si="5"/>
        <v>0</v>
      </c>
      <c r="BM12" s="1039">
        <f t="shared" si="5"/>
        <v>0</v>
      </c>
      <c r="BN12" s="1039">
        <f t="shared" si="5"/>
        <v>0</v>
      </c>
      <c r="BO12" s="1039">
        <f t="shared" si="5"/>
        <v>0</v>
      </c>
      <c r="BP12" s="1039">
        <f t="shared" si="5"/>
        <v>0</v>
      </c>
      <c r="BQ12" s="1039">
        <f t="shared" si="5"/>
        <v>0</v>
      </c>
      <c r="BR12" s="1039">
        <f t="shared" si="5"/>
        <v>0</v>
      </c>
      <c r="BS12" s="1039">
        <f t="shared" ref="BS12:CH12" si="6">BS16+BS13+BS17+BS18</f>
        <v>0</v>
      </c>
      <c r="BT12" s="1039">
        <f t="shared" si="6"/>
        <v>0</v>
      </c>
      <c r="BU12" s="1039">
        <f t="shared" si="6"/>
        <v>0</v>
      </c>
      <c r="BV12" s="1039">
        <f t="shared" si="6"/>
        <v>0</v>
      </c>
      <c r="BW12" s="1039">
        <f t="shared" si="6"/>
        <v>0</v>
      </c>
      <c r="BX12" s="1039">
        <f t="shared" si="6"/>
        <v>0</v>
      </c>
      <c r="BY12" s="1039">
        <f t="shared" si="6"/>
        <v>0</v>
      </c>
      <c r="BZ12" s="1039">
        <f t="shared" si="6"/>
        <v>0</v>
      </c>
      <c r="CA12" s="1039">
        <f t="shared" si="6"/>
        <v>0</v>
      </c>
      <c r="CB12" s="1039">
        <f t="shared" si="6"/>
        <v>0</v>
      </c>
      <c r="CC12" s="1039">
        <f t="shared" si="6"/>
        <v>0</v>
      </c>
      <c r="CD12" s="1039">
        <f t="shared" si="6"/>
        <v>0</v>
      </c>
      <c r="CE12" s="1039">
        <f t="shared" si="6"/>
        <v>0</v>
      </c>
      <c r="CF12" s="1039">
        <f t="shared" si="6"/>
        <v>0</v>
      </c>
      <c r="CG12" s="1039">
        <f t="shared" si="6"/>
        <v>0</v>
      </c>
      <c r="CH12" s="1039">
        <f t="shared" si="6"/>
        <v>0</v>
      </c>
    </row>
    <row r="13" spans="1:86" s="520" customFormat="1" ht="19.5" customHeight="1">
      <c r="A13" s="1023"/>
      <c r="B13" s="1044"/>
      <c r="C13" s="1045" t="s">
        <v>727</v>
      </c>
      <c r="D13" s="1042">
        <f t="shared" si="0"/>
        <v>3496025.1408408135</v>
      </c>
      <c r="E13" s="1043">
        <f>'3.Du toan'!AT77</f>
        <v>0</v>
      </c>
      <c r="F13" s="1043">
        <f>'3.Du toan'!AU77</f>
        <v>0</v>
      </c>
      <c r="G13" s="1043">
        <f>'3.Du toan'!AV77</f>
        <v>156000</v>
      </c>
      <c r="H13" s="1043">
        <f>'3.Du toan'!AW77</f>
        <v>364000</v>
      </c>
      <c r="I13" s="1043">
        <f>'3.Du toan'!AX77</f>
        <v>4263.4452937083088</v>
      </c>
      <c r="J13" s="1043">
        <f>'3.Du toan'!AY77</f>
        <v>4263.4452937083088</v>
      </c>
      <c r="K13" s="1043">
        <f>'3.Du toan'!AZ77</f>
        <v>489001.38513583987</v>
      </c>
      <c r="L13" s="1043">
        <f>'3.Du toan'!BA77</f>
        <v>9956.0977960857344</v>
      </c>
      <c r="M13" s="1043">
        <f>'3.Du toan'!BB77</f>
        <v>49227.630170544988</v>
      </c>
      <c r="N13" s="1043">
        <f>'3.Du toan'!BC77</f>
        <v>268023.99186574854</v>
      </c>
      <c r="O13" s="1043">
        <f>'3.Du toan'!BD77</f>
        <v>260860.16891433243</v>
      </c>
      <c r="P13" s="1043">
        <f>'3.Du toan'!BE77</f>
        <v>160213.02798439414</v>
      </c>
      <c r="Q13" s="1043">
        <f>'3.Du toan'!BF77</f>
        <v>160213.02798439414</v>
      </c>
      <c r="R13" s="1043">
        <f>'3.Du toan'!BG77</f>
        <v>193441.73937379656</v>
      </c>
      <c r="S13" s="1043">
        <f>'3.Du toan'!BH77</f>
        <v>357587.64360901335</v>
      </c>
      <c r="T13" s="1043">
        <f>'3.Du toan'!BI77</f>
        <v>386552.90970470745</v>
      </c>
      <c r="U13" s="1043">
        <f>'3.Du toan'!BJ77</f>
        <v>328121.7987781305</v>
      </c>
      <c r="V13" s="1043">
        <f>'3.Du toan'!BK77</f>
        <v>287245.04776157544</v>
      </c>
      <c r="W13" s="1043">
        <f>'3.Du toan'!BL77</f>
        <v>0</v>
      </c>
      <c r="X13" s="1043">
        <f>'3.Du toan'!BM77</f>
        <v>0</v>
      </c>
      <c r="Y13" s="1043">
        <f>'3.Du toan'!BN77</f>
        <v>17053.781174833235</v>
      </c>
      <c r="Z13" s="1043">
        <f>'3.Du toan'!BO77</f>
        <v>0</v>
      </c>
      <c r="AA13" s="1043">
        <f>'3.Du toan'!BP77</f>
        <v>0</v>
      </c>
      <c r="AB13" s="1043">
        <f>'3.Du toan'!BQ77</f>
        <v>0</v>
      </c>
      <c r="AC13" s="1043">
        <f>'3.Du toan'!BR77</f>
        <v>0</v>
      </c>
      <c r="AD13" s="1043">
        <f>'3.Du toan'!BS77</f>
        <v>0</v>
      </c>
      <c r="AE13" s="1043">
        <f>'3.Du toan'!BT77</f>
        <v>0</v>
      </c>
      <c r="AF13" s="1043">
        <f>'3.Du toan'!BU77</f>
        <v>0</v>
      </c>
      <c r="AG13" s="1043">
        <f>'3.Du toan'!BV77</f>
        <v>0</v>
      </c>
      <c r="AH13" s="1043">
        <f>'3.Du toan'!BW77</f>
        <v>0</v>
      </c>
      <c r="AI13" s="1043">
        <f>'3.Du toan'!BX77</f>
        <v>0</v>
      </c>
      <c r="AJ13" s="1043">
        <f>'3.Du toan'!BY77</f>
        <v>0</v>
      </c>
      <c r="AK13" s="1043">
        <f>'3.Du toan'!BZ77</f>
        <v>0</v>
      </c>
      <c r="AL13" s="1043">
        <f>'3.Du toan'!CA77</f>
        <v>0</v>
      </c>
      <c r="AM13" s="1043">
        <f>'3.Du toan'!CB77</f>
        <v>0</v>
      </c>
      <c r="AN13" s="1043">
        <f>'3.Du toan'!CC77</f>
        <v>0</v>
      </c>
      <c r="AO13" s="1043">
        <f>'3.Du toan'!CD77</f>
        <v>0</v>
      </c>
      <c r="AP13" s="1043">
        <f>'3.Du toan'!CE77</f>
        <v>0</v>
      </c>
      <c r="AQ13" s="1043">
        <f>'3.Du toan'!CF77</f>
        <v>0</v>
      </c>
      <c r="AR13" s="1043">
        <f>'3.Du toan'!CG77</f>
        <v>0</v>
      </c>
      <c r="AS13" s="1043">
        <f>'3.Du toan'!CH77</f>
        <v>0</v>
      </c>
      <c r="AT13" s="1043">
        <f>'3.Du toan'!CI77</f>
        <v>0</v>
      </c>
      <c r="AU13" s="1043">
        <f>'3.Du toan'!CJ77</f>
        <v>0</v>
      </c>
      <c r="AV13" s="1043">
        <f>'3.Du toan'!CK77</f>
        <v>0</v>
      </c>
      <c r="AW13" s="1043">
        <f>'3.Du toan'!CL77</f>
        <v>0</v>
      </c>
      <c r="AX13" s="1043">
        <f>'3.Du toan'!CM77</f>
        <v>0</v>
      </c>
      <c r="AY13" s="1043">
        <f>'3.Du toan'!CN77</f>
        <v>0</v>
      </c>
      <c r="AZ13" s="1043">
        <f>'3.Du toan'!CO77</f>
        <v>0</v>
      </c>
      <c r="BA13" s="1043">
        <f>'3.Du toan'!CP77</f>
        <v>0</v>
      </c>
      <c r="BB13" s="1043">
        <f>'3.Du toan'!CQ77</f>
        <v>0</v>
      </c>
      <c r="BC13" s="1043">
        <f>'3.Du toan'!CR77</f>
        <v>0</v>
      </c>
      <c r="BD13" s="1043">
        <f>'3.Du toan'!CS77</f>
        <v>0</v>
      </c>
      <c r="BE13" s="1043">
        <f>'3.Du toan'!CT77</f>
        <v>0</v>
      </c>
      <c r="BF13" s="1043">
        <f>'3.Du toan'!CU77</f>
        <v>0</v>
      </c>
      <c r="BG13" s="1043">
        <f>'3.Du toan'!CV77</f>
        <v>0</v>
      </c>
      <c r="BH13" s="1043">
        <f>'3.Du toan'!CW77</f>
        <v>0</v>
      </c>
      <c r="BI13" s="1043">
        <f>'3.Du toan'!CX77</f>
        <v>0</v>
      </c>
      <c r="BJ13" s="1043">
        <f>'3.Du toan'!CY77</f>
        <v>0</v>
      </c>
      <c r="BK13" s="1043">
        <f>'3.Du toan'!CZ77</f>
        <v>0</v>
      </c>
      <c r="BL13" s="1043">
        <f>'3.Du toan'!DA77</f>
        <v>0</v>
      </c>
      <c r="BM13" s="1043">
        <f>'3.Du toan'!DB77</f>
        <v>0</v>
      </c>
      <c r="BN13" s="1043">
        <f>'3.Du toan'!DC77</f>
        <v>0</v>
      </c>
      <c r="BO13" s="1043">
        <f>'3.Du toan'!DD77</f>
        <v>0</v>
      </c>
      <c r="BP13" s="1043">
        <f>'3.Du toan'!DE77</f>
        <v>0</v>
      </c>
      <c r="BQ13" s="1043">
        <f>'3.Du toan'!DF77</f>
        <v>0</v>
      </c>
      <c r="BR13" s="1043">
        <f>'3.Du toan'!DG77</f>
        <v>0</v>
      </c>
      <c r="BS13" s="1043">
        <f>'3.Du toan'!DH77</f>
        <v>0</v>
      </c>
      <c r="BT13" s="1043">
        <f>'3.Du toan'!DI77</f>
        <v>0</v>
      </c>
      <c r="BU13" s="1043">
        <f>'3.Du toan'!DJ77</f>
        <v>0</v>
      </c>
      <c r="BV13" s="1043">
        <f>'3.Du toan'!DK77</f>
        <v>0</v>
      </c>
      <c r="BW13" s="1043">
        <f>'3.Du toan'!DL77</f>
        <v>0</v>
      </c>
      <c r="BX13" s="1043">
        <f>'3.Du toan'!DM77</f>
        <v>0</v>
      </c>
      <c r="BY13" s="1043">
        <f>'3.Du toan'!DN77</f>
        <v>0</v>
      </c>
      <c r="BZ13" s="1043">
        <f>'3.Du toan'!DO77</f>
        <v>0</v>
      </c>
      <c r="CA13" s="1043">
        <f>'3.Du toan'!DP77</f>
        <v>0</v>
      </c>
      <c r="CB13" s="1043">
        <f>'3.Du toan'!DQ77</f>
        <v>0</v>
      </c>
      <c r="CC13" s="1043">
        <f>'3.Du toan'!DR77</f>
        <v>0</v>
      </c>
      <c r="CD13" s="1043">
        <f>'3.Du toan'!DS77</f>
        <v>0</v>
      </c>
      <c r="CE13" s="1043">
        <f>'3.Du toan'!DT77</f>
        <v>0</v>
      </c>
      <c r="CF13" s="1043">
        <f>'3.Du toan'!DU77</f>
        <v>0</v>
      </c>
      <c r="CG13" s="1043">
        <f>'3.Du toan'!DV77</f>
        <v>0</v>
      </c>
      <c r="CH13" s="1043">
        <f>'3.Du toan'!DW77</f>
        <v>0</v>
      </c>
    </row>
    <row r="14" spans="1:86" s="520" customFormat="1" ht="19.5" customHeight="1">
      <c r="A14" s="1023"/>
      <c r="B14" s="1109"/>
      <c r="C14" s="1110" t="s">
        <v>604</v>
      </c>
      <c r="D14" s="1111">
        <f t="shared" si="0"/>
        <v>520000</v>
      </c>
      <c r="E14" s="1108"/>
      <c r="F14" s="1108">
        <f>+'3.Du toan'!AU12</f>
        <v>0</v>
      </c>
      <c r="G14" s="1108">
        <f>+'3.Du toan'!AV12</f>
        <v>156000</v>
      </c>
      <c r="H14" s="1108">
        <f>+'3.Du toan'!AW12</f>
        <v>364000</v>
      </c>
      <c r="I14" s="1108">
        <f>+'3.Du toan'!AX12</f>
        <v>0</v>
      </c>
      <c r="J14" s="1108">
        <f>+'3.Du toan'!AY12</f>
        <v>0</v>
      </c>
      <c r="K14" s="1108">
        <f>+'3.Du toan'!AZ12</f>
        <v>0</v>
      </c>
      <c r="L14" s="1108">
        <f>+'3.Du toan'!BA12</f>
        <v>0</v>
      </c>
      <c r="M14" s="1108">
        <f>+'3.Du toan'!BB12</f>
        <v>0</v>
      </c>
      <c r="N14" s="1108">
        <f>+'3.Du toan'!BC12</f>
        <v>0</v>
      </c>
      <c r="O14" s="1108">
        <f>+'3.Du toan'!BD12</f>
        <v>0</v>
      </c>
      <c r="P14" s="1108">
        <f>+'3.Du toan'!BE12</f>
        <v>0</v>
      </c>
      <c r="Q14" s="1108">
        <f>+'3.Du toan'!BF12</f>
        <v>0</v>
      </c>
      <c r="R14" s="1108">
        <f>+'3.Du toan'!BG12</f>
        <v>0</v>
      </c>
      <c r="S14" s="1108">
        <f>+'3.Du toan'!BH12</f>
        <v>0</v>
      </c>
      <c r="T14" s="1108">
        <f>+'3.Du toan'!BI12</f>
        <v>0</v>
      </c>
      <c r="U14" s="1108">
        <f>+'3.Du toan'!BJ12</f>
        <v>0</v>
      </c>
      <c r="V14" s="1108">
        <f>+'3.Du toan'!BK12</f>
        <v>0</v>
      </c>
      <c r="W14" s="1108">
        <f>+'3.Du toan'!BL12</f>
        <v>0</v>
      </c>
      <c r="X14" s="1108">
        <f>+'3.Du toan'!BM12</f>
        <v>0</v>
      </c>
      <c r="Y14" s="1108">
        <f>+'3.Du toan'!BN12</f>
        <v>0</v>
      </c>
      <c r="Z14" s="1108">
        <f>+'3.Du toan'!BO12</f>
        <v>0</v>
      </c>
      <c r="AA14" s="1108">
        <f>+'3.Du toan'!BP12</f>
        <v>0</v>
      </c>
      <c r="AB14" s="1108">
        <f>+'3.Du toan'!BQ12</f>
        <v>0</v>
      </c>
      <c r="AC14" s="1108">
        <f>+'3.Du toan'!BR12</f>
        <v>0</v>
      </c>
      <c r="AD14" s="1108">
        <f>+'3.Du toan'!BS12</f>
        <v>0</v>
      </c>
      <c r="AE14" s="1108">
        <f>+'3.Du toan'!BT12</f>
        <v>0</v>
      </c>
      <c r="AF14" s="1108">
        <f>+'3.Du toan'!BU12</f>
        <v>0</v>
      </c>
      <c r="AG14" s="1108">
        <f>+'3.Du toan'!BV12</f>
        <v>0</v>
      </c>
      <c r="AH14" s="1108">
        <f>+'3.Du toan'!BW12</f>
        <v>0</v>
      </c>
      <c r="AI14" s="1108">
        <f>+'3.Du toan'!BX12</f>
        <v>0</v>
      </c>
      <c r="AJ14" s="1108">
        <f>+'3.Du toan'!BY12</f>
        <v>0</v>
      </c>
      <c r="AK14" s="1108">
        <f>+'3.Du toan'!BZ12</f>
        <v>0</v>
      </c>
      <c r="AL14" s="1108">
        <f>+'3.Du toan'!CA12</f>
        <v>0</v>
      </c>
      <c r="AM14" s="1108">
        <f>+'3.Du toan'!CB12</f>
        <v>0</v>
      </c>
      <c r="AN14" s="1108">
        <f>+'3.Du toan'!CC12</f>
        <v>0</v>
      </c>
      <c r="AO14" s="1108">
        <f>+'3.Du toan'!CD12</f>
        <v>0</v>
      </c>
      <c r="AP14" s="1108">
        <f>+'3.Du toan'!CE12</f>
        <v>0</v>
      </c>
      <c r="AQ14" s="1108">
        <f>+'3.Du toan'!CF12</f>
        <v>0</v>
      </c>
      <c r="AR14" s="1108">
        <f>+'3.Du toan'!CG12</f>
        <v>0</v>
      </c>
      <c r="AS14" s="1108">
        <f>+'3.Du toan'!CH12</f>
        <v>0</v>
      </c>
      <c r="AT14" s="1108">
        <f>+'3.Du toan'!CI12</f>
        <v>0</v>
      </c>
      <c r="AU14" s="1108">
        <f>+'3.Du toan'!CJ12</f>
        <v>0</v>
      </c>
      <c r="AV14" s="1108">
        <f>+'3.Du toan'!CK12</f>
        <v>0</v>
      </c>
      <c r="AW14" s="1108">
        <f>+'3.Du toan'!CL12</f>
        <v>0</v>
      </c>
      <c r="AX14" s="1108">
        <f>+'3.Du toan'!CM12</f>
        <v>0</v>
      </c>
      <c r="AY14" s="1108">
        <f>+'3.Du toan'!CN12</f>
        <v>0</v>
      </c>
      <c r="AZ14" s="1108">
        <f>+'3.Du toan'!CO12</f>
        <v>0</v>
      </c>
      <c r="BA14" s="1108">
        <f>+'3.Du toan'!CP12</f>
        <v>0</v>
      </c>
      <c r="BB14" s="1108">
        <f>+'3.Du toan'!CQ12</f>
        <v>0</v>
      </c>
      <c r="BC14" s="1108">
        <f>+'3.Du toan'!CR12</f>
        <v>0</v>
      </c>
      <c r="BD14" s="1108">
        <f>+'3.Du toan'!CS12</f>
        <v>0</v>
      </c>
      <c r="BE14" s="1108">
        <f>+'3.Du toan'!CT12</f>
        <v>0</v>
      </c>
      <c r="BF14" s="1108">
        <f>+'3.Du toan'!CU12</f>
        <v>0</v>
      </c>
      <c r="BG14" s="1108">
        <f>+'3.Du toan'!CV12</f>
        <v>0</v>
      </c>
      <c r="BH14" s="1108">
        <f>+'3.Du toan'!CW12</f>
        <v>0</v>
      </c>
      <c r="BI14" s="1108">
        <f>+'3.Du toan'!CX12</f>
        <v>0</v>
      </c>
      <c r="BJ14" s="1108">
        <f>+'3.Du toan'!CY12</f>
        <v>0</v>
      </c>
      <c r="BK14" s="1108">
        <f>+'3.Du toan'!CZ12</f>
        <v>0</v>
      </c>
      <c r="BL14" s="1108">
        <f>+'3.Du toan'!DA12</f>
        <v>0</v>
      </c>
      <c r="BM14" s="1108">
        <f>+'3.Du toan'!DB12</f>
        <v>0</v>
      </c>
      <c r="BN14" s="1108">
        <f>+'3.Du toan'!DC12</f>
        <v>0</v>
      </c>
      <c r="BO14" s="1108">
        <f>+'3.Du toan'!DD12</f>
        <v>0</v>
      </c>
      <c r="BP14" s="1108">
        <f>+'3.Du toan'!DE12</f>
        <v>0</v>
      </c>
      <c r="BQ14" s="1108">
        <f>+'3.Du toan'!DF12</f>
        <v>0</v>
      </c>
      <c r="BR14" s="1108">
        <f>+'3.Du toan'!DG12</f>
        <v>0</v>
      </c>
      <c r="BS14" s="1108">
        <f>+'3.Du toan'!DH12</f>
        <v>0</v>
      </c>
      <c r="BT14" s="1108">
        <f>+'3.Du toan'!DI12</f>
        <v>0</v>
      </c>
      <c r="BU14" s="1108">
        <f>+'3.Du toan'!DJ12</f>
        <v>0</v>
      </c>
      <c r="BV14" s="1108">
        <f>+'3.Du toan'!DK12</f>
        <v>0</v>
      </c>
      <c r="BW14" s="1108">
        <f>+'3.Du toan'!DL12</f>
        <v>0</v>
      </c>
      <c r="BX14" s="1108">
        <f>+'3.Du toan'!DM12</f>
        <v>0</v>
      </c>
      <c r="BY14" s="1108">
        <f>+'3.Du toan'!DN12</f>
        <v>0</v>
      </c>
      <c r="BZ14" s="1108">
        <f>+'3.Du toan'!DO12</f>
        <v>0</v>
      </c>
      <c r="CA14" s="1108">
        <f>+'3.Du toan'!DP12</f>
        <v>0</v>
      </c>
      <c r="CB14" s="1108">
        <f>+'3.Du toan'!DQ12</f>
        <v>0</v>
      </c>
      <c r="CC14" s="1108">
        <f>+'3.Du toan'!DR12</f>
        <v>0</v>
      </c>
      <c r="CD14" s="1108">
        <f>+'3.Du toan'!DS12</f>
        <v>0</v>
      </c>
      <c r="CE14" s="1108">
        <f>+'3.Du toan'!DT12</f>
        <v>0</v>
      </c>
      <c r="CF14" s="1108">
        <f>+'3.Du toan'!DU12</f>
        <v>0</v>
      </c>
      <c r="CG14" s="1108">
        <f>+'3.Du toan'!DV12</f>
        <v>0</v>
      </c>
      <c r="CH14" s="1108">
        <f>+'3.Du toan'!DW12</f>
        <v>0</v>
      </c>
    </row>
    <row r="15" spans="1:86" s="520" customFormat="1" ht="19.5" customHeight="1">
      <c r="A15" s="1023"/>
      <c r="B15" s="1109"/>
      <c r="C15" s="1110" t="s">
        <v>553</v>
      </c>
      <c r="D15" s="1111">
        <f t="shared" si="0"/>
        <v>2976025.1408408135</v>
      </c>
      <c r="E15" s="1108"/>
      <c r="F15" s="1108">
        <f>+F13-F14</f>
        <v>0</v>
      </c>
      <c r="G15" s="1108">
        <f t="shared" ref="G15:BR15" si="7">+G13-G14</f>
        <v>0</v>
      </c>
      <c r="H15" s="1108">
        <f t="shared" si="7"/>
        <v>0</v>
      </c>
      <c r="I15" s="1108">
        <f t="shared" si="7"/>
        <v>4263.4452937083088</v>
      </c>
      <c r="J15" s="1108">
        <f t="shared" si="7"/>
        <v>4263.4452937083088</v>
      </c>
      <c r="K15" s="1108">
        <f t="shared" si="7"/>
        <v>489001.38513583987</v>
      </c>
      <c r="L15" s="1108">
        <f t="shared" si="7"/>
        <v>9956.0977960857344</v>
      </c>
      <c r="M15" s="1108">
        <f t="shared" si="7"/>
        <v>49227.630170544988</v>
      </c>
      <c r="N15" s="1108">
        <f t="shared" si="7"/>
        <v>268023.99186574854</v>
      </c>
      <c r="O15" s="1108">
        <f t="shared" si="7"/>
        <v>260860.16891433243</v>
      </c>
      <c r="P15" s="1108">
        <f t="shared" si="7"/>
        <v>160213.02798439414</v>
      </c>
      <c r="Q15" s="1108">
        <f t="shared" si="7"/>
        <v>160213.02798439414</v>
      </c>
      <c r="R15" s="1108">
        <f t="shared" si="7"/>
        <v>193441.73937379656</v>
      </c>
      <c r="S15" s="1108">
        <f t="shared" si="7"/>
        <v>357587.64360901335</v>
      </c>
      <c r="T15" s="1108">
        <f t="shared" si="7"/>
        <v>386552.90970470745</v>
      </c>
      <c r="U15" s="1108">
        <f t="shared" si="7"/>
        <v>328121.7987781305</v>
      </c>
      <c r="V15" s="1108">
        <f t="shared" si="7"/>
        <v>287245.04776157544</v>
      </c>
      <c r="W15" s="1108">
        <f t="shared" si="7"/>
        <v>0</v>
      </c>
      <c r="X15" s="1108">
        <f t="shared" si="7"/>
        <v>0</v>
      </c>
      <c r="Y15" s="1108">
        <f t="shared" si="7"/>
        <v>17053.781174833235</v>
      </c>
      <c r="Z15" s="1108">
        <f t="shared" si="7"/>
        <v>0</v>
      </c>
      <c r="AA15" s="1108">
        <f t="shared" si="7"/>
        <v>0</v>
      </c>
      <c r="AB15" s="1108">
        <f t="shared" si="7"/>
        <v>0</v>
      </c>
      <c r="AC15" s="1108">
        <f t="shared" si="7"/>
        <v>0</v>
      </c>
      <c r="AD15" s="1108">
        <f t="shared" si="7"/>
        <v>0</v>
      </c>
      <c r="AE15" s="1108">
        <f t="shared" si="7"/>
        <v>0</v>
      </c>
      <c r="AF15" s="1108">
        <f t="shared" si="7"/>
        <v>0</v>
      </c>
      <c r="AG15" s="1108">
        <f t="shared" si="7"/>
        <v>0</v>
      </c>
      <c r="AH15" s="1108">
        <f t="shared" si="7"/>
        <v>0</v>
      </c>
      <c r="AI15" s="1108">
        <f t="shared" si="7"/>
        <v>0</v>
      </c>
      <c r="AJ15" s="1108">
        <f t="shared" si="7"/>
        <v>0</v>
      </c>
      <c r="AK15" s="1108">
        <f t="shared" si="7"/>
        <v>0</v>
      </c>
      <c r="AL15" s="1108">
        <f t="shared" si="7"/>
        <v>0</v>
      </c>
      <c r="AM15" s="1108">
        <f t="shared" si="7"/>
        <v>0</v>
      </c>
      <c r="AN15" s="1108">
        <f t="shared" si="7"/>
        <v>0</v>
      </c>
      <c r="AO15" s="1108">
        <f t="shared" si="7"/>
        <v>0</v>
      </c>
      <c r="AP15" s="1108">
        <f t="shared" si="7"/>
        <v>0</v>
      </c>
      <c r="AQ15" s="1108">
        <f t="shared" si="7"/>
        <v>0</v>
      </c>
      <c r="AR15" s="1108">
        <f t="shared" si="7"/>
        <v>0</v>
      </c>
      <c r="AS15" s="1108">
        <f t="shared" si="7"/>
        <v>0</v>
      </c>
      <c r="AT15" s="1108">
        <f t="shared" si="7"/>
        <v>0</v>
      </c>
      <c r="AU15" s="1108">
        <f t="shared" si="7"/>
        <v>0</v>
      </c>
      <c r="AV15" s="1108">
        <f t="shared" si="7"/>
        <v>0</v>
      </c>
      <c r="AW15" s="1108">
        <f t="shared" si="7"/>
        <v>0</v>
      </c>
      <c r="AX15" s="1108">
        <f t="shared" si="7"/>
        <v>0</v>
      </c>
      <c r="AY15" s="1108">
        <f t="shared" si="7"/>
        <v>0</v>
      </c>
      <c r="AZ15" s="1108">
        <f t="shared" si="7"/>
        <v>0</v>
      </c>
      <c r="BA15" s="1108">
        <f t="shared" si="7"/>
        <v>0</v>
      </c>
      <c r="BB15" s="1108">
        <f t="shared" si="7"/>
        <v>0</v>
      </c>
      <c r="BC15" s="1108">
        <f t="shared" si="7"/>
        <v>0</v>
      </c>
      <c r="BD15" s="1108">
        <f t="shared" si="7"/>
        <v>0</v>
      </c>
      <c r="BE15" s="1108">
        <f t="shared" si="7"/>
        <v>0</v>
      </c>
      <c r="BF15" s="1108">
        <f t="shared" si="7"/>
        <v>0</v>
      </c>
      <c r="BG15" s="1108">
        <f t="shared" si="7"/>
        <v>0</v>
      </c>
      <c r="BH15" s="1108">
        <f t="shared" si="7"/>
        <v>0</v>
      </c>
      <c r="BI15" s="1108">
        <f t="shared" si="7"/>
        <v>0</v>
      </c>
      <c r="BJ15" s="1108">
        <f t="shared" si="7"/>
        <v>0</v>
      </c>
      <c r="BK15" s="1108">
        <f t="shared" si="7"/>
        <v>0</v>
      </c>
      <c r="BL15" s="1108">
        <f t="shared" si="7"/>
        <v>0</v>
      </c>
      <c r="BM15" s="1108">
        <f t="shared" si="7"/>
        <v>0</v>
      </c>
      <c r="BN15" s="1108">
        <f t="shared" si="7"/>
        <v>0</v>
      </c>
      <c r="BO15" s="1108">
        <f t="shared" si="7"/>
        <v>0</v>
      </c>
      <c r="BP15" s="1108">
        <f t="shared" si="7"/>
        <v>0</v>
      </c>
      <c r="BQ15" s="1108">
        <f t="shared" si="7"/>
        <v>0</v>
      </c>
      <c r="BR15" s="1108">
        <f t="shared" si="7"/>
        <v>0</v>
      </c>
      <c r="BS15" s="1108">
        <f t="shared" ref="BS15:CH15" si="8">+BS13-BS14</f>
        <v>0</v>
      </c>
      <c r="BT15" s="1108">
        <f t="shared" si="8"/>
        <v>0</v>
      </c>
      <c r="BU15" s="1108">
        <f t="shared" si="8"/>
        <v>0</v>
      </c>
      <c r="BV15" s="1108">
        <f t="shared" si="8"/>
        <v>0</v>
      </c>
      <c r="BW15" s="1108">
        <f t="shared" si="8"/>
        <v>0</v>
      </c>
      <c r="BX15" s="1108">
        <f t="shared" si="8"/>
        <v>0</v>
      </c>
      <c r="BY15" s="1108">
        <f t="shared" si="8"/>
        <v>0</v>
      </c>
      <c r="BZ15" s="1108">
        <f t="shared" si="8"/>
        <v>0</v>
      </c>
      <c r="CA15" s="1108">
        <f t="shared" si="8"/>
        <v>0</v>
      </c>
      <c r="CB15" s="1108">
        <f t="shared" si="8"/>
        <v>0</v>
      </c>
      <c r="CC15" s="1108">
        <f t="shared" si="8"/>
        <v>0</v>
      </c>
      <c r="CD15" s="1108">
        <f t="shared" si="8"/>
        <v>0</v>
      </c>
      <c r="CE15" s="1108">
        <f t="shared" si="8"/>
        <v>0</v>
      </c>
      <c r="CF15" s="1108">
        <f t="shared" si="8"/>
        <v>0</v>
      </c>
      <c r="CG15" s="1108">
        <f t="shared" si="8"/>
        <v>0</v>
      </c>
      <c r="CH15" s="1108">
        <f t="shared" si="8"/>
        <v>0</v>
      </c>
    </row>
    <row r="16" spans="1:86" ht="19.5" customHeight="1">
      <c r="B16" s="1040"/>
      <c r="C16" s="1045" t="s">
        <v>533</v>
      </c>
      <c r="D16" s="1042">
        <f t="shared" si="0"/>
        <v>1088399.7600325351</v>
      </c>
      <c r="E16" s="1043">
        <f>'4.Chi phi hoat dong'!F25-'4.Chi phi hoat dong'!F19</f>
        <v>0</v>
      </c>
      <c r="F16" s="1043">
        <f>'4.Chi phi hoat dong'!G25-'4.Chi phi hoat dong'!G19</f>
        <v>0</v>
      </c>
      <c r="G16" s="1043">
        <f>'4.Chi phi hoat dong'!H25-'4.Chi phi hoat dong'!H19</f>
        <v>0</v>
      </c>
      <c r="H16" s="1043">
        <f>'4.Chi phi hoat dong'!I25-'4.Chi phi hoat dong'!I19</f>
        <v>0</v>
      </c>
      <c r="I16" s="1043">
        <f>'4.Chi phi hoat dong'!J25-'4.Chi phi hoat dong'!J19</f>
        <v>0</v>
      </c>
      <c r="J16" s="1043">
        <f>'4.Chi phi hoat dong'!K25-'4.Chi phi hoat dong'!K19</f>
        <v>0</v>
      </c>
      <c r="K16" s="1043">
        <f>'4.Chi phi hoat dong'!L25-'4.Chi phi hoat dong'!L19</f>
        <v>1.0748573748225514E-12</v>
      </c>
      <c r="L16" s="1043">
        <f>'4.Chi phi hoat dong'!M25-'4.Chi phi hoat dong'!M19</f>
        <v>0</v>
      </c>
      <c r="M16" s="1043">
        <f>'4.Chi phi hoat dong'!N25-'4.Chi phi hoat dong'!N19</f>
        <v>0</v>
      </c>
      <c r="N16" s="1043">
        <f>'4.Chi phi hoat dong'!O25-'4.Chi phi hoat dong'!O19</f>
        <v>0</v>
      </c>
      <c r="O16" s="1043">
        <f>'4.Chi phi hoat dong'!P25-'4.Chi phi hoat dong'!P19</f>
        <v>291666.78697744641</v>
      </c>
      <c r="P16" s="1043">
        <f>'4.Chi phi hoat dong'!Q25-'4.Chi phi hoat dong'!Q19</f>
        <v>328224.45932307711</v>
      </c>
      <c r="Q16" s="1043">
        <f>'4.Chi phi hoat dong'!R25-'4.Chi phi hoat dong'!R19</f>
        <v>114793.55365281255</v>
      </c>
      <c r="R16" s="1043">
        <f>'4.Chi phi hoat dong'!S25-'4.Chi phi hoat dong'!S19</f>
        <v>91001.42360404972</v>
      </c>
      <c r="S16" s="1043">
        <f>'4.Chi phi hoat dong'!T25-'4.Chi phi hoat dong'!T19</f>
        <v>74290.204866706539</v>
      </c>
      <c r="T16" s="1043">
        <f>'4.Chi phi hoat dong'!U25-'4.Chi phi hoat dong'!U19</f>
        <v>62395.500450982785</v>
      </c>
      <c r="U16" s="1043">
        <f>'4.Chi phi hoat dong'!V25-'4.Chi phi hoat dong'!V19</f>
        <v>22945.366388853152</v>
      </c>
      <c r="V16" s="1043">
        <f>'4.Chi phi hoat dong'!W25-'4.Chi phi hoat dong'!W19</f>
        <v>82958.716443583195</v>
      </c>
      <c r="W16" s="1043">
        <f>'4.Chi phi hoat dong'!X25-'4.Chi phi hoat dong'!X19</f>
        <v>0</v>
      </c>
      <c r="X16" s="1043">
        <f>'4.Chi phi hoat dong'!Y25-'4.Chi phi hoat dong'!Y19</f>
        <v>0</v>
      </c>
      <c r="Y16" s="1043">
        <f>'4.Chi phi hoat dong'!Z25-'4.Chi phi hoat dong'!Z19</f>
        <v>20123.748325023495</v>
      </c>
      <c r="Z16" s="1043">
        <f>'4.Chi phi hoat dong'!AA25-'4.Chi phi hoat dong'!AA19</f>
        <v>0</v>
      </c>
      <c r="AA16" s="1043">
        <f>'4.Chi phi hoat dong'!AB25-'4.Chi phi hoat dong'!AB19</f>
        <v>0</v>
      </c>
      <c r="AB16" s="1043">
        <f>'4.Chi phi hoat dong'!AC25-'4.Chi phi hoat dong'!AC19</f>
        <v>0</v>
      </c>
      <c r="AC16" s="1043">
        <f>'4.Chi phi hoat dong'!AD25-'4.Chi phi hoat dong'!AD19</f>
        <v>0</v>
      </c>
      <c r="AD16" s="1043">
        <f>'4.Chi phi hoat dong'!AE25-'4.Chi phi hoat dong'!AE19</f>
        <v>0</v>
      </c>
      <c r="AE16" s="1043">
        <f>'4.Chi phi hoat dong'!AF25-'4.Chi phi hoat dong'!AF19</f>
        <v>0</v>
      </c>
      <c r="AF16" s="1043">
        <f>'4.Chi phi hoat dong'!AG25-'4.Chi phi hoat dong'!AG19</f>
        <v>0</v>
      </c>
      <c r="AG16" s="1043">
        <f>'4.Chi phi hoat dong'!AH25-'4.Chi phi hoat dong'!AH19</f>
        <v>0</v>
      </c>
      <c r="AH16" s="1043">
        <f>'4.Chi phi hoat dong'!AI25-'4.Chi phi hoat dong'!AI19</f>
        <v>0</v>
      </c>
      <c r="AI16" s="1043">
        <f>'4.Chi phi hoat dong'!AJ25-'4.Chi phi hoat dong'!AJ19</f>
        <v>0</v>
      </c>
      <c r="AJ16" s="1043">
        <f>'4.Chi phi hoat dong'!AK25-'4.Chi phi hoat dong'!AK19</f>
        <v>0</v>
      </c>
      <c r="AK16" s="1043">
        <f>'4.Chi phi hoat dong'!AL25-'4.Chi phi hoat dong'!AL19</f>
        <v>0</v>
      </c>
      <c r="AL16" s="1043">
        <f>'4.Chi phi hoat dong'!AM25-'4.Chi phi hoat dong'!AM19</f>
        <v>0</v>
      </c>
      <c r="AM16" s="1043">
        <f>'4.Chi phi hoat dong'!AN25-'4.Chi phi hoat dong'!AN19</f>
        <v>0</v>
      </c>
      <c r="AN16" s="1043">
        <f>'4.Chi phi hoat dong'!AO25-'4.Chi phi hoat dong'!AO19</f>
        <v>0</v>
      </c>
      <c r="AO16" s="1043">
        <f>'4.Chi phi hoat dong'!AP25-'4.Chi phi hoat dong'!AP19</f>
        <v>0</v>
      </c>
      <c r="AP16" s="1043">
        <f>'4.Chi phi hoat dong'!AQ25-'4.Chi phi hoat dong'!AQ19</f>
        <v>0</v>
      </c>
      <c r="AQ16" s="1043">
        <f>'4.Chi phi hoat dong'!AR25-'4.Chi phi hoat dong'!AR19</f>
        <v>0</v>
      </c>
      <c r="AR16" s="1043">
        <f>'4.Chi phi hoat dong'!AS25-'4.Chi phi hoat dong'!AS19</f>
        <v>0</v>
      </c>
      <c r="AS16" s="1043">
        <f>'4.Chi phi hoat dong'!AT25-'4.Chi phi hoat dong'!AT19</f>
        <v>0</v>
      </c>
      <c r="AT16" s="1043">
        <f>'4.Chi phi hoat dong'!AU25-'4.Chi phi hoat dong'!AU19</f>
        <v>0</v>
      </c>
      <c r="AU16" s="1043">
        <f>'4.Chi phi hoat dong'!AV25-'4.Chi phi hoat dong'!AV19</f>
        <v>0</v>
      </c>
      <c r="AV16" s="1043">
        <f>'4.Chi phi hoat dong'!AW25-'4.Chi phi hoat dong'!AW19</f>
        <v>0</v>
      </c>
      <c r="AW16" s="1043">
        <f>'4.Chi phi hoat dong'!AX25-'4.Chi phi hoat dong'!AX19</f>
        <v>0</v>
      </c>
      <c r="AX16" s="1043">
        <f>'4.Chi phi hoat dong'!AY25-'4.Chi phi hoat dong'!AY19</f>
        <v>0</v>
      </c>
      <c r="AY16" s="1043">
        <f>'4.Chi phi hoat dong'!AZ25-'4.Chi phi hoat dong'!AZ19</f>
        <v>0</v>
      </c>
      <c r="AZ16" s="1043">
        <f>'4.Chi phi hoat dong'!BA25-'4.Chi phi hoat dong'!BA19</f>
        <v>0</v>
      </c>
      <c r="BA16" s="1043">
        <f>'4.Chi phi hoat dong'!BB25-'4.Chi phi hoat dong'!BB19</f>
        <v>0</v>
      </c>
      <c r="BB16" s="1043">
        <f>'4.Chi phi hoat dong'!BC25-'4.Chi phi hoat dong'!BC19</f>
        <v>0</v>
      </c>
      <c r="BC16" s="1043">
        <f>'4.Chi phi hoat dong'!BD25-'4.Chi phi hoat dong'!BD19</f>
        <v>0</v>
      </c>
      <c r="BD16" s="1043">
        <f>'4.Chi phi hoat dong'!BE25-'4.Chi phi hoat dong'!BE19</f>
        <v>0</v>
      </c>
      <c r="BE16" s="1043">
        <f>'4.Chi phi hoat dong'!BF25-'4.Chi phi hoat dong'!BF19</f>
        <v>0</v>
      </c>
      <c r="BF16" s="1043">
        <f>'4.Chi phi hoat dong'!BG25-'4.Chi phi hoat dong'!BG19</f>
        <v>0</v>
      </c>
      <c r="BG16" s="1043">
        <f>'4.Chi phi hoat dong'!BH25-'4.Chi phi hoat dong'!BH19</f>
        <v>0</v>
      </c>
      <c r="BH16" s="1043">
        <f>'4.Chi phi hoat dong'!BI25-'4.Chi phi hoat dong'!BI19</f>
        <v>0</v>
      </c>
      <c r="BI16" s="1043">
        <f>'4.Chi phi hoat dong'!BJ25-'4.Chi phi hoat dong'!BJ19</f>
        <v>0</v>
      </c>
      <c r="BJ16" s="1043">
        <f>'4.Chi phi hoat dong'!BK25-'4.Chi phi hoat dong'!BK19</f>
        <v>0</v>
      </c>
      <c r="BK16" s="1043">
        <f>'4.Chi phi hoat dong'!BL25-'4.Chi phi hoat dong'!BL19</f>
        <v>0</v>
      </c>
      <c r="BL16" s="1043">
        <f>'4.Chi phi hoat dong'!BM25-'4.Chi phi hoat dong'!BM19</f>
        <v>0</v>
      </c>
      <c r="BM16" s="1043">
        <f>'4.Chi phi hoat dong'!BN25-'4.Chi phi hoat dong'!BN19</f>
        <v>0</v>
      </c>
      <c r="BN16" s="1043">
        <f>'4.Chi phi hoat dong'!BO25-'4.Chi phi hoat dong'!BO19</f>
        <v>0</v>
      </c>
      <c r="BO16" s="1043">
        <f>'4.Chi phi hoat dong'!BP25-'4.Chi phi hoat dong'!BP19</f>
        <v>0</v>
      </c>
      <c r="BP16" s="1043">
        <f>'4.Chi phi hoat dong'!BQ25-'4.Chi phi hoat dong'!BQ19</f>
        <v>0</v>
      </c>
      <c r="BQ16" s="1043">
        <f>'4.Chi phi hoat dong'!BR25-'4.Chi phi hoat dong'!BR19</f>
        <v>0</v>
      </c>
      <c r="BR16" s="1043">
        <f>'4.Chi phi hoat dong'!BS25-'4.Chi phi hoat dong'!BS19</f>
        <v>0</v>
      </c>
      <c r="BS16" s="1043">
        <f>'4.Chi phi hoat dong'!BT25-'4.Chi phi hoat dong'!BT19</f>
        <v>0</v>
      </c>
      <c r="BT16" s="1043">
        <f>'4.Chi phi hoat dong'!BU25-'4.Chi phi hoat dong'!BU19</f>
        <v>0</v>
      </c>
      <c r="BU16" s="1043">
        <f>'4.Chi phi hoat dong'!BV25-'4.Chi phi hoat dong'!BV19</f>
        <v>0</v>
      </c>
      <c r="BV16" s="1043">
        <f>'4.Chi phi hoat dong'!BW25-'4.Chi phi hoat dong'!BW19</f>
        <v>0</v>
      </c>
      <c r="BW16" s="1043">
        <f>'4.Chi phi hoat dong'!BX25-'4.Chi phi hoat dong'!BX19</f>
        <v>0</v>
      </c>
      <c r="BX16" s="1043">
        <f>'4.Chi phi hoat dong'!BY25-'4.Chi phi hoat dong'!BY19</f>
        <v>0</v>
      </c>
      <c r="BY16" s="1043">
        <f>'4.Chi phi hoat dong'!BZ25-'4.Chi phi hoat dong'!BZ19</f>
        <v>0</v>
      </c>
      <c r="BZ16" s="1043">
        <f>'4.Chi phi hoat dong'!CA25-'4.Chi phi hoat dong'!CA19</f>
        <v>0</v>
      </c>
      <c r="CA16" s="1043">
        <f>'4.Chi phi hoat dong'!CB25-'4.Chi phi hoat dong'!CB19</f>
        <v>0</v>
      </c>
      <c r="CB16" s="1043">
        <f>'4.Chi phi hoat dong'!CC25-'4.Chi phi hoat dong'!CC19</f>
        <v>0</v>
      </c>
      <c r="CC16" s="1043">
        <f>'4.Chi phi hoat dong'!CD25-'4.Chi phi hoat dong'!CD19</f>
        <v>0</v>
      </c>
      <c r="CD16" s="1043">
        <f>'4.Chi phi hoat dong'!CE25-'4.Chi phi hoat dong'!CE19</f>
        <v>0</v>
      </c>
      <c r="CE16" s="1043">
        <f>'4.Chi phi hoat dong'!CF25-'4.Chi phi hoat dong'!CF19</f>
        <v>0</v>
      </c>
      <c r="CF16" s="1043">
        <f>'4.Chi phi hoat dong'!CG25-'4.Chi phi hoat dong'!CG19</f>
        <v>0</v>
      </c>
      <c r="CG16" s="1043">
        <f>'4.Chi phi hoat dong'!CH25-'4.Chi phi hoat dong'!CH19</f>
        <v>0</v>
      </c>
      <c r="CH16" s="1043">
        <f>'4.Chi phi hoat dong'!CI25-'4.Chi phi hoat dong'!CI19</f>
        <v>0</v>
      </c>
    </row>
    <row r="17" spans="1:86" s="520" customFormat="1" ht="19.5" customHeight="1">
      <c r="A17" s="1023"/>
      <c r="B17" s="1044"/>
      <c r="C17" s="1041" t="s">
        <v>58</v>
      </c>
      <c r="D17" s="1042">
        <f t="shared" si="0"/>
        <v>107451.012489154</v>
      </c>
      <c r="E17" s="1042"/>
      <c r="F17" s="1042">
        <f>F33</f>
        <v>0</v>
      </c>
      <c r="G17" s="1042">
        <f t="shared" ref="G17:AB17" si="9">G33</f>
        <v>0</v>
      </c>
      <c r="H17" s="1042">
        <f t="shared" si="9"/>
        <v>0</v>
      </c>
      <c r="I17" s="1042">
        <f t="shared" si="9"/>
        <v>0</v>
      </c>
      <c r="J17" s="1042">
        <f t="shared" si="9"/>
        <v>0</v>
      </c>
      <c r="K17" s="1042">
        <f t="shared" si="9"/>
        <v>0</v>
      </c>
      <c r="L17" s="1042">
        <f t="shared" si="9"/>
        <v>0</v>
      </c>
      <c r="M17" s="1042">
        <f t="shared" si="9"/>
        <v>0</v>
      </c>
      <c r="N17" s="1042">
        <f t="shared" si="9"/>
        <v>0</v>
      </c>
      <c r="O17" s="1042">
        <f t="shared" si="9"/>
        <v>5068.792822200372</v>
      </c>
      <c r="P17" s="1042">
        <f t="shared" si="9"/>
        <v>5674.8327897190138</v>
      </c>
      <c r="Q17" s="1042">
        <f t="shared" si="9"/>
        <v>2692.6241299724893</v>
      </c>
      <c r="R17" s="1042">
        <f t="shared" si="9"/>
        <v>7093.8183953734515</v>
      </c>
      <c r="S17" s="1042">
        <f t="shared" si="9"/>
        <v>6873.0461999510089</v>
      </c>
      <c r="T17" s="1042">
        <f t="shared" si="9"/>
        <v>5808.1622289799443</v>
      </c>
      <c r="U17" s="1042">
        <f t="shared" si="9"/>
        <v>4624.5859951961929</v>
      </c>
      <c r="V17" s="1042">
        <f t="shared" si="9"/>
        <v>12156.117004598247</v>
      </c>
      <c r="W17" s="1042">
        <f t="shared" si="9"/>
        <v>0</v>
      </c>
      <c r="X17" s="1042">
        <f t="shared" si="9"/>
        <v>0</v>
      </c>
      <c r="Y17" s="1042">
        <f t="shared" si="9"/>
        <v>57459.032923163293</v>
      </c>
      <c r="Z17" s="1042">
        <f t="shared" si="9"/>
        <v>0</v>
      </c>
      <c r="AA17" s="1042">
        <f t="shared" si="9"/>
        <v>0</v>
      </c>
      <c r="AB17" s="1042">
        <f t="shared" si="9"/>
        <v>0</v>
      </c>
      <c r="AC17" s="1042"/>
      <c r="AD17" s="1042"/>
      <c r="AE17" s="1042"/>
      <c r="AF17" s="1042"/>
      <c r="AG17" s="1042"/>
      <c r="AH17" s="1042"/>
      <c r="AI17" s="1042"/>
      <c r="AJ17" s="1042"/>
      <c r="AK17" s="1042"/>
      <c r="AL17" s="1042"/>
      <c r="AM17" s="1042"/>
      <c r="AN17" s="1042"/>
      <c r="AO17" s="1042"/>
      <c r="AP17" s="1042"/>
      <c r="AQ17" s="1042"/>
      <c r="AR17" s="1042"/>
      <c r="AS17" s="1042"/>
      <c r="AT17" s="1042"/>
      <c r="AU17" s="1042"/>
      <c r="AV17" s="1042"/>
      <c r="AW17" s="1042"/>
      <c r="AX17" s="1042"/>
      <c r="AY17" s="1042"/>
      <c r="AZ17" s="1042"/>
      <c r="BA17" s="1042"/>
      <c r="BB17" s="1042"/>
      <c r="BC17" s="1042"/>
      <c r="BD17" s="1042"/>
      <c r="BE17" s="1042"/>
      <c r="BF17" s="1042"/>
      <c r="BG17" s="1042"/>
      <c r="BH17" s="1042"/>
      <c r="BI17" s="1042"/>
      <c r="BJ17" s="1042"/>
      <c r="BK17" s="1042"/>
      <c r="BL17" s="1042"/>
      <c r="BM17" s="1042"/>
      <c r="BN17" s="1042"/>
      <c r="BO17" s="1042"/>
      <c r="BP17" s="1042"/>
      <c r="BQ17" s="1042"/>
      <c r="BR17" s="1042"/>
      <c r="BS17" s="1042"/>
      <c r="BT17" s="1042"/>
      <c r="BU17" s="1042"/>
      <c r="BV17" s="1042"/>
      <c r="BW17" s="1042"/>
      <c r="BX17" s="1042"/>
      <c r="BY17" s="1042"/>
      <c r="BZ17" s="1042"/>
      <c r="CA17" s="1042"/>
      <c r="CB17" s="1042"/>
      <c r="CC17" s="1042"/>
      <c r="CD17" s="1042"/>
      <c r="CE17" s="1042"/>
      <c r="CF17" s="1042"/>
      <c r="CG17" s="1042"/>
      <c r="CH17" s="1042"/>
    </row>
    <row r="18" spans="1:86" s="520" customFormat="1" ht="19.5" customHeight="1">
      <c r="A18" s="1023"/>
      <c r="B18" s="2157"/>
      <c r="C18" s="1045" t="s">
        <v>747</v>
      </c>
      <c r="D18" s="1042">
        <f t="shared" si="0"/>
        <v>77600</v>
      </c>
      <c r="E18" s="2158"/>
      <c r="F18" s="2158"/>
      <c r="G18" s="2158"/>
      <c r="H18" s="2158"/>
      <c r="I18" s="2158"/>
      <c r="J18" s="2158"/>
      <c r="K18" s="2158"/>
      <c r="L18" s="2158"/>
      <c r="M18" s="2158"/>
      <c r="N18" s="2158"/>
      <c r="O18" s="2158"/>
      <c r="P18" s="2158"/>
      <c r="Q18" s="2158"/>
      <c r="R18" s="2158"/>
      <c r="S18" s="2158">
        <v>0</v>
      </c>
      <c r="T18" s="2158">
        <v>0</v>
      </c>
      <c r="U18" s="2158"/>
      <c r="V18" s="2158"/>
      <c r="W18" s="2158"/>
      <c r="X18" s="2158"/>
      <c r="Y18" s="2158">
        <f>+(D54-D55)*0.2</f>
        <v>77600</v>
      </c>
      <c r="Z18" s="2158"/>
      <c r="AA18" s="2158"/>
      <c r="AB18" s="2158"/>
      <c r="AC18" s="2158"/>
      <c r="AD18" s="2158"/>
      <c r="AE18" s="2158"/>
      <c r="AF18" s="2158"/>
      <c r="AG18" s="2158"/>
      <c r="AH18" s="2158"/>
      <c r="AI18" s="2158"/>
      <c r="AJ18" s="2158"/>
      <c r="AK18" s="2158"/>
      <c r="AL18" s="2158"/>
      <c r="AM18" s="2158"/>
      <c r="AN18" s="2158"/>
      <c r="AO18" s="2158"/>
      <c r="AP18" s="2158"/>
      <c r="AQ18" s="2158"/>
      <c r="AR18" s="2158"/>
      <c r="AS18" s="2158"/>
      <c r="AT18" s="2158"/>
      <c r="AU18" s="2158"/>
      <c r="AV18" s="2158"/>
      <c r="AW18" s="2158"/>
      <c r="AX18" s="2158"/>
      <c r="AY18" s="2158"/>
      <c r="AZ18" s="2158"/>
      <c r="BA18" s="2158"/>
      <c r="BB18" s="2158"/>
      <c r="BC18" s="2158"/>
      <c r="BD18" s="2158"/>
      <c r="BE18" s="2158"/>
      <c r="BF18" s="2158"/>
      <c r="BG18" s="2158"/>
      <c r="BH18" s="2158"/>
      <c r="BI18" s="2158"/>
      <c r="BJ18" s="2158"/>
      <c r="BK18" s="2158"/>
      <c r="BL18" s="2158"/>
      <c r="BM18" s="2158"/>
      <c r="BN18" s="2158"/>
      <c r="BO18" s="2158"/>
      <c r="BP18" s="2158"/>
      <c r="BQ18" s="2158"/>
      <c r="BR18" s="2158"/>
      <c r="BS18" s="2158"/>
      <c r="BT18" s="2158"/>
      <c r="BU18" s="2158"/>
      <c r="BV18" s="2158"/>
      <c r="BW18" s="2158"/>
      <c r="BX18" s="2158"/>
      <c r="BY18" s="2158"/>
      <c r="BZ18" s="2158"/>
      <c r="CA18" s="2158"/>
      <c r="CB18" s="2158"/>
      <c r="CC18" s="2158"/>
      <c r="CD18" s="2158"/>
      <c r="CE18" s="2158"/>
      <c r="CF18" s="2158"/>
      <c r="CG18" s="2158"/>
      <c r="CH18" s="2158"/>
    </row>
    <row r="19" spans="1:86" s="520" customFormat="1" ht="19.5" customHeight="1">
      <c r="A19" s="1023"/>
      <c r="B19" s="1046">
        <v>2</v>
      </c>
      <c r="C19" s="1047" t="s">
        <v>59</v>
      </c>
      <c r="D19" s="1034">
        <f t="shared" si="0"/>
        <v>705227.86130130617</v>
      </c>
      <c r="E19" s="1039">
        <f t="shared" ref="E19:AJ19" si="10">E20-E23</f>
        <v>0</v>
      </c>
      <c r="F19" s="1039">
        <f t="shared" si="10"/>
        <v>0</v>
      </c>
      <c r="G19" s="1039">
        <f t="shared" si="10"/>
        <v>156000</v>
      </c>
      <c r="H19" s="1039">
        <f t="shared" si="10"/>
        <v>364000</v>
      </c>
      <c r="I19" s="1039">
        <f t="shared" si="10"/>
        <v>4263.4452937083088</v>
      </c>
      <c r="J19" s="1039">
        <f t="shared" si="10"/>
        <v>4263.4452937083088</v>
      </c>
      <c r="K19" s="1039">
        <f t="shared" si="10"/>
        <v>489001.38513583987</v>
      </c>
      <c r="L19" s="1039">
        <f t="shared" si="10"/>
        <v>9956.0977960857363</v>
      </c>
      <c r="M19" s="1039">
        <f t="shared" si="10"/>
        <v>49227.630170544988</v>
      </c>
      <c r="N19" s="1039">
        <f t="shared" si="10"/>
        <v>268023.99186574854</v>
      </c>
      <c r="O19" s="1039">
        <f t="shared" si="10"/>
        <v>50716.466493942062</v>
      </c>
      <c r="P19" s="1039">
        <f t="shared" si="10"/>
        <v>-73370.958874711156</v>
      </c>
      <c r="Q19" s="1039">
        <f t="shared" si="10"/>
        <v>8436.7927699302491</v>
      </c>
      <c r="R19" s="1039">
        <f t="shared" si="10"/>
        <v>-417844.85816412541</v>
      </c>
      <c r="S19" s="1039">
        <f t="shared" si="10"/>
        <v>-207445.57647936558</v>
      </c>
      <c r="T19" s="1039">
        <f t="shared" si="10"/>
        <v>0</v>
      </c>
      <c r="U19" s="1039">
        <f t="shared" si="10"/>
        <v>0</v>
      </c>
      <c r="V19" s="1039">
        <f t="shared" si="10"/>
        <v>0</v>
      </c>
      <c r="W19" s="1039">
        <f t="shared" si="10"/>
        <v>0</v>
      </c>
      <c r="X19" s="1039">
        <f t="shared" si="10"/>
        <v>0</v>
      </c>
      <c r="Y19" s="1039">
        <f t="shared" si="10"/>
        <v>0</v>
      </c>
      <c r="Z19" s="1039">
        <f t="shared" si="10"/>
        <v>0</v>
      </c>
      <c r="AA19" s="1039">
        <f t="shared" si="10"/>
        <v>0</v>
      </c>
      <c r="AB19" s="1039">
        <f t="shared" si="10"/>
        <v>0</v>
      </c>
      <c r="AC19" s="1039">
        <f t="shared" si="10"/>
        <v>0</v>
      </c>
      <c r="AD19" s="1039">
        <f t="shared" si="10"/>
        <v>0</v>
      </c>
      <c r="AE19" s="1039">
        <f t="shared" si="10"/>
        <v>0</v>
      </c>
      <c r="AF19" s="1039">
        <f t="shared" si="10"/>
        <v>0</v>
      </c>
      <c r="AG19" s="1039">
        <f t="shared" si="10"/>
        <v>0</v>
      </c>
      <c r="AH19" s="1039">
        <f t="shared" si="10"/>
        <v>0</v>
      </c>
      <c r="AI19" s="1039">
        <f t="shared" si="10"/>
        <v>0</v>
      </c>
      <c r="AJ19" s="1039">
        <f t="shared" si="10"/>
        <v>0</v>
      </c>
      <c r="AK19" s="1039">
        <f t="shared" ref="AK19:BP19" si="11">AK20-AK23</f>
        <v>0</v>
      </c>
      <c r="AL19" s="1039">
        <f t="shared" si="11"/>
        <v>0</v>
      </c>
      <c r="AM19" s="1039">
        <f t="shared" si="11"/>
        <v>0</v>
      </c>
      <c r="AN19" s="1039">
        <f t="shared" si="11"/>
        <v>0</v>
      </c>
      <c r="AO19" s="1039">
        <f t="shared" si="11"/>
        <v>0</v>
      </c>
      <c r="AP19" s="1039">
        <f t="shared" si="11"/>
        <v>0</v>
      </c>
      <c r="AQ19" s="1039">
        <f t="shared" si="11"/>
        <v>0</v>
      </c>
      <c r="AR19" s="1039">
        <f t="shared" si="11"/>
        <v>0</v>
      </c>
      <c r="AS19" s="1039">
        <f t="shared" si="11"/>
        <v>0</v>
      </c>
      <c r="AT19" s="1039">
        <f t="shared" si="11"/>
        <v>0</v>
      </c>
      <c r="AU19" s="1039">
        <f t="shared" si="11"/>
        <v>0</v>
      </c>
      <c r="AV19" s="1039">
        <f t="shared" si="11"/>
        <v>0</v>
      </c>
      <c r="AW19" s="1039">
        <f t="shared" si="11"/>
        <v>0</v>
      </c>
      <c r="AX19" s="1039">
        <f t="shared" si="11"/>
        <v>0</v>
      </c>
      <c r="AY19" s="1039">
        <f t="shared" si="11"/>
        <v>0</v>
      </c>
      <c r="AZ19" s="1039">
        <f t="shared" si="11"/>
        <v>0</v>
      </c>
      <c r="BA19" s="1039">
        <f t="shared" si="11"/>
        <v>0</v>
      </c>
      <c r="BB19" s="1039">
        <f t="shared" si="11"/>
        <v>0</v>
      </c>
      <c r="BC19" s="1039">
        <f t="shared" si="11"/>
        <v>0</v>
      </c>
      <c r="BD19" s="1039">
        <f t="shared" si="11"/>
        <v>0</v>
      </c>
      <c r="BE19" s="1039">
        <f t="shared" si="11"/>
        <v>0</v>
      </c>
      <c r="BF19" s="1039">
        <f t="shared" si="11"/>
        <v>0</v>
      </c>
      <c r="BG19" s="1039">
        <f t="shared" si="11"/>
        <v>0</v>
      </c>
      <c r="BH19" s="1039">
        <f t="shared" si="11"/>
        <v>0</v>
      </c>
      <c r="BI19" s="1039">
        <f t="shared" si="11"/>
        <v>0</v>
      </c>
      <c r="BJ19" s="1039">
        <f t="shared" si="11"/>
        <v>0</v>
      </c>
      <c r="BK19" s="1039">
        <f t="shared" si="11"/>
        <v>0</v>
      </c>
      <c r="BL19" s="1039">
        <f t="shared" si="11"/>
        <v>0</v>
      </c>
      <c r="BM19" s="1039">
        <f t="shared" si="11"/>
        <v>0</v>
      </c>
      <c r="BN19" s="1039">
        <f t="shared" si="11"/>
        <v>0</v>
      </c>
      <c r="BO19" s="1039">
        <f t="shared" si="11"/>
        <v>0</v>
      </c>
      <c r="BP19" s="1039">
        <f t="shared" si="11"/>
        <v>0</v>
      </c>
      <c r="BQ19" s="1039">
        <f t="shared" ref="BQ19:CH19" si="12">BQ20-BQ23</f>
        <v>0</v>
      </c>
      <c r="BR19" s="1039">
        <f t="shared" si="12"/>
        <v>0</v>
      </c>
      <c r="BS19" s="1039">
        <f t="shared" si="12"/>
        <v>0</v>
      </c>
      <c r="BT19" s="1039">
        <f t="shared" si="12"/>
        <v>0</v>
      </c>
      <c r="BU19" s="1039">
        <f t="shared" si="12"/>
        <v>0</v>
      </c>
      <c r="BV19" s="1039">
        <f t="shared" si="12"/>
        <v>0</v>
      </c>
      <c r="BW19" s="1039">
        <f t="shared" si="12"/>
        <v>0</v>
      </c>
      <c r="BX19" s="1039">
        <f t="shared" si="12"/>
        <v>0</v>
      </c>
      <c r="BY19" s="1039">
        <f t="shared" si="12"/>
        <v>0</v>
      </c>
      <c r="BZ19" s="1039">
        <f t="shared" si="12"/>
        <v>0</v>
      </c>
      <c r="CA19" s="1039">
        <f t="shared" si="12"/>
        <v>0</v>
      </c>
      <c r="CB19" s="1039">
        <f t="shared" si="12"/>
        <v>0</v>
      </c>
      <c r="CC19" s="1039">
        <f t="shared" si="12"/>
        <v>0</v>
      </c>
      <c r="CD19" s="1039">
        <f t="shared" si="12"/>
        <v>0</v>
      </c>
      <c r="CE19" s="1039">
        <f t="shared" si="12"/>
        <v>0</v>
      </c>
      <c r="CF19" s="1039">
        <f t="shared" si="12"/>
        <v>0</v>
      </c>
      <c r="CG19" s="1039">
        <f t="shared" si="12"/>
        <v>0</v>
      </c>
      <c r="CH19" s="1039">
        <f t="shared" si="12"/>
        <v>0</v>
      </c>
    </row>
    <row r="20" spans="1:86" s="520" customFormat="1" ht="19.5" customHeight="1">
      <c r="A20" s="1023"/>
      <c r="B20" s="1037" t="s">
        <v>15</v>
      </c>
      <c r="C20" s="1038" t="s">
        <v>55</v>
      </c>
      <c r="D20" s="1034">
        <f t="shared" si="0"/>
        <v>1469658.642579773</v>
      </c>
      <c r="E20" s="1039">
        <f>E21+E22</f>
        <v>0</v>
      </c>
      <c r="F20" s="1039">
        <f>F21+F22</f>
        <v>0</v>
      </c>
      <c r="G20" s="1039">
        <f>G21+G22</f>
        <v>156000</v>
      </c>
      <c r="H20" s="1039">
        <f t="shared" ref="H20:BS20" si="13">H21+H22</f>
        <v>364000</v>
      </c>
      <c r="I20" s="1039">
        <f t="shared" si="13"/>
        <v>4263.4452937083088</v>
      </c>
      <c r="J20" s="1039">
        <f t="shared" si="13"/>
        <v>4263.4452937083088</v>
      </c>
      <c r="K20" s="1039">
        <f t="shared" si="13"/>
        <v>489001.38513583987</v>
      </c>
      <c r="L20" s="1039">
        <f t="shared" si="13"/>
        <v>20135.594532770498</v>
      </c>
      <c r="M20" s="1039">
        <f t="shared" si="13"/>
        <v>59437.140258611806</v>
      </c>
      <c r="N20" s="1039">
        <f t="shared" si="13"/>
        <v>279267.28218739678</v>
      </c>
      <c r="O20" s="1039">
        <f t="shared" si="13"/>
        <v>67588.260644771042</v>
      </c>
      <c r="P20" s="1039">
        <f t="shared" si="13"/>
        <v>0</v>
      </c>
      <c r="Q20" s="1039">
        <f t="shared" si="13"/>
        <v>25702.089232966187</v>
      </c>
      <c r="R20" s="1039">
        <f t="shared" si="13"/>
        <v>0</v>
      </c>
      <c r="S20" s="1039">
        <f t="shared" si="13"/>
        <v>0</v>
      </c>
      <c r="T20" s="1039">
        <f t="shared" si="13"/>
        <v>0</v>
      </c>
      <c r="U20" s="1039">
        <f t="shared" si="13"/>
        <v>0</v>
      </c>
      <c r="V20" s="1039">
        <f t="shared" si="13"/>
        <v>0</v>
      </c>
      <c r="W20" s="1039">
        <f t="shared" si="13"/>
        <v>0</v>
      </c>
      <c r="X20" s="1039">
        <f t="shared" si="13"/>
        <v>0</v>
      </c>
      <c r="Y20" s="1039">
        <f t="shared" si="13"/>
        <v>0</v>
      </c>
      <c r="Z20" s="1039">
        <f t="shared" si="13"/>
        <v>0</v>
      </c>
      <c r="AA20" s="1039">
        <f t="shared" si="13"/>
        <v>0</v>
      </c>
      <c r="AB20" s="1039">
        <f t="shared" si="13"/>
        <v>0</v>
      </c>
      <c r="AC20" s="1039">
        <f t="shared" si="13"/>
        <v>0</v>
      </c>
      <c r="AD20" s="1039">
        <f t="shared" si="13"/>
        <v>0</v>
      </c>
      <c r="AE20" s="1039">
        <f t="shared" si="13"/>
        <v>0</v>
      </c>
      <c r="AF20" s="1039">
        <f t="shared" si="13"/>
        <v>0</v>
      </c>
      <c r="AG20" s="1039">
        <f t="shared" si="13"/>
        <v>0</v>
      </c>
      <c r="AH20" s="1039">
        <f t="shared" si="13"/>
        <v>0</v>
      </c>
      <c r="AI20" s="1039">
        <f t="shared" si="13"/>
        <v>0</v>
      </c>
      <c r="AJ20" s="1039">
        <f t="shared" si="13"/>
        <v>0</v>
      </c>
      <c r="AK20" s="1039">
        <f t="shared" si="13"/>
        <v>0</v>
      </c>
      <c r="AL20" s="1039">
        <f t="shared" si="13"/>
        <v>0</v>
      </c>
      <c r="AM20" s="1039">
        <f t="shared" si="13"/>
        <v>0</v>
      </c>
      <c r="AN20" s="1039">
        <f t="shared" si="13"/>
        <v>0</v>
      </c>
      <c r="AO20" s="1039">
        <f t="shared" si="13"/>
        <v>0</v>
      </c>
      <c r="AP20" s="1039">
        <f t="shared" si="13"/>
        <v>0</v>
      </c>
      <c r="AQ20" s="1039">
        <f t="shared" si="13"/>
        <v>0</v>
      </c>
      <c r="AR20" s="1039">
        <f t="shared" si="13"/>
        <v>0</v>
      </c>
      <c r="AS20" s="1039">
        <f t="shared" si="13"/>
        <v>0</v>
      </c>
      <c r="AT20" s="1039">
        <f t="shared" si="13"/>
        <v>0</v>
      </c>
      <c r="AU20" s="1039">
        <f t="shared" si="13"/>
        <v>0</v>
      </c>
      <c r="AV20" s="1039">
        <f t="shared" si="13"/>
        <v>0</v>
      </c>
      <c r="AW20" s="1039">
        <f t="shared" si="13"/>
        <v>0</v>
      </c>
      <c r="AX20" s="1039">
        <f t="shared" si="13"/>
        <v>0</v>
      </c>
      <c r="AY20" s="1039">
        <f t="shared" si="13"/>
        <v>0</v>
      </c>
      <c r="AZ20" s="1039">
        <f t="shared" si="13"/>
        <v>0</v>
      </c>
      <c r="BA20" s="1039">
        <f t="shared" si="13"/>
        <v>0</v>
      </c>
      <c r="BB20" s="1039">
        <f t="shared" si="13"/>
        <v>0</v>
      </c>
      <c r="BC20" s="1039">
        <f t="shared" si="13"/>
        <v>0</v>
      </c>
      <c r="BD20" s="1039">
        <f t="shared" si="13"/>
        <v>0</v>
      </c>
      <c r="BE20" s="1039">
        <f t="shared" si="13"/>
        <v>0</v>
      </c>
      <c r="BF20" s="1039">
        <f t="shared" si="13"/>
        <v>0</v>
      </c>
      <c r="BG20" s="1039">
        <f t="shared" si="13"/>
        <v>0</v>
      </c>
      <c r="BH20" s="1039">
        <f t="shared" si="13"/>
        <v>0</v>
      </c>
      <c r="BI20" s="1039">
        <f t="shared" si="13"/>
        <v>0</v>
      </c>
      <c r="BJ20" s="1039">
        <f t="shared" si="13"/>
        <v>0</v>
      </c>
      <c r="BK20" s="1039">
        <f t="shared" si="13"/>
        <v>0</v>
      </c>
      <c r="BL20" s="1039">
        <f t="shared" si="13"/>
        <v>0</v>
      </c>
      <c r="BM20" s="1039">
        <f t="shared" si="13"/>
        <v>0</v>
      </c>
      <c r="BN20" s="1039">
        <f t="shared" si="13"/>
        <v>0</v>
      </c>
      <c r="BO20" s="1039">
        <f t="shared" si="13"/>
        <v>0</v>
      </c>
      <c r="BP20" s="1039">
        <f t="shared" si="13"/>
        <v>0</v>
      </c>
      <c r="BQ20" s="1039">
        <f t="shared" si="13"/>
        <v>0</v>
      </c>
      <c r="BR20" s="1039">
        <f t="shared" si="13"/>
        <v>0</v>
      </c>
      <c r="BS20" s="1039">
        <f t="shared" si="13"/>
        <v>0</v>
      </c>
      <c r="BT20" s="1039">
        <f>BT21+BT22</f>
        <v>0</v>
      </c>
      <c r="BU20" s="1039">
        <f>BU21+BU22</f>
        <v>0</v>
      </c>
      <c r="BV20" s="1039">
        <f>BV21+BV22</f>
        <v>0</v>
      </c>
      <c r="BW20" s="1039">
        <f>BW21+BW22</f>
        <v>0</v>
      </c>
      <c r="BX20" s="1039">
        <f t="shared" ref="BX20:CH20" si="14">BX21+BX22</f>
        <v>0</v>
      </c>
      <c r="BY20" s="1039">
        <f t="shared" si="14"/>
        <v>0</v>
      </c>
      <c r="BZ20" s="1039">
        <f t="shared" si="14"/>
        <v>0</v>
      </c>
      <c r="CA20" s="1039">
        <f t="shared" si="14"/>
        <v>0</v>
      </c>
      <c r="CB20" s="1039">
        <f t="shared" si="14"/>
        <v>0</v>
      </c>
      <c r="CC20" s="1039">
        <f t="shared" si="14"/>
        <v>0</v>
      </c>
      <c r="CD20" s="1039">
        <f t="shared" si="14"/>
        <v>0</v>
      </c>
      <c r="CE20" s="1039">
        <f t="shared" si="14"/>
        <v>0</v>
      </c>
      <c r="CF20" s="1039">
        <f t="shared" si="14"/>
        <v>0</v>
      </c>
      <c r="CG20" s="1039">
        <f t="shared" si="14"/>
        <v>0</v>
      </c>
      <c r="CH20" s="1039">
        <f t="shared" si="14"/>
        <v>0</v>
      </c>
    </row>
    <row r="21" spans="1:86" s="520" customFormat="1" ht="19.5" customHeight="1">
      <c r="A21" s="1023"/>
      <c r="B21" s="1048"/>
      <c r="C21" s="1041" t="s">
        <v>60</v>
      </c>
      <c r="D21" s="1042">
        <f t="shared" si="0"/>
        <v>655683.48823870323</v>
      </c>
      <c r="E21" s="1043">
        <f>'6.Vay von'!E35</f>
        <v>0</v>
      </c>
      <c r="F21" s="1043">
        <f>'6.Vay von'!F35+'6.Vay von'!F64</f>
        <v>0</v>
      </c>
      <c r="G21" s="1043">
        <f>'6.Vay von'!G35+'6.Vay von'!G64</f>
        <v>0</v>
      </c>
      <c r="H21" s="1043">
        <f>'6.Vay von'!H35+'6.Vay von'!H64</f>
        <v>0</v>
      </c>
      <c r="I21" s="1043">
        <f>'6.Vay von'!I35+'6.Vay von'!I64</f>
        <v>0</v>
      </c>
      <c r="J21" s="1043">
        <f>'6.Vay von'!J35+'6.Vay von'!J64</f>
        <v>0</v>
      </c>
      <c r="K21" s="1043">
        <f>'6.Vay von'!K35+'6.Vay von'!K64</f>
        <v>339316.55788949208</v>
      </c>
      <c r="L21" s="1043">
        <f>'6.Vay von'!L35+'6.Vay von'!L64</f>
        <v>1000.4450460683823</v>
      </c>
      <c r="M21" s="1043">
        <f>'6.Vay von'!M35+'6.Vay von'!M64</f>
        <v>34459.34111938149</v>
      </c>
      <c r="N21" s="1043">
        <f>'6.Vay von'!N35+'6.Vay von'!N64</f>
        <v>187616.79430602398</v>
      </c>
      <c r="O21" s="1043">
        <f>'6.Vay von'!O35+'6.Vay von'!O64</f>
        <v>67588.260644771042</v>
      </c>
      <c r="P21" s="1043">
        <f>'6.Vay von'!P35+'6.Vay von'!P64</f>
        <v>0</v>
      </c>
      <c r="Q21" s="1043">
        <f>'6.Vay von'!Q35+'6.Vay von'!Q64</f>
        <v>25702.089232966187</v>
      </c>
      <c r="R21" s="1043">
        <f>'6.Vay von'!R35+'6.Vay von'!R64</f>
        <v>0</v>
      </c>
      <c r="S21" s="1043">
        <f>'6.Vay von'!S35+'6.Vay von'!S64</f>
        <v>0</v>
      </c>
      <c r="T21" s="1043">
        <f>'6.Vay von'!T35+'6.Vay von'!T64</f>
        <v>0</v>
      </c>
      <c r="U21" s="1043">
        <f>'6.Vay von'!U35+'6.Vay von'!U64</f>
        <v>0</v>
      </c>
      <c r="V21" s="1043">
        <f>'6.Vay von'!V35+'6.Vay von'!V64</f>
        <v>0</v>
      </c>
      <c r="W21" s="1043">
        <f>'6.Vay von'!W35+'6.Vay von'!W64</f>
        <v>0</v>
      </c>
      <c r="X21" s="1043">
        <f>'6.Vay von'!X35+'6.Vay von'!X64</f>
        <v>0</v>
      </c>
      <c r="Y21" s="1043">
        <f>'6.Vay von'!Y35+'6.Vay von'!Y64</f>
        <v>0</v>
      </c>
      <c r="Z21" s="1043">
        <f>'6.Vay von'!Z35+'6.Vay von'!Z64</f>
        <v>0</v>
      </c>
      <c r="AA21" s="1043">
        <f>'6.Vay von'!AA35+'6.Vay von'!AA64</f>
        <v>0</v>
      </c>
      <c r="AB21" s="1043">
        <f>'6.Vay von'!AB35+'6.Vay von'!AB64</f>
        <v>0</v>
      </c>
      <c r="AC21" s="1043">
        <f>'6.Vay von'!AC35+'6.Vay von'!AC64</f>
        <v>0</v>
      </c>
      <c r="AD21" s="1043">
        <f>'6.Vay von'!AD35+'6.Vay von'!AD64</f>
        <v>0</v>
      </c>
      <c r="AE21" s="1043">
        <f>'6.Vay von'!AE35+'6.Vay von'!AE64</f>
        <v>0</v>
      </c>
      <c r="AF21" s="1043">
        <f>'6.Vay von'!AF35+'6.Vay von'!AF64</f>
        <v>0</v>
      </c>
      <c r="AG21" s="1043">
        <f>'6.Vay von'!AG35+'6.Vay von'!AG64</f>
        <v>0</v>
      </c>
      <c r="AH21" s="1043">
        <f>'6.Vay von'!AH35+'6.Vay von'!AH64</f>
        <v>0</v>
      </c>
      <c r="AI21" s="1043">
        <f>'6.Vay von'!AI35+'6.Vay von'!AI64</f>
        <v>0</v>
      </c>
      <c r="AJ21" s="1043">
        <f>'6.Vay von'!AJ35+'6.Vay von'!AJ64</f>
        <v>0</v>
      </c>
      <c r="AK21" s="1043">
        <f>'6.Vay von'!AK35+'6.Vay von'!AK64</f>
        <v>0</v>
      </c>
      <c r="AL21" s="1043">
        <f>'6.Vay von'!AL35+'6.Vay von'!AL64</f>
        <v>0</v>
      </c>
      <c r="AM21" s="1043">
        <f>'6.Vay von'!AM35+'6.Vay von'!AM64</f>
        <v>0</v>
      </c>
      <c r="AN21" s="1043">
        <f>'6.Vay von'!AN35+'6.Vay von'!AN64</f>
        <v>0</v>
      </c>
      <c r="AO21" s="1043">
        <f>'6.Vay von'!AO35+'6.Vay von'!AO64</f>
        <v>0</v>
      </c>
      <c r="AP21" s="1043">
        <f>'6.Vay von'!AP35+'6.Vay von'!AP64</f>
        <v>0</v>
      </c>
      <c r="AQ21" s="1043">
        <f>'6.Vay von'!AQ35+'6.Vay von'!AQ64</f>
        <v>0</v>
      </c>
      <c r="AR21" s="1043">
        <f>'6.Vay von'!AR35+'6.Vay von'!AR64</f>
        <v>0</v>
      </c>
      <c r="AS21" s="1043">
        <f>'6.Vay von'!AS35+'6.Vay von'!AS64</f>
        <v>0</v>
      </c>
      <c r="AT21" s="1043">
        <f>'6.Vay von'!AT35+'6.Vay von'!AT64</f>
        <v>0</v>
      </c>
      <c r="AU21" s="1043">
        <f>'6.Vay von'!AU35+'6.Vay von'!AU64</f>
        <v>0</v>
      </c>
      <c r="AV21" s="1043">
        <f>'6.Vay von'!AV35+'6.Vay von'!AV64</f>
        <v>0</v>
      </c>
      <c r="AW21" s="1043">
        <f>'6.Vay von'!AW35+'6.Vay von'!AW64</f>
        <v>0</v>
      </c>
      <c r="AX21" s="1043">
        <f>'6.Vay von'!AX35+'6.Vay von'!AX64</f>
        <v>0</v>
      </c>
      <c r="AY21" s="1043">
        <f>'6.Vay von'!AY35+'6.Vay von'!AY64</f>
        <v>0</v>
      </c>
      <c r="AZ21" s="1043">
        <f>'6.Vay von'!AZ35+'6.Vay von'!AZ64</f>
        <v>0</v>
      </c>
      <c r="BA21" s="1043">
        <f>'6.Vay von'!BA35+'6.Vay von'!BA64</f>
        <v>0</v>
      </c>
      <c r="BB21" s="1043">
        <f>'6.Vay von'!BB35+'6.Vay von'!BB64</f>
        <v>0</v>
      </c>
      <c r="BC21" s="1043">
        <f>'6.Vay von'!BC35+'6.Vay von'!BC64</f>
        <v>0</v>
      </c>
      <c r="BD21" s="1043">
        <f>'6.Vay von'!BD35+'6.Vay von'!BD64</f>
        <v>0</v>
      </c>
      <c r="BE21" s="1043">
        <f>'6.Vay von'!BE35+'6.Vay von'!BE64</f>
        <v>0</v>
      </c>
      <c r="BF21" s="1043">
        <f>'6.Vay von'!BF35+'6.Vay von'!BF64</f>
        <v>0</v>
      </c>
      <c r="BG21" s="1043">
        <f>'6.Vay von'!BG35+'6.Vay von'!BG64</f>
        <v>0</v>
      </c>
      <c r="BH21" s="1043">
        <f>'6.Vay von'!BH35+'6.Vay von'!BH64</f>
        <v>0</v>
      </c>
      <c r="BI21" s="1043">
        <f>'6.Vay von'!BI35+'6.Vay von'!BI64</f>
        <v>0</v>
      </c>
      <c r="BJ21" s="1043">
        <f>'6.Vay von'!BJ35+'6.Vay von'!BJ64</f>
        <v>0</v>
      </c>
      <c r="BK21" s="1043">
        <f>'6.Vay von'!BK35+'6.Vay von'!BK64</f>
        <v>0</v>
      </c>
      <c r="BL21" s="1043">
        <f>'6.Vay von'!BL35+'6.Vay von'!BL64</f>
        <v>0</v>
      </c>
      <c r="BM21" s="1043">
        <f>'6.Vay von'!BM35+'6.Vay von'!BM64</f>
        <v>0</v>
      </c>
      <c r="BN21" s="1043">
        <f>'6.Vay von'!BN35+'6.Vay von'!BN64</f>
        <v>0</v>
      </c>
      <c r="BO21" s="1043">
        <f>'6.Vay von'!BO35+'6.Vay von'!BO64</f>
        <v>0</v>
      </c>
      <c r="BP21" s="1043">
        <f>'6.Vay von'!BP35+'6.Vay von'!BP64</f>
        <v>0</v>
      </c>
      <c r="BQ21" s="1043">
        <f>'6.Vay von'!BQ35+'6.Vay von'!BQ64</f>
        <v>0</v>
      </c>
      <c r="BR21" s="1043">
        <f>'6.Vay von'!BR35+'6.Vay von'!BR64</f>
        <v>0</v>
      </c>
      <c r="BS21" s="1043">
        <f>'6.Vay von'!BS35+'6.Vay von'!BS64</f>
        <v>0</v>
      </c>
      <c r="BT21" s="1043">
        <f>'6.Vay von'!BT35+'6.Vay von'!BT64</f>
        <v>0</v>
      </c>
      <c r="BU21" s="1043">
        <f>'6.Vay von'!BU35+'6.Vay von'!BU64</f>
        <v>0</v>
      </c>
      <c r="BV21" s="1043">
        <f>'6.Vay von'!BV35+'6.Vay von'!BV64</f>
        <v>0</v>
      </c>
      <c r="BW21" s="1043">
        <f>'6.Vay von'!BW35+'6.Vay von'!BW64</f>
        <v>0</v>
      </c>
      <c r="BX21" s="1043">
        <f>'6.Vay von'!BX35+'6.Vay von'!BX64</f>
        <v>0</v>
      </c>
      <c r="BY21" s="1043">
        <f>'6.Vay von'!BY35+'6.Vay von'!BY64</f>
        <v>0</v>
      </c>
      <c r="BZ21" s="1043">
        <f>'6.Vay von'!BZ35+'6.Vay von'!BZ64</f>
        <v>0</v>
      </c>
      <c r="CA21" s="1043">
        <f>'6.Vay von'!CA35+'6.Vay von'!CA64</f>
        <v>0</v>
      </c>
      <c r="CB21" s="1043">
        <f>'6.Vay von'!CB35+'6.Vay von'!CB64</f>
        <v>0</v>
      </c>
      <c r="CC21" s="1043">
        <f>'6.Vay von'!CC35+'6.Vay von'!CC64</f>
        <v>0</v>
      </c>
      <c r="CD21" s="1043">
        <f>'6.Vay von'!CD35+'6.Vay von'!CD64</f>
        <v>0</v>
      </c>
      <c r="CE21" s="1043">
        <f>'6.Vay von'!CE35+'6.Vay von'!CE64</f>
        <v>0</v>
      </c>
      <c r="CF21" s="1043">
        <f>'6.Vay von'!CF35+'6.Vay von'!CF64</f>
        <v>0</v>
      </c>
      <c r="CG21" s="1043">
        <f>'6.Vay von'!CG35+'6.Vay von'!CG64</f>
        <v>0</v>
      </c>
      <c r="CH21" s="1043">
        <f>'6.Vay von'!CH35+'6.Vay von'!CH64</f>
        <v>0</v>
      </c>
    </row>
    <row r="22" spans="1:86" s="520" customFormat="1" ht="19.5" customHeight="1">
      <c r="A22" s="1023"/>
      <c r="B22" s="1048"/>
      <c r="C22" s="1041" t="s">
        <v>61</v>
      </c>
      <c r="D22" s="1042">
        <f t="shared" si="0"/>
        <v>813975.15434106963</v>
      </c>
      <c r="E22" s="1043">
        <f>'6.Vay von'!E17</f>
        <v>0</v>
      </c>
      <c r="F22" s="1043">
        <f>'6.Vay von'!F17</f>
        <v>0</v>
      </c>
      <c r="G22" s="1043">
        <f>'6.Vay von'!G17</f>
        <v>156000</v>
      </c>
      <c r="H22" s="1043">
        <f>'6.Vay von'!H17</f>
        <v>364000</v>
      </c>
      <c r="I22" s="1043">
        <f>'6.Vay von'!I17</f>
        <v>4263.4452937083088</v>
      </c>
      <c r="J22" s="1043">
        <f>'6.Vay von'!J17</f>
        <v>4263.4452937083088</v>
      </c>
      <c r="K22" s="1043">
        <f>'6.Vay von'!K17</f>
        <v>149684.82724634779</v>
      </c>
      <c r="L22" s="1043">
        <f>'6.Vay von'!L17</f>
        <v>19135.149486702114</v>
      </c>
      <c r="M22" s="1043">
        <f>'6.Vay von'!M17</f>
        <v>24977.799139230316</v>
      </c>
      <c r="N22" s="1043">
        <f>'6.Vay von'!N17</f>
        <v>91650.487881372799</v>
      </c>
      <c r="O22" s="1043">
        <f>'6.Vay von'!O17</f>
        <v>0</v>
      </c>
      <c r="P22" s="1043">
        <f>'6.Vay von'!P17</f>
        <v>0</v>
      </c>
      <c r="Q22" s="1043">
        <f>'6.Vay von'!Q17</f>
        <v>0</v>
      </c>
      <c r="R22" s="1043">
        <f>'6.Vay von'!R17</f>
        <v>0</v>
      </c>
      <c r="S22" s="1043">
        <f>'6.Vay von'!S17</f>
        <v>0</v>
      </c>
      <c r="T22" s="1043">
        <f>'6.Vay von'!T17</f>
        <v>0</v>
      </c>
      <c r="U22" s="1043">
        <f>'6.Vay von'!U17</f>
        <v>0</v>
      </c>
      <c r="V22" s="1043">
        <f>'6.Vay von'!V17</f>
        <v>0</v>
      </c>
      <c r="W22" s="1043">
        <f>'6.Vay von'!W17</f>
        <v>0</v>
      </c>
      <c r="X22" s="1043">
        <f>'6.Vay von'!X17</f>
        <v>0</v>
      </c>
      <c r="Y22" s="1043">
        <f>'6.Vay von'!Y17</f>
        <v>0</v>
      </c>
      <c r="Z22" s="1043">
        <f>'6.Vay von'!Z17</f>
        <v>0</v>
      </c>
      <c r="AA22" s="1043">
        <f>'6.Vay von'!AA17</f>
        <v>0</v>
      </c>
      <c r="AB22" s="1043">
        <f>'6.Vay von'!AB17</f>
        <v>0</v>
      </c>
      <c r="AC22" s="1043">
        <f>'6.Vay von'!AC17</f>
        <v>0</v>
      </c>
      <c r="AD22" s="1043">
        <f>'6.Vay von'!AD17</f>
        <v>0</v>
      </c>
      <c r="AE22" s="1043">
        <f>'6.Vay von'!AE17</f>
        <v>0</v>
      </c>
      <c r="AF22" s="1043">
        <f>'6.Vay von'!AF17</f>
        <v>0</v>
      </c>
      <c r="AG22" s="1043">
        <f>'6.Vay von'!AG17</f>
        <v>0</v>
      </c>
      <c r="AH22" s="1043">
        <f>'6.Vay von'!AH17</f>
        <v>0</v>
      </c>
      <c r="AI22" s="1043">
        <f>'6.Vay von'!AI17</f>
        <v>0</v>
      </c>
      <c r="AJ22" s="1043">
        <f>'6.Vay von'!AJ17</f>
        <v>0</v>
      </c>
      <c r="AK22" s="1043">
        <f>'6.Vay von'!AK17</f>
        <v>0</v>
      </c>
      <c r="AL22" s="1043">
        <f>'6.Vay von'!AL17</f>
        <v>0</v>
      </c>
      <c r="AM22" s="1043">
        <f>'6.Vay von'!AM17</f>
        <v>0</v>
      </c>
      <c r="AN22" s="1043">
        <f>'6.Vay von'!AN17</f>
        <v>0</v>
      </c>
      <c r="AO22" s="1043">
        <f>'6.Vay von'!AO17</f>
        <v>0</v>
      </c>
      <c r="AP22" s="1043">
        <f>'6.Vay von'!AP17</f>
        <v>0</v>
      </c>
      <c r="AQ22" s="1043">
        <f>'6.Vay von'!AQ17</f>
        <v>0</v>
      </c>
      <c r="AR22" s="1043">
        <f>'6.Vay von'!AR17</f>
        <v>0</v>
      </c>
      <c r="AS22" s="1043">
        <f>'6.Vay von'!AS17</f>
        <v>0</v>
      </c>
      <c r="AT22" s="1043">
        <f>'6.Vay von'!AT17</f>
        <v>0</v>
      </c>
      <c r="AU22" s="1043">
        <f>'6.Vay von'!AU17</f>
        <v>0</v>
      </c>
      <c r="AV22" s="1043">
        <f>'6.Vay von'!AV17</f>
        <v>0</v>
      </c>
      <c r="AW22" s="1043">
        <f>'6.Vay von'!AW17</f>
        <v>0</v>
      </c>
      <c r="AX22" s="1043">
        <f>'6.Vay von'!AX17</f>
        <v>0</v>
      </c>
      <c r="AY22" s="1043">
        <f>'6.Vay von'!AY17</f>
        <v>0</v>
      </c>
      <c r="AZ22" s="1043">
        <f>'6.Vay von'!AZ17</f>
        <v>0</v>
      </c>
      <c r="BA22" s="1043">
        <f>'6.Vay von'!BA17</f>
        <v>0</v>
      </c>
      <c r="BB22" s="1043">
        <f>'6.Vay von'!BB17</f>
        <v>0</v>
      </c>
      <c r="BC22" s="1043">
        <f>'6.Vay von'!BC17</f>
        <v>0</v>
      </c>
      <c r="BD22" s="1043">
        <f>'6.Vay von'!BD17</f>
        <v>0</v>
      </c>
      <c r="BE22" s="1043">
        <f>'6.Vay von'!BE17</f>
        <v>0</v>
      </c>
      <c r="BF22" s="1043">
        <f>'6.Vay von'!BF17</f>
        <v>0</v>
      </c>
      <c r="BG22" s="1043">
        <f>'6.Vay von'!BG17</f>
        <v>0</v>
      </c>
      <c r="BH22" s="1043">
        <f>'6.Vay von'!BH17</f>
        <v>0</v>
      </c>
      <c r="BI22" s="1043">
        <f>'6.Vay von'!BI17</f>
        <v>0</v>
      </c>
      <c r="BJ22" s="1043">
        <f>'6.Vay von'!BJ17</f>
        <v>0</v>
      </c>
      <c r="BK22" s="1043">
        <f>'6.Vay von'!BK17</f>
        <v>0</v>
      </c>
      <c r="BL22" s="1043">
        <f>'6.Vay von'!BL17</f>
        <v>0</v>
      </c>
      <c r="BM22" s="1043">
        <f>'6.Vay von'!BM17</f>
        <v>0</v>
      </c>
      <c r="BN22" s="1043">
        <f>'6.Vay von'!BN17</f>
        <v>0</v>
      </c>
      <c r="BO22" s="1043">
        <f>'6.Vay von'!BO17</f>
        <v>0</v>
      </c>
      <c r="BP22" s="1043">
        <f>'6.Vay von'!BP17</f>
        <v>0</v>
      </c>
      <c r="BQ22" s="1043">
        <f>'6.Vay von'!BQ17</f>
        <v>0</v>
      </c>
      <c r="BR22" s="1043">
        <f>'6.Vay von'!BR17</f>
        <v>0</v>
      </c>
      <c r="BS22" s="1043">
        <f>'6.Vay von'!BS17</f>
        <v>0</v>
      </c>
      <c r="BT22" s="1043">
        <f>'6.Vay von'!BT17</f>
        <v>0</v>
      </c>
      <c r="BU22" s="1043">
        <f>'6.Vay von'!BU17</f>
        <v>0</v>
      </c>
      <c r="BV22" s="1043">
        <f>'6.Vay von'!BV17</f>
        <v>0</v>
      </c>
      <c r="BW22" s="1043">
        <f>'6.Vay von'!BW17</f>
        <v>0</v>
      </c>
      <c r="BX22" s="1043">
        <f>'6.Vay von'!BX17</f>
        <v>0</v>
      </c>
      <c r="BY22" s="1043">
        <f>'6.Vay von'!BY17</f>
        <v>0</v>
      </c>
      <c r="BZ22" s="1043">
        <f>'6.Vay von'!BZ17</f>
        <v>0</v>
      </c>
      <c r="CA22" s="1043">
        <f>'6.Vay von'!CA17</f>
        <v>0</v>
      </c>
      <c r="CB22" s="1043">
        <f>'6.Vay von'!CB17</f>
        <v>0</v>
      </c>
      <c r="CC22" s="1043">
        <f>'6.Vay von'!CC17</f>
        <v>0</v>
      </c>
      <c r="CD22" s="1043">
        <f>'6.Vay von'!CD17</f>
        <v>0</v>
      </c>
      <c r="CE22" s="1043">
        <f>'6.Vay von'!CE17</f>
        <v>0</v>
      </c>
      <c r="CF22" s="1043">
        <f>'6.Vay von'!CF17</f>
        <v>0</v>
      </c>
      <c r="CG22" s="1043">
        <f>'6.Vay von'!CG17</f>
        <v>0</v>
      </c>
      <c r="CH22" s="1043">
        <f>'6.Vay von'!CH17</f>
        <v>0</v>
      </c>
    </row>
    <row r="23" spans="1:86" s="520" customFormat="1" ht="19.5" customHeight="1">
      <c r="A23" s="1023"/>
      <c r="B23" s="1037" t="s">
        <v>15</v>
      </c>
      <c r="C23" s="1038" t="s">
        <v>57</v>
      </c>
      <c r="D23" s="1034">
        <f t="shared" si="0"/>
        <v>764430.78127846692</v>
      </c>
      <c r="E23" s="1039">
        <f>E24+E25+E26</f>
        <v>0</v>
      </c>
      <c r="F23" s="1039">
        <f>F24+F25+F26</f>
        <v>0</v>
      </c>
      <c r="G23" s="1039">
        <f>G24+G25+G26</f>
        <v>0</v>
      </c>
      <c r="H23" s="1039">
        <f t="shared" ref="H23:BS23" si="15">H24+H25+H26</f>
        <v>0</v>
      </c>
      <c r="I23" s="1039">
        <f t="shared" si="15"/>
        <v>0</v>
      </c>
      <c r="J23" s="1039">
        <f t="shared" si="15"/>
        <v>0</v>
      </c>
      <c r="K23" s="1039">
        <f t="shared" si="15"/>
        <v>0</v>
      </c>
      <c r="L23" s="1039">
        <f t="shared" si="15"/>
        <v>10179.496736684761</v>
      </c>
      <c r="M23" s="1039">
        <f t="shared" si="15"/>
        <v>10209.510088066814</v>
      </c>
      <c r="N23" s="1039">
        <f t="shared" si="15"/>
        <v>11243.290321648259</v>
      </c>
      <c r="O23" s="1039">
        <f t="shared" si="15"/>
        <v>16871.79415082898</v>
      </c>
      <c r="P23" s="1039">
        <f t="shared" si="15"/>
        <v>73370.958874711156</v>
      </c>
      <c r="Q23" s="1039">
        <f t="shared" si="15"/>
        <v>17265.296463035938</v>
      </c>
      <c r="R23" s="1039">
        <f t="shared" si="15"/>
        <v>417844.85816412541</v>
      </c>
      <c r="S23" s="1039">
        <f t="shared" si="15"/>
        <v>207445.57647936558</v>
      </c>
      <c r="T23" s="1039">
        <f t="shared" si="15"/>
        <v>0</v>
      </c>
      <c r="U23" s="1039">
        <f t="shared" si="15"/>
        <v>0</v>
      </c>
      <c r="V23" s="1039">
        <f t="shared" si="15"/>
        <v>0</v>
      </c>
      <c r="W23" s="1039">
        <f t="shared" si="15"/>
        <v>0</v>
      </c>
      <c r="X23" s="1039">
        <f t="shared" si="15"/>
        <v>0</v>
      </c>
      <c r="Y23" s="1039">
        <f t="shared" si="15"/>
        <v>0</v>
      </c>
      <c r="Z23" s="1039">
        <f t="shared" si="15"/>
        <v>0</v>
      </c>
      <c r="AA23" s="1039">
        <f t="shared" si="15"/>
        <v>0</v>
      </c>
      <c r="AB23" s="1039">
        <f t="shared" si="15"/>
        <v>0</v>
      </c>
      <c r="AC23" s="1039">
        <f t="shared" si="15"/>
        <v>0</v>
      </c>
      <c r="AD23" s="1039">
        <f t="shared" si="15"/>
        <v>0</v>
      </c>
      <c r="AE23" s="1039">
        <f t="shared" si="15"/>
        <v>0</v>
      </c>
      <c r="AF23" s="1039">
        <f t="shared" si="15"/>
        <v>0</v>
      </c>
      <c r="AG23" s="1039">
        <f t="shared" si="15"/>
        <v>0</v>
      </c>
      <c r="AH23" s="1039">
        <f t="shared" si="15"/>
        <v>0</v>
      </c>
      <c r="AI23" s="1039">
        <f t="shared" si="15"/>
        <v>0</v>
      </c>
      <c r="AJ23" s="1039">
        <f t="shared" si="15"/>
        <v>0</v>
      </c>
      <c r="AK23" s="1039">
        <f t="shared" si="15"/>
        <v>0</v>
      </c>
      <c r="AL23" s="1039">
        <f t="shared" si="15"/>
        <v>0</v>
      </c>
      <c r="AM23" s="1039">
        <f t="shared" si="15"/>
        <v>0</v>
      </c>
      <c r="AN23" s="1039">
        <f t="shared" si="15"/>
        <v>0</v>
      </c>
      <c r="AO23" s="1039">
        <f t="shared" si="15"/>
        <v>0</v>
      </c>
      <c r="AP23" s="1039">
        <f t="shared" si="15"/>
        <v>0</v>
      </c>
      <c r="AQ23" s="1039">
        <f t="shared" si="15"/>
        <v>0</v>
      </c>
      <c r="AR23" s="1039">
        <f t="shared" si="15"/>
        <v>0</v>
      </c>
      <c r="AS23" s="1039">
        <f t="shared" si="15"/>
        <v>0</v>
      </c>
      <c r="AT23" s="1039">
        <f t="shared" si="15"/>
        <v>0</v>
      </c>
      <c r="AU23" s="1039">
        <f t="shared" si="15"/>
        <v>0</v>
      </c>
      <c r="AV23" s="1039">
        <f t="shared" si="15"/>
        <v>0</v>
      </c>
      <c r="AW23" s="1039">
        <f t="shared" si="15"/>
        <v>0</v>
      </c>
      <c r="AX23" s="1039">
        <f t="shared" si="15"/>
        <v>0</v>
      </c>
      <c r="AY23" s="1039">
        <f t="shared" si="15"/>
        <v>0</v>
      </c>
      <c r="AZ23" s="1039">
        <f t="shared" si="15"/>
        <v>0</v>
      </c>
      <c r="BA23" s="1039">
        <f t="shared" si="15"/>
        <v>0</v>
      </c>
      <c r="BB23" s="1039">
        <f t="shared" si="15"/>
        <v>0</v>
      </c>
      <c r="BC23" s="1039">
        <f t="shared" si="15"/>
        <v>0</v>
      </c>
      <c r="BD23" s="1039">
        <f t="shared" si="15"/>
        <v>0</v>
      </c>
      <c r="BE23" s="1039">
        <f t="shared" si="15"/>
        <v>0</v>
      </c>
      <c r="BF23" s="1039">
        <f t="shared" si="15"/>
        <v>0</v>
      </c>
      <c r="BG23" s="1039">
        <f t="shared" si="15"/>
        <v>0</v>
      </c>
      <c r="BH23" s="1039">
        <f t="shared" si="15"/>
        <v>0</v>
      </c>
      <c r="BI23" s="1039">
        <f t="shared" si="15"/>
        <v>0</v>
      </c>
      <c r="BJ23" s="1039">
        <f t="shared" si="15"/>
        <v>0</v>
      </c>
      <c r="BK23" s="1039">
        <f t="shared" si="15"/>
        <v>0</v>
      </c>
      <c r="BL23" s="1039">
        <f t="shared" si="15"/>
        <v>0</v>
      </c>
      <c r="BM23" s="1039">
        <f t="shared" si="15"/>
        <v>0</v>
      </c>
      <c r="BN23" s="1039">
        <f t="shared" si="15"/>
        <v>0</v>
      </c>
      <c r="BO23" s="1039">
        <f t="shared" si="15"/>
        <v>0</v>
      </c>
      <c r="BP23" s="1039">
        <f t="shared" si="15"/>
        <v>0</v>
      </c>
      <c r="BQ23" s="1039">
        <f t="shared" si="15"/>
        <v>0</v>
      </c>
      <c r="BR23" s="1039">
        <f t="shared" si="15"/>
        <v>0</v>
      </c>
      <c r="BS23" s="1039">
        <f t="shared" si="15"/>
        <v>0</v>
      </c>
      <c r="BT23" s="1039">
        <f>BT24+BT25+BT26</f>
        <v>0</v>
      </c>
      <c r="BU23" s="1039">
        <f>BU24+BU25+BU26</f>
        <v>0</v>
      </c>
      <c r="BV23" s="1039">
        <f>BV24+BV25+BV26</f>
        <v>0</v>
      </c>
      <c r="BW23" s="1039">
        <f>BW24+BW25+BW26</f>
        <v>0</v>
      </c>
      <c r="BX23" s="1039">
        <f t="shared" ref="BX23:CH23" si="16">BX24+BX25+BX26</f>
        <v>0</v>
      </c>
      <c r="BY23" s="1039">
        <f t="shared" si="16"/>
        <v>0</v>
      </c>
      <c r="BZ23" s="1039">
        <f t="shared" si="16"/>
        <v>0</v>
      </c>
      <c r="CA23" s="1039">
        <f t="shared" si="16"/>
        <v>0</v>
      </c>
      <c r="CB23" s="1039">
        <f t="shared" si="16"/>
        <v>0</v>
      </c>
      <c r="CC23" s="1039">
        <f t="shared" si="16"/>
        <v>0</v>
      </c>
      <c r="CD23" s="1039">
        <f t="shared" si="16"/>
        <v>0</v>
      </c>
      <c r="CE23" s="1039">
        <f t="shared" si="16"/>
        <v>0</v>
      </c>
      <c r="CF23" s="1039">
        <f t="shared" si="16"/>
        <v>0</v>
      </c>
      <c r="CG23" s="1039">
        <f t="shared" si="16"/>
        <v>0</v>
      </c>
      <c r="CH23" s="1039">
        <f t="shared" si="16"/>
        <v>0</v>
      </c>
    </row>
    <row r="24" spans="1:86" s="520" customFormat="1" ht="19.5" customHeight="1">
      <c r="A24" s="1023"/>
      <c r="B24" s="1048"/>
      <c r="C24" s="1041" t="s">
        <v>62</v>
      </c>
      <c r="D24" s="1042">
        <f t="shared" si="0"/>
        <v>655683.48823870323</v>
      </c>
      <c r="E24" s="1043">
        <f>'6.Vay von'!E21</f>
        <v>0</v>
      </c>
      <c r="F24" s="1043">
        <f>'6.Vay von'!F21</f>
        <v>0</v>
      </c>
      <c r="G24" s="1043">
        <f>'6.Vay von'!G21</f>
        <v>0</v>
      </c>
      <c r="H24" s="1043">
        <f>'6.Vay von'!H21</f>
        <v>0</v>
      </c>
      <c r="I24" s="1043">
        <f>'6.Vay von'!I21</f>
        <v>0</v>
      </c>
      <c r="J24" s="1043">
        <f>'6.Vay von'!J21</f>
        <v>0</v>
      </c>
      <c r="K24" s="1043">
        <f>'6.Vay von'!K21</f>
        <v>0</v>
      </c>
      <c r="L24" s="1043">
        <f>'6.Vay von'!L21</f>
        <v>0</v>
      </c>
      <c r="M24" s="1043">
        <f>'6.Vay von'!M21</f>
        <v>0</v>
      </c>
      <c r="N24" s="1043">
        <f>'6.Vay von'!N21</f>
        <v>0</v>
      </c>
      <c r="O24" s="1043">
        <f>'6.Vay von'!O21</f>
        <v>0</v>
      </c>
      <c r="P24" s="1043">
        <f>'6.Vay von'!P21</f>
        <v>54471.51690453905</v>
      </c>
      <c r="Q24" s="1043">
        <f>'6.Vay von'!Q21</f>
        <v>0</v>
      </c>
      <c r="R24" s="1043">
        <f>'6.Vay von'!R21</f>
        <v>399808.49902410049</v>
      </c>
      <c r="S24" s="1043">
        <f>'6.Vay von'!S21</f>
        <v>201403.47231006366</v>
      </c>
      <c r="T24" s="1043">
        <f>'6.Vay von'!T21</f>
        <v>0</v>
      </c>
      <c r="U24" s="1043">
        <f>'6.Vay von'!U21</f>
        <v>0</v>
      </c>
      <c r="V24" s="1043">
        <f>'6.Vay von'!V21</f>
        <v>0</v>
      </c>
      <c r="W24" s="1043">
        <f>'6.Vay von'!W21</f>
        <v>0</v>
      </c>
      <c r="X24" s="1043">
        <f>'6.Vay von'!X21</f>
        <v>0</v>
      </c>
      <c r="Y24" s="1043">
        <f>'6.Vay von'!Y21</f>
        <v>0</v>
      </c>
      <c r="Z24" s="1043">
        <f>'6.Vay von'!Z21</f>
        <v>0</v>
      </c>
      <c r="AA24" s="1043">
        <f>'6.Vay von'!AA21</f>
        <v>0</v>
      </c>
      <c r="AB24" s="1043">
        <f>'6.Vay von'!AB21</f>
        <v>0</v>
      </c>
      <c r="AC24" s="1043">
        <f>'6.Vay von'!AC21</f>
        <v>0</v>
      </c>
      <c r="AD24" s="1043">
        <f>'6.Vay von'!AD21</f>
        <v>0</v>
      </c>
      <c r="AE24" s="1043">
        <f>'6.Vay von'!AE21</f>
        <v>0</v>
      </c>
      <c r="AF24" s="1043">
        <f>'6.Vay von'!AF21</f>
        <v>0</v>
      </c>
      <c r="AG24" s="1043">
        <f>'6.Vay von'!AG21</f>
        <v>0</v>
      </c>
      <c r="AH24" s="1043">
        <f>'6.Vay von'!AH21</f>
        <v>0</v>
      </c>
      <c r="AI24" s="1043">
        <f>'6.Vay von'!AI21</f>
        <v>0</v>
      </c>
      <c r="AJ24" s="1043">
        <f>'6.Vay von'!AJ21</f>
        <v>0</v>
      </c>
      <c r="AK24" s="1043">
        <f>'6.Vay von'!AK21</f>
        <v>0</v>
      </c>
      <c r="AL24" s="1043">
        <f>'6.Vay von'!AL21</f>
        <v>0</v>
      </c>
      <c r="AM24" s="1043">
        <f>'6.Vay von'!AM21</f>
        <v>0</v>
      </c>
      <c r="AN24" s="1043">
        <f>'6.Vay von'!AN21</f>
        <v>0</v>
      </c>
      <c r="AO24" s="1043">
        <f>'6.Vay von'!AO21</f>
        <v>0</v>
      </c>
      <c r="AP24" s="1043">
        <f>'6.Vay von'!AP21</f>
        <v>0</v>
      </c>
      <c r="AQ24" s="1043">
        <f>'6.Vay von'!AQ21</f>
        <v>0</v>
      </c>
      <c r="AR24" s="1043">
        <f>'6.Vay von'!AR21</f>
        <v>0</v>
      </c>
      <c r="AS24" s="1043">
        <f>'6.Vay von'!AS21</f>
        <v>0</v>
      </c>
      <c r="AT24" s="1043">
        <f>'6.Vay von'!AT21</f>
        <v>0</v>
      </c>
      <c r="AU24" s="1043">
        <f>'6.Vay von'!AU21</f>
        <v>0</v>
      </c>
      <c r="AV24" s="1043">
        <f>'6.Vay von'!AV21</f>
        <v>0</v>
      </c>
      <c r="AW24" s="1043">
        <f>'6.Vay von'!AW21</f>
        <v>0</v>
      </c>
      <c r="AX24" s="1043">
        <f>'6.Vay von'!AX21</f>
        <v>0</v>
      </c>
      <c r="AY24" s="1043">
        <f>'6.Vay von'!AY21</f>
        <v>0</v>
      </c>
      <c r="AZ24" s="1043">
        <f>'6.Vay von'!AZ21</f>
        <v>0</v>
      </c>
      <c r="BA24" s="1043">
        <f>'6.Vay von'!BA21</f>
        <v>0</v>
      </c>
      <c r="BB24" s="1043">
        <f>'6.Vay von'!BB21</f>
        <v>0</v>
      </c>
      <c r="BC24" s="1043">
        <f>'6.Vay von'!BC21</f>
        <v>0</v>
      </c>
      <c r="BD24" s="1043">
        <f>'6.Vay von'!BD21</f>
        <v>0</v>
      </c>
      <c r="BE24" s="1043">
        <f>'6.Vay von'!BE21</f>
        <v>0</v>
      </c>
      <c r="BF24" s="1043">
        <f>'6.Vay von'!BF21</f>
        <v>0</v>
      </c>
      <c r="BG24" s="1043">
        <f>'6.Vay von'!BG21</f>
        <v>0</v>
      </c>
      <c r="BH24" s="1043">
        <f>'6.Vay von'!BH21</f>
        <v>0</v>
      </c>
      <c r="BI24" s="1043">
        <f>'6.Vay von'!BI21</f>
        <v>0</v>
      </c>
      <c r="BJ24" s="1043">
        <f>'6.Vay von'!BJ21</f>
        <v>0</v>
      </c>
      <c r="BK24" s="1043">
        <f>'6.Vay von'!BK21</f>
        <v>0</v>
      </c>
      <c r="BL24" s="1043">
        <f>'6.Vay von'!BL21</f>
        <v>0</v>
      </c>
      <c r="BM24" s="1043">
        <f>'6.Vay von'!BM21</f>
        <v>0</v>
      </c>
      <c r="BN24" s="1043">
        <f>'6.Vay von'!BN21</f>
        <v>0</v>
      </c>
      <c r="BO24" s="1043">
        <f>'6.Vay von'!BO21</f>
        <v>0</v>
      </c>
      <c r="BP24" s="1043">
        <f>'6.Vay von'!BP21</f>
        <v>0</v>
      </c>
      <c r="BQ24" s="1043">
        <f>'6.Vay von'!BQ21</f>
        <v>0</v>
      </c>
      <c r="BR24" s="1043">
        <f>'6.Vay von'!BR21</f>
        <v>0</v>
      </c>
      <c r="BS24" s="1043">
        <f>'6.Vay von'!BS21</f>
        <v>0</v>
      </c>
      <c r="BT24" s="1043">
        <f>'6.Vay von'!BT21</f>
        <v>0</v>
      </c>
      <c r="BU24" s="1043">
        <f>'6.Vay von'!BU21</f>
        <v>0</v>
      </c>
      <c r="BV24" s="1043">
        <f>'6.Vay von'!BV21</f>
        <v>0</v>
      </c>
      <c r="BW24" s="1043">
        <f>'6.Vay von'!BW21</f>
        <v>0</v>
      </c>
      <c r="BX24" s="1043">
        <f>'6.Vay von'!BX21</f>
        <v>0</v>
      </c>
      <c r="BY24" s="1043">
        <f>'6.Vay von'!BY21</f>
        <v>0</v>
      </c>
      <c r="BZ24" s="1043">
        <f>'6.Vay von'!BZ21</f>
        <v>0</v>
      </c>
      <c r="CA24" s="1043">
        <f>'6.Vay von'!CA21</f>
        <v>0</v>
      </c>
      <c r="CB24" s="1043">
        <f>'6.Vay von'!CB21</f>
        <v>0</v>
      </c>
      <c r="CC24" s="1043">
        <f>'6.Vay von'!CC21</f>
        <v>0</v>
      </c>
      <c r="CD24" s="1043">
        <f>'6.Vay von'!CD21</f>
        <v>0</v>
      </c>
      <c r="CE24" s="1043">
        <f>'6.Vay von'!CE21</f>
        <v>0</v>
      </c>
      <c r="CF24" s="1043">
        <f>'6.Vay von'!CF21</f>
        <v>0</v>
      </c>
      <c r="CG24" s="1043">
        <f>'6.Vay von'!CG21</f>
        <v>0</v>
      </c>
      <c r="CH24" s="1043">
        <f>'6.Vay von'!CH21</f>
        <v>0</v>
      </c>
    </row>
    <row r="25" spans="1:86" s="520" customFormat="1" ht="19.5" customHeight="1">
      <c r="A25" s="1023"/>
      <c r="B25" s="1048"/>
      <c r="C25" s="1041" t="s">
        <v>63</v>
      </c>
      <c r="D25" s="1042">
        <f t="shared" si="0"/>
        <v>108747.2930397637</v>
      </c>
      <c r="E25" s="1043">
        <f>'6.Vay von'!E23</f>
        <v>0</v>
      </c>
      <c r="F25" s="1043">
        <f>'6.Vay von'!F23</f>
        <v>0</v>
      </c>
      <c r="G25" s="1043">
        <f>'6.Vay von'!G23</f>
        <v>0</v>
      </c>
      <c r="H25" s="1043">
        <f>'6.Vay von'!H23</f>
        <v>0</v>
      </c>
      <c r="I25" s="1043">
        <f>'6.Vay von'!I23</f>
        <v>0</v>
      </c>
      <c r="J25" s="1043">
        <f>'6.Vay von'!J23</f>
        <v>0</v>
      </c>
      <c r="K25" s="1043">
        <f>'6.Vay von'!K23</f>
        <v>0</v>
      </c>
      <c r="L25" s="1043">
        <f>'6.Vay von'!L23</f>
        <v>10179.496736684761</v>
      </c>
      <c r="M25" s="1043">
        <f>'6.Vay von'!M23</f>
        <v>10209.510088066814</v>
      </c>
      <c r="N25" s="1043">
        <f>'6.Vay von'!N23</f>
        <v>11243.290321648259</v>
      </c>
      <c r="O25" s="1043">
        <f>'6.Vay von'!O23</f>
        <v>16871.79415082898</v>
      </c>
      <c r="P25" s="1043">
        <f>'6.Vay von'!P23</f>
        <v>18899.441970172109</v>
      </c>
      <c r="Q25" s="1043">
        <f>'6.Vay von'!Q23</f>
        <v>17265.296463035938</v>
      </c>
      <c r="R25" s="1043">
        <f>'6.Vay von'!R23</f>
        <v>18036.359140024924</v>
      </c>
      <c r="S25" s="1043">
        <f>'6.Vay von'!S23</f>
        <v>6042.1041693019097</v>
      </c>
      <c r="T25" s="1043">
        <f>'6.Vay von'!T23</f>
        <v>0</v>
      </c>
      <c r="U25" s="1043">
        <f>'6.Vay von'!U23</f>
        <v>0</v>
      </c>
      <c r="V25" s="1043">
        <f>'6.Vay von'!V23</f>
        <v>0</v>
      </c>
      <c r="W25" s="1043">
        <f>'6.Vay von'!W23</f>
        <v>0</v>
      </c>
      <c r="X25" s="1043">
        <f>'6.Vay von'!X23</f>
        <v>0</v>
      </c>
      <c r="Y25" s="1043">
        <f>'6.Vay von'!Y23</f>
        <v>0</v>
      </c>
      <c r="Z25" s="1043">
        <f>'6.Vay von'!Z23</f>
        <v>0</v>
      </c>
      <c r="AA25" s="1043">
        <f>'6.Vay von'!AA23</f>
        <v>0</v>
      </c>
      <c r="AB25" s="1043">
        <f>'6.Vay von'!AB23</f>
        <v>0</v>
      </c>
      <c r="AC25" s="1043">
        <f>'6.Vay von'!AC23</f>
        <v>0</v>
      </c>
      <c r="AD25" s="1043">
        <f>'6.Vay von'!AD23</f>
        <v>0</v>
      </c>
      <c r="AE25" s="1043">
        <f>'6.Vay von'!AE23</f>
        <v>0</v>
      </c>
      <c r="AF25" s="1043">
        <f>'6.Vay von'!AF23</f>
        <v>0</v>
      </c>
      <c r="AG25" s="1043">
        <f>'6.Vay von'!AG23</f>
        <v>0</v>
      </c>
      <c r="AH25" s="1043">
        <f>'6.Vay von'!AH23</f>
        <v>0</v>
      </c>
      <c r="AI25" s="1043">
        <f>'6.Vay von'!AI23</f>
        <v>0</v>
      </c>
      <c r="AJ25" s="1043">
        <f>'6.Vay von'!AJ23</f>
        <v>0</v>
      </c>
      <c r="AK25" s="1043">
        <f>'6.Vay von'!AK23</f>
        <v>0</v>
      </c>
      <c r="AL25" s="1043">
        <f>'6.Vay von'!AL23</f>
        <v>0</v>
      </c>
      <c r="AM25" s="1043">
        <f>'6.Vay von'!AM23</f>
        <v>0</v>
      </c>
      <c r="AN25" s="1043">
        <f>'6.Vay von'!AN23</f>
        <v>0</v>
      </c>
      <c r="AO25" s="1043">
        <f>'6.Vay von'!AO23</f>
        <v>0</v>
      </c>
      <c r="AP25" s="1043">
        <f>'6.Vay von'!AP23</f>
        <v>0</v>
      </c>
      <c r="AQ25" s="1043">
        <f>'6.Vay von'!AQ23</f>
        <v>0</v>
      </c>
      <c r="AR25" s="1043">
        <f>'6.Vay von'!AR23</f>
        <v>0</v>
      </c>
      <c r="AS25" s="1043">
        <f>'6.Vay von'!AS23</f>
        <v>0</v>
      </c>
      <c r="AT25" s="1043">
        <f>'6.Vay von'!AT23</f>
        <v>0</v>
      </c>
      <c r="AU25" s="1043">
        <f>'6.Vay von'!AU23</f>
        <v>0</v>
      </c>
      <c r="AV25" s="1043">
        <f>'6.Vay von'!AV23</f>
        <v>0</v>
      </c>
      <c r="AW25" s="1043">
        <f>'6.Vay von'!AW23</f>
        <v>0</v>
      </c>
      <c r="AX25" s="1043">
        <f>'6.Vay von'!AX23</f>
        <v>0</v>
      </c>
      <c r="AY25" s="1043">
        <f>'6.Vay von'!AY23</f>
        <v>0</v>
      </c>
      <c r="AZ25" s="1043">
        <f>'6.Vay von'!AZ23</f>
        <v>0</v>
      </c>
      <c r="BA25" s="1043">
        <f>'6.Vay von'!BA23</f>
        <v>0</v>
      </c>
      <c r="BB25" s="1043">
        <f>'6.Vay von'!BB23</f>
        <v>0</v>
      </c>
      <c r="BC25" s="1043">
        <f>'6.Vay von'!BC23</f>
        <v>0</v>
      </c>
      <c r="BD25" s="1043">
        <f>'6.Vay von'!BD23</f>
        <v>0</v>
      </c>
      <c r="BE25" s="1043">
        <f>'6.Vay von'!BE23</f>
        <v>0</v>
      </c>
      <c r="BF25" s="1043">
        <f>'6.Vay von'!BF23</f>
        <v>0</v>
      </c>
      <c r="BG25" s="1043">
        <f>'6.Vay von'!BG23</f>
        <v>0</v>
      </c>
      <c r="BH25" s="1043">
        <f>'6.Vay von'!BH23</f>
        <v>0</v>
      </c>
      <c r="BI25" s="1043">
        <f>'6.Vay von'!BI23</f>
        <v>0</v>
      </c>
      <c r="BJ25" s="1043">
        <f>'6.Vay von'!BJ23</f>
        <v>0</v>
      </c>
      <c r="BK25" s="1043">
        <f>'6.Vay von'!BK23</f>
        <v>0</v>
      </c>
      <c r="BL25" s="1043">
        <f>'6.Vay von'!BL23</f>
        <v>0</v>
      </c>
      <c r="BM25" s="1043">
        <f>'6.Vay von'!BM23</f>
        <v>0</v>
      </c>
      <c r="BN25" s="1043">
        <f>'6.Vay von'!BN23</f>
        <v>0</v>
      </c>
      <c r="BO25" s="1043">
        <f>'6.Vay von'!BO23</f>
        <v>0</v>
      </c>
      <c r="BP25" s="1043">
        <f>'6.Vay von'!BP23</f>
        <v>0</v>
      </c>
      <c r="BQ25" s="1043">
        <f>'6.Vay von'!BQ23</f>
        <v>0</v>
      </c>
      <c r="BR25" s="1043">
        <f>'6.Vay von'!BR23</f>
        <v>0</v>
      </c>
      <c r="BS25" s="1043">
        <f>'6.Vay von'!BS23</f>
        <v>0</v>
      </c>
      <c r="BT25" s="1043">
        <f>'6.Vay von'!BT23</f>
        <v>0</v>
      </c>
      <c r="BU25" s="1043">
        <f>'6.Vay von'!BU23</f>
        <v>0</v>
      </c>
      <c r="BV25" s="1043">
        <f>'6.Vay von'!BV23</f>
        <v>0</v>
      </c>
      <c r="BW25" s="1043">
        <f>'6.Vay von'!BW23</f>
        <v>0</v>
      </c>
      <c r="BX25" s="1043">
        <f>'6.Vay von'!BX23</f>
        <v>0</v>
      </c>
      <c r="BY25" s="1043">
        <f>'6.Vay von'!BY23</f>
        <v>0</v>
      </c>
      <c r="BZ25" s="1043">
        <f>'6.Vay von'!BZ23</f>
        <v>0</v>
      </c>
      <c r="CA25" s="1043">
        <f>'6.Vay von'!CA23</f>
        <v>0</v>
      </c>
      <c r="CB25" s="1043">
        <f>'6.Vay von'!CB23</f>
        <v>0</v>
      </c>
      <c r="CC25" s="1043">
        <f>'6.Vay von'!CC23</f>
        <v>0</v>
      </c>
      <c r="CD25" s="1043">
        <f>'6.Vay von'!CD23</f>
        <v>0</v>
      </c>
      <c r="CE25" s="1043">
        <f>'6.Vay von'!CE23</f>
        <v>0</v>
      </c>
      <c r="CF25" s="1043">
        <f>'6.Vay von'!CF23</f>
        <v>0</v>
      </c>
      <c r="CG25" s="1043">
        <f>'6.Vay von'!CG23</f>
        <v>0</v>
      </c>
      <c r="CH25" s="1043">
        <f>'6.Vay von'!CH23</f>
        <v>0</v>
      </c>
    </row>
    <row r="26" spans="1:86" s="520" customFormat="1" ht="19.5" customHeight="1">
      <c r="A26" s="1023"/>
      <c r="B26" s="1044"/>
      <c r="C26" s="1045" t="s">
        <v>71</v>
      </c>
      <c r="D26" s="1042">
        <f t="shared" si="0"/>
        <v>0</v>
      </c>
      <c r="E26" s="1042">
        <v>0</v>
      </c>
      <c r="F26" s="1042">
        <v>0</v>
      </c>
      <c r="G26" s="1042">
        <v>0</v>
      </c>
      <c r="H26" s="1042">
        <v>0</v>
      </c>
      <c r="I26" s="1042">
        <v>0</v>
      </c>
      <c r="J26" s="1042">
        <v>0</v>
      </c>
      <c r="K26" s="1042">
        <v>0</v>
      </c>
      <c r="L26" s="1042">
        <v>0</v>
      </c>
      <c r="M26" s="1042">
        <v>0</v>
      </c>
      <c r="N26" s="1042">
        <v>0</v>
      </c>
      <c r="O26" s="1042">
        <v>0</v>
      </c>
      <c r="P26" s="1042">
        <v>0</v>
      </c>
      <c r="Q26" s="1042">
        <v>0</v>
      </c>
      <c r="R26" s="1042">
        <v>0</v>
      </c>
      <c r="S26" s="1042">
        <v>0</v>
      </c>
      <c r="T26" s="1042">
        <v>0</v>
      </c>
      <c r="U26" s="1042">
        <v>0</v>
      </c>
      <c r="V26" s="1042">
        <v>0</v>
      </c>
      <c r="W26" s="1042">
        <v>0</v>
      </c>
      <c r="X26" s="1042">
        <v>0</v>
      </c>
      <c r="Y26" s="1042">
        <v>0</v>
      </c>
      <c r="Z26" s="1042">
        <v>0</v>
      </c>
      <c r="AA26" s="1042">
        <v>0</v>
      </c>
      <c r="AB26" s="1042">
        <v>0</v>
      </c>
      <c r="AC26" s="1042">
        <v>0</v>
      </c>
      <c r="AD26" s="1042">
        <v>0</v>
      </c>
      <c r="AE26" s="1042">
        <v>0</v>
      </c>
      <c r="AF26" s="1042">
        <v>0</v>
      </c>
      <c r="AG26" s="1042">
        <v>0</v>
      </c>
      <c r="AH26" s="1042">
        <v>0</v>
      </c>
      <c r="AI26" s="1042">
        <v>0</v>
      </c>
      <c r="AJ26" s="1042">
        <v>0</v>
      </c>
      <c r="AK26" s="1042">
        <v>0</v>
      </c>
      <c r="AL26" s="1042">
        <v>0</v>
      </c>
      <c r="AM26" s="1042">
        <v>0</v>
      </c>
      <c r="AN26" s="1042">
        <v>0</v>
      </c>
      <c r="AO26" s="1042">
        <v>0</v>
      </c>
      <c r="AP26" s="1042">
        <v>0</v>
      </c>
      <c r="AQ26" s="1042">
        <v>0</v>
      </c>
      <c r="AR26" s="1042">
        <v>0</v>
      </c>
      <c r="AS26" s="1042">
        <v>0</v>
      </c>
      <c r="AT26" s="1042">
        <v>0</v>
      </c>
      <c r="AU26" s="1042">
        <v>0</v>
      </c>
      <c r="AV26" s="1042">
        <v>0</v>
      </c>
      <c r="AW26" s="1042">
        <v>0</v>
      </c>
      <c r="AX26" s="1042">
        <v>0</v>
      </c>
      <c r="AY26" s="1042">
        <v>0</v>
      </c>
      <c r="AZ26" s="1042">
        <v>0</v>
      </c>
      <c r="BA26" s="1042">
        <v>0</v>
      </c>
      <c r="BB26" s="1042">
        <v>0</v>
      </c>
      <c r="BC26" s="1042">
        <v>0</v>
      </c>
      <c r="BD26" s="1042">
        <v>0</v>
      </c>
      <c r="BE26" s="1042">
        <v>0</v>
      </c>
      <c r="BF26" s="1042">
        <v>0</v>
      </c>
      <c r="BG26" s="1042">
        <v>0</v>
      </c>
      <c r="BH26" s="1042">
        <v>0</v>
      </c>
      <c r="BI26" s="1042">
        <v>0</v>
      </c>
      <c r="BJ26" s="1042">
        <v>0</v>
      </c>
      <c r="BK26" s="1042">
        <v>0</v>
      </c>
      <c r="BL26" s="1042">
        <v>0</v>
      </c>
      <c r="BM26" s="1042">
        <v>0</v>
      </c>
      <c r="BN26" s="1042">
        <v>0</v>
      </c>
      <c r="BO26" s="1042">
        <v>0</v>
      </c>
      <c r="BP26" s="1042">
        <v>0</v>
      </c>
      <c r="BQ26" s="1042">
        <v>0</v>
      </c>
      <c r="BR26" s="1042">
        <v>0</v>
      </c>
      <c r="BS26" s="1042">
        <v>0</v>
      </c>
      <c r="BT26" s="1042">
        <v>0</v>
      </c>
      <c r="BU26" s="1042">
        <v>0</v>
      </c>
      <c r="BV26" s="1042">
        <v>0</v>
      </c>
      <c r="BW26" s="1042">
        <v>0</v>
      </c>
      <c r="BX26" s="1042">
        <v>0</v>
      </c>
      <c r="BY26" s="1042">
        <v>0</v>
      </c>
      <c r="BZ26" s="1042">
        <v>0</v>
      </c>
      <c r="CA26" s="1042">
        <v>0</v>
      </c>
      <c r="CB26" s="1042">
        <v>0</v>
      </c>
      <c r="CC26" s="1042">
        <v>0</v>
      </c>
      <c r="CD26" s="1042">
        <v>0</v>
      </c>
      <c r="CE26" s="1042">
        <v>0</v>
      </c>
      <c r="CF26" s="1042">
        <v>0</v>
      </c>
      <c r="CG26" s="1042">
        <v>0</v>
      </c>
      <c r="CH26" s="1042">
        <v>0</v>
      </c>
    </row>
    <row r="27" spans="1:86" s="520" customFormat="1" ht="19.5" customHeight="1">
      <c r="A27" s="1573"/>
      <c r="B27" s="1044">
        <v>3</v>
      </c>
      <c r="C27" s="1038" t="s">
        <v>686</v>
      </c>
      <c r="D27" s="1034">
        <f t="shared" si="0"/>
        <v>1166179.2042976855</v>
      </c>
      <c r="E27" s="1034">
        <f t="shared" ref="E27:AJ27" si="17">E9+E19</f>
        <v>0</v>
      </c>
      <c r="F27" s="1034">
        <f t="shared" si="17"/>
        <v>0</v>
      </c>
      <c r="G27" s="1034">
        <f t="shared" si="17"/>
        <v>0</v>
      </c>
      <c r="H27" s="1034">
        <f t="shared" si="17"/>
        <v>0</v>
      </c>
      <c r="I27" s="1034">
        <f t="shared" si="17"/>
        <v>0</v>
      </c>
      <c r="J27" s="1034">
        <f t="shared" si="17"/>
        <v>0</v>
      </c>
      <c r="K27" s="1034">
        <f t="shared" si="17"/>
        <v>0</v>
      </c>
      <c r="L27" s="1034">
        <f t="shared" si="17"/>
        <v>0</v>
      </c>
      <c r="M27" s="1034">
        <f t="shared" si="17"/>
        <v>0</v>
      </c>
      <c r="N27" s="1034">
        <f t="shared" si="17"/>
        <v>0</v>
      </c>
      <c r="O27" s="1034">
        <f t="shared" si="17"/>
        <v>1.0186340659856796E-10</v>
      </c>
      <c r="P27" s="1034">
        <f t="shared" si="17"/>
        <v>0</v>
      </c>
      <c r="Q27" s="1034">
        <f t="shared" si="17"/>
        <v>-1.8189894035458565E-11</v>
      </c>
      <c r="R27" s="1034">
        <f t="shared" si="17"/>
        <v>0</v>
      </c>
      <c r="S27" s="1034">
        <f t="shared" si="17"/>
        <v>41108.148840064358</v>
      </c>
      <c r="T27" s="1034">
        <f t="shared" si="17"/>
        <v>126059.6505133243</v>
      </c>
      <c r="U27" s="1034">
        <f t="shared" si="17"/>
        <v>106766.84835743945</v>
      </c>
      <c r="V27" s="1034">
        <f t="shared" si="17"/>
        <v>833251.8192500677</v>
      </c>
      <c r="W27" s="1034">
        <f t="shared" si="17"/>
        <v>0</v>
      </c>
      <c r="X27" s="1034">
        <f t="shared" si="17"/>
        <v>0</v>
      </c>
      <c r="Y27" s="1034">
        <f t="shared" si="17"/>
        <v>58992.737336789636</v>
      </c>
      <c r="Z27" s="1034">
        <f t="shared" si="17"/>
        <v>0</v>
      </c>
      <c r="AA27" s="1034">
        <f t="shared" si="17"/>
        <v>0</v>
      </c>
      <c r="AB27" s="1034">
        <f t="shared" si="17"/>
        <v>0</v>
      </c>
      <c r="AC27" s="1034">
        <f t="shared" si="17"/>
        <v>0</v>
      </c>
      <c r="AD27" s="1034">
        <f t="shared" si="17"/>
        <v>0</v>
      </c>
      <c r="AE27" s="1034">
        <f t="shared" si="17"/>
        <v>0</v>
      </c>
      <c r="AF27" s="1034">
        <f t="shared" si="17"/>
        <v>0</v>
      </c>
      <c r="AG27" s="1034">
        <f t="shared" si="17"/>
        <v>0</v>
      </c>
      <c r="AH27" s="1034">
        <f t="shared" si="17"/>
        <v>0</v>
      </c>
      <c r="AI27" s="1034">
        <f t="shared" si="17"/>
        <v>0</v>
      </c>
      <c r="AJ27" s="1034">
        <f t="shared" si="17"/>
        <v>0</v>
      </c>
      <c r="AK27" s="1034">
        <f t="shared" ref="AK27:BP27" si="18">AK9+AK19</f>
        <v>0</v>
      </c>
      <c r="AL27" s="1034">
        <f t="shared" si="18"/>
        <v>0</v>
      </c>
      <c r="AM27" s="1034">
        <f t="shared" si="18"/>
        <v>0</v>
      </c>
      <c r="AN27" s="1034">
        <f t="shared" si="18"/>
        <v>0</v>
      </c>
      <c r="AO27" s="1034">
        <f t="shared" si="18"/>
        <v>0</v>
      </c>
      <c r="AP27" s="1034">
        <f t="shared" si="18"/>
        <v>0</v>
      </c>
      <c r="AQ27" s="1034">
        <f t="shared" si="18"/>
        <v>0</v>
      </c>
      <c r="AR27" s="1034">
        <f t="shared" si="18"/>
        <v>0</v>
      </c>
      <c r="AS27" s="1034">
        <f t="shared" si="18"/>
        <v>0</v>
      </c>
      <c r="AT27" s="1034">
        <f t="shared" si="18"/>
        <v>0</v>
      </c>
      <c r="AU27" s="1034">
        <f t="shared" si="18"/>
        <v>0</v>
      </c>
      <c r="AV27" s="1034">
        <f t="shared" si="18"/>
        <v>0</v>
      </c>
      <c r="AW27" s="1034">
        <f t="shared" si="18"/>
        <v>0</v>
      </c>
      <c r="AX27" s="1034">
        <f t="shared" si="18"/>
        <v>0</v>
      </c>
      <c r="AY27" s="1034">
        <f t="shared" si="18"/>
        <v>0</v>
      </c>
      <c r="AZ27" s="1034">
        <f t="shared" si="18"/>
        <v>0</v>
      </c>
      <c r="BA27" s="1034">
        <f t="shared" si="18"/>
        <v>0</v>
      </c>
      <c r="BB27" s="1034">
        <f t="shared" si="18"/>
        <v>0</v>
      </c>
      <c r="BC27" s="1034">
        <f t="shared" si="18"/>
        <v>0</v>
      </c>
      <c r="BD27" s="1034">
        <f t="shared" si="18"/>
        <v>0</v>
      </c>
      <c r="BE27" s="1034">
        <f t="shared" si="18"/>
        <v>0</v>
      </c>
      <c r="BF27" s="1034">
        <f t="shared" si="18"/>
        <v>0</v>
      </c>
      <c r="BG27" s="1034">
        <f t="shared" si="18"/>
        <v>0</v>
      </c>
      <c r="BH27" s="1034">
        <f t="shared" si="18"/>
        <v>0</v>
      </c>
      <c r="BI27" s="1034">
        <f t="shared" si="18"/>
        <v>0</v>
      </c>
      <c r="BJ27" s="1034">
        <f t="shared" si="18"/>
        <v>0</v>
      </c>
      <c r="BK27" s="1034">
        <f t="shared" si="18"/>
        <v>0</v>
      </c>
      <c r="BL27" s="1034">
        <f t="shared" si="18"/>
        <v>0</v>
      </c>
      <c r="BM27" s="1034">
        <f t="shared" si="18"/>
        <v>0</v>
      </c>
      <c r="BN27" s="1034">
        <f t="shared" si="18"/>
        <v>0</v>
      </c>
      <c r="BO27" s="1034">
        <f t="shared" si="18"/>
        <v>0</v>
      </c>
      <c r="BP27" s="1034">
        <f t="shared" si="18"/>
        <v>0</v>
      </c>
      <c r="BQ27" s="1034">
        <f t="shared" ref="BQ27:CH27" si="19">BQ9+BQ19</f>
        <v>0</v>
      </c>
      <c r="BR27" s="1034">
        <f t="shared" si="19"/>
        <v>0</v>
      </c>
      <c r="BS27" s="1034">
        <f t="shared" si="19"/>
        <v>0</v>
      </c>
      <c r="BT27" s="1034">
        <f t="shared" si="19"/>
        <v>0</v>
      </c>
      <c r="BU27" s="1034">
        <f t="shared" si="19"/>
        <v>0</v>
      </c>
      <c r="BV27" s="1034">
        <f t="shared" si="19"/>
        <v>0</v>
      </c>
      <c r="BW27" s="1034">
        <f t="shared" si="19"/>
        <v>0</v>
      </c>
      <c r="BX27" s="1034">
        <f t="shared" si="19"/>
        <v>0</v>
      </c>
      <c r="BY27" s="1034">
        <f t="shared" si="19"/>
        <v>0</v>
      </c>
      <c r="BZ27" s="1034">
        <f t="shared" si="19"/>
        <v>0</v>
      </c>
      <c r="CA27" s="1034">
        <f t="shared" si="19"/>
        <v>0</v>
      </c>
      <c r="CB27" s="1034">
        <f t="shared" si="19"/>
        <v>0</v>
      </c>
      <c r="CC27" s="1034">
        <f t="shared" si="19"/>
        <v>0</v>
      </c>
      <c r="CD27" s="1034">
        <f t="shared" si="19"/>
        <v>0</v>
      </c>
      <c r="CE27" s="1034">
        <f t="shared" si="19"/>
        <v>0</v>
      </c>
      <c r="CF27" s="1034">
        <f t="shared" si="19"/>
        <v>0</v>
      </c>
      <c r="CG27" s="1034">
        <f t="shared" si="19"/>
        <v>0</v>
      </c>
      <c r="CH27" s="1034">
        <f t="shared" si="19"/>
        <v>0</v>
      </c>
    </row>
    <row r="28" spans="1:86" s="495" customFormat="1" ht="19.5" customHeight="1">
      <c r="A28" s="1572"/>
      <c r="B28" s="1040">
        <v>4</v>
      </c>
      <c r="C28" s="1049" t="s">
        <v>542</v>
      </c>
      <c r="D28" s="1042">
        <f t="shared" si="0"/>
        <v>352204.0499566159</v>
      </c>
      <c r="E28" s="1042">
        <f t="shared" ref="E28:AJ28" si="20">E27-E22</f>
        <v>0</v>
      </c>
      <c r="F28" s="1042">
        <f t="shared" si="20"/>
        <v>0</v>
      </c>
      <c r="G28" s="1042">
        <f t="shared" si="20"/>
        <v>-156000</v>
      </c>
      <c r="H28" s="1042">
        <f t="shared" si="20"/>
        <v>-364000</v>
      </c>
      <c r="I28" s="1042">
        <f t="shared" si="20"/>
        <v>-4263.4452937083088</v>
      </c>
      <c r="J28" s="1042">
        <f t="shared" si="20"/>
        <v>-4263.4452937083088</v>
      </c>
      <c r="K28" s="1042">
        <f t="shared" si="20"/>
        <v>-149684.82724634779</v>
      </c>
      <c r="L28" s="1042">
        <f t="shared" si="20"/>
        <v>-19135.149486702114</v>
      </c>
      <c r="M28" s="1042">
        <f t="shared" si="20"/>
        <v>-24977.799139230316</v>
      </c>
      <c r="N28" s="1042">
        <f t="shared" si="20"/>
        <v>-91650.487881372799</v>
      </c>
      <c r="O28" s="1042">
        <f t="shared" si="20"/>
        <v>1.0186340659856796E-10</v>
      </c>
      <c r="P28" s="1042">
        <f t="shared" si="20"/>
        <v>0</v>
      </c>
      <c r="Q28" s="1042">
        <f t="shared" si="20"/>
        <v>-1.8189894035458565E-11</v>
      </c>
      <c r="R28" s="1042">
        <f t="shared" si="20"/>
        <v>0</v>
      </c>
      <c r="S28" s="1042">
        <f t="shared" si="20"/>
        <v>41108.148840064358</v>
      </c>
      <c r="T28" s="1042">
        <f t="shared" si="20"/>
        <v>126059.6505133243</v>
      </c>
      <c r="U28" s="1042">
        <f t="shared" si="20"/>
        <v>106766.84835743945</v>
      </c>
      <c r="V28" s="1042">
        <f t="shared" si="20"/>
        <v>833251.8192500677</v>
      </c>
      <c r="W28" s="1042">
        <f t="shared" si="20"/>
        <v>0</v>
      </c>
      <c r="X28" s="1042">
        <f t="shared" si="20"/>
        <v>0</v>
      </c>
      <c r="Y28" s="1042">
        <f t="shared" si="20"/>
        <v>58992.737336789636</v>
      </c>
      <c r="Z28" s="1042">
        <f t="shared" si="20"/>
        <v>0</v>
      </c>
      <c r="AA28" s="1042">
        <f t="shared" si="20"/>
        <v>0</v>
      </c>
      <c r="AB28" s="1042">
        <f t="shared" si="20"/>
        <v>0</v>
      </c>
      <c r="AC28" s="1042">
        <f t="shared" si="20"/>
        <v>0</v>
      </c>
      <c r="AD28" s="1042">
        <f t="shared" si="20"/>
        <v>0</v>
      </c>
      <c r="AE28" s="1042">
        <f t="shared" si="20"/>
        <v>0</v>
      </c>
      <c r="AF28" s="1042">
        <f t="shared" si="20"/>
        <v>0</v>
      </c>
      <c r="AG28" s="1042">
        <f t="shared" si="20"/>
        <v>0</v>
      </c>
      <c r="AH28" s="1042">
        <f t="shared" si="20"/>
        <v>0</v>
      </c>
      <c r="AI28" s="1042">
        <f t="shared" si="20"/>
        <v>0</v>
      </c>
      <c r="AJ28" s="1042">
        <f t="shared" si="20"/>
        <v>0</v>
      </c>
      <c r="AK28" s="1042">
        <f t="shared" ref="AK28:BP28" si="21">AK27-AK22</f>
        <v>0</v>
      </c>
      <c r="AL28" s="1042">
        <f t="shared" si="21"/>
        <v>0</v>
      </c>
      <c r="AM28" s="1042">
        <f t="shared" si="21"/>
        <v>0</v>
      </c>
      <c r="AN28" s="1042">
        <f t="shared" si="21"/>
        <v>0</v>
      </c>
      <c r="AO28" s="1042">
        <f t="shared" si="21"/>
        <v>0</v>
      </c>
      <c r="AP28" s="1042">
        <f t="shared" si="21"/>
        <v>0</v>
      </c>
      <c r="AQ28" s="1042">
        <f t="shared" si="21"/>
        <v>0</v>
      </c>
      <c r="AR28" s="1042">
        <f t="shared" si="21"/>
        <v>0</v>
      </c>
      <c r="AS28" s="1042">
        <f t="shared" si="21"/>
        <v>0</v>
      </c>
      <c r="AT28" s="1042">
        <f t="shared" si="21"/>
        <v>0</v>
      </c>
      <c r="AU28" s="1042">
        <f t="shared" si="21"/>
        <v>0</v>
      </c>
      <c r="AV28" s="1042">
        <f t="shared" si="21"/>
        <v>0</v>
      </c>
      <c r="AW28" s="1042">
        <f t="shared" si="21"/>
        <v>0</v>
      </c>
      <c r="AX28" s="1042">
        <f t="shared" si="21"/>
        <v>0</v>
      </c>
      <c r="AY28" s="1042">
        <f t="shared" si="21"/>
        <v>0</v>
      </c>
      <c r="AZ28" s="1042">
        <f t="shared" si="21"/>
        <v>0</v>
      </c>
      <c r="BA28" s="1042">
        <f t="shared" si="21"/>
        <v>0</v>
      </c>
      <c r="BB28" s="1042">
        <f t="shared" si="21"/>
        <v>0</v>
      </c>
      <c r="BC28" s="1042">
        <f t="shared" si="21"/>
        <v>0</v>
      </c>
      <c r="BD28" s="1042">
        <f t="shared" si="21"/>
        <v>0</v>
      </c>
      <c r="BE28" s="1042">
        <f t="shared" si="21"/>
        <v>0</v>
      </c>
      <c r="BF28" s="1042">
        <f t="shared" si="21"/>
        <v>0</v>
      </c>
      <c r="BG28" s="1042">
        <f t="shared" si="21"/>
        <v>0</v>
      </c>
      <c r="BH28" s="1042">
        <f t="shared" si="21"/>
        <v>0</v>
      </c>
      <c r="BI28" s="1042">
        <f t="shared" si="21"/>
        <v>0</v>
      </c>
      <c r="BJ28" s="1042">
        <f t="shared" si="21"/>
        <v>0</v>
      </c>
      <c r="BK28" s="1042">
        <f t="shared" si="21"/>
        <v>0</v>
      </c>
      <c r="BL28" s="1042">
        <f t="shared" si="21"/>
        <v>0</v>
      </c>
      <c r="BM28" s="1042">
        <f t="shared" si="21"/>
        <v>0</v>
      </c>
      <c r="BN28" s="1042">
        <f t="shared" si="21"/>
        <v>0</v>
      </c>
      <c r="BO28" s="1042">
        <f t="shared" si="21"/>
        <v>0</v>
      </c>
      <c r="BP28" s="1042">
        <f t="shared" si="21"/>
        <v>0</v>
      </c>
      <c r="BQ28" s="1042">
        <f t="shared" ref="BQ28:CH28" si="22">BQ27-BQ22</f>
        <v>0</v>
      </c>
      <c r="BR28" s="1042">
        <f t="shared" si="22"/>
        <v>0</v>
      </c>
      <c r="BS28" s="1042">
        <f t="shared" si="22"/>
        <v>0</v>
      </c>
      <c r="BT28" s="1042">
        <f t="shared" si="22"/>
        <v>0</v>
      </c>
      <c r="BU28" s="1042">
        <f t="shared" si="22"/>
        <v>0</v>
      </c>
      <c r="BV28" s="1042">
        <f t="shared" si="22"/>
        <v>0</v>
      </c>
      <c r="BW28" s="1042">
        <f t="shared" si="22"/>
        <v>0</v>
      </c>
      <c r="BX28" s="1042">
        <f t="shared" si="22"/>
        <v>0</v>
      </c>
      <c r="BY28" s="1042">
        <f t="shared" si="22"/>
        <v>0</v>
      </c>
      <c r="BZ28" s="1042">
        <f t="shared" si="22"/>
        <v>0</v>
      </c>
      <c r="CA28" s="1042">
        <f t="shared" si="22"/>
        <v>0</v>
      </c>
      <c r="CB28" s="1042">
        <f t="shared" si="22"/>
        <v>0</v>
      </c>
      <c r="CC28" s="1042">
        <f t="shared" si="22"/>
        <v>0</v>
      </c>
      <c r="CD28" s="1042">
        <f t="shared" si="22"/>
        <v>0</v>
      </c>
      <c r="CE28" s="1042">
        <f t="shared" si="22"/>
        <v>0</v>
      </c>
      <c r="CF28" s="1042">
        <f t="shared" si="22"/>
        <v>0</v>
      </c>
      <c r="CG28" s="1042">
        <f t="shared" si="22"/>
        <v>0</v>
      </c>
      <c r="CH28" s="1042">
        <f t="shared" si="22"/>
        <v>0</v>
      </c>
    </row>
    <row r="29" spans="1:86" s="520" customFormat="1" ht="19.5" customHeight="1">
      <c r="A29" s="1023"/>
      <c r="B29" s="1044">
        <v>5</v>
      </c>
      <c r="C29" s="1038" t="s">
        <v>353</v>
      </c>
      <c r="D29" s="1034">
        <f t="shared" si="0"/>
        <v>646002.3554855336</v>
      </c>
      <c r="E29" s="1034">
        <f t="shared" ref="E29:AJ29" si="23">E11-E13-E16</f>
        <v>0</v>
      </c>
      <c r="F29" s="1034">
        <f>F11-F13-F16</f>
        <v>0</v>
      </c>
      <c r="G29" s="1034">
        <f t="shared" si="23"/>
        <v>-156000</v>
      </c>
      <c r="H29" s="1034">
        <f t="shared" si="23"/>
        <v>-364000</v>
      </c>
      <c r="I29" s="1034">
        <f t="shared" si="23"/>
        <v>-4263.4452937083088</v>
      </c>
      <c r="J29" s="1034">
        <f t="shared" si="23"/>
        <v>-4263.4452937083088</v>
      </c>
      <c r="K29" s="1034">
        <f t="shared" si="23"/>
        <v>-489001.38513583987</v>
      </c>
      <c r="L29" s="1034">
        <f t="shared" si="23"/>
        <v>-9956.0977960857344</v>
      </c>
      <c r="M29" s="1034">
        <f t="shared" si="23"/>
        <v>-49227.630170544988</v>
      </c>
      <c r="N29" s="1034">
        <f t="shared" si="23"/>
        <v>-268023.99186574854</v>
      </c>
      <c r="O29" s="1034">
        <f t="shared" si="23"/>
        <v>-45647.67367174165</v>
      </c>
      <c r="P29" s="1034">
        <f t="shared" si="23"/>
        <v>79045.791664430173</v>
      </c>
      <c r="Q29" s="1034">
        <f t="shared" si="23"/>
        <v>-5744.1686399577593</v>
      </c>
      <c r="R29" s="1034">
        <f t="shared" si="23"/>
        <v>424938.67655949882</v>
      </c>
      <c r="S29" s="1034">
        <f t="shared" si="23"/>
        <v>255426.771519381</v>
      </c>
      <c r="T29" s="1034">
        <f t="shared" si="23"/>
        <v>131867.81274230423</v>
      </c>
      <c r="U29" s="1034">
        <f t="shared" si="23"/>
        <v>111391.43435263567</v>
      </c>
      <c r="V29" s="1034">
        <f t="shared" si="23"/>
        <v>845407.93625466595</v>
      </c>
      <c r="W29" s="1034">
        <f t="shared" si="23"/>
        <v>0</v>
      </c>
      <c r="X29" s="1034">
        <f t="shared" si="23"/>
        <v>0</v>
      </c>
      <c r="Y29" s="1034">
        <f t="shared" si="23"/>
        <v>194051.77025995293</v>
      </c>
      <c r="Z29" s="1034">
        <f t="shared" si="23"/>
        <v>0</v>
      </c>
      <c r="AA29" s="1034">
        <f t="shared" si="23"/>
        <v>0</v>
      </c>
      <c r="AB29" s="1034">
        <f t="shared" si="23"/>
        <v>0</v>
      </c>
      <c r="AC29" s="1034">
        <f t="shared" si="23"/>
        <v>0</v>
      </c>
      <c r="AD29" s="1034">
        <f t="shared" si="23"/>
        <v>0</v>
      </c>
      <c r="AE29" s="1034">
        <f t="shared" si="23"/>
        <v>0</v>
      </c>
      <c r="AF29" s="1034">
        <f t="shared" si="23"/>
        <v>0</v>
      </c>
      <c r="AG29" s="1034">
        <f t="shared" si="23"/>
        <v>0</v>
      </c>
      <c r="AH29" s="1034">
        <f t="shared" si="23"/>
        <v>0</v>
      </c>
      <c r="AI29" s="1034">
        <f t="shared" si="23"/>
        <v>0</v>
      </c>
      <c r="AJ29" s="1034">
        <f t="shared" si="23"/>
        <v>0</v>
      </c>
      <c r="AK29" s="1034">
        <f t="shared" ref="AK29:BP29" si="24">AK11-AK13-AK16</f>
        <v>0</v>
      </c>
      <c r="AL29" s="1034">
        <f t="shared" si="24"/>
        <v>0</v>
      </c>
      <c r="AM29" s="1034">
        <f t="shared" si="24"/>
        <v>0</v>
      </c>
      <c r="AN29" s="1034">
        <f t="shared" si="24"/>
        <v>0</v>
      </c>
      <c r="AO29" s="1034">
        <f t="shared" si="24"/>
        <v>0</v>
      </c>
      <c r="AP29" s="1034">
        <f t="shared" si="24"/>
        <v>0</v>
      </c>
      <c r="AQ29" s="1034">
        <f t="shared" si="24"/>
        <v>0</v>
      </c>
      <c r="AR29" s="1034">
        <f t="shared" si="24"/>
        <v>0</v>
      </c>
      <c r="AS29" s="1034">
        <f t="shared" si="24"/>
        <v>0</v>
      </c>
      <c r="AT29" s="1034">
        <f t="shared" si="24"/>
        <v>0</v>
      </c>
      <c r="AU29" s="1034">
        <f t="shared" si="24"/>
        <v>0</v>
      </c>
      <c r="AV29" s="1034">
        <f t="shared" si="24"/>
        <v>0</v>
      </c>
      <c r="AW29" s="1034">
        <f t="shared" si="24"/>
        <v>0</v>
      </c>
      <c r="AX29" s="1034">
        <f t="shared" si="24"/>
        <v>0</v>
      </c>
      <c r="AY29" s="1034">
        <f t="shared" si="24"/>
        <v>0</v>
      </c>
      <c r="AZ29" s="1034">
        <f t="shared" si="24"/>
        <v>0</v>
      </c>
      <c r="BA29" s="1034">
        <f t="shared" si="24"/>
        <v>0</v>
      </c>
      <c r="BB29" s="1034">
        <f t="shared" si="24"/>
        <v>0</v>
      </c>
      <c r="BC29" s="1034">
        <f t="shared" si="24"/>
        <v>0</v>
      </c>
      <c r="BD29" s="1034">
        <f t="shared" si="24"/>
        <v>0</v>
      </c>
      <c r="BE29" s="1034">
        <f t="shared" si="24"/>
        <v>0</v>
      </c>
      <c r="BF29" s="1034">
        <f t="shared" si="24"/>
        <v>0</v>
      </c>
      <c r="BG29" s="1034">
        <f t="shared" si="24"/>
        <v>0</v>
      </c>
      <c r="BH29" s="1034">
        <f t="shared" si="24"/>
        <v>0</v>
      </c>
      <c r="BI29" s="1034">
        <f t="shared" si="24"/>
        <v>0</v>
      </c>
      <c r="BJ29" s="1034">
        <f t="shared" si="24"/>
        <v>0</v>
      </c>
      <c r="BK29" s="1034">
        <f t="shared" si="24"/>
        <v>0</v>
      </c>
      <c r="BL29" s="1034">
        <f t="shared" si="24"/>
        <v>0</v>
      </c>
      <c r="BM29" s="1034">
        <f t="shared" si="24"/>
        <v>0</v>
      </c>
      <c r="BN29" s="1034">
        <f t="shared" si="24"/>
        <v>0</v>
      </c>
      <c r="BO29" s="1034">
        <f t="shared" si="24"/>
        <v>0</v>
      </c>
      <c r="BP29" s="1034">
        <f t="shared" si="24"/>
        <v>0</v>
      </c>
      <c r="BQ29" s="1034">
        <f t="shared" ref="BQ29:CH29" si="25">BQ11-BQ13-BQ16</f>
        <v>0</v>
      </c>
      <c r="BR29" s="1034">
        <f t="shared" si="25"/>
        <v>0</v>
      </c>
      <c r="BS29" s="1034">
        <f t="shared" si="25"/>
        <v>0</v>
      </c>
      <c r="BT29" s="1034">
        <f t="shared" si="25"/>
        <v>0</v>
      </c>
      <c r="BU29" s="1034">
        <f t="shared" si="25"/>
        <v>0</v>
      </c>
      <c r="BV29" s="1034">
        <f t="shared" si="25"/>
        <v>0</v>
      </c>
      <c r="BW29" s="1034">
        <f t="shared" si="25"/>
        <v>0</v>
      </c>
      <c r="BX29" s="1034">
        <f t="shared" si="25"/>
        <v>0</v>
      </c>
      <c r="BY29" s="1034">
        <f t="shared" si="25"/>
        <v>0</v>
      </c>
      <c r="BZ29" s="1034">
        <f t="shared" si="25"/>
        <v>0</v>
      </c>
      <c r="CA29" s="1034">
        <f t="shared" si="25"/>
        <v>0</v>
      </c>
      <c r="CB29" s="1034">
        <f t="shared" si="25"/>
        <v>0</v>
      </c>
      <c r="CC29" s="1034">
        <f t="shared" si="25"/>
        <v>0</v>
      </c>
      <c r="CD29" s="1034">
        <f t="shared" si="25"/>
        <v>0</v>
      </c>
      <c r="CE29" s="1034">
        <f t="shared" si="25"/>
        <v>0</v>
      </c>
      <c r="CF29" s="1034">
        <f t="shared" si="25"/>
        <v>0</v>
      </c>
      <c r="CG29" s="1034">
        <f t="shared" si="25"/>
        <v>0</v>
      </c>
      <c r="CH29" s="1034">
        <f t="shared" si="25"/>
        <v>0</v>
      </c>
    </row>
    <row r="30" spans="1:86" s="495" customFormat="1" ht="19.5" customHeight="1">
      <c r="A30" s="1021"/>
      <c r="B30" s="1040"/>
      <c r="C30" s="1049" t="s">
        <v>352</v>
      </c>
      <c r="D30" s="1042">
        <f t="shared" si="0"/>
        <v>108747.2930397637</v>
      </c>
      <c r="E30" s="1042">
        <f t="shared" ref="E30:AJ30" si="26">E25</f>
        <v>0</v>
      </c>
      <c r="F30" s="1042">
        <f t="shared" si="26"/>
        <v>0</v>
      </c>
      <c r="G30" s="1042">
        <f t="shared" si="26"/>
        <v>0</v>
      </c>
      <c r="H30" s="1042">
        <f t="shared" si="26"/>
        <v>0</v>
      </c>
      <c r="I30" s="1042">
        <f t="shared" si="26"/>
        <v>0</v>
      </c>
      <c r="J30" s="1042">
        <f t="shared" si="26"/>
        <v>0</v>
      </c>
      <c r="K30" s="1042">
        <f t="shared" si="26"/>
        <v>0</v>
      </c>
      <c r="L30" s="1042">
        <f t="shared" si="26"/>
        <v>10179.496736684761</v>
      </c>
      <c r="M30" s="1042">
        <f t="shared" si="26"/>
        <v>10209.510088066814</v>
      </c>
      <c r="N30" s="1042">
        <f t="shared" si="26"/>
        <v>11243.290321648259</v>
      </c>
      <c r="O30" s="1042">
        <f t="shared" si="26"/>
        <v>16871.79415082898</v>
      </c>
      <c r="P30" s="1042">
        <f t="shared" si="26"/>
        <v>18899.441970172109</v>
      </c>
      <c r="Q30" s="1042">
        <f t="shared" si="26"/>
        <v>17265.296463035938</v>
      </c>
      <c r="R30" s="1042">
        <f t="shared" si="26"/>
        <v>18036.359140024924</v>
      </c>
      <c r="S30" s="1042">
        <f t="shared" si="26"/>
        <v>6042.1041693019097</v>
      </c>
      <c r="T30" s="1042">
        <f t="shared" si="26"/>
        <v>0</v>
      </c>
      <c r="U30" s="1042">
        <f t="shared" si="26"/>
        <v>0</v>
      </c>
      <c r="V30" s="1042">
        <f t="shared" si="26"/>
        <v>0</v>
      </c>
      <c r="W30" s="1042">
        <f t="shared" si="26"/>
        <v>0</v>
      </c>
      <c r="X30" s="1042">
        <f t="shared" si="26"/>
        <v>0</v>
      </c>
      <c r="Y30" s="1042">
        <f t="shared" si="26"/>
        <v>0</v>
      </c>
      <c r="Z30" s="1042">
        <f t="shared" si="26"/>
        <v>0</v>
      </c>
      <c r="AA30" s="1042">
        <f t="shared" si="26"/>
        <v>0</v>
      </c>
      <c r="AB30" s="1042">
        <f t="shared" si="26"/>
        <v>0</v>
      </c>
      <c r="AC30" s="1042">
        <f t="shared" si="26"/>
        <v>0</v>
      </c>
      <c r="AD30" s="1042">
        <f t="shared" si="26"/>
        <v>0</v>
      </c>
      <c r="AE30" s="1042">
        <f t="shared" si="26"/>
        <v>0</v>
      </c>
      <c r="AF30" s="1042">
        <f t="shared" si="26"/>
        <v>0</v>
      </c>
      <c r="AG30" s="1042">
        <f t="shared" si="26"/>
        <v>0</v>
      </c>
      <c r="AH30" s="1042">
        <f t="shared" si="26"/>
        <v>0</v>
      </c>
      <c r="AI30" s="1042">
        <f t="shared" si="26"/>
        <v>0</v>
      </c>
      <c r="AJ30" s="1042">
        <f t="shared" si="26"/>
        <v>0</v>
      </c>
      <c r="AK30" s="1042">
        <f t="shared" ref="AK30:BP30" si="27">AK25</f>
        <v>0</v>
      </c>
      <c r="AL30" s="1042">
        <f t="shared" si="27"/>
        <v>0</v>
      </c>
      <c r="AM30" s="1042">
        <f t="shared" si="27"/>
        <v>0</v>
      </c>
      <c r="AN30" s="1042">
        <f t="shared" si="27"/>
        <v>0</v>
      </c>
      <c r="AO30" s="1042">
        <f t="shared" si="27"/>
        <v>0</v>
      </c>
      <c r="AP30" s="1042">
        <f t="shared" si="27"/>
        <v>0</v>
      </c>
      <c r="AQ30" s="1042">
        <f t="shared" si="27"/>
        <v>0</v>
      </c>
      <c r="AR30" s="1042">
        <f t="shared" si="27"/>
        <v>0</v>
      </c>
      <c r="AS30" s="1042">
        <f t="shared" si="27"/>
        <v>0</v>
      </c>
      <c r="AT30" s="1042">
        <f t="shared" si="27"/>
        <v>0</v>
      </c>
      <c r="AU30" s="1042">
        <f t="shared" si="27"/>
        <v>0</v>
      </c>
      <c r="AV30" s="1042">
        <f t="shared" si="27"/>
        <v>0</v>
      </c>
      <c r="AW30" s="1042">
        <f t="shared" si="27"/>
        <v>0</v>
      </c>
      <c r="AX30" s="1042">
        <f t="shared" si="27"/>
        <v>0</v>
      </c>
      <c r="AY30" s="1042">
        <f t="shared" si="27"/>
        <v>0</v>
      </c>
      <c r="AZ30" s="1042">
        <f t="shared" si="27"/>
        <v>0</v>
      </c>
      <c r="BA30" s="1042">
        <f t="shared" si="27"/>
        <v>0</v>
      </c>
      <c r="BB30" s="1042">
        <f t="shared" si="27"/>
        <v>0</v>
      </c>
      <c r="BC30" s="1042">
        <f t="shared" si="27"/>
        <v>0</v>
      </c>
      <c r="BD30" s="1042">
        <f t="shared" si="27"/>
        <v>0</v>
      </c>
      <c r="BE30" s="1042">
        <f t="shared" si="27"/>
        <v>0</v>
      </c>
      <c r="BF30" s="1042">
        <f t="shared" si="27"/>
        <v>0</v>
      </c>
      <c r="BG30" s="1042">
        <f t="shared" si="27"/>
        <v>0</v>
      </c>
      <c r="BH30" s="1042">
        <f t="shared" si="27"/>
        <v>0</v>
      </c>
      <c r="BI30" s="1042">
        <f t="shared" si="27"/>
        <v>0</v>
      </c>
      <c r="BJ30" s="1042">
        <f t="shared" si="27"/>
        <v>0</v>
      </c>
      <c r="BK30" s="1042">
        <f t="shared" si="27"/>
        <v>0</v>
      </c>
      <c r="BL30" s="1042">
        <f t="shared" si="27"/>
        <v>0</v>
      </c>
      <c r="BM30" s="1042">
        <f t="shared" si="27"/>
        <v>0</v>
      </c>
      <c r="BN30" s="1042">
        <f t="shared" si="27"/>
        <v>0</v>
      </c>
      <c r="BO30" s="1042">
        <f t="shared" si="27"/>
        <v>0</v>
      </c>
      <c r="BP30" s="1042">
        <f t="shared" si="27"/>
        <v>0</v>
      </c>
      <c r="BQ30" s="1042">
        <f t="shared" ref="BQ30:CH30" si="28">BQ25</f>
        <v>0</v>
      </c>
      <c r="BR30" s="1042">
        <f t="shared" si="28"/>
        <v>0</v>
      </c>
      <c r="BS30" s="1042">
        <f t="shared" si="28"/>
        <v>0</v>
      </c>
      <c r="BT30" s="1042">
        <f t="shared" si="28"/>
        <v>0</v>
      </c>
      <c r="BU30" s="1042">
        <f t="shared" si="28"/>
        <v>0</v>
      </c>
      <c r="BV30" s="1042">
        <f t="shared" si="28"/>
        <v>0</v>
      </c>
      <c r="BW30" s="1042">
        <f t="shared" si="28"/>
        <v>0</v>
      </c>
      <c r="BX30" s="1042">
        <f t="shared" si="28"/>
        <v>0</v>
      </c>
      <c r="BY30" s="1042">
        <f t="shared" si="28"/>
        <v>0</v>
      </c>
      <c r="BZ30" s="1042">
        <f t="shared" si="28"/>
        <v>0</v>
      </c>
      <c r="CA30" s="1042">
        <f t="shared" si="28"/>
        <v>0</v>
      </c>
      <c r="CB30" s="1042">
        <f t="shared" si="28"/>
        <v>0</v>
      </c>
      <c r="CC30" s="1042">
        <f t="shared" si="28"/>
        <v>0</v>
      </c>
      <c r="CD30" s="1042">
        <f t="shared" si="28"/>
        <v>0</v>
      </c>
      <c r="CE30" s="1042">
        <f t="shared" si="28"/>
        <v>0</v>
      </c>
      <c r="CF30" s="1042">
        <f t="shared" si="28"/>
        <v>0</v>
      </c>
      <c r="CG30" s="1042">
        <f t="shared" si="28"/>
        <v>0</v>
      </c>
      <c r="CH30" s="1042">
        <f t="shared" si="28"/>
        <v>0</v>
      </c>
    </row>
    <row r="31" spans="1:86" s="520" customFormat="1" ht="19.5" customHeight="1">
      <c r="A31" s="1023"/>
      <c r="B31" s="1044">
        <v>6</v>
      </c>
      <c r="C31" s="1038" t="s">
        <v>354</v>
      </c>
      <c r="D31" s="1034">
        <f t="shared" si="0"/>
        <v>537255.06244577002</v>
      </c>
      <c r="E31" s="1034">
        <f>E29-E30</f>
        <v>0</v>
      </c>
      <c r="F31" s="1034">
        <f t="shared" ref="F31:BQ31" si="29">F29-F30</f>
        <v>0</v>
      </c>
      <c r="G31" s="1034">
        <f t="shared" si="29"/>
        <v>-156000</v>
      </c>
      <c r="H31" s="1034">
        <f t="shared" si="29"/>
        <v>-364000</v>
      </c>
      <c r="I31" s="1034">
        <f t="shared" si="29"/>
        <v>-4263.4452937083088</v>
      </c>
      <c r="J31" s="1034">
        <f t="shared" si="29"/>
        <v>-4263.4452937083088</v>
      </c>
      <c r="K31" s="1034">
        <f t="shared" si="29"/>
        <v>-489001.38513583987</v>
      </c>
      <c r="L31" s="1034">
        <f t="shared" si="29"/>
        <v>-20135.594532770498</v>
      </c>
      <c r="M31" s="1034">
        <f t="shared" si="29"/>
        <v>-59437.140258611806</v>
      </c>
      <c r="N31" s="1034">
        <f t="shared" si="29"/>
        <v>-279267.28218739678</v>
      </c>
      <c r="O31" s="1034">
        <f t="shared" si="29"/>
        <v>-62519.46782257063</v>
      </c>
      <c r="P31" s="1034">
        <f t="shared" si="29"/>
        <v>60146.349694258068</v>
      </c>
      <c r="Q31" s="1034">
        <f t="shared" si="29"/>
        <v>-23009.465102993698</v>
      </c>
      <c r="R31" s="1034">
        <f t="shared" si="29"/>
        <v>406902.3174194739</v>
      </c>
      <c r="S31" s="1034">
        <f t="shared" si="29"/>
        <v>249384.66735007908</v>
      </c>
      <c r="T31" s="1034">
        <f t="shared" si="29"/>
        <v>131867.81274230423</v>
      </c>
      <c r="U31" s="1034">
        <f t="shared" si="29"/>
        <v>111391.43435263567</v>
      </c>
      <c r="V31" s="1034">
        <f t="shared" si="29"/>
        <v>845407.93625466595</v>
      </c>
      <c r="W31" s="1034">
        <f t="shared" si="29"/>
        <v>0</v>
      </c>
      <c r="X31" s="1034">
        <f t="shared" si="29"/>
        <v>0</v>
      </c>
      <c r="Y31" s="1034">
        <f t="shared" si="29"/>
        <v>194051.77025995293</v>
      </c>
      <c r="Z31" s="1034">
        <f t="shared" si="29"/>
        <v>0</v>
      </c>
      <c r="AA31" s="1034">
        <f t="shared" si="29"/>
        <v>0</v>
      </c>
      <c r="AB31" s="1034">
        <f t="shared" si="29"/>
        <v>0</v>
      </c>
      <c r="AC31" s="1034">
        <f t="shared" si="29"/>
        <v>0</v>
      </c>
      <c r="AD31" s="1034">
        <f t="shared" si="29"/>
        <v>0</v>
      </c>
      <c r="AE31" s="1034">
        <f t="shared" si="29"/>
        <v>0</v>
      </c>
      <c r="AF31" s="1034">
        <f t="shared" si="29"/>
        <v>0</v>
      </c>
      <c r="AG31" s="1034">
        <f t="shared" si="29"/>
        <v>0</v>
      </c>
      <c r="AH31" s="1034">
        <f t="shared" si="29"/>
        <v>0</v>
      </c>
      <c r="AI31" s="1034">
        <f t="shared" si="29"/>
        <v>0</v>
      </c>
      <c r="AJ31" s="1034">
        <f t="shared" si="29"/>
        <v>0</v>
      </c>
      <c r="AK31" s="1034">
        <f t="shared" si="29"/>
        <v>0</v>
      </c>
      <c r="AL31" s="1034">
        <f t="shared" si="29"/>
        <v>0</v>
      </c>
      <c r="AM31" s="1034">
        <f t="shared" si="29"/>
        <v>0</v>
      </c>
      <c r="AN31" s="1034">
        <f t="shared" si="29"/>
        <v>0</v>
      </c>
      <c r="AO31" s="1034">
        <f t="shared" si="29"/>
        <v>0</v>
      </c>
      <c r="AP31" s="1034">
        <f t="shared" si="29"/>
        <v>0</v>
      </c>
      <c r="AQ31" s="1034">
        <f t="shared" si="29"/>
        <v>0</v>
      </c>
      <c r="AR31" s="1034">
        <f t="shared" si="29"/>
        <v>0</v>
      </c>
      <c r="AS31" s="1034">
        <f t="shared" si="29"/>
        <v>0</v>
      </c>
      <c r="AT31" s="1034">
        <f t="shared" si="29"/>
        <v>0</v>
      </c>
      <c r="AU31" s="1034">
        <f t="shared" si="29"/>
        <v>0</v>
      </c>
      <c r="AV31" s="1034">
        <f t="shared" si="29"/>
        <v>0</v>
      </c>
      <c r="AW31" s="1034">
        <f t="shared" si="29"/>
        <v>0</v>
      </c>
      <c r="AX31" s="1034">
        <f t="shared" si="29"/>
        <v>0</v>
      </c>
      <c r="AY31" s="1034">
        <f t="shared" si="29"/>
        <v>0</v>
      </c>
      <c r="AZ31" s="1034">
        <f t="shared" si="29"/>
        <v>0</v>
      </c>
      <c r="BA31" s="1034">
        <f t="shared" si="29"/>
        <v>0</v>
      </c>
      <c r="BB31" s="1034">
        <f t="shared" si="29"/>
        <v>0</v>
      </c>
      <c r="BC31" s="1034">
        <f t="shared" si="29"/>
        <v>0</v>
      </c>
      <c r="BD31" s="1034">
        <f t="shared" si="29"/>
        <v>0</v>
      </c>
      <c r="BE31" s="1034">
        <f t="shared" si="29"/>
        <v>0</v>
      </c>
      <c r="BF31" s="1034">
        <f t="shared" si="29"/>
        <v>0</v>
      </c>
      <c r="BG31" s="1034">
        <f t="shared" si="29"/>
        <v>0</v>
      </c>
      <c r="BH31" s="1034">
        <f t="shared" si="29"/>
        <v>0</v>
      </c>
      <c r="BI31" s="1034">
        <f t="shared" si="29"/>
        <v>0</v>
      </c>
      <c r="BJ31" s="1034">
        <f t="shared" si="29"/>
        <v>0</v>
      </c>
      <c r="BK31" s="1034">
        <f t="shared" si="29"/>
        <v>0</v>
      </c>
      <c r="BL31" s="1034">
        <f t="shared" si="29"/>
        <v>0</v>
      </c>
      <c r="BM31" s="1034">
        <f t="shared" si="29"/>
        <v>0</v>
      </c>
      <c r="BN31" s="1034">
        <f t="shared" si="29"/>
        <v>0</v>
      </c>
      <c r="BO31" s="1034">
        <f t="shared" si="29"/>
        <v>0</v>
      </c>
      <c r="BP31" s="1034">
        <f t="shared" si="29"/>
        <v>0</v>
      </c>
      <c r="BQ31" s="1034">
        <f t="shared" si="29"/>
        <v>0</v>
      </c>
      <c r="BR31" s="1034">
        <f t="shared" ref="BR31:BW31" si="30">BR29-BR30</f>
        <v>0</v>
      </c>
      <c r="BS31" s="1034">
        <f t="shared" si="30"/>
        <v>0</v>
      </c>
      <c r="BT31" s="1034">
        <f t="shared" si="30"/>
        <v>0</v>
      </c>
      <c r="BU31" s="1034">
        <f t="shared" si="30"/>
        <v>0</v>
      </c>
      <c r="BV31" s="1034">
        <f t="shared" si="30"/>
        <v>0</v>
      </c>
      <c r="BW31" s="1034">
        <f t="shared" si="30"/>
        <v>0</v>
      </c>
      <c r="BX31" s="1034">
        <f t="shared" ref="BX31:CH31" si="31">BX29-BX30</f>
        <v>0</v>
      </c>
      <c r="BY31" s="1034">
        <f t="shared" si="31"/>
        <v>0</v>
      </c>
      <c r="BZ31" s="1034">
        <f t="shared" si="31"/>
        <v>0</v>
      </c>
      <c r="CA31" s="1034">
        <f t="shared" si="31"/>
        <v>0</v>
      </c>
      <c r="CB31" s="1034">
        <f t="shared" si="31"/>
        <v>0</v>
      </c>
      <c r="CC31" s="1034">
        <f t="shared" si="31"/>
        <v>0</v>
      </c>
      <c r="CD31" s="1034">
        <f t="shared" si="31"/>
        <v>0</v>
      </c>
      <c r="CE31" s="1034">
        <f t="shared" si="31"/>
        <v>0</v>
      </c>
      <c r="CF31" s="1034">
        <f t="shared" si="31"/>
        <v>0</v>
      </c>
      <c r="CG31" s="1034">
        <f t="shared" si="31"/>
        <v>0</v>
      </c>
      <c r="CH31" s="1034">
        <f t="shared" si="31"/>
        <v>0</v>
      </c>
    </row>
    <row r="32" spans="1:86" s="520" customFormat="1" ht="19.5" customHeight="1">
      <c r="A32" s="1023"/>
      <c r="B32" s="2171">
        <v>7</v>
      </c>
      <c r="C32" s="2172" t="s">
        <v>750</v>
      </c>
      <c r="D32" s="1034">
        <f t="shared" si="0"/>
        <v>440255.06244577008</v>
      </c>
      <c r="E32" s="2173"/>
      <c r="F32" s="2173">
        <f>+F31-F18/0.8</f>
        <v>0</v>
      </c>
      <c r="G32" s="2173">
        <f t="shared" ref="G32:BR32" si="32">+G31-G18/0.8</f>
        <v>-156000</v>
      </c>
      <c r="H32" s="2173">
        <f t="shared" si="32"/>
        <v>-364000</v>
      </c>
      <c r="I32" s="2173">
        <f t="shared" si="32"/>
        <v>-4263.4452937083088</v>
      </c>
      <c r="J32" s="2173">
        <f t="shared" si="32"/>
        <v>-4263.4452937083088</v>
      </c>
      <c r="K32" s="2173">
        <f t="shared" si="32"/>
        <v>-489001.38513583987</v>
      </c>
      <c r="L32" s="2173">
        <f t="shared" si="32"/>
        <v>-20135.594532770498</v>
      </c>
      <c r="M32" s="2173">
        <f t="shared" si="32"/>
        <v>-59437.140258611806</v>
      </c>
      <c r="N32" s="2173">
        <f t="shared" si="32"/>
        <v>-279267.28218739678</v>
      </c>
      <c r="O32" s="2173">
        <f t="shared" si="32"/>
        <v>-62519.46782257063</v>
      </c>
      <c r="P32" s="2173">
        <f t="shared" si="32"/>
        <v>60146.349694258068</v>
      </c>
      <c r="Q32" s="2173">
        <f t="shared" si="32"/>
        <v>-23009.465102993698</v>
      </c>
      <c r="R32" s="2173">
        <f t="shared" si="32"/>
        <v>406902.3174194739</v>
      </c>
      <c r="S32" s="2173">
        <f t="shared" si="32"/>
        <v>249384.66735007908</v>
      </c>
      <c r="T32" s="2173">
        <f t="shared" si="32"/>
        <v>131867.81274230423</v>
      </c>
      <c r="U32" s="2173">
        <f t="shared" si="32"/>
        <v>111391.43435263567</v>
      </c>
      <c r="V32" s="2173">
        <f t="shared" si="32"/>
        <v>845407.93625466595</v>
      </c>
      <c r="W32" s="2173">
        <f t="shared" si="32"/>
        <v>0</v>
      </c>
      <c r="X32" s="2173">
        <f t="shared" si="32"/>
        <v>0</v>
      </c>
      <c r="Y32" s="2173">
        <f t="shared" si="32"/>
        <v>97051.770259952929</v>
      </c>
      <c r="Z32" s="2173">
        <f t="shared" si="32"/>
        <v>0</v>
      </c>
      <c r="AA32" s="2173">
        <f t="shared" si="32"/>
        <v>0</v>
      </c>
      <c r="AB32" s="2173">
        <f t="shared" si="32"/>
        <v>0</v>
      </c>
      <c r="AC32" s="2173">
        <f t="shared" si="32"/>
        <v>0</v>
      </c>
      <c r="AD32" s="2173">
        <f t="shared" si="32"/>
        <v>0</v>
      </c>
      <c r="AE32" s="2173">
        <f t="shared" si="32"/>
        <v>0</v>
      </c>
      <c r="AF32" s="2173">
        <f t="shared" si="32"/>
        <v>0</v>
      </c>
      <c r="AG32" s="2173">
        <f t="shared" si="32"/>
        <v>0</v>
      </c>
      <c r="AH32" s="2173">
        <f t="shared" si="32"/>
        <v>0</v>
      </c>
      <c r="AI32" s="2173">
        <f t="shared" si="32"/>
        <v>0</v>
      </c>
      <c r="AJ32" s="2173">
        <f t="shared" si="32"/>
        <v>0</v>
      </c>
      <c r="AK32" s="2173">
        <f t="shared" si="32"/>
        <v>0</v>
      </c>
      <c r="AL32" s="2173">
        <f t="shared" si="32"/>
        <v>0</v>
      </c>
      <c r="AM32" s="2173">
        <f t="shared" si="32"/>
        <v>0</v>
      </c>
      <c r="AN32" s="2173">
        <f t="shared" si="32"/>
        <v>0</v>
      </c>
      <c r="AO32" s="2173">
        <f t="shared" si="32"/>
        <v>0</v>
      </c>
      <c r="AP32" s="2173">
        <f t="shared" si="32"/>
        <v>0</v>
      </c>
      <c r="AQ32" s="2173">
        <f t="shared" si="32"/>
        <v>0</v>
      </c>
      <c r="AR32" s="2173">
        <f t="shared" si="32"/>
        <v>0</v>
      </c>
      <c r="AS32" s="2173">
        <f t="shared" si="32"/>
        <v>0</v>
      </c>
      <c r="AT32" s="2173">
        <f t="shared" si="32"/>
        <v>0</v>
      </c>
      <c r="AU32" s="2173">
        <f t="shared" si="32"/>
        <v>0</v>
      </c>
      <c r="AV32" s="2173">
        <f t="shared" si="32"/>
        <v>0</v>
      </c>
      <c r="AW32" s="2173">
        <f t="shared" si="32"/>
        <v>0</v>
      </c>
      <c r="AX32" s="2173">
        <f t="shared" si="32"/>
        <v>0</v>
      </c>
      <c r="AY32" s="2173">
        <f t="shared" si="32"/>
        <v>0</v>
      </c>
      <c r="AZ32" s="2173">
        <f t="shared" si="32"/>
        <v>0</v>
      </c>
      <c r="BA32" s="2173">
        <f t="shared" si="32"/>
        <v>0</v>
      </c>
      <c r="BB32" s="2173">
        <f t="shared" si="32"/>
        <v>0</v>
      </c>
      <c r="BC32" s="2173">
        <f t="shared" si="32"/>
        <v>0</v>
      </c>
      <c r="BD32" s="2173">
        <f t="shared" si="32"/>
        <v>0</v>
      </c>
      <c r="BE32" s="2173">
        <f t="shared" si="32"/>
        <v>0</v>
      </c>
      <c r="BF32" s="2173">
        <f t="shared" si="32"/>
        <v>0</v>
      </c>
      <c r="BG32" s="2173">
        <f t="shared" si="32"/>
        <v>0</v>
      </c>
      <c r="BH32" s="2173">
        <f t="shared" si="32"/>
        <v>0</v>
      </c>
      <c r="BI32" s="2173">
        <f t="shared" si="32"/>
        <v>0</v>
      </c>
      <c r="BJ32" s="2173">
        <f t="shared" si="32"/>
        <v>0</v>
      </c>
      <c r="BK32" s="2173">
        <f t="shared" si="32"/>
        <v>0</v>
      </c>
      <c r="BL32" s="2173">
        <f t="shared" si="32"/>
        <v>0</v>
      </c>
      <c r="BM32" s="2173">
        <f t="shared" si="32"/>
        <v>0</v>
      </c>
      <c r="BN32" s="2173">
        <f t="shared" si="32"/>
        <v>0</v>
      </c>
      <c r="BO32" s="2173">
        <f t="shared" si="32"/>
        <v>0</v>
      </c>
      <c r="BP32" s="2173">
        <f t="shared" si="32"/>
        <v>0</v>
      </c>
      <c r="BQ32" s="2173">
        <f t="shared" si="32"/>
        <v>0</v>
      </c>
      <c r="BR32" s="2173">
        <f t="shared" si="32"/>
        <v>0</v>
      </c>
      <c r="BS32" s="2173">
        <f t="shared" ref="BS32:CH32" si="33">+BS31-BS18/0.8</f>
        <v>0</v>
      </c>
      <c r="BT32" s="2173">
        <f t="shared" si="33"/>
        <v>0</v>
      </c>
      <c r="BU32" s="2173">
        <f t="shared" si="33"/>
        <v>0</v>
      </c>
      <c r="BV32" s="2173">
        <f t="shared" si="33"/>
        <v>0</v>
      </c>
      <c r="BW32" s="2173">
        <f t="shared" si="33"/>
        <v>0</v>
      </c>
      <c r="BX32" s="2173">
        <f t="shared" si="33"/>
        <v>0</v>
      </c>
      <c r="BY32" s="2173">
        <f t="shared" si="33"/>
        <v>0</v>
      </c>
      <c r="BZ32" s="2173">
        <f t="shared" si="33"/>
        <v>0</v>
      </c>
      <c r="CA32" s="2173">
        <f t="shared" si="33"/>
        <v>0</v>
      </c>
      <c r="CB32" s="2173">
        <f t="shared" si="33"/>
        <v>0</v>
      </c>
      <c r="CC32" s="2173">
        <f t="shared" si="33"/>
        <v>0</v>
      </c>
      <c r="CD32" s="2173">
        <f t="shared" si="33"/>
        <v>0</v>
      </c>
      <c r="CE32" s="2173">
        <f t="shared" si="33"/>
        <v>0</v>
      </c>
      <c r="CF32" s="2173">
        <f t="shared" si="33"/>
        <v>0</v>
      </c>
      <c r="CG32" s="2173">
        <f t="shared" si="33"/>
        <v>0</v>
      </c>
      <c r="CH32" s="2173">
        <f t="shared" si="33"/>
        <v>0</v>
      </c>
    </row>
    <row r="33" spans="1:86" s="520" customFormat="1" ht="19.5" customHeight="1">
      <c r="A33" s="2249"/>
      <c r="B33" s="1044"/>
      <c r="C33" s="1049" t="s">
        <v>77</v>
      </c>
      <c r="D33" s="1034">
        <f t="shared" si="0"/>
        <v>107451.012489154</v>
      </c>
      <c r="E33" s="1034"/>
      <c r="F33" s="1034">
        <f>'4.Chi phi hoat dong'!G52</f>
        <v>0</v>
      </c>
      <c r="G33" s="1034">
        <f>'4.Chi phi hoat dong'!H52</f>
        <v>0</v>
      </c>
      <c r="H33" s="1034">
        <f>'4.Chi phi hoat dong'!I52</f>
        <v>0</v>
      </c>
      <c r="I33" s="1034">
        <f>'4.Chi phi hoat dong'!J52</f>
        <v>0</v>
      </c>
      <c r="J33" s="1034">
        <f>'4.Chi phi hoat dong'!K52</f>
        <v>0</v>
      </c>
      <c r="K33" s="1034">
        <f>'4.Chi phi hoat dong'!L52</f>
        <v>0</v>
      </c>
      <c r="L33" s="1034">
        <f>'4.Chi phi hoat dong'!M52</f>
        <v>0</v>
      </c>
      <c r="M33" s="1034">
        <f>'4.Chi phi hoat dong'!N52</f>
        <v>0</v>
      </c>
      <c r="N33" s="1034">
        <f>'4.Chi phi hoat dong'!O52</f>
        <v>0</v>
      </c>
      <c r="O33" s="1034">
        <f>'4.Chi phi hoat dong'!P52</f>
        <v>5068.792822200372</v>
      </c>
      <c r="P33" s="1034">
        <f>'4.Chi phi hoat dong'!Q52</f>
        <v>5674.8327897190138</v>
      </c>
      <c r="Q33" s="1034">
        <f>'4.Chi phi hoat dong'!R52</f>
        <v>2692.6241299724893</v>
      </c>
      <c r="R33" s="1034">
        <f>'4.Chi phi hoat dong'!S52</f>
        <v>7093.8183953734515</v>
      </c>
      <c r="S33" s="1034">
        <f>'4.Chi phi hoat dong'!T52</f>
        <v>6873.0461999510089</v>
      </c>
      <c r="T33" s="1034">
        <f>'4.Chi phi hoat dong'!U52</f>
        <v>5808.1622289799443</v>
      </c>
      <c r="U33" s="1034">
        <f>'4.Chi phi hoat dong'!V52</f>
        <v>4624.5859951961929</v>
      </c>
      <c r="V33" s="1034">
        <f>'4.Chi phi hoat dong'!W52</f>
        <v>12156.117004598247</v>
      </c>
      <c r="W33" s="1034">
        <f>'4.Chi phi hoat dong'!X52</f>
        <v>0</v>
      </c>
      <c r="X33" s="1034">
        <f>'4.Chi phi hoat dong'!Y52</f>
        <v>0</v>
      </c>
      <c r="Y33" s="1034">
        <f>0.2*D31-SUM(F33:X33)</f>
        <v>57459.032923163293</v>
      </c>
      <c r="Z33" s="1034"/>
      <c r="AA33" s="1034"/>
      <c r="AB33" s="1034"/>
      <c r="AC33" s="1034"/>
      <c r="AD33" s="1034"/>
      <c r="AE33" s="1034"/>
      <c r="AF33" s="1034"/>
      <c r="AG33" s="1034"/>
      <c r="AH33" s="1034"/>
      <c r="AI33" s="1034"/>
      <c r="AJ33" s="1034"/>
      <c r="AK33" s="1034"/>
      <c r="AL33" s="1034"/>
      <c r="AM33" s="1034"/>
      <c r="AN33" s="1034"/>
      <c r="AO33" s="1034"/>
      <c r="AP33" s="1034"/>
      <c r="AQ33" s="1034"/>
      <c r="AR33" s="1034"/>
      <c r="AS33" s="1034"/>
      <c r="AT33" s="1034"/>
      <c r="AU33" s="1034"/>
      <c r="AV33" s="1034"/>
      <c r="AW33" s="1034"/>
      <c r="AX33" s="1034"/>
      <c r="AY33" s="1034"/>
      <c r="AZ33" s="1034"/>
      <c r="BA33" s="1034"/>
      <c r="BB33" s="1034"/>
      <c r="BC33" s="1034"/>
      <c r="BD33" s="1034"/>
      <c r="BE33" s="1034"/>
      <c r="BF33" s="1034"/>
      <c r="BG33" s="1034"/>
      <c r="BH33" s="1034"/>
      <c r="BI33" s="1034"/>
      <c r="BJ33" s="1034"/>
      <c r="BK33" s="1034"/>
      <c r="BL33" s="1034"/>
      <c r="BM33" s="1034"/>
      <c r="BN33" s="1034"/>
      <c r="BO33" s="1034"/>
      <c r="BP33" s="1034"/>
      <c r="BQ33" s="1034"/>
      <c r="BR33" s="1034"/>
      <c r="BS33" s="1034"/>
      <c r="BT33" s="1034"/>
      <c r="BU33" s="1034"/>
      <c r="BV33" s="1034"/>
      <c r="BW33" s="1034"/>
      <c r="BX33" s="1034"/>
      <c r="BY33" s="1034"/>
      <c r="BZ33" s="1034"/>
      <c r="CA33" s="1034"/>
      <c r="CB33" s="1034"/>
      <c r="CC33" s="1034"/>
      <c r="CD33" s="1034"/>
      <c r="CE33" s="1034"/>
      <c r="CF33" s="1034"/>
      <c r="CG33" s="1034"/>
      <c r="CH33" s="1034"/>
    </row>
    <row r="34" spans="1:86" s="520" customFormat="1" ht="19.5" customHeight="1">
      <c r="A34" s="1023"/>
      <c r="B34" s="2159"/>
      <c r="C34" s="2161" t="s">
        <v>748</v>
      </c>
      <c r="D34" s="1034">
        <f t="shared" si="0"/>
        <v>77600</v>
      </c>
      <c r="E34" s="2160"/>
      <c r="F34" s="2160"/>
      <c r="G34" s="2160">
        <f>+G18</f>
        <v>0</v>
      </c>
      <c r="H34" s="2160">
        <f t="shared" ref="H34:Y34" si="34">+H18</f>
        <v>0</v>
      </c>
      <c r="I34" s="2160">
        <f t="shared" si="34"/>
        <v>0</v>
      </c>
      <c r="J34" s="2160">
        <f t="shared" si="34"/>
        <v>0</v>
      </c>
      <c r="K34" s="2160">
        <f t="shared" si="34"/>
        <v>0</v>
      </c>
      <c r="L34" s="2160">
        <f t="shared" si="34"/>
        <v>0</v>
      </c>
      <c r="M34" s="2160">
        <f t="shared" si="34"/>
        <v>0</v>
      </c>
      <c r="N34" s="2160">
        <f t="shared" si="34"/>
        <v>0</v>
      </c>
      <c r="O34" s="2160">
        <f t="shared" si="34"/>
        <v>0</v>
      </c>
      <c r="P34" s="2160">
        <f t="shared" si="34"/>
        <v>0</v>
      </c>
      <c r="Q34" s="2160">
        <f t="shared" si="34"/>
        <v>0</v>
      </c>
      <c r="R34" s="2160">
        <f t="shared" si="34"/>
        <v>0</v>
      </c>
      <c r="S34" s="2160">
        <f t="shared" si="34"/>
        <v>0</v>
      </c>
      <c r="T34" s="2160">
        <f t="shared" si="34"/>
        <v>0</v>
      </c>
      <c r="U34" s="2160">
        <f t="shared" si="34"/>
        <v>0</v>
      </c>
      <c r="V34" s="2160">
        <f t="shared" si="34"/>
        <v>0</v>
      </c>
      <c r="W34" s="2160">
        <f t="shared" si="34"/>
        <v>0</v>
      </c>
      <c r="X34" s="2160">
        <f t="shared" si="34"/>
        <v>0</v>
      </c>
      <c r="Y34" s="2160">
        <f t="shared" si="34"/>
        <v>77600</v>
      </c>
      <c r="Z34" s="2160"/>
      <c r="AA34" s="2160"/>
      <c r="AB34" s="2160"/>
      <c r="AC34" s="2160"/>
      <c r="AD34" s="2160"/>
      <c r="AE34" s="2160"/>
      <c r="AF34" s="2160"/>
      <c r="AG34" s="2160"/>
      <c r="AH34" s="2160"/>
      <c r="AI34" s="2160"/>
      <c r="AJ34" s="2160"/>
      <c r="AK34" s="2160"/>
      <c r="AL34" s="2160"/>
      <c r="AM34" s="2160"/>
      <c r="AN34" s="2160"/>
      <c r="AO34" s="2160"/>
      <c r="AP34" s="2160"/>
      <c r="AQ34" s="2160"/>
      <c r="AR34" s="2160"/>
      <c r="AS34" s="2160"/>
      <c r="AT34" s="2160"/>
      <c r="AU34" s="2160"/>
      <c r="AV34" s="2160"/>
      <c r="AW34" s="2160"/>
      <c r="AX34" s="2160"/>
      <c r="AY34" s="2160"/>
      <c r="AZ34" s="2160"/>
      <c r="BA34" s="2160"/>
      <c r="BB34" s="2160"/>
      <c r="BC34" s="2160"/>
      <c r="BD34" s="2160"/>
      <c r="BE34" s="2160"/>
      <c r="BF34" s="2160"/>
      <c r="BG34" s="2160"/>
      <c r="BH34" s="2160"/>
      <c r="BI34" s="2160"/>
      <c r="BJ34" s="2160"/>
      <c r="BK34" s="2160"/>
      <c r="BL34" s="2160"/>
      <c r="BM34" s="2160"/>
      <c r="BN34" s="2160"/>
      <c r="BO34" s="2160"/>
      <c r="BP34" s="2160"/>
      <c r="BQ34" s="2160"/>
      <c r="BR34" s="2160"/>
      <c r="BS34" s="2160"/>
      <c r="BT34" s="2160"/>
      <c r="BU34" s="2160"/>
      <c r="BV34" s="2160"/>
      <c r="BW34" s="2160"/>
      <c r="BX34" s="2160"/>
      <c r="BY34" s="2160"/>
      <c r="BZ34" s="2160"/>
      <c r="CA34" s="2160"/>
      <c r="CB34" s="2160"/>
      <c r="CC34" s="2160"/>
      <c r="CD34" s="2160"/>
      <c r="CE34" s="2160"/>
      <c r="CF34" s="2160"/>
      <c r="CG34" s="2160"/>
      <c r="CH34" s="2160"/>
    </row>
    <row r="35" spans="1:86" s="520" customFormat="1" ht="19.5" customHeight="1">
      <c r="A35" s="1573"/>
      <c r="B35" s="1080">
        <v>8</v>
      </c>
      <c r="C35" s="1081" t="s">
        <v>355</v>
      </c>
      <c r="D35" s="1082">
        <f>SUM(E35:CT35)</f>
        <v>352204.04995661601</v>
      </c>
      <c r="E35" s="1082">
        <f t="shared" ref="E35" si="35">E31-E33</f>
        <v>0</v>
      </c>
      <c r="F35" s="1082">
        <f>F31-F33-F34</f>
        <v>0</v>
      </c>
      <c r="G35" s="1082">
        <f>G31-G33-G34</f>
        <v>-156000</v>
      </c>
      <c r="H35" s="1082">
        <f t="shared" ref="H35:BS35" si="36">H31-H33-H34</f>
        <v>-364000</v>
      </c>
      <c r="I35" s="1082">
        <f t="shared" si="36"/>
        <v>-4263.4452937083088</v>
      </c>
      <c r="J35" s="1082">
        <f t="shared" si="36"/>
        <v>-4263.4452937083088</v>
      </c>
      <c r="K35" s="1082">
        <f t="shared" si="36"/>
        <v>-489001.38513583987</v>
      </c>
      <c r="L35" s="1082">
        <f t="shared" si="36"/>
        <v>-20135.594532770498</v>
      </c>
      <c r="M35" s="1082">
        <f t="shared" si="36"/>
        <v>-59437.140258611806</v>
      </c>
      <c r="N35" s="1082">
        <f t="shared" si="36"/>
        <v>-279267.28218739678</v>
      </c>
      <c r="O35" s="1082">
        <f t="shared" si="36"/>
        <v>-67588.260644770999</v>
      </c>
      <c r="P35" s="1082">
        <f t="shared" si="36"/>
        <v>54471.51690453905</v>
      </c>
      <c r="Q35" s="1082">
        <f t="shared" si="36"/>
        <v>-25702.089232966187</v>
      </c>
      <c r="R35" s="1082">
        <f t="shared" si="36"/>
        <v>399808.49902410043</v>
      </c>
      <c r="S35" s="1082">
        <f t="shared" si="36"/>
        <v>242511.62115012808</v>
      </c>
      <c r="T35" s="1082">
        <f t="shared" si="36"/>
        <v>126059.65051332429</v>
      </c>
      <c r="U35" s="1082">
        <f t="shared" si="36"/>
        <v>106766.84835743948</v>
      </c>
      <c r="V35" s="1082">
        <f t="shared" si="36"/>
        <v>833251.8192500677</v>
      </c>
      <c r="W35" s="1082">
        <f t="shared" si="36"/>
        <v>0</v>
      </c>
      <c r="X35" s="1082">
        <f t="shared" si="36"/>
        <v>0</v>
      </c>
      <c r="Y35" s="1082">
        <f t="shared" si="36"/>
        <v>58992.737336789636</v>
      </c>
      <c r="Z35" s="1082">
        <f t="shared" si="36"/>
        <v>0</v>
      </c>
      <c r="AA35" s="1082">
        <f t="shared" si="36"/>
        <v>0</v>
      </c>
      <c r="AB35" s="1082">
        <f t="shared" si="36"/>
        <v>0</v>
      </c>
      <c r="AC35" s="1082">
        <f t="shared" si="36"/>
        <v>0</v>
      </c>
      <c r="AD35" s="1082">
        <f t="shared" si="36"/>
        <v>0</v>
      </c>
      <c r="AE35" s="1082">
        <f t="shared" si="36"/>
        <v>0</v>
      </c>
      <c r="AF35" s="1082">
        <f t="shared" si="36"/>
        <v>0</v>
      </c>
      <c r="AG35" s="1082">
        <f t="shared" si="36"/>
        <v>0</v>
      </c>
      <c r="AH35" s="1082">
        <f t="shared" si="36"/>
        <v>0</v>
      </c>
      <c r="AI35" s="1082">
        <f t="shared" si="36"/>
        <v>0</v>
      </c>
      <c r="AJ35" s="1082">
        <f t="shared" si="36"/>
        <v>0</v>
      </c>
      <c r="AK35" s="1082">
        <f t="shared" si="36"/>
        <v>0</v>
      </c>
      <c r="AL35" s="1082">
        <f t="shared" si="36"/>
        <v>0</v>
      </c>
      <c r="AM35" s="1082">
        <f t="shared" si="36"/>
        <v>0</v>
      </c>
      <c r="AN35" s="1082">
        <f t="shared" si="36"/>
        <v>0</v>
      </c>
      <c r="AO35" s="1082">
        <f t="shared" si="36"/>
        <v>0</v>
      </c>
      <c r="AP35" s="1082">
        <f t="shared" si="36"/>
        <v>0</v>
      </c>
      <c r="AQ35" s="1082">
        <f t="shared" si="36"/>
        <v>0</v>
      </c>
      <c r="AR35" s="1082">
        <f t="shared" si="36"/>
        <v>0</v>
      </c>
      <c r="AS35" s="1082">
        <f t="shared" si="36"/>
        <v>0</v>
      </c>
      <c r="AT35" s="1082">
        <f t="shared" si="36"/>
        <v>0</v>
      </c>
      <c r="AU35" s="1082">
        <f t="shared" si="36"/>
        <v>0</v>
      </c>
      <c r="AV35" s="1082">
        <f t="shared" si="36"/>
        <v>0</v>
      </c>
      <c r="AW35" s="1082">
        <f t="shared" si="36"/>
        <v>0</v>
      </c>
      <c r="AX35" s="1082">
        <f t="shared" si="36"/>
        <v>0</v>
      </c>
      <c r="AY35" s="1082">
        <f t="shared" si="36"/>
        <v>0</v>
      </c>
      <c r="AZ35" s="1082">
        <f t="shared" si="36"/>
        <v>0</v>
      </c>
      <c r="BA35" s="1082">
        <f t="shared" si="36"/>
        <v>0</v>
      </c>
      <c r="BB35" s="1082">
        <f t="shared" si="36"/>
        <v>0</v>
      </c>
      <c r="BC35" s="1082">
        <f t="shared" si="36"/>
        <v>0</v>
      </c>
      <c r="BD35" s="1082">
        <f t="shared" si="36"/>
        <v>0</v>
      </c>
      <c r="BE35" s="1082">
        <f t="shared" si="36"/>
        <v>0</v>
      </c>
      <c r="BF35" s="1082">
        <f t="shared" si="36"/>
        <v>0</v>
      </c>
      <c r="BG35" s="1082">
        <f t="shared" si="36"/>
        <v>0</v>
      </c>
      <c r="BH35" s="1082">
        <f t="shared" si="36"/>
        <v>0</v>
      </c>
      <c r="BI35" s="1082">
        <f t="shared" si="36"/>
        <v>0</v>
      </c>
      <c r="BJ35" s="1082">
        <f t="shared" si="36"/>
        <v>0</v>
      </c>
      <c r="BK35" s="1082">
        <f t="shared" si="36"/>
        <v>0</v>
      </c>
      <c r="BL35" s="1082">
        <f t="shared" si="36"/>
        <v>0</v>
      </c>
      <c r="BM35" s="1082">
        <f t="shared" si="36"/>
        <v>0</v>
      </c>
      <c r="BN35" s="1082">
        <f t="shared" si="36"/>
        <v>0</v>
      </c>
      <c r="BO35" s="1082">
        <f t="shared" si="36"/>
        <v>0</v>
      </c>
      <c r="BP35" s="1082">
        <f t="shared" si="36"/>
        <v>0</v>
      </c>
      <c r="BQ35" s="1082">
        <f t="shared" si="36"/>
        <v>0</v>
      </c>
      <c r="BR35" s="1082">
        <f t="shared" si="36"/>
        <v>0</v>
      </c>
      <c r="BS35" s="1082">
        <f t="shared" si="36"/>
        <v>0</v>
      </c>
      <c r="BT35" s="1082">
        <f t="shared" ref="BT35:CH35" si="37">BT31-BT33-BT34</f>
        <v>0</v>
      </c>
      <c r="BU35" s="1082">
        <f t="shared" si="37"/>
        <v>0</v>
      </c>
      <c r="BV35" s="1082">
        <f t="shared" si="37"/>
        <v>0</v>
      </c>
      <c r="BW35" s="1082">
        <f t="shared" si="37"/>
        <v>0</v>
      </c>
      <c r="BX35" s="1082">
        <f t="shared" si="37"/>
        <v>0</v>
      </c>
      <c r="BY35" s="1082">
        <f t="shared" si="37"/>
        <v>0</v>
      </c>
      <c r="BZ35" s="1082">
        <f t="shared" si="37"/>
        <v>0</v>
      </c>
      <c r="CA35" s="1082">
        <f t="shared" si="37"/>
        <v>0</v>
      </c>
      <c r="CB35" s="1082">
        <f t="shared" si="37"/>
        <v>0</v>
      </c>
      <c r="CC35" s="1082">
        <f t="shared" si="37"/>
        <v>0</v>
      </c>
      <c r="CD35" s="1082">
        <f t="shared" si="37"/>
        <v>0</v>
      </c>
      <c r="CE35" s="1082">
        <f t="shared" si="37"/>
        <v>0</v>
      </c>
      <c r="CF35" s="1082">
        <f t="shared" si="37"/>
        <v>0</v>
      </c>
      <c r="CG35" s="1082">
        <f t="shared" si="37"/>
        <v>0</v>
      </c>
      <c r="CH35" s="1082">
        <f t="shared" si="37"/>
        <v>0</v>
      </c>
    </row>
    <row r="36" spans="1:86" s="1050" customFormat="1" ht="15" customHeight="1">
      <c r="A36" s="1024"/>
      <c r="C36" s="1051">
        <f>D31-D33</f>
        <v>429804.04995661601</v>
      </c>
      <c r="D36" s="1051">
        <f>+D31*0.8-D35</f>
        <v>77600</v>
      </c>
      <c r="E36" s="1051">
        <v>0</v>
      </c>
      <c r="F36" s="1050">
        <v>2026</v>
      </c>
      <c r="G36" s="1050">
        <f t="shared" ref="G36:AL36" si="38">F36+1</f>
        <v>2027</v>
      </c>
      <c r="H36" s="1050">
        <f t="shared" si="38"/>
        <v>2028</v>
      </c>
      <c r="I36" s="1050">
        <f t="shared" si="38"/>
        <v>2029</v>
      </c>
      <c r="J36" s="1050">
        <f t="shared" si="38"/>
        <v>2030</v>
      </c>
      <c r="K36" s="1050">
        <f t="shared" si="38"/>
        <v>2031</v>
      </c>
      <c r="L36" s="1050">
        <f t="shared" si="38"/>
        <v>2032</v>
      </c>
      <c r="M36" s="1050">
        <f t="shared" si="38"/>
        <v>2033</v>
      </c>
      <c r="N36" s="1050">
        <f t="shared" si="38"/>
        <v>2034</v>
      </c>
      <c r="O36" s="1050">
        <f t="shared" si="38"/>
        <v>2035</v>
      </c>
      <c r="P36" s="1050">
        <f t="shared" si="38"/>
        <v>2036</v>
      </c>
      <c r="Q36" s="1050">
        <f t="shared" si="38"/>
        <v>2037</v>
      </c>
      <c r="R36" s="1050">
        <f t="shared" si="38"/>
        <v>2038</v>
      </c>
      <c r="S36" s="1050">
        <f t="shared" si="38"/>
        <v>2039</v>
      </c>
      <c r="T36" s="1050">
        <f t="shared" si="38"/>
        <v>2040</v>
      </c>
      <c r="U36" s="1050">
        <f t="shared" si="38"/>
        <v>2041</v>
      </c>
      <c r="V36" s="1050">
        <f t="shared" si="38"/>
        <v>2042</v>
      </c>
      <c r="W36" s="1050">
        <f t="shared" si="38"/>
        <v>2043</v>
      </c>
      <c r="X36" s="1050">
        <f t="shared" si="38"/>
        <v>2044</v>
      </c>
      <c r="Y36" s="1050">
        <f t="shared" si="38"/>
        <v>2045</v>
      </c>
      <c r="Z36" s="1050">
        <f t="shared" si="38"/>
        <v>2046</v>
      </c>
      <c r="AA36" s="1050">
        <f t="shared" si="38"/>
        <v>2047</v>
      </c>
      <c r="AB36" s="1050">
        <f t="shared" si="38"/>
        <v>2048</v>
      </c>
      <c r="AC36" s="1050">
        <f t="shared" si="38"/>
        <v>2049</v>
      </c>
      <c r="AD36" s="1050">
        <f t="shared" si="38"/>
        <v>2050</v>
      </c>
      <c r="AE36" s="1050">
        <f t="shared" si="38"/>
        <v>2051</v>
      </c>
      <c r="AF36" s="1050">
        <f t="shared" si="38"/>
        <v>2052</v>
      </c>
      <c r="AG36" s="1050">
        <f t="shared" si="38"/>
        <v>2053</v>
      </c>
      <c r="AH36" s="1050">
        <f t="shared" si="38"/>
        <v>2054</v>
      </c>
      <c r="AI36" s="1050">
        <f t="shared" si="38"/>
        <v>2055</v>
      </c>
      <c r="AJ36" s="1050">
        <f t="shared" si="38"/>
        <v>2056</v>
      </c>
      <c r="AK36" s="1050">
        <f t="shared" si="38"/>
        <v>2057</v>
      </c>
      <c r="AL36" s="1050">
        <f t="shared" si="38"/>
        <v>2058</v>
      </c>
      <c r="AM36" s="1050">
        <f t="shared" ref="AM36:BN36" si="39">AL36+1</f>
        <v>2059</v>
      </c>
      <c r="AN36" s="1050">
        <f t="shared" si="39"/>
        <v>2060</v>
      </c>
      <c r="AO36" s="1050">
        <f t="shared" si="39"/>
        <v>2061</v>
      </c>
      <c r="AP36" s="1050">
        <f t="shared" si="39"/>
        <v>2062</v>
      </c>
      <c r="AQ36" s="1050">
        <f t="shared" si="39"/>
        <v>2063</v>
      </c>
      <c r="AR36" s="1050">
        <f t="shared" si="39"/>
        <v>2064</v>
      </c>
      <c r="AS36" s="1050">
        <f t="shared" si="39"/>
        <v>2065</v>
      </c>
      <c r="AT36" s="1050">
        <f t="shared" si="39"/>
        <v>2066</v>
      </c>
      <c r="AU36" s="1050">
        <f t="shared" si="39"/>
        <v>2067</v>
      </c>
      <c r="AV36" s="1050">
        <f t="shared" si="39"/>
        <v>2068</v>
      </c>
      <c r="AW36" s="1050">
        <f t="shared" si="39"/>
        <v>2069</v>
      </c>
      <c r="AX36" s="1050">
        <f t="shared" si="39"/>
        <v>2070</v>
      </c>
      <c r="AY36" s="1050">
        <f t="shared" si="39"/>
        <v>2071</v>
      </c>
      <c r="AZ36" s="1050">
        <f t="shared" si="39"/>
        <v>2072</v>
      </c>
      <c r="BA36" s="1050">
        <f t="shared" si="39"/>
        <v>2073</v>
      </c>
      <c r="BB36" s="1050">
        <f t="shared" si="39"/>
        <v>2074</v>
      </c>
      <c r="BC36" s="1050">
        <f t="shared" si="39"/>
        <v>2075</v>
      </c>
      <c r="BD36" s="1050">
        <f t="shared" si="39"/>
        <v>2076</v>
      </c>
      <c r="BE36" s="1050">
        <f t="shared" si="39"/>
        <v>2077</v>
      </c>
      <c r="BF36" s="1050">
        <f t="shared" si="39"/>
        <v>2078</v>
      </c>
      <c r="BG36" s="1050">
        <f t="shared" si="39"/>
        <v>2079</v>
      </c>
      <c r="BH36" s="1050">
        <f t="shared" si="39"/>
        <v>2080</v>
      </c>
      <c r="BI36" s="1050">
        <f t="shared" si="39"/>
        <v>2081</v>
      </c>
      <c r="BJ36" s="1050">
        <f t="shared" si="39"/>
        <v>2082</v>
      </c>
      <c r="BK36" s="1050">
        <f t="shared" si="39"/>
        <v>2083</v>
      </c>
      <c r="BL36" s="1050">
        <f t="shared" si="39"/>
        <v>2084</v>
      </c>
      <c r="BM36" s="1050">
        <f t="shared" si="39"/>
        <v>2085</v>
      </c>
      <c r="BN36" s="1050">
        <f t="shared" si="39"/>
        <v>2086</v>
      </c>
      <c r="BP36" s="1051"/>
      <c r="BQ36" s="1051"/>
      <c r="BR36" s="1051"/>
      <c r="BS36" s="1051"/>
      <c r="BT36" s="1051"/>
      <c r="BU36" s="1051"/>
      <c r="BV36" s="1051"/>
      <c r="BW36" s="1051"/>
      <c r="BX36" s="1051"/>
      <c r="BY36" s="1051"/>
      <c r="BZ36" s="1051"/>
      <c r="CA36" s="1051"/>
      <c r="CB36" s="1051"/>
      <c r="CC36" s="1051"/>
    </row>
    <row r="37" spans="1:86" s="1053" customFormat="1" ht="19.5" customHeight="1">
      <c r="A37" s="1025"/>
      <c r="B37" s="1076"/>
      <c r="C37" s="1077" t="s">
        <v>541</v>
      </c>
      <c r="D37" s="1052">
        <f>SUM(E37:BH37)</f>
        <v>352204.0499566159</v>
      </c>
      <c r="E37" s="1078">
        <f>SUMIFS(28:28,7:7,E7)</f>
        <v>0</v>
      </c>
      <c r="F37" s="1078">
        <f t="shared" ref="F37:AK37" si="40">SUMIFS(28:28,7:7,F36)</f>
        <v>-524263.4452937083</v>
      </c>
      <c r="G37" s="1078">
        <f t="shared" si="40"/>
        <v>-198061.22116598851</v>
      </c>
      <c r="H37" s="1078">
        <f t="shared" si="40"/>
        <v>-91650.487881372712</v>
      </c>
      <c r="I37" s="1078">
        <f t="shared" si="40"/>
        <v>273934.64771082811</v>
      </c>
      <c r="J37" s="1078">
        <f t="shared" si="40"/>
        <v>892244.5565868573</v>
      </c>
      <c r="K37" s="1078">
        <f t="shared" si="40"/>
        <v>0</v>
      </c>
      <c r="L37" s="1078">
        <f t="shared" si="40"/>
        <v>0</v>
      </c>
      <c r="M37" s="1078">
        <f t="shared" si="40"/>
        <v>0</v>
      </c>
      <c r="N37" s="1078">
        <f t="shared" si="40"/>
        <v>0</v>
      </c>
      <c r="O37" s="1078">
        <f t="shared" si="40"/>
        <v>0</v>
      </c>
      <c r="P37" s="1078">
        <f t="shared" si="40"/>
        <v>0</v>
      </c>
      <c r="Q37" s="1078">
        <f t="shared" si="40"/>
        <v>0</v>
      </c>
      <c r="R37" s="1078">
        <f t="shared" si="40"/>
        <v>0</v>
      </c>
      <c r="S37" s="1078">
        <f t="shared" si="40"/>
        <v>0</v>
      </c>
      <c r="T37" s="1078">
        <f t="shared" si="40"/>
        <v>0</v>
      </c>
      <c r="U37" s="1078">
        <f t="shared" si="40"/>
        <v>0</v>
      </c>
      <c r="V37" s="1078">
        <f t="shared" si="40"/>
        <v>0</v>
      </c>
      <c r="W37" s="1078">
        <f t="shared" si="40"/>
        <v>0</v>
      </c>
      <c r="X37" s="1078">
        <f t="shared" si="40"/>
        <v>0</v>
      </c>
      <c r="Y37" s="1078">
        <f t="shared" si="40"/>
        <v>0</v>
      </c>
      <c r="Z37" s="1078">
        <f t="shared" si="40"/>
        <v>0</v>
      </c>
      <c r="AA37" s="1078">
        <f t="shared" si="40"/>
        <v>0</v>
      </c>
      <c r="AB37" s="1078">
        <f t="shared" si="40"/>
        <v>0</v>
      </c>
      <c r="AC37" s="1078">
        <f t="shared" si="40"/>
        <v>0</v>
      </c>
      <c r="AD37" s="1078">
        <f t="shared" si="40"/>
        <v>0</v>
      </c>
      <c r="AE37" s="1078">
        <f t="shared" si="40"/>
        <v>0</v>
      </c>
      <c r="AF37" s="1078">
        <f t="shared" si="40"/>
        <v>0</v>
      </c>
      <c r="AG37" s="1078">
        <f t="shared" si="40"/>
        <v>0</v>
      </c>
      <c r="AH37" s="1078">
        <f t="shared" si="40"/>
        <v>0</v>
      </c>
      <c r="AI37" s="1078">
        <f t="shared" si="40"/>
        <v>0</v>
      </c>
      <c r="AJ37" s="1078">
        <f t="shared" si="40"/>
        <v>0</v>
      </c>
      <c r="AK37" s="1078">
        <f t="shared" si="40"/>
        <v>0</v>
      </c>
      <c r="AL37" s="1078">
        <f t="shared" ref="AL37:BN37" si="41">SUMIFS(28:28,7:7,AL36)</f>
        <v>0</v>
      </c>
      <c r="AM37" s="1078">
        <f t="shared" si="41"/>
        <v>0</v>
      </c>
      <c r="AN37" s="1078">
        <f t="shared" si="41"/>
        <v>0</v>
      </c>
      <c r="AO37" s="1078">
        <f t="shared" si="41"/>
        <v>0</v>
      </c>
      <c r="AP37" s="1078">
        <f t="shared" si="41"/>
        <v>0</v>
      </c>
      <c r="AQ37" s="1078">
        <f t="shared" si="41"/>
        <v>0</v>
      </c>
      <c r="AR37" s="1078">
        <f t="shared" si="41"/>
        <v>0</v>
      </c>
      <c r="AS37" s="1078">
        <f t="shared" si="41"/>
        <v>0</v>
      </c>
      <c r="AT37" s="1078">
        <f t="shared" si="41"/>
        <v>0</v>
      </c>
      <c r="AU37" s="1078">
        <f t="shared" si="41"/>
        <v>0</v>
      </c>
      <c r="AV37" s="1078">
        <f t="shared" si="41"/>
        <v>0</v>
      </c>
      <c r="AW37" s="1078">
        <f t="shared" si="41"/>
        <v>0</v>
      </c>
      <c r="AX37" s="1078">
        <f t="shared" si="41"/>
        <v>0</v>
      </c>
      <c r="AY37" s="1078">
        <f t="shared" si="41"/>
        <v>0</v>
      </c>
      <c r="AZ37" s="1078">
        <f t="shared" si="41"/>
        <v>0</v>
      </c>
      <c r="BA37" s="1078">
        <f t="shared" si="41"/>
        <v>0</v>
      </c>
      <c r="BB37" s="1078">
        <f t="shared" si="41"/>
        <v>0</v>
      </c>
      <c r="BC37" s="1078">
        <f t="shared" si="41"/>
        <v>0</v>
      </c>
      <c r="BD37" s="1078">
        <f t="shared" si="41"/>
        <v>0</v>
      </c>
      <c r="BE37" s="1078">
        <f t="shared" si="41"/>
        <v>0</v>
      </c>
      <c r="BF37" s="1078">
        <f t="shared" si="41"/>
        <v>0</v>
      </c>
      <c r="BG37" s="1078">
        <f t="shared" si="41"/>
        <v>0</v>
      </c>
      <c r="BH37" s="1078">
        <f t="shared" si="41"/>
        <v>0</v>
      </c>
      <c r="BI37" s="1078">
        <f t="shared" si="41"/>
        <v>0</v>
      </c>
      <c r="BJ37" s="1078">
        <f t="shared" si="41"/>
        <v>0</v>
      </c>
      <c r="BK37" s="1078">
        <f t="shared" si="41"/>
        <v>0</v>
      </c>
      <c r="BL37" s="1078">
        <f t="shared" si="41"/>
        <v>0</v>
      </c>
      <c r="BM37" s="1078">
        <f t="shared" si="41"/>
        <v>0</v>
      </c>
      <c r="BN37" s="1078">
        <f t="shared" si="41"/>
        <v>0</v>
      </c>
      <c r="BO37" s="1052"/>
      <c r="BP37" s="1052"/>
      <c r="BQ37" s="1052"/>
      <c r="BR37" s="1052"/>
      <c r="BS37" s="1052"/>
      <c r="BT37" s="1052"/>
      <c r="BU37" s="1052"/>
      <c r="BV37" s="1052"/>
      <c r="BW37" s="1052"/>
      <c r="BX37" s="1052"/>
      <c r="BY37" s="1052"/>
      <c r="BZ37" s="1052"/>
      <c r="CA37" s="1052"/>
      <c r="CB37" s="1052"/>
      <c r="CC37" s="1052"/>
    </row>
    <row r="38" spans="1:86" s="1053" customFormat="1" ht="19.5" customHeight="1">
      <c r="A38" s="1025"/>
      <c r="B38" s="1076"/>
      <c r="C38" s="1085" t="s">
        <v>538</v>
      </c>
      <c r="D38" s="1083"/>
      <c r="E38" s="1079" t="str">
        <f t="shared" ref="E38:AJ38" si="42">IF(AND(E37&gt;0,D37&lt;=0),"Yes","No")</f>
        <v>No</v>
      </c>
      <c r="F38" s="1079" t="str">
        <f t="shared" si="42"/>
        <v>No</v>
      </c>
      <c r="G38" s="1079" t="str">
        <f t="shared" si="42"/>
        <v>No</v>
      </c>
      <c r="H38" s="1079" t="str">
        <f t="shared" si="42"/>
        <v>No</v>
      </c>
      <c r="I38" s="1079" t="str">
        <f t="shared" si="42"/>
        <v>Yes</v>
      </c>
      <c r="J38" s="1079" t="str">
        <f t="shared" si="42"/>
        <v>No</v>
      </c>
      <c r="K38" s="1079" t="str">
        <f t="shared" si="42"/>
        <v>No</v>
      </c>
      <c r="L38" s="1079" t="str">
        <f t="shared" si="42"/>
        <v>No</v>
      </c>
      <c r="M38" s="1079" t="str">
        <f t="shared" si="42"/>
        <v>No</v>
      </c>
      <c r="N38" s="1079" t="str">
        <f t="shared" si="42"/>
        <v>No</v>
      </c>
      <c r="O38" s="1079" t="str">
        <f t="shared" si="42"/>
        <v>No</v>
      </c>
      <c r="P38" s="1079" t="str">
        <f t="shared" si="42"/>
        <v>No</v>
      </c>
      <c r="Q38" s="1079" t="str">
        <f t="shared" si="42"/>
        <v>No</v>
      </c>
      <c r="R38" s="1079" t="str">
        <f t="shared" si="42"/>
        <v>No</v>
      </c>
      <c r="S38" s="1079" t="str">
        <f t="shared" si="42"/>
        <v>No</v>
      </c>
      <c r="T38" s="1079" t="str">
        <f t="shared" si="42"/>
        <v>No</v>
      </c>
      <c r="U38" s="1079" t="str">
        <f t="shared" si="42"/>
        <v>No</v>
      </c>
      <c r="V38" s="1079" t="str">
        <f t="shared" si="42"/>
        <v>No</v>
      </c>
      <c r="W38" s="1079" t="str">
        <f t="shared" si="42"/>
        <v>No</v>
      </c>
      <c r="X38" s="1079" t="str">
        <f t="shared" si="42"/>
        <v>No</v>
      </c>
      <c r="Y38" s="1079" t="str">
        <f t="shared" si="42"/>
        <v>No</v>
      </c>
      <c r="Z38" s="1079" t="str">
        <f t="shared" si="42"/>
        <v>No</v>
      </c>
      <c r="AA38" s="1079" t="str">
        <f t="shared" si="42"/>
        <v>No</v>
      </c>
      <c r="AB38" s="1079" t="str">
        <f t="shared" si="42"/>
        <v>No</v>
      </c>
      <c r="AC38" s="1079" t="str">
        <f t="shared" si="42"/>
        <v>No</v>
      </c>
      <c r="AD38" s="1079" t="str">
        <f t="shared" si="42"/>
        <v>No</v>
      </c>
      <c r="AE38" s="1079" t="str">
        <f t="shared" si="42"/>
        <v>No</v>
      </c>
      <c r="AF38" s="1079" t="str">
        <f t="shared" si="42"/>
        <v>No</v>
      </c>
      <c r="AG38" s="1079" t="str">
        <f t="shared" si="42"/>
        <v>No</v>
      </c>
      <c r="AH38" s="1079" t="str">
        <f t="shared" si="42"/>
        <v>No</v>
      </c>
      <c r="AI38" s="1079" t="str">
        <f t="shared" si="42"/>
        <v>No</v>
      </c>
      <c r="AJ38" s="1079" t="str">
        <f t="shared" si="42"/>
        <v>No</v>
      </c>
      <c r="AK38" s="1079" t="str">
        <f t="shared" ref="AK38:BN38" si="43">IF(AND(AK37&gt;0,AJ37&lt;=0),"Yes","No")</f>
        <v>No</v>
      </c>
      <c r="AL38" s="1079" t="str">
        <f t="shared" si="43"/>
        <v>No</v>
      </c>
      <c r="AM38" s="1079" t="str">
        <f t="shared" si="43"/>
        <v>No</v>
      </c>
      <c r="AN38" s="1079" t="str">
        <f t="shared" si="43"/>
        <v>No</v>
      </c>
      <c r="AO38" s="1079" t="str">
        <f t="shared" si="43"/>
        <v>No</v>
      </c>
      <c r="AP38" s="1079" t="str">
        <f t="shared" si="43"/>
        <v>No</v>
      </c>
      <c r="AQ38" s="1079" t="str">
        <f t="shared" si="43"/>
        <v>No</v>
      </c>
      <c r="AR38" s="1079" t="str">
        <f t="shared" si="43"/>
        <v>No</v>
      </c>
      <c r="AS38" s="1079" t="str">
        <f t="shared" si="43"/>
        <v>No</v>
      </c>
      <c r="AT38" s="1079" t="str">
        <f t="shared" si="43"/>
        <v>No</v>
      </c>
      <c r="AU38" s="1079" t="str">
        <f t="shared" si="43"/>
        <v>No</v>
      </c>
      <c r="AV38" s="1079" t="str">
        <f t="shared" si="43"/>
        <v>No</v>
      </c>
      <c r="AW38" s="1079" t="str">
        <f t="shared" si="43"/>
        <v>No</v>
      </c>
      <c r="AX38" s="1079" t="str">
        <f t="shared" si="43"/>
        <v>No</v>
      </c>
      <c r="AY38" s="1079" t="str">
        <f t="shared" si="43"/>
        <v>No</v>
      </c>
      <c r="AZ38" s="1079" t="str">
        <f t="shared" si="43"/>
        <v>No</v>
      </c>
      <c r="BA38" s="1079" t="str">
        <f t="shared" si="43"/>
        <v>No</v>
      </c>
      <c r="BB38" s="1079" t="str">
        <f t="shared" si="43"/>
        <v>No</v>
      </c>
      <c r="BC38" s="1079" t="str">
        <f t="shared" si="43"/>
        <v>No</v>
      </c>
      <c r="BD38" s="1079" t="str">
        <f t="shared" si="43"/>
        <v>No</v>
      </c>
      <c r="BE38" s="1079" t="str">
        <f t="shared" si="43"/>
        <v>No</v>
      </c>
      <c r="BF38" s="1079" t="str">
        <f t="shared" si="43"/>
        <v>No</v>
      </c>
      <c r="BG38" s="1079" t="str">
        <f t="shared" si="43"/>
        <v>No</v>
      </c>
      <c r="BH38" s="1079" t="str">
        <f t="shared" si="43"/>
        <v>No</v>
      </c>
      <c r="BI38" s="1079" t="str">
        <f t="shared" si="43"/>
        <v>No</v>
      </c>
      <c r="BJ38" s="1079" t="str">
        <f t="shared" si="43"/>
        <v>No</v>
      </c>
      <c r="BK38" s="1079" t="str">
        <f t="shared" si="43"/>
        <v>No</v>
      </c>
      <c r="BL38" s="1079" t="str">
        <f t="shared" si="43"/>
        <v>No</v>
      </c>
      <c r="BM38" s="1079" t="str">
        <f t="shared" si="43"/>
        <v>No</v>
      </c>
      <c r="BN38" s="1079" t="str">
        <f t="shared" si="43"/>
        <v>No</v>
      </c>
      <c r="BO38" s="1069"/>
      <c r="BP38" s="1052"/>
      <c r="BQ38" s="1052"/>
      <c r="BR38" s="1052"/>
      <c r="BS38" s="1052"/>
      <c r="BT38" s="1052"/>
      <c r="BU38" s="1052"/>
      <c r="BV38" s="1052"/>
      <c r="BW38" s="1052"/>
      <c r="BX38" s="1052"/>
      <c r="BY38" s="1052"/>
      <c r="BZ38" s="1052"/>
      <c r="CA38" s="1052"/>
      <c r="CB38" s="1052"/>
      <c r="CC38" s="1052"/>
    </row>
    <row r="39" spans="1:86" s="1054" customFormat="1" ht="15" customHeight="1">
      <c r="A39" s="1026"/>
      <c r="C39" s="1084"/>
      <c r="D39" s="985"/>
      <c r="E39" s="1055"/>
      <c r="F39" s="1055"/>
      <c r="G39" s="1055"/>
      <c r="H39" s="1055"/>
      <c r="I39" s="1055"/>
      <c r="J39" s="1055"/>
      <c r="K39" s="1055"/>
      <c r="L39" s="1055"/>
      <c r="M39" s="1055"/>
      <c r="N39" s="1055"/>
      <c r="O39" s="1055"/>
      <c r="P39" s="1055"/>
      <c r="Q39" s="1055"/>
      <c r="R39" s="1055"/>
      <c r="S39" s="1055"/>
      <c r="T39" s="1055"/>
      <c r="U39" s="1055"/>
      <c r="V39" s="1055"/>
      <c r="W39" s="1055"/>
      <c r="X39" s="1055"/>
      <c r="Y39" s="1055"/>
      <c r="Z39" s="1055"/>
      <c r="AA39" s="1055"/>
      <c r="AB39" s="1055"/>
      <c r="AC39" s="1055"/>
      <c r="AD39" s="1055"/>
      <c r="AE39" s="1055"/>
      <c r="AF39" s="1055"/>
      <c r="AG39" s="1055"/>
      <c r="AH39" s="1055"/>
      <c r="AI39" s="1055"/>
      <c r="AJ39" s="1055"/>
      <c r="AK39" s="1055"/>
      <c r="AL39" s="1055"/>
      <c r="AM39" s="1055"/>
      <c r="AN39" s="1055"/>
      <c r="AO39" s="1055"/>
      <c r="AP39" s="1055"/>
      <c r="AQ39" s="1055"/>
      <c r="AR39" s="1055"/>
      <c r="AS39" s="1055"/>
      <c r="AT39" s="1055"/>
      <c r="AU39" s="1055"/>
      <c r="AV39" s="1055"/>
      <c r="AW39" s="1055"/>
      <c r="AX39" s="1055"/>
      <c r="AY39" s="1055"/>
      <c r="AZ39" s="1055"/>
      <c r="BA39" s="1055"/>
      <c r="BB39" s="1055"/>
      <c r="BC39" s="1055"/>
      <c r="BD39" s="1055"/>
      <c r="BE39" s="1055"/>
      <c r="BF39" s="1055"/>
      <c r="BG39" s="1055"/>
      <c r="BH39" s="1055"/>
      <c r="BI39" s="1055"/>
      <c r="BJ39" s="1055"/>
      <c r="BK39" s="1055"/>
      <c r="BL39" s="1055"/>
      <c r="BM39" s="1055"/>
      <c r="BN39" s="1055"/>
      <c r="BO39" s="1055"/>
      <c r="BP39" s="1055"/>
      <c r="BQ39" s="1055"/>
      <c r="BR39" s="1055"/>
      <c r="BS39" s="1055"/>
      <c r="BT39" s="1055"/>
      <c r="BU39" s="1055"/>
      <c r="BV39" s="1055"/>
      <c r="BW39" s="1055"/>
      <c r="BX39" s="1055"/>
      <c r="BY39" s="1055"/>
      <c r="BZ39" s="1055"/>
      <c r="CA39" s="1055"/>
      <c r="CB39" s="1055"/>
      <c r="CC39" s="1055"/>
    </row>
    <row r="40" spans="1:86" s="1054" customFormat="1" ht="15" customHeight="1">
      <c r="A40" s="1026"/>
      <c r="C40" s="1125" t="s">
        <v>65</v>
      </c>
      <c r="D40" s="1126">
        <v>0.11</v>
      </c>
      <c r="E40" s="1055"/>
      <c r="F40" s="1055"/>
      <c r="G40" s="1055"/>
      <c r="H40" s="1055"/>
      <c r="I40" s="1055"/>
      <c r="J40" s="1055"/>
      <c r="K40" s="1055"/>
      <c r="L40" s="1055"/>
      <c r="M40" s="1055"/>
      <c r="N40" s="1055"/>
      <c r="O40" s="1055"/>
      <c r="P40" s="1055"/>
      <c r="Q40" s="1055"/>
      <c r="R40" s="1055"/>
      <c r="S40" s="1055"/>
      <c r="T40" s="1055"/>
      <c r="U40" s="1055"/>
      <c r="V40" s="1055"/>
      <c r="W40" s="1055"/>
      <c r="X40" s="1055"/>
      <c r="Y40" s="1055"/>
      <c r="Z40" s="1055"/>
      <c r="AA40" s="1055"/>
      <c r="AB40" s="1055"/>
      <c r="AC40" s="1055"/>
      <c r="AD40" s="1055"/>
      <c r="AE40" s="1055"/>
      <c r="AF40" s="1055"/>
      <c r="AG40" s="1055"/>
      <c r="AH40" s="1055"/>
      <c r="AI40" s="1055"/>
      <c r="AJ40" s="1055"/>
      <c r="AK40" s="1055"/>
      <c r="AL40" s="1055"/>
      <c r="AM40" s="1055"/>
      <c r="AN40" s="1055"/>
      <c r="AO40" s="1055"/>
      <c r="AP40" s="1055"/>
      <c r="AQ40" s="1055"/>
      <c r="AR40" s="1055"/>
      <c r="AS40" s="1055"/>
      <c r="AT40" s="1055"/>
      <c r="AU40" s="1055"/>
      <c r="AV40" s="1055"/>
      <c r="AW40" s="1055"/>
      <c r="AX40" s="1055"/>
      <c r="AY40" s="1055"/>
      <c r="AZ40" s="1055"/>
      <c r="BA40" s="1055"/>
      <c r="BB40" s="1055"/>
      <c r="BC40" s="1055"/>
      <c r="BD40" s="1055"/>
      <c r="BE40" s="1055"/>
      <c r="BF40" s="1055"/>
      <c r="BG40" s="1055"/>
      <c r="BH40" s="1055"/>
      <c r="BI40" s="1055"/>
      <c r="BJ40" s="1055"/>
      <c r="BK40" s="1055"/>
      <c r="BL40" s="1055"/>
      <c r="BM40" s="1055"/>
      <c r="BN40" s="1055"/>
      <c r="BO40" s="1055"/>
      <c r="BP40" s="1055"/>
      <c r="BQ40" s="1055"/>
      <c r="BR40" s="1055"/>
      <c r="BS40" s="1055"/>
      <c r="BT40" s="1055"/>
      <c r="BU40" s="1055"/>
      <c r="BV40" s="1055"/>
      <c r="BW40" s="1055"/>
      <c r="BX40" s="1055"/>
      <c r="BY40" s="1055"/>
      <c r="BZ40" s="1055"/>
      <c r="CA40" s="1055"/>
      <c r="CB40" s="1055"/>
      <c r="CC40" s="1055"/>
    </row>
    <row r="41" spans="1:86" ht="18.75" customHeight="1">
      <c r="C41" s="2259" t="s">
        <v>494</v>
      </c>
      <c r="D41" s="2257" t="s">
        <v>83</v>
      </c>
      <c r="F41" s="1112">
        <f>+D35-D28</f>
        <v>0</v>
      </c>
      <c r="G41" s="1056"/>
      <c r="H41" s="1056"/>
      <c r="I41" s="1056"/>
      <c r="J41" s="1056"/>
      <c r="K41" s="1056"/>
      <c r="L41" s="1056"/>
      <c r="M41" s="1056"/>
      <c r="N41" s="1056"/>
      <c r="O41" s="1056"/>
      <c r="P41" s="1056"/>
      <c r="Q41" s="1056"/>
      <c r="R41" s="913"/>
      <c r="S41" s="913"/>
      <c r="T41" s="913"/>
      <c r="U41" s="913"/>
      <c r="V41" s="913"/>
      <c r="W41" s="913"/>
      <c r="X41" s="913"/>
      <c r="Y41" s="913"/>
      <c r="Z41" s="913"/>
      <c r="AA41" s="913"/>
      <c r="AB41" s="913"/>
      <c r="AC41" s="913"/>
      <c r="AD41" s="913"/>
      <c r="AE41" s="913"/>
      <c r="AF41" s="913"/>
      <c r="AG41" s="913"/>
      <c r="AH41" s="913"/>
      <c r="AI41" s="913"/>
      <c r="AJ41" s="913"/>
      <c r="AK41" s="913"/>
      <c r="AL41" s="913"/>
      <c r="AM41" s="913"/>
      <c r="AN41" s="913"/>
      <c r="AO41" s="913"/>
      <c r="AP41" s="913"/>
      <c r="AQ41" s="913"/>
      <c r="AR41" s="913"/>
      <c r="AS41" s="913"/>
      <c r="AT41" s="913"/>
      <c r="AU41" s="913"/>
      <c r="AV41" s="913"/>
      <c r="AW41" s="913"/>
      <c r="AX41" s="913"/>
      <c r="AY41" s="913"/>
      <c r="AZ41" s="913"/>
      <c r="BA41" s="913"/>
      <c r="BB41" s="913"/>
      <c r="BC41" s="913"/>
      <c r="BD41" s="913"/>
      <c r="BE41" s="913"/>
      <c r="BF41" s="913"/>
      <c r="BG41" s="913"/>
      <c r="BH41" s="913"/>
      <c r="BI41" s="913"/>
      <c r="BJ41" s="913"/>
      <c r="BK41" s="913"/>
      <c r="BL41" s="913"/>
      <c r="BM41" s="913"/>
      <c r="BN41" s="913"/>
      <c r="BO41" s="913"/>
      <c r="BP41" s="913"/>
      <c r="BQ41" s="913"/>
      <c r="BR41" s="913"/>
      <c r="BS41" s="913"/>
      <c r="BT41" s="913"/>
      <c r="BU41" s="913"/>
      <c r="BV41" s="913"/>
      <c r="BW41" s="913"/>
      <c r="BX41" s="913"/>
      <c r="BY41" s="913"/>
      <c r="BZ41" s="913"/>
      <c r="CA41" s="913"/>
      <c r="CB41" s="913"/>
      <c r="CC41" s="913"/>
    </row>
    <row r="42" spans="1:86" ht="18.75" customHeight="1" thickBot="1">
      <c r="C42" s="2260"/>
      <c r="D42" s="2258"/>
      <c r="F42" s="1086"/>
      <c r="G42" s="1056"/>
      <c r="H42" s="1056"/>
      <c r="I42" s="1056"/>
      <c r="J42" s="1056"/>
      <c r="K42" s="1056"/>
      <c r="L42" s="1056"/>
      <c r="M42" s="1056"/>
      <c r="N42" s="1056"/>
      <c r="O42" s="1056"/>
      <c r="P42" s="1056"/>
      <c r="Q42" s="1056"/>
      <c r="R42" s="913"/>
      <c r="S42" s="913"/>
      <c r="T42" s="913"/>
      <c r="U42" s="913"/>
      <c r="V42" s="913"/>
      <c r="W42" s="913"/>
      <c r="X42" s="913"/>
      <c r="Y42" s="913"/>
      <c r="Z42" s="913"/>
      <c r="AA42" s="913"/>
      <c r="AB42" s="913"/>
      <c r="AC42" s="913"/>
      <c r="AD42" s="913"/>
      <c r="AE42" s="913"/>
      <c r="AF42" s="913"/>
      <c r="AG42" s="913"/>
      <c r="AH42" s="913"/>
      <c r="AI42" s="913"/>
      <c r="AJ42" s="913"/>
      <c r="AK42" s="913"/>
      <c r="AL42" s="913"/>
      <c r="AM42" s="913"/>
      <c r="AN42" s="913"/>
      <c r="AO42" s="913"/>
      <c r="AP42" s="913"/>
      <c r="AQ42" s="913"/>
      <c r="AR42" s="913"/>
      <c r="AS42" s="913"/>
      <c r="AT42" s="913"/>
      <c r="AU42" s="913"/>
      <c r="AV42" s="913"/>
      <c r="AW42" s="913"/>
      <c r="AX42" s="913"/>
      <c r="AY42" s="913"/>
      <c r="AZ42" s="913"/>
      <c r="BA42" s="913"/>
      <c r="BB42" s="913"/>
      <c r="BC42" s="913"/>
      <c r="BD42" s="913"/>
      <c r="BE42" s="913"/>
      <c r="BF42" s="913"/>
      <c r="BG42" s="913"/>
      <c r="BH42" s="913"/>
      <c r="BI42" s="913"/>
      <c r="BJ42" s="913"/>
      <c r="BK42" s="913"/>
      <c r="BL42" s="913"/>
      <c r="BM42" s="913"/>
      <c r="BN42" s="913"/>
      <c r="BO42" s="913"/>
      <c r="BP42" s="913"/>
      <c r="BQ42" s="913"/>
      <c r="BR42" s="913"/>
      <c r="BS42" s="913"/>
      <c r="BT42" s="913"/>
      <c r="BU42" s="913"/>
      <c r="BV42" s="913"/>
      <c r="BW42" s="913"/>
      <c r="BX42" s="913"/>
      <c r="BY42" s="913"/>
      <c r="BZ42" s="913"/>
      <c r="CA42" s="913"/>
      <c r="CB42" s="913"/>
      <c r="CC42" s="913"/>
    </row>
    <row r="43" spans="1:86" s="1058" customFormat="1" ht="23.1" customHeight="1">
      <c r="A43" s="1027"/>
      <c r="B43" s="1057"/>
      <c r="C43" s="1113" t="s">
        <v>540</v>
      </c>
      <c r="D43" s="1114">
        <f>D31</f>
        <v>537255.06244577002</v>
      </c>
      <c r="E43" s="1062"/>
      <c r="F43" s="1413"/>
      <c r="G43" s="1060"/>
      <c r="H43" s="1059"/>
      <c r="I43" s="1063"/>
      <c r="J43" s="1056"/>
      <c r="K43" s="1056"/>
      <c r="L43" s="1056"/>
      <c r="M43" s="1061"/>
      <c r="N43" s="1061"/>
      <c r="O43" s="1061"/>
      <c r="P43" s="1061"/>
      <c r="Q43" s="1061"/>
      <c r="R43" s="1061"/>
      <c r="S43" s="1061"/>
      <c r="T43" s="1061"/>
      <c r="U43" s="1061"/>
      <c r="V43" s="1061"/>
      <c r="W43" s="1061"/>
      <c r="X43" s="1061"/>
      <c r="Y43" s="1061"/>
      <c r="Z43" s="1061"/>
      <c r="AA43" s="1061"/>
      <c r="AB43" s="1061"/>
      <c r="AC43" s="1061"/>
      <c r="AD43" s="1061"/>
      <c r="AE43" s="1061"/>
      <c r="AF43" s="1061"/>
      <c r="AG43" s="1061"/>
      <c r="AH43" s="1061"/>
      <c r="AI43" s="1061"/>
      <c r="AJ43" s="1061"/>
      <c r="AK43" s="1061"/>
      <c r="AL43" s="1061"/>
      <c r="AM43" s="1061"/>
      <c r="AN43" s="1061"/>
      <c r="AO43" s="1061"/>
      <c r="AP43" s="1061"/>
      <c r="AQ43" s="1061"/>
      <c r="AR43" s="1061"/>
      <c r="AS43" s="1061"/>
      <c r="AT43" s="1061"/>
      <c r="AU43" s="1061"/>
      <c r="AV43" s="1061"/>
      <c r="AW43" s="1061"/>
      <c r="AX43" s="1061"/>
      <c r="AY43" s="1061"/>
      <c r="AZ43" s="1061"/>
      <c r="BA43" s="1061"/>
      <c r="BB43" s="1061"/>
      <c r="BC43" s="1061"/>
      <c r="BD43" s="1061"/>
      <c r="BE43" s="1061"/>
      <c r="BF43" s="1061"/>
      <c r="BG43" s="1061"/>
      <c r="BH43" s="1061"/>
      <c r="BI43" s="1061"/>
      <c r="BJ43" s="1061"/>
      <c r="BK43" s="1061"/>
      <c r="BL43" s="1061"/>
      <c r="BM43" s="1061"/>
      <c r="BN43" s="1061"/>
      <c r="BO43" s="1061"/>
      <c r="BP43" s="1061"/>
      <c r="BQ43" s="1061"/>
      <c r="BR43" s="1061"/>
      <c r="BS43" s="1061"/>
      <c r="BT43" s="1061"/>
      <c r="BU43" s="1061"/>
      <c r="BV43" s="1061"/>
      <c r="BW43" s="1061"/>
      <c r="BX43" s="1061"/>
      <c r="BY43" s="1061"/>
      <c r="BZ43" s="1061"/>
      <c r="CA43" s="1061"/>
      <c r="CB43" s="1061"/>
      <c r="CC43" s="1061"/>
    </row>
    <row r="44" spans="1:86" s="1058" customFormat="1" ht="23.1" customHeight="1">
      <c r="A44" s="1027"/>
      <c r="B44" s="1057"/>
      <c r="C44" s="2174" t="s">
        <v>751</v>
      </c>
      <c r="D44" s="2175">
        <f>+D32</f>
        <v>440255.06244577008</v>
      </c>
      <c r="E44" s="1062"/>
      <c r="F44" s="1413"/>
      <c r="G44" s="1060"/>
      <c r="H44" s="1059"/>
      <c r="I44" s="1063"/>
      <c r="J44" s="1056"/>
      <c r="K44" s="1056"/>
      <c r="L44" s="1056"/>
      <c r="M44" s="1061"/>
      <c r="N44" s="1061"/>
      <c r="O44" s="1061"/>
      <c r="P44" s="1061"/>
      <c r="Q44" s="1061"/>
      <c r="R44" s="1061"/>
      <c r="S44" s="1061"/>
      <c r="T44" s="1061"/>
      <c r="U44" s="1061"/>
      <c r="V44" s="1061"/>
      <c r="W44" s="1061"/>
      <c r="X44" s="1061"/>
      <c r="Y44" s="1061"/>
      <c r="Z44" s="1061"/>
      <c r="AA44" s="1061"/>
      <c r="AB44" s="1061"/>
      <c r="AC44" s="1061"/>
      <c r="AD44" s="1061"/>
      <c r="AE44" s="1061"/>
      <c r="AF44" s="1061"/>
      <c r="AG44" s="1061"/>
      <c r="AH44" s="1061"/>
      <c r="AI44" s="1061"/>
      <c r="AJ44" s="1061"/>
      <c r="AK44" s="1061"/>
      <c r="AL44" s="1061"/>
      <c r="AM44" s="1061"/>
      <c r="AN44" s="1061"/>
      <c r="AO44" s="1061"/>
      <c r="AP44" s="1061"/>
      <c r="AQ44" s="1061"/>
      <c r="AR44" s="1061"/>
      <c r="AS44" s="1061"/>
      <c r="AT44" s="1061"/>
      <c r="AU44" s="1061"/>
      <c r="AV44" s="1061"/>
      <c r="AW44" s="1061"/>
      <c r="AX44" s="1061"/>
      <c r="AY44" s="1061"/>
      <c r="AZ44" s="1061"/>
      <c r="BA44" s="1061"/>
      <c r="BB44" s="1061"/>
      <c r="BC44" s="1061"/>
      <c r="BD44" s="1061"/>
      <c r="BE44" s="1061"/>
      <c r="BF44" s="1061"/>
      <c r="BG44" s="1061"/>
      <c r="BH44" s="1061"/>
      <c r="BI44" s="1061"/>
      <c r="BJ44" s="1061"/>
      <c r="BK44" s="1061"/>
      <c r="BL44" s="1061"/>
      <c r="BM44" s="1061"/>
      <c r="BN44" s="1061"/>
      <c r="BO44" s="1061"/>
      <c r="BP44" s="1061"/>
      <c r="BQ44" s="1061"/>
      <c r="BR44" s="1061"/>
      <c r="BS44" s="1061"/>
      <c r="BT44" s="1061"/>
      <c r="BU44" s="1061"/>
      <c r="BV44" s="1061"/>
      <c r="BW44" s="1061"/>
      <c r="BX44" s="1061"/>
      <c r="BY44" s="1061"/>
      <c r="BZ44" s="1061"/>
      <c r="CA44" s="1061"/>
      <c r="CB44" s="1061"/>
      <c r="CC44" s="1061"/>
    </row>
    <row r="45" spans="1:86" s="1058" customFormat="1" ht="23.1" customHeight="1">
      <c r="A45" s="1027"/>
      <c r="B45" s="1057"/>
      <c r="C45" s="1115" t="s">
        <v>527</v>
      </c>
      <c r="D45" s="1116">
        <f>NPV('7.CF'!$D$40,'7.CF'!$G$37:$BN$37)+'7.CF'!$F$37</f>
        <v>10965.209523939237</v>
      </c>
      <c r="E45" s="1064"/>
      <c r="F45" s="2248"/>
      <c r="G45" s="1060"/>
      <c r="H45" s="1059"/>
      <c r="I45" s="1065"/>
      <c r="J45" s="1056"/>
      <c r="K45" s="1056"/>
      <c r="L45" s="1056"/>
      <c r="M45" s="1066"/>
      <c r="N45" s="1067"/>
      <c r="O45" s="1067"/>
      <c r="P45" s="1061"/>
      <c r="Q45" s="1061"/>
      <c r="R45" s="1061"/>
      <c r="S45" s="1061"/>
      <c r="T45" s="1061"/>
      <c r="U45" s="1061"/>
      <c r="V45" s="1061"/>
      <c r="W45" s="1061"/>
      <c r="X45" s="1061"/>
      <c r="Y45" s="1061"/>
      <c r="Z45" s="1061"/>
      <c r="AA45" s="1061"/>
      <c r="AB45" s="1061"/>
      <c r="AC45" s="1061"/>
      <c r="AD45" s="1061"/>
      <c r="AE45" s="1061"/>
      <c r="AF45" s="1061"/>
      <c r="AG45" s="1061"/>
      <c r="AH45" s="1061"/>
      <c r="AI45" s="1061"/>
      <c r="AJ45" s="1061"/>
      <c r="AK45" s="1061"/>
      <c r="AL45" s="1061"/>
      <c r="AM45" s="1061"/>
      <c r="AN45" s="1061"/>
      <c r="AO45" s="1061"/>
      <c r="AP45" s="1061"/>
      <c r="AQ45" s="1061"/>
      <c r="AR45" s="1061"/>
      <c r="AS45" s="1061"/>
      <c r="AT45" s="1061"/>
      <c r="AU45" s="1061"/>
      <c r="AV45" s="1061"/>
      <c r="AW45" s="1061"/>
      <c r="AX45" s="1061"/>
      <c r="AY45" s="1061"/>
      <c r="AZ45" s="1061"/>
      <c r="BA45" s="1061"/>
      <c r="BB45" s="1061"/>
      <c r="BC45" s="1061"/>
      <c r="BD45" s="1061"/>
      <c r="BE45" s="1061"/>
      <c r="BF45" s="1061"/>
      <c r="BG45" s="1061"/>
      <c r="BH45" s="1061"/>
      <c r="BI45" s="1061"/>
      <c r="BJ45" s="1061"/>
      <c r="BK45" s="1061"/>
      <c r="BL45" s="1061"/>
      <c r="BM45" s="1061"/>
      <c r="BN45" s="1061"/>
      <c r="BO45" s="1061"/>
      <c r="BP45" s="1061"/>
      <c r="BQ45" s="1061"/>
      <c r="BR45" s="1061"/>
      <c r="BS45" s="1061"/>
      <c r="BT45" s="1061"/>
      <c r="BU45" s="1061"/>
      <c r="BV45" s="1061"/>
      <c r="BW45" s="1061"/>
      <c r="BX45" s="1061"/>
      <c r="BY45" s="1061"/>
      <c r="BZ45" s="1061"/>
      <c r="CA45" s="1061"/>
      <c r="CB45" s="1061"/>
      <c r="CC45" s="1061"/>
    </row>
    <row r="46" spans="1:86" s="1058" customFormat="1" ht="23.1" customHeight="1">
      <c r="A46" s="1027"/>
      <c r="B46" s="1057"/>
      <c r="C46" s="1113" t="s">
        <v>528</v>
      </c>
      <c r="D46" s="1430">
        <f>IRR(F37:BN37)</f>
        <v>0.11468720521467524</v>
      </c>
      <c r="E46" s="1068"/>
      <c r="F46" s="1069"/>
      <c r="G46" s="1070"/>
      <c r="H46" s="587"/>
      <c r="I46" s="1070"/>
      <c r="J46" s="1056"/>
      <c r="K46" s="1056"/>
      <c r="L46" s="1056"/>
      <c r="M46" s="1067"/>
      <c r="N46" s="1067"/>
      <c r="O46" s="1067"/>
      <c r="P46" s="1061"/>
      <c r="Q46" s="1061"/>
      <c r="R46" s="1061"/>
      <c r="S46" s="1061"/>
      <c r="T46" s="1061"/>
      <c r="U46" s="1061"/>
      <c r="V46" s="1061"/>
      <c r="W46" s="1061"/>
      <c r="X46" s="1061"/>
      <c r="Y46" s="1061"/>
      <c r="Z46" s="1061"/>
      <c r="AA46" s="1061"/>
      <c r="AB46" s="1061"/>
      <c r="AC46" s="1061"/>
      <c r="AD46" s="1061"/>
      <c r="AE46" s="1061"/>
      <c r="AF46" s="1061"/>
      <c r="AG46" s="1061"/>
      <c r="AH46" s="1061"/>
      <c r="AI46" s="1061"/>
      <c r="AJ46" s="1061"/>
      <c r="AK46" s="1061"/>
      <c r="AL46" s="1061"/>
      <c r="AM46" s="1061"/>
      <c r="AN46" s="1061"/>
      <c r="AO46" s="1061"/>
      <c r="AP46" s="1061"/>
      <c r="AQ46" s="1061"/>
      <c r="AR46" s="1061"/>
      <c r="AS46" s="1061"/>
      <c r="AT46" s="1061"/>
      <c r="AU46" s="1061"/>
      <c r="AV46" s="1061"/>
      <c r="AW46" s="1061"/>
      <c r="AX46" s="1061"/>
      <c r="AY46" s="1061"/>
      <c r="AZ46" s="1061"/>
      <c r="BA46" s="1061"/>
      <c r="BB46" s="1061"/>
      <c r="BC46" s="1061"/>
      <c r="BD46" s="1061"/>
      <c r="BE46" s="1061"/>
      <c r="BF46" s="1061"/>
      <c r="BG46" s="1061"/>
      <c r="BH46" s="1061"/>
      <c r="BI46" s="1061"/>
      <c r="BJ46" s="1061"/>
      <c r="BK46" s="1061"/>
      <c r="BL46" s="1061"/>
      <c r="BM46" s="1061"/>
      <c r="BN46" s="1061"/>
      <c r="BO46" s="1061"/>
      <c r="BP46" s="1061"/>
      <c r="BQ46" s="1061"/>
      <c r="BR46" s="1061"/>
      <c r="BS46" s="1061"/>
      <c r="BT46" s="1061"/>
      <c r="BU46" s="1061"/>
      <c r="BV46" s="1061"/>
      <c r="BW46" s="1061"/>
      <c r="BX46" s="1061"/>
      <c r="BY46" s="1061"/>
      <c r="BZ46" s="1061"/>
      <c r="CA46" s="1061"/>
      <c r="CB46" s="1061"/>
      <c r="CC46" s="1061"/>
    </row>
    <row r="47" spans="1:86" s="1058" customFormat="1" ht="23.1" customHeight="1">
      <c r="A47" s="1027"/>
      <c r="B47" s="1057"/>
      <c r="C47" s="1113" t="s">
        <v>529</v>
      </c>
      <c r="D47" s="1117">
        <f>D31/D11</f>
        <v>0.10271724203650921</v>
      </c>
      <c r="E47" s="1071"/>
      <c r="F47" s="1069"/>
      <c r="G47" s="1072"/>
      <c r="H47" s="1072"/>
      <c r="I47" s="1072"/>
      <c r="J47" s="1056"/>
      <c r="K47" s="1056"/>
      <c r="L47" s="1056"/>
      <c r="M47" s="1061"/>
      <c r="N47" s="1061"/>
      <c r="O47" s="1061"/>
      <c r="P47" s="1061"/>
      <c r="Q47" s="1061"/>
      <c r="R47" s="1061"/>
      <c r="S47" s="1061"/>
      <c r="T47" s="1061"/>
      <c r="U47" s="1061"/>
      <c r="V47" s="1061"/>
      <c r="W47" s="1061"/>
      <c r="X47" s="1061"/>
      <c r="Y47" s="1061"/>
      <c r="Z47" s="1061"/>
      <c r="AA47" s="1061"/>
      <c r="AB47" s="1061"/>
      <c r="AC47" s="1061"/>
      <c r="AD47" s="1061"/>
      <c r="AE47" s="1061"/>
      <c r="AF47" s="1061"/>
      <c r="AG47" s="1061"/>
      <c r="AH47" s="1061"/>
      <c r="AI47" s="1061"/>
      <c r="AJ47" s="1061"/>
      <c r="AK47" s="1061"/>
      <c r="AL47" s="1061"/>
      <c r="AM47" s="1061"/>
      <c r="AN47" s="1061"/>
      <c r="AO47" s="1061"/>
      <c r="AP47" s="1061"/>
      <c r="AQ47" s="1061"/>
      <c r="AR47" s="1061"/>
      <c r="AS47" s="1061"/>
      <c r="AT47" s="1061"/>
      <c r="AU47" s="1061"/>
      <c r="AV47" s="1061"/>
      <c r="AW47" s="1061"/>
      <c r="AX47" s="1061"/>
      <c r="AY47" s="1061"/>
      <c r="AZ47" s="1061"/>
      <c r="BA47" s="1061"/>
      <c r="BB47" s="1061"/>
      <c r="BC47" s="1061"/>
      <c r="BD47" s="1061"/>
      <c r="BE47" s="1061"/>
      <c r="BF47" s="1061"/>
      <c r="BG47" s="1061"/>
      <c r="BH47" s="1061"/>
      <c r="BI47" s="1061"/>
      <c r="BJ47" s="1061"/>
      <c r="BK47" s="1061"/>
      <c r="BL47" s="1061"/>
      <c r="BM47" s="1061"/>
      <c r="BN47" s="1061"/>
      <c r="BO47" s="1061"/>
      <c r="BP47" s="1061"/>
      <c r="BQ47" s="1061"/>
      <c r="BR47" s="1061"/>
      <c r="BS47" s="1061"/>
      <c r="BT47" s="1061"/>
      <c r="BU47" s="1061"/>
      <c r="BV47" s="1061"/>
      <c r="BW47" s="1061"/>
      <c r="BX47" s="1061"/>
      <c r="BY47" s="1061"/>
      <c r="BZ47" s="1061"/>
      <c r="CA47" s="1061"/>
      <c r="CB47" s="1061"/>
      <c r="CC47" s="1061"/>
    </row>
    <row r="48" spans="1:86" s="1058" customFormat="1" ht="23.1" customHeight="1">
      <c r="A48" s="1027"/>
      <c r="B48" s="1057"/>
      <c r="C48" s="1115" t="s">
        <v>530</v>
      </c>
      <c r="D48" s="1118">
        <f>D43/(D13+D30)</f>
        <v>0.14903993866470205</v>
      </c>
      <c r="E48" s="1073"/>
      <c r="F48" s="1061"/>
      <c r="G48" s="1030"/>
      <c r="H48" s="1061" t="s">
        <v>457</v>
      </c>
      <c r="I48" s="1061"/>
      <c r="J48" s="1056"/>
      <c r="K48" s="1056"/>
      <c r="L48" s="1056"/>
      <c r="M48" s="1061"/>
      <c r="N48" s="1061"/>
      <c r="O48" s="1061"/>
      <c r="P48" s="1061"/>
      <c r="Q48" s="1061"/>
      <c r="R48" s="1061"/>
      <c r="S48" s="1061"/>
      <c r="T48" s="1061"/>
      <c r="U48" s="1061"/>
      <c r="V48" s="1061"/>
      <c r="W48" s="1061"/>
      <c r="X48" s="1061"/>
      <c r="Y48" s="1061"/>
      <c r="Z48" s="1061"/>
      <c r="AA48" s="1061"/>
      <c r="AB48" s="1061"/>
      <c r="AC48" s="1061"/>
      <c r="AD48" s="1061"/>
      <c r="AE48" s="1061"/>
      <c r="AF48" s="1061"/>
      <c r="AG48" s="1061"/>
      <c r="AH48" s="1061"/>
      <c r="AI48" s="1061"/>
      <c r="AJ48" s="1061"/>
      <c r="AK48" s="1061"/>
      <c r="AL48" s="1061"/>
      <c r="AM48" s="1061"/>
      <c r="AN48" s="1061"/>
      <c r="AO48" s="1061"/>
      <c r="AP48" s="1061"/>
      <c r="AQ48" s="1061"/>
      <c r="AR48" s="1061"/>
      <c r="AS48" s="1061"/>
      <c r="AT48" s="1061"/>
      <c r="AU48" s="1061"/>
      <c r="AV48" s="1061"/>
      <c r="AW48" s="1061"/>
      <c r="AX48" s="1061"/>
      <c r="AY48" s="1061"/>
      <c r="AZ48" s="1061"/>
      <c r="BA48" s="1061"/>
      <c r="BB48" s="1061"/>
      <c r="BC48" s="1061"/>
      <c r="BD48" s="1061"/>
      <c r="BE48" s="1061"/>
      <c r="BF48" s="1061"/>
      <c r="BG48" s="1061"/>
      <c r="BH48" s="1061"/>
      <c r="BI48" s="1061"/>
      <c r="BJ48" s="1061"/>
      <c r="BK48" s="1061"/>
      <c r="BL48" s="1061"/>
      <c r="BM48" s="1061"/>
      <c r="BN48" s="1061"/>
      <c r="BO48" s="1061"/>
      <c r="BP48" s="1061"/>
      <c r="BQ48" s="1061"/>
      <c r="BR48" s="1061"/>
      <c r="BS48" s="1061"/>
      <c r="BT48" s="1061"/>
      <c r="BU48" s="1061"/>
      <c r="BV48" s="1061"/>
      <c r="BW48" s="1061"/>
      <c r="BX48" s="1061"/>
      <c r="BY48" s="1061"/>
      <c r="BZ48" s="1061"/>
      <c r="CA48" s="1061"/>
      <c r="CB48" s="1061"/>
      <c r="CC48" s="1061"/>
    </row>
    <row r="49" spans="1:81" s="1058" customFormat="1" ht="23.1" customHeight="1">
      <c r="A49" s="1027"/>
      <c r="B49" s="1057"/>
      <c r="C49" s="2176" t="s">
        <v>752</v>
      </c>
      <c r="D49" s="2177">
        <f>D44/(D13+D30)</f>
        <v>0.12213116653575566</v>
      </c>
      <c r="E49" s="1073"/>
      <c r="F49" s="1061"/>
      <c r="G49" s="1030"/>
      <c r="H49" s="1061"/>
      <c r="I49" s="1061"/>
      <c r="J49" s="1056"/>
      <c r="K49" s="1056"/>
      <c r="L49" s="1056"/>
      <c r="M49" s="1061"/>
      <c r="N49" s="1061"/>
      <c r="O49" s="1061"/>
      <c r="P49" s="1061"/>
      <c r="Q49" s="1061"/>
      <c r="R49" s="1061"/>
      <c r="S49" s="1061"/>
      <c r="T49" s="1061"/>
      <c r="U49" s="1061"/>
      <c r="V49" s="1061"/>
      <c r="W49" s="1061"/>
      <c r="X49" s="1061"/>
      <c r="Y49" s="1061"/>
      <c r="Z49" s="1061"/>
      <c r="AA49" s="1061"/>
      <c r="AB49" s="1061"/>
      <c r="AC49" s="1061"/>
      <c r="AD49" s="1061"/>
      <c r="AE49" s="1061"/>
      <c r="AF49" s="1061"/>
      <c r="AG49" s="1061"/>
      <c r="AH49" s="1061"/>
      <c r="AI49" s="1061"/>
      <c r="AJ49" s="1061"/>
      <c r="AK49" s="1061"/>
      <c r="AL49" s="1061"/>
      <c r="AM49" s="1061"/>
      <c r="AN49" s="1061"/>
      <c r="AO49" s="1061"/>
      <c r="AP49" s="1061"/>
      <c r="AQ49" s="1061"/>
      <c r="AR49" s="1061"/>
      <c r="AS49" s="1061"/>
      <c r="AT49" s="1061"/>
      <c r="AU49" s="1061"/>
      <c r="AV49" s="1061"/>
      <c r="AW49" s="1061"/>
      <c r="AX49" s="1061"/>
      <c r="AY49" s="1061"/>
      <c r="AZ49" s="1061"/>
      <c r="BA49" s="1061"/>
      <c r="BB49" s="1061"/>
      <c r="BC49" s="1061"/>
      <c r="BD49" s="1061"/>
      <c r="BE49" s="1061"/>
      <c r="BF49" s="1061"/>
      <c r="BG49" s="1061"/>
      <c r="BH49" s="1061"/>
      <c r="BI49" s="1061"/>
      <c r="BJ49" s="1061"/>
      <c r="BK49" s="1061"/>
      <c r="BL49" s="1061"/>
      <c r="BM49" s="1061"/>
      <c r="BN49" s="1061"/>
      <c r="BO49" s="1061"/>
      <c r="BP49" s="1061"/>
      <c r="BQ49" s="1061"/>
      <c r="BR49" s="1061"/>
      <c r="BS49" s="1061"/>
      <c r="BT49" s="1061"/>
      <c r="BU49" s="1061"/>
      <c r="BV49" s="1061"/>
      <c r="BW49" s="1061"/>
      <c r="BX49" s="1061"/>
      <c r="BY49" s="1061"/>
      <c r="BZ49" s="1061"/>
      <c r="CA49" s="1061"/>
      <c r="CB49" s="1061"/>
      <c r="CC49" s="1061"/>
    </row>
    <row r="50" spans="1:81" s="1058" customFormat="1" ht="23.1" customHeight="1">
      <c r="A50" s="1027"/>
      <c r="B50" s="1057"/>
      <c r="C50" s="1119" t="s">
        <v>531</v>
      </c>
      <c r="D50" s="1120">
        <f>D31/D22</f>
        <v>0.66003865054172262</v>
      </c>
      <c r="E50" s="1074"/>
      <c r="F50" s="1061"/>
      <c r="G50" s="1061"/>
      <c r="H50" s="1061"/>
      <c r="I50" s="1061"/>
      <c r="J50" s="1056"/>
      <c r="K50" s="1056"/>
      <c r="L50" s="1056"/>
      <c r="M50" s="1061"/>
      <c r="N50" s="1061"/>
      <c r="O50" s="1061"/>
      <c r="P50" s="1061"/>
      <c r="Q50" s="1061"/>
      <c r="R50" s="1061"/>
      <c r="S50" s="1061"/>
      <c r="T50" s="1061"/>
      <c r="U50" s="1061"/>
      <c r="V50" s="1061"/>
      <c r="W50" s="1061"/>
      <c r="X50" s="1061"/>
      <c r="Y50" s="1061"/>
      <c r="Z50" s="1061"/>
      <c r="AA50" s="1061"/>
      <c r="AB50" s="1061"/>
      <c r="AC50" s="1061"/>
      <c r="AD50" s="1061"/>
      <c r="AE50" s="1061"/>
      <c r="AF50" s="1061"/>
      <c r="AG50" s="1061"/>
      <c r="AH50" s="1061"/>
      <c r="AI50" s="1061"/>
      <c r="AJ50" s="1061"/>
      <c r="AK50" s="1061"/>
      <c r="AL50" s="1061"/>
      <c r="AM50" s="1061"/>
      <c r="AN50" s="1061"/>
      <c r="AO50" s="1061"/>
      <c r="AP50" s="1061"/>
      <c r="AQ50" s="1061"/>
      <c r="AR50" s="1061"/>
      <c r="AS50" s="1061"/>
      <c r="AT50" s="1061"/>
      <c r="AU50" s="1061"/>
      <c r="AV50" s="1061"/>
      <c r="AW50" s="1061"/>
      <c r="AX50" s="1061"/>
      <c r="AY50" s="1061"/>
      <c r="AZ50" s="1061"/>
      <c r="BA50" s="1061"/>
      <c r="BB50" s="1061"/>
      <c r="BC50" s="1061"/>
      <c r="BD50" s="1061"/>
      <c r="BE50" s="1061"/>
      <c r="BF50" s="1061"/>
      <c r="BG50" s="1061"/>
      <c r="BH50" s="1061"/>
      <c r="BI50" s="1061"/>
      <c r="BJ50" s="1061"/>
      <c r="BK50" s="1061"/>
      <c r="BL50" s="1061"/>
      <c r="BM50" s="1061"/>
      <c r="BN50" s="1061"/>
      <c r="BO50" s="1061"/>
      <c r="BP50" s="1061"/>
      <c r="BQ50" s="1061"/>
      <c r="BR50" s="1061"/>
      <c r="BS50" s="1061"/>
      <c r="BT50" s="1061"/>
      <c r="BU50" s="1061"/>
      <c r="BV50" s="1061"/>
      <c r="BW50" s="1061"/>
      <c r="BX50" s="1061"/>
      <c r="BY50" s="1061"/>
      <c r="BZ50" s="1061"/>
      <c r="CA50" s="1061"/>
      <c r="CB50" s="1061"/>
      <c r="CC50" s="1061"/>
    </row>
    <row r="51" spans="1:81" ht="23.25" customHeight="1">
      <c r="C51" s="1121" t="s">
        <v>532</v>
      </c>
      <c r="D51" s="1122">
        <f t="array" ref="D51">MAX(IF(38:38="Yes",36:36,0))-F36+1</f>
        <v>4</v>
      </c>
      <c r="E51" s="1075"/>
      <c r="I51" s="1061"/>
      <c r="J51" s="1056"/>
      <c r="K51" s="1056"/>
      <c r="L51" s="1056"/>
    </row>
    <row r="52" spans="1:81" ht="30" customHeight="1">
      <c r="C52" s="1123" t="s">
        <v>332</v>
      </c>
      <c r="D52" s="1124">
        <f>D45/'3.Du toan'!F79</f>
        <v>3.0418590146993191E-3</v>
      </c>
      <c r="I52" s="1061"/>
      <c r="J52" s="1056"/>
      <c r="K52" s="1056"/>
      <c r="L52" s="1056"/>
    </row>
    <row r="53" spans="1:81">
      <c r="I53" s="1061"/>
      <c r="J53" s="1056"/>
      <c r="K53" s="1056"/>
      <c r="L53" s="1056"/>
    </row>
    <row r="54" spans="1:81">
      <c r="C54" s="495" t="s">
        <v>552</v>
      </c>
      <c r="D54" s="2076">
        <f>+'8.ĐO NHAY'!C20</f>
        <v>520000</v>
      </c>
      <c r="J54" s="1056"/>
      <c r="K54" s="1056"/>
      <c r="L54" s="1056"/>
    </row>
    <row r="55" spans="1:81">
      <c r="C55" s="495" t="s">
        <v>778</v>
      </c>
      <c r="D55" s="2227">
        <v>132000</v>
      </c>
      <c r="J55" s="1056"/>
      <c r="K55" s="1056"/>
      <c r="L55" s="1056"/>
    </row>
    <row r="56" spans="1:81">
      <c r="C56" s="1029"/>
      <c r="D56" s="1132"/>
      <c r="J56" s="1056"/>
      <c r="K56" s="1056"/>
      <c r="L56" s="1056"/>
    </row>
    <row r="57" spans="1:81">
      <c r="F57" s="1127"/>
      <c r="G57" s="1127"/>
      <c r="H57" s="1127"/>
      <c r="I57" s="1127"/>
      <c r="J57" s="1127"/>
      <c r="K57" s="1127"/>
      <c r="L57" s="1127"/>
      <c r="M57" s="1127"/>
    </row>
    <row r="58" spans="1:81">
      <c r="C58" s="520" t="s">
        <v>534</v>
      </c>
    </row>
    <row r="59" spans="1:81" ht="21" customHeight="1">
      <c r="C59" s="986" t="s">
        <v>535</v>
      </c>
      <c r="D59" s="1395">
        <f>+D35-D28</f>
        <v>0</v>
      </c>
    </row>
    <row r="60" spans="1:81">
      <c r="C60" s="989" t="s">
        <v>539</v>
      </c>
      <c r="D60" s="1396" t="b">
        <f>ROUND(('5.Doanh thu'!G116-'3.Du toan'!F79-'4.Chi phi hoat dong'!E25)-D43,4)=0</f>
        <v>1</v>
      </c>
    </row>
    <row r="61" spans="1:81">
      <c r="C61" s="989" t="s">
        <v>536</v>
      </c>
      <c r="D61" s="1535">
        <f>'6.Vay von'!CH28-D27</f>
        <v>77600</v>
      </c>
    </row>
    <row r="62" spans="1:81">
      <c r="C62" s="989" t="s">
        <v>140</v>
      </c>
      <c r="D62" s="1396" t="b">
        <f>D33/D31=20%</f>
        <v>1</v>
      </c>
    </row>
    <row r="63" spans="1:81">
      <c r="C63" s="995" t="s">
        <v>537</v>
      </c>
      <c r="D63" s="1397">
        <f>D37-D28</f>
        <v>0</v>
      </c>
    </row>
  </sheetData>
  <sheetProtection selectLockedCells="1" selectUnlockedCells="1"/>
  <dataConsolidate/>
  <mergeCells count="6">
    <mergeCell ref="B7:B8"/>
    <mergeCell ref="C7:C8"/>
    <mergeCell ref="D7:D8"/>
    <mergeCell ref="E7:E8"/>
    <mergeCell ref="D41:D42"/>
    <mergeCell ref="C41:C42"/>
  </mergeCells>
  <phoneticPr fontId="77" type="noConversion"/>
  <conditionalFormatting sqref="D59">
    <cfRule type="iconSet" priority="3">
      <iconSet iconSet="3Symbols2">
        <cfvo type="percent" val="0"/>
        <cfvo type="percent" val="0" gte="0"/>
        <cfvo type="percent" val="0"/>
      </iconSet>
    </cfRule>
    <cfRule type="iconSet" priority="4">
      <iconSet>
        <cfvo type="percent" val="0"/>
        <cfvo type="percent" val="0" gte="0"/>
        <cfvo type="percent" val="0"/>
      </iconSet>
    </cfRule>
  </conditionalFormatting>
  <conditionalFormatting sqref="D63">
    <cfRule type="iconSet" priority="1">
      <iconSet iconSet="3Symbols2">
        <cfvo type="percent" val="0"/>
        <cfvo type="percent" val="0" gte="0"/>
        <cfvo type="percent" val="0"/>
      </iconSet>
    </cfRule>
    <cfRule type="iconSet" priority="2">
      <iconSet>
        <cfvo type="percent" val="0"/>
        <cfvo type="percent" val="0" gte="0"/>
        <cfvo type="percent" val="0"/>
      </iconSet>
    </cfRule>
  </conditionalFormatting>
  <conditionalFormatting sqref="E38:BO38">
    <cfRule type="cellIs" dxfId="4" priority="5" operator="equal">
      <formula>"Yes"</formula>
    </cfRule>
    <cfRule type="cellIs" dxfId="3" priority="6" operator="lessThan">
      <formula>0</formula>
    </cfRule>
  </conditionalFormatting>
  <pageMargins left="0.21" right="0.2" top="0.3" bottom="0.61" header="0.2" footer="0.41"/>
  <pageSetup paperSize="8" scale="87" firstPageNumber="0" orientation="landscape" horizontalDpi="300" verticalDpi="300" r:id="rId1"/>
  <headerFooter alignWithMargins="0">
    <oddFooter>&amp;L_x000D_&amp;1#&amp;"Calibri"&amp;10&amp;K000000 Internal Use</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39997558519241921"/>
  </sheetPr>
  <dimension ref="A2:Y419"/>
  <sheetViews>
    <sheetView topLeftCell="A399" zoomScale="85" zoomScaleNormal="85" workbookViewId="0">
      <selection activeCell="H420" sqref="H420"/>
    </sheetView>
  </sheetViews>
  <sheetFormatPr defaultRowHeight="21.95" customHeight="1"/>
  <cols>
    <col min="1" max="1" width="9.140625" style="11" customWidth="1"/>
    <col min="2" max="2" width="20.7109375" style="11" customWidth="1"/>
    <col min="3" max="3" width="19.42578125" style="11" customWidth="1"/>
    <col min="4" max="4" width="21.28515625" style="11" customWidth="1"/>
    <col min="5" max="5" width="24.7109375" style="11" customWidth="1"/>
    <col min="6" max="6" width="23.7109375" style="11" customWidth="1"/>
    <col min="7" max="7" width="23.28515625" style="11" bestFit="1" customWidth="1"/>
    <col min="8" max="8" width="27.28515625" style="11" customWidth="1"/>
    <col min="9" max="9" width="20.28515625" style="11" customWidth="1"/>
    <col min="10" max="10" width="18.7109375" style="11" customWidth="1"/>
    <col min="11" max="11" width="51.5703125" style="11" customWidth="1"/>
    <col min="12" max="12" width="20.7109375" style="11" customWidth="1"/>
    <col min="13" max="13" width="19.140625" style="11" customWidth="1"/>
    <col min="14" max="14" width="20.140625" style="11" customWidth="1"/>
    <col min="15" max="15" width="14.140625" style="11" bestFit="1" customWidth="1"/>
    <col min="16" max="16" width="19" style="11" customWidth="1"/>
    <col min="17" max="20" width="16.85546875" style="11" bestFit="1" customWidth="1"/>
    <col min="21" max="256" width="9" style="11"/>
    <col min="257" max="257" width="9.140625" style="11" customWidth="1"/>
    <col min="258" max="258" width="7.28515625" style="11" customWidth="1"/>
    <col min="259" max="259" width="19.42578125" style="11" customWidth="1"/>
    <col min="260" max="260" width="21.28515625" style="11" customWidth="1"/>
    <col min="261" max="261" width="20.42578125" style="11" customWidth="1"/>
    <col min="262" max="262" width="20" style="11" customWidth="1"/>
    <col min="263" max="263" width="20.5703125" style="11" customWidth="1"/>
    <col min="264" max="264" width="36.140625" style="11" customWidth="1"/>
    <col min="265" max="265" width="18.7109375" style="11" bestFit="1" customWidth="1"/>
    <col min="266" max="266" width="21.28515625" style="11" customWidth="1"/>
    <col min="267" max="267" width="20.5703125" style="11" bestFit="1" customWidth="1"/>
    <col min="268" max="268" width="18.7109375" style="11" bestFit="1" customWidth="1"/>
    <col min="269" max="269" width="22.7109375" style="11" customWidth="1"/>
    <col min="270" max="270" width="16.28515625" style="11" bestFit="1" customWidth="1"/>
    <col min="271" max="271" width="14.140625" style="11" bestFit="1" customWidth="1"/>
    <col min="272" max="272" width="19" style="11" customWidth="1"/>
    <col min="273" max="276" width="16.85546875" style="11" bestFit="1" customWidth="1"/>
    <col min="277" max="512" width="9" style="11"/>
    <col min="513" max="513" width="9.140625" style="11" customWidth="1"/>
    <col min="514" max="514" width="7.28515625" style="11" customWidth="1"/>
    <col min="515" max="515" width="19.42578125" style="11" customWidth="1"/>
    <col min="516" max="516" width="21.28515625" style="11" customWidth="1"/>
    <col min="517" max="517" width="20.42578125" style="11" customWidth="1"/>
    <col min="518" max="518" width="20" style="11" customWidth="1"/>
    <col min="519" max="519" width="20.5703125" style="11" customWidth="1"/>
    <col min="520" max="520" width="36.140625" style="11" customWidth="1"/>
    <col min="521" max="521" width="18.7109375" style="11" bestFit="1" customWidth="1"/>
    <col min="522" max="522" width="21.28515625" style="11" customWidth="1"/>
    <col min="523" max="523" width="20.5703125" style="11" bestFit="1" customWidth="1"/>
    <col min="524" max="524" width="18.7109375" style="11" bestFit="1" customWidth="1"/>
    <col min="525" max="525" width="22.7109375" style="11" customWidth="1"/>
    <col min="526" max="526" width="16.28515625" style="11" bestFit="1" customWidth="1"/>
    <col min="527" max="527" width="14.140625" style="11" bestFit="1" customWidth="1"/>
    <col min="528" max="528" width="19" style="11" customWidth="1"/>
    <col min="529" max="532" width="16.85546875" style="11" bestFit="1" customWidth="1"/>
    <col min="533" max="768" width="9" style="11"/>
    <col min="769" max="769" width="9.140625" style="11" customWidth="1"/>
    <col min="770" max="770" width="7.28515625" style="11" customWidth="1"/>
    <col min="771" max="771" width="19.42578125" style="11" customWidth="1"/>
    <col min="772" max="772" width="21.28515625" style="11" customWidth="1"/>
    <col min="773" max="773" width="20.42578125" style="11" customWidth="1"/>
    <col min="774" max="774" width="20" style="11" customWidth="1"/>
    <col min="775" max="775" width="20.5703125" style="11" customWidth="1"/>
    <col min="776" max="776" width="36.140625" style="11" customWidth="1"/>
    <col min="777" max="777" width="18.7109375" style="11" bestFit="1" customWidth="1"/>
    <col min="778" max="778" width="21.28515625" style="11" customWidth="1"/>
    <col min="779" max="779" width="20.5703125" style="11" bestFit="1" customWidth="1"/>
    <col min="780" max="780" width="18.7109375" style="11" bestFit="1" customWidth="1"/>
    <col min="781" max="781" width="22.7109375" style="11" customWidth="1"/>
    <col min="782" max="782" width="16.28515625" style="11" bestFit="1" customWidth="1"/>
    <col min="783" max="783" width="14.140625" style="11" bestFit="1" customWidth="1"/>
    <col min="784" max="784" width="19" style="11" customWidth="1"/>
    <col min="785" max="788" width="16.85546875" style="11" bestFit="1" customWidth="1"/>
    <col min="789" max="1024" width="9" style="11"/>
    <col min="1025" max="1025" width="9.140625" style="11" customWidth="1"/>
    <col min="1026" max="1026" width="7.28515625" style="11" customWidth="1"/>
    <col min="1027" max="1027" width="19.42578125" style="11" customWidth="1"/>
    <col min="1028" max="1028" width="21.28515625" style="11" customWidth="1"/>
    <col min="1029" max="1029" width="20.42578125" style="11" customWidth="1"/>
    <col min="1030" max="1030" width="20" style="11" customWidth="1"/>
    <col min="1031" max="1031" width="20.5703125" style="11" customWidth="1"/>
    <col min="1032" max="1032" width="36.140625" style="11" customWidth="1"/>
    <col min="1033" max="1033" width="18.7109375" style="11" bestFit="1" customWidth="1"/>
    <col min="1034" max="1034" width="21.28515625" style="11" customWidth="1"/>
    <col min="1035" max="1035" width="20.5703125" style="11" bestFit="1" customWidth="1"/>
    <col min="1036" max="1036" width="18.7109375" style="11" bestFit="1" customWidth="1"/>
    <col min="1037" max="1037" width="22.7109375" style="11" customWidth="1"/>
    <col min="1038" max="1038" width="16.28515625" style="11" bestFit="1" customWidth="1"/>
    <col min="1039" max="1039" width="14.140625" style="11" bestFit="1" customWidth="1"/>
    <col min="1040" max="1040" width="19" style="11" customWidth="1"/>
    <col min="1041" max="1044" width="16.85546875" style="11" bestFit="1" customWidth="1"/>
    <col min="1045" max="1280" width="9" style="11"/>
    <col min="1281" max="1281" width="9.140625" style="11" customWidth="1"/>
    <col min="1282" max="1282" width="7.28515625" style="11" customWidth="1"/>
    <col min="1283" max="1283" width="19.42578125" style="11" customWidth="1"/>
    <col min="1284" max="1284" width="21.28515625" style="11" customWidth="1"/>
    <col min="1285" max="1285" width="20.42578125" style="11" customWidth="1"/>
    <col min="1286" max="1286" width="20" style="11" customWidth="1"/>
    <col min="1287" max="1287" width="20.5703125" style="11" customWidth="1"/>
    <col min="1288" max="1288" width="36.140625" style="11" customWidth="1"/>
    <col min="1289" max="1289" width="18.7109375" style="11" bestFit="1" customWidth="1"/>
    <col min="1290" max="1290" width="21.28515625" style="11" customWidth="1"/>
    <col min="1291" max="1291" width="20.5703125" style="11" bestFit="1" customWidth="1"/>
    <col min="1292" max="1292" width="18.7109375" style="11" bestFit="1" customWidth="1"/>
    <col min="1293" max="1293" width="22.7109375" style="11" customWidth="1"/>
    <col min="1294" max="1294" width="16.28515625" style="11" bestFit="1" customWidth="1"/>
    <col min="1295" max="1295" width="14.140625" style="11" bestFit="1" customWidth="1"/>
    <col min="1296" max="1296" width="19" style="11" customWidth="1"/>
    <col min="1297" max="1300" width="16.85546875" style="11" bestFit="1" customWidth="1"/>
    <col min="1301" max="1536" width="9" style="11"/>
    <col min="1537" max="1537" width="9.140625" style="11" customWidth="1"/>
    <col min="1538" max="1538" width="7.28515625" style="11" customWidth="1"/>
    <col min="1539" max="1539" width="19.42578125" style="11" customWidth="1"/>
    <col min="1540" max="1540" width="21.28515625" style="11" customWidth="1"/>
    <col min="1541" max="1541" width="20.42578125" style="11" customWidth="1"/>
    <col min="1542" max="1542" width="20" style="11" customWidth="1"/>
    <col min="1543" max="1543" width="20.5703125" style="11" customWidth="1"/>
    <col min="1544" max="1544" width="36.140625" style="11" customWidth="1"/>
    <col min="1545" max="1545" width="18.7109375" style="11" bestFit="1" customWidth="1"/>
    <col min="1546" max="1546" width="21.28515625" style="11" customWidth="1"/>
    <col min="1547" max="1547" width="20.5703125" style="11" bestFit="1" customWidth="1"/>
    <col min="1548" max="1548" width="18.7109375" style="11" bestFit="1" customWidth="1"/>
    <col min="1549" max="1549" width="22.7109375" style="11" customWidth="1"/>
    <col min="1550" max="1550" width="16.28515625" style="11" bestFit="1" customWidth="1"/>
    <col min="1551" max="1551" width="14.140625" style="11" bestFit="1" customWidth="1"/>
    <col min="1552" max="1552" width="19" style="11" customWidth="1"/>
    <col min="1553" max="1556" width="16.85546875" style="11" bestFit="1" customWidth="1"/>
    <col min="1557" max="1792" width="9" style="11"/>
    <col min="1793" max="1793" width="9.140625" style="11" customWidth="1"/>
    <col min="1794" max="1794" width="7.28515625" style="11" customWidth="1"/>
    <col min="1795" max="1795" width="19.42578125" style="11" customWidth="1"/>
    <col min="1796" max="1796" width="21.28515625" style="11" customWidth="1"/>
    <col min="1797" max="1797" width="20.42578125" style="11" customWidth="1"/>
    <col min="1798" max="1798" width="20" style="11" customWidth="1"/>
    <col min="1799" max="1799" width="20.5703125" style="11" customWidth="1"/>
    <col min="1800" max="1800" width="36.140625" style="11" customWidth="1"/>
    <col min="1801" max="1801" width="18.7109375" style="11" bestFit="1" customWidth="1"/>
    <col min="1802" max="1802" width="21.28515625" style="11" customWidth="1"/>
    <col min="1803" max="1803" width="20.5703125" style="11" bestFit="1" customWidth="1"/>
    <col min="1804" max="1804" width="18.7109375" style="11" bestFit="1" customWidth="1"/>
    <col min="1805" max="1805" width="22.7109375" style="11" customWidth="1"/>
    <col min="1806" max="1806" width="16.28515625" style="11" bestFit="1" customWidth="1"/>
    <col min="1807" max="1807" width="14.140625" style="11" bestFit="1" customWidth="1"/>
    <col min="1808" max="1808" width="19" style="11" customWidth="1"/>
    <col min="1809" max="1812" width="16.85546875" style="11" bestFit="1" customWidth="1"/>
    <col min="1813" max="2048" width="9" style="11"/>
    <col min="2049" max="2049" width="9.140625" style="11" customWidth="1"/>
    <col min="2050" max="2050" width="7.28515625" style="11" customWidth="1"/>
    <col min="2051" max="2051" width="19.42578125" style="11" customWidth="1"/>
    <col min="2052" max="2052" width="21.28515625" style="11" customWidth="1"/>
    <col min="2053" max="2053" width="20.42578125" style="11" customWidth="1"/>
    <col min="2054" max="2054" width="20" style="11" customWidth="1"/>
    <col min="2055" max="2055" width="20.5703125" style="11" customWidth="1"/>
    <col min="2056" max="2056" width="36.140625" style="11" customWidth="1"/>
    <col min="2057" max="2057" width="18.7109375" style="11" bestFit="1" customWidth="1"/>
    <col min="2058" max="2058" width="21.28515625" style="11" customWidth="1"/>
    <col min="2059" max="2059" width="20.5703125" style="11" bestFit="1" customWidth="1"/>
    <col min="2060" max="2060" width="18.7109375" style="11" bestFit="1" customWidth="1"/>
    <col min="2061" max="2061" width="22.7109375" style="11" customWidth="1"/>
    <col min="2062" max="2062" width="16.28515625" style="11" bestFit="1" customWidth="1"/>
    <col min="2063" max="2063" width="14.140625" style="11" bestFit="1" customWidth="1"/>
    <col min="2064" max="2064" width="19" style="11" customWidth="1"/>
    <col min="2065" max="2068" width="16.85546875" style="11" bestFit="1" customWidth="1"/>
    <col min="2069" max="2304" width="9" style="11"/>
    <col min="2305" max="2305" width="9.140625" style="11" customWidth="1"/>
    <col min="2306" max="2306" width="7.28515625" style="11" customWidth="1"/>
    <col min="2307" max="2307" width="19.42578125" style="11" customWidth="1"/>
    <col min="2308" max="2308" width="21.28515625" style="11" customWidth="1"/>
    <col min="2309" max="2309" width="20.42578125" style="11" customWidth="1"/>
    <col min="2310" max="2310" width="20" style="11" customWidth="1"/>
    <col min="2311" max="2311" width="20.5703125" style="11" customWidth="1"/>
    <col min="2312" max="2312" width="36.140625" style="11" customWidth="1"/>
    <col min="2313" max="2313" width="18.7109375" style="11" bestFit="1" customWidth="1"/>
    <col min="2314" max="2314" width="21.28515625" style="11" customWidth="1"/>
    <col min="2315" max="2315" width="20.5703125" style="11" bestFit="1" customWidth="1"/>
    <col min="2316" max="2316" width="18.7109375" style="11" bestFit="1" customWidth="1"/>
    <col min="2317" max="2317" width="22.7109375" style="11" customWidth="1"/>
    <col min="2318" max="2318" width="16.28515625" style="11" bestFit="1" customWidth="1"/>
    <col min="2319" max="2319" width="14.140625" style="11" bestFit="1" customWidth="1"/>
    <col min="2320" max="2320" width="19" style="11" customWidth="1"/>
    <col min="2321" max="2324" width="16.85546875" style="11" bestFit="1" customWidth="1"/>
    <col min="2325" max="2560" width="9" style="11"/>
    <col min="2561" max="2561" width="9.140625" style="11" customWidth="1"/>
    <col min="2562" max="2562" width="7.28515625" style="11" customWidth="1"/>
    <col min="2563" max="2563" width="19.42578125" style="11" customWidth="1"/>
    <col min="2564" max="2564" width="21.28515625" style="11" customWidth="1"/>
    <col min="2565" max="2565" width="20.42578125" style="11" customWidth="1"/>
    <col min="2566" max="2566" width="20" style="11" customWidth="1"/>
    <col min="2567" max="2567" width="20.5703125" style="11" customWidth="1"/>
    <col min="2568" max="2568" width="36.140625" style="11" customWidth="1"/>
    <col min="2569" max="2569" width="18.7109375" style="11" bestFit="1" customWidth="1"/>
    <col min="2570" max="2570" width="21.28515625" style="11" customWidth="1"/>
    <col min="2571" max="2571" width="20.5703125" style="11" bestFit="1" customWidth="1"/>
    <col min="2572" max="2572" width="18.7109375" style="11" bestFit="1" customWidth="1"/>
    <col min="2573" max="2573" width="22.7109375" style="11" customWidth="1"/>
    <col min="2574" max="2574" width="16.28515625" style="11" bestFit="1" customWidth="1"/>
    <col min="2575" max="2575" width="14.140625" style="11" bestFit="1" customWidth="1"/>
    <col min="2576" max="2576" width="19" style="11" customWidth="1"/>
    <col min="2577" max="2580" width="16.85546875" style="11" bestFit="1" customWidth="1"/>
    <col min="2581" max="2816" width="9" style="11"/>
    <col min="2817" max="2817" width="9.140625" style="11" customWidth="1"/>
    <col min="2818" max="2818" width="7.28515625" style="11" customWidth="1"/>
    <col min="2819" max="2819" width="19.42578125" style="11" customWidth="1"/>
    <col min="2820" max="2820" width="21.28515625" style="11" customWidth="1"/>
    <col min="2821" max="2821" width="20.42578125" style="11" customWidth="1"/>
    <col min="2822" max="2822" width="20" style="11" customWidth="1"/>
    <col min="2823" max="2823" width="20.5703125" style="11" customWidth="1"/>
    <col min="2824" max="2824" width="36.140625" style="11" customWidth="1"/>
    <col min="2825" max="2825" width="18.7109375" style="11" bestFit="1" customWidth="1"/>
    <col min="2826" max="2826" width="21.28515625" style="11" customWidth="1"/>
    <col min="2827" max="2827" width="20.5703125" style="11" bestFit="1" customWidth="1"/>
    <col min="2828" max="2828" width="18.7109375" style="11" bestFit="1" customWidth="1"/>
    <col min="2829" max="2829" width="22.7109375" style="11" customWidth="1"/>
    <col min="2830" max="2830" width="16.28515625" style="11" bestFit="1" customWidth="1"/>
    <col min="2831" max="2831" width="14.140625" style="11" bestFit="1" customWidth="1"/>
    <col min="2832" max="2832" width="19" style="11" customWidth="1"/>
    <col min="2833" max="2836" width="16.85546875" style="11" bestFit="1" customWidth="1"/>
    <col min="2837" max="3072" width="9" style="11"/>
    <col min="3073" max="3073" width="9.140625" style="11" customWidth="1"/>
    <col min="3074" max="3074" width="7.28515625" style="11" customWidth="1"/>
    <col min="3075" max="3075" width="19.42578125" style="11" customWidth="1"/>
    <col min="3076" max="3076" width="21.28515625" style="11" customWidth="1"/>
    <col min="3077" max="3077" width="20.42578125" style="11" customWidth="1"/>
    <col min="3078" max="3078" width="20" style="11" customWidth="1"/>
    <col min="3079" max="3079" width="20.5703125" style="11" customWidth="1"/>
    <col min="3080" max="3080" width="36.140625" style="11" customWidth="1"/>
    <col min="3081" max="3081" width="18.7109375" style="11" bestFit="1" customWidth="1"/>
    <col min="3082" max="3082" width="21.28515625" style="11" customWidth="1"/>
    <col min="3083" max="3083" width="20.5703125" style="11" bestFit="1" customWidth="1"/>
    <col min="3084" max="3084" width="18.7109375" style="11" bestFit="1" customWidth="1"/>
    <col min="3085" max="3085" width="22.7109375" style="11" customWidth="1"/>
    <col min="3086" max="3086" width="16.28515625" style="11" bestFit="1" customWidth="1"/>
    <col min="3087" max="3087" width="14.140625" style="11" bestFit="1" customWidth="1"/>
    <col min="3088" max="3088" width="19" style="11" customWidth="1"/>
    <col min="3089" max="3092" width="16.85546875" style="11" bestFit="1" customWidth="1"/>
    <col min="3093" max="3328" width="9" style="11"/>
    <col min="3329" max="3329" width="9.140625" style="11" customWidth="1"/>
    <col min="3330" max="3330" width="7.28515625" style="11" customWidth="1"/>
    <col min="3331" max="3331" width="19.42578125" style="11" customWidth="1"/>
    <col min="3332" max="3332" width="21.28515625" style="11" customWidth="1"/>
    <col min="3333" max="3333" width="20.42578125" style="11" customWidth="1"/>
    <col min="3334" max="3334" width="20" style="11" customWidth="1"/>
    <col min="3335" max="3335" width="20.5703125" style="11" customWidth="1"/>
    <col min="3336" max="3336" width="36.140625" style="11" customWidth="1"/>
    <col min="3337" max="3337" width="18.7109375" style="11" bestFit="1" customWidth="1"/>
    <col min="3338" max="3338" width="21.28515625" style="11" customWidth="1"/>
    <col min="3339" max="3339" width="20.5703125" style="11" bestFit="1" customWidth="1"/>
    <col min="3340" max="3340" width="18.7109375" style="11" bestFit="1" customWidth="1"/>
    <col min="3341" max="3341" width="22.7109375" style="11" customWidth="1"/>
    <col min="3342" max="3342" width="16.28515625" style="11" bestFit="1" customWidth="1"/>
    <col min="3343" max="3343" width="14.140625" style="11" bestFit="1" customWidth="1"/>
    <col min="3344" max="3344" width="19" style="11" customWidth="1"/>
    <col min="3345" max="3348" width="16.85546875" style="11" bestFit="1" customWidth="1"/>
    <col min="3349" max="3584" width="9" style="11"/>
    <col min="3585" max="3585" width="9.140625" style="11" customWidth="1"/>
    <col min="3586" max="3586" width="7.28515625" style="11" customWidth="1"/>
    <col min="3587" max="3587" width="19.42578125" style="11" customWidth="1"/>
    <col min="3588" max="3588" width="21.28515625" style="11" customWidth="1"/>
    <col min="3589" max="3589" width="20.42578125" style="11" customWidth="1"/>
    <col min="3590" max="3590" width="20" style="11" customWidth="1"/>
    <col min="3591" max="3591" width="20.5703125" style="11" customWidth="1"/>
    <col min="3592" max="3592" width="36.140625" style="11" customWidth="1"/>
    <col min="3593" max="3593" width="18.7109375" style="11" bestFit="1" customWidth="1"/>
    <col min="3594" max="3594" width="21.28515625" style="11" customWidth="1"/>
    <col min="3595" max="3595" width="20.5703125" style="11" bestFit="1" customWidth="1"/>
    <col min="3596" max="3596" width="18.7109375" style="11" bestFit="1" customWidth="1"/>
    <col min="3597" max="3597" width="22.7109375" style="11" customWidth="1"/>
    <col min="3598" max="3598" width="16.28515625" style="11" bestFit="1" customWidth="1"/>
    <col min="3599" max="3599" width="14.140625" style="11" bestFit="1" customWidth="1"/>
    <col min="3600" max="3600" width="19" style="11" customWidth="1"/>
    <col min="3601" max="3604" width="16.85546875" style="11" bestFit="1" customWidth="1"/>
    <col min="3605" max="3840" width="9" style="11"/>
    <col min="3841" max="3841" width="9.140625" style="11" customWidth="1"/>
    <col min="3842" max="3842" width="7.28515625" style="11" customWidth="1"/>
    <col min="3843" max="3843" width="19.42578125" style="11" customWidth="1"/>
    <col min="3844" max="3844" width="21.28515625" style="11" customWidth="1"/>
    <col min="3845" max="3845" width="20.42578125" style="11" customWidth="1"/>
    <col min="3846" max="3846" width="20" style="11" customWidth="1"/>
    <col min="3847" max="3847" width="20.5703125" style="11" customWidth="1"/>
    <col min="3848" max="3848" width="36.140625" style="11" customWidth="1"/>
    <col min="3849" max="3849" width="18.7109375" style="11" bestFit="1" customWidth="1"/>
    <col min="3850" max="3850" width="21.28515625" style="11" customWidth="1"/>
    <col min="3851" max="3851" width="20.5703125" style="11" bestFit="1" customWidth="1"/>
    <col min="3852" max="3852" width="18.7109375" style="11" bestFit="1" customWidth="1"/>
    <col min="3853" max="3853" width="22.7109375" style="11" customWidth="1"/>
    <col min="3854" max="3854" width="16.28515625" style="11" bestFit="1" customWidth="1"/>
    <col min="3855" max="3855" width="14.140625" style="11" bestFit="1" customWidth="1"/>
    <col min="3856" max="3856" width="19" style="11" customWidth="1"/>
    <col min="3857" max="3860" width="16.85546875" style="11" bestFit="1" customWidth="1"/>
    <col min="3861" max="4096" width="9" style="11"/>
    <col min="4097" max="4097" width="9.140625" style="11" customWidth="1"/>
    <col min="4098" max="4098" width="7.28515625" style="11" customWidth="1"/>
    <col min="4099" max="4099" width="19.42578125" style="11" customWidth="1"/>
    <col min="4100" max="4100" width="21.28515625" style="11" customWidth="1"/>
    <col min="4101" max="4101" width="20.42578125" style="11" customWidth="1"/>
    <col min="4102" max="4102" width="20" style="11" customWidth="1"/>
    <col min="4103" max="4103" width="20.5703125" style="11" customWidth="1"/>
    <col min="4104" max="4104" width="36.140625" style="11" customWidth="1"/>
    <col min="4105" max="4105" width="18.7109375" style="11" bestFit="1" customWidth="1"/>
    <col min="4106" max="4106" width="21.28515625" style="11" customWidth="1"/>
    <col min="4107" max="4107" width="20.5703125" style="11" bestFit="1" customWidth="1"/>
    <col min="4108" max="4108" width="18.7109375" style="11" bestFit="1" customWidth="1"/>
    <col min="4109" max="4109" width="22.7109375" style="11" customWidth="1"/>
    <col min="4110" max="4110" width="16.28515625" style="11" bestFit="1" customWidth="1"/>
    <col min="4111" max="4111" width="14.140625" style="11" bestFit="1" customWidth="1"/>
    <col min="4112" max="4112" width="19" style="11" customWidth="1"/>
    <col min="4113" max="4116" width="16.85546875" style="11" bestFit="1" customWidth="1"/>
    <col min="4117" max="4352" width="9" style="11"/>
    <col min="4353" max="4353" width="9.140625" style="11" customWidth="1"/>
    <col min="4354" max="4354" width="7.28515625" style="11" customWidth="1"/>
    <col min="4355" max="4355" width="19.42578125" style="11" customWidth="1"/>
    <col min="4356" max="4356" width="21.28515625" style="11" customWidth="1"/>
    <col min="4357" max="4357" width="20.42578125" style="11" customWidth="1"/>
    <col min="4358" max="4358" width="20" style="11" customWidth="1"/>
    <col min="4359" max="4359" width="20.5703125" style="11" customWidth="1"/>
    <col min="4360" max="4360" width="36.140625" style="11" customWidth="1"/>
    <col min="4361" max="4361" width="18.7109375" style="11" bestFit="1" customWidth="1"/>
    <col min="4362" max="4362" width="21.28515625" style="11" customWidth="1"/>
    <col min="4363" max="4363" width="20.5703125" style="11" bestFit="1" customWidth="1"/>
    <col min="4364" max="4364" width="18.7109375" style="11" bestFit="1" customWidth="1"/>
    <col min="4365" max="4365" width="22.7109375" style="11" customWidth="1"/>
    <col min="4366" max="4366" width="16.28515625" style="11" bestFit="1" customWidth="1"/>
    <col min="4367" max="4367" width="14.140625" style="11" bestFit="1" customWidth="1"/>
    <col min="4368" max="4368" width="19" style="11" customWidth="1"/>
    <col min="4369" max="4372" width="16.85546875" style="11" bestFit="1" customWidth="1"/>
    <col min="4373" max="4608" width="9" style="11"/>
    <col min="4609" max="4609" width="9.140625" style="11" customWidth="1"/>
    <col min="4610" max="4610" width="7.28515625" style="11" customWidth="1"/>
    <col min="4611" max="4611" width="19.42578125" style="11" customWidth="1"/>
    <col min="4612" max="4612" width="21.28515625" style="11" customWidth="1"/>
    <col min="4613" max="4613" width="20.42578125" style="11" customWidth="1"/>
    <col min="4614" max="4614" width="20" style="11" customWidth="1"/>
    <col min="4615" max="4615" width="20.5703125" style="11" customWidth="1"/>
    <col min="4616" max="4616" width="36.140625" style="11" customWidth="1"/>
    <col min="4617" max="4617" width="18.7109375" style="11" bestFit="1" customWidth="1"/>
    <col min="4618" max="4618" width="21.28515625" style="11" customWidth="1"/>
    <col min="4619" max="4619" width="20.5703125" style="11" bestFit="1" customWidth="1"/>
    <col min="4620" max="4620" width="18.7109375" style="11" bestFit="1" customWidth="1"/>
    <col min="4621" max="4621" width="22.7109375" style="11" customWidth="1"/>
    <col min="4622" max="4622" width="16.28515625" style="11" bestFit="1" customWidth="1"/>
    <col min="4623" max="4623" width="14.140625" style="11" bestFit="1" customWidth="1"/>
    <col min="4624" max="4624" width="19" style="11" customWidth="1"/>
    <col min="4625" max="4628" width="16.85546875" style="11" bestFit="1" customWidth="1"/>
    <col min="4629" max="4864" width="9" style="11"/>
    <col min="4865" max="4865" width="9.140625" style="11" customWidth="1"/>
    <col min="4866" max="4866" width="7.28515625" style="11" customWidth="1"/>
    <col min="4867" max="4867" width="19.42578125" style="11" customWidth="1"/>
    <col min="4868" max="4868" width="21.28515625" style="11" customWidth="1"/>
    <col min="4869" max="4869" width="20.42578125" style="11" customWidth="1"/>
    <col min="4870" max="4870" width="20" style="11" customWidth="1"/>
    <col min="4871" max="4871" width="20.5703125" style="11" customWidth="1"/>
    <col min="4872" max="4872" width="36.140625" style="11" customWidth="1"/>
    <col min="4873" max="4873" width="18.7109375" style="11" bestFit="1" customWidth="1"/>
    <col min="4874" max="4874" width="21.28515625" style="11" customWidth="1"/>
    <col min="4875" max="4875" width="20.5703125" style="11" bestFit="1" customWidth="1"/>
    <col min="4876" max="4876" width="18.7109375" style="11" bestFit="1" customWidth="1"/>
    <col min="4877" max="4877" width="22.7109375" style="11" customWidth="1"/>
    <col min="4878" max="4878" width="16.28515625" style="11" bestFit="1" customWidth="1"/>
    <col min="4879" max="4879" width="14.140625" style="11" bestFit="1" customWidth="1"/>
    <col min="4880" max="4880" width="19" style="11" customWidth="1"/>
    <col min="4881" max="4884" width="16.85546875" style="11" bestFit="1" customWidth="1"/>
    <col min="4885" max="5120" width="9" style="11"/>
    <col min="5121" max="5121" width="9.140625" style="11" customWidth="1"/>
    <col min="5122" max="5122" width="7.28515625" style="11" customWidth="1"/>
    <col min="5123" max="5123" width="19.42578125" style="11" customWidth="1"/>
    <col min="5124" max="5124" width="21.28515625" style="11" customWidth="1"/>
    <col min="5125" max="5125" width="20.42578125" style="11" customWidth="1"/>
    <col min="5126" max="5126" width="20" style="11" customWidth="1"/>
    <col min="5127" max="5127" width="20.5703125" style="11" customWidth="1"/>
    <col min="5128" max="5128" width="36.140625" style="11" customWidth="1"/>
    <col min="5129" max="5129" width="18.7109375" style="11" bestFit="1" customWidth="1"/>
    <col min="5130" max="5130" width="21.28515625" style="11" customWidth="1"/>
    <col min="5131" max="5131" width="20.5703125" style="11" bestFit="1" customWidth="1"/>
    <col min="5132" max="5132" width="18.7109375" style="11" bestFit="1" customWidth="1"/>
    <col min="5133" max="5133" width="22.7109375" style="11" customWidth="1"/>
    <col min="5134" max="5134" width="16.28515625" style="11" bestFit="1" customWidth="1"/>
    <col min="5135" max="5135" width="14.140625" style="11" bestFit="1" customWidth="1"/>
    <col min="5136" max="5136" width="19" style="11" customWidth="1"/>
    <col min="5137" max="5140" width="16.85546875" style="11" bestFit="1" customWidth="1"/>
    <col min="5141" max="5376" width="9" style="11"/>
    <col min="5377" max="5377" width="9.140625" style="11" customWidth="1"/>
    <col min="5378" max="5378" width="7.28515625" style="11" customWidth="1"/>
    <col min="5379" max="5379" width="19.42578125" style="11" customWidth="1"/>
    <col min="5380" max="5380" width="21.28515625" style="11" customWidth="1"/>
    <col min="5381" max="5381" width="20.42578125" style="11" customWidth="1"/>
    <col min="5382" max="5382" width="20" style="11" customWidth="1"/>
    <col min="5383" max="5383" width="20.5703125" style="11" customWidth="1"/>
    <col min="5384" max="5384" width="36.140625" style="11" customWidth="1"/>
    <col min="5385" max="5385" width="18.7109375" style="11" bestFit="1" customWidth="1"/>
    <col min="5386" max="5386" width="21.28515625" style="11" customWidth="1"/>
    <col min="5387" max="5387" width="20.5703125" style="11" bestFit="1" customWidth="1"/>
    <col min="5388" max="5388" width="18.7109375" style="11" bestFit="1" customWidth="1"/>
    <col min="5389" max="5389" width="22.7109375" style="11" customWidth="1"/>
    <col min="5390" max="5390" width="16.28515625" style="11" bestFit="1" customWidth="1"/>
    <col min="5391" max="5391" width="14.140625" style="11" bestFit="1" customWidth="1"/>
    <col min="5392" max="5392" width="19" style="11" customWidth="1"/>
    <col min="5393" max="5396" width="16.85546875" style="11" bestFit="1" customWidth="1"/>
    <col min="5397" max="5632" width="9" style="11"/>
    <col min="5633" max="5633" width="9.140625" style="11" customWidth="1"/>
    <col min="5634" max="5634" width="7.28515625" style="11" customWidth="1"/>
    <col min="5635" max="5635" width="19.42578125" style="11" customWidth="1"/>
    <col min="5636" max="5636" width="21.28515625" style="11" customWidth="1"/>
    <col min="5637" max="5637" width="20.42578125" style="11" customWidth="1"/>
    <col min="5638" max="5638" width="20" style="11" customWidth="1"/>
    <col min="5639" max="5639" width="20.5703125" style="11" customWidth="1"/>
    <col min="5640" max="5640" width="36.140625" style="11" customWidth="1"/>
    <col min="5641" max="5641" width="18.7109375" style="11" bestFit="1" customWidth="1"/>
    <col min="5642" max="5642" width="21.28515625" style="11" customWidth="1"/>
    <col min="5643" max="5643" width="20.5703125" style="11" bestFit="1" customWidth="1"/>
    <col min="5644" max="5644" width="18.7109375" style="11" bestFit="1" customWidth="1"/>
    <col min="5645" max="5645" width="22.7109375" style="11" customWidth="1"/>
    <col min="5646" max="5646" width="16.28515625" style="11" bestFit="1" customWidth="1"/>
    <col min="5647" max="5647" width="14.140625" style="11" bestFit="1" customWidth="1"/>
    <col min="5648" max="5648" width="19" style="11" customWidth="1"/>
    <col min="5649" max="5652" width="16.85546875" style="11" bestFit="1" customWidth="1"/>
    <col min="5653" max="5888" width="9" style="11"/>
    <col min="5889" max="5889" width="9.140625" style="11" customWidth="1"/>
    <col min="5890" max="5890" width="7.28515625" style="11" customWidth="1"/>
    <col min="5891" max="5891" width="19.42578125" style="11" customWidth="1"/>
    <col min="5892" max="5892" width="21.28515625" style="11" customWidth="1"/>
    <col min="5893" max="5893" width="20.42578125" style="11" customWidth="1"/>
    <col min="5894" max="5894" width="20" style="11" customWidth="1"/>
    <col min="5895" max="5895" width="20.5703125" style="11" customWidth="1"/>
    <col min="5896" max="5896" width="36.140625" style="11" customWidth="1"/>
    <col min="5897" max="5897" width="18.7109375" style="11" bestFit="1" customWidth="1"/>
    <col min="5898" max="5898" width="21.28515625" style="11" customWidth="1"/>
    <col min="5899" max="5899" width="20.5703125" style="11" bestFit="1" customWidth="1"/>
    <col min="5900" max="5900" width="18.7109375" style="11" bestFit="1" customWidth="1"/>
    <col min="5901" max="5901" width="22.7109375" style="11" customWidth="1"/>
    <col min="5902" max="5902" width="16.28515625" style="11" bestFit="1" customWidth="1"/>
    <col min="5903" max="5903" width="14.140625" style="11" bestFit="1" customWidth="1"/>
    <col min="5904" max="5904" width="19" style="11" customWidth="1"/>
    <col min="5905" max="5908" width="16.85546875" style="11" bestFit="1" customWidth="1"/>
    <col min="5909" max="6144" width="9" style="11"/>
    <col min="6145" max="6145" width="9.140625" style="11" customWidth="1"/>
    <col min="6146" max="6146" width="7.28515625" style="11" customWidth="1"/>
    <col min="6147" max="6147" width="19.42578125" style="11" customWidth="1"/>
    <col min="6148" max="6148" width="21.28515625" style="11" customWidth="1"/>
    <col min="6149" max="6149" width="20.42578125" style="11" customWidth="1"/>
    <col min="6150" max="6150" width="20" style="11" customWidth="1"/>
    <col min="6151" max="6151" width="20.5703125" style="11" customWidth="1"/>
    <col min="6152" max="6152" width="36.140625" style="11" customWidth="1"/>
    <col min="6153" max="6153" width="18.7109375" style="11" bestFit="1" customWidth="1"/>
    <col min="6154" max="6154" width="21.28515625" style="11" customWidth="1"/>
    <col min="6155" max="6155" width="20.5703125" style="11" bestFit="1" customWidth="1"/>
    <col min="6156" max="6156" width="18.7109375" style="11" bestFit="1" customWidth="1"/>
    <col min="6157" max="6157" width="22.7109375" style="11" customWidth="1"/>
    <col min="6158" max="6158" width="16.28515625" style="11" bestFit="1" customWidth="1"/>
    <col min="6159" max="6159" width="14.140625" style="11" bestFit="1" customWidth="1"/>
    <col min="6160" max="6160" width="19" style="11" customWidth="1"/>
    <col min="6161" max="6164" width="16.85546875" style="11" bestFit="1" customWidth="1"/>
    <col min="6165" max="6400" width="9" style="11"/>
    <col min="6401" max="6401" width="9.140625" style="11" customWidth="1"/>
    <col min="6402" max="6402" width="7.28515625" style="11" customWidth="1"/>
    <col min="6403" max="6403" width="19.42578125" style="11" customWidth="1"/>
    <col min="6404" max="6404" width="21.28515625" style="11" customWidth="1"/>
    <col min="6405" max="6405" width="20.42578125" style="11" customWidth="1"/>
    <col min="6406" max="6406" width="20" style="11" customWidth="1"/>
    <col min="6407" max="6407" width="20.5703125" style="11" customWidth="1"/>
    <col min="6408" max="6408" width="36.140625" style="11" customWidth="1"/>
    <col min="6409" max="6409" width="18.7109375" style="11" bestFit="1" customWidth="1"/>
    <col min="6410" max="6410" width="21.28515625" style="11" customWidth="1"/>
    <col min="6411" max="6411" width="20.5703125" style="11" bestFit="1" customWidth="1"/>
    <col min="6412" max="6412" width="18.7109375" style="11" bestFit="1" customWidth="1"/>
    <col min="6413" max="6413" width="22.7109375" style="11" customWidth="1"/>
    <col min="6414" max="6414" width="16.28515625" style="11" bestFit="1" customWidth="1"/>
    <col min="6415" max="6415" width="14.140625" style="11" bestFit="1" customWidth="1"/>
    <col min="6416" max="6416" width="19" style="11" customWidth="1"/>
    <col min="6417" max="6420" width="16.85546875" style="11" bestFit="1" customWidth="1"/>
    <col min="6421" max="6656" width="9" style="11"/>
    <col min="6657" max="6657" width="9.140625" style="11" customWidth="1"/>
    <col min="6658" max="6658" width="7.28515625" style="11" customWidth="1"/>
    <col min="6659" max="6659" width="19.42578125" style="11" customWidth="1"/>
    <col min="6660" max="6660" width="21.28515625" style="11" customWidth="1"/>
    <col min="6661" max="6661" width="20.42578125" style="11" customWidth="1"/>
    <col min="6662" max="6662" width="20" style="11" customWidth="1"/>
    <col min="6663" max="6663" width="20.5703125" style="11" customWidth="1"/>
    <col min="6664" max="6664" width="36.140625" style="11" customWidth="1"/>
    <col min="6665" max="6665" width="18.7109375" style="11" bestFit="1" customWidth="1"/>
    <col min="6666" max="6666" width="21.28515625" style="11" customWidth="1"/>
    <col min="6667" max="6667" width="20.5703125" style="11" bestFit="1" customWidth="1"/>
    <col min="6668" max="6668" width="18.7109375" style="11" bestFit="1" customWidth="1"/>
    <col min="6669" max="6669" width="22.7109375" style="11" customWidth="1"/>
    <col min="6670" max="6670" width="16.28515625" style="11" bestFit="1" customWidth="1"/>
    <col min="6671" max="6671" width="14.140625" style="11" bestFit="1" customWidth="1"/>
    <col min="6672" max="6672" width="19" style="11" customWidth="1"/>
    <col min="6673" max="6676" width="16.85546875" style="11" bestFit="1" customWidth="1"/>
    <col min="6677" max="6912" width="9" style="11"/>
    <col min="6913" max="6913" width="9.140625" style="11" customWidth="1"/>
    <col min="6914" max="6914" width="7.28515625" style="11" customWidth="1"/>
    <col min="6915" max="6915" width="19.42578125" style="11" customWidth="1"/>
    <col min="6916" max="6916" width="21.28515625" style="11" customWidth="1"/>
    <col min="6917" max="6917" width="20.42578125" style="11" customWidth="1"/>
    <col min="6918" max="6918" width="20" style="11" customWidth="1"/>
    <col min="6919" max="6919" width="20.5703125" style="11" customWidth="1"/>
    <col min="6920" max="6920" width="36.140625" style="11" customWidth="1"/>
    <col min="6921" max="6921" width="18.7109375" style="11" bestFit="1" customWidth="1"/>
    <col min="6922" max="6922" width="21.28515625" style="11" customWidth="1"/>
    <col min="6923" max="6923" width="20.5703125" style="11" bestFit="1" customWidth="1"/>
    <col min="6924" max="6924" width="18.7109375" style="11" bestFit="1" customWidth="1"/>
    <col min="6925" max="6925" width="22.7109375" style="11" customWidth="1"/>
    <col min="6926" max="6926" width="16.28515625" style="11" bestFit="1" customWidth="1"/>
    <col min="6927" max="6927" width="14.140625" style="11" bestFit="1" customWidth="1"/>
    <col min="6928" max="6928" width="19" style="11" customWidth="1"/>
    <col min="6929" max="6932" width="16.85546875" style="11" bestFit="1" customWidth="1"/>
    <col min="6933" max="7168" width="9" style="11"/>
    <col min="7169" max="7169" width="9.140625" style="11" customWidth="1"/>
    <col min="7170" max="7170" width="7.28515625" style="11" customWidth="1"/>
    <col min="7171" max="7171" width="19.42578125" style="11" customWidth="1"/>
    <col min="7172" max="7172" width="21.28515625" style="11" customWidth="1"/>
    <col min="7173" max="7173" width="20.42578125" style="11" customWidth="1"/>
    <col min="7174" max="7174" width="20" style="11" customWidth="1"/>
    <col min="7175" max="7175" width="20.5703125" style="11" customWidth="1"/>
    <col min="7176" max="7176" width="36.140625" style="11" customWidth="1"/>
    <col min="7177" max="7177" width="18.7109375" style="11" bestFit="1" customWidth="1"/>
    <col min="7178" max="7178" width="21.28515625" style="11" customWidth="1"/>
    <col min="7179" max="7179" width="20.5703125" style="11" bestFit="1" customWidth="1"/>
    <col min="7180" max="7180" width="18.7109375" style="11" bestFit="1" customWidth="1"/>
    <col min="7181" max="7181" width="22.7109375" style="11" customWidth="1"/>
    <col min="7182" max="7182" width="16.28515625" style="11" bestFit="1" customWidth="1"/>
    <col min="7183" max="7183" width="14.140625" style="11" bestFit="1" customWidth="1"/>
    <col min="7184" max="7184" width="19" style="11" customWidth="1"/>
    <col min="7185" max="7188" width="16.85546875" style="11" bestFit="1" customWidth="1"/>
    <col min="7189" max="7424" width="9" style="11"/>
    <col min="7425" max="7425" width="9.140625" style="11" customWidth="1"/>
    <col min="7426" max="7426" width="7.28515625" style="11" customWidth="1"/>
    <col min="7427" max="7427" width="19.42578125" style="11" customWidth="1"/>
    <col min="7428" max="7428" width="21.28515625" style="11" customWidth="1"/>
    <col min="7429" max="7429" width="20.42578125" style="11" customWidth="1"/>
    <col min="7430" max="7430" width="20" style="11" customWidth="1"/>
    <col min="7431" max="7431" width="20.5703125" style="11" customWidth="1"/>
    <col min="7432" max="7432" width="36.140625" style="11" customWidth="1"/>
    <col min="7433" max="7433" width="18.7109375" style="11" bestFit="1" customWidth="1"/>
    <col min="7434" max="7434" width="21.28515625" style="11" customWidth="1"/>
    <col min="7435" max="7435" width="20.5703125" style="11" bestFit="1" customWidth="1"/>
    <col min="7436" max="7436" width="18.7109375" style="11" bestFit="1" customWidth="1"/>
    <col min="7437" max="7437" width="22.7109375" style="11" customWidth="1"/>
    <col min="7438" max="7438" width="16.28515625" style="11" bestFit="1" customWidth="1"/>
    <col min="7439" max="7439" width="14.140625" style="11" bestFit="1" customWidth="1"/>
    <col min="7440" max="7440" width="19" style="11" customWidth="1"/>
    <col min="7441" max="7444" width="16.85546875" style="11" bestFit="1" customWidth="1"/>
    <col min="7445" max="7680" width="9" style="11"/>
    <col min="7681" max="7681" width="9.140625" style="11" customWidth="1"/>
    <col min="7682" max="7682" width="7.28515625" style="11" customWidth="1"/>
    <col min="7683" max="7683" width="19.42578125" style="11" customWidth="1"/>
    <col min="7684" max="7684" width="21.28515625" style="11" customWidth="1"/>
    <col min="7685" max="7685" width="20.42578125" style="11" customWidth="1"/>
    <col min="7686" max="7686" width="20" style="11" customWidth="1"/>
    <col min="7687" max="7687" width="20.5703125" style="11" customWidth="1"/>
    <col min="7688" max="7688" width="36.140625" style="11" customWidth="1"/>
    <col min="7689" max="7689" width="18.7109375" style="11" bestFit="1" customWidth="1"/>
    <col min="7690" max="7690" width="21.28515625" style="11" customWidth="1"/>
    <col min="7691" max="7691" width="20.5703125" style="11" bestFit="1" customWidth="1"/>
    <col min="7692" max="7692" width="18.7109375" style="11" bestFit="1" customWidth="1"/>
    <col min="7693" max="7693" width="22.7109375" style="11" customWidth="1"/>
    <col min="7694" max="7694" width="16.28515625" style="11" bestFit="1" customWidth="1"/>
    <col min="7695" max="7695" width="14.140625" style="11" bestFit="1" customWidth="1"/>
    <col min="7696" max="7696" width="19" style="11" customWidth="1"/>
    <col min="7697" max="7700" width="16.85546875" style="11" bestFit="1" customWidth="1"/>
    <col min="7701" max="7936" width="9" style="11"/>
    <col min="7937" max="7937" width="9.140625" style="11" customWidth="1"/>
    <col min="7938" max="7938" width="7.28515625" style="11" customWidth="1"/>
    <col min="7939" max="7939" width="19.42578125" style="11" customWidth="1"/>
    <col min="7940" max="7940" width="21.28515625" style="11" customWidth="1"/>
    <col min="7941" max="7941" width="20.42578125" style="11" customWidth="1"/>
    <col min="7942" max="7942" width="20" style="11" customWidth="1"/>
    <col min="7943" max="7943" width="20.5703125" style="11" customWidth="1"/>
    <col min="7944" max="7944" width="36.140625" style="11" customWidth="1"/>
    <col min="7945" max="7945" width="18.7109375" style="11" bestFit="1" customWidth="1"/>
    <col min="7946" max="7946" width="21.28515625" style="11" customWidth="1"/>
    <col min="7947" max="7947" width="20.5703125" style="11" bestFit="1" customWidth="1"/>
    <col min="7948" max="7948" width="18.7109375" style="11" bestFit="1" customWidth="1"/>
    <col min="7949" max="7949" width="22.7109375" style="11" customWidth="1"/>
    <col min="7950" max="7950" width="16.28515625" style="11" bestFit="1" customWidth="1"/>
    <col min="7951" max="7951" width="14.140625" style="11" bestFit="1" customWidth="1"/>
    <col min="7952" max="7952" width="19" style="11" customWidth="1"/>
    <col min="7953" max="7956" width="16.85546875" style="11" bestFit="1" customWidth="1"/>
    <col min="7957" max="8192" width="9" style="11"/>
    <col min="8193" max="8193" width="9.140625" style="11" customWidth="1"/>
    <col min="8194" max="8194" width="7.28515625" style="11" customWidth="1"/>
    <col min="8195" max="8195" width="19.42578125" style="11" customWidth="1"/>
    <col min="8196" max="8196" width="21.28515625" style="11" customWidth="1"/>
    <col min="8197" max="8197" width="20.42578125" style="11" customWidth="1"/>
    <col min="8198" max="8198" width="20" style="11" customWidth="1"/>
    <col min="8199" max="8199" width="20.5703125" style="11" customWidth="1"/>
    <col min="8200" max="8200" width="36.140625" style="11" customWidth="1"/>
    <col min="8201" max="8201" width="18.7109375" style="11" bestFit="1" customWidth="1"/>
    <col min="8202" max="8202" width="21.28515625" style="11" customWidth="1"/>
    <col min="8203" max="8203" width="20.5703125" style="11" bestFit="1" customWidth="1"/>
    <col min="8204" max="8204" width="18.7109375" style="11" bestFit="1" customWidth="1"/>
    <col min="8205" max="8205" width="22.7109375" style="11" customWidth="1"/>
    <col min="8206" max="8206" width="16.28515625" style="11" bestFit="1" customWidth="1"/>
    <col min="8207" max="8207" width="14.140625" style="11" bestFit="1" customWidth="1"/>
    <col min="8208" max="8208" width="19" style="11" customWidth="1"/>
    <col min="8209" max="8212" width="16.85546875" style="11" bestFit="1" customWidth="1"/>
    <col min="8213" max="8448" width="9" style="11"/>
    <col min="8449" max="8449" width="9.140625" style="11" customWidth="1"/>
    <col min="8450" max="8450" width="7.28515625" style="11" customWidth="1"/>
    <col min="8451" max="8451" width="19.42578125" style="11" customWidth="1"/>
    <col min="8452" max="8452" width="21.28515625" style="11" customWidth="1"/>
    <col min="8453" max="8453" width="20.42578125" style="11" customWidth="1"/>
    <col min="8454" max="8454" width="20" style="11" customWidth="1"/>
    <col min="8455" max="8455" width="20.5703125" style="11" customWidth="1"/>
    <col min="8456" max="8456" width="36.140625" style="11" customWidth="1"/>
    <col min="8457" max="8457" width="18.7109375" style="11" bestFit="1" customWidth="1"/>
    <col min="8458" max="8458" width="21.28515625" style="11" customWidth="1"/>
    <col min="8459" max="8459" width="20.5703125" style="11" bestFit="1" customWidth="1"/>
    <col min="8460" max="8460" width="18.7109375" style="11" bestFit="1" customWidth="1"/>
    <col min="8461" max="8461" width="22.7109375" style="11" customWidth="1"/>
    <col min="8462" max="8462" width="16.28515625" style="11" bestFit="1" customWidth="1"/>
    <col min="8463" max="8463" width="14.140625" style="11" bestFit="1" customWidth="1"/>
    <col min="8464" max="8464" width="19" style="11" customWidth="1"/>
    <col min="8465" max="8468" width="16.85546875" style="11" bestFit="1" customWidth="1"/>
    <col min="8469" max="8704" width="9" style="11"/>
    <col min="8705" max="8705" width="9.140625" style="11" customWidth="1"/>
    <col min="8706" max="8706" width="7.28515625" style="11" customWidth="1"/>
    <col min="8707" max="8707" width="19.42578125" style="11" customWidth="1"/>
    <col min="8708" max="8708" width="21.28515625" style="11" customWidth="1"/>
    <col min="8709" max="8709" width="20.42578125" style="11" customWidth="1"/>
    <col min="8710" max="8710" width="20" style="11" customWidth="1"/>
    <col min="8711" max="8711" width="20.5703125" style="11" customWidth="1"/>
    <col min="8712" max="8712" width="36.140625" style="11" customWidth="1"/>
    <col min="8713" max="8713" width="18.7109375" style="11" bestFit="1" customWidth="1"/>
    <col min="8714" max="8714" width="21.28515625" style="11" customWidth="1"/>
    <col min="8715" max="8715" width="20.5703125" style="11" bestFit="1" customWidth="1"/>
    <col min="8716" max="8716" width="18.7109375" style="11" bestFit="1" customWidth="1"/>
    <col min="8717" max="8717" width="22.7109375" style="11" customWidth="1"/>
    <col min="8718" max="8718" width="16.28515625" style="11" bestFit="1" customWidth="1"/>
    <col min="8719" max="8719" width="14.140625" style="11" bestFit="1" customWidth="1"/>
    <col min="8720" max="8720" width="19" style="11" customWidth="1"/>
    <col min="8721" max="8724" width="16.85546875" style="11" bestFit="1" customWidth="1"/>
    <col min="8725" max="8960" width="9" style="11"/>
    <col min="8961" max="8961" width="9.140625" style="11" customWidth="1"/>
    <col min="8962" max="8962" width="7.28515625" style="11" customWidth="1"/>
    <col min="8963" max="8963" width="19.42578125" style="11" customWidth="1"/>
    <col min="8964" max="8964" width="21.28515625" style="11" customWidth="1"/>
    <col min="8965" max="8965" width="20.42578125" style="11" customWidth="1"/>
    <col min="8966" max="8966" width="20" style="11" customWidth="1"/>
    <col min="8967" max="8967" width="20.5703125" style="11" customWidth="1"/>
    <col min="8968" max="8968" width="36.140625" style="11" customWidth="1"/>
    <col min="8969" max="8969" width="18.7109375" style="11" bestFit="1" customWidth="1"/>
    <col min="8970" max="8970" width="21.28515625" style="11" customWidth="1"/>
    <col min="8971" max="8971" width="20.5703125" style="11" bestFit="1" customWidth="1"/>
    <col min="8972" max="8972" width="18.7109375" style="11" bestFit="1" customWidth="1"/>
    <col min="8973" max="8973" width="22.7109375" style="11" customWidth="1"/>
    <col min="8974" max="8974" width="16.28515625" style="11" bestFit="1" customWidth="1"/>
    <col min="8975" max="8975" width="14.140625" style="11" bestFit="1" customWidth="1"/>
    <col min="8976" max="8976" width="19" style="11" customWidth="1"/>
    <col min="8977" max="8980" width="16.85546875" style="11" bestFit="1" customWidth="1"/>
    <col min="8981" max="9216" width="9" style="11"/>
    <col min="9217" max="9217" width="9.140625" style="11" customWidth="1"/>
    <col min="9218" max="9218" width="7.28515625" style="11" customWidth="1"/>
    <col min="9219" max="9219" width="19.42578125" style="11" customWidth="1"/>
    <col min="9220" max="9220" width="21.28515625" style="11" customWidth="1"/>
    <col min="9221" max="9221" width="20.42578125" style="11" customWidth="1"/>
    <col min="9222" max="9222" width="20" style="11" customWidth="1"/>
    <col min="9223" max="9223" width="20.5703125" style="11" customWidth="1"/>
    <col min="9224" max="9224" width="36.140625" style="11" customWidth="1"/>
    <col min="9225" max="9225" width="18.7109375" style="11" bestFit="1" customWidth="1"/>
    <col min="9226" max="9226" width="21.28515625" style="11" customWidth="1"/>
    <col min="9227" max="9227" width="20.5703125" style="11" bestFit="1" customWidth="1"/>
    <col min="9228" max="9228" width="18.7109375" style="11" bestFit="1" customWidth="1"/>
    <col min="9229" max="9229" width="22.7109375" style="11" customWidth="1"/>
    <col min="9230" max="9230" width="16.28515625" style="11" bestFit="1" customWidth="1"/>
    <col min="9231" max="9231" width="14.140625" style="11" bestFit="1" customWidth="1"/>
    <col min="9232" max="9232" width="19" style="11" customWidth="1"/>
    <col min="9233" max="9236" width="16.85546875" style="11" bestFit="1" customWidth="1"/>
    <col min="9237" max="9472" width="9" style="11"/>
    <col min="9473" max="9473" width="9.140625" style="11" customWidth="1"/>
    <col min="9474" max="9474" width="7.28515625" style="11" customWidth="1"/>
    <col min="9475" max="9475" width="19.42578125" style="11" customWidth="1"/>
    <col min="9476" max="9476" width="21.28515625" style="11" customWidth="1"/>
    <col min="9477" max="9477" width="20.42578125" style="11" customWidth="1"/>
    <col min="9478" max="9478" width="20" style="11" customWidth="1"/>
    <col min="9479" max="9479" width="20.5703125" style="11" customWidth="1"/>
    <col min="9480" max="9480" width="36.140625" style="11" customWidth="1"/>
    <col min="9481" max="9481" width="18.7109375" style="11" bestFit="1" customWidth="1"/>
    <col min="9482" max="9482" width="21.28515625" style="11" customWidth="1"/>
    <col min="9483" max="9483" width="20.5703125" style="11" bestFit="1" customWidth="1"/>
    <col min="9484" max="9484" width="18.7109375" style="11" bestFit="1" customWidth="1"/>
    <col min="9485" max="9485" width="22.7109375" style="11" customWidth="1"/>
    <col min="9486" max="9486" width="16.28515625" style="11" bestFit="1" customWidth="1"/>
    <col min="9487" max="9487" width="14.140625" style="11" bestFit="1" customWidth="1"/>
    <col min="9488" max="9488" width="19" style="11" customWidth="1"/>
    <col min="9489" max="9492" width="16.85546875" style="11" bestFit="1" customWidth="1"/>
    <col min="9493" max="9728" width="9" style="11"/>
    <col min="9729" max="9729" width="9.140625" style="11" customWidth="1"/>
    <col min="9730" max="9730" width="7.28515625" style="11" customWidth="1"/>
    <col min="9731" max="9731" width="19.42578125" style="11" customWidth="1"/>
    <col min="9732" max="9732" width="21.28515625" style="11" customWidth="1"/>
    <col min="9733" max="9733" width="20.42578125" style="11" customWidth="1"/>
    <col min="9734" max="9734" width="20" style="11" customWidth="1"/>
    <col min="9735" max="9735" width="20.5703125" style="11" customWidth="1"/>
    <col min="9736" max="9736" width="36.140625" style="11" customWidth="1"/>
    <col min="9737" max="9737" width="18.7109375" style="11" bestFit="1" customWidth="1"/>
    <col min="9738" max="9738" width="21.28515625" style="11" customWidth="1"/>
    <col min="9739" max="9739" width="20.5703125" style="11" bestFit="1" customWidth="1"/>
    <col min="9740" max="9740" width="18.7109375" style="11" bestFit="1" customWidth="1"/>
    <col min="9741" max="9741" width="22.7109375" style="11" customWidth="1"/>
    <col min="9742" max="9742" width="16.28515625" style="11" bestFit="1" customWidth="1"/>
    <col min="9743" max="9743" width="14.140625" style="11" bestFit="1" customWidth="1"/>
    <col min="9744" max="9744" width="19" style="11" customWidth="1"/>
    <col min="9745" max="9748" width="16.85546875" style="11" bestFit="1" customWidth="1"/>
    <col min="9749" max="9984" width="9" style="11"/>
    <col min="9985" max="9985" width="9.140625" style="11" customWidth="1"/>
    <col min="9986" max="9986" width="7.28515625" style="11" customWidth="1"/>
    <col min="9987" max="9987" width="19.42578125" style="11" customWidth="1"/>
    <col min="9988" max="9988" width="21.28515625" style="11" customWidth="1"/>
    <col min="9989" max="9989" width="20.42578125" style="11" customWidth="1"/>
    <col min="9990" max="9990" width="20" style="11" customWidth="1"/>
    <col min="9991" max="9991" width="20.5703125" style="11" customWidth="1"/>
    <col min="9992" max="9992" width="36.140625" style="11" customWidth="1"/>
    <col min="9993" max="9993" width="18.7109375" style="11" bestFit="1" customWidth="1"/>
    <col min="9994" max="9994" width="21.28515625" style="11" customWidth="1"/>
    <col min="9995" max="9995" width="20.5703125" style="11" bestFit="1" customWidth="1"/>
    <col min="9996" max="9996" width="18.7109375" style="11" bestFit="1" customWidth="1"/>
    <col min="9997" max="9997" width="22.7109375" style="11" customWidth="1"/>
    <col min="9998" max="9998" width="16.28515625" style="11" bestFit="1" customWidth="1"/>
    <col min="9999" max="9999" width="14.140625" style="11" bestFit="1" customWidth="1"/>
    <col min="10000" max="10000" width="19" style="11" customWidth="1"/>
    <col min="10001" max="10004" width="16.85546875" style="11" bestFit="1" customWidth="1"/>
    <col min="10005" max="10240" width="9" style="11"/>
    <col min="10241" max="10241" width="9.140625" style="11" customWidth="1"/>
    <col min="10242" max="10242" width="7.28515625" style="11" customWidth="1"/>
    <col min="10243" max="10243" width="19.42578125" style="11" customWidth="1"/>
    <col min="10244" max="10244" width="21.28515625" style="11" customWidth="1"/>
    <col min="10245" max="10245" width="20.42578125" style="11" customWidth="1"/>
    <col min="10246" max="10246" width="20" style="11" customWidth="1"/>
    <col min="10247" max="10247" width="20.5703125" style="11" customWidth="1"/>
    <col min="10248" max="10248" width="36.140625" style="11" customWidth="1"/>
    <col min="10249" max="10249" width="18.7109375" style="11" bestFit="1" customWidth="1"/>
    <col min="10250" max="10250" width="21.28515625" style="11" customWidth="1"/>
    <col min="10251" max="10251" width="20.5703125" style="11" bestFit="1" customWidth="1"/>
    <col min="10252" max="10252" width="18.7109375" style="11" bestFit="1" customWidth="1"/>
    <col min="10253" max="10253" width="22.7109375" style="11" customWidth="1"/>
    <col min="10254" max="10254" width="16.28515625" style="11" bestFit="1" customWidth="1"/>
    <col min="10255" max="10255" width="14.140625" style="11" bestFit="1" customWidth="1"/>
    <col min="10256" max="10256" width="19" style="11" customWidth="1"/>
    <col min="10257" max="10260" width="16.85546875" style="11" bestFit="1" customWidth="1"/>
    <col min="10261" max="10496" width="9" style="11"/>
    <col min="10497" max="10497" width="9.140625" style="11" customWidth="1"/>
    <col min="10498" max="10498" width="7.28515625" style="11" customWidth="1"/>
    <col min="10499" max="10499" width="19.42578125" style="11" customWidth="1"/>
    <col min="10500" max="10500" width="21.28515625" style="11" customWidth="1"/>
    <col min="10501" max="10501" width="20.42578125" style="11" customWidth="1"/>
    <col min="10502" max="10502" width="20" style="11" customWidth="1"/>
    <col min="10503" max="10503" width="20.5703125" style="11" customWidth="1"/>
    <col min="10504" max="10504" width="36.140625" style="11" customWidth="1"/>
    <col min="10505" max="10505" width="18.7109375" style="11" bestFit="1" customWidth="1"/>
    <col min="10506" max="10506" width="21.28515625" style="11" customWidth="1"/>
    <col min="10507" max="10507" width="20.5703125" style="11" bestFit="1" customWidth="1"/>
    <col min="10508" max="10508" width="18.7109375" style="11" bestFit="1" customWidth="1"/>
    <col min="10509" max="10509" width="22.7109375" style="11" customWidth="1"/>
    <col min="10510" max="10510" width="16.28515625" style="11" bestFit="1" customWidth="1"/>
    <col min="10511" max="10511" width="14.140625" style="11" bestFit="1" customWidth="1"/>
    <col min="10512" max="10512" width="19" style="11" customWidth="1"/>
    <col min="10513" max="10516" width="16.85546875" style="11" bestFit="1" customWidth="1"/>
    <col min="10517" max="10752" width="9" style="11"/>
    <col min="10753" max="10753" width="9.140625" style="11" customWidth="1"/>
    <col min="10754" max="10754" width="7.28515625" style="11" customWidth="1"/>
    <col min="10755" max="10755" width="19.42578125" style="11" customWidth="1"/>
    <col min="10756" max="10756" width="21.28515625" style="11" customWidth="1"/>
    <col min="10757" max="10757" width="20.42578125" style="11" customWidth="1"/>
    <col min="10758" max="10758" width="20" style="11" customWidth="1"/>
    <col min="10759" max="10759" width="20.5703125" style="11" customWidth="1"/>
    <col min="10760" max="10760" width="36.140625" style="11" customWidth="1"/>
    <col min="10761" max="10761" width="18.7109375" style="11" bestFit="1" customWidth="1"/>
    <col min="10762" max="10762" width="21.28515625" style="11" customWidth="1"/>
    <col min="10763" max="10763" width="20.5703125" style="11" bestFit="1" customWidth="1"/>
    <col min="10764" max="10764" width="18.7109375" style="11" bestFit="1" customWidth="1"/>
    <col min="10765" max="10765" width="22.7109375" style="11" customWidth="1"/>
    <col min="10766" max="10766" width="16.28515625" style="11" bestFit="1" customWidth="1"/>
    <col min="10767" max="10767" width="14.140625" style="11" bestFit="1" customWidth="1"/>
    <col min="10768" max="10768" width="19" style="11" customWidth="1"/>
    <col min="10769" max="10772" width="16.85546875" style="11" bestFit="1" customWidth="1"/>
    <col min="10773" max="11008" width="9" style="11"/>
    <col min="11009" max="11009" width="9.140625" style="11" customWidth="1"/>
    <col min="11010" max="11010" width="7.28515625" style="11" customWidth="1"/>
    <col min="11011" max="11011" width="19.42578125" style="11" customWidth="1"/>
    <col min="11012" max="11012" width="21.28515625" style="11" customWidth="1"/>
    <col min="11013" max="11013" width="20.42578125" style="11" customWidth="1"/>
    <col min="11014" max="11014" width="20" style="11" customWidth="1"/>
    <col min="11015" max="11015" width="20.5703125" style="11" customWidth="1"/>
    <col min="11016" max="11016" width="36.140625" style="11" customWidth="1"/>
    <col min="11017" max="11017" width="18.7109375" style="11" bestFit="1" customWidth="1"/>
    <col min="11018" max="11018" width="21.28515625" style="11" customWidth="1"/>
    <col min="11019" max="11019" width="20.5703125" style="11" bestFit="1" customWidth="1"/>
    <col min="11020" max="11020" width="18.7109375" style="11" bestFit="1" customWidth="1"/>
    <col min="11021" max="11021" width="22.7109375" style="11" customWidth="1"/>
    <col min="11022" max="11022" width="16.28515625" style="11" bestFit="1" customWidth="1"/>
    <col min="11023" max="11023" width="14.140625" style="11" bestFit="1" customWidth="1"/>
    <col min="11024" max="11024" width="19" style="11" customWidth="1"/>
    <col min="11025" max="11028" width="16.85546875" style="11" bestFit="1" customWidth="1"/>
    <col min="11029" max="11264" width="9" style="11"/>
    <col min="11265" max="11265" width="9.140625" style="11" customWidth="1"/>
    <col min="11266" max="11266" width="7.28515625" style="11" customWidth="1"/>
    <col min="11267" max="11267" width="19.42578125" style="11" customWidth="1"/>
    <col min="11268" max="11268" width="21.28515625" style="11" customWidth="1"/>
    <col min="11269" max="11269" width="20.42578125" style="11" customWidth="1"/>
    <col min="11270" max="11270" width="20" style="11" customWidth="1"/>
    <col min="11271" max="11271" width="20.5703125" style="11" customWidth="1"/>
    <col min="11272" max="11272" width="36.140625" style="11" customWidth="1"/>
    <col min="11273" max="11273" width="18.7109375" style="11" bestFit="1" customWidth="1"/>
    <col min="11274" max="11274" width="21.28515625" style="11" customWidth="1"/>
    <col min="11275" max="11275" width="20.5703125" style="11" bestFit="1" customWidth="1"/>
    <col min="11276" max="11276" width="18.7109375" style="11" bestFit="1" customWidth="1"/>
    <col min="11277" max="11277" width="22.7109375" style="11" customWidth="1"/>
    <col min="11278" max="11278" width="16.28515625" style="11" bestFit="1" customWidth="1"/>
    <col min="11279" max="11279" width="14.140625" style="11" bestFit="1" customWidth="1"/>
    <col min="11280" max="11280" width="19" style="11" customWidth="1"/>
    <col min="11281" max="11284" width="16.85546875" style="11" bestFit="1" customWidth="1"/>
    <col min="11285" max="11520" width="9" style="11"/>
    <col min="11521" max="11521" width="9.140625" style="11" customWidth="1"/>
    <col min="11522" max="11522" width="7.28515625" style="11" customWidth="1"/>
    <col min="11523" max="11523" width="19.42578125" style="11" customWidth="1"/>
    <col min="11524" max="11524" width="21.28515625" style="11" customWidth="1"/>
    <col min="11525" max="11525" width="20.42578125" style="11" customWidth="1"/>
    <col min="11526" max="11526" width="20" style="11" customWidth="1"/>
    <col min="11527" max="11527" width="20.5703125" style="11" customWidth="1"/>
    <col min="11528" max="11528" width="36.140625" style="11" customWidth="1"/>
    <col min="11529" max="11529" width="18.7109375" style="11" bestFit="1" customWidth="1"/>
    <col min="11530" max="11530" width="21.28515625" style="11" customWidth="1"/>
    <col min="11531" max="11531" width="20.5703125" style="11" bestFit="1" customWidth="1"/>
    <col min="11532" max="11532" width="18.7109375" style="11" bestFit="1" customWidth="1"/>
    <col min="11533" max="11533" width="22.7109375" style="11" customWidth="1"/>
    <col min="11534" max="11534" width="16.28515625" style="11" bestFit="1" customWidth="1"/>
    <col min="11535" max="11535" width="14.140625" style="11" bestFit="1" customWidth="1"/>
    <col min="11536" max="11536" width="19" style="11" customWidth="1"/>
    <col min="11537" max="11540" width="16.85546875" style="11" bestFit="1" customWidth="1"/>
    <col min="11541" max="11776" width="9" style="11"/>
    <col min="11777" max="11777" width="9.140625" style="11" customWidth="1"/>
    <col min="11778" max="11778" width="7.28515625" style="11" customWidth="1"/>
    <col min="11779" max="11779" width="19.42578125" style="11" customWidth="1"/>
    <col min="11780" max="11780" width="21.28515625" style="11" customWidth="1"/>
    <col min="11781" max="11781" width="20.42578125" style="11" customWidth="1"/>
    <col min="11782" max="11782" width="20" style="11" customWidth="1"/>
    <col min="11783" max="11783" width="20.5703125" style="11" customWidth="1"/>
    <col min="11784" max="11784" width="36.140625" style="11" customWidth="1"/>
    <col min="11785" max="11785" width="18.7109375" style="11" bestFit="1" customWidth="1"/>
    <col min="11786" max="11786" width="21.28515625" style="11" customWidth="1"/>
    <col min="11787" max="11787" width="20.5703125" style="11" bestFit="1" customWidth="1"/>
    <col min="11788" max="11788" width="18.7109375" style="11" bestFit="1" customWidth="1"/>
    <col min="11789" max="11789" width="22.7109375" style="11" customWidth="1"/>
    <col min="11790" max="11790" width="16.28515625" style="11" bestFit="1" customWidth="1"/>
    <col min="11791" max="11791" width="14.140625" style="11" bestFit="1" customWidth="1"/>
    <col min="11792" max="11792" width="19" style="11" customWidth="1"/>
    <col min="11793" max="11796" width="16.85546875" style="11" bestFit="1" customWidth="1"/>
    <col min="11797" max="12032" width="9" style="11"/>
    <col min="12033" max="12033" width="9.140625" style="11" customWidth="1"/>
    <col min="12034" max="12034" width="7.28515625" style="11" customWidth="1"/>
    <col min="12035" max="12035" width="19.42578125" style="11" customWidth="1"/>
    <col min="12036" max="12036" width="21.28515625" style="11" customWidth="1"/>
    <col min="12037" max="12037" width="20.42578125" style="11" customWidth="1"/>
    <col min="12038" max="12038" width="20" style="11" customWidth="1"/>
    <col min="12039" max="12039" width="20.5703125" style="11" customWidth="1"/>
    <col min="12040" max="12040" width="36.140625" style="11" customWidth="1"/>
    <col min="12041" max="12041" width="18.7109375" style="11" bestFit="1" customWidth="1"/>
    <col min="12042" max="12042" width="21.28515625" style="11" customWidth="1"/>
    <col min="12043" max="12043" width="20.5703125" style="11" bestFit="1" customWidth="1"/>
    <col min="12044" max="12044" width="18.7109375" style="11" bestFit="1" customWidth="1"/>
    <col min="12045" max="12045" width="22.7109375" style="11" customWidth="1"/>
    <col min="12046" max="12046" width="16.28515625" style="11" bestFit="1" customWidth="1"/>
    <col min="12047" max="12047" width="14.140625" style="11" bestFit="1" customWidth="1"/>
    <col min="12048" max="12048" width="19" style="11" customWidth="1"/>
    <col min="12049" max="12052" width="16.85546875" style="11" bestFit="1" customWidth="1"/>
    <col min="12053" max="12288" width="9" style="11"/>
    <col min="12289" max="12289" width="9.140625" style="11" customWidth="1"/>
    <col min="12290" max="12290" width="7.28515625" style="11" customWidth="1"/>
    <col min="12291" max="12291" width="19.42578125" style="11" customWidth="1"/>
    <col min="12292" max="12292" width="21.28515625" style="11" customWidth="1"/>
    <col min="12293" max="12293" width="20.42578125" style="11" customWidth="1"/>
    <col min="12294" max="12294" width="20" style="11" customWidth="1"/>
    <col min="12295" max="12295" width="20.5703125" style="11" customWidth="1"/>
    <col min="12296" max="12296" width="36.140625" style="11" customWidth="1"/>
    <col min="12297" max="12297" width="18.7109375" style="11" bestFit="1" customWidth="1"/>
    <col min="12298" max="12298" width="21.28515625" style="11" customWidth="1"/>
    <col min="12299" max="12299" width="20.5703125" style="11" bestFit="1" customWidth="1"/>
    <col min="12300" max="12300" width="18.7109375" style="11" bestFit="1" customWidth="1"/>
    <col min="12301" max="12301" width="22.7109375" style="11" customWidth="1"/>
    <col min="12302" max="12302" width="16.28515625" style="11" bestFit="1" customWidth="1"/>
    <col min="12303" max="12303" width="14.140625" style="11" bestFit="1" customWidth="1"/>
    <col min="12304" max="12304" width="19" style="11" customWidth="1"/>
    <col min="12305" max="12308" width="16.85546875" style="11" bestFit="1" customWidth="1"/>
    <col min="12309" max="12544" width="9" style="11"/>
    <col min="12545" max="12545" width="9.140625" style="11" customWidth="1"/>
    <col min="12546" max="12546" width="7.28515625" style="11" customWidth="1"/>
    <col min="12547" max="12547" width="19.42578125" style="11" customWidth="1"/>
    <col min="12548" max="12548" width="21.28515625" style="11" customWidth="1"/>
    <col min="12549" max="12549" width="20.42578125" style="11" customWidth="1"/>
    <col min="12550" max="12550" width="20" style="11" customWidth="1"/>
    <col min="12551" max="12551" width="20.5703125" style="11" customWidth="1"/>
    <col min="12552" max="12552" width="36.140625" style="11" customWidth="1"/>
    <col min="12553" max="12553" width="18.7109375" style="11" bestFit="1" customWidth="1"/>
    <col min="12554" max="12554" width="21.28515625" style="11" customWidth="1"/>
    <col min="12555" max="12555" width="20.5703125" style="11" bestFit="1" customWidth="1"/>
    <col min="12556" max="12556" width="18.7109375" style="11" bestFit="1" customWidth="1"/>
    <col min="12557" max="12557" width="22.7109375" style="11" customWidth="1"/>
    <col min="12558" max="12558" width="16.28515625" style="11" bestFit="1" customWidth="1"/>
    <col min="12559" max="12559" width="14.140625" style="11" bestFit="1" customWidth="1"/>
    <col min="12560" max="12560" width="19" style="11" customWidth="1"/>
    <col min="12561" max="12564" width="16.85546875" style="11" bestFit="1" customWidth="1"/>
    <col min="12565" max="12800" width="9" style="11"/>
    <col min="12801" max="12801" width="9.140625" style="11" customWidth="1"/>
    <col min="12802" max="12802" width="7.28515625" style="11" customWidth="1"/>
    <col min="12803" max="12803" width="19.42578125" style="11" customWidth="1"/>
    <col min="12804" max="12804" width="21.28515625" style="11" customWidth="1"/>
    <col min="12805" max="12805" width="20.42578125" style="11" customWidth="1"/>
    <col min="12806" max="12806" width="20" style="11" customWidth="1"/>
    <col min="12807" max="12807" width="20.5703125" style="11" customWidth="1"/>
    <col min="12808" max="12808" width="36.140625" style="11" customWidth="1"/>
    <col min="12809" max="12809" width="18.7109375" style="11" bestFit="1" customWidth="1"/>
    <col min="12810" max="12810" width="21.28515625" style="11" customWidth="1"/>
    <col min="12811" max="12811" width="20.5703125" style="11" bestFit="1" customWidth="1"/>
    <col min="12812" max="12812" width="18.7109375" style="11" bestFit="1" customWidth="1"/>
    <col min="12813" max="12813" width="22.7109375" style="11" customWidth="1"/>
    <col min="12814" max="12814" width="16.28515625" style="11" bestFit="1" customWidth="1"/>
    <col min="12815" max="12815" width="14.140625" style="11" bestFit="1" customWidth="1"/>
    <col min="12816" max="12816" width="19" style="11" customWidth="1"/>
    <col min="12817" max="12820" width="16.85546875" style="11" bestFit="1" customWidth="1"/>
    <col min="12821" max="13056" width="9" style="11"/>
    <col min="13057" max="13057" width="9.140625" style="11" customWidth="1"/>
    <col min="13058" max="13058" width="7.28515625" style="11" customWidth="1"/>
    <col min="13059" max="13059" width="19.42578125" style="11" customWidth="1"/>
    <col min="13060" max="13060" width="21.28515625" style="11" customWidth="1"/>
    <col min="13061" max="13061" width="20.42578125" style="11" customWidth="1"/>
    <col min="13062" max="13062" width="20" style="11" customWidth="1"/>
    <col min="13063" max="13063" width="20.5703125" style="11" customWidth="1"/>
    <col min="13064" max="13064" width="36.140625" style="11" customWidth="1"/>
    <col min="13065" max="13065" width="18.7109375" style="11" bestFit="1" customWidth="1"/>
    <col min="13066" max="13066" width="21.28515625" style="11" customWidth="1"/>
    <col min="13067" max="13067" width="20.5703125" style="11" bestFit="1" customWidth="1"/>
    <col min="13068" max="13068" width="18.7109375" style="11" bestFit="1" customWidth="1"/>
    <col min="13069" max="13069" width="22.7109375" style="11" customWidth="1"/>
    <col min="13070" max="13070" width="16.28515625" style="11" bestFit="1" customWidth="1"/>
    <col min="13071" max="13071" width="14.140625" style="11" bestFit="1" customWidth="1"/>
    <col min="13072" max="13072" width="19" style="11" customWidth="1"/>
    <col min="13073" max="13076" width="16.85546875" style="11" bestFit="1" customWidth="1"/>
    <col min="13077" max="13312" width="9" style="11"/>
    <col min="13313" max="13313" width="9.140625" style="11" customWidth="1"/>
    <col min="13314" max="13314" width="7.28515625" style="11" customWidth="1"/>
    <col min="13315" max="13315" width="19.42578125" style="11" customWidth="1"/>
    <col min="13316" max="13316" width="21.28515625" style="11" customWidth="1"/>
    <col min="13317" max="13317" width="20.42578125" style="11" customWidth="1"/>
    <col min="13318" max="13318" width="20" style="11" customWidth="1"/>
    <col min="13319" max="13319" width="20.5703125" style="11" customWidth="1"/>
    <col min="13320" max="13320" width="36.140625" style="11" customWidth="1"/>
    <col min="13321" max="13321" width="18.7109375" style="11" bestFit="1" customWidth="1"/>
    <col min="13322" max="13322" width="21.28515625" style="11" customWidth="1"/>
    <col min="13323" max="13323" width="20.5703125" style="11" bestFit="1" customWidth="1"/>
    <col min="13324" max="13324" width="18.7109375" style="11" bestFit="1" customWidth="1"/>
    <col min="13325" max="13325" width="22.7109375" style="11" customWidth="1"/>
    <col min="13326" max="13326" width="16.28515625" style="11" bestFit="1" customWidth="1"/>
    <col min="13327" max="13327" width="14.140625" style="11" bestFit="1" customWidth="1"/>
    <col min="13328" max="13328" width="19" style="11" customWidth="1"/>
    <col min="13329" max="13332" width="16.85546875" style="11" bestFit="1" customWidth="1"/>
    <col min="13333" max="13568" width="9" style="11"/>
    <col min="13569" max="13569" width="9.140625" style="11" customWidth="1"/>
    <col min="13570" max="13570" width="7.28515625" style="11" customWidth="1"/>
    <col min="13571" max="13571" width="19.42578125" style="11" customWidth="1"/>
    <col min="13572" max="13572" width="21.28515625" style="11" customWidth="1"/>
    <col min="13573" max="13573" width="20.42578125" style="11" customWidth="1"/>
    <col min="13574" max="13574" width="20" style="11" customWidth="1"/>
    <col min="13575" max="13575" width="20.5703125" style="11" customWidth="1"/>
    <col min="13576" max="13576" width="36.140625" style="11" customWidth="1"/>
    <col min="13577" max="13577" width="18.7109375" style="11" bestFit="1" customWidth="1"/>
    <col min="13578" max="13578" width="21.28515625" style="11" customWidth="1"/>
    <col min="13579" max="13579" width="20.5703125" style="11" bestFit="1" customWidth="1"/>
    <col min="13580" max="13580" width="18.7109375" style="11" bestFit="1" customWidth="1"/>
    <col min="13581" max="13581" width="22.7109375" style="11" customWidth="1"/>
    <col min="13582" max="13582" width="16.28515625" style="11" bestFit="1" customWidth="1"/>
    <col min="13583" max="13583" width="14.140625" style="11" bestFit="1" customWidth="1"/>
    <col min="13584" max="13584" width="19" style="11" customWidth="1"/>
    <col min="13585" max="13588" width="16.85546875" style="11" bestFit="1" customWidth="1"/>
    <col min="13589" max="13824" width="9" style="11"/>
    <col min="13825" max="13825" width="9.140625" style="11" customWidth="1"/>
    <col min="13826" max="13826" width="7.28515625" style="11" customWidth="1"/>
    <col min="13827" max="13827" width="19.42578125" style="11" customWidth="1"/>
    <col min="13828" max="13828" width="21.28515625" style="11" customWidth="1"/>
    <col min="13829" max="13829" width="20.42578125" style="11" customWidth="1"/>
    <col min="13830" max="13830" width="20" style="11" customWidth="1"/>
    <col min="13831" max="13831" width="20.5703125" style="11" customWidth="1"/>
    <col min="13832" max="13832" width="36.140625" style="11" customWidth="1"/>
    <col min="13833" max="13833" width="18.7109375" style="11" bestFit="1" customWidth="1"/>
    <col min="13834" max="13834" width="21.28515625" style="11" customWidth="1"/>
    <col min="13835" max="13835" width="20.5703125" style="11" bestFit="1" customWidth="1"/>
    <col min="13836" max="13836" width="18.7109375" style="11" bestFit="1" customWidth="1"/>
    <col min="13837" max="13837" width="22.7109375" style="11" customWidth="1"/>
    <col min="13838" max="13838" width="16.28515625" style="11" bestFit="1" customWidth="1"/>
    <col min="13839" max="13839" width="14.140625" style="11" bestFit="1" customWidth="1"/>
    <col min="13840" max="13840" width="19" style="11" customWidth="1"/>
    <col min="13841" max="13844" width="16.85546875" style="11" bestFit="1" customWidth="1"/>
    <col min="13845" max="14080" width="9" style="11"/>
    <col min="14081" max="14081" width="9.140625" style="11" customWidth="1"/>
    <col min="14082" max="14082" width="7.28515625" style="11" customWidth="1"/>
    <col min="14083" max="14083" width="19.42578125" style="11" customWidth="1"/>
    <col min="14084" max="14084" width="21.28515625" style="11" customWidth="1"/>
    <col min="14085" max="14085" width="20.42578125" style="11" customWidth="1"/>
    <col min="14086" max="14086" width="20" style="11" customWidth="1"/>
    <col min="14087" max="14087" width="20.5703125" style="11" customWidth="1"/>
    <col min="14088" max="14088" width="36.140625" style="11" customWidth="1"/>
    <col min="14089" max="14089" width="18.7109375" style="11" bestFit="1" customWidth="1"/>
    <col min="14090" max="14090" width="21.28515625" style="11" customWidth="1"/>
    <col min="14091" max="14091" width="20.5703125" style="11" bestFit="1" customWidth="1"/>
    <col min="14092" max="14092" width="18.7109375" style="11" bestFit="1" customWidth="1"/>
    <col min="14093" max="14093" width="22.7109375" style="11" customWidth="1"/>
    <col min="14094" max="14094" width="16.28515625" style="11" bestFit="1" customWidth="1"/>
    <col min="14095" max="14095" width="14.140625" style="11" bestFit="1" customWidth="1"/>
    <col min="14096" max="14096" width="19" style="11" customWidth="1"/>
    <col min="14097" max="14100" width="16.85546875" style="11" bestFit="1" customWidth="1"/>
    <col min="14101" max="14336" width="9" style="11"/>
    <col min="14337" max="14337" width="9.140625" style="11" customWidth="1"/>
    <col min="14338" max="14338" width="7.28515625" style="11" customWidth="1"/>
    <col min="14339" max="14339" width="19.42578125" style="11" customWidth="1"/>
    <col min="14340" max="14340" width="21.28515625" style="11" customWidth="1"/>
    <col min="14341" max="14341" width="20.42578125" style="11" customWidth="1"/>
    <col min="14342" max="14342" width="20" style="11" customWidth="1"/>
    <col min="14343" max="14343" width="20.5703125" style="11" customWidth="1"/>
    <col min="14344" max="14344" width="36.140625" style="11" customWidth="1"/>
    <col min="14345" max="14345" width="18.7109375" style="11" bestFit="1" customWidth="1"/>
    <col min="14346" max="14346" width="21.28515625" style="11" customWidth="1"/>
    <col min="14347" max="14347" width="20.5703125" style="11" bestFit="1" customWidth="1"/>
    <col min="14348" max="14348" width="18.7109375" style="11" bestFit="1" customWidth="1"/>
    <col min="14349" max="14349" width="22.7109375" style="11" customWidth="1"/>
    <col min="14350" max="14350" width="16.28515625" style="11" bestFit="1" customWidth="1"/>
    <col min="14351" max="14351" width="14.140625" style="11" bestFit="1" customWidth="1"/>
    <col min="14352" max="14352" width="19" style="11" customWidth="1"/>
    <col min="14353" max="14356" width="16.85546875" style="11" bestFit="1" customWidth="1"/>
    <col min="14357" max="14592" width="9" style="11"/>
    <col min="14593" max="14593" width="9.140625" style="11" customWidth="1"/>
    <col min="14594" max="14594" width="7.28515625" style="11" customWidth="1"/>
    <col min="14595" max="14595" width="19.42578125" style="11" customWidth="1"/>
    <col min="14596" max="14596" width="21.28515625" style="11" customWidth="1"/>
    <col min="14597" max="14597" width="20.42578125" style="11" customWidth="1"/>
    <col min="14598" max="14598" width="20" style="11" customWidth="1"/>
    <col min="14599" max="14599" width="20.5703125" style="11" customWidth="1"/>
    <col min="14600" max="14600" width="36.140625" style="11" customWidth="1"/>
    <col min="14601" max="14601" width="18.7109375" style="11" bestFit="1" customWidth="1"/>
    <col min="14602" max="14602" width="21.28515625" style="11" customWidth="1"/>
    <col min="14603" max="14603" width="20.5703125" style="11" bestFit="1" customWidth="1"/>
    <col min="14604" max="14604" width="18.7109375" style="11" bestFit="1" customWidth="1"/>
    <col min="14605" max="14605" width="22.7109375" style="11" customWidth="1"/>
    <col min="14606" max="14606" width="16.28515625" style="11" bestFit="1" customWidth="1"/>
    <col min="14607" max="14607" width="14.140625" style="11" bestFit="1" customWidth="1"/>
    <col min="14608" max="14608" width="19" style="11" customWidth="1"/>
    <col min="14609" max="14612" width="16.85546875" style="11" bestFit="1" customWidth="1"/>
    <col min="14613" max="14848" width="9" style="11"/>
    <col min="14849" max="14849" width="9.140625" style="11" customWidth="1"/>
    <col min="14850" max="14850" width="7.28515625" style="11" customWidth="1"/>
    <col min="14851" max="14851" width="19.42578125" style="11" customWidth="1"/>
    <col min="14852" max="14852" width="21.28515625" style="11" customWidth="1"/>
    <col min="14853" max="14853" width="20.42578125" style="11" customWidth="1"/>
    <col min="14854" max="14854" width="20" style="11" customWidth="1"/>
    <col min="14855" max="14855" width="20.5703125" style="11" customWidth="1"/>
    <col min="14856" max="14856" width="36.140625" style="11" customWidth="1"/>
    <col min="14857" max="14857" width="18.7109375" style="11" bestFit="1" customWidth="1"/>
    <col min="14858" max="14858" width="21.28515625" style="11" customWidth="1"/>
    <col min="14859" max="14859" width="20.5703125" style="11" bestFit="1" customWidth="1"/>
    <col min="14860" max="14860" width="18.7109375" style="11" bestFit="1" customWidth="1"/>
    <col min="14861" max="14861" width="22.7109375" style="11" customWidth="1"/>
    <col min="14862" max="14862" width="16.28515625" style="11" bestFit="1" customWidth="1"/>
    <col min="14863" max="14863" width="14.140625" style="11" bestFit="1" customWidth="1"/>
    <col min="14864" max="14864" width="19" style="11" customWidth="1"/>
    <col min="14865" max="14868" width="16.85546875" style="11" bestFit="1" customWidth="1"/>
    <col min="14869" max="15104" width="9" style="11"/>
    <col min="15105" max="15105" width="9.140625" style="11" customWidth="1"/>
    <col min="15106" max="15106" width="7.28515625" style="11" customWidth="1"/>
    <col min="15107" max="15107" width="19.42578125" style="11" customWidth="1"/>
    <col min="15108" max="15108" width="21.28515625" style="11" customWidth="1"/>
    <col min="15109" max="15109" width="20.42578125" style="11" customWidth="1"/>
    <col min="15110" max="15110" width="20" style="11" customWidth="1"/>
    <col min="15111" max="15111" width="20.5703125" style="11" customWidth="1"/>
    <col min="15112" max="15112" width="36.140625" style="11" customWidth="1"/>
    <col min="15113" max="15113" width="18.7109375" style="11" bestFit="1" customWidth="1"/>
    <col min="15114" max="15114" width="21.28515625" style="11" customWidth="1"/>
    <col min="15115" max="15115" width="20.5703125" style="11" bestFit="1" customWidth="1"/>
    <col min="15116" max="15116" width="18.7109375" style="11" bestFit="1" customWidth="1"/>
    <col min="15117" max="15117" width="22.7109375" style="11" customWidth="1"/>
    <col min="15118" max="15118" width="16.28515625" style="11" bestFit="1" customWidth="1"/>
    <col min="15119" max="15119" width="14.140625" style="11" bestFit="1" customWidth="1"/>
    <col min="15120" max="15120" width="19" style="11" customWidth="1"/>
    <col min="15121" max="15124" width="16.85546875" style="11" bestFit="1" customWidth="1"/>
    <col min="15125" max="15360" width="9" style="11"/>
    <col min="15361" max="15361" width="9.140625" style="11" customWidth="1"/>
    <col min="15362" max="15362" width="7.28515625" style="11" customWidth="1"/>
    <col min="15363" max="15363" width="19.42578125" style="11" customWidth="1"/>
    <col min="15364" max="15364" width="21.28515625" style="11" customWidth="1"/>
    <col min="15365" max="15365" width="20.42578125" style="11" customWidth="1"/>
    <col min="15366" max="15366" width="20" style="11" customWidth="1"/>
    <col min="15367" max="15367" width="20.5703125" style="11" customWidth="1"/>
    <col min="15368" max="15368" width="36.140625" style="11" customWidth="1"/>
    <col min="15369" max="15369" width="18.7109375" style="11" bestFit="1" customWidth="1"/>
    <col min="15370" max="15370" width="21.28515625" style="11" customWidth="1"/>
    <col min="15371" max="15371" width="20.5703125" style="11" bestFit="1" customWidth="1"/>
    <col min="15372" max="15372" width="18.7109375" style="11" bestFit="1" customWidth="1"/>
    <col min="15373" max="15373" width="22.7109375" style="11" customWidth="1"/>
    <col min="15374" max="15374" width="16.28515625" style="11" bestFit="1" customWidth="1"/>
    <col min="15375" max="15375" width="14.140625" style="11" bestFit="1" customWidth="1"/>
    <col min="15376" max="15376" width="19" style="11" customWidth="1"/>
    <col min="15377" max="15380" width="16.85546875" style="11" bestFit="1" customWidth="1"/>
    <col min="15381" max="15616" width="9" style="11"/>
    <col min="15617" max="15617" width="9.140625" style="11" customWidth="1"/>
    <col min="15618" max="15618" width="7.28515625" style="11" customWidth="1"/>
    <col min="15619" max="15619" width="19.42578125" style="11" customWidth="1"/>
    <col min="15620" max="15620" width="21.28515625" style="11" customWidth="1"/>
    <col min="15621" max="15621" width="20.42578125" style="11" customWidth="1"/>
    <col min="15622" max="15622" width="20" style="11" customWidth="1"/>
    <col min="15623" max="15623" width="20.5703125" style="11" customWidth="1"/>
    <col min="15624" max="15624" width="36.140625" style="11" customWidth="1"/>
    <col min="15625" max="15625" width="18.7109375" style="11" bestFit="1" customWidth="1"/>
    <col min="15626" max="15626" width="21.28515625" style="11" customWidth="1"/>
    <col min="15627" max="15627" width="20.5703125" style="11" bestFit="1" customWidth="1"/>
    <col min="15628" max="15628" width="18.7109375" style="11" bestFit="1" customWidth="1"/>
    <col min="15629" max="15629" width="22.7109375" style="11" customWidth="1"/>
    <col min="15630" max="15630" width="16.28515625" style="11" bestFit="1" customWidth="1"/>
    <col min="15631" max="15631" width="14.140625" style="11" bestFit="1" customWidth="1"/>
    <col min="15632" max="15632" width="19" style="11" customWidth="1"/>
    <col min="15633" max="15636" width="16.85546875" style="11" bestFit="1" customWidth="1"/>
    <col min="15637" max="15872" width="9" style="11"/>
    <col min="15873" max="15873" width="9.140625" style="11" customWidth="1"/>
    <col min="15874" max="15874" width="7.28515625" style="11" customWidth="1"/>
    <col min="15875" max="15875" width="19.42578125" style="11" customWidth="1"/>
    <col min="15876" max="15876" width="21.28515625" style="11" customWidth="1"/>
    <col min="15877" max="15877" width="20.42578125" style="11" customWidth="1"/>
    <col min="15878" max="15878" width="20" style="11" customWidth="1"/>
    <col min="15879" max="15879" width="20.5703125" style="11" customWidth="1"/>
    <col min="15880" max="15880" width="36.140625" style="11" customWidth="1"/>
    <col min="15881" max="15881" width="18.7109375" style="11" bestFit="1" customWidth="1"/>
    <col min="15882" max="15882" width="21.28515625" style="11" customWidth="1"/>
    <col min="15883" max="15883" width="20.5703125" style="11" bestFit="1" customWidth="1"/>
    <col min="15884" max="15884" width="18.7109375" style="11" bestFit="1" customWidth="1"/>
    <col min="15885" max="15885" width="22.7109375" style="11" customWidth="1"/>
    <col min="15886" max="15886" width="16.28515625" style="11" bestFit="1" customWidth="1"/>
    <col min="15887" max="15887" width="14.140625" style="11" bestFit="1" customWidth="1"/>
    <col min="15888" max="15888" width="19" style="11" customWidth="1"/>
    <col min="15889" max="15892" width="16.85546875" style="11" bestFit="1" customWidth="1"/>
    <col min="15893" max="16128" width="9" style="11"/>
    <col min="16129" max="16129" width="9.140625" style="11" customWidth="1"/>
    <col min="16130" max="16130" width="7.28515625" style="11" customWidth="1"/>
    <col min="16131" max="16131" width="19.42578125" style="11" customWidth="1"/>
    <col min="16132" max="16132" width="21.28515625" style="11" customWidth="1"/>
    <col min="16133" max="16133" width="20.42578125" style="11" customWidth="1"/>
    <col min="16134" max="16134" width="20" style="11" customWidth="1"/>
    <col min="16135" max="16135" width="20.5703125" style="11" customWidth="1"/>
    <col min="16136" max="16136" width="36.140625" style="11" customWidth="1"/>
    <col min="16137" max="16137" width="18.7109375" style="11" bestFit="1" customWidth="1"/>
    <col min="16138" max="16138" width="21.28515625" style="11" customWidth="1"/>
    <col min="16139" max="16139" width="20.5703125" style="11" bestFit="1" customWidth="1"/>
    <col min="16140" max="16140" width="18.7109375" style="11" bestFit="1" customWidth="1"/>
    <col min="16141" max="16141" width="22.7109375" style="11" customWidth="1"/>
    <col min="16142" max="16142" width="16.28515625" style="11" bestFit="1" customWidth="1"/>
    <col min="16143" max="16143" width="14.140625" style="11" bestFit="1" customWidth="1"/>
    <col min="16144" max="16144" width="19" style="11" customWidth="1"/>
    <col min="16145" max="16148" width="16.85546875" style="11" bestFit="1" customWidth="1"/>
    <col min="16149" max="16384" width="9" style="11"/>
  </cols>
  <sheetData>
    <row r="2" spans="1:10" ht="36.75" customHeight="1">
      <c r="A2" s="2430" t="s">
        <v>694</v>
      </c>
      <c r="B2" s="2430"/>
      <c r="C2" s="2430"/>
      <c r="D2" s="2430"/>
      <c r="E2" s="2430"/>
      <c r="F2" s="2430"/>
      <c r="G2" s="2430"/>
      <c r="H2" s="2430"/>
      <c r="I2" s="2430"/>
      <c r="J2" s="12"/>
    </row>
    <row r="3" spans="1:10" s="12" customFormat="1" ht="21.95" customHeight="1" thickBot="1"/>
    <row r="4" spans="1:10" s="12" customFormat="1" ht="21.95" customHeight="1" thickTop="1">
      <c r="A4" s="2407" t="s">
        <v>188</v>
      </c>
      <c r="B4" s="2408"/>
      <c r="C4" s="2408"/>
      <c r="D4" s="2408"/>
      <c r="E4" s="2408"/>
      <c r="F4" s="2408"/>
      <c r="G4" s="2408"/>
      <c r="H4" s="2408"/>
      <c r="I4" s="2409"/>
    </row>
    <row r="5" spans="1:10" s="12" customFormat="1" ht="12.75">
      <c r="A5" s="13" t="s">
        <v>0</v>
      </c>
      <c r="B5" s="2403" t="s">
        <v>189</v>
      </c>
      <c r="C5" s="2403"/>
      <c r="D5" s="2403"/>
      <c r="E5" s="2403"/>
      <c r="F5" s="14" t="s">
        <v>190</v>
      </c>
      <c r="G5" s="15" t="s">
        <v>27</v>
      </c>
      <c r="H5" s="14"/>
      <c r="I5" s="16"/>
    </row>
    <row r="6" spans="1:10" s="12" customFormat="1" ht="14.25">
      <c r="A6" s="13" t="s">
        <v>2</v>
      </c>
      <c r="B6" s="2403" t="s">
        <v>192</v>
      </c>
      <c r="C6" s="2403"/>
      <c r="D6" s="2403"/>
      <c r="E6" s="2403"/>
      <c r="F6" s="17">
        <f>+'1. thong tin quy hoach'!D9</f>
        <v>26556</v>
      </c>
      <c r="G6" s="18" t="s">
        <v>377</v>
      </c>
      <c r="H6" s="19"/>
      <c r="I6" s="20"/>
      <c r="J6" s="21"/>
    </row>
    <row r="7" spans="1:10" s="26" customFormat="1" ht="21.95" customHeight="1">
      <c r="A7" s="13">
        <v>1</v>
      </c>
      <c r="B7" s="2431" t="s">
        <v>193</v>
      </c>
      <c r="C7" s="2431"/>
      <c r="D7" s="2431"/>
      <c r="E7" s="2431"/>
      <c r="F7" s="22">
        <f>'1. thong tin quy hoach'!D64</f>
        <v>0</v>
      </c>
      <c r="G7" s="23"/>
      <c r="H7" s="24"/>
      <c r="I7" s="25"/>
    </row>
    <row r="8" spans="1:10" s="26" customFormat="1" ht="21" customHeight="1">
      <c r="A8" s="13">
        <v>2</v>
      </c>
      <c r="B8" s="2432" t="s">
        <v>194</v>
      </c>
      <c r="C8" s="2433"/>
      <c r="D8" s="2433"/>
      <c r="E8" s="2434"/>
      <c r="F8" s="17">
        <f>+SUM(F9:F12)</f>
        <v>0</v>
      </c>
      <c r="G8" s="18" t="s">
        <v>377</v>
      </c>
      <c r="H8" s="19"/>
      <c r="I8" s="27"/>
      <c r="J8" s="28"/>
    </row>
    <row r="9" spans="1:10" s="12" customFormat="1" ht="21.95" customHeight="1">
      <c r="A9" s="29" t="s">
        <v>195</v>
      </c>
      <c r="B9" s="2381" t="s">
        <v>196</v>
      </c>
      <c r="C9" s="2381"/>
      <c r="D9" s="2381"/>
      <c r="E9" s="2381"/>
      <c r="F9" s="30">
        <v>0</v>
      </c>
      <c r="G9" s="31" t="s">
        <v>378</v>
      </c>
      <c r="H9" s="32"/>
      <c r="I9" s="33"/>
    </row>
    <row r="10" spans="1:10" s="12" customFormat="1" ht="21.95" customHeight="1">
      <c r="A10" s="29" t="s">
        <v>197</v>
      </c>
      <c r="B10" s="2381" t="s">
        <v>198</v>
      </c>
      <c r="C10" s="2381"/>
      <c r="D10" s="2381"/>
      <c r="E10" s="2381"/>
      <c r="F10" s="30">
        <v>0</v>
      </c>
      <c r="G10" s="31" t="s">
        <v>378</v>
      </c>
      <c r="H10" s="32"/>
      <c r="I10" s="33"/>
    </row>
    <row r="11" spans="1:10" s="12" customFormat="1" ht="21.95" customHeight="1">
      <c r="A11" s="29" t="s">
        <v>199</v>
      </c>
      <c r="B11" s="2381" t="s">
        <v>200</v>
      </c>
      <c r="C11" s="2381"/>
      <c r="D11" s="2381"/>
      <c r="E11" s="2381"/>
      <c r="F11" s="30">
        <v>0</v>
      </c>
      <c r="G11" s="31" t="s">
        <v>378</v>
      </c>
      <c r="H11" s="32"/>
      <c r="I11" s="33"/>
    </row>
    <row r="12" spans="1:10" s="12" customFormat="1" ht="21.75" customHeight="1">
      <c r="A12" s="29" t="s">
        <v>201</v>
      </c>
      <c r="B12" s="2381" t="s">
        <v>202</v>
      </c>
      <c r="C12" s="2381"/>
      <c r="D12" s="2381"/>
      <c r="E12" s="2381"/>
      <c r="F12" s="30">
        <v>0</v>
      </c>
      <c r="G12" s="31" t="s">
        <v>378</v>
      </c>
      <c r="H12" s="32"/>
      <c r="I12" s="33"/>
    </row>
    <row r="13" spans="1:10" s="26" customFormat="1" ht="21" customHeight="1">
      <c r="A13" s="13">
        <v>3</v>
      </c>
      <c r="B13" s="2432" t="s">
        <v>203</v>
      </c>
      <c r="C13" s="2433"/>
      <c r="D13" s="2433"/>
      <c r="E13" s="2434"/>
      <c r="F13" s="17">
        <f>SUM(F14+F17+F18)</f>
        <v>26556</v>
      </c>
      <c r="G13" s="18" t="s">
        <v>377</v>
      </c>
      <c r="H13" s="19"/>
      <c r="I13" s="27"/>
      <c r="J13" s="28"/>
    </row>
    <row r="14" spans="1:10" s="12" customFormat="1" ht="21.95" customHeight="1">
      <c r="A14" s="29" t="s">
        <v>204</v>
      </c>
      <c r="B14" s="2381" t="s">
        <v>205</v>
      </c>
      <c r="C14" s="2381"/>
      <c r="D14" s="2381"/>
      <c r="E14" s="2381"/>
      <c r="F14" s="1575">
        <f>SUM(F15:F16)</f>
        <v>21178.41</v>
      </c>
      <c r="G14" s="31" t="s">
        <v>378</v>
      </c>
      <c r="H14" s="32"/>
      <c r="I14" s="33"/>
    </row>
    <row r="15" spans="1:10" s="12" customFormat="1" ht="21.95" customHeight="1">
      <c r="A15" s="29"/>
      <c r="B15" s="2391" t="s">
        <v>206</v>
      </c>
      <c r="C15" s="2429"/>
      <c r="D15" s="2429"/>
      <c r="E15" s="2393"/>
      <c r="F15" s="1575">
        <f>+'1. thong tin quy hoach'!D11</f>
        <v>14605.800000000001</v>
      </c>
      <c r="G15" s="31" t="s">
        <v>378</v>
      </c>
      <c r="H15" s="32"/>
      <c r="I15" s="33"/>
    </row>
    <row r="16" spans="1:10" s="12" customFormat="1" ht="21.95" customHeight="1">
      <c r="A16" s="29"/>
      <c r="B16" s="2391" t="s">
        <v>207</v>
      </c>
      <c r="C16" s="2429"/>
      <c r="D16" s="2429"/>
      <c r="E16" s="2393"/>
      <c r="F16" s="1575">
        <f>+'1. thong tin quy hoach'!D37</f>
        <v>6572.61</v>
      </c>
      <c r="G16" s="31" t="s">
        <v>378</v>
      </c>
      <c r="H16" s="32"/>
      <c r="I16" s="33"/>
    </row>
    <row r="17" spans="1:10" s="12" customFormat="1" ht="21.95" customHeight="1">
      <c r="A17" s="29" t="s">
        <v>208</v>
      </c>
      <c r="B17" s="2381" t="s">
        <v>209</v>
      </c>
      <c r="C17" s="2381"/>
      <c r="D17" s="2381"/>
      <c r="E17" s="2381"/>
      <c r="F17" s="1575">
        <f>+'1. thong tin quy hoach'!D48</f>
        <v>5377.5899999999992</v>
      </c>
      <c r="G17" s="31" t="s">
        <v>378</v>
      </c>
      <c r="H17" s="32"/>
      <c r="I17" s="33"/>
    </row>
    <row r="18" spans="1:10" s="12" customFormat="1" ht="21.95" customHeight="1">
      <c r="A18" s="29" t="s">
        <v>210</v>
      </c>
      <c r="B18" s="2381" t="s">
        <v>211</v>
      </c>
      <c r="C18" s="2381"/>
      <c r="D18" s="2381"/>
      <c r="E18" s="2381"/>
      <c r="F18" s="1575">
        <f>+'1. thong tin quy hoach'!D47</f>
        <v>0</v>
      </c>
      <c r="G18" s="31" t="s">
        <v>378</v>
      </c>
      <c r="H18" s="32"/>
      <c r="I18" s="33"/>
    </row>
    <row r="19" spans="1:10" s="26" customFormat="1" ht="21.95" customHeight="1">
      <c r="A19" s="13">
        <v>4</v>
      </c>
      <c r="B19" s="2431" t="s">
        <v>212</v>
      </c>
      <c r="C19" s="2431"/>
      <c r="D19" s="2431"/>
      <c r="E19" s="2431"/>
      <c r="F19" s="34">
        <f>+F17</f>
        <v>5377.5899999999992</v>
      </c>
      <c r="G19" s="18" t="s">
        <v>377</v>
      </c>
      <c r="H19" s="35"/>
      <c r="I19" s="25"/>
    </row>
    <row r="20" spans="1:10" s="12" customFormat="1" ht="21.95" customHeight="1">
      <c r="A20" s="29" t="s">
        <v>213</v>
      </c>
      <c r="B20" s="2381" t="s">
        <v>214</v>
      </c>
      <c r="C20" s="2381"/>
      <c r="D20" s="2381"/>
      <c r="E20" s="2381"/>
      <c r="F20" s="36">
        <f>F21*F19</f>
        <v>3708.6827586206896</v>
      </c>
      <c r="G20" s="31" t="s">
        <v>378</v>
      </c>
      <c r="H20" s="32"/>
      <c r="I20" s="33"/>
    </row>
    <row r="21" spans="1:10" s="42" customFormat="1" ht="21.95" customHeight="1">
      <c r="A21" s="37"/>
      <c r="B21" s="2435" t="s">
        <v>215</v>
      </c>
      <c r="C21" s="2436"/>
      <c r="D21" s="2436"/>
      <c r="E21" s="2437"/>
      <c r="F21" s="38">
        <f>F15/($F$15+$F$16)</f>
        <v>0.68965517241379315</v>
      </c>
      <c r="G21" s="39"/>
      <c r="H21" s="40"/>
      <c r="I21" s="41"/>
    </row>
    <row r="22" spans="1:10" s="12" customFormat="1" ht="21.95" customHeight="1">
      <c r="A22" s="29" t="s">
        <v>216</v>
      </c>
      <c r="B22" s="2381" t="s">
        <v>217</v>
      </c>
      <c r="C22" s="2381"/>
      <c r="D22" s="2381"/>
      <c r="E22" s="2381"/>
      <c r="F22" s="36">
        <f>F23*F19</f>
        <v>1668.9072413793101</v>
      </c>
      <c r="G22" s="31" t="s">
        <v>378</v>
      </c>
      <c r="H22" s="32"/>
      <c r="I22" s="33"/>
    </row>
    <row r="23" spans="1:10" s="42" customFormat="1" ht="21.95" customHeight="1">
      <c r="A23" s="43"/>
      <c r="B23" s="2435" t="s">
        <v>218</v>
      </c>
      <c r="C23" s="2436"/>
      <c r="D23" s="2436"/>
      <c r="E23" s="2437"/>
      <c r="F23" s="38">
        <f>F16/(F15+F16)</f>
        <v>0.31034482758620691</v>
      </c>
      <c r="G23" s="39"/>
      <c r="H23" s="40"/>
      <c r="I23" s="41"/>
    </row>
    <row r="24" spans="1:10" s="42" customFormat="1" ht="21.95" customHeight="1">
      <c r="A24" s="44"/>
      <c r="B24" s="45"/>
      <c r="C24" s="45"/>
      <c r="D24" s="45"/>
      <c r="E24" s="45"/>
      <c r="F24" s="46"/>
    </row>
    <row r="25" spans="1:10" s="12" customFormat="1" ht="21.95" customHeight="1">
      <c r="A25" s="47"/>
      <c r="B25" s="48"/>
      <c r="C25" s="48"/>
      <c r="D25" s="48"/>
      <c r="E25" s="48"/>
      <c r="F25" s="49"/>
    </row>
    <row r="26" spans="1:10" s="12" customFormat="1" ht="21.95" customHeight="1" thickBot="1">
      <c r="A26" s="12" t="s">
        <v>379</v>
      </c>
      <c r="B26" s="47"/>
      <c r="D26" s="50"/>
      <c r="G26" s="51"/>
    </row>
    <row r="27" spans="1:10" s="12" customFormat="1" ht="21.95" customHeight="1" thickTop="1">
      <c r="A27" s="2407" t="s">
        <v>219</v>
      </c>
      <c r="B27" s="2408"/>
      <c r="C27" s="2408"/>
      <c r="D27" s="2408"/>
      <c r="E27" s="2408"/>
      <c r="F27" s="2408"/>
      <c r="G27" s="2408"/>
      <c r="H27" s="2408"/>
      <c r="I27" s="2409"/>
    </row>
    <row r="28" spans="1:10" s="12" customFormat="1" ht="12.75">
      <c r="A28" s="13" t="s">
        <v>0</v>
      </c>
      <c r="B28" s="2403" t="s">
        <v>189</v>
      </c>
      <c r="C28" s="2403"/>
      <c r="D28" s="2403"/>
      <c r="E28" s="2403"/>
      <c r="F28" s="14" t="s">
        <v>190</v>
      </c>
      <c r="G28" s="15" t="s">
        <v>27</v>
      </c>
      <c r="H28" s="14" t="s">
        <v>133</v>
      </c>
      <c r="I28" s="16"/>
    </row>
    <row r="29" spans="1:10" s="12" customFormat="1" ht="21" customHeight="1">
      <c r="A29" s="13" t="s">
        <v>2</v>
      </c>
      <c r="B29" s="2404" t="s">
        <v>220</v>
      </c>
      <c r="C29" s="2410"/>
      <c r="D29" s="2410"/>
      <c r="E29" s="2406"/>
      <c r="F29" s="17">
        <f>+F15</f>
        <v>14605.800000000001</v>
      </c>
      <c r="G29" s="18" t="s">
        <v>377</v>
      </c>
      <c r="H29" s="17"/>
      <c r="I29" s="20"/>
      <c r="J29" s="21"/>
    </row>
    <row r="30" spans="1:10" s="12" customFormat="1" ht="23.25" customHeight="1">
      <c r="A30" s="29">
        <v>1</v>
      </c>
      <c r="B30" s="2423" t="s">
        <v>85</v>
      </c>
      <c r="C30" s="2424"/>
      <c r="D30" s="2424"/>
      <c r="E30" s="2425"/>
      <c r="F30" s="52"/>
      <c r="G30" s="18"/>
      <c r="H30" s="52"/>
      <c r="I30" s="33"/>
    </row>
    <row r="31" spans="1:10" s="12" customFormat="1" ht="21" customHeight="1">
      <c r="A31" s="13" t="s">
        <v>15</v>
      </c>
      <c r="B31" s="2426" t="s">
        <v>221</v>
      </c>
      <c r="C31" s="2427"/>
      <c r="D31" s="2427"/>
      <c r="E31" s="2428"/>
      <c r="F31" s="53"/>
      <c r="G31" s="18"/>
      <c r="H31" s="53"/>
      <c r="I31" s="33"/>
    </row>
    <row r="32" spans="1:10" s="12" customFormat="1" ht="21" customHeight="1">
      <c r="A32" s="13" t="s">
        <v>15</v>
      </c>
      <c r="B32" s="2426" t="s">
        <v>222</v>
      </c>
      <c r="C32" s="2427"/>
      <c r="D32" s="2427"/>
      <c r="E32" s="2428"/>
      <c r="F32" s="53"/>
      <c r="G32" s="18"/>
      <c r="H32" s="53"/>
      <c r="I32" s="33"/>
    </row>
    <row r="33" spans="1:10" s="12" customFormat="1" ht="21.95" customHeight="1">
      <c r="A33" s="29">
        <v>2</v>
      </c>
      <c r="B33" s="2381" t="s">
        <v>223</v>
      </c>
      <c r="C33" s="2381"/>
      <c r="D33" s="2381"/>
      <c r="E33" s="2381"/>
      <c r="F33" s="1575">
        <f>+'1. thong tin quy hoach'!H11</f>
        <v>7302.9000000000005</v>
      </c>
      <c r="G33" s="31" t="s">
        <v>378</v>
      </c>
      <c r="H33" s="30"/>
      <c r="I33" s="33"/>
    </row>
    <row r="34" spans="1:10" s="12" customFormat="1" ht="21.95" customHeight="1">
      <c r="A34" s="29">
        <v>3</v>
      </c>
      <c r="B34" s="2381" t="s">
        <v>209</v>
      </c>
      <c r="C34" s="2381"/>
      <c r="D34" s="2381"/>
      <c r="E34" s="2381"/>
      <c r="F34" s="1574">
        <v>2359.4849999999997</v>
      </c>
      <c r="G34" s="31" t="s">
        <v>378</v>
      </c>
      <c r="H34" s="30"/>
      <c r="I34" s="33"/>
    </row>
    <row r="35" spans="1:10" s="12" customFormat="1" ht="21.95" customHeight="1">
      <c r="A35" s="29">
        <v>4</v>
      </c>
      <c r="B35" s="2381" t="s">
        <v>211</v>
      </c>
      <c r="C35" s="2381"/>
      <c r="D35" s="2381"/>
      <c r="E35" s="2381"/>
      <c r="F35" s="1574">
        <v>1572.99</v>
      </c>
      <c r="G35" s="31" t="s">
        <v>378</v>
      </c>
      <c r="H35" s="30"/>
      <c r="I35" s="33"/>
    </row>
    <row r="36" spans="1:10" s="12" customFormat="1" ht="21.95" customHeight="1">
      <c r="A36" s="29">
        <v>5</v>
      </c>
      <c r="B36" s="2381" t="s">
        <v>224</v>
      </c>
      <c r="C36" s="2381"/>
      <c r="D36" s="2381"/>
      <c r="E36" s="2381"/>
      <c r="F36" s="54">
        <f>SUM(F37:F39)</f>
        <v>0</v>
      </c>
      <c r="G36" s="31" t="s">
        <v>4</v>
      </c>
      <c r="H36" s="54"/>
      <c r="I36" s="33"/>
    </row>
    <row r="37" spans="1:10" s="12" customFormat="1" ht="21.95" customHeight="1">
      <c r="A37" s="29" t="s">
        <v>15</v>
      </c>
      <c r="B37" s="2418" t="s">
        <v>225</v>
      </c>
      <c r="C37" s="2419"/>
      <c r="D37" s="2419"/>
      <c r="E37" s="2420"/>
      <c r="F37" s="55">
        <v>0</v>
      </c>
      <c r="G37" s="31" t="s">
        <v>4</v>
      </c>
      <c r="H37" s="55"/>
      <c r="I37" s="33"/>
    </row>
    <row r="38" spans="1:10" s="12" customFormat="1" ht="21.95" customHeight="1">
      <c r="A38" s="29" t="s">
        <v>15</v>
      </c>
      <c r="B38" s="2418" t="s">
        <v>226</v>
      </c>
      <c r="C38" s="2419"/>
      <c r="D38" s="2419"/>
      <c r="E38" s="2420"/>
      <c r="F38" s="54">
        <v>0</v>
      </c>
      <c r="G38" s="31" t="s">
        <v>4</v>
      </c>
      <c r="H38" s="54"/>
      <c r="I38" s="33"/>
    </row>
    <row r="39" spans="1:10" s="12" customFormat="1" ht="21.95" customHeight="1">
      <c r="A39" s="13" t="s">
        <v>15</v>
      </c>
      <c r="B39" s="2421" t="s">
        <v>227</v>
      </c>
      <c r="C39" s="2421"/>
      <c r="D39" s="2421"/>
      <c r="E39" s="2421"/>
      <c r="F39" s="55">
        <v>0</v>
      </c>
      <c r="G39" s="31" t="s">
        <v>4</v>
      </c>
      <c r="H39" s="55"/>
      <c r="I39" s="33"/>
    </row>
    <row r="40" spans="1:10" s="12" customFormat="1" ht="27.75" customHeight="1">
      <c r="A40" s="13" t="s">
        <v>6</v>
      </c>
      <c r="B40" s="2422" t="s">
        <v>228</v>
      </c>
      <c r="C40" s="2422"/>
      <c r="D40" s="2422"/>
      <c r="E40" s="2422"/>
      <c r="F40" s="34">
        <f>SUM(F41:F46)</f>
        <v>146585.35473529412</v>
      </c>
      <c r="G40" s="18" t="s">
        <v>377</v>
      </c>
      <c r="H40" s="34"/>
      <c r="I40" s="33"/>
    </row>
    <row r="41" spans="1:10" s="12" customFormat="1" ht="21" customHeight="1">
      <c r="A41" s="29">
        <v>1</v>
      </c>
      <c r="B41" s="2381" t="s">
        <v>81</v>
      </c>
      <c r="C41" s="2381"/>
      <c r="D41" s="2381"/>
      <c r="E41" s="2381"/>
      <c r="F41" s="1576">
        <f>+'1. thong tin quy hoach'!I19</f>
        <v>18987.54</v>
      </c>
      <c r="G41" s="31" t="s">
        <v>378</v>
      </c>
      <c r="H41" s="1561">
        <v>2</v>
      </c>
      <c r="I41" s="56" t="s">
        <v>380</v>
      </c>
    </row>
    <row r="42" spans="1:10" s="12" customFormat="1" ht="21.75" customHeight="1">
      <c r="A42" s="29">
        <v>2</v>
      </c>
      <c r="B42" s="2391" t="s">
        <v>229</v>
      </c>
      <c r="C42" s="2429"/>
      <c r="D42" s="2429"/>
      <c r="E42" s="2393"/>
      <c r="F42" s="1577">
        <v>0</v>
      </c>
      <c r="G42" s="31" t="s">
        <v>378</v>
      </c>
      <c r="H42" s="57"/>
      <c r="I42" s="33"/>
      <c r="J42" s="51"/>
    </row>
    <row r="43" spans="1:10" s="12" customFormat="1" ht="21.75" customHeight="1">
      <c r="A43" s="29">
        <v>3</v>
      </c>
      <c r="B43" s="2386" t="s">
        <v>230</v>
      </c>
      <c r="C43" s="2386"/>
      <c r="D43" s="2386"/>
      <c r="E43" s="2386"/>
      <c r="F43" s="1578">
        <f>+'1. thong tin quy hoach'!I13</f>
        <v>103768.59999999999</v>
      </c>
      <c r="G43" s="31" t="s">
        <v>378</v>
      </c>
      <c r="H43" s="36"/>
      <c r="I43" s="58"/>
    </row>
    <row r="44" spans="1:10" s="12" customFormat="1" ht="21.75" customHeight="1">
      <c r="A44" s="29">
        <v>4</v>
      </c>
      <c r="B44" s="2386" t="s">
        <v>231</v>
      </c>
      <c r="C44" s="2386"/>
      <c r="D44" s="2386"/>
      <c r="E44" s="2386"/>
      <c r="F44" s="1578">
        <f>+'1. thong tin quy hoach'!I15</f>
        <v>8219.2480000000014</v>
      </c>
      <c r="G44" s="31" t="s">
        <v>378</v>
      </c>
      <c r="H44" s="54"/>
      <c r="I44" s="58"/>
    </row>
    <row r="45" spans="1:10" s="12" customFormat="1" ht="21.75" customHeight="1">
      <c r="A45" s="1557">
        <v>5</v>
      </c>
      <c r="B45" s="2438" t="s">
        <v>232</v>
      </c>
      <c r="C45" s="2438"/>
      <c r="D45" s="2438"/>
      <c r="E45" s="2438"/>
      <c r="F45" s="1579">
        <f>+SUM('1. thong tin quy hoach'!I14,'1. thong tin quy hoach'!I16)</f>
        <v>4321.0467352941178</v>
      </c>
      <c r="G45" s="1558" t="s">
        <v>378</v>
      </c>
      <c r="H45" s="1560"/>
      <c r="I45" s="1559"/>
    </row>
    <row r="46" spans="1:10" s="12" customFormat="1" ht="21.75" customHeight="1" thickBot="1">
      <c r="A46" s="59">
        <v>6</v>
      </c>
      <c r="B46" s="2443" t="s">
        <v>657</v>
      </c>
      <c r="C46" s="2443"/>
      <c r="D46" s="2443"/>
      <c r="E46" s="2443"/>
      <c r="F46" s="1580">
        <f>+'1. thong tin quy hoach'!I20+'1. thong tin quy hoach'!I17</f>
        <v>11288.92</v>
      </c>
      <c r="G46" s="61" t="s">
        <v>658</v>
      </c>
      <c r="H46" s="60"/>
      <c r="I46" s="62"/>
    </row>
    <row r="47" spans="1:10" s="12" customFormat="1" ht="21.75" customHeight="1" thickTop="1">
      <c r="A47" s="47"/>
      <c r="B47" s="63"/>
      <c r="C47" s="63"/>
      <c r="D47" s="63"/>
      <c r="E47" s="63"/>
      <c r="F47" s="50"/>
      <c r="H47" s="64"/>
      <c r="I47" s="51"/>
    </row>
    <row r="48" spans="1:10" s="12" customFormat="1" ht="21.95" customHeight="1" thickBot="1">
      <c r="B48" s="47"/>
      <c r="D48" s="50"/>
      <c r="G48" s="51"/>
    </row>
    <row r="49" spans="1:14" s="65" customFormat="1" ht="21.95" customHeight="1" thickTop="1">
      <c r="A49" s="2439" t="s">
        <v>233</v>
      </c>
      <c r="B49" s="2440"/>
      <c r="C49" s="2440"/>
      <c r="D49" s="2440"/>
      <c r="E49" s="2440"/>
      <c r="F49" s="2440"/>
      <c r="G49" s="2440"/>
      <c r="H49" s="2440"/>
      <c r="I49" s="2441"/>
    </row>
    <row r="50" spans="1:14" s="65" customFormat="1" ht="38.25">
      <c r="A50" s="66" t="s">
        <v>0</v>
      </c>
      <c r="B50" s="2442" t="s">
        <v>189</v>
      </c>
      <c r="C50" s="2442"/>
      <c r="D50" s="2442"/>
      <c r="E50" s="2442"/>
      <c r="F50" s="67" t="s">
        <v>190</v>
      </c>
      <c r="G50" s="68" t="s">
        <v>27</v>
      </c>
      <c r="H50" s="67" t="s">
        <v>87</v>
      </c>
      <c r="I50" s="69" t="s">
        <v>191</v>
      </c>
    </row>
    <row r="51" spans="1:14" s="65" customFormat="1" ht="21" customHeight="1">
      <c r="A51" s="66" t="s">
        <v>2</v>
      </c>
      <c r="B51" s="2445" t="s">
        <v>234</v>
      </c>
      <c r="C51" s="2446"/>
      <c r="D51" s="2446"/>
      <c r="E51" s="2447"/>
      <c r="F51" s="1582">
        <f>+'1. thong tin quy hoach'!D37</f>
        <v>6572.61</v>
      </c>
      <c r="G51" s="70" t="s">
        <v>377</v>
      </c>
      <c r="H51" s="71"/>
      <c r="I51" s="72"/>
      <c r="J51" s="73"/>
    </row>
    <row r="52" spans="1:14" s="65" customFormat="1" ht="21" customHeight="1">
      <c r="A52" s="74">
        <v>1</v>
      </c>
      <c r="B52" s="2448" t="s">
        <v>82</v>
      </c>
      <c r="C52" s="2449"/>
      <c r="D52" s="2449"/>
      <c r="E52" s="2450"/>
      <c r="F52" s="75">
        <f>SUM(F53:F54)</f>
        <v>6572.61</v>
      </c>
      <c r="G52" s="76" t="s">
        <v>378</v>
      </c>
      <c r="H52" s="71"/>
      <c r="I52" s="72"/>
      <c r="J52" s="73"/>
    </row>
    <row r="53" spans="1:14" s="65" customFormat="1" ht="21.95" customHeight="1">
      <c r="A53" s="74" t="s">
        <v>15</v>
      </c>
      <c r="B53" s="2454" t="s">
        <v>235</v>
      </c>
      <c r="C53" s="2455"/>
      <c r="D53" s="2455"/>
      <c r="E53" s="2456"/>
      <c r="F53" s="1581">
        <f>+'1. thong tin quy hoach'!D38</f>
        <v>6572.61</v>
      </c>
      <c r="G53" s="76" t="s">
        <v>378</v>
      </c>
      <c r="H53" s="76"/>
      <c r="I53" s="77"/>
    </row>
    <row r="54" spans="1:14" s="65" customFormat="1" ht="21.95" customHeight="1">
      <c r="A54" s="74" t="s">
        <v>15</v>
      </c>
      <c r="B54" s="2454" t="s">
        <v>236</v>
      </c>
      <c r="C54" s="2455"/>
      <c r="D54" s="2455"/>
      <c r="E54" s="2456"/>
      <c r="F54" s="1581">
        <v>0</v>
      </c>
      <c r="G54" s="76" t="s">
        <v>378</v>
      </c>
      <c r="H54" s="76"/>
      <c r="I54" s="77"/>
    </row>
    <row r="55" spans="1:14" s="65" customFormat="1" ht="21.95" customHeight="1">
      <c r="A55" s="74">
        <v>2</v>
      </c>
      <c r="B55" s="2457" t="s">
        <v>223</v>
      </c>
      <c r="C55" s="2457"/>
      <c r="D55" s="2457"/>
      <c r="E55" s="2457"/>
      <c r="F55" s="1581">
        <f>+'1. thong tin quy hoach'!H38</f>
        <v>4929.4574999999995</v>
      </c>
      <c r="G55" s="76" t="s">
        <v>378</v>
      </c>
      <c r="H55" s="76"/>
      <c r="I55" s="77"/>
    </row>
    <row r="56" spans="1:14" s="65" customFormat="1" ht="21.95" customHeight="1">
      <c r="A56" s="74">
        <v>3</v>
      </c>
      <c r="B56" s="2457" t="s">
        <v>5</v>
      </c>
      <c r="C56" s="2457"/>
      <c r="D56" s="2457"/>
      <c r="E56" s="2457"/>
      <c r="F56" s="1581">
        <f>+'1. thong tin quy hoach'!G38</f>
        <v>3</v>
      </c>
      <c r="G56" s="76" t="s">
        <v>185</v>
      </c>
      <c r="H56" s="76"/>
      <c r="I56" s="77"/>
    </row>
    <row r="57" spans="1:14" s="65" customFormat="1" ht="21.95" customHeight="1">
      <c r="A57" s="74">
        <v>4</v>
      </c>
      <c r="B57" s="2457" t="s">
        <v>237</v>
      </c>
      <c r="C57" s="2457"/>
      <c r="D57" s="2457"/>
      <c r="E57" s="2457"/>
      <c r="F57" s="1581">
        <v>0</v>
      </c>
      <c r="G57" s="76" t="s">
        <v>185</v>
      </c>
      <c r="H57" s="76"/>
      <c r="I57" s="77"/>
    </row>
    <row r="58" spans="1:14" s="65" customFormat="1" ht="21.95" customHeight="1" thickBot="1">
      <c r="A58" s="78">
        <v>5</v>
      </c>
      <c r="B58" s="2458" t="s">
        <v>238</v>
      </c>
      <c r="C58" s="2458"/>
      <c r="D58" s="2458"/>
      <c r="E58" s="2458"/>
      <c r="F58" s="1583">
        <f>+'1. thong tin quy hoach'!L38</f>
        <v>73.028999999999996</v>
      </c>
      <c r="G58" s="79" t="s">
        <v>239</v>
      </c>
      <c r="H58" s="79"/>
      <c r="I58" s="80"/>
    </row>
    <row r="59" spans="1:14" s="12" customFormat="1" ht="21.95" customHeight="1" thickTop="1">
      <c r="B59" s="45"/>
      <c r="C59" s="42"/>
      <c r="D59" s="81"/>
      <c r="E59" s="42"/>
    </row>
    <row r="60" spans="1:14" s="12" customFormat="1" ht="25.5" customHeight="1" thickBot="1"/>
    <row r="61" spans="1:14" s="12" customFormat="1" ht="21.95" customHeight="1" thickTop="1">
      <c r="A61" s="2414" t="s">
        <v>240</v>
      </c>
      <c r="B61" s="2415"/>
      <c r="C61" s="2415"/>
      <c r="D61" s="2415"/>
      <c r="E61" s="2415"/>
      <c r="F61" s="2415"/>
      <c r="G61" s="2415"/>
      <c r="H61" s="2416"/>
      <c r="K61" s="2411" t="s">
        <v>433</v>
      </c>
      <c r="L61" s="2459" t="s">
        <v>434</v>
      </c>
      <c r="M61" s="2459"/>
      <c r="N61" s="26"/>
    </row>
    <row r="62" spans="1:14" s="42" customFormat="1" ht="21.75" customHeight="1">
      <c r="A62" s="13" t="s">
        <v>0</v>
      </c>
      <c r="B62" s="2403" t="s">
        <v>241</v>
      </c>
      <c r="C62" s="2403"/>
      <c r="D62" s="2403"/>
      <c r="E62" s="2403"/>
      <c r="F62" s="14" t="s">
        <v>190</v>
      </c>
      <c r="G62" s="15" t="s">
        <v>27</v>
      </c>
      <c r="H62" s="82" t="s">
        <v>87</v>
      </c>
      <c r="K62" s="2412"/>
      <c r="L62" s="186">
        <v>1</v>
      </c>
      <c r="M62" s="186">
        <v>2</v>
      </c>
      <c r="N62" s="185"/>
    </row>
    <row r="63" spans="1:14" s="42" customFormat="1" ht="21.75" customHeight="1">
      <c r="A63" s="13"/>
      <c r="B63" s="2403" t="s">
        <v>242</v>
      </c>
      <c r="C63" s="2403"/>
      <c r="D63" s="2403"/>
      <c r="E63" s="2403"/>
      <c r="F63" s="18"/>
      <c r="G63" s="31"/>
      <c r="H63" s="33"/>
      <c r="K63" s="186" t="s">
        <v>435</v>
      </c>
      <c r="L63" s="185">
        <v>1</v>
      </c>
      <c r="M63" s="185">
        <v>0.92</v>
      </c>
      <c r="N63" s="185"/>
    </row>
    <row r="64" spans="1:14" s="42" customFormat="1" ht="21.75" customHeight="1">
      <c r="A64" s="1598" t="s">
        <v>2</v>
      </c>
      <c r="B64" s="2385" t="s">
        <v>243</v>
      </c>
      <c r="C64" s="2385"/>
      <c r="D64" s="2385"/>
      <c r="E64" s="2385"/>
      <c r="F64" s="1599"/>
      <c r="G64" s="1600"/>
      <c r="H64" s="1601"/>
      <c r="K64" s="191" t="s">
        <v>436</v>
      </c>
      <c r="L64" s="198">
        <f>IF(AND(L69&gt;L62,L69&lt;=M62),(L68-(L68-L67)/(L66-L65)*(L66-L69)),0)</f>
        <v>0.97599999999999998</v>
      </c>
    </row>
    <row r="65" spans="1:13" s="42" customFormat="1" ht="21.75" customHeight="1">
      <c r="A65" s="1586">
        <v>1</v>
      </c>
      <c r="B65" s="2451" t="s">
        <v>244</v>
      </c>
      <c r="C65" s="2452"/>
      <c r="D65" s="2452"/>
      <c r="E65" s="2453"/>
      <c r="F65" s="1587"/>
      <c r="G65" s="1588"/>
      <c r="H65" s="1589"/>
      <c r="K65" s="42" t="s">
        <v>441</v>
      </c>
      <c r="L65" s="42">
        <f>L62</f>
        <v>1</v>
      </c>
      <c r="M65" s="187"/>
    </row>
    <row r="66" spans="1:13" s="12" customFormat="1" ht="42.75" customHeight="1">
      <c r="A66" s="29" t="s">
        <v>245</v>
      </c>
      <c r="B66" s="2381" t="s">
        <v>246</v>
      </c>
      <c r="C66" s="2381"/>
      <c r="D66" s="2381"/>
      <c r="E66" s="2381"/>
      <c r="F66" s="84">
        <f>F20+F29</f>
        <v>18314.482758620692</v>
      </c>
      <c r="G66" s="31" t="s">
        <v>378</v>
      </c>
      <c r="H66" s="83" t="s">
        <v>247</v>
      </c>
      <c r="K66" s="42" t="s">
        <v>437</v>
      </c>
      <c r="L66" s="12">
        <f>M62</f>
        <v>2</v>
      </c>
      <c r="M66" s="188"/>
    </row>
    <row r="67" spans="1:13" s="12" customFormat="1" ht="17.25" customHeight="1">
      <c r="A67" s="29" t="s">
        <v>248</v>
      </c>
      <c r="B67" s="2381" t="s">
        <v>249</v>
      </c>
      <c r="C67" s="2381"/>
      <c r="D67" s="2381"/>
      <c r="E67" s="2381"/>
      <c r="F67" s="1611">
        <f>+L73</f>
        <v>981242</v>
      </c>
      <c r="G67" s="85" t="s">
        <v>381</v>
      </c>
      <c r="H67" s="86" t="s">
        <v>687</v>
      </c>
      <c r="K67" s="12" t="s">
        <v>438</v>
      </c>
      <c r="L67" s="12">
        <f>L63</f>
        <v>1</v>
      </c>
    </row>
    <row r="68" spans="1:13" s="12" customFormat="1" ht="18" customHeight="1">
      <c r="A68" s="29" t="s">
        <v>250</v>
      </c>
      <c r="B68" s="2381" t="s">
        <v>251</v>
      </c>
      <c r="C68" s="2381"/>
      <c r="D68" s="2381"/>
      <c r="E68" s="2381"/>
      <c r="F68" s="54"/>
      <c r="G68" s="31" t="s">
        <v>28</v>
      </c>
      <c r="H68" s="83" t="s">
        <v>252</v>
      </c>
      <c r="K68" s="12" t="s">
        <v>439</v>
      </c>
      <c r="L68" s="12">
        <f>M63</f>
        <v>0.92</v>
      </c>
    </row>
    <row r="69" spans="1:13" s="42" customFormat="1" ht="18" customHeight="1">
      <c r="A69" s="1586">
        <v>2</v>
      </c>
      <c r="B69" s="2451" t="s">
        <v>253</v>
      </c>
      <c r="C69" s="2452"/>
      <c r="D69" s="2452"/>
      <c r="E69" s="2453"/>
      <c r="F69" s="1587"/>
      <c r="G69" s="1588"/>
      <c r="H69" s="1589"/>
      <c r="K69" s="42" t="s">
        <v>440</v>
      </c>
      <c r="L69" s="190">
        <f>+(F41/H41)/F33</f>
        <v>1.3</v>
      </c>
    </row>
    <row r="70" spans="1:13" s="12" customFormat="1" ht="41.25" customHeight="1">
      <c r="A70" s="1590" t="s">
        <v>195</v>
      </c>
      <c r="B70" s="2444" t="s">
        <v>246</v>
      </c>
      <c r="C70" s="2444"/>
      <c r="D70" s="2444"/>
      <c r="E70" s="2444"/>
      <c r="F70" s="1591">
        <f>F22+F51</f>
        <v>8241.5172413793098</v>
      </c>
      <c r="G70" s="1592" t="s">
        <v>378</v>
      </c>
      <c r="H70" s="1593" t="s">
        <v>254</v>
      </c>
    </row>
    <row r="71" spans="1:13" s="12" customFormat="1" ht="22.5" customHeight="1">
      <c r="A71" s="1590" t="s">
        <v>197</v>
      </c>
      <c r="B71" s="2444" t="s">
        <v>249</v>
      </c>
      <c r="C71" s="2444"/>
      <c r="D71" s="2444"/>
      <c r="E71" s="2444"/>
      <c r="F71" s="1594">
        <f>L73</f>
        <v>981242</v>
      </c>
      <c r="G71" s="1595" t="s">
        <v>381</v>
      </c>
      <c r="H71" s="1596" t="s">
        <v>687</v>
      </c>
      <c r="K71" s="189" t="s">
        <v>382</v>
      </c>
      <c r="L71" s="87">
        <v>925700</v>
      </c>
    </row>
    <row r="72" spans="1:13" s="12" customFormat="1" ht="16.5" customHeight="1">
      <c r="A72" s="1590" t="s">
        <v>199</v>
      </c>
      <c r="B72" s="2444" t="s">
        <v>251</v>
      </c>
      <c r="C72" s="2444"/>
      <c r="D72" s="2444"/>
      <c r="E72" s="2444"/>
      <c r="F72" s="1597"/>
      <c r="G72" s="1592" t="s">
        <v>28</v>
      </c>
      <c r="H72" s="1593" t="s">
        <v>252</v>
      </c>
      <c r="K72" s="88" t="s">
        <v>770</v>
      </c>
      <c r="L72" s="89">
        <v>1.06</v>
      </c>
    </row>
    <row r="73" spans="1:13" s="26" customFormat="1" ht="18" customHeight="1">
      <c r="A73" s="1598" t="s">
        <v>6</v>
      </c>
      <c r="B73" s="2385" t="s">
        <v>255</v>
      </c>
      <c r="C73" s="2385"/>
      <c r="D73" s="2385"/>
      <c r="E73" s="2385"/>
      <c r="F73" s="1602"/>
      <c r="G73" s="1603"/>
      <c r="H73" s="1604"/>
      <c r="K73" s="90"/>
      <c r="L73" s="91">
        <f>L71*L72</f>
        <v>981242</v>
      </c>
    </row>
    <row r="74" spans="1:13" s="26" customFormat="1" ht="18" customHeight="1">
      <c r="A74" s="1586">
        <v>1</v>
      </c>
      <c r="B74" s="2378" t="s">
        <v>689</v>
      </c>
      <c r="C74" s="2379"/>
      <c r="D74" s="2379"/>
      <c r="E74" s="2380"/>
      <c r="F74" s="1605"/>
      <c r="G74" s="1606"/>
      <c r="H74" s="1607"/>
      <c r="K74" s="1584"/>
      <c r="L74" s="1585"/>
    </row>
    <row r="75" spans="1:13" s="12" customFormat="1" ht="17.25" customHeight="1">
      <c r="A75" s="29"/>
      <c r="B75" s="2381" t="s">
        <v>383</v>
      </c>
      <c r="C75" s="2381"/>
      <c r="D75" s="2381"/>
      <c r="E75" s="2381"/>
      <c r="F75" s="36">
        <f>F40-F41+L83</f>
        <v>142203.6147352941</v>
      </c>
      <c r="G75" s="31" t="s">
        <v>378</v>
      </c>
      <c r="H75" s="86"/>
      <c r="I75" s="2"/>
      <c r="J75" s="93"/>
      <c r="K75" s="93"/>
    </row>
    <row r="76" spans="1:13" s="12" customFormat="1" ht="17.25" customHeight="1">
      <c r="A76" s="29"/>
      <c r="B76" s="2381" t="s">
        <v>384</v>
      </c>
      <c r="C76" s="2381"/>
      <c r="D76" s="2381"/>
      <c r="E76" s="2381"/>
      <c r="F76" s="36">
        <f>L84</f>
        <v>4381.74</v>
      </c>
      <c r="G76" s="31"/>
      <c r="H76" s="86"/>
      <c r="I76" s="92"/>
      <c r="J76" s="93"/>
      <c r="K76" s="93"/>
    </row>
    <row r="77" spans="1:13" s="12" customFormat="1" ht="17.25" customHeight="1">
      <c r="A77" s="29"/>
      <c r="B77" s="2381" t="s">
        <v>256</v>
      </c>
      <c r="C77" s="2381"/>
      <c r="D77" s="2381"/>
      <c r="E77" s="2381"/>
      <c r="F77" s="143">
        <f>L82</f>
        <v>15368912.999999998</v>
      </c>
      <c r="G77" s="31" t="s">
        <v>381</v>
      </c>
      <c r="H77" s="83" t="s">
        <v>688</v>
      </c>
      <c r="I77" s="95"/>
      <c r="K77" s="96"/>
      <c r="L77" s="96"/>
      <c r="M77" s="96"/>
    </row>
    <row r="78" spans="1:13" s="12" customFormat="1" ht="17.25" customHeight="1" thickBot="1">
      <c r="A78" s="29"/>
      <c r="B78" s="2381" t="s">
        <v>385</v>
      </c>
      <c r="C78" s="2381"/>
      <c r="D78" s="2381"/>
      <c r="E78" s="2381"/>
      <c r="F78" s="143">
        <f>IF(L88&lt;0,0,L88)</f>
        <v>16526607.201612422</v>
      </c>
      <c r="G78" s="31" t="s">
        <v>381</v>
      </c>
      <c r="H78" s="83" t="s">
        <v>688</v>
      </c>
      <c r="I78" s="95"/>
      <c r="K78" s="96"/>
      <c r="L78" s="96"/>
      <c r="M78" s="96"/>
    </row>
    <row r="79" spans="1:13" s="12" customFormat="1" ht="18" customHeight="1">
      <c r="A79" s="29"/>
      <c r="B79" s="2381" t="s">
        <v>251</v>
      </c>
      <c r="C79" s="2381"/>
      <c r="D79" s="2381"/>
      <c r="E79" s="2381"/>
      <c r="F79" s="54"/>
      <c r="G79" s="31" t="s">
        <v>28</v>
      </c>
      <c r="H79" s="83" t="s">
        <v>257</v>
      </c>
      <c r="I79" s="97"/>
      <c r="J79" s="98"/>
      <c r="K79" s="99" t="s">
        <v>776</v>
      </c>
      <c r="L79" s="100"/>
    </row>
    <row r="80" spans="1:13" s="12" customFormat="1" ht="18" customHeight="1">
      <c r="A80" s="1586">
        <v>2</v>
      </c>
      <c r="B80" s="2378" t="s">
        <v>690</v>
      </c>
      <c r="C80" s="2379"/>
      <c r="D80" s="2379"/>
      <c r="E80" s="2380"/>
      <c r="F80" s="1605"/>
      <c r="G80" s="1606"/>
      <c r="H80" s="1607"/>
      <c r="K80" s="101" t="str">
        <f>K79</f>
        <v>Chung cư 30 tầng 1 tầng hầm</v>
      </c>
      <c r="L80" s="1608">
        <v>14679000</v>
      </c>
    </row>
    <row r="81" spans="1:12" s="12" customFormat="1" ht="18" customHeight="1">
      <c r="A81" s="29"/>
      <c r="B81" s="2381" t="s">
        <v>278</v>
      </c>
      <c r="C81" s="2381"/>
      <c r="D81" s="2381"/>
      <c r="E81" s="2381"/>
      <c r="F81" s="1578">
        <f>+'1. thong tin quy hoach'!I38</f>
        <v>25975.746449999999</v>
      </c>
      <c r="G81" s="31"/>
      <c r="H81" s="86"/>
      <c r="K81" s="101" t="s">
        <v>770</v>
      </c>
      <c r="L81" s="1609">
        <v>1.0469999999999999</v>
      </c>
    </row>
    <row r="82" spans="1:12" s="12" customFormat="1" ht="18" customHeight="1" thickBot="1">
      <c r="A82" s="29"/>
      <c r="B82" s="2382" t="s">
        <v>256</v>
      </c>
      <c r="C82" s="2383"/>
      <c r="D82" s="2383"/>
      <c r="E82" s="2384"/>
      <c r="F82" s="1612">
        <v>8370000</v>
      </c>
      <c r="G82" s="31"/>
      <c r="H82" s="83" t="s">
        <v>688</v>
      </c>
      <c r="K82" s="103" t="s">
        <v>386</v>
      </c>
      <c r="L82" s="104">
        <f>L80*L81</f>
        <v>15368912.999999998</v>
      </c>
    </row>
    <row r="83" spans="1:12" s="12" customFormat="1" ht="18" customHeight="1">
      <c r="A83" s="29"/>
      <c r="B83" s="2382" t="s">
        <v>385</v>
      </c>
      <c r="C83" s="2383"/>
      <c r="D83" s="2383"/>
      <c r="E83" s="2384"/>
      <c r="F83" s="94"/>
      <c r="G83" s="31"/>
      <c r="H83" s="83"/>
      <c r="K83" s="101" t="s">
        <v>387</v>
      </c>
      <c r="L83" s="106">
        <f>F33*H41</f>
        <v>14605.800000000001</v>
      </c>
    </row>
    <row r="84" spans="1:12" s="12" customFormat="1" ht="18" customHeight="1">
      <c r="A84" s="29"/>
      <c r="B84" s="2381" t="s">
        <v>251</v>
      </c>
      <c r="C84" s="2381"/>
      <c r="D84" s="2381"/>
      <c r="E84" s="2381"/>
      <c r="F84" s="54"/>
      <c r="G84" s="31"/>
      <c r="H84" s="83"/>
      <c r="K84" s="101" t="s">
        <v>388</v>
      </c>
      <c r="L84" s="106">
        <f>F41-F33*H41</f>
        <v>4381.74</v>
      </c>
    </row>
    <row r="85" spans="1:12" s="12" customFormat="1" ht="17.25" customHeight="1">
      <c r="A85" s="1598" t="s">
        <v>91</v>
      </c>
      <c r="B85" s="2385" t="s">
        <v>258</v>
      </c>
      <c r="C85" s="2385"/>
      <c r="D85" s="2385"/>
      <c r="E85" s="2385"/>
      <c r="F85" s="1602"/>
      <c r="G85" s="1603"/>
      <c r="H85" s="1604"/>
      <c r="K85" s="101" t="s">
        <v>389</v>
      </c>
      <c r="L85" s="1608">
        <v>14508000</v>
      </c>
    </row>
    <row r="86" spans="1:12" s="12" customFormat="1" ht="17.25" customHeight="1">
      <c r="A86" s="1586">
        <v>1</v>
      </c>
      <c r="B86" s="2378" t="s">
        <v>691</v>
      </c>
      <c r="C86" s="2379"/>
      <c r="D86" s="2379"/>
      <c r="E86" s="2380"/>
      <c r="F86" s="1605"/>
      <c r="G86" s="1606"/>
      <c r="H86" s="1607"/>
      <c r="K86" s="101" t="s">
        <v>432</v>
      </c>
      <c r="L86" s="1610">
        <f>L64</f>
        <v>0.97599999999999998</v>
      </c>
    </row>
    <row r="87" spans="1:12" s="12" customFormat="1" ht="18" customHeight="1">
      <c r="A87" s="29"/>
      <c r="B87" s="2386" t="s">
        <v>442</v>
      </c>
      <c r="C87" s="2386"/>
      <c r="D87" s="2386"/>
      <c r="E87" s="2386"/>
      <c r="F87" s="102">
        <v>0.02</v>
      </c>
      <c r="G87" s="31"/>
      <c r="H87" s="33"/>
      <c r="K87" s="108" t="s">
        <v>390</v>
      </c>
      <c r="L87" s="109">
        <f>(L80*(F40-F41+L83)-L85*(F40-F41))/L83*L86</f>
        <v>15784725.120928772</v>
      </c>
    </row>
    <row r="88" spans="1:12" s="12" customFormat="1" ht="21.95" customHeight="1" thickBot="1">
      <c r="A88" s="29"/>
      <c r="B88" s="2386" t="s">
        <v>693</v>
      </c>
      <c r="C88" s="2386"/>
      <c r="D88" s="2386"/>
      <c r="E88" s="2386"/>
      <c r="F88" s="102">
        <v>0.15</v>
      </c>
      <c r="G88" s="31"/>
      <c r="H88" s="33"/>
      <c r="K88" s="111" t="s">
        <v>391</v>
      </c>
      <c r="L88" s="112">
        <f>L87*L81</f>
        <v>16526607.201612422</v>
      </c>
    </row>
    <row r="89" spans="1:12" s="12" customFormat="1" ht="21.95" customHeight="1">
      <c r="A89" s="1586">
        <v>2</v>
      </c>
      <c r="B89" s="2378" t="s">
        <v>692</v>
      </c>
      <c r="C89" s="2379"/>
      <c r="D89" s="2379"/>
      <c r="E89" s="2380"/>
      <c r="F89" s="1605"/>
      <c r="G89" s="1606"/>
      <c r="H89" s="1607"/>
    </row>
    <row r="90" spans="1:12" s="12" customFormat="1" ht="21.75" customHeight="1">
      <c r="A90" s="29"/>
      <c r="B90" s="2386" t="s">
        <v>442</v>
      </c>
      <c r="C90" s="2386"/>
      <c r="D90" s="2386"/>
      <c r="E90" s="2386"/>
      <c r="F90" s="102">
        <v>0.02</v>
      </c>
      <c r="G90" s="31"/>
      <c r="H90" s="33"/>
    </row>
    <row r="91" spans="1:12" s="12" customFormat="1" ht="21.75" customHeight="1">
      <c r="A91" s="29"/>
      <c r="B91" s="2386" t="s">
        <v>693</v>
      </c>
      <c r="C91" s="2386"/>
      <c r="D91" s="2386"/>
      <c r="E91" s="2386"/>
      <c r="F91" s="102">
        <v>0.15</v>
      </c>
      <c r="G91" s="31"/>
      <c r="H91" s="33"/>
    </row>
    <row r="92" spans="1:12" s="12" customFormat="1" ht="21.75" customHeight="1">
      <c r="A92" s="29">
        <v>3</v>
      </c>
      <c r="B92" s="2386" t="s">
        <v>259</v>
      </c>
      <c r="C92" s="2386"/>
      <c r="D92" s="2386"/>
      <c r="E92" s="2386"/>
      <c r="F92" s="105">
        <v>0.15</v>
      </c>
      <c r="G92" s="31"/>
      <c r="H92" s="33"/>
    </row>
    <row r="93" spans="1:12" s="12" customFormat="1" ht="21.75" customHeight="1">
      <c r="A93" s="29">
        <v>4</v>
      </c>
      <c r="B93" s="2386" t="s">
        <v>260</v>
      </c>
      <c r="C93" s="2386"/>
      <c r="D93" s="2386"/>
      <c r="E93" s="2386"/>
      <c r="F93" s="102">
        <v>0</v>
      </c>
      <c r="G93" s="31" t="s">
        <v>261</v>
      </c>
      <c r="H93" s="33"/>
    </row>
    <row r="94" spans="1:12" s="12" customFormat="1" ht="25.5" customHeight="1">
      <c r="A94" s="29">
        <v>5</v>
      </c>
      <c r="B94" s="2386" t="s">
        <v>262</v>
      </c>
      <c r="C94" s="2386"/>
      <c r="D94" s="2386"/>
      <c r="E94" s="2386"/>
      <c r="F94" s="105">
        <v>0.15</v>
      </c>
      <c r="G94" s="31"/>
      <c r="H94" s="107"/>
    </row>
    <row r="95" spans="1:12" s="12" customFormat="1" ht="21.75" customHeight="1">
      <c r="A95" s="29">
        <v>6</v>
      </c>
      <c r="B95" s="2381" t="s">
        <v>263</v>
      </c>
      <c r="C95" s="2381"/>
      <c r="D95" s="2381"/>
      <c r="E95" s="2381"/>
      <c r="F95" s="105">
        <v>0.12</v>
      </c>
      <c r="G95" s="31"/>
      <c r="H95" s="33"/>
    </row>
    <row r="96" spans="1:12" s="12" customFormat="1" ht="21.75" customHeight="1" thickBot="1">
      <c r="A96" s="59">
        <v>7</v>
      </c>
      <c r="B96" s="2413" t="s">
        <v>265</v>
      </c>
      <c r="C96" s="2413"/>
      <c r="D96" s="2413"/>
      <c r="E96" s="2413"/>
      <c r="F96" s="60">
        <v>26000</v>
      </c>
      <c r="G96" s="61"/>
      <c r="H96" s="110"/>
    </row>
    <row r="97" spans="1:15" s="12" customFormat="1" ht="21.75" customHeight="1" thickTop="1">
      <c r="B97" s="2387"/>
      <c r="C97" s="2387"/>
      <c r="D97" s="2387"/>
      <c r="E97" s="2387"/>
    </row>
    <row r="98" spans="1:15" s="12" customFormat="1" ht="21.75" customHeight="1" thickBot="1"/>
    <row r="99" spans="1:15" s="12" customFormat="1" ht="21.95" customHeight="1" thickTop="1">
      <c r="A99" s="2414" t="s">
        <v>266</v>
      </c>
      <c r="B99" s="2415"/>
      <c r="C99" s="2415"/>
      <c r="D99" s="2415"/>
      <c r="E99" s="2415"/>
      <c r="F99" s="2415"/>
      <c r="G99" s="2415"/>
      <c r="H99" s="2416"/>
    </row>
    <row r="100" spans="1:15" s="12" customFormat="1" ht="19.5" customHeight="1">
      <c r="A100" s="13" t="s">
        <v>0</v>
      </c>
      <c r="B100" s="2403" t="s">
        <v>267</v>
      </c>
      <c r="C100" s="2403"/>
      <c r="D100" s="2403"/>
      <c r="E100" s="2403"/>
      <c r="F100" s="14" t="s">
        <v>190</v>
      </c>
      <c r="G100" s="15" t="s">
        <v>27</v>
      </c>
      <c r="H100" s="82" t="s">
        <v>87</v>
      </c>
    </row>
    <row r="101" spans="1:15" s="12" customFormat="1" ht="19.5" customHeight="1">
      <c r="A101" s="13" t="s">
        <v>2</v>
      </c>
      <c r="B101" s="2404" t="s">
        <v>268</v>
      </c>
      <c r="C101" s="2405"/>
      <c r="D101" s="2405"/>
      <c r="E101" s="2406"/>
      <c r="F101" s="114"/>
      <c r="G101" s="18"/>
      <c r="H101" s="25"/>
    </row>
    <row r="102" spans="1:15" s="12" customFormat="1" ht="19.5" customHeight="1">
      <c r="A102" s="29">
        <v>1</v>
      </c>
      <c r="B102" s="2391" t="s">
        <v>269</v>
      </c>
      <c r="C102" s="2392"/>
      <c r="D102" s="2392"/>
      <c r="E102" s="2393"/>
      <c r="F102" s="54">
        <f>F53</f>
        <v>6572.61</v>
      </c>
      <c r="G102" s="31" t="s">
        <v>378</v>
      </c>
      <c r="H102" s="33" t="s">
        <v>270</v>
      </c>
    </row>
    <row r="103" spans="1:15" s="12" customFormat="1" ht="19.5" customHeight="1">
      <c r="A103" s="29">
        <v>2</v>
      </c>
      <c r="B103" s="2391" t="s">
        <v>271</v>
      </c>
      <c r="C103" s="2392"/>
      <c r="D103" s="2392"/>
      <c r="E103" s="2393"/>
      <c r="F103" s="94">
        <v>70000000</v>
      </c>
      <c r="G103" s="31" t="s">
        <v>381</v>
      </c>
      <c r="H103" s="107" t="s">
        <v>264</v>
      </c>
      <c r="L103" s="21"/>
      <c r="M103" s="21"/>
      <c r="N103" s="21"/>
      <c r="O103" s="21"/>
    </row>
    <row r="104" spans="1:15" s="12" customFormat="1" ht="19.5" customHeight="1">
      <c r="A104" s="29">
        <v>3</v>
      </c>
      <c r="B104" s="2391" t="s">
        <v>272</v>
      </c>
      <c r="C104" s="2392"/>
      <c r="D104" s="2392"/>
      <c r="E104" s="2393"/>
      <c r="F104" s="31"/>
      <c r="G104" s="31" t="s">
        <v>28</v>
      </c>
      <c r="H104" s="83" t="s">
        <v>273</v>
      </c>
    </row>
    <row r="105" spans="1:15" s="12" customFormat="1" ht="19.5" customHeight="1">
      <c r="A105" s="13" t="s">
        <v>6</v>
      </c>
      <c r="B105" s="2404" t="s">
        <v>274</v>
      </c>
      <c r="C105" s="2405"/>
      <c r="D105" s="2405"/>
      <c r="E105" s="2406"/>
      <c r="F105" s="114"/>
      <c r="G105" s="18"/>
      <c r="H105" s="25"/>
    </row>
    <row r="106" spans="1:15" s="12" customFormat="1" ht="19.5" customHeight="1">
      <c r="A106" s="29">
        <v>1</v>
      </c>
      <c r="B106" s="2391" t="s">
        <v>275</v>
      </c>
      <c r="C106" s="2392"/>
      <c r="D106" s="2392"/>
      <c r="E106" s="2393"/>
      <c r="F106" s="54">
        <f>F54</f>
        <v>0</v>
      </c>
      <c r="G106" s="31" t="s">
        <v>378</v>
      </c>
      <c r="H106" s="33" t="s">
        <v>270</v>
      </c>
    </row>
    <row r="107" spans="1:15" s="12" customFormat="1" ht="19.5" customHeight="1">
      <c r="A107" s="29">
        <v>2</v>
      </c>
      <c r="B107" s="2391" t="s">
        <v>271</v>
      </c>
      <c r="C107" s="2392"/>
      <c r="D107" s="2392"/>
      <c r="E107" s="2393"/>
      <c r="F107" s="94"/>
      <c r="G107" s="31" t="s">
        <v>381</v>
      </c>
      <c r="H107" s="107" t="s">
        <v>264</v>
      </c>
      <c r="L107" s="21"/>
      <c r="M107" s="21"/>
      <c r="N107" s="21"/>
      <c r="O107" s="21"/>
    </row>
    <row r="108" spans="1:15" s="12" customFormat="1" ht="19.5" customHeight="1">
      <c r="A108" s="29">
        <v>3</v>
      </c>
      <c r="B108" s="2391" t="s">
        <v>272</v>
      </c>
      <c r="C108" s="2392"/>
      <c r="D108" s="2392"/>
      <c r="E108" s="2393"/>
      <c r="F108" s="31"/>
      <c r="G108" s="31" t="s">
        <v>28</v>
      </c>
      <c r="H108" s="83" t="s">
        <v>276</v>
      </c>
    </row>
    <row r="109" spans="1:15" s="12" customFormat="1" ht="19.5" customHeight="1">
      <c r="A109" s="13" t="s">
        <v>91</v>
      </c>
      <c r="B109" s="2404" t="s">
        <v>277</v>
      </c>
      <c r="C109" s="2405"/>
      <c r="D109" s="2405"/>
      <c r="E109" s="2406"/>
      <c r="F109" s="114"/>
      <c r="G109" s="18"/>
      <c r="H109" s="25"/>
    </row>
    <row r="110" spans="1:15" s="12" customFormat="1" ht="19.5" customHeight="1">
      <c r="A110" s="29">
        <v>1</v>
      </c>
      <c r="B110" s="2381" t="s">
        <v>278</v>
      </c>
      <c r="C110" s="2381"/>
      <c r="D110" s="2381"/>
      <c r="E110" s="2381"/>
      <c r="F110" s="36">
        <f>F43</f>
        <v>103768.59999999999</v>
      </c>
      <c r="G110" s="31" t="s">
        <v>378</v>
      </c>
      <c r="H110" s="33" t="s">
        <v>279</v>
      </c>
    </row>
    <row r="111" spans="1:15" s="42" customFormat="1" ht="19.5" customHeight="1">
      <c r="A111" s="37"/>
      <c r="B111" s="2390" t="s">
        <v>280</v>
      </c>
      <c r="C111" s="2390"/>
      <c r="D111" s="2390"/>
      <c r="E111" s="2390"/>
      <c r="F111" s="115">
        <v>0.75</v>
      </c>
      <c r="G111" s="39"/>
      <c r="H111" s="41"/>
    </row>
    <row r="112" spans="1:15" s="42" customFormat="1" ht="14.25">
      <c r="A112" s="37"/>
      <c r="B112" s="2390" t="s">
        <v>281</v>
      </c>
      <c r="C112" s="2390"/>
      <c r="D112" s="2390"/>
      <c r="E112" s="2390"/>
      <c r="F112" s="116">
        <f>F110*F111</f>
        <v>77826.45</v>
      </c>
      <c r="G112" s="39" t="s">
        <v>392</v>
      </c>
      <c r="H112" s="117"/>
    </row>
    <row r="113" spans="1:15" s="12" customFormat="1" ht="19.5" customHeight="1">
      <c r="A113" s="29">
        <v>2</v>
      </c>
      <c r="B113" s="2381" t="s">
        <v>271</v>
      </c>
      <c r="C113" s="2381"/>
      <c r="D113" s="2381"/>
      <c r="E113" s="2381"/>
      <c r="F113" s="94">
        <v>45000000</v>
      </c>
      <c r="G113" s="31" t="s">
        <v>381</v>
      </c>
      <c r="H113" s="107" t="s">
        <v>264</v>
      </c>
      <c r="L113" s="21"/>
      <c r="M113" s="21"/>
      <c r="N113" s="21"/>
      <c r="O113" s="21"/>
    </row>
    <row r="114" spans="1:15" s="12" customFormat="1" ht="19.5" customHeight="1">
      <c r="A114" s="29">
        <v>3</v>
      </c>
      <c r="B114" s="2381" t="s">
        <v>272</v>
      </c>
      <c r="C114" s="2381"/>
      <c r="D114" s="2381"/>
      <c r="E114" s="2381"/>
      <c r="F114" s="31"/>
      <c r="G114" s="31" t="s">
        <v>28</v>
      </c>
      <c r="H114" s="83" t="s">
        <v>282</v>
      </c>
    </row>
    <row r="115" spans="1:15" s="12" customFormat="1" ht="19.5" customHeight="1">
      <c r="A115" s="13" t="s">
        <v>93</v>
      </c>
      <c r="B115" s="2404" t="s">
        <v>283</v>
      </c>
      <c r="C115" s="2405"/>
      <c r="D115" s="2405"/>
      <c r="E115" s="2406"/>
      <c r="F115" s="114"/>
      <c r="G115" s="18"/>
      <c r="H115" s="25"/>
    </row>
    <row r="116" spans="1:15" s="12" customFormat="1" ht="19.5" customHeight="1">
      <c r="A116" s="29">
        <v>1</v>
      </c>
      <c r="B116" s="2381" t="s">
        <v>278</v>
      </c>
      <c r="C116" s="2381"/>
      <c r="D116" s="2381"/>
      <c r="E116" s="2381"/>
      <c r="F116" s="54">
        <f>F44</f>
        <v>8219.2480000000014</v>
      </c>
      <c r="G116" s="31" t="s">
        <v>378</v>
      </c>
      <c r="H116" s="33" t="s">
        <v>279</v>
      </c>
    </row>
    <row r="117" spans="1:15" s="42" customFormat="1" ht="19.5" customHeight="1">
      <c r="A117" s="37"/>
      <c r="B117" s="2390" t="s">
        <v>280</v>
      </c>
      <c r="C117" s="2390"/>
      <c r="D117" s="2390"/>
      <c r="E117" s="2390"/>
      <c r="F117" s="115">
        <v>0.7</v>
      </c>
      <c r="G117" s="39"/>
      <c r="H117" s="41"/>
    </row>
    <row r="118" spans="1:15" s="42" customFormat="1" ht="14.25">
      <c r="A118" s="37"/>
      <c r="B118" s="2390" t="s">
        <v>281</v>
      </c>
      <c r="C118" s="2390"/>
      <c r="D118" s="2390"/>
      <c r="E118" s="2390"/>
      <c r="F118" s="118">
        <f>F116*F117</f>
        <v>5753.4736000000003</v>
      </c>
      <c r="G118" s="39" t="s">
        <v>392</v>
      </c>
      <c r="H118" s="117"/>
    </row>
    <row r="119" spans="1:15" s="12" customFormat="1" ht="19.5" customHeight="1">
      <c r="A119" s="29">
        <v>2</v>
      </c>
      <c r="B119" s="2381" t="s">
        <v>271</v>
      </c>
      <c r="C119" s="2381"/>
      <c r="D119" s="2381"/>
      <c r="E119" s="2381"/>
      <c r="F119" s="94">
        <f>+F113*0.9</f>
        <v>40500000</v>
      </c>
      <c r="G119" s="31" t="s">
        <v>381</v>
      </c>
      <c r="H119" s="33" t="s">
        <v>264</v>
      </c>
      <c r="L119" s="21"/>
      <c r="M119" s="21"/>
      <c r="N119" s="21"/>
      <c r="O119" s="21"/>
    </row>
    <row r="120" spans="1:15" s="12" customFormat="1" ht="19.5" customHeight="1">
      <c r="A120" s="29">
        <v>3</v>
      </c>
      <c r="B120" s="2381" t="s">
        <v>272</v>
      </c>
      <c r="C120" s="2381"/>
      <c r="D120" s="2381"/>
      <c r="E120" s="2381"/>
      <c r="F120" s="31"/>
      <c r="G120" s="31" t="s">
        <v>28</v>
      </c>
      <c r="H120" s="83" t="s">
        <v>282</v>
      </c>
    </row>
    <row r="121" spans="1:15" s="12" customFormat="1" ht="19.5" customHeight="1">
      <c r="A121" s="13" t="s">
        <v>92</v>
      </c>
      <c r="B121" s="2403" t="s">
        <v>284</v>
      </c>
      <c r="C121" s="2403"/>
      <c r="D121" s="2403"/>
      <c r="E121" s="2403"/>
      <c r="F121" s="114"/>
      <c r="G121" s="18"/>
      <c r="H121" s="25"/>
      <c r="K121" s="119"/>
    </row>
    <row r="122" spans="1:15" s="12" customFormat="1" ht="19.5" customHeight="1">
      <c r="A122" s="29">
        <v>1</v>
      </c>
      <c r="B122" s="2444" t="s">
        <v>278</v>
      </c>
      <c r="C122" s="2444"/>
      <c r="D122" s="2444"/>
      <c r="E122" s="2444"/>
      <c r="F122" s="36">
        <f>F45</f>
        <v>4321.0467352941178</v>
      </c>
      <c r="G122" s="31" t="s">
        <v>378</v>
      </c>
      <c r="H122" s="33" t="s">
        <v>279</v>
      </c>
    </row>
    <row r="123" spans="1:15" s="12" customFormat="1" ht="19.5" customHeight="1">
      <c r="A123" s="37"/>
      <c r="B123" s="2390" t="s">
        <v>280</v>
      </c>
      <c r="C123" s="2390"/>
      <c r="D123" s="2390"/>
      <c r="E123" s="2390"/>
      <c r="F123" s="115">
        <v>0.7</v>
      </c>
      <c r="G123" s="39"/>
      <c r="H123" s="120"/>
      <c r="L123" s="51"/>
      <c r="M123" s="51"/>
      <c r="N123" s="51"/>
    </row>
    <row r="124" spans="1:15" s="12" customFormat="1" ht="14.25">
      <c r="A124" s="37"/>
      <c r="B124" s="2390" t="s">
        <v>281</v>
      </c>
      <c r="C124" s="2390"/>
      <c r="D124" s="2390"/>
      <c r="E124" s="2390"/>
      <c r="F124" s="116">
        <f>F122*F123</f>
        <v>3024.7327147058822</v>
      </c>
      <c r="G124" s="39" t="s">
        <v>392</v>
      </c>
      <c r="H124" s="117"/>
      <c r="L124" s="51"/>
      <c r="M124" s="51"/>
    </row>
    <row r="125" spans="1:15" s="12" customFormat="1" ht="19.5" customHeight="1">
      <c r="A125" s="29">
        <v>2</v>
      </c>
      <c r="B125" s="2381" t="s">
        <v>285</v>
      </c>
      <c r="C125" s="2381"/>
      <c r="D125" s="2381"/>
      <c r="E125" s="2381"/>
      <c r="F125" s="94">
        <v>8.5</v>
      </c>
      <c r="G125" s="31" t="s">
        <v>393</v>
      </c>
      <c r="H125" s="107" t="s">
        <v>264</v>
      </c>
      <c r="I125" s="121"/>
    </row>
    <row r="126" spans="1:15" s="12" customFormat="1" ht="19.5" customHeight="1">
      <c r="A126" s="29">
        <v>3</v>
      </c>
      <c r="B126" s="2381" t="s">
        <v>286</v>
      </c>
      <c r="C126" s="2381"/>
      <c r="D126" s="2381"/>
      <c r="E126" s="2381"/>
      <c r="F126" s="31"/>
      <c r="G126" s="31" t="s">
        <v>28</v>
      </c>
      <c r="H126" s="83" t="s">
        <v>287</v>
      </c>
      <c r="L126" s="21"/>
    </row>
    <row r="127" spans="1:15" s="12" customFormat="1" ht="19.5" customHeight="1">
      <c r="A127" s="13" t="s">
        <v>94</v>
      </c>
      <c r="B127" s="2403" t="s">
        <v>288</v>
      </c>
      <c r="C127" s="2403"/>
      <c r="D127" s="2403"/>
      <c r="E127" s="2403"/>
      <c r="F127" s="114"/>
      <c r="G127" s="18"/>
      <c r="H127" s="122"/>
    </row>
    <row r="128" spans="1:15" s="12" customFormat="1" ht="19.5" customHeight="1">
      <c r="A128" s="29">
        <v>1</v>
      </c>
      <c r="B128" s="2381" t="s">
        <v>289</v>
      </c>
      <c r="C128" s="2381"/>
      <c r="D128" s="2381"/>
      <c r="E128" s="2381"/>
      <c r="F128" s="84">
        <f>F41+F42</f>
        <v>18987.54</v>
      </c>
      <c r="G128" s="31" t="s">
        <v>378</v>
      </c>
      <c r="H128" s="107"/>
    </row>
    <row r="129" spans="1:14" s="42" customFormat="1" ht="19.5" customHeight="1">
      <c r="A129" s="37" t="s">
        <v>290</v>
      </c>
      <c r="B129" s="2390" t="s">
        <v>291</v>
      </c>
      <c r="C129" s="2390"/>
      <c r="D129" s="2390"/>
      <c r="E129" s="2390"/>
      <c r="F129" s="123">
        <v>0.75</v>
      </c>
      <c r="G129" s="39"/>
      <c r="H129" s="117" t="s">
        <v>264</v>
      </c>
    </row>
    <row r="130" spans="1:14" s="42" customFormat="1" ht="14.25">
      <c r="A130" s="37" t="s">
        <v>290</v>
      </c>
      <c r="B130" s="2390" t="s">
        <v>292</v>
      </c>
      <c r="C130" s="2390"/>
      <c r="D130" s="2390"/>
      <c r="E130" s="2390"/>
      <c r="F130" s="116">
        <f>F128*F129</f>
        <v>14240.655000000001</v>
      </c>
      <c r="G130" s="39" t="s">
        <v>392</v>
      </c>
      <c r="H130" s="117"/>
    </row>
    <row r="131" spans="1:14" s="12" customFormat="1" ht="19.5" customHeight="1">
      <c r="A131" s="29">
        <v>2</v>
      </c>
      <c r="B131" s="2381" t="s">
        <v>293</v>
      </c>
      <c r="C131" s="2381"/>
      <c r="D131" s="2381"/>
      <c r="E131" s="2381"/>
      <c r="F131" s="36">
        <f>F130*50%</f>
        <v>7120.3275000000003</v>
      </c>
      <c r="G131" s="31" t="s">
        <v>378</v>
      </c>
      <c r="H131" s="107"/>
    </row>
    <row r="132" spans="1:14" s="12" customFormat="1" ht="25.5">
      <c r="A132" s="37" t="s">
        <v>290</v>
      </c>
      <c r="B132" s="2390" t="s">
        <v>394</v>
      </c>
      <c r="C132" s="2390"/>
      <c r="D132" s="2390"/>
      <c r="E132" s="2390"/>
      <c r="F132" s="118">
        <f>ROUND(F131/25,0)</f>
        <v>285</v>
      </c>
      <c r="G132" s="39" t="s">
        <v>294</v>
      </c>
      <c r="H132" s="117" t="s">
        <v>295</v>
      </c>
    </row>
    <row r="133" spans="1:14" s="12" customFormat="1" ht="25.5">
      <c r="A133" s="37" t="s">
        <v>290</v>
      </c>
      <c r="B133" s="2390" t="s">
        <v>296</v>
      </c>
      <c r="C133" s="2390"/>
      <c r="D133" s="2390"/>
      <c r="E133" s="2390"/>
      <c r="F133" s="379">
        <v>850000</v>
      </c>
      <c r="G133" s="39" t="s">
        <v>297</v>
      </c>
      <c r="H133" s="117" t="s">
        <v>298</v>
      </c>
    </row>
    <row r="134" spans="1:14" s="12" customFormat="1" ht="19.5" customHeight="1">
      <c r="A134" s="29">
        <v>3</v>
      </c>
      <c r="B134" s="2381" t="s">
        <v>299</v>
      </c>
      <c r="C134" s="2381"/>
      <c r="D134" s="2381"/>
      <c r="E134" s="2381"/>
      <c r="F134" s="36">
        <f>F130-F131</f>
        <v>7120.3275000000003</v>
      </c>
      <c r="G134" s="31" t="s">
        <v>378</v>
      </c>
      <c r="H134" s="107"/>
    </row>
    <row r="135" spans="1:14" s="12" customFormat="1" ht="25.5">
      <c r="A135" s="37"/>
      <c r="B135" s="2390" t="s">
        <v>395</v>
      </c>
      <c r="C135" s="2390"/>
      <c r="D135" s="2390"/>
      <c r="E135" s="2390"/>
      <c r="F135" s="118">
        <f>ROUND(F134/3,0)</f>
        <v>2373</v>
      </c>
      <c r="G135" s="39" t="s">
        <v>294</v>
      </c>
      <c r="H135" s="117" t="s">
        <v>300</v>
      </c>
    </row>
    <row r="136" spans="1:14" s="12" customFormat="1" ht="19.5" customHeight="1">
      <c r="A136" s="124" t="s">
        <v>290</v>
      </c>
      <c r="B136" s="2390" t="s">
        <v>396</v>
      </c>
      <c r="C136" s="2390"/>
      <c r="D136" s="2390"/>
      <c r="E136" s="2390"/>
      <c r="F136" s="116">
        <f>ROUND(F135*50%,0)</f>
        <v>1187</v>
      </c>
      <c r="G136" s="39" t="s">
        <v>294</v>
      </c>
      <c r="H136" s="117"/>
    </row>
    <row r="137" spans="1:14" s="12" customFormat="1" ht="25.5">
      <c r="A137" s="37" t="s">
        <v>290</v>
      </c>
      <c r="B137" s="2417" t="s">
        <v>397</v>
      </c>
      <c r="C137" s="2417"/>
      <c r="D137" s="2417"/>
      <c r="E137" s="2417"/>
      <c r="F137" s="379">
        <v>200000</v>
      </c>
      <c r="G137" s="39" t="s">
        <v>297</v>
      </c>
      <c r="H137" s="117" t="s">
        <v>298</v>
      </c>
    </row>
    <row r="138" spans="1:14" s="12" customFormat="1" ht="19.5" customHeight="1">
      <c r="A138" s="37" t="s">
        <v>290</v>
      </c>
      <c r="B138" s="2417" t="s">
        <v>398</v>
      </c>
      <c r="C138" s="2417"/>
      <c r="D138" s="2417"/>
      <c r="E138" s="2417"/>
      <c r="F138" s="116">
        <f>F135-F136</f>
        <v>1186</v>
      </c>
      <c r="G138" s="39" t="s">
        <v>294</v>
      </c>
      <c r="H138" s="117"/>
    </row>
    <row r="139" spans="1:14" s="12" customFormat="1" ht="25.5">
      <c r="A139" s="124" t="s">
        <v>290</v>
      </c>
      <c r="B139" s="2417" t="s">
        <v>399</v>
      </c>
      <c r="C139" s="2417"/>
      <c r="D139" s="2417"/>
      <c r="E139" s="2417"/>
      <c r="F139" s="379">
        <v>250000</v>
      </c>
      <c r="G139" s="39" t="s">
        <v>297</v>
      </c>
      <c r="H139" s="117" t="s">
        <v>298</v>
      </c>
    </row>
    <row r="140" spans="1:14" s="12" customFormat="1" ht="19.5" customHeight="1" thickBot="1">
      <c r="A140" s="59">
        <v>4</v>
      </c>
      <c r="B140" s="2413" t="s">
        <v>286</v>
      </c>
      <c r="C140" s="2413"/>
      <c r="D140" s="2413"/>
      <c r="E140" s="2413"/>
      <c r="F140" s="61"/>
      <c r="G140" s="61" t="s">
        <v>28</v>
      </c>
      <c r="H140" s="125" t="s">
        <v>301</v>
      </c>
    </row>
    <row r="141" spans="1:14" s="12" customFormat="1" ht="21.95" customHeight="1" thickTop="1"/>
    <row r="142" spans="1:14" s="12" customFormat="1" ht="21.95" customHeight="1" thickBot="1"/>
    <row r="143" spans="1:14" s="12" customFormat="1" ht="39" customHeight="1" thickTop="1">
      <c r="A143" s="2398" t="s">
        <v>302</v>
      </c>
      <c r="B143" s="2399"/>
      <c r="C143" s="2399"/>
      <c r="D143" s="2399"/>
      <c r="E143" s="2399"/>
      <c r="F143" s="2399"/>
      <c r="G143" s="2399"/>
      <c r="H143" s="2399"/>
      <c r="I143" s="2399"/>
      <c r="J143" s="2400"/>
      <c r="K143" s="26"/>
      <c r="L143" s="26"/>
    </row>
    <row r="144" spans="1:14" s="12" customFormat="1" ht="31.5" customHeight="1">
      <c r="A144" s="2401" t="s">
        <v>303</v>
      </c>
      <c r="B144" s="2402"/>
      <c r="C144" s="2396" t="s">
        <v>304</v>
      </c>
      <c r="D144" s="2397"/>
      <c r="E144" s="2397"/>
      <c r="F144" s="2394" t="s">
        <v>305</v>
      </c>
      <c r="G144" s="2394"/>
      <c r="H144" s="2394"/>
      <c r="I144" s="2394"/>
      <c r="J144" s="2395"/>
      <c r="K144" s="126"/>
      <c r="M144" s="126"/>
      <c r="N144" s="126"/>
    </row>
    <row r="145" spans="1:14" s="12" customFormat="1" ht="60" customHeight="1">
      <c r="A145" s="2401"/>
      <c r="B145" s="2402"/>
      <c r="C145" s="172" t="s">
        <v>306</v>
      </c>
      <c r="D145" s="172" t="s">
        <v>307</v>
      </c>
      <c r="E145" s="173" t="s">
        <v>308</v>
      </c>
      <c r="F145" s="1613" t="s">
        <v>308</v>
      </c>
      <c r="G145" s="1614" t="s">
        <v>95</v>
      </c>
      <c r="H145" s="1614" t="s">
        <v>309</v>
      </c>
      <c r="I145" s="1614" t="s">
        <v>310</v>
      </c>
      <c r="J145" s="33"/>
      <c r="K145" s="127"/>
      <c r="M145" s="127"/>
      <c r="N145" s="127"/>
    </row>
    <row r="146" spans="1:14" s="12" customFormat="1" ht="21.95" customHeight="1">
      <c r="A146" s="2468" t="s">
        <v>311</v>
      </c>
      <c r="B146" s="2474"/>
      <c r="C146" s="174" t="s">
        <v>312</v>
      </c>
      <c r="D146" s="174" t="s">
        <v>313</v>
      </c>
      <c r="E146" s="175" t="s">
        <v>314</v>
      </c>
      <c r="F146" s="1615" t="s">
        <v>315</v>
      </c>
      <c r="G146" s="1616" t="s">
        <v>316</v>
      </c>
      <c r="H146" s="1616" t="s">
        <v>317</v>
      </c>
      <c r="I146" s="1616" t="s">
        <v>318</v>
      </c>
      <c r="J146" s="129"/>
      <c r="K146" s="130"/>
      <c r="M146" s="131"/>
      <c r="N146" s="130"/>
    </row>
    <row r="147" spans="1:14" s="12" customFormat="1" ht="21.95" customHeight="1">
      <c r="A147" s="132">
        <v>2028</v>
      </c>
      <c r="B147" s="176">
        <v>1</v>
      </c>
      <c r="C147" s="133">
        <v>1</v>
      </c>
      <c r="D147" s="133">
        <v>0.4</v>
      </c>
      <c r="E147" s="177">
        <v>1</v>
      </c>
      <c r="F147" s="1617">
        <v>1</v>
      </c>
      <c r="G147" s="133">
        <v>0.3</v>
      </c>
      <c r="H147" s="134">
        <v>0</v>
      </c>
      <c r="I147" s="133">
        <v>0</v>
      </c>
      <c r="J147" s="178"/>
      <c r="K147" s="130"/>
      <c r="M147" s="135"/>
      <c r="N147" s="130"/>
    </row>
    <row r="148" spans="1:14" s="12" customFormat="1" ht="21.95" customHeight="1">
      <c r="A148" s="132">
        <f>A147+1</f>
        <v>2029</v>
      </c>
      <c r="B148" s="176">
        <v>2</v>
      </c>
      <c r="C148" s="133">
        <v>0</v>
      </c>
      <c r="D148" s="133">
        <v>0.4</v>
      </c>
      <c r="E148" s="177">
        <v>0</v>
      </c>
      <c r="F148" s="1617">
        <v>0</v>
      </c>
      <c r="G148" s="133">
        <v>0.4</v>
      </c>
      <c r="H148" s="1618">
        <v>0</v>
      </c>
      <c r="I148" s="133">
        <v>0</v>
      </c>
      <c r="J148" s="178"/>
      <c r="K148" s="135"/>
      <c r="M148" s="135"/>
      <c r="N148" s="130"/>
    </row>
    <row r="149" spans="1:14" s="12" customFormat="1" ht="21.95" customHeight="1">
      <c r="A149" s="132">
        <f t="shared" ref="A149:A196" si="0">A148+1</f>
        <v>2030</v>
      </c>
      <c r="B149" s="176">
        <v>3</v>
      </c>
      <c r="C149" s="133">
        <v>0</v>
      </c>
      <c r="D149" s="133">
        <v>0.2</v>
      </c>
      <c r="E149" s="177">
        <v>0</v>
      </c>
      <c r="F149" s="1617">
        <v>0</v>
      </c>
      <c r="G149" s="133">
        <v>0.3</v>
      </c>
      <c r="H149" s="1618">
        <v>0</v>
      </c>
      <c r="I149" s="133">
        <v>0</v>
      </c>
      <c r="J149" s="178"/>
      <c r="M149" s="135"/>
      <c r="N149" s="130"/>
    </row>
    <row r="150" spans="1:14" s="12" customFormat="1" ht="21.95" customHeight="1">
      <c r="A150" s="132">
        <f t="shared" si="0"/>
        <v>2031</v>
      </c>
      <c r="B150" s="176">
        <v>4</v>
      </c>
      <c r="C150" s="133">
        <v>0</v>
      </c>
      <c r="D150" s="133">
        <v>0</v>
      </c>
      <c r="E150" s="177">
        <v>0</v>
      </c>
      <c r="F150" s="1617">
        <v>0</v>
      </c>
      <c r="G150" s="133">
        <v>0</v>
      </c>
      <c r="H150" s="1618">
        <v>0.5</v>
      </c>
      <c r="I150" s="133">
        <f>+H150</f>
        <v>0.5</v>
      </c>
      <c r="J150" s="178"/>
      <c r="M150" s="135"/>
      <c r="N150" s="130"/>
    </row>
    <row r="151" spans="1:14" s="12" customFormat="1" ht="21.95" customHeight="1">
      <c r="A151" s="132">
        <f t="shared" si="0"/>
        <v>2032</v>
      </c>
      <c r="B151" s="176">
        <v>5</v>
      </c>
      <c r="C151" s="133">
        <v>0</v>
      </c>
      <c r="D151" s="133">
        <v>0</v>
      </c>
      <c r="E151" s="177">
        <v>0</v>
      </c>
      <c r="F151" s="1617">
        <v>0</v>
      </c>
      <c r="G151" s="133">
        <v>0</v>
      </c>
      <c r="H151" s="1618">
        <v>0.6</v>
      </c>
      <c r="I151" s="133">
        <f t="shared" ref="I151:I196" si="1">+H151</f>
        <v>0.6</v>
      </c>
      <c r="J151" s="178"/>
      <c r="M151" s="135"/>
      <c r="N151" s="130"/>
    </row>
    <row r="152" spans="1:14" s="12" customFormat="1" ht="21.95" customHeight="1">
      <c r="A152" s="132">
        <f t="shared" si="0"/>
        <v>2033</v>
      </c>
      <c r="B152" s="176">
        <v>6</v>
      </c>
      <c r="C152" s="133">
        <v>0</v>
      </c>
      <c r="D152" s="133">
        <v>0</v>
      </c>
      <c r="E152" s="177">
        <v>0</v>
      </c>
      <c r="F152" s="1617">
        <v>0</v>
      </c>
      <c r="G152" s="133">
        <v>0</v>
      </c>
      <c r="H152" s="1618">
        <v>0.7</v>
      </c>
      <c r="I152" s="133">
        <f t="shared" si="1"/>
        <v>0.7</v>
      </c>
      <c r="J152" s="178"/>
      <c r="M152" s="135"/>
      <c r="N152" s="130"/>
    </row>
    <row r="153" spans="1:14" s="12" customFormat="1" ht="21.95" customHeight="1">
      <c r="A153" s="132">
        <f t="shared" si="0"/>
        <v>2034</v>
      </c>
      <c r="B153" s="176">
        <v>7</v>
      </c>
      <c r="C153" s="133">
        <v>0</v>
      </c>
      <c r="D153" s="133">
        <v>0</v>
      </c>
      <c r="E153" s="177">
        <v>0</v>
      </c>
      <c r="F153" s="1617">
        <v>0</v>
      </c>
      <c r="G153" s="133">
        <v>0</v>
      </c>
      <c r="H153" s="1618">
        <v>0.8</v>
      </c>
      <c r="I153" s="133">
        <f t="shared" si="1"/>
        <v>0.8</v>
      </c>
      <c r="J153" s="178"/>
      <c r="M153" s="135"/>
      <c r="N153" s="130"/>
    </row>
    <row r="154" spans="1:14" s="12" customFormat="1" ht="21.95" customHeight="1">
      <c r="A154" s="132">
        <f t="shared" si="0"/>
        <v>2035</v>
      </c>
      <c r="B154" s="176">
        <v>8</v>
      </c>
      <c r="C154" s="133">
        <v>0</v>
      </c>
      <c r="D154" s="133">
        <v>0</v>
      </c>
      <c r="E154" s="177">
        <v>0</v>
      </c>
      <c r="F154" s="1617">
        <v>0</v>
      </c>
      <c r="G154" s="133">
        <v>0</v>
      </c>
      <c r="H154" s="1618">
        <v>0.9</v>
      </c>
      <c r="I154" s="133">
        <f t="shared" si="1"/>
        <v>0.9</v>
      </c>
      <c r="J154" s="178"/>
      <c r="M154" s="135"/>
      <c r="N154" s="130"/>
    </row>
    <row r="155" spans="1:14" s="12" customFormat="1" ht="21.95" customHeight="1">
      <c r="A155" s="132">
        <f t="shared" si="0"/>
        <v>2036</v>
      </c>
      <c r="B155" s="176">
        <v>9</v>
      </c>
      <c r="C155" s="133">
        <v>0</v>
      </c>
      <c r="D155" s="133">
        <v>0</v>
      </c>
      <c r="E155" s="177">
        <v>0</v>
      </c>
      <c r="F155" s="1617">
        <v>0</v>
      </c>
      <c r="G155" s="133">
        <v>0</v>
      </c>
      <c r="H155" s="1618">
        <f>+H154</f>
        <v>0.9</v>
      </c>
      <c r="I155" s="133">
        <f t="shared" si="1"/>
        <v>0.9</v>
      </c>
      <c r="J155" s="178"/>
      <c r="M155" s="135"/>
      <c r="N155" s="130"/>
    </row>
    <row r="156" spans="1:14" s="12" customFormat="1" ht="21.95" customHeight="1">
      <c r="A156" s="132">
        <f t="shared" si="0"/>
        <v>2037</v>
      </c>
      <c r="B156" s="176">
        <v>10</v>
      </c>
      <c r="C156" s="133">
        <v>0</v>
      </c>
      <c r="D156" s="133">
        <v>0</v>
      </c>
      <c r="E156" s="177">
        <v>0</v>
      </c>
      <c r="F156" s="1617">
        <v>0</v>
      </c>
      <c r="G156" s="133">
        <v>0</v>
      </c>
      <c r="H156" s="1618">
        <f t="shared" ref="H156:H196" si="2">+H155</f>
        <v>0.9</v>
      </c>
      <c r="I156" s="133">
        <f t="shared" si="1"/>
        <v>0.9</v>
      </c>
      <c r="J156" s="178"/>
      <c r="M156" s="135"/>
      <c r="N156" s="130"/>
    </row>
    <row r="157" spans="1:14" s="12" customFormat="1" ht="21.95" customHeight="1">
      <c r="A157" s="132">
        <f t="shared" si="0"/>
        <v>2038</v>
      </c>
      <c r="B157" s="176">
        <v>11</v>
      </c>
      <c r="C157" s="133">
        <v>0</v>
      </c>
      <c r="D157" s="133">
        <v>0</v>
      </c>
      <c r="E157" s="177">
        <v>0</v>
      </c>
      <c r="F157" s="1617">
        <v>0</v>
      </c>
      <c r="G157" s="133">
        <v>0</v>
      </c>
      <c r="H157" s="1618">
        <f t="shared" si="2"/>
        <v>0.9</v>
      </c>
      <c r="I157" s="133">
        <f t="shared" si="1"/>
        <v>0.9</v>
      </c>
      <c r="J157" s="178"/>
      <c r="M157" s="135"/>
      <c r="N157" s="130"/>
    </row>
    <row r="158" spans="1:14" s="12" customFormat="1" ht="21.95" customHeight="1">
      <c r="A158" s="132">
        <f t="shared" si="0"/>
        <v>2039</v>
      </c>
      <c r="B158" s="176">
        <v>12</v>
      </c>
      <c r="C158" s="133">
        <v>0</v>
      </c>
      <c r="D158" s="133">
        <v>0</v>
      </c>
      <c r="E158" s="177">
        <v>0</v>
      </c>
      <c r="F158" s="1617">
        <v>0</v>
      </c>
      <c r="G158" s="133">
        <v>0</v>
      </c>
      <c r="H158" s="1618">
        <f t="shared" si="2"/>
        <v>0.9</v>
      </c>
      <c r="I158" s="133">
        <f t="shared" si="1"/>
        <v>0.9</v>
      </c>
      <c r="J158" s="178"/>
      <c r="M158" s="135"/>
      <c r="N158" s="130"/>
    </row>
    <row r="159" spans="1:14" s="12" customFormat="1" ht="21.95" customHeight="1">
      <c r="A159" s="132">
        <f t="shared" si="0"/>
        <v>2040</v>
      </c>
      <c r="B159" s="176">
        <v>13</v>
      </c>
      <c r="C159" s="133">
        <v>0</v>
      </c>
      <c r="D159" s="133">
        <v>0</v>
      </c>
      <c r="E159" s="177">
        <v>0</v>
      </c>
      <c r="F159" s="1617">
        <v>0</v>
      </c>
      <c r="G159" s="133">
        <v>0</v>
      </c>
      <c r="H159" s="1618">
        <f t="shared" si="2"/>
        <v>0.9</v>
      </c>
      <c r="I159" s="133">
        <f t="shared" si="1"/>
        <v>0.9</v>
      </c>
      <c r="J159" s="178"/>
      <c r="M159" s="135"/>
      <c r="N159" s="130"/>
    </row>
    <row r="160" spans="1:14" s="12" customFormat="1" ht="21.95" customHeight="1">
      <c r="A160" s="132">
        <f t="shared" si="0"/>
        <v>2041</v>
      </c>
      <c r="B160" s="176">
        <v>14</v>
      </c>
      <c r="C160" s="133">
        <v>0</v>
      </c>
      <c r="D160" s="133">
        <v>0</v>
      </c>
      <c r="E160" s="177">
        <v>0</v>
      </c>
      <c r="F160" s="1617">
        <v>0</v>
      </c>
      <c r="G160" s="133">
        <v>0</v>
      </c>
      <c r="H160" s="1618">
        <f t="shared" si="2"/>
        <v>0.9</v>
      </c>
      <c r="I160" s="133">
        <f t="shared" si="1"/>
        <v>0.9</v>
      </c>
      <c r="J160" s="178"/>
      <c r="M160" s="135"/>
      <c r="N160" s="130"/>
    </row>
    <row r="161" spans="1:14" s="12" customFormat="1" ht="21.95" customHeight="1">
      <c r="A161" s="132">
        <f t="shared" si="0"/>
        <v>2042</v>
      </c>
      <c r="B161" s="176">
        <v>15</v>
      </c>
      <c r="C161" s="133">
        <v>0</v>
      </c>
      <c r="D161" s="133">
        <v>0</v>
      </c>
      <c r="E161" s="177">
        <v>0</v>
      </c>
      <c r="F161" s="1617">
        <v>0</v>
      </c>
      <c r="G161" s="133">
        <v>0</v>
      </c>
      <c r="H161" s="1618">
        <f t="shared" si="2"/>
        <v>0.9</v>
      </c>
      <c r="I161" s="133">
        <f t="shared" si="1"/>
        <v>0.9</v>
      </c>
      <c r="J161" s="178"/>
      <c r="M161" s="135"/>
      <c r="N161" s="130"/>
    </row>
    <row r="162" spans="1:14" s="12" customFormat="1" ht="21.95" customHeight="1">
      <c r="A162" s="132">
        <f t="shared" si="0"/>
        <v>2043</v>
      </c>
      <c r="B162" s="176">
        <v>16</v>
      </c>
      <c r="C162" s="133">
        <v>0</v>
      </c>
      <c r="D162" s="133">
        <v>0</v>
      </c>
      <c r="E162" s="177">
        <v>0</v>
      </c>
      <c r="F162" s="1617">
        <v>0</v>
      </c>
      <c r="G162" s="133">
        <v>0</v>
      </c>
      <c r="H162" s="1618">
        <f t="shared" si="2"/>
        <v>0.9</v>
      </c>
      <c r="I162" s="133">
        <f t="shared" si="1"/>
        <v>0.9</v>
      </c>
      <c r="J162" s="178"/>
      <c r="M162" s="135"/>
      <c r="N162" s="130"/>
    </row>
    <row r="163" spans="1:14" s="12" customFormat="1" ht="21.95" customHeight="1">
      <c r="A163" s="132">
        <f t="shared" si="0"/>
        <v>2044</v>
      </c>
      <c r="B163" s="176">
        <v>17</v>
      </c>
      <c r="C163" s="133">
        <v>0</v>
      </c>
      <c r="D163" s="133">
        <v>0</v>
      </c>
      <c r="E163" s="177">
        <v>0</v>
      </c>
      <c r="F163" s="1617">
        <v>0</v>
      </c>
      <c r="G163" s="133">
        <v>0</v>
      </c>
      <c r="H163" s="1618">
        <f t="shared" si="2"/>
        <v>0.9</v>
      </c>
      <c r="I163" s="133">
        <f t="shared" si="1"/>
        <v>0.9</v>
      </c>
      <c r="J163" s="178"/>
      <c r="M163" s="135"/>
      <c r="N163" s="130"/>
    </row>
    <row r="164" spans="1:14" s="12" customFormat="1" ht="21.95" customHeight="1">
      <c r="A164" s="132">
        <f t="shared" si="0"/>
        <v>2045</v>
      </c>
      <c r="B164" s="176">
        <v>18</v>
      </c>
      <c r="C164" s="133">
        <v>0</v>
      </c>
      <c r="D164" s="133">
        <v>0</v>
      </c>
      <c r="E164" s="177">
        <v>0</v>
      </c>
      <c r="F164" s="1617">
        <v>0</v>
      </c>
      <c r="G164" s="133">
        <v>0</v>
      </c>
      <c r="H164" s="1618">
        <f t="shared" si="2"/>
        <v>0.9</v>
      </c>
      <c r="I164" s="133">
        <f t="shared" si="1"/>
        <v>0.9</v>
      </c>
      <c r="J164" s="178"/>
      <c r="M164" s="135"/>
      <c r="N164" s="130"/>
    </row>
    <row r="165" spans="1:14" s="12" customFormat="1" ht="21.95" customHeight="1">
      <c r="A165" s="132">
        <f t="shared" si="0"/>
        <v>2046</v>
      </c>
      <c r="B165" s="176">
        <v>19</v>
      </c>
      <c r="C165" s="133">
        <v>0</v>
      </c>
      <c r="D165" s="133">
        <v>0</v>
      </c>
      <c r="E165" s="177">
        <v>0</v>
      </c>
      <c r="F165" s="1617">
        <v>0</v>
      </c>
      <c r="G165" s="133">
        <v>0</v>
      </c>
      <c r="H165" s="1618">
        <f t="shared" si="2"/>
        <v>0.9</v>
      </c>
      <c r="I165" s="133">
        <f t="shared" si="1"/>
        <v>0.9</v>
      </c>
      <c r="J165" s="178"/>
      <c r="M165" s="135"/>
      <c r="N165" s="130"/>
    </row>
    <row r="166" spans="1:14" s="12" customFormat="1" ht="21.95" customHeight="1">
      <c r="A166" s="132">
        <f t="shared" si="0"/>
        <v>2047</v>
      </c>
      <c r="B166" s="176">
        <v>20</v>
      </c>
      <c r="C166" s="133">
        <v>0</v>
      </c>
      <c r="D166" s="133">
        <v>0</v>
      </c>
      <c r="E166" s="177">
        <v>0</v>
      </c>
      <c r="F166" s="1617">
        <v>0</v>
      </c>
      <c r="G166" s="133">
        <v>0</v>
      </c>
      <c r="H166" s="1618">
        <f t="shared" si="2"/>
        <v>0.9</v>
      </c>
      <c r="I166" s="133">
        <f t="shared" si="1"/>
        <v>0.9</v>
      </c>
      <c r="J166" s="178"/>
      <c r="M166" s="135"/>
      <c r="N166" s="130"/>
    </row>
    <row r="167" spans="1:14" s="12" customFormat="1" ht="21.95" customHeight="1">
      <c r="A167" s="132">
        <f t="shared" si="0"/>
        <v>2048</v>
      </c>
      <c r="B167" s="176">
        <v>21</v>
      </c>
      <c r="C167" s="133">
        <v>0</v>
      </c>
      <c r="D167" s="133">
        <v>0</v>
      </c>
      <c r="E167" s="177">
        <v>0</v>
      </c>
      <c r="F167" s="1617">
        <v>0</v>
      </c>
      <c r="G167" s="133">
        <v>0</v>
      </c>
      <c r="H167" s="1618">
        <f t="shared" si="2"/>
        <v>0.9</v>
      </c>
      <c r="I167" s="133">
        <f t="shared" si="1"/>
        <v>0.9</v>
      </c>
      <c r="J167" s="178"/>
      <c r="M167" s="135"/>
      <c r="N167" s="130"/>
    </row>
    <row r="168" spans="1:14" s="12" customFormat="1" ht="21.95" customHeight="1">
      <c r="A168" s="132">
        <f t="shared" si="0"/>
        <v>2049</v>
      </c>
      <c r="B168" s="176">
        <v>22</v>
      </c>
      <c r="C168" s="133">
        <v>0</v>
      </c>
      <c r="D168" s="133">
        <v>0</v>
      </c>
      <c r="E168" s="177">
        <v>0</v>
      </c>
      <c r="F168" s="1617">
        <v>0</v>
      </c>
      <c r="G168" s="133">
        <v>0</v>
      </c>
      <c r="H168" s="1618">
        <f t="shared" si="2"/>
        <v>0.9</v>
      </c>
      <c r="I168" s="133">
        <f t="shared" si="1"/>
        <v>0.9</v>
      </c>
      <c r="J168" s="178"/>
      <c r="M168" s="135"/>
      <c r="N168" s="130"/>
    </row>
    <row r="169" spans="1:14" s="12" customFormat="1" ht="21.95" customHeight="1">
      <c r="A169" s="132">
        <f t="shared" si="0"/>
        <v>2050</v>
      </c>
      <c r="B169" s="176">
        <v>23</v>
      </c>
      <c r="C169" s="133">
        <v>0</v>
      </c>
      <c r="D169" s="133">
        <v>0</v>
      </c>
      <c r="E169" s="177">
        <v>0</v>
      </c>
      <c r="F169" s="1617">
        <v>0</v>
      </c>
      <c r="G169" s="133">
        <v>0</v>
      </c>
      <c r="H169" s="1618">
        <f t="shared" si="2"/>
        <v>0.9</v>
      </c>
      <c r="I169" s="133">
        <f t="shared" si="1"/>
        <v>0.9</v>
      </c>
      <c r="J169" s="178"/>
      <c r="M169" s="135"/>
      <c r="N169" s="130"/>
    </row>
    <row r="170" spans="1:14" s="12" customFormat="1" ht="21.95" customHeight="1">
      <c r="A170" s="132">
        <f t="shared" si="0"/>
        <v>2051</v>
      </c>
      <c r="B170" s="176">
        <v>24</v>
      </c>
      <c r="C170" s="133">
        <v>0</v>
      </c>
      <c r="D170" s="133">
        <v>0</v>
      </c>
      <c r="E170" s="177">
        <v>0</v>
      </c>
      <c r="F170" s="1617">
        <v>0</v>
      </c>
      <c r="G170" s="133">
        <v>0</v>
      </c>
      <c r="H170" s="1618">
        <f t="shared" si="2"/>
        <v>0.9</v>
      </c>
      <c r="I170" s="133">
        <f t="shared" si="1"/>
        <v>0.9</v>
      </c>
      <c r="J170" s="178"/>
      <c r="M170" s="135"/>
      <c r="N170" s="130"/>
    </row>
    <row r="171" spans="1:14" s="12" customFormat="1" ht="21.95" customHeight="1">
      <c r="A171" s="132">
        <f t="shared" si="0"/>
        <v>2052</v>
      </c>
      <c r="B171" s="176">
        <v>25</v>
      </c>
      <c r="C171" s="133">
        <v>0</v>
      </c>
      <c r="D171" s="133">
        <v>0</v>
      </c>
      <c r="E171" s="177">
        <v>0</v>
      </c>
      <c r="F171" s="1617">
        <v>0</v>
      </c>
      <c r="G171" s="133">
        <v>0</v>
      </c>
      <c r="H171" s="1618">
        <f t="shared" si="2"/>
        <v>0.9</v>
      </c>
      <c r="I171" s="133">
        <f t="shared" si="1"/>
        <v>0.9</v>
      </c>
      <c r="J171" s="178"/>
      <c r="M171" s="135"/>
      <c r="N171" s="130"/>
    </row>
    <row r="172" spans="1:14" s="12" customFormat="1" ht="21.95" customHeight="1">
      <c r="A172" s="132">
        <f t="shared" si="0"/>
        <v>2053</v>
      </c>
      <c r="B172" s="176">
        <v>26</v>
      </c>
      <c r="C172" s="133">
        <v>0</v>
      </c>
      <c r="D172" s="133">
        <v>0</v>
      </c>
      <c r="E172" s="177">
        <v>0</v>
      </c>
      <c r="F172" s="1617">
        <v>0</v>
      </c>
      <c r="G172" s="133">
        <v>0</v>
      </c>
      <c r="H172" s="1618">
        <f t="shared" si="2"/>
        <v>0.9</v>
      </c>
      <c r="I172" s="133">
        <f t="shared" si="1"/>
        <v>0.9</v>
      </c>
      <c r="J172" s="178"/>
      <c r="M172" s="135"/>
      <c r="N172" s="130"/>
    </row>
    <row r="173" spans="1:14" s="12" customFormat="1" ht="21.95" customHeight="1">
      <c r="A173" s="132">
        <f t="shared" si="0"/>
        <v>2054</v>
      </c>
      <c r="B173" s="176">
        <v>27</v>
      </c>
      <c r="C173" s="133">
        <v>0</v>
      </c>
      <c r="D173" s="133">
        <v>0</v>
      </c>
      <c r="E173" s="177">
        <v>0</v>
      </c>
      <c r="F173" s="1617">
        <v>0</v>
      </c>
      <c r="G173" s="133">
        <v>0</v>
      </c>
      <c r="H173" s="1618">
        <f t="shared" si="2"/>
        <v>0.9</v>
      </c>
      <c r="I173" s="133">
        <f t="shared" si="1"/>
        <v>0.9</v>
      </c>
      <c r="J173" s="178"/>
      <c r="M173" s="135"/>
      <c r="N173" s="130"/>
    </row>
    <row r="174" spans="1:14" s="12" customFormat="1" ht="21.95" customHeight="1">
      <c r="A174" s="132">
        <f t="shared" si="0"/>
        <v>2055</v>
      </c>
      <c r="B174" s="176">
        <v>28</v>
      </c>
      <c r="C174" s="133">
        <v>0</v>
      </c>
      <c r="D174" s="133">
        <v>0</v>
      </c>
      <c r="E174" s="177">
        <v>0</v>
      </c>
      <c r="F174" s="1617">
        <v>0</v>
      </c>
      <c r="G174" s="133">
        <v>0</v>
      </c>
      <c r="H174" s="1618">
        <f t="shared" si="2"/>
        <v>0.9</v>
      </c>
      <c r="I174" s="133">
        <f t="shared" si="1"/>
        <v>0.9</v>
      </c>
      <c r="J174" s="178"/>
      <c r="M174" s="135"/>
      <c r="N174" s="130"/>
    </row>
    <row r="175" spans="1:14" s="12" customFormat="1" ht="21.95" customHeight="1">
      <c r="A175" s="132">
        <f t="shared" si="0"/>
        <v>2056</v>
      </c>
      <c r="B175" s="176">
        <v>29</v>
      </c>
      <c r="C175" s="133">
        <v>0</v>
      </c>
      <c r="D175" s="133">
        <v>0</v>
      </c>
      <c r="E175" s="177">
        <v>0</v>
      </c>
      <c r="F175" s="1617">
        <v>0</v>
      </c>
      <c r="G175" s="133">
        <v>0</v>
      </c>
      <c r="H175" s="1618">
        <f t="shared" si="2"/>
        <v>0.9</v>
      </c>
      <c r="I175" s="133">
        <f t="shared" si="1"/>
        <v>0.9</v>
      </c>
      <c r="J175" s="178"/>
      <c r="M175" s="135"/>
      <c r="N175" s="130"/>
    </row>
    <row r="176" spans="1:14" s="12" customFormat="1" ht="21.95" customHeight="1">
      <c r="A176" s="132">
        <f t="shared" si="0"/>
        <v>2057</v>
      </c>
      <c r="B176" s="176">
        <v>30</v>
      </c>
      <c r="C176" s="133">
        <v>0</v>
      </c>
      <c r="D176" s="133">
        <v>0</v>
      </c>
      <c r="E176" s="177">
        <v>0</v>
      </c>
      <c r="F176" s="1617">
        <v>0</v>
      </c>
      <c r="G176" s="133">
        <v>0</v>
      </c>
      <c r="H176" s="1618">
        <f t="shared" si="2"/>
        <v>0.9</v>
      </c>
      <c r="I176" s="133">
        <f t="shared" si="1"/>
        <v>0.9</v>
      </c>
      <c r="J176" s="178"/>
      <c r="M176" s="135"/>
      <c r="N176" s="130"/>
    </row>
    <row r="177" spans="1:14" s="12" customFormat="1" ht="21.95" customHeight="1">
      <c r="A177" s="132">
        <f t="shared" si="0"/>
        <v>2058</v>
      </c>
      <c r="B177" s="176">
        <v>31</v>
      </c>
      <c r="C177" s="133">
        <v>0</v>
      </c>
      <c r="D177" s="133">
        <v>0</v>
      </c>
      <c r="E177" s="177">
        <v>0</v>
      </c>
      <c r="F177" s="1617">
        <v>0</v>
      </c>
      <c r="G177" s="133">
        <v>0</v>
      </c>
      <c r="H177" s="1618">
        <f t="shared" si="2"/>
        <v>0.9</v>
      </c>
      <c r="I177" s="133">
        <f t="shared" si="1"/>
        <v>0.9</v>
      </c>
      <c r="J177" s="178"/>
      <c r="M177" s="135"/>
      <c r="N177" s="130"/>
    </row>
    <row r="178" spans="1:14" s="12" customFormat="1" ht="21.95" customHeight="1">
      <c r="A178" s="132">
        <f t="shared" si="0"/>
        <v>2059</v>
      </c>
      <c r="B178" s="176">
        <v>32</v>
      </c>
      <c r="C178" s="133">
        <v>0</v>
      </c>
      <c r="D178" s="133">
        <v>0</v>
      </c>
      <c r="E178" s="177">
        <v>0</v>
      </c>
      <c r="F178" s="1617">
        <v>0</v>
      </c>
      <c r="G178" s="133">
        <v>0</v>
      </c>
      <c r="H178" s="1618">
        <f t="shared" si="2"/>
        <v>0.9</v>
      </c>
      <c r="I178" s="133">
        <f t="shared" si="1"/>
        <v>0.9</v>
      </c>
      <c r="J178" s="178"/>
      <c r="M178" s="135"/>
      <c r="N178" s="130"/>
    </row>
    <row r="179" spans="1:14" s="12" customFormat="1" ht="21.95" customHeight="1">
      <c r="A179" s="132">
        <f t="shared" si="0"/>
        <v>2060</v>
      </c>
      <c r="B179" s="176">
        <v>33</v>
      </c>
      <c r="C179" s="133">
        <v>0</v>
      </c>
      <c r="D179" s="133">
        <v>0</v>
      </c>
      <c r="E179" s="177">
        <v>0</v>
      </c>
      <c r="F179" s="1617">
        <v>0</v>
      </c>
      <c r="G179" s="133">
        <v>0</v>
      </c>
      <c r="H179" s="1618">
        <f t="shared" si="2"/>
        <v>0.9</v>
      </c>
      <c r="I179" s="133">
        <f t="shared" si="1"/>
        <v>0.9</v>
      </c>
      <c r="J179" s="178"/>
      <c r="M179" s="135"/>
      <c r="N179" s="130"/>
    </row>
    <row r="180" spans="1:14" s="12" customFormat="1" ht="21.95" customHeight="1">
      <c r="A180" s="132">
        <f t="shared" si="0"/>
        <v>2061</v>
      </c>
      <c r="B180" s="176">
        <v>34</v>
      </c>
      <c r="C180" s="133">
        <v>0</v>
      </c>
      <c r="D180" s="133">
        <v>0</v>
      </c>
      <c r="E180" s="177">
        <v>0</v>
      </c>
      <c r="F180" s="1617">
        <v>0</v>
      </c>
      <c r="G180" s="133">
        <v>0</v>
      </c>
      <c r="H180" s="1618">
        <f t="shared" si="2"/>
        <v>0.9</v>
      </c>
      <c r="I180" s="133">
        <f t="shared" si="1"/>
        <v>0.9</v>
      </c>
      <c r="J180" s="178"/>
      <c r="M180" s="135"/>
      <c r="N180" s="130"/>
    </row>
    <row r="181" spans="1:14" s="12" customFormat="1" ht="21.95" customHeight="1">
      <c r="A181" s="132">
        <f t="shared" si="0"/>
        <v>2062</v>
      </c>
      <c r="B181" s="176">
        <v>35</v>
      </c>
      <c r="C181" s="133">
        <v>0</v>
      </c>
      <c r="D181" s="133">
        <v>0</v>
      </c>
      <c r="E181" s="177">
        <v>0</v>
      </c>
      <c r="F181" s="1617">
        <v>0</v>
      </c>
      <c r="G181" s="133">
        <v>0</v>
      </c>
      <c r="H181" s="1618">
        <f t="shared" si="2"/>
        <v>0.9</v>
      </c>
      <c r="I181" s="133">
        <f t="shared" si="1"/>
        <v>0.9</v>
      </c>
      <c r="J181" s="178"/>
      <c r="M181" s="135"/>
      <c r="N181" s="130"/>
    </row>
    <row r="182" spans="1:14" s="12" customFormat="1" ht="21.95" customHeight="1">
      <c r="A182" s="132">
        <f t="shared" si="0"/>
        <v>2063</v>
      </c>
      <c r="B182" s="176">
        <v>36</v>
      </c>
      <c r="C182" s="133">
        <v>0</v>
      </c>
      <c r="D182" s="133">
        <v>0</v>
      </c>
      <c r="E182" s="177">
        <v>0</v>
      </c>
      <c r="F182" s="1617">
        <v>0</v>
      </c>
      <c r="G182" s="133">
        <v>0</v>
      </c>
      <c r="H182" s="1618">
        <f t="shared" si="2"/>
        <v>0.9</v>
      </c>
      <c r="I182" s="133">
        <f t="shared" si="1"/>
        <v>0.9</v>
      </c>
      <c r="J182" s="178"/>
      <c r="M182" s="135"/>
      <c r="N182" s="130"/>
    </row>
    <row r="183" spans="1:14" s="12" customFormat="1" ht="21.95" customHeight="1">
      <c r="A183" s="132">
        <f t="shared" si="0"/>
        <v>2064</v>
      </c>
      <c r="B183" s="176">
        <v>37</v>
      </c>
      <c r="C183" s="133">
        <v>0</v>
      </c>
      <c r="D183" s="133">
        <v>0</v>
      </c>
      <c r="E183" s="177">
        <v>0</v>
      </c>
      <c r="F183" s="1617">
        <v>0</v>
      </c>
      <c r="G183" s="133">
        <v>0</v>
      </c>
      <c r="H183" s="1618">
        <f t="shared" si="2"/>
        <v>0.9</v>
      </c>
      <c r="I183" s="133">
        <f t="shared" si="1"/>
        <v>0.9</v>
      </c>
      <c r="J183" s="178"/>
      <c r="M183" s="135"/>
      <c r="N183" s="130"/>
    </row>
    <row r="184" spans="1:14" s="12" customFormat="1" ht="21.95" customHeight="1">
      <c r="A184" s="132">
        <f t="shared" si="0"/>
        <v>2065</v>
      </c>
      <c r="B184" s="176">
        <v>38</v>
      </c>
      <c r="C184" s="133">
        <v>0</v>
      </c>
      <c r="D184" s="133">
        <v>0</v>
      </c>
      <c r="E184" s="177">
        <v>0</v>
      </c>
      <c r="F184" s="1617">
        <v>0</v>
      </c>
      <c r="G184" s="133">
        <v>0</v>
      </c>
      <c r="H184" s="1618">
        <f t="shared" si="2"/>
        <v>0.9</v>
      </c>
      <c r="I184" s="133">
        <f t="shared" si="1"/>
        <v>0.9</v>
      </c>
      <c r="J184" s="178"/>
      <c r="M184" s="135"/>
      <c r="N184" s="130"/>
    </row>
    <row r="185" spans="1:14" s="12" customFormat="1" ht="21.95" customHeight="1">
      <c r="A185" s="132">
        <f t="shared" si="0"/>
        <v>2066</v>
      </c>
      <c r="B185" s="176">
        <v>39</v>
      </c>
      <c r="C185" s="133">
        <v>0</v>
      </c>
      <c r="D185" s="133">
        <v>0</v>
      </c>
      <c r="E185" s="177">
        <v>0</v>
      </c>
      <c r="F185" s="1617">
        <v>0</v>
      </c>
      <c r="G185" s="133">
        <v>0</v>
      </c>
      <c r="H185" s="1618">
        <f t="shared" si="2"/>
        <v>0.9</v>
      </c>
      <c r="I185" s="133">
        <f t="shared" si="1"/>
        <v>0.9</v>
      </c>
      <c r="J185" s="178"/>
      <c r="M185" s="135"/>
      <c r="N185" s="130"/>
    </row>
    <row r="186" spans="1:14" s="12" customFormat="1" ht="21.95" customHeight="1">
      <c r="A186" s="132">
        <f t="shared" si="0"/>
        <v>2067</v>
      </c>
      <c r="B186" s="176">
        <v>40</v>
      </c>
      <c r="C186" s="133">
        <v>0</v>
      </c>
      <c r="D186" s="133">
        <v>0</v>
      </c>
      <c r="E186" s="177">
        <v>0</v>
      </c>
      <c r="F186" s="1617">
        <v>0</v>
      </c>
      <c r="G186" s="133">
        <v>0</v>
      </c>
      <c r="H186" s="1618">
        <f t="shared" si="2"/>
        <v>0.9</v>
      </c>
      <c r="I186" s="133">
        <f t="shared" si="1"/>
        <v>0.9</v>
      </c>
      <c r="J186" s="178"/>
      <c r="M186" s="135"/>
      <c r="N186" s="130"/>
    </row>
    <row r="187" spans="1:14" s="12" customFormat="1" ht="21.95" customHeight="1">
      <c r="A187" s="132">
        <f t="shared" si="0"/>
        <v>2068</v>
      </c>
      <c r="B187" s="176">
        <v>41</v>
      </c>
      <c r="C187" s="133">
        <v>0</v>
      </c>
      <c r="D187" s="133">
        <v>0</v>
      </c>
      <c r="E187" s="177">
        <v>0</v>
      </c>
      <c r="F187" s="1617">
        <v>0</v>
      </c>
      <c r="G187" s="133">
        <v>0</v>
      </c>
      <c r="H187" s="1618">
        <f t="shared" si="2"/>
        <v>0.9</v>
      </c>
      <c r="I187" s="133">
        <f t="shared" si="1"/>
        <v>0.9</v>
      </c>
      <c r="J187" s="178"/>
      <c r="M187" s="135"/>
      <c r="N187" s="130"/>
    </row>
    <row r="188" spans="1:14" s="12" customFormat="1" ht="21.95" customHeight="1">
      <c r="A188" s="132">
        <f t="shared" si="0"/>
        <v>2069</v>
      </c>
      <c r="B188" s="176">
        <v>42</v>
      </c>
      <c r="C188" s="133">
        <v>0</v>
      </c>
      <c r="D188" s="133">
        <v>0</v>
      </c>
      <c r="E188" s="177">
        <v>0</v>
      </c>
      <c r="F188" s="1617">
        <v>0</v>
      </c>
      <c r="G188" s="133">
        <v>0</v>
      </c>
      <c r="H188" s="1618">
        <f t="shared" si="2"/>
        <v>0.9</v>
      </c>
      <c r="I188" s="133">
        <f t="shared" si="1"/>
        <v>0.9</v>
      </c>
      <c r="J188" s="178"/>
      <c r="M188" s="135"/>
      <c r="N188" s="130"/>
    </row>
    <row r="189" spans="1:14" s="12" customFormat="1" ht="21.95" customHeight="1">
      <c r="A189" s="132">
        <f t="shared" si="0"/>
        <v>2070</v>
      </c>
      <c r="B189" s="176">
        <v>43</v>
      </c>
      <c r="C189" s="133">
        <v>0</v>
      </c>
      <c r="D189" s="133">
        <v>0</v>
      </c>
      <c r="E189" s="177">
        <v>0</v>
      </c>
      <c r="F189" s="1617">
        <v>0</v>
      </c>
      <c r="G189" s="133">
        <v>0</v>
      </c>
      <c r="H189" s="1618">
        <f t="shared" si="2"/>
        <v>0.9</v>
      </c>
      <c r="I189" s="133">
        <f t="shared" si="1"/>
        <v>0.9</v>
      </c>
      <c r="J189" s="178"/>
      <c r="M189" s="135"/>
      <c r="N189" s="130"/>
    </row>
    <row r="190" spans="1:14" s="12" customFormat="1" ht="21.95" customHeight="1">
      <c r="A190" s="132">
        <f t="shared" si="0"/>
        <v>2071</v>
      </c>
      <c r="B190" s="176">
        <v>44</v>
      </c>
      <c r="C190" s="133">
        <v>0</v>
      </c>
      <c r="D190" s="133">
        <v>0</v>
      </c>
      <c r="E190" s="177">
        <v>0</v>
      </c>
      <c r="F190" s="1617">
        <v>0</v>
      </c>
      <c r="G190" s="133">
        <v>0</v>
      </c>
      <c r="H190" s="1618">
        <f t="shared" si="2"/>
        <v>0.9</v>
      </c>
      <c r="I190" s="133">
        <f t="shared" si="1"/>
        <v>0.9</v>
      </c>
      <c r="J190" s="178"/>
      <c r="M190" s="135"/>
      <c r="N190" s="130"/>
    </row>
    <row r="191" spans="1:14" s="12" customFormat="1" ht="21.95" customHeight="1">
      <c r="A191" s="132">
        <f t="shared" si="0"/>
        <v>2072</v>
      </c>
      <c r="B191" s="176">
        <v>45</v>
      </c>
      <c r="C191" s="133">
        <v>0</v>
      </c>
      <c r="D191" s="133">
        <v>0</v>
      </c>
      <c r="E191" s="177">
        <v>0</v>
      </c>
      <c r="F191" s="1617">
        <v>0</v>
      </c>
      <c r="G191" s="133">
        <v>0</v>
      </c>
      <c r="H191" s="1618">
        <f t="shared" si="2"/>
        <v>0.9</v>
      </c>
      <c r="I191" s="133">
        <f t="shared" si="1"/>
        <v>0.9</v>
      </c>
      <c r="J191" s="178"/>
      <c r="M191" s="135"/>
      <c r="N191" s="130"/>
    </row>
    <row r="192" spans="1:14" s="12" customFormat="1" ht="21.95" customHeight="1">
      <c r="A192" s="132">
        <f t="shared" si="0"/>
        <v>2073</v>
      </c>
      <c r="B192" s="176">
        <v>46</v>
      </c>
      <c r="C192" s="133">
        <v>0</v>
      </c>
      <c r="D192" s="133">
        <v>0</v>
      </c>
      <c r="E192" s="177">
        <v>0</v>
      </c>
      <c r="F192" s="1617">
        <v>0</v>
      </c>
      <c r="G192" s="133">
        <v>0</v>
      </c>
      <c r="H192" s="1618">
        <f t="shared" si="2"/>
        <v>0.9</v>
      </c>
      <c r="I192" s="133">
        <f t="shared" si="1"/>
        <v>0.9</v>
      </c>
      <c r="J192" s="178"/>
      <c r="M192" s="135"/>
      <c r="N192" s="130"/>
    </row>
    <row r="193" spans="1:16" s="12" customFormat="1" ht="21.95" customHeight="1">
      <c r="A193" s="132">
        <f t="shared" si="0"/>
        <v>2074</v>
      </c>
      <c r="B193" s="176">
        <v>47</v>
      </c>
      <c r="C193" s="133">
        <v>0</v>
      </c>
      <c r="D193" s="133">
        <v>0</v>
      </c>
      <c r="E193" s="177">
        <v>0</v>
      </c>
      <c r="F193" s="1617">
        <v>0</v>
      </c>
      <c r="G193" s="133">
        <v>0</v>
      </c>
      <c r="H193" s="1618">
        <f t="shared" si="2"/>
        <v>0.9</v>
      </c>
      <c r="I193" s="133">
        <f t="shared" si="1"/>
        <v>0.9</v>
      </c>
      <c r="J193" s="178"/>
      <c r="M193" s="135"/>
      <c r="N193" s="130"/>
    </row>
    <row r="194" spans="1:16" s="12" customFormat="1" ht="21.95" customHeight="1">
      <c r="A194" s="132">
        <f t="shared" si="0"/>
        <v>2075</v>
      </c>
      <c r="B194" s="176">
        <v>48</v>
      </c>
      <c r="C194" s="133">
        <v>0</v>
      </c>
      <c r="D194" s="133">
        <v>0</v>
      </c>
      <c r="E194" s="177">
        <v>0</v>
      </c>
      <c r="F194" s="1617">
        <v>0</v>
      </c>
      <c r="G194" s="133">
        <v>0</v>
      </c>
      <c r="H194" s="1618">
        <f t="shared" si="2"/>
        <v>0.9</v>
      </c>
      <c r="I194" s="133">
        <f t="shared" si="1"/>
        <v>0.9</v>
      </c>
      <c r="J194" s="178"/>
      <c r="M194" s="135"/>
      <c r="N194" s="130"/>
    </row>
    <row r="195" spans="1:16" s="12" customFormat="1" ht="21.95" customHeight="1">
      <c r="A195" s="132">
        <f t="shared" si="0"/>
        <v>2076</v>
      </c>
      <c r="B195" s="176">
        <v>49</v>
      </c>
      <c r="C195" s="133">
        <v>0</v>
      </c>
      <c r="D195" s="133">
        <v>0</v>
      </c>
      <c r="E195" s="177">
        <v>0</v>
      </c>
      <c r="F195" s="1617">
        <v>0</v>
      </c>
      <c r="G195" s="133">
        <v>0</v>
      </c>
      <c r="H195" s="1618">
        <f t="shared" si="2"/>
        <v>0.9</v>
      </c>
      <c r="I195" s="133">
        <f t="shared" si="1"/>
        <v>0.9</v>
      </c>
      <c r="J195" s="178"/>
      <c r="M195" s="135"/>
      <c r="N195" s="130"/>
    </row>
    <row r="196" spans="1:16" s="12" customFormat="1" ht="21.95" customHeight="1" thickBot="1">
      <c r="A196" s="152">
        <f t="shared" si="0"/>
        <v>2077</v>
      </c>
      <c r="B196" s="61">
        <v>50</v>
      </c>
      <c r="C196" s="179">
        <v>0</v>
      </c>
      <c r="D196" s="179">
        <v>0</v>
      </c>
      <c r="E196" s="136">
        <v>0</v>
      </c>
      <c r="F196" s="136">
        <v>0</v>
      </c>
      <c r="G196" s="179">
        <v>0</v>
      </c>
      <c r="H196" s="1619">
        <f t="shared" si="2"/>
        <v>0.9</v>
      </c>
      <c r="I196" s="1619">
        <f t="shared" si="1"/>
        <v>0.9</v>
      </c>
      <c r="J196" s="1620"/>
    </row>
    <row r="197" spans="1:16" s="12" customFormat="1" ht="21.95" customHeight="1" thickTop="1">
      <c r="C197" s="130"/>
      <c r="D197" s="130"/>
      <c r="E197" s="130"/>
      <c r="F197" s="135"/>
      <c r="G197" s="130"/>
    </row>
    <row r="198" spans="1:16" s="12" customFormat="1" ht="21.95" customHeight="1"/>
    <row r="199" spans="1:16" s="12" customFormat="1" ht="36.75" customHeight="1">
      <c r="A199" s="2375" t="s">
        <v>695</v>
      </c>
      <c r="B199" s="2375"/>
      <c r="C199" s="2375"/>
      <c r="D199" s="2375"/>
      <c r="E199" s="2375"/>
      <c r="F199" s="2375"/>
      <c r="G199" s="2375"/>
      <c r="H199" s="2375"/>
      <c r="I199" s="2375"/>
      <c r="J199" s="2375"/>
    </row>
    <row r="200" spans="1:16" s="12" customFormat="1" ht="21.95" customHeight="1"/>
    <row r="201" spans="1:16" s="12" customFormat="1" ht="21.95" customHeight="1" thickBot="1">
      <c r="A201" s="137" t="s">
        <v>319</v>
      </c>
      <c r="J201" s="137" t="s">
        <v>697</v>
      </c>
    </row>
    <row r="202" spans="1:16" s="12" customFormat="1" ht="122.25" customHeight="1" thickTop="1">
      <c r="A202" s="2407" t="s">
        <v>303</v>
      </c>
      <c r="B202" s="2408"/>
      <c r="C202" s="138" t="s">
        <v>400</v>
      </c>
      <c r="D202" s="138" t="s">
        <v>401</v>
      </c>
      <c r="E202" s="138" t="s">
        <v>402</v>
      </c>
      <c r="F202" s="138" t="s">
        <v>403</v>
      </c>
      <c r="G202" s="138" t="s">
        <v>404</v>
      </c>
      <c r="H202" s="139" t="s">
        <v>405</v>
      </c>
      <c r="J202" s="2407" t="s">
        <v>303</v>
      </c>
      <c r="K202" s="2408"/>
      <c r="L202" s="138" t="s">
        <v>406</v>
      </c>
      <c r="M202" s="138" t="s">
        <v>407</v>
      </c>
      <c r="N202" s="138" t="s">
        <v>403</v>
      </c>
      <c r="O202" s="138" t="s">
        <v>404</v>
      </c>
      <c r="P202" s="139" t="s">
        <v>405</v>
      </c>
    </row>
    <row r="203" spans="1:16" s="12" customFormat="1" ht="28.5" customHeight="1">
      <c r="A203" s="2464" t="s">
        <v>311</v>
      </c>
      <c r="B203" s="2465"/>
      <c r="C203" s="140" t="s">
        <v>312</v>
      </c>
      <c r="D203" s="140" t="s">
        <v>313</v>
      </c>
      <c r="E203" s="140" t="s">
        <v>314</v>
      </c>
      <c r="F203" s="141" t="s">
        <v>321</v>
      </c>
      <c r="G203" s="140" t="s">
        <v>316</v>
      </c>
      <c r="H203" s="142" t="s">
        <v>322</v>
      </c>
      <c r="J203" s="2464" t="s">
        <v>311</v>
      </c>
      <c r="K203" s="2465"/>
      <c r="L203" s="140" t="s">
        <v>312</v>
      </c>
      <c r="M203" s="140" t="s">
        <v>313</v>
      </c>
      <c r="N203" s="141" t="s">
        <v>323</v>
      </c>
      <c r="O203" s="140" t="s">
        <v>315</v>
      </c>
      <c r="P203" s="142" t="s">
        <v>324</v>
      </c>
    </row>
    <row r="204" spans="1:16" s="12" customFormat="1" ht="21.95" customHeight="1">
      <c r="A204" s="132">
        <f t="shared" ref="A204:A235" si="3">A147</f>
        <v>2028</v>
      </c>
      <c r="B204" s="31">
        <v>1</v>
      </c>
      <c r="C204" s="84">
        <f t="shared" ref="C204:C235" si="4">(($F$112*$F$113+$F$118*$F$119)*G147)/1.1</f>
        <v>1018692526581.8181</v>
      </c>
      <c r="D204" s="84">
        <f t="shared" ref="D204:D235" si="5">($F$124*$F$125*$F$96*12*H147)/1.1</f>
        <v>0</v>
      </c>
      <c r="E204" s="36">
        <f t="shared" ref="E204:E235" si="6">(($F$132*$F$133+$F$136*$F$137+$F$138*$F$139)*12*I147)/1.1</f>
        <v>0</v>
      </c>
      <c r="F204" s="143">
        <f>C204+D204+E204</f>
        <v>1018692526581.8181</v>
      </c>
      <c r="G204" s="144">
        <f t="shared" ref="G204:G235" si="7">1/(1+$F$95)^B204</f>
        <v>0.89285714285714279</v>
      </c>
      <c r="H204" s="145">
        <f>F204*G204</f>
        <v>909546898733.76611</v>
      </c>
      <c r="J204" s="132">
        <v>2016</v>
      </c>
      <c r="K204" s="31">
        <v>1</v>
      </c>
      <c r="L204" s="84">
        <f>$F$102*$F$103*F147/1.1</f>
        <v>418256999999.99994</v>
      </c>
      <c r="M204" s="36">
        <f t="shared" ref="M204:M235" si="8">$F$106*$F$107*F147/1.1</f>
        <v>0</v>
      </c>
      <c r="N204" s="36">
        <f>L204+M204</f>
        <v>418256999999.99994</v>
      </c>
      <c r="O204" s="144">
        <f t="shared" ref="O204:O235" si="9">1/(1+$F$95)^K204</f>
        <v>0.89285714285714279</v>
      </c>
      <c r="P204" s="145">
        <f>N204*O204</f>
        <v>373443749999.99994</v>
      </c>
    </row>
    <row r="205" spans="1:16" s="12" customFormat="1" ht="21.95" customHeight="1">
      <c r="A205" s="132">
        <f t="shared" si="3"/>
        <v>2029</v>
      </c>
      <c r="B205" s="31">
        <v>2</v>
      </c>
      <c r="C205" s="84">
        <f t="shared" si="4"/>
        <v>1358256702109.0908</v>
      </c>
      <c r="D205" s="84">
        <f t="shared" si="5"/>
        <v>0</v>
      </c>
      <c r="E205" s="36">
        <f t="shared" si="6"/>
        <v>0</v>
      </c>
      <c r="F205" s="36">
        <f t="shared" ref="F205:F253" si="10">C205+D205+E205</f>
        <v>1358256702109.0908</v>
      </c>
      <c r="G205" s="144">
        <f t="shared" si="7"/>
        <v>0.79719387755102034</v>
      </c>
      <c r="H205" s="145">
        <f t="shared" ref="H205:H253" si="11">F205*G205</f>
        <v>1082793927064.0072</v>
      </c>
      <c r="J205" s="132">
        <v>2017</v>
      </c>
      <c r="K205" s="31">
        <v>2</v>
      </c>
      <c r="L205" s="84">
        <f t="shared" ref="L205:L236" si="12">$F$102*$F$103*E148/1.1</f>
        <v>0</v>
      </c>
      <c r="M205" s="36">
        <f t="shared" si="8"/>
        <v>0</v>
      </c>
      <c r="N205" s="36">
        <f t="shared" ref="N205:N253" si="13">L205+M205</f>
        <v>0</v>
      </c>
      <c r="O205" s="144">
        <f t="shared" si="9"/>
        <v>0.79719387755102034</v>
      </c>
      <c r="P205" s="145">
        <f t="shared" ref="P205:P253" si="14">N205*O205</f>
        <v>0</v>
      </c>
    </row>
    <row r="206" spans="1:16" s="12" customFormat="1" ht="21.95" customHeight="1">
      <c r="A206" s="132">
        <f t="shared" si="3"/>
        <v>2030</v>
      </c>
      <c r="B206" s="31">
        <v>3</v>
      </c>
      <c r="C206" s="84">
        <f t="shared" si="4"/>
        <v>1018692526581.8181</v>
      </c>
      <c r="D206" s="84">
        <f t="shared" si="5"/>
        <v>0</v>
      </c>
      <c r="E206" s="36">
        <f t="shared" si="6"/>
        <v>0</v>
      </c>
      <c r="F206" s="36">
        <f t="shared" si="10"/>
        <v>1018692526581.8181</v>
      </c>
      <c r="G206" s="144">
        <f t="shared" si="7"/>
        <v>0.71178024781341087</v>
      </c>
      <c r="H206" s="145">
        <f t="shared" si="11"/>
        <v>725085219016.07617</v>
      </c>
      <c r="J206" s="132">
        <v>2018</v>
      </c>
      <c r="K206" s="31">
        <v>3</v>
      </c>
      <c r="L206" s="84">
        <f t="shared" si="12"/>
        <v>0</v>
      </c>
      <c r="M206" s="36">
        <f t="shared" si="8"/>
        <v>0</v>
      </c>
      <c r="N206" s="36">
        <f t="shared" si="13"/>
        <v>0</v>
      </c>
      <c r="O206" s="144">
        <f t="shared" si="9"/>
        <v>0.71178024781341087</v>
      </c>
      <c r="P206" s="145">
        <f t="shared" si="14"/>
        <v>0</v>
      </c>
    </row>
    <row r="207" spans="1:16" s="12" customFormat="1" ht="21.95" customHeight="1">
      <c r="A207" s="132">
        <f t="shared" si="3"/>
        <v>2031</v>
      </c>
      <c r="B207" s="31">
        <v>4</v>
      </c>
      <c r="C207" s="84">
        <f t="shared" si="4"/>
        <v>0</v>
      </c>
      <c r="D207" s="84">
        <f t="shared" si="5"/>
        <v>3646177799.727272</v>
      </c>
      <c r="E207" s="36">
        <f t="shared" si="6"/>
        <v>4233545454.545454</v>
      </c>
      <c r="F207" s="36">
        <f t="shared" si="10"/>
        <v>7879723254.2727261</v>
      </c>
      <c r="G207" s="144">
        <f t="shared" si="7"/>
        <v>0.63551807840483121</v>
      </c>
      <c r="H207" s="145">
        <f t="shared" si="11"/>
        <v>5007706580.9172659</v>
      </c>
      <c r="J207" s="132">
        <v>2019</v>
      </c>
      <c r="K207" s="31">
        <v>4</v>
      </c>
      <c r="L207" s="84">
        <f t="shared" si="12"/>
        <v>0</v>
      </c>
      <c r="M207" s="36">
        <f t="shared" si="8"/>
        <v>0</v>
      </c>
      <c r="N207" s="36">
        <f t="shared" si="13"/>
        <v>0</v>
      </c>
      <c r="O207" s="144">
        <f t="shared" si="9"/>
        <v>0.63551807840483121</v>
      </c>
      <c r="P207" s="145">
        <f t="shared" si="14"/>
        <v>0</v>
      </c>
    </row>
    <row r="208" spans="1:16" s="12" customFormat="1" ht="21.95" customHeight="1">
      <c r="A208" s="132">
        <f t="shared" si="3"/>
        <v>2032</v>
      </c>
      <c r="B208" s="31">
        <v>5</v>
      </c>
      <c r="C208" s="84">
        <f t="shared" si="4"/>
        <v>0</v>
      </c>
      <c r="D208" s="84">
        <f t="shared" si="5"/>
        <v>4375413359.6727266</v>
      </c>
      <c r="E208" s="36">
        <f t="shared" si="6"/>
        <v>5080254545.454545</v>
      </c>
      <c r="F208" s="36">
        <f t="shared" si="10"/>
        <v>9455667905.1272717</v>
      </c>
      <c r="G208" s="144">
        <f t="shared" si="7"/>
        <v>0.56742685571859919</v>
      </c>
      <c r="H208" s="145">
        <f t="shared" si="11"/>
        <v>5365399908.1256418</v>
      </c>
      <c r="J208" s="132">
        <v>2020</v>
      </c>
      <c r="K208" s="31">
        <v>5</v>
      </c>
      <c r="L208" s="84">
        <f t="shared" si="12"/>
        <v>0</v>
      </c>
      <c r="M208" s="36">
        <f t="shared" si="8"/>
        <v>0</v>
      </c>
      <c r="N208" s="36">
        <f t="shared" si="13"/>
        <v>0</v>
      </c>
      <c r="O208" s="144">
        <f t="shared" si="9"/>
        <v>0.56742685571859919</v>
      </c>
      <c r="P208" s="145">
        <f t="shared" si="14"/>
        <v>0</v>
      </c>
    </row>
    <row r="209" spans="1:16" s="12" customFormat="1" ht="21.95" customHeight="1">
      <c r="A209" s="132">
        <f t="shared" si="3"/>
        <v>2033</v>
      </c>
      <c r="B209" s="31">
        <v>6</v>
      </c>
      <c r="C209" s="84">
        <f t="shared" si="4"/>
        <v>0</v>
      </c>
      <c r="D209" s="84">
        <f t="shared" si="5"/>
        <v>5104648919.6181803</v>
      </c>
      <c r="E209" s="36">
        <f t="shared" si="6"/>
        <v>5926963636.363636</v>
      </c>
      <c r="F209" s="36">
        <f t="shared" si="10"/>
        <v>11031612555.981815</v>
      </c>
      <c r="G209" s="144">
        <f t="shared" si="7"/>
        <v>0.50663112117732068</v>
      </c>
      <c r="H209" s="145">
        <f t="shared" si="11"/>
        <v>5588958237.6308756</v>
      </c>
      <c r="J209" s="132">
        <v>2021</v>
      </c>
      <c r="K209" s="31">
        <v>6</v>
      </c>
      <c r="L209" s="84">
        <f t="shared" si="12"/>
        <v>0</v>
      </c>
      <c r="M209" s="36">
        <f t="shared" si="8"/>
        <v>0</v>
      </c>
      <c r="N209" s="36">
        <f t="shared" si="13"/>
        <v>0</v>
      </c>
      <c r="O209" s="144">
        <f t="shared" si="9"/>
        <v>0.50663112117732068</v>
      </c>
      <c r="P209" s="145">
        <f t="shared" si="14"/>
        <v>0</v>
      </c>
    </row>
    <row r="210" spans="1:16" s="12" customFormat="1" ht="21.95" customHeight="1">
      <c r="A210" s="132">
        <f t="shared" si="3"/>
        <v>2034</v>
      </c>
      <c r="B210" s="31">
        <v>7</v>
      </c>
      <c r="C210" s="84">
        <f t="shared" si="4"/>
        <v>0</v>
      </c>
      <c r="D210" s="84">
        <f t="shared" si="5"/>
        <v>5833884479.5636368</v>
      </c>
      <c r="E210" s="36">
        <f t="shared" si="6"/>
        <v>6773672727.272727</v>
      </c>
      <c r="F210" s="36">
        <f t="shared" si="10"/>
        <v>12607557206.836365</v>
      </c>
      <c r="G210" s="144">
        <f t="shared" si="7"/>
        <v>0.45234921533689343</v>
      </c>
      <c r="H210" s="145">
        <f t="shared" si="11"/>
        <v>5703018609.827425</v>
      </c>
      <c r="J210" s="132">
        <v>2022</v>
      </c>
      <c r="K210" s="31">
        <v>7</v>
      </c>
      <c r="L210" s="84">
        <f t="shared" si="12"/>
        <v>0</v>
      </c>
      <c r="M210" s="36">
        <f t="shared" si="8"/>
        <v>0</v>
      </c>
      <c r="N210" s="36">
        <f t="shared" si="13"/>
        <v>0</v>
      </c>
      <c r="O210" s="144">
        <f t="shared" si="9"/>
        <v>0.45234921533689343</v>
      </c>
      <c r="P210" s="145">
        <f t="shared" si="14"/>
        <v>0</v>
      </c>
    </row>
    <row r="211" spans="1:16" s="12" customFormat="1" ht="21.95" customHeight="1">
      <c r="A211" s="132">
        <f t="shared" si="3"/>
        <v>2035</v>
      </c>
      <c r="B211" s="31">
        <v>8</v>
      </c>
      <c r="C211" s="84">
        <f t="shared" si="4"/>
        <v>0</v>
      </c>
      <c r="D211" s="84">
        <f t="shared" si="5"/>
        <v>6563120039.5090904</v>
      </c>
      <c r="E211" s="36">
        <f t="shared" si="6"/>
        <v>7620381818.181818</v>
      </c>
      <c r="F211" s="36">
        <f t="shared" si="10"/>
        <v>14183501857.690908</v>
      </c>
      <c r="G211" s="144">
        <f t="shared" si="7"/>
        <v>0.4038832279793691</v>
      </c>
      <c r="H211" s="145">
        <f t="shared" si="11"/>
        <v>5728478514.3355827</v>
      </c>
      <c r="J211" s="132">
        <v>2023</v>
      </c>
      <c r="K211" s="31">
        <v>8</v>
      </c>
      <c r="L211" s="84">
        <f t="shared" si="12"/>
        <v>0</v>
      </c>
      <c r="M211" s="36">
        <f t="shared" si="8"/>
        <v>0</v>
      </c>
      <c r="N211" s="36">
        <f t="shared" si="13"/>
        <v>0</v>
      </c>
      <c r="O211" s="144">
        <f t="shared" si="9"/>
        <v>0.4038832279793691</v>
      </c>
      <c r="P211" s="145">
        <f t="shared" si="14"/>
        <v>0</v>
      </c>
    </row>
    <row r="212" spans="1:16" s="12" customFormat="1" ht="21.95" customHeight="1">
      <c r="A212" s="132">
        <f t="shared" si="3"/>
        <v>2036</v>
      </c>
      <c r="B212" s="31">
        <v>9</v>
      </c>
      <c r="C212" s="84">
        <f t="shared" si="4"/>
        <v>0</v>
      </c>
      <c r="D212" s="84">
        <f t="shared" si="5"/>
        <v>6563120039.5090904</v>
      </c>
      <c r="E212" s="36">
        <f t="shared" si="6"/>
        <v>7620381818.181818</v>
      </c>
      <c r="F212" s="36">
        <f t="shared" si="10"/>
        <v>14183501857.690908</v>
      </c>
      <c r="G212" s="144">
        <f t="shared" si="7"/>
        <v>0.36061002498157957</v>
      </c>
      <c r="H212" s="145">
        <f t="shared" si="11"/>
        <v>5114712959.228199</v>
      </c>
      <c r="J212" s="132">
        <v>2024</v>
      </c>
      <c r="K212" s="31">
        <v>9</v>
      </c>
      <c r="L212" s="84">
        <f t="shared" si="12"/>
        <v>0</v>
      </c>
      <c r="M212" s="36">
        <f t="shared" si="8"/>
        <v>0</v>
      </c>
      <c r="N212" s="36">
        <f t="shared" si="13"/>
        <v>0</v>
      </c>
      <c r="O212" s="144">
        <f t="shared" si="9"/>
        <v>0.36061002498157957</v>
      </c>
      <c r="P212" s="145">
        <f t="shared" si="14"/>
        <v>0</v>
      </c>
    </row>
    <row r="213" spans="1:16" s="12" customFormat="1" ht="21.95" customHeight="1">
      <c r="A213" s="132">
        <f t="shared" si="3"/>
        <v>2037</v>
      </c>
      <c r="B213" s="31">
        <v>10</v>
      </c>
      <c r="C213" s="84">
        <f t="shared" si="4"/>
        <v>0</v>
      </c>
      <c r="D213" s="84">
        <f t="shared" si="5"/>
        <v>6563120039.5090904</v>
      </c>
      <c r="E213" s="36">
        <f t="shared" si="6"/>
        <v>7620381818.181818</v>
      </c>
      <c r="F213" s="36">
        <f t="shared" si="10"/>
        <v>14183501857.690908</v>
      </c>
      <c r="G213" s="144">
        <f t="shared" si="7"/>
        <v>0.32197323659069599</v>
      </c>
      <c r="H213" s="145">
        <f t="shared" si="11"/>
        <v>4566707999.3108912</v>
      </c>
      <c r="J213" s="132">
        <v>2025</v>
      </c>
      <c r="K213" s="31">
        <v>10</v>
      </c>
      <c r="L213" s="84">
        <f t="shared" si="12"/>
        <v>0</v>
      </c>
      <c r="M213" s="36">
        <f t="shared" si="8"/>
        <v>0</v>
      </c>
      <c r="N213" s="36">
        <f t="shared" si="13"/>
        <v>0</v>
      </c>
      <c r="O213" s="144">
        <f t="shared" si="9"/>
        <v>0.32197323659069599</v>
      </c>
      <c r="P213" s="145">
        <f t="shared" si="14"/>
        <v>0</v>
      </c>
    </row>
    <row r="214" spans="1:16" s="12" customFormat="1" ht="21.95" customHeight="1">
      <c r="A214" s="132">
        <f t="shared" si="3"/>
        <v>2038</v>
      </c>
      <c r="B214" s="31">
        <v>11</v>
      </c>
      <c r="C214" s="84">
        <f t="shared" si="4"/>
        <v>0</v>
      </c>
      <c r="D214" s="84">
        <f t="shared" si="5"/>
        <v>6563120039.5090904</v>
      </c>
      <c r="E214" s="36">
        <f t="shared" si="6"/>
        <v>7620381818.181818</v>
      </c>
      <c r="F214" s="36">
        <f t="shared" si="10"/>
        <v>14183501857.690908</v>
      </c>
      <c r="G214" s="144">
        <f t="shared" si="7"/>
        <v>0.28747610409883567</v>
      </c>
      <c r="H214" s="145">
        <f t="shared" si="11"/>
        <v>4077417856.5275807</v>
      </c>
      <c r="J214" s="132">
        <v>2026</v>
      </c>
      <c r="K214" s="31">
        <v>11</v>
      </c>
      <c r="L214" s="84">
        <f t="shared" si="12"/>
        <v>0</v>
      </c>
      <c r="M214" s="36">
        <f t="shared" si="8"/>
        <v>0</v>
      </c>
      <c r="N214" s="36">
        <f t="shared" si="13"/>
        <v>0</v>
      </c>
      <c r="O214" s="144">
        <f t="shared" si="9"/>
        <v>0.28747610409883567</v>
      </c>
      <c r="P214" s="145">
        <f t="shared" si="14"/>
        <v>0</v>
      </c>
    </row>
    <row r="215" spans="1:16" s="12" customFormat="1" ht="21.95" customHeight="1">
      <c r="A215" s="132">
        <f t="shared" si="3"/>
        <v>2039</v>
      </c>
      <c r="B215" s="31">
        <v>12</v>
      </c>
      <c r="C215" s="84">
        <f t="shared" si="4"/>
        <v>0</v>
      </c>
      <c r="D215" s="84">
        <f t="shared" si="5"/>
        <v>6563120039.5090904</v>
      </c>
      <c r="E215" s="36">
        <f t="shared" si="6"/>
        <v>7620381818.181818</v>
      </c>
      <c r="F215" s="36">
        <f t="shared" si="10"/>
        <v>14183501857.690908</v>
      </c>
      <c r="G215" s="144">
        <f t="shared" si="7"/>
        <v>0.25667509294538904</v>
      </c>
      <c r="H215" s="145">
        <f t="shared" si="11"/>
        <v>3640551657.6139121</v>
      </c>
      <c r="J215" s="132">
        <v>2027</v>
      </c>
      <c r="K215" s="31">
        <v>12</v>
      </c>
      <c r="L215" s="84">
        <f t="shared" si="12"/>
        <v>0</v>
      </c>
      <c r="M215" s="36">
        <f t="shared" si="8"/>
        <v>0</v>
      </c>
      <c r="N215" s="36">
        <f t="shared" si="13"/>
        <v>0</v>
      </c>
      <c r="O215" s="144">
        <f t="shared" si="9"/>
        <v>0.25667509294538904</v>
      </c>
      <c r="P215" s="145">
        <f t="shared" si="14"/>
        <v>0</v>
      </c>
    </row>
    <row r="216" spans="1:16" s="12" customFormat="1" ht="21.95" customHeight="1">
      <c r="A216" s="132">
        <f t="shared" si="3"/>
        <v>2040</v>
      </c>
      <c r="B216" s="31">
        <v>13</v>
      </c>
      <c r="C216" s="84">
        <f t="shared" si="4"/>
        <v>0</v>
      </c>
      <c r="D216" s="84">
        <f t="shared" si="5"/>
        <v>6563120039.5090904</v>
      </c>
      <c r="E216" s="36">
        <f t="shared" si="6"/>
        <v>7620381818.181818</v>
      </c>
      <c r="F216" s="36">
        <f t="shared" si="10"/>
        <v>14183501857.690908</v>
      </c>
      <c r="G216" s="144">
        <f t="shared" si="7"/>
        <v>0.22917419012981158</v>
      </c>
      <c r="H216" s="145">
        <f t="shared" si="11"/>
        <v>3250492551.4409919</v>
      </c>
      <c r="J216" s="132">
        <v>2028</v>
      </c>
      <c r="K216" s="31">
        <v>13</v>
      </c>
      <c r="L216" s="84">
        <f t="shared" si="12"/>
        <v>0</v>
      </c>
      <c r="M216" s="36">
        <f t="shared" si="8"/>
        <v>0</v>
      </c>
      <c r="N216" s="36">
        <f t="shared" si="13"/>
        <v>0</v>
      </c>
      <c r="O216" s="144">
        <f t="shared" si="9"/>
        <v>0.22917419012981158</v>
      </c>
      <c r="P216" s="145">
        <f t="shared" si="14"/>
        <v>0</v>
      </c>
    </row>
    <row r="217" spans="1:16" s="12" customFormat="1" ht="21.95" customHeight="1">
      <c r="A217" s="132">
        <f t="shared" si="3"/>
        <v>2041</v>
      </c>
      <c r="B217" s="31">
        <v>14</v>
      </c>
      <c r="C217" s="84">
        <f t="shared" si="4"/>
        <v>0</v>
      </c>
      <c r="D217" s="84">
        <f t="shared" si="5"/>
        <v>6563120039.5090904</v>
      </c>
      <c r="E217" s="36">
        <f t="shared" si="6"/>
        <v>7620381818.181818</v>
      </c>
      <c r="F217" s="36">
        <f t="shared" si="10"/>
        <v>14183501857.690908</v>
      </c>
      <c r="G217" s="144">
        <f t="shared" si="7"/>
        <v>0.20461981261590317</v>
      </c>
      <c r="H217" s="145">
        <f t="shared" si="11"/>
        <v>2902225492.3580284</v>
      </c>
      <c r="J217" s="132">
        <v>2029</v>
      </c>
      <c r="K217" s="31">
        <v>14</v>
      </c>
      <c r="L217" s="84">
        <f t="shared" si="12"/>
        <v>0</v>
      </c>
      <c r="M217" s="36">
        <f t="shared" si="8"/>
        <v>0</v>
      </c>
      <c r="N217" s="36">
        <f t="shared" si="13"/>
        <v>0</v>
      </c>
      <c r="O217" s="144">
        <f t="shared" si="9"/>
        <v>0.20461981261590317</v>
      </c>
      <c r="P217" s="145">
        <f t="shared" si="14"/>
        <v>0</v>
      </c>
    </row>
    <row r="218" spans="1:16" s="12" customFormat="1" ht="21.95" customHeight="1">
      <c r="A218" s="132">
        <f t="shared" si="3"/>
        <v>2042</v>
      </c>
      <c r="B218" s="31">
        <v>15</v>
      </c>
      <c r="C218" s="84">
        <f t="shared" si="4"/>
        <v>0</v>
      </c>
      <c r="D218" s="84">
        <f t="shared" si="5"/>
        <v>6563120039.5090904</v>
      </c>
      <c r="E218" s="36">
        <f t="shared" si="6"/>
        <v>7620381818.181818</v>
      </c>
      <c r="F218" s="36">
        <f t="shared" si="10"/>
        <v>14183501857.690908</v>
      </c>
      <c r="G218" s="144">
        <f t="shared" si="7"/>
        <v>0.18269626126419927</v>
      </c>
      <c r="H218" s="145">
        <f t="shared" si="11"/>
        <v>2591272761.0339541</v>
      </c>
      <c r="J218" s="132">
        <v>2030</v>
      </c>
      <c r="K218" s="31">
        <v>15</v>
      </c>
      <c r="L218" s="84">
        <f t="shared" si="12"/>
        <v>0</v>
      </c>
      <c r="M218" s="36">
        <f t="shared" si="8"/>
        <v>0</v>
      </c>
      <c r="N218" s="36">
        <f t="shared" si="13"/>
        <v>0</v>
      </c>
      <c r="O218" s="144">
        <f t="shared" si="9"/>
        <v>0.18269626126419927</v>
      </c>
      <c r="P218" s="145">
        <f t="shared" si="14"/>
        <v>0</v>
      </c>
    </row>
    <row r="219" spans="1:16" s="12" customFormat="1" ht="21.95" customHeight="1">
      <c r="A219" s="132">
        <f t="shared" si="3"/>
        <v>2043</v>
      </c>
      <c r="B219" s="31">
        <v>16</v>
      </c>
      <c r="C219" s="84">
        <f t="shared" si="4"/>
        <v>0</v>
      </c>
      <c r="D219" s="84">
        <f t="shared" si="5"/>
        <v>6563120039.5090904</v>
      </c>
      <c r="E219" s="36">
        <f t="shared" si="6"/>
        <v>7620381818.181818</v>
      </c>
      <c r="F219" s="36">
        <f t="shared" si="10"/>
        <v>14183501857.690908</v>
      </c>
      <c r="G219" s="144">
        <f t="shared" si="7"/>
        <v>0.16312166184303503</v>
      </c>
      <c r="H219" s="145">
        <f t="shared" si="11"/>
        <v>2313636393.7803154</v>
      </c>
      <c r="J219" s="132">
        <v>2031</v>
      </c>
      <c r="K219" s="31">
        <v>16</v>
      </c>
      <c r="L219" s="84">
        <f t="shared" si="12"/>
        <v>0</v>
      </c>
      <c r="M219" s="36">
        <f t="shared" si="8"/>
        <v>0</v>
      </c>
      <c r="N219" s="36">
        <f t="shared" si="13"/>
        <v>0</v>
      </c>
      <c r="O219" s="144">
        <f t="shared" si="9"/>
        <v>0.16312166184303503</v>
      </c>
      <c r="P219" s="145">
        <f t="shared" si="14"/>
        <v>0</v>
      </c>
    </row>
    <row r="220" spans="1:16" s="12" customFormat="1" ht="21.95" customHeight="1">
      <c r="A220" s="132">
        <f t="shared" si="3"/>
        <v>2044</v>
      </c>
      <c r="B220" s="31">
        <v>17</v>
      </c>
      <c r="C220" s="84">
        <f t="shared" si="4"/>
        <v>0</v>
      </c>
      <c r="D220" s="84">
        <f t="shared" si="5"/>
        <v>6563120039.5090904</v>
      </c>
      <c r="E220" s="36">
        <f t="shared" si="6"/>
        <v>7620381818.181818</v>
      </c>
      <c r="F220" s="36">
        <f t="shared" si="10"/>
        <v>14183501857.690908</v>
      </c>
      <c r="G220" s="144">
        <f t="shared" si="7"/>
        <v>0.14564434093128129</v>
      </c>
      <c r="H220" s="145">
        <f t="shared" si="11"/>
        <v>2065746780.1609962</v>
      </c>
      <c r="J220" s="132">
        <v>2032</v>
      </c>
      <c r="K220" s="31">
        <v>17</v>
      </c>
      <c r="L220" s="84">
        <f t="shared" si="12"/>
        <v>0</v>
      </c>
      <c r="M220" s="36">
        <f t="shared" si="8"/>
        <v>0</v>
      </c>
      <c r="N220" s="36">
        <f t="shared" si="13"/>
        <v>0</v>
      </c>
      <c r="O220" s="144">
        <f t="shared" si="9"/>
        <v>0.14564434093128129</v>
      </c>
      <c r="P220" s="145">
        <f t="shared" si="14"/>
        <v>0</v>
      </c>
    </row>
    <row r="221" spans="1:16" s="12" customFormat="1" ht="21.95" customHeight="1">
      <c r="A221" s="132">
        <f t="shared" si="3"/>
        <v>2045</v>
      </c>
      <c r="B221" s="31">
        <v>18</v>
      </c>
      <c r="C221" s="84">
        <f t="shared" si="4"/>
        <v>0</v>
      </c>
      <c r="D221" s="84">
        <f t="shared" si="5"/>
        <v>6563120039.5090904</v>
      </c>
      <c r="E221" s="36">
        <f t="shared" si="6"/>
        <v>7620381818.181818</v>
      </c>
      <c r="F221" s="36">
        <f t="shared" si="10"/>
        <v>14183501857.690908</v>
      </c>
      <c r="G221" s="144">
        <f t="shared" si="7"/>
        <v>0.13003959011721541</v>
      </c>
      <c r="H221" s="145">
        <f t="shared" si="11"/>
        <v>1844416768.0008891</v>
      </c>
      <c r="J221" s="132">
        <v>2033</v>
      </c>
      <c r="K221" s="31">
        <v>18</v>
      </c>
      <c r="L221" s="84">
        <f t="shared" si="12"/>
        <v>0</v>
      </c>
      <c r="M221" s="36">
        <f t="shared" si="8"/>
        <v>0</v>
      </c>
      <c r="N221" s="36">
        <f t="shared" si="13"/>
        <v>0</v>
      </c>
      <c r="O221" s="144">
        <f t="shared" si="9"/>
        <v>0.13003959011721541</v>
      </c>
      <c r="P221" s="145">
        <f t="shared" si="14"/>
        <v>0</v>
      </c>
    </row>
    <row r="222" spans="1:16" s="12" customFormat="1" ht="21.95" customHeight="1">
      <c r="A222" s="132">
        <f t="shared" si="3"/>
        <v>2046</v>
      </c>
      <c r="B222" s="31">
        <v>19</v>
      </c>
      <c r="C222" s="84">
        <f t="shared" si="4"/>
        <v>0</v>
      </c>
      <c r="D222" s="84">
        <f t="shared" si="5"/>
        <v>6563120039.5090904</v>
      </c>
      <c r="E222" s="36">
        <f t="shared" si="6"/>
        <v>7620381818.181818</v>
      </c>
      <c r="F222" s="36">
        <f t="shared" si="10"/>
        <v>14183501857.690908</v>
      </c>
      <c r="G222" s="144">
        <f t="shared" si="7"/>
        <v>0.1161067768903709</v>
      </c>
      <c r="H222" s="145">
        <f t="shared" si="11"/>
        <v>1646800685.7150795</v>
      </c>
      <c r="J222" s="132">
        <v>2034</v>
      </c>
      <c r="K222" s="31">
        <v>19</v>
      </c>
      <c r="L222" s="84">
        <f t="shared" si="12"/>
        <v>0</v>
      </c>
      <c r="M222" s="36">
        <f t="shared" si="8"/>
        <v>0</v>
      </c>
      <c r="N222" s="36">
        <f t="shared" si="13"/>
        <v>0</v>
      </c>
      <c r="O222" s="144">
        <f t="shared" si="9"/>
        <v>0.1161067768903709</v>
      </c>
      <c r="P222" s="145">
        <f t="shared" si="14"/>
        <v>0</v>
      </c>
    </row>
    <row r="223" spans="1:16" s="12" customFormat="1" ht="21.95" customHeight="1">
      <c r="A223" s="132">
        <f t="shared" si="3"/>
        <v>2047</v>
      </c>
      <c r="B223" s="31">
        <v>20</v>
      </c>
      <c r="C223" s="84">
        <f t="shared" si="4"/>
        <v>0</v>
      </c>
      <c r="D223" s="84">
        <f t="shared" si="5"/>
        <v>6563120039.5090904</v>
      </c>
      <c r="E223" s="36">
        <f t="shared" si="6"/>
        <v>7620381818.181818</v>
      </c>
      <c r="F223" s="36">
        <f t="shared" si="10"/>
        <v>14183501857.690908</v>
      </c>
      <c r="G223" s="144">
        <f t="shared" si="7"/>
        <v>0.1036667650806883</v>
      </c>
      <c r="H223" s="145">
        <f t="shared" si="11"/>
        <v>1470357755.1027493</v>
      </c>
      <c r="J223" s="132">
        <v>2035</v>
      </c>
      <c r="K223" s="31">
        <v>20</v>
      </c>
      <c r="L223" s="84">
        <f t="shared" si="12"/>
        <v>0</v>
      </c>
      <c r="M223" s="36">
        <f t="shared" si="8"/>
        <v>0</v>
      </c>
      <c r="N223" s="36">
        <f t="shared" si="13"/>
        <v>0</v>
      </c>
      <c r="O223" s="144">
        <f t="shared" si="9"/>
        <v>0.1036667650806883</v>
      </c>
      <c r="P223" s="145">
        <f t="shared" si="14"/>
        <v>0</v>
      </c>
    </row>
    <row r="224" spans="1:16" s="12" customFormat="1" ht="21.95" customHeight="1">
      <c r="A224" s="132">
        <f t="shared" si="3"/>
        <v>2048</v>
      </c>
      <c r="B224" s="31">
        <v>21</v>
      </c>
      <c r="C224" s="84">
        <f t="shared" si="4"/>
        <v>0</v>
      </c>
      <c r="D224" s="84">
        <f t="shared" si="5"/>
        <v>6563120039.5090904</v>
      </c>
      <c r="E224" s="36">
        <f t="shared" si="6"/>
        <v>7620381818.181818</v>
      </c>
      <c r="F224" s="36">
        <f t="shared" si="10"/>
        <v>14183501857.690908</v>
      </c>
      <c r="G224" s="144">
        <f t="shared" si="7"/>
        <v>9.2559611679185971E-2</v>
      </c>
      <c r="H224" s="145">
        <f t="shared" si="11"/>
        <v>1312819424.1988833</v>
      </c>
      <c r="J224" s="132">
        <v>2036</v>
      </c>
      <c r="K224" s="31">
        <v>21</v>
      </c>
      <c r="L224" s="84">
        <f t="shared" si="12"/>
        <v>0</v>
      </c>
      <c r="M224" s="36">
        <f t="shared" si="8"/>
        <v>0</v>
      </c>
      <c r="N224" s="36">
        <f t="shared" si="13"/>
        <v>0</v>
      </c>
      <c r="O224" s="144">
        <f t="shared" si="9"/>
        <v>9.2559611679185971E-2</v>
      </c>
      <c r="P224" s="145">
        <f t="shared" si="14"/>
        <v>0</v>
      </c>
    </row>
    <row r="225" spans="1:16" s="12" customFormat="1" ht="21.95" customHeight="1">
      <c r="A225" s="132">
        <f t="shared" si="3"/>
        <v>2049</v>
      </c>
      <c r="B225" s="31">
        <v>22</v>
      </c>
      <c r="C225" s="84">
        <f t="shared" si="4"/>
        <v>0</v>
      </c>
      <c r="D225" s="84">
        <f t="shared" si="5"/>
        <v>6563120039.5090904</v>
      </c>
      <c r="E225" s="36">
        <f t="shared" si="6"/>
        <v>7620381818.181818</v>
      </c>
      <c r="F225" s="36">
        <f t="shared" si="10"/>
        <v>14183501857.690908</v>
      </c>
      <c r="G225" s="144">
        <f t="shared" si="7"/>
        <v>8.2642510427844609E-2</v>
      </c>
      <c r="H225" s="145">
        <f t="shared" si="11"/>
        <v>1172160200.1775744</v>
      </c>
      <c r="J225" s="132">
        <v>2037</v>
      </c>
      <c r="K225" s="31">
        <v>22</v>
      </c>
      <c r="L225" s="84">
        <f t="shared" si="12"/>
        <v>0</v>
      </c>
      <c r="M225" s="36">
        <f t="shared" si="8"/>
        <v>0</v>
      </c>
      <c r="N225" s="36">
        <f t="shared" si="13"/>
        <v>0</v>
      </c>
      <c r="O225" s="144">
        <f t="shared" si="9"/>
        <v>8.2642510427844609E-2</v>
      </c>
      <c r="P225" s="145">
        <f t="shared" si="14"/>
        <v>0</v>
      </c>
    </row>
    <row r="226" spans="1:16" s="12" customFormat="1" ht="21.95" customHeight="1">
      <c r="A226" s="132">
        <f t="shared" si="3"/>
        <v>2050</v>
      </c>
      <c r="B226" s="31">
        <v>23</v>
      </c>
      <c r="C226" s="84">
        <f t="shared" si="4"/>
        <v>0</v>
      </c>
      <c r="D226" s="84">
        <f t="shared" si="5"/>
        <v>6563120039.5090904</v>
      </c>
      <c r="E226" s="36">
        <f t="shared" si="6"/>
        <v>7620381818.181818</v>
      </c>
      <c r="F226" s="36">
        <f t="shared" si="10"/>
        <v>14183501857.690908</v>
      </c>
      <c r="G226" s="144">
        <f t="shared" si="7"/>
        <v>7.3787955739146982E-2</v>
      </c>
      <c r="H226" s="145">
        <f t="shared" si="11"/>
        <v>1046571607.3014058</v>
      </c>
      <c r="J226" s="132">
        <v>2038</v>
      </c>
      <c r="K226" s="31">
        <v>23</v>
      </c>
      <c r="L226" s="84">
        <f t="shared" si="12"/>
        <v>0</v>
      </c>
      <c r="M226" s="36">
        <f t="shared" si="8"/>
        <v>0</v>
      </c>
      <c r="N226" s="36">
        <f t="shared" si="13"/>
        <v>0</v>
      </c>
      <c r="O226" s="144">
        <f t="shared" si="9"/>
        <v>7.3787955739146982E-2</v>
      </c>
      <c r="P226" s="145">
        <f t="shared" si="14"/>
        <v>0</v>
      </c>
    </row>
    <row r="227" spans="1:16" s="12" customFormat="1" ht="21.95" customHeight="1">
      <c r="A227" s="132">
        <f t="shared" si="3"/>
        <v>2051</v>
      </c>
      <c r="B227" s="31">
        <v>24</v>
      </c>
      <c r="C227" s="84">
        <f t="shared" si="4"/>
        <v>0</v>
      </c>
      <c r="D227" s="84">
        <f t="shared" si="5"/>
        <v>6563120039.5090904</v>
      </c>
      <c r="E227" s="36">
        <f t="shared" si="6"/>
        <v>7620381818.181818</v>
      </c>
      <c r="F227" s="36">
        <f t="shared" si="10"/>
        <v>14183501857.690908</v>
      </c>
      <c r="G227" s="144">
        <f t="shared" si="7"/>
        <v>6.5882103338524081E-2</v>
      </c>
      <c r="H227" s="145">
        <f t="shared" si="11"/>
        <v>934438935.09054065</v>
      </c>
      <c r="J227" s="132">
        <v>2039</v>
      </c>
      <c r="K227" s="31">
        <v>24</v>
      </c>
      <c r="L227" s="84">
        <f t="shared" si="12"/>
        <v>0</v>
      </c>
      <c r="M227" s="36">
        <f t="shared" si="8"/>
        <v>0</v>
      </c>
      <c r="N227" s="36">
        <f t="shared" si="13"/>
        <v>0</v>
      </c>
      <c r="O227" s="144">
        <f t="shared" si="9"/>
        <v>6.5882103338524081E-2</v>
      </c>
      <c r="P227" s="145">
        <f t="shared" si="14"/>
        <v>0</v>
      </c>
    </row>
    <row r="228" spans="1:16" s="12" customFormat="1" ht="21.95" customHeight="1">
      <c r="A228" s="132">
        <f t="shared" si="3"/>
        <v>2052</v>
      </c>
      <c r="B228" s="31">
        <v>25</v>
      </c>
      <c r="C228" s="84">
        <f t="shared" si="4"/>
        <v>0</v>
      </c>
      <c r="D228" s="84">
        <f t="shared" si="5"/>
        <v>6563120039.5090904</v>
      </c>
      <c r="E228" s="36">
        <f t="shared" si="6"/>
        <v>7620381818.181818</v>
      </c>
      <c r="F228" s="36">
        <f t="shared" si="10"/>
        <v>14183501857.690908</v>
      </c>
      <c r="G228" s="144">
        <f t="shared" si="7"/>
        <v>5.8823306552253637E-2</v>
      </c>
      <c r="H228" s="145">
        <f t="shared" si="11"/>
        <v>834320477.75941122</v>
      </c>
      <c r="J228" s="132">
        <v>2040</v>
      </c>
      <c r="K228" s="31">
        <v>25</v>
      </c>
      <c r="L228" s="84">
        <f t="shared" si="12"/>
        <v>0</v>
      </c>
      <c r="M228" s="36">
        <f t="shared" si="8"/>
        <v>0</v>
      </c>
      <c r="N228" s="36">
        <f t="shared" si="13"/>
        <v>0</v>
      </c>
      <c r="O228" s="144">
        <f t="shared" si="9"/>
        <v>5.8823306552253637E-2</v>
      </c>
      <c r="P228" s="145">
        <f t="shared" si="14"/>
        <v>0</v>
      </c>
    </row>
    <row r="229" spans="1:16" s="12" customFormat="1" ht="21.95" customHeight="1">
      <c r="A229" s="132">
        <f t="shared" si="3"/>
        <v>2053</v>
      </c>
      <c r="B229" s="31">
        <v>26</v>
      </c>
      <c r="C229" s="84">
        <f t="shared" si="4"/>
        <v>0</v>
      </c>
      <c r="D229" s="84">
        <f t="shared" si="5"/>
        <v>6563120039.5090904</v>
      </c>
      <c r="E229" s="36">
        <f t="shared" si="6"/>
        <v>7620381818.181818</v>
      </c>
      <c r="F229" s="36">
        <f t="shared" si="10"/>
        <v>14183501857.690908</v>
      </c>
      <c r="G229" s="144">
        <f t="shared" si="7"/>
        <v>5.2520809421655032E-2</v>
      </c>
      <c r="H229" s="145">
        <f t="shared" si="11"/>
        <v>744928997.99947429</v>
      </c>
      <c r="J229" s="132">
        <v>2041</v>
      </c>
      <c r="K229" s="31">
        <v>26</v>
      </c>
      <c r="L229" s="84">
        <f t="shared" si="12"/>
        <v>0</v>
      </c>
      <c r="M229" s="36">
        <f t="shared" si="8"/>
        <v>0</v>
      </c>
      <c r="N229" s="36">
        <f t="shared" si="13"/>
        <v>0</v>
      </c>
      <c r="O229" s="144">
        <f t="shared" si="9"/>
        <v>5.2520809421655032E-2</v>
      </c>
      <c r="P229" s="145">
        <f t="shared" si="14"/>
        <v>0</v>
      </c>
    </row>
    <row r="230" spans="1:16" s="12" customFormat="1" ht="21.95" customHeight="1">
      <c r="A230" s="132">
        <f t="shared" si="3"/>
        <v>2054</v>
      </c>
      <c r="B230" s="31">
        <v>27</v>
      </c>
      <c r="C230" s="84">
        <f t="shared" si="4"/>
        <v>0</v>
      </c>
      <c r="D230" s="84">
        <f t="shared" si="5"/>
        <v>6563120039.5090904</v>
      </c>
      <c r="E230" s="36">
        <f t="shared" si="6"/>
        <v>7620381818.181818</v>
      </c>
      <c r="F230" s="36">
        <f t="shared" si="10"/>
        <v>14183501857.690908</v>
      </c>
      <c r="G230" s="144">
        <f t="shared" si="7"/>
        <v>4.6893579840763415E-2</v>
      </c>
      <c r="H230" s="145">
        <f t="shared" si="11"/>
        <v>665115176.78524482</v>
      </c>
      <c r="J230" s="132">
        <v>2042</v>
      </c>
      <c r="K230" s="31">
        <v>27</v>
      </c>
      <c r="L230" s="84">
        <f t="shared" si="12"/>
        <v>0</v>
      </c>
      <c r="M230" s="36">
        <f t="shared" si="8"/>
        <v>0</v>
      </c>
      <c r="N230" s="36">
        <f t="shared" si="13"/>
        <v>0</v>
      </c>
      <c r="O230" s="144">
        <f t="shared" si="9"/>
        <v>4.6893579840763415E-2</v>
      </c>
      <c r="P230" s="145">
        <f t="shared" si="14"/>
        <v>0</v>
      </c>
    </row>
    <row r="231" spans="1:16" s="12" customFormat="1" ht="21.95" customHeight="1">
      <c r="A231" s="132">
        <f t="shared" si="3"/>
        <v>2055</v>
      </c>
      <c r="B231" s="31">
        <v>28</v>
      </c>
      <c r="C231" s="84">
        <f t="shared" si="4"/>
        <v>0</v>
      </c>
      <c r="D231" s="84">
        <f t="shared" si="5"/>
        <v>6563120039.5090904</v>
      </c>
      <c r="E231" s="36">
        <f t="shared" si="6"/>
        <v>7620381818.181818</v>
      </c>
      <c r="F231" s="36">
        <f t="shared" si="10"/>
        <v>14183501857.690908</v>
      </c>
      <c r="G231" s="144">
        <f t="shared" si="7"/>
        <v>4.1869267714967337E-2</v>
      </c>
      <c r="H231" s="145">
        <f t="shared" si="11"/>
        <v>593852836.41539717</v>
      </c>
      <c r="J231" s="132">
        <v>2043</v>
      </c>
      <c r="K231" s="31">
        <v>28</v>
      </c>
      <c r="L231" s="84">
        <f t="shared" si="12"/>
        <v>0</v>
      </c>
      <c r="M231" s="36">
        <f t="shared" si="8"/>
        <v>0</v>
      </c>
      <c r="N231" s="36">
        <f t="shared" si="13"/>
        <v>0</v>
      </c>
      <c r="O231" s="144">
        <f t="shared" si="9"/>
        <v>4.1869267714967337E-2</v>
      </c>
      <c r="P231" s="145">
        <f t="shared" si="14"/>
        <v>0</v>
      </c>
    </row>
    <row r="232" spans="1:16" s="12" customFormat="1" ht="21.95" customHeight="1">
      <c r="A232" s="132">
        <f t="shared" si="3"/>
        <v>2056</v>
      </c>
      <c r="B232" s="31">
        <v>29</v>
      </c>
      <c r="C232" s="84">
        <f t="shared" si="4"/>
        <v>0</v>
      </c>
      <c r="D232" s="84">
        <f t="shared" si="5"/>
        <v>6563120039.5090904</v>
      </c>
      <c r="E232" s="36">
        <f t="shared" si="6"/>
        <v>7620381818.181818</v>
      </c>
      <c r="F232" s="36">
        <f t="shared" si="10"/>
        <v>14183501857.690908</v>
      </c>
      <c r="G232" s="144">
        <f t="shared" si="7"/>
        <v>3.7383274745506546E-2</v>
      </c>
      <c r="H232" s="145">
        <f t="shared" si="11"/>
        <v>530225746.79946172</v>
      </c>
      <c r="J232" s="132">
        <v>2044</v>
      </c>
      <c r="K232" s="31">
        <v>29</v>
      </c>
      <c r="L232" s="84">
        <f t="shared" si="12"/>
        <v>0</v>
      </c>
      <c r="M232" s="36">
        <f t="shared" si="8"/>
        <v>0</v>
      </c>
      <c r="N232" s="36">
        <f t="shared" si="13"/>
        <v>0</v>
      </c>
      <c r="O232" s="144">
        <f t="shared" si="9"/>
        <v>3.7383274745506546E-2</v>
      </c>
      <c r="P232" s="145">
        <f t="shared" si="14"/>
        <v>0</v>
      </c>
    </row>
    <row r="233" spans="1:16" s="12" customFormat="1" ht="21.95" customHeight="1">
      <c r="A233" s="132">
        <f t="shared" si="3"/>
        <v>2057</v>
      </c>
      <c r="B233" s="31">
        <v>30</v>
      </c>
      <c r="C233" s="84">
        <f t="shared" si="4"/>
        <v>0</v>
      </c>
      <c r="D233" s="84">
        <f t="shared" si="5"/>
        <v>6563120039.5090904</v>
      </c>
      <c r="E233" s="36">
        <f t="shared" si="6"/>
        <v>7620381818.181818</v>
      </c>
      <c r="F233" s="36">
        <f t="shared" si="10"/>
        <v>14183501857.690908</v>
      </c>
      <c r="G233" s="144">
        <f t="shared" si="7"/>
        <v>3.3377923879916553E-2</v>
      </c>
      <c r="H233" s="145">
        <f t="shared" si="11"/>
        <v>473415845.35666215</v>
      </c>
      <c r="J233" s="132">
        <v>2045</v>
      </c>
      <c r="K233" s="31">
        <v>30</v>
      </c>
      <c r="L233" s="84">
        <f t="shared" si="12"/>
        <v>0</v>
      </c>
      <c r="M233" s="36">
        <f t="shared" si="8"/>
        <v>0</v>
      </c>
      <c r="N233" s="36">
        <f t="shared" si="13"/>
        <v>0</v>
      </c>
      <c r="O233" s="144">
        <f t="shared" si="9"/>
        <v>3.3377923879916553E-2</v>
      </c>
      <c r="P233" s="145">
        <f t="shared" si="14"/>
        <v>0</v>
      </c>
    </row>
    <row r="234" spans="1:16" s="12" customFormat="1" ht="21.95" customHeight="1">
      <c r="A234" s="132">
        <f t="shared" si="3"/>
        <v>2058</v>
      </c>
      <c r="B234" s="31">
        <v>31</v>
      </c>
      <c r="C234" s="84">
        <f t="shared" si="4"/>
        <v>0</v>
      </c>
      <c r="D234" s="84">
        <f t="shared" si="5"/>
        <v>6563120039.5090904</v>
      </c>
      <c r="E234" s="36">
        <f t="shared" si="6"/>
        <v>7620381818.181818</v>
      </c>
      <c r="F234" s="36">
        <f t="shared" si="10"/>
        <v>14183501857.690908</v>
      </c>
      <c r="G234" s="144">
        <f t="shared" si="7"/>
        <v>2.9801717749925499E-2</v>
      </c>
      <c r="H234" s="145">
        <f t="shared" si="11"/>
        <v>422692719.06844842</v>
      </c>
      <c r="J234" s="132">
        <v>2046</v>
      </c>
      <c r="K234" s="31">
        <v>31</v>
      </c>
      <c r="L234" s="84">
        <f t="shared" si="12"/>
        <v>0</v>
      </c>
      <c r="M234" s="36">
        <f t="shared" si="8"/>
        <v>0</v>
      </c>
      <c r="N234" s="36">
        <f t="shared" si="13"/>
        <v>0</v>
      </c>
      <c r="O234" s="144">
        <f t="shared" si="9"/>
        <v>2.9801717749925499E-2</v>
      </c>
      <c r="P234" s="145">
        <f t="shared" si="14"/>
        <v>0</v>
      </c>
    </row>
    <row r="235" spans="1:16" s="12" customFormat="1" ht="21.95" customHeight="1">
      <c r="A235" s="132">
        <f t="shared" si="3"/>
        <v>2059</v>
      </c>
      <c r="B235" s="31">
        <v>32</v>
      </c>
      <c r="C235" s="84">
        <f t="shared" si="4"/>
        <v>0</v>
      </c>
      <c r="D235" s="84">
        <f t="shared" si="5"/>
        <v>6563120039.5090904</v>
      </c>
      <c r="E235" s="36">
        <f t="shared" si="6"/>
        <v>7620381818.181818</v>
      </c>
      <c r="F235" s="36">
        <f t="shared" si="10"/>
        <v>14183501857.690908</v>
      </c>
      <c r="G235" s="144">
        <f t="shared" si="7"/>
        <v>2.6608676562433473E-2</v>
      </c>
      <c r="H235" s="145">
        <f t="shared" si="11"/>
        <v>377404213.45397168</v>
      </c>
      <c r="J235" s="132">
        <v>2047</v>
      </c>
      <c r="K235" s="31">
        <v>32</v>
      </c>
      <c r="L235" s="84">
        <f t="shared" si="12"/>
        <v>0</v>
      </c>
      <c r="M235" s="36">
        <f t="shared" si="8"/>
        <v>0</v>
      </c>
      <c r="N235" s="36">
        <f t="shared" si="13"/>
        <v>0</v>
      </c>
      <c r="O235" s="144">
        <f t="shared" si="9"/>
        <v>2.6608676562433473E-2</v>
      </c>
      <c r="P235" s="145">
        <f t="shared" si="14"/>
        <v>0</v>
      </c>
    </row>
    <row r="236" spans="1:16" s="12" customFormat="1" ht="21.95" customHeight="1">
      <c r="A236" s="132">
        <f t="shared" ref="A236:A253" si="15">A179</f>
        <v>2060</v>
      </c>
      <c r="B236" s="31">
        <v>33</v>
      </c>
      <c r="C236" s="84">
        <f t="shared" ref="C236:C253" si="16">(($F$112*$F$113+$F$118*$F$119)*G179)/1.1</f>
        <v>0</v>
      </c>
      <c r="D236" s="84">
        <f t="shared" ref="D236:D253" si="17">($F$124*$F$125*$F$96*12*H179)/1.1</f>
        <v>6563120039.5090904</v>
      </c>
      <c r="E236" s="36">
        <f t="shared" ref="E236:E253" si="18">(($F$132*$F$133+$F$136*$F$137+$F$138*$F$139)*12*I179)/1.1</f>
        <v>7620381818.181818</v>
      </c>
      <c r="F236" s="36">
        <f t="shared" si="10"/>
        <v>14183501857.690908</v>
      </c>
      <c r="G236" s="144">
        <f t="shared" ref="G236:G253" si="19">1/(1+$F$95)^B236</f>
        <v>2.3757746930744169E-2</v>
      </c>
      <c r="H236" s="145">
        <f t="shared" si="11"/>
        <v>336968047.72676039</v>
      </c>
      <c r="J236" s="132">
        <v>2048</v>
      </c>
      <c r="K236" s="31">
        <v>33</v>
      </c>
      <c r="L236" s="84">
        <f t="shared" si="12"/>
        <v>0</v>
      </c>
      <c r="M236" s="36">
        <f t="shared" ref="M236:M253" si="20">$F$106*$F$107*F179/1.1</f>
        <v>0</v>
      </c>
      <c r="N236" s="36">
        <f t="shared" si="13"/>
        <v>0</v>
      </c>
      <c r="O236" s="144">
        <f t="shared" ref="O236:O253" si="21">1/(1+$F$95)^K236</f>
        <v>2.3757746930744169E-2</v>
      </c>
      <c r="P236" s="145">
        <f t="shared" si="14"/>
        <v>0</v>
      </c>
    </row>
    <row r="237" spans="1:16" s="12" customFormat="1" ht="21.95" customHeight="1">
      <c r="A237" s="132">
        <f t="shared" si="15"/>
        <v>2061</v>
      </c>
      <c r="B237" s="31">
        <v>34</v>
      </c>
      <c r="C237" s="84">
        <f t="shared" si="16"/>
        <v>0</v>
      </c>
      <c r="D237" s="84">
        <f t="shared" si="17"/>
        <v>6563120039.5090904</v>
      </c>
      <c r="E237" s="36">
        <f t="shared" si="18"/>
        <v>7620381818.181818</v>
      </c>
      <c r="F237" s="36">
        <f t="shared" si="10"/>
        <v>14183501857.690908</v>
      </c>
      <c r="G237" s="144">
        <f t="shared" si="19"/>
        <v>2.1212274045307292E-2</v>
      </c>
      <c r="H237" s="145">
        <f t="shared" si="11"/>
        <v>300864328.32746464</v>
      </c>
      <c r="J237" s="132">
        <v>2049</v>
      </c>
      <c r="K237" s="31">
        <v>34</v>
      </c>
      <c r="L237" s="84">
        <f t="shared" ref="L237:L253" si="22">$F$102*$F$103*E180/1.1</f>
        <v>0</v>
      </c>
      <c r="M237" s="36">
        <f t="shared" si="20"/>
        <v>0</v>
      </c>
      <c r="N237" s="36">
        <f t="shared" si="13"/>
        <v>0</v>
      </c>
      <c r="O237" s="144">
        <f t="shared" si="21"/>
        <v>2.1212274045307292E-2</v>
      </c>
      <c r="P237" s="145">
        <f t="shared" si="14"/>
        <v>0</v>
      </c>
    </row>
    <row r="238" spans="1:16" s="12" customFormat="1" ht="21.95" customHeight="1">
      <c r="A238" s="132">
        <f t="shared" si="15"/>
        <v>2062</v>
      </c>
      <c r="B238" s="31">
        <v>35</v>
      </c>
      <c r="C238" s="84">
        <f t="shared" si="16"/>
        <v>0</v>
      </c>
      <c r="D238" s="84">
        <f t="shared" si="17"/>
        <v>6563120039.5090904</v>
      </c>
      <c r="E238" s="36">
        <f t="shared" si="18"/>
        <v>7620381818.181818</v>
      </c>
      <c r="F238" s="36">
        <f t="shared" si="10"/>
        <v>14183501857.690908</v>
      </c>
      <c r="G238" s="144">
        <f t="shared" si="19"/>
        <v>1.8939530397595796E-2</v>
      </c>
      <c r="H238" s="145">
        <f t="shared" si="11"/>
        <v>268628864.57809341</v>
      </c>
      <c r="J238" s="132">
        <v>2050</v>
      </c>
      <c r="K238" s="31">
        <v>35</v>
      </c>
      <c r="L238" s="84">
        <f t="shared" si="22"/>
        <v>0</v>
      </c>
      <c r="M238" s="36">
        <f t="shared" si="20"/>
        <v>0</v>
      </c>
      <c r="N238" s="36">
        <f t="shared" si="13"/>
        <v>0</v>
      </c>
      <c r="O238" s="144">
        <f t="shared" si="21"/>
        <v>1.8939530397595796E-2</v>
      </c>
      <c r="P238" s="145">
        <f t="shared" si="14"/>
        <v>0</v>
      </c>
    </row>
    <row r="239" spans="1:16" s="12" customFormat="1" ht="21.95" customHeight="1">
      <c r="A239" s="132">
        <f t="shared" si="15"/>
        <v>2063</v>
      </c>
      <c r="B239" s="31">
        <v>36</v>
      </c>
      <c r="C239" s="84">
        <f t="shared" si="16"/>
        <v>0</v>
      </c>
      <c r="D239" s="84">
        <f t="shared" si="17"/>
        <v>6563120039.5090904</v>
      </c>
      <c r="E239" s="36">
        <f t="shared" si="18"/>
        <v>7620381818.181818</v>
      </c>
      <c r="F239" s="36">
        <f t="shared" si="10"/>
        <v>14183501857.690908</v>
      </c>
      <c r="G239" s="144">
        <f t="shared" si="19"/>
        <v>1.691029499785339E-2</v>
      </c>
      <c r="H239" s="145">
        <f t="shared" si="11"/>
        <v>239847200.51615483</v>
      </c>
      <c r="J239" s="132">
        <v>2051</v>
      </c>
      <c r="K239" s="31">
        <v>36</v>
      </c>
      <c r="L239" s="84">
        <f t="shared" si="22"/>
        <v>0</v>
      </c>
      <c r="M239" s="36">
        <f t="shared" si="20"/>
        <v>0</v>
      </c>
      <c r="N239" s="36">
        <f t="shared" si="13"/>
        <v>0</v>
      </c>
      <c r="O239" s="144">
        <f t="shared" si="21"/>
        <v>1.691029499785339E-2</v>
      </c>
      <c r="P239" s="145">
        <f t="shared" si="14"/>
        <v>0</v>
      </c>
    </row>
    <row r="240" spans="1:16" s="12" customFormat="1" ht="21.95" customHeight="1">
      <c r="A240" s="132">
        <f t="shared" si="15"/>
        <v>2064</v>
      </c>
      <c r="B240" s="31">
        <v>37</v>
      </c>
      <c r="C240" s="84">
        <f t="shared" si="16"/>
        <v>0</v>
      </c>
      <c r="D240" s="84">
        <f t="shared" si="17"/>
        <v>6563120039.5090904</v>
      </c>
      <c r="E240" s="36">
        <f t="shared" si="18"/>
        <v>7620381818.181818</v>
      </c>
      <c r="F240" s="36">
        <f t="shared" si="10"/>
        <v>14183501857.690908</v>
      </c>
      <c r="G240" s="144">
        <f t="shared" si="19"/>
        <v>1.5098477676654811E-2</v>
      </c>
      <c r="H240" s="145">
        <f t="shared" si="11"/>
        <v>214149286.17513824</v>
      </c>
      <c r="J240" s="132">
        <v>2052</v>
      </c>
      <c r="K240" s="31">
        <v>37</v>
      </c>
      <c r="L240" s="84">
        <f t="shared" si="22"/>
        <v>0</v>
      </c>
      <c r="M240" s="36">
        <f t="shared" si="20"/>
        <v>0</v>
      </c>
      <c r="N240" s="36">
        <f t="shared" si="13"/>
        <v>0</v>
      </c>
      <c r="O240" s="144">
        <f t="shared" si="21"/>
        <v>1.5098477676654811E-2</v>
      </c>
      <c r="P240" s="145">
        <f t="shared" si="14"/>
        <v>0</v>
      </c>
    </row>
    <row r="241" spans="1:16" s="12" customFormat="1" ht="21.95" customHeight="1">
      <c r="A241" s="132">
        <f t="shared" si="15"/>
        <v>2065</v>
      </c>
      <c r="B241" s="31">
        <v>38</v>
      </c>
      <c r="C241" s="84">
        <f t="shared" si="16"/>
        <v>0</v>
      </c>
      <c r="D241" s="84">
        <f t="shared" si="17"/>
        <v>6563120039.5090904</v>
      </c>
      <c r="E241" s="36">
        <f t="shared" si="18"/>
        <v>7620381818.181818</v>
      </c>
      <c r="F241" s="36">
        <f t="shared" si="10"/>
        <v>14183501857.690908</v>
      </c>
      <c r="G241" s="144">
        <f t="shared" si="19"/>
        <v>1.3480783639870366E-2</v>
      </c>
      <c r="H241" s="145">
        <f t="shared" si="11"/>
        <v>191204719.79923055</v>
      </c>
      <c r="J241" s="132">
        <v>2053</v>
      </c>
      <c r="K241" s="31">
        <v>38</v>
      </c>
      <c r="L241" s="84">
        <f t="shared" si="22"/>
        <v>0</v>
      </c>
      <c r="M241" s="36">
        <f t="shared" si="20"/>
        <v>0</v>
      </c>
      <c r="N241" s="36">
        <f t="shared" si="13"/>
        <v>0</v>
      </c>
      <c r="O241" s="144">
        <f t="shared" si="21"/>
        <v>1.3480783639870366E-2</v>
      </c>
      <c r="P241" s="145">
        <f t="shared" si="14"/>
        <v>0</v>
      </c>
    </row>
    <row r="242" spans="1:16" s="12" customFormat="1" ht="21.95" customHeight="1">
      <c r="A242" s="132">
        <f t="shared" si="15"/>
        <v>2066</v>
      </c>
      <c r="B242" s="31">
        <v>39</v>
      </c>
      <c r="C242" s="84">
        <f t="shared" si="16"/>
        <v>0</v>
      </c>
      <c r="D242" s="84">
        <f t="shared" si="17"/>
        <v>6563120039.5090904</v>
      </c>
      <c r="E242" s="36">
        <f t="shared" si="18"/>
        <v>7620381818.181818</v>
      </c>
      <c r="F242" s="36">
        <f t="shared" si="10"/>
        <v>14183501857.690908</v>
      </c>
      <c r="G242" s="144">
        <f t="shared" si="19"/>
        <v>1.2036413964169971E-2</v>
      </c>
      <c r="H242" s="145">
        <f t="shared" si="11"/>
        <v>170718499.82074156</v>
      </c>
      <c r="J242" s="132">
        <v>2054</v>
      </c>
      <c r="K242" s="31">
        <v>39</v>
      </c>
      <c r="L242" s="84">
        <f t="shared" si="22"/>
        <v>0</v>
      </c>
      <c r="M242" s="36">
        <f t="shared" si="20"/>
        <v>0</v>
      </c>
      <c r="N242" s="36">
        <f t="shared" si="13"/>
        <v>0</v>
      </c>
      <c r="O242" s="144">
        <f t="shared" si="21"/>
        <v>1.2036413964169971E-2</v>
      </c>
      <c r="P242" s="145">
        <f t="shared" si="14"/>
        <v>0</v>
      </c>
    </row>
    <row r="243" spans="1:16" s="12" customFormat="1" ht="21.95" customHeight="1">
      <c r="A243" s="132">
        <f t="shared" si="15"/>
        <v>2067</v>
      </c>
      <c r="B243" s="31">
        <v>40</v>
      </c>
      <c r="C243" s="84">
        <f t="shared" si="16"/>
        <v>0</v>
      </c>
      <c r="D243" s="84">
        <f t="shared" si="17"/>
        <v>6563120039.5090904</v>
      </c>
      <c r="E243" s="36">
        <f t="shared" si="18"/>
        <v>7620381818.181818</v>
      </c>
      <c r="F243" s="36">
        <f t="shared" si="10"/>
        <v>14183501857.690908</v>
      </c>
      <c r="G243" s="144">
        <f t="shared" si="19"/>
        <v>1.0746798182294614E-2</v>
      </c>
      <c r="H243" s="145">
        <f t="shared" si="11"/>
        <v>152427231.98280492</v>
      </c>
      <c r="J243" s="132">
        <v>2055</v>
      </c>
      <c r="K243" s="31">
        <v>40</v>
      </c>
      <c r="L243" s="84">
        <f t="shared" si="22"/>
        <v>0</v>
      </c>
      <c r="M243" s="36">
        <f t="shared" si="20"/>
        <v>0</v>
      </c>
      <c r="N243" s="36">
        <f t="shared" si="13"/>
        <v>0</v>
      </c>
      <c r="O243" s="144">
        <f t="shared" si="21"/>
        <v>1.0746798182294614E-2</v>
      </c>
      <c r="P243" s="145">
        <f t="shared" si="14"/>
        <v>0</v>
      </c>
    </row>
    <row r="244" spans="1:16" s="12" customFormat="1" ht="21.95" customHeight="1">
      <c r="A244" s="132">
        <f t="shared" si="15"/>
        <v>2068</v>
      </c>
      <c r="B244" s="31">
        <v>41</v>
      </c>
      <c r="C244" s="84">
        <f t="shared" si="16"/>
        <v>0</v>
      </c>
      <c r="D244" s="84">
        <f t="shared" si="17"/>
        <v>6563120039.5090904</v>
      </c>
      <c r="E244" s="36">
        <f t="shared" si="18"/>
        <v>7620381818.181818</v>
      </c>
      <c r="F244" s="36">
        <f t="shared" si="10"/>
        <v>14183501857.690908</v>
      </c>
      <c r="G244" s="144">
        <f t="shared" si="19"/>
        <v>9.5953555199059064E-3</v>
      </c>
      <c r="H244" s="145">
        <f t="shared" si="11"/>
        <v>136095742.84179014</v>
      </c>
      <c r="J244" s="132">
        <v>2056</v>
      </c>
      <c r="K244" s="31">
        <v>41</v>
      </c>
      <c r="L244" s="84">
        <f t="shared" si="22"/>
        <v>0</v>
      </c>
      <c r="M244" s="36">
        <f t="shared" si="20"/>
        <v>0</v>
      </c>
      <c r="N244" s="36">
        <f t="shared" si="13"/>
        <v>0</v>
      </c>
      <c r="O244" s="144">
        <f t="shared" si="21"/>
        <v>9.5953555199059064E-3</v>
      </c>
      <c r="P244" s="145">
        <f t="shared" si="14"/>
        <v>0</v>
      </c>
    </row>
    <row r="245" spans="1:16" s="12" customFormat="1" ht="21.95" customHeight="1">
      <c r="A245" s="132">
        <f t="shared" si="15"/>
        <v>2069</v>
      </c>
      <c r="B245" s="31">
        <v>42</v>
      </c>
      <c r="C245" s="84">
        <f t="shared" si="16"/>
        <v>0</v>
      </c>
      <c r="D245" s="84">
        <f t="shared" si="17"/>
        <v>6563120039.5090904</v>
      </c>
      <c r="E245" s="36">
        <f t="shared" si="18"/>
        <v>7620381818.181818</v>
      </c>
      <c r="F245" s="36">
        <f t="shared" si="10"/>
        <v>14183501857.690908</v>
      </c>
      <c r="G245" s="144">
        <f t="shared" si="19"/>
        <v>8.5672817142017008E-3</v>
      </c>
      <c r="H245" s="145">
        <f t="shared" si="11"/>
        <v>121514056.10874118</v>
      </c>
      <c r="J245" s="132">
        <v>2057</v>
      </c>
      <c r="K245" s="31">
        <v>42</v>
      </c>
      <c r="L245" s="84">
        <f t="shared" si="22"/>
        <v>0</v>
      </c>
      <c r="M245" s="36">
        <f t="shared" si="20"/>
        <v>0</v>
      </c>
      <c r="N245" s="36">
        <f t="shared" si="13"/>
        <v>0</v>
      </c>
      <c r="O245" s="144">
        <f t="shared" si="21"/>
        <v>8.5672817142017008E-3</v>
      </c>
      <c r="P245" s="145">
        <f t="shared" si="14"/>
        <v>0</v>
      </c>
    </row>
    <row r="246" spans="1:16" s="12" customFormat="1" ht="21.95" customHeight="1">
      <c r="A246" s="132">
        <f t="shared" si="15"/>
        <v>2070</v>
      </c>
      <c r="B246" s="31">
        <v>43</v>
      </c>
      <c r="C246" s="84">
        <f t="shared" si="16"/>
        <v>0</v>
      </c>
      <c r="D246" s="84">
        <f t="shared" si="17"/>
        <v>6563120039.5090904</v>
      </c>
      <c r="E246" s="36">
        <f t="shared" si="18"/>
        <v>7620381818.181818</v>
      </c>
      <c r="F246" s="36">
        <f t="shared" si="10"/>
        <v>14183501857.690908</v>
      </c>
      <c r="G246" s="144">
        <f t="shared" si="19"/>
        <v>7.6493586733943734E-3</v>
      </c>
      <c r="H246" s="145">
        <f t="shared" si="11"/>
        <v>108494692.95423315</v>
      </c>
      <c r="J246" s="132">
        <v>2058</v>
      </c>
      <c r="K246" s="31">
        <v>43</v>
      </c>
      <c r="L246" s="84">
        <f t="shared" si="22"/>
        <v>0</v>
      </c>
      <c r="M246" s="36">
        <f t="shared" si="20"/>
        <v>0</v>
      </c>
      <c r="N246" s="36">
        <f t="shared" si="13"/>
        <v>0</v>
      </c>
      <c r="O246" s="144">
        <f t="shared" si="21"/>
        <v>7.6493586733943734E-3</v>
      </c>
      <c r="P246" s="145">
        <f t="shared" si="14"/>
        <v>0</v>
      </c>
    </row>
    <row r="247" spans="1:16" s="12" customFormat="1" ht="21.95" customHeight="1">
      <c r="A247" s="132">
        <f t="shared" si="15"/>
        <v>2071</v>
      </c>
      <c r="B247" s="31">
        <v>44</v>
      </c>
      <c r="C247" s="84">
        <f t="shared" si="16"/>
        <v>0</v>
      </c>
      <c r="D247" s="84">
        <f t="shared" si="17"/>
        <v>6563120039.5090904</v>
      </c>
      <c r="E247" s="36">
        <f t="shared" si="18"/>
        <v>7620381818.181818</v>
      </c>
      <c r="F247" s="36">
        <f t="shared" si="10"/>
        <v>14183501857.690908</v>
      </c>
      <c r="G247" s="144">
        <f t="shared" si="19"/>
        <v>6.8297845298164062E-3</v>
      </c>
      <c r="H247" s="145">
        <f t="shared" si="11"/>
        <v>96870261.56627962</v>
      </c>
      <c r="J247" s="132">
        <v>2059</v>
      </c>
      <c r="K247" s="31">
        <v>44</v>
      </c>
      <c r="L247" s="84">
        <f t="shared" si="22"/>
        <v>0</v>
      </c>
      <c r="M247" s="36">
        <f t="shared" si="20"/>
        <v>0</v>
      </c>
      <c r="N247" s="36">
        <f t="shared" si="13"/>
        <v>0</v>
      </c>
      <c r="O247" s="144">
        <f t="shared" si="21"/>
        <v>6.8297845298164062E-3</v>
      </c>
      <c r="P247" s="145">
        <f t="shared" si="14"/>
        <v>0</v>
      </c>
    </row>
    <row r="248" spans="1:16" s="12" customFormat="1" ht="21.95" customHeight="1">
      <c r="A248" s="132">
        <f t="shared" si="15"/>
        <v>2072</v>
      </c>
      <c r="B248" s="31">
        <v>45</v>
      </c>
      <c r="C248" s="84">
        <f t="shared" si="16"/>
        <v>0</v>
      </c>
      <c r="D248" s="84">
        <f t="shared" si="17"/>
        <v>6563120039.5090904</v>
      </c>
      <c r="E248" s="36">
        <f t="shared" si="18"/>
        <v>7620381818.181818</v>
      </c>
      <c r="F248" s="36">
        <f t="shared" si="10"/>
        <v>14183501857.690908</v>
      </c>
      <c r="G248" s="144">
        <f t="shared" si="19"/>
        <v>6.0980219016217897E-3</v>
      </c>
      <c r="H248" s="145">
        <f t="shared" si="11"/>
        <v>86491304.969892502</v>
      </c>
      <c r="J248" s="132">
        <v>2060</v>
      </c>
      <c r="K248" s="31">
        <v>45</v>
      </c>
      <c r="L248" s="84">
        <f t="shared" si="22"/>
        <v>0</v>
      </c>
      <c r="M248" s="36">
        <f t="shared" si="20"/>
        <v>0</v>
      </c>
      <c r="N248" s="36">
        <f t="shared" si="13"/>
        <v>0</v>
      </c>
      <c r="O248" s="144">
        <f t="shared" si="21"/>
        <v>6.0980219016217897E-3</v>
      </c>
      <c r="P248" s="145">
        <f t="shared" si="14"/>
        <v>0</v>
      </c>
    </row>
    <row r="249" spans="1:16" s="12" customFormat="1" ht="21.95" customHeight="1">
      <c r="A249" s="132">
        <f t="shared" si="15"/>
        <v>2073</v>
      </c>
      <c r="B249" s="31">
        <v>46</v>
      </c>
      <c r="C249" s="84">
        <f t="shared" si="16"/>
        <v>0</v>
      </c>
      <c r="D249" s="84">
        <f t="shared" si="17"/>
        <v>6563120039.5090904</v>
      </c>
      <c r="E249" s="36">
        <f t="shared" si="18"/>
        <v>7620381818.181818</v>
      </c>
      <c r="F249" s="36">
        <f t="shared" si="10"/>
        <v>14183501857.690908</v>
      </c>
      <c r="G249" s="144">
        <f t="shared" si="19"/>
        <v>5.4446624121623115E-3</v>
      </c>
      <c r="H249" s="145">
        <f t="shared" si="11"/>
        <v>77224379.437404007</v>
      </c>
      <c r="J249" s="132">
        <v>2061</v>
      </c>
      <c r="K249" s="31">
        <v>46</v>
      </c>
      <c r="L249" s="84">
        <f t="shared" si="22"/>
        <v>0</v>
      </c>
      <c r="M249" s="36">
        <f t="shared" si="20"/>
        <v>0</v>
      </c>
      <c r="N249" s="36">
        <f t="shared" si="13"/>
        <v>0</v>
      </c>
      <c r="O249" s="144">
        <f t="shared" si="21"/>
        <v>5.4446624121623115E-3</v>
      </c>
      <c r="P249" s="145">
        <f t="shared" si="14"/>
        <v>0</v>
      </c>
    </row>
    <row r="250" spans="1:16" s="12" customFormat="1" ht="21.95" customHeight="1">
      <c r="A250" s="132">
        <f t="shared" si="15"/>
        <v>2074</v>
      </c>
      <c r="B250" s="31">
        <v>47</v>
      </c>
      <c r="C250" s="84">
        <f t="shared" si="16"/>
        <v>0</v>
      </c>
      <c r="D250" s="84">
        <f t="shared" si="17"/>
        <v>6563120039.5090904</v>
      </c>
      <c r="E250" s="36">
        <f t="shared" si="18"/>
        <v>7620381818.181818</v>
      </c>
      <c r="F250" s="36">
        <f t="shared" si="10"/>
        <v>14183501857.690908</v>
      </c>
      <c r="G250" s="144">
        <f t="shared" si="19"/>
        <v>4.8613057251449222E-3</v>
      </c>
      <c r="H250" s="145">
        <f t="shared" si="11"/>
        <v>68950338.783396453</v>
      </c>
      <c r="J250" s="132">
        <v>2062</v>
      </c>
      <c r="K250" s="31">
        <v>47</v>
      </c>
      <c r="L250" s="84">
        <f t="shared" si="22"/>
        <v>0</v>
      </c>
      <c r="M250" s="36">
        <f t="shared" si="20"/>
        <v>0</v>
      </c>
      <c r="N250" s="36">
        <f t="shared" si="13"/>
        <v>0</v>
      </c>
      <c r="O250" s="144">
        <f t="shared" si="21"/>
        <v>4.8613057251449222E-3</v>
      </c>
      <c r="P250" s="145">
        <f t="shared" si="14"/>
        <v>0</v>
      </c>
    </row>
    <row r="251" spans="1:16" s="12" customFormat="1" ht="21.95" customHeight="1">
      <c r="A251" s="132">
        <f t="shared" si="15"/>
        <v>2075</v>
      </c>
      <c r="B251" s="31">
        <v>48</v>
      </c>
      <c r="C251" s="84">
        <f t="shared" si="16"/>
        <v>0</v>
      </c>
      <c r="D251" s="84">
        <f t="shared" si="17"/>
        <v>6563120039.5090904</v>
      </c>
      <c r="E251" s="36">
        <f t="shared" si="18"/>
        <v>7620381818.181818</v>
      </c>
      <c r="F251" s="36">
        <f t="shared" si="10"/>
        <v>14183501857.690908</v>
      </c>
      <c r="G251" s="144">
        <f t="shared" si="19"/>
        <v>4.3404515403079645E-3</v>
      </c>
      <c r="H251" s="145">
        <f t="shared" si="11"/>
        <v>61562802.485175379</v>
      </c>
      <c r="J251" s="132">
        <v>2063</v>
      </c>
      <c r="K251" s="31">
        <v>48</v>
      </c>
      <c r="L251" s="84">
        <f t="shared" si="22"/>
        <v>0</v>
      </c>
      <c r="M251" s="36">
        <f t="shared" si="20"/>
        <v>0</v>
      </c>
      <c r="N251" s="36">
        <f t="shared" si="13"/>
        <v>0</v>
      </c>
      <c r="O251" s="144">
        <f t="shared" si="21"/>
        <v>4.3404515403079645E-3</v>
      </c>
      <c r="P251" s="145">
        <f t="shared" si="14"/>
        <v>0</v>
      </c>
    </row>
    <row r="252" spans="1:16" s="12" customFormat="1" ht="21.95" customHeight="1">
      <c r="A252" s="132">
        <f t="shared" si="15"/>
        <v>2076</v>
      </c>
      <c r="B252" s="31">
        <v>49</v>
      </c>
      <c r="C252" s="84">
        <f t="shared" si="16"/>
        <v>0</v>
      </c>
      <c r="D252" s="84">
        <f t="shared" si="17"/>
        <v>6563120039.5090904</v>
      </c>
      <c r="E252" s="36">
        <f t="shared" si="18"/>
        <v>7620381818.181818</v>
      </c>
      <c r="F252" s="36">
        <f t="shared" si="10"/>
        <v>14183501857.690908</v>
      </c>
      <c r="G252" s="144">
        <f t="shared" si="19"/>
        <v>3.8754031609892544E-3</v>
      </c>
      <c r="H252" s="145">
        <f t="shared" si="11"/>
        <v>54966787.933192305</v>
      </c>
      <c r="J252" s="132">
        <v>2064</v>
      </c>
      <c r="K252" s="31">
        <v>49</v>
      </c>
      <c r="L252" s="84">
        <f t="shared" si="22"/>
        <v>0</v>
      </c>
      <c r="M252" s="36">
        <f t="shared" si="20"/>
        <v>0</v>
      </c>
      <c r="N252" s="36">
        <f t="shared" si="13"/>
        <v>0</v>
      </c>
      <c r="O252" s="144">
        <f t="shared" si="21"/>
        <v>3.8754031609892544E-3</v>
      </c>
      <c r="P252" s="145">
        <f t="shared" si="14"/>
        <v>0</v>
      </c>
    </row>
    <row r="253" spans="1:16" s="12" customFormat="1" ht="21.95" customHeight="1">
      <c r="A253" s="132">
        <f t="shared" si="15"/>
        <v>2077</v>
      </c>
      <c r="B253" s="31">
        <v>50</v>
      </c>
      <c r="C253" s="84">
        <f t="shared" si="16"/>
        <v>0</v>
      </c>
      <c r="D253" s="84">
        <f t="shared" si="17"/>
        <v>6563120039.5090904</v>
      </c>
      <c r="E253" s="36">
        <f t="shared" si="18"/>
        <v>7620381818.181818</v>
      </c>
      <c r="F253" s="36">
        <f t="shared" si="10"/>
        <v>14183501857.690908</v>
      </c>
      <c r="G253" s="144">
        <f t="shared" si="19"/>
        <v>3.460181393740405E-3</v>
      </c>
      <c r="H253" s="145">
        <f t="shared" si="11"/>
        <v>49077489.226064548</v>
      </c>
      <c r="J253" s="132">
        <v>2065</v>
      </c>
      <c r="K253" s="31">
        <v>50</v>
      </c>
      <c r="L253" s="84">
        <f t="shared" si="22"/>
        <v>0</v>
      </c>
      <c r="M253" s="36">
        <f t="shared" si="20"/>
        <v>0</v>
      </c>
      <c r="N253" s="36">
        <f t="shared" si="13"/>
        <v>0</v>
      </c>
      <c r="O253" s="144">
        <f t="shared" si="21"/>
        <v>3.460181393740405E-3</v>
      </c>
      <c r="P253" s="145">
        <f t="shared" si="14"/>
        <v>0</v>
      </c>
    </row>
    <row r="254" spans="1:16" s="12" customFormat="1" ht="21.95" customHeight="1" thickBot="1">
      <c r="A254" s="2472" t="s">
        <v>84</v>
      </c>
      <c r="B254" s="2473"/>
      <c r="C254" s="146">
        <f>SUM(C204:C253)</f>
        <v>3395641755272.7275</v>
      </c>
      <c r="D254" s="146">
        <f>SUM(D204:D253)</f>
        <v>301174286257.47284</v>
      </c>
      <c r="E254" s="146">
        <f>SUM(E204:E253)</f>
        <v>349690854545.45471</v>
      </c>
      <c r="F254" s="146">
        <f>SUM(F204:F253)</f>
        <v>4046506896075.6558</v>
      </c>
      <c r="G254" s="146"/>
      <c r="H254" s="147">
        <f>SUM(H204:H253)</f>
        <v>2792147948540.5981</v>
      </c>
      <c r="I254" s="148"/>
      <c r="J254" s="2472" t="s">
        <v>84</v>
      </c>
      <c r="K254" s="2473"/>
      <c r="L254" s="146">
        <f>SUM(L204:L253)</f>
        <v>418256999999.99994</v>
      </c>
      <c r="M254" s="146">
        <f>SUM(M204:M253)</f>
        <v>0</v>
      </c>
      <c r="N254" s="146">
        <f>SUM(N204:N253)</f>
        <v>418256999999.99994</v>
      </c>
      <c r="O254" s="146"/>
      <c r="P254" s="147">
        <f>SUM(P204:P253)</f>
        <v>373443749999.99994</v>
      </c>
    </row>
    <row r="255" spans="1:16" s="12" customFormat="1" ht="21.95" customHeight="1" thickTop="1">
      <c r="D255" s="51"/>
      <c r="E255" s="51"/>
    </row>
    <row r="256" spans="1:16" s="12" customFormat="1" ht="21.95" customHeight="1"/>
    <row r="257" spans="1:13" s="12" customFormat="1" ht="21.95" customHeight="1"/>
    <row r="258" spans="1:13" s="12" customFormat="1" ht="36.75" customHeight="1">
      <c r="A258" s="2375" t="s">
        <v>696</v>
      </c>
      <c r="B258" s="2375"/>
      <c r="C258" s="2375"/>
      <c r="D258" s="2375"/>
      <c r="E258" s="2375"/>
      <c r="F258" s="2375"/>
      <c r="G258" s="2375"/>
      <c r="H258" s="2375"/>
      <c r="I258" s="2375"/>
      <c r="J258" s="2375"/>
      <c r="K258" s="149"/>
      <c r="L258" s="149"/>
      <c r="M258" s="149"/>
    </row>
    <row r="259" spans="1:13" s="12" customFormat="1" ht="21.95" customHeight="1" thickBot="1">
      <c r="A259" s="137" t="s">
        <v>319</v>
      </c>
      <c r="D259" s="121"/>
      <c r="E259" s="121"/>
    </row>
    <row r="260" spans="1:13" s="12" customFormat="1" ht="88.5" customHeight="1" thickTop="1">
      <c r="A260" s="2414" t="s">
        <v>303</v>
      </c>
      <c r="B260" s="2466"/>
      <c r="C260" s="138" t="s">
        <v>408</v>
      </c>
      <c r="D260" s="138" t="s">
        <v>409</v>
      </c>
      <c r="E260" s="138" t="s">
        <v>410</v>
      </c>
      <c r="F260" s="138" t="s">
        <v>661</v>
      </c>
      <c r="G260" s="138" t="s">
        <v>662</v>
      </c>
      <c r="H260" s="138" t="s">
        <v>660</v>
      </c>
      <c r="I260" s="138" t="s">
        <v>404</v>
      </c>
      <c r="J260" s="139" t="s">
        <v>411</v>
      </c>
    </row>
    <row r="261" spans="1:13" s="12" customFormat="1" ht="38.25" customHeight="1">
      <c r="A261" s="2464" t="s">
        <v>311</v>
      </c>
      <c r="B261" s="2465"/>
      <c r="C261" s="140" t="s">
        <v>312</v>
      </c>
      <c r="D261" s="140" t="s">
        <v>313</v>
      </c>
      <c r="E261" s="141" t="s">
        <v>325</v>
      </c>
      <c r="F261" s="140" t="s">
        <v>315</v>
      </c>
      <c r="G261" s="140" t="s">
        <v>316</v>
      </c>
      <c r="H261" s="141" t="s">
        <v>326</v>
      </c>
      <c r="I261" s="140" t="s">
        <v>327</v>
      </c>
      <c r="J261" s="150" t="s">
        <v>328</v>
      </c>
    </row>
    <row r="262" spans="1:13" s="12" customFormat="1" ht="21.95" customHeight="1">
      <c r="A262" s="132">
        <f>A204</f>
        <v>2028</v>
      </c>
      <c r="B262" s="31">
        <v>1</v>
      </c>
      <c r="C262" s="36">
        <f>($F$66*$F$67*C147)/1.1</f>
        <v>16337217900.940439</v>
      </c>
      <c r="D262" s="36">
        <f>IF($D$381="yes",($F$75*$F$77+$F$76*$F$78)*D147/1.1,($F$77*$F$40)*D147/1.1)</f>
        <v>821065555997.03491</v>
      </c>
      <c r="E262" s="36">
        <f>(C262*1.1+D262*1.1)*10%</f>
        <v>92114305128.777298</v>
      </c>
      <c r="F262" s="84">
        <f>+SUM(C204:E204)*$F$87</f>
        <v>20373850531.636364</v>
      </c>
      <c r="G262" s="84">
        <f t="shared" ref="G262:G293" si="23">+(D204+E204)*$F$88</f>
        <v>0</v>
      </c>
      <c r="H262" s="151">
        <f>C262+D262+E262+F262+G262</f>
        <v>949890929558.38904</v>
      </c>
      <c r="I262" s="144">
        <f t="shared" ref="I262:I293" si="24">1/(1+$F$95)^B262</f>
        <v>0.89285714285714279</v>
      </c>
      <c r="J262" s="145">
        <f>H262*I262</f>
        <v>848116901391.4187</v>
      </c>
    </row>
    <row r="263" spans="1:13" s="12" customFormat="1" ht="21.95" customHeight="1">
      <c r="A263" s="132">
        <f t="shared" ref="A263:A311" si="25">A205</f>
        <v>2029</v>
      </c>
      <c r="B263" s="31">
        <v>2</v>
      </c>
      <c r="C263" s="36">
        <f t="shared" ref="C263:C311" si="26">(($F$66*$F$67*C148)+($F$70*$F$71*$C148))/1.1</f>
        <v>0</v>
      </c>
      <c r="D263" s="36">
        <f t="shared" ref="D263:D293" si="27">IF($D$381="yes",($F$75*$F$77+$F$76*$F$78)*D148/1.1,($F$77*$F$40)*D148/1.1)</f>
        <v>821065555997.03491</v>
      </c>
      <c r="E263" s="36">
        <f t="shared" ref="E263:E311" si="28">(C263*1.1+D263*1.1)*10%</f>
        <v>90317211159.673859</v>
      </c>
      <c r="F263" s="84">
        <f>+SUM(C205:E205)*$F$87</f>
        <v>27165134042.181816</v>
      </c>
      <c r="G263" s="84">
        <f t="shared" si="23"/>
        <v>0</v>
      </c>
      <c r="H263" s="151">
        <f t="shared" ref="H263:H311" si="29">C263+D263+E263+F263+G263</f>
        <v>938547901198.8905</v>
      </c>
      <c r="I263" s="144">
        <f t="shared" si="24"/>
        <v>0.79719387755102034</v>
      </c>
      <c r="J263" s="145">
        <f t="shared" ref="J263:J311" si="30">H263*I263</f>
        <v>748204640624.11548</v>
      </c>
    </row>
    <row r="264" spans="1:13" s="12" customFormat="1" ht="21.95" customHeight="1">
      <c r="A264" s="132">
        <f t="shared" si="25"/>
        <v>2030</v>
      </c>
      <c r="B264" s="31">
        <v>3</v>
      </c>
      <c r="C264" s="36">
        <f t="shared" si="26"/>
        <v>0</v>
      </c>
      <c r="D264" s="36">
        <f t="shared" si="27"/>
        <v>410532777998.51746</v>
      </c>
      <c r="E264" s="36">
        <f t="shared" si="28"/>
        <v>45158605579.836929</v>
      </c>
      <c r="F264" s="84">
        <f t="shared" ref="F264:F311" si="31">+SUM(C206:E206)*$F$87</f>
        <v>20373850531.636364</v>
      </c>
      <c r="G264" s="84">
        <f t="shared" si="23"/>
        <v>0</v>
      </c>
      <c r="H264" s="151">
        <f t="shared" si="29"/>
        <v>476065234109.99072</v>
      </c>
      <c r="I264" s="144">
        <f t="shared" si="24"/>
        <v>0.71178024781341087</v>
      </c>
      <c r="J264" s="145">
        <f t="shared" si="30"/>
        <v>338853830310.15863</v>
      </c>
    </row>
    <row r="265" spans="1:13" s="12" customFormat="1" ht="21.95" customHeight="1">
      <c r="A265" s="132">
        <f t="shared" si="25"/>
        <v>2031</v>
      </c>
      <c r="B265" s="31">
        <v>4</v>
      </c>
      <c r="C265" s="36">
        <f t="shared" si="26"/>
        <v>0</v>
      </c>
      <c r="D265" s="36">
        <f t="shared" si="27"/>
        <v>0</v>
      </c>
      <c r="E265" s="36">
        <f t="shared" si="28"/>
        <v>0</v>
      </c>
      <c r="F265" s="84">
        <f t="shared" si="31"/>
        <v>157594465.08545452</v>
      </c>
      <c r="G265" s="84">
        <f t="shared" si="23"/>
        <v>1181958488.140909</v>
      </c>
      <c r="H265" s="151">
        <f t="shared" si="29"/>
        <v>1339552953.2263634</v>
      </c>
      <c r="I265" s="144">
        <f t="shared" si="24"/>
        <v>0.63551807840483121</v>
      </c>
      <c r="J265" s="145">
        <f t="shared" si="30"/>
        <v>851310118.75593519</v>
      </c>
    </row>
    <row r="266" spans="1:13" s="12" customFormat="1" ht="21.95" customHeight="1">
      <c r="A266" s="132">
        <f t="shared" si="25"/>
        <v>2032</v>
      </c>
      <c r="B266" s="31">
        <v>5</v>
      </c>
      <c r="C266" s="36">
        <f t="shared" si="26"/>
        <v>0</v>
      </c>
      <c r="D266" s="36">
        <f t="shared" si="27"/>
        <v>0</v>
      </c>
      <c r="E266" s="36">
        <f t="shared" si="28"/>
        <v>0</v>
      </c>
      <c r="F266" s="84">
        <f t="shared" si="31"/>
        <v>189113358.10254544</v>
      </c>
      <c r="G266" s="84">
        <f t="shared" si="23"/>
        <v>1418350185.7690907</v>
      </c>
      <c r="H266" s="151">
        <f t="shared" si="29"/>
        <v>1607463543.8716362</v>
      </c>
      <c r="I266" s="144">
        <f t="shared" si="24"/>
        <v>0.56742685571859919</v>
      </c>
      <c r="J266" s="145">
        <f t="shared" si="30"/>
        <v>912117984.38135898</v>
      </c>
    </row>
    <row r="267" spans="1:13" s="12" customFormat="1" ht="21.95" customHeight="1">
      <c r="A267" s="132">
        <f t="shared" si="25"/>
        <v>2033</v>
      </c>
      <c r="B267" s="31">
        <v>6</v>
      </c>
      <c r="C267" s="36">
        <f t="shared" si="26"/>
        <v>0</v>
      </c>
      <c r="D267" s="36">
        <f t="shared" si="27"/>
        <v>0</v>
      </c>
      <c r="E267" s="36">
        <f t="shared" si="28"/>
        <v>0</v>
      </c>
      <c r="F267" s="84">
        <f t="shared" si="31"/>
        <v>220632251.1196363</v>
      </c>
      <c r="G267" s="84">
        <f t="shared" si="23"/>
        <v>1654741883.3972723</v>
      </c>
      <c r="H267" s="151">
        <f t="shared" si="29"/>
        <v>1875374134.5169086</v>
      </c>
      <c r="I267" s="144">
        <f t="shared" si="24"/>
        <v>0.50663112117732068</v>
      </c>
      <c r="J267" s="145">
        <f t="shared" si="30"/>
        <v>950122900.39724886</v>
      </c>
    </row>
    <row r="268" spans="1:13" s="12" customFormat="1" ht="21.95" customHeight="1">
      <c r="A268" s="132">
        <f t="shared" si="25"/>
        <v>2034</v>
      </c>
      <c r="B268" s="31">
        <v>7</v>
      </c>
      <c r="C268" s="36">
        <f t="shared" si="26"/>
        <v>0</v>
      </c>
      <c r="D268" s="36">
        <f t="shared" si="27"/>
        <v>0</v>
      </c>
      <c r="E268" s="36">
        <f t="shared" si="28"/>
        <v>0</v>
      </c>
      <c r="F268" s="84">
        <f t="shared" si="31"/>
        <v>252151144.1367273</v>
      </c>
      <c r="G268" s="84">
        <f t="shared" si="23"/>
        <v>1891133581.0254548</v>
      </c>
      <c r="H268" s="151">
        <f t="shared" si="29"/>
        <v>2143284725.1621821</v>
      </c>
      <c r="I268" s="144">
        <f t="shared" si="24"/>
        <v>0.45234921533689343</v>
      </c>
      <c r="J268" s="145">
        <f t="shared" si="30"/>
        <v>969513163.6706624</v>
      </c>
    </row>
    <row r="269" spans="1:13" s="12" customFormat="1" ht="21.95" customHeight="1">
      <c r="A269" s="132">
        <f t="shared" si="25"/>
        <v>2035</v>
      </c>
      <c r="B269" s="31">
        <v>8</v>
      </c>
      <c r="C269" s="36">
        <f t="shared" si="26"/>
        <v>0</v>
      </c>
      <c r="D269" s="36">
        <f t="shared" si="27"/>
        <v>0</v>
      </c>
      <c r="E269" s="36">
        <f t="shared" si="28"/>
        <v>0</v>
      </c>
      <c r="F269" s="84">
        <f t="shared" si="31"/>
        <v>283670037.15381819</v>
      </c>
      <c r="G269" s="84">
        <f t="shared" si="23"/>
        <v>2127525278.6536362</v>
      </c>
      <c r="H269" s="151">
        <f t="shared" si="29"/>
        <v>2411195315.8074546</v>
      </c>
      <c r="I269" s="144">
        <f t="shared" si="24"/>
        <v>0.4038832279793691</v>
      </c>
      <c r="J269" s="145">
        <f t="shared" si="30"/>
        <v>973841347.43704903</v>
      </c>
    </row>
    <row r="270" spans="1:13" s="12" customFormat="1" ht="21.95" customHeight="1">
      <c r="A270" s="132">
        <f t="shared" si="25"/>
        <v>2036</v>
      </c>
      <c r="B270" s="31">
        <v>9</v>
      </c>
      <c r="C270" s="36">
        <f t="shared" si="26"/>
        <v>0</v>
      </c>
      <c r="D270" s="36">
        <f t="shared" si="27"/>
        <v>0</v>
      </c>
      <c r="E270" s="36">
        <f t="shared" si="28"/>
        <v>0</v>
      </c>
      <c r="F270" s="84">
        <f t="shared" si="31"/>
        <v>283670037.15381819</v>
      </c>
      <c r="G270" s="84">
        <f t="shared" si="23"/>
        <v>2127525278.6536362</v>
      </c>
      <c r="H270" s="151">
        <f t="shared" si="29"/>
        <v>2411195315.8074546</v>
      </c>
      <c r="I270" s="144">
        <f t="shared" si="24"/>
        <v>0.36061002498157957</v>
      </c>
      <c r="J270" s="145">
        <f t="shared" si="30"/>
        <v>869501203.06879389</v>
      </c>
    </row>
    <row r="271" spans="1:13" s="12" customFormat="1" ht="21.95" customHeight="1">
      <c r="A271" s="132">
        <f t="shared" si="25"/>
        <v>2037</v>
      </c>
      <c r="B271" s="31">
        <v>10</v>
      </c>
      <c r="C271" s="36">
        <f t="shared" si="26"/>
        <v>0</v>
      </c>
      <c r="D271" s="36">
        <f t="shared" si="27"/>
        <v>0</v>
      </c>
      <c r="E271" s="36">
        <f t="shared" si="28"/>
        <v>0</v>
      </c>
      <c r="F271" s="84">
        <f t="shared" si="31"/>
        <v>283670037.15381819</v>
      </c>
      <c r="G271" s="84">
        <f t="shared" si="23"/>
        <v>2127525278.6536362</v>
      </c>
      <c r="H271" s="151">
        <f t="shared" si="29"/>
        <v>2411195315.8074546</v>
      </c>
      <c r="I271" s="144">
        <f t="shared" si="24"/>
        <v>0.32197323659069599</v>
      </c>
      <c r="J271" s="145">
        <f t="shared" si="30"/>
        <v>776340359.88285148</v>
      </c>
    </row>
    <row r="272" spans="1:13" s="12" customFormat="1" ht="21.95" customHeight="1">
      <c r="A272" s="132">
        <f t="shared" si="25"/>
        <v>2038</v>
      </c>
      <c r="B272" s="31">
        <v>11</v>
      </c>
      <c r="C272" s="36">
        <f t="shared" si="26"/>
        <v>0</v>
      </c>
      <c r="D272" s="36">
        <f t="shared" si="27"/>
        <v>0</v>
      </c>
      <c r="E272" s="36">
        <f t="shared" si="28"/>
        <v>0</v>
      </c>
      <c r="F272" s="84">
        <f t="shared" si="31"/>
        <v>283670037.15381819</v>
      </c>
      <c r="G272" s="84">
        <f t="shared" si="23"/>
        <v>2127525278.6536362</v>
      </c>
      <c r="H272" s="151">
        <f t="shared" si="29"/>
        <v>2411195315.8074546</v>
      </c>
      <c r="I272" s="144">
        <f t="shared" si="24"/>
        <v>0.28747610409883567</v>
      </c>
      <c r="J272" s="145">
        <f t="shared" si="30"/>
        <v>693161035.60968876</v>
      </c>
    </row>
    <row r="273" spans="1:10" s="12" customFormat="1" ht="21.95" customHeight="1">
      <c r="A273" s="132">
        <f t="shared" si="25"/>
        <v>2039</v>
      </c>
      <c r="B273" s="31">
        <v>12</v>
      </c>
      <c r="C273" s="36">
        <f t="shared" si="26"/>
        <v>0</v>
      </c>
      <c r="D273" s="36">
        <f t="shared" si="27"/>
        <v>0</v>
      </c>
      <c r="E273" s="36">
        <f t="shared" si="28"/>
        <v>0</v>
      </c>
      <c r="F273" s="84">
        <f t="shared" si="31"/>
        <v>283670037.15381819</v>
      </c>
      <c r="G273" s="84">
        <f t="shared" si="23"/>
        <v>2127525278.6536362</v>
      </c>
      <c r="H273" s="151">
        <f t="shared" si="29"/>
        <v>2411195315.8074546</v>
      </c>
      <c r="I273" s="144">
        <f t="shared" si="24"/>
        <v>0.25667509294538904</v>
      </c>
      <c r="J273" s="145">
        <f t="shared" si="30"/>
        <v>618893781.79436505</v>
      </c>
    </row>
    <row r="274" spans="1:10" s="12" customFormat="1" ht="21.95" customHeight="1">
      <c r="A274" s="132">
        <f t="shared" si="25"/>
        <v>2040</v>
      </c>
      <c r="B274" s="31">
        <v>13</v>
      </c>
      <c r="C274" s="36">
        <f t="shared" si="26"/>
        <v>0</v>
      </c>
      <c r="D274" s="36">
        <f t="shared" si="27"/>
        <v>0</v>
      </c>
      <c r="E274" s="36">
        <f t="shared" si="28"/>
        <v>0</v>
      </c>
      <c r="F274" s="84">
        <f t="shared" si="31"/>
        <v>283670037.15381819</v>
      </c>
      <c r="G274" s="84">
        <f t="shared" si="23"/>
        <v>2127525278.6536362</v>
      </c>
      <c r="H274" s="151">
        <f t="shared" si="29"/>
        <v>2411195315.8074546</v>
      </c>
      <c r="I274" s="144">
        <f t="shared" si="24"/>
        <v>0.22917419012981158</v>
      </c>
      <c r="J274" s="145">
        <f t="shared" si="30"/>
        <v>552583733.74496865</v>
      </c>
    </row>
    <row r="275" spans="1:10" s="12" customFormat="1" ht="21.95" customHeight="1">
      <c r="A275" s="132">
        <f t="shared" si="25"/>
        <v>2041</v>
      </c>
      <c r="B275" s="31">
        <v>14</v>
      </c>
      <c r="C275" s="36">
        <f t="shared" si="26"/>
        <v>0</v>
      </c>
      <c r="D275" s="36">
        <f t="shared" si="27"/>
        <v>0</v>
      </c>
      <c r="E275" s="36">
        <f t="shared" si="28"/>
        <v>0</v>
      </c>
      <c r="F275" s="84">
        <f t="shared" si="31"/>
        <v>283670037.15381819</v>
      </c>
      <c r="G275" s="84">
        <f t="shared" si="23"/>
        <v>2127525278.6536362</v>
      </c>
      <c r="H275" s="151">
        <f t="shared" si="29"/>
        <v>2411195315.8074546</v>
      </c>
      <c r="I275" s="144">
        <f t="shared" si="24"/>
        <v>0.20461981261590317</v>
      </c>
      <c r="J275" s="145">
        <f t="shared" si="30"/>
        <v>493378333.70086485</v>
      </c>
    </row>
    <row r="276" spans="1:10" s="12" customFormat="1" ht="21.95" customHeight="1">
      <c r="A276" s="132">
        <f t="shared" si="25"/>
        <v>2042</v>
      </c>
      <c r="B276" s="31">
        <v>15</v>
      </c>
      <c r="C276" s="36">
        <f t="shared" si="26"/>
        <v>0</v>
      </c>
      <c r="D276" s="36">
        <f t="shared" si="27"/>
        <v>0</v>
      </c>
      <c r="E276" s="36">
        <f t="shared" si="28"/>
        <v>0</v>
      </c>
      <c r="F276" s="84">
        <f t="shared" si="31"/>
        <v>283670037.15381819</v>
      </c>
      <c r="G276" s="84">
        <f t="shared" si="23"/>
        <v>2127525278.6536362</v>
      </c>
      <c r="H276" s="151">
        <f t="shared" si="29"/>
        <v>2411195315.8074546</v>
      </c>
      <c r="I276" s="144">
        <f t="shared" si="24"/>
        <v>0.18269626126419927</v>
      </c>
      <c r="J276" s="145">
        <f t="shared" si="30"/>
        <v>440516369.37577218</v>
      </c>
    </row>
    <row r="277" spans="1:10" s="12" customFormat="1" ht="21.95" customHeight="1">
      <c r="A277" s="132">
        <f t="shared" si="25"/>
        <v>2043</v>
      </c>
      <c r="B277" s="31">
        <v>16</v>
      </c>
      <c r="C277" s="36">
        <f t="shared" si="26"/>
        <v>0</v>
      </c>
      <c r="D277" s="36">
        <f t="shared" si="27"/>
        <v>0</v>
      </c>
      <c r="E277" s="36">
        <f t="shared" si="28"/>
        <v>0</v>
      </c>
      <c r="F277" s="84">
        <f t="shared" si="31"/>
        <v>283670037.15381819</v>
      </c>
      <c r="G277" s="84">
        <f t="shared" si="23"/>
        <v>2127525278.6536362</v>
      </c>
      <c r="H277" s="151">
        <f t="shared" si="29"/>
        <v>2411195315.8074546</v>
      </c>
      <c r="I277" s="144">
        <f t="shared" si="24"/>
        <v>0.16312166184303503</v>
      </c>
      <c r="J277" s="145">
        <f t="shared" si="30"/>
        <v>393318186.94265366</v>
      </c>
    </row>
    <row r="278" spans="1:10" s="12" customFormat="1" ht="21.95" customHeight="1">
      <c r="A278" s="132">
        <f t="shared" si="25"/>
        <v>2044</v>
      </c>
      <c r="B278" s="31">
        <v>17</v>
      </c>
      <c r="C278" s="36">
        <f t="shared" si="26"/>
        <v>0</v>
      </c>
      <c r="D278" s="36">
        <f t="shared" si="27"/>
        <v>0</v>
      </c>
      <c r="E278" s="36">
        <f t="shared" si="28"/>
        <v>0</v>
      </c>
      <c r="F278" s="84">
        <f t="shared" si="31"/>
        <v>283670037.15381819</v>
      </c>
      <c r="G278" s="84">
        <f t="shared" si="23"/>
        <v>2127525278.6536362</v>
      </c>
      <c r="H278" s="151">
        <f t="shared" si="29"/>
        <v>2411195315.8074546</v>
      </c>
      <c r="I278" s="144">
        <f t="shared" si="24"/>
        <v>0.14564434093128129</v>
      </c>
      <c r="J278" s="145">
        <f t="shared" si="30"/>
        <v>351176952.62736934</v>
      </c>
    </row>
    <row r="279" spans="1:10" s="12" customFormat="1" ht="21.95" customHeight="1">
      <c r="A279" s="132">
        <f t="shared" si="25"/>
        <v>2045</v>
      </c>
      <c r="B279" s="31">
        <v>18</v>
      </c>
      <c r="C279" s="36">
        <f t="shared" si="26"/>
        <v>0</v>
      </c>
      <c r="D279" s="36">
        <f t="shared" si="27"/>
        <v>0</v>
      </c>
      <c r="E279" s="36">
        <f t="shared" si="28"/>
        <v>0</v>
      </c>
      <c r="F279" s="84">
        <f t="shared" si="31"/>
        <v>283670037.15381819</v>
      </c>
      <c r="G279" s="84">
        <f t="shared" si="23"/>
        <v>2127525278.6536362</v>
      </c>
      <c r="H279" s="151">
        <f t="shared" si="29"/>
        <v>2411195315.8074546</v>
      </c>
      <c r="I279" s="144">
        <f t="shared" si="24"/>
        <v>0.13003959011721541</v>
      </c>
      <c r="J279" s="145">
        <f t="shared" si="30"/>
        <v>313550850.56015116</v>
      </c>
    </row>
    <row r="280" spans="1:10" s="12" customFormat="1" ht="21.95" customHeight="1">
      <c r="A280" s="132">
        <f t="shared" si="25"/>
        <v>2046</v>
      </c>
      <c r="B280" s="31">
        <v>19</v>
      </c>
      <c r="C280" s="36">
        <f t="shared" si="26"/>
        <v>0</v>
      </c>
      <c r="D280" s="36">
        <f t="shared" si="27"/>
        <v>0</v>
      </c>
      <c r="E280" s="36">
        <f t="shared" si="28"/>
        <v>0</v>
      </c>
      <c r="F280" s="84">
        <f t="shared" si="31"/>
        <v>283670037.15381819</v>
      </c>
      <c r="G280" s="84">
        <f t="shared" si="23"/>
        <v>2127525278.6536362</v>
      </c>
      <c r="H280" s="151">
        <f t="shared" si="29"/>
        <v>2411195315.8074546</v>
      </c>
      <c r="I280" s="144">
        <f t="shared" si="24"/>
        <v>0.1161067768903709</v>
      </c>
      <c r="J280" s="145">
        <f t="shared" si="30"/>
        <v>279956116.57156354</v>
      </c>
    </row>
    <row r="281" spans="1:10" s="12" customFormat="1" ht="21.95" customHeight="1">
      <c r="A281" s="132">
        <f t="shared" si="25"/>
        <v>2047</v>
      </c>
      <c r="B281" s="31">
        <v>20</v>
      </c>
      <c r="C281" s="36">
        <f t="shared" si="26"/>
        <v>0</v>
      </c>
      <c r="D281" s="36">
        <f t="shared" si="27"/>
        <v>0</v>
      </c>
      <c r="E281" s="36">
        <f t="shared" si="28"/>
        <v>0</v>
      </c>
      <c r="F281" s="84">
        <f t="shared" si="31"/>
        <v>283670037.15381819</v>
      </c>
      <c r="G281" s="84">
        <f t="shared" si="23"/>
        <v>2127525278.6536362</v>
      </c>
      <c r="H281" s="151">
        <f t="shared" si="29"/>
        <v>2411195315.8074546</v>
      </c>
      <c r="I281" s="144">
        <f t="shared" si="24"/>
        <v>0.1036667650806883</v>
      </c>
      <c r="J281" s="145">
        <f t="shared" si="30"/>
        <v>249960818.36746743</v>
      </c>
    </row>
    <row r="282" spans="1:10" s="12" customFormat="1" ht="21.95" customHeight="1">
      <c r="A282" s="132">
        <f t="shared" si="25"/>
        <v>2048</v>
      </c>
      <c r="B282" s="31">
        <v>21</v>
      </c>
      <c r="C282" s="36">
        <f t="shared" si="26"/>
        <v>0</v>
      </c>
      <c r="D282" s="36">
        <f t="shared" si="27"/>
        <v>0</v>
      </c>
      <c r="E282" s="36">
        <f t="shared" si="28"/>
        <v>0</v>
      </c>
      <c r="F282" s="84">
        <f t="shared" si="31"/>
        <v>283670037.15381819</v>
      </c>
      <c r="G282" s="84">
        <f t="shared" si="23"/>
        <v>2127525278.6536362</v>
      </c>
      <c r="H282" s="151">
        <f t="shared" si="29"/>
        <v>2411195315.8074546</v>
      </c>
      <c r="I282" s="144">
        <f t="shared" si="24"/>
        <v>9.2559611679185971E-2</v>
      </c>
      <c r="J282" s="145">
        <f t="shared" si="30"/>
        <v>223179302.11381018</v>
      </c>
    </row>
    <row r="283" spans="1:10" s="12" customFormat="1" ht="21.95" customHeight="1">
      <c r="A283" s="132">
        <f t="shared" si="25"/>
        <v>2049</v>
      </c>
      <c r="B283" s="31">
        <v>22</v>
      </c>
      <c r="C283" s="36">
        <f t="shared" si="26"/>
        <v>0</v>
      </c>
      <c r="D283" s="36">
        <f t="shared" si="27"/>
        <v>0</v>
      </c>
      <c r="E283" s="36">
        <f t="shared" si="28"/>
        <v>0</v>
      </c>
      <c r="F283" s="84">
        <f t="shared" si="31"/>
        <v>283670037.15381819</v>
      </c>
      <c r="G283" s="84">
        <f t="shared" si="23"/>
        <v>2127525278.6536362</v>
      </c>
      <c r="H283" s="151">
        <f t="shared" si="29"/>
        <v>2411195315.8074546</v>
      </c>
      <c r="I283" s="144">
        <f t="shared" si="24"/>
        <v>8.2642510427844609E-2</v>
      </c>
      <c r="J283" s="145">
        <f t="shared" si="30"/>
        <v>199267234.03018764</v>
      </c>
    </row>
    <row r="284" spans="1:10" s="12" customFormat="1" ht="21.95" customHeight="1">
      <c r="A284" s="132">
        <f t="shared" si="25"/>
        <v>2050</v>
      </c>
      <c r="B284" s="31">
        <v>23</v>
      </c>
      <c r="C284" s="36">
        <f t="shared" si="26"/>
        <v>0</v>
      </c>
      <c r="D284" s="36">
        <f t="shared" si="27"/>
        <v>0</v>
      </c>
      <c r="E284" s="36">
        <f t="shared" si="28"/>
        <v>0</v>
      </c>
      <c r="F284" s="84">
        <f t="shared" si="31"/>
        <v>283670037.15381819</v>
      </c>
      <c r="G284" s="84">
        <f t="shared" si="23"/>
        <v>2127525278.6536362</v>
      </c>
      <c r="H284" s="151">
        <f t="shared" si="29"/>
        <v>2411195315.8074546</v>
      </c>
      <c r="I284" s="144">
        <f t="shared" si="24"/>
        <v>7.3787955739146982E-2</v>
      </c>
      <c r="J284" s="145">
        <f t="shared" si="30"/>
        <v>177917173.24123898</v>
      </c>
    </row>
    <row r="285" spans="1:10" s="12" customFormat="1" ht="21.95" customHeight="1">
      <c r="A285" s="132">
        <f t="shared" si="25"/>
        <v>2051</v>
      </c>
      <c r="B285" s="31">
        <v>24</v>
      </c>
      <c r="C285" s="36">
        <f t="shared" si="26"/>
        <v>0</v>
      </c>
      <c r="D285" s="36">
        <f t="shared" si="27"/>
        <v>0</v>
      </c>
      <c r="E285" s="36">
        <f t="shared" si="28"/>
        <v>0</v>
      </c>
      <c r="F285" s="84">
        <f t="shared" si="31"/>
        <v>283670037.15381819</v>
      </c>
      <c r="G285" s="84">
        <f t="shared" si="23"/>
        <v>2127525278.6536362</v>
      </c>
      <c r="H285" s="151">
        <f t="shared" si="29"/>
        <v>2411195315.8074546</v>
      </c>
      <c r="I285" s="144">
        <f t="shared" si="24"/>
        <v>6.5882103338524081E-2</v>
      </c>
      <c r="J285" s="145">
        <f t="shared" si="30"/>
        <v>158854618.96539193</v>
      </c>
    </row>
    <row r="286" spans="1:10" s="12" customFormat="1" ht="21.95" customHeight="1">
      <c r="A286" s="132">
        <f t="shared" si="25"/>
        <v>2052</v>
      </c>
      <c r="B286" s="31">
        <v>25</v>
      </c>
      <c r="C286" s="36">
        <f t="shared" si="26"/>
        <v>0</v>
      </c>
      <c r="D286" s="36">
        <f t="shared" si="27"/>
        <v>0</v>
      </c>
      <c r="E286" s="36">
        <f t="shared" si="28"/>
        <v>0</v>
      </c>
      <c r="F286" s="84">
        <f t="shared" si="31"/>
        <v>283670037.15381819</v>
      </c>
      <c r="G286" s="84">
        <f t="shared" si="23"/>
        <v>2127525278.6536362</v>
      </c>
      <c r="H286" s="151">
        <f t="shared" si="29"/>
        <v>2411195315.8074546</v>
      </c>
      <c r="I286" s="144">
        <f t="shared" si="24"/>
        <v>5.8823306552253637E-2</v>
      </c>
      <c r="J286" s="145">
        <f t="shared" si="30"/>
        <v>141834481.21909991</v>
      </c>
    </row>
    <row r="287" spans="1:10" s="12" customFormat="1" ht="21.95" customHeight="1">
      <c r="A287" s="132">
        <f t="shared" si="25"/>
        <v>2053</v>
      </c>
      <c r="B287" s="31">
        <v>26</v>
      </c>
      <c r="C287" s="36">
        <f t="shared" si="26"/>
        <v>0</v>
      </c>
      <c r="D287" s="36">
        <f t="shared" si="27"/>
        <v>0</v>
      </c>
      <c r="E287" s="36">
        <f t="shared" si="28"/>
        <v>0</v>
      </c>
      <c r="F287" s="84">
        <f t="shared" si="31"/>
        <v>283670037.15381819</v>
      </c>
      <c r="G287" s="84">
        <f t="shared" si="23"/>
        <v>2127525278.6536362</v>
      </c>
      <c r="H287" s="151">
        <f t="shared" si="29"/>
        <v>2411195315.8074546</v>
      </c>
      <c r="I287" s="144">
        <f t="shared" si="24"/>
        <v>5.2520809421655032E-2</v>
      </c>
      <c r="J287" s="145">
        <f t="shared" si="30"/>
        <v>126637929.65991063</v>
      </c>
    </row>
    <row r="288" spans="1:10" s="12" customFormat="1" ht="21.95" customHeight="1">
      <c r="A288" s="132">
        <f t="shared" si="25"/>
        <v>2054</v>
      </c>
      <c r="B288" s="31">
        <v>27</v>
      </c>
      <c r="C288" s="36">
        <f t="shared" si="26"/>
        <v>0</v>
      </c>
      <c r="D288" s="36">
        <f t="shared" si="27"/>
        <v>0</v>
      </c>
      <c r="E288" s="36">
        <f t="shared" si="28"/>
        <v>0</v>
      </c>
      <c r="F288" s="84">
        <f t="shared" si="31"/>
        <v>283670037.15381819</v>
      </c>
      <c r="G288" s="84">
        <f t="shared" si="23"/>
        <v>2127525278.6536362</v>
      </c>
      <c r="H288" s="151">
        <f t="shared" si="29"/>
        <v>2411195315.8074546</v>
      </c>
      <c r="I288" s="144">
        <f t="shared" si="24"/>
        <v>4.6893579840763415E-2</v>
      </c>
      <c r="J288" s="145">
        <f t="shared" si="30"/>
        <v>113069580.05349162</v>
      </c>
    </row>
    <row r="289" spans="1:10" s="12" customFormat="1" ht="21.95" customHeight="1">
      <c r="A289" s="132">
        <f t="shared" si="25"/>
        <v>2055</v>
      </c>
      <c r="B289" s="31">
        <v>28</v>
      </c>
      <c r="C289" s="36">
        <f t="shared" si="26"/>
        <v>0</v>
      </c>
      <c r="D289" s="36">
        <f t="shared" si="27"/>
        <v>0</v>
      </c>
      <c r="E289" s="36">
        <f t="shared" si="28"/>
        <v>0</v>
      </c>
      <c r="F289" s="84">
        <f t="shared" si="31"/>
        <v>283670037.15381819</v>
      </c>
      <c r="G289" s="84">
        <f t="shared" si="23"/>
        <v>2127525278.6536362</v>
      </c>
      <c r="H289" s="151">
        <f t="shared" si="29"/>
        <v>2411195315.8074546</v>
      </c>
      <c r="I289" s="144">
        <f t="shared" si="24"/>
        <v>4.1869267714967337E-2</v>
      </c>
      <c r="J289" s="145">
        <f t="shared" si="30"/>
        <v>100954982.19061753</v>
      </c>
    </row>
    <row r="290" spans="1:10" s="12" customFormat="1" ht="21.95" customHeight="1">
      <c r="A290" s="132">
        <f t="shared" si="25"/>
        <v>2056</v>
      </c>
      <c r="B290" s="31">
        <v>29</v>
      </c>
      <c r="C290" s="36">
        <f t="shared" si="26"/>
        <v>0</v>
      </c>
      <c r="D290" s="36">
        <f t="shared" si="27"/>
        <v>0</v>
      </c>
      <c r="E290" s="36">
        <f t="shared" si="28"/>
        <v>0</v>
      </c>
      <c r="F290" s="84">
        <f t="shared" si="31"/>
        <v>283670037.15381819</v>
      </c>
      <c r="G290" s="84">
        <f t="shared" si="23"/>
        <v>2127525278.6536362</v>
      </c>
      <c r="H290" s="151">
        <f t="shared" si="29"/>
        <v>2411195315.8074546</v>
      </c>
      <c r="I290" s="144">
        <f t="shared" si="24"/>
        <v>3.7383274745506546E-2</v>
      </c>
      <c r="J290" s="145">
        <f t="shared" si="30"/>
        <v>90138376.955908492</v>
      </c>
    </row>
    <row r="291" spans="1:10" s="12" customFormat="1" ht="21.95" customHeight="1">
      <c r="A291" s="132">
        <f t="shared" si="25"/>
        <v>2057</v>
      </c>
      <c r="B291" s="31">
        <v>30</v>
      </c>
      <c r="C291" s="36">
        <f t="shared" si="26"/>
        <v>0</v>
      </c>
      <c r="D291" s="36">
        <f t="shared" si="27"/>
        <v>0</v>
      </c>
      <c r="E291" s="36">
        <f t="shared" si="28"/>
        <v>0</v>
      </c>
      <c r="F291" s="84">
        <f t="shared" si="31"/>
        <v>283670037.15381819</v>
      </c>
      <c r="G291" s="84">
        <f t="shared" si="23"/>
        <v>2127525278.6536362</v>
      </c>
      <c r="H291" s="151">
        <f t="shared" si="29"/>
        <v>2411195315.8074546</v>
      </c>
      <c r="I291" s="144">
        <f t="shared" si="24"/>
        <v>3.3377923879916553E-2</v>
      </c>
      <c r="J291" s="145">
        <f t="shared" si="30"/>
        <v>80480693.710632578</v>
      </c>
    </row>
    <row r="292" spans="1:10" s="12" customFormat="1" ht="21.95" customHeight="1">
      <c r="A292" s="132">
        <f t="shared" si="25"/>
        <v>2058</v>
      </c>
      <c r="B292" s="31">
        <v>31</v>
      </c>
      <c r="C292" s="36">
        <f t="shared" si="26"/>
        <v>0</v>
      </c>
      <c r="D292" s="36">
        <f t="shared" si="27"/>
        <v>0</v>
      </c>
      <c r="E292" s="36">
        <f t="shared" si="28"/>
        <v>0</v>
      </c>
      <c r="F292" s="84">
        <f t="shared" si="31"/>
        <v>283670037.15381819</v>
      </c>
      <c r="G292" s="84">
        <f t="shared" si="23"/>
        <v>2127525278.6536362</v>
      </c>
      <c r="H292" s="151">
        <f t="shared" si="29"/>
        <v>2411195315.8074546</v>
      </c>
      <c r="I292" s="144">
        <f t="shared" si="24"/>
        <v>2.9801717749925499E-2</v>
      </c>
      <c r="J292" s="145">
        <f t="shared" si="30"/>
        <v>71857762.241636232</v>
      </c>
    </row>
    <row r="293" spans="1:10" s="12" customFormat="1" ht="21.95" customHeight="1">
      <c r="A293" s="132">
        <f t="shared" si="25"/>
        <v>2059</v>
      </c>
      <c r="B293" s="31">
        <v>32</v>
      </c>
      <c r="C293" s="36">
        <f t="shared" si="26"/>
        <v>0</v>
      </c>
      <c r="D293" s="36">
        <f t="shared" si="27"/>
        <v>0</v>
      </c>
      <c r="E293" s="36">
        <f t="shared" si="28"/>
        <v>0</v>
      </c>
      <c r="F293" s="84">
        <f t="shared" si="31"/>
        <v>283670037.15381819</v>
      </c>
      <c r="G293" s="84">
        <f t="shared" si="23"/>
        <v>2127525278.6536362</v>
      </c>
      <c r="H293" s="151">
        <f t="shared" si="29"/>
        <v>2411195315.8074546</v>
      </c>
      <c r="I293" s="144">
        <f t="shared" si="24"/>
        <v>2.6608676562433473E-2</v>
      </c>
      <c r="J293" s="145">
        <f t="shared" si="30"/>
        <v>64158716.287175193</v>
      </c>
    </row>
    <row r="294" spans="1:10" s="12" customFormat="1" ht="21.95" customHeight="1">
      <c r="A294" s="132">
        <f t="shared" si="25"/>
        <v>2060</v>
      </c>
      <c r="B294" s="31">
        <v>33</v>
      </c>
      <c r="C294" s="36">
        <f t="shared" si="26"/>
        <v>0</v>
      </c>
      <c r="D294" s="36">
        <f t="shared" ref="D294:D311" si="32">IF($D$381="yes",($F$75*$F$77+$F$76*$F$78)*D179/1.1,($F$77*$F$40)*D179/1.1)</f>
        <v>0</v>
      </c>
      <c r="E294" s="36">
        <f t="shared" si="28"/>
        <v>0</v>
      </c>
      <c r="F294" s="84">
        <f t="shared" si="31"/>
        <v>283670037.15381819</v>
      </c>
      <c r="G294" s="84">
        <f t="shared" ref="G294:G311" si="33">+(D236+E236)*$F$88</f>
        <v>2127525278.6536362</v>
      </c>
      <c r="H294" s="151">
        <f t="shared" si="29"/>
        <v>2411195315.8074546</v>
      </c>
      <c r="I294" s="144">
        <f t="shared" ref="I294:I311" si="34">1/(1+$F$95)^B294</f>
        <v>2.3757746930744169E-2</v>
      </c>
      <c r="J294" s="145">
        <f t="shared" si="30"/>
        <v>57284568.11354927</v>
      </c>
    </row>
    <row r="295" spans="1:10" s="12" customFormat="1" ht="21.95" customHeight="1">
      <c r="A295" s="132">
        <f t="shared" si="25"/>
        <v>2061</v>
      </c>
      <c r="B295" s="31">
        <v>34</v>
      </c>
      <c r="C295" s="36">
        <f t="shared" si="26"/>
        <v>0</v>
      </c>
      <c r="D295" s="36">
        <f t="shared" si="32"/>
        <v>0</v>
      </c>
      <c r="E295" s="36">
        <f t="shared" si="28"/>
        <v>0</v>
      </c>
      <c r="F295" s="84">
        <f t="shared" si="31"/>
        <v>283670037.15381819</v>
      </c>
      <c r="G295" s="84">
        <f t="shared" si="33"/>
        <v>2127525278.6536362</v>
      </c>
      <c r="H295" s="151">
        <f t="shared" si="29"/>
        <v>2411195315.8074546</v>
      </c>
      <c r="I295" s="144">
        <f t="shared" si="34"/>
        <v>2.1212274045307292E-2</v>
      </c>
      <c r="J295" s="145">
        <f t="shared" si="30"/>
        <v>51146935.815668993</v>
      </c>
    </row>
    <row r="296" spans="1:10" s="12" customFormat="1" ht="21.95" customHeight="1">
      <c r="A296" s="132">
        <f t="shared" si="25"/>
        <v>2062</v>
      </c>
      <c r="B296" s="31">
        <v>35</v>
      </c>
      <c r="C296" s="36">
        <f t="shared" si="26"/>
        <v>0</v>
      </c>
      <c r="D296" s="36">
        <f t="shared" si="32"/>
        <v>0</v>
      </c>
      <c r="E296" s="36">
        <f t="shared" si="28"/>
        <v>0</v>
      </c>
      <c r="F296" s="84">
        <f t="shared" si="31"/>
        <v>283670037.15381819</v>
      </c>
      <c r="G296" s="84">
        <f t="shared" si="33"/>
        <v>2127525278.6536362</v>
      </c>
      <c r="H296" s="151">
        <f t="shared" si="29"/>
        <v>2411195315.8074546</v>
      </c>
      <c r="I296" s="144">
        <f t="shared" si="34"/>
        <v>1.8939530397595796E-2</v>
      </c>
      <c r="J296" s="145">
        <f t="shared" si="30"/>
        <v>45666906.97827588</v>
      </c>
    </row>
    <row r="297" spans="1:10" s="12" customFormat="1" ht="21.95" customHeight="1">
      <c r="A297" s="132">
        <f t="shared" si="25"/>
        <v>2063</v>
      </c>
      <c r="B297" s="31">
        <v>36</v>
      </c>
      <c r="C297" s="36">
        <f t="shared" si="26"/>
        <v>0</v>
      </c>
      <c r="D297" s="36">
        <f t="shared" si="32"/>
        <v>0</v>
      </c>
      <c r="E297" s="36">
        <f t="shared" si="28"/>
        <v>0</v>
      </c>
      <c r="F297" s="84">
        <f t="shared" si="31"/>
        <v>283670037.15381819</v>
      </c>
      <c r="G297" s="84">
        <f t="shared" si="33"/>
        <v>2127525278.6536362</v>
      </c>
      <c r="H297" s="151">
        <f t="shared" si="29"/>
        <v>2411195315.8074546</v>
      </c>
      <c r="I297" s="144">
        <f t="shared" si="34"/>
        <v>1.691029499785339E-2</v>
      </c>
      <c r="J297" s="145">
        <f t="shared" si="30"/>
        <v>40774024.087746322</v>
      </c>
    </row>
    <row r="298" spans="1:10" s="12" customFormat="1" ht="21.95" customHeight="1">
      <c r="A298" s="132">
        <f t="shared" si="25"/>
        <v>2064</v>
      </c>
      <c r="B298" s="31">
        <v>37</v>
      </c>
      <c r="C298" s="36">
        <f t="shared" si="26"/>
        <v>0</v>
      </c>
      <c r="D298" s="36">
        <f t="shared" si="32"/>
        <v>0</v>
      </c>
      <c r="E298" s="36">
        <f t="shared" si="28"/>
        <v>0</v>
      </c>
      <c r="F298" s="84">
        <f t="shared" si="31"/>
        <v>283670037.15381819</v>
      </c>
      <c r="G298" s="84">
        <f t="shared" si="33"/>
        <v>2127525278.6536362</v>
      </c>
      <c r="H298" s="151">
        <f t="shared" si="29"/>
        <v>2411195315.8074546</v>
      </c>
      <c r="I298" s="144">
        <f t="shared" si="34"/>
        <v>1.5098477676654811E-2</v>
      </c>
      <c r="J298" s="145">
        <f t="shared" si="30"/>
        <v>36405378.649773501</v>
      </c>
    </row>
    <row r="299" spans="1:10" s="12" customFormat="1" ht="21.95" customHeight="1">
      <c r="A299" s="132">
        <f t="shared" si="25"/>
        <v>2065</v>
      </c>
      <c r="B299" s="31">
        <v>38</v>
      </c>
      <c r="C299" s="36">
        <f t="shared" si="26"/>
        <v>0</v>
      </c>
      <c r="D299" s="36">
        <f t="shared" si="32"/>
        <v>0</v>
      </c>
      <c r="E299" s="36">
        <f t="shared" si="28"/>
        <v>0</v>
      </c>
      <c r="F299" s="84">
        <f t="shared" si="31"/>
        <v>283670037.15381819</v>
      </c>
      <c r="G299" s="84">
        <f t="shared" si="33"/>
        <v>2127525278.6536362</v>
      </c>
      <c r="H299" s="151">
        <f t="shared" si="29"/>
        <v>2411195315.8074546</v>
      </c>
      <c r="I299" s="144">
        <f t="shared" si="34"/>
        <v>1.3480783639870366E-2</v>
      </c>
      <c r="J299" s="145">
        <f t="shared" si="30"/>
        <v>32504802.365869194</v>
      </c>
    </row>
    <row r="300" spans="1:10" s="12" customFormat="1" ht="21.95" customHeight="1">
      <c r="A300" s="132">
        <f t="shared" si="25"/>
        <v>2066</v>
      </c>
      <c r="B300" s="31">
        <v>39</v>
      </c>
      <c r="C300" s="36">
        <f t="shared" si="26"/>
        <v>0</v>
      </c>
      <c r="D300" s="36">
        <f t="shared" si="32"/>
        <v>0</v>
      </c>
      <c r="E300" s="36">
        <f t="shared" si="28"/>
        <v>0</v>
      </c>
      <c r="F300" s="84">
        <f t="shared" si="31"/>
        <v>283670037.15381819</v>
      </c>
      <c r="G300" s="84">
        <f t="shared" si="33"/>
        <v>2127525278.6536362</v>
      </c>
      <c r="H300" s="151">
        <f t="shared" si="29"/>
        <v>2411195315.8074546</v>
      </c>
      <c r="I300" s="144">
        <f t="shared" si="34"/>
        <v>1.2036413964169971E-2</v>
      </c>
      <c r="J300" s="145">
        <f t="shared" si="30"/>
        <v>29022144.969526067</v>
      </c>
    </row>
    <row r="301" spans="1:10" s="12" customFormat="1" ht="21.95" customHeight="1">
      <c r="A301" s="132">
        <f t="shared" si="25"/>
        <v>2067</v>
      </c>
      <c r="B301" s="31">
        <v>40</v>
      </c>
      <c r="C301" s="36">
        <f t="shared" si="26"/>
        <v>0</v>
      </c>
      <c r="D301" s="36">
        <f t="shared" si="32"/>
        <v>0</v>
      </c>
      <c r="E301" s="36">
        <f t="shared" si="28"/>
        <v>0</v>
      </c>
      <c r="F301" s="84">
        <f t="shared" si="31"/>
        <v>283670037.15381819</v>
      </c>
      <c r="G301" s="84">
        <f t="shared" si="33"/>
        <v>2127525278.6536362</v>
      </c>
      <c r="H301" s="151">
        <f t="shared" si="29"/>
        <v>2411195315.8074546</v>
      </c>
      <c r="I301" s="144">
        <f t="shared" si="34"/>
        <v>1.0746798182294614E-2</v>
      </c>
      <c r="J301" s="145">
        <f t="shared" si="30"/>
        <v>25912629.437076841</v>
      </c>
    </row>
    <row r="302" spans="1:10" s="12" customFormat="1" ht="21.95" customHeight="1">
      <c r="A302" s="132">
        <f t="shared" si="25"/>
        <v>2068</v>
      </c>
      <c r="B302" s="31">
        <v>41</v>
      </c>
      <c r="C302" s="36">
        <f t="shared" si="26"/>
        <v>0</v>
      </c>
      <c r="D302" s="36">
        <f t="shared" si="32"/>
        <v>0</v>
      </c>
      <c r="E302" s="36">
        <f t="shared" si="28"/>
        <v>0</v>
      </c>
      <c r="F302" s="84">
        <f t="shared" si="31"/>
        <v>283670037.15381819</v>
      </c>
      <c r="G302" s="84">
        <f t="shared" si="33"/>
        <v>2127525278.6536362</v>
      </c>
      <c r="H302" s="151">
        <f t="shared" si="29"/>
        <v>2411195315.8074546</v>
      </c>
      <c r="I302" s="144">
        <f t="shared" si="34"/>
        <v>9.5953555199059064E-3</v>
      </c>
      <c r="J302" s="145">
        <f t="shared" si="30"/>
        <v>23136276.283104323</v>
      </c>
    </row>
    <row r="303" spans="1:10" s="12" customFormat="1" ht="21.95" customHeight="1">
      <c r="A303" s="132">
        <f t="shared" si="25"/>
        <v>2069</v>
      </c>
      <c r="B303" s="31">
        <v>42</v>
      </c>
      <c r="C303" s="36">
        <f t="shared" si="26"/>
        <v>0</v>
      </c>
      <c r="D303" s="36">
        <f t="shared" si="32"/>
        <v>0</v>
      </c>
      <c r="E303" s="36">
        <f t="shared" si="28"/>
        <v>0</v>
      </c>
      <c r="F303" s="84">
        <f t="shared" si="31"/>
        <v>283670037.15381819</v>
      </c>
      <c r="G303" s="84">
        <f t="shared" si="33"/>
        <v>2127525278.6536362</v>
      </c>
      <c r="H303" s="151">
        <f t="shared" si="29"/>
        <v>2411195315.8074546</v>
      </c>
      <c r="I303" s="144">
        <f t="shared" si="34"/>
        <v>8.5672817142017008E-3</v>
      </c>
      <c r="J303" s="145">
        <f t="shared" si="30"/>
        <v>20657389.538486</v>
      </c>
    </row>
    <row r="304" spans="1:10" s="12" customFormat="1" ht="21.95" customHeight="1">
      <c r="A304" s="132">
        <f t="shared" si="25"/>
        <v>2070</v>
      </c>
      <c r="B304" s="31">
        <v>43</v>
      </c>
      <c r="C304" s="36">
        <f t="shared" si="26"/>
        <v>0</v>
      </c>
      <c r="D304" s="36">
        <f t="shared" si="32"/>
        <v>0</v>
      </c>
      <c r="E304" s="36">
        <f t="shared" si="28"/>
        <v>0</v>
      </c>
      <c r="F304" s="84">
        <f t="shared" si="31"/>
        <v>283670037.15381819</v>
      </c>
      <c r="G304" s="84">
        <f t="shared" si="33"/>
        <v>2127525278.6536362</v>
      </c>
      <c r="H304" s="151">
        <f t="shared" si="29"/>
        <v>2411195315.8074546</v>
      </c>
      <c r="I304" s="144">
        <f t="shared" si="34"/>
        <v>7.6493586733943734E-3</v>
      </c>
      <c r="J304" s="145">
        <f t="shared" si="30"/>
        <v>18444097.802219637</v>
      </c>
    </row>
    <row r="305" spans="1:11" s="12" customFormat="1" ht="21.95" customHeight="1">
      <c r="A305" s="132">
        <f t="shared" si="25"/>
        <v>2071</v>
      </c>
      <c r="B305" s="31">
        <v>44</v>
      </c>
      <c r="C305" s="36">
        <f t="shared" si="26"/>
        <v>0</v>
      </c>
      <c r="D305" s="36">
        <f t="shared" si="32"/>
        <v>0</v>
      </c>
      <c r="E305" s="36">
        <f t="shared" si="28"/>
        <v>0</v>
      </c>
      <c r="F305" s="84">
        <f t="shared" si="31"/>
        <v>283670037.15381819</v>
      </c>
      <c r="G305" s="84">
        <f t="shared" si="33"/>
        <v>2127525278.6536362</v>
      </c>
      <c r="H305" s="151">
        <f t="shared" si="29"/>
        <v>2411195315.8074546</v>
      </c>
      <c r="I305" s="144">
        <f t="shared" si="34"/>
        <v>6.8297845298164062E-3</v>
      </c>
      <c r="J305" s="145">
        <f t="shared" si="30"/>
        <v>16467944.466267537</v>
      </c>
    </row>
    <row r="306" spans="1:11" s="12" customFormat="1" ht="21.95" customHeight="1">
      <c r="A306" s="132">
        <f t="shared" si="25"/>
        <v>2072</v>
      </c>
      <c r="B306" s="31">
        <v>45</v>
      </c>
      <c r="C306" s="36">
        <f t="shared" si="26"/>
        <v>0</v>
      </c>
      <c r="D306" s="36">
        <f t="shared" si="32"/>
        <v>0</v>
      </c>
      <c r="E306" s="36">
        <f t="shared" si="28"/>
        <v>0</v>
      </c>
      <c r="F306" s="84">
        <f t="shared" si="31"/>
        <v>283670037.15381819</v>
      </c>
      <c r="G306" s="84">
        <f t="shared" si="33"/>
        <v>2127525278.6536362</v>
      </c>
      <c r="H306" s="151">
        <f t="shared" si="29"/>
        <v>2411195315.8074546</v>
      </c>
      <c r="I306" s="144">
        <f t="shared" si="34"/>
        <v>6.0980219016217897E-3</v>
      </c>
      <c r="J306" s="145">
        <f t="shared" si="30"/>
        <v>14703521.844881726</v>
      </c>
    </row>
    <row r="307" spans="1:11" s="12" customFormat="1" ht="21.95" customHeight="1">
      <c r="A307" s="132">
        <f t="shared" si="25"/>
        <v>2073</v>
      </c>
      <c r="B307" s="31">
        <v>46</v>
      </c>
      <c r="C307" s="36">
        <f t="shared" si="26"/>
        <v>0</v>
      </c>
      <c r="D307" s="36">
        <f t="shared" si="32"/>
        <v>0</v>
      </c>
      <c r="E307" s="36">
        <f t="shared" si="28"/>
        <v>0</v>
      </c>
      <c r="F307" s="84">
        <f t="shared" si="31"/>
        <v>283670037.15381819</v>
      </c>
      <c r="G307" s="84">
        <f t="shared" si="33"/>
        <v>2127525278.6536362</v>
      </c>
      <c r="H307" s="151">
        <f t="shared" si="29"/>
        <v>2411195315.8074546</v>
      </c>
      <c r="I307" s="144">
        <f t="shared" si="34"/>
        <v>5.4446624121623115E-3</v>
      </c>
      <c r="J307" s="145">
        <f t="shared" si="30"/>
        <v>13128144.504358683</v>
      </c>
    </row>
    <row r="308" spans="1:11" s="12" customFormat="1" ht="21.95" customHeight="1">
      <c r="A308" s="132">
        <f t="shared" si="25"/>
        <v>2074</v>
      </c>
      <c r="B308" s="31">
        <v>47</v>
      </c>
      <c r="C308" s="36">
        <f t="shared" si="26"/>
        <v>0</v>
      </c>
      <c r="D308" s="36">
        <f t="shared" si="32"/>
        <v>0</v>
      </c>
      <c r="E308" s="36">
        <f t="shared" si="28"/>
        <v>0</v>
      </c>
      <c r="F308" s="84">
        <f t="shared" si="31"/>
        <v>283670037.15381819</v>
      </c>
      <c r="G308" s="84">
        <f t="shared" si="33"/>
        <v>2127525278.6536362</v>
      </c>
      <c r="H308" s="151">
        <f t="shared" si="29"/>
        <v>2411195315.8074546</v>
      </c>
      <c r="I308" s="144">
        <f t="shared" si="34"/>
        <v>4.8613057251449222E-3</v>
      </c>
      <c r="J308" s="145">
        <f t="shared" si="30"/>
        <v>11721557.593177397</v>
      </c>
    </row>
    <row r="309" spans="1:11" s="12" customFormat="1" ht="21.95" customHeight="1">
      <c r="A309" s="132">
        <f t="shared" si="25"/>
        <v>2075</v>
      </c>
      <c r="B309" s="31">
        <v>48</v>
      </c>
      <c r="C309" s="36">
        <f t="shared" si="26"/>
        <v>0</v>
      </c>
      <c r="D309" s="36">
        <f t="shared" si="32"/>
        <v>0</v>
      </c>
      <c r="E309" s="36">
        <f t="shared" si="28"/>
        <v>0</v>
      </c>
      <c r="F309" s="84">
        <f t="shared" si="31"/>
        <v>283670037.15381819</v>
      </c>
      <c r="G309" s="84">
        <f t="shared" si="33"/>
        <v>2127525278.6536362</v>
      </c>
      <c r="H309" s="151">
        <f t="shared" si="29"/>
        <v>2411195315.8074546</v>
      </c>
      <c r="I309" s="144">
        <f t="shared" si="34"/>
        <v>4.3404515403079645E-3</v>
      </c>
      <c r="J309" s="145">
        <f t="shared" si="30"/>
        <v>10465676.422479816</v>
      </c>
    </row>
    <row r="310" spans="1:11" s="12" customFormat="1" ht="21.95" customHeight="1">
      <c r="A310" s="132">
        <f t="shared" si="25"/>
        <v>2076</v>
      </c>
      <c r="B310" s="31">
        <v>49</v>
      </c>
      <c r="C310" s="36">
        <f t="shared" si="26"/>
        <v>0</v>
      </c>
      <c r="D310" s="36">
        <f t="shared" si="32"/>
        <v>0</v>
      </c>
      <c r="E310" s="36">
        <f t="shared" si="28"/>
        <v>0</v>
      </c>
      <c r="F310" s="84">
        <f t="shared" si="31"/>
        <v>283670037.15381819</v>
      </c>
      <c r="G310" s="84">
        <f t="shared" si="33"/>
        <v>2127525278.6536362</v>
      </c>
      <c r="H310" s="151">
        <f t="shared" si="29"/>
        <v>2411195315.8074546</v>
      </c>
      <c r="I310" s="144">
        <f t="shared" si="34"/>
        <v>3.8754031609892544E-3</v>
      </c>
      <c r="J310" s="145">
        <f t="shared" si="30"/>
        <v>9344353.9486426935</v>
      </c>
    </row>
    <row r="311" spans="1:11" s="12" customFormat="1" ht="21.95" customHeight="1">
      <c r="A311" s="132">
        <f t="shared" si="25"/>
        <v>2077</v>
      </c>
      <c r="B311" s="31">
        <v>50</v>
      </c>
      <c r="C311" s="36">
        <f t="shared" si="26"/>
        <v>0</v>
      </c>
      <c r="D311" s="36">
        <f t="shared" si="32"/>
        <v>0</v>
      </c>
      <c r="E311" s="36">
        <f t="shared" si="28"/>
        <v>0</v>
      </c>
      <c r="F311" s="84">
        <f t="shared" si="31"/>
        <v>283670037.15381819</v>
      </c>
      <c r="G311" s="84">
        <f t="shared" si="33"/>
        <v>2127525278.6536362</v>
      </c>
      <c r="H311" s="151">
        <f t="shared" si="29"/>
        <v>2411195315.8074546</v>
      </c>
      <c r="I311" s="144">
        <f t="shared" si="34"/>
        <v>3.460181393740405E-3</v>
      </c>
      <c r="J311" s="145">
        <f t="shared" si="30"/>
        <v>8343173.1684309738</v>
      </c>
    </row>
    <row r="312" spans="1:11" s="12" customFormat="1" ht="21.95" customHeight="1" thickBot="1">
      <c r="A312" s="152"/>
      <c r="B312" s="61"/>
      <c r="C312" s="146">
        <f t="shared" ref="C312:H312" si="35">SUM(C262:C311)</f>
        <v>16337217900.940439</v>
      </c>
      <c r="D312" s="146">
        <f t="shared" si="35"/>
        <v>2052663889992.5874</v>
      </c>
      <c r="E312" s="146">
        <f t="shared" si="35"/>
        <v>227590121868.28809</v>
      </c>
      <c r="F312" s="146">
        <f t="shared" si="35"/>
        <v>80930137921.513336</v>
      </c>
      <c r="G312" s="146">
        <f t="shared" si="35"/>
        <v>97629771120.439102</v>
      </c>
      <c r="H312" s="146">
        <f t="shared" si="35"/>
        <v>2475151138803.7754</v>
      </c>
      <c r="I312" s="147"/>
      <c r="J312" s="146">
        <f>SUM(J262:J311)</f>
        <v>1947878095959.24</v>
      </c>
      <c r="K312" s="146">
        <f>SUM(K262:K311)</f>
        <v>0</v>
      </c>
    </row>
    <row r="313" spans="1:11" s="12" customFormat="1" ht="21.95" customHeight="1" thickTop="1"/>
    <row r="314" spans="1:11" s="12" customFormat="1" ht="21.95" customHeight="1" thickBot="1">
      <c r="A314" s="137" t="s">
        <v>320</v>
      </c>
    </row>
    <row r="315" spans="1:11" s="12" customFormat="1" ht="88.5" customHeight="1" thickTop="1">
      <c r="A315" s="2414" t="s">
        <v>303</v>
      </c>
      <c r="B315" s="2466"/>
      <c r="C315" s="138" t="s">
        <v>408</v>
      </c>
      <c r="D315" s="138" t="s">
        <v>409</v>
      </c>
      <c r="E315" s="138" t="s">
        <v>410</v>
      </c>
      <c r="F315" s="138" t="s">
        <v>661</v>
      </c>
      <c r="G315" s="138" t="s">
        <v>412</v>
      </c>
      <c r="H315" s="138" t="s">
        <v>404</v>
      </c>
      <c r="I315" s="139" t="s">
        <v>411</v>
      </c>
    </row>
    <row r="316" spans="1:11" s="12" customFormat="1" ht="38.25" customHeight="1">
      <c r="A316" s="2464" t="s">
        <v>311</v>
      </c>
      <c r="B316" s="2465"/>
      <c r="C316" s="140" t="s">
        <v>312</v>
      </c>
      <c r="D316" s="141" t="s">
        <v>313</v>
      </c>
      <c r="E316" s="140" t="s">
        <v>698</v>
      </c>
      <c r="F316" s="141" t="s">
        <v>315</v>
      </c>
      <c r="G316" s="141" t="s">
        <v>326</v>
      </c>
      <c r="H316" s="140" t="s">
        <v>327</v>
      </c>
      <c r="I316" s="150" t="s">
        <v>328</v>
      </c>
    </row>
    <row r="317" spans="1:11" s="12" customFormat="1" ht="21.95" customHeight="1">
      <c r="A317" s="132">
        <f>A147</f>
        <v>2028</v>
      </c>
      <c r="B317" s="31">
        <v>1</v>
      </c>
      <c r="C317" s="36">
        <f>$F$70*$F$71*C147/1.1</f>
        <v>7351748055.4231968</v>
      </c>
      <c r="D317" s="36">
        <f>+($F$81*$F$82*$E147)/1.1</f>
        <v>197651816169.54544</v>
      </c>
      <c r="E317" s="84">
        <f>(C317+D317)*10%</f>
        <v>20500356422.496864</v>
      </c>
      <c r="F317" s="84">
        <f>+SUM($L204:$M204)*$F$90</f>
        <v>8365139999.999999</v>
      </c>
      <c r="G317" s="84">
        <f>C317+D317+E317+F317</f>
        <v>233869060647.46548</v>
      </c>
      <c r="H317" s="144">
        <f>1/(1+$F$95)^B317</f>
        <v>0.89285714285714279</v>
      </c>
      <c r="I317" s="145">
        <f>G317*H317</f>
        <v>208811661292.37988</v>
      </c>
    </row>
    <row r="318" spans="1:11" s="12" customFormat="1" ht="21.95" customHeight="1">
      <c r="A318" s="132">
        <f>A148</f>
        <v>2029</v>
      </c>
      <c r="B318" s="31">
        <v>2</v>
      </c>
      <c r="C318" s="36">
        <f>$F$70*$F$71*C148/1.1</f>
        <v>0</v>
      </c>
      <c r="D318" s="36">
        <f>(C318*1.1)*10%/1.1</f>
        <v>0</v>
      </c>
      <c r="E318" s="84">
        <f>(C318+D318)*50%*$F$92</f>
        <v>0</v>
      </c>
      <c r="F318" s="84">
        <f t="shared" ref="F318:F320" si="36">+SUM($L205:$M205)*$F$90</f>
        <v>0</v>
      </c>
      <c r="G318" s="84">
        <f t="shared" ref="G318:G320" si="37">C318+D318+E318+F318</f>
        <v>0</v>
      </c>
      <c r="H318" s="144">
        <f>1/(1+$F$95)^B318</f>
        <v>0.79719387755102034</v>
      </c>
      <c r="I318" s="145">
        <f>G318*H318</f>
        <v>0</v>
      </c>
    </row>
    <row r="319" spans="1:11" s="12" customFormat="1" ht="21.95" customHeight="1">
      <c r="A319" s="132">
        <f>A149</f>
        <v>2030</v>
      </c>
      <c r="B319" s="31">
        <v>3</v>
      </c>
      <c r="C319" s="36">
        <f>$F$70*$F$71*C149/1.1</f>
        <v>0</v>
      </c>
      <c r="D319" s="36">
        <f>(C319*1.1)*10%/1.1</f>
        <v>0</v>
      </c>
      <c r="E319" s="84">
        <f>(C319+D319)*50%*$F$92</f>
        <v>0</v>
      </c>
      <c r="F319" s="84">
        <f t="shared" si="36"/>
        <v>0</v>
      </c>
      <c r="G319" s="84">
        <f t="shared" si="37"/>
        <v>0</v>
      </c>
      <c r="H319" s="144">
        <f>1/(1+$F$95)^B319</f>
        <v>0.71178024781341087</v>
      </c>
      <c r="I319" s="145">
        <f>G319*H319</f>
        <v>0</v>
      </c>
    </row>
    <row r="320" spans="1:11" s="12" customFormat="1" ht="21.95" customHeight="1">
      <c r="A320" s="132">
        <f>A150</f>
        <v>2031</v>
      </c>
      <c r="B320" s="31">
        <v>4</v>
      </c>
      <c r="C320" s="36">
        <f>$F$70*$F$71*C150/1.1</f>
        <v>0</v>
      </c>
      <c r="D320" s="36">
        <f>(C320*1.1)*10%/1.1</f>
        <v>0</v>
      </c>
      <c r="E320" s="84">
        <f>(C320+D320)*50%*$F$92</f>
        <v>0</v>
      </c>
      <c r="F320" s="84">
        <f t="shared" si="36"/>
        <v>0</v>
      </c>
      <c r="G320" s="84">
        <f t="shared" si="37"/>
        <v>0</v>
      </c>
      <c r="H320" s="144">
        <f>1/(1+$F$95)^B320</f>
        <v>0.63551807840483121</v>
      </c>
      <c r="I320" s="145">
        <f>G320*H320</f>
        <v>0</v>
      </c>
    </row>
    <row r="321" spans="1:14" s="12" customFormat="1" ht="21.95" customHeight="1" thickBot="1">
      <c r="A321" s="152"/>
      <c r="B321" s="61"/>
      <c r="C321" s="146">
        <f>SUM(C317:C320)</f>
        <v>7351748055.4231968</v>
      </c>
      <c r="D321" s="146">
        <f>SUM(D317:D320)</f>
        <v>197651816169.54544</v>
      </c>
      <c r="E321" s="146">
        <f>SUM(E317:E320)</f>
        <v>20500356422.496864</v>
      </c>
      <c r="F321" s="146">
        <f>SUM(F317:F320)</f>
        <v>8365139999.999999</v>
      </c>
      <c r="G321" s="146">
        <f>SUM(G317:G320)</f>
        <v>233869060647.46548</v>
      </c>
      <c r="H321" s="146"/>
      <c r="I321" s="147">
        <f>SUM(I317:I320)</f>
        <v>208811661292.37988</v>
      </c>
    </row>
    <row r="322" spans="1:14" s="12" customFormat="1" ht="21.95" customHeight="1" thickTop="1">
      <c r="E322" s="121"/>
      <c r="F322" s="121"/>
    </row>
    <row r="323" spans="1:14" s="12" customFormat="1" ht="21.95" customHeight="1">
      <c r="A323" s="2467" t="s">
        <v>413</v>
      </c>
      <c r="B323" s="2467"/>
      <c r="C323" s="2467"/>
      <c r="D323" s="2467"/>
      <c r="E323" s="2467"/>
      <c r="F323" s="26"/>
    </row>
    <row r="324" spans="1:14" s="137" customFormat="1" ht="21.95" customHeight="1" thickBot="1">
      <c r="A324" s="137" t="s">
        <v>319</v>
      </c>
      <c r="G324" s="153"/>
      <c r="H324" s="137" t="s">
        <v>329</v>
      </c>
    </row>
    <row r="325" spans="1:14" s="12" customFormat="1" ht="60.75" customHeight="1" thickTop="1">
      <c r="A325" s="2414" t="s">
        <v>303</v>
      </c>
      <c r="B325" s="2466"/>
      <c r="C325" s="138" t="s">
        <v>414</v>
      </c>
      <c r="D325" s="138" t="s">
        <v>416</v>
      </c>
      <c r="E325" s="139" t="s">
        <v>456</v>
      </c>
      <c r="G325" s="113"/>
      <c r="H325" s="2414" t="s">
        <v>303</v>
      </c>
      <c r="I325" s="2466"/>
      <c r="J325" s="138" t="s">
        <v>415</v>
      </c>
      <c r="K325" s="138" t="s">
        <v>416</v>
      </c>
      <c r="L325" s="139" t="s">
        <v>456</v>
      </c>
    </row>
    <row r="326" spans="1:14" s="12" customFormat="1" ht="21.95" customHeight="1">
      <c r="A326" s="2468" t="s">
        <v>311</v>
      </c>
      <c r="B326" s="2469"/>
      <c r="C326" s="128" t="s">
        <v>312</v>
      </c>
      <c r="D326" s="128" t="s">
        <v>313</v>
      </c>
      <c r="E326" s="129" t="s">
        <v>659</v>
      </c>
      <c r="G326" s="113"/>
      <c r="H326" s="2468" t="s">
        <v>311</v>
      </c>
      <c r="I326" s="2469"/>
      <c r="J326" s="128" t="s">
        <v>312</v>
      </c>
      <c r="K326" s="128" t="s">
        <v>313</v>
      </c>
      <c r="L326" s="129" t="s">
        <v>699</v>
      </c>
    </row>
    <row r="327" spans="1:14" s="12" customFormat="1" ht="21.95" customHeight="1">
      <c r="A327" s="132">
        <f t="shared" ref="A327:A358" si="38">A147</f>
        <v>2028</v>
      </c>
      <c r="B327" s="31">
        <v>1</v>
      </c>
      <c r="C327" s="36">
        <f>H204</f>
        <v>909546898733.76611</v>
      </c>
      <c r="D327" s="36">
        <f>J262</f>
        <v>848116901391.4187</v>
      </c>
      <c r="E327" s="145">
        <f t="shared" ref="E327:E358" si="39">+D327*$F$94</f>
        <v>127217535208.7128</v>
      </c>
      <c r="G327" s="21"/>
      <c r="H327" s="132">
        <v>2019</v>
      </c>
      <c r="I327" s="31">
        <v>1</v>
      </c>
      <c r="J327" s="36">
        <f>P204</f>
        <v>373443749999.99994</v>
      </c>
      <c r="K327" s="36">
        <f>I317</f>
        <v>208811661292.37988</v>
      </c>
      <c r="L327" s="145">
        <f>K327*$F$94</f>
        <v>31321749193.856979</v>
      </c>
    </row>
    <row r="328" spans="1:14" s="12" customFormat="1" ht="21.95" customHeight="1">
      <c r="A328" s="132">
        <f t="shared" si="38"/>
        <v>2029</v>
      </c>
      <c r="B328" s="31">
        <v>2</v>
      </c>
      <c r="C328" s="36">
        <f t="shared" ref="C328:C377" si="40">H205</f>
        <v>1082793927064.0072</v>
      </c>
      <c r="D328" s="36">
        <f t="shared" ref="D328:D330" si="41">J263</f>
        <v>748204640624.11548</v>
      </c>
      <c r="E328" s="145">
        <f t="shared" si="39"/>
        <v>112230696093.61732</v>
      </c>
      <c r="G328" s="121"/>
      <c r="H328" s="132">
        <v>2020</v>
      </c>
      <c r="I328" s="31">
        <v>2</v>
      </c>
      <c r="J328" s="36">
        <f>P205</f>
        <v>0</v>
      </c>
      <c r="K328" s="36">
        <f>I318</f>
        <v>0</v>
      </c>
      <c r="L328" s="145">
        <f>K328*$F$94</f>
        <v>0</v>
      </c>
    </row>
    <row r="329" spans="1:14" s="12" customFormat="1" ht="21.95" customHeight="1">
      <c r="A329" s="132">
        <f t="shared" si="38"/>
        <v>2030</v>
      </c>
      <c r="B329" s="31">
        <v>3</v>
      </c>
      <c r="C329" s="36">
        <f>H206</f>
        <v>725085219016.07617</v>
      </c>
      <c r="D329" s="36">
        <f t="shared" si="41"/>
        <v>338853830310.15863</v>
      </c>
      <c r="E329" s="145">
        <f t="shared" si="39"/>
        <v>50828074546.523796</v>
      </c>
      <c r="H329" s="132">
        <v>2021</v>
      </c>
      <c r="I329" s="31">
        <v>3</v>
      </c>
      <c r="J329" s="36">
        <f>P206</f>
        <v>0</v>
      </c>
      <c r="K329" s="36">
        <f>I319</f>
        <v>0</v>
      </c>
      <c r="L329" s="145">
        <f>K329*$F$94</f>
        <v>0</v>
      </c>
    </row>
    <row r="330" spans="1:14" s="12" customFormat="1" ht="21.95" customHeight="1">
      <c r="A330" s="132">
        <f t="shared" si="38"/>
        <v>2031</v>
      </c>
      <c r="B330" s="31">
        <v>4</v>
      </c>
      <c r="C330" s="36">
        <f t="shared" si="40"/>
        <v>5007706580.9172659</v>
      </c>
      <c r="D330" s="36">
        <f t="shared" si="41"/>
        <v>851310118.75593519</v>
      </c>
      <c r="E330" s="145">
        <f t="shared" si="39"/>
        <v>127696517.81339027</v>
      </c>
      <c r="H330" s="132">
        <v>2022</v>
      </c>
      <c r="I330" s="31">
        <v>4</v>
      </c>
      <c r="J330" s="36">
        <f>P207</f>
        <v>0</v>
      </c>
      <c r="K330" s="36">
        <f>I320</f>
        <v>0</v>
      </c>
      <c r="L330" s="145">
        <f>K330*$F$94</f>
        <v>0</v>
      </c>
    </row>
    <row r="331" spans="1:14" s="12" customFormat="1" ht="21.95" customHeight="1">
      <c r="A331" s="132">
        <f t="shared" si="38"/>
        <v>2032</v>
      </c>
      <c r="B331" s="31">
        <v>5</v>
      </c>
      <c r="C331" s="36">
        <f t="shared" si="40"/>
        <v>5365399908.1256418</v>
      </c>
      <c r="D331" s="36">
        <f>J266</f>
        <v>912117984.38135898</v>
      </c>
      <c r="E331" s="145">
        <f t="shared" si="39"/>
        <v>136817697.65720385</v>
      </c>
      <c r="G331" s="21"/>
      <c r="H331" s="132"/>
      <c r="I331" s="31"/>
      <c r="J331" s="34">
        <f>SUM(J327:J330)</f>
        <v>373443749999.99994</v>
      </c>
      <c r="K331" s="34">
        <f>SUM(K327:K330)</f>
        <v>208811661292.37988</v>
      </c>
      <c r="L331" s="34">
        <f>SUM(L327:L330)</f>
        <v>31321749193.856979</v>
      </c>
    </row>
    <row r="332" spans="1:14" s="12" customFormat="1" ht="21.95" customHeight="1">
      <c r="A332" s="132">
        <f t="shared" si="38"/>
        <v>2033</v>
      </c>
      <c r="B332" s="31">
        <v>6</v>
      </c>
      <c r="C332" s="36">
        <f t="shared" si="40"/>
        <v>5588958237.6308756</v>
      </c>
      <c r="D332" s="36">
        <f t="shared" ref="D332:D376" si="42">J267</f>
        <v>950122900.39724886</v>
      </c>
      <c r="E332" s="145">
        <f t="shared" si="39"/>
        <v>142518435.05958733</v>
      </c>
      <c r="G332" s="51"/>
      <c r="H332" s="2470" t="s">
        <v>330</v>
      </c>
      <c r="I332" s="2471"/>
      <c r="J332" s="2471"/>
      <c r="K332" s="2420"/>
      <c r="L332" s="34">
        <f>(J331-K331-L331)/(1+$F$94)</f>
        <v>115922034359.79399</v>
      </c>
      <c r="M332" s="121">
        <f>J331-K331-L331-L332</f>
        <v>17388305153.969086</v>
      </c>
      <c r="N332" s="154">
        <f>IFERROR(M332/(K331+L332),0)</f>
        <v>5.3546353171165538E-2</v>
      </c>
    </row>
    <row r="333" spans="1:14" s="12" customFormat="1" ht="21.95" customHeight="1" thickBot="1">
      <c r="A333" s="132">
        <f t="shared" si="38"/>
        <v>2034</v>
      </c>
      <c r="B333" s="31">
        <v>7</v>
      </c>
      <c r="C333" s="36">
        <f t="shared" si="40"/>
        <v>5703018609.827425</v>
      </c>
      <c r="D333" s="36">
        <f t="shared" si="42"/>
        <v>969513163.6706624</v>
      </c>
      <c r="E333" s="145">
        <f t="shared" si="39"/>
        <v>145426974.55059937</v>
      </c>
      <c r="G333" s="51"/>
      <c r="H333" s="2460" t="s">
        <v>417</v>
      </c>
      <c r="I333" s="2461"/>
      <c r="J333" s="2461"/>
      <c r="K333" s="2462"/>
      <c r="L333" s="155">
        <f>IFERROR(L332/F51,0)</f>
        <v>17637138.725680362</v>
      </c>
    </row>
    <row r="334" spans="1:14" s="12" customFormat="1" ht="21.95" customHeight="1" thickTop="1">
      <c r="A334" s="132">
        <f t="shared" si="38"/>
        <v>2035</v>
      </c>
      <c r="B334" s="31">
        <v>8</v>
      </c>
      <c r="C334" s="36">
        <f t="shared" si="40"/>
        <v>5728478514.3355827</v>
      </c>
      <c r="D334" s="36">
        <f t="shared" si="42"/>
        <v>973841347.43704903</v>
      </c>
      <c r="E334" s="145">
        <f t="shared" si="39"/>
        <v>146076202.11555734</v>
      </c>
      <c r="L334" s="121">
        <f>L332+E378</f>
        <v>595998676261.94348</v>
      </c>
    </row>
    <row r="335" spans="1:14" s="12" customFormat="1" ht="21.95" customHeight="1">
      <c r="A335" s="132">
        <f t="shared" si="38"/>
        <v>2036</v>
      </c>
      <c r="B335" s="31">
        <v>9</v>
      </c>
      <c r="C335" s="36">
        <f t="shared" si="40"/>
        <v>5114712959.228199</v>
      </c>
      <c r="D335" s="36">
        <f t="shared" si="42"/>
        <v>869501203.06879389</v>
      </c>
      <c r="E335" s="145">
        <f t="shared" si="39"/>
        <v>130425180.46031907</v>
      </c>
    </row>
    <row r="336" spans="1:14" s="12" customFormat="1" ht="21.95" customHeight="1">
      <c r="A336" s="132">
        <f t="shared" si="38"/>
        <v>2037</v>
      </c>
      <c r="B336" s="31">
        <v>10</v>
      </c>
      <c r="C336" s="36">
        <f t="shared" si="40"/>
        <v>4566707999.3108912</v>
      </c>
      <c r="D336" s="36">
        <f t="shared" si="42"/>
        <v>776340359.88285148</v>
      </c>
      <c r="E336" s="145">
        <f t="shared" si="39"/>
        <v>116451053.98242772</v>
      </c>
    </row>
    <row r="337" spans="1:5" s="12" customFormat="1" ht="21.95" customHeight="1">
      <c r="A337" s="132">
        <f t="shared" si="38"/>
        <v>2038</v>
      </c>
      <c r="B337" s="31">
        <v>11</v>
      </c>
      <c r="C337" s="36">
        <f t="shared" si="40"/>
        <v>4077417856.5275807</v>
      </c>
      <c r="D337" s="36">
        <f t="shared" si="42"/>
        <v>693161035.60968876</v>
      </c>
      <c r="E337" s="145">
        <f t="shared" si="39"/>
        <v>103974155.34145331</v>
      </c>
    </row>
    <row r="338" spans="1:5" s="12" customFormat="1" ht="21.95" customHeight="1">
      <c r="A338" s="132">
        <f t="shared" si="38"/>
        <v>2039</v>
      </c>
      <c r="B338" s="31">
        <v>12</v>
      </c>
      <c r="C338" s="36">
        <f t="shared" si="40"/>
        <v>3640551657.6139121</v>
      </c>
      <c r="D338" s="36">
        <f t="shared" si="42"/>
        <v>618893781.79436505</v>
      </c>
      <c r="E338" s="145">
        <f t="shared" si="39"/>
        <v>92834067.269154757</v>
      </c>
    </row>
    <row r="339" spans="1:5" s="12" customFormat="1" ht="21.95" customHeight="1">
      <c r="A339" s="132">
        <f t="shared" si="38"/>
        <v>2040</v>
      </c>
      <c r="B339" s="31">
        <v>13</v>
      </c>
      <c r="C339" s="36">
        <f t="shared" si="40"/>
        <v>3250492551.4409919</v>
      </c>
      <c r="D339" s="36">
        <f t="shared" si="42"/>
        <v>552583733.74496865</v>
      </c>
      <c r="E339" s="145">
        <f t="shared" si="39"/>
        <v>82887560.061745301</v>
      </c>
    </row>
    <row r="340" spans="1:5" s="12" customFormat="1" ht="21.95" customHeight="1">
      <c r="A340" s="132">
        <f t="shared" si="38"/>
        <v>2041</v>
      </c>
      <c r="B340" s="31">
        <v>14</v>
      </c>
      <c r="C340" s="36">
        <f t="shared" si="40"/>
        <v>2902225492.3580284</v>
      </c>
      <c r="D340" s="36">
        <f t="shared" si="42"/>
        <v>493378333.70086485</v>
      </c>
      <c r="E340" s="145">
        <f t="shared" si="39"/>
        <v>74006750.055129722</v>
      </c>
    </row>
    <row r="341" spans="1:5" s="12" customFormat="1" ht="21.95" customHeight="1">
      <c r="A341" s="132">
        <f t="shared" si="38"/>
        <v>2042</v>
      </c>
      <c r="B341" s="31">
        <v>15</v>
      </c>
      <c r="C341" s="36">
        <f t="shared" si="40"/>
        <v>2591272761.0339541</v>
      </c>
      <c r="D341" s="36">
        <f t="shared" si="42"/>
        <v>440516369.37577218</v>
      </c>
      <c r="E341" s="145">
        <f t="shared" si="39"/>
        <v>66077455.406365827</v>
      </c>
    </row>
    <row r="342" spans="1:5" s="12" customFormat="1" ht="21.95" customHeight="1">
      <c r="A342" s="132">
        <f t="shared" si="38"/>
        <v>2043</v>
      </c>
      <c r="B342" s="31">
        <v>16</v>
      </c>
      <c r="C342" s="36">
        <f t="shared" si="40"/>
        <v>2313636393.7803154</v>
      </c>
      <c r="D342" s="36">
        <f t="shared" si="42"/>
        <v>393318186.94265366</v>
      </c>
      <c r="E342" s="145">
        <f t="shared" si="39"/>
        <v>58997728.041398048</v>
      </c>
    </row>
    <row r="343" spans="1:5" s="12" customFormat="1" ht="21.95" customHeight="1">
      <c r="A343" s="132">
        <f t="shared" si="38"/>
        <v>2044</v>
      </c>
      <c r="B343" s="31">
        <v>17</v>
      </c>
      <c r="C343" s="36">
        <f t="shared" si="40"/>
        <v>2065746780.1609962</v>
      </c>
      <c r="D343" s="36">
        <f t="shared" si="42"/>
        <v>351176952.62736934</v>
      </c>
      <c r="E343" s="145">
        <f t="shared" si="39"/>
        <v>52676542.894105397</v>
      </c>
    </row>
    <row r="344" spans="1:5" s="12" customFormat="1" ht="21.95" customHeight="1">
      <c r="A344" s="132">
        <f t="shared" si="38"/>
        <v>2045</v>
      </c>
      <c r="B344" s="31">
        <v>18</v>
      </c>
      <c r="C344" s="36">
        <f t="shared" si="40"/>
        <v>1844416768.0008891</v>
      </c>
      <c r="D344" s="36">
        <f t="shared" si="42"/>
        <v>313550850.56015116</v>
      </c>
      <c r="E344" s="145">
        <f t="shared" si="39"/>
        <v>47032627.584022671</v>
      </c>
    </row>
    <row r="345" spans="1:5" s="12" customFormat="1" ht="21.95" customHeight="1">
      <c r="A345" s="132">
        <f t="shared" si="38"/>
        <v>2046</v>
      </c>
      <c r="B345" s="31">
        <v>19</v>
      </c>
      <c r="C345" s="36">
        <f t="shared" si="40"/>
        <v>1646800685.7150795</v>
      </c>
      <c r="D345" s="36">
        <f t="shared" si="42"/>
        <v>279956116.57156354</v>
      </c>
      <c r="E345" s="145">
        <f t="shared" si="39"/>
        <v>41993417.48573453</v>
      </c>
    </row>
    <row r="346" spans="1:5" s="12" customFormat="1" ht="21.95" customHeight="1">
      <c r="A346" s="132">
        <f t="shared" si="38"/>
        <v>2047</v>
      </c>
      <c r="B346" s="31">
        <v>20</v>
      </c>
      <c r="C346" s="36">
        <f t="shared" si="40"/>
        <v>1470357755.1027493</v>
      </c>
      <c r="D346" s="36">
        <f t="shared" si="42"/>
        <v>249960818.36746743</v>
      </c>
      <c r="E346" s="145">
        <f t="shared" si="39"/>
        <v>37494122.755120113</v>
      </c>
    </row>
    <row r="347" spans="1:5" s="12" customFormat="1" ht="21.95" customHeight="1">
      <c r="A347" s="132">
        <f t="shared" si="38"/>
        <v>2048</v>
      </c>
      <c r="B347" s="31">
        <v>21</v>
      </c>
      <c r="C347" s="36">
        <f t="shared" si="40"/>
        <v>1312819424.1988833</v>
      </c>
      <c r="D347" s="36">
        <f t="shared" si="42"/>
        <v>223179302.11381018</v>
      </c>
      <c r="E347" s="145">
        <f t="shared" si="39"/>
        <v>33476895.317071527</v>
      </c>
    </row>
    <row r="348" spans="1:5" s="12" customFormat="1" ht="21.95" customHeight="1">
      <c r="A348" s="132">
        <f t="shared" si="38"/>
        <v>2049</v>
      </c>
      <c r="B348" s="31">
        <v>22</v>
      </c>
      <c r="C348" s="36">
        <f t="shared" si="40"/>
        <v>1172160200.1775744</v>
      </c>
      <c r="D348" s="36">
        <f t="shared" si="42"/>
        <v>199267234.03018764</v>
      </c>
      <c r="E348" s="145">
        <f t="shared" si="39"/>
        <v>29890085.104528144</v>
      </c>
    </row>
    <row r="349" spans="1:5" s="12" customFormat="1" ht="21.95" customHeight="1">
      <c r="A349" s="132">
        <f t="shared" si="38"/>
        <v>2050</v>
      </c>
      <c r="B349" s="31">
        <v>23</v>
      </c>
      <c r="C349" s="36">
        <f t="shared" si="40"/>
        <v>1046571607.3014058</v>
      </c>
      <c r="D349" s="36">
        <f t="shared" si="42"/>
        <v>177917173.24123898</v>
      </c>
      <c r="E349" s="145">
        <f t="shared" si="39"/>
        <v>26687575.986185845</v>
      </c>
    </row>
    <row r="350" spans="1:5" s="12" customFormat="1" ht="21.95" customHeight="1">
      <c r="A350" s="132">
        <f t="shared" si="38"/>
        <v>2051</v>
      </c>
      <c r="B350" s="31">
        <v>24</v>
      </c>
      <c r="C350" s="36">
        <f t="shared" si="40"/>
        <v>934438935.09054065</v>
      </c>
      <c r="D350" s="36">
        <f t="shared" si="42"/>
        <v>158854618.96539193</v>
      </c>
      <c r="E350" s="145">
        <f t="shared" si="39"/>
        <v>23828192.844808791</v>
      </c>
    </row>
    <row r="351" spans="1:5" s="12" customFormat="1" ht="21.95" customHeight="1">
      <c r="A351" s="132">
        <f t="shared" si="38"/>
        <v>2052</v>
      </c>
      <c r="B351" s="31">
        <v>25</v>
      </c>
      <c r="C351" s="36">
        <f t="shared" si="40"/>
        <v>834320477.75941122</v>
      </c>
      <c r="D351" s="36">
        <f t="shared" si="42"/>
        <v>141834481.21909991</v>
      </c>
      <c r="E351" s="145">
        <f t="shared" si="39"/>
        <v>21275172.182864986</v>
      </c>
    </row>
    <row r="352" spans="1:5" s="12" customFormat="1" ht="21.95" customHeight="1">
      <c r="A352" s="132">
        <f t="shared" si="38"/>
        <v>2053</v>
      </c>
      <c r="B352" s="31">
        <v>26</v>
      </c>
      <c r="C352" s="36">
        <f t="shared" si="40"/>
        <v>744928997.99947429</v>
      </c>
      <c r="D352" s="36">
        <f t="shared" si="42"/>
        <v>126637929.65991063</v>
      </c>
      <c r="E352" s="145">
        <f t="shared" si="39"/>
        <v>18995689.448986594</v>
      </c>
    </row>
    <row r="353" spans="1:5" s="12" customFormat="1" ht="21.95" customHeight="1">
      <c r="A353" s="132">
        <f t="shared" si="38"/>
        <v>2054</v>
      </c>
      <c r="B353" s="31">
        <v>27</v>
      </c>
      <c r="C353" s="36">
        <f t="shared" si="40"/>
        <v>665115176.78524482</v>
      </c>
      <c r="D353" s="36">
        <f t="shared" si="42"/>
        <v>113069580.05349162</v>
      </c>
      <c r="E353" s="145">
        <f t="shared" si="39"/>
        <v>16960437.008023743</v>
      </c>
    </row>
    <row r="354" spans="1:5" s="12" customFormat="1" ht="21.95" customHeight="1">
      <c r="A354" s="132">
        <f t="shared" si="38"/>
        <v>2055</v>
      </c>
      <c r="B354" s="31">
        <v>28</v>
      </c>
      <c r="C354" s="36">
        <f t="shared" si="40"/>
        <v>593852836.41539717</v>
      </c>
      <c r="D354" s="36">
        <f t="shared" si="42"/>
        <v>100954982.19061753</v>
      </c>
      <c r="E354" s="145">
        <f t="shared" si="39"/>
        <v>15143247.328592628</v>
      </c>
    </row>
    <row r="355" spans="1:5" s="12" customFormat="1" ht="21.95" customHeight="1">
      <c r="A355" s="132">
        <f t="shared" si="38"/>
        <v>2056</v>
      </c>
      <c r="B355" s="31">
        <v>29</v>
      </c>
      <c r="C355" s="36">
        <f t="shared" si="40"/>
        <v>530225746.79946172</v>
      </c>
      <c r="D355" s="36">
        <f t="shared" si="42"/>
        <v>90138376.955908492</v>
      </c>
      <c r="E355" s="145">
        <f t="shared" si="39"/>
        <v>13520756.543386273</v>
      </c>
    </row>
    <row r="356" spans="1:5" s="12" customFormat="1" ht="21.95" customHeight="1">
      <c r="A356" s="132">
        <f t="shared" si="38"/>
        <v>2057</v>
      </c>
      <c r="B356" s="31">
        <v>30</v>
      </c>
      <c r="C356" s="36">
        <f t="shared" si="40"/>
        <v>473415845.35666215</v>
      </c>
      <c r="D356" s="36">
        <f t="shared" si="42"/>
        <v>80480693.710632578</v>
      </c>
      <c r="E356" s="145">
        <f t="shared" si="39"/>
        <v>12072104.056594886</v>
      </c>
    </row>
    <row r="357" spans="1:5" s="12" customFormat="1" ht="21.95" customHeight="1">
      <c r="A357" s="132">
        <f t="shared" si="38"/>
        <v>2058</v>
      </c>
      <c r="B357" s="31">
        <v>31</v>
      </c>
      <c r="C357" s="36">
        <f t="shared" si="40"/>
        <v>422692719.06844842</v>
      </c>
      <c r="D357" s="36">
        <f t="shared" si="42"/>
        <v>71857762.241636232</v>
      </c>
      <c r="E357" s="145">
        <f t="shared" si="39"/>
        <v>10778664.336245434</v>
      </c>
    </row>
    <row r="358" spans="1:5" s="12" customFormat="1" ht="21.95" customHeight="1">
      <c r="A358" s="132">
        <f t="shared" si="38"/>
        <v>2059</v>
      </c>
      <c r="B358" s="31">
        <v>32</v>
      </c>
      <c r="C358" s="36">
        <f t="shared" si="40"/>
        <v>377404213.45397168</v>
      </c>
      <c r="D358" s="36">
        <f t="shared" si="42"/>
        <v>64158716.287175193</v>
      </c>
      <c r="E358" s="145">
        <f t="shared" si="39"/>
        <v>9623807.443076279</v>
      </c>
    </row>
    <row r="359" spans="1:5" s="12" customFormat="1" ht="21.95" customHeight="1">
      <c r="A359" s="132">
        <f t="shared" ref="A359:A376" si="43">A179</f>
        <v>2060</v>
      </c>
      <c r="B359" s="31">
        <v>33</v>
      </c>
      <c r="C359" s="36">
        <f t="shared" si="40"/>
        <v>336968047.72676039</v>
      </c>
      <c r="D359" s="36">
        <f t="shared" si="42"/>
        <v>57284568.11354927</v>
      </c>
      <c r="E359" s="145">
        <f t="shared" ref="E359:E376" si="44">+D359*$F$94</f>
        <v>8592685.2170323897</v>
      </c>
    </row>
    <row r="360" spans="1:5" s="12" customFormat="1" ht="21.95" customHeight="1">
      <c r="A360" s="132">
        <f t="shared" si="43"/>
        <v>2061</v>
      </c>
      <c r="B360" s="31">
        <v>34</v>
      </c>
      <c r="C360" s="36">
        <f t="shared" si="40"/>
        <v>300864328.32746464</v>
      </c>
      <c r="D360" s="36">
        <f t="shared" si="42"/>
        <v>51146935.815668993</v>
      </c>
      <c r="E360" s="145">
        <f t="shared" si="44"/>
        <v>7672040.3723503482</v>
      </c>
    </row>
    <row r="361" spans="1:5" s="12" customFormat="1" ht="21.95" customHeight="1">
      <c r="A361" s="132">
        <f t="shared" si="43"/>
        <v>2062</v>
      </c>
      <c r="B361" s="31">
        <v>35</v>
      </c>
      <c r="C361" s="36">
        <f t="shared" si="40"/>
        <v>268628864.57809341</v>
      </c>
      <c r="D361" s="36">
        <f t="shared" si="42"/>
        <v>45666906.97827588</v>
      </c>
      <c r="E361" s="145">
        <f t="shared" si="44"/>
        <v>6850036.0467413822</v>
      </c>
    </row>
    <row r="362" spans="1:5" s="12" customFormat="1" ht="21.95" customHeight="1">
      <c r="A362" s="132">
        <f t="shared" si="43"/>
        <v>2063</v>
      </c>
      <c r="B362" s="31">
        <v>36</v>
      </c>
      <c r="C362" s="36">
        <f t="shared" si="40"/>
        <v>239847200.51615483</v>
      </c>
      <c r="D362" s="36">
        <f t="shared" si="42"/>
        <v>40774024.087746322</v>
      </c>
      <c r="E362" s="145">
        <f t="shared" si="44"/>
        <v>6116103.6131619485</v>
      </c>
    </row>
    <row r="363" spans="1:5" s="12" customFormat="1" ht="21.95" customHeight="1">
      <c r="A363" s="132">
        <f t="shared" si="43"/>
        <v>2064</v>
      </c>
      <c r="B363" s="31">
        <v>37</v>
      </c>
      <c r="C363" s="36">
        <f t="shared" si="40"/>
        <v>214149286.17513824</v>
      </c>
      <c r="D363" s="36">
        <f t="shared" si="42"/>
        <v>36405378.649773501</v>
      </c>
      <c r="E363" s="145">
        <f t="shared" si="44"/>
        <v>5460806.7974660248</v>
      </c>
    </row>
    <row r="364" spans="1:5" s="12" customFormat="1" ht="21.95" customHeight="1">
      <c r="A364" s="132">
        <f t="shared" si="43"/>
        <v>2065</v>
      </c>
      <c r="B364" s="31">
        <v>38</v>
      </c>
      <c r="C364" s="36">
        <f t="shared" si="40"/>
        <v>191204719.79923055</v>
      </c>
      <c r="D364" s="36">
        <f t="shared" si="42"/>
        <v>32504802.365869194</v>
      </c>
      <c r="E364" s="145">
        <f t="shared" si="44"/>
        <v>4875720.3548803786</v>
      </c>
    </row>
    <row r="365" spans="1:5" s="12" customFormat="1" ht="21.95" customHeight="1">
      <c r="A365" s="132">
        <f t="shared" si="43"/>
        <v>2066</v>
      </c>
      <c r="B365" s="31">
        <v>39</v>
      </c>
      <c r="C365" s="36">
        <f t="shared" si="40"/>
        <v>170718499.82074156</v>
      </c>
      <c r="D365" s="36">
        <f t="shared" si="42"/>
        <v>29022144.969526067</v>
      </c>
      <c r="E365" s="145">
        <f t="shared" si="44"/>
        <v>4353321.7454289095</v>
      </c>
    </row>
    <row r="366" spans="1:5" s="12" customFormat="1" ht="21.95" customHeight="1">
      <c r="A366" s="132">
        <f t="shared" si="43"/>
        <v>2067</v>
      </c>
      <c r="B366" s="31">
        <v>40</v>
      </c>
      <c r="C366" s="36">
        <f t="shared" si="40"/>
        <v>152427231.98280492</v>
      </c>
      <c r="D366" s="36">
        <f t="shared" si="42"/>
        <v>25912629.437076841</v>
      </c>
      <c r="E366" s="145">
        <f t="shared" si="44"/>
        <v>3886894.4155615261</v>
      </c>
    </row>
    <row r="367" spans="1:5" s="12" customFormat="1" ht="21.95" customHeight="1">
      <c r="A367" s="132">
        <f t="shared" si="43"/>
        <v>2068</v>
      </c>
      <c r="B367" s="31">
        <v>41</v>
      </c>
      <c r="C367" s="36">
        <f t="shared" si="40"/>
        <v>136095742.84179014</v>
      </c>
      <c r="D367" s="36">
        <f t="shared" si="42"/>
        <v>23136276.283104323</v>
      </c>
      <c r="E367" s="145">
        <f t="shared" si="44"/>
        <v>3470441.4424656485</v>
      </c>
    </row>
    <row r="368" spans="1:5" s="12" customFormat="1" ht="21.95" customHeight="1">
      <c r="A368" s="132">
        <f t="shared" si="43"/>
        <v>2069</v>
      </c>
      <c r="B368" s="31">
        <v>42</v>
      </c>
      <c r="C368" s="36">
        <f t="shared" si="40"/>
        <v>121514056.10874118</v>
      </c>
      <c r="D368" s="36">
        <f t="shared" si="42"/>
        <v>20657389.538486</v>
      </c>
      <c r="E368" s="145">
        <f t="shared" si="44"/>
        <v>3098608.4307729001</v>
      </c>
    </row>
    <row r="369" spans="1:25" s="12" customFormat="1" ht="21.95" customHeight="1">
      <c r="A369" s="132">
        <f t="shared" si="43"/>
        <v>2070</v>
      </c>
      <c r="B369" s="31">
        <v>43</v>
      </c>
      <c r="C369" s="36">
        <f t="shared" si="40"/>
        <v>108494692.95423315</v>
      </c>
      <c r="D369" s="36">
        <f t="shared" si="42"/>
        <v>18444097.802219637</v>
      </c>
      <c r="E369" s="145">
        <f t="shared" si="44"/>
        <v>2766614.6703329454</v>
      </c>
    </row>
    <row r="370" spans="1:25" s="12" customFormat="1" ht="21.95" customHeight="1">
      <c r="A370" s="132">
        <f t="shared" si="43"/>
        <v>2071</v>
      </c>
      <c r="B370" s="31">
        <v>44</v>
      </c>
      <c r="C370" s="36">
        <f t="shared" si="40"/>
        <v>96870261.56627962</v>
      </c>
      <c r="D370" s="36">
        <f t="shared" si="42"/>
        <v>16467944.466267537</v>
      </c>
      <c r="E370" s="145">
        <f t="shared" si="44"/>
        <v>2470191.6699401303</v>
      </c>
    </row>
    <row r="371" spans="1:25" s="12" customFormat="1" ht="21.95" customHeight="1">
      <c r="A371" s="132">
        <f t="shared" si="43"/>
        <v>2072</v>
      </c>
      <c r="B371" s="31">
        <v>45</v>
      </c>
      <c r="C371" s="36">
        <f t="shared" si="40"/>
        <v>86491304.969892502</v>
      </c>
      <c r="D371" s="36">
        <f t="shared" si="42"/>
        <v>14703521.844881726</v>
      </c>
      <c r="E371" s="145">
        <f t="shared" si="44"/>
        <v>2205528.276732259</v>
      </c>
      <c r="H371" s="21"/>
    </row>
    <row r="372" spans="1:25" s="12" customFormat="1" ht="21.95" customHeight="1">
      <c r="A372" s="132">
        <f t="shared" si="43"/>
        <v>2073</v>
      </c>
      <c r="B372" s="31">
        <v>46</v>
      </c>
      <c r="C372" s="36">
        <f t="shared" si="40"/>
        <v>77224379.437404007</v>
      </c>
      <c r="D372" s="36">
        <f t="shared" si="42"/>
        <v>13128144.504358683</v>
      </c>
      <c r="E372" s="145">
        <f t="shared" si="44"/>
        <v>1969221.6756538022</v>
      </c>
      <c r="H372" s="21"/>
    </row>
    <row r="373" spans="1:25" s="12" customFormat="1" ht="21.95" customHeight="1">
      <c r="A373" s="132">
        <f t="shared" si="43"/>
        <v>2074</v>
      </c>
      <c r="B373" s="31">
        <v>47</v>
      </c>
      <c r="C373" s="36">
        <f t="shared" si="40"/>
        <v>68950338.783396453</v>
      </c>
      <c r="D373" s="36">
        <f t="shared" si="42"/>
        <v>11721557.593177397</v>
      </c>
      <c r="E373" s="145">
        <f t="shared" si="44"/>
        <v>1758233.6389766096</v>
      </c>
      <c r="H373" s="21"/>
    </row>
    <row r="374" spans="1:25" s="12" customFormat="1" ht="21.95" customHeight="1">
      <c r="A374" s="132">
        <f t="shared" si="43"/>
        <v>2075</v>
      </c>
      <c r="B374" s="31">
        <v>48</v>
      </c>
      <c r="C374" s="36">
        <f t="shared" si="40"/>
        <v>61562802.485175379</v>
      </c>
      <c r="D374" s="36">
        <f t="shared" si="42"/>
        <v>10465676.422479816</v>
      </c>
      <c r="E374" s="145">
        <f t="shared" si="44"/>
        <v>1569851.4633719723</v>
      </c>
    </row>
    <row r="375" spans="1:25" s="12" customFormat="1" ht="21.95" customHeight="1">
      <c r="A375" s="132">
        <f t="shared" si="43"/>
        <v>2076</v>
      </c>
      <c r="B375" s="31">
        <v>49</v>
      </c>
      <c r="C375" s="36">
        <f t="shared" si="40"/>
        <v>54966787.933192305</v>
      </c>
      <c r="D375" s="36">
        <f t="shared" si="42"/>
        <v>9344353.9486426935</v>
      </c>
      <c r="E375" s="145">
        <f t="shared" si="44"/>
        <v>1401653.0922964041</v>
      </c>
    </row>
    <row r="376" spans="1:25" s="12" customFormat="1" ht="21.95" customHeight="1">
      <c r="A376" s="132">
        <f t="shared" si="43"/>
        <v>2077</v>
      </c>
      <c r="B376" s="31">
        <v>50</v>
      </c>
      <c r="C376" s="36">
        <f t="shared" si="40"/>
        <v>49077489.226064548</v>
      </c>
      <c r="D376" s="36">
        <f t="shared" si="42"/>
        <v>8343173.1684309738</v>
      </c>
      <c r="E376" s="145">
        <f t="shared" si="44"/>
        <v>1251475.9752646461</v>
      </c>
    </row>
    <row r="377" spans="1:25" s="12" customFormat="1" ht="21.95" customHeight="1">
      <c r="A377" s="132"/>
      <c r="B377" s="31"/>
      <c r="C377" s="34">
        <f t="shared" si="40"/>
        <v>2792147948540.5981</v>
      </c>
      <c r="D377" s="114">
        <f>SUM(D327:D376)</f>
        <v>1947878095959.24</v>
      </c>
      <c r="E377" s="156">
        <f>SUM(E327:E376)</f>
        <v>292181714393.88611</v>
      </c>
      <c r="G377" s="51"/>
      <c r="H377" s="121"/>
    </row>
    <row r="378" spans="1:25" s="12" customFormat="1" ht="21.95" customHeight="1">
      <c r="A378" s="2463" t="s">
        <v>700</v>
      </c>
      <c r="B378" s="2405"/>
      <c r="C378" s="2405"/>
      <c r="D378" s="2406"/>
      <c r="E378" s="158">
        <f>(C377-E377-D377)/(1+$F$94)</f>
        <v>480076641902.14954</v>
      </c>
      <c r="F378" s="157"/>
      <c r="G378" s="1562"/>
      <c r="H378" s="1562"/>
      <c r="I378" s="1563"/>
    </row>
    <row r="379" spans="1:25" s="12" customFormat="1" ht="21.95" customHeight="1" thickBot="1">
      <c r="A379" s="2460" t="s">
        <v>417</v>
      </c>
      <c r="B379" s="2461"/>
      <c r="C379" s="2461"/>
      <c r="D379" s="2462"/>
      <c r="E379" s="155">
        <f>E378/F29</f>
        <v>32868904.264206652</v>
      </c>
      <c r="F379" s="159"/>
      <c r="G379" s="160"/>
      <c r="H379" s="161"/>
      <c r="I379" s="1565"/>
    </row>
    <row r="380" spans="1:25" s="26" customFormat="1" ht="13.5" thickTop="1">
      <c r="E380" s="163"/>
      <c r="F380" s="164"/>
      <c r="H380" s="161"/>
      <c r="I380" s="162"/>
    </row>
    <row r="381" spans="1:25" s="12" customFormat="1" ht="21.95" customHeight="1">
      <c r="B381" s="12" t="s">
        <v>418</v>
      </c>
      <c r="D381" s="12" t="s">
        <v>419</v>
      </c>
      <c r="E381" s="165"/>
      <c r="F381" s="165"/>
      <c r="G381" s="166"/>
      <c r="H381" s="167"/>
      <c r="I381" s="168"/>
      <c r="K381" s="121"/>
      <c r="Y381" s="169" t="s">
        <v>419</v>
      </c>
    </row>
    <row r="382" spans="1:25" ht="39.75" customHeight="1">
      <c r="A382" s="12"/>
      <c r="B382" s="2376" t="s">
        <v>9</v>
      </c>
      <c r="C382" s="2377"/>
      <c r="D382" s="1643" t="s">
        <v>703</v>
      </c>
      <c r="E382" s="1564" t="s">
        <v>701</v>
      </c>
      <c r="F382" s="170"/>
      <c r="G382" s="170" t="s">
        <v>420</v>
      </c>
      <c r="H382" s="12"/>
      <c r="I382" s="12"/>
      <c r="J382" s="12"/>
      <c r="K382" s="12"/>
      <c r="L382" s="12"/>
      <c r="Y382" s="169" t="s">
        <v>421</v>
      </c>
    </row>
    <row r="383" spans="1:25" ht="21.95" customHeight="1">
      <c r="A383" s="12"/>
      <c r="B383" s="1621" t="s">
        <v>331</v>
      </c>
      <c r="C383" s="1622"/>
      <c r="D383" s="1623">
        <f>F14</f>
        <v>21178.41</v>
      </c>
      <c r="E383" s="1623">
        <f>+G383/D383</f>
        <v>28141804.614319179</v>
      </c>
      <c r="F383" s="1623"/>
      <c r="G383" s="1624">
        <f>E378+L332</f>
        <v>595998676261.94348</v>
      </c>
      <c r="H383" s="12"/>
      <c r="I383" s="12"/>
      <c r="J383" s="12"/>
      <c r="K383" s="12"/>
      <c r="L383" s="12"/>
    </row>
    <row r="384" spans="1:25" ht="21.95" customHeight="1">
      <c r="A384" s="149"/>
      <c r="B384" s="1625" t="s">
        <v>422</v>
      </c>
      <c r="C384" s="1626"/>
      <c r="D384" s="1627"/>
      <c r="E384" s="1627"/>
      <c r="F384" s="1627"/>
      <c r="G384" s="1628"/>
      <c r="H384" s="12"/>
      <c r="I384" s="121"/>
      <c r="K384" s="2">
        <f>12500/1100*10^6</f>
        <v>11363636.363636363</v>
      </c>
    </row>
    <row r="385" spans="1:11" ht="21.95" customHeight="1">
      <c r="A385" s="149"/>
      <c r="B385" s="1629" t="s">
        <v>423</v>
      </c>
      <c r="C385" s="1630"/>
      <c r="D385" s="1631">
        <v>150</v>
      </c>
      <c r="E385" s="1631">
        <v>40000000</v>
      </c>
      <c r="F385" s="1631">
        <v>0</v>
      </c>
      <c r="G385" s="1631">
        <f>+E385*D385</f>
        <v>6000000000</v>
      </c>
      <c r="H385" s="12"/>
      <c r="I385" s="121"/>
      <c r="K385" s="2">
        <f>60/5200*1000000000</f>
        <v>11538461.53846154</v>
      </c>
    </row>
    <row r="386" spans="1:11" ht="21.95" customHeight="1">
      <c r="A386" s="149"/>
      <c r="B386" s="1629" t="s">
        <v>424</v>
      </c>
      <c r="C386" s="1630"/>
      <c r="D386" s="1631">
        <v>14701.9</v>
      </c>
      <c r="E386" s="1631">
        <f>+E385*0.6*10/50</f>
        <v>4800000</v>
      </c>
      <c r="F386" s="1631">
        <v>0</v>
      </c>
      <c r="G386" s="1631">
        <f>+E386*D386</f>
        <v>70569120000</v>
      </c>
      <c r="H386" s="12"/>
      <c r="I386" s="121"/>
      <c r="K386" s="11">
        <f>147/5300</f>
        <v>2.7735849056603774E-2</v>
      </c>
    </row>
    <row r="387" spans="1:11" ht="21.95" customHeight="1">
      <c r="A387" s="149"/>
      <c r="B387" s="1629" t="s">
        <v>788</v>
      </c>
      <c r="C387" s="1632"/>
      <c r="D387" s="1631">
        <f>+D383-D385-D386</f>
        <v>6326.51</v>
      </c>
      <c r="E387" s="1631">
        <v>6000000</v>
      </c>
      <c r="F387" s="1631"/>
      <c r="G387" s="1631">
        <f>+E387*D387</f>
        <v>37959060000</v>
      </c>
      <c r="H387" s="12"/>
      <c r="I387" s="1641"/>
    </row>
    <row r="388" spans="1:11" ht="21.95" customHeight="1">
      <c r="A388" s="149"/>
      <c r="B388" s="1633" t="s">
        <v>455</v>
      </c>
      <c r="C388" s="1634"/>
      <c r="D388" s="1635"/>
      <c r="E388" s="1635"/>
      <c r="F388" s="1635"/>
      <c r="G388" s="1636"/>
      <c r="H388" s="12"/>
      <c r="I388" s="121"/>
    </row>
    <row r="389" spans="1:11" ht="21.95" customHeight="1">
      <c r="A389" s="149"/>
      <c r="B389" s="1637" t="s">
        <v>425</v>
      </c>
      <c r="C389" s="1638"/>
      <c r="D389" s="1639"/>
      <c r="E389" s="1956">
        <f>+G389/D383</f>
        <v>22888306.527361196</v>
      </c>
      <c r="F389" s="1639"/>
      <c r="G389" s="1640">
        <f>G383-G385-G386-G387+E419</f>
        <v>484737939842.13159</v>
      </c>
      <c r="H389" s="12"/>
      <c r="I389" s="121"/>
    </row>
    <row r="390" spans="1:11" ht="21.95" customHeight="1">
      <c r="A390" s="149"/>
      <c r="B390" s="26"/>
      <c r="C390" s="149"/>
      <c r="D390" s="149"/>
      <c r="E390" s="157"/>
      <c r="F390" s="12"/>
      <c r="G390" s="51">
        <f>+G389/D383</f>
        <v>22888306.527361196</v>
      </c>
      <c r="H390" s="12"/>
      <c r="I390" s="121"/>
    </row>
    <row r="391" spans="1:11" ht="21.95" customHeight="1">
      <c r="A391" s="149"/>
      <c r="B391" s="26"/>
      <c r="C391" s="149"/>
      <c r="D391" s="149"/>
      <c r="E391" s="157"/>
      <c r="F391" s="12"/>
      <c r="G391" s="12"/>
      <c r="H391" s="12"/>
      <c r="I391" s="121"/>
    </row>
    <row r="392" spans="1:11" ht="21.95" customHeight="1">
      <c r="A392" s="149"/>
      <c r="B392" s="197" t="s">
        <v>663</v>
      </c>
      <c r="C392" s="182"/>
      <c r="D392" s="182"/>
      <c r="E392" s="182"/>
      <c r="F392" s="182"/>
      <c r="G392" s="12"/>
      <c r="H392" s="12"/>
      <c r="I392" s="121"/>
    </row>
    <row r="393" spans="1:11" ht="50.25" customHeight="1">
      <c r="A393" s="192" t="s">
        <v>0</v>
      </c>
      <c r="B393" s="2388" t="s">
        <v>443</v>
      </c>
      <c r="C393" s="2388"/>
      <c r="D393" s="192" t="s">
        <v>561</v>
      </c>
      <c r="E393" s="193" t="s">
        <v>664</v>
      </c>
      <c r="F393" s="1556" t="s">
        <v>665</v>
      </c>
      <c r="G393" s="12"/>
      <c r="H393" s="12"/>
      <c r="I393" s="121"/>
    </row>
    <row r="394" spans="1:11" ht="30.75" customHeight="1">
      <c r="A394" s="196">
        <v>1</v>
      </c>
      <c r="B394" s="2389" t="s">
        <v>771</v>
      </c>
      <c r="C394" s="2389"/>
      <c r="D394" s="194">
        <v>18500000</v>
      </c>
      <c r="E394" s="195">
        <v>11000000</v>
      </c>
      <c r="F394" s="195">
        <v>9300000</v>
      </c>
      <c r="G394" s="51">
        <f>+G390/D394</f>
        <v>1.2372057582357403</v>
      </c>
      <c r="H394" s="12"/>
      <c r="I394" s="121"/>
    </row>
    <row r="395" spans="1:11" ht="21.95" customHeight="1">
      <c r="A395" s="12"/>
      <c r="B395" s="182"/>
      <c r="C395" s="183"/>
      <c r="D395" s="183"/>
      <c r="E395" s="1566">
        <f>+E394/D394</f>
        <v>0.59459459459459463</v>
      </c>
      <c r="F395" s="1566">
        <f>+F394/D394</f>
        <v>0.50270270270270268</v>
      </c>
      <c r="G395" s="184"/>
      <c r="H395" s="121"/>
      <c r="I395" s="12"/>
    </row>
    <row r="396" spans="1:11" ht="21.95" customHeight="1">
      <c r="A396" s="12"/>
      <c r="B396" s="197" t="s">
        <v>670</v>
      </c>
      <c r="C396" s="183"/>
      <c r="D396" s="183"/>
      <c r="E396" s="183"/>
      <c r="F396" s="183"/>
      <c r="G396" s="184"/>
      <c r="H396" s="12"/>
      <c r="I396" s="12"/>
    </row>
    <row r="397" spans="1:11" ht="21.95" customHeight="1">
      <c r="A397" s="192" t="s">
        <v>0</v>
      </c>
      <c r="B397" s="2388" t="s">
        <v>672</v>
      </c>
      <c r="C397" s="2388"/>
      <c r="D397" s="192" t="s">
        <v>673</v>
      </c>
      <c r="E397" s="183"/>
      <c r="F397" s="183"/>
      <c r="G397" s="184"/>
      <c r="H397" s="12"/>
      <c r="I397" s="12"/>
    </row>
    <row r="398" spans="1:11" ht="21.95" customHeight="1">
      <c r="A398" s="196">
        <v>1</v>
      </c>
      <c r="B398" s="2389" t="s">
        <v>772</v>
      </c>
      <c r="C398" s="2389"/>
      <c r="D398" s="1567" t="s">
        <v>773</v>
      </c>
      <c r="E398" s="51" t="s">
        <v>445</v>
      </c>
      <c r="F398" s="183"/>
      <c r="G398" s="184"/>
      <c r="H398" s="12"/>
      <c r="I398" s="12"/>
    </row>
    <row r="399" spans="1:11" ht="21.95" customHeight="1">
      <c r="A399" s="2190"/>
      <c r="B399" s="2191"/>
      <c r="C399" s="2191"/>
      <c r="D399" s="2192"/>
      <c r="E399" s="51"/>
      <c r="F399" s="183"/>
      <c r="G399" s="184"/>
      <c r="H399" s="12"/>
      <c r="I399" s="12"/>
    </row>
    <row r="400" spans="1:11" ht="21.95" customHeight="1">
      <c r="A400" s="2190"/>
      <c r="B400" s="197" t="s">
        <v>774</v>
      </c>
      <c r="C400" s="183"/>
      <c r="D400" s="2192"/>
      <c r="E400" s="51"/>
      <c r="F400" s="183"/>
      <c r="G400" s="184"/>
      <c r="H400" s="12"/>
      <c r="I400" s="12"/>
    </row>
    <row r="401" spans="2:7" ht="21.95" customHeight="1">
      <c r="B401" s="2374" t="s">
        <v>781</v>
      </c>
      <c r="C401" s="2374"/>
      <c r="D401" s="2251">
        <f>+F401-((F402-C402)*(F401-E401))/(F402-E402)</f>
        <v>1.3889999999999998</v>
      </c>
      <c r="E401" s="183">
        <v>1.3</v>
      </c>
      <c r="F401" s="183">
        <v>1.4</v>
      </c>
      <c r="G401" s="2231" t="s">
        <v>783</v>
      </c>
    </row>
    <row r="402" spans="2:7" ht="21.95" customHeight="1">
      <c r="B402" s="2229"/>
      <c r="C402" s="2229">
        <v>7.89</v>
      </c>
      <c r="D402" s="2193"/>
      <c r="E402" s="183">
        <v>7</v>
      </c>
      <c r="F402" s="183">
        <v>8</v>
      </c>
      <c r="G402" s="2231" t="s">
        <v>784</v>
      </c>
    </row>
    <row r="403" spans="2:7" ht="21.95" customHeight="1">
      <c r="B403" s="2374" t="s">
        <v>782</v>
      </c>
      <c r="C403" s="2374"/>
      <c r="D403" s="2193">
        <v>1</v>
      </c>
      <c r="E403" s="183"/>
      <c r="F403" s="183"/>
      <c r="G403" s="184"/>
    </row>
    <row r="404" spans="2:7" ht="21.95" customHeight="1">
      <c r="B404" s="2230"/>
      <c r="C404" s="2230">
        <v>2.97</v>
      </c>
      <c r="D404" s="183"/>
      <c r="E404" s="183"/>
      <c r="F404" s="183"/>
      <c r="G404" s="2231" t="s">
        <v>783</v>
      </c>
    </row>
    <row r="405" spans="2:7" ht="21.95" customHeight="1">
      <c r="B405" s="2230"/>
      <c r="C405" s="2230"/>
      <c r="D405" s="183"/>
      <c r="E405" s="183"/>
      <c r="F405" s="183"/>
      <c r="G405" s="2231" t="s">
        <v>784</v>
      </c>
    </row>
    <row r="406" spans="2:7" ht="21.75" customHeight="1">
      <c r="B406" s="1642" t="s">
        <v>702</v>
      </c>
      <c r="C406" s="183"/>
      <c r="D406" s="183"/>
      <c r="E406" s="183"/>
      <c r="F406" s="183"/>
      <c r="G406" s="184"/>
    </row>
    <row r="407" spans="2:7" ht="38.25">
      <c r="B407" s="2376" t="s">
        <v>9</v>
      </c>
      <c r="C407" s="2377"/>
      <c r="D407" s="1643" t="s">
        <v>703</v>
      </c>
      <c r="E407" s="1564" t="s">
        <v>701</v>
      </c>
      <c r="F407" s="1564" t="s">
        <v>420</v>
      </c>
      <c r="G407" s="184"/>
    </row>
    <row r="408" spans="2:7" ht="21.95" customHeight="1">
      <c r="B408" s="1621" t="s">
        <v>331</v>
      </c>
      <c r="C408" s="1622"/>
      <c r="D408" s="2194">
        <f>+D383</f>
        <v>21178.41</v>
      </c>
      <c r="E408" s="2195">
        <f>+D394*D401</f>
        <v>25696499.999999996</v>
      </c>
      <c r="F408" s="2194">
        <f>+F409+F410</f>
        <v>496911224700</v>
      </c>
    </row>
    <row r="409" spans="2:7" ht="21.95" customHeight="1">
      <c r="B409" s="1625" t="s">
        <v>785</v>
      </c>
      <c r="C409" s="2232"/>
      <c r="D409" s="2233">
        <f>+'1. thong tin quy hoach'!D11</f>
        <v>14605.800000000001</v>
      </c>
      <c r="E409" s="2234">
        <f>+D394*D401</f>
        <v>25696499.999999996</v>
      </c>
      <c r="F409" s="2233">
        <f>+D409*E409</f>
        <v>375317939700</v>
      </c>
    </row>
    <row r="410" spans="2:7" ht="21.95" customHeight="1">
      <c r="B410" s="1637" t="s">
        <v>578</v>
      </c>
      <c r="C410" s="2235"/>
      <c r="D410" s="2236">
        <f>+'1. thong tin quy hoach'!D37</f>
        <v>6572.61</v>
      </c>
      <c r="E410" s="2237">
        <f>+D394*D403</f>
        <v>18500000</v>
      </c>
      <c r="F410" s="2236">
        <f>+D410*E410</f>
        <v>121593285000</v>
      </c>
    </row>
    <row r="411" spans="2:7" ht="21.95" customHeight="1">
      <c r="B411" s="1625" t="s">
        <v>422</v>
      </c>
      <c r="C411" s="1626"/>
      <c r="D411" s="1627"/>
      <c r="E411" s="1627"/>
      <c r="F411" s="1628"/>
    </row>
    <row r="412" spans="2:7" ht="21.95" customHeight="1">
      <c r="B412" s="1629" t="s">
        <v>423</v>
      </c>
      <c r="C412" s="1630"/>
      <c r="D412" s="1631">
        <v>150</v>
      </c>
      <c r="E412" s="1631">
        <v>40000000</v>
      </c>
      <c r="F412" s="1631">
        <f>+E412*D412</f>
        <v>6000000000</v>
      </c>
    </row>
    <row r="413" spans="2:7" ht="21.95" customHeight="1">
      <c r="B413" s="1629" t="s">
        <v>424</v>
      </c>
      <c r="C413" s="1630"/>
      <c r="D413" s="1631">
        <v>14701.9</v>
      </c>
      <c r="E413" s="1631">
        <f>+E386</f>
        <v>4800000</v>
      </c>
      <c r="F413" s="1631">
        <f>+E413*D413</f>
        <v>70569120000</v>
      </c>
    </row>
    <row r="414" spans="2:7" ht="21.95" customHeight="1">
      <c r="B414" s="1629" t="s">
        <v>788</v>
      </c>
      <c r="C414" s="1632"/>
      <c r="D414" s="1631">
        <f>D408-D412-D413</f>
        <v>6326.51</v>
      </c>
      <c r="E414" s="1631">
        <f>+E387</f>
        <v>6000000</v>
      </c>
      <c r="F414" s="1631">
        <f>+E414*D414</f>
        <v>37959060000</v>
      </c>
    </row>
    <row r="415" spans="2:7" ht="21.95" customHeight="1">
      <c r="B415" s="1633" t="s">
        <v>455</v>
      </c>
      <c r="C415" s="1634"/>
      <c r="D415" s="1635"/>
      <c r="E415" s="1635"/>
      <c r="F415" s="1636"/>
    </row>
    <row r="416" spans="2:7" ht="21.95" customHeight="1">
      <c r="B416" s="1637" t="s">
        <v>425</v>
      </c>
      <c r="C416" s="1638"/>
      <c r="D416" s="1639"/>
      <c r="E416" s="1955">
        <f>+F416/D408</f>
        <v>18209605.361317877</v>
      </c>
      <c r="F416" s="1640">
        <f>F408-F412-F413-F414+E419</f>
        <v>385650488280.18811</v>
      </c>
    </row>
    <row r="418" spans="2:5" ht="21.95" customHeight="1">
      <c r="B418" s="11" t="s">
        <v>725</v>
      </c>
      <c r="E418" s="1644">
        <f>+C312</f>
        <v>16337217900.940439</v>
      </c>
    </row>
    <row r="419" spans="2:5" ht="21.95" customHeight="1">
      <c r="B419" s="11" t="s">
        <v>726</v>
      </c>
      <c r="E419" s="1644">
        <f>+E418*0.2</f>
        <v>3267443580.1880879</v>
      </c>
    </row>
  </sheetData>
  <mergeCells count="166">
    <mergeCell ref="L61:M61"/>
    <mergeCell ref="H333:K333"/>
    <mergeCell ref="A378:D378"/>
    <mergeCell ref="A379:D379"/>
    <mergeCell ref="A261:B261"/>
    <mergeCell ref="A315:B315"/>
    <mergeCell ref="A316:B316"/>
    <mergeCell ref="A323:E323"/>
    <mergeCell ref="A325:B325"/>
    <mergeCell ref="H325:I325"/>
    <mergeCell ref="A326:B326"/>
    <mergeCell ref="H326:I326"/>
    <mergeCell ref="H332:K332"/>
    <mergeCell ref="A199:J199"/>
    <mergeCell ref="A202:B202"/>
    <mergeCell ref="J202:K202"/>
    <mergeCell ref="A203:B203"/>
    <mergeCell ref="J203:K203"/>
    <mergeCell ref="A254:B254"/>
    <mergeCell ref="J254:K254"/>
    <mergeCell ref="A260:B260"/>
    <mergeCell ref="B137:E137"/>
    <mergeCell ref="B138:E138"/>
    <mergeCell ref="A146:B146"/>
    <mergeCell ref="B401:C401"/>
    <mergeCell ref="B56:E56"/>
    <mergeCell ref="B103:E103"/>
    <mergeCell ref="B121:E121"/>
    <mergeCell ref="B122:E122"/>
    <mergeCell ref="B123:E123"/>
    <mergeCell ref="B124:E124"/>
    <mergeCell ref="B115:E115"/>
    <mergeCell ref="B116:E116"/>
    <mergeCell ref="B117:E117"/>
    <mergeCell ref="B118:E118"/>
    <mergeCell ref="B113:E113"/>
    <mergeCell ref="B114:E114"/>
    <mergeCell ref="B104:E104"/>
    <mergeCell ref="B109:E109"/>
    <mergeCell ref="B110:E110"/>
    <mergeCell ref="B57:E57"/>
    <mergeCell ref="B78:E78"/>
    <mergeCell ref="B79:E79"/>
    <mergeCell ref="B75:E75"/>
    <mergeCell ref="B76:E76"/>
    <mergeCell ref="B77:E77"/>
    <mergeCell ref="B125:E125"/>
    <mergeCell ref="B126:E126"/>
    <mergeCell ref="B45:E45"/>
    <mergeCell ref="A49:I49"/>
    <mergeCell ref="B50:E50"/>
    <mergeCell ref="B46:E46"/>
    <mergeCell ref="B74:E74"/>
    <mergeCell ref="B71:E71"/>
    <mergeCell ref="B72:E72"/>
    <mergeCell ref="B73:E73"/>
    <mergeCell ref="B51:E51"/>
    <mergeCell ref="B52:E52"/>
    <mergeCell ref="B65:E65"/>
    <mergeCell ref="B66:E66"/>
    <mergeCell ref="B67:E67"/>
    <mergeCell ref="B68:E68"/>
    <mergeCell ref="B69:E69"/>
    <mergeCell ref="B70:E70"/>
    <mergeCell ref="B53:E53"/>
    <mergeCell ref="B54:E54"/>
    <mergeCell ref="B55:E55"/>
    <mergeCell ref="B58:E58"/>
    <mergeCell ref="A61:H61"/>
    <mergeCell ref="B62:E62"/>
    <mergeCell ref="B63:E63"/>
    <mergeCell ref="B64:E64"/>
    <mergeCell ref="A2:I2"/>
    <mergeCell ref="A4:I4"/>
    <mergeCell ref="B5:E5"/>
    <mergeCell ref="B6:E6"/>
    <mergeCell ref="B7:E7"/>
    <mergeCell ref="B8:E8"/>
    <mergeCell ref="B21:E21"/>
    <mergeCell ref="B22:E22"/>
    <mergeCell ref="B23:E23"/>
    <mergeCell ref="B15:E15"/>
    <mergeCell ref="B16:E16"/>
    <mergeCell ref="B17:E17"/>
    <mergeCell ref="B18:E18"/>
    <mergeCell ref="B19:E19"/>
    <mergeCell ref="B20:E20"/>
    <mergeCell ref="B9:E9"/>
    <mergeCell ref="B10:E10"/>
    <mergeCell ref="B11:E11"/>
    <mergeCell ref="B12:E12"/>
    <mergeCell ref="B13:E13"/>
    <mergeCell ref="B14:E14"/>
    <mergeCell ref="A27:I27"/>
    <mergeCell ref="B28:E28"/>
    <mergeCell ref="B29:E29"/>
    <mergeCell ref="K61:K62"/>
    <mergeCell ref="B95:E95"/>
    <mergeCell ref="B96:E96"/>
    <mergeCell ref="A99:H99"/>
    <mergeCell ref="B139:E139"/>
    <mergeCell ref="B140:E140"/>
    <mergeCell ref="B36:E36"/>
    <mergeCell ref="B37:E37"/>
    <mergeCell ref="B38:E38"/>
    <mergeCell ref="B39:E39"/>
    <mergeCell ref="B40:E40"/>
    <mergeCell ref="B41:E41"/>
    <mergeCell ref="B30:E30"/>
    <mergeCell ref="B31:E31"/>
    <mergeCell ref="B32:E32"/>
    <mergeCell ref="B33:E33"/>
    <mergeCell ref="B34:E34"/>
    <mergeCell ref="B35:E35"/>
    <mergeCell ref="B42:E42"/>
    <mergeCell ref="B43:E43"/>
    <mergeCell ref="B44:E44"/>
    <mergeCell ref="B87:E87"/>
    <mergeCell ref="B88:E88"/>
    <mergeCell ref="B92:E92"/>
    <mergeCell ref="B101:E101"/>
    <mergeCell ref="B102:E102"/>
    <mergeCell ref="B93:E93"/>
    <mergeCell ref="B94:E94"/>
    <mergeCell ref="B100:E100"/>
    <mergeCell ref="B111:E111"/>
    <mergeCell ref="B105:E105"/>
    <mergeCell ref="B106:E106"/>
    <mergeCell ref="B119:E119"/>
    <mergeCell ref="B120:E120"/>
    <mergeCell ref="B107:E107"/>
    <mergeCell ref="B108:E108"/>
    <mergeCell ref="F144:J144"/>
    <mergeCell ref="C144:E144"/>
    <mergeCell ref="A143:J143"/>
    <mergeCell ref="B135:E135"/>
    <mergeCell ref="B136:E136"/>
    <mergeCell ref="B129:E129"/>
    <mergeCell ref="B130:E130"/>
    <mergeCell ref="A144:B145"/>
    <mergeCell ref="B127:E127"/>
    <mergeCell ref="B128:E128"/>
    <mergeCell ref="B403:C403"/>
    <mergeCell ref="A258:J258"/>
    <mergeCell ref="B382:C382"/>
    <mergeCell ref="B407:C407"/>
    <mergeCell ref="B80:E80"/>
    <mergeCell ref="B81:E81"/>
    <mergeCell ref="B82:E82"/>
    <mergeCell ref="B83:E83"/>
    <mergeCell ref="B84:E84"/>
    <mergeCell ref="B86:E86"/>
    <mergeCell ref="B85:E85"/>
    <mergeCell ref="B89:E89"/>
    <mergeCell ref="B90:E90"/>
    <mergeCell ref="B91:E91"/>
    <mergeCell ref="B97:E97"/>
    <mergeCell ref="B393:C393"/>
    <mergeCell ref="B394:C394"/>
    <mergeCell ref="B397:C397"/>
    <mergeCell ref="B398:C398"/>
    <mergeCell ref="B132:E132"/>
    <mergeCell ref="B133:E133"/>
    <mergeCell ref="B134:E134"/>
    <mergeCell ref="B112:E112"/>
    <mergeCell ref="B131:E131"/>
  </mergeCells>
  <conditionalFormatting sqref="C147:D196">
    <cfRule type="cellIs" dxfId="2" priority="2" operator="greaterThan">
      <formula>0</formula>
    </cfRule>
  </conditionalFormatting>
  <conditionalFormatting sqref="G147:J196">
    <cfRule type="cellIs" dxfId="1" priority="1" operator="greaterThan">
      <formula>0</formula>
    </cfRule>
  </conditionalFormatting>
  <dataValidations disablePrompts="1" count="1">
    <dataValidation type="list" allowBlank="1" showInputMessage="1" showErrorMessage="1" sqref="D381" xr:uid="{00000000-0002-0000-0B00-000000000000}">
      <formula1>$Y$381:$Y$382</formula1>
    </dataValidation>
  </dataValidations>
  <pageMargins left="0.25" right="0" top="1" bottom="1" header="0.5" footer="0.5"/>
  <pageSetup orientation="landscape" horizontalDpi="300" verticalDpi="300" r:id="rId1"/>
  <headerFooter alignWithMargins="0">
    <oddFooter>&amp;L_x000D_&amp;1#&amp;"Calibri"&amp;10&amp;K000000 Internal Use&amp;C&amp;".VnTime,Regular"CTY TNHH MAY SONG NGỌC&amp;R&amp;P</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5">
    <pageSetUpPr fitToPage="1"/>
  </sheetPr>
  <dimension ref="A1:V107"/>
  <sheetViews>
    <sheetView showGridLines="0" topLeftCell="A5" zoomScale="70" zoomScaleNormal="70" zoomScaleSheetLayoutView="100" workbookViewId="0">
      <selection activeCell="D9" sqref="D9"/>
    </sheetView>
  </sheetViews>
  <sheetFormatPr defaultColWidth="9.140625" defaultRowHeight="15"/>
  <cols>
    <col min="1" max="1" width="12.28515625" style="1965" customWidth="1"/>
    <col min="2" max="2" width="64" style="1970" customWidth="1"/>
    <col min="3" max="3" width="14" style="1967" customWidth="1"/>
    <col min="4" max="4" width="15" style="1968" customWidth="1"/>
    <col min="5" max="5" width="15.7109375" style="1968" customWidth="1"/>
    <col min="6" max="6" width="13.7109375" style="1968" customWidth="1"/>
    <col min="7" max="7" width="16.140625" style="1968" customWidth="1"/>
    <col min="8" max="12" width="14.7109375" style="1968" customWidth="1"/>
    <col min="13" max="13" width="13.28515625" style="1969" customWidth="1"/>
    <col min="14" max="14" width="8.28515625" style="1969" customWidth="1"/>
    <col min="15" max="15" width="45.28515625" style="1969" customWidth="1"/>
    <col min="16" max="16" width="14.7109375" style="1969" customWidth="1"/>
    <col min="17" max="18" width="13.7109375" style="1969" bestFit="1" customWidth="1"/>
    <col min="19" max="19" width="17" style="1969" customWidth="1"/>
    <col min="20" max="20" width="14.5703125" style="1969" customWidth="1"/>
    <col min="21" max="21" width="16.5703125" style="1969" bestFit="1" customWidth="1"/>
    <col min="22" max="22" width="14.5703125" style="1969" bestFit="1" customWidth="1"/>
    <col min="23" max="16384" width="9.140625" style="1969"/>
  </cols>
  <sheetData>
    <row r="1" spans="1:17" s="1957" customFormat="1" ht="25.15" customHeight="1">
      <c r="C1" s="1958"/>
      <c r="F1" s="1959"/>
      <c r="G1" s="1959"/>
      <c r="H1" s="1959"/>
      <c r="I1" s="1959"/>
      <c r="J1" s="1959"/>
      <c r="K1" s="1959"/>
      <c r="L1" s="1959"/>
    </row>
    <row r="2" spans="1:17" s="1960" customFormat="1" ht="40.15" hidden="1" customHeight="1">
      <c r="B2" s="1961" t="str">
        <f>+Summary!B2</f>
        <v>Dự án Trần Đức 1</v>
      </c>
      <c r="C2" s="1961"/>
      <c r="D2" s="1961"/>
      <c r="E2" s="1961"/>
      <c r="F2" s="1961"/>
      <c r="G2" s="1961"/>
      <c r="H2" s="1961"/>
    </row>
    <row r="3" spans="1:17" s="1962" customFormat="1" ht="19.899999999999999" hidden="1" customHeight="1" thickBot="1">
      <c r="B3" s="1963" t="s">
        <v>728</v>
      </c>
      <c r="C3" s="1963"/>
      <c r="D3" s="1963"/>
      <c r="E3" s="1964"/>
      <c r="F3" s="1964"/>
      <c r="G3" s="1964"/>
      <c r="H3" s="1964"/>
    </row>
    <row r="5" spans="1:17" ht="18">
      <c r="B5" s="1966" t="s">
        <v>543</v>
      </c>
    </row>
    <row r="6" spans="1:17" ht="16.5" thickBot="1">
      <c r="B6" s="1970" t="s">
        <v>23</v>
      </c>
      <c r="C6" s="2114">
        <v>0.1</v>
      </c>
      <c r="I6" s="2476" t="s">
        <v>592</v>
      </c>
      <c r="J6" s="2476"/>
      <c r="K6" s="2476"/>
      <c r="N6" s="2475" t="s">
        <v>635</v>
      </c>
      <c r="O6" s="2475"/>
      <c r="P6" s="2475"/>
    </row>
    <row r="7" spans="1:17" s="1975" customFormat="1" ht="18.75" customHeight="1" thickBot="1">
      <c r="A7" s="1971"/>
      <c r="B7" s="1972" t="s">
        <v>549</v>
      </c>
      <c r="C7" s="1973" t="s">
        <v>544</v>
      </c>
      <c r="D7" s="1973" t="s">
        <v>545</v>
      </c>
      <c r="E7" s="1973" t="s">
        <v>546</v>
      </c>
      <c r="F7" s="1973" t="s">
        <v>547</v>
      </c>
      <c r="G7" s="1974" t="s">
        <v>548</v>
      </c>
      <c r="I7" s="1975" t="s">
        <v>583</v>
      </c>
      <c r="J7" s="1976" t="s">
        <v>584</v>
      </c>
      <c r="K7" s="1976" t="s">
        <v>591</v>
      </c>
      <c r="L7" s="1976"/>
      <c r="N7" s="1977" t="s">
        <v>0</v>
      </c>
      <c r="O7" s="1977" t="s">
        <v>9</v>
      </c>
      <c r="P7" s="1977" t="s">
        <v>83</v>
      </c>
    </row>
    <row r="8" spans="1:17" s="1983" customFormat="1" ht="18.75" customHeight="1">
      <c r="A8" s="1978"/>
      <c r="B8" s="1979" t="s">
        <v>682</v>
      </c>
      <c r="C8" s="2118">
        <v>47.5</v>
      </c>
      <c r="D8" s="2118">
        <v>47.5</v>
      </c>
      <c r="E8" s="2118">
        <v>2</v>
      </c>
      <c r="F8" s="1980" t="s">
        <v>31</v>
      </c>
      <c r="G8" s="1981" t="s">
        <v>738</v>
      </c>
      <c r="H8" s="1982">
        <f t="shared" ref="H8:H23" si="0">C8-D8</f>
        <v>0</v>
      </c>
      <c r="K8" s="1984"/>
      <c r="L8" s="1984"/>
      <c r="N8" s="1985">
        <v>1</v>
      </c>
      <c r="O8" s="1986" t="s">
        <v>636</v>
      </c>
      <c r="P8" s="1987">
        <f>+T27</f>
        <v>24.553306881866959</v>
      </c>
    </row>
    <row r="9" spans="1:17" s="1983" customFormat="1" ht="18.75" customHeight="1">
      <c r="A9" s="1978"/>
      <c r="B9" s="1979" t="s">
        <v>683</v>
      </c>
      <c r="C9" s="2118">
        <v>50</v>
      </c>
      <c r="D9" s="2118">
        <v>50</v>
      </c>
      <c r="E9" s="2118">
        <v>1</v>
      </c>
      <c r="F9" s="1980" t="s">
        <v>31</v>
      </c>
      <c r="G9" s="1981" t="s">
        <v>738</v>
      </c>
      <c r="H9" s="1982">
        <f t="shared" si="0"/>
        <v>0</v>
      </c>
      <c r="K9" s="1984"/>
      <c r="L9" s="1984"/>
      <c r="N9" s="1988">
        <v>2</v>
      </c>
      <c r="O9" s="1989" t="s">
        <v>637</v>
      </c>
      <c r="P9" s="1990">
        <f>+'1. thong tin quy hoach'!D21+'1. thong tin quy hoach'!D29</f>
        <v>0</v>
      </c>
    </row>
    <row r="10" spans="1:17" s="1983" customFormat="1" ht="18.75" customHeight="1">
      <c r="A10" s="1978"/>
      <c r="B10" s="1979" t="s">
        <v>680</v>
      </c>
      <c r="C10" s="2118">
        <v>0</v>
      </c>
      <c r="D10" s="2118">
        <v>0</v>
      </c>
      <c r="E10" s="2118">
        <v>3</v>
      </c>
      <c r="F10" s="1980" t="s">
        <v>31</v>
      </c>
      <c r="G10" s="1981" t="s">
        <v>738</v>
      </c>
      <c r="H10" s="1982">
        <f t="shared" si="0"/>
        <v>0</v>
      </c>
      <c r="K10" s="1984"/>
      <c r="L10" s="1984"/>
      <c r="N10" s="1988">
        <v>3</v>
      </c>
      <c r="O10" s="1989" t="s">
        <v>638</v>
      </c>
      <c r="P10" s="1991">
        <f>+P8*P9</f>
        <v>0</v>
      </c>
      <c r="Q10" s="1992"/>
    </row>
    <row r="11" spans="1:17" s="1983" customFormat="1" ht="18.75" customHeight="1">
      <c r="A11" s="1978"/>
      <c r="B11" s="1979" t="s">
        <v>681</v>
      </c>
      <c r="C11" s="2118">
        <f>+C8*0.95</f>
        <v>45.125</v>
      </c>
      <c r="D11" s="2118">
        <v>49.4</v>
      </c>
      <c r="E11" s="2118">
        <v>1</v>
      </c>
      <c r="F11" s="1980" t="s">
        <v>31</v>
      </c>
      <c r="G11" s="1981" t="s">
        <v>738</v>
      </c>
      <c r="H11" s="1982">
        <f t="shared" si="0"/>
        <v>-4.2749999999999986</v>
      </c>
      <c r="I11" s="1993"/>
      <c r="J11" s="1994"/>
      <c r="K11" s="1995"/>
      <c r="L11" s="1984"/>
      <c r="N11" s="1988"/>
      <c r="O11" s="1989"/>
      <c r="P11" s="1990"/>
    </row>
    <row r="12" spans="1:17" s="1983" customFormat="1" ht="18.75" customHeight="1">
      <c r="A12" s="1996"/>
      <c r="B12" s="1979" t="s">
        <v>684</v>
      </c>
      <c r="C12" s="2119">
        <v>80</v>
      </c>
      <c r="D12" s="2119">
        <v>80</v>
      </c>
      <c r="E12" s="2119">
        <v>1</v>
      </c>
      <c r="F12" s="1997" t="s">
        <v>31</v>
      </c>
      <c r="G12" s="1981" t="s">
        <v>738</v>
      </c>
      <c r="H12" s="1982">
        <f t="shared" si="0"/>
        <v>0</v>
      </c>
      <c r="I12" s="1993">
        <f>IFERROR('3.Du toan'!E61/10^6,0)</f>
        <v>7.49</v>
      </c>
      <c r="J12" s="1994">
        <f>IFERROR(('5.Doanh thu'!E98*'1. thong tin quy hoach'!J38-I12*'1. thong tin quy hoach'!I38)/'1. thong tin quy hoach'!J38,0)</f>
        <v>57.903078579443985</v>
      </c>
      <c r="K12" s="1132">
        <f>IFERROR(C12*'1. thong tin quy hoach'!J38/'1. thong tin quy hoach'!L38,0)</f>
        <v>7199.9999999999991</v>
      </c>
      <c r="L12" s="1984"/>
      <c r="N12" s="1989"/>
      <c r="O12" s="1999"/>
      <c r="P12" s="2000"/>
    </row>
    <row r="13" spans="1:17" s="1983" customFormat="1" ht="18.75" customHeight="1">
      <c r="A13" s="1996"/>
      <c r="B13" s="2001"/>
      <c r="C13" s="2120"/>
      <c r="D13" s="2120"/>
      <c r="E13" s="2120">
        <v>1</v>
      </c>
      <c r="F13" s="1997" t="s">
        <v>31</v>
      </c>
      <c r="G13" s="1981" t="s">
        <v>738</v>
      </c>
      <c r="H13" s="1982">
        <f t="shared" si="0"/>
        <v>0</v>
      </c>
      <c r="I13" s="1993"/>
      <c r="J13" s="1994"/>
      <c r="K13" s="1995"/>
      <c r="L13" s="1984"/>
      <c r="N13" s="1989"/>
      <c r="O13" s="1989"/>
      <c r="P13" s="1990"/>
    </row>
    <row r="14" spans="1:17" s="1983" customFormat="1" ht="18.75" customHeight="1">
      <c r="A14" s="1996"/>
      <c r="B14" s="2001"/>
      <c r="C14" s="2120"/>
      <c r="D14" s="2120"/>
      <c r="E14" s="2120">
        <v>1</v>
      </c>
      <c r="F14" s="1997" t="s">
        <v>31</v>
      </c>
      <c r="G14" s="1981" t="s">
        <v>738</v>
      </c>
      <c r="H14" s="1982">
        <f t="shared" si="0"/>
        <v>0</v>
      </c>
      <c r="I14" s="1993"/>
      <c r="J14" s="1994"/>
      <c r="K14" s="1995"/>
      <c r="L14" s="1984"/>
      <c r="N14" s="1989"/>
      <c r="O14" s="1999"/>
      <c r="P14" s="2000"/>
    </row>
    <row r="15" spans="1:17" s="1983" customFormat="1" ht="18.75" customHeight="1">
      <c r="A15" s="1996"/>
      <c r="B15" s="2001" t="s">
        <v>648</v>
      </c>
      <c r="C15" s="2121">
        <v>13</v>
      </c>
      <c r="D15" s="2121">
        <v>13</v>
      </c>
      <c r="E15" s="2122"/>
      <c r="F15" s="2002" t="s">
        <v>31</v>
      </c>
      <c r="G15" s="1998" t="s">
        <v>66</v>
      </c>
      <c r="H15" s="1982">
        <f t="shared" si="0"/>
        <v>0</v>
      </c>
      <c r="K15" s="2003"/>
      <c r="L15" s="2004"/>
      <c r="N15" s="1989"/>
      <c r="O15" s="1989"/>
      <c r="P15" s="1990"/>
    </row>
    <row r="16" spans="1:17" s="1983" customFormat="1" ht="18.75" customHeight="1">
      <c r="A16" s="1996"/>
      <c r="B16" s="2001" t="s">
        <v>649</v>
      </c>
      <c r="C16" s="2121">
        <v>13</v>
      </c>
      <c r="D16" s="2121">
        <v>13</v>
      </c>
      <c r="E16" s="2122">
        <v>0.5</v>
      </c>
      <c r="F16" s="2002" t="s">
        <v>31</v>
      </c>
      <c r="G16" s="1998" t="s">
        <v>66</v>
      </c>
      <c r="H16" s="1982">
        <f t="shared" si="0"/>
        <v>0</v>
      </c>
      <c r="K16" s="2003"/>
      <c r="L16" s="2004"/>
      <c r="N16" s="1989"/>
      <c r="O16" s="1989"/>
      <c r="P16" s="2005"/>
    </row>
    <row r="17" spans="1:22" s="1983" customFormat="1" ht="18.75" customHeight="1">
      <c r="A17" s="1996"/>
      <c r="B17" s="2006" t="s">
        <v>586</v>
      </c>
      <c r="C17" s="2123">
        <v>7</v>
      </c>
      <c r="D17" s="2121">
        <v>7</v>
      </c>
      <c r="E17" s="2122">
        <v>0.5</v>
      </c>
      <c r="F17" s="2002" t="s">
        <v>31</v>
      </c>
      <c r="G17" s="1998" t="s">
        <v>66</v>
      </c>
      <c r="H17" s="1982">
        <f t="shared" si="0"/>
        <v>0</v>
      </c>
      <c r="K17" s="2003"/>
      <c r="L17" s="2004"/>
      <c r="N17" s="2007"/>
      <c r="O17" s="2007"/>
      <c r="P17" s="2008"/>
    </row>
    <row r="18" spans="1:22" s="1983" customFormat="1" ht="18.75" customHeight="1">
      <c r="A18" s="1996"/>
      <c r="B18" s="2006" t="s">
        <v>587</v>
      </c>
      <c r="C18" s="2123"/>
      <c r="D18" s="2121"/>
      <c r="E18" s="2122">
        <v>0.5</v>
      </c>
      <c r="F18" s="2002" t="s">
        <v>31</v>
      </c>
      <c r="G18" s="1998" t="s">
        <v>66</v>
      </c>
      <c r="H18" s="1982">
        <f t="shared" si="0"/>
        <v>0</v>
      </c>
      <c r="K18" s="2003"/>
      <c r="L18" s="2004"/>
    </row>
    <row r="19" spans="1:22" s="1983" customFormat="1" ht="18.75" customHeight="1">
      <c r="A19" s="1996"/>
      <c r="B19" s="2006" t="s">
        <v>588</v>
      </c>
      <c r="C19" s="2123"/>
      <c r="D19" s="2121"/>
      <c r="E19" s="2122">
        <v>0.5</v>
      </c>
      <c r="F19" s="2002" t="s">
        <v>31</v>
      </c>
      <c r="G19" s="1998" t="s">
        <v>66</v>
      </c>
      <c r="H19" s="1982">
        <f t="shared" si="0"/>
        <v>0</v>
      </c>
      <c r="K19" s="2003"/>
      <c r="L19" s="2004"/>
    </row>
    <row r="20" spans="1:22" s="1983" customFormat="1" ht="18.75" customHeight="1">
      <c r="A20" s="1996"/>
      <c r="B20" s="2009" t="s">
        <v>347</v>
      </c>
      <c r="C20" s="2124">
        <v>520000</v>
      </c>
      <c r="D20" s="2124">
        <v>520000</v>
      </c>
      <c r="E20" s="2125">
        <v>20000</v>
      </c>
      <c r="F20" s="2002" t="s">
        <v>427</v>
      </c>
      <c r="G20" s="1998"/>
      <c r="H20" s="1982">
        <f t="shared" si="0"/>
        <v>0</v>
      </c>
      <c r="I20" s="2168">
        <f>+C20-'3.Du toan'!F13</f>
        <v>35262.060157868429</v>
      </c>
      <c r="K20" s="1982"/>
      <c r="L20" s="1984"/>
      <c r="T20" s="1983">
        <v>55</v>
      </c>
    </row>
    <row r="21" spans="1:22" s="1983" customFormat="1" ht="18.75" customHeight="1">
      <c r="A21" s="1996"/>
      <c r="B21" s="2115" t="s">
        <v>463</v>
      </c>
      <c r="C21" s="2167">
        <v>0</v>
      </c>
      <c r="D21" s="2167">
        <v>0</v>
      </c>
      <c r="E21" s="2127"/>
      <c r="F21" s="2116"/>
      <c r="G21" s="2117"/>
      <c r="H21" s="1982"/>
      <c r="K21" s="1982"/>
      <c r="L21" s="1984"/>
    </row>
    <row r="22" spans="1:22" s="1983" customFormat="1" ht="18.75" customHeight="1">
      <c r="A22" s="1996"/>
      <c r="B22" s="2115" t="s">
        <v>23</v>
      </c>
      <c r="C22" s="2126">
        <v>0.1</v>
      </c>
      <c r="D22" s="2126">
        <v>0.1</v>
      </c>
      <c r="E22" s="2127"/>
      <c r="F22" s="2116"/>
      <c r="G22" s="2117"/>
      <c r="H22" s="1982">
        <f t="shared" si="0"/>
        <v>0</v>
      </c>
      <c r="K22" s="1982"/>
      <c r="L22" s="1984"/>
    </row>
    <row r="23" spans="1:22" s="1983" customFormat="1" ht="18.75" customHeight="1" thickBot="1">
      <c r="A23" s="1996"/>
      <c r="B23" s="2010" t="s">
        <v>170</v>
      </c>
      <c r="C23" s="2128">
        <v>0.125</v>
      </c>
      <c r="D23" s="2128">
        <v>0.125</v>
      </c>
      <c r="E23" s="2129">
        <v>5.0000000000000001E-3</v>
      </c>
      <c r="F23" s="2011"/>
      <c r="G23" s="2012"/>
      <c r="H23" s="1982">
        <f t="shared" si="0"/>
        <v>0</v>
      </c>
      <c r="K23" s="1984"/>
      <c r="L23" s="1984"/>
    </row>
    <row r="24" spans="1:22" s="1983" customFormat="1" ht="18.75" customHeight="1">
      <c r="A24" s="1996"/>
      <c r="B24" s="2013"/>
      <c r="C24" s="2014"/>
      <c r="D24" s="2014"/>
      <c r="E24" s="2015"/>
      <c r="H24" s="1982"/>
      <c r="K24" s="1984"/>
      <c r="L24" s="1984"/>
    </row>
    <row r="25" spans="1:22" ht="21.75" customHeight="1">
      <c r="B25" s="2016"/>
      <c r="C25" s="2017"/>
      <c r="D25" s="2017"/>
      <c r="E25" s="1924"/>
      <c r="F25" s="1924"/>
      <c r="G25" s="2018"/>
      <c r="H25" s="1969"/>
      <c r="I25" s="1969"/>
      <c r="J25" s="1969"/>
      <c r="K25" s="1969"/>
      <c r="L25" s="1969"/>
      <c r="N25" s="2490" t="s">
        <v>634</v>
      </c>
      <c r="O25" s="2490"/>
      <c r="P25" s="2490"/>
      <c r="Q25" s="2490"/>
    </row>
    <row r="26" spans="1:22" s="1983" customFormat="1" ht="36.75" customHeight="1">
      <c r="A26" s="2019"/>
      <c r="B26" s="2486" t="s">
        <v>426</v>
      </c>
      <c r="C26" s="2487"/>
      <c r="D26" s="2487"/>
      <c r="E26" s="2487"/>
      <c r="F26" s="2487"/>
      <c r="G26" s="2487"/>
      <c r="H26" s="2487"/>
      <c r="I26" s="2487"/>
      <c r="J26" s="2487"/>
      <c r="K26" s="2487"/>
      <c r="L26" s="2488"/>
      <c r="N26" s="1977" t="s">
        <v>0</v>
      </c>
      <c r="O26" s="1977" t="s">
        <v>9</v>
      </c>
      <c r="P26" s="2020" t="s">
        <v>631</v>
      </c>
      <c r="Q26" s="2020" t="s">
        <v>628</v>
      </c>
      <c r="R26" s="2020" t="s">
        <v>633</v>
      </c>
      <c r="S26" s="2020" t="s">
        <v>629</v>
      </c>
      <c r="T26" s="2020" t="s">
        <v>630</v>
      </c>
      <c r="U26" s="2020" t="s">
        <v>632</v>
      </c>
    </row>
    <row r="27" spans="1:22" s="1983" customFormat="1" ht="18" customHeight="1">
      <c r="A27" s="1996"/>
      <c r="B27" s="2021" t="s">
        <v>550</v>
      </c>
      <c r="C27" s="2022">
        <f>Summary!E110</f>
        <v>10965.209523939237</v>
      </c>
      <c r="D27" s="2023">
        <f>E27-$E$16</f>
        <v>11</v>
      </c>
      <c r="E27" s="2023">
        <f>F27-$E$16</f>
        <v>11.5</v>
      </c>
      <c r="F27" s="2023">
        <f>G27-$E$16</f>
        <v>12</v>
      </c>
      <c r="G27" s="2023">
        <f>H27-$E$16</f>
        <v>12.5</v>
      </c>
      <c r="H27" s="2023">
        <f>D16</f>
        <v>13</v>
      </c>
      <c r="I27" s="2024">
        <f>H27+$E$16</f>
        <v>13.5</v>
      </c>
      <c r="J27" s="2024">
        <f>I27+$E$16</f>
        <v>14</v>
      </c>
      <c r="K27" s="2024">
        <f>J27+$E$16</f>
        <v>14.5</v>
      </c>
      <c r="L27" s="2024">
        <f>K27+$E$16</f>
        <v>15</v>
      </c>
      <c r="N27" s="1986">
        <v>1</v>
      </c>
      <c r="O27" s="1986" t="s">
        <v>625</v>
      </c>
      <c r="P27" s="2025">
        <v>20000</v>
      </c>
      <c r="Q27" s="2025">
        <v>1</v>
      </c>
      <c r="R27" s="2025">
        <f>+'1. thong tin quy hoach'!D10</f>
        <v>21178.41</v>
      </c>
      <c r="S27" s="2025">
        <f>+Q27*R27</f>
        <v>21178.41</v>
      </c>
      <c r="T27" s="2025">
        <f>+C20/SUM(S27:S30)</f>
        <v>24.553306881866959</v>
      </c>
      <c r="U27" s="2025">
        <f>+T27*R27</f>
        <v>520000</v>
      </c>
      <c r="V27" s="2026"/>
    </row>
    <row r="28" spans="1:22" s="1983" customFormat="1" ht="18" customHeight="1">
      <c r="A28" s="1996"/>
      <c r="B28" s="2477" t="s">
        <v>337</v>
      </c>
      <c r="C28" s="2027">
        <f>C29+$E$8</f>
        <v>55.5</v>
      </c>
      <c r="D28" s="2028">
        <f t="dataTable" ref="D28:L36" dt2D="1" dtr="1" r1="C15" r2="C8"/>
        <v>536780.17401064874</v>
      </c>
      <c r="E28" s="2029">
        <v>488099.61443820066</v>
      </c>
      <c r="F28" s="2029">
        <v>439419.05486575258</v>
      </c>
      <c r="G28" s="2029">
        <v>390259.68326060427</v>
      </c>
      <c r="H28" s="2030">
        <v>341044.30042287678</v>
      </c>
      <c r="I28" s="2029">
        <v>291828.91758514987</v>
      </c>
      <c r="J28" s="2029">
        <v>242613.53474742291</v>
      </c>
      <c r="K28" s="2029">
        <v>193398.15190969571</v>
      </c>
      <c r="L28" s="2029">
        <v>144182.76907196851</v>
      </c>
      <c r="N28" s="2031">
        <v>2</v>
      </c>
      <c r="O28" s="2032" t="s">
        <v>627</v>
      </c>
      <c r="P28" s="2033">
        <v>9600</v>
      </c>
      <c r="Q28" s="2033">
        <v>0.34</v>
      </c>
      <c r="R28" s="2033">
        <f>+'1. thong tin quy hoach'!D44</f>
        <v>0</v>
      </c>
      <c r="S28" s="2033">
        <f t="shared" ref="S28:S30" si="1">+Q28*R28</f>
        <v>0</v>
      </c>
      <c r="T28" s="2033">
        <f>+Q28*$T$27</f>
        <v>8.3481243398347669</v>
      </c>
      <c r="U28" s="2033">
        <f t="shared" ref="U28:U30" si="2">+T28*R28</f>
        <v>0</v>
      </c>
    </row>
    <row r="29" spans="1:22" s="1983" customFormat="1" ht="18" customHeight="1">
      <c r="A29" s="1996"/>
      <c r="B29" s="2489"/>
      <c r="C29" s="2034">
        <f>C30+$E$8</f>
        <v>53.5</v>
      </c>
      <c r="D29" s="2035">
        <v>454912.23432073707</v>
      </c>
      <c r="E29" s="2036">
        <v>406178.0514781861</v>
      </c>
      <c r="F29" s="2036">
        <v>356962.66864045896</v>
      </c>
      <c r="G29" s="2036">
        <v>307747.28580273234</v>
      </c>
      <c r="H29" s="2037">
        <v>258531.90296500485</v>
      </c>
      <c r="I29" s="2036">
        <v>209316.5201272777</v>
      </c>
      <c r="J29" s="2036">
        <v>160101.13728955097</v>
      </c>
      <c r="K29" s="2036">
        <v>110885.14645665267</v>
      </c>
      <c r="L29" s="2036">
        <v>61614.585325040855</v>
      </c>
      <c r="N29" s="2031">
        <v>3</v>
      </c>
      <c r="O29" s="2032" t="s">
        <v>626</v>
      </c>
      <c r="P29" s="2033">
        <v>9600</v>
      </c>
      <c r="Q29" s="2033">
        <v>0.34</v>
      </c>
      <c r="R29" s="2033">
        <f>+'1. thong tin quy hoach'!D46</f>
        <v>0</v>
      </c>
      <c r="S29" s="2033">
        <f t="shared" si="1"/>
        <v>0</v>
      </c>
      <c r="T29" s="2033">
        <f t="shared" ref="T29:T30" si="3">+Q29*$T$27</f>
        <v>8.3481243398347669</v>
      </c>
      <c r="U29" s="2033">
        <f t="shared" si="2"/>
        <v>0</v>
      </c>
    </row>
    <row r="30" spans="1:22" s="1983" customFormat="1" ht="18" customHeight="1">
      <c r="A30" s="1996"/>
      <c r="B30" s="2489"/>
      <c r="C30" s="2034">
        <f>C31+$E$8</f>
        <v>51.5</v>
      </c>
      <c r="D30" s="2035">
        <v>372881.23203491908</v>
      </c>
      <c r="E30" s="2036">
        <v>323665.84919719218</v>
      </c>
      <c r="F30" s="2036">
        <v>274450.46635946527</v>
      </c>
      <c r="G30" s="2036">
        <v>225235.0835217383</v>
      </c>
      <c r="H30" s="2037">
        <v>176019.70068401069</v>
      </c>
      <c r="I30" s="2036">
        <v>126804.31784628367</v>
      </c>
      <c r="J30" s="2036">
        <v>77578.332959803753</v>
      </c>
      <c r="K30" s="2036">
        <v>28307.771828191821</v>
      </c>
      <c r="L30" s="2036">
        <v>-20962.789303419937</v>
      </c>
      <c r="N30" s="2031">
        <v>4</v>
      </c>
      <c r="O30" s="2032" t="s">
        <v>610</v>
      </c>
      <c r="P30" s="2033">
        <v>9600</v>
      </c>
      <c r="Q30" s="2033">
        <v>0.34</v>
      </c>
      <c r="R30" s="2033">
        <f>+'1. thong tin quy hoach'!D45</f>
        <v>0</v>
      </c>
      <c r="S30" s="2033">
        <f t="shared" si="1"/>
        <v>0</v>
      </c>
      <c r="T30" s="2033">
        <f t="shared" si="3"/>
        <v>8.3481243398347669</v>
      </c>
      <c r="U30" s="2033">
        <f t="shared" si="2"/>
        <v>0</v>
      </c>
    </row>
    <row r="31" spans="1:22" s="1983" customFormat="1" ht="18" customHeight="1">
      <c r="A31" s="1996"/>
      <c r="B31" s="2489"/>
      <c r="C31" s="2034">
        <f>C32+$E$8</f>
        <v>49.5</v>
      </c>
      <c r="D31" s="2035">
        <v>290369.24559961585</v>
      </c>
      <c r="E31" s="2036">
        <v>241153.86276188871</v>
      </c>
      <c r="F31" s="2036">
        <v>191938.4799241618</v>
      </c>
      <c r="G31" s="2036">
        <v>142723.09708643495</v>
      </c>
      <c r="H31" s="2037">
        <v>93507.714248707343</v>
      </c>
      <c r="I31" s="2036">
        <v>44271.681390488637</v>
      </c>
      <c r="J31" s="2036">
        <v>-4998.8797411228297</v>
      </c>
      <c r="K31" s="2036">
        <v>-54269.440872734936</v>
      </c>
      <c r="L31" s="2036">
        <v>-103540.00200434693</v>
      </c>
      <c r="N31" s="2038"/>
      <c r="O31" s="2039" t="s">
        <v>53</v>
      </c>
      <c r="P31" s="2040">
        <f>SUM(P27:P30)</f>
        <v>48800</v>
      </c>
      <c r="Q31" s="2040"/>
      <c r="R31" s="2040"/>
      <c r="S31" s="2040"/>
      <c r="T31" s="2040"/>
      <c r="U31" s="2040">
        <f>SUM(U27:U30)</f>
        <v>520000</v>
      </c>
    </row>
    <row r="32" spans="1:22" s="1983" customFormat="1" ht="18" customHeight="1">
      <c r="A32" s="1996"/>
      <c r="B32" s="2479"/>
      <c r="C32" s="2041">
        <f>D8</f>
        <v>47.5</v>
      </c>
      <c r="D32" s="2042">
        <v>207857.49870397907</v>
      </c>
      <c r="E32" s="2037">
        <v>158642.11586625193</v>
      </c>
      <c r="F32" s="2037">
        <v>109426.7330285249</v>
      </c>
      <c r="G32" s="2037">
        <v>60211.35019079817</v>
      </c>
      <c r="H32" s="2037">
        <v>10965.209523939237</v>
      </c>
      <c r="I32" s="2037">
        <v>-38305.351607672521</v>
      </c>
      <c r="J32" s="2037">
        <v>-87575.912739284046</v>
      </c>
      <c r="K32" s="2037">
        <v>-136846.47387089615</v>
      </c>
      <c r="L32" s="2037">
        <v>-186117.03500250791</v>
      </c>
      <c r="N32" s="2043"/>
    </row>
    <row r="33" spans="1:14" s="1983" customFormat="1" ht="18" customHeight="1">
      <c r="A33" s="1996"/>
      <c r="B33" s="2479"/>
      <c r="C33" s="2044">
        <f>C32-$E$8</f>
        <v>45.5</v>
      </c>
      <c r="D33" s="2035">
        <v>125346.01864163694</v>
      </c>
      <c r="E33" s="2036">
        <v>76130.635803909798</v>
      </c>
      <c r="F33" s="2036">
        <v>26915.252966182772</v>
      </c>
      <c r="G33" s="2036">
        <v>-22341.062164152099</v>
      </c>
      <c r="H33" s="2037">
        <v>-71611.623295764439</v>
      </c>
      <c r="I33" s="2036">
        <v>-120882.18442737631</v>
      </c>
      <c r="J33" s="2036">
        <v>-170152.74555898778</v>
      </c>
      <c r="K33" s="2036">
        <v>-217867.54254342674</v>
      </c>
      <c r="L33" s="2036">
        <v>-262198.25387761131</v>
      </c>
      <c r="N33" s="2043"/>
    </row>
    <row r="34" spans="1:14" s="1983" customFormat="1" ht="18" customHeight="1">
      <c r="A34" s="1996"/>
      <c r="B34" s="2479"/>
      <c r="C34" s="2044">
        <f>C33-$E$8</f>
        <v>43.5</v>
      </c>
      <c r="D34" s="2035">
        <v>42834.837016444537</v>
      </c>
      <c r="E34" s="2036">
        <v>-6380.5458212823723</v>
      </c>
      <c r="F34" s="2036">
        <v>-55647.109964560368</v>
      </c>
      <c r="G34" s="2036">
        <v>-104917.67109617189</v>
      </c>
      <c r="H34" s="2037">
        <v>-154188.23222778435</v>
      </c>
      <c r="I34" s="2036">
        <v>-203458.79335939616</v>
      </c>
      <c r="J34" s="2036">
        <v>-249528.03316680592</v>
      </c>
      <c r="K34" s="2036">
        <v>-293858.74450099084</v>
      </c>
      <c r="L34" s="2036">
        <v>-338189.45583517541</v>
      </c>
      <c r="N34" s="2043"/>
    </row>
    <row r="35" spans="1:14" s="1983" customFormat="1" ht="18" customHeight="1">
      <c r="A35" s="1996"/>
      <c r="B35" s="2479"/>
      <c r="C35" s="2044">
        <f>C34-$E$8</f>
        <v>41.5</v>
      </c>
      <c r="D35" s="2035">
        <v>-39682.345138375356</v>
      </c>
      <c r="E35" s="2036">
        <v>-88952.906269987347</v>
      </c>
      <c r="F35" s="2036">
        <v>-138223.46740159928</v>
      </c>
      <c r="G35" s="2036">
        <v>-187494.0285332108</v>
      </c>
      <c r="H35" s="2037">
        <v>-236764.58966482308</v>
      </c>
      <c r="I35" s="2036">
        <v>-281188.52379018534</v>
      </c>
      <c r="J35" s="2036">
        <v>-325519.23512436968</v>
      </c>
      <c r="K35" s="2036">
        <v>-369849.94645855471</v>
      </c>
      <c r="L35" s="2036">
        <v>-414180.65779273928</v>
      </c>
      <c r="N35" s="2043"/>
    </row>
    <row r="36" spans="1:14" s="1983" customFormat="1" ht="18" customHeight="1">
      <c r="A36" s="1996"/>
      <c r="B36" s="2489"/>
      <c r="C36" s="2045">
        <f>C35-$E$8</f>
        <v>39.5</v>
      </c>
      <c r="D36" s="2046">
        <v>-122258.41873961454</v>
      </c>
      <c r="E36" s="2047">
        <v>-171528.97987122659</v>
      </c>
      <c r="F36" s="2047">
        <v>-220799.54100283846</v>
      </c>
      <c r="G36" s="2047">
        <v>-268518.30307937961</v>
      </c>
      <c r="H36" s="2048">
        <v>-312849.01441356464</v>
      </c>
      <c r="I36" s="2047">
        <v>-357179.72574774909</v>
      </c>
      <c r="J36" s="2047">
        <v>-401510.43708193372</v>
      </c>
      <c r="K36" s="2047">
        <v>-445841.14841611823</v>
      </c>
      <c r="L36" s="2047">
        <v>-490171.85975030292</v>
      </c>
      <c r="N36" s="2043"/>
    </row>
    <row r="37" spans="1:14" s="2051" customFormat="1" ht="15" customHeight="1">
      <c r="A37" s="2049"/>
      <c r="B37" s="2050"/>
    </row>
    <row r="38" spans="1:14" s="1983" customFormat="1" ht="27" customHeight="1">
      <c r="A38" s="2019"/>
      <c r="B38" s="2486" t="s">
        <v>431</v>
      </c>
      <c r="C38" s="2487"/>
      <c r="D38" s="2487"/>
      <c r="E38" s="2487"/>
      <c r="F38" s="2487"/>
      <c r="G38" s="2487"/>
      <c r="H38" s="2487"/>
      <c r="I38" s="2487"/>
      <c r="J38" s="2487"/>
      <c r="K38" s="2487"/>
      <c r="L38" s="2488"/>
    </row>
    <row r="39" spans="1:14" s="1983" customFormat="1" ht="18" customHeight="1">
      <c r="A39" s="1996"/>
      <c r="B39" s="2021" t="s">
        <v>550</v>
      </c>
      <c r="C39" s="2022">
        <f>Summary!E108</f>
        <v>440255.06244576816</v>
      </c>
      <c r="D39" s="2023">
        <f t="shared" ref="D39:L39" si="4">D27</f>
        <v>11</v>
      </c>
      <c r="E39" s="2023">
        <f t="shared" si="4"/>
        <v>11.5</v>
      </c>
      <c r="F39" s="2023">
        <f t="shared" si="4"/>
        <v>12</v>
      </c>
      <c r="G39" s="2023">
        <f t="shared" si="4"/>
        <v>12.5</v>
      </c>
      <c r="H39" s="2023">
        <f t="shared" si="4"/>
        <v>13</v>
      </c>
      <c r="I39" s="2024">
        <f t="shared" si="4"/>
        <v>13.5</v>
      </c>
      <c r="J39" s="2024">
        <f t="shared" si="4"/>
        <v>14</v>
      </c>
      <c r="K39" s="2024">
        <f t="shared" si="4"/>
        <v>14.5</v>
      </c>
      <c r="L39" s="2024">
        <f t="shared" si="4"/>
        <v>15</v>
      </c>
    </row>
    <row r="40" spans="1:14" s="1983" customFormat="1" ht="18" customHeight="1">
      <c r="A40" s="1996"/>
      <c r="B40" s="2477" t="s">
        <v>337</v>
      </c>
      <c r="C40" s="2027">
        <f t="shared" ref="C40:C48" si="5">C28</f>
        <v>55.5</v>
      </c>
      <c r="D40" s="2028">
        <f t="dataTable" ref="D40:L48" dt2D="1" dtr="1" r1="C15" r2="C8" ca="1"/>
        <v>1345140.8507385384</v>
      </c>
      <c r="E40" s="2029">
        <v>1263446.1934147282</v>
      </c>
      <c r="F40" s="2029">
        <v>1181751.536090917</v>
      </c>
      <c r="G40" s="2029">
        <v>1099258.1201090887</v>
      </c>
      <c r="H40" s="2030">
        <v>1016671.265671432</v>
      </c>
      <c r="I40" s="2052">
        <v>934084.41123377532</v>
      </c>
      <c r="J40" s="2052">
        <v>851497.55679611769</v>
      </c>
      <c r="K40" s="2052">
        <v>768910.70235846099</v>
      </c>
      <c r="L40" s="2052">
        <v>686323.84792080428</v>
      </c>
      <c r="M40" s="2026"/>
    </row>
    <row r="41" spans="1:14" s="1983" customFormat="1" ht="18" customHeight="1">
      <c r="A41" s="1996"/>
      <c r="B41" s="2489"/>
      <c r="C41" s="2034">
        <f t="shared" si="5"/>
        <v>53.5</v>
      </c>
      <c r="D41" s="2035">
        <v>1202124.5870314832</v>
      </c>
      <c r="E41" s="2036">
        <v>1120340.4748729141</v>
      </c>
      <c r="F41" s="2036">
        <v>1037753.6204352556</v>
      </c>
      <c r="G41" s="2036">
        <v>955166.76599759981</v>
      </c>
      <c r="H41" s="2037">
        <v>872579.91155994218</v>
      </c>
      <c r="I41" s="2053">
        <v>789993.05712228548</v>
      </c>
      <c r="J41" s="2053">
        <v>707406.20268462785</v>
      </c>
      <c r="K41" s="2053">
        <v>624818.33398380876</v>
      </c>
      <c r="L41" s="2053">
        <v>542139.43060634844</v>
      </c>
      <c r="M41" s="2026"/>
    </row>
    <row r="42" spans="1:14" s="1983" customFormat="1" ht="18" customHeight="1">
      <c r="A42" s="1996"/>
      <c r="B42" s="2489"/>
      <c r="C42" s="2034">
        <f t="shared" si="5"/>
        <v>51.5</v>
      </c>
      <c r="D42" s="2035">
        <v>1058836.0565327806</v>
      </c>
      <c r="E42" s="2036">
        <v>976249.2020951244</v>
      </c>
      <c r="F42" s="2036">
        <v>893662.34765746631</v>
      </c>
      <c r="G42" s="2036">
        <v>811075.49321981054</v>
      </c>
      <c r="H42" s="2037">
        <v>728488.63878215291</v>
      </c>
      <c r="I42" s="2053">
        <v>645901.78434449621</v>
      </c>
      <c r="J42" s="2053">
        <v>563297.243471127</v>
      </c>
      <c r="K42" s="2053">
        <v>480618.34009366762</v>
      </c>
      <c r="L42" s="2053">
        <v>397939.4367162073</v>
      </c>
      <c r="M42" s="2026"/>
    </row>
    <row r="43" spans="1:14" s="1983" customFormat="1" ht="18" customHeight="1">
      <c r="A43" s="1996"/>
      <c r="B43" s="2489"/>
      <c r="C43" s="2034">
        <f t="shared" si="5"/>
        <v>49.5</v>
      </c>
      <c r="D43" s="2035">
        <v>914744.87370175868</v>
      </c>
      <c r="E43" s="2036">
        <v>832158.01926410291</v>
      </c>
      <c r="F43" s="2036">
        <v>749571.16482644528</v>
      </c>
      <c r="G43" s="2036">
        <v>666984.31038878858</v>
      </c>
      <c r="H43" s="2037">
        <v>584397.45595113095</v>
      </c>
      <c r="I43" s="2036">
        <v>501776.15295844804</v>
      </c>
      <c r="J43" s="2036">
        <v>419097.2495809868</v>
      </c>
      <c r="K43" s="2036">
        <v>336418.34620352834</v>
      </c>
      <c r="L43" s="2036">
        <v>253739.44282606803</v>
      </c>
      <c r="M43" s="2026"/>
    </row>
    <row r="44" spans="1:14" s="1983" customFormat="1" ht="18" customHeight="1">
      <c r="A44" s="1996"/>
      <c r="B44" s="2479"/>
      <c r="C44" s="2041">
        <f t="shared" si="5"/>
        <v>47.5</v>
      </c>
      <c r="D44" s="2042">
        <v>770653.79069120903</v>
      </c>
      <c r="E44" s="2037">
        <v>688066.93625355233</v>
      </c>
      <c r="F44" s="2037">
        <v>605480.08181589469</v>
      </c>
      <c r="G44" s="2037">
        <v>522893.22737823799</v>
      </c>
      <c r="H44" s="2037">
        <v>440255.06244576816</v>
      </c>
      <c r="I44" s="2037">
        <v>357576.15906830784</v>
      </c>
      <c r="J44" s="2037">
        <v>274897.25569084752</v>
      </c>
      <c r="K44" s="2037">
        <v>192218.35231338814</v>
      </c>
      <c r="L44" s="2037">
        <v>109539.44893592782</v>
      </c>
    </row>
    <row r="45" spans="1:14" s="1983" customFormat="1" ht="18" customHeight="1">
      <c r="A45" s="1996"/>
      <c r="B45" s="2479"/>
      <c r="C45" s="2044">
        <f t="shared" si="5"/>
        <v>45.5</v>
      </c>
      <c r="D45" s="2054">
        <v>626562.81887487555</v>
      </c>
      <c r="E45" s="2053">
        <v>543975.96443721931</v>
      </c>
      <c r="F45" s="2053">
        <v>461389.10999956122</v>
      </c>
      <c r="G45" s="2053">
        <v>378733.97193309013</v>
      </c>
      <c r="H45" s="2037">
        <v>296055.06855562981</v>
      </c>
      <c r="I45" s="2036">
        <v>213376.1651781695</v>
      </c>
      <c r="J45" s="2036">
        <v>130697.26180070918</v>
      </c>
      <c r="K45" s="2036">
        <v>48018.358423248865</v>
      </c>
      <c r="L45" s="2036">
        <v>-34660.54495421052</v>
      </c>
      <c r="M45" s="2026"/>
    </row>
    <row r="46" spans="1:14" s="1983" customFormat="1" ht="18" customHeight="1">
      <c r="A46" s="1996"/>
      <c r="B46" s="2479"/>
      <c r="C46" s="2044">
        <f t="shared" si="5"/>
        <v>43.5</v>
      </c>
      <c r="D46" s="2054">
        <v>482471.97142264852</v>
      </c>
      <c r="E46" s="2053">
        <v>399885.11698499229</v>
      </c>
      <c r="F46" s="2053">
        <v>317212.88142040977</v>
      </c>
      <c r="G46" s="2053">
        <v>234533.97804294992</v>
      </c>
      <c r="H46" s="2037">
        <v>151855.07466548961</v>
      </c>
      <c r="I46" s="2036">
        <v>69176.171288030222</v>
      </c>
      <c r="J46" s="2036">
        <v>-13502.732089431025</v>
      </c>
      <c r="K46" s="2036">
        <v>-96181.63546689041</v>
      </c>
      <c r="L46" s="2036">
        <v>-178860.53884435073</v>
      </c>
      <c r="M46" s="2026"/>
    </row>
    <row r="47" spans="1:14" s="1983" customFormat="1" ht="18" customHeight="1">
      <c r="A47" s="1996"/>
      <c r="B47" s="2479"/>
      <c r="C47" s="2044">
        <f t="shared" si="5"/>
        <v>41.5</v>
      </c>
      <c r="D47" s="2054">
        <v>338370.69428519066</v>
      </c>
      <c r="E47" s="2053">
        <v>255691.79090773128</v>
      </c>
      <c r="F47" s="2053">
        <v>173012.8875302705</v>
      </c>
      <c r="G47" s="2053">
        <v>90333.984152810648</v>
      </c>
      <c r="H47" s="2037">
        <v>7655.0807753503323</v>
      </c>
      <c r="I47" s="2036">
        <v>-75023.822602109984</v>
      </c>
      <c r="J47" s="2036">
        <v>-157702.7259795703</v>
      </c>
      <c r="K47" s="2036">
        <v>-240381.62935702968</v>
      </c>
      <c r="L47" s="2036">
        <v>-323060.53273449</v>
      </c>
      <c r="M47" s="2026"/>
    </row>
    <row r="48" spans="1:14" s="1983" customFormat="1" ht="18" customHeight="1">
      <c r="A48" s="1996"/>
      <c r="B48" s="2489"/>
      <c r="C48" s="2045">
        <f t="shared" si="5"/>
        <v>39.5</v>
      </c>
      <c r="D48" s="2055">
        <v>194170.70039505046</v>
      </c>
      <c r="E48" s="2056">
        <v>111491.79701759107</v>
      </c>
      <c r="F48" s="2056">
        <v>28812.893640130293</v>
      </c>
      <c r="G48" s="2056">
        <v>-53866.009737329558</v>
      </c>
      <c r="H48" s="2048">
        <v>-136544.91311478941</v>
      </c>
      <c r="I48" s="2047">
        <v>-219223.81649224972</v>
      </c>
      <c r="J48" s="2047">
        <v>-301902.71986971004</v>
      </c>
      <c r="K48" s="2047">
        <v>-384581.62324717036</v>
      </c>
      <c r="L48" s="2047">
        <v>-467260.52662463067</v>
      </c>
      <c r="M48" s="2026"/>
    </row>
    <row r="49" spans="1:14" s="2051" customFormat="1" ht="15" customHeight="1">
      <c r="A49" s="2049"/>
      <c r="B49" s="2050"/>
    </row>
    <row r="50" spans="1:14" s="1983" customFormat="1" ht="27" customHeight="1">
      <c r="A50" s="2019"/>
      <c r="B50" s="2480" t="s">
        <v>430</v>
      </c>
      <c r="C50" s="2481"/>
      <c r="D50" s="2481"/>
      <c r="E50" s="2481"/>
      <c r="F50" s="2481"/>
      <c r="G50" s="2481"/>
      <c r="H50" s="2481"/>
      <c r="I50" s="2481"/>
      <c r="J50" s="2481"/>
      <c r="K50" s="2481"/>
      <c r="L50" s="2482"/>
      <c r="M50" s="2491"/>
    </row>
    <row r="51" spans="1:14" s="1983" customFormat="1" ht="18.75" customHeight="1">
      <c r="A51" s="2019"/>
      <c r="B51" s="2021" t="s">
        <v>746</v>
      </c>
      <c r="C51" s="2057"/>
      <c r="D51" s="2058">
        <f>+(D52*1.055)*1.1</f>
        <v>12.765499999999999</v>
      </c>
      <c r="E51" s="2058">
        <f t="shared" ref="E51:L51" si="6">+(E52*1.055)*1.1</f>
        <v>13.345749999999999</v>
      </c>
      <c r="F51" s="2058">
        <f t="shared" si="6"/>
        <v>13.926000000000002</v>
      </c>
      <c r="G51" s="2058">
        <f t="shared" si="6"/>
        <v>14.506250000000001</v>
      </c>
      <c r="H51" s="2058">
        <f t="shared" si="6"/>
        <v>15.086500000000001</v>
      </c>
      <c r="I51" s="2058">
        <f t="shared" si="6"/>
        <v>15.66675</v>
      </c>
      <c r="J51" s="2058">
        <f t="shared" si="6"/>
        <v>16.247</v>
      </c>
      <c r="K51" s="2058">
        <f t="shared" si="6"/>
        <v>16.827249999999999</v>
      </c>
      <c r="L51" s="2058">
        <f t="shared" si="6"/>
        <v>17.407499999999999</v>
      </c>
      <c r="M51" s="2491"/>
    </row>
    <row r="52" spans="1:14" s="1983" customFormat="1" ht="18" customHeight="1">
      <c r="A52" s="1996"/>
      <c r="B52" s="2021" t="s">
        <v>550</v>
      </c>
      <c r="C52" s="2057">
        <f>Summary!E112</f>
        <v>0.12213116653575566</v>
      </c>
      <c r="D52" s="2058">
        <f t="shared" ref="D52:L52" si="7">D39</f>
        <v>11</v>
      </c>
      <c r="E52" s="2023">
        <f t="shared" si="7"/>
        <v>11.5</v>
      </c>
      <c r="F52" s="2023">
        <f t="shared" si="7"/>
        <v>12</v>
      </c>
      <c r="G52" s="2023">
        <f t="shared" si="7"/>
        <v>12.5</v>
      </c>
      <c r="H52" s="2023">
        <f t="shared" si="7"/>
        <v>13</v>
      </c>
      <c r="I52" s="2023">
        <f t="shared" si="7"/>
        <v>13.5</v>
      </c>
      <c r="J52" s="2023">
        <f t="shared" si="7"/>
        <v>14</v>
      </c>
      <c r="K52" s="2023">
        <f t="shared" si="7"/>
        <v>14.5</v>
      </c>
      <c r="L52" s="2023">
        <f t="shared" si="7"/>
        <v>15</v>
      </c>
      <c r="M52" s="2491"/>
    </row>
    <row r="53" spans="1:14" s="1983" customFormat="1" ht="18" customHeight="1">
      <c r="A53" s="1996"/>
      <c r="B53" s="2483" t="s">
        <v>743</v>
      </c>
      <c r="C53" s="2027">
        <f t="shared" ref="C53:C61" si="8">C40</f>
        <v>55.5</v>
      </c>
      <c r="D53" s="2150">
        <f t="dataTable" ref="D53:L61" dt2D="1" dtr="1" r1="C15" r2="C8" ca="1"/>
        <v>0.41577353465824968</v>
      </c>
      <c r="E53" s="2150">
        <v>0.38001811195191854</v>
      </c>
      <c r="F53" s="2150">
        <v>0.34613578972206094</v>
      </c>
      <c r="G53" s="2150">
        <v>0.31368363669387578</v>
      </c>
      <c r="H53" s="2151">
        <v>0.28282726937931157</v>
      </c>
      <c r="I53" s="2150">
        <v>0.25348348281230859</v>
      </c>
      <c r="J53" s="2150">
        <v>0.22554371760470399</v>
      </c>
      <c r="K53" s="2150">
        <v>0.19890956019328954</v>
      </c>
      <c r="L53" s="2150">
        <v>0.17349158463082887</v>
      </c>
      <c r="M53" s="2026"/>
      <c r="N53" s="2043"/>
    </row>
    <row r="54" spans="1:14" s="1983" customFormat="1" ht="18" customHeight="1">
      <c r="A54" s="1996"/>
      <c r="B54" s="2483"/>
      <c r="C54" s="2034">
        <f t="shared" si="8"/>
        <v>53.5</v>
      </c>
      <c r="D54" s="2152">
        <v>0.37140321601944226</v>
      </c>
      <c r="E54" s="2152">
        <v>0.33682023832536767</v>
      </c>
      <c r="F54" s="2152">
        <v>0.30374349900802772</v>
      </c>
      <c r="G54" s="2152">
        <v>0.27237054100908653</v>
      </c>
      <c r="H54" s="2153">
        <v>0.24257302710495382</v>
      </c>
      <c r="I54" s="2152">
        <v>0.21423519369428742</v>
      </c>
      <c r="J54" s="2152">
        <v>0.18725234776311969</v>
      </c>
      <c r="K54" s="2152">
        <v>0.16152926985689894</v>
      </c>
      <c r="L54" s="2152">
        <v>0.13695389165286842</v>
      </c>
      <c r="M54" s="2026"/>
      <c r="N54" s="2043"/>
    </row>
    <row r="55" spans="1:14" s="1983" customFormat="1" ht="18" customHeight="1">
      <c r="A55" s="1996"/>
      <c r="B55" s="2483"/>
      <c r="C55" s="2034">
        <f t="shared" si="8"/>
        <v>51.5</v>
      </c>
      <c r="D55" s="2152">
        <v>0.32696071460113296</v>
      </c>
      <c r="E55" s="2152">
        <v>0.29327898302076427</v>
      </c>
      <c r="F55" s="2152">
        <v>0.26137675203869548</v>
      </c>
      <c r="G55" s="2152">
        <v>0.23111662709412753</v>
      </c>
      <c r="H55" s="2153">
        <v>0.20237500297807448</v>
      </c>
      <c r="I55" s="2152">
        <v>0.17504037624763139</v>
      </c>
      <c r="J55" s="2152">
        <v>0.14900652388878743</v>
      </c>
      <c r="K55" s="2152">
        <v>0.12416626760635985</v>
      </c>
      <c r="L55" s="2152">
        <v>0.10045993705546892</v>
      </c>
      <c r="M55" s="2026"/>
      <c r="N55" s="2043"/>
    </row>
    <row r="56" spans="1:14" s="1983" customFormat="1" ht="18" customHeight="1">
      <c r="A56" s="1996"/>
      <c r="B56" s="2484"/>
      <c r="C56" s="2034">
        <f t="shared" si="8"/>
        <v>49.5</v>
      </c>
      <c r="D56" s="2152">
        <v>0.28224747024841068</v>
      </c>
      <c r="E56" s="2152">
        <v>0.24980343650375075</v>
      </c>
      <c r="F56" s="2152">
        <v>0.2190722537388744</v>
      </c>
      <c r="G56" s="2152">
        <v>0.18992176798895469</v>
      </c>
      <c r="H56" s="2153">
        <v>0.16223307942811466</v>
      </c>
      <c r="I56" s="2152">
        <v>0.13588832439110235</v>
      </c>
      <c r="J56" s="2152">
        <v>0.11078512721042176</v>
      </c>
      <c r="K56" s="2152">
        <v>8.6853831133678588E-2</v>
      </c>
      <c r="L56" s="2152">
        <v>6.4014245555970892E-2</v>
      </c>
      <c r="M56" s="2026"/>
      <c r="N56" s="2043"/>
    </row>
    <row r="57" spans="1:14" s="1983" customFormat="1" ht="18" customHeight="1">
      <c r="A57" s="1996"/>
      <c r="B57" s="2484"/>
      <c r="C57" s="2041">
        <f t="shared" si="8"/>
        <v>47.5</v>
      </c>
      <c r="D57" s="2153">
        <v>0.23760353012778057</v>
      </c>
      <c r="E57" s="2153">
        <v>0.20639345027885284</v>
      </c>
      <c r="F57" s="2153">
        <v>0.17682986715312723</v>
      </c>
      <c r="G57" s="2153">
        <v>0.14878583711357266</v>
      </c>
      <c r="H57" s="2153">
        <v>0.12213116653575566</v>
      </c>
      <c r="I57" s="2153">
        <v>9.6768168154630935E-2</v>
      </c>
      <c r="J57" s="2153">
        <v>7.261665762271538E-2</v>
      </c>
      <c r="K57" s="2153">
        <v>4.9591857857343227E-2</v>
      </c>
      <c r="L57" s="2153">
        <v>2.7616721476032571E-2</v>
      </c>
      <c r="N57" s="2043"/>
    </row>
    <row r="58" spans="1:14" s="1983" customFormat="1" ht="18" customHeight="1">
      <c r="A58" s="1996"/>
      <c r="B58" s="2484"/>
      <c r="C58" s="2034">
        <f t="shared" si="8"/>
        <v>45.5</v>
      </c>
      <c r="D58" s="2152">
        <v>0.19302873339112478</v>
      </c>
      <c r="E58" s="2152">
        <v>0.16304887631827689</v>
      </c>
      <c r="F58" s="2152">
        <v>0.13464945574797077</v>
      </c>
      <c r="G58" s="2152">
        <v>0.10768720165827271</v>
      </c>
      <c r="H58" s="2153">
        <v>8.2068970219574669E-2</v>
      </c>
      <c r="I58" s="2152">
        <v>5.7703469664953398E-2</v>
      </c>
      <c r="J58" s="2152">
        <v>3.4501005265525263E-2</v>
      </c>
      <c r="K58" s="2152">
        <v>1.2380245473126095E-2</v>
      </c>
      <c r="L58" s="2152">
        <v>-8.7327306099541837E-3</v>
      </c>
      <c r="M58" s="2026"/>
      <c r="N58" s="2043"/>
    </row>
    <row r="59" spans="1:14" s="1983" customFormat="1" ht="18" customHeight="1">
      <c r="A59" s="1996"/>
      <c r="B59" s="2485"/>
      <c r="C59" s="2034">
        <f t="shared" si="8"/>
        <v>43.5</v>
      </c>
      <c r="D59" s="2152">
        <v>0.14852291971235709</v>
      </c>
      <c r="E59" s="2152">
        <v>0.11976956706412989</v>
      </c>
      <c r="F59" s="2152">
        <v>9.250368122827711E-2</v>
      </c>
      <c r="G59" s="2152">
        <v>6.6636481707356088E-2</v>
      </c>
      <c r="H59" s="2153">
        <v>4.2064948237637713E-2</v>
      </c>
      <c r="I59" s="2152">
        <v>1.8694111078091869E-2</v>
      </c>
      <c r="J59" s="2152">
        <v>-3.5619394174542956E-3</v>
      </c>
      <c r="K59" s="2152">
        <v>-2.4781108046850964E-2</v>
      </c>
      <c r="L59" s="2152">
        <v>-4.5034205875696259E-2</v>
      </c>
      <c r="M59" s="2026"/>
      <c r="N59" s="2043"/>
    </row>
    <row r="60" spans="1:14" s="1983" customFormat="1" ht="18" customHeight="1">
      <c r="A60" s="1996"/>
      <c r="B60" s="2485"/>
      <c r="C60" s="2034">
        <f t="shared" si="8"/>
        <v>41.5</v>
      </c>
      <c r="D60" s="2152">
        <v>0.10408233976624076</v>
      </c>
      <c r="E60" s="2152">
        <v>7.6522313167017617E-2</v>
      </c>
      <c r="F60" s="2152">
        <v>5.0414427045456484E-2</v>
      </c>
      <c r="G60" s="2152">
        <v>2.5646857279325169E-2</v>
      </c>
      <c r="H60" s="2153">
        <v>2.1189739694105537E-3</v>
      </c>
      <c r="I60" s="2152">
        <v>-2.0260025116287446E-2</v>
      </c>
      <c r="J60" s="2152">
        <v>-4.1572285679741749E-2</v>
      </c>
      <c r="K60" s="2152">
        <v>-6.1892304455049604E-2</v>
      </c>
      <c r="L60" s="2152">
        <v>-8.1287799243831602E-2</v>
      </c>
      <c r="M60" s="2026"/>
      <c r="N60" s="2043"/>
    </row>
    <row r="61" spans="1:14" s="1983" customFormat="1" ht="18" customHeight="1">
      <c r="A61" s="1996"/>
      <c r="B61" s="2484"/>
      <c r="C61" s="2063">
        <f t="shared" si="8"/>
        <v>39.5</v>
      </c>
      <c r="D61" s="2154">
        <v>5.9678513956324293E-2</v>
      </c>
      <c r="E61" s="2154">
        <v>3.3340621077970652E-2</v>
      </c>
      <c r="F61" s="2154">
        <v>8.3894152487172403E-3</v>
      </c>
      <c r="G61" s="2154">
        <v>-1.5281807916511712E-2</v>
      </c>
      <c r="H61" s="2155">
        <v>-3.7769078838443541E-2</v>
      </c>
      <c r="I61" s="2154">
        <v>-5.9159056096053882E-2</v>
      </c>
      <c r="J61" s="2154">
        <v>-7.9530142473113727E-2</v>
      </c>
      <c r="K61" s="2154">
        <v>-9.8953445229444312E-2</v>
      </c>
      <c r="L61" s="2154">
        <v>-0.11749360538675627</v>
      </c>
      <c r="M61" s="2026"/>
      <c r="N61" s="2043"/>
    </row>
    <row r="62" spans="1:14" s="2051" customFormat="1" ht="15" customHeight="1">
      <c r="A62" s="2049"/>
      <c r="B62" s="2050"/>
    </row>
    <row r="63" spans="1:14" s="1983" customFormat="1" ht="27" customHeight="1">
      <c r="A63" s="2019"/>
      <c r="B63" s="2480" t="s">
        <v>742</v>
      </c>
      <c r="C63" s="2481"/>
      <c r="D63" s="2481"/>
      <c r="E63" s="2481"/>
      <c r="F63" s="2481"/>
      <c r="G63" s="2481"/>
      <c r="H63" s="2481"/>
      <c r="I63" s="2481"/>
      <c r="J63" s="2481"/>
      <c r="K63" s="2481"/>
      <c r="L63" s="2482"/>
    </row>
    <row r="64" spans="1:14" s="1983" customFormat="1" ht="18" customHeight="1">
      <c r="A64" s="1996"/>
      <c r="B64" s="2179" t="s">
        <v>755</v>
      </c>
      <c r="C64" s="2057"/>
      <c r="D64" s="2180">
        <f>+D65/'1. thong tin quy hoach'!$D$54</f>
        <v>14.369497892331932</v>
      </c>
      <c r="E64" s="2180">
        <f>+E65/'1. thong tin quy hoach'!$D$54</f>
        <v>15.219764039807195</v>
      </c>
      <c r="F64" s="2180">
        <f>+F65/'1. thong tin quy hoach'!$D$54</f>
        <v>16.070030187282455</v>
      </c>
      <c r="G64" s="2180">
        <f>+G65/'1. thong tin quy hoach'!$D$54</f>
        <v>16.920296334757719</v>
      </c>
      <c r="H64" s="2180">
        <f>+H65/'1. thong tin quy hoach'!$D$54</f>
        <v>17.770562482232982</v>
      </c>
      <c r="I64" s="2180">
        <f>+I65/'1. thong tin quy hoach'!$D$54</f>
        <v>18.620828629708242</v>
      </c>
      <c r="J64" s="2180">
        <f>+J65/'1. thong tin quy hoach'!$D$54</f>
        <v>19.471094777183506</v>
      </c>
      <c r="K64" s="2180">
        <f>+K65/'1. thong tin quy hoach'!$D$54</f>
        <v>20.321360924658769</v>
      </c>
      <c r="L64" s="2181">
        <f>+L65/'1. thong tin quy hoach'!$D$54</f>
        <v>21.171627072134029</v>
      </c>
    </row>
    <row r="65" spans="1:14" s="1983" customFormat="1" ht="18" customHeight="1">
      <c r="A65" s="1996"/>
      <c r="B65" s="2228" t="s">
        <v>779</v>
      </c>
      <c r="C65" s="2057"/>
      <c r="D65" s="2067">
        <f>+D67+D66</f>
        <v>405600</v>
      </c>
      <c r="E65" s="2067">
        <f t="shared" ref="E65:L65" si="9">+E67+E66</f>
        <v>429600</v>
      </c>
      <c r="F65" s="2067">
        <f t="shared" si="9"/>
        <v>453600</v>
      </c>
      <c r="G65" s="2067">
        <f t="shared" si="9"/>
        <v>477600</v>
      </c>
      <c r="H65" s="2067">
        <f t="shared" si="9"/>
        <v>501600</v>
      </c>
      <c r="I65" s="2067">
        <f t="shared" si="9"/>
        <v>525600</v>
      </c>
      <c r="J65" s="2246">
        <f t="shared" si="9"/>
        <v>549600</v>
      </c>
      <c r="K65" s="2067">
        <f t="shared" si="9"/>
        <v>573600</v>
      </c>
      <c r="L65" s="2073">
        <f t="shared" si="9"/>
        <v>597600</v>
      </c>
    </row>
    <row r="66" spans="1:14" s="1983" customFormat="1" ht="18" customHeight="1">
      <c r="A66" s="1996"/>
      <c r="B66" s="2178" t="s">
        <v>780</v>
      </c>
      <c r="C66" s="2057"/>
      <c r="D66" s="2067">
        <f t="shared" ref="D66:L66" si="10">+D96</f>
        <v>45600</v>
      </c>
      <c r="E66" s="2067">
        <f t="shared" si="10"/>
        <v>49600</v>
      </c>
      <c r="F66" s="2067">
        <f t="shared" si="10"/>
        <v>53600</v>
      </c>
      <c r="G66" s="2067">
        <f t="shared" si="10"/>
        <v>57600</v>
      </c>
      <c r="H66" s="2067">
        <f t="shared" si="10"/>
        <v>61600</v>
      </c>
      <c r="I66" s="2067">
        <f t="shared" si="10"/>
        <v>65600</v>
      </c>
      <c r="J66" s="2246">
        <f t="shared" si="10"/>
        <v>69600</v>
      </c>
      <c r="K66" s="2067">
        <f t="shared" si="10"/>
        <v>73600</v>
      </c>
      <c r="L66" s="2073">
        <f t="shared" si="10"/>
        <v>77600</v>
      </c>
    </row>
    <row r="67" spans="1:14" s="1983" customFormat="1" ht="18" customHeight="1">
      <c r="A67" s="1996"/>
      <c r="B67" s="2066" t="s">
        <v>749</v>
      </c>
      <c r="C67" s="2057">
        <f>+Summary!E111</f>
        <v>0.11468720521467524</v>
      </c>
      <c r="D67" s="2067">
        <f t="shared" ref="D67:H67" si="11">E67-$E$20</f>
        <v>360000</v>
      </c>
      <c r="E67" s="2067">
        <f t="shared" si="11"/>
        <v>380000</v>
      </c>
      <c r="F67" s="2067">
        <f t="shared" si="11"/>
        <v>400000</v>
      </c>
      <c r="G67" s="2067">
        <f t="shared" si="11"/>
        <v>420000</v>
      </c>
      <c r="H67" s="2067">
        <f t="shared" si="11"/>
        <v>440000</v>
      </c>
      <c r="I67" s="2067">
        <f>J67-$E$20</f>
        <v>460000</v>
      </c>
      <c r="J67" s="2246">
        <f>K67-$E$20</f>
        <v>480000</v>
      </c>
      <c r="K67" s="2067">
        <f>L67-$E$20</f>
        <v>500000</v>
      </c>
      <c r="L67" s="2073">
        <f>D20</f>
        <v>520000</v>
      </c>
    </row>
    <row r="68" spans="1:14" s="1983" customFormat="1" ht="18" customHeight="1">
      <c r="A68" s="1996"/>
      <c r="B68" s="2483" t="s">
        <v>743</v>
      </c>
      <c r="C68" s="2068">
        <f t="shared" ref="C68:C76" si="12">C53</f>
        <v>55.5</v>
      </c>
      <c r="D68" s="2080">
        <f t="dataTable" ref="D68:L76" dt2D="1" dtr="1" r1="C20" r2="C8" ca="1"/>
        <v>0.34799042059731233</v>
      </c>
      <c r="E68" s="2080">
        <v>0.33272909521090632</v>
      </c>
      <c r="F68" s="2080">
        <v>0.31827392327793125</v>
      </c>
      <c r="G68" s="2080">
        <v>0.3045505778191846</v>
      </c>
      <c r="H68" s="2080">
        <v>0.29149430776038665</v>
      </c>
      <c r="I68" s="2080">
        <v>0.27904837822583017</v>
      </c>
      <c r="J68" s="2080">
        <v>0.26716281422299537</v>
      </c>
      <c r="K68" s="2080">
        <v>0.2557933797704004</v>
      </c>
      <c r="L68" s="2242">
        <v>0.24490074160410935</v>
      </c>
      <c r="N68" s="2043"/>
    </row>
    <row r="69" spans="1:14" s="1983" customFormat="1" ht="18" customHeight="1">
      <c r="A69" s="1996"/>
      <c r="B69" s="2483"/>
      <c r="C69" s="2034">
        <f t="shared" si="12"/>
        <v>53.5</v>
      </c>
      <c r="D69" s="2061">
        <v>0.3127994614734968</v>
      </c>
      <c r="E69" s="2061">
        <v>0.2982245065109872</v>
      </c>
      <c r="F69" s="2061">
        <v>0.28441132959162529</v>
      </c>
      <c r="G69" s="2061">
        <v>0.27129027963815555</v>
      </c>
      <c r="H69" s="2061">
        <v>0.25880061389955733</v>
      </c>
      <c r="I69" s="2061">
        <v>0.24688905652123494</v>
      </c>
      <c r="J69" s="2061">
        <v>0.23550863579573411</v>
      </c>
      <c r="K69" s="2061">
        <v>0.22461773803554186</v>
      </c>
      <c r="L69" s="2185">
        <v>0.21417933152744295</v>
      </c>
      <c r="N69" s="2043"/>
    </row>
    <row r="70" spans="1:14" s="1983" customFormat="1" ht="18" customHeight="1">
      <c r="A70" s="1996"/>
      <c r="B70" s="2483"/>
      <c r="C70" s="2034">
        <f t="shared" si="12"/>
        <v>51.5</v>
      </c>
      <c r="D70" s="2061">
        <v>0.27626088025975171</v>
      </c>
      <c r="E70" s="2061">
        <v>0.2624008952053265</v>
      </c>
      <c r="F70" s="2061">
        <v>0.24925658925817662</v>
      </c>
      <c r="G70" s="2061">
        <v>0.23676314977635582</v>
      </c>
      <c r="H70" s="2061">
        <v>0.22486398462805579</v>
      </c>
      <c r="I70" s="2061">
        <v>0.21350940208761693</v>
      </c>
      <c r="J70" s="2061">
        <v>0.20265554417631182</v>
      </c>
      <c r="K70" s="2061">
        <v>0.1922635173771492</v>
      </c>
      <c r="L70" s="2185">
        <v>0.18229867858734594</v>
      </c>
      <c r="N70" s="2043"/>
    </row>
    <row r="71" spans="1:14" s="1983" customFormat="1" ht="18" customHeight="1">
      <c r="A71" s="1996"/>
      <c r="B71" s="2484"/>
      <c r="C71" s="2034">
        <f t="shared" si="12"/>
        <v>49.5</v>
      </c>
      <c r="D71" s="2061">
        <v>0.23827338202261172</v>
      </c>
      <c r="E71" s="2061">
        <v>0.2251588485464846</v>
      </c>
      <c r="F71" s="2061">
        <v>0.21271209282407555</v>
      </c>
      <c r="G71" s="2061">
        <v>0.20087330633621625</v>
      </c>
      <c r="H71" s="2061">
        <v>0.18959019330137572</v>
      </c>
      <c r="I71" s="2061">
        <v>0.17881677477383118</v>
      </c>
      <c r="J71" s="2061">
        <v>0.16851242048537407</v>
      </c>
      <c r="K71" s="2061">
        <v>0.15864105842710363</v>
      </c>
      <c r="L71" s="2185">
        <v>0.14917052450522372</v>
      </c>
      <c r="N71" s="2043"/>
    </row>
    <row r="72" spans="1:14" s="1983" customFormat="1" ht="18" customHeight="1">
      <c r="A72" s="1996"/>
      <c r="B72" s="2484"/>
      <c r="C72" s="2147">
        <f t="shared" si="12"/>
        <v>47.5</v>
      </c>
      <c r="D72" s="2062">
        <v>0.19871426085433619</v>
      </c>
      <c r="E72" s="2062">
        <v>0.18637780232903212</v>
      </c>
      <c r="F72" s="2062">
        <v>0.17465933873860795</v>
      </c>
      <c r="G72" s="2062">
        <v>0.16350423288037841</v>
      </c>
      <c r="H72" s="2062">
        <v>0.15286463328630084</v>
      </c>
      <c r="I72" s="2062">
        <v>0.1426984051159752</v>
      </c>
      <c r="J72" s="2062">
        <v>0.13296826271550266</v>
      </c>
      <c r="K72" s="2062">
        <v>0.12364105995741737</v>
      </c>
      <c r="L72" s="2062">
        <v>0.11468720521467524</v>
      </c>
      <c r="N72" s="2043"/>
    </row>
    <row r="73" spans="1:14" s="1983" customFormat="1" ht="18" customHeight="1">
      <c r="A73" s="1996"/>
      <c r="B73" s="2484"/>
      <c r="C73" s="2034">
        <f t="shared" si="12"/>
        <v>45.5</v>
      </c>
      <c r="D73" s="2061">
        <v>0.15746924221107306</v>
      </c>
      <c r="E73" s="2061">
        <v>0.14594505294145366</v>
      </c>
      <c r="F73" s="2061">
        <v>0.13498717652115544</v>
      </c>
      <c r="G73" s="2061">
        <v>0.12454630707550263</v>
      </c>
      <c r="H73" s="2061">
        <v>0.11457918046204751</v>
      </c>
      <c r="I73" s="2061">
        <v>0.10504763396342476</v>
      </c>
      <c r="J73" s="2061">
        <v>9.5917841349349553E-2</v>
      </c>
      <c r="K73" s="2061">
        <v>8.7159685550508126E-2</v>
      </c>
      <c r="L73" s="2185">
        <v>7.8746240330666906E-2</v>
      </c>
      <c r="N73" s="2043"/>
    </row>
    <row r="74" spans="1:14" s="1983" customFormat="1" ht="18" customHeight="1">
      <c r="A74" s="1996"/>
      <c r="B74" s="2485"/>
      <c r="C74" s="2034">
        <f t="shared" si="12"/>
        <v>43.5</v>
      </c>
      <c r="D74" s="2061">
        <v>0.1144444512309637</v>
      </c>
      <c r="E74" s="2061">
        <v>0.10376724887890321</v>
      </c>
      <c r="F74" s="2061">
        <v>9.3602861625395217E-2</v>
      </c>
      <c r="G74" s="2061">
        <v>8.3907454216291422E-2</v>
      </c>
      <c r="H74" s="2061">
        <v>7.4642476604118713E-2</v>
      </c>
      <c r="I74" s="2061">
        <v>6.5773853418551242E-2</v>
      </c>
      <c r="J74" s="2061">
        <v>5.7271322548641868E-2</v>
      </c>
      <c r="K74" s="2061">
        <v>4.9107891141502602E-2</v>
      </c>
      <c r="L74" s="2185">
        <v>4.1259384906801921E-2</v>
      </c>
      <c r="N74" s="2043"/>
    </row>
    <row r="75" spans="1:14" s="1983" customFormat="1" ht="18" customHeight="1">
      <c r="A75" s="1996"/>
      <c r="B75" s="2485"/>
      <c r="C75" s="2034">
        <f t="shared" si="12"/>
        <v>41.5</v>
      </c>
      <c r="D75" s="2061">
        <v>6.9536024196067636E-2</v>
      </c>
      <c r="E75" s="2061">
        <v>5.9740444737666154E-2</v>
      </c>
      <c r="F75" s="2061">
        <v>5.040253587203658E-2</v>
      </c>
      <c r="G75" s="2061">
        <v>4.1484038848309757E-2</v>
      </c>
      <c r="H75" s="2061">
        <v>3.29512177350888E-2</v>
      </c>
      <c r="I75" s="2061">
        <v>2.4774178190562157E-2</v>
      </c>
      <c r="J75" s="2061">
        <v>1.6926309474807111E-2</v>
      </c>
      <c r="K75" s="2061">
        <v>9.3838239181862626E-3</v>
      </c>
      <c r="L75" s="2185">
        <v>2.1253741374254176E-3</v>
      </c>
      <c r="N75" s="2043"/>
    </row>
    <row r="76" spans="1:14" s="1983" customFormat="1" ht="18" customHeight="1">
      <c r="A76" s="1996"/>
      <c r="B76" s="2484"/>
      <c r="C76" s="2063">
        <f t="shared" si="12"/>
        <v>39.5</v>
      </c>
      <c r="D76" s="2064">
        <v>2.3503132849732156E-2</v>
      </c>
      <c r="E76" s="2064">
        <v>1.4285213631640481E-2</v>
      </c>
      <c r="F76" s="2064">
        <v>5.4904435799114637E-3</v>
      </c>
      <c r="G76" s="2064">
        <v>-2.9160879344160007E-3</v>
      </c>
      <c r="H76" s="2064">
        <v>-1.0965213611548674E-2</v>
      </c>
      <c r="I76" s="2064">
        <v>-1.8684295646427485E-2</v>
      </c>
      <c r="J76" s="2064">
        <v>-2.609772440671343E-2</v>
      </c>
      <c r="K76" s="2064">
        <v>-3.3227330894293527E-2</v>
      </c>
      <c r="L76" s="2064">
        <v>-4.009273025804605E-2</v>
      </c>
      <c r="N76" s="2043"/>
    </row>
    <row r="77" spans="1:14" s="2051" customFormat="1" ht="15" customHeight="1">
      <c r="A77" s="2049"/>
      <c r="B77" s="2050"/>
    </row>
    <row r="78" spans="1:14" s="1983" customFormat="1" ht="27" customHeight="1">
      <c r="A78" s="2019"/>
      <c r="B78" s="2480" t="s">
        <v>745</v>
      </c>
      <c r="C78" s="2481"/>
      <c r="D78" s="2481"/>
      <c r="E78" s="2481"/>
      <c r="F78" s="2481"/>
      <c r="G78" s="2481"/>
      <c r="H78" s="2481"/>
      <c r="I78" s="2481"/>
      <c r="J78" s="2481"/>
      <c r="K78" s="2481"/>
      <c r="L78" s="2482"/>
    </row>
    <row r="79" spans="1:14" s="1983" customFormat="1" ht="18" customHeight="1">
      <c r="A79" s="1996"/>
      <c r="B79" s="2179" t="s">
        <v>755</v>
      </c>
      <c r="C79" s="2057"/>
      <c r="D79" s="2180">
        <f>+D80/'1. thong tin quy hoach'!$D$54</f>
        <v>14.369497892331932</v>
      </c>
      <c r="E79" s="2180">
        <f>+E80/'1. thong tin quy hoach'!$D$54</f>
        <v>15.219764039807195</v>
      </c>
      <c r="F79" s="2180">
        <f>+F80/'1. thong tin quy hoach'!$D$54</f>
        <v>16.070030187282455</v>
      </c>
      <c r="G79" s="2180">
        <f>+G80/'1. thong tin quy hoach'!$D$54</f>
        <v>16.920296334757719</v>
      </c>
      <c r="H79" s="2180">
        <f>+H80/'1. thong tin quy hoach'!$D$54</f>
        <v>17.770562482232982</v>
      </c>
      <c r="I79" s="2180">
        <f>+I80/'1. thong tin quy hoach'!$D$54</f>
        <v>18.620828629708242</v>
      </c>
      <c r="J79" s="2180">
        <f>+J80/'1. thong tin quy hoach'!$D$54</f>
        <v>19.471094777183506</v>
      </c>
      <c r="K79" s="2180">
        <f>+K80/'1. thong tin quy hoach'!$D$54</f>
        <v>20.321360924658769</v>
      </c>
      <c r="L79" s="2247">
        <f>+L80/'1. thong tin quy hoach'!$D$54</f>
        <v>21.171627072134029</v>
      </c>
    </row>
    <row r="80" spans="1:14" s="1983" customFormat="1" ht="18" customHeight="1">
      <c r="A80" s="1996"/>
      <c r="B80" s="2178" t="str">
        <f>+B65</f>
        <v>TỔNG GIÁ TRỊ ĐẦU VÀO (GỒM GIÁ MUA VÀ THIỆT HẠI THUẾ) (tr.đồng):</v>
      </c>
      <c r="C80" s="2057"/>
      <c r="D80" s="2067">
        <f>+D82+D81</f>
        <v>405600</v>
      </c>
      <c r="E80" s="2067">
        <f t="shared" ref="E80:L80" si="13">+E82+E81</f>
        <v>429600</v>
      </c>
      <c r="F80" s="2067">
        <f t="shared" si="13"/>
        <v>453600</v>
      </c>
      <c r="G80" s="2067">
        <f t="shared" si="13"/>
        <v>477600</v>
      </c>
      <c r="H80" s="2067">
        <f t="shared" si="13"/>
        <v>501600</v>
      </c>
      <c r="I80" s="2067">
        <f t="shared" si="13"/>
        <v>525600</v>
      </c>
      <c r="J80" s="2067">
        <f t="shared" si="13"/>
        <v>549600</v>
      </c>
      <c r="K80" s="2067">
        <f t="shared" si="13"/>
        <v>573600</v>
      </c>
      <c r="L80" s="2073">
        <f t="shared" si="13"/>
        <v>597600</v>
      </c>
    </row>
    <row r="81" spans="1:14" s="1983" customFormat="1" ht="18" customHeight="1">
      <c r="A81" s="1996"/>
      <c r="B81" s="2178" t="str">
        <f>+B66</f>
        <v>Thiệt hại thuế cho chênh lệch giá mua cp và giá sổ sách (tr.đồng)</v>
      </c>
      <c r="C81" s="2057"/>
      <c r="D81" s="2067">
        <f t="shared" ref="D81:L81" si="14">+D96</f>
        <v>45600</v>
      </c>
      <c r="E81" s="2067">
        <f t="shared" si="14"/>
        <v>49600</v>
      </c>
      <c r="F81" s="2067">
        <f t="shared" si="14"/>
        <v>53600</v>
      </c>
      <c r="G81" s="2067">
        <f t="shared" si="14"/>
        <v>57600</v>
      </c>
      <c r="H81" s="2067">
        <f t="shared" si="14"/>
        <v>61600</v>
      </c>
      <c r="I81" s="2067">
        <f t="shared" si="14"/>
        <v>65600</v>
      </c>
      <c r="J81" s="2067">
        <f t="shared" si="14"/>
        <v>69600</v>
      </c>
      <c r="K81" s="2067">
        <f t="shared" si="14"/>
        <v>73600</v>
      </c>
      <c r="L81" s="2073">
        <f t="shared" si="14"/>
        <v>77600</v>
      </c>
    </row>
    <row r="82" spans="1:14" s="2051" customFormat="1" ht="18" customHeight="1">
      <c r="A82" s="2049"/>
      <c r="B82" s="2066" t="str">
        <f>+B67</f>
        <v>Giá mua dự án /cổ phần (tr.đồng)</v>
      </c>
      <c r="C82" s="2057">
        <f>+Summary!E110</f>
        <v>10965.209523939237</v>
      </c>
      <c r="D82" s="2067">
        <f t="shared" ref="D82:L82" si="15">D67</f>
        <v>360000</v>
      </c>
      <c r="E82" s="2067">
        <f t="shared" si="15"/>
        <v>380000</v>
      </c>
      <c r="F82" s="2067">
        <f t="shared" si="15"/>
        <v>400000</v>
      </c>
      <c r="G82" s="2067">
        <f t="shared" si="15"/>
        <v>420000</v>
      </c>
      <c r="H82" s="2067">
        <f t="shared" si="15"/>
        <v>440000</v>
      </c>
      <c r="I82" s="2067">
        <f t="shared" si="15"/>
        <v>460000</v>
      </c>
      <c r="J82" s="2067">
        <f t="shared" si="15"/>
        <v>480000</v>
      </c>
      <c r="K82" s="2067">
        <f t="shared" si="15"/>
        <v>500000</v>
      </c>
      <c r="L82" s="2073">
        <f t="shared" si="15"/>
        <v>520000</v>
      </c>
    </row>
    <row r="83" spans="1:14" s="1983" customFormat="1" ht="18" customHeight="1">
      <c r="A83" s="2019"/>
      <c r="B83" s="2477" t="s">
        <v>337</v>
      </c>
      <c r="C83" s="2068">
        <f t="shared" ref="C83:C91" si="16">C68</f>
        <v>55.5</v>
      </c>
      <c r="D83" s="2029">
        <f t="dataTable" ref="D83:L91" dt2D="1" dtr="1" r1="C20" r2="C8" ca="1"/>
        <v>503564.9669680341</v>
      </c>
      <c r="E83" s="2029">
        <v>483249.88364988932</v>
      </c>
      <c r="F83" s="2029">
        <v>462934.80033174466</v>
      </c>
      <c r="G83" s="2029">
        <v>442619.71701359999</v>
      </c>
      <c r="H83" s="2029">
        <v>422304.63369545544</v>
      </c>
      <c r="I83" s="2029">
        <v>401989.55037731078</v>
      </c>
      <c r="J83" s="2029">
        <v>381674.46705916623</v>
      </c>
      <c r="K83" s="2029">
        <v>361359.38374102145</v>
      </c>
      <c r="L83" s="2183">
        <v>341044.30042287678</v>
      </c>
    </row>
    <row r="84" spans="1:14" s="1983" customFormat="1" ht="18" customHeight="1">
      <c r="A84" s="1996"/>
      <c r="B84" s="2477"/>
      <c r="C84" s="2034">
        <f t="shared" si="16"/>
        <v>53.5</v>
      </c>
      <c r="D84" s="2069">
        <v>421052.56951016205</v>
      </c>
      <c r="E84" s="2069">
        <v>400737.48619201739</v>
      </c>
      <c r="F84" s="2069">
        <v>380422.4028738726</v>
      </c>
      <c r="G84" s="2069">
        <v>360107.31955572794</v>
      </c>
      <c r="H84" s="2069">
        <v>339792.23623758339</v>
      </c>
      <c r="I84" s="2069">
        <v>319477.15291943873</v>
      </c>
      <c r="J84" s="2069">
        <v>299162.06960129429</v>
      </c>
      <c r="K84" s="2069">
        <v>278846.9862831494</v>
      </c>
      <c r="L84" s="2182">
        <v>258531.90296500485</v>
      </c>
    </row>
    <row r="85" spans="1:14" s="1983" customFormat="1" ht="18" customHeight="1">
      <c r="A85" s="1996"/>
      <c r="B85" s="2477"/>
      <c r="C85" s="2034">
        <f t="shared" si="16"/>
        <v>51.5</v>
      </c>
      <c r="D85" s="2069">
        <v>338540.36722916778</v>
      </c>
      <c r="E85" s="2069">
        <v>318225.28391102323</v>
      </c>
      <c r="F85" s="2069">
        <v>297910.20059287857</v>
      </c>
      <c r="G85" s="2069">
        <v>277595.1172747339</v>
      </c>
      <c r="H85" s="2069">
        <v>257280.03395658924</v>
      </c>
      <c r="I85" s="2069">
        <v>236964.95063844457</v>
      </c>
      <c r="J85" s="2069">
        <v>216649.86732030002</v>
      </c>
      <c r="K85" s="2069">
        <v>196334.78400215547</v>
      </c>
      <c r="L85" s="2182">
        <v>176019.70068401069</v>
      </c>
      <c r="N85" s="2043"/>
    </row>
    <row r="86" spans="1:14" s="1983" customFormat="1" ht="18" customHeight="1">
      <c r="A86" s="1996"/>
      <c r="B86" s="2478"/>
      <c r="C86" s="2034">
        <f t="shared" si="16"/>
        <v>49.5</v>
      </c>
      <c r="D86" s="2069">
        <v>256028.38079386455</v>
      </c>
      <c r="E86" s="2069">
        <v>235713.29747571977</v>
      </c>
      <c r="F86" s="2069">
        <v>215398.21415757522</v>
      </c>
      <c r="G86" s="2069">
        <v>195083.13083943055</v>
      </c>
      <c r="H86" s="2069">
        <v>174768.04752128589</v>
      </c>
      <c r="I86" s="2069">
        <v>154452.96420314122</v>
      </c>
      <c r="J86" s="2069">
        <v>134137.88088499667</v>
      </c>
      <c r="K86" s="2069">
        <v>113822.79756685189</v>
      </c>
      <c r="L86" s="2182">
        <v>93507.714248707343</v>
      </c>
      <c r="N86" s="2043"/>
    </row>
    <row r="87" spans="1:14" s="1983" customFormat="1" ht="18" customHeight="1">
      <c r="A87" s="1996"/>
      <c r="B87" s="2478"/>
      <c r="C87" s="2147">
        <f t="shared" si="16"/>
        <v>47.5</v>
      </c>
      <c r="D87" s="2182">
        <v>173485.87606909656</v>
      </c>
      <c r="E87" s="2182">
        <v>153170.79275095189</v>
      </c>
      <c r="F87" s="2182">
        <v>132855.70943280734</v>
      </c>
      <c r="G87" s="2182">
        <v>112540.62611466268</v>
      </c>
      <c r="H87" s="2182">
        <v>92225.542796518013</v>
      </c>
      <c r="I87" s="2182">
        <v>71910.459478373348</v>
      </c>
      <c r="J87" s="2182">
        <v>51595.376160228683</v>
      </c>
      <c r="K87" s="2182">
        <v>31280.292842084018</v>
      </c>
      <c r="L87" s="2182">
        <v>10965.209523939237</v>
      </c>
      <c r="N87" s="2043"/>
    </row>
    <row r="88" spans="1:14" s="1983" customFormat="1" ht="18" customHeight="1">
      <c r="A88" s="1996"/>
      <c r="B88" s="2478"/>
      <c r="C88" s="2034">
        <f t="shared" si="16"/>
        <v>45.5</v>
      </c>
      <c r="D88" s="2069">
        <v>90909.043249392824</v>
      </c>
      <c r="E88" s="2069">
        <v>70593.959931248159</v>
      </c>
      <c r="F88" s="2069">
        <v>50278.876613103435</v>
      </c>
      <c r="G88" s="2069">
        <v>29963.793294958887</v>
      </c>
      <c r="H88" s="2069">
        <v>9648.7099768142216</v>
      </c>
      <c r="I88" s="2069">
        <v>-10666.373341330327</v>
      </c>
      <c r="J88" s="2069">
        <v>-30981.456659475109</v>
      </c>
      <c r="K88" s="2069">
        <v>-51296.539977619716</v>
      </c>
      <c r="L88" s="2182">
        <v>-71611.623295764439</v>
      </c>
      <c r="N88" s="2043"/>
    </row>
    <row r="89" spans="1:14" s="1983" customFormat="1" ht="18" customHeight="1">
      <c r="A89" s="1996"/>
      <c r="B89" s="2479"/>
      <c r="C89" s="2034">
        <f t="shared" si="16"/>
        <v>43.5</v>
      </c>
      <c r="D89" s="2069">
        <v>8332.4343173727393</v>
      </c>
      <c r="E89" s="2069">
        <v>-11982.649000771809</v>
      </c>
      <c r="F89" s="2069">
        <v>-32297.732318916416</v>
      </c>
      <c r="G89" s="2069">
        <v>-52612.81563706114</v>
      </c>
      <c r="H89" s="2069">
        <v>-72927.898955205746</v>
      </c>
      <c r="I89" s="2069">
        <v>-93242.982273350412</v>
      </c>
      <c r="J89" s="2069">
        <v>-113558.06559149508</v>
      </c>
      <c r="K89" s="2069">
        <v>-133873.14890963957</v>
      </c>
      <c r="L89" s="2182">
        <v>-154188.23222778435</v>
      </c>
      <c r="N89" s="2043"/>
    </row>
    <row r="90" spans="1:14" s="1983" customFormat="1" ht="18" customHeight="1">
      <c r="A90" s="1996"/>
      <c r="B90" s="2479"/>
      <c r="C90" s="2034">
        <f t="shared" si="16"/>
        <v>41.5</v>
      </c>
      <c r="D90" s="2069">
        <v>-74243.92311966588</v>
      </c>
      <c r="E90" s="2069">
        <v>-94559.006437810662</v>
      </c>
      <c r="F90" s="2069">
        <v>-114874.08975595527</v>
      </c>
      <c r="G90" s="2069">
        <v>-135189.17307409999</v>
      </c>
      <c r="H90" s="2069">
        <v>-155504.2563922446</v>
      </c>
      <c r="I90" s="2069">
        <v>-175819.33971038926</v>
      </c>
      <c r="J90" s="2069">
        <v>-196134.42302853393</v>
      </c>
      <c r="K90" s="2069">
        <v>-216449.50634667842</v>
      </c>
      <c r="L90" s="2182">
        <v>-236764.58966482308</v>
      </c>
      <c r="N90" s="2043"/>
    </row>
    <row r="91" spans="1:14" s="1983" customFormat="1" ht="18" customHeight="1">
      <c r="A91" s="1996"/>
      <c r="B91" s="2478"/>
      <c r="C91" s="2063">
        <f t="shared" si="16"/>
        <v>39.5</v>
      </c>
      <c r="D91" s="2047">
        <v>-150423.01065501702</v>
      </c>
      <c r="E91" s="2047">
        <v>-170726.26112483541</v>
      </c>
      <c r="F91" s="2047">
        <v>-191029.51159465386</v>
      </c>
      <c r="G91" s="2047">
        <v>-211332.76206447236</v>
      </c>
      <c r="H91" s="2047">
        <v>-231636.01253429081</v>
      </c>
      <c r="I91" s="2047">
        <v>-251939.26300410926</v>
      </c>
      <c r="J91" s="2047">
        <v>-272242.51347392768</v>
      </c>
      <c r="K91" s="2047">
        <v>-292545.76394374622</v>
      </c>
      <c r="L91" s="2184">
        <v>-312849.01441356464</v>
      </c>
      <c r="N91" s="2043"/>
    </row>
    <row r="92" spans="1:14" s="2051" customFormat="1" ht="15" customHeight="1">
      <c r="A92" s="2049"/>
      <c r="B92" s="2050"/>
    </row>
    <row r="93" spans="1:14" s="1983" customFormat="1" ht="27" customHeight="1">
      <c r="A93" s="2019"/>
      <c r="B93" s="2480" t="s">
        <v>428</v>
      </c>
      <c r="C93" s="2481"/>
      <c r="D93" s="2481"/>
      <c r="E93" s="2481"/>
      <c r="F93" s="2481"/>
      <c r="G93" s="2481"/>
      <c r="H93" s="2481"/>
      <c r="I93" s="2481"/>
      <c r="J93" s="2481"/>
      <c r="K93" s="2481"/>
      <c r="L93" s="2482"/>
    </row>
    <row r="94" spans="1:14" s="1983" customFormat="1" ht="20.25" customHeight="1">
      <c r="A94" s="2019"/>
      <c r="B94" s="2179" t="s">
        <v>755</v>
      </c>
      <c r="C94" s="2022"/>
      <c r="D94" s="2180">
        <f>+D95/'1. thong tin quy hoach'!$D$54</f>
        <v>14.369497892331932</v>
      </c>
      <c r="E94" s="2180">
        <f>+E95/'1. thong tin quy hoach'!$D$54</f>
        <v>15.219764039807195</v>
      </c>
      <c r="F94" s="2180">
        <f>+F95/'1. thong tin quy hoach'!$D$54</f>
        <v>16.070030187282455</v>
      </c>
      <c r="G94" s="2180">
        <f>+G95/'1. thong tin quy hoach'!$D$54</f>
        <v>16.920296334757719</v>
      </c>
      <c r="H94" s="2180">
        <f>+H95/'1. thong tin quy hoach'!$D$54</f>
        <v>17.770562482232982</v>
      </c>
      <c r="I94" s="2180">
        <f>+I95/'1. thong tin quy hoach'!$D$54</f>
        <v>18.620828629708242</v>
      </c>
      <c r="J94" s="2180">
        <f>+J95/'1. thong tin quy hoach'!$D$54</f>
        <v>19.471094777183506</v>
      </c>
      <c r="K94" s="2180">
        <f>+K95/'1. thong tin quy hoach'!$D$54</f>
        <v>20.321360924658769</v>
      </c>
      <c r="L94" s="2247">
        <f>+L95/'1. thong tin quy hoach'!$D$54</f>
        <v>21.171627072134029</v>
      </c>
    </row>
    <row r="95" spans="1:14" s="1983" customFormat="1" ht="20.25" customHeight="1">
      <c r="A95" s="2019"/>
      <c r="B95" s="2178" t="str">
        <f>+B65</f>
        <v>TỔNG GIÁ TRỊ ĐẦU VÀO (GỒM GIÁ MUA VÀ THIỆT HẠI THUẾ) (tr.đồng):</v>
      </c>
      <c r="C95" s="2022"/>
      <c r="D95" s="2067">
        <f>+D97+D96</f>
        <v>405600</v>
      </c>
      <c r="E95" s="2067">
        <f t="shared" ref="E95:L95" si="17">+E97+E96</f>
        <v>429600</v>
      </c>
      <c r="F95" s="2067">
        <f t="shared" si="17"/>
        <v>453600</v>
      </c>
      <c r="G95" s="2067">
        <f t="shared" si="17"/>
        <v>477600</v>
      </c>
      <c r="H95" s="2067">
        <f t="shared" si="17"/>
        <v>501600</v>
      </c>
      <c r="I95" s="2067">
        <f t="shared" si="17"/>
        <v>525600</v>
      </c>
      <c r="J95" s="2067">
        <f t="shared" si="17"/>
        <v>549600</v>
      </c>
      <c r="K95" s="2067">
        <f t="shared" si="17"/>
        <v>573600</v>
      </c>
      <c r="L95" s="2073">
        <f t="shared" si="17"/>
        <v>597600</v>
      </c>
    </row>
    <row r="96" spans="1:14" s="1983" customFormat="1" ht="20.25" customHeight="1">
      <c r="A96" s="2019"/>
      <c r="B96" s="2178" t="str">
        <f>+B66</f>
        <v>Thiệt hại thuế cho chênh lệch giá mua cp và giá sổ sách (tr.đồng)</v>
      </c>
      <c r="C96" s="2022"/>
      <c r="D96" s="2067">
        <f>+(D97-'7.CF'!$D$55)*0.2</f>
        <v>45600</v>
      </c>
      <c r="E96" s="2067">
        <f>+(E97-'7.CF'!$D$55)*0.2</f>
        <v>49600</v>
      </c>
      <c r="F96" s="2067">
        <f>+(F97-'7.CF'!$D$55)*0.2</f>
        <v>53600</v>
      </c>
      <c r="G96" s="2067">
        <f>+(G97-'7.CF'!$D$55)*0.2</f>
        <v>57600</v>
      </c>
      <c r="H96" s="2067">
        <f>+(H97-'7.CF'!$D$55)*0.2</f>
        <v>61600</v>
      </c>
      <c r="I96" s="2067">
        <f>+(I97-'7.CF'!$D$55)*0.2</f>
        <v>65600</v>
      </c>
      <c r="J96" s="2067">
        <f>+(J97-'7.CF'!$D$55)*0.2</f>
        <v>69600</v>
      </c>
      <c r="K96" s="2067">
        <f>+(K97-'7.CF'!$D$55)*0.2</f>
        <v>73600</v>
      </c>
      <c r="L96" s="2073">
        <f>+(L97-'7.CF'!$D$55)*0.2</f>
        <v>77600</v>
      </c>
    </row>
    <row r="97" spans="1:14" s="1983" customFormat="1" ht="18" customHeight="1">
      <c r="A97" s="1996"/>
      <c r="B97" s="2066" t="str">
        <f>+B67</f>
        <v>Giá mua dự án /cổ phần (tr.đồng)</v>
      </c>
      <c r="C97" s="2022">
        <f>Summary!E112</f>
        <v>0.12213116653575566</v>
      </c>
      <c r="D97" s="2067">
        <f>E97-$E$20</f>
        <v>360000</v>
      </c>
      <c r="E97" s="2067">
        <f>F97-$E$20</f>
        <v>380000</v>
      </c>
      <c r="F97" s="2067">
        <f>G97-$E$20</f>
        <v>400000</v>
      </c>
      <c r="G97" s="2067">
        <f>H97-$E$20</f>
        <v>420000</v>
      </c>
      <c r="H97" s="2067">
        <f>H82</f>
        <v>440000</v>
      </c>
      <c r="I97" s="2067">
        <f>H97+$E$20</f>
        <v>460000</v>
      </c>
      <c r="J97" s="2067">
        <f>I97+$E$20</f>
        <v>480000</v>
      </c>
      <c r="K97" s="2067">
        <f>J97+$E$20</f>
        <v>500000</v>
      </c>
      <c r="L97" s="2073">
        <f>K97+$E$20</f>
        <v>520000</v>
      </c>
    </row>
    <row r="98" spans="1:14" s="1983" customFormat="1" ht="18" customHeight="1">
      <c r="A98" s="1996"/>
      <c r="B98" s="2483" t="s">
        <v>743</v>
      </c>
      <c r="C98" s="2027">
        <f>C83</f>
        <v>55.5</v>
      </c>
      <c r="D98" s="2059">
        <f t="dataTable" ref="D98:L106" dt2D="1" dtr="1" r1="C20" r2="C8" ca="1"/>
        <v>0.35585317935163047</v>
      </c>
      <c r="E98" s="2059">
        <v>0.34634513121900773</v>
      </c>
      <c r="F98" s="2059">
        <v>0.33694944735112342</v>
      </c>
      <c r="G98" s="2059">
        <v>0.32766414759991963</v>
      </c>
      <c r="H98" s="2059">
        <v>0.31848729807271126</v>
      </c>
      <c r="I98" s="2059">
        <v>0.30941700978939629</v>
      </c>
      <c r="J98" s="2243">
        <v>0.30045143738617441</v>
      </c>
      <c r="K98" s="2059">
        <v>0.29158877786390341</v>
      </c>
      <c r="L98" s="2060">
        <v>0.28282726937931157</v>
      </c>
      <c r="N98" s="2043"/>
    </row>
    <row r="99" spans="1:14" s="1983" customFormat="1" ht="18" customHeight="1">
      <c r="A99" s="1996"/>
      <c r="B99" s="2483"/>
      <c r="C99" s="2034">
        <f t="shared" ref="C99:C106" si="18">C84</f>
        <v>53.5</v>
      </c>
      <c r="D99" s="2061">
        <v>0.3136212802215409</v>
      </c>
      <c r="E99" s="2061">
        <v>0.30437099385358746</v>
      </c>
      <c r="F99" s="2061">
        <v>0.29522994651499723</v>
      </c>
      <c r="G99" s="2061">
        <v>0.28619621451642496</v>
      </c>
      <c r="H99" s="2061">
        <v>0.27726791907293002</v>
      </c>
      <c r="I99" s="2061">
        <v>0.26844322500133161</v>
      </c>
      <c r="J99" s="2240">
        <v>0.25972033946264927</v>
      </c>
      <c r="K99" s="2061">
        <v>0.25109751074781861</v>
      </c>
      <c r="L99" s="2062">
        <v>0.24257302710495382</v>
      </c>
      <c r="N99" s="2043"/>
    </row>
    <row r="100" spans="1:14" s="1983" customFormat="1" ht="18" customHeight="1">
      <c r="A100" s="1996"/>
      <c r="B100" s="2483"/>
      <c r="C100" s="2034">
        <f t="shared" si="18"/>
        <v>51.5</v>
      </c>
      <c r="D100" s="2061">
        <v>0.2714511787033731</v>
      </c>
      <c r="E100" s="2061">
        <v>0.26245791233646093</v>
      </c>
      <c r="F100" s="2061">
        <v>0.25357077303633341</v>
      </c>
      <c r="G100" s="2061">
        <v>0.24478789325762773</v>
      </c>
      <c r="H100" s="2061">
        <v>0.23610744901768943</v>
      </c>
      <c r="I100" s="2061">
        <v>0.22752765863374683</v>
      </c>
      <c r="J100" s="2240">
        <v>0.21904678150376183</v>
      </c>
      <c r="K100" s="2061">
        <v>0.21066311692920356</v>
      </c>
      <c r="L100" s="2062">
        <v>0.20237500297807448</v>
      </c>
      <c r="N100" s="2043"/>
    </row>
    <row r="101" spans="1:14" s="1983" customFormat="1" ht="18" customHeight="1">
      <c r="A101" s="1996"/>
      <c r="B101" s="2484"/>
      <c r="C101" s="2034">
        <f t="shared" si="18"/>
        <v>49.5</v>
      </c>
      <c r="D101" s="2061">
        <v>0.22934273941161609</v>
      </c>
      <c r="E101" s="2061">
        <v>0.22060575369791924</v>
      </c>
      <c r="F101" s="2061">
        <v>0.21197179630402108</v>
      </c>
      <c r="G101" s="2061">
        <v>0.20343905551549374</v>
      </c>
      <c r="H101" s="2226">
        <v>0.19500576184813481</v>
      </c>
      <c r="I101" s="2061">
        <v>0.18667018682463765</v>
      </c>
      <c r="J101" s="2244">
        <v>0.17843064179354126</v>
      </c>
      <c r="K101" s="2061">
        <v>0.17028547678876579</v>
      </c>
      <c r="L101" s="2062">
        <v>0.16223307942811466</v>
      </c>
      <c r="N101" s="2043"/>
    </row>
    <row r="102" spans="1:14" s="1983" customFormat="1" ht="18" customHeight="1">
      <c r="A102" s="1996"/>
      <c r="B102" s="2484"/>
      <c r="C102" s="2074">
        <f>C87</f>
        <v>47.5</v>
      </c>
      <c r="D102" s="2062">
        <v>0.18727812129064994</v>
      </c>
      <c r="E102" s="2062">
        <v>0.17879690996004399</v>
      </c>
      <c r="F102" s="2062">
        <v>0.17041563716992336</v>
      </c>
      <c r="G102" s="2077">
        <v>0.16213254682479394</v>
      </c>
      <c r="H102" s="2245">
        <v>0.15394592373314867</v>
      </c>
      <c r="I102" s="2079">
        <v>0.14585409242341327</v>
      </c>
      <c r="J102" s="2062">
        <v>0.13785541600078496</v>
      </c>
      <c r="K102" s="2078">
        <v>0.12994829504332739</v>
      </c>
      <c r="L102" s="2062">
        <v>0.12213116653575566</v>
      </c>
      <c r="N102" s="2043"/>
    </row>
    <row r="103" spans="1:14" s="1983" customFormat="1" ht="18" customHeight="1">
      <c r="A103" s="1996"/>
      <c r="B103" s="2484"/>
      <c r="C103" s="2034">
        <f t="shared" si="18"/>
        <v>45.5</v>
      </c>
      <c r="D103" s="2061">
        <v>0.14525697804618926</v>
      </c>
      <c r="E103" s="2061">
        <v>0.13703104183336887</v>
      </c>
      <c r="F103" s="2061">
        <v>0.12890196320573405</v>
      </c>
      <c r="G103" s="2061">
        <v>0.12086804147837406</v>
      </c>
      <c r="H103" s="2080">
        <v>0.11292761555025743</v>
      </c>
      <c r="I103" s="2061">
        <v>0.10507906275923866</v>
      </c>
      <c r="J103" s="2239">
        <v>9.7320797776579565E-2</v>
      </c>
      <c r="K103" s="2061">
        <v>8.9651271539403665E-2</v>
      </c>
      <c r="L103" s="2062">
        <v>8.2068970219574669E-2</v>
      </c>
      <c r="N103" s="2043"/>
    </row>
    <row r="104" spans="1:14" s="1983" customFormat="1" ht="18" customHeight="1">
      <c r="A104" s="1996"/>
      <c r="B104" s="2485"/>
      <c r="C104" s="2034">
        <f t="shared" si="18"/>
        <v>43.5</v>
      </c>
      <c r="D104" s="2061">
        <v>0.10329975966192978</v>
      </c>
      <c r="E104" s="2061">
        <v>9.5328334237279003E-2</v>
      </c>
      <c r="F104" s="2061">
        <v>8.7450699067241483E-2</v>
      </c>
      <c r="G104" s="2061">
        <v>7.9665208555622022E-2</v>
      </c>
      <c r="H104" s="2061">
        <v>7.1970255379445486E-2</v>
      </c>
      <c r="I104" s="2061">
        <v>6.4364269382692352E-2</v>
      </c>
      <c r="J104" s="2240">
        <v>5.6845716508184777E-2</v>
      </c>
      <c r="K104" s="2061">
        <v>4.9413097766097966E-2</v>
      </c>
      <c r="L104" s="2062">
        <v>4.2064948237637713E-2</v>
      </c>
      <c r="N104" s="2043"/>
    </row>
    <row r="105" spans="1:14" s="1983" customFormat="1" ht="18" customHeight="1">
      <c r="A105" s="1996"/>
      <c r="B105" s="2485"/>
      <c r="C105" s="2034">
        <f t="shared" si="18"/>
        <v>41.5</v>
      </c>
      <c r="D105" s="2061">
        <v>6.1406320379751508E-2</v>
      </c>
      <c r="E105" s="2061">
        <v>5.3688644008037044E-2</v>
      </c>
      <c r="F105" s="2061">
        <v>4.606170412388718E-2</v>
      </c>
      <c r="G105" s="2061">
        <v>3.8523909899749707E-2</v>
      </c>
      <c r="H105" s="2061">
        <v>3.1073707480017174E-2</v>
      </c>
      <c r="I105" s="2061">
        <v>2.3709578913164026E-2</v>
      </c>
      <c r="J105" s="2240">
        <v>1.6430041120682973E-2</v>
      </c>
      <c r="K105" s="2061">
        <v>9.2336449013495289E-3</v>
      </c>
      <c r="L105" s="2062">
        <v>2.1189739694105537E-3</v>
      </c>
    </row>
    <row r="106" spans="1:14" s="1983" customFormat="1" ht="18" customHeight="1">
      <c r="A106" s="2019"/>
      <c r="B106" s="2484"/>
      <c r="C106" s="2063">
        <f t="shared" si="18"/>
        <v>39.5</v>
      </c>
      <c r="D106" s="2064">
        <v>1.9576514884331028E-2</v>
      </c>
      <c r="E106" s="2064">
        <v>1.2111828414250719E-2</v>
      </c>
      <c r="F106" s="2064">
        <v>4.7348381673135509E-3</v>
      </c>
      <c r="G106" s="2064">
        <v>-2.5559922336794421E-3</v>
      </c>
      <c r="H106" s="2064">
        <v>-9.7621634859352546E-3</v>
      </c>
      <c r="I106" s="2064">
        <v>-1.688514163645612E-2</v>
      </c>
      <c r="J106" s="2241">
        <v>-2.3926359076365075E-2</v>
      </c>
      <c r="K106" s="2064">
        <v>-3.0887215501188205E-2</v>
      </c>
      <c r="L106" s="2065">
        <v>-3.7769078838443541E-2</v>
      </c>
    </row>
    <row r="107" spans="1:14" s="1983" customFormat="1" ht="15.75">
      <c r="A107" s="1996"/>
      <c r="B107" s="2070"/>
      <c r="C107" s="2071"/>
      <c r="D107" s="2072"/>
      <c r="E107" s="2072"/>
      <c r="F107" s="2072"/>
      <c r="G107" s="2072"/>
      <c r="H107" s="2072"/>
      <c r="I107" s="2072"/>
      <c r="J107" s="2072"/>
      <c r="K107" s="1984"/>
      <c r="L107" s="1984"/>
    </row>
  </sheetData>
  <sheetProtection selectLockedCells="1" selectUnlockedCells="1"/>
  <mergeCells count="16">
    <mergeCell ref="N6:P6"/>
    <mergeCell ref="I6:K6"/>
    <mergeCell ref="B83:B91"/>
    <mergeCell ref="B93:L93"/>
    <mergeCell ref="B98:B106"/>
    <mergeCell ref="B26:L26"/>
    <mergeCell ref="B28:B36"/>
    <mergeCell ref="B68:B76"/>
    <mergeCell ref="B40:B48"/>
    <mergeCell ref="B53:B61"/>
    <mergeCell ref="B38:L38"/>
    <mergeCell ref="B50:L50"/>
    <mergeCell ref="B63:L63"/>
    <mergeCell ref="B78:L78"/>
    <mergeCell ref="N25:Q25"/>
    <mergeCell ref="M50:M52"/>
  </mergeCells>
  <phoneticPr fontId="77" type="noConversion"/>
  <conditionalFormatting sqref="B26:L106">
    <cfRule type="cellIs" dxfId="0" priority="1" operator="lessThan">
      <formula>0</formula>
    </cfRule>
  </conditionalFormatting>
  <pageMargins left="0.2" right="0.35" top="0.33" bottom="0.45" header="0.2" footer="0.24"/>
  <pageSetup paperSize="9" scale="51" firstPageNumber="0" orientation="portrait" horizontalDpi="300" verticalDpi="300" r:id="rId1"/>
  <headerFooter alignWithMargins="0">
    <oddFooter>&amp;LBinh Tây_x000D_&amp;1#&amp;"Calibri"&amp;10&amp;K000000 Internal Use&amp;R20-08-2012</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tabColor theme="5" tint="0.39997558519241921"/>
  </sheetPr>
  <dimension ref="B2:T63"/>
  <sheetViews>
    <sheetView topLeftCell="B1" zoomScale="85" zoomScaleNormal="85" workbookViewId="0">
      <pane ySplit="3" topLeftCell="A38" activePane="bottomLeft" state="frozen"/>
      <selection activeCell="K78" sqref="K78"/>
      <selection pane="bottomLeft" activeCell="H4" sqref="H4"/>
    </sheetView>
  </sheetViews>
  <sheetFormatPr defaultColWidth="9.140625" defaultRowHeight="13.5"/>
  <cols>
    <col min="1" max="1" width="0" style="1087" hidden="1" customWidth="1"/>
    <col min="2" max="2" width="9.140625" style="1087"/>
    <col min="3" max="3" width="19.140625" style="1087" bestFit="1" customWidth="1"/>
    <col min="4" max="4" width="9.42578125" style="1087" bestFit="1" customWidth="1"/>
    <col min="5" max="5" width="15.140625" style="1087" bestFit="1" customWidth="1"/>
    <col min="6" max="8" width="15.140625" style="1087" customWidth="1"/>
    <col min="9" max="9" width="13.28515625" style="1087" bestFit="1" customWidth="1"/>
    <col min="10" max="10" width="14.85546875" style="1087" customWidth="1"/>
    <col min="11" max="13" width="17.85546875" style="1087" customWidth="1"/>
    <col min="14" max="14" width="9.140625" style="1087" customWidth="1"/>
    <col min="15" max="15" width="12.7109375" style="1087" customWidth="1"/>
    <col min="16" max="16" width="11.5703125" style="1087" bestFit="1" customWidth="1"/>
    <col min="17" max="17" width="17.7109375" style="1087" bestFit="1" customWidth="1"/>
    <col min="18" max="19" width="9.140625" style="1087"/>
    <col min="20" max="20" width="17.7109375" style="1087" bestFit="1" customWidth="1"/>
    <col min="21" max="16384" width="9.140625" style="1087"/>
  </cols>
  <sheetData>
    <row r="2" spans="2:20" ht="15.75">
      <c r="C2" s="1391" t="s">
        <v>73</v>
      </c>
      <c r="D2" s="1392">
        <v>26000</v>
      </c>
      <c r="E2" s="1393" t="s">
        <v>74</v>
      </c>
      <c r="F2" s="1393" t="s">
        <v>74</v>
      </c>
      <c r="G2" s="1393" t="s">
        <v>74</v>
      </c>
      <c r="H2" s="1394" t="s">
        <v>153</v>
      </c>
      <c r="I2" s="1394" t="s">
        <v>705</v>
      </c>
      <c r="J2" s="1394" t="s">
        <v>624</v>
      </c>
      <c r="K2" s="2492" t="s">
        <v>668</v>
      </c>
      <c r="L2" s="2492" t="s">
        <v>669</v>
      </c>
      <c r="M2" s="2492" t="s">
        <v>131</v>
      </c>
      <c r="N2" s="1088"/>
      <c r="O2" s="1088"/>
    </row>
    <row r="3" spans="2:20" ht="15.75">
      <c r="C3" s="1089" t="s">
        <v>75</v>
      </c>
      <c r="D3" s="1090">
        <v>0.11</v>
      </c>
      <c r="E3" s="1091" t="s">
        <v>130</v>
      </c>
      <c r="F3" s="1091" t="s">
        <v>345</v>
      </c>
      <c r="G3" s="1091" t="s">
        <v>345</v>
      </c>
      <c r="H3" s="1092">
        <v>4</v>
      </c>
      <c r="I3" s="1092">
        <v>10</v>
      </c>
      <c r="J3" s="1092">
        <v>3.5</v>
      </c>
      <c r="K3" s="2493"/>
      <c r="L3" s="2493"/>
      <c r="M3" s="2493"/>
      <c r="N3" s="1088"/>
      <c r="O3" s="1093"/>
    </row>
    <row r="4" spans="2:20" ht="15">
      <c r="B4" s="1094">
        <v>2026</v>
      </c>
      <c r="C4" s="1095"/>
      <c r="D4" s="1096">
        <f t="shared" ref="D4:D47" si="0">1/(1+$D$3)^C4</f>
        <v>1</v>
      </c>
      <c r="E4" s="1101"/>
      <c r="F4" s="1101"/>
      <c r="G4" s="1101"/>
      <c r="H4" s="1097"/>
      <c r="I4" s="1097"/>
      <c r="J4" s="1097"/>
      <c r="K4" s="1098" t="s">
        <v>76</v>
      </c>
      <c r="L4" s="1098" t="s">
        <v>76</v>
      </c>
      <c r="M4" s="1098" t="s">
        <v>76</v>
      </c>
      <c r="N4" s="1099"/>
      <c r="O4" s="1100"/>
    </row>
    <row r="5" spans="2:20" ht="15">
      <c r="B5" s="1094">
        <v>2027</v>
      </c>
      <c r="C5" s="1095"/>
      <c r="D5" s="1096">
        <f t="shared" si="0"/>
        <v>1</v>
      </c>
      <c r="E5" s="1101"/>
      <c r="F5" s="1101"/>
      <c r="G5" s="1101"/>
      <c r="H5" s="1097"/>
      <c r="I5" s="1097"/>
      <c r="J5" s="1097"/>
      <c r="K5" s="1098" t="s">
        <v>76</v>
      </c>
      <c r="L5" s="1098" t="s">
        <v>76</v>
      </c>
      <c r="M5" s="1098" t="s">
        <v>76</v>
      </c>
      <c r="N5" s="1099"/>
      <c r="O5" s="1100"/>
    </row>
    <row r="6" spans="2:20" ht="15">
      <c r="B6" s="1094">
        <v>2028</v>
      </c>
      <c r="C6" s="1095"/>
      <c r="D6" s="1096">
        <f t="shared" si="0"/>
        <v>1</v>
      </c>
      <c r="E6" s="1101"/>
      <c r="F6" s="1101"/>
      <c r="G6" s="1101"/>
      <c r="H6" s="1097"/>
      <c r="I6" s="1097"/>
      <c r="J6" s="1097"/>
      <c r="K6" s="1098" t="s">
        <v>76</v>
      </c>
      <c r="L6" s="1098" t="s">
        <v>76</v>
      </c>
      <c r="M6" s="1098" t="s">
        <v>76</v>
      </c>
      <c r="N6" s="1099"/>
      <c r="O6" s="1100"/>
    </row>
    <row r="7" spans="2:20" ht="15">
      <c r="B7" s="1094">
        <v>2029</v>
      </c>
      <c r="C7" s="1095">
        <v>0</v>
      </c>
      <c r="D7" s="1096">
        <f t="shared" si="0"/>
        <v>1</v>
      </c>
      <c r="E7" s="1542">
        <v>1</v>
      </c>
      <c r="F7" s="1542">
        <v>1</v>
      </c>
      <c r="G7" s="1542">
        <v>1</v>
      </c>
      <c r="H7" s="1097">
        <f t="shared" ref="H7" si="1">$H$3*$D7*12*$D$2*E7*K7</f>
        <v>1248000</v>
      </c>
      <c r="I7" s="1097">
        <f t="shared" ref="I7" si="2">$I$3*$D7*12*$D$2*E7*L7</f>
        <v>3120000</v>
      </c>
      <c r="J7" s="1097">
        <f t="shared" ref="J7" si="3">$J$3*$D7*12*$D$2*G7*M7</f>
        <v>1092000</v>
      </c>
      <c r="K7" s="1102">
        <v>1</v>
      </c>
      <c r="L7" s="1102">
        <v>1</v>
      </c>
      <c r="M7" s="1102">
        <v>1</v>
      </c>
      <c r="N7" s="1100"/>
      <c r="O7" s="1100"/>
    </row>
    <row r="8" spans="2:20" ht="15">
      <c r="B8" s="1094">
        <v>2030</v>
      </c>
      <c r="C8" s="1095">
        <f t="shared" ref="C8:C57" si="4">C7+1</f>
        <v>1</v>
      </c>
      <c r="D8" s="1096">
        <f t="shared" si="0"/>
        <v>0.9009009009009008</v>
      </c>
      <c r="E8" s="1542">
        <v>1</v>
      </c>
      <c r="F8" s="1542">
        <v>1</v>
      </c>
      <c r="G8" s="1542">
        <v>1</v>
      </c>
      <c r="H8" s="1097">
        <f t="shared" ref="H8:H38" si="5">$H$3*$D8*12*$D$2*E8*K8</f>
        <v>1124324.3243243243</v>
      </c>
      <c r="I8" s="1097">
        <f t="shared" ref="I8:I38" si="6">$I$3*$D8*12*$D$2*E8*L8</f>
        <v>2810810.8108108104</v>
      </c>
      <c r="J8" s="1097">
        <f t="shared" ref="J8:J54" si="7">$J$3*$D8*12*$D$2*G8*M8</f>
        <v>983783.78378378379</v>
      </c>
      <c r="K8" s="1102">
        <v>1</v>
      </c>
      <c r="L8" s="1102">
        <v>1</v>
      </c>
      <c r="M8" s="1102">
        <v>1</v>
      </c>
      <c r="N8" s="1088"/>
      <c r="O8" s="1100"/>
    </row>
    <row r="9" spans="2:20" ht="15">
      <c r="B9" s="1094">
        <v>2031</v>
      </c>
      <c r="C9" s="1095">
        <f t="shared" si="4"/>
        <v>2</v>
      </c>
      <c r="D9" s="1096">
        <f t="shared" si="0"/>
        <v>0.8116224332440547</v>
      </c>
      <c r="E9" s="1542">
        <v>1</v>
      </c>
      <c r="F9" s="1542">
        <v>1</v>
      </c>
      <c r="G9" s="1542">
        <v>1</v>
      </c>
      <c r="H9" s="1097">
        <f t="shared" si="5"/>
        <v>1012904.7966885803</v>
      </c>
      <c r="I9" s="1097">
        <f t="shared" si="6"/>
        <v>2532261.9917214508</v>
      </c>
      <c r="J9" s="1097">
        <f t="shared" si="7"/>
        <v>886291.69710250769</v>
      </c>
      <c r="K9" s="1102">
        <v>1</v>
      </c>
      <c r="L9" s="1102">
        <v>1</v>
      </c>
      <c r="M9" s="1102">
        <v>1</v>
      </c>
      <c r="N9" s="1088"/>
      <c r="O9" s="1100"/>
      <c r="Q9" s="1103"/>
      <c r="T9" s="1104"/>
    </row>
    <row r="10" spans="2:20" ht="15">
      <c r="B10" s="1094">
        <v>2032</v>
      </c>
      <c r="C10" s="1095">
        <f t="shared" si="4"/>
        <v>3</v>
      </c>
      <c r="D10" s="1096">
        <f t="shared" si="0"/>
        <v>0.73119138130095018</v>
      </c>
      <c r="E10" s="1101">
        <f t="shared" ref="E10:G51" si="8">E7*1.1</f>
        <v>1.1000000000000001</v>
      </c>
      <c r="F10" s="1101">
        <f t="shared" si="8"/>
        <v>1.1000000000000001</v>
      </c>
      <c r="G10" s="1101">
        <f t="shared" si="8"/>
        <v>1.1000000000000001</v>
      </c>
      <c r="H10" s="1097">
        <f t="shared" si="5"/>
        <v>1003779.5282499443</v>
      </c>
      <c r="I10" s="1097">
        <f t="shared" si="6"/>
        <v>2509448.8206248609</v>
      </c>
      <c r="J10" s="1097">
        <f t="shared" si="7"/>
        <v>878307.08721870149</v>
      </c>
      <c r="K10" s="1102">
        <v>1</v>
      </c>
      <c r="L10" s="1102">
        <v>1</v>
      </c>
      <c r="M10" s="1102">
        <v>1</v>
      </c>
      <c r="N10" s="1088"/>
      <c r="O10" s="1100"/>
    </row>
    <row r="11" spans="2:20" ht="15">
      <c r="B11" s="1094">
        <v>2033</v>
      </c>
      <c r="C11" s="1095">
        <f t="shared" si="4"/>
        <v>4</v>
      </c>
      <c r="D11" s="1096">
        <f t="shared" si="0"/>
        <v>0.65873097414500015</v>
      </c>
      <c r="E11" s="1101">
        <f t="shared" si="8"/>
        <v>1.1000000000000001</v>
      </c>
      <c r="F11" s="1101">
        <f t="shared" si="8"/>
        <v>1.1000000000000001</v>
      </c>
      <c r="G11" s="1101">
        <f t="shared" si="8"/>
        <v>1.1000000000000001</v>
      </c>
      <c r="H11" s="1097">
        <f t="shared" si="5"/>
        <v>904305.88130625628</v>
      </c>
      <c r="I11" s="1097">
        <f t="shared" si="6"/>
        <v>2260764.7032656409</v>
      </c>
      <c r="J11" s="1097">
        <f t="shared" si="7"/>
        <v>791267.64614297415</v>
      </c>
      <c r="K11" s="1102">
        <v>1</v>
      </c>
      <c r="L11" s="1102">
        <v>1</v>
      </c>
      <c r="M11" s="1102">
        <v>1</v>
      </c>
      <c r="N11" s="1088"/>
      <c r="O11" s="1100"/>
    </row>
    <row r="12" spans="2:20" ht="15">
      <c r="B12" s="1094">
        <v>2034</v>
      </c>
      <c r="C12" s="1095">
        <f t="shared" si="4"/>
        <v>5</v>
      </c>
      <c r="D12" s="1096">
        <f t="shared" si="0"/>
        <v>0.5934513280585586</v>
      </c>
      <c r="E12" s="1101">
        <f t="shared" si="8"/>
        <v>1.1000000000000001</v>
      </c>
      <c r="F12" s="1101">
        <f t="shared" si="8"/>
        <v>1.1000000000000001</v>
      </c>
      <c r="G12" s="1101">
        <f t="shared" ref="G12" si="9">G9*1.1</f>
        <v>1.1000000000000001</v>
      </c>
      <c r="H12" s="1097">
        <f t="shared" si="5"/>
        <v>814689.98315878934</v>
      </c>
      <c r="I12" s="1097">
        <f t="shared" si="6"/>
        <v>2036724.9578969735</v>
      </c>
      <c r="J12" s="1097">
        <f t="shared" si="7"/>
        <v>712853.73526394053</v>
      </c>
      <c r="K12" s="1102">
        <v>1</v>
      </c>
      <c r="L12" s="1102">
        <v>1</v>
      </c>
      <c r="M12" s="1102">
        <v>1</v>
      </c>
      <c r="N12" s="1088"/>
      <c r="O12" s="1100"/>
    </row>
    <row r="13" spans="2:20" ht="15">
      <c r="B13" s="1094">
        <v>2035</v>
      </c>
      <c r="C13" s="1095">
        <f t="shared" si="4"/>
        <v>6</v>
      </c>
      <c r="D13" s="1096">
        <f t="shared" si="0"/>
        <v>0.53464083608879154</v>
      </c>
      <c r="E13" s="1101">
        <f t="shared" si="8"/>
        <v>1.2100000000000002</v>
      </c>
      <c r="F13" s="1101">
        <f t="shared" si="8"/>
        <v>1.2100000000000002</v>
      </c>
      <c r="G13" s="1101">
        <f t="shared" ref="G13" si="10">G10*1.1</f>
        <v>1.2100000000000002</v>
      </c>
      <c r="H13" s="1097">
        <f t="shared" si="5"/>
        <v>807350.43376096245</v>
      </c>
      <c r="I13" s="1097">
        <f t="shared" si="6"/>
        <v>2018376.0844024064</v>
      </c>
      <c r="J13" s="1097">
        <f t="shared" si="7"/>
        <v>706431.62954084214</v>
      </c>
      <c r="K13" s="1102">
        <v>1</v>
      </c>
      <c r="L13" s="1102">
        <v>1</v>
      </c>
      <c r="M13" s="1102">
        <v>1</v>
      </c>
      <c r="N13" s="1088"/>
      <c r="O13" s="1100"/>
    </row>
    <row r="14" spans="2:20" ht="15">
      <c r="B14" s="1094">
        <v>2036</v>
      </c>
      <c r="C14" s="1095">
        <f t="shared" si="4"/>
        <v>7</v>
      </c>
      <c r="D14" s="1096">
        <f t="shared" si="0"/>
        <v>0.48165841089080319</v>
      </c>
      <c r="E14" s="1101">
        <f t="shared" si="8"/>
        <v>1.2100000000000002</v>
      </c>
      <c r="F14" s="1101">
        <f t="shared" si="8"/>
        <v>1.2100000000000002</v>
      </c>
      <c r="G14" s="1101">
        <f t="shared" ref="G14" si="11">G11*1.1</f>
        <v>1.2100000000000002</v>
      </c>
      <c r="H14" s="1097">
        <f t="shared" si="5"/>
        <v>727342.73311798426</v>
      </c>
      <c r="I14" s="1097">
        <f t="shared" si="6"/>
        <v>1818356.8327949604</v>
      </c>
      <c r="J14" s="1097">
        <f t="shared" si="7"/>
        <v>636424.89147823618</v>
      </c>
      <c r="K14" s="1102">
        <v>1</v>
      </c>
      <c r="L14" s="1102">
        <v>1</v>
      </c>
      <c r="M14" s="1102">
        <v>1</v>
      </c>
      <c r="N14" s="1088"/>
      <c r="O14" s="1100"/>
    </row>
    <row r="15" spans="2:20" ht="15">
      <c r="B15" s="1094">
        <v>2037</v>
      </c>
      <c r="C15" s="1095">
        <f t="shared" si="4"/>
        <v>8</v>
      </c>
      <c r="D15" s="1096">
        <f t="shared" si="0"/>
        <v>0.43392649629802077</v>
      </c>
      <c r="E15" s="1101">
        <f t="shared" si="8"/>
        <v>1.2100000000000002</v>
      </c>
      <c r="F15" s="1101">
        <f t="shared" si="8"/>
        <v>1.2100000000000002</v>
      </c>
      <c r="G15" s="1101">
        <f t="shared" ref="G15" si="12">G12*1.1</f>
        <v>1.2100000000000002</v>
      </c>
      <c r="H15" s="1097">
        <f t="shared" si="5"/>
        <v>655263.72352971532</v>
      </c>
      <c r="I15" s="1097">
        <f t="shared" si="6"/>
        <v>1638159.3088242882</v>
      </c>
      <c r="J15" s="1097">
        <f t="shared" si="7"/>
        <v>573355.75808850094</v>
      </c>
      <c r="K15" s="1102">
        <v>1</v>
      </c>
      <c r="L15" s="1102">
        <v>1</v>
      </c>
      <c r="M15" s="1102">
        <v>1</v>
      </c>
      <c r="N15" s="1088"/>
      <c r="O15" s="1100"/>
    </row>
    <row r="16" spans="2:20" ht="15">
      <c r="B16" s="1094">
        <v>2038</v>
      </c>
      <c r="C16" s="1095">
        <f t="shared" si="4"/>
        <v>9</v>
      </c>
      <c r="D16" s="1096">
        <f t="shared" si="0"/>
        <v>0.39092477143965831</v>
      </c>
      <c r="E16" s="1101">
        <f t="shared" si="8"/>
        <v>1.3310000000000004</v>
      </c>
      <c r="F16" s="1101">
        <f t="shared" si="8"/>
        <v>1.3310000000000004</v>
      </c>
      <c r="G16" s="1101">
        <f t="shared" ref="G16" si="13">G13*1.1</f>
        <v>1.3310000000000004</v>
      </c>
      <c r="H16" s="1097">
        <f t="shared" si="5"/>
        <v>649360.44674115931</v>
      </c>
      <c r="I16" s="1097">
        <f t="shared" si="6"/>
        <v>1623401.1168528984</v>
      </c>
      <c r="J16" s="1097">
        <f t="shared" si="7"/>
        <v>568190.39089851442</v>
      </c>
      <c r="K16" s="1102">
        <v>1</v>
      </c>
      <c r="L16" s="1102">
        <v>1</v>
      </c>
      <c r="M16" s="1102">
        <v>1</v>
      </c>
      <c r="N16" s="1088"/>
      <c r="O16" s="1100"/>
    </row>
    <row r="17" spans="2:15" ht="15">
      <c r="B17" s="1094">
        <v>2039</v>
      </c>
      <c r="C17" s="1095">
        <f t="shared" si="4"/>
        <v>10</v>
      </c>
      <c r="D17" s="1096">
        <f t="shared" si="0"/>
        <v>0.3521844787744669</v>
      </c>
      <c r="E17" s="1101">
        <f t="shared" si="8"/>
        <v>1.3310000000000004</v>
      </c>
      <c r="F17" s="1101">
        <f t="shared" si="8"/>
        <v>1.3310000000000004</v>
      </c>
      <c r="G17" s="1101">
        <f t="shared" ref="G17" si="14">G14*1.1</f>
        <v>1.3310000000000004</v>
      </c>
      <c r="H17" s="1097">
        <f t="shared" si="5"/>
        <v>585009.41147852177</v>
      </c>
      <c r="I17" s="1097">
        <f t="shared" si="6"/>
        <v>1462523.5286963049</v>
      </c>
      <c r="J17" s="1097">
        <f t="shared" si="7"/>
        <v>511883.23504370661</v>
      </c>
      <c r="K17" s="1102">
        <v>1</v>
      </c>
      <c r="L17" s="1102">
        <v>1</v>
      </c>
      <c r="M17" s="1102">
        <v>1</v>
      </c>
      <c r="N17" s="1088"/>
      <c r="O17" s="1100"/>
    </row>
    <row r="18" spans="2:15" ht="15">
      <c r="B18" s="1094">
        <v>2040</v>
      </c>
      <c r="C18" s="1095">
        <f t="shared" si="4"/>
        <v>11</v>
      </c>
      <c r="D18" s="1096">
        <f t="shared" si="0"/>
        <v>0.31728331421123146</v>
      </c>
      <c r="E18" s="1101">
        <f t="shared" si="8"/>
        <v>1.3310000000000004</v>
      </c>
      <c r="F18" s="1101">
        <f t="shared" si="8"/>
        <v>1.3310000000000004</v>
      </c>
      <c r="G18" s="1101">
        <f t="shared" ref="G18" si="15">G15*1.1</f>
        <v>1.3310000000000004</v>
      </c>
      <c r="H18" s="1097">
        <f t="shared" si="5"/>
        <v>527035.50583650626</v>
      </c>
      <c r="I18" s="1097">
        <f t="shared" si="6"/>
        <v>1317588.7645912657</v>
      </c>
      <c r="J18" s="1097">
        <f t="shared" si="7"/>
        <v>461156.0676069429</v>
      </c>
      <c r="K18" s="1102">
        <v>1</v>
      </c>
      <c r="L18" s="1102">
        <v>1</v>
      </c>
      <c r="M18" s="1102">
        <v>1</v>
      </c>
      <c r="N18" s="1088"/>
      <c r="O18" s="1100"/>
    </row>
    <row r="19" spans="2:15" ht="15">
      <c r="B19" s="1094">
        <v>2041</v>
      </c>
      <c r="C19" s="1095">
        <f t="shared" si="4"/>
        <v>12</v>
      </c>
      <c r="D19" s="1096">
        <f t="shared" si="0"/>
        <v>0.28584082361372198</v>
      </c>
      <c r="E19" s="1101">
        <f t="shared" si="8"/>
        <v>1.4641000000000006</v>
      </c>
      <c r="F19" s="1101">
        <f t="shared" si="8"/>
        <v>1.4641000000000006</v>
      </c>
      <c r="G19" s="1101">
        <f t="shared" ref="G19" si="16">G16*1.1</f>
        <v>1.4641000000000006</v>
      </c>
      <c r="H19" s="1097">
        <f t="shared" si="5"/>
        <v>522287.43821635743</v>
      </c>
      <c r="I19" s="1097">
        <f t="shared" si="6"/>
        <v>1305718.5955408937</v>
      </c>
      <c r="J19" s="1097">
        <f t="shared" si="7"/>
        <v>457001.50843931275</v>
      </c>
      <c r="K19" s="1102">
        <v>1</v>
      </c>
      <c r="L19" s="1102">
        <v>1</v>
      </c>
      <c r="M19" s="1102">
        <v>1</v>
      </c>
      <c r="N19" s="1088"/>
      <c r="O19" s="1100"/>
    </row>
    <row r="20" spans="2:15" ht="15">
      <c r="B20" s="1094">
        <v>2042</v>
      </c>
      <c r="C20" s="1095">
        <f t="shared" si="4"/>
        <v>13</v>
      </c>
      <c r="D20" s="1096">
        <f t="shared" si="0"/>
        <v>0.25751425550785767</v>
      </c>
      <c r="E20" s="1101">
        <f t="shared" si="8"/>
        <v>1.4641000000000006</v>
      </c>
      <c r="F20" s="1101">
        <f t="shared" si="8"/>
        <v>1.4641000000000006</v>
      </c>
      <c r="G20" s="1101">
        <f t="shared" ref="G20" si="17">G17*1.1</f>
        <v>1.4641000000000006</v>
      </c>
      <c r="H20" s="1097">
        <f t="shared" si="5"/>
        <v>470529.22361834015</v>
      </c>
      <c r="I20" s="1097">
        <f t="shared" si="6"/>
        <v>1176323.0590458503</v>
      </c>
      <c r="J20" s="1097">
        <f t="shared" si="7"/>
        <v>411713.07066604763</v>
      </c>
      <c r="K20" s="1102">
        <v>1</v>
      </c>
      <c r="L20" s="1102">
        <v>1</v>
      </c>
      <c r="M20" s="1102">
        <v>1</v>
      </c>
      <c r="N20" s="1088"/>
      <c r="O20" s="1100"/>
    </row>
    <row r="21" spans="2:15" ht="15">
      <c r="B21" s="1094">
        <v>2043</v>
      </c>
      <c r="C21" s="1095">
        <f t="shared" si="4"/>
        <v>14</v>
      </c>
      <c r="D21" s="1096">
        <f t="shared" si="0"/>
        <v>0.23199482478185374</v>
      </c>
      <c r="E21" s="1101">
        <f t="shared" si="8"/>
        <v>1.4641000000000006</v>
      </c>
      <c r="F21" s="1101">
        <f t="shared" si="8"/>
        <v>1.4641000000000006</v>
      </c>
      <c r="G21" s="1101">
        <f t="shared" ref="G21" si="18">G18*1.1</f>
        <v>1.4641000000000006</v>
      </c>
      <c r="H21" s="1097">
        <f t="shared" si="5"/>
        <v>423900.20145796402</v>
      </c>
      <c r="I21" s="1097">
        <f t="shared" si="6"/>
        <v>1059750.5036449102</v>
      </c>
      <c r="J21" s="1097">
        <f t="shared" si="7"/>
        <v>370912.67627571855</v>
      </c>
      <c r="K21" s="1102">
        <v>1</v>
      </c>
      <c r="L21" s="1102">
        <v>1</v>
      </c>
      <c r="M21" s="1102">
        <v>1</v>
      </c>
      <c r="N21" s="1088"/>
      <c r="O21" s="1100"/>
    </row>
    <row r="22" spans="2:15" ht="15">
      <c r="B22" s="1094">
        <v>2044</v>
      </c>
      <c r="C22" s="1095">
        <f t="shared" si="4"/>
        <v>15</v>
      </c>
      <c r="D22" s="1096">
        <f t="shared" si="0"/>
        <v>0.2090043466503187</v>
      </c>
      <c r="E22" s="1101">
        <f t="shared" si="8"/>
        <v>1.6105100000000008</v>
      </c>
      <c r="F22" s="1101">
        <f t="shared" si="8"/>
        <v>1.6105100000000008</v>
      </c>
      <c r="G22" s="1101">
        <f t="shared" ref="G22" si="19">G19*1.1</f>
        <v>1.6105100000000008</v>
      </c>
      <c r="H22" s="1097">
        <f t="shared" si="5"/>
        <v>420081.28072410857</v>
      </c>
      <c r="I22" s="1097">
        <f t="shared" si="6"/>
        <v>1050203.2018102712</v>
      </c>
      <c r="J22" s="1097">
        <f t="shared" si="7"/>
        <v>367571.12063359498</v>
      </c>
      <c r="K22" s="1102">
        <v>1</v>
      </c>
      <c r="L22" s="1102">
        <v>1</v>
      </c>
      <c r="M22" s="1102">
        <v>1</v>
      </c>
      <c r="N22" s="1088"/>
      <c r="O22" s="1100"/>
    </row>
    <row r="23" spans="2:15" ht="15">
      <c r="B23" s="1094">
        <v>2045</v>
      </c>
      <c r="C23" s="1095">
        <f t="shared" si="4"/>
        <v>16</v>
      </c>
      <c r="D23" s="1096">
        <f t="shared" si="0"/>
        <v>0.18829220418947626</v>
      </c>
      <c r="E23" s="1101">
        <f t="shared" si="8"/>
        <v>1.6105100000000008</v>
      </c>
      <c r="F23" s="1101">
        <f t="shared" si="8"/>
        <v>1.6105100000000008</v>
      </c>
      <c r="G23" s="1101">
        <f t="shared" ref="G23" si="20">G20*1.1</f>
        <v>1.6105100000000008</v>
      </c>
      <c r="H23" s="1097">
        <f t="shared" si="5"/>
        <v>378451.60425595357</v>
      </c>
      <c r="I23" s="1097">
        <f t="shared" si="6"/>
        <v>946129.01063988404</v>
      </c>
      <c r="J23" s="1097">
        <f t="shared" si="7"/>
        <v>331145.15372395935</v>
      </c>
      <c r="K23" s="1102">
        <v>1</v>
      </c>
      <c r="L23" s="1102">
        <v>1</v>
      </c>
      <c r="M23" s="1102">
        <v>1</v>
      </c>
      <c r="N23" s="1088"/>
      <c r="O23" s="1100"/>
    </row>
    <row r="24" spans="2:15" ht="15">
      <c r="B24" s="1094">
        <v>2046</v>
      </c>
      <c r="C24" s="1095">
        <f t="shared" si="4"/>
        <v>17</v>
      </c>
      <c r="D24" s="1096">
        <f t="shared" si="0"/>
        <v>0.16963261638691554</v>
      </c>
      <c r="E24" s="1101">
        <f t="shared" si="8"/>
        <v>1.6105100000000008</v>
      </c>
      <c r="F24" s="1101">
        <f t="shared" si="8"/>
        <v>1.6105100000000008</v>
      </c>
      <c r="G24" s="1101">
        <f t="shared" ref="G24" si="21">G21*1.1</f>
        <v>1.6105100000000008</v>
      </c>
      <c r="H24" s="1097">
        <f t="shared" si="5"/>
        <v>340947.39122157975</v>
      </c>
      <c r="I24" s="1097">
        <f t="shared" si="6"/>
        <v>852368.47805394931</v>
      </c>
      <c r="J24" s="1097">
        <f t="shared" si="7"/>
        <v>298328.96731888235</v>
      </c>
      <c r="K24" s="1102">
        <v>1</v>
      </c>
      <c r="L24" s="1102">
        <v>1</v>
      </c>
      <c r="M24" s="1102">
        <v>1</v>
      </c>
      <c r="N24" s="1088"/>
      <c r="O24" s="1100"/>
    </row>
    <row r="25" spans="2:15" ht="15">
      <c r="B25" s="1094">
        <v>2047</v>
      </c>
      <c r="C25" s="1095">
        <f t="shared" si="4"/>
        <v>18</v>
      </c>
      <c r="D25" s="1096">
        <f t="shared" si="0"/>
        <v>0.15282217692514913</v>
      </c>
      <c r="E25" s="1101">
        <f t="shared" si="8"/>
        <v>1.7715610000000011</v>
      </c>
      <c r="F25" s="1101">
        <f t="shared" si="8"/>
        <v>1.7715610000000011</v>
      </c>
      <c r="G25" s="1101">
        <f t="shared" ref="G25" si="22">G22*1.1</f>
        <v>1.7715610000000011</v>
      </c>
      <c r="H25" s="1097">
        <f t="shared" si="5"/>
        <v>337875.79310246644</v>
      </c>
      <c r="I25" s="1097">
        <f t="shared" si="6"/>
        <v>844689.48275616614</v>
      </c>
      <c r="J25" s="1097">
        <f t="shared" si="7"/>
        <v>295641.31896465807</v>
      </c>
      <c r="K25" s="1102">
        <v>1</v>
      </c>
      <c r="L25" s="1102">
        <v>1</v>
      </c>
      <c r="M25" s="1102">
        <v>1</v>
      </c>
      <c r="N25" s="1088"/>
      <c r="O25" s="1100"/>
    </row>
    <row r="26" spans="2:15" ht="15">
      <c r="B26" s="1094">
        <v>2048</v>
      </c>
      <c r="C26" s="1095">
        <f t="shared" si="4"/>
        <v>19</v>
      </c>
      <c r="D26" s="1096">
        <f t="shared" si="0"/>
        <v>0.13767763686950371</v>
      </c>
      <c r="E26" s="1101">
        <f t="shared" si="8"/>
        <v>1.7715610000000011</v>
      </c>
      <c r="F26" s="1101">
        <f t="shared" si="8"/>
        <v>1.7715610000000011</v>
      </c>
      <c r="G26" s="1101">
        <f t="shared" ref="G26" si="23">G23*1.1</f>
        <v>1.7715610000000011</v>
      </c>
      <c r="H26" s="1097">
        <f t="shared" si="5"/>
        <v>304392.60639861837</v>
      </c>
      <c r="I26" s="1097">
        <f t="shared" si="6"/>
        <v>760981.51599654614</v>
      </c>
      <c r="J26" s="1097">
        <f t="shared" si="7"/>
        <v>266343.53059879108</v>
      </c>
      <c r="K26" s="1102">
        <v>1</v>
      </c>
      <c r="L26" s="1102">
        <v>1</v>
      </c>
      <c r="M26" s="1102">
        <v>1</v>
      </c>
      <c r="N26" s="1088"/>
      <c r="O26" s="1100"/>
    </row>
    <row r="27" spans="2:15" ht="15">
      <c r="B27" s="1094">
        <v>2049</v>
      </c>
      <c r="C27" s="1095">
        <f t="shared" si="4"/>
        <v>20</v>
      </c>
      <c r="D27" s="1096">
        <f t="shared" si="0"/>
        <v>0.12403390708964297</v>
      </c>
      <c r="E27" s="1101">
        <f t="shared" si="8"/>
        <v>1.7715610000000011</v>
      </c>
      <c r="F27" s="1101">
        <f t="shared" si="8"/>
        <v>1.7715610000000011</v>
      </c>
      <c r="G27" s="1101">
        <f t="shared" ref="G27" si="24">G24*1.1</f>
        <v>1.7715610000000011</v>
      </c>
      <c r="H27" s="1097">
        <f t="shared" si="5"/>
        <v>274227.57333208865</v>
      </c>
      <c r="I27" s="1097">
        <f t="shared" si="6"/>
        <v>685568.93333022157</v>
      </c>
      <c r="J27" s="1097">
        <f t="shared" si="7"/>
        <v>239949.12666557753</v>
      </c>
      <c r="K27" s="1102">
        <v>1</v>
      </c>
      <c r="L27" s="1102">
        <v>1</v>
      </c>
      <c r="M27" s="1102">
        <v>1</v>
      </c>
      <c r="N27" s="1088"/>
      <c r="O27" s="1100"/>
    </row>
    <row r="28" spans="2:15" ht="15">
      <c r="B28" s="1094">
        <v>2050</v>
      </c>
      <c r="C28" s="1095">
        <f t="shared" si="4"/>
        <v>21</v>
      </c>
      <c r="D28" s="1096">
        <f t="shared" si="0"/>
        <v>0.11174225863931797</v>
      </c>
      <c r="E28" s="1101">
        <f t="shared" si="8"/>
        <v>1.9487171000000014</v>
      </c>
      <c r="F28" s="1101">
        <f t="shared" si="8"/>
        <v>1.9487171000000014</v>
      </c>
      <c r="G28" s="1101">
        <f t="shared" ref="G28" si="25">G25*1.1</f>
        <v>1.9487171000000014</v>
      </c>
      <c r="H28" s="1097">
        <f t="shared" si="5"/>
        <v>271757.05465342116</v>
      </c>
      <c r="I28" s="1097">
        <f t="shared" si="6"/>
        <v>679392.63663355284</v>
      </c>
      <c r="J28" s="1097">
        <f t="shared" si="7"/>
        <v>237787.4228217435</v>
      </c>
      <c r="K28" s="1102">
        <v>1</v>
      </c>
      <c r="L28" s="1102">
        <v>1</v>
      </c>
      <c r="M28" s="1102">
        <v>1</v>
      </c>
      <c r="N28" s="1088"/>
      <c r="O28" s="1100"/>
    </row>
    <row r="29" spans="2:15" ht="15">
      <c r="B29" s="1094">
        <v>2051</v>
      </c>
      <c r="C29" s="1095">
        <f t="shared" si="4"/>
        <v>22</v>
      </c>
      <c r="D29" s="1096">
        <f t="shared" si="0"/>
        <v>0.10066870147686303</v>
      </c>
      <c r="E29" s="1101">
        <f t="shared" si="8"/>
        <v>1.9487171000000014</v>
      </c>
      <c r="F29" s="1101">
        <f t="shared" si="8"/>
        <v>1.9487171000000014</v>
      </c>
      <c r="G29" s="1101">
        <f t="shared" ref="G29" si="26">G26*1.1</f>
        <v>1.9487171000000014</v>
      </c>
      <c r="H29" s="1097">
        <f t="shared" si="5"/>
        <v>244826.17536344248</v>
      </c>
      <c r="I29" s="1097">
        <f t="shared" si="6"/>
        <v>612065.43840860634</v>
      </c>
      <c r="J29" s="1097">
        <f t="shared" si="7"/>
        <v>214222.90344301218</v>
      </c>
      <c r="K29" s="1102">
        <v>1</v>
      </c>
      <c r="L29" s="1102">
        <v>1</v>
      </c>
      <c r="M29" s="1102">
        <v>1</v>
      </c>
      <c r="N29" s="1088"/>
      <c r="O29" s="1100"/>
    </row>
    <row r="30" spans="2:15" ht="15">
      <c r="B30" s="1094">
        <v>2052</v>
      </c>
      <c r="C30" s="1095">
        <f t="shared" si="4"/>
        <v>23</v>
      </c>
      <c r="D30" s="1096">
        <f t="shared" si="0"/>
        <v>9.0692523853029769E-2</v>
      </c>
      <c r="E30" s="1101">
        <f t="shared" si="8"/>
        <v>1.9487171000000014</v>
      </c>
      <c r="F30" s="1101">
        <f t="shared" si="8"/>
        <v>1.9487171000000014</v>
      </c>
      <c r="G30" s="1101">
        <f t="shared" ref="G30" si="27">G27*1.1</f>
        <v>1.9487171000000014</v>
      </c>
      <c r="H30" s="1097">
        <f t="shared" si="5"/>
        <v>220564.12194904729</v>
      </c>
      <c r="I30" s="1097">
        <f t="shared" si="6"/>
        <v>551410.30487261817</v>
      </c>
      <c r="J30" s="1097">
        <f t="shared" si="7"/>
        <v>192993.6067054164</v>
      </c>
      <c r="K30" s="1102">
        <v>1</v>
      </c>
      <c r="L30" s="1102">
        <v>1</v>
      </c>
      <c r="M30" s="1102">
        <v>1</v>
      </c>
      <c r="N30" s="1088"/>
      <c r="O30" s="1100"/>
    </row>
    <row r="31" spans="2:15" ht="15">
      <c r="B31" s="1094">
        <v>2053</v>
      </c>
      <c r="C31" s="1095">
        <f t="shared" si="4"/>
        <v>24</v>
      </c>
      <c r="D31" s="1096">
        <f t="shared" si="0"/>
        <v>8.1704976444170935E-2</v>
      </c>
      <c r="E31" s="1101">
        <f t="shared" si="8"/>
        <v>2.1435888100000016</v>
      </c>
      <c r="F31" s="1101">
        <f t="shared" si="8"/>
        <v>2.1435888100000016</v>
      </c>
      <c r="G31" s="1101">
        <f t="shared" ref="G31" si="28">G28*1.1</f>
        <v>2.1435888100000016</v>
      </c>
      <c r="H31" s="1097">
        <f t="shared" si="5"/>
        <v>218577.05778734406</v>
      </c>
      <c r="I31" s="1097">
        <f t="shared" si="6"/>
        <v>546442.64446836023</v>
      </c>
      <c r="J31" s="1097">
        <f t="shared" si="7"/>
        <v>191254.92556392605</v>
      </c>
      <c r="K31" s="1102">
        <v>1</v>
      </c>
      <c r="L31" s="1102">
        <v>1</v>
      </c>
      <c r="M31" s="1102">
        <v>1</v>
      </c>
      <c r="N31" s="1088"/>
      <c r="O31" s="1100"/>
    </row>
    <row r="32" spans="2:15" ht="15">
      <c r="B32" s="1094">
        <v>2054</v>
      </c>
      <c r="C32" s="1095">
        <f t="shared" si="4"/>
        <v>25</v>
      </c>
      <c r="D32" s="1096">
        <f t="shared" si="0"/>
        <v>7.3608086886640473E-2</v>
      </c>
      <c r="E32" s="1101">
        <f t="shared" si="8"/>
        <v>2.1435888100000016</v>
      </c>
      <c r="F32" s="1101">
        <f t="shared" si="8"/>
        <v>2.1435888100000016</v>
      </c>
      <c r="G32" s="1101">
        <f t="shared" ref="G32" si="29">G29*1.1</f>
        <v>2.1435888100000016</v>
      </c>
      <c r="H32" s="1097">
        <f t="shared" si="5"/>
        <v>196916.26827688655</v>
      </c>
      <c r="I32" s="1097">
        <f t="shared" si="6"/>
        <v>492290.67069221626</v>
      </c>
      <c r="J32" s="1097">
        <f t="shared" si="7"/>
        <v>172301.73474227573</v>
      </c>
      <c r="K32" s="1102">
        <v>1</v>
      </c>
      <c r="L32" s="1102">
        <v>1</v>
      </c>
      <c r="M32" s="1102">
        <v>1</v>
      </c>
      <c r="N32" s="1088"/>
      <c r="O32" s="1100"/>
    </row>
    <row r="33" spans="2:15" ht="15">
      <c r="B33" s="1094">
        <v>2055</v>
      </c>
      <c r="C33" s="1095">
        <f t="shared" si="4"/>
        <v>26</v>
      </c>
      <c r="D33" s="1096">
        <f t="shared" si="0"/>
        <v>6.6313591789766188E-2</v>
      </c>
      <c r="E33" s="1101">
        <f t="shared" si="8"/>
        <v>2.1435888100000016</v>
      </c>
      <c r="F33" s="1101">
        <f t="shared" si="8"/>
        <v>2.1435888100000016</v>
      </c>
      <c r="G33" s="1101">
        <f t="shared" ref="G33" si="30">G30*1.1</f>
        <v>2.1435888100000016</v>
      </c>
      <c r="H33" s="1097">
        <f t="shared" si="5"/>
        <v>177402.04349269054</v>
      </c>
      <c r="I33" s="1097">
        <f t="shared" si="6"/>
        <v>443505.10873172648</v>
      </c>
      <c r="J33" s="1097">
        <f t="shared" si="7"/>
        <v>155226.78805610427</v>
      </c>
      <c r="K33" s="1102">
        <v>1</v>
      </c>
      <c r="L33" s="1102">
        <v>1</v>
      </c>
      <c r="M33" s="1102">
        <v>1</v>
      </c>
      <c r="N33" s="1088"/>
      <c r="O33" s="1100"/>
    </row>
    <row r="34" spans="2:15" ht="15">
      <c r="B34" s="1094">
        <v>2056</v>
      </c>
      <c r="C34" s="1095">
        <f t="shared" si="4"/>
        <v>27</v>
      </c>
      <c r="D34" s="1096">
        <f t="shared" si="0"/>
        <v>5.9741974585374946E-2</v>
      </c>
      <c r="E34" s="1101">
        <f t="shared" si="8"/>
        <v>2.3579476910000019</v>
      </c>
      <c r="F34" s="1101">
        <f t="shared" si="8"/>
        <v>2.3579476910000019</v>
      </c>
      <c r="G34" s="1101">
        <f t="shared" ref="G34" si="31">G31*1.1</f>
        <v>2.3579476910000019</v>
      </c>
      <c r="H34" s="1097">
        <f t="shared" si="5"/>
        <v>175803.82688464833</v>
      </c>
      <c r="I34" s="1097">
        <f t="shared" si="6"/>
        <v>439509.56721162086</v>
      </c>
      <c r="J34" s="1097">
        <f t="shared" si="7"/>
        <v>153828.34852406729</v>
      </c>
      <c r="K34" s="1102">
        <v>1</v>
      </c>
      <c r="L34" s="1102">
        <v>1</v>
      </c>
      <c r="M34" s="1102">
        <v>1</v>
      </c>
      <c r="N34" s="1088"/>
      <c r="O34" s="1100"/>
    </row>
    <row r="35" spans="2:15" ht="15">
      <c r="B35" s="1094">
        <v>2057</v>
      </c>
      <c r="C35" s="1095">
        <f t="shared" si="4"/>
        <v>28</v>
      </c>
      <c r="D35" s="1096">
        <f t="shared" si="0"/>
        <v>5.3821598725563004E-2</v>
      </c>
      <c r="E35" s="1101">
        <f t="shared" si="8"/>
        <v>2.3579476910000019</v>
      </c>
      <c r="F35" s="1101">
        <f t="shared" si="8"/>
        <v>2.3579476910000019</v>
      </c>
      <c r="G35" s="1101">
        <f t="shared" ref="G35" si="32">G32*1.1</f>
        <v>2.3579476910000019</v>
      </c>
      <c r="H35" s="1097">
        <f t="shared" si="5"/>
        <v>158381.82602220567</v>
      </c>
      <c r="I35" s="1097">
        <f t="shared" si="6"/>
        <v>395954.56505551416</v>
      </c>
      <c r="J35" s="1097">
        <f t="shared" si="7"/>
        <v>138584.09776942997</v>
      </c>
      <c r="K35" s="1102">
        <v>1</v>
      </c>
      <c r="L35" s="1102">
        <v>1</v>
      </c>
      <c r="M35" s="1102">
        <v>1</v>
      </c>
      <c r="N35" s="1088"/>
      <c r="O35" s="1100"/>
    </row>
    <row r="36" spans="2:15" ht="15">
      <c r="B36" s="1094">
        <v>2058</v>
      </c>
      <c r="C36" s="1095">
        <f t="shared" si="4"/>
        <v>29</v>
      </c>
      <c r="D36" s="1096">
        <f t="shared" si="0"/>
        <v>4.8487926779786493E-2</v>
      </c>
      <c r="E36" s="1101">
        <f t="shared" si="8"/>
        <v>2.3579476910000019</v>
      </c>
      <c r="F36" s="1101">
        <f t="shared" si="8"/>
        <v>2.3579476910000019</v>
      </c>
      <c r="G36" s="1101">
        <f t="shared" ref="G36" si="33">G33*1.1</f>
        <v>2.3579476910000019</v>
      </c>
      <c r="H36" s="1097">
        <f t="shared" si="5"/>
        <v>142686.32974973484</v>
      </c>
      <c r="I36" s="1097">
        <f t="shared" si="6"/>
        <v>356715.8243743371</v>
      </c>
      <c r="J36" s="1097">
        <f t="shared" si="7"/>
        <v>124850.53853101801</v>
      </c>
      <c r="K36" s="1102">
        <v>1</v>
      </c>
      <c r="L36" s="1102">
        <v>1</v>
      </c>
      <c r="M36" s="1102">
        <v>1</v>
      </c>
      <c r="N36" s="1088"/>
      <c r="O36" s="1100"/>
    </row>
    <row r="37" spans="2:15" ht="15">
      <c r="B37" s="1094">
        <v>2059</v>
      </c>
      <c r="C37" s="1095">
        <f t="shared" si="4"/>
        <v>30</v>
      </c>
      <c r="D37" s="1096">
        <f t="shared" si="0"/>
        <v>4.3682816918726573E-2</v>
      </c>
      <c r="E37" s="1101">
        <f t="shared" si="8"/>
        <v>2.5937424601000023</v>
      </c>
      <c r="F37" s="1101">
        <f t="shared" si="8"/>
        <v>2.5937424601000023</v>
      </c>
      <c r="G37" s="1101">
        <f t="shared" ref="G37" si="34">G34*1.1</f>
        <v>2.5937424601000023</v>
      </c>
      <c r="H37" s="1097">
        <f t="shared" si="5"/>
        <v>141400.86731955706</v>
      </c>
      <c r="I37" s="1097">
        <f t="shared" si="6"/>
        <v>353502.16829889274</v>
      </c>
      <c r="J37" s="1097">
        <f t="shared" si="7"/>
        <v>123725.75890461245</v>
      </c>
      <c r="K37" s="1102">
        <v>1</v>
      </c>
      <c r="L37" s="1102">
        <v>1</v>
      </c>
      <c r="M37" s="1102">
        <v>1</v>
      </c>
      <c r="N37" s="1088"/>
      <c r="O37" s="1100"/>
    </row>
    <row r="38" spans="2:15" ht="15">
      <c r="B38" s="1094">
        <v>2060</v>
      </c>
      <c r="C38" s="1095">
        <f t="shared" si="4"/>
        <v>31</v>
      </c>
      <c r="D38" s="1096">
        <f t="shared" si="0"/>
        <v>3.9353889115969883E-2</v>
      </c>
      <c r="E38" s="1101">
        <f t="shared" si="8"/>
        <v>2.5937424601000023</v>
      </c>
      <c r="F38" s="1101">
        <f t="shared" si="8"/>
        <v>2.5937424601000023</v>
      </c>
      <c r="G38" s="1101">
        <f t="shared" ref="G38" si="35">G35*1.1</f>
        <v>2.5937424601000023</v>
      </c>
      <c r="H38" s="1097">
        <f t="shared" si="5"/>
        <v>127388.16875635773</v>
      </c>
      <c r="I38" s="1097">
        <f t="shared" si="6"/>
        <v>318470.42189089424</v>
      </c>
      <c r="J38" s="1097">
        <f t="shared" si="7"/>
        <v>111464.64766181301</v>
      </c>
      <c r="K38" s="1102">
        <v>1</v>
      </c>
      <c r="L38" s="1102">
        <v>1</v>
      </c>
      <c r="M38" s="1102">
        <v>1</v>
      </c>
      <c r="N38" s="1088"/>
      <c r="O38" s="1100"/>
    </row>
    <row r="39" spans="2:15" ht="15">
      <c r="B39" s="1094">
        <v>2061</v>
      </c>
      <c r="C39" s="1095">
        <f t="shared" si="4"/>
        <v>32</v>
      </c>
      <c r="D39" s="1096">
        <f t="shared" si="0"/>
        <v>3.545395415853142E-2</v>
      </c>
      <c r="E39" s="1101">
        <f t="shared" si="8"/>
        <v>2.5937424601000023</v>
      </c>
      <c r="F39" s="1101">
        <f t="shared" si="8"/>
        <v>2.5937424601000023</v>
      </c>
      <c r="G39" s="1101">
        <f t="shared" ref="G39" si="36">G36*1.1</f>
        <v>2.5937424601000023</v>
      </c>
      <c r="H39" s="1097">
        <f t="shared" ref="H39:H54" si="37">$H$3*$D39*12*$D$2*E39*K39</f>
        <v>114764.11599671864</v>
      </c>
      <c r="I39" s="1097">
        <f t="shared" ref="I39:I54" si="38">$I$3*$D39*12*$D$2*E39*L39</f>
        <v>286910.2899917966</v>
      </c>
      <c r="J39" s="1097">
        <f t="shared" si="7"/>
        <v>100418.60149712882</v>
      </c>
      <c r="K39" s="1102">
        <v>1</v>
      </c>
      <c r="L39" s="1102">
        <v>1</v>
      </c>
      <c r="M39" s="1102">
        <v>1</v>
      </c>
      <c r="N39" s="1088"/>
      <c r="O39" s="1100"/>
    </row>
    <row r="40" spans="2:15" ht="15">
      <c r="B40" s="1094">
        <v>2062</v>
      </c>
      <c r="C40" s="1095">
        <f t="shared" si="4"/>
        <v>33</v>
      </c>
      <c r="D40" s="1096">
        <f t="shared" si="0"/>
        <v>3.1940499241920196E-2</v>
      </c>
      <c r="E40" s="1101">
        <f t="shared" si="8"/>
        <v>2.8531167061100029</v>
      </c>
      <c r="F40" s="1101">
        <f t="shared" si="8"/>
        <v>2.8531167061100029</v>
      </c>
      <c r="G40" s="1101">
        <f t="shared" ref="G40" si="39">G37*1.1</f>
        <v>2.8531167061100029</v>
      </c>
      <c r="H40" s="1097">
        <f t="shared" si="37"/>
        <v>113730.20504179326</v>
      </c>
      <c r="I40" s="1097">
        <f t="shared" si="38"/>
        <v>284325.51260448317</v>
      </c>
      <c r="J40" s="1097">
        <f t="shared" si="7"/>
        <v>99513.929411569086</v>
      </c>
      <c r="K40" s="1102">
        <v>1</v>
      </c>
      <c r="L40" s="1102">
        <v>1</v>
      </c>
      <c r="M40" s="1102">
        <v>1</v>
      </c>
      <c r="N40" s="1088"/>
      <c r="O40" s="1100"/>
    </row>
    <row r="41" spans="2:15" ht="15">
      <c r="B41" s="1094">
        <v>2063</v>
      </c>
      <c r="C41" s="1095">
        <f t="shared" si="4"/>
        <v>34</v>
      </c>
      <c r="D41" s="1096">
        <f t="shared" si="0"/>
        <v>2.8775224542270446E-2</v>
      </c>
      <c r="E41" s="1101">
        <f t="shared" si="8"/>
        <v>2.8531167061100029</v>
      </c>
      <c r="F41" s="1101">
        <f t="shared" si="8"/>
        <v>2.8531167061100029</v>
      </c>
      <c r="G41" s="1101">
        <f t="shared" ref="G41" si="40">G38*1.1</f>
        <v>2.8531167061100029</v>
      </c>
      <c r="H41" s="1097">
        <f t="shared" si="37"/>
        <v>102459.64418179574</v>
      </c>
      <c r="I41" s="1097">
        <f t="shared" si="38"/>
        <v>256149.1104544893</v>
      </c>
      <c r="J41" s="1097">
        <f t="shared" si="7"/>
        <v>89652.188659071253</v>
      </c>
      <c r="K41" s="1102">
        <v>1</v>
      </c>
      <c r="L41" s="1102">
        <v>1</v>
      </c>
      <c r="M41" s="1102">
        <v>1</v>
      </c>
      <c r="N41" s="1088"/>
      <c r="O41" s="1100"/>
    </row>
    <row r="42" spans="2:15" ht="15">
      <c r="B42" s="1094">
        <v>2064</v>
      </c>
      <c r="C42" s="1095">
        <f t="shared" si="4"/>
        <v>35</v>
      </c>
      <c r="D42" s="1096">
        <f t="shared" si="0"/>
        <v>2.5923625713757153E-2</v>
      </c>
      <c r="E42" s="1101">
        <f t="shared" si="8"/>
        <v>2.8531167061100029</v>
      </c>
      <c r="F42" s="1101">
        <f t="shared" si="8"/>
        <v>2.8531167061100029</v>
      </c>
      <c r="G42" s="1101">
        <f t="shared" ref="G42" si="41">G39*1.1</f>
        <v>2.8531167061100029</v>
      </c>
      <c r="H42" s="1097">
        <f t="shared" si="37"/>
        <v>92305.985749365485</v>
      </c>
      <c r="I42" s="1097">
        <f t="shared" si="38"/>
        <v>230764.96437341376</v>
      </c>
      <c r="J42" s="1097">
        <f t="shared" si="7"/>
        <v>80767.737530694809</v>
      </c>
      <c r="K42" s="1102">
        <v>1</v>
      </c>
      <c r="L42" s="1102">
        <v>1</v>
      </c>
      <c r="M42" s="1102">
        <v>1</v>
      </c>
      <c r="N42" s="1088"/>
      <c r="O42" s="1100"/>
    </row>
    <row r="43" spans="2:15" ht="15">
      <c r="B43" s="1094">
        <v>2065</v>
      </c>
      <c r="C43" s="1095">
        <f t="shared" si="4"/>
        <v>36</v>
      </c>
      <c r="D43" s="1096">
        <f t="shared" si="0"/>
        <v>2.3354617760141583E-2</v>
      </c>
      <c r="E43" s="1101">
        <f t="shared" si="8"/>
        <v>3.1384283767210035</v>
      </c>
      <c r="F43" s="1101">
        <f t="shared" si="8"/>
        <v>3.1384283767210035</v>
      </c>
      <c r="G43" s="1101">
        <f t="shared" ref="G43" si="42">G40*1.1</f>
        <v>3.1384283767210035</v>
      </c>
      <c r="H43" s="1097">
        <f t="shared" si="37"/>
        <v>91474.400292164035</v>
      </c>
      <c r="I43" s="1097">
        <f t="shared" si="38"/>
        <v>228686.00073041007</v>
      </c>
      <c r="J43" s="1097">
        <f t="shared" si="7"/>
        <v>80040.100255643527</v>
      </c>
      <c r="K43" s="1102">
        <v>1</v>
      </c>
      <c r="L43" s="1102">
        <v>1</v>
      </c>
      <c r="M43" s="1102">
        <v>1</v>
      </c>
      <c r="N43" s="1088"/>
      <c r="O43" s="1100"/>
    </row>
    <row r="44" spans="2:15" ht="15">
      <c r="B44" s="1094">
        <v>2066</v>
      </c>
      <c r="C44" s="1095">
        <f t="shared" si="4"/>
        <v>37</v>
      </c>
      <c r="D44" s="1096">
        <f t="shared" si="0"/>
        <v>2.1040196180307728E-2</v>
      </c>
      <c r="E44" s="1101">
        <f t="shared" si="8"/>
        <v>3.1384283767210035</v>
      </c>
      <c r="F44" s="1101">
        <f t="shared" si="8"/>
        <v>3.1384283767210035</v>
      </c>
      <c r="G44" s="1101">
        <f t="shared" ref="G44" si="43">G41*1.1</f>
        <v>3.1384283767210035</v>
      </c>
      <c r="H44" s="1097">
        <f t="shared" si="37"/>
        <v>82409.369632580201</v>
      </c>
      <c r="I44" s="1097">
        <f t="shared" si="38"/>
        <v>206023.42408145047</v>
      </c>
      <c r="J44" s="1097">
        <f t="shared" si="7"/>
        <v>72108.198428507661</v>
      </c>
      <c r="K44" s="1102">
        <v>1</v>
      </c>
      <c r="L44" s="1102">
        <v>1</v>
      </c>
      <c r="M44" s="1102">
        <v>1</v>
      </c>
      <c r="N44" s="1088"/>
      <c r="O44" s="1100"/>
    </row>
    <row r="45" spans="2:15" ht="15">
      <c r="B45" s="1094">
        <v>2067</v>
      </c>
      <c r="C45" s="1095">
        <f t="shared" si="4"/>
        <v>38</v>
      </c>
      <c r="D45" s="1096">
        <f t="shared" si="0"/>
        <v>1.8955131693970926E-2</v>
      </c>
      <c r="E45" s="1101">
        <f t="shared" si="8"/>
        <v>3.1384283767210035</v>
      </c>
      <c r="F45" s="1101">
        <f t="shared" si="8"/>
        <v>3.1384283767210035</v>
      </c>
      <c r="G45" s="1101">
        <f t="shared" ref="G45" si="44">G42*1.1</f>
        <v>3.1384283767210035</v>
      </c>
      <c r="H45" s="1097">
        <f t="shared" si="37"/>
        <v>74242.675344666844</v>
      </c>
      <c r="I45" s="1097">
        <f t="shared" si="38"/>
        <v>185606.6883616671</v>
      </c>
      <c r="J45" s="1097">
        <f t="shared" si="7"/>
        <v>64962.340926583485</v>
      </c>
      <c r="K45" s="1102">
        <v>1</v>
      </c>
      <c r="L45" s="1102">
        <v>1</v>
      </c>
      <c r="M45" s="1102">
        <v>1</v>
      </c>
      <c r="N45" s="1088"/>
      <c r="O45" s="1100"/>
    </row>
    <row r="46" spans="2:15" ht="15">
      <c r="B46" s="1094">
        <v>2068</v>
      </c>
      <c r="C46" s="1095">
        <f t="shared" si="4"/>
        <v>39</v>
      </c>
      <c r="D46" s="1096">
        <f t="shared" si="0"/>
        <v>1.7076695219793627E-2</v>
      </c>
      <c r="E46" s="1101">
        <f t="shared" si="8"/>
        <v>3.4522712143931042</v>
      </c>
      <c r="F46" s="1101">
        <f t="shared" si="8"/>
        <v>3.4522712143931042</v>
      </c>
      <c r="G46" s="1101">
        <f t="shared" ref="G46" si="45">G43*1.1</f>
        <v>3.4522712143931042</v>
      </c>
      <c r="H46" s="1097">
        <f t="shared" si="37"/>
        <v>73573.822413633796</v>
      </c>
      <c r="I46" s="1097">
        <f t="shared" si="38"/>
        <v>183934.55603408455</v>
      </c>
      <c r="J46" s="1097">
        <f t="shared" si="7"/>
        <v>64377.094611929577</v>
      </c>
      <c r="K46" s="1102">
        <v>1</v>
      </c>
      <c r="L46" s="1102">
        <v>1</v>
      </c>
      <c r="M46" s="1102">
        <v>1</v>
      </c>
      <c r="N46" s="1088"/>
      <c r="O46" s="1100"/>
    </row>
    <row r="47" spans="2:15" ht="15">
      <c r="B47" s="1094">
        <v>2069</v>
      </c>
      <c r="C47" s="1095">
        <f t="shared" si="4"/>
        <v>40</v>
      </c>
      <c r="D47" s="1096">
        <f t="shared" si="0"/>
        <v>1.5384410107922184E-2</v>
      </c>
      <c r="E47" s="1101">
        <f t="shared" si="8"/>
        <v>3.4522712143931042</v>
      </c>
      <c r="F47" s="1101">
        <f t="shared" si="8"/>
        <v>3.4522712143931042</v>
      </c>
      <c r="G47" s="1101">
        <f t="shared" ref="G47" si="46">G44*1.1</f>
        <v>3.4522712143931042</v>
      </c>
      <c r="H47" s="1097">
        <f t="shared" si="37"/>
        <v>66282.722895165585</v>
      </c>
      <c r="I47" s="1097">
        <f t="shared" si="38"/>
        <v>165706.80723791395</v>
      </c>
      <c r="J47" s="1097">
        <f t="shared" si="7"/>
        <v>57997.382533269891</v>
      </c>
      <c r="K47" s="1102">
        <v>1</v>
      </c>
      <c r="L47" s="1102">
        <v>1</v>
      </c>
      <c r="M47" s="1102">
        <v>1</v>
      </c>
      <c r="N47" s="1088"/>
      <c r="O47" s="1100"/>
    </row>
    <row r="48" spans="2:15" ht="15">
      <c r="B48" s="1094">
        <v>2070</v>
      </c>
      <c r="C48" s="1095">
        <f t="shared" si="4"/>
        <v>41</v>
      </c>
      <c r="D48" s="1096">
        <f t="shared" ref="D48:D51" si="47">1/(1+$D$3)^C48</f>
        <v>1.3859828926056019E-2</v>
      </c>
      <c r="E48" s="1101">
        <f t="shared" si="8"/>
        <v>3.4522712143931042</v>
      </c>
      <c r="F48" s="1101">
        <f t="shared" si="8"/>
        <v>3.4522712143931042</v>
      </c>
      <c r="G48" s="1101">
        <f t="shared" ref="G48" si="48">G45*1.1</f>
        <v>3.4522712143931042</v>
      </c>
      <c r="H48" s="1097">
        <f t="shared" si="37"/>
        <v>59714.16477041944</v>
      </c>
      <c r="I48" s="1097">
        <f t="shared" si="38"/>
        <v>149285.4119260486</v>
      </c>
      <c r="J48" s="1097">
        <f t="shared" si="7"/>
        <v>52249.894174117013</v>
      </c>
      <c r="K48" s="1102">
        <v>1</v>
      </c>
      <c r="L48" s="1102">
        <v>1</v>
      </c>
      <c r="M48" s="1102">
        <v>1</v>
      </c>
      <c r="N48" s="1088"/>
      <c r="O48" s="1100"/>
    </row>
    <row r="49" spans="2:16" ht="15">
      <c r="B49" s="1094">
        <v>2071</v>
      </c>
      <c r="C49" s="1095">
        <f t="shared" si="4"/>
        <v>42</v>
      </c>
      <c r="D49" s="1096">
        <f t="shared" si="47"/>
        <v>1.2486332365816231E-2</v>
      </c>
      <c r="E49" s="1101">
        <f t="shared" si="8"/>
        <v>3.7974983358324148</v>
      </c>
      <c r="F49" s="1101">
        <f t="shared" si="8"/>
        <v>3.7974983358324148</v>
      </c>
      <c r="G49" s="1101">
        <f t="shared" ref="G49" si="49">G46*1.1</f>
        <v>3.7974983358324148</v>
      </c>
      <c r="H49" s="1097">
        <f t="shared" si="37"/>
        <v>59176.199322037275</v>
      </c>
      <c r="I49" s="1097">
        <f t="shared" si="38"/>
        <v>147940.49830509318</v>
      </c>
      <c r="J49" s="1097">
        <f t="shared" si="7"/>
        <v>51779.174406782615</v>
      </c>
      <c r="K49" s="1102">
        <v>1</v>
      </c>
      <c r="L49" s="1102">
        <v>1</v>
      </c>
      <c r="M49" s="1102">
        <v>1</v>
      </c>
      <c r="N49" s="1088"/>
      <c r="O49" s="1100"/>
    </row>
    <row r="50" spans="2:16" ht="15">
      <c r="B50" s="1094">
        <v>2072</v>
      </c>
      <c r="C50" s="1095">
        <f t="shared" si="4"/>
        <v>43</v>
      </c>
      <c r="D50" s="1096">
        <f t="shared" si="47"/>
        <v>1.1248948077311921E-2</v>
      </c>
      <c r="E50" s="1101">
        <f t="shared" si="8"/>
        <v>3.7974983358324148</v>
      </c>
      <c r="F50" s="1101">
        <f t="shared" si="8"/>
        <v>3.7974983358324148</v>
      </c>
      <c r="G50" s="1101">
        <f t="shared" ref="G50" si="50">G47*1.1</f>
        <v>3.7974983358324148</v>
      </c>
      <c r="H50" s="1097">
        <f t="shared" si="37"/>
        <v>53311.891281114658</v>
      </c>
      <c r="I50" s="1097">
        <f t="shared" si="38"/>
        <v>133279.72820278665</v>
      </c>
      <c r="J50" s="1097">
        <f t="shared" si="7"/>
        <v>46647.904870975333</v>
      </c>
      <c r="K50" s="1102">
        <v>1</v>
      </c>
      <c r="L50" s="1102">
        <v>1</v>
      </c>
      <c r="M50" s="1102">
        <v>1</v>
      </c>
      <c r="N50" s="1088"/>
      <c r="O50" s="1100"/>
    </row>
    <row r="51" spans="2:16" ht="15">
      <c r="B51" s="1094">
        <v>2073</v>
      </c>
      <c r="C51" s="1095">
        <f t="shared" si="4"/>
        <v>44</v>
      </c>
      <c r="D51" s="1096">
        <f t="shared" si="47"/>
        <v>1.0134187457037766E-2</v>
      </c>
      <c r="E51" s="1101">
        <f t="shared" si="8"/>
        <v>3.7974983358324148</v>
      </c>
      <c r="F51" s="1101">
        <f t="shared" si="8"/>
        <v>3.7974983358324148</v>
      </c>
      <c r="G51" s="1101">
        <f t="shared" ref="G51" si="51">G48*1.1</f>
        <v>3.7974983358324148</v>
      </c>
      <c r="H51" s="1097">
        <f t="shared" si="37"/>
        <v>48028.730883887089</v>
      </c>
      <c r="I51" s="1097">
        <f t="shared" si="38"/>
        <v>120071.8272097177</v>
      </c>
      <c r="J51" s="1097">
        <f t="shared" si="7"/>
        <v>42025.139523401194</v>
      </c>
      <c r="K51" s="1102">
        <v>1</v>
      </c>
      <c r="L51" s="1102">
        <v>1</v>
      </c>
      <c r="M51" s="1102">
        <v>1</v>
      </c>
      <c r="N51" s="1088"/>
      <c r="O51" s="1100"/>
    </row>
    <row r="52" spans="2:16" ht="15">
      <c r="B52" s="1094">
        <v>2074</v>
      </c>
      <c r="C52" s="1095">
        <f t="shared" si="4"/>
        <v>45</v>
      </c>
      <c r="D52" s="1096">
        <f t="shared" ref="D52:D54" si="52">1/(1+$D$3)^C52</f>
        <v>9.1298986099439313E-3</v>
      </c>
      <c r="E52" s="1101">
        <f t="shared" ref="E52:G52" si="53">E49*1.1</f>
        <v>4.1772481694156562</v>
      </c>
      <c r="F52" s="1101">
        <f t="shared" si="53"/>
        <v>4.1772481694156562</v>
      </c>
      <c r="G52" s="1101">
        <f t="shared" si="53"/>
        <v>4.1772481694156562</v>
      </c>
      <c r="H52" s="1097">
        <f t="shared" si="37"/>
        <v>47596.039614662863</v>
      </c>
      <c r="I52" s="1097">
        <f t="shared" si="38"/>
        <v>118990.09903665716</v>
      </c>
      <c r="J52" s="1097">
        <f t="shared" si="7"/>
        <v>41646.53466283001</v>
      </c>
      <c r="K52" s="1102">
        <v>1</v>
      </c>
      <c r="L52" s="1102">
        <v>1</v>
      </c>
      <c r="M52" s="1102">
        <v>1</v>
      </c>
      <c r="N52" s="1088"/>
      <c r="O52" s="1100"/>
    </row>
    <row r="53" spans="2:16" ht="15">
      <c r="B53" s="1094">
        <v>2075</v>
      </c>
      <c r="C53" s="1095">
        <f t="shared" si="4"/>
        <v>46</v>
      </c>
      <c r="D53" s="1096">
        <f t="shared" si="52"/>
        <v>8.2251338828323705E-3</v>
      </c>
      <c r="E53" s="1101">
        <f t="shared" ref="E53:G53" si="54">E50*1.1</f>
        <v>4.1772481694156562</v>
      </c>
      <c r="F53" s="1101">
        <f t="shared" si="54"/>
        <v>4.1772481694156562</v>
      </c>
      <c r="G53" s="1101">
        <f t="shared" si="54"/>
        <v>4.1772481694156562</v>
      </c>
      <c r="H53" s="1097">
        <f t="shared" si="37"/>
        <v>42879.314968164734</v>
      </c>
      <c r="I53" s="1097">
        <f t="shared" si="38"/>
        <v>107198.28742041186</v>
      </c>
      <c r="J53" s="1097">
        <f t="shared" si="7"/>
        <v>37519.400597144151</v>
      </c>
      <c r="K53" s="1102">
        <v>1</v>
      </c>
      <c r="L53" s="1102">
        <v>1</v>
      </c>
      <c r="M53" s="1102">
        <v>1</v>
      </c>
      <c r="N53" s="1088"/>
      <c r="O53" s="1100"/>
    </row>
    <row r="54" spans="2:16" ht="15">
      <c r="B54" s="1094">
        <v>2076</v>
      </c>
      <c r="C54" s="1095">
        <f t="shared" si="4"/>
        <v>47</v>
      </c>
      <c r="D54" s="1096">
        <f t="shared" si="52"/>
        <v>7.4100305250742087E-3</v>
      </c>
      <c r="E54" s="1101">
        <f t="shared" ref="E54:G54" si="55">E51*1.1</f>
        <v>4.1772481694156562</v>
      </c>
      <c r="F54" s="1101">
        <f t="shared" si="55"/>
        <v>4.1772481694156562</v>
      </c>
      <c r="G54" s="1101">
        <f t="shared" si="55"/>
        <v>4.1772481694156562</v>
      </c>
      <c r="H54" s="1097">
        <f t="shared" si="37"/>
        <v>38630.0134848331</v>
      </c>
      <c r="I54" s="1097">
        <f t="shared" si="38"/>
        <v>96575.033712082761</v>
      </c>
      <c r="J54" s="1097">
        <f t="shared" si="7"/>
        <v>33801.261799228967</v>
      </c>
      <c r="K54" s="1102">
        <v>1</v>
      </c>
      <c r="L54" s="1102">
        <v>1</v>
      </c>
      <c r="M54" s="1102">
        <v>1</v>
      </c>
      <c r="N54" s="1088"/>
      <c r="O54" s="1100"/>
      <c r="P54" s="2"/>
    </row>
    <row r="55" spans="2:16" ht="15">
      <c r="B55" s="1094">
        <v>2076</v>
      </c>
      <c r="C55" s="1095">
        <f t="shared" si="4"/>
        <v>48</v>
      </c>
      <c r="D55" s="1096">
        <f t="shared" ref="D55:D57" si="56">1/(1+$D$3)^C55</f>
        <v>6.6757031757425289E-3</v>
      </c>
      <c r="E55" s="1101">
        <f t="shared" ref="E55:G55" si="57">E52*1.1</f>
        <v>4.594972986357222</v>
      </c>
      <c r="F55" s="1101">
        <f t="shared" si="57"/>
        <v>4.594972986357222</v>
      </c>
      <c r="G55" s="1101">
        <f t="shared" si="57"/>
        <v>4.594972986357222</v>
      </c>
      <c r="H55" s="1097">
        <f t="shared" ref="H55:H57" si="58">$H$3*$D55*12*$D$2*E55*K55</f>
        <v>38281.995345330091</v>
      </c>
      <c r="I55" s="1097">
        <f t="shared" ref="I55:I57" si="59">$I$3*$D55*12*$D$2*E55*L55</f>
        <v>95704.988363325232</v>
      </c>
      <c r="J55" s="1097">
        <f t="shared" ref="J55:J57" si="60">$J$3*$D55*12*$D$2*G55*M55</f>
        <v>33496.745927163836</v>
      </c>
      <c r="K55" s="1102">
        <v>1</v>
      </c>
      <c r="L55" s="1102">
        <v>1</v>
      </c>
      <c r="M55" s="1102">
        <v>1</v>
      </c>
      <c r="N55" s="1088"/>
      <c r="O55" s="1100"/>
    </row>
    <row r="56" spans="2:16" ht="15">
      <c r="B56" s="1094">
        <v>2076</v>
      </c>
      <c r="C56" s="1095">
        <f t="shared" si="4"/>
        <v>49</v>
      </c>
      <c r="D56" s="1096">
        <f t="shared" si="56"/>
        <v>6.0141470051734494E-3</v>
      </c>
      <c r="E56" s="1101">
        <f t="shared" ref="E56:G56" si="61">E53*1.1</f>
        <v>4.594972986357222</v>
      </c>
      <c r="F56" s="1101">
        <f t="shared" si="61"/>
        <v>4.594972986357222</v>
      </c>
      <c r="G56" s="1101">
        <f t="shared" si="61"/>
        <v>4.594972986357222</v>
      </c>
      <c r="H56" s="1097">
        <f t="shared" si="58"/>
        <v>34488.284094891977</v>
      </c>
      <c r="I56" s="1097">
        <f t="shared" si="59"/>
        <v>86220.710237229956</v>
      </c>
      <c r="J56" s="1097">
        <f t="shared" si="60"/>
        <v>30177.248583030479</v>
      </c>
      <c r="K56" s="1102">
        <v>1</v>
      </c>
      <c r="L56" s="1102">
        <v>1</v>
      </c>
      <c r="M56" s="1102">
        <v>1</v>
      </c>
      <c r="N56" s="1088"/>
      <c r="O56" s="1100"/>
    </row>
    <row r="57" spans="2:16" ht="15">
      <c r="B57" s="1094">
        <v>2076</v>
      </c>
      <c r="C57" s="1095">
        <f t="shared" si="4"/>
        <v>50</v>
      </c>
      <c r="D57" s="1096">
        <f t="shared" si="56"/>
        <v>5.4181504551112153E-3</v>
      </c>
      <c r="E57" s="1101">
        <f t="shared" ref="E57:G57" si="62">E54*1.1</f>
        <v>4.594972986357222</v>
      </c>
      <c r="F57" s="1101">
        <f t="shared" si="62"/>
        <v>4.594972986357222</v>
      </c>
      <c r="G57" s="1101">
        <f t="shared" si="62"/>
        <v>4.594972986357222</v>
      </c>
      <c r="H57" s="1097">
        <f t="shared" si="58"/>
        <v>31070.526211614393</v>
      </c>
      <c r="I57" s="1097">
        <f t="shared" si="59"/>
        <v>77676.315529035986</v>
      </c>
      <c r="J57" s="1097">
        <f t="shared" si="60"/>
        <v>27186.710435162593</v>
      </c>
      <c r="K57" s="1102">
        <v>1</v>
      </c>
      <c r="L57" s="1102">
        <v>1</v>
      </c>
      <c r="M57" s="1102">
        <v>1</v>
      </c>
      <c r="N57" s="1088"/>
      <c r="O57" s="1100"/>
    </row>
    <row r="58" spans="2:16" ht="15">
      <c r="B58" s="1094"/>
      <c r="C58" s="1095"/>
      <c r="D58" s="1096"/>
      <c r="E58" s="1101"/>
      <c r="F58" s="1101"/>
      <c r="G58" s="1101"/>
      <c r="H58" s="1101"/>
      <c r="I58" s="1097"/>
      <c r="J58" s="1097"/>
      <c r="K58" s="1102"/>
      <c r="L58" s="1102"/>
      <c r="M58" s="1102"/>
      <c r="N58" s="1088"/>
      <c r="O58" s="1100"/>
    </row>
    <row r="59" spans="2:16" ht="15">
      <c r="B59" s="1094"/>
      <c r="C59" s="1095"/>
      <c r="D59" s="1096"/>
      <c r="E59" s="1101"/>
      <c r="F59" s="1101"/>
      <c r="G59" s="1101"/>
      <c r="H59" s="1101"/>
      <c r="I59" s="1097"/>
      <c r="J59" s="1097"/>
      <c r="K59" s="1102"/>
      <c r="L59" s="1102"/>
      <c r="M59" s="1102"/>
      <c r="N59" s="1088"/>
      <c r="O59" s="1100"/>
    </row>
    <row r="60" spans="2:16" ht="15">
      <c r="B60" s="1094"/>
      <c r="C60" s="1095"/>
      <c r="D60" s="1096"/>
      <c r="E60" s="1101"/>
      <c r="F60" s="1101"/>
      <c r="G60" s="1101"/>
      <c r="H60" s="1101"/>
      <c r="I60" s="1097"/>
      <c r="J60" s="1097"/>
      <c r="K60" s="1102"/>
      <c r="L60" s="1102"/>
      <c r="M60" s="1102"/>
      <c r="N60" s="1088"/>
      <c r="O60" s="1100"/>
    </row>
    <row r="61" spans="2:16" ht="15">
      <c r="B61" s="1094"/>
      <c r="C61" s="1095"/>
      <c r="D61" s="1096"/>
      <c r="E61" s="1101"/>
      <c r="F61" s="1101"/>
      <c r="G61" s="1101"/>
      <c r="H61" s="1101"/>
      <c r="I61" s="1097"/>
      <c r="J61" s="1097"/>
      <c r="K61" s="1102"/>
      <c r="L61" s="1102"/>
      <c r="M61" s="1102"/>
      <c r="N61" s="1088"/>
      <c r="O61" s="1100"/>
    </row>
    <row r="62" spans="2:16" ht="15">
      <c r="B62" s="1094"/>
      <c r="C62" s="1105"/>
      <c r="E62" s="1106"/>
      <c r="F62" s="1105" t="s">
        <v>72</v>
      </c>
      <c r="G62" s="1105"/>
      <c r="H62" s="1107">
        <f>SUM(H4:H61)</f>
        <v>16872183.722300395</v>
      </c>
      <c r="I62" s="1107">
        <f>SUM(I4:I61)</f>
        <v>42180459.305750988</v>
      </c>
      <c r="J62" s="1107">
        <f>SUM(J4:J61)</f>
        <v>14763160.75701285</v>
      </c>
      <c r="K62" s="1106"/>
      <c r="L62" s="1106"/>
      <c r="M62" s="1106"/>
      <c r="N62" s="1088"/>
      <c r="O62" s="1088"/>
    </row>
    <row r="63" spans="2:16">
      <c r="B63" s="1094"/>
      <c r="H63" s="2149">
        <f>+H62/10^6</f>
        <v>16.872183722300395</v>
      </c>
      <c r="I63" s="2149">
        <f t="shared" ref="I63:J63" si="63">+I62/10^6</f>
        <v>42.180459305750986</v>
      </c>
      <c r="J63" s="2149">
        <f t="shared" si="63"/>
        <v>14.76316075701285</v>
      </c>
    </row>
  </sheetData>
  <mergeCells count="3">
    <mergeCell ref="L2:L3"/>
    <mergeCell ref="K2:K3"/>
    <mergeCell ref="M2:M3"/>
  </mergeCells>
  <pageMargins left="0.75" right="0.75" top="1" bottom="1" header="0.5" footer="0.5"/>
  <pageSetup paperSize="9" orientation="portrait" r:id="rId1"/>
  <headerFooter alignWithMargins="0">
    <oddFooter>&amp;L_x000D_&amp;1#&amp;"Calibri"&amp;10&amp;K000000 Internal Use</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F8245700304084A863943092E6A233C" ma:contentTypeVersion="16" ma:contentTypeDescription="Create a new document." ma:contentTypeScope="" ma:versionID="5fcf372277743392b9a6c70df42513e2">
  <xsd:schema xmlns:xsd="http://www.w3.org/2001/XMLSchema" xmlns:xs="http://www.w3.org/2001/XMLSchema" xmlns:p="http://schemas.microsoft.com/office/2006/metadata/properties" xmlns:ns2="462701d2-2e2e-4553-b1a0-e81aa121036e" xmlns:ns3="f19ab87f-855a-417a-b770-ebfdc688b135" targetNamespace="http://schemas.microsoft.com/office/2006/metadata/properties" ma:root="true" ma:fieldsID="5ea2dc6e34b3ea310c7dd76117920523" ns2:_="" ns3:_="">
    <xsd:import namespace="462701d2-2e2e-4553-b1a0-e81aa121036e"/>
    <xsd:import namespace="f19ab87f-855a-417a-b770-ebfdc688b135"/>
    <xsd:element name="properties">
      <xsd:complexType>
        <xsd:sequence>
          <xsd:element name="documentManagement">
            <xsd:complexType>
              <xsd:all>
                <xsd:element ref="ns2:MediaServiceMetadata" minOccurs="0"/>
                <xsd:element ref="ns2:MediaServiceFastMetadata" minOccurs="0"/>
                <xsd:element ref="ns2:MediaLengthInSeconds" minOccurs="0"/>
                <xsd:element ref="ns2:lcf76f155ced4ddcb4097134ff3c332f" minOccurs="0"/>
                <xsd:element ref="ns3:TaxCatchAll" minOccurs="0"/>
                <xsd:element ref="ns2:MediaServiceDateTaken"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2701d2-2e2e-4553-b1a0-e81aa12103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dd749ccd-f349-4df3-96af-358580aa7895"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9ab87f-855a-417a-b770-ebfdc688b135"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cfa8cde-59ff-4112-a7d4-aeb7a7b8233f}" ma:internalName="TaxCatchAll" ma:showField="CatchAllData" ma:web="f19ab87f-855a-417a-b770-ebfdc688b1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62701d2-2e2e-4553-b1a0-e81aa121036e">
      <Terms xmlns="http://schemas.microsoft.com/office/infopath/2007/PartnerControls"/>
    </lcf76f155ced4ddcb4097134ff3c332f>
    <TaxCatchAll xmlns="f19ab87f-855a-417a-b770-ebfdc688b135" xsi:nil="true"/>
  </documentManagement>
</p:properties>
</file>

<file path=customXml/itemProps1.xml><?xml version="1.0" encoding="utf-8"?>
<ds:datastoreItem xmlns:ds="http://schemas.openxmlformats.org/officeDocument/2006/customXml" ds:itemID="{169C5B7C-E6E9-4505-A060-2C31A614B66E}">
  <ds:schemaRefs>
    <ds:schemaRef ds:uri="http://schemas.microsoft.com/sharepoint/v3/contenttype/forms"/>
  </ds:schemaRefs>
</ds:datastoreItem>
</file>

<file path=customXml/itemProps2.xml><?xml version="1.0" encoding="utf-8"?>
<ds:datastoreItem xmlns:ds="http://schemas.openxmlformats.org/officeDocument/2006/customXml" ds:itemID="{AC59B95B-B2CB-4CC3-8AD8-65879ABCED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2701d2-2e2e-4553-b1a0-e81aa121036e"/>
    <ds:schemaRef ds:uri="f19ab87f-855a-417a-b770-ebfdc688b1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70344D4-FAD5-473A-83D5-049B20435444}">
  <ds:schemaRefs>
    <ds:schemaRef ds:uri="http://schemas.microsoft.com/office/2006/metadata/properties"/>
    <ds:schemaRef ds:uri="http://www.w3.org/XML/1998/namespace"/>
    <ds:schemaRef ds:uri="http://schemas.microsoft.com/office/2006/documentManagement/types"/>
    <ds:schemaRef ds:uri="http://purl.org/dc/elements/1.1/"/>
    <ds:schemaRef ds:uri="http://schemas.openxmlformats.org/package/2006/metadata/core-properties"/>
    <ds:schemaRef ds:uri="f19ab87f-855a-417a-b770-ebfdc688b135"/>
    <ds:schemaRef ds:uri="http://purl.org/dc/dcmitype/"/>
    <ds:schemaRef ds:uri="http://schemas.microsoft.com/office/infopath/2007/PartnerControls"/>
    <ds:schemaRef ds:uri="462701d2-2e2e-4553-b1a0-e81aa121036e"/>
    <ds:schemaRef ds:uri="http://purl.org/dc/terms/"/>
  </ds:schemaRefs>
</ds:datastoreItem>
</file>

<file path=docMetadata/LabelInfo.xml><?xml version="1.0" encoding="utf-8"?>
<clbl:labelList xmlns:clbl="http://schemas.microsoft.com/office/2020/mipLabelMetadata">
  <clbl:label id="{118c2773-e887-49fc-9da9-984ac5815efe}" enabled="1" method="Standard" siteId="{7d97f400-69b4-4df4-a009-c9806ec70783}"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Summary</vt:lpstr>
      <vt:lpstr>1. thong tin quy hoach</vt:lpstr>
      <vt:lpstr>2.Tien do</vt:lpstr>
      <vt:lpstr>3.Du toan</vt:lpstr>
      <vt:lpstr>5.Doanh thu</vt:lpstr>
      <vt:lpstr>4.Chi phi hoat dong</vt:lpstr>
      <vt:lpstr>6.Vay von</vt:lpstr>
      <vt:lpstr>7.CF</vt:lpstr>
      <vt:lpstr>TSDĐ</vt:lpstr>
      <vt:lpstr>8.ĐO NHAY</vt:lpstr>
      <vt:lpstr>QĐGB</vt:lpstr>
      <vt:lpstr>'1. thong tin quy hoach'!Print_Area</vt:lpstr>
      <vt:lpstr>'7.CF'!Print_Area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binh vo</dc:creator>
  <cp:lastModifiedBy>Khoa L - INVT</cp:lastModifiedBy>
  <cp:lastPrinted>2026-07-07T07:21:53Z</cp:lastPrinted>
  <dcterms:created xsi:type="dcterms:W3CDTF">2011-11-10T03:30:53Z</dcterms:created>
  <dcterms:modified xsi:type="dcterms:W3CDTF">2026-10-08T02:58:27Z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0x010100AF8245700304084A863943092E6A233C</vt:lpwstr>
  </property>
  <property fmtid="{D5CDD505-2E9C-101B-9397-08002B2CF9AE}" pid="3" name="MediaServiceImageTags">
    <vt:lpwstr/>
  </property>
</Properties>
</file>